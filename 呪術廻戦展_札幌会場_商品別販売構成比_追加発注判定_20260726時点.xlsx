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①-1 初日構成比" sheetId="2" state="visible" r:id="rId4"/>
    <sheet name="①-2 初週構成比" sheetId="3" state="visible" r:id="rId5"/>
    <sheet name="①-3 金額構成比" sheetId="4" state="visible" r:id="rId6"/>
    <sheet name="②札幌日別明細" sheetId="5" state="visible" r:id="rId7"/>
    <sheet name="③追加発注判定" sheetId="6" state="visible" r:id="rId8"/>
    <sheet name="④全データ統合リスト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<sst xmlns="http://schemas.openxmlformats.org/spreadsheetml/2006/main" count="824" uniqueCount="269">
  <si>
    <t xml:space="preserve">アニメーション 呪術廻戦展「懐玉・玉折」「渋谷事変」 札幌会場</t>
  </si>
  <si>
    <r>
      <rPr>
        <b val="true"/>
        <sz val="12"/>
        <color rgb="FF2E5C8A"/>
        <rFont val="WenQuanYi Zen Hei"/>
        <family val="2"/>
      </rPr>
      <t xml:space="preserve">レッグス／イベント記念商品 </t>
    </r>
    <r>
      <rPr>
        <b val="true"/>
        <sz val="12"/>
        <color rgb="FF2E5C8A"/>
        <rFont val="Arial"/>
        <family val="0"/>
        <charset val="1"/>
      </rPr>
      <t xml:space="preserve">42SKU</t>
    </r>
    <r>
      <rPr>
        <b val="true"/>
        <sz val="12"/>
        <color rgb="FF2E5C8A"/>
        <rFont val="WenQuanYi Zen Hei"/>
        <family val="2"/>
      </rPr>
      <t xml:space="preserve">　商品別 販売構成比 ＆ 追加発注判定レポート</t>
    </r>
  </si>
  <si>
    <r>
      <rPr>
        <sz val="8"/>
        <color rgb="FF555555"/>
        <rFont val="WenQuanYi Zen Hei"/>
        <family val="2"/>
      </rPr>
      <t xml:space="preserve">基準日：</t>
    </r>
    <r>
      <rPr>
        <sz val="8"/>
        <color rgb="FF555555"/>
        <rFont val="Arial"/>
        <family val="0"/>
        <charset val="1"/>
      </rPr>
      <t xml:space="preserve">2026</t>
    </r>
    <r>
      <rPr>
        <sz val="8"/>
        <color rgb="FF555555"/>
        <rFont val="WenQuanYi Zen Hei"/>
        <family val="2"/>
      </rPr>
      <t xml:space="preserve">年</t>
    </r>
    <r>
      <rPr>
        <sz val="8"/>
        <color rgb="FF555555"/>
        <rFont val="Arial"/>
        <family val="0"/>
        <charset val="1"/>
      </rPr>
      <t xml:space="preserve">7</t>
    </r>
    <r>
      <rPr>
        <sz val="8"/>
        <color rgb="FF555555"/>
        <rFont val="WenQuanYi Zen Hei"/>
        <family val="2"/>
      </rPr>
      <t xml:space="preserve">月</t>
    </r>
    <r>
      <rPr>
        <sz val="8"/>
        <color rgb="FF555555"/>
        <rFont val="Arial"/>
        <family val="0"/>
        <charset val="1"/>
      </rPr>
      <t xml:space="preserve">26</t>
    </r>
    <r>
      <rPr>
        <sz val="8"/>
        <color rgb="FF555555"/>
        <rFont val="WenQuanYi Zen Hei"/>
        <family val="2"/>
      </rPr>
      <t xml:space="preserve">日（日）会期</t>
    </r>
    <r>
      <rPr>
        <sz val="8"/>
        <color rgb="FF555555"/>
        <rFont val="Arial"/>
        <family val="0"/>
        <charset val="1"/>
      </rPr>
      <t xml:space="preserve">5</t>
    </r>
    <r>
      <rPr>
        <sz val="8"/>
        <color rgb="FF555555"/>
        <rFont val="WenQuanYi Zen Hei"/>
        <family val="2"/>
      </rPr>
      <t xml:space="preserve">日目終了時点　／　作成日：</t>
    </r>
    <r>
      <rPr>
        <sz val="8"/>
        <color rgb="FF555555"/>
        <rFont val="Arial"/>
        <family val="0"/>
        <charset val="1"/>
      </rPr>
      <t xml:space="preserve">2026</t>
    </r>
    <r>
      <rPr>
        <sz val="8"/>
        <color rgb="FF555555"/>
        <rFont val="WenQuanYi Zen Hei"/>
        <family val="2"/>
      </rPr>
      <t xml:space="preserve">年</t>
    </r>
    <r>
      <rPr>
        <sz val="8"/>
        <color rgb="FF555555"/>
        <rFont val="Arial"/>
        <family val="0"/>
        <charset val="1"/>
      </rPr>
      <t xml:space="preserve">7</t>
    </r>
    <r>
      <rPr>
        <sz val="8"/>
        <color rgb="FF555555"/>
        <rFont val="WenQuanYi Zen Hei"/>
        <family val="2"/>
      </rPr>
      <t xml:space="preserve">月</t>
    </r>
    <r>
      <rPr>
        <sz val="8"/>
        <color rgb="FF555555"/>
        <rFont val="Arial"/>
        <family val="0"/>
        <charset val="1"/>
      </rPr>
      <t xml:space="preserve">28</t>
    </r>
    <r>
      <rPr>
        <sz val="8"/>
        <color rgb="FF555555"/>
        <rFont val="WenQuanYi Zen Hei"/>
        <family val="2"/>
      </rPr>
      <t xml:space="preserve">日</t>
    </r>
  </si>
  <si>
    <t xml:space="preserve">■ 主要結論</t>
  </si>
  <si>
    <t xml:space="preserve">追加発注 要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</si>
  <si>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品目（不足合計 </t>
    </r>
    <r>
      <rPr>
        <sz val="9"/>
        <rFont val="Arial"/>
        <family val="0"/>
        <charset val="1"/>
      </rPr>
      <t xml:space="preserve">242</t>
    </r>
    <r>
      <rPr>
        <sz val="9"/>
        <rFont val="WenQuanYi Zen Hei"/>
        <family val="2"/>
      </rPr>
      <t xml:space="preserve">個 ／ 安全率</t>
    </r>
    <r>
      <rPr>
        <sz val="9"/>
        <rFont val="Arial"/>
        <family val="0"/>
        <charset val="1"/>
      </rPr>
      <t xml:space="preserve">10%</t>
    </r>
    <r>
      <rPr>
        <sz val="9"/>
        <rFont val="WenQuanYi Zen Hei"/>
        <family val="2"/>
      </rPr>
      <t xml:space="preserve">込みの推奨発注合計 </t>
    </r>
    <r>
      <rPr>
        <sz val="9"/>
        <rFont val="Arial"/>
        <family val="0"/>
        <charset val="1"/>
      </rPr>
      <t xml:space="preserve">268</t>
    </r>
    <r>
      <rPr>
        <sz val="9"/>
        <rFont val="WenQuanYi Zen Hei"/>
        <family val="2"/>
      </rPr>
      <t xml:space="preserve">個）</t>
    </r>
  </si>
  <si>
    <t xml:space="preserve">　該当商品</t>
  </si>
  <si>
    <r>
      <rPr>
        <sz val="9"/>
        <rFont val="WenQuanYi Zen Hei"/>
        <family val="2"/>
      </rPr>
      <t xml:space="preserve">前髪ヘアバンド</t>
    </r>
    <r>
      <rPr>
        <sz val="9"/>
        <rFont val="Arial"/>
        <family val="0"/>
        <charset val="1"/>
      </rPr>
      <t xml:space="preserve">(+78)</t>
    </r>
    <r>
      <rPr>
        <sz val="9"/>
        <rFont val="WenQuanYi Zen Hei"/>
        <family val="2"/>
      </rPr>
      <t xml:space="preserve">　宿儺の指風お菓子</t>
    </r>
    <r>
      <rPr>
        <sz val="9"/>
        <rFont val="Arial"/>
        <family val="0"/>
        <charset val="1"/>
      </rPr>
      <t xml:space="preserve">(+67)</t>
    </r>
    <r>
      <rPr>
        <sz val="9"/>
        <rFont val="WenQuanYi Zen Hei"/>
        <family val="2"/>
      </rPr>
      <t xml:space="preserve">　呪術廻戦 渋谷事変 クリアファイル（脹相）</t>
    </r>
    <r>
      <rPr>
        <sz val="9"/>
        <rFont val="Arial"/>
        <family val="0"/>
        <charset val="1"/>
      </rPr>
      <t xml:space="preserve">(+49)</t>
    </r>
    <r>
      <rPr>
        <sz val="9"/>
        <rFont val="WenQuanYi Zen Hei"/>
        <family val="2"/>
      </rPr>
      <t xml:space="preserve">　脱兎！ポーチ入りクリップセット</t>
    </r>
    <r>
      <rPr>
        <sz val="9"/>
        <rFont val="Arial"/>
        <family val="0"/>
        <charset val="1"/>
      </rPr>
      <t xml:space="preserve">(+45)</t>
    </r>
    <r>
      <rPr>
        <sz val="9"/>
        <rFont val="WenQuanYi Zen Hei"/>
        <family val="2"/>
      </rPr>
      <t xml:space="preserve">　気分リフレッシュオルゴール</t>
    </r>
    <r>
      <rPr>
        <sz val="9"/>
        <rFont val="Arial"/>
        <family val="0"/>
        <charset val="1"/>
      </rPr>
      <t xml:space="preserve">(+3)</t>
    </r>
  </si>
  <si>
    <r>
      <rPr>
        <sz val="9"/>
        <rFont val="WenQuanYi Zen Hei"/>
        <family val="2"/>
      </rPr>
      <t xml:space="preserve">要注意（消化率</t>
    </r>
    <r>
      <rPr>
        <sz val="9"/>
        <rFont val="Arial"/>
        <family val="0"/>
        <charset val="1"/>
      </rPr>
      <t xml:space="preserve">90%</t>
    </r>
    <r>
      <rPr>
        <sz val="9"/>
        <rFont val="WenQuanYi Zen Hei"/>
        <family val="2"/>
      </rPr>
      <t xml:space="preserve">以上見込）</t>
    </r>
  </si>
  <si>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品目：呪術廻戦 渋谷事変 クリアファイル（七海 建人）　呪術廻戦 渋谷事変 クリアファイル（宿儺）</t>
    </r>
  </si>
  <si>
    <r>
      <rPr>
        <sz val="9"/>
        <rFont val="WenQuanYi Zen Hei"/>
        <family val="2"/>
      </rPr>
      <t xml:space="preserve">在庫余剰見込（予測消化率</t>
    </r>
    <r>
      <rPr>
        <sz val="9"/>
        <rFont val="Arial"/>
        <family val="0"/>
        <charset val="1"/>
      </rPr>
      <t xml:space="preserve">50%</t>
    </r>
    <r>
      <rPr>
        <sz val="9"/>
        <rFont val="WenQuanYi Zen Hei"/>
        <family val="2"/>
      </rPr>
      <t xml:space="preserve">未満）</t>
    </r>
  </si>
  <si>
    <r>
      <rPr>
        <sz val="9"/>
        <rFont val="Arial"/>
        <family val="0"/>
        <charset val="1"/>
      </rPr>
      <t xml:space="preserve">21</t>
    </r>
    <r>
      <rPr>
        <sz val="9"/>
        <rFont val="WenQuanYi Zen Hei"/>
        <family val="2"/>
      </rPr>
      <t xml:space="preserve">品目。特にブラインド缶バッジ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種は札幌の構成比が名古屋・博多の</t>
    </r>
    <r>
      <rPr>
        <sz val="9"/>
        <rFont val="Arial"/>
        <family val="0"/>
        <charset val="1"/>
      </rPr>
      <t xml:space="preserve">1/3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2/3</t>
    </r>
    <r>
      <rPr>
        <sz val="9"/>
        <rFont val="WenQuanYi Zen Hei"/>
        <family val="2"/>
      </rPr>
      <t xml:space="preserve">に留まる</t>
    </r>
  </si>
  <si>
    <r>
      <rPr>
        <sz val="9"/>
        <rFont val="Arial"/>
        <family val="0"/>
        <charset val="1"/>
      </rPr>
      <t xml:space="preserve">42SKU</t>
    </r>
    <r>
      <rPr>
        <sz val="9"/>
        <rFont val="WenQuanYi Zen Hei"/>
        <family val="2"/>
      </rPr>
      <t xml:space="preserve">計 販売状況</t>
    </r>
  </si>
  <si>
    <r>
      <rPr>
        <sz val="9"/>
        <rFont val="Arial"/>
        <family val="0"/>
        <charset val="1"/>
      </rPr>
      <t xml:space="preserve">7/22-7/26 </t>
    </r>
    <r>
      <rPr>
        <sz val="9"/>
        <rFont val="WenQuanYi Zen Hei"/>
        <family val="2"/>
      </rPr>
      <t xml:space="preserve">販売 </t>
    </r>
    <r>
      <rPr>
        <sz val="9"/>
        <rFont val="Arial"/>
        <family val="0"/>
        <charset val="1"/>
      </rPr>
      <t xml:space="preserve">4,189</t>
    </r>
    <r>
      <rPr>
        <sz val="9"/>
        <rFont val="WenQuanYi Zen Hei"/>
        <family val="2"/>
      </rPr>
      <t xml:space="preserve">個 ／ 販売可能数 </t>
    </r>
    <r>
      <rPr>
        <sz val="9"/>
        <rFont val="Arial"/>
        <family val="0"/>
        <charset val="1"/>
      </rPr>
      <t xml:space="preserve">50,196</t>
    </r>
    <r>
      <rPr>
        <sz val="9"/>
        <rFont val="WenQuanYi Zen Hei"/>
        <family val="2"/>
      </rPr>
      <t xml:space="preserve">個 ／ 現在消化率 </t>
    </r>
    <r>
      <rPr>
        <sz val="9"/>
        <rFont val="Arial"/>
        <family val="0"/>
        <charset val="1"/>
      </rPr>
      <t xml:space="preserve">8.3% </t>
    </r>
    <r>
      <rPr>
        <sz val="9"/>
        <rFont val="WenQuanYi Zen Hei"/>
        <family val="2"/>
      </rPr>
      <t xml:space="preserve">／ 会期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日予測 </t>
    </r>
    <r>
      <rPr>
        <sz val="9"/>
        <rFont val="Arial"/>
        <family val="0"/>
        <charset val="1"/>
      </rPr>
      <t xml:space="preserve">10,859</t>
    </r>
    <r>
      <rPr>
        <sz val="9"/>
        <rFont val="WenQuanYi Zen Hei"/>
        <family val="2"/>
      </rPr>
      <t xml:space="preserve">個・予測消化率 </t>
    </r>
    <r>
      <rPr>
        <sz val="9"/>
        <rFont val="Arial"/>
        <family val="0"/>
        <charset val="1"/>
      </rPr>
      <t xml:space="preserve">21.6%</t>
    </r>
  </si>
  <si>
    <t xml:space="preserve">構成比の会場間差（初週）</t>
  </si>
  <si>
    <r>
      <rPr>
        <sz val="9"/>
        <rFont val="WenQuanYi Zen Hei"/>
        <family val="2"/>
      </rPr>
      <t xml:space="preserve">札幌はクリアファイル／ポストカード系の構成比が名古屋・博多の約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倍。</t>
    </r>
  </si>
  <si>
    <r>
      <rPr>
        <sz val="9"/>
        <rFont val="WenQuanYi Zen Hei"/>
        <family val="2"/>
      </rPr>
      <t xml:space="preserve">一方でブラインド缶バッジ（懐玉・玉折）は札幌</t>
    </r>
    <r>
      <rPr>
        <sz val="9"/>
        <rFont val="Arial"/>
        <family val="0"/>
        <charset val="1"/>
      </rPr>
      <t xml:space="preserve">5.9%</t>
    </r>
    <r>
      <rPr>
        <sz val="9"/>
        <rFont val="WenQuanYi Zen Hei"/>
        <family val="2"/>
      </rPr>
      <t xml:space="preserve">に対し名古屋</t>
    </r>
    <r>
      <rPr>
        <sz val="9"/>
        <rFont val="Arial"/>
        <family val="0"/>
        <charset val="1"/>
      </rPr>
      <t xml:space="preserve">18.3%</t>
    </r>
    <r>
      <rPr>
        <sz val="9"/>
        <rFont val="WenQuanYi Zen Hei"/>
        <family val="2"/>
      </rPr>
      <t xml:space="preserve">・博多</t>
    </r>
    <r>
      <rPr>
        <sz val="9"/>
        <rFont val="Arial"/>
        <family val="0"/>
        <charset val="1"/>
      </rPr>
      <t xml:space="preserve">17.6%</t>
    </r>
    <r>
      <rPr>
        <sz val="9"/>
        <rFont val="WenQuanYi Zen Hei"/>
        <family val="2"/>
      </rPr>
      <t xml:space="preserve">と大きく下振れ。</t>
    </r>
  </si>
  <si>
    <r>
      <rPr>
        <sz val="9"/>
        <rFont val="WenQuanYi Zen Hei"/>
        <family val="2"/>
      </rPr>
      <t xml:space="preserve">ブラインドミニ色紙（懐玉・玉折）は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会場とも</t>
    </r>
    <r>
      <rPr>
        <sz val="9"/>
        <rFont val="Arial"/>
        <family val="0"/>
        <charset val="1"/>
      </rPr>
      <t xml:space="preserve">22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25%</t>
    </r>
    <r>
      <rPr>
        <sz val="9"/>
        <rFont val="WenQuanYi Zen Hei"/>
        <family val="2"/>
      </rPr>
      <t xml:space="preserve">で最大構成比という点は共通。</t>
    </r>
  </si>
  <si>
    <t xml:space="preserve">■ 対象・前提</t>
  </si>
  <si>
    <t xml:space="preserve">対象商品</t>
  </si>
  <si>
    <r>
      <rPr>
        <sz val="9"/>
        <rFont val="WenQuanYi Zen Hei"/>
        <family val="2"/>
      </rPr>
      <t xml:space="preserve">レッグス／イベント記念商品 </t>
    </r>
    <r>
      <rPr>
        <sz val="9"/>
        <rFont val="Arial"/>
        <family val="0"/>
        <charset val="1"/>
      </rPr>
      <t xml:space="preserve">42SKU</t>
    </r>
    <r>
      <rPr>
        <sz val="9"/>
        <rFont val="WenQuanYi Zen Hei"/>
        <family val="2"/>
      </rPr>
      <t xml:space="preserve">（指定ラインナップのみ。</t>
    </r>
    <r>
      <rPr>
        <sz val="9"/>
        <rFont val="Arial"/>
        <family val="0"/>
        <charset val="1"/>
      </rPr>
      <t xml:space="preserve">JAN 4515142545082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545501</t>
    </r>
    <r>
      <rPr>
        <sz val="9"/>
        <rFont val="WenQuanYi Zen Hei"/>
        <family val="2"/>
      </rPr>
      <t xml:space="preserve">）</t>
    </r>
  </si>
  <si>
    <t xml:space="preserve">データ出典</t>
  </si>
  <si>
    <t xml:space="preserve">各会場「レジ通過単品売上」シート（日次販売日報の集計元データ）</t>
  </si>
  <si>
    <t xml:space="preserve">札幌会場（今回）</t>
  </si>
  <si>
    <r>
      <rPr>
        <sz val="9"/>
        <rFont val="Arial"/>
        <family val="0"/>
        <charset val="1"/>
      </rPr>
      <t xml:space="preserve">2026/7/22(</t>
    </r>
    <r>
      <rPr>
        <sz val="9"/>
        <rFont val="WenQuanYi Zen Hei"/>
        <family val="2"/>
      </rPr>
      <t xml:space="preserve">水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8/10(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　全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日間　／　日報実績は</t>
    </r>
    <r>
      <rPr>
        <sz val="9"/>
        <rFont val="Arial"/>
        <family val="0"/>
        <charset val="1"/>
      </rPr>
      <t xml:space="preserve">7/26(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＝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日目まで</t>
    </r>
  </si>
  <si>
    <t xml:space="preserve">名古屋会場①（比較）</t>
  </si>
  <si>
    <r>
      <rPr>
        <sz val="9"/>
        <rFont val="Arial"/>
        <family val="0"/>
        <charset val="1"/>
      </rPr>
      <t xml:space="preserve">2026/3/18(</t>
    </r>
    <r>
      <rPr>
        <sz val="9"/>
        <rFont val="WenQuanYi Zen Hei"/>
        <family val="2"/>
      </rPr>
      <t xml:space="preserve">水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4/5(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　全</t>
    </r>
    <r>
      <rPr>
        <sz val="9"/>
        <rFont val="Arial"/>
        <family val="0"/>
        <charset val="1"/>
      </rPr>
      <t xml:space="preserve">19</t>
    </r>
    <r>
      <rPr>
        <sz val="9"/>
        <rFont val="WenQuanYi Zen Hei"/>
        <family val="2"/>
      </rPr>
      <t xml:space="preserve">日間　／　日報実績は</t>
    </r>
    <r>
      <rPr>
        <sz val="9"/>
        <rFont val="Arial"/>
        <family val="0"/>
        <charset val="1"/>
      </rPr>
      <t xml:space="preserve">3/31(</t>
    </r>
    <r>
      <rPr>
        <sz val="9"/>
        <rFont val="WenQuanYi Zen Hei"/>
        <family val="2"/>
      </rPr>
      <t xml:space="preserve">火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＝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日目まで</t>
    </r>
  </si>
  <si>
    <t xml:space="preserve">博多会場②（比較）</t>
  </si>
  <si>
    <r>
      <rPr>
        <sz val="9"/>
        <rFont val="Arial"/>
        <family val="0"/>
        <charset val="1"/>
      </rPr>
      <t xml:space="preserve">2026/4/23(</t>
    </r>
    <r>
      <rPr>
        <sz val="9"/>
        <rFont val="WenQuanYi Zen Hei"/>
        <family val="2"/>
      </rPr>
      <t xml:space="preserve">木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5/18(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　全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日間　／　全日実績あり</t>
    </r>
  </si>
  <si>
    <t xml:space="preserve">「初日」の定義</t>
  </si>
  <si>
    <r>
      <rPr>
        <sz val="9"/>
        <rFont val="WenQuanYi Zen Hei"/>
        <family val="2"/>
      </rPr>
      <t xml:space="preserve">各会場の会期初日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日のみ（札幌</t>
    </r>
    <r>
      <rPr>
        <sz val="9"/>
        <rFont val="Arial"/>
        <family val="0"/>
        <charset val="1"/>
      </rPr>
      <t xml:space="preserve">7/22</t>
    </r>
    <r>
      <rPr>
        <sz val="9"/>
        <rFont val="WenQuanYi Zen Hei"/>
        <family val="2"/>
      </rPr>
      <t xml:space="preserve">・名古屋</t>
    </r>
    <r>
      <rPr>
        <sz val="9"/>
        <rFont val="Arial"/>
        <family val="0"/>
        <charset val="1"/>
      </rPr>
      <t xml:space="preserve">3/18</t>
    </r>
    <r>
      <rPr>
        <sz val="9"/>
        <rFont val="WenQuanYi Zen Hei"/>
        <family val="2"/>
      </rPr>
      <t xml:space="preserve">・博多</t>
    </r>
    <r>
      <rPr>
        <sz val="9"/>
        <rFont val="Arial"/>
        <family val="0"/>
        <charset val="1"/>
      </rPr>
      <t xml:space="preserve">4/23</t>
    </r>
    <r>
      <rPr>
        <sz val="9"/>
        <rFont val="WenQuanYi Zen Hei"/>
        <family val="2"/>
      </rPr>
      <t xml:space="preserve">）</t>
    </r>
  </si>
  <si>
    <t xml:space="preserve">「初週」の定義</t>
  </si>
  <si>
    <r>
      <rPr>
        <sz val="9"/>
        <rFont val="WenQuanYi Zen Hei"/>
        <family val="2"/>
      </rPr>
      <t xml:space="preserve">初日〜初週の日曜日まで。札幌</t>
    </r>
    <r>
      <rPr>
        <sz val="9"/>
        <rFont val="Arial"/>
        <family val="0"/>
        <charset val="1"/>
      </rPr>
      <t xml:space="preserve">7/22-7/26(5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・名古屋</t>
    </r>
    <r>
      <rPr>
        <sz val="9"/>
        <rFont val="Arial"/>
        <family val="0"/>
        <charset val="1"/>
      </rPr>
      <t xml:space="preserve">3/18-3/22(5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・博多</t>
    </r>
    <r>
      <rPr>
        <sz val="9"/>
        <rFont val="Arial"/>
        <family val="0"/>
        <charset val="1"/>
      </rPr>
      <t xml:space="preserve">4/23-4/26(4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</t>
    </r>
  </si>
  <si>
    <t xml:space="preserve">構成比の分母</t>
  </si>
  <si>
    <r>
      <rPr>
        <sz val="9"/>
        <rFont val="WenQuanYi Zen Hei"/>
        <family val="2"/>
      </rPr>
      <t xml:space="preserve">上記</t>
    </r>
    <r>
      <rPr>
        <sz val="9"/>
        <rFont val="Arial"/>
        <family val="0"/>
        <charset val="1"/>
      </rPr>
      <t xml:space="preserve">42SKU</t>
    </r>
    <r>
      <rPr>
        <sz val="9"/>
        <rFont val="WenQuanYi Zen Hei"/>
        <family val="2"/>
      </rPr>
      <t xml:space="preserve">の合計販売数（＝</t>
    </r>
    <r>
      <rPr>
        <sz val="9"/>
        <rFont val="Arial"/>
        <family val="0"/>
        <charset val="1"/>
      </rPr>
      <t xml:space="preserve">42</t>
    </r>
    <r>
      <rPr>
        <sz val="9"/>
        <rFont val="WenQuanYi Zen Hei"/>
        <family val="2"/>
      </rPr>
      <t xml:space="preserve">品内シェア）。会場全ラインナップ合計ではない点に注意</t>
    </r>
  </si>
  <si>
    <t xml:space="preserve">■ 追加発注の予測モデル</t>
  </si>
  <si>
    <t xml:space="preserve">考え方</t>
  </si>
  <si>
    <r>
      <rPr>
        <sz val="9"/>
        <rFont val="WenQuanYi Zen Hei"/>
        <family val="2"/>
      </rPr>
      <t xml:space="preserve">「初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日販売数 </t>
    </r>
    <r>
      <rPr>
        <sz val="9"/>
        <rFont val="Arial"/>
        <family val="0"/>
        <charset val="1"/>
      </rPr>
      <t xml:space="preserve">× </t>
    </r>
    <r>
      <rPr>
        <sz val="9"/>
        <rFont val="WenQuanYi Zen Hei"/>
        <family val="2"/>
      </rPr>
      <t xml:space="preserve">会期倍率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」で会期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日間の最終販売数を予測し、販売可能数と比較</t>
    </r>
  </si>
  <si>
    <r>
      <rPr>
        <sz val="9"/>
        <rFont val="WenQuanYi Zen Hei"/>
        <family val="2"/>
      </rPr>
      <t xml:space="preserve">会期倍率 </t>
    </r>
    <r>
      <rPr>
        <sz val="9"/>
        <rFont val="Arial"/>
        <family val="0"/>
        <charset val="1"/>
      </rPr>
      <t xml:space="preserve">g</t>
    </r>
  </si>
  <si>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＝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日累計販売数</t>
    </r>
    <r>
      <rPr>
        <sz val="9"/>
        <rFont val="Arial"/>
        <family val="0"/>
        <charset val="1"/>
      </rPr>
      <t xml:space="preserve">÷</t>
    </r>
    <r>
      <rPr>
        <sz val="9"/>
        <rFont val="WenQuanYi Zen Hei"/>
        <family val="2"/>
      </rPr>
      <t xml:space="preserve">初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日販売数。名古屋・博多それぞれの実績から算出し平均を採用</t>
    </r>
  </si>
  <si>
    <r>
      <rPr>
        <sz val="9"/>
        <rFont val="WenQuanYi Zen Hei"/>
        <family val="2"/>
      </rPr>
      <t xml:space="preserve">名古屋の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補正</t>
    </r>
  </si>
  <si>
    <r>
      <rPr>
        <sz val="9"/>
        <rFont val="WenQuanYi Zen Hei"/>
        <family val="2"/>
      </rPr>
      <t xml:space="preserve">名古屋は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日目までしかデータが無いため、</t>
    </r>
    <r>
      <rPr>
        <sz val="9"/>
        <rFont val="Arial"/>
        <family val="0"/>
        <charset val="1"/>
      </rPr>
      <t xml:space="preserve">15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日目分を博多の実績比率で補完</t>
    </r>
  </si>
  <si>
    <r>
      <rPr>
        <sz val="9"/>
        <rFont val="WenQuanYi Zen Hei"/>
        <family val="2"/>
      </rPr>
      <t xml:space="preserve">博多 </t>
    </r>
    <r>
      <rPr>
        <sz val="9"/>
        <rFont val="Arial"/>
        <family val="0"/>
        <charset val="1"/>
      </rPr>
      <t xml:space="preserve">15-20</t>
    </r>
    <r>
      <rPr>
        <sz val="9"/>
        <rFont val="WenQuanYi Zen Hei"/>
        <family val="2"/>
      </rPr>
      <t xml:space="preserve">日目補完率</t>
    </r>
  </si>
  <si>
    <r>
      <rPr>
        <sz val="9"/>
        <rFont val="WenQuanYi Zen Hei"/>
        <family val="2"/>
      </rPr>
      <t xml:space="preserve">全体倍率 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42</t>
    </r>
    <r>
      <rPr>
        <sz val="9"/>
        <rFont val="WenQuanYi Zen Hei"/>
        <family val="2"/>
      </rPr>
      <t xml:space="preserve">品計）</t>
    </r>
  </si>
  <si>
    <t xml:space="preserve">判定基準</t>
  </si>
  <si>
    <r>
      <rPr>
        <sz val="9"/>
        <rFont val="WenQuanYi Zen Hei"/>
        <family val="2"/>
      </rPr>
      <t xml:space="preserve">予測会期累計販売数 ＞ 販売可能数 → 「要 追加発注」／予測消化率</t>
    </r>
    <r>
      <rPr>
        <sz val="9"/>
        <rFont val="Arial"/>
        <family val="0"/>
        <charset val="1"/>
      </rPr>
      <t xml:space="preserve">90%</t>
    </r>
    <r>
      <rPr>
        <sz val="9"/>
        <rFont val="WenQuanYi Zen Hei"/>
        <family val="2"/>
      </rPr>
      <t xml:space="preserve">以上 → 「要注意」</t>
    </r>
  </si>
  <si>
    <t xml:space="preserve">推奨発注数</t>
  </si>
  <si>
    <r>
      <rPr>
        <sz val="9"/>
        <rFont val="WenQuanYi Zen Hei"/>
        <family val="2"/>
      </rPr>
      <t xml:space="preserve">不足数 </t>
    </r>
    <r>
      <rPr>
        <sz val="9"/>
        <rFont val="Arial"/>
        <family val="0"/>
        <charset val="1"/>
      </rPr>
      <t xml:space="preserve">× 1.1</t>
    </r>
    <r>
      <rPr>
        <sz val="9"/>
        <rFont val="WenQuanYi Zen Hei"/>
        <family val="2"/>
      </rPr>
      <t xml:space="preserve">（安全率</t>
    </r>
    <r>
      <rPr>
        <sz val="9"/>
        <rFont val="Arial"/>
        <family val="0"/>
        <charset val="1"/>
      </rPr>
      <t xml:space="preserve">10%</t>
    </r>
    <r>
      <rPr>
        <sz val="9"/>
        <rFont val="WenQuanYi Zen Hei"/>
        <family val="2"/>
      </rPr>
      <t xml:space="preserve">）を切り上げ</t>
    </r>
  </si>
  <si>
    <t xml:space="preserve">■ シート構成</t>
  </si>
  <si>
    <r>
      <rPr>
        <sz val="9"/>
        <rFont val="Arial"/>
        <family val="0"/>
        <charset val="1"/>
      </rPr>
      <t xml:space="preserve">①-1 </t>
    </r>
    <r>
      <rPr>
        <sz val="9"/>
        <rFont val="WenQuanYi Zen Hei"/>
        <family val="2"/>
      </rPr>
      <t xml:space="preserve">初日構成比</t>
    </r>
  </si>
  <si>
    <r>
      <rPr>
        <sz val="9"/>
        <rFont val="Arial"/>
        <family val="0"/>
        <charset val="1"/>
      </rPr>
      <t xml:space="preserve">7/22</t>
    </r>
    <r>
      <rPr>
        <sz val="9"/>
        <rFont val="WenQuanYi Zen Hei"/>
        <family val="2"/>
      </rPr>
      <t xml:space="preserve">（初日）のみの販売数と構成比率。名古屋①・博多②の初日と比較</t>
    </r>
  </si>
  <si>
    <r>
      <rPr>
        <sz val="9"/>
        <rFont val="Arial"/>
        <family val="0"/>
        <charset val="1"/>
      </rPr>
      <t xml:space="preserve">①-2 </t>
    </r>
    <r>
      <rPr>
        <sz val="9"/>
        <rFont val="WenQuanYi Zen Hei"/>
        <family val="2"/>
      </rPr>
      <t xml:space="preserve">初週構成比</t>
    </r>
  </si>
  <si>
    <r>
      <rPr>
        <sz val="9"/>
        <rFont val="Arial"/>
        <family val="0"/>
        <charset val="1"/>
      </rPr>
      <t xml:space="preserve">7/26</t>
    </r>
    <r>
      <rPr>
        <sz val="9"/>
        <rFont val="WenQuanYi Zen Hei"/>
        <family val="2"/>
      </rPr>
      <t xml:space="preserve">までの累計販売数と構成比率。名古屋①・博多②の初週（初日〜初週日曜）と比較</t>
    </r>
  </si>
  <si>
    <r>
      <rPr>
        <sz val="9"/>
        <rFont val="Arial"/>
        <family val="0"/>
        <charset val="1"/>
      </rPr>
      <t xml:space="preserve">①-3 </t>
    </r>
    <r>
      <rPr>
        <sz val="9"/>
        <rFont val="WenQuanYi Zen Hei"/>
        <family val="2"/>
      </rPr>
      <t xml:space="preserve">金額構成比</t>
    </r>
  </si>
  <si>
    <t xml:space="preserve">販売金額（税込）ベースの構成比率</t>
  </si>
  <si>
    <t xml:space="preserve">②札幌日別明細</t>
  </si>
  <si>
    <r>
      <rPr>
        <sz val="9"/>
        <rFont val="Arial"/>
        <family val="0"/>
        <charset val="1"/>
      </rPr>
      <t xml:space="preserve">7/22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7/26</t>
    </r>
    <r>
      <rPr>
        <sz val="9"/>
        <rFont val="WenQuanYi Zen Hei"/>
        <family val="2"/>
      </rPr>
      <t xml:space="preserve">の商品別 日次販売数と日別構成比</t>
    </r>
  </si>
  <si>
    <t xml:space="preserve">③追加発注判定</t>
  </si>
  <si>
    <r>
      <rPr>
        <sz val="9"/>
        <rFont val="WenQuanYi Zen Hei"/>
        <family val="2"/>
      </rPr>
      <t xml:space="preserve">会期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日間の需要予測と販売可能数の突合、追加発注要否・推奨数量</t>
    </r>
  </si>
  <si>
    <t xml:space="preserve">④全データ統合リスト</t>
  </si>
  <si>
    <r>
      <rPr>
        <sz val="9"/>
        <rFont val="WenQuanYi Zen Hei"/>
        <family val="2"/>
      </rPr>
      <t xml:space="preserve">上記すべての指標を商品別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行にまとめたマスターリスト</t>
    </r>
  </si>
  <si>
    <t xml:space="preserve">■ 留意事項</t>
  </si>
  <si>
    <t xml:space="preserve">比較会場の売切れ影響</t>
  </si>
  <si>
    <t xml:space="preserve">名古屋・博多で消化率が高い（≒売切れた）商品は、その会場の後半販売数が在庫制約で</t>
  </si>
  <si>
    <r>
      <rPr>
        <sz val="9"/>
        <rFont val="WenQuanYi Zen Hei"/>
        <family val="2"/>
      </rPr>
      <t xml:space="preserve">頭打ちになっているため、算出される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が過小＝札幌の需要予測も過小になる可能性がある。</t>
    </r>
  </si>
  <si>
    <t xml:space="preserve">③シートの「比較会場売切れ」列で該当商品を明示している。</t>
  </si>
  <si>
    <t xml:space="preserve">名古屋データの範囲</t>
  </si>
  <si>
    <r>
      <rPr>
        <sz val="9"/>
        <rFont val="WenQuanYi Zen Hei"/>
        <family val="2"/>
      </rPr>
      <t xml:space="preserve">名古屋は会期</t>
    </r>
    <r>
      <rPr>
        <sz val="9"/>
        <rFont val="Arial"/>
        <family val="0"/>
        <charset val="1"/>
      </rPr>
      <t xml:space="preserve">19</t>
    </r>
    <r>
      <rPr>
        <sz val="9"/>
        <rFont val="WenQuanYi Zen Hei"/>
        <family val="2"/>
      </rPr>
      <t xml:space="preserve">日に対し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日目までの日報のみ。全期間実績は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日累計として扱っている。</t>
    </r>
  </si>
  <si>
    <t xml:space="preserve">会場名の同定</t>
  </si>
  <si>
    <r>
      <rPr>
        <sz val="9"/>
        <rFont val="WenQuanYi Zen Hei"/>
        <family val="2"/>
      </rPr>
      <t xml:space="preserve">ご提供ファイルに会場名の記載が無いため、開催時期順に</t>
    </r>
    <r>
      <rPr>
        <sz val="9"/>
        <rFont val="Arial"/>
        <family val="0"/>
        <charset val="1"/>
      </rPr>
      <t xml:space="preserve">3/18</t>
    </r>
    <r>
      <rPr>
        <sz val="9"/>
        <rFont val="WenQuanYi Zen Hei"/>
        <family val="2"/>
      </rPr>
      <t xml:space="preserve">開催＝名古屋①、</t>
    </r>
  </si>
  <si>
    <r>
      <rPr>
        <sz val="9"/>
        <rFont val="Arial"/>
        <family val="0"/>
        <charset val="1"/>
      </rPr>
      <t xml:space="preserve">4/23</t>
    </r>
    <r>
      <rPr>
        <sz val="9"/>
        <rFont val="WenQuanYi Zen Hei"/>
        <family val="2"/>
      </rPr>
      <t xml:space="preserve">開催＝博多②として処理している。</t>
    </r>
  </si>
  <si>
    <t xml:space="preserve">① 初日のみ 商品別 販売構成比率（数量ベース）</t>
  </si>
  <si>
    <r>
      <rPr>
        <sz val="8"/>
        <color rgb="FF555555"/>
        <rFont val="WenQuanYi Zen Hei"/>
        <family val="2"/>
      </rPr>
      <t xml:space="preserve">札幌 </t>
    </r>
    <r>
      <rPr>
        <sz val="8"/>
        <color rgb="FF555555"/>
        <rFont val="Arial"/>
        <family val="0"/>
        <charset val="1"/>
      </rPr>
      <t xml:space="preserve">7/22(</t>
    </r>
    <r>
      <rPr>
        <sz val="8"/>
        <color rgb="FF555555"/>
        <rFont val="WenQuanYi Zen Hei"/>
        <family val="2"/>
      </rPr>
      <t xml:space="preserve">水</t>
    </r>
    <r>
      <rPr>
        <sz val="8"/>
        <color rgb="FF555555"/>
        <rFont val="Arial"/>
        <family val="0"/>
        <charset val="1"/>
      </rPr>
      <t xml:space="preserve">) </t>
    </r>
    <r>
      <rPr>
        <sz val="8"/>
        <color rgb="FF555555"/>
        <rFont val="WenQuanYi Zen Hei"/>
        <family val="2"/>
      </rPr>
      <t xml:space="preserve">｜ 名古屋① </t>
    </r>
    <r>
      <rPr>
        <sz val="8"/>
        <color rgb="FF555555"/>
        <rFont val="Arial"/>
        <family val="0"/>
        <charset val="1"/>
      </rPr>
      <t xml:space="preserve">3/18(</t>
    </r>
    <r>
      <rPr>
        <sz val="8"/>
        <color rgb="FF555555"/>
        <rFont val="WenQuanYi Zen Hei"/>
        <family val="2"/>
      </rPr>
      <t xml:space="preserve">水</t>
    </r>
    <r>
      <rPr>
        <sz val="8"/>
        <color rgb="FF555555"/>
        <rFont val="Arial"/>
        <family val="0"/>
        <charset val="1"/>
      </rPr>
      <t xml:space="preserve">) </t>
    </r>
    <r>
      <rPr>
        <sz val="8"/>
        <color rgb="FF555555"/>
        <rFont val="WenQuanYi Zen Hei"/>
        <family val="2"/>
      </rPr>
      <t xml:space="preserve">｜ 博多② </t>
    </r>
    <r>
      <rPr>
        <sz val="8"/>
        <color rgb="FF555555"/>
        <rFont val="Arial"/>
        <family val="0"/>
        <charset val="1"/>
      </rPr>
      <t xml:space="preserve">4/23(</t>
    </r>
    <r>
      <rPr>
        <sz val="8"/>
        <color rgb="FF555555"/>
        <rFont val="WenQuanYi Zen Hei"/>
        <family val="2"/>
      </rPr>
      <t xml:space="preserve">木</t>
    </r>
    <r>
      <rPr>
        <sz val="8"/>
        <color rgb="FF555555"/>
        <rFont val="Arial"/>
        <family val="0"/>
        <charset val="1"/>
      </rPr>
      <t xml:space="preserve">)</t>
    </r>
    <r>
      <rPr>
        <sz val="8"/>
        <color rgb="FF555555"/>
        <rFont val="WenQuanYi Zen Hei"/>
        <family val="2"/>
      </rPr>
      <t xml:space="preserve">　※各会場の会期初日</t>
    </r>
    <r>
      <rPr>
        <sz val="8"/>
        <color rgb="FF555555"/>
        <rFont val="Arial"/>
        <family val="0"/>
        <charset val="1"/>
      </rPr>
      <t xml:space="preserve">1</t>
    </r>
    <r>
      <rPr>
        <sz val="8"/>
        <color rgb="FF555555"/>
        <rFont val="WenQuanYi Zen Hei"/>
        <family val="2"/>
      </rPr>
      <t xml:space="preserve">日のみの販売日報データ</t>
    </r>
  </si>
  <si>
    <r>
      <rPr>
        <sz val="8"/>
        <color rgb="FF555555"/>
        <rFont val="WenQuanYi Zen Hei"/>
        <family val="2"/>
      </rPr>
      <t xml:space="preserve">構成比率＝当該商品の販売数 </t>
    </r>
    <r>
      <rPr>
        <sz val="8"/>
        <color rgb="FF555555"/>
        <rFont val="Arial"/>
        <family val="0"/>
        <charset val="1"/>
      </rPr>
      <t xml:space="preserve">÷ </t>
    </r>
    <r>
      <rPr>
        <sz val="8"/>
        <color rgb="FF555555"/>
        <rFont val="WenQuanYi Zen Hei"/>
        <family val="2"/>
      </rPr>
      <t xml:space="preserve">対象</t>
    </r>
    <r>
      <rPr>
        <sz val="8"/>
        <color rgb="FF555555"/>
        <rFont val="Arial"/>
        <family val="0"/>
        <charset val="1"/>
      </rPr>
      <t xml:space="preserve">42SKU</t>
    </r>
    <r>
      <rPr>
        <sz val="8"/>
        <color rgb="FF555555"/>
        <rFont val="WenQuanYi Zen Hei"/>
        <family val="2"/>
      </rPr>
      <t xml:space="preserve">合計販売数</t>
    </r>
  </si>
  <si>
    <t xml:space="preserve">No.</t>
  </si>
  <si>
    <t xml:space="preserve">JAN</t>
  </si>
  <si>
    <t xml:space="preserve">商品名</t>
  </si>
  <si>
    <t xml:space="preserve">税込
単価</t>
  </si>
  <si>
    <r>
      <rPr>
        <b val="true"/>
        <sz val="11"/>
        <color rgb="FFFFFFFF"/>
        <rFont val="WenQuanYi Zen Hei"/>
        <family val="2"/>
      </rPr>
      <t xml:space="preserve">札幌③ 初日 </t>
    </r>
    <r>
      <rPr>
        <b val="true"/>
        <sz val="11"/>
        <color rgb="FFFFFFFF"/>
        <rFont val="Arial"/>
        <family val="0"/>
        <charset val="1"/>
      </rPr>
      <t xml:space="preserve">7/22(</t>
    </r>
    <r>
      <rPr>
        <b val="true"/>
        <sz val="11"/>
        <color rgb="FFFFFFFF"/>
        <rFont val="WenQuanYi Zen Hei"/>
        <family val="2"/>
      </rPr>
      <t xml:space="preserve">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</si>
  <si>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名古屋① 初日 </t>
    </r>
    <r>
      <rPr>
        <b val="true"/>
        <sz val="11"/>
        <color rgb="FFFFFFFF"/>
        <rFont val="Arial"/>
        <family val="0"/>
        <charset val="1"/>
      </rPr>
      <t xml:space="preserve">3/18(</t>
    </r>
    <r>
      <rPr>
        <b val="true"/>
        <sz val="11"/>
        <color rgb="FFFFFFFF"/>
        <rFont val="WenQuanYi Zen Hei"/>
        <family val="2"/>
      </rPr>
      <t xml:space="preserve">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</si>
  <si>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博多② 初日 </t>
    </r>
    <r>
      <rPr>
        <b val="true"/>
        <sz val="11"/>
        <color rgb="FFFFFFFF"/>
        <rFont val="Arial"/>
        <family val="0"/>
        <charset val="1"/>
      </rPr>
      <t xml:space="preserve">4/23(</t>
    </r>
    <r>
      <rPr>
        <b val="true"/>
        <sz val="11"/>
        <color rgb="FFFFFFFF"/>
        <rFont val="WenQuanYi Zen Hei"/>
        <family val="2"/>
      </rPr>
      <t xml:space="preserve">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</si>
  <si>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構成比 差分（札幌 − 比較会場）</t>
  </si>
  <si>
    <t xml:space="preserve">販売数</t>
  </si>
  <si>
    <t xml:space="preserve">構成比率</t>
  </si>
  <si>
    <t xml:space="preserve">順位</t>
  </si>
  <si>
    <r>
      <rPr>
        <b val="true"/>
        <sz val="9"/>
        <color rgb="FFFFFFFF"/>
        <rFont val="Arial"/>
        <family val="0"/>
        <charset val="1"/>
      </rPr>
      <t xml:space="preserve">vs </t>
    </r>
    <r>
      <rPr>
        <b val="true"/>
        <sz val="9"/>
        <color rgb="FFFFFFFF"/>
        <rFont val="WenQuanYi Zen Hei"/>
        <family val="2"/>
      </rPr>
      <t xml:space="preserve">名古屋①</t>
    </r>
  </si>
  <si>
    <r>
      <rPr>
        <b val="true"/>
        <sz val="9"/>
        <color rgb="FFFFFFFF"/>
        <rFont val="Arial"/>
        <family val="0"/>
        <charset val="1"/>
      </rPr>
      <t xml:space="preserve">vs </t>
    </r>
    <r>
      <rPr>
        <b val="true"/>
        <sz val="9"/>
        <color rgb="FFFFFFFF"/>
        <rFont val="WenQuanYi Zen Hei"/>
        <family val="2"/>
      </rPr>
      <t xml:space="preserve">博多②</t>
    </r>
  </si>
  <si>
    <t xml:space="preserve">4515142545082</t>
  </si>
  <si>
    <t xml:space="preserve">呪術廻戦 メタリックポストカード 展示会キービジュアル</t>
  </si>
  <si>
    <t xml:space="preserve">4515142545099</t>
  </si>
  <si>
    <t xml:space="preserve">呪術廻戦 クリアファイル 展示会キービジュアル</t>
  </si>
  <si>
    <t xml:space="preserve">4515142545105</t>
  </si>
  <si>
    <r>
      <rPr>
        <sz val="9"/>
        <rFont val="WenQuanYi Zen Hei"/>
        <family val="2"/>
      </rPr>
      <t xml:space="preserve">呪術廻戦 懐玉・玉折 ポストカードセット（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枚入）</t>
    </r>
  </si>
  <si>
    <t xml:space="preserve">4515142545112</t>
  </si>
  <si>
    <r>
      <rPr>
        <sz val="9"/>
        <rFont val="WenQuanYi Zen Hei"/>
        <family val="2"/>
      </rPr>
      <t xml:space="preserve">呪術廻戦 渋谷事変 ポストカードセット（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枚入）</t>
    </r>
  </si>
  <si>
    <t xml:space="preserve">4515142545129</t>
  </si>
  <si>
    <r>
      <rPr>
        <sz val="9"/>
        <rFont val="WenQuanYi Zen Hei"/>
        <family val="2"/>
      </rPr>
      <t xml:space="preserve">呪術廻戦 懐玉・玉折 ブラインド缶バッジ（全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種）</t>
    </r>
  </si>
  <si>
    <t xml:space="preserve">4515142545136</t>
  </si>
  <si>
    <r>
      <rPr>
        <sz val="9"/>
        <rFont val="WenQuanYi Zen Hei"/>
        <family val="2"/>
      </rPr>
      <t xml:space="preserve">呪術廻戦 渋谷事変 ブラインド缶バッジ（全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種）</t>
    </r>
  </si>
  <si>
    <t xml:space="preserve">4515142545143</t>
  </si>
  <si>
    <r>
      <rPr>
        <sz val="9"/>
        <rFont val="WenQuanYi Zen Hei"/>
        <family val="2"/>
      </rPr>
      <t xml:space="preserve">呪術廻戦 懐玉・玉折 ブラインドダイカットステッカー（全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種）</t>
    </r>
  </si>
  <si>
    <t xml:space="preserve">4515142545150</t>
  </si>
  <si>
    <r>
      <rPr>
        <sz val="9"/>
        <rFont val="WenQuanYi Zen Hei"/>
        <family val="2"/>
      </rPr>
      <t xml:space="preserve">呪術廻戦 渋谷事変 ブラインドダイカットステッカー（全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種）</t>
    </r>
  </si>
  <si>
    <t xml:space="preserve">4515142545372</t>
  </si>
  <si>
    <t xml:space="preserve">呪術廻戦 懐玉・玉折 クリアファイル（五条 悟）</t>
  </si>
  <si>
    <t xml:space="preserve">4515142545389</t>
  </si>
  <si>
    <t xml:space="preserve">呪術廻戦 懐玉・玉折 クリアファイル（夏油 傑）</t>
  </si>
  <si>
    <t xml:space="preserve">4515142545396</t>
  </si>
  <si>
    <t xml:space="preserve">呪術廻戦 懐玉・玉折 クリアファイル（家入 硝子）</t>
  </si>
  <si>
    <t xml:space="preserve">4515142545402</t>
  </si>
  <si>
    <t xml:space="preserve">呪術廻戦 懐玉・玉折 クリアファイル（七海 建人）</t>
  </si>
  <si>
    <t xml:space="preserve">4515142545419</t>
  </si>
  <si>
    <t xml:space="preserve">呪術廻戦 懐玉・玉折 クリアファイル（灰原 雄）</t>
  </si>
  <si>
    <t xml:space="preserve">4515142545426</t>
  </si>
  <si>
    <t xml:space="preserve">呪術廻戦 渋谷事変 クリアファイル（虎杖 悠仁）</t>
  </si>
  <si>
    <t xml:space="preserve">4515142545433</t>
  </si>
  <si>
    <t xml:space="preserve">呪術廻戦 渋谷事変 クリアファイル（伏黒 恵）</t>
  </si>
  <si>
    <t xml:space="preserve">4515142545440</t>
  </si>
  <si>
    <t xml:space="preserve">呪術廻戦 渋谷事変 クリアファイル（釘崎 野薔薇）</t>
  </si>
  <si>
    <t xml:space="preserve">4515142545457</t>
  </si>
  <si>
    <t xml:space="preserve">呪術廻戦 渋谷事変 クリアファイル（七海 建人）</t>
  </si>
  <si>
    <t xml:space="preserve">4515142545464</t>
  </si>
  <si>
    <t xml:space="preserve">呪術廻戦 渋谷事変 クリアファイル（五条 悟）</t>
  </si>
  <si>
    <t xml:space="preserve">4515142545471</t>
  </si>
  <si>
    <t xml:space="preserve">呪術廻戦 渋谷事変 クリアファイル（夏油 傑）</t>
  </si>
  <si>
    <t xml:space="preserve">4515142545488</t>
  </si>
  <si>
    <t xml:space="preserve">呪術廻戦 渋谷事変 クリアファイル（真人）</t>
  </si>
  <si>
    <t xml:space="preserve">4515142545495</t>
  </si>
  <si>
    <t xml:space="preserve">呪術廻戦 渋谷事変 クリアファイル（脹相）</t>
  </si>
  <si>
    <t xml:space="preserve">4515142545501</t>
  </si>
  <si>
    <t xml:space="preserve">呪術廻戦 渋谷事変 クリアファイル（宿儺）</t>
  </si>
  <si>
    <t xml:space="preserve">4515142545174</t>
  </si>
  <si>
    <r>
      <rPr>
        <sz val="9"/>
        <rFont val="WenQuanYi Zen Hei"/>
        <family val="2"/>
      </rPr>
      <t xml:space="preserve">呪術廻戦 懐玉・玉折 ブラインドミニ色紙（全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種）</t>
    </r>
  </si>
  <si>
    <t xml:space="preserve">4515142545181</t>
  </si>
  <si>
    <r>
      <rPr>
        <sz val="9"/>
        <rFont val="WenQuanYi Zen Hei"/>
        <family val="2"/>
      </rPr>
      <t xml:space="preserve">呪術廻戦 渋谷事変 ブラインドミニ色紙（全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種）</t>
    </r>
  </si>
  <si>
    <t xml:space="preserve">4515142545198</t>
  </si>
  <si>
    <t xml:space="preserve">虚式『茈』バスボール</t>
  </si>
  <si>
    <t xml:space="preserve">4515142545204</t>
  </si>
  <si>
    <t xml:space="preserve">前髪ヘアバンド</t>
  </si>
  <si>
    <t xml:space="preserve">4515142545211</t>
  </si>
  <si>
    <t xml:space="preserve">反転術式絆創膏</t>
  </si>
  <si>
    <t xml:space="preserve">4515142545228</t>
  </si>
  <si>
    <t xml:space="preserve">宿儺の指風お菓子</t>
  </si>
  <si>
    <t xml:space="preserve">4515142545235</t>
  </si>
  <si>
    <t xml:space="preserve">脱兎！ポーチ入りクリップセット</t>
  </si>
  <si>
    <t xml:space="preserve">4515142545242</t>
  </si>
  <si>
    <t xml:space="preserve">釘崎のポーチ風エコバッグ</t>
  </si>
  <si>
    <t xml:space="preserve">4515142545259</t>
  </si>
  <si>
    <t xml:space="preserve">半年分の情報が書き込める手帳</t>
  </si>
  <si>
    <t xml:space="preserve">4515142545266</t>
  </si>
  <si>
    <t xml:space="preserve">気分リフレッシュオルゴール</t>
  </si>
  <si>
    <t xml:space="preserve">4515142545273</t>
  </si>
  <si>
    <r>
      <rPr>
        <sz val="9"/>
        <rFont val="WenQuanYi Zen Hei"/>
        <family val="2"/>
      </rPr>
      <t xml:space="preserve">五条 悟 イメージリング（</t>
    </r>
    <r>
      <rPr>
        <sz val="9"/>
        <rFont val="Arial"/>
        <family val="0"/>
        <charset val="1"/>
      </rPr>
      <t xml:space="preserve">#11</t>
    </r>
    <r>
      <rPr>
        <sz val="9"/>
        <rFont val="WenQuanYi Zen Hei"/>
        <family val="2"/>
      </rPr>
      <t xml:space="preserve">）</t>
    </r>
  </si>
  <si>
    <t xml:space="preserve">4515142545280</t>
  </si>
  <si>
    <r>
      <rPr>
        <sz val="9"/>
        <rFont val="WenQuanYi Zen Hei"/>
        <family val="2"/>
      </rPr>
      <t xml:space="preserve">五条 悟 イメージリング（</t>
    </r>
    <r>
      <rPr>
        <sz val="9"/>
        <rFont val="Arial"/>
        <family val="0"/>
        <charset val="1"/>
      </rPr>
      <t xml:space="preserve">#13</t>
    </r>
    <r>
      <rPr>
        <sz val="9"/>
        <rFont val="WenQuanYi Zen Hei"/>
        <family val="2"/>
      </rPr>
      <t xml:space="preserve">）</t>
    </r>
  </si>
  <si>
    <t xml:space="preserve">4515142545297</t>
  </si>
  <si>
    <r>
      <rPr>
        <sz val="9"/>
        <rFont val="WenQuanYi Zen Hei"/>
        <family val="2"/>
      </rPr>
      <t xml:space="preserve">五条 悟 イメージリング（</t>
    </r>
    <r>
      <rPr>
        <sz val="9"/>
        <rFont val="Arial"/>
        <family val="0"/>
        <charset val="1"/>
      </rPr>
      <t xml:space="preserve">#15</t>
    </r>
    <r>
      <rPr>
        <sz val="9"/>
        <rFont val="WenQuanYi Zen Hei"/>
        <family val="2"/>
      </rPr>
      <t xml:space="preserve">）</t>
    </r>
  </si>
  <si>
    <t xml:space="preserve">4515142545303</t>
  </si>
  <si>
    <r>
      <rPr>
        <sz val="9"/>
        <rFont val="WenQuanYi Zen Hei"/>
        <family val="2"/>
      </rPr>
      <t xml:space="preserve">五条 悟 イメージリング（</t>
    </r>
    <r>
      <rPr>
        <sz val="9"/>
        <rFont val="Arial"/>
        <family val="0"/>
        <charset val="1"/>
      </rPr>
      <t xml:space="preserve">#17</t>
    </r>
    <r>
      <rPr>
        <sz val="9"/>
        <rFont val="WenQuanYi Zen Hei"/>
        <family val="2"/>
      </rPr>
      <t xml:space="preserve">）</t>
    </r>
  </si>
  <si>
    <t xml:space="preserve">4515142545310</t>
  </si>
  <si>
    <r>
      <rPr>
        <sz val="9"/>
        <rFont val="WenQuanYi Zen Hei"/>
        <family val="2"/>
      </rPr>
      <t xml:space="preserve">夏油 傑 イメージリング（</t>
    </r>
    <r>
      <rPr>
        <sz val="9"/>
        <rFont val="Arial"/>
        <family val="0"/>
        <charset val="1"/>
      </rPr>
      <t xml:space="preserve">#11</t>
    </r>
    <r>
      <rPr>
        <sz val="9"/>
        <rFont val="WenQuanYi Zen Hei"/>
        <family val="2"/>
      </rPr>
      <t xml:space="preserve">）</t>
    </r>
  </si>
  <si>
    <t xml:space="preserve">4515142545327</t>
  </si>
  <si>
    <r>
      <rPr>
        <sz val="9"/>
        <rFont val="WenQuanYi Zen Hei"/>
        <family val="2"/>
      </rPr>
      <t xml:space="preserve">夏油 傑 イメージリング（</t>
    </r>
    <r>
      <rPr>
        <sz val="9"/>
        <rFont val="Arial"/>
        <family val="0"/>
        <charset val="1"/>
      </rPr>
      <t xml:space="preserve">#13</t>
    </r>
    <r>
      <rPr>
        <sz val="9"/>
        <rFont val="WenQuanYi Zen Hei"/>
        <family val="2"/>
      </rPr>
      <t xml:space="preserve">）</t>
    </r>
  </si>
  <si>
    <t xml:space="preserve">4515142545334</t>
  </si>
  <si>
    <r>
      <rPr>
        <sz val="9"/>
        <rFont val="WenQuanYi Zen Hei"/>
        <family val="2"/>
      </rPr>
      <t xml:space="preserve">夏油 傑 イメージリング（</t>
    </r>
    <r>
      <rPr>
        <sz val="9"/>
        <rFont val="Arial"/>
        <family val="0"/>
        <charset val="1"/>
      </rPr>
      <t xml:space="preserve">#15</t>
    </r>
    <r>
      <rPr>
        <sz val="9"/>
        <rFont val="WenQuanYi Zen Hei"/>
        <family val="2"/>
      </rPr>
      <t xml:space="preserve">）</t>
    </r>
  </si>
  <si>
    <t xml:space="preserve">4515142545341</t>
  </si>
  <si>
    <r>
      <rPr>
        <sz val="9"/>
        <rFont val="WenQuanYi Zen Hei"/>
        <family val="2"/>
      </rPr>
      <t xml:space="preserve">夏油 傑 イメージリング（</t>
    </r>
    <r>
      <rPr>
        <sz val="9"/>
        <rFont val="Arial"/>
        <family val="0"/>
        <charset val="1"/>
      </rPr>
      <t xml:space="preserve">#17</t>
    </r>
    <r>
      <rPr>
        <sz val="9"/>
        <rFont val="WenQuanYi Zen Hei"/>
        <family val="2"/>
      </rPr>
      <t xml:space="preserve">）</t>
    </r>
  </si>
  <si>
    <t xml:space="preserve">4515142545358</t>
  </si>
  <si>
    <t xml:space="preserve">虎杖 悠仁 イメージフラグメントケース</t>
  </si>
  <si>
    <t xml:space="preserve">4515142545365</t>
  </si>
  <si>
    <t xml:space="preserve">伏黒 恵 イメージフラグメントケース</t>
  </si>
  <si>
    <r>
      <rPr>
        <b val="true"/>
        <sz val="9"/>
        <rFont val="WenQuanYi Zen Hei"/>
        <family val="2"/>
      </rPr>
      <t xml:space="preserve">合計（対象</t>
    </r>
    <r>
      <rPr>
        <b val="true"/>
        <sz val="9"/>
        <rFont val="Arial"/>
        <family val="0"/>
        <charset val="1"/>
      </rPr>
      <t xml:space="preserve">42SKU</t>
    </r>
    <r>
      <rPr>
        <b val="true"/>
        <sz val="9"/>
        <rFont val="WenQuanYi Zen Hei"/>
        <family val="2"/>
      </rPr>
      <t xml:space="preserve">）</t>
    </r>
  </si>
  <si>
    <t xml:space="preserve">① 初日〜初週日曜まで累計 商品別 販売構成比率（数量ベース）</t>
  </si>
  <si>
    <r>
      <rPr>
        <sz val="8"/>
        <color rgb="FF555555"/>
        <rFont val="WenQuanYi Zen Hei"/>
        <family val="2"/>
      </rPr>
      <t xml:space="preserve">札幌 </t>
    </r>
    <r>
      <rPr>
        <sz val="8"/>
        <color rgb="FF555555"/>
        <rFont val="Arial"/>
        <family val="0"/>
        <charset val="1"/>
      </rPr>
      <t xml:space="preserve">7/22-7/26(5</t>
    </r>
    <r>
      <rPr>
        <sz val="8"/>
        <color rgb="FF555555"/>
        <rFont val="WenQuanYi Zen Hei"/>
        <family val="2"/>
      </rPr>
      <t xml:space="preserve">日</t>
    </r>
    <r>
      <rPr>
        <sz val="8"/>
        <color rgb="FF555555"/>
        <rFont val="Arial"/>
        <family val="0"/>
        <charset val="1"/>
      </rPr>
      <t xml:space="preserve">) </t>
    </r>
    <r>
      <rPr>
        <sz val="8"/>
        <color rgb="FF555555"/>
        <rFont val="WenQuanYi Zen Hei"/>
        <family val="2"/>
      </rPr>
      <t xml:space="preserve">｜ 名古屋① </t>
    </r>
    <r>
      <rPr>
        <sz val="8"/>
        <color rgb="FF555555"/>
        <rFont val="Arial"/>
        <family val="0"/>
        <charset val="1"/>
      </rPr>
      <t xml:space="preserve">3/18-3/22(5</t>
    </r>
    <r>
      <rPr>
        <sz val="8"/>
        <color rgb="FF555555"/>
        <rFont val="WenQuanYi Zen Hei"/>
        <family val="2"/>
      </rPr>
      <t xml:space="preserve">日</t>
    </r>
    <r>
      <rPr>
        <sz val="8"/>
        <color rgb="FF555555"/>
        <rFont val="Arial"/>
        <family val="0"/>
        <charset val="1"/>
      </rPr>
      <t xml:space="preserve">) </t>
    </r>
    <r>
      <rPr>
        <sz val="8"/>
        <color rgb="FF555555"/>
        <rFont val="WenQuanYi Zen Hei"/>
        <family val="2"/>
      </rPr>
      <t xml:space="preserve">｜ 博多② </t>
    </r>
    <r>
      <rPr>
        <sz val="8"/>
        <color rgb="FF555555"/>
        <rFont val="Arial"/>
        <family val="0"/>
        <charset val="1"/>
      </rPr>
      <t xml:space="preserve">4/23-4/26(4</t>
    </r>
    <r>
      <rPr>
        <sz val="8"/>
        <color rgb="FF555555"/>
        <rFont val="WenQuanYi Zen Hei"/>
        <family val="2"/>
      </rPr>
      <t xml:space="preserve">日</t>
    </r>
    <r>
      <rPr>
        <sz val="8"/>
        <color rgb="FF555555"/>
        <rFont val="Arial"/>
        <family val="0"/>
        <charset val="1"/>
      </rPr>
      <t xml:space="preserve">)</t>
    </r>
    <r>
      <rPr>
        <sz val="8"/>
        <color rgb="FF555555"/>
        <rFont val="WenQuanYi Zen Hei"/>
        <family val="2"/>
      </rPr>
      <t xml:space="preserve">　※各会場「初日〜初週の日曜日」までの累計</t>
    </r>
  </si>
  <si>
    <r>
      <rPr>
        <b val="true"/>
        <sz val="11"/>
        <color rgb="FFFFFFFF"/>
        <rFont val="WenQuanYi Zen Hei"/>
        <family val="2"/>
      </rPr>
      <t xml:space="preserve">札幌③ </t>
    </r>
    <r>
      <rPr>
        <b val="true"/>
        <sz val="11"/>
        <color rgb="FFFFFFFF"/>
        <rFont val="Arial"/>
        <family val="0"/>
        <charset val="1"/>
      </rPr>
      <t xml:space="preserve">7/22-7/26 (5</t>
    </r>
    <r>
      <rPr>
        <b val="true"/>
        <sz val="11"/>
        <color rgb="FFFFFFFF"/>
        <rFont val="WenQuanYi Zen Hei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</si>
  <si>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名古屋① </t>
    </r>
    <r>
      <rPr>
        <b val="true"/>
        <sz val="11"/>
        <color rgb="FFFFFFFF"/>
        <rFont val="Arial"/>
        <family val="0"/>
        <charset val="1"/>
      </rPr>
      <t xml:space="preserve">3/18-3/22 (5</t>
    </r>
    <r>
      <rPr>
        <b val="true"/>
        <sz val="11"/>
        <color rgb="FFFFFFFF"/>
        <rFont val="WenQuanYi Zen Hei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</si>
  <si>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博多② </t>
    </r>
    <r>
      <rPr>
        <b val="true"/>
        <sz val="11"/>
        <color rgb="FFFFFFFF"/>
        <rFont val="Arial"/>
        <family val="0"/>
        <charset val="1"/>
      </rPr>
      <t xml:space="preserve">4/23-4/26 (4</t>
    </r>
    <r>
      <rPr>
        <b val="true"/>
        <sz val="11"/>
        <color rgb="FFFFFFFF"/>
        <rFont val="WenQuanYi Zen Hei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</si>
  <si>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① 初週累計 商品別 販売金額構成比率（税込金額ベース）</t>
  </si>
  <si>
    <r>
      <rPr>
        <sz val="8"/>
        <color rgb="FF555555"/>
        <rFont val="WenQuanYi Zen Hei"/>
        <family val="2"/>
      </rPr>
      <t xml:space="preserve">札幌 </t>
    </r>
    <r>
      <rPr>
        <sz val="8"/>
        <color rgb="FF555555"/>
        <rFont val="Arial"/>
        <family val="0"/>
        <charset val="1"/>
      </rPr>
      <t xml:space="preserve">7/22-7/26(5</t>
    </r>
    <r>
      <rPr>
        <sz val="8"/>
        <color rgb="FF555555"/>
        <rFont val="WenQuanYi Zen Hei"/>
        <family val="2"/>
      </rPr>
      <t xml:space="preserve">日</t>
    </r>
    <r>
      <rPr>
        <sz val="8"/>
        <color rgb="FF555555"/>
        <rFont val="Arial"/>
        <family val="0"/>
        <charset val="1"/>
      </rPr>
      <t xml:space="preserve">) </t>
    </r>
    <r>
      <rPr>
        <sz val="8"/>
        <color rgb="FF555555"/>
        <rFont val="WenQuanYi Zen Hei"/>
        <family val="2"/>
      </rPr>
      <t xml:space="preserve">｜ 名古屋① </t>
    </r>
    <r>
      <rPr>
        <sz val="8"/>
        <color rgb="FF555555"/>
        <rFont val="Arial"/>
        <family val="0"/>
        <charset val="1"/>
      </rPr>
      <t xml:space="preserve">3/18-3/22(5</t>
    </r>
    <r>
      <rPr>
        <sz val="8"/>
        <color rgb="FF555555"/>
        <rFont val="WenQuanYi Zen Hei"/>
        <family val="2"/>
      </rPr>
      <t xml:space="preserve">日</t>
    </r>
    <r>
      <rPr>
        <sz val="8"/>
        <color rgb="FF555555"/>
        <rFont val="Arial"/>
        <family val="0"/>
        <charset val="1"/>
      </rPr>
      <t xml:space="preserve">) </t>
    </r>
    <r>
      <rPr>
        <sz val="8"/>
        <color rgb="FF555555"/>
        <rFont val="WenQuanYi Zen Hei"/>
        <family val="2"/>
      </rPr>
      <t xml:space="preserve">｜ 博多② </t>
    </r>
    <r>
      <rPr>
        <sz val="8"/>
        <color rgb="FF555555"/>
        <rFont val="Arial"/>
        <family val="0"/>
        <charset val="1"/>
      </rPr>
      <t xml:space="preserve">4/23-4/26(4</t>
    </r>
    <r>
      <rPr>
        <sz val="8"/>
        <color rgb="FF555555"/>
        <rFont val="WenQuanYi Zen Hei"/>
        <family val="2"/>
      </rPr>
      <t xml:space="preserve">日</t>
    </r>
    <r>
      <rPr>
        <sz val="8"/>
        <color rgb="FF555555"/>
        <rFont val="Arial"/>
        <family val="0"/>
        <charset val="1"/>
      </rPr>
      <t xml:space="preserve">)</t>
    </r>
    <r>
      <rPr>
        <sz val="8"/>
        <color rgb="FF555555"/>
        <rFont val="WenQuanYi Zen Hei"/>
        <family val="2"/>
      </rPr>
      <t xml:space="preserve">　※販売数</t>
    </r>
    <r>
      <rPr>
        <sz val="8"/>
        <color rgb="FF555555"/>
        <rFont val="Arial"/>
        <family val="0"/>
        <charset val="1"/>
      </rPr>
      <t xml:space="preserve">×</t>
    </r>
    <r>
      <rPr>
        <sz val="8"/>
        <color rgb="FF555555"/>
        <rFont val="WenQuanYi Zen Hei"/>
        <family val="2"/>
      </rPr>
      <t xml:space="preserve">税込単価で算出</t>
    </r>
  </si>
  <si>
    <r>
      <rPr>
        <sz val="8"/>
        <color rgb="FF555555"/>
        <rFont val="WenQuanYi Zen Hei"/>
        <family val="2"/>
      </rPr>
      <t xml:space="preserve">構成比率＝当該商品の販売金額 </t>
    </r>
    <r>
      <rPr>
        <sz val="8"/>
        <color rgb="FF555555"/>
        <rFont val="Arial"/>
        <family val="0"/>
        <charset val="1"/>
      </rPr>
      <t xml:space="preserve">÷ </t>
    </r>
    <r>
      <rPr>
        <sz val="8"/>
        <color rgb="FF555555"/>
        <rFont val="WenQuanYi Zen Hei"/>
        <family val="2"/>
      </rPr>
      <t xml:space="preserve">対象</t>
    </r>
    <r>
      <rPr>
        <sz val="8"/>
        <color rgb="FF555555"/>
        <rFont val="Arial"/>
        <family val="0"/>
        <charset val="1"/>
      </rPr>
      <t xml:space="preserve">42SKU</t>
    </r>
    <r>
      <rPr>
        <sz val="8"/>
        <color rgb="FF555555"/>
        <rFont val="WenQuanYi Zen Hei"/>
        <family val="2"/>
      </rPr>
      <t xml:space="preserve">合計販売金額</t>
    </r>
  </si>
  <si>
    <t xml:space="preserve">販売金額</t>
  </si>
  <si>
    <r>
      <rPr>
        <b val="true"/>
        <sz val="13"/>
        <color rgb="FF1F3864"/>
        <rFont val="WenQuanYi Zen Hei"/>
        <family val="2"/>
      </rPr>
      <t xml:space="preserve">② 札幌会場 商品別 日別販売実績（</t>
    </r>
    <r>
      <rPr>
        <b val="true"/>
        <sz val="13"/>
        <color rgb="FF1F3864"/>
        <rFont val="Arial"/>
        <family val="0"/>
        <charset val="1"/>
      </rPr>
      <t xml:space="preserve">7/22</t>
    </r>
    <r>
      <rPr>
        <b val="true"/>
        <sz val="13"/>
        <color rgb="FF1F3864"/>
        <rFont val="WenQuanYi Zen Hei"/>
        <family val="2"/>
      </rPr>
      <t xml:space="preserve">〜</t>
    </r>
    <r>
      <rPr>
        <b val="true"/>
        <sz val="13"/>
        <color rgb="FF1F3864"/>
        <rFont val="Arial"/>
        <family val="0"/>
        <charset val="1"/>
      </rPr>
      <t xml:space="preserve">7/26</t>
    </r>
    <r>
      <rPr>
        <b val="true"/>
        <sz val="13"/>
        <color rgb="FF1F3864"/>
        <rFont val="WenQuanYi Zen Hei"/>
        <family val="2"/>
      </rPr>
      <t xml:space="preserve">）</t>
    </r>
  </si>
  <si>
    <r>
      <rPr>
        <sz val="8"/>
        <color rgb="FF555555"/>
        <rFont val="WenQuanYi Zen Hei"/>
        <family val="2"/>
      </rPr>
      <t xml:space="preserve">各日の構成比率＝当該商品のその日の販売数 </t>
    </r>
    <r>
      <rPr>
        <sz val="8"/>
        <color rgb="FF555555"/>
        <rFont val="Arial"/>
        <family val="0"/>
        <charset val="1"/>
      </rPr>
      <t xml:space="preserve">÷ </t>
    </r>
    <r>
      <rPr>
        <sz val="8"/>
        <color rgb="FF555555"/>
        <rFont val="WenQuanYi Zen Hei"/>
        <family val="2"/>
      </rPr>
      <t xml:space="preserve">対象</t>
    </r>
    <r>
      <rPr>
        <sz val="8"/>
        <color rgb="FF555555"/>
        <rFont val="Arial"/>
        <family val="0"/>
        <charset val="1"/>
      </rPr>
      <t xml:space="preserve">42SKU</t>
    </r>
    <r>
      <rPr>
        <sz val="8"/>
        <color rgb="FF555555"/>
        <rFont val="WenQuanYi Zen Hei"/>
        <family val="2"/>
      </rPr>
      <t xml:space="preserve">のその日の合計販売数</t>
    </r>
  </si>
  <si>
    <t xml:space="preserve">日別 販売数</t>
  </si>
  <si>
    <t xml:space="preserve">日別 構成比率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</si>
  <si>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日累計</t>
    </r>
  </si>
  <si>
    <r>
      <rPr>
        <b val="true"/>
        <sz val="9"/>
        <color rgb="FFFFFFFF"/>
        <rFont val="Arial"/>
        <family val="0"/>
        <charset val="1"/>
      </rPr>
      <t xml:space="preserve">7/22(</t>
    </r>
    <r>
      <rPr>
        <b val="true"/>
        <sz val="9"/>
        <color rgb="FFFFFFFF"/>
        <rFont val="WenQuanYi Zen Hei"/>
        <family val="2"/>
      </rPr>
      <t xml:space="preserve">水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</si>
  <si>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7/23(</t>
    </r>
    <r>
      <rPr>
        <b val="true"/>
        <sz val="9"/>
        <color rgb="FFFFFFFF"/>
        <rFont val="WenQuanYi Zen Hei"/>
        <family val="2"/>
      </rPr>
      <t xml:space="preserve">木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</si>
  <si>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7/24(</t>
    </r>
    <r>
      <rPr>
        <b val="true"/>
        <sz val="9"/>
        <color rgb="FFFFFFFF"/>
        <rFont val="WenQuanYi Zen Hei"/>
        <family val="2"/>
      </rPr>
      <t xml:space="preserve">金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</si>
  <si>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7/25(</t>
    </r>
    <r>
      <rPr>
        <b val="true"/>
        <sz val="9"/>
        <color rgb="FFFFFFFF"/>
        <rFont val="WenQuanYi Zen Hei"/>
        <family val="2"/>
      </rPr>
      <t xml:space="preserve">土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</si>
  <si>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7/26(</t>
    </r>
    <r>
      <rPr>
        <b val="true"/>
        <sz val="9"/>
        <color rgb="FFFFFFFF"/>
        <rFont val="WenQuanYi Zen Hei"/>
        <family val="2"/>
      </rPr>
      <t xml:space="preserve">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</si>
  <si>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販売金額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税込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</si>
  <si>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13"/>
        <color rgb="FF1F3864"/>
        <rFont val="WenQuanYi Zen Hei"/>
        <family val="2"/>
      </rPr>
      <t xml:space="preserve">③ 追加発注 必要有無の判定（札幌会場 会期</t>
    </r>
    <r>
      <rPr>
        <b val="true"/>
        <sz val="13"/>
        <color rgb="FF1F3864"/>
        <rFont val="Arial"/>
        <family val="0"/>
        <charset val="1"/>
      </rPr>
      <t xml:space="preserve">20</t>
    </r>
    <r>
      <rPr>
        <b val="true"/>
        <sz val="13"/>
        <color rgb="FF1F3864"/>
        <rFont val="WenQuanYi Zen Hei"/>
        <family val="2"/>
      </rPr>
      <t xml:space="preserve">日間 需要予測）</t>
    </r>
  </si>
  <si>
    <r>
      <rPr>
        <b val="true"/>
        <sz val="9"/>
        <rFont val="WenQuanYi Zen Hei"/>
        <family val="2"/>
      </rPr>
      <t xml:space="preserve">博多 </t>
    </r>
    <r>
      <rPr>
        <b val="true"/>
        <sz val="9"/>
        <rFont val="Arial"/>
        <family val="0"/>
        <charset val="1"/>
      </rPr>
      <t xml:space="preserve">15-20</t>
    </r>
    <r>
      <rPr>
        <b val="true"/>
        <sz val="9"/>
        <rFont val="WenQuanYi Zen Hei"/>
        <family val="2"/>
      </rPr>
      <t xml:space="preserve">日目補完率</t>
    </r>
  </si>
  <si>
    <r>
      <rPr>
        <sz val="8"/>
        <color rgb="FF555555"/>
        <rFont val="Arial"/>
        <family val="0"/>
        <charset val="1"/>
      </rPr>
      <t xml:space="preserve">7/26(5</t>
    </r>
    <r>
      <rPr>
        <sz val="8"/>
        <color rgb="FF555555"/>
        <rFont val="WenQuanYi Zen Hei"/>
        <family val="2"/>
      </rPr>
      <t xml:space="preserve">日目</t>
    </r>
    <r>
      <rPr>
        <sz val="8"/>
        <color rgb="FF555555"/>
        <rFont val="Arial"/>
        <family val="0"/>
        <charset val="1"/>
      </rPr>
      <t xml:space="preserve">)</t>
    </r>
    <r>
      <rPr>
        <sz val="8"/>
        <color rgb="FF555555"/>
        <rFont val="WenQuanYi Zen Hei"/>
        <family val="2"/>
      </rPr>
      <t xml:space="preserve">実績 </t>
    </r>
    <r>
      <rPr>
        <sz val="8"/>
        <color rgb="FF555555"/>
        <rFont val="Arial"/>
        <family val="0"/>
        <charset val="1"/>
      </rPr>
      <t xml:space="preserve">× </t>
    </r>
    <r>
      <rPr>
        <sz val="8"/>
        <color rgb="FF555555"/>
        <rFont val="WenQuanYi Zen Hei"/>
        <family val="2"/>
      </rPr>
      <t xml:space="preserve">会期倍率</t>
    </r>
    <r>
      <rPr>
        <sz val="8"/>
        <color rgb="FF555555"/>
        <rFont val="Arial"/>
        <family val="0"/>
        <charset val="1"/>
      </rPr>
      <t xml:space="preserve">g </t>
    </r>
    <r>
      <rPr>
        <sz val="8"/>
        <color rgb="FF555555"/>
        <rFont val="WenQuanYi Zen Hei"/>
        <family val="2"/>
      </rPr>
      <t xml:space="preserve">で </t>
    </r>
    <r>
      <rPr>
        <sz val="8"/>
        <color rgb="FF555555"/>
        <rFont val="Arial"/>
        <family val="0"/>
        <charset val="1"/>
      </rPr>
      <t xml:space="preserve">8/10(20</t>
    </r>
    <r>
      <rPr>
        <sz val="8"/>
        <color rgb="FF555555"/>
        <rFont val="WenQuanYi Zen Hei"/>
        <family val="2"/>
      </rPr>
      <t xml:space="preserve">日目</t>
    </r>
    <r>
      <rPr>
        <sz val="8"/>
        <color rgb="FF555555"/>
        <rFont val="Arial"/>
        <family val="0"/>
        <charset val="1"/>
      </rPr>
      <t xml:space="preserve">)</t>
    </r>
    <r>
      <rPr>
        <sz val="8"/>
        <color rgb="FF555555"/>
        <rFont val="WenQuanYi Zen Hei"/>
        <family val="2"/>
      </rPr>
      <t xml:space="preserve">までの最終販売数を予測し、販売可能数と突合</t>
    </r>
  </si>
  <si>
    <r>
      <rPr>
        <b val="true"/>
        <sz val="9"/>
        <rFont val="WenQuanYi Zen Hei"/>
        <family val="2"/>
      </rPr>
      <t xml:space="preserve">全体倍率 </t>
    </r>
    <r>
      <rPr>
        <b val="true"/>
        <sz val="9"/>
        <rFont val="Arial"/>
        <family val="0"/>
        <charset val="1"/>
      </rPr>
      <t xml:space="preserve">g</t>
    </r>
    <r>
      <rPr>
        <b val="true"/>
        <sz val="9"/>
        <rFont val="WenQuanYi Zen Hei"/>
        <family val="2"/>
      </rPr>
      <t xml:space="preserve">（</t>
    </r>
    <r>
      <rPr>
        <b val="true"/>
        <sz val="9"/>
        <rFont val="Arial"/>
        <family val="0"/>
        <charset val="1"/>
      </rPr>
      <t xml:space="preserve">42</t>
    </r>
    <r>
      <rPr>
        <b val="true"/>
        <sz val="9"/>
        <rFont val="WenQuanYi Zen Hei"/>
        <family val="2"/>
      </rPr>
      <t xml:space="preserve">品計）</t>
    </r>
  </si>
  <si>
    <r>
      <rPr>
        <sz val="8"/>
        <color rgb="FF555555"/>
        <rFont val="WenQuanYi Zen Hei"/>
        <family val="2"/>
      </rPr>
      <t xml:space="preserve">会期倍率 </t>
    </r>
    <r>
      <rPr>
        <sz val="8"/>
        <color rgb="FF555555"/>
        <rFont val="Arial"/>
        <family val="0"/>
        <charset val="1"/>
      </rPr>
      <t xml:space="preserve">g </t>
    </r>
    <r>
      <rPr>
        <sz val="8"/>
        <color rgb="FF555555"/>
        <rFont val="WenQuanYi Zen Hei"/>
        <family val="2"/>
      </rPr>
      <t xml:space="preserve">＝ </t>
    </r>
    <r>
      <rPr>
        <sz val="8"/>
        <color rgb="FF555555"/>
        <rFont val="Arial"/>
        <family val="0"/>
        <charset val="1"/>
      </rPr>
      <t xml:space="preserve">20</t>
    </r>
    <r>
      <rPr>
        <sz val="8"/>
        <color rgb="FF555555"/>
        <rFont val="WenQuanYi Zen Hei"/>
        <family val="2"/>
      </rPr>
      <t xml:space="preserve">日累計販売数 </t>
    </r>
    <r>
      <rPr>
        <sz val="8"/>
        <color rgb="FF555555"/>
        <rFont val="Arial"/>
        <family val="0"/>
        <charset val="1"/>
      </rPr>
      <t xml:space="preserve">÷ </t>
    </r>
    <r>
      <rPr>
        <sz val="8"/>
        <color rgb="FF555555"/>
        <rFont val="WenQuanYi Zen Hei"/>
        <family val="2"/>
      </rPr>
      <t xml:space="preserve">初</t>
    </r>
    <r>
      <rPr>
        <sz val="8"/>
        <color rgb="FF555555"/>
        <rFont val="Arial"/>
        <family val="0"/>
        <charset val="1"/>
      </rPr>
      <t xml:space="preserve">5</t>
    </r>
    <r>
      <rPr>
        <sz val="8"/>
        <color rgb="FF555555"/>
        <rFont val="WenQuanYi Zen Hei"/>
        <family val="2"/>
      </rPr>
      <t xml:space="preserve">日販売数（名古屋①・博多②の実績から商品別に算出し平均を採用）</t>
    </r>
  </si>
  <si>
    <r>
      <rPr>
        <sz val="8"/>
        <color rgb="FF555555"/>
        <rFont val="WenQuanYi Zen Hei"/>
        <family val="2"/>
      </rPr>
      <t xml:space="preserve">↑ 青字＝入力値／前提。名古屋は</t>
    </r>
    <r>
      <rPr>
        <sz val="8"/>
        <color rgb="FF555555"/>
        <rFont val="Arial"/>
        <family val="0"/>
        <charset val="1"/>
      </rPr>
      <t xml:space="preserve">14</t>
    </r>
    <r>
      <rPr>
        <sz val="8"/>
        <color rgb="FF555555"/>
        <rFont val="WenQuanYi Zen Hei"/>
        <family val="2"/>
      </rPr>
      <t xml:space="preserve">日目までのため</t>
    </r>
    <r>
      <rPr>
        <sz val="8"/>
        <color rgb="FF555555"/>
        <rFont val="Arial"/>
        <family val="0"/>
        <charset val="1"/>
      </rPr>
      <t xml:space="preserve">15-20</t>
    </r>
    <r>
      <rPr>
        <sz val="8"/>
        <color rgb="FF555555"/>
        <rFont val="WenQuanYi Zen Hei"/>
        <family val="2"/>
      </rPr>
      <t xml:space="preserve">日目を博多比率で補完</t>
    </r>
  </si>
  <si>
    <r>
      <rPr>
        <b val="true"/>
        <sz val="9"/>
        <color rgb="FFFFFFFF"/>
        <rFont val="WenQuanYi Zen Hei"/>
        <family val="2"/>
      </rPr>
      <t xml:space="preserve">札幌
</t>
    </r>
    <r>
      <rPr>
        <b val="true"/>
        <sz val="9"/>
        <color rgb="FFFFFFFF"/>
        <rFont val="Arial"/>
        <family val="0"/>
        <charset val="1"/>
      </rPr>
      <t xml:space="preserve">7/22-26
</t>
    </r>
    <r>
      <rPr>
        <b val="true"/>
        <sz val="9"/>
        <color rgb="FFFFFFFF"/>
        <rFont val="WenQuanYi Zen Hei"/>
        <family val="2"/>
      </rPr>
      <t xml:space="preserve">販売数</t>
    </r>
  </si>
  <si>
    <t xml:space="preserve">札幌
販売可能数</t>
  </si>
  <si>
    <t xml:space="preserve">札幌
現在消化率</t>
  </si>
  <si>
    <t xml:space="preserve">札幌
残在庫</t>
  </si>
  <si>
    <r>
      <rPr>
        <b val="true"/>
        <sz val="9"/>
        <color rgb="FFFFFFFF"/>
        <rFont val="WenQuanYi Zen Hei"/>
        <family val="2"/>
      </rPr>
      <t xml:space="preserve">名古屋①
初</t>
    </r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</t>
    </r>
  </si>
  <si>
    <r>
      <rPr>
        <b val="true"/>
        <sz val="9"/>
        <color rgb="FFFFFFFF"/>
        <rFont val="WenQuanYi Zen Hei"/>
        <family val="2"/>
      </rPr>
      <t xml:space="preserve">名古屋①
</t>
    </r>
    <r>
      <rPr>
        <b val="true"/>
        <sz val="9"/>
        <color rgb="FFFFFFFF"/>
        <rFont val="Arial"/>
        <family val="0"/>
        <charset val="1"/>
      </rPr>
      <t xml:space="preserve">14</t>
    </r>
    <r>
      <rPr>
        <b val="true"/>
        <sz val="9"/>
        <color rgb="FFFFFFFF"/>
        <rFont val="WenQuanYi Zen Hei"/>
        <family val="2"/>
      </rPr>
      <t xml:space="preserve">日累計</t>
    </r>
  </si>
  <si>
    <r>
      <rPr>
        <b val="true"/>
        <sz val="9"/>
        <color rgb="FFFFFFFF"/>
        <rFont val="WenQuanYi Zen Hei"/>
        <family val="2"/>
      </rPr>
      <t xml:space="preserve">博多②
初</t>
    </r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</t>
    </r>
  </si>
  <si>
    <r>
      <rPr>
        <b val="true"/>
        <sz val="9"/>
        <color rgb="FFFFFFFF"/>
        <rFont val="WenQuanYi Zen Hei"/>
        <family val="2"/>
      </rPr>
      <t xml:space="preserve">博多②
</t>
    </r>
    <r>
      <rPr>
        <b val="true"/>
        <sz val="9"/>
        <color rgb="FFFFFFFF"/>
        <rFont val="Arial"/>
        <family val="0"/>
        <charset val="1"/>
      </rPr>
      <t xml:space="preserve">14</t>
    </r>
    <r>
      <rPr>
        <b val="true"/>
        <sz val="9"/>
        <color rgb="FFFFFFFF"/>
        <rFont val="WenQuanYi Zen Hei"/>
        <family val="2"/>
      </rPr>
      <t xml:space="preserve">日累計</t>
    </r>
  </si>
  <si>
    <r>
      <rPr>
        <b val="true"/>
        <sz val="9"/>
        <color rgb="FFFFFFFF"/>
        <rFont val="WenQuanYi Zen Hei"/>
        <family val="2"/>
      </rPr>
      <t xml:space="preserve">博多②
</t>
    </r>
    <r>
      <rPr>
        <b val="true"/>
        <sz val="9"/>
        <color rgb="FFFFFFFF"/>
        <rFont val="Arial"/>
        <family val="0"/>
        <charset val="1"/>
      </rPr>
      <t xml:space="preserve">20</t>
    </r>
    <r>
      <rPr>
        <b val="true"/>
        <sz val="9"/>
        <color rgb="FFFFFFFF"/>
        <rFont val="WenQuanYi Zen Hei"/>
        <family val="2"/>
      </rPr>
      <t xml:space="preserve">日累計</t>
    </r>
  </si>
  <si>
    <r>
      <rPr>
        <b val="true"/>
        <sz val="9"/>
        <color rgb="FFFFFFFF"/>
        <rFont val="WenQuanYi Zen Hei"/>
        <family val="2"/>
      </rPr>
      <t xml:space="preserve">名古屋
倍率</t>
    </r>
    <r>
      <rPr>
        <b val="true"/>
        <sz val="9"/>
        <color rgb="FFFFFFFF"/>
        <rFont val="Arial"/>
        <family val="0"/>
        <charset val="1"/>
      </rPr>
      <t xml:space="preserve">g</t>
    </r>
  </si>
  <si>
    <r>
      <rPr>
        <b val="true"/>
        <sz val="9"/>
        <color rgb="FFFFFFFF"/>
        <rFont val="WenQuanYi Zen Hei"/>
        <family val="2"/>
      </rPr>
      <t xml:space="preserve">博多
倍率</t>
    </r>
    <r>
      <rPr>
        <b val="true"/>
        <sz val="9"/>
        <color rgb="FFFFFFFF"/>
        <rFont val="Arial"/>
        <family val="0"/>
        <charset val="1"/>
      </rPr>
      <t xml:space="preserve">g</t>
    </r>
  </si>
  <si>
    <r>
      <rPr>
        <b val="true"/>
        <sz val="9"/>
        <color rgb="FFFFFFFF"/>
        <rFont val="WenQuanYi Zen Hei"/>
        <family val="2"/>
      </rPr>
      <t xml:space="preserve">採用
倍率</t>
    </r>
    <r>
      <rPr>
        <b val="true"/>
        <sz val="9"/>
        <color rgb="FFFFFFFF"/>
        <rFont val="Arial"/>
        <family val="0"/>
        <charset val="1"/>
      </rPr>
      <t xml:space="preserve">g</t>
    </r>
  </si>
  <si>
    <t xml:space="preserve">予測
会期累計
販売数</t>
  </si>
  <si>
    <t xml:space="preserve">予測
消化率</t>
  </si>
  <si>
    <r>
      <rPr>
        <b val="true"/>
        <sz val="9"/>
        <color rgb="FFFFFFFF"/>
        <rFont val="WenQuanYi Zen Hei"/>
        <family val="2"/>
      </rPr>
      <t xml:space="preserve">過不足数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予測−可能数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</si>
  <si>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追加発注
要否</t>
  </si>
  <si>
    <t xml:space="preserve">推奨
追加発注数</t>
  </si>
  <si>
    <t xml:space="preserve">比較会場
売切れ</t>
  </si>
  <si>
    <t xml:space="preserve">備考</t>
  </si>
  <si>
    <t xml:space="preserve">博多</t>
  </si>
  <si>
    <r>
      <rPr>
        <sz val="9"/>
        <rFont val="WenQuanYi Zen Hei"/>
        <family val="2"/>
      </rPr>
      <t xml:space="preserve">比較会場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博多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が在庫上限のため倍率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が過小＝予測が控えめ</t>
    </r>
  </si>
  <si>
    <t xml:space="preserve">—</t>
  </si>
  <si>
    <t xml:space="preserve">名古屋・博多</t>
  </si>
  <si>
    <r>
      <rPr>
        <sz val="9"/>
        <rFont val="WenQuanYi Zen Hei"/>
        <family val="2"/>
      </rPr>
      <t xml:space="preserve">比較会場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名古屋・博多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が在庫上限のため倍率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が過小＝予測が控えめ</t>
    </r>
  </si>
  <si>
    <t xml:space="preserve">名古屋</t>
  </si>
  <si>
    <r>
      <rPr>
        <sz val="9"/>
        <rFont val="WenQuanYi Zen Hei"/>
        <family val="2"/>
      </rPr>
      <t xml:space="preserve">比較会場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名古屋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が在庫上限のため倍率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が過小＝予測が控えめ</t>
    </r>
  </si>
  <si>
    <r>
      <rPr>
        <sz val="9"/>
        <rFont val="WenQuanYi Zen Hei"/>
        <family val="2"/>
      </rPr>
      <t xml:space="preserve">比較会場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博多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が在庫上限のため倍率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が過小＝予測が控えめ ／ 販売可能数が極小</t>
    </r>
    <r>
      <rPr>
        <sz val="9"/>
        <rFont val="Arial"/>
        <family val="0"/>
        <charset val="1"/>
      </rPr>
      <t xml:space="preserve">(10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・在庫追加の実現性を要確認</t>
    </r>
  </si>
  <si>
    <r>
      <rPr>
        <sz val="9"/>
        <rFont val="WenQuanYi Zen Hei"/>
        <family val="2"/>
      </rPr>
      <t xml:space="preserve">札幌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日間の販売実績ゼロ</t>
    </r>
  </si>
  <si>
    <r>
      <rPr>
        <sz val="9"/>
        <rFont val="WenQuanYi Zen Hei"/>
        <family val="2"/>
      </rPr>
      <t xml:space="preserve">比較会場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名古屋・博多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が在庫上限のため倍率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が過小＝予測が控えめ ／ 販売可能数が極小</t>
    </r>
    <r>
      <rPr>
        <sz val="9"/>
        <rFont val="Arial"/>
        <family val="0"/>
        <charset val="1"/>
      </rPr>
      <t xml:space="preserve">(2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・在庫追加の実現性を要確認</t>
    </r>
  </si>
  <si>
    <r>
      <rPr>
        <sz val="9"/>
        <rFont val="WenQuanYi Zen Hei"/>
        <family val="2"/>
      </rPr>
      <t xml:space="preserve">比較会場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名古屋・博多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が在庫上限のため倍率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が過小＝予測が控えめ ／ 販売可能数が極小</t>
    </r>
    <r>
      <rPr>
        <sz val="9"/>
        <rFont val="Arial"/>
        <family val="0"/>
        <charset val="1"/>
      </rPr>
      <t xml:space="preserve">(2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・在庫追加の実現性を要確認 ／ 札幌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日間の販売実績ゼロ</t>
    </r>
  </si>
  <si>
    <r>
      <rPr>
        <sz val="9"/>
        <rFont val="WenQuanYi Zen Hei"/>
        <family val="2"/>
      </rPr>
      <t xml:space="preserve">販売可能数が極小</t>
    </r>
    <r>
      <rPr>
        <sz val="9"/>
        <rFont val="Arial"/>
        <family val="0"/>
        <charset val="1"/>
      </rPr>
      <t xml:space="preserve">(8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・在庫追加の実現性を要確認 ／ 札幌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日間の販売実績ゼロ</t>
    </r>
  </si>
  <si>
    <r>
      <rPr>
        <sz val="9"/>
        <rFont val="WenQuanYi Zen Hei"/>
        <family val="2"/>
      </rPr>
      <t xml:space="preserve">販売可能数が極小</t>
    </r>
    <r>
      <rPr>
        <sz val="9"/>
        <rFont val="Arial"/>
        <family val="0"/>
        <charset val="1"/>
      </rPr>
      <t xml:space="preserve">(4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・在庫追加の実現性を要確認 ／ 札幌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日間の販売実績ゼロ</t>
    </r>
  </si>
  <si>
    <r>
      <rPr>
        <sz val="9"/>
        <rFont val="WenQuanYi Zen Hei"/>
        <family val="2"/>
      </rPr>
      <t xml:space="preserve">販売可能数が極小</t>
    </r>
    <r>
      <rPr>
        <sz val="9"/>
        <rFont val="Arial"/>
        <family val="0"/>
        <charset val="1"/>
      </rPr>
      <t xml:space="preserve">(6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・在庫追加の実現性を要確認</t>
    </r>
  </si>
  <si>
    <r>
      <rPr>
        <b val="true"/>
        <sz val="13"/>
        <color rgb="FF1F3864"/>
        <rFont val="WenQuanYi Zen Hei"/>
        <family val="2"/>
      </rPr>
      <t xml:space="preserve">④ 商品別 全データ統合リスト（対象</t>
    </r>
    <r>
      <rPr>
        <b val="true"/>
        <sz val="13"/>
        <color rgb="FF1F3864"/>
        <rFont val="Arial"/>
        <family val="0"/>
        <charset val="1"/>
      </rPr>
      <t xml:space="preserve">42SKU</t>
    </r>
    <r>
      <rPr>
        <b val="true"/>
        <sz val="13"/>
        <color rgb="FF1F3864"/>
        <rFont val="WenQuanYi Zen Hei"/>
        <family val="2"/>
      </rPr>
      <t xml:space="preserve">）</t>
    </r>
  </si>
  <si>
    <r>
      <rPr>
        <sz val="8"/>
        <color rgb="FF555555"/>
        <rFont val="WenQuanYi Zen Hei"/>
        <family val="2"/>
      </rPr>
      <t xml:space="preserve">札幌③（</t>
    </r>
    <r>
      <rPr>
        <sz val="8"/>
        <color rgb="FF555555"/>
        <rFont val="Arial"/>
        <family val="0"/>
        <charset val="1"/>
      </rPr>
      <t xml:space="preserve">7/26</t>
    </r>
    <r>
      <rPr>
        <sz val="8"/>
        <color rgb="FF555555"/>
        <rFont val="WenQuanYi Zen Hei"/>
        <family val="2"/>
      </rPr>
      <t xml:space="preserve">時点）・名古屋①・博多② の販売実績／構成比率／在庫／追加発注判定を商品別に集約</t>
    </r>
  </si>
  <si>
    <t xml:space="preserve">基本情報</t>
  </si>
  <si>
    <r>
      <rPr>
        <b val="true"/>
        <sz val="11"/>
        <color rgb="FFFFFFFF"/>
        <rFont val="WenQuanYi Zen Hei"/>
        <family val="2"/>
      </rPr>
      <t xml:space="preserve">札幌③ 販売実績（</t>
    </r>
    <r>
      <rPr>
        <b val="true"/>
        <sz val="11"/>
        <color rgb="FFFFFFFF"/>
        <rFont val="Arial"/>
        <family val="0"/>
        <charset val="1"/>
      </rPr>
      <t xml:space="preserve">7/22-7/26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</si>
  <si>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札幌③ 構成比率</t>
  </si>
  <si>
    <t xml:space="preserve">札幌③ 在庫</t>
  </si>
  <si>
    <t xml:space="preserve">名古屋① 実績・構成比</t>
  </si>
  <si>
    <t xml:space="preserve">博多② 実績・構成比</t>
  </si>
  <si>
    <t xml:space="preserve">追加発注判定</t>
  </si>
  <si>
    <t xml:space="preserve">税込単価</t>
  </si>
  <si>
    <r>
      <rPr>
        <b val="true"/>
        <sz val="9"/>
        <color rgb="FFFFFFFF"/>
        <rFont val="Arial"/>
        <family val="0"/>
        <charset val="1"/>
      </rPr>
      <t xml:space="preserve">7/22
(</t>
    </r>
    <r>
      <rPr>
        <b val="true"/>
        <sz val="9"/>
        <color rgb="FFFFFFFF"/>
        <rFont val="WenQuanYi Zen Hei"/>
        <family val="2"/>
      </rPr>
      <t xml:space="preserve">水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</si>
  <si>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7/23
(</t>
    </r>
    <r>
      <rPr>
        <b val="true"/>
        <sz val="9"/>
        <color rgb="FFFFFFFF"/>
        <rFont val="WenQuanYi Zen Hei"/>
        <family val="2"/>
      </rPr>
      <t xml:space="preserve">木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</si>
  <si>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7/24
(</t>
    </r>
    <r>
      <rPr>
        <b val="true"/>
        <sz val="9"/>
        <color rgb="FFFFFFFF"/>
        <rFont val="WenQuanYi Zen Hei"/>
        <family val="2"/>
      </rPr>
      <t xml:space="preserve">金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</si>
  <si>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7/25
(</t>
    </r>
    <r>
      <rPr>
        <b val="true"/>
        <sz val="9"/>
        <color rgb="FFFFFFFF"/>
        <rFont val="WenQuanYi Zen Hei"/>
        <family val="2"/>
      </rPr>
      <t xml:space="preserve">土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</si>
  <si>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7/26
(</t>
    </r>
    <r>
      <rPr>
        <b val="true"/>
        <sz val="9"/>
        <color rgb="FFFFFFFF"/>
        <rFont val="WenQuanYi Zen Hei"/>
        <family val="2"/>
      </rPr>
      <t xml:space="preserve">日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</si>
  <si>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初日
販売数</t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</si>
  <si>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
累計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</si>
  <si>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日累計
販売金額</t>
    </r>
  </si>
  <si>
    <t xml:space="preserve">初日
構成比</t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</si>
  <si>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日累計
構成比</t>
    </r>
  </si>
  <si>
    <t xml:space="preserve">金額
構成比</t>
  </si>
  <si>
    <t xml:space="preserve">初日
順位</t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</si>
  <si>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日累計
順位</t>
    </r>
  </si>
  <si>
    <t xml:space="preserve">納品数
合計</t>
  </si>
  <si>
    <t xml:space="preserve">販売
可能数</t>
  </si>
  <si>
    <t xml:space="preserve">残在庫</t>
  </si>
  <si>
    <t xml:space="preserve">消化率</t>
  </si>
  <si>
    <t xml:space="preserve">日販
平均</t>
  </si>
  <si>
    <t xml:space="preserve">在庫
消尽日数</t>
  </si>
  <si>
    <r>
      <rPr>
        <b val="true"/>
        <sz val="9"/>
        <color rgb="FFFFFFFF"/>
        <rFont val="WenQuanYi Zen Hei"/>
        <family val="2"/>
      </rPr>
      <t xml:space="preserve">初週</t>
    </r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日
累計</t>
    </r>
  </si>
  <si>
    <r>
      <rPr>
        <b val="true"/>
        <sz val="9"/>
        <color rgb="FFFFFFFF"/>
        <rFont val="Arial"/>
        <family val="0"/>
        <charset val="1"/>
      </rPr>
      <t xml:space="preserve">14</t>
    </r>
    <r>
      <rPr>
        <b val="true"/>
        <sz val="9"/>
        <color rgb="FFFFFFFF"/>
        <rFont val="WenQuanYi Zen Hei"/>
        <family val="2"/>
      </rPr>
      <t xml:space="preserve">日
累計</t>
    </r>
  </si>
  <si>
    <t xml:space="preserve">初週
構成比</t>
  </si>
  <si>
    <r>
      <rPr>
        <b val="true"/>
        <sz val="9"/>
        <color rgb="FFFFFFFF"/>
        <rFont val="WenQuanYi Zen Hei"/>
        <family val="2"/>
      </rPr>
      <t xml:space="preserve">初週</t>
    </r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WenQuanYi Zen Hei"/>
        <family val="2"/>
      </rPr>
      <t xml:space="preserve">日
累計</t>
    </r>
  </si>
  <si>
    <r>
      <rPr>
        <b val="true"/>
        <sz val="9"/>
        <color rgb="FFFFFFFF"/>
        <rFont val="Arial"/>
        <family val="0"/>
        <charset val="1"/>
      </rPr>
      <t xml:space="preserve">20</t>
    </r>
    <r>
      <rPr>
        <b val="true"/>
        <sz val="9"/>
        <color rgb="FFFFFFFF"/>
        <rFont val="WenQuanYi Zen Hei"/>
        <family val="2"/>
      </rPr>
      <t xml:space="preserve">日
累計</t>
    </r>
  </si>
  <si>
    <r>
      <rPr>
        <b val="true"/>
        <sz val="9"/>
        <color rgb="FFFFFFFF"/>
        <rFont val="Arial"/>
        <family val="0"/>
        <charset val="1"/>
      </rPr>
      <t xml:space="preserve">26</t>
    </r>
    <r>
      <rPr>
        <b val="true"/>
        <sz val="9"/>
        <color rgb="FFFFFFFF"/>
        <rFont val="WenQuanYi Zen Hei"/>
        <family val="2"/>
      </rPr>
      <t xml:space="preserve">日
累計</t>
    </r>
  </si>
  <si>
    <t xml:space="preserve">予測会期
累計販売数</t>
  </si>
  <si>
    <t xml:space="preserve">過不足数</t>
  </si>
  <si>
    <t xml:space="preserve">推奨追加
発注数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</si>
</sst>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0\倍"/>
    <numFmt numFmtId="167" formatCode="\¥#,##0"/>
    <numFmt numFmtId="168" formatCode="#,##0"/>
    <numFmt numFmtId="169" formatCode="\+0.0%;\-0.0%;0.0%"/>
    <numFmt numFmtId="170" formatCode="0.00\倍"/>
    <numFmt numFmtId="171" formatCode="\+#,##0;\-#,##0;0"/>
    <numFmt numFmtId="172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b val="true"/>
      <sz val="12"/>
      <color rgb="FF2E5C8A"/>
      <name val="WenQuanYi Zen Hei"/>
      <family val="2"/>
    </font>
    <font>
      <b val="true"/>
      <sz val="12"/>
      <color rgb="FF2E5C8A"/>
      <name val="Arial"/>
      <family val="0"/>
      <charset val="1"/>
    </font>
    <font>
      <sz val="8"/>
      <color rgb="FF555555"/>
      <name val="WenQuanYi Zen Hei"/>
      <family val="2"/>
    </font>
    <font>
      <sz val="8"/>
      <color rgb="FF555555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WenQuanYi Zen Hei"/>
      <family val="2"/>
    </font>
    <font>
      <sz val="9"/>
      <name val="WenQuanYi Zen Hei"/>
      <family val="2"/>
    </font>
    <font>
      <b val="true"/>
      <sz val="13"/>
      <color rgb="FF1F3864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name val="WenQuanYi Zen Hei"/>
      <family val="2"/>
    </font>
    <font>
      <b val="true"/>
      <sz val="13"/>
      <color rgb="FF1F3864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333333"/>
      <name val="WenQuanYi Zen He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9C0006"/>
      </patternFill>
    </fill>
    <fill>
      <patternFill patternType="solid">
        <fgColor rgb="FF548235"/>
        <bgColor rgb="FF808080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9C6500"/>
      </patternFill>
    </fill>
    <fill>
      <patternFill patternType="solid">
        <fgColor rgb="FFF2F2F2"/>
        <bgColor rgb="FFE2EFDA"/>
      </patternFill>
    </fill>
    <fill>
      <patternFill patternType="solid">
        <fgColor rgb="FF2E5C8A"/>
        <bgColor rgb="FF555555"/>
      </patternFill>
    </fill>
    <fill>
      <patternFill patternType="solid">
        <fgColor rgb="FF8497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55555"/>
      <rgbColor rgb="FF8497B0"/>
      <rgbColor rgb="FF1F3864"/>
      <rgbColor rgb="FF548235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</row>
    <row r="2" customFormat="false" ht="16.4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5"/>
    </row>
    <row r="6" customFormat="false" ht="15" hidden="false" customHeight="false" outlineLevel="0" collapsed="false">
      <c r="A6" s="6" t="s">
        <v>3</v>
      </c>
      <c r="B6" s="5"/>
    </row>
    <row r="7" customFormat="false" ht="15" hidden="false" customHeight="false" outlineLevel="0" collapsed="false">
      <c r="A7" s="7" t="s">
        <v>4</v>
      </c>
      <c r="B7" s="5" t="s">
        <v>5</v>
      </c>
    </row>
    <row r="8" customFormat="false" ht="15" hidden="false" customHeight="false" outlineLevel="0" collapsed="false">
      <c r="A8" s="7" t="s">
        <v>6</v>
      </c>
      <c r="B8" s="8" t="s">
        <v>7</v>
      </c>
    </row>
    <row r="9" customFormat="false" ht="13.4" hidden="false" customHeight="false" outlineLevel="0" collapsed="false">
      <c r="A9" s="7" t="s">
        <v>8</v>
      </c>
      <c r="B9" s="5" t="s">
        <v>9</v>
      </c>
    </row>
    <row r="10" customFormat="false" ht="13.4" hidden="false" customHeight="false" outlineLevel="0" collapsed="false">
      <c r="A10" s="7" t="s">
        <v>10</v>
      </c>
      <c r="B10" s="5" t="s">
        <v>11</v>
      </c>
    </row>
    <row r="11" customFormat="false" ht="13.4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7" t="s">
        <v>14</v>
      </c>
      <c r="B12" s="8" t="s">
        <v>15</v>
      </c>
    </row>
    <row r="13" customFormat="false" ht="15" hidden="false" customHeight="false" outlineLevel="0" collapsed="false">
      <c r="A13" s="4"/>
      <c r="B13" s="8" t="s">
        <v>16</v>
      </c>
    </row>
    <row r="14" customFormat="false" ht="15" hidden="false" customHeight="false" outlineLevel="0" collapsed="false">
      <c r="A14" s="4"/>
      <c r="B14" s="8" t="s">
        <v>17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6" t="s">
        <v>18</v>
      </c>
      <c r="B16" s="5"/>
    </row>
    <row r="17" customFormat="false" ht="15" hidden="false" customHeight="false" outlineLevel="0" collapsed="false">
      <c r="A17" s="7" t="s">
        <v>19</v>
      </c>
      <c r="B17" s="8" t="s">
        <v>20</v>
      </c>
    </row>
    <row r="18" customFormat="false" ht="15" hidden="false" customHeight="false" outlineLevel="0" collapsed="false">
      <c r="A18" s="7" t="s">
        <v>21</v>
      </c>
      <c r="B18" s="8" t="s">
        <v>22</v>
      </c>
    </row>
    <row r="19" customFormat="false" ht="15" hidden="false" customHeight="false" outlineLevel="0" collapsed="false">
      <c r="A19" s="7" t="s">
        <v>23</v>
      </c>
      <c r="B19" s="5" t="s">
        <v>24</v>
      </c>
    </row>
    <row r="20" customFormat="false" ht="15" hidden="false" customHeight="false" outlineLevel="0" collapsed="false">
      <c r="A20" s="7" t="s">
        <v>25</v>
      </c>
      <c r="B20" s="5" t="s">
        <v>26</v>
      </c>
    </row>
    <row r="21" customFormat="false" ht="15" hidden="false" customHeight="false" outlineLevel="0" collapsed="false">
      <c r="A21" s="7" t="s">
        <v>27</v>
      </c>
      <c r="B21" s="5" t="s">
        <v>28</v>
      </c>
    </row>
    <row r="22" customFormat="false" ht="15" hidden="false" customHeight="false" outlineLevel="0" collapsed="false">
      <c r="A22" s="7" t="s">
        <v>29</v>
      </c>
      <c r="B22" s="8" t="s">
        <v>30</v>
      </c>
    </row>
    <row r="23" customFormat="false" ht="15" hidden="false" customHeight="false" outlineLevel="0" collapsed="false">
      <c r="A23" s="7" t="s">
        <v>31</v>
      </c>
      <c r="B23" s="8" t="s">
        <v>32</v>
      </c>
    </row>
    <row r="24" customFormat="false" ht="15" hidden="false" customHeight="false" outlineLevel="0" collapsed="false">
      <c r="A24" s="7" t="s">
        <v>33</v>
      </c>
      <c r="B24" s="8" t="s">
        <v>34</v>
      </c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6" t="s">
        <v>35</v>
      </c>
      <c r="B26" s="5"/>
    </row>
    <row r="27" customFormat="false" ht="15" hidden="false" customHeight="false" outlineLevel="0" collapsed="false">
      <c r="A27" s="7" t="s">
        <v>36</v>
      </c>
      <c r="B27" s="8" t="s">
        <v>37</v>
      </c>
    </row>
    <row r="28" customFormat="false" ht="13.4" hidden="false" customHeight="false" outlineLevel="0" collapsed="false">
      <c r="A28" s="7" t="s">
        <v>38</v>
      </c>
      <c r="B28" s="5" t="s">
        <v>39</v>
      </c>
    </row>
    <row r="29" customFormat="false" ht="13.4" hidden="false" customHeight="false" outlineLevel="0" collapsed="false">
      <c r="A29" s="7" t="s">
        <v>40</v>
      </c>
      <c r="B29" s="8" t="s">
        <v>41</v>
      </c>
    </row>
    <row r="30" customFormat="false" ht="15" hidden="false" customHeight="false" outlineLevel="0" collapsed="false">
      <c r="A30" s="7" t="s">
        <v>42</v>
      </c>
      <c r="B30" s="9" t="n">
        <v>0.453213817227809</v>
      </c>
    </row>
    <row r="31" customFormat="false" ht="13.4" hidden="false" customHeight="false" outlineLevel="0" collapsed="false">
      <c r="A31" s="7" t="s">
        <v>43</v>
      </c>
      <c r="B31" s="10" t="n">
        <v>2.68950597639272</v>
      </c>
    </row>
    <row r="32" customFormat="false" ht="15" hidden="false" customHeight="false" outlineLevel="0" collapsed="false">
      <c r="A32" s="7" t="s">
        <v>44</v>
      </c>
      <c r="B32" s="8" t="s">
        <v>45</v>
      </c>
    </row>
    <row r="33" customFormat="false" ht="15" hidden="false" customHeight="false" outlineLevel="0" collapsed="false">
      <c r="A33" s="7" t="s">
        <v>46</v>
      </c>
      <c r="B33" s="8" t="s">
        <v>47</v>
      </c>
    </row>
    <row r="34" customFormat="false" ht="15" hidden="false" customHeight="false" outlineLevel="0" collapsed="false">
      <c r="A34" s="4"/>
      <c r="B34" s="5"/>
    </row>
    <row r="35" customFormat="false" ht="15" hidden="false" customHeight="false" outlineLevel="0" collapsed="false">
      <c r="A35" s="6" t="s">
        <v>48</v>
      </c>
      <c r="B35" s="5"/>
    </row>
    <row r="36" customFormat="false" ht="13.4" hidden="false" customHeight="false" outlineLevel="0" collapsed="false">
      <c r="A36" s="4" t="s">
        <v>49</v>
      </c>
      <c r="B36" s="5" t="s">
        <v>50</v>
      </c>
    </row>
    <row r="37" customFormat="false" ht="13.4" hidden="false" customHeight="false" outlineLevel="0" collapsed="false">
      <c r="A37" s="4" t="s">
        <v>51</v>
      </c>
      <c r="B37" s="5" t="s">
        <v>52</v>
      </c>
    </row>
    <row r="38" customFormat="false" ht="15" hidden="false" customHeight="false" outlineLevel="0" collapsed="false">
      <c r="A38" s="4" t="s">
        <v>53</v>
      </c>
      <c r="B38" s="8" t="s">
        <v>54</v>
      </c>
    </row>
    <row r="39" customFormat="false" ht="15" hidden="false" customHeight="false" outlineLevel="0" collapsed="false">
      <c r="A39" s="7" t="s">
        <v>55</v>
      </c>
      <c r="B39" s="5" t="s">
        <v>56</v>
      </c>
    </row>
    <row r="40" customFormat="false" ht="15" hidden="false" customHeight="false" outlineLevel="0" collapsed="false">
      <c r="A40" s="7" t="s">
        <v>57</v>
      </c>
      <c r="B40" s="8" t="s">
        <v>58</v>
      </c>
    </row>
    <row r="41" customFormat="false" ht="15" hidden="false" customHeight="false" outlineLevel="0" collapsed="false">
      <c r="A41" s="7" t="s">
        <v>59</v>
      </c>
      <c r="B41" s="8" t="s">
        <v>60</v>
      </c>
    </row>
    <row r="42" customFormat="false" ht="15" hidden="false" customHeight="false" outlineLevel="0" collapsed="false">
      <c r="A42" s="4"/>
      <c r="B42" s="5"/>
    </row>
    <row r="43" customFormat="false" ht="15" hidden="false" customHeight="false" outlineLevel="0" collapsed="false">
      <c r="A43" s="6" t="s">
        <v>61</v>
      </c>
      <c r="B43" s="5"/>
    </row>
    <row r="44" customFormat="false" ht="15" hidden="false" customHeight="false" outlineLevel="0" collapsed="false">
      <c r="A44" s="7" t="s">
        <v>62</v>
      </c>
      <c r="B44" s="8" t="s">
        <v>63</v>
      </c>
    </row>
    <row r="45" customFormat="false" ht="15" hidden="false" customHeight="false" outlineLevel="0" collapsed="false">
      <c r="A45" s="4"/>
      <c r="B45" s="8" t="s">
        <v>64</v>
      </c>
    </row>
    <row r="46" customFormat="false" ht="15" hidden="false" customHeight="false" outlineLevel="0" collapsed="false">
      <c r="A46" s="4"/>
      <c r="B46" s="8" t="s">
        <v>65</v>
      </c>
    </row>
    <row r="47" customFormat="false" ht="15" hidden="false" customHeight="false" outlineLevel="0" collapsed="false">
      <c r="A47" s="7" t="s">
        <v>66</v>
      </c>
      <c r="B47" s="8" t="s">
        <v>67</v>
      </c>
    </row>
    <row r="48" customFormat="false" ht="15" hidden="false" customHeight="false" outlineLevel="0" collapsed="false">
      <c r="A48" s="7" t="s">
        <v>68</v>
      </c>
      <c r="B48" s="8" t="s">
        <v>69</v>
      </c>
    </row>
    <row r="49" customFormat="false" ht="15" hidden="false" customHeight="false" outlineLevel="0" collapsed="false">
      <c r="A49" s="4"/>
      <c r="B49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5" min="14" style="0" width="11"/>
  </cols>
  <sheetData>
    <row r="1" customFormat="false" ht="16.15" hidden="false" customHeight="false" outlineLevel="0" collapsed="false">
      <c r="A1" s="11" t="s">
        <v>71</v>
      </c>
    </row>
    <row r="2" customFormat="false" ht="15" hidden="false" customHeight="false" outlineLevel="0" collapsed="false">
      <c r="A2" s="3" t="s">
        <v>72</v>
      </c>
    </row>
    <row r="3" customFormat="false" ht="15" hidden="false" customHeight="false" outlineLevel="0" collapsed="false">
      <c r="A3" s="3" t="s">
        <v>73</v>
      </c>
    </row>
    <row r="5" customFormat="false" ht="19.5" hidden="false" customHeight="true" outlineLevel="0" collapsed="false">
      <c r="A5" s="12" t="s">
        <v>74</v>
      </c>
      <c r="B5" s="12" t="s">
        <v>75</v>
      </c>
      <c r="C5" s="13" t="s">
        <v>76</v>
      </c>
      <c r="D5" s="13" t="s">
        <v>77</v>
      </c>
      <c r="E5" s="14" t="s">
        <v>78</v>
      </c>
      <c r="F5" s="14"/>
      <c r="G5" s="14"/>
      <c r="H5" s="15" t="s">
        <v>79</v>
      </c>
      <c r="I5" s="15"/>
      <c r="J5" s="15"/>
      <c r="K5" s="16" t="s">
        <v>80</v>
      </c>
      <c r="L5" s="16"/>
      <c r="M5" s="16"/>
      <c r="N5" s="17" t="s">
        <v>81</v>
      </c>
      <c r="O5" s="17"/>
    </row>
    <row r="6" customFormat="false" ht="30" hidden="false" customHeight="true" outlineLevel="0" collapsed="false">
      <c r="A6" s="12"/>
      <c r="B6" s="12"/>
      <c r="C6" s="12"/>
      <c r="D6" s="12"/>
      <c r="E6" s="18" t="s">
        <v>82</v>
      </c>
      <c r="F6" s="18" t="s">
        <v>83</v>
      </c>
      <c r="G6" s="18" t="s">
        <v>84</v>
      </c>
      <c r="H6" s="19" t="s">
        <v>82</v>
      </c>
      <c r="I6" s="19" t="s">
        <v>83</v>
      </c>
      <c r="J6" s="19" t="s">
        <v>84</v>
      </c>
      <c r="K6" s="20" t="s">
        <v>82</v>
      </c>
      <c r="L6" s="20" t="s">
        <v>83</v>
      </c>
      <c r="M6" s="20" t="s">
        <v>84</v>
      </c>
      <c r="N6" s="21" t="s">
        <v>85</v>
      </c>
      <c r="O6" s="21" t="s">
        <v>86</v>
      </c>
    </row>
    <row r="7" customFormat="false" ht="15" hidden="false" customHeight="false" outlineLevel="0" collapsed="false">
      <c r="A7" s="22" t="n">
        <v>1</v>
      </c>
      <c r="B7" s="22" t="s">
        <v>87</v>
      </c>
      <c r="C7" s="23" t="s">
        <v>88</v>
      </c>
      <c r="D7" s="24" t="n">
        <v>500</v>
      </c>
      <c r="E7" s="25" t="n">
        <v>72</v>
      </c>
      <c r="F7" s="26" t="n">
        <f aca="false">IFERROR(E7/E$49,0)</f>
        <v>0.0404040404040404</v>
      </c>
      <c r="G7" s="22" t="n">
        <f aca="false">IF(E7=0,"-",RANK(E7,E$7:E$48))</f>
        <v>6</v>
      </c>
      <c r="H7" s="25" t="n">
        <v>159</v>
      </c>
      <c r="I7" s="26" t="n">
        <f aca="false">IFERROR(H7/H$49,0)</f>
        <v>0.0255791505791506</v>
      </c>
      <c r="J7" s="22" t="n">
        <f aca="false">IF(H7=0,"-",RANK(H7,H$7:H$48))</f>
        <v>8</v>
      </c>
      <c r="K7" s="25" t="n">
        <v>107</v>
      </c>
      <c r="L7" s="26" t="n">
        <f aca="false">IFERROR(K7/K$49,0)</f>
        <v>0.0278936392075078</v>
      </c>
      <c r="M7" s="22" t="n">
        <f aca="false">IF(K7=0,"-",RANK(K7,K$7:K$48))</f>
        <v>6</v>
      </c>
      <c r="N7" s="27" t="n">
        <f aca="false">F7-I7</f>
        <v>0.0148248898248898</v>
      </c>
      <c r="O7" s="27" t="n">
        <f aca="false">F7-L7</f>
        <v>0.0125104011965326</v>
      </c>
    </row>
    <row r="8" customFormat="false" ht="15" hidden="false" customHeight="false" outlineLevel="0" collapsed="false">
      <c r="A8" s="22" t="n">
        <v>2</v>
      </c>
      <c r="B8" s="22" t="s">
        <v>89</v>
      </c>
      <c r="C8" s="23" t="s">
        <v>90</v>
      </c>
      <c r="D8" s="24" t="n">
        <v>600</v>
      </c>
      <c r="E8" s="25" t="n">
        <v>66</v>
      </c>
      <c r="F8" s="26" t="n">
        <f aca="false">IFERROR(E8/E$49,0)</f>
        <v>0.037037037037037</v>
      </c>
      <c r="G8" s="22" t="n">
        <f aca="false">IF(E8=0,"-",RANK(E8,E$7:E$48))</f>
        <v>7</v>
      </c>
      <c r="H8" s="25" t="n">
        <v>154</v>
      </c>
      <c r="I8" s="26" t="n">
        <f aca="false">IFERROR(H8/H$49,0)</f>
        <v>0.0247747747747748</v>
      </c>
      <c r="J8" s="22" t="n">
        <f aca="false">IF(H8=0,"-",RANK(H8,H$7:H$48))</f>
        <v>9</v>
      </c>
      <c r="K8" s="25" t="n">
        <v>88</v>
      </c>
      <c r="L8" s="26" t="n">
        <f aca="false">IFERROR(K8/K$49,0)</f>
        <v>0.0229405630865485</v>
      </c>
      <c r="M8" s="22" t="n">
        <f aca="false">IF(K8=0,"-",RANK(K8,K$7:K$48))</f>
        <v>7</v>
      </c>
      <c r="N8" s="27" t="n">
        <f aca="false">F8-I8</f>
        <v>0.0122622622622623</v>
      </c>
      <c r="O8" s="27" t="n">
        <f aca="false">F8-L8</f>
        <v>0.0140964739504885</v>
      </c>
    </row>
    <row r="9" customFormat="false" ht="15" hidden="false" customHeight="false" outlineLevel="0" collapsed="false">
      <c r="A9" s="22" t="n">
        <v>3</v>
      </c>
      <c r="B9" s="22" t="s">
        <v>91</v>
      </c>
      <c r="C9" s="23" t="s">
        <v>92</v>
      </c>
      <c r="D9" s="24" t="n">
        <v>1000</v>
      </c>
      <c r="E9" s="25" t="n">
        <v>39</v>
      </c>
      <c r="F9" s="26" t="n">
        <f aca="false">IFERROR(E9/E$49,0)</f>
        <v>0.0218855218855219</v>
      </c>
      <c r="G9" s="22" t="n">
        <f aca="false">IF(E9=0,"-",RANK(E9,E$7:E$48))</f>
        <v>9</v>
      </c>
      <c r="H9" s="25" t="n">
        <v>103</v>
      </c>
      <c r="I9" s="26" t="n">
        <f aca="false">IFERROR(H9/H$49,0)</f>
        <v>0.0165701415701416</v>
      </c>
      <c r="J9" s="22" t="n">
        <f aca="false">IF(H9=0,"-",RANK(H9,H$7:H$48))</f>
        <v>11</v>
      </c>
      <c r="K9" s="25" t="n">
        <v>42</v>
      </c>
      <c r="L9" s="26" t="n">
        <f aca="false">IFERROR(K9/K$49,0)</f>
        <v>0.0109489051094891</v>
      </c>
      <c r="M9" s="22" t="n">
        <f aca="false">IF(K9=0,"-",RANK(K9,K$7:K$48))</f>
        <v>13</v>
      </c>
      <c r="N9" s="27" t="n">
        <f aca="false">F9-I9</f>
        <v>0.00531538031538032</v>
      </c>
      <c r="O9" s="27" t="n">
        <f aca="false">F9-L9</f>
        <v>0.0109366167760328</v>
      </c>
    </row>
    <row r="10" customFormat="false" ht="15" hidden="false" customHeight="false" outlineLevel="0" collapsed="false">
      <c r="A10" s="22" t="n">
        <v>4</v>
      </c>
      <c r="B10" s="22" t="s">
        <v>93</v>
      </c>
      <c r="C10" s="23" t="s">
        <v>94</v>
      </c>
      <c r="D10" s="24" t="n">
        <v>1800</v>
      </c>
      <c r="E10" s="25" t="n">
        <v>52</v>
      </c>
      <c r="F10" s="26" t="n">
        <f aca="false">IFERROR(E10/E$49,0)</f>
        <v>0.0291806958473625</v>
      </c>
      <c r="G10" s="22" t="n">
        <f aca="false">IF(E10=0,"-",RANK(E10,E$7:E$48))</f>
        <v>8</v>
      </c>
      <c r="H10" s="25" t="n">
        <v>196</v>
      </c>
      <c r="I10" s="26" t="n">
        <f aca="false">IFERROR(H10/H$49,0)</f>
        <v>0.0315315315315315</v>
      </c>
      <c r="J10" s="22" t="n">
        <f aca="false">IF(H10=0,"-",RANK(H10,H$7:H$48))</f>
        <v>6</v>
      </c>
      <c r="K10" s="25" t="n">
        <v>66</v>
      </c>
      <c r="L10" s="26" t="n">
        <f aca="false">IFERROR(K10/K$49,0)</f>
        <v>0.0172054223149114</v>
      </c>
      <c r="M10" s="22" t="n">
        <f aca="false">IF(K10=0,"-",RANK(K10,K$7:K$48))</f>
        <v>11</v>
      </c>
      <c r="N10" s="27" t="n">
        <f aca="false">F10-I10</f>
        <v>-0.00235083568416902</v>
      </c>
      <c r="O10" s="27" t="n">
        <f aca="false">F10-L10</f>
        <v>0.0119752735324511</v>
      </c>
    </row>
    <row r="11" customFormat="false" ht="15" hidden="false" customHeight="false" outlineLevel="0" collapsed="false">
      <c r="A11" s="22" t="n">
        <v>5</v>
      </c>
      <c r="B11" s="22" t="s">
        <v>95</v>
      </c>
      <c r="C11" s="23" t="s">
        <v>96</v>
      </c>
      <c r="D11" s="24" t="n">
        <v>600</v>
      </c>
      <c r="E11" s="25" t="n">
        <v>174</v>
      </c>
      <c r="F11" s="26" t="n">
        <f aca="false">IFERROR(E11/E$49,0)</f>
        <v>0.0976430976430976</v>
      </c>
      <c r="G11" s="22" t="n">
        <f aca="false">IF(E11=0,"-",RANK(E11,E$7:E$48))</f>
        <v>4</v>
      </c>
      <c r="H11" s="25" t="n">
        <v>1089</v>
      </c>
      <c r="I11" s="26" t="n">
        <f aca="false">IFERROR(H11/H$49,0)</f>
        <v>0.17519305019305</v>
      </c>
      <c r="J11" s="22" t="n">
        <f aca="false">IF(H11=0,"-",RANK(H11,H$7:H$48))</f>
        <v>3</v>
      </c>
      <c r="K11" s="25" t="n">
        <v>618</v>
      </c>
      <c r="L11" s="26" t="n">
        <f aca="false">IFERROR(K11/K$49,0)</f>
        <v>0.161105318039625</v>
      </c>
      <c r="M11" s="22" t="n">
        <f aca="false">IF(K11=0,"-",RANK(K11,K$7:K$48))</f>
        <v>3</v>
      </c>
      <c r="N11" s="27" t="n">
        <f aca="false">F11-I11</f>
        <v>-0.0775499525499526</v>
      </c>
      <c r="O11" s="27" t="n">
        <f aca="false">F11-L11</f>
        <v>-0.063462220396527</v>
      </c>
    </row>
    <row r="12" customFormat="false" ht="15" hidden="false" customHeight="false" outlineLevel="0" collapsed="false">
      <c r="A12" s="22" t="n">
        <v>6</v>
      </c>
      <c r="B12" s="22" t="s">
        <v>97</v>
      </c>
      <c r="C12" s="23" t="s">
        <v>98</v>
      </c>
      <c r="D12" s="24" t="n">
        <v>600</v>
      </c>
      <c r="E12" s="25" t="n">
        <v>407</v>
      </c>
      <c r="F12" s="26" t="n">
        <f aca="false">IFERROR(E12/E$49,0)</f>
        <v>0.228395061728395</v>
      </c>
      <c r="G12" s="22" t="n">
        <f aca="false">IF(E12=0,"-",RANK(E12,E$7:E$48))</f>
        <v>1</v>
      </c>
      <c r="H12" s="25" t="n">
        <v>1543</v>
      </c>
      <c r="I12" s="26" t="n">
        <f aca="false">IFERROR(H12/H$49,0)</f>
        <v>0.248230373230373</v>
      </c>
      <c r="J12" s="22" t="n">
        <f aca="false">IF(H12=0,"-",RANK(H12,H$7:H$48))</f>
        <v>1</v>
      </c>
      <c r="K12" s="25" t="n">
        <v>942</v>
      </c>
      <c r="L12" s="26" t="n">
        <f aca="false">IFERROR(K12/K$49,0)</f>
        <v>0.245568300312826</v>
      </c>
      <c r="M12" s="22" t="n">
        <f aca="false">IF(K12=0,"-",RANK(K12,K$7:K$48))</f>
        <v>1</v>
      </c>
      <c r="N12" s="27" t="n">
        <f aca="false">F12-I12</f>
        <v>-0.0198353115019782</v>
      </c>
      <c r="O12" s="27" t="n">
        <f aca="false">F12-L12</f>
        <v>-0.0171732385844308</v>
      </c>
    </row>
    <row r="13" customFormat="false" ht="15" hidden="false" customHeight="false" outlineLevel="0" collapsed="false">
      <c r="A13" s="22" t="n">
        <v>7</v>
      </c>
      <c r="B13" s="22" t="s">
        <v>99</v>
      </c>
      <c r="C13" s="23" t="s">
        <v>100</v>
      </c>
      <c r="D13" s="24" t="n">
        <v>600</v>
      </c>
      <c r="E13" s="25" t="n">
        <v>28</v>
      </c>
      <c r="F13" s="26" t="n">
        <f aca="false">IFERROR(E13/E$49,0)</f>
        <v>0.015712682379349</v>
      </c>
      <c r="G13" s="22" t="n">
        <f aca="false">IF(E13=0,"-",RANK(E13,E$7:E$48))</f>
        <v>12</v>
      </c>
      <c r="H13" s="25" t="n">
        <v>70</v>
      </c>
      <c r="I13" s="26" t="n">
        <f aca="false">IFERROR(H13/H$49,0)</f>
        <v>0.0112612612612613</v>
      </c>
      <c r="J13" s="22" t="n">
        <f aca="false">IF(H13=0,"-",RANK(H13,H$7:H$48))</f>
        <v>13</v>
      </c>
      <c r="K13" s="25" t="n">
        <v>72</v>
      </c>
      <c r="L13" s="26" t="n">
        <f aca="false">IFERROR(K13/K$49,0)</f>
        <v>0.0187695516162669</v>
      </c>
      <c r="M13" s="22" t="n">
        <f aca="false">IF(K13=0,"-",RANK(K13,K$7:K$48))</f>
        <v>10</v>
      </c>
      <c r="N13" s="27" t="n">
        <f aca="false">F13-I13</f>
        <v>0.00445142111808779</v>
      </c>
      <c r="O13" s="27" t="n">
        <f aca="false">F13-L13</f>
        <v>-0.0030568692369179</v>
      </c>
    </row>
    <row r="14" customFormat="false" ht="15" hidden="false" customHeight="false" outlineLevel="0" collapsed="false">
      <c r="A14" s="22" t="n">
        <v>8</v>
      </c>
      <c r="B14" s="22" t="s">
        <v>101</v>
      </c>
      <c r="C14" s="23" t="s">
        <v>102</v>
      </c>
      <c r="D14" s="24" t="n">
        <v>600</v>
      </c>
      <c r="E14" s="25" t="n">
        <v>39</v>
      </c>
      <c r="F14" s="26" t="n">
        <f aca="false">IFERROR(E14/E$49,0)</f>
        <v>0.0218855218855219</v>
      </c>
      <c r="G14" s="22" t="n">
        <f aca="false">IF(E14=0,"-",RANK(E14,E$7:E$48))</f>
        <v>9</v>
      </c>
      <c r="H14" s="25" t="n">
        <v>106</v>
      </c>
      <c r="I14" s="26" t="n">
        <f aca="false">IFERROR(H14/H$49,0)</f>
        <v>0.0170527670527671</v>
      </c>
      <c r="J14" s="22" t="n">
        <f aca="false">IF(H14=0,"-",RANK(H14,H$7:H$48))</f>
        <v>10</v>
      </c>
      <c r="K14" s="25" t="n">
        <v>82</v>
      </c>
      <c r="L14" s="26" t="n">
        <f aca="false">IFERROR(K14/K$49,0)</f>
        <v>0.0213764337851929</v>
      </c>
      <c r="M14" s="22" t="n">
        <f aca="false">IF(K14=0,"-",RANK(K14,K$7:K$48))</f>
        <v>9</v>
      </c>
      <c r="N14" s="27" t="n">
        <f aca="false">F14-I14</f>
        <v>0.00483275483275484</v>
      </c>
      <c r="O14" s="27" t="n">
        <f aca="false">F14-L14</f>
        <v>0.000509088100328976</v>
      </c>
    </row>
    <row r="15" customFormat="false" ht="15" hidden="false" customHeight="false" outlineLevel="0" collapsed="false">
      <c r="A15" s="22" t="n">
        <v>9</v>
      </c>
      <c r="B15" s="22" t="s">
        <v>103</v>
      </c>
      <c r="C15" s="23" t="s">
        <v>104</v>
      </c>
      <c r="D15" s="24" t="n">
        <v>600</v>
      </c>
      <c r="E15" s="25" t="n">
        <v>28</v>
      </c>
      <c r="F15" s="26" t="n">
        <f aca="false">IFERROR(E15/E$49,0)</f>
        <v>0.015712682379349</v>
      </c>
      <c r="G15" s="22" t="n">
        <f aca="false">IF(E15=0,"-",RANK(E15,E$7:E$48))</f>
        <v>12</v>
      </c>
      <c r="H15" s="25" t="n">
        <v>73</v>
      </c>
      <c r="I15" s="26" t="n">
        <f aca="false">IFERROR(H15/H$49,0)</f>
        <v>0.0117438867438867</v>
      </c>
      <c r="J15" s="22" t="n">
        <f aca="false">IF(H15=0,"-",RANK(H15,H$7:H$48))</f>
        <v>12</v>
      </c>
      <c r="K15" s="25" t="n">
        <v>50</v>
      </c>
      <c r="L15" s="26" t="n">
        <f aca="false">IFERROR(K15/K$49,0)</f>
        <v>0.0130344108446298</v>
      </c>
      <c r="M15" s="22" t="n">
        <f aca="false">IF(K15=0,"-",RANK(K15,K$7:K$48))</f>
        <v>12</v>
      </c>
      <c r="N15" s="27" t="n">
        <f aca="false">F15-I15</f>
        <v>0.0039687956354623</v>
      </c>
      <c r="O15" s="27" t="n">
        <f aca="false">F15-L15</f>
        <v>0.00267827153471923</v>
      </c>
    </row>
    <row r="16" customFormat="false" ht="15" hidden="false" customHeight="false" outlineLevel="0" collapsed="false">
      <c r="A16" s="22" t="n">
        <v>10</v>
      </c>
      <c r="B16" s="22" t="s">
        <v>105</v>
      </c>
      <c r="C16" s="23" t="s">
        <v>106</v>
      </c>
      <c r="D16" s="24" t="n">
        <v>600</v>
      </c>
      <c r="E16" s="25" t="n">
        <v>18</v>
      </c>
      <c r="F16" s="26" t="n">
        <f aca="false">IFERROR(E16/E$49,0)</f>
        <v>0.0101010101010101</v>
      </c>
      <c r="G16" s="22" t="n">
        <f aca="false">IF(E16=0,"-",RANK(E16,E$7:E$48))</f>
        <v>16</v>
      </c>
      <c r="H16" s="25" t="n">
        <v>24</v>
      </c>
      <c r="I16" s="26" t="n">
        <f aca="false">IFERROR(H16/H$49,0)</f>
        <v>0.00386100386100386</v>
      </c>
      <c r="J16" s="22" t="n">
        <f aca="false">IF(H16=0,"-",RANK(H16,H$7:H$48))</f>
        <v>18</v>
      </c>
      <c r="K16" s="25" t="n">
        <v>28</v>
      </c>
      <c r="L16" s="26" t="n">
        <f aca="false">IFERROR(K16/K$49,0)</f>
        <v>0.0072992700729927</v>
      </c>
      <c r="M16" s="22" t="n">
        <f aca="false">IF(K16=0,"-",RANK(K16,K$7:K$48))</f>
        <v>16</v>
      </c>
      <c r="N16" s="27" t="n">
        <f aca="false">F16-I16</f>
        <v>0.00624000624000624</v>
      </c>
      <c r="O16" s="27" t="n">
        <f aca="false">F16-L16</f>
        <v>0.0028017400280174</v>
      </c>
    </row>
    <row r="17" customFormat="false" ht="15" hidden="false" customHeight="false" outlineLevel="0" collapsed="false">
      <c r="A17" s="22" t="n">
        <v>11</v>
      </c>
      <c r="B17" s="22" t="s">
        <v>107</v>
      </c>
      <c r="C17" s="23" t="s">
        <v>108</v>
      </c>
      <c r="D17" s="24" t="n">
        <v>600</v>
      </c>
      <c r="E17" s="25" t="n">
        <v>0</v>
      </c>
      <c r="F17" s="26" t="n">
        <f aca="false">IFERROR(E17/E$49,0)</f>
        <v>0</v>
      </c>
      <c r="G17" s="22" t="str">
        <f aca="false">IF(E17=0,"-",RANK(E17,E$7:E$48))</f>
        <v>-</v>
      </c>
      <c r="H17" s="25" t="n">
        <v>2</v>
      </c>
      <c r="I17" s="26" t="n">
        <f aca="false">IFERROR(H17/H$49,0)</f>
        <v>0.000321750321750322</v>
      </c>
      <c r="J17" s="22" t="n">
        <f aca="false">IF(H17=0,"-",RANK(H17,H$7:H$48))</f>
        <v>36</v>
      </c>
      <c r="K17" s="25" t="n">
        <v>4</v>
      </c>
      <c r="L17" s="26" t="n">
        <f aca="false">IFERROR(K17/K$49,0)</f>
        <v>0.00104275286757039</v>
      </c>
      <c r="M17" s="22" t="n">
        <f aca="false">IF(K17=0,"-",RANK(K17,K$7:K$48))</f>
        <v>27</v>
      </c>
      <c r="N17" s="27" t="n">
        <f aca="false">F17-I17</f>
        <v>-0.000321750321750322</v>
      </c>
      <c r="O17" s="27" t="n">
        <f aca="false">F17-L17</f>
        <v>-0.00104275286757039</v>
      </c>
    </row>
    <row r="18" customFormat="false" ht="15" hidden="false" customHeight="false" outlineLevel="0" collapsed="false">
      <c r="A18" s="22" t="n">
        <v>12</v>
      </c>
      <c r="B18" s="22" t="s">
        <v>109</v>
      </c>
      <c r="C18" s="23" t="s">
        <v>110</v>
      </c>
      <c r="D18" s="24" t="n">
        <v>600</v>
      </c>
      <c r="E18" s="25" t="n">
        <v>1</v>
      </c>
      <c r="F18" s="26" t="n">
        <f aca="false">IFERROR(E18/E$49,0)</f>
        <v>0.000561167227833895</v>
      </c>
      <c r="G18" s="22" t="n">
        <f aca="false">IF(E18=0,"-",RANK(E18,E$7:E$48))</f>
        <v>30</v>
      </c>
      <c r="H18" s="25" t="n">
        <v>9</v>
      </c>
      <c r="I18" s="26" t="n">
        <f aca="false">IFERROR(H18/H$49,0)</f>
        <v>0.00144787644787645</v>
      </c>
      <c r="J18" s="22" t="n">
        <f aca="false">IF(H18=0,"-",RANK(H18,H$7:H$48))</f>
        <v>27</v>
      </c>
      <c r="K18" s="25" t="n">
        <v>6</v>
      </c>
      <c r="L18" s="26" t="n">
        <f aca="false">IFERROR(K18/K$49,0)</f>
        <v>0.00156412930135558</v>
      </c>
      <c r="M18" s="22" t="n">
        <f aca="false">IF(K18=0,"-",RANK(K18,K$7:K$48))</f>
        <v>24</v>
      </c>
      <c r="N18" s="27" t="n">
        <f aca="false">F18-I18</f>
        <v>-0.000886709220042553</v>
      </c>
      <c r="O18" s="27" t="n">
        <f aca="false">F18-L18</f>
        <v>-0.00100296207352168</v>
      </c>
    </row>
    <row r="19" customFormat="false" ht="15" hidden="false" customHeight="false" outlineLevel="0" collapsed="false">
      <c r="A19" s="22" t="n">
        <v>13</v>
      </c>
      <c r="B19" s="22" t="s">
        <v>111</v>
      </c>
      <c r="C19" s="23" t="s">
        <v>112</v>
      </c>
      <c r="D19" s="24" t="n">
        <v>600</v>
      </c>
      <c r="E19" s="25" t="n">
        <v>0</v>
      </c>
      <c r="F19" s="26" t="n">
        <f aca="false">IFERROR(E19/E$49,0)</f>
        <v>0</v>
      </c>
      <c r="G19" s="22" t="str">
        <f aca="false">IF(E19=0,"-",RANK(E19,E$7:E$48))</f>
        <v>-</v>
      </c>
      <c r="H19" s="25" t="n">
        <v>1</v>
      </c>
      <c r="I19" s="26" t="n">
        <f aca="false">IFERROR(H19/H$49,0)</f>
        <v>0.000160875160875161</v>
      </c>
      <c r="J19" s="22" t="n">
        <f aca="false">IF(H19=0,"-",RANK(H19,H$7:H$48))</f>
        <v>40</v>
      </c>
      <c r="K19" s="25" t="n">
        <v>2</v>
      </c>
      <c r="L19" s="26" t="n">
        <f aca="false">IFERROR(K19/K$49,0)</f>
        <v>0.000521376433785193</v>
      </c>
      <c r="M19" s="22" t="n">
        <f aca="false">IF(K19=0,"-",RANK(K19,K$7:K$48))</f>
        <v>30</v>
      </c>
      <c r="N19" s="27" t="n">
        <f aca="false">F19-I19</f>
        <v>-0.000160875160875161</v>
      </c>
      <c r="O19" s="27" t="n">
        <f aca="false">F19-L19</f>
        <v>-0.000521376433785193</v>
      </c>
    </row>
    <row r="20" customFormat="false" ht="15" hidden="false" customHeight="false" outlineLevel="0" collapsed="false">
      <c r="A20" s="22" t="n">
        <v>14</v>
      </c>
      <c r="B20" s="22" t="s">
        <v>113</v>
      </c>
      <c r="C20" s="23" t="s">
        <v>114</v>
      </c>
      <c r="D20" s="24" t="n">
        <v>600</v>
      </c>
      <c r="E20" s="25" t="n">
        <v>7</v>
      </c>
      <c r="F20" s="26" t="n">
        <f aca="false">IFERROR(E20/E$49,0)</f>
        <v>0.00392817059483726</v>
      </c>
      <c r="G20" s="22" t="n">
        <f aca="false">IF(E20=0,"-",RANK(E20,E$7:E$48))</f>
        <v>21</v>
      </c>
      <c r="H20" s="25" t="n">
        <v>12</v>
      </c>
      <c r="I20" s="26" t="n">
        <f aca="false">IFERROR(H20/H$49,0)</f>
        <v>0.00193050193050193</v>
      </c>
      <c r="J20" s="22" t="n">
        <f aca="false">IF(H20=0,"-",RANK(H20,H$7:H$48))</f>
        <v>24</v>
      </c>
      <c r="K20" s="25" t="n">
        <v>7</v>
      </c>
      <c r="L20" s="26" t="n">
        <f aca="false">IFERROR(K20/K$49,0)</f>
        <v>0.00182481751824818</v>
      </c>
      <c r="M20" s="22" t="n">
        <f aca="false">IF(K20=0,"-",RANK(K20,K$7:K$48))</f>
        <v>23</v>
      </c>
      <c r="N20" s="27" t="n">
        <f aca="false">F20-I20</f>
        <v>0.00199766866433533</v>
      </c>
      <c r="O20" s="27" t="n">
        <f aca="false">F20-L20</f>
        <v>0.00210335307658909</v>
      </c>
    </row>
    <row r="21" customFormat="false" ht="15" hidden="false" customHeight="false" outlineLevel="0" collapsed="false">
      <c r="A21" s="22" t="n">
        <v>15</v>
      </c>
      <c r="B21" s="22" t="s">
        <v>115</v>
      </c>
      <c r="C21" s="23" t="s">
        <v>116</v>
      </c>
      <c r="D21" s="24" t="n">
        <v>600</v>
      </c>
      <c r="E21" s="25" t="n">
        <v>11</v>
      </c>
      <c r="F21" s="26" t="n">
        <f aca="false">IFERROR(E21/E$49,0)</f>
        <v>0.00617283950617284</v>
      </c>
      <c r="G21" s="22" t="n">
        <f aca="false">IF(E21=0,"-",RANK(E21,E$7:E$48))</f>
        <v>19</v>
      </c>
      <c r="H21" s="25" t="n">
        <v>14</v>
      </c>
      <c r="I21" s="26" t="n">
        <f aca="false">IFERROR(H21/H$49,0)</f>
        <v>0.00225225225225225</v>
      </c>
      <c r="J21" s="22" t="n">
        <f aca="false">IF(H21=0,"-",RANK(H21,H$7:H$48))</f>
        <v>23</v>
      </c>
      <c r="K21" s="25" t="n">
        <v>12</v>
      </c>
      <c r="L21" s="26" t="n">
        <f aca="false">IFERROR(K21/K$49,0)</f>
        <v>0.00312825860271116</v>
      </c>
      <c r="M21" s="22" t="n">
        <f aca="false">IF(K21=0,"-",RANK(K21,K$7:K$48))</f>
        <v>21</v>
      </c>
      <c r="N21" s="27" t="n">
        <f aca="false">F21-I21</f>
        <v>0.00392058725392059</v>
      </c>
      <c r="O21" s="27" t="n">
        <f aca="false">F21-L21</f>
        <v>0.00304458090346168</v>
      </c>
    </row>
    <row r="22" customFormat="false" ht="15" hidden="false" customHeight="false" outlineLevel="0" collapsed="false">
      <c r="A22" s="22" t="n">
        <v>16</v>
      </c>
      <c r="B22" s="22" t="s">
        <v>117</v>
      </c>
      <c r="C22" s="23" t="s">
        <v>118</v>
      </c>
      <c r="D22" s="24" t="n">
        <v>600</v>
      </c>
      <c r="E22" s="25" t="n">
        <v>3</v>
      </c>
      <c r="F22" s="26" t="n">
        <f aca="false">IFERROR(E22/E$49,0)</f>
        <v>0.00168350168350168</v>
      </c>
      <c r="G22" s="22" t="n">
        <f aca="false">IF(E22=0,"-",RANK(E22,E$7:E$48))</f>
        <v>26</v>
      </c>
      <c r="H22" s="25" t="n">
        <v>2</v>
      </c>
      <c r="I22" s="26" t="n">
        <f aca="false">IFERROR(H22/H$49,0)</f>
        <v>0.000321750321750322</v>
      </c>
      <c r="J22" s="22" t="n">
        <f aca="false">IF(H22=0,"-",RANK(H22,H$7:H$48))</f>
        <v>36</v>
      </c>
      <c r="K22" s="25" t="n">
        <v>2</v>
      </c>
      <c r="L22" s="26" t="n">
        <f aca="false">IFERROR(K22/K$49,0)</f>
        <v>0.000521376433785193</v>
      </c>
      <c r="M22" s="22" t="n">
        <f aca="false">IF(K22=0,"-",RANK(K22,K$7:K$48))</f>
        <v>30</v>
      </c>
      <c r="N22" s="27" t="n">
        <f aca="false">F22-I22</f>
        <v>0.00136175136175136</v>
      </c>
      <c r="O22" s="27" t="n">
        <f aca="false">F22-L22</f>
        <v>0.00116212524971649</v>
      </c>
    </row>
    <row r="23" customFormat="false" ht="15" hidden="false" customHeight="false" outlineLevel="0" collapsed="false">
      <c r="A23" s="22" t="n">
        <v>17</v>
      </c>
      <c r="B23" s="22" t="s">
        <v>119</v>
      </c>
      <c r="C23" s="23" t="s">
        <v>120</v>
      </c>
      <c r="D23" s="24" t="n">
        <v>600</v>
      </c>
      <c r="E23" s="25" t="n">
        <v>11</v>
      </c>
      <c r="F23" s="26" t="n">
        <f aca="false">IFERROR(E23/E$49,0)</f>
        <v>0.00617283950617284</v>
      </c>
      <c r="G23" s="22" t="n">
        <f aca="false">IF(E23=0,"-",RANK(E23,E$7:E$48))</f>
        <v>19</v>
      </c>
      <c r="H23" s="25" t="n">
        <v>15</v>
      </c>
      <c r="I23" s="26" t="n">
        <f aca="false">IFERROR(H23/H$49,0)</f>
        <v>0.00241312741312741</v>
      </c>
      <c r="J23" s="22" t="n">
        <f aca="false">IF(H23=0,"-",RANK(H23,H$7:H$48))</f>
        <v>22</v>
      </c>
      <c r="K23" s="25" t="n">
        <v>11</v>
      </c>
      <c r="L23" s="26" t="n">
        <f aca="false">IFERROR(K23/K$49,0)</f>
        <v>0.00286757038581856</v>
      </c>
      <c r="M23" s="22" t="n">
        <f aca="false">IF(K23=0,"-",RANK(K23,K$7:K$48))</f>
        <v>22</v>
      </c>
      <c r="N23" s="27" t="n">
        <f aca="false">F23-I23</f>
        <v>0.00375971209304543</v>
      </c>
      <c r="O23" s="27" t="n">
        <f aca="false">F23-L23</f>
        <v>0.00330526912035428</v>
      </c>
    </row>
    <row r="24" customFormat="false" ht="15" hidden="false" customHeight="false" outlineLevel="0" collapsed="false">
      <c r="A24" s="22" t="n">
        <v>18</v>
      </c>
      <c r="B24" s="22" t="s">
        <v>121</v>
      </c>
      <c r="C24" s="23" t="s">
        <v>122</v>
      </c>
      <c r="D24" s="24" t="n">
        <v>600</v>
      </c>
      <c r="E24" s="25" t="n">
        <v>96</v>
      </c>
      <c r="F24" s="26" t="n">
        <f aca="false">IFERROR(E24/E$49,0)</f>
        <v>0.0538720538720539</v>
      </c>
      <c r="G24" s="22" t="n">
        <f aca="false">IF(E24=0,"-",RANK(E24,E$7:E$48))</f>
        <v>5</v>
      </c>
      <c r="H24" s="25" t="n">
        <v>225</v>
      </c>
      <c r="I24" s="26" t="n">
        <f aca="false">IFERROR(H24/H$49,0)</f>
        <v>0.0361969111969112</v>
      </c>
      <c r="J24" s="22" t="n">
        <f aca="false">IF(H24=0,"-",RANK(H24,H$7:H$48))</f>
        <v>5</v>
      </c>
      <c r="K24" s="25" t="n">
        <v>131</v>
      </c>
      <c r="L24" s="26" t="n">
        <f aca="false">IFERROR(K24/K$49,0)</f>
        <v>0.0341501564129301</v>
      </c>
      <c r="M24" s="22" t="n">
        <f aca="false">IF(K24=0,"-",RANK(K24,K$7:K$48))</f>
        <v>5</v>
      </c>
      <c r="N24" s="27" t="n">
        <f aca="false">F24-I24</f>
        <v>0.0176751426751427</v>
      </c>
      <c r="O24" s="27" t="n">
        <f aca="false">F24-L24</f>
        <v>0.0197218974591237</v>
      </c>
    </row>
    <row r="25" customFormat="false" ht="15" hidden="false" customHeight="false" outlineLevel="0" collapsed="false">
      <c r="A25" s="22" t="n">
        <v>19</v>
      </c>
      <c r="B25" s="22" t="s">
        <v>123</v>
      </c>
      <c r="C25" s="23" t="s">
        <v>124</v>
      </c>
      <c r="D25" s="24" t="n">
        <v>600</v>
      </c>
      <c r="E25" s="25" t="n">
        <v>4</v>
      </c>
      <c r="F25" s="26" t="n">
        <f aca="false">IFERROR(E25/E$49,0)</f>
        <v>0.00224466891133558</v>
      </c>
      <c r="G25" s="22" t="n">
        <f aca="false">IF(E25=0,"-",RANK(E25,E$7:E$48))</f>
        <v>25</v>
      </c>
      <c r="H25" s="25" t="n">
        <v>8</v>
      </c>
      <c r="I25" s="26" t="n">
        <f aca="false">IFERROR(H25/H$49,0)</f>
        <v>0.00128700128700129</v>
      </c>
      <c r="J25" s="22" t="n">
        <f aca="false">IF(H25=0,"-",RANK(H25,H$7:H$48))</f>
        <v>29</v>
      </c>
      <c r="K25" s="25" t="n">
        <v>3</v>
      </c>
      <c r="L25" s="26" t="n">
        <f aca="false">IFERROR(K25/K$49,0)</f>
        <v>0.000782064650677789</v>
      </c>
      <c r="M25" s="22" t="n">
        <f aca="false">IF(K25=0,"-",RANK(K25,K$7:K$48))</f>
        <v>28</v>
      </c>
      <c r="N25" s="27" t="n">
        <f aca="false">F25-I25</f>
        <v>0.000957667624334291</v>
      </c>
      <c r="O25" s="27" t="n">
        <f aca="false">F25-L25</f>
        <v>0.00146260426065779</v>
      </c>
    </row>
    <row r="26" customFormat="false" ht="15" hidden="false" customHeight="false" outlineLevel="0" collapsed="false">
      <c r="A26" s="22" t="n">
        <v>20</v>
      </c>
      <c r="B26" s="22" t="s">
        <v>125</v>
      </c>
      <c r="C26" s="23" t="s">
        <v>126</v>
      </c>
      <c r="D26" s="24" t="n">
        <v>600</v>
      </c>
      <c r="E26" s="25" t="n">
        <v>2</v>
      </c>
      <c r="F26" s="26" t="n">
        <f aca="false">IFERROR(E26/E$49,0)</f>
        <v>0.00112233445566779</v>
      </c>
      <c r="G26" s="22" t="n">
        <f aca="false">IF(E26=0,"-",RANK(E26,E$7:E$48))</f>
        <v>29</v>
      </c>
      <c r="H26" s="25" t="n">
        <v>0</v>
      </c>
      <c r="I26" s="26" t="n">
        <f aca="false">IFERROR(H26/H$49,0)</f>
        <v>0</v>
      </c>
      <c r="J26" s="22" t="str">
        <f aca="false">IF(H26=0,"-",RANK(H26,H$7:H$48))</f>
        <v>-</v>
      </c>
      <c r="K26" s="25" t="n">
        <v>2</v>
      </c>
      <c r="L26" s="26" t="n">
        <f aca="false">IFERROR(K26/K$49,0)</f>
        <v>0.000521376433785193</v>
      </c>
      <c r="M26" s="22" t="n">
        <f aca="false">IF(K26=0,"-",RANK(K26,K$7:K$48))</f>
        <v>30</v>
      </c>
      <c r="N26" s="27" t="n">
        <f aca="false">F26-I26</f>
        <v>0.00112233445566779</v>
      </c>
      <c r="O26" s="27" t="n">
        <f aca="false">F26-L26</f>
        <v>0.000600958021882596</v>
      </c>
    </row>
    <row r="27" customFormat="false" ht="15" hidden="false" customHeight="false" outlineLevel="0" collapsed="false">
      <c r="A27" s="22" t="n">
        <v>21</v>
      </c>
      <c r="B27" s="22" t="s">
        <v>127</v>
      </c>
      <c r="C27" s="23" t="s">
        <v>128</v>
      </c>
      <c r="D27" s="24" t="n">
        <v>600</v>
      </c>
      <c r="E27" s="25" t="n">
        <v>12</v>
      </c>
      <c r="F27" s="26" t="n">
        <f aca="false">IFERROR(E27/E$49,0)</f>
        <v>0.00673400673400673</v>
      </c>
      <c r="G27" s="22" t="n">
        <f aca="false">IF(E27=0,"-",RANK(E27,E$7:E$48))</f>
        <v>18</v>
      </c>
      <c r="H27" s="25" t="n">
        <v>17</v>
      </c>
      <c r="I27" s="26" t="n">
        <f aca="false">IFERROR(H27/H$49,0)</f>
        <v>0.00273487773487773</v>
      </c>
      <c r="J27" s="22" t="n">
        <f aca="false">IF(H27=0,"-",RANK(H27,H$7:H$48))</f>
        <v>21</v>
      </c>
      <c r="K27" s="25" t="n">
        <v>19</v>
      </c>
      <c r="L27" s="26" t="n">
        <f aca="false">IFERROR(K27/K$49,0)</f>
        <v>0.00495307612095933</v>
      </c>
      <c r="M27" s="22" t="n">
        <f aca="false">IF(K27=0,"-",RANK(K27,K$7:K$48))</f>
        <v>19</v>
      </c>
      <c r="N27" s="27" t="n">
        <f aca="false">F27-I27</f>
        <v>0.003999128999129</v>
      </c>
      <c r="O27" s="27" t="n">
        <f aca="false">F27-L27</f>
        <v>0.0017809306130474</v>
      </c>
    </row>
    <row r="28" customFormat="false" ht="15" hidden="false" customHeight="false" outlineLevel="0" collapsed="false">
      <c r="A28" s="22" t="n">
        <v>22</v>
      </c>
      <c r="B28" s="22" t="s">
        <v>129</v>
      </c>
      <c r="C28" s="23" t="s">
        <v>130</v>
      </c>
      <c r="D28" s="24" t="n">
        <v>600</v>
      </c>
      <c r="E28" s="25" t="n">
        <v>3</v>
      </c>
      <c r="F28" s="26" t="n">
        <f aca="false">IFERROR(E28/E$49,0)</f>
        <v>0.00168350168350168</v>
      </c>
      <c r="G28" s="22" t="n">
        <f aca="false">IF(E28=0,"-",RANK(E28,E$7:E$48))</f>
        <v>26</v>
      </c>
      <c r="H28" s="25" t="n">
        <v>9</v>
      </c>
      <c r="I28" s="26" t="n">
        <f aca="false">IFERROR(H28/H$49,0)</f>
        <v>0.00144787644787645</v>
      </c>
      <c r="J28" s="22" t="n">
        <f aca="false">IF(H28=0,"-",RANK(H28,H$7:H$48))</f>
        <v>27</v>
      </c>
      <c r="K28" s="25" t="n">
        <v>5</v>
      </c>
      <c r="L28" s="26" t="n">
        <f aca="false">IFERROR(K28/K$49,0)</f>
        <v>0.00130344108446298</v>
      </c>
      <c r="M28" s="22" t="n">
        <f aca="false">IF(K28=0,"-",RANK(K28,K$7:K$48))</f>
        <v>25</v>
      </c>
      <c r="N28" s="27" t="n">
        <f aca="false">F28-I28</f>
        <v>0.000235625235625236</v>
      </c>
      <c r="O28" s="27" t="n">
        <f aca="false">F28-L28</f>
        <v>0.000380060599038701</v>
      </c>
    </row>
    <row r="29" customFormat="false" ht="15" hidden="false" customHeight="false" outlineLevel="0" collapsed="false">
      <c r="A29" s="22" t="n">
        <v>23</v>
      </c>
      <c r="B29" s="22" t="s">
        <v>131</v>
      </c>
      <c r="C29" s="23" t="s">
        <v>132</v>
      </c>
      <c r="D29" s="24" t="n">
        <v>600</v>
      </c>
      <c r="E29" s="25" t="n">
        <v>390</v>
      </c>
      <c r="F29" s="26" t="n">
        <f aca="false">IFERROR(E29/E$49,0)</f>
        <v>0.218855218855219</v>
      </c>
      <c r="G29" s="22" t="n">
        <f aca="false">IF(E29=0,"-",RANK(E29,E$7:E$48))</f>
        <v>2</v>
      </c>
      <c r="H29" s="25" t="n">
        <v>1173</v>
      </c>
      <c r="I29" s="26" t="n">
        <f aca="false">IFERROR(H29/H$49,0)</f>
        <v>0.188706563706564</v>
      </c>
      <c r="J29" s="22" t="n">
        <f aca="false">IF(H29=0,"-",RANK(H29,H$7:H$48))</f>
        <v>2</v>
      </c>
      <c r="K29" s="25" t="n">
        <v>810</v>
      </c>
      <c r="L29" s="26" t="n">
        <f aca="false">IFERROR(K29/K$49,0)</f>
        <v>0.211157455683003</v>
      </c>
      <c r="M29" s="22" t="n">
        <f aca="false">IF(K29=0,"-",RANK(K29,K$7:K$48))</f>
        <v>2</v>
      </c>
      <c r="N29" s="27" t="n">
        <f aca="false">F29-I29</f>
        <v>0.0301486551486551</v>
      </c>
      <c r="O29" s="27" t="n">
        <f aca="false">F29-L29</f>
        <v>0.00769776317221574</v>
      </c>
    </row>
    <row r="30" customFormat="false" ht="15" hidden="false" customHeight="false" outlineLevel="0" collapsed="false">
      <c r="A30" s="22" t="n">
        <v>24</v>
      </c>
      <c r="B30" s="22" t="s">
        <v>133</v>
      </c>
      <c r="C30" s="23" t="s">
        <v>134</v>
      </c>
      <c r="D30" s="24" t="n">
        <v>600</v>
      </c>
      <c r="E30" s="25" t="n">
        <v>205</v>
      </c>
      <c r="F30" s="26" t="n">
        <f aca="false">IFERROR(E30/E$49,0)</f>
        <v>0.115039281705948</v>
      </c>
      <c r="G30" s="22" t="n">
        <f aca="false">IF(E30=0,"-",RANK(E30,E$7:E$48))</f>
        <v>3</v>
      </c>
      <c r="H30" s="25" t="n">
        <v>794</v>
      </c>
      <c r="I30" s="26" t="n">
        <f aca="false">IFERROR(H30/H$49,0)</f>
        <v>0.127734877734878</v>
      </c>
      <c r="J30" s="22" t="n">
        <f aca="false">IF(H30=0,"-",RANK(H30,H$7:H$48))</f>
        <v>4</v>
      </c>
      <c r="K30" s="25" t="n">
        <v>497</v>
      </c>
      <c r="L30" s="26" t="n">
        <f aca="false">IFERROR(K30/K$49,0)</f>
        <v>0.12956204379562</v>
      </c>
      <c r="M30" s="22" t="n">
        <f aca="false">IF(K30=0,"-",RANK(K30,K$7:K$48))</f>
        <v>4</v>
      </c>
      <c r="N30" s="27" t="n">
        <f aca="false">F30-I30</f>
        <v>-0.0126955960289294</v>
      </c>
      <c r="O30" s="27" t="n">
        <f aca="false">F30-L30</f>
        <v>-0.0145227620896721</v>
      </c>
    </row>
    <row r="31" customFormat="false" ht="15" hidden="false" customHeight="false" outlineLevel="0" collapsed="false">
      <c r="A31" s="22" t="n">
        <v>25</v>
      </c>
      <c r="B31" s="22" t="s">
        <v>135</v>
      </c>
      <c r="C31" s="23" t="s">
        <v>136</v>
      </c>
      <c r="D31" s="24" t="n">
        <v>1500</v>
      </c>
      <c r="E31" s="25" t="n">
        <v>7</v>
      </c>
      <c r="F31" s="26" t="n">
        <f aca="false">IFERROR(E31/E$49,0)</f>
        <v>0.00392817059483726</v>
      </c>
      <c r="G31" s="22" t="n">
        <f aca="false">IF(E31=0,"-",RANK(E31,E$7:E$48))</f>
        <v>21</v>
      </c>
      <c r="H31" s="25" t="n">
        <v>21</v>
      </c>
      <c r="I31" s="26" t="n">
        <f aca="false">IFERROR(H31/H$49,0)</f>
        <v>0.00337837837837838</v>
      </c>
      <c r="J31" s="22" t="n">
        <f aca="false">IF(H31=0,"-",RANK(H31,H$7:H$48))</f>
        <v>19</v>
      </c>
      <c r="K31" s="25" t="n">
        <v>15</v>
      </c>
      <c r="L31" s="26" t="n">
        <f aca="false">IFERROR(K31/K$49,0)</f>
        <v>0.00391032325338895</v>
      </c>
      <c r="M31" s="22" t="n">
        <f aca="false">IF(K31=0,"-",RANK(K31,K$7:K$48))</f>
        <v>20</v>
      </c>
      <c r="N31" s="27" t="n">
        <f aca="false">F31-I31</f>
        <v>0.000549792216458883</v>
      </c>
      <c r="O31" s="27" t="n">
        <f aca="false">F31-L31</f>
        <v>1.78473414483146E-005</v>
      </c>
    </row>
    <row r="32" customFormat="false" ht="15" hidden="false" customHeight="false" outlineLevel="0" collapsed="false">
      <c r="A32" s="22" t="n">
        <v>26</v>
      </c>
      <c r="B32" s="22" t="s">
        <v>137</v>
      </c>
      <c r="C32" s="23" t="s">
        <v>138</v>
      </c>
      <c r="D32" s="24" t="n">
        <v>2200</v>
      </c>
      <c r="E32" s="25" t="n">
        <v>27</v>
      </c>
      <c r="F32" s="26" t="n">
        <f aca="false">IFERROR(E32/E$49,0)</f>
        <v>0.0151515151515152</v>
      </c>
      <c r="G32" s="22" t="n">
        <f aca="false">IF(E32=0,"-",RANK(E32,E$7:E$48))</f>
        <v>14</v>
      </c>
      <c r="H32" s="25" t="n">
        <v>161</v>
      </c>
      <c r="I32" s="26" t="n">
        <f aca="false">IFERROR(H32/H$49,0)</f>
        <v>0.0259009009009009</v>
      </c>
      <c r="J32" s="22" t="n">
        <f aca="false">IF(H32=0,"-",RANK(H32,H$7:H$48))</f>
        <v>7</v>
      </c>
      <c r="K32" s="25" t="n">
        <v>83</v>
      </c>
      <c r="L32" s="26" t="n">
        <f aca="false">IFERROR(K32/K$49,0)</f>
        <v>0.0216371220020855</v>
      </c>
      <c r="M32" s="22" t="n">
        <f aca="false">IF(K32=0,"-",RANK(K32,K$7:K$48))</f>
        <v>8</v>
      </c>
      <c r="N32" s="27" t="n">
        <f aca="false">F32-I32</f>
        <v>-0.0107493857493857</v>
      </c>
      <c r="O32" s="27" t="n">
        <f aca="false">F32-L32</f>
        <v>-0.00648560685057036</v>
      </c>
    </row>
    <row r="33" customFormat="false" ht="15" hidden="false" customHeight="false" outlineLevel="0" collapsed="false">
      <c r="A33" s="22" t="n">
        <v>27</v>
      </c>
      <c r="B33" s="22" t="s">
        <v>139</v>
      </c>
      <c r="C33" s="23" t="s">
        <v>140</v>
      </c>
      <c r="D33" s="24" t="n">
        <v>1100</v>
      </c>
      <c r="E33" s="25" t="n">
        <v>5</v>
      </c>
      <c r="F33" s="26" t="n">
        <f aca="false">IFERROR(E33/E$49,0)</f>
        <v>0.00280583613916947</v>
      </c>
      <c r="G33" s="22" t="n">
        <f aca="false">IF(E33=0,"-",RANK(E33,E$7:E$48))</f>
        <v>23</v>
      </c>
      <c r="H33" s="25" t="n">
        <v>11</v>
      </c>
      <c r="I33" s="26" t="n">
        <f aca="false">IFERROR(H33/H$49,0)</f>
        <v>0.00176962676962677</v>
      </c>
      <c r="J33" s="22" t="n">
        <f aca="false">IF(H33=0,"-",RANK(H33,H$7:H$48))</f>
        <v>26</v>
      </c>
      <c r="K33" s="25" t="n">
        <v>5</v>
      </c>
      <c r="L33" s="26" t="n">
        <f aca="false">IFERROR(K33/K$49,0)</f>
        <v>0.00130344108446298</v>
      </c>
      <c r="M33" s="22" t="n">
        <f aca="false">IF(K33=0,"-",RANK(K33,K$7:K$48))</f>
        <v>25</v>
      </c>
      <c r="N33" s="27" t="n">
        <f aca="false">F33-I33</f>
        <v>0.0010362093695427</v>
      </c>
      <c r="O33" s="27" t="n">
        <f aca="false">F33-L33</f>
        <v>0.00150239505470649</v>
      </c>
    </row>
    <row r="34" customFormat="false" ht="15" hidden="false" customHeight="false" outlineLevel="0" collapsed="false">
      <c r="A34" s="22" t="n">
        <v>28</v>
      </c>
      <c r="B34" s="22" t="s">
        <v>141</v>
      </c>
      <c r="C34" s="23" t="s">
        <v>142</v>
      </c>
      <c r="D34" s="24" t="n">
        <v>1800</v>
      </c>
      <c r="E34" s="25" t="n">
        <v>33</v>
      </c>
      <c r="F34" s="26" t="n">
        <f aca="false">IFERROR(E34/E$49,0)</f>
        <v>0.0185185185185185</v>
      </c>
      <c r="G34" s="22" t="n">
        <f aca="false">IF(E34=0,"-",RANK(E34,E$7:E$48))</f>
        <v>11</v>
      </c>
      <c r="H34" s="25" t="n">
        <v>44</v>
      </c>
      <c r="I34" s="26" t="n">
        <f aca="false">IFERROR(H34/H$49,0)</f>
        <v>0.00707850707850708</v>
      </c>
      <c r="J34" s="22" t="n">
        <f aca="false">IF(H34=0,"-",RANK(H34,H$7:H$48))</f>
        <v>15</v>
      </c>
      <c r="K34" s="25" t="n">
        <v>39</v>
      </c>
      <c r="L34" s="26" t="n">
        <f aca="false">IFERROR(K34/K$49,0)</f>
        <v>0.0101668404588113</v>
      </c>
      <c r="M34" s="22" t="n">
        <f aca="false">IF(K34=0,"-",RANK(K34,K$7:K$48))</f>
        <v>14</v>
      </c>
      <c r="N34" s="27" t="n">
        <f aca="false">F34-I34</f>
        <v>0.0114400114400114</v>
      </c>
      <c r="O34" s="27" t="n">
        <f aca="false">F34-L34</f>
        <v>0.00835167805970726</v>
      </c>
    </row>
    <row r="35" customFormat="false" ht="15" hidden="false" customHeight="false" outlineLevel="0" collapsed="false">
      <c r="A35" s="22" t="n">
        <v>29</v>
      </c>
      <c r="B35" s="22" t="s">
        <v>143</v>
      </c>
      <c r="C35" s="23" t="s">
        <v>144</v>
      </c>
      <c r="D35" s="24" t="n">
        <v>1500</v>
      </c>
      <c r="E35" s="25" t="n">
        <v>19</v>
      </c>
      <c r="F35" s="26" t="n">
        <f aca="false">IFERROR(E35/E$49,0)</f>
        <v>0.010662177328844</v>
      </c>
      <c r="G35" s="22" t="n">
        <f aca="false">IF(E35=0,"-",RANK(E35,E$7:E$48))</f>
        <v>15</v>
      </c>
      <c r="H35" s="25" t="n">
        <v>58</v>
      </c>
      <c r="I35" s="26" t="n">
        <f aca="false">IFERROR(H35/H$49,0)</f>
        <v>0.00933075933075933</v>
      </c>
      <c r="J35" s="22" t="n">
        <f aca="false">IF(H35=0,"-",RANK(H35,H$7:H$48))</f>
        <v>14</v>
      </c>
      <c r="K35" s="25" t="n">
        <v>30</v>
      </c>
      <c r="L35" s="26" t="n">
        <f aca="false">IFERROR(K35/K$49,0)</f>
        <v>0.00782064650677789</v>
      </c>
      <c r="M35" s="22" t="n">
        <f aca="false">IF(K35=0,"-",RANK(K35,K$7:K$48))</f>
        <v>15</v>
      </c>
      <c r="N35" s="27" t="n">
        <f aca="false">F35-I35</f>
        <v>0.00133141799808467</v>
      </c>
      <c r="O35" s="27" t="n">
        <f aca="false">F35-L35</f>
        <v>0.0028415308220661</v>
      </c>
    </row>
    <row r="36" customFormat="false" ht="15" hidden="false" customHeight="false" outlineLevel="0" collapsed="false">
      <c r="A36" s="22" t="n">
        <v>30</v>
      </c>
      <c r="B36" s="22" t="s">
        <v>145</v>
      </c>
      <c r="C36" s="23" t="s">
        <v>146</v>
      </c>
      <c r="D36" s="24" t="n">
        <v>3300</v>
      </c>
      <c r="E36" s="25" t="n">
        <v>5</v>
      </c>
      <c r="F36" s="26" t="n">
        <f aca="false">IFERROR(E36/E$49,0)</f>
        <v>0.00280583613916947</v>
      </c>
      <c r="G36" s="22" t="n">
        <f aca="false">IF(E36=0,"-",RANK(E36,E$7:E$48))</f>
        <v>23</v>
      </c>
      <c r="H36" s="25" t="n">
        <v>19</v>
      </c>
      <c r="I36" s="26" t="n">
        <f aca="false">IFERROR(H36/H$49,0)</f>
        <v>0.00305662805662806</v>
      </c>
      <c r="J36" s="22" t="n">
        <f aca="false">IF(H36=0,"-",RANK(H36,H$7:H$48))</f>
        <v>20</v>
      </c>
      <c r="K36" s="25" t="n">
        <v>1</v>
      </c>
      <c r="L36" s="26" t="n">
        <f aca="false">IFERROR(K36/K$49,0)</f>
        <v>0.000260688216892596</v>
      </c>
      <c r="M36" s="22" t="n">
        <f aca="false">IF(K36=0,"-",RANK(K36,K$7:K$48))</f>
        <v>35</v>
      </c>
      <c r="N36" s="27" t="n">
        <f aca="false">F36-I36</f>
        <v>-0.000250791917458584</v>
      </c>
      <c r="O36" s="27" t="n">
        <f aca="false">F36-L36</f>
        <v>0.00254514792227688</v>
      </c>
    </row>
    <row r="37" customFormat="false" ht="15" hidden="false" customHeight="false" outlineLevel="0" collapsed="false">
      <c r="A37" s="22" t="n">
        <v>31</v>
      </c>
      <c r="B37" s="22" t="s">
        <v>147</v>
      </c>
      <c r="C37" s="23" t="s">
        <v>148</v>
      </c>
      <c r="D37" s="24" t="n">
        <v>1300</v>
      </c>
      <c r="E37" s="25" t="n">
        <v>15</v>
      </c>
      <c r="F37" s="26" t="n">
        <f aca="false">IFERROR(E37/E$49,0)</f>
        <v>0.00841750841750842</v>
      </c>
      <c r="G37" s="22" t="n">
        <f aca="false">IF(E37=0,"-",RANK(E37,E$7:E$48))</f>
        <v>17</v>
      </c>
      <c r="H37" s="25" t="n">
        <v>40</v>
      </c>
      <c r="I37" s="26" t="n">
        <f aca="false">IFERROR(H37/H$49,0)</f>
        <v>0.00643500643500644</v>
      </c>
      <c r="J37" s="22" t="n">
        <f aca="false">IF(H37=0,"-",RANK(H37,H$7:H$48))</f>
        <v>16</v>
      </c>
      <c r="K37" s="25" t="n">
        <v>24</v>
      </c>
      <c r="L37" s="26" t="n">
        <f aca="false">IFERROR(K37/K$49,0)</f>
        <v>0.00625651720542232</v>
      </c>
      <c r="M37" s="22" t="n">
        <f aca="false">IF(K37=0,"-",RANK(K37,K$7:K$48))</f>
        <v>17</v>
      </c>
      <c r="N37" s="27" t="n">
        <f aca="false">F37-I37</f>
        <v>0.00198250198250198</v>
      </c>
      <c r="O37" s="27" t="n">
        <f aca="false">F37-L37</f>
        <v>0.0021609912120861</v>
      </c>
    </row>
    <row r="38" customFormat="false" ht="15" hidden="false" customHeight="false" outlineLevel="0" collapsed="false">
      <c r="A38" s="22" t="n">
        <v>32</v>
      </c>
      <c r="B38" s="22" t="s">
        <v>149</v>
      </c>
      <c r="C38" s="23" t="s">
        <v>150</v>
      </c>
      <c r="D38" s="24" t="n">
        <v>8800</v>
      </c>
      <c r="E38" s="25" t="n">
        <v>3</v>
      </c>
      <c r="F38" s="26" t="n">
        <f aca="false">IFERROR(E38/E$49,0)</f>
        <v>0.00168350168350168</v>
      </c>
      <c r="G38" s="22" t="n">
        <f aca="false">IF(E38=0,"-",RANK(E38,E$7:E$48))</f>
        <v>26</v>
      </c>
      <c r="H38" s="25" t="n">
        <v>29</v>
      </c>
      <c r="I38" s="26" t="n">
        <f aca="false">IFERROR(H38/H$49,0)</f>
        <v>0.00466537966537967</v>
      </c>
      <c r="J38" s="22" t="n">
        <f aca="false">IF(H38=0,"-",RANK(H38,H$7:H$48))</f>
        <v>17</v>
      </c>
      <c r="K38" s="25" t="n">
        <v>20</v>
      </c>
      <c r="L38" s="26" t="n">
        <f aca="false">IFERROR(K38/K$49,0)</f>
        <v>0.00521376433785193</v>
      </c>
      <c r="M38" s="22" t="n">
        <f aca="false">IF(K38=0,"-",RANK(K38,K$7:K$48))</f>
        <v>18</v>
      </c>
      <c r="N38" s="27" t="n">
        <f aca="false">F38-I38</f>
        <v>-0.00298187798187798</v>
      </c>
      <c r="O38" s="27" t="n">
        <f aca="false">F38-L38</f>
        <v>-0.00353026265435025</v>
      </c>
    </row>
    <row r="39" customFormat="false" ht="15" hidden="false" customHeight="false" outlineLevel="0" collapsed="false">
      <c r="A39" s="22" t="n">
        <v>33</v>
      </c>
      <c r="B39" s="22" t="s">
        <v>151</v>
      </c>
      <c r="C39" s="23" t="s">
        <v>152</v>
      </c>
      <c r="D39" s="24" t="n">
        <v>27500</v>
      </c>
      <c r="E39" s="25" t="n">
        <v>0</v>
      </c>
      <c r="F39" s="26" t="n">
        <f aca="false">IFERROR(E39/E$49,0)</f>
        <v>0</v>
      </c>
      <c r="G39" s="22" t="str">
        <f aca="false">IF(E39=0,"-",RANK(E39,E$7:E$48))</f>
        <v>-</v>
      </c>
      <c r="H39" s="25" t="n">
        <v>12</v>
      </c>
      <c r="I39" s="26" t="n">
        <f aca="false">IFERROR(H39/H$49,0)</f>
        <v>0.00193050193050193</v>
      </c>
      <c r="J39" s="22" t="n">
        <f aca="false">IF(H39=0,"-",RANK(H39,H$7:H$48))</f>
        <v>24</v>
      </c>
      <c r="K39" s="25" t="n">
        <v>1</v>
      </c>
      <c r="L39" s="26" t="n">
        <f aca="false">IFERROR(K39/K$49,0)</f>
        <v>0.000260688216892596</v>
      </c>
      <c r="M39" s="22" t="n">
        <f aca="false">IF(K39=0,"-",RANK(K39,K$7:K$48))</f>
        <v>35</v>
      </c>
      <c r="N39" s="27" t="n">
        <f aca="false">F39-I39</f>
        <v>-0.00193050193050193</v>
      </c>
      <c r="O39" s="27" t="n">
        <f aca="false">F39-L39</f>
        <v>-0.000260688216892596</v>
      </c>
    </row>
    <row r="40" customFormat="false" ht="15" hidden="false" customHeight="false" outlineLevel="0" collapsed="false">
      <c r="A40" s="22" t="n">
        <v>34</v>
      </c>
      <c r="B40" s="22" t="s">
        <v>153</v>
      </c>
      <c r="C40" s="23" t="s">
        <v>154</v>
      </c>
      <c r="D40" s="24" t="n">
        <v>27500</v>
      </c>
      <c r="E40" s="25" t="n">
        <v>0</v>
      </c>
      <c r="F40" s="26" t="n">
        <f aca="false">IFERROR(E40/E$49,0)</f>
        <v>0</v>
      </c>
      <c r="G40" s="22" t="str">
        <f aca="false">IF(E40=0,"-",RANK(E40,E$7:E$48))</f>
        <v>-</v>
      </c>
      <c r="H40" s="25" t="n">
        <v>3</v>
      </c>
      <c r="I40" s="26" t="n">
        <f aca="false">IFERROR(H40/H$49,0)</f>
        <v>0.000482625482625483</v>
      </c>
      <c r="J40" s="22" t="n">
        <f aca="false">IF(H40=0,"-",RANK(H40,H$7:H$48))</f>
        <v>30</v>
      </c>
      <c r="K40" s="25" t="n">
        <v>2</v>
      </c>
      <c r="L40" s="26" t="n">
        <f aca="false">IFERROR(K40/K$49,0)</f>
        <v>0.000521376433785193</v>
      </c>
      <c r="M40" s="22" t="n">
        <f aca="false">IF(K40=0,"-",RANK(K40,K$7:K$48))</f>
        <v>30</v>
      </c>
      <c r="N40" s="27" t="n">
        <f aca="false">F40-I40</f>
        <v>-0.000482625482625483</v>
      </c>
      <c r="O40" s="27" t="n">
        <f aca="false">F40-L40</f>
        <v>-0.000521376433785193</v>
      </c>
    </row>
    <row r="41" customFormat="false" ht="15" hidden="false" customHeight="false" outlineLevel="0" collapsed="false">
      <c r="A41" s="22" t="n">
        <v>35</v>
      </c>
      <c r="B41" s="22" t="s">
        <v>155</v>
      </c>
      <c r="C41" s="23" t="s">
        <v>156</v>
      </c>
      <c r="D41" s="24" t="n">
        <v>27500</v>
      </c>
      <c r="E41" s="25" t="n">
        <v>0</v>
      </c>
      <c r="F41" s="26" t="n">
        <f aca="false">IFERROR(E41/E$49,0)</f>
        <v>0</v>
      </c>
      <c r="G41" s="22" t="str">
        <f aca="false">IF(E41=0,"-",RANK(E41,E$7:E$48))</f>
        <v>-</v>
      </c>
      <c r="H41" s="25" t="n">
        <v>3</v>
      </c>
      <c r="I41" s="26" t="n">
        <f aca="false">IFERROR(H41/H$49,0)</f>
        <v>0.000482625482625483</v>
      </c>
      <c r="J41" s="22" t="n">
        <f aca="false">IF(H41=0,"-",RANK(H41,H$7:H$48))</f>
        <v>30</v>
      </c>
      <c r="K41" s="25" t="n">
        <v>3</v>
      </c>
      <c r="L41" s="26" t="n">
        <f aca="false">IFERROR(K41/K$49,0)</f>
        <v>0.000782064650677789</v>
      </c>
      <c r="M41" s="22" t="n">
        <f aca="false">IF(K41=0,"-",RANK(K41,K$7:K$48))</f>
        <v>28</v>
      </c>
      <c r="N41" s="27" t="n">
        <f aca="false">F41-I41</f>
        <v>-0.000482625482625483</v>
      </c>
      <c r="O41" s="27" t="n">
        <f aca="false">F41-L41</f>
        <v>-0.000782064650677789</v>
      </c>
    </row>
    <row r="42" customFormat="false" ht="15" hidden="false" customHeight="false" outlineLevel="0" collapsed="false">
      <c r="A42" s="22" t="n">
        <v>36</v>
      </c>
      <c r="B42" s="22" t="s">
        <v>157</v>
      </c>
      <c r="C42" s="23" t="s">
        <v>158</v>
      </c>
      <c r="D42" s="24" t="n">
        <v>27500</v>
      </c>
      <c r="E42" s="25" t="n">
        <v>0</v>
      </c>
      <c r="F42" s="26" t="n">
        <f aca="false">IFERROR(E42/E$49,0)</f>
        <v>0</v>
      </c>
      <c r="G42" s="22" t="str">
        <f aca="false">IF(E42=0,"-",RANK(E42,E$7:E$48))</f>
        <v>-</v>
      </c>
      <c r="H42" s="25" t="n">
        <v>3</v>
      </c>
      <c r="I42" s="26" t="n">
        <f aca="false">IFERROR(H42/H$49,0)</f>
        <v>0.000482625482625483</v>
      </c>
      <c r="J42" s="22" t="n">
        <f aca="false">IF(H42=0,"-",RANK(H42,H$7:H$48))</f>
        <v>30</v>
      </c>
      <c r="K42" s="25" t="n">
        <v>1</v>
      </c>
      <c r="L42" s="26" t="n">
        <f aca="false">IFERROR(K42/K$49,0)</f>
        <v>0.000260688216892596</v>
      </c>
      <c r="M42" s="22" t="n">
        <f aca="false">IF(K42=0,"-",RANK(K42,K$7:K$48))</f>
        <v>35</v>
      </c>
      <c r="N42" s="27" t="n">
        <f aca="false">F42-I42</f>
        <v>-0.000482625482625483</v>
      </c>
      <c r="O42" s="27" t="n">
        <f aca="false">F42-L42</f>
        <v>-0.000260688216892596</v>
      </c>
    </row>
    <row r="43" customFormat="false" ht="15" hidden="false" customHeight="false" outlineLevel="0" collapsed="false">
      <c r="A43" s="22" t="n">
        <v>37</v>
      </c>
      <c r="B43" s="22" t="s">
        <v>159</v>
      </c>
      <c r="C43" s="23" t="s">
        <v>160</v>
      </c>
      <c r="D43" s="24" t="n">
        <v>27500</v>
      </c>
      <c r="E43" s="25" t="n">
        <v>0</v>
      </c>
      <c r="F43" s="26" t="n">
        <f aca="false">IFERROR(E43/E$49,0)</f>
        <v>0</v>
      </c>
      <c r="G43" s="22" t="str">
        <f aca="false">IF(E43=0,"-",RANK(E43,E$7:E$48))</f>
        <v>-</v>
      </c>
      <c r="H43" s="25" t="n">
        <v>3</v>
      </c>
      <c r="I43" s="26" t="n">
        <f aca="false">IFERROR(H43/H$49,0)</f>
        <v>0.000482625482625483</v>
      </c>
      <c r="J43" s="22" t="n">
        <f aca="false">IF(H43=0,"-",RANK(H43,H$7:H$48))</f>
        <v>30</v>
      </c>
      <c r="K43" s="25" t="n">
        <v>2</v>
      </c>
      <c r="L43" s="26" t="n">
        <f aca="false">IFERROR(K43/K$49,0)</f>
        <v>0.000521376433785193</v>
      </c>
      <c r="M43" s="22" t="n">
        <f aca="false">IF(K43=0,"-",RANK(K43,K$7:K$48))</f>
        <v>30</v>
      </c>
      <c r="N43" s="27" t="n">
        <f aca="false">F43-I43</f>
        <v>-0.000482625482625483</v>
      </c>
      <c r="O43" s="27" t="n">
        <f aca="false">F43-L43</f>
        <v>-0.000521376433785193</v>
      </c>
    </row>
    <row r="44" customFormat="false" ht="15" hidden="false" customHeight="false" outlineLevel="0" collapsed="false">
      <c r="A44" s="22" t="n">
        <v>38</v>
      </c>
      <c r="B44" s="22" t="s">
        <v>161</v>
      </c>
      <c r="C44" s="23" t="s">
        <v>162</v>
      </c>
      <c r="D44" s="24" t="n">
        <v>27500</v>
      </c>
      <c r="E44" s="25" t="n">
        <v>0</v>
      </c>
      <c r="F44" s="26" t="n">
        <f aca="false">IFERROR(E44/E$49,0)</f>
        <v>0</v>
      </c>
      <c r="G44" s="22" t="str">
        <f aca="false">IF(E44=0,"-",RANK(E44,E$7:E$48))</f>
        <v>-</v>
      </c>
      <c r="H44" s="25" t="n">
        <v>2</v>
      </c>
      <c r="I44" s="26" t="n">
        <f aca="false">IFERROR(H44/H$49,0)</f>
        <v>0.000321750321750322</v>
      </c>
      <c r="J44" s="22" t="n">
        <f aca="false">IF(H44=0,"-",RANK(H44,H$7:H$48))</f>
        <v>36</v>
      </c>
      <c r="K44" s="25" t="n">
        <v>1</v>
      </c>
      <c r="L44" s="26" t="n">
        <f aca="false">IFERROR(K44/K$49,0)</f>
        <v>0.000260688216892596</v>
      </c>
      <c r="M44" s="22" t="n">
        <f aca="false">IF(K44=0,"-",RANK(K44,K$7:K$48))</f>
        <v>35</v>
      </c>
      <c r="N44" s="27" t="n">
        <f aca="false">F44-I44</f>
        <v>-0.000321750321750322</v>
      </c>
      <c r="O44" s="27" t="n">
        <f aca="false">F44-L44</f>
        <v>-0.000260688216892596</v>
      </c>
    </row>
    <row r="45" customFormat="false" ht="15" hidden="false" customHeight="false" outlineLevel="0" collapsed="false">
      <c r="A45" s="22" t="n">
        <v>39</v>
      </c>
      <c r="B45" s="22" t="s">
        <v>163</v>
      </c>
      <c r="C45" s="23" t="s">
        <v>164</v>
      </c>
      <c r="D45" s="24" t="n">
        <v>27500</v>
      </c>
      <c r="E45" s="25" t="n">
        <v>0</v>
      </c>
      <c r="F45" s="26" t="n">
        <f aca="false">IFERROR(E45/E$49,0)</f>
        <v>0</v>
      </c>
      <c r="G45" s="22" t="str">
        <f aca="false">IF(E45=0,"-",RANK(E45,E$7:E$48))</f>
        <v>-</v>
      </c>
      <c r="H45" s="25" t="n">
        <v>3</v>
      </c>
      <c r="I45" s="26" t="n">
        <f aca="false">IFERROR(H45/H$49,0)</f>
        <v>0.000482625482625483</v>
      </c>
      <c r="J45" s="22" t="n">
        <f aca="false">IF(H45=0,"-",RANK(H45,H$7:H$48))</f>
        <v>30</v>
      </c>
      <c r="K45" s="25" t="n">
        <v>0</v>
      </c>
      <c r="L45" s="26" t="n">
        <f aca="false">IFERROR(K45/K$49,0)</f>
        <v>0</v>
      </c>
      <c r="M45" s="22" t="str">
        <f aca="false">IF(K45=0,"-",RANK(K45,K$7:K$48))</f>
        <v>-</v>
      </c>
      <c r="N45" s="27" t="n">
        <f aca="false">F45-I45</f>
        <v>-0.000482625482625483</v>
      </c>
      <c r="O45" s="27" t="n">
        <f aca="false">F45-L45</f>
        <v>0</v>
      </c>
    </row>
    <row r="46" customFormat="false" ht="15" hidden="false" customHeight="false" outlineLevel="0" collapsed="false">
      <c r="A46" s="22" t="n">
        <v>40</v>
      </c>
      <c r="B46" s="22" t="s">
        <v>165</v>
      </c>
      <c r="C46" s="23" t="s">
        <v>166</v>
      </c>
      <c r="D46" s="24" t="n">
        <v>27500</v>
      </c>
      <c r="E46" s="25" t="n">
        <v>0</v>
      </c>
      <c r="F46" s="26" t="n">
        <f aca="false">IFERROR(E46/E$49,0)</f>
        <v>0</v>
      </c>
      <c r="G46" s="22" t="str">
        <f aca="false">IF(E46=0,"-",RANK(E46,E$7:E$48))</f>
        <v>-</v>
      </c>
      <c r="H46" s="25" t="n">
        <v>3</v>
      </c>
      <c r="I46" s="26" t="n">
        <f aca="false">IFERROR(H46/H$49,0)</f>
        <v>0.000482625482625483</v>
      </c>
      <c r="J46" s="22" t="n">
        <f aca="false">IF(H46=0,"-",RANK(H46,H$7:H$48))</f>
        <v>30</v>
      </c>
      <c r="K46" s="25" t="n">
        <v>1</v>
      </c>
      <c r="L46" s="26" t="n">
        <f aca="false">IFERROR(K46/K$49,0)</f>
        <v>0.000260688216892596</v>
      </c>
      <c r="M46" s="22" t="n">
        <f aca="false">IF(K46=0,"-",RANK(K46,K$7:K$48))</f>
        <v>35</v>
      </c>
      <c r="N46" s="27" t="n">
        <f aca="false">F46-I46</f>
        <v>-0.000482625482625483</v>
      </c>
      <c r="O46" s="27" t="n">
        <f aca="false">F46-L46</f>
        <v>-0.000260688216892596</v>
      </c>
    </row>
    <row r="47" customFormat="false" ht="15" hidden="false" customHeight="false" outlineLevel="0" collapsed="false">
      <c r="A47" s="22" t="n">
        <v>41</v>
      </c>
      <c r="B47" s="22" t="s">
        <v>167</v>
      </c>
      <c r="C47" s="23" t="s">
        <v>168</v>
      </c>
      <c r="D47" s="24" t="n">
        <v>25000</v>
      </c>
      <c r="E47" s="25" t="n">
        <v>0</v>
      </c>
      <c r="F47" s="26" t="n">
        <f aca="false">IFERROR(E47/E$49,0)</f>
        <v>0</v>
      </c>
      <c r="G47" s="22" t="str">
        <f aca="false">IF(E47=0,"-",RANK(E47,E$7:E$48))</f>
        <v>-</v>
      </c>
      <c r="H47" s="25" t="n">
        <v>1</v>
      </c>
      <c r="I47" s="26" t="n">
        <f aca="false">IFERROR(H47/H$49,0)</f>
        <v>0.000160875160875161</v>
      </c>
      <c r="J47" s="22" t="n">
        <f aca="false">IF(H47=0,"-",RANK(H47,H$7:H$48))</f>
        <v>40</v>
      </c>
      <c r="K47" s="25" t="n">
        <v>1</v>
      </c>
      <c r="L47" s="26" t="n">
        <f aca="false">IFERROR(K47/K$49,0)</f>
        <v>0.000260688216892596</v>
      </c>
      <c r="M47" s="22" t="n">
        <f aca="false">IF(K47=0,"-",RANK(K47,K$7:K$48))</f>
        <v>35</v>
      </c>
      <c r="N47" s="27" t="n">
        <f aca="false">F47-I47</f>
        <v>-0.000160875160875161</v>
      </c>
      <c r="O47" s="27" t="n">
        <f aca="false">F47-L47</f>
        <v>-0.000260688216892596</v>
      </c>
    </row>
    <row r="48" customFormat="false" ht="15" hidden="false" customHeight="false" outlineLevel="0" collapsed="false">
      <c r="A48" s="22" t="n">
        <v>42</v>
      </c>
      <c r="B48" s="22" t="s">
        <v>169</v>
      </c>
      <c r="C48" s="23" t="s">
        <v>170</v>
      </c>
      <c r="D48" s="24" t="n">
        <v>25000</v>
      </c>
      <c r="E48" s="25" t="n">
        <v>0</v>
      </c>
      <c r="F48" s="26" t="n">
        <f aca="false">IFERROR(E48/E$49,0)</f>
        <v>0</v>
      </c>
      <c r="G48" s="22" t="str">
        <f aca="false">IF(E48=0,"-",RANK(E48,E$7:E$48))</f>
        <v>-</v>
      </c>
      <c r="H48" s="25" t="n">
        <v>2</v>
      </c>
      <c r="I48" s="26" t="n">
        <f aca="false">IFERROR(H48/H$49,0)</f>
        <v>0.000321750321750322</v>
      </c>
      <c r="J48" s="22" t="n">
        <f aca="false">IF(H48=0,"-",RANK(H48,H$7:H$48))</f>
        <v>36</v>
      </c>
      <c r="K48" s="25" t="n">
        <v>1</v>
      </c>
      <c r="L48" s="26" t="n">
        <f aca="false">IFERROR(K48/K$49,0)</f>
        <v>0.000260688216892596</v>
      </c>
      <c r="M48" s="22" t="n">
        <f aca="false">IF(K48=0,"-",RANK(K48,K$7:K$48))</f>
        <v>35</v>
      </c>
      <c r="N48" s="27" t="n">
        <f aca="false">F48-I48</f>
        <v>-0.000321750321750322</v>
      </c>
      <c r="O48" s="27" t="n">
        <f aca="false">F48-L48</f>
        <v>-0.000260688216892596</v>
      </c>
    </row>
    <row r="49" customFormat="false" ht="15" hidden="false" customHeight="false" outlineLevel="0" collapsed="false">
      <c r="A49" s="28"/>
      <c r="B49" s="28"/>
      <c r="C49" s="29" t="s">
        <v>171</v>
      </c>
      <c r="D49" s="28"/>
      <c r="E49" s="30" t="n">
        <f aca="false">SUM(E7:E48)</f>
        <v>1782</v>
      </c>
      <c r="F49" s="31" t="n">
        <f aca="false">IFERROR(E49/E49,0)</f>
        <v>1</v>
      </c>
      <c r="G49" s="28"/>
      <c r="H49" s="30" t="n">
        <f aca="false">SUM(H7:H48)</f>
        <v>6216</v>
      </c>
      <c r="I49" s="31" t="n">
        <f aca="false">IFERROR(H49/H49,0)</f>
        <v>1</v>
      </c>
      <c r="J49" s="28"/>
      <c r="K49" s="30" t="n">
        <f aca="false">SUM(K7:K48)</f>
        <v>3836</v>
      </c>
      <c r="L49" s="31" t="n">
        <f aca="false">IFERROR(K49/K49,0)</f>
        <v>1</v>
      </c>
      <c r="M49" s="28"/>
      <c r="N49" s="28"/>
      <c r="O49" s="28"/>
    </row>
  </sheetData>
  <mergeCells count="8">
    <mergeCell ref="A5:A6"/>
    <mergeCell ref="B5:B6"/>
    <mergeCell ref="C5:C6"/>
    <mergeCell ref="D5:D6"/>
    <mergeCell ref="E5:G5"/>
    <mergeCell ref="H5:J5"/>
    <mergeCell ref="K5:M5"/>
    <mergeCell ref="N5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5" min="14" style="0" width="11"/>
  </cols>
  <sheetData>
    <row r="1" customFormat="false" ht="16.15" hidden="false" customHeight="false" outlineLevel="0" collapsed="false">
      <c r="A1" s="11" t="s">
        <v>172</v>
      </c>
    </row>
    <row r="2" customFormat="false" ht="15" hidden="false" customHeight="false" outlineLevel="0" collapsed="false">
      <c r="A2" s="3" t="s">
        <v>173</v>
      </c>
    </row>
    <row r="3" customFormat="false" ht="15" hidden="false" customHeight="false" outlineLevel="0" collapsed="false">
      <c r="A3" s="3" t="s">
        <v>73</v>
      </c>
    </row>
    <row r="5" customFormat="false" ht="19.5" hidden="false" customHeight="true" outlineLevel="0" collapsed="false">
      <c r="A5" s="12" t="s">
        <v>74</v>
      </c>
      <c r="B5" s="12" t="s">
        <v>75</v>
      </c>
      <c r="C5" s="13" t="s">
        <v>76</v>
      </c>
      <c r="D5" s="13" t="s">
        <v>77</v>
      </c>
      <c r="E5" s="14" t="s">
        <v>174</v>
      </c>
      <c r="F5" s="14"/>
      <c r="G5" s="14"/>
      <c r="H5" s="15" t="s">
        <v>175</v>
      </c>
      <c r="I5" s="15"/>
      <c r="J5" s="15"/>
      <c r="K5" s="16" t="s">
        <v>176</v>
      </c>
      <c r="L5" s="16"/>
      <c r="M5" s="16"/>
      <c r="N5" s="17" t="s">
        <v>81</v>
      </c>
      <c r="O5" s="17"/>
    </row>
    <row r="6" customFormat="false" ht="30" hidden="false" customHeight="true" outlineLevel="0" collapsed="false">
      <c r="A6" s="12"/>
      <c r="B6" s="12"/>
      <c r="C6" s="12"/>
      <c r="D6" s="12"/>
      <c r="E6" s="18" t="s">
        <v>82</v>
      </c>
      <c r="F6" s="18" t="s">
        <v>83</v>
      </c>
      <c r="G6" s="18" t="s">
        <v>84</v>
      </c>
      <c r="H6" s="19" t="s">
        <v>82</v>
      </c>
      <c r="I6" s="19" t="s">
        <v>83</v>
      </c>
      <c r="J6" s="19" t="s">
        <v>84</v>
      </c>
      <c r="K6" s="20" t="s">
        <v>82</v>
      </c>
      <c r="L6" s="20" t="s">
        <v>83</v>
      </c>
      <c r="M6" s="20" t="s">
        <v>84</v>
      </c>
      <c r="N6" s="21" t="s">
        <v>85</v>
      </c>
      <c r="O6" s="21" t="s">
        <v>86</v>
      </c>
    </row>
    <row r="7" customFormat="false" ht="15" hidden="false" customHeight="false" outlineLevel="0" collapsed="false">
      <c r="A7" s="22" t="n">
        <v>1</v>
      </c>
      <c r="B7" s="22" t="s">
        <v>87</v>
      </c>
      <c r="C7" s="23" t="s">
        <v>88</v>
      </c>
      <c r="D7" s="24" t="n">
        <v>500</v>
      </c>
      <c r="E7" s="25" t="n">
        <v>205</v>
      </c>
      <c r="F7" s="26" t="n">
        <f aca="false">IFERROR(E7/E$49,0)</f>
        <v>0.0489376939603724</v>
      </c>
      <c r="G7" s="22" t="n">
        <f aca="false">IF(E7=0,"-",RANK(E7,E$7:E$48))</f>
        <v>7</v>
      </c>
      <c r="H7" s="25" t="n">
        <v>605</v>
      </c>
      <c r="I7" s="26" t="n">
        <f aca="false">IFERROR(H7/H$49,0)</f>
        <v>0.0218175261449693</v>
      </c>
      <c r="J7" s="22" t="n">
        <f aca="false">IF(H7=0,"-",RANK(H7,H$7:H$48))</f>
        <v>7</v>
      </c>
      <c r="K7" s="25" t="n">
        <v>361</v>
      </c>
      <c r="L7" s="26" t="n">
        <f aca="false">IFERROR(K7/K$49,0)</f>
        <v>0.0330434782608696</v>
      </c>
      <c r="M7" s="22" t="n">
        <f aca="false">IF(K7=0,"-",RANK(K7,K$7:K$48))</f>
        <v>5</v>
      </c>
      <c r="N7" s="27" t="n">
        <f aca="false">F7-I7</f>
        <v>0.0271201678154031</v>
      </c>
      <c r="O7" s="27" t="n">
        <f aca="false">F7-L7</f>
        <v>0.0158942156995028</v>
      </c>
    </row>
    <row r="8" customFormat="false" ht="15" hidden="false" customHeight="false" outlineLevel="0" collapsed="false">
      <c r="A8" s="22" t="n">
        <v>2</v>
      </c>
      <c r="B8" s="22" t="s">
        <v>89</v>
      </c>
      <c r="C8" s="23" t="s">
        <v>90</v>
      </c>
      <c r="D8" s="24" t="n">
        <v>600</v>
      </c>
      <c r="E8" s="25" t="n">
        <v>233</v>
      </c>
      <c r="F8" s="26" t="n">
        <f aca="false">IFERROR(E8/E$49,0)</f>
        <v>0.0556218667939842</v>
      </c>
      <c r="G8" s="22" t="n">
        <f aca="false">IF(E8=0,"-",RANK(E8,E$7:E$48))</f>
        <v>5</v>
      </c>
      <c r="H8" s="25" t="n">
        <v>616</v>
      </c>
      <c r="I8" s="26" t="n">
        <f aca="false">IFERROR(H8/H$49,0)</f>
        <v>0.0222142084385142</v>
      </c>
      <c r="J8" s="22" t="n">
        <f aca="false">IF(H8=0,"-",RANK(H8,H$7:H$48))</f>
        <v>6</v>
      </c>
      <c r="K8" s="25" t="n">
        <v>307</v>
      </c>
      <c r="L8" s="26" t="n">
        <f aca="false">IFERROR(K8/K$49,0)</f>
        <v>0.0281006864988558</v>
      </c>
      <c r="M8" s="22" t="n">
        <f aca="false">IF(K8=0,"-",RANK(K8,K$7:K$48))</f>
        <v>7</v>
      </c>
      <c r="N8" s="27" t="n">
        <f aca="false">F8-I8</f>
        <v>0.03340765835547</v>
      </c>
      <c r="O8" s="27" t="n">
        <f aca="false">F8-L8</f>
        <v>0.0275211802951284</v>
      </c>
    </row>
    <row r="9" customFormat="false" ht="15" hidden="false" customHeight="false" outlineLevel="0" collapsed="false">
      <c r="A9" s="22" t="n">
        <v>3</v>
      </c>
      <c r="B9" s="22" t="s">
        <v>91</v>
      </c>
      <c r="C9" s="23" t="s">
        <v>92</v>
      </c>
      <c r="D9" s="24" t="n">
        <v>1000</v>
      </c>
      <c r="E9" s="25" t="n">
        <v>84</v>
      </c>
      <c r="F9" s="26" t="n">
        <f aca="false">IFERROR(E9/E$49,0)</f>
        <v>0.0200525185008355</v>
      </c>
      <c r="G9" s="22" t="n">
        <f aca="false">IF(E9=0,"-",RANK(E9,E$7:E$48))</f>
        <v>12</v>
      </c>
      <c r="H9" s="25" t="n">
        <v>349</v>
      </c>
      <c r="I9" s="26" t="n">
        <f aca="false">IFERROR(H9/H$49,0)</f>
        <v>0.012585647313379</v>
      </c>
      <c r="J9" s="22" t="n">
        <f aca="false">IF(H9=0,"-",RANK(H9,H$7:H$48))</f>
        <v>11</v>
      </c>
      <c r="K9" s="25" t="n">
        <v>141</v>
      </c>
      <c r="L9" s="26" t="n">
        <f aca="false">IFERROR(K9/K$49,0)</f>
        <v>0.0129061784897025</v>
      </c>
      <c r="M9" s="22" t="n">
        <f aca="false">IF(K9=0,"-",RANK(K9,K$7:K$48))</f>
        <v>12</v>
      </c>
      <c r="N9" s="27" t="n">
        <f aca="false">F9-I9</f>
        <v>0.00746687118745651</v>
      </c>
      <c r="O9" s="27" t="n">
        <f aca="false">F9-L9</f>
        <v>0.007146340011133</v>
      </c>
    </row>
    <row r="10" customFormat="false" ht="15" hidden="false" customHeight="false" outlineLevel="0" collapsed="false">
      <c r="A10" s="22" t="n">
        <v>4</v>
      </c>
      <c r="B10" s="22" t="s">
        <v>93</v>
      </c>
      <c r="C10" s="23" t="s">
        <v>94</v>
      </c>
      <c r="D10" s="24" t="n">
        <v>1800</v>
      </c>
      <c r="E10" s="25" t="n">
        <v>122</v>
      </c>
      <c r="F10" s="26" t="n">
        <f aca="false">IFERROR(E10/E$49,0)</f>
        <v>0.0291238959178802</v>
      </c>
      <c r="G10" s="22" t="n">
        <f aca="false">IF(E10=0,"-",RANK(E10,E$7:E$48))</f>
        <v>10</v>
      </c>
      <c r="H10" s="25" t="n">
        <v>553</v>
      </c>
      <c r="I10" s="26" t="n">
        <f aca="false">IFERROR(H10/H$49,0)</f>
        <v>0.0199423007573026</v>
      </c>
      <c r="J10" s="22" t="n">
        <f aca="false">IF(H10=0,"-",RANK(H10,H$7:H$48))</f>
        <v>8</v>
      </c>
      <c r="K10" s="25" t="n">
        <v>188</v>
      </c>
      <c r="L10" s="26" t="n">
        <f aca="false">IFERROR(K10/K$49,0)</f>
        <v>0.01720823798627</v>
      </c>
      <c r="M10" s="22" t="n">
        <f aca="false">IF(K10=0,"-",RANK(K10,K$7:K$48))</f>
        <v>9</v>
      </c>
      <c r="N10" s="27" t="n">
        <f aca="false">F10-I10</f>
        <v>0.0091815951605776</v>
      </c>
      <c r="O10" s="27" t="n">
        <f aca="false">F10-L10</f>
        <v>0.0119156579316101</v>
      </c>
    </row>
    <row r="11" customFormat="false" ht="15" hidden="false" customHeight="false" outlineLevel="0" collapsed="false">
      <c r="A11" s="22" t="n">
        <v>5</v>
      </c>
      <c r="B11" s="22" t="s">
        <v>95</v>
      </c>
      <c r="C11" s="23" t="s">
        <v>96</v>
      </c>
      <c r="D11" s="24" t="n">
        <v>600</v>
      </c>
      <c r="E11" s="25" t="n">
        <v>247</v>
      </c>
      <c r="F11" s="26" t="n">
        <f aca="false">IFERROR(E11/E$49,0)</f>
        <v>0.0589639532107902</v>
      </c>
      <c r="G11" s="22" t="n">
        <f aca="false">IF(E11=0,"-",RANK(E11,E$7:E$48))</f>
        <v>4</v>
      </c>
      <c r="H11" s="25" t="n">
        <v>5070</v>
      </c>
      <c r="I11" s="26" t="n">
        <f aca="false">IFERROR(H11/H$49,0)</f>
        <v>0.182834475297512</v>
      </c>
      <c r="J11" s="22" t="n">
        <f aca="false">IF(H11=0,"-",RANK(H11,H$7:H$48))</f>
        <v>3</v>
      </c>
      <c r="K11" s="25" t="n">
        <v>1927</v>
      </c>
      <c r="L11" s="26" t="n">
        <f aca="false">IFERROR(K11/K$49,0)</f>
        <v>0.176384439359268</v>
      </c>
      <c r="M11" s="22" t="n">
        <f aca="false">IF(K11=0,"-",RANK(K11,K$7:K$48))</f>
        <v>3</v>
      </c>
      <c r="N11" s="27" t="n">
        <f aca="false">F11-I11</f>
        <v>-0.123870522086722</v>
      </c>
      <c r="O11" s="27" t="n">
        <f aca="false">F11-L11</f>
        <v>-0.117420486148478</v>
      </c>
    </row>
    <row r="12" customFormat="false" ht="15" hidden="false" customHeight="false" outlineLevel="0" collapsed="false">
      <c r="A12" s="22" t="n">
        <v>6</v>
      </c>
      <c r="B12" s="22" t="s">
        <v>97</v>
      </c>
      <c r="C12" s="23" t="s">
        <v>98</v>
      </c>
      <c r="D12" s="24" t="n">
        <v>600</v>
      </c>
      <c r="E12" s="25" t="n">
        <v>616</v>
      </c>
      <c r="F12" s="26" t="n">
        <f aca="false">IFERROR(E12/E$49,0)</f>
        <v>0.147051802339461</v>
      </c>
      <c r="G12" s="22" t="n">
        <f aca="false">IF(E12=0,"-",RANK(E12,E$7:E$48))</f>
        <v>2</v>
      </c>
      <c r="H12" s="25" t="n">
        <v>6714</v>
      </c>
      <c r="I12" s="26" t="n">
        <f aca="false">IFERROR(H12/H$49,0)</f>
        <v>0.242120447169131</v>
      </c>
      <c r="J12" s="22" t="n">
        <f aca="false">IF(H12=0,"-",RANK(H12,H$7:H$48))</f>
        <v>1</v>
      </c>
      <c r="K12" s="25" t="n">
        <v>2531</v>
      </c>
      <c r="L12" s="26" t="n">
        <f aca="false">IFERROR(K12/K$49,0)</f>
        <v>0.231670480549199</v>
      </c>
      <c r="M12" s="22" t="n">
        <f aca="false">IF(K12=0,"-",RANK(K12,K$7:K$48))</f>
        <v>1</v>
      </c>
      <c r="N12" s="27" t="n">
        <f aca="false">F12-I12</f>
        <v>-0.0950686448296704</v>
      </c>
      <c r="O12" s="27" t="n">
        <f aca="false">F12-L12</f>
        <v>-0.0846186782097386</v>
      </c>
    </row>
    <row r="13" customFormat="false" ht="15" hidden="false" customHeight="false" outlineLevel="0" collapsed="false">
      <c r="A13" s="22" t="n">
        <v>7</v>
      </c>
      <c r="B13" s="22" t="s">
        <v>99</v>
      </c>
      <c r="C13" s="23" t="s">
        <v>100</v>
      </c>
      <c r="D13" s="24" t="n">
        <v>600</v>
      </c>
      <c r="E13" s="25" t="n">
        <v>79</v>
      </c>
      <c r="F13" s="26" t="n">
        <f aca="false">IFERROR(E13/E$49,0)</f>
        <v>0.0188589162091191</v>
      </c>
      <c r="G13" s="22" t="n">
        <f aca="false">IF(E13=0,"-",RANK(E13,E$7:E$48))</f>
        <v>13</v>
      </c>
      <c r="H13" s="25" t="n">
        <v>209</v>
      </c>
      <c r="I13" s="26" t="n">
        <f aca="false">IFERROR(H13/H$49,0)</f>
        <v>0.00753696357735305</v>
      </c>
      <c r="J13" s="22" t="n">
        <f aca="false">IF(H13=0,"-",RANK(H13,H$7:H$48))</f>
        <v>14</v>
      </c>
      <c r="K13" s="25" t="n">
        <v>133</v>
      </c>
      <c r="L13" s="26" t="n">
        <f aca="false">IFERROR(K13/K$49,0)</f>
        <v>0.0121739130434783</v>
      </c>
      <c r="M13" s="22" t="n">
        <f aca="false">IF(K13=0,"-",RANK(K13,K$7:K$48))</f>
        <v>13</v>
      </c>
      <c r="N13" s="27" t="n">
        <f aca="false">F13-I13</f>
        <v>0.0113219526317661</v>
      </c>
      <c r="O13" s="27" t="n">
        <f aca="false">F13-L13</f>
        <v>0.00668500316564086</v>
      </c>
    </row>
    <row r="14" customFormat="false" ht="15" hidden="false" customHeight="false" outlineLevel="0" collapsed="false">
      <c r="A14" s="22" t="n">
        <v>8</v>
      </c>
      <c r="B14" s="22" t="s">
        <v>101</v>
      </c>
      <c r="C14" s="23" t="s">
        <v>102</v>
      </c>
      <c r="D14" s="24" t="n">
        <v>600</v>
      </c>
      <c r="E14" s="25" t="n">
        <v>135</v>
      </c>
      <c r="F14" s="26" t="n">
        <f aca="false">IFERROR(E14/E$49,0)</f>
        <v>0.0322272618763428</v>
      </c>
      <c r="G14" s="22" t="n">
        <f aca="false">IF(E14=0,"-",RANK(E14,E$7:E$48))</f>
        <v>8</v>
      </c>
      <c r="H14" s="25" t="n">
        <v>432</v>
      </c>
      <c r="I14" s="26" t="n">
        <f aca="false">IFERROR(H14/H$49,0)</f>
        <v>0.0155787955283087</v>
      </c>
      <c r="J14" s="22" t="n">
        <f aca="false">IF(H14=0,"-",RANK(H14,H$7:H$48))</f>
        <v>9</v>
      </c>
      <c r="K14" s="25" t="n">
        <v>201</v>
      </c>
      <c r="L14" s="26" t="n">
        <f aca="false">IFERROR(K14/K$49,0)</f>
        <v>0.0183981693363844</v>
      </c>
      <c r="M14" s="22" t="n">
        <f aca="false">IF(K14=0,"-",RANK(K14,K$7:K$48))</f>
        <v>8</v>
      </c>
      <c r="N14" s="27" t="n">
        <f aca="false">F14-I14</f>
        <v>0.0166484663480341</v>
      </c>
      <c r="O14" s="27" t="n">
        <f aca="false">F14-L14</f>
        <v>0.0138290925399584</v>
      </c>
    </row>
    <row r="15" customFormat="false" ht="15" hidden="false" customHeight="false" outlineLevel="0" collapsed="false">
      <c r="A15" s="22" t="n">
        <v>9</v>
      </c>
      <c r="B15" s="22" t="s">
        <v>103</v>
      </c>
      <c r="C15" s="23" t="s">
        <v>104</v>
      </c>
      <c r="D15" s="24" t="n">
        <v>600</v>
      </c>
      <c r="E15" s="25" t="n">
        <v>75</v>
      </c>
      <c r="F15" s="26" t="n">
        <f aca="false">IFERROR(E15/E$49,0)</f>
        <v>0.017904034375746</v>
      </c>
      <c r="G15" s="22" t="n">
        <f aca="false">IF(E15=0,"-",RANK(E15,E$7:E$48))</f>
        <v>14</v>
      </c>
      <c r="H15" s="25" t="n">
        <v>197</v>
      </c>
      <c r="I15" s="26" t="n">
        <f aca="false">IFERROR(H15/H$49,0)</f>
        <v>0.00710421925712225</v>
      </c>
      <c r="J15" s="22" t="n">
        <f aca="false">IF(H15=0,"-",RANK(H15,H$7:H$48))</f>
        <v>15</v>
      </c>
      <c r="K15" s="25" t="n">
        <v>127</v>
      </c>
      <c r="L15" s="26" t="n">
        <f aca="false">IFERROR(K15/K$49,0)</f>
        <v>0.0116247139588101</v>
      </c>
      <c r="M15" s="22" t="n">
        <f aca="false">IF(K15=0,"-",RANK(K15,K$7:K$48))</f>
        <v>14</v>
      </c>
      <c r="N15" s="27" t="n">
        <f aca="false">F15-I15</f>
        <v>0.0107998151186238</v>
      </c>
      <c r="O15" s="27" t="n">
        <f aca="false">F15-L15</f>
        <v>0.00627932041693594</v>
      </c>
    </row>
    <row r="16" customFormat="false" ht="15" hidden="false" customHeight="false" outlineLevel="0" collapsed="false">
      <c r="A16" s="22" t="n">
        <v>10</v>
      </c>
      <c r="B16" s="22" t="s">
        <v>105</v>
      </c>
      <c r="C16" s="23" t="s">
        <v>106</v>
      </c>
      <c r="D16" s="24" t="n">
        <v>600</v>
      </c>
      <c r="E16" s="25" t="n">
        <v>30</v>
      </c>
      <c r="F16" s="26" t="n">
        <f aca="false">IFERROR(E16/E$49,0)</f>
        <v>0.0071616137502984</v>
      </c>
      <c r="G16" s="22" t="n">
        <f aca="false">IF(E16=0,"-",RANK(E16,E$7:E$48))</f>
        <v>19</v>
      </c>
      <c r="H16" s="25" t="n">
        <v>78</v>
      </c>
      <c r="I16" s="26" t="n">
        <f aca="false">IFERROR(H16/H$49,0)</f>
        <v>0.00281283808150018</v>
      </c>
      <c r="J16" s="22" t="n">
        <f aca="false">IF(H16=0,"-",RANK(H16,H$7:H$48))</f>
        <v>18</v>
      </c>
      <c r="K16" s="25" t="n">
        <v>61</v>
      </c>
      <c r="L16" s="26" t="n">
        <f aca="false">IFERROR(K16/K$49,0)</f>
        <v>0.00558352402745995</v>
      </c>
      <c r="M16" s="22" t="n">
        <f aca="false">IF(K16=0,"-",RANK(K16,K$7:K$48))</f>
        <v>17</v>
      </c>
      <c r="N16" s="27" t="n">
        <f aca="false">F16-I16</f>
        <v>0.00434877566879822</v>
      </c>
      <c r="O16" s="27" t="n">
        <f aca="false">F16-L16</f>
        <v>0.00157808972283845</v>
      </c>
    </row>
    <row r="17" customFormat="false" ht="15" hidden="false" customHeight="false" outlineLevel="0" collapsed="false">
      <c r="A17" s="22" t="n">
        <v>11</v>
      </c>
      <c r="B17" s="22" t="s">
        <v>107</v>
      </c>
      <c r="C17" s="23" t="s">
        <v>108</v>
      </c>
      <c r="D17" s="24" t="n">
        <v>600</v>
      </c>
      <c r="E17" s="25" t="n">
        <v>8</v>
      </c>
      <c r="F17" s="26" t="n">
        <f aca="false">IFERROR(E17/E$49,0)</f>
        <v>0.00190976366674624</v>
      </c>
      <c r="G17" s="22" t="n">
        <f aca="false">IF(E17=0,"-",RANK(E17,E$7:E$48))</f>
        <v>28</v>
      </c>
      <c r="H17" s="25" t="n">
        <v>8</v>
      </c>
      <c r="I17" s="26" t="n">
        <f aca="false">IFERROR(H17/H$49,0)</f>
        <v>0.000288496213487198</v>
      </c>
      <c r="J17" s="22" t="n">
        <f aca="false">IF(H17=0,"-",RANK(H17,H$7:H$48))</f>
        <v>33</v>
      </c>
      <c r="K17" s="25" t="n">
        <v>10</v>
      </c>
      <c r="L17" s="26" t="n">
        <f aca="false">IFERROR(K17/K$49,0)</f>
        <v>0.00091533180778032</v>
      </c>
      <c r="M17" s="22" t="n">
        <f aca="false">IF(K17=0,"-",RANK(K17,K$7:K$48))</f>
        <v>28</v>
      </c>
      <c r="N17" s="27" t="n">
        <f aca="false">F17-I17</f>
        <v>0.00162126745325904</v>
      </c>
      <c r="O17" s="27" t="n">
        <f aca="false">F17-L17</f>
        <v>0.00099443185896592</v>
      </c>
    </row>
    <row r="18" customFormat="false" ht="15" hidden="false" customHeight="false" outlineLevel="0" collapsed="false">
      <c r="A18" s="22" t="n">
        <v>12</v>
      </c>
      <c r="B18" s="22" t="s">
        <v>109</v>
      </c>
      <c r="C18" s="23" t="s">
        <v>110</v>
      </c>
      <c r="D18" s="24" t="n">
        <v>600</v>
      </c>
      <c r="E18" s="25" t="n">
        <v>12</v>
      </c>
      <c r="F18" s="26" t="n">
        <f aca="false">IFERROR(E18/E$49,0)</f>
        <v>0.00286464550011936</v>
      </c>
      <c r="G18" s="22" t="n">
        <f aca="false">IF(E18=0,"-",RANK(E18,E$7:E$48))</f>
        <v>26</v>
      </c>
      <c r="H18" s="25" t="n">
        <v>33</v>
      </c>
      <c r="I18" s="26" t="n">
        <f aca="false">IFERROR(H18/H$49,0)</f>
        <v>0.00119004688063469</v>
      </c>
      <c r="J18" s="22" t="n">
        <f aca="false">IF(H18=0,"-",RANK(H18,H$7:H$48))</f>
        <v>26</v>
      </c>
      <c r="K18" s="25" t="n">
        <v>13</v>
      </c>
      <c r="L18" s="26" t="n">
        <f aca="false">IFERROR(K18/K$49,0)</f>
        <v>0.00118993135011442</v>
      </c>
      <c r="M18" s="22" t="n">
        <f aca="false">IF(K18=0,"-",RANK(K18,K$7:K$48))</f>
        <v>27</v>
      </c>
      <c r="N18" s="27" t="n">
        <f aca="false">F18-I18</f>
        <v>0.00167459861948467</v>
      </c>
      <c r="O18" s="27" t="n">
        <f aca="false">F18-L18</f>
        <v>0.00167471415000494</v>
      </c>
    </row>
    <row r="19" customFormat="false" ht="15" hidden="false" customHeight="false" outlineLevel="0" collapsed="false">
      <c r="A19" s="22" t="n">
        <v>13</v>
      </c>
      <c r="B19" s="22" t="s">
        <v>111</v>
      </c>
      <c r="C19" s="23" t="s">
        <v>112</v>
      </c>
      <c r="D19" s="24" t="n">
        <v>600</v>
      </c>
      <c r="E19" s="25" t="n">
        <v>3</v>
      </c>
      <c r="F19" s="26" t="n">
        <f aca="false">IFERROR(E19/E$49,0)</f>
        <v>0.00071616137502984</v>
      </c>
      <c r="G19" s="22" t="n">
        <f aca="false">IF(E19=0,"-",RANK(E19,E$7:E$48))</f>
        <v>31</v>
      </c>
      <c r="H19" s="25" t="n">
        <v>6</v>
      </c>
      <c r="I19" s="26" t="n">
        <f aca="false">IFERROR(H19/H$49,0)</f>
        <v>0.000216372160115398</v>
      </c>
      <c r="J19" s="22" t="n">
        <f aca="false">IF(H19=0,"-",RANK(H19,H$7:H$48))</f>
        <v>34</v>
      </c>
      <c r="K19" s="25" t="n">
        <v>5</v>
      </c>
      <c r="L19" s="26" t="n">
        <f aca="false">IFERROR(K19/K$49,0)</f>
        <v>0.00045766590389016</v>
      </c>
      <c r="M19" s="22" t="n">
        <f aca="false">IF(K19=0,"-",RANK(K19,K$7:K$48))</f>
        <v>32</v>
      </c>
      <c r="N19" s="27" t="n">
        <f aca="false">F19-I19</f>
        <v>0.000499789214914442</v>
      </c>
      <c r="O19" s="27" t="n">
        <f aca="false">F19-L19</f>
        <v>0.00025849547113968</v>
      </c>
    </row>
    <row r="20" customFormat="false" ht="15" hidden="false" customHeight="false" outlineLevel="0" collapsed="false">
      <c r="A20" s="22" t="n">
        <v>14</v>
      </c>
      <c r="B20" s="22" t="s">
        <v>113</v>
      </c>
      <c r="C20" s="23" t="s">
        <v>114</v>
      </c>
      <c r="D20" s="24" t="n">
        <v>600</v>
      </c>
      <c r="E20" s="25" t="n">
        <v>17</v>
      </c>
      <c r="F20" s="26" t="n">
        <f aca="false">IFERROR(E20/E$49,0)</f>
        <v>0.00405824779183576</v>
      </c>
      <c r="G20" s="22" t="n">
        <f aca="false">IF(E20=0,"-",RANK(E20,E$7:E$48))</f>
        <v>23</v>
      </c>
      <c r="H20" s="25" t="n">
        <v>36</v>
      </c>
      <c r="I20" s="26" t="n">
        <f aca="false">IFERROR(H20/H$49,0)</f>
        <v>0.00129823296069239</v>
      </c>
      <c r="J20" s="22" t="n">
        <f aca="false">IF(H20=0,"-",RANK(H20,H$7:H$48))</f>
        <v>23</v>
      </c>
      <c r="K20" s="25" t="n">
        <v>22</v>
      </c>
      <c r="L20" s="26" t="n">
        <f aca="false">IFERROR(K20/K$49,0)</f>
        <v>0.00201372997711671</v>
      </c>
      <c r="M20" s="22" t="n">
        <f aca="false">IF(K20=0,"-",RANK(K20,K$7:K$48))</f>
        <v>23</v>
      </c>
      <c r="N20" s="27" t="n">
        <f aca="false">F20-I20</f>
        <v>0.00276001483114337</v>
      </c>
      <c r="O20" s="27" t="n">
        <f aca="false">F20-L20</f>
        <v>0.00204451781471906</v>
      </c>
    </row>
    <row r="21" customFormat="false" ht="15" hidden="false" customHeight="false" outlineLevel="0" collapsed="false">
      <c r="A21" s="22" t="n">
        <v>15</v>
      </c>
      <c r="B21" s="22" t="s">
        <v>115</v>
      </c>
      <c r="C21" s="23" t="s">
        <v>116</v>
      </c>
      <c r="D21" s="24" t="n">
        <v>600</v>
      </c>
      <c r="E21" s="25" t="n">
        <v>29</v>
      </c>
      <c r="F21" s="26" t="n">
        <f aca="false">IFERROR(E21/E$49,0)</f>
        <v>0.00692289329195512</v>
      </c>
      <c r="G21" s="22" t="n">
        <f aca="false">IF(E21=0,"-",RANK(E21,E$7:E$48))</f>
        <v>20</v>
      </c>
      <c r="H21" s="25" t="n">
        <v>49</v>
      </c>
      <c r="I21" s="26" t="n">
        <f aca="false">IFERROR(H21/H$49,0)</f>
        <v>0.00176703930760909</v>
      </c>
      <c r="J21" s="22" t="n">
        <f aca="false">IF(H21=0,"-",RANK(H21,H$7:H$48))</f>
        <v>22</v>
      </c>
      <c r="K21" s="25" t="n">
        <v>29</v>
      </c>
      <c r="L21" s="26" t="n">
        <f aca="false">IFERROR(K21/K$49,0)</f>
        <v>0.00265446224256293</v>
      </c>
      <c r="M21" s="22" t="n">
        <f aca="false">IF(K21=0,"-",RANK(K21,K$7:K$48))</f>
        <v>21</v>
      </c>
      <c r="N21" s="27" t="n">
        <f aca="false">F21-I21</f>
        <v>0.00515585398434603</v>
      </c>
      <c r="O21" s="27" t="n">
        <f aca="false">F21-L21</f>
        <v>0.00426843104939219</v>
      </c>
    </row>
    <row r="22" customFormat="false" ht="15" hidden="false" customHeight="false" outlineLevel="0" collapsed="false">
      <c r="A22" s="22" t="n">
        <v>16</v>
      </c>
      <c r="B22" s="22" t="s">
        <v>117</v>
      </c>
      <c r="C22" s="23" t="s">
        <v>118</v>
      </c>
      <c r="D22" s="24" t="n">
        <v>600</v>
      </c>
      <c r="E22" s="25" t="n">
        <v>3</v>
      </c>
      <c r="F22" s="26" t="n">
        <f aca="false">IFERROR(E22/E$49,0)</f>
        <v>0.00071616137502984</v>
      </c>
      <c r="G22" s="22" t="n">
        <f aca="false">IF(E22=0,"-",RANK(E22,E$7:E$48))</f>
        <v>31</v>
      </c>
      <c r="H22" s="25" t="n">
        <v>13</v>
      </c>
      <c r="I22" s="26" t="n">
        <f aca="false">IFERROR(H22/H$49,0)</f>
        <v>0.000468806346916697</v>
      </c>
      <c r="J22" s="22" t="n">
        <f aca="false">IF(H22=0,"-",RANK(H22,H$7:H$48))</f>
        <v>30</v>
      </c>
      <c r="K22" s="25" t="n">
        <v>8</v>
      </c>
      <c r="L22" s="26" t="n">
        <f aca="false">IFERROR(K22/K$49,0)</f>
        <v>0.000732265446224256</v>
      </c>
      <c r="M22" s="22" t="n">
        <f aca="false">IF(K22=0,"-",RANK(K22,K$7:K$48))</f>
        <v>29</v>
      </c>
      <c r="N22" s="27" t="n">
        <f aca="false">F22-I22</f>
        <v>0.000247355028113143</v>
      </c>
      <c r="O22" s="27" t="n">
        <f aca="false">F22-L22</f>
        <v>-1.61040711944162E-005</v>
      </c>
    </row>
    <row r="23" customFormat="false" ht="15" hidden="false" customHeight="false" outlineLevel="0" collapsed="false">
      <c r="A23" s="22" t="n">
        <v>17</v>
      </c>
      <c r="B23" s="22" t="s">
        <v>119</v>
      </c>
      <c r="C23" s="23" t="s">
        <v>120</v>
      </c>
      <c r="D23" s="24" t="n">
        <v>600</v>
      </c>
      <c r="E23" s="25" t="n">
        <v>39</v>
      </c>
      <c r="F23" s="26" t="n">
        <f aca="false">IFERROR(E23/E$49,0)</f>
        <v>0.00931009787538792</v>
      </c>
      <c r="G23" s="22" t="n">
        <f aca="false">IF(E23=0,"-",RANK(E23,E$7:E$48))</f>
        <v>18</v>
      </c>
      <c r="H23" s="25" t="n">
        <v>62</v>
      </c>
      <c r="I23" s="26" t="n">
        <f aca="false">IFERROR(H23/H$49,0)</f>
        <v>0.00223584565452578</v>
      </c>
      <c r="J23" s="22" t="n">
        <f aca="false">IF(H23=0,"-",RANK(H23,H$7:H$48))</f>
        <v>21</v>
      </c>
      <c r="K23" s="25" t="n">
        <v>39</v>
      </c>
      <c r="L23" s="26" t="n">
        <f aca="false">IFERROR(K23/K$49,0)</f>
        <v>0.00356979405034325</v>
      </c>
      <c r="M23" s="22" t="n">
        <f aca="false">IF(K23=0,"-",RANK(K23,K$7:K$48))</f>
        <v>20</v>
      </c>
      <c r="N23" s="27" t="n">
        <f aca="false">F23-I23</f>
        <v>0.00707425222086214</v>
      </c>
      <c r="O23" s="27" t="n">
        <f aca="false">F23-L23</f>
        <v>0.00574030382504467</v>
      </c>
    </row>
    <row r="24" customFormat="false" ht="15" hidden="false" customHeight="false" outlineLevel="0" collapsed="false">
      <c r="A24" s="22" t="n">
        <v>18</v>
      </c>
      <c r="B24" s="22" t="s">
        <v>121</v>
      </c>
      <c r="C24" s="23" t="s">
        <v>122</v>
      </c>
      <c r="D24" s="24" t="n">
        <v>600</v>
      </c>
      <c r="E24" s="25" t="n">
        <v>224</v>
      </c>
      <c r="F24" s="26" t="n">
        <f aca="false">IFERROR(E24/E$49,0)</f>
        <v>0.0534733826688947</v>
      </c>
      <c r="G24" s="22" t="n">
        <f aca="false">IF(E24=0,"-",RANK(E24,E$7:E$48))</f>
        <v>6</v>
      </c>
      <c r="H24" s="25" t="n">
        <v>638</v>
      </c>
      <c r="I24" s="26" t="n">
        <f aca="false">IFERROR(H24/H$49,0)</f>
        <v>0.023007573025604</v>
      </c>
      <c r="J24" s="22" t="n">
        <f aca="false">IF(H24=0,"-",RANK(H24,H$7:H$48))</f>
        <v>5</v>
      </c>
      <c r="K24" s="25" t="n">
        <v>332</v>
      </c>
      <c r="L24" s="26" t="n">
        <f aca="false">IFERROR(K24/K$49,0)</f>
        <v>0.0303890160183066</v>
      </c>
      <c r="M24" s="22" t="n">
        <f aca="false">IF(K24=0,"-",RANK(K24,K$7:K$48))</f>
        <v>6</v>
      </c>
      <c r="N24" s="27" t="n">
        <f aca="false">F24-I24</f>
        <v>0.0304658096432907</v>
      </c>
      <c r="O24" s="27" t="n">
        <f aca="false">F24-L24</f>
        <v>0.0230843666505881</v>
      </c>
    </row>
    <row r="25" customFormat="false" ht="15" hidden="false" customHeight="false" outlineLevel="0" collapsed="false">
      <c r="A25" s="22" t="n">
        <v>19</v>
      </c>
      <c r="B25" s="22" t="s">
        <v>123</v>
      </c>
      <c r="C25" s="23" t="s">
        <v>124</v>
      </c>
      <c r="D25" s="24" t="n">
        <v>600</v>
      </c>
      <c r="E25" s="25" t="n">
        <v>8</v>
      </c>
      <c r="F25" s="26" t="n">
        <f aca="false">IFERROR(E25/E$49,0)</f>
        <v>0.00190976366674624</v>
      </c>
      <c r="G25" s="22" t="n">
        <f aca="false">IF(E25=0,"-",RANK(E25,E$7:E$48))</f>
        <v>28</v>
      </c>
      <c r="H25" s="25" t="n">
        <v>19</v>
      </c>
      <c r="I25" s="26" t="n">
        <f aca="false">IFERROR(H25/H$49,0)</f>
        <v>0.000685178507032095</v>
      </c>
      <c r="J25" s="22" t="n">
        <f aca="false">IF(H25=0,"-",RANK(H25,H$7:H$48))</f>
        <v>29</v>
      </c>
      <c r="K25" s="25" t="n">
        <v>8</v>
      </c>
      <c r="L25" s="26" t="n">
        <f aca="false">IFERROR(K25/K$49,0)</f>
        <v>0.000732265446224256</v>
      </c>
      <c r="M25" s="22" t="n">
        <f aca="false">IF(K25=0,"-",RANK(K25,K$7:K$48))</f>
        <v>29</v>
      </c>
      <c r="N25" s="27" t="n">
        <f aca="false">F25-I25</f>
        <v>0.00122458515971415</v>
      </c>
      <c r="O25" s="27" t="n">
        <f aca="false">F25-L25</f>
        <v>0.00117749822052198</v>
      </c>
    </row>
    <row r="26" customFormat="false" ht="15" hidden="false" customHeight="false" outlineLevel="0" collapsed="false">
      <c r="A26" s="22" t="n">
        <v>20</v>
      </c>
      <c r="B26" s="22" t="s">
        <v>125</v>
      </c>
      <c r="C26" s="23" t="s">
        <v>126</v>
      </c>
      <c r="D26" s="24" t="n">
        <v>600</v>
      </c>
      <c r="E26" s="25" t="n">
        <v>5</v>
      </c>
      <c r="F26" s="26" t="n">
        <f aca="false">IFERROR(E26/E$49,0)</f>
        <v>0.0011936022917164</v>
      </c>
      <c r="G26" s="22" t="n">
        <f aca="false">IF(E26=0,"-",RANK(E26,E$7:E$48))</f>
        <v>30</v>
      </c>
      <c r="H26" s="25" t="n">
        <v>10</v>
      </c>
      <c r="I26" s="26" t="n">
        <f aca="false">IFERROR(H26/H$49,0)</f>
        <v>0.000360620266858998</v>
      </c>
      <c r="J26" s="22" t="n">
        <f aca="false">IF(H26=0,"-",RANK(H26,H$7:H$48))</f>
        <v>32</v>
      </c>
      <c r="K26" s="25" t="n">
        <v>6</v>
      </c>
      <c r="L26" s="26" t="n">
        <f aca="false">IFERROR(K26/K$49,0)</f>
        <v>0.000549199084668192</v>
      </c>
      <c r="M26" s="22" t="n">
        <f aca="false">IF(K26=0,"-",RANK(K26,K$7:K$48))</f>
        <v>31</v>
      </c>
      <c r="N26" s="27" t="n">
        <f aca="false">F26-I26</f>
        <v>0.000832982024857403</v>
      </c>
      <c r="O26" s="27" t="n">
        <f aca="false">F26-L26</f>
        <v>0.000644403207048208</v>
      </c>
    </row>
    <row r="27" customFormat="false" ht="15" hidden="false" customHeight="false" outlineLevel="0" collapsed="false">
      <c r="A27" s="22" t="n">
        <v>21</v>
      </c>
      <c r="B27" s="22" t="s">
        <v>127</v>
      </c>
      <c r="C27" s="23" t="s">
        <v>128</v>
      </c>
      <c r="D27" s="24" t="n">
        <v>600</v>
      </c>
      <c r="E27" s="25" t="n">
        <v>40</v>
      </c>
      <c r="F27" s="26" t="n">
        <f aca="false">IFERROR(E27/E$49,0)</f>
        <v>0.0095488183337312</v>
      </c>
      <c r="G27" s="22" t="n">
        <f aca="false">IF(E27=0,"-",RANK(E27,E$7:E$48))</f>
        <v>17</v>
      </c>
      <c r="H27" s="25" t="n">
        <v>73</v>
      </c>
      <c r="I27" s="26" t="n">
        <f aca="false">IFERROR(H27/H$49,0)</f>
        <v>0.00263252794807068</v>
      </c>
      <c r="J27" s="22" t="n">
        <f aca="false">IF(H27=0,"-",RANK(H27,H$7:H$48))</f>
        <v>19</v>
      </c>
      <c r="K27" s="25" t="n">
        <v>55</v>
      </c>
      <c r="L27" s="26" t="n">
        <f aca="false">IFERROR(K27/K$49,0)</f>
        <v>0.00503432494279176</v>
      </c>
      <c r="M27" s="22" t="n">
        <f aca="false">IF(K27=0,"-",RANK(K27,K$7:K$48))</f>
        <v>18</v>
      </c>
      <c r="N27" s="27" t="n">
        <f aca="false">F27-I27</f>
        <v>0.00691629038566052</v>
      </c>
      <c r="O27" s="27" t="n">
        <f aca="false">F27-L27</f>
        <v>0.00451449339093944</v>
      </c>
    </row>
    <row r="28" customFormat="false" ht="15" hidden="false" customHeight="false" outlineLevel="0" collapsed="false">
      <c r="A28" s="22" t="n">
        <v>22</v>
      </c>
      <c r="B28" s="22" t="s">
        <v>129</v>
      </c>
      <c r="C28" s="23" t="s">
        <v>130</v>
      </c>
      <c r="D28" s="24" t="n">
        <v>600</v>
      </c>
      <c r="E28" s="25" t="n">
        <v>14</v>
      </c>
      <c r="F28" s="26" t="n">
        <f aca="false">IFERROR(E28/E$49,0)</f>
        <v>0.00334208641680592</v>
      </c>
      <c r="G28" s="22" t="n">
        <f aca="false">IF(E28=0,"-",RANK(E28,E$7:E$48))</f>
        <v>25</v>
      </c>
      <c r="H28" s="25" t="n">
        <v>35</v>
      </c>
      <c r="I28" s="26" t="n">
        <f aca="false">IFERROR(H28/H$49,0)</f>
        <v>0.00126217093400649</v>
      </c>
      <c r="J28" s="22" t="n">
        <f aca="false">IF(H28=0,"-",RANK(H28,H$7:H$48))</f>
        <v>25</v>
      </c>
      <c r="K28" s="25" t="n">
        <v>19</v>
      </c>
      <c r="L28" s="26" t="n">
        <f aca="false">IFERROR(K28/K$49,0)</f>
        <v>0.00173913043478261</v>
      </c>
      <c r="M28" s="22" t="n">
        <f aca="false">IF(K28=0,"-",RANK(K28,K$7:K$48))</f>
        <v>25</v>
      </c>
      <c r="N28" s="27" t="n">
        <f aca="false">F28-I28</f>
        <v>0.00207991548279943</v>
      </c>
      <c r="O28" s="27" t="n">
        <f aca="false">F28-L28</f>
        <v>0.00160295598202331</v>
      </c>
    </row>
    <row r="29" customFormat="false" ht="15" hidden="false" customHeight="false" outlineLevel="0" collapsed="false">
      <c r="A29" s="22" t="n">
        <v>23</v>
      </c>
      <c r="B29" s="22" t="s">
        <v>131</v>
      </c>
      <c r="C29" s="23" t="s">
        <v>132</v>
      </c>
      <c r="D29" s="24" t="n">
        <v>600</v>
      </c>
      <c r="E29" s="25" t="n">
        <v>1027</v>
      </c>
      <c r="F29" s="26" t="n">
        <f aca="false">IFERROR(E29/E$49,0)</f>
        <v>0.245165910718549</v>
      </c>
      <c r="G29" s="22" t="n">
        <f aca="false">IF(E29=0,"-",RANK(E29,E$7:E$48))</f>
        <v>1</v>
      </c>
      <c r="H29" s="25" t="n">
        <v>6233</v>
      </c>
      <c r="I29" s="26" t="n">
        <f aca="false">IFERROR(H29/H$49,0)</f>
        <v>0.224774612333213</v>
      </c>
      <c r="J29" s="22" t="n">
        <f aca="false">IF(H29=0,"-",RANK(H29,H$7:H$48))</f>
        <v>2</v>
      </c>
      <c r="K29" s="25" t="n">
        <v>2414</v>
      </c>
      <c r="L29" s="26" t="n">
        <f aca="false">IFERROR(K29/K$49,0)</f>
        <v>0.220961098398169</v>
      </c>
      <c r="M29" s="22" t="n">
        <f aca="false">IF(K29=0,"-",RANK(K29,K$7:K$48))</f>
        <v>2</v>
      </c>
      <c r="N29" s="27" t="n">
        <f aca="false">F29-I29</f>
        <v>0.0203912983853354</v>
      </c>
      <c r="O29" s="27" t="n">
        <f aca="false">F29-L29</f>
        <v>0.0242048123203792</v>
      </c>
    </row>
    <row r="30" customFormat="false" ht="15" hidden="false" customHeight="false" outlineLevel="0" collapsed="false">
      <c r="A30" s="22" t="n">
        <v>24</v>
      </c>
      <c r="B30" s="22" t="s">
        <v>133</v>
      </c>
      <c r="C30" s="23" t="s">
        <v>134</v>
      </c>
      <c r="D30" s="24" t="n">
        <v>600</v>
      </c>
      <c r="E30" s="25" t="n">
        <v>543</v>
      </c>
      <c r="F30" s="26" t="n">
        <f aca="false">IFERROR(E30/E$49,0)</f>
        <v>0.129625208880401</v>
      </c>
      <c r="G30" s="22" t="n">
        <f aca="false">IF(E30=0,"-",RANK(E30,E$7:E$48))</f>
        <v>3</v>
      </c>
      <c r="H30" s="25" t="n">
        <v>4369</v>
      </c>
      <c r="I30" s="26" t="n">
        <f aca="false">IFERROR(H30/H$49,0)</f>
        <v>0.157554994590696</v>
      </c>
      <c r="J30" s="22" t="n">
        <f aca="false">IF(H30=0,"-",RANK(H30,H$7:H$48))</f>
        <v>4</v>
      </c>
      <c r="K30" s="25" t="n">
        <v>1393</v>
      </c>
      <c r="L30" s="26" t="n">
        <f aca="false">IFERROR(K30/K$49,0)</f>
        <v>0.127505720823799</v>
      </c>
      <c r="M30" s="22" t="n">
        <f aca="false">IF(K30=0,"-",RANK(K30,K$7:K$48))</f>
        <v>4</v>
      </c>
      <c r="N30" s="27" t="n">
        <f aca="false">F30-I30</f>
        <v>-0.0279297857102949</v>
      </c>
      <c r="O30" s="27" t="n">
        <f aca="false">F30-L30</f>
        <v>0.00211948805660242</v>
      </c>
    </row>
    <row r="31" customFormat="false" ht="15" hidden="false" customHeight="false" outlineLevel="0" collapsed="false">
      <c r="A31" s="22" t="n">
        <v>25</v>
      </c>
      <c r="B31" s="22" t="s">
        <v>135</v>
      </c>
      <c r="C31" s="23" t="s">
        <v>136</v>
      </c>
      <c r="D31" s="24" t="n">
        <v>1500</v>
      </c>
      <c r="E31" s="25" t="n">
        <v>18</v>
      </c>
      <c r="F31" s="26" t="n">
        <f aca="false">IFERROR(E31/E$49,0)</f>
        <v>0.00429696825017904</v>
      </c>
      <c r="G31" s="22" t="n">
        <f aca="false">IF(E31=0,"-",RANK(E31,E$7:E$48))</f>
        <v>22</v>
      </c>
      <c r="H31" s="25" t="n">
        <v>98</v>
      </c>
      <c r="I31" s="26" t="n">
        <f aca="false">IFERROR(H31/H$49,0)</f>
        <v>0.00353407861521818</v>
      </c>
      <c r="J31" s="22" t="n">
        <f aca="false">IF(H31=0,"-",RANK(H31,H$7:H$48))</f>
        <v>17</v>
      </c>
      <c r="K31" s="25" t="n">
        <v>52</v>
      </c>
      <c r="L31" s="26" t="n">
        <f aca="false">IFERROR(K31/K$49,0)</f>
        <v>0.00475972540045767</v>
      </c>
      <c r="M31" s="22" t="n">
        <f aca="false">IF(K31=0,"-",RANK(K31,K$7:K$48))</f>
        <v>19</v>
      </c>
      <c r="N31" s="27" t="n">
        <f aca="false">F31-I31</f>
        <v>0.000762889634960865</v>
      </c>
      <c r="O31" s="27" t="n">
        <f aca="false">F31-L31</f>
        <v>-0.000462757150278625</v>
      </c>
    </row>
    <row r="32" customFormat="false" ht="15" hidden="false" customHeight="false" outlineLevel="0" collapsed="false">
      <c r="A32" s="22" t="n">
        <v>26</v>
      </c>
      <c r="B32" s="22" t="s">
        <v>137</v>
      </c>
      <c r="C32" s="23" t="s">
        <v>138</v>
      </c>
      <c r="D32" s="24" t="n">
        <v>2200</v>
      </c>
      <c r="E32" s="25" t="n">
        <v>85</v>
      </c>
      <c r="F32" s="26" t="n">
        <f aca="false">IFERROR(E32/E$49,0)</f>
        <v>0.0202912389591788</v>
      </c>
      <c r="G32" s="22" t="n">
        <f aca="false">IF(E32=0,"-",RANK(E32,E$7:E$48))</f>
        <v>11</v>
      </c>
      <c r="H32" s="25" t="n">
        <v>373</v>
      </c>
      <c r="I32" s="26" t="n">
        <f aca="false">IFERROR(H32/H$49,0)</f>
        <v>0.0134511359538406</v>
      </c>
      <c r="J32" s="22" t="n">
        <f aca="false">IF(H32=0,"-",RANK(H32,H$7:H$48))</f>
        <v>10</v>
      </c>
      <c r="K32" s="25" t="n">
        <v>153</v>
      </c>
      <c r="L32" s="26" t="n">
        <f aca="false">IFERROR(K32/K$49,0)</f>
        <v>0.0140045766590389</v>
      </c>
      <c r="M32" s="22" t="n">
        <f aca="false">IF(K32=0,"-",RANK(K32,K$7:K$48))</f>
        <v>10</v>
      </c>
      <c r="N32" s="27" t="n">
        <f aca="false">F32-I32</f>
        <v>0.0068401030053382</v>
      </c>
      <c r="O32" s="27" t="n">
        <f aca="false">F32-L32</f>
        <v>0.0062866623001399</v>
      </c>
    </row>
    <row r="33" customFormat="false" ht="15" hidden="false" customHeight="false" outlineLevel="0" collapsed="false">
      <c r="A33" s="22" t="n">
        <v>27</v>
      </c>
      <c r="B33" s="22" t="s">
        <v>139</v>
      </c>
      <c r="C33" s="23" t="s">
        <v>140</v>
      </c>
      <c r="D33" s="24" t="n">
        <v>1100</v>
      </c>
      <c r="E33" s="25" t="n">
        <v>15</v>
      </c>
      <c r="F33" s="26" t="n">
        <f aca="false">IFERROR(E33/E$49,0)</f>
        <v>0.0035808068751492</v>
      </c>
      <c r="G33" s="22" t="n">
        <f aca="false">IF(E33=0,"-",RANK(E33,E$7:E$48))</f>
        <v>24</v>
      </c>
      <c r="H33" s="25" t="n">
        <v>33</v>
      </c>
      <c r="I33" s="26" t="n">
        <f aca="false">IFERROR(H33/H$49,0)</f>
        <v>0.00119004688063469</v>
      </c>
      <c r="J33" s="22" t="n">
        <f aca="false">IF(H33=0,"-",RANK(H33,H$7:H$48))</f>
        <v>26</v>
      </c>
      <c r="K33" s="25" t="n">
        <v>20</v>
      </c>
      <c r="L33" s="26" t="n">
        <f aca="false">IFERROR(K33/K$49,0)</f>
        <v>0.00183066361556064</v>
      </c>
      <c r="M33" s="22" t="n">
        <f aca="false">IF(K33=0,"-",RANK(K33,K$7:K$48))</f>
        <v>24</v>
      </c>
      <c r="N33" s="27" t="n">
        <f aca="false">F33-I33</f>
        <v>0.00239075999451451</v>
      </c>
      <c r="O33" s="27" t="n">
        <f aca="false">F33-L33</f>
        <v>0.00175014325958856</v>
      </c>
    </row>
    <row r="34" customFormat="false" ht="15" hidden="false" customHeight="false" outlineLevel="0" collapsed="false">
      <c r="A34" s="22" t="n">
        <v>28</v>
      </c>
      <c r="B34" s="22" t="s">
        <v>141</v>
      </c>
      <c r="C34" s="23" t="s">
        <v>142</v>
      </c>
      <c r="D34" s="24" t="n">
        <v>1800</v>
      </c>
      <c r="E34" s="25" t="n">
        <v>130</v>
      </c>
      <c r="F34" s="26" t="n">
        <f aca="false">IFERROR(E34/E$49,0)</f>
        <v>0.0310336595846264</v>
      </c>
      <c r="G34" s="22" t="n">
        <f aca="false">IF(E34=0,"-",RANK(E34,E$7:E$48))</f>
        <v>9</v>
      </c>
      <c r="H34" s="25" t="n">
        <v>299</v>
      </c>
      <c r="I34" s="26" t="n">
        <f aca="false">IFERROR(H34/H$49,0)</f>
        <v>0.010782545979084</v>
      </c>
      <c r="J34" s="22" t="n">
        <f aca="false">IF(H34=0,"-",RANK(H34,H$7:H$48))</f>
        <v>12</v>
      </c>
      <c r="K34" s="25" t="n">
        <v>146</v>
      </c>
      <c r="L34" s="26" t="n">
        <f aca="false">IFERROR(K34/K$49,0)</f>
        <v>0.0133638443935927</v>
      </c>
      <c r="M34" s="22" t="n">
        <f aca="false">IF(K34=0,"-",RANK(K34,K$7:K$48))</f>
        <v>11</v>
      </c>
      <c r="N34" s="27" t="n">
        <f aca="false">F34-I34</f>
        <v>0.0202511136055424</v>
      </c>
      <c r="O34" s="27" t="n">
        <f aca="false">F34-L34</f>
        <v>0.0176698151910337</v>
      </c>
    </row>
    <row r="35" customFormat="false" ht="15" hidden="false" customHeight="false" outlineLevel="0" collapsed="false">
      <c r="A35" s="22" t="n">
        <v>29</v>
      </c>
      <c r="B35" s="22" t="s">
        <v>143</v>
      </c>
      <c r="C35" s="23" t="s">
        <v>144</v>
      </c>
      <c r="D35" s="24" t="n">
        <v>1500</v>
      </c>
      <c r="E35" s="25" t="n">
        <v>66</v>
      </c>
      <c r="F35" s="26" t="n">
        <f aca="false">IFERROR(E35/E$49,0)</f>
        <v>0.0157555502506565</v>
      </c>
      <c r="G35" s="22" t="n">
        <f aca="false">IF(E35=0,"-",RANK(E35,E$7:E$48))</f>
        <v>15</v>
      </c>
      <c r="H35" s="25" t="n">
        <v>236</v>
      </c>
      <c r="I35" s="26" t="n">
        <f aca="false">IFERROR(H35/H$49,0)</f>
        <v>0.00851063829787234</v>
      </c>
      <c r="J35" s="22" t="n">
        <f aca="false">IF(H35=0,"-",RANK(H35,H$7:H$48))</f>
        <v>13</v>
      </c>
      <c r="K35" s="25" t="n">
        <v>92</v>
      </c>
      <c r="L35" s="26" t="n">
        <f aca="false">IFERROR(K35/K$49,0)</f>
        <v>0.00842105263157895</v>
      </c>
      <c r="M35" s="22" t="n">
        <f aca="false">IF(K35=0,"-",RANK(K35,K$7:K$48))</f>
        <v>15</v>
      </c>
      <c r="N35" s="27" t="n">
        <f aca="false">F35-I35</f>
        <v>0.00724491195278414</v>
      </c>
      <c r="O35" s="27" t="n">
        <f aca="false">F35-L35</f>
        <v>0.00733449761907754</v>
      </c>
    </row>
    <row r="36" customFormat="false" ht="15" hidden="false" customHeight="false" outlineLevel="0" collapsed="false">
      <c r="A36" s="22" t="n">
        <v>30</v>
      </c>
      <c r="B36" s="22" t="s">
        <v>145</v>
      </c>
      <c r="C36" s="23" t="s">
        <v>146</v>
      </c>
      <c r="D36" s="24" t="n">
        <v>3300</v>
      </c>
      <c r="E36" s="25" t="n">
        <v>20</v>
      </c>
      <c r="F36" s="26" t="n">
        <f aca="false">IFERROR(E36/E$49,0)</f>
        <v>0.0047744091668656</v>
      </c>
      <c r="G36" s="22" t="n">
        <f aca="false">IF(E36=0,"-",RANK(E36,E$7:E$48))</f>
        <v>21</v>
      </c>
      <c r="H36" s="25" t="n">
        <v>68</v>
      </c>
      <c r="I36" s="26" t="n">
        <f aca="false">IFERROR(H36/H$49,0)</f>
        <v>0.00245221781464118</v>
      </c>
      <c r="J36" s="22" t="n">
        <f aca="false">IF(H36=0,"-",RANK(H36,H$7:H$48))</f>
        <v>20</v>
      </c>
      <c r="K36" s="25" t="n">
        <v>18</v>
      </c>
      <c r="L36" s="26" t="n">
        <f aca="false">IFERROR(K36/K$49,0)</f>
        <v>0.00164759725400458</v>
      </c>
      <c r="M36" s="22" t="n">
        <f aca="false">IF(K36=0,"-",RANK(K36,K$7:K$48))</f>
        <v>26</v>
      </c>
      <c r="N36" s="27" t="n">
        <f aca="false">F36-I36</f>
        <v>0.00232219135222442</v>
      </c>
      <c r="O36" s="27" t="n">
        <f aca="false">F36-L36</f>
        <v>0.00312681191286102</v>
      </c>
    </row>
    <row r="37" customFormat="false" ht="15" hidden="false" customHeight="false" outlineLevel="0" collapsed="false">
      <c r="A37" s="22" t="n">
        <v>31</v>
      </c>
      <c r="B37" s="22" t="s">
        <v>147</v>
      </c>
      <c r="C37" s="23" t="s">
        <v>148</v>
      </c>
      <c r="D37" s="24" t="n">
        <v>1300</v>
      </c>
      <c r="E37" s="25" t="n">
        <v>43</v>
      </c>
      <c r="F37" s="26" t="n">
        <f aca="false">IFERROR(E37/E$49,0)</f>
        <v>0.010264979708761</v>
      </c>
      <c r="G37" s="22" t="n">
        <f aca="false">IF(E37=0,"-",RANK(E37,E$7:E$48))</f>
        <v>16</v>
      </c>
      <c r="H37" s="25" t="n">
        <v>116</v>
      </c>
      <c r="I37" s="26" t="n">
        <f aca="false">IFERROR(H37/H$49,0)</f>
        <v>0.00418319509556437</v>
      </c>
      <c r="J37" s="22" t="n">
        <f aca="false">IF(H37=0,"-",RANK(H37,H$7:H$48))</f>
        <v>16</v>
      </c>
      <c r="K37" s="25" t="n">
        <v>65</v>
      </c>
      <c r="L37" s="26" t="n">
        <f aca="false">IFERROR(K37/K$49,0)</f>
        <v>0.00594965675057208</v>
      </c>
      <c r="M37" s="22" t="n">
        <f aca="false">IF(K37=0,"-",RANK(K37,K$7:K$48))</f>
        <v>16</v>
      </c>
      <c r="N37" s="27" t="n">
        <f aca="false">F37-I37</f>
        <v>0.00608178461319667</v>
      </c>
      <c r="O37" s="27" t="n">
        <f aca="false">F37-L37</f>
        <v>0.00431532295818896</v>
      </c>
    </row>
    <row r="38" customFormat="false" ht="15" hidden="false" customHeight="false" outlineLevel="0" collapsed="false">
      <c r="A38" s="22" t="n">
        <v>32</v>
      </c>
      <c r="B38" s="22" t="s">
        <v>149</v>
      </c>
      <c r="C38" s="23" t="s">
        <v>150</v>
      </c>
      <c r="D38" s="24" t="n">
        <v>8800</v>
      </c>
      <c r="E38" s="25" t="n">
        <v>10</v>
      </c>
      <c r="F38" s="26" t="n">
        <f aca="false">IFERROR(E38/E$49,0)</f>
        <v>0.0023872045834328</v>
      </c>
      <c r="G38" s="22" t="n">
        <f aca="false">IF(E38=0,"-",RANK(E38,E$7:E$48))</f>
        <v>27</v>
      </c>
      <c r="H38" s="25" t="n">
        <v>36</v>
      </c>
      <c r="I38" s="26" t="n">
        <f aca="false">IFERROR(H38/H$49,0)</f>
        <v>0.00129823296069239</v>
      </c>
      <c r="J38" s="22" t="n">
        <f aca="false">IF(H38=0,"-",RANK(H38,H$7:H$48))</f>
        <v>23</v>
      </c>
      <c r="K38" s="25" t="n">
        <v>27</v>
      </c>
      <c r="L38" s="26" t="n">
        <f aca="false">IFERROR(K38/K$49,0)</f>
        <v>0.00247139588100687</v>
      </c>
      <c r="M38" s="22" t="n">
        <f aca="false">IF(K38=0,"-",RANK(K38,K$7:K$48))</f>
        <v>22</v>
      </c>
      <c r="N38" s="27" t="n">
        <f aca="false">F38-I38</f>
        <v>0.00108897162274041</v>
      </c>
      <c r="O38" s="27" t="n">
        <f aca="false">F38-L38</f>
        <v>-8.41912975740647E-005</v>
      </c>
    </row>
    <row r="39" customFormat="false" ht="15" hidden="false" customHeight="false" outlineLevel="0" collapsed="false">
      <c r="A39" s="22" t="n">
        <v>33</v>
      </c>
      <c r="B39" s="22" t="s">
        <v>151</v>
      </c>
      <c r="C39" s="23" t="s">
        <v>152</v>
      </c>
      <c r="D39" s="24" t="n">
        <v>27500</v>
      </c>
      <c r="E39" s="25" t="n">
        <v>0</v>
      </c>
      <c r="F39" s="26" t="n">
        <f aca="false">IFERROR(E39/E$49,0)</f>
        <v>0</v>
      </c>
      <c r="G39" s="22" t="str">
        <f aca="false">IF(E39=0,"-",RANK(E39,E$7:E$48))</f>
        <v>-</v>
      </c>
      <c r="H39" s="25" t="n">
        <v>28</v>
      </c>
      <c r="I39" s="26" t="n">
        <f aca="false">IFERROR(H39/H$49,0)</f>
        <v>0.00100973674720519</v>
      </c>
      <c r="J39" s="22" t="n">
        <f aca="false">IF(H39=0,"-",RANK(H39,H$7:H$48))</f>
        <v>28</v>
      </c>
      <c r="K39" s="25" t="n">
        <v>4</v>
      </c>
      <c r="L39" s="26" t="n">
        <f aca="false">IFERROR(K39/K$49,0)</f>
        <v>0.000366132723112128</v>
      </c>
      <c r="M39" s="22" t="n">
        <f aca="false">IF(K39=0,"-",RANK(K39,K$7:K$48))</f>
        <v>33</v>
      </c>
      <c r="N39" s="27" t="n">
        <f aca="false">F39-I39</f>
        <v>-0.00100973674720519</v>
      </c>
      <c r="O39" s="27" t="n">
        <f aca="false">F39-L39</f>
        <v>-0.000366132723112128</v>
      </c>
    </row>
    <row r="40" customFormat="false" ht="15" hidden="false" customHeight="false" outlineLevel="0" collapsed="false">
      <c r="A40" s="22" t="n">
        <v>34</v>
      </c>
      <c r="B40" s="22" t="s">
        <v>153</v>
      </c>
      <c r="C40" s="23" t="s">
        <v>154</v>
      </c>
      <c r="D40" s="24" t="n">
        <v>27500</v>
      </c>
      <c r="E40" s="25" t="n">
        <v>1</v>
      </c>
      <c r="F40" s="26" t="n">
        <f aca="false">IFERROR(E40/E$49,0)</f>
        <v>0.00023872045834328</v>
      </c>
      <c r="G40" s="22" t="n">
        <f aca="false">IF(E40=0,"-",RANK(E40,E$7:E$48))</f>
        <v>33</v>
      </c>
      <c r="H40" s="25" t="n">
        <v>3</v>
      </c>
      <c r="I40" s="26" t="n">
        <f aca="false">IFERROR(H40/H$49,0)</f>
        <v>0.000108186080057699</v>
      </c>
      <c r="J40" s="22" t="n">
        <f aca="false">IF(H40=0,"-",RANK(H40,H$7:H$48))</f>
        <v>36</v>
      </c>
      <c r="K40" s="25" t="n">
        <v>3</v>
      </c>
      <c r="L40" s="26" t="n">
        <f aca="false">IFERROR(K40/K$49,0)</f>
        <v>0.000274599542334096</v>
      </c>
      <c r="M40" s="22" t="n">
        <f aca="false">IF(K40=0,"-",RANK(K40,K$7:K$48))</f>
        <v>34</v>
      </c>
      <c r="N40" s="27" t="n">
        <f aca="false">F40-I40</f>
        <v>0.000130534378285581</v>
      </c>
      <c r="O40" s="27" t="n">
        <f aca="false">F40-L40</f>
        <v>-3.58790839908161E-005</v>
      </c>
    </row>
    <row r="41" customFormat="false" ht="15" hidden="false" customHeight="false" outlineLevel="0" collapsed="false">
      <c r="A41" s="22" t="n">
        <v>35</v>
      </c>
      <c r="B41" s="22" t="s">
        <v>155</v>
      </c>
      <c r="C41" s="23" t="s">
        <v>156</v>
      </c>
      <c r="D41" s="24" t="n">
        <v>27500</v>
      </c>
      <c r="E41" s="25" t="n">
        <v>0</v>
      </c>
      <c r="F41" s="26" t="n">
        <f aca="false">IFERROR(E41/E$49,0)</f>
        <v>0</v>
      </c>
      <c r="G41" s="22" t="str">
        <f aca="false">IF(E41=0,"-",RANK(E41,E$7:E$48))</f>
        <v>-</v>
      </c>
      <c r="H41" s="25" t="n">
        <v>3</v>
      </c>
      <c r="I41" s="26" t="n">
        <f aca="false">IFERROR(H41/H$49,0)</f>
        <v>0.000108186080057699</v>
      </c>
      <c r="J41" s="22" t="n">
        <f aca="false">IF(H41=0,"-",RANK(H41,H$7:H$48))</f>
        <v>36</v>
      </c>
      <c r="K41" s="25" t="n">
        <v>3</v>
      </c>
      <c r="L41" s="26" t="n">
        <f aca="false">IFERROR(K41/K$49,0)</f>
        <v>0.000274599542334096</v>
      </c>
      <c r="M41" s="22" t="n">
        <f aca="false">IF(K41=0,"-",RANK(K41,K$7:K$48))</f>
        <v>34</v>
      </c>
      <c r="N41" s="27" t="n">
        <f aca="false">F41-I41</f>
        <v>-0.000108186080057699</v>
      </c>
      <c r="O41" s="27" t="n">
        <f aca="false">F41-L41</f>
        <v>-0.000274599542334096</v>
      </c>
    </row>
    <row r="42" customFormat="false" ht="15" hidden="false" customHeight="false" outlineLevel="0" collapsed="false">
      <c r="A42" s="22" t="n">
        <v>36</v>
      </c>
      <c r="B42" s="22" t="s">
        <v>157</v>
      </c>
      <c r="C42" s="23" t="s">
        <v>158</v>
      </c>
      <c r="D42" s="24" t="n">
        <v>27500</v>
      </c>
      <c r="E42" s="25" t="n">
        <v>0</v>
      </c>
      <c r="F42" s="26" t="n">
        <f aca="false">IFERROR(E42/E$49,0)</f>
        <v>0</v>
      </c>
      <c r="G42" s="22" t="str">
        <f aca="false">IF(E42=0,"-",RANK(E42,E$7:E$48))</f>
        <v>-</v>
      </c>
      <c r="H42" s="25" t="n">
        <v>3</v>
      </c>
      <c r="I42" s="26" t="n">
        <f aca="false">IFERROR(H42/H$49,0)</f>
        <v>0.000108186080057699</v>
      </c>
      <c r="J42" s="22" t="n">
        <f aca="false">IF(H42=0,"-",RANK(H42,H$7:H$48))</f>
        <v>36</v>
      </c>
      <c r="K42" s="25" t="n">
        <v>2</v>
      </c>
      <c r="L42" s="26" t="n">
        <f aca="false">IFERROR(K42/K$49,0)</f>
        <v>0.000183066361556064</v>
      </c>
      <c r="M42" s="22" t="n">
        <f aca="false">IF(K42=0,"-",RANK(K42,K$7:K$48))</f>
        <v>37</v>
      </c>
      <c r="N42" s="27" t="n">
        <f aca="false">F42-I42</f>
        <v>-0.000108186080057699</v>
      </c>
      <c r="O42" s="27" t="n">
        <f aca="false">F42-L42</f>
        <v>-0.000183066361556064</v>
      </c>
    </row>
    <row r="43" customFormat="false" ht="15" hidden="false" customHeight="false" outlineLevel="0" collapsed="false">
      <c r="A43" s="22" t="n">
        <v>37</v>
      </c>
      <c r="B43" s="22" t="s">
        <v>159</v>
      </c>
      <c r="C43" s="23" t="s">
        <v>160</v>
      </c>
      <c r="D43" s="24" t="n">
        <v>27500</v>
      </c>
      <c r="E43" s="25" t="n">
        <v>0</v>
      </c>
      <c r="F43" s="26" t="n">
        <f aca="false">IFERROR(E43/E$49,0)</f>
        <v>0</v>
      </c>
      <c r="G43" s="22" t="str">
        <f aca="false">IF(E43=0,"-",RANK(E43,E$7:E$48))</f>
        <v>-</v>
      </c>
      <c r="H43" s="25" t="n">
        <v>11</v>
      </c>
      <c r="I43" s="26" t="n">
        <f aca="false">IFERROR(H43/H$49,0)</f>
        <v>0.000396682293544897</v>
      </c>
      <c r="J43" s="22" t="n">
        <f aca="false">IF(H43=0,"-",RANK(H43,H$7:H$48))</f>
        <v>31</v>
      </c>
      <c r="K43" s="25" t="n">
        <v>2</v>
      </c>
      <c r="L43" s="26" t="n">
        <f aca="false">IFERROR(K43/K$49,0)</f>
        <v>0.000183066361556064</v>
      </c>
      <c r="M43" s="22" t="n">
        <f aca="false">IF(K43=0,"-",RANK(K43,K$7:K$48))</f>
        <v>37</v>
      </c>
      <c r="N43" s="27" t="n">
        <f aca="false">F43-I43</f>
        <v>-0.000396682293544897</v>
      </c>
      <c r="O43" s="27" t="n">
        <f aca="false">F43-L43</f>
        <v>-0.000183066361556064</v>
      </c>
    </row>
    <row r="44" customFormat="false" ht="15" hidden="false" customHeight="false" outlineLevel="0" collapsed="false">
      <c r="A44" s="22" t="n">
        <v>38</v>
      </c>
      <c r="B44" s="22" t="s">
        <v>161</v>
      </c>
      <c r="C44" s="23" t="s">
        <v>162</v>
      </c>
      <c r="D44" s="24" t="n">
        <v>27500</v>
      </c>
      <c r="E44" s="25" t="n">
        <v>1</v>
      </c>
      <c r="F44" s="26" t="n">
        <f aca="false">IFERROR(E44/E$49,0)</f>
        <v>0.00023872045834328</v>
      </c>
      <c r="G44" s="22" t="n">
        <f aca="false">IF(E44=0,"-",RANK(E44,E$7:E$48))</f>
        <v>33</v>
      </c>
      <c r="H44" s="25" t="n">
        <v>3</v>
      </c>
      <c r="I44" s="26" t="n">
        <f aca="false">IFERROR(H44/H$49,0)</f>
        <v>0.000108186080057699</v>
      </c>
      <c r="J44" s="22" t="n">
        <f aca="false">IF(H44=0,"-",RANK(H44,H$7:H$48))</f>
        <v>36</v>
      </c>
      <c r="K44" s="25" t="n">
        <v>2</v>
      </c>
      <c r="L44" s="26" t="n">
        <f aca="false">IFERROR(K44/K$49,0)</f>
        <v>0.000183066361556064</v>
      </c>
      <c r="M44" s="22" t="n">
        <f aca="false">IF(K44=0,"-",RANK(K44,K$7:K$48))</f>
        <v>37</v>
      </c>
      <c r="N44" s="27" t="n">
        <f aca="false">F44-I44</f>
        <v>0.000130534378285581</v>
      </c>
      <c r="O44" s="27" t="n">
        <f aca="false">F44-L44</f>
        <v>5.56540967872159E-005</v>
      </c>
    </row>
    <row r="45" customFormat="false" ht="15" hidden="false" customHeight="false" outlineLevel="0" collapsed="false">
      <c r="A45" s="22" t="n">
        <v>39</v>
      </c>
      <c r="B45" s="22" t="s">
        <v>163</v>
      </c>
      <c r="C45" s="23" t="s">
        <v>164</v>
      </c>
      <c r="D45" s="24" t="n">
        <v>27500</v>
      </c>
      <c r="E45" s="25" t="n">
        <v>1</v>
      </c>
      <c r="F45" s="26" t="n">
        <f aca="false">IFERROR(E45/E$49,0)</f>
        <v>0.00023872045834328</v>
      </c>
      <c r="G45" s="22" t="n">
        <f aca="false">IF(E45=0,"-",RANK(E45,E$7:E$48))</f>
        <v>33</v>
      </c>
      <c r="H45" s="25" t="n">
        <v>3</v>
      </c>
      <c r="I45" s="26" t="n">
        <f aca="false">IFERROR(H45/H$49,0)</f>
        <v>0.000108186080057699</v>
      </c>
      <c r="J45" s="22" t="n">
        <f aca="false">IF(H45=0,"-",RANK(H45,H$7:H$48))</f>
        <v>36</v>
      </c>
      <c r="K45" s="25" t="n">
        <v>1</v>
      </c>
      <c r="L45" s="26" t="n">
        <f aca="false">IFERROR(K45/K$49,0)</f>
        <v>9.1533180778032E-005</v>
      </c>
      <c r="M45" s="22" t="n">
        <f aca="false">IF(K45=0,"-",RANK(K45,K$7:K$48))</f>
        <v>40</v>
      </c>
      <c r="N45" s="27" t="n">
        <f aca="false">F45-I45</f>
        <v>0.000130534378285581</v>
      </c>
      <c r="O45" s="27" t="n">
        <f aca="false">F45-L45</f>
        <v>0.000147187277565248</v>
      </c>
    </row>
    <row r="46" customFormat="false" ht="15" hidden="false" customHeight="false" outlineLevel="0" collapsed="false">
      <c r="A46" s="22" t="n">
        <v>40</v>
      </c>
      <c r="B46" s="22" t="s">
        <v>165</v>
      </c>
      <c r="C46" s="23" t="s">
        <v>166</v>
      </c>
      <c r="D46" s="24" t="n">
        <v>27500</v>
      </c>
      <c r="E46" s="25" t="n">
        <v>0</v>
      </c>
      <c r="F46" s="26" t="n">
        <f aca="false">IFERROR(E46/E$49,0)</f>
        <v>0</v>
      </c>
      <c r="G46" s="22" t="str">
        <f aca="false">IF(E46=0,"-",RANK(E46,E$7:E$48))</f>
        <v>-</v>
      </c>
      <c r="H46" s="25" t="n">
        <v>3</v>
      </c>
      <c r="I46" s="26" t="n">
        <f aca="false">IFERROR(H46/H$49,0)</f>
        <v>0.000108186080057699</v>
      </c>
      <c r="J46" s="22" t="n">
        <f aca="false">IF(H46=0,"-",RANK(H46,H$7:H$48))</f>
        <v>36</v>
      </c>
      <c r="K46" s="25" t="n">
        <v>3</v>
      </c>
      <c r="L46" s="26" t="n">
        <f aca="false">IFERROR(K46/K$49,0)</f>
        <v>0.000274599542334096</v>
      </c>
      <c r="M46" s="22" t="n">
        <f aca="false">IF(K46=0,"-",RANK(K46,K$7:K$48))</f>
        <v>34</v>
      </c>
      <c r="N46" s="27" t="n">
        <f aca="false">F46-I46</f>
        <v>-0.000108186080057699</v>
      </c>
      <c r="O46" s="27" t="n">
        <f aca="false">F46-L46</f>
        <v>-0.000274599542334096</v>
      </c>
    </row>
    <row r="47" customFormat="false" ht="15" hidden="false" customHeight="false" outlineLevel="0" collapsed="false">
      <c r="A47" s="22" t="n">
        <v>41</v>
      </c>
      <c r="B47" s="22" t="s">
        <v>167</v>
      </c>
      <c r="C47" s="23" t="s">
        <v>168</v>
      </c>
      <c r="D47" s="24" t="n">
        <v>25000</v>
      </c>
      <c r="E47" s="25" t="n">
        <v>0</v>
      </c>
      <c r="F47" s="26" t="n">
        <f aca="false">IFERROR(E47/E$49,0)</f>
        <v>0</v>
      </c>
      <c r="G47" s="22" t="str">
        <f aca="false">IF(E47=0,"-",RANK(E47,E$7:E$48))</f>
        <v>-</v>
      </c>
      <c r="H47" s="25" t="n">
        <v>4</v>
      </c>
      <c r="I47" s="26" t="n">
        <f aca="false">IFERROR(H47/H$49,0)</f>
        <v>0.000144248106743599</v>
      </c>
      <c r="J47" s="22" t="n">
        <f aca="false">IF(H47=0,"-",RANK(H47,H$7:H$48))</f>
        <v>35</v>
      </c>
      <c r="K47" s="25" t="n">
        <v>1</v>
      </c>
      <c r="L47" s="26" t="n">
        <f aca="false">IFERROR(K47/K$49,0)</f>
        <v>9.1533180778032E-005</v>
      </c>
      <c r="M47" s="22" t="n">
        <f aca="false">IF(K47=0,"-",RANK(K47,K$7:K$48))</f>
        <v>40</v>
      </c>
      <c r="N47" s="27" t="n">
        <f aca="false">F47-I47</f>
        <v>-0.000144248106743599</v>
      </c>
      <c r="O47" s="27" t="n">
        <f aca="false">F47-L47</f>
        <v>-9.1533180778032E-005</v>
      </c>
    </row>
    <row r="48" customFormat="false" ht="15" hidden="false" customHeight="false" outlineLevel="0" collapsed="false">
      <c r="A48" s="22" t="n">
        <v>42</v>
      </c>
      <c r="B48" s="22" t="s">
        <v>169</v>
      </c>
      <c r="C48" s="23" t="s">
        <v>170</v>
      </c>
      <c r="D48" s="24" t="n">
        <v>25000</v>
      </c>
      <c r="E48" s="25" t="n">
        <v>1</v>
      </c>
      <c r="F48" s="26" t="n">
        <f aca="false">IFERROR(E48/E$49,0)</f>
        <v>0.00023872045834328</v>
      </c>
      <c r="G48" s="22" t="n">
        <f aca="false">IF(E48=0,"-",RANK(E48,E$7:E$48))</f>
        <v>33</v>
      </c>
      <c r="H48" s="25" t="n">
        <v>3</v>
      </c>
      <c r="I48" s="26" t="n">
        <f aca="false">IFERROR(H48/H$49,0)</f>
        <v>0.000108186080057699</v>
      </c>
      <c r="J48" s="22" t="n">
        <f aca="false">IF(H48=0,"-",RANK(H48,H$7:H$48))</f>
        <v>36</v>
      </c>
      <c r="K48" s="25" t="n">
        <v>1</v>
      </c>
      <c r="L48" s="26" t="n">
        <f aca="false">IFERROR(K48/K$49,0)</f>
        <v>9.1533180778032E-005</v>
      </c>
      <c r="M48" s="22" t="n">
        <f aca="false">IF(K48=0,"-",RANK(K48,K$7:K$48))</f>
        <v>40</v>
      </c>
      <c r="N48" s="27" t="n">
        <f aca="false">F48-I48</f>
        <v>0.000130534378285581</v>
      </c>
      <c r="O48" s="27" t="n">
        <f aca="false">F48-L48</f>
        <v>0.000147187277565248</v>
      </c>
    </row>
    <row r="49" customFormat="false" ht="15" hidden="false" customHeight="false" outlineLevel="0" collapsed="false">
      <c r="A49" s="28"/>
      <c r="B49" s="28"/>
      <c r="C49" s="29" t="s">
        <v>171</v>
      </c>
      <c r="D49" s="28"/>
      <c r="E49" s="30" t="n">
        <f aca="false">SUM(E7:E48)</f>
        <v>4189</v>
      </c>
      <c r="F49" s="31" t="n">
        <f aca="false">IFERROR(E49/E49,0)</f>
        <v>1</v>
      </c>
      <c r="G49" s="28"/>
      <c r="H49" s="30" t="n">
        <f aca="false">SUM(H7:H48)</f>
        <v>27730</v>
      </c>
      <c r="I49" s="31" t="n">
        <f aca="false">IFERROR(H49/H49,0)</f>
        <v>1</v>
      </c>
      <c r="J49" s="28"/>
      <c r="K49" s="30" t="n">
        <f aca="false">SUM(K7:K48)</f>
        <v>10925</v>
      </c>
      <c r="L49" s="31" t="n">
        <f aca="false">IFERROR(K49/K49,0)</f>
        <v>1</v>
      </c>
      <c r="M49" s="28"/>
      <c r="N49" s="28"/>
      <c r="O49" s="28"/>
    </row>
  </sheetData>
  <mergeCells count="8">
    <mergeCell ref="A5:A6"/>
    <mergeCell ref="B5:B6"/>
    <mergeCell ref="C5:C6"/>
    <mergeCell ref="D5:D6"/>
    <mergeCell ref="E5:G5"/>
    <mergeCell ref="H5:J5"/>
    <mergeCell ref="K5:M5"/>
    <mergeCell ref="N5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5" min="14" style="0" width="11"/>
  </cols>
  <sheetData>
    <row r="1" customFormat="false" ht="16.15" hidden="false" customHeight="false" outlineLevel="0" collapsed="false">
      <c r="A1" s="11" t="s">
        <v>177</v>
      </c>
    </row>
    <row r="2" customFormat="false" ht="15" hidden="false" customHeight="false" outlineLevel="0" collapsed="false">
      <c r="A2" s="3" t="s">
        <v>178</v>
      </c>
    </row>
    <row r="3" customFormat="false" ht="15" hidden="false" customHeight="false" outlineLevel="0" collapsed="false">
      <c r="A3" s="3" t="s">
        <v>179</v>
      </c>
    </row>
    <row r="5" customFormat="false" ht="19.5" hidden="false" customHeight="true" outlineLevel="0" collapsed="false">
      <c r="A5" s="12" t="s">
        <v>74</v>
      </c>
      <c r="B5" s="12" t="s">
        <v>75</v>
      </c>
      <c r="C5" s="13" t="s">
        <v>76</v>
      </c>
      <c r="D5" s="13" t="s">
        <v>77</v>
      </c>
      <c r="E5" s="14" t="s">
        <v>174</v>
      </c>
      <c r="F5" s="14"/>
      <c r="G5" s="14"/>
      <c r="H5" s="15" t="s">
        <v>175</v>
      </c>
      <c r="I5" s="15"/>
      <c r="J5" s="15"/>
      <c r="K5" s="16" t="s">
        <v>176</v>
      </c>
      <c r="L5" s="16"/>
      <c r="M5" s="16"/>
      <c r="N5" s="17" t="s">
        <v>81</v>
      </c>
      <c r="O5" s="17"/>
    </row>
    <row r="6" customFormat="false" ht="30" hidden="false" customHeight="true" outlineLevel="0" collapsed="false">
      <c r="A6" s="12"/>
      <c r="B6" s="12"/>
      <c r="C6" s="12"/>
      <c r="D6" s="12"/>
      <c r="E6" s="18" t="s">
        <v>180</v>
      </c>
      <c r="F6" s="18" t="s">
        <v>83</v>
      </c>
      <c r="G6" s="18" t="s">
        <v>84</v>
      </c>
      <c r="H6" s="19" t="s">
        <v>180</v>
      </c>
      <c r="I6" s="19" t="s">
        <v>83</v>
      </c>
      <c r="J6" s="19" t="s">
        <v>84</v>
      </c>
      <c r="K6" s="20" t="s">
        <v>180</v>
      </c>
      <c r="L6" s="20" t="s">
        <v>83</v>
      </c>
      <c r="M6" s="20" t="s">
        <v>84</v>
      </c>
      <c r="N6" s="21" t="s">
        <v>85</v>
      </c>
      <c r="O6" s="21" t="s">
        <v>86</v>
      </c>
    </row>
    <row r="7" customFormat="false" ht="15" hidden="false" customHeight="false" outlineLevel="0" collapsed="false">
      <c r="A7" s="22" t="n">
        <v>1</v>
      </c>
      <c r="B7" s="22" t="s">
        <v>87</v>
      </c>
      <c r="C7" s="23" t="s">
        <v>88</v>
      </c>
      <c r="D7" s="24" t="n">
        <v>500</v>
      </c>
      <c r="E7" s="24" t="n">
        <v>102500</v>
      </c>
      <c r="F7" s="26" t="n">
        <f aca="false">IFERROR(E7/E$49,0)</f>
        <v>0.0308809351651</v>
      </c>
      <c r="G7" s="22" t="n">
        <f aca="false">IF(E7=0,"-",RANK(E7,E$7:E$48))</f>
        <v>10</v>
      </c>
      <c r="H7" s="24" t="n">
        <v>302500</v>
      </c>
      <c r="I7" s="26" t="n">
        <f aca="false">IFERROR(H7/H$49,0)</f>
        <v>0.0144615752360464</v>
      </c>
      <c r="J7" s="22" t="n">
        <f aca="false">IF(H7=0,"-",RANK(H7,H$7:H$48))</f>
        <v>14</v>
      </c>
      <c r="K7" s="24" t="n">
        <v>180500</v>
      </c>
      <c r="L7" s="26" t="n">
        <f aca="false">IFERROR(K7/K$49,0)</f>
        <v>0.0218448951929128</v>
      </c>
      <c r="M7" s="22" t="n">
        <f aca="false">IF(K7=0,"-",RANK(K7,K$7:K$48))</f>
        <v>11</v>
      </c>
      <c r="N7" s="27" t="n">
        <f aca="false">F7-I7</f>
        <v>0.0164193599290537</v>
      </c>
      <c r="O7" s="27" t="n">
        <f aca="false">F7-L7</f>
        <v>0.00903603997218721</v>
      </c>
    </row>
    <row r="8" customFormat="false" ht="15" hidden="false" customHeight="false" outlineLevel="0" collapsed="false">
      <c r="A8" s="22" t="n">
        <v>2</v>
      </c>
      <c r="B8" s="22" t="s">
        <v>89</v>
      </c>
      <c r="C8" s="23" t="s">
        <v>90</v>
      </c>
      <c r="D8" s="24" t="n">
        <v>600</v>
      </c>
      <c r="E8" s="24" t="n">
        <v>139800</v>
      </c>
      <c r="F8" s="26" t="n">
        <f aca="false">IFERROR(E8/E$49,0)</f>
        <v>0.042118582791034</v>
      </c>
      <c r="G8" s="22" t="n">
        <f aca="false">IF(E8=0,"-",RANK(E8,E$7:E$48))</f>
        <v>8</v>
      </c>
      <c r="H8" s="24" t="n">
        <v>369600</v>
      </c>
      <c r="I8" s="26" t="n">
        <f aca="false">IFERROR(H8/H$49,0)</f>
        <v>0.017669415561133</v>
      </c>
      <c r="J8" s="22" t="n">
        <f aca="false">IF(H8=0,"-",RANK(H8,H$7:H$48))</f>
        <v>10</v>
      </c>
      <c r="K8" s="24" t="n">
        <v>184200</v>
      </c>
      <c r="L8" s="26" t="n">
        <f aca="false">IFERROR(K8/K$49,0)</f>
        <v>0.02229268528828</v>
      </c>
      <c r="M8" s="22" t="n">
        <f aca="false">IF(K8=0,"-",RANK(K8,K$7:K$48))</f>
        <v>10</v>
      </c>
      <c r="N8" s="27" t="n">
        <f aca="false">F8-I8</f>
        <v>0.024449167229901</v>
      </c>
      <c r="O8" s="27" t="n">
        <f aca="false">F8-L8</f>
        <v>0.019825897502754</v>
      </c>
    </row>
    <row r="9" customFormat="false" ht="15" hidden="false" customHeight="false" outlineLevel="0" collapsed="false">
      <c r="A9" s="22" t="n">
        <v>3</v>
      </c>
      <c r="B9" s="22" t="s">
        <v>91</v>
      </c>
      <c r="C9" s="23" t="s">
        <v>92</v>
      </c>
      <c r="D9" s="24" t="n">
        <v>1000</v>
      </c>
      <c r="E9" s="24" t="n">
        <v>84000</v>
      </c>
      <c r="F9" s="26" t="n">
        <f aca="false">IFERROR(E9/E$49,0)</f>
        <v>0.0253073029645698</v>
      </c>
      <c r="G9" s="22" t="n">
        <f aca="false">IF(E9=0,"-",RANK(E9,E$7:E$48))</f>
        <v>13</v>
      </c>
      <c r="H9" s="24" t="n">
        <v>349000</v>
      </c>
      <c r="I9" s="26" t="n">
        <f aca="false">IFERROR(H9/H$49,0)</f>
        <v>0.0166845942392733</v>
      </c>
      <c r="J9" s="22" t="n">
        <f aca="false">IF(H9=0,"-",RANK(H9,H$7:H$48))</f>
        <v>12</v>
      </c>
      <c r="K9" s="24" t="n">
        <v>141000</v>
      </c>
      <c r="L9" s="26" t="n">
        <f aca="false">IFERROR(K9/K$49,0)</f>
        <v>0.0170644333639928</v>
      </c>
      <c r="M9" s="22" t="n">
        <f aca="false">IF(K9=0,"-",RANK(K9,K$7:K$48))</f>
        <v>12</v>
      </c>
      <c r="N9" s="27" t="n">
        <f aca="false">F9-I9</f>
        <v>0.00862270872529644</v>
      </c>
      <c r="O9" s="27" t="n">
        <f aca="false">F9-L9</f>
        <v>0.00824286960057694</v>
      </c>
    </row>
    <row r="10" customFormat="false" ht="15" hidden="false" customHeight="false" outlineLevel="0" collapsed="false">
      <c r="A10" s="22" t="n">
        <v>4</v>
      </c>
      <c r="B10" s="22" t="s">
        <v>93</v>
      </c>
      <c r="C10" s="23" t="s">
        <v>94</v>
      </c>
      <c r="D10" s="24" t="n">
        <v>1800</v>
      </c>
      <c r="E10" s="24" t="n">
        <v>219600</v>
      </c>
      <c r="F10" s="26" t="n">
        <f aca="false">IFERROR(E10/E$49,0)</f>
        <v>0.0661605206073753</v>
      </c>
      <c r="G10" s="22" t="n">
        <f aca="false">IF(E10=0,"-",RANK(E10,E$7:E$48))</f>
        <v>5</v>
      </c>
      <c r="H10" s="24" t="n">
        <v>995400</v>
      </c>
      <c r="I10" s="26" t="n">
        <f aca="false">IFERROR(H10/H$49,0)</f>
        <v>0.0475869487271423</v>
      </c>
      <c r="J10" s="22" t="n">
        <f aca="false">IF(H10=0,"-",RANK(H10,H$7:H$48))</f>
        <v>5</v>
      </c>
      <c r="K10" s="24" t="n">
        <v>338400</v>
      </c>
      <c r="L10" s="26" t="n">
        <f aca="false">IFERROR(K10/K$49,0)</f>
        <v>0.0409546400735828</v>
      </c>
      <c r="M10" s="22" t="n">
        <f aca="false">IF(K10=0,"-",RANK(K10,K$7:K$48))</f>
        <v>5</v>
      </c>
      <c r="N10" s="27" t="n">
        <f aca="false">F10-I10</f>
        <v>0.0185735718802329</v>
      </c>
      <c r="O10" s="27" t="n">
        <f aca="false">F10-L10</f>
        <v>0.0252058805337925</v>
      </c>
    </row>
    <row r="11" customFormat="false" ht="15" hidden="false" customHeight="false" outlineLevel="0" collapsed="false">
      <c r="A11" s="22" t="n">
        <v>5</v>
      </c>
      <c r="B11" s="22" t="s">
        <v>95</v>
      </c>
      <c r="C11" s="23" t="s">
        <v>96</v>
      </c>
      <c r="D11" s="24" t="n">
        <v>600</v>
      </c>
      <c r="E11" s="24" t="n">
        <v>148200</v>
      </c>
      <c r="F11" s="26" t="n">
        <f aca="false">IFERROR(E11/E$49,0)</f>
        <v>0.044649313087491</v>
      </c>
      <c r="G11" s="22" t="n">
        <f aca="false">IF(E11=0,"-",RANK(E11,E$7:E$48))</f>
        <v>7</v>
      </c>
      <c r="H11" s="24" t="n">
        <v>3042000</v>
      </c>
      <c r="I11" s="26" t="n">
        <f aca="false">IFERROR(H11/H$49,0)</f>
        <v>0.145428468985299</v>
      </c>
      <c r="J11" s="22" t="n">
        <f aca="false">IF(H11=0,"-",RANK(H11,H$7:H$48))</f>
        <v>3</v>
      </c>
      <c r="K11" s="24" t="n">
        <v>1156200</v>
      </c>
      <c r="L11" s="26" t="n">
        <f aca="false">IFERROR(K11/K$49,0)</f>
        <v>0.139928353584741</v>
      </c>
      <c r="M11" s="22" t="n">
        <f aca="false">IF(K11=0,"-",RANK(K11,K$7:K$48))</f>
        <v>3</v>
      </c>
      <c r="N11" s="27" t="n">
        <f aca="false">F11-I11</f>
        <v>-0.100779155897808</v>
      </c>
      <c r="O11" s="27" t="n">
        <f aca="false">F11-L11</f>
        <v>-0.0952790404972503</v>
      </c>
    </row>
    <row r="12" customFormat="false" ht="15" hidden="false" customHeight="false" outlineLevel="0" collapsed="false">
      <c r="A12" s="22" t="n">
        <v>6</v>
      </c>
      <c r="B12" s="22" t="s">
        <v>97</v>
      </c>
      <c r="C12" s="23" t="s">
        <v>98</v>
      </c>
      <c r="D12" s="24" t="n">
        <v>600</v>
      </c>
      <c r="E12" s="24" t="n">
        <v>369600</v>
      </c>
      <c r="F12" s="26" t="n">
        <f aca="false">IFERROR(E12/E$49,0)</f>
        <v>0.111352133044107</v>
      </c>
      <c r="G12" s="22" t="n">
        <f aca="false">IF(E12=0,"-",RANK(E12,E$7:E$48))</f>
        <v>2</v>
      </c>
      <c r="H12" s="24" t="n">
        <v>4028400</v>
      </c>
      <c r="I12" s="26" t="n">
        <f aca="false">IFERROR(H12/H$49,0)</f>
        <v>0.192585155969882</v>
      </c>
      <c r="J12" s="22" t="n">
        <f aca="false">IF(H12=0,"-",RANK(H12,H$7:H$48))</f>
        <v>1</v>
      </c>
      <c r="K12" s="24" t="n">
        <v>1518600</v>
      </c>
      <c r="L12" s="26" t="n">
        <f aca="false">IFERROR(K12/K$49,0)</f>
        <v>0.183787578060706</v>
      </c>
      <c r="M12" s="22" t="n">
        <f aca="false">IF(K12=0,"-",RANK(K12,K$7:K$48))</f>
        <v>1</v>
      </c>
      <c r="N12" s="27" t="n">
        <f aca="false">F12-I12</f>
        <v>-0.0812330229257747</v>
      </c>
      <c r="O12" s="27" t="n">
        <f aca="false">F12-L12</f>
        <v>-0.0724354450165988</v>
      </c>
    </row>
    <row r="13" customFormat="false" ht="15" hidden="false" customHeight="false" outlineLevel="0" collapsed="false">
      <c r="A13" s="22" t="n">
        <v>7</v>
      </c>
      <c r="B13" s="22" t="s">
        <v>99</v>
      </c>
      <c r="C13" s="23" t="s">
        <v>100</v>
      </c>
      <c r="D13" s="24" t="n">
        <v>600</v>
      </c>
      <c r="E13" s="24" t="n">
        <v>47400</v>
      </c>
      <c r="F13" s="26" t="n">
        <f aca="false">IFERROR(E13/E$49,0)</f>
        <v>0.0142805495300072</v>
      </c>
      <c r="G13" s="22" t="n">
        <f aca="false">IF(E13=0,"-",RANK(E13,E$7:E$48))</f>
        <v>17</v>
      </c>
      <c r="H13" s="24" t="n">
        <v>125400</v>
      </c>
      <c r="I13" s="26" t="n">
        <f aca="false">IFERROR(H13/H$49,0)</f>
        <v>0.00599498027967013</v>
      </c>
      <c r="J13" s="22" t="n">
        <f aca="false">IF(H13=0,"-",RANK(H13,H$7:H$48))</f>
        <v>20</v>
      </c>
      <c r="K13" s="24" t="n">
        <v>79800</v>
      </c>
      <c r="L13" s="26" t="n">
        <f aca="false">IFERROR(K13/K$49,0)</f>
        <v>0.00965774313791935</v>
      </c>
      <c r="M13" s="22" t="n">
        <f aca="false">IF(K13=0,"-",RANK(K13,K$7:K$48))</f>
        <v>20</v>
      </c>
      <c r="N13" s="27" t="n">
        <f aca="false">F13-I13</f>
        <v>0.0082855692503371</v>
      </c>
      <c r="O13" s="27" t="n">
        <f aca="false">F13-L13</f>
        <v>0.00462280639208788</v>
      </c>
    </row>
    <row r="14" customFormat="false" ht="15" hidden="false" customHeight="false" outlineLevel="0" collapsed="false">
      <c r="A14" s="22" t="n">
        <v>8</v>
      </c>
      <c r="B14" s="22" t="s">
        <v>101</v>
      </c>
      <c r="C14" s="23" t="s">
        <v>102</v>
      </c>
      <c r="D14" s="24" t="n">
        <v>600</v>
      </c>
      <c r="E14" s="24" t="n">
        <v>81000</v>
      </c>
      <c r="F14" s="26" t="n">
        <f aca="false">IFERROR(E14/E$49,0)</f>
        <v>0.0244034707158351</v>
      </c>
      <c r="G14" s="22" t="n">
        <f aca="false">IF(E14=0,"-",RANK(E14,E$7:E$48))</f>
        <v>14</v>
      </c>
      <c r="H14" s="24" t="n">
        <v>259200</v>
      </c>
      <c r="I14" s="26" t="n">
        <f aca="false">IFERROR(H14/H$49,0)</f>
        <v>0.0123915381857297</v>
      </c>
      <c r="J14" s="22" t="n">
        <f aca="false">IF(H14=0,"-",RANK(H14,H$7:H$48))</f>
        <v>16</v>
      </c>
      <c r="K14" s="24" t="n">
        <v>120600</v>
      </c>
      <c r="L14" s="26" t="n">
        <f aca="false">IFERROR(K14/K$49,0)</f>
        <v>0.0145955366219683</v>
      </c>
      <c r="M14" s="22" t="n">
        <f aca="false">IF(K14=0,"-",RANK(K14,K$7:K$48))</f>
        <v>14</v>
      </c>
      <c r="N14" s="27" t="n">
        <f aca="false">F14-I14</f>
        <v>0.0120119325301055</v>
      </c>
      <c r="O14" s="27" t="n">
        <f aca="false">F14-L14</f>
        <v>0.0098079340938668</v>
      </c>
    </row>
    <row r="15" customFormat="false" ht="15" hidden="false" customHeight="false" outlineLevel="0" collapsed="false">
      <c r="A15" s="22" t="n">
        <v>9</v>
      </c>
      <c r="B15" s="22" t="s">
        <v>103</v>
      </c>
      <c r="C15" s="23" t="s">
        <v>104</v>
      </c>
      <c r="D15" s="24" t="n">
        <v>600</v>
      </c>
      <c r="E15" s="24" t="n">
        <v>45000</v>
      </c>
      <c r="F15" s="26" t="n">
        <f aca="false">IFERROR(E15/E$49,0)</f>
        <v>0.0135574837310195</v>
      </c>
      <c r="G15" s="22" t="n">
        <f aca="false">IF(E15=0,"-",RANK(E15,E$7:E$48))</f>
        <v>18</v>
      </c>
      <c r="H15" s="24" t="n">
        <v>118200</v>
      </c>
      <c r="I15" s="26" t="n">
        <f aca="false">IFERROR(H15/H$49,0)</f>
        <v>0.00565077088562209</v>
      </c>
      <c r="J15" s="22" t="n">
        <f aca="false">IF(H15=0,"-",RANK(H15,H$7:H$48))</f>
        <v>21</v>
      </c>
      <c r="K15" s="24" t="n">
        <v>76200</v>
      </c>
      <c r="L15" s="26" t="n">
        <f aca="false">IFERROR(K15/K$49,0)</f>
        <v>0.00922205547756209</v>
      </c>
      <c r="M15" s="22" t="n">
        <f aca="false">IF(K15=0,"-",RANK(K15,K$7:K$48))</f>
        <v>22</v>
      </c>
      <c r="N15" s="27" t="n">
        <f aca="false">F15-I15</f>
        <v>0.00790671284539744</v>
      </c>
      <c r="O15" s="27" t="n">
        <f aca="false">F15-L15</f>
        <v>0.00433542825345744</v>
      </c>
    </row>
    <row r="16" customFormat="false" ht="15" hidden="false" customHeight="false" outlineLevel="0" collapsed="false">
      <c r="A16" s="22" t="n">
        <v>10</v>
      </c>
      <c r="B16" s="22" t="s">
        <v>105</v>
      </c>
      <c r="C16" s="23" t="s">
        <v>106</v>
      </c>
      <c r="D16" s="24" t="n">
        <v>600</v>
      </c>
      <c r="E16" s="24" t="n">
        <v>18000</v>
      </c>
      <c r="F16" s="26" t="n">
        <f aca="false">IFERROR(E16/E$49,0)</f>
        <v>0.00542299349240781</v>
      </c>
      <c r="G16" s="22" t="n">
        <f aca="false">IF(E16=0,"-",RANK(E16,E$7:E$48))</f>
        <v>26</v>
      </c>
      <c r="H16" s="24" t="n">
        <v>46800</v>
      </c>
      <c r="I16" s="26" t="n">
        <f aca="false">IFERROR(H16/H$49,0)</f>
        <v>0.0022373610613123</v>
      </c>
      <c r="J16" s="22" t="n">
        <f aca="false">IF(H16=0,"-",RANK(H16,H$7:H$48))</f>
        <v>30</v>
      </c>
      <c r="K16" s="24" t="n">
        <v>36600</v>
      </c>
      <c r="L16" s="26" t="n">
        <f aca="false">IFERROR(K16/K$49,0)</f>
        <v>0.00442949121363218</v>
      </c>
      <c r="M16" s="22" t="n">
        <f aca="false">IF(K16=0,"-",RANK(K16,K$7:K$48))</f>
        <v>27</v>
      </c>
      <c r="N16" s="27" t="n">
        <f aca="false">F16-I16</f>
        <v>0.00318563243109551</v>
      </c>
      <c r="O16" s="27" t="n">
        <f aca="false">F16-L16</f>
        <v>0.000993502278775626</v>
      </c>
    </row>
    <row r="17" customFormat="false" ht="15" hidden="false" customHeight="false" outlineLevel="0" collapsed="false">
      <c r="A17" s="22" t="n">
        <v>11</v>
      </c>
      <c r="B17" s="22" t="s">
        <v>107</v>
      </c>
      <c r="C17" s="23" t="s">
        <v>108</v>
      </c>
      <c r="D17" s="24" t="n">
        <v>600</v>
      </c>
      <c r="E17" s="24" t="n">
        <v>4800</v>
      </c>
      <c r="F17" s="26" t="n">
        <f aca="false">IFERROR(E17/E$49,0)</f>
        <v>0.00144613159797542</v>
      </c>
      <c r="G17" s="22" t="n">
        <f aca="false">IF(E17=0,"-",RANK(E17,E$7:E$48))</f>
        <v>32</v>
      </c>
      <c r="H17" s="24" t="n">
        <v>4800</v>
      </c>
      <c r="I17" s="26" t="n">
        <f aca="false">IFERROR(H17/H$49,0)</f>
        <v>0.000229472929365364</v>
      </c>
      <c r="J17" s="22" t="n">
        <f aca="false">IF(H17=0,"-",RANK(H17,H$7:H$48))</f>
        <v>41</v>
      </c>
      <c r="K17" s="24" t="n">
        <v>6000</v>
      </c>
      <c r="L17" s="26" t="n">
        <f aca="false">IFERROR(K17/K$49,0)</f>
        <v>0.00072614610059544</v>
      </c>
      <c r="M17" s="22" t="n">
        <f aca="false">IF(K17=0,"-",RANK(K17,K$7:K$48))</f>
        <v>38</v>
      </c>
      <c r="N17" s="27" t="n">
        <f aca="false">F17-I17</f>
        <v>0.00121665866861005</v>
      </c>
      <c r="O17" s="27" t="n">
        <f aca="false">F17-L17</f>
        <v>0.000719985497379976</v>
      </c>
    </row>
    <row r="18" customFormat="false" ht="15" hidden="false" customHeight="false" outlineLevel="0" collapsed="false">
      <c r="A18" s="22" t="n">
        <v>12</v>
      </c>
      <c r="B18" s="22" t="s">
        <v>109</v>
      </c>
      <c r="C18" s="23" t="s">
        <v>110</v>
      </c>
      <c r="D18" s="24" t="n">
        <v>600</v>
      </c>
      <c r="E18" s="24" t="n">
        <v>7200</v>
      </c>
      <c r="F18" s="26" t="n">
        <f aca="false">IFERROR(E18/E$49,0)</f>
        <v>0.00216919739696312</v>
      </c>
      <c r="G18" s="22" t="n">
        <f aca="false">IF(E18=0,"-",RANK(E18,E$7:E$48))</f>
        <v>31</v>
      </c>
      <c r="H18" s="24" t="n">
        <v>19800</v>
      </c>
      <c r="I18" s="26" t="n">
        <f aca="false">IFERROR(H18/H$49,0)</f>
        <v>0.000946575833632126</v>
      </c>
      <c r="J18" s="22" t="n">
        <f aca="false">IF(H18=0,"-",RANK(H18,H$7:H$48))</f>
        <v>37</v>
      </c>
      <c r="K18" s="24" t="n">
        <v>7800</v>
      </c>
      <c r="L18" s="26" t="n">
        <f aca="false">IFERROR(K18/K$49,0)</f>
        <v>0.000943989930774072</v>
      </c>
      <c r="M18" s="22" t="n">
        <f aca="false">IF(K18=0,"-",RANK(K18,K$7:K$48))</f>
        <v>37</v>
      </c>
      <c r="N18" s="27" t="n">
        <f aca="false">F18-I18</f>
        <v>0.001222621563331</v>
      </c>
      <c r="O18" s="27" t="n">
        <f aca="false">F18-L18</f>
        <v>0.00122520746618905</v>
      </c>
    </row>
    <row r="19" customFormat="false" ht="15" hidden="false" customHeight="false" outlineLevel="0" collapsed="false">
      <c r="A19" s="22" t="n">
        <v>13</v>
      </c>
      <c r="B19" s="22" t="s">
        <v>111</v>
      </c>
      <c r="C19" s="23" t="s">
        <v>112</v>
      </c>
      <c r="D19" s="24" t="n">
        <v>600</v>
      </c>
      <c r="E19" s="24" t="n">
        <v>1800</v>
      </c>
      <c r="F19" s="26" t="n">
        <f aca="false">IFERROR(E19/E$49,0)</f>
        <v>0.000542299349240781</v>
      </c>
      <c r="G19" s="22" t="n">
        <f aca="false">IF(E19=0,"-",RANK(E19,E$7:E$48))</f>
        <v>35</v>
      </c>
      <c r="H19" s="24" t="n">
        <v>3600</v>
      </c>
      <c r="I19" s="26" t="n">
        <f aca="false">IFERROR(H19/H$49,0)</f>
        <v>0.000172104697024023</v>
      </c>
      <c r="J19" s="22" t="n">
        <f aca="false">IF(H19=0,"-",RANK(H19,H$7:H$48))</f>
        <v>42</v>
      </c>
      <c r="K19" s="24" t="n">
        <v>3000</v>
      </c>
      <c r="L19" s="26" t="n">
        <f aca="false">IFERROR(K19/K$49,0)</f>
        <v>0.00036307305029772</v>
      </c>
      <c r="M19" s="22" t="n">
        <f aca="false">IF(K19=0,"-",RANK(K19,K$7:K$48))</f>
        <v>42</v>
      </c>
      <c r="N19" s="27" t="n">
        <f aca="false">F19-I19</f>
        <v>0.000370194652216758</v>
      </c>
      <c r="O19" s="27" t="n">
        <f aca="false">F19-L19</f>
        <v>0.000179226298943061</v>
      </c>
    </row>
    <row r="20" customFormat="false" ht="15" hidden="false" customHeight="false" outlineLevel="0" collapsed="false">
      <c r="A20" s="22" t="n">
        <v>14</v>
      </c>
      <c r="B20" s="22" t="s">
        <v>113</v>
      </c>
      <c r="C20" s="23" t="s">
        <v>114</v>
      </c>
      <c r="D20" s="24" t="n">
        <v>600</v>
      </c>
      <c r="E20" s="24" t="n">
        <v>10200</v>
      </c>
      <c r="F20" s="26" t="n">
        <f aca="false">IFERROR(E20/E$49,0)</f>
        <v>0.00307302964569776</v>
      </c>
      <c r="G20" s="22" t="n">
        <f aca="false">IF(E20=0,"-",RANK(E20,E$7:E$48))</f>
        <v>29</v>
      </c>
      <c r="H20" s="24" t="n">
        <v>21600</v>
      </c>
      <c r="I20" s="26" t="n">
        <f aca="false">IFERROR(H20/H$49,0)</f>
        <v>0.00103262818214414</v>
      </c>
      <c r="J20" s="22" t="n">
        <f aca="false">IF(H20=0,"-",RANK(H20,H$7:H$48))</f>
        <v>35</v>
      </c>
      <c r="K20" s="24" t="n">
        <v>13200</v>
      </c>
      <c r="L20" s="26" t="n">
        <f aca="false">IFERROR(K20/K$49,0)</f>
        <v>0.00159752142130997</v>
      </c>
      <c r="M20" s="22" t="n">
        <f aca="false">IF(K20=0,"-",RANK(K20,K$7:K$48))</f>
        <v>35</v>
      </c>
      <c r="N20" s="27" t="n">
        <f aca="false">F20-I20</f>
        <v>0.00204040146355362</v>
      </c>
      <c r="O20" s="27" t="n">
        <f aca="false">F20-L20</f>
        <v>0.00147550822438779</v>
      </c>
    </row>
    <row r="21" customFormat="false" ht="15" hidden="false" customHeight="false" outlineLevel="0" collapsed="false">
      <c r="A21" s="22" t="n">
        <v>15</v>
      </c>
      <c r="B21" s="22" t="s">
        <v>115</v>
      </c>
      <c r="C21" s="23" t="s">
        <v>116</v>
      </c>
      <c r="D21" s="24" t="n">
        <v>600</v>
      </c>
      <c r="E21" s="24" t="n">
        <v>17400</v>
      </c>
      <c r="F21" s="26" t="n">
        <f aca="false">IFERROR(E21/E$49,0)</f>
        <v>0.00524222704266088</v>
      </c>
      <c r="G21" s="22" t="n">
        <f aca="false">IF(E21=0,"-",RANK(E21,E$7:E$48))</f>
        <v>27</v>
      </c>
      <c r="H21" s="24" t="n">
        <v>29400</v>
      </c>
      <c r="I21" s="26" t="n">
        <f aca="false">IFERROR(H21/H$49,0)</f>
        <v>0.00140552169236285</v>
      </c>
      <c r="J21" s="22" t="n">
        <f aca="false">IF(H21=0,"-",RANK(H21,H$7:H$48))</f>
        <v>34</v>
      </c>
      <c r="K21" s="24" t="n">
        <v>17400</v>
      </c>
      <c r="L21" s="26" t="n">
        <f aca="false">IFERROR(K21/K$49,0)</f>
        <v>0.00210582369172678</v>
      </c>
      <c r="M21" s="22" t="n">
        <f aca="false">IF(K21=0,"-",RANK(K21,K$7:K$48))</f>
        <v>34</v>
      </c>
      <c r="N21" s="27" t="n">
        <f aca="false">F21-I21</f>
        <v>0.00383670535029803</v>
      </c>
      <c r="O21" s="27" t="n">
        <f aca="false">F21-L21</f>
        <v>0.00313640335093411</v>
      </c>
    </row>
    <row r="22" customFormat="false" ht="15" hidden="false" customHeight="false" outlineLevel="0" collapsed="false">
      <c r="A22" s="22" t="n">
        <v>16</v>
      </c>
      <c r="B22" s="22" t="s">
        <v>117</v>
      </c>
      <c r="C22" s="23" t="s">
        <v>118</v>
      </c>
      <c r="D22" s="24" t="n">
        <v>600</v>
      </c>
      <c r="E22" s="24" t="n">
        <v>1800</v>
      </c>
      <c r="F22" s="26" t="n">
        <f aca="false">IFERROR(E22/E$49,0)</f>
        <v>0.000542299349240781</v>
      </c>
      <c r="G22" s="22" t="n">
        <f aca="false">IF(E22=0,"-",RANK(E22,E$7:E$48))</f>
        <v>35</v>
      </c>
      <c r="H22" s="24" t="n">
        <v>7800</v>
      </c>
      <c r="I22" s="26" t="n">
        <f aca="false">IFERROR(H22/H$49,0)</f>
        <v>0.000372893510218716</v>
      </c>
      <c r="J22" s="22" t="n">
        <f aca="false">IF(H22=0,"-",RANK(H22,H$7:H$48))</f>
        <v>39</v>
      </c>
      <c r="K22" s="24" t="n">
        <v>4800</v>
      </c>
      <c r="L22" s="26" t="n">
        <f aca="false">IFERROR(K22/K$49,0)</f>
        <v>0.000580916880476352</v>
      </c>
      <c r="M22" s="22" t="n">
        <f aca="false">IF(K22=0,"-",RANK(K22,K$7:K$48))</f>
        <v>39</v>
      </c>
      <c r="N22" s="27" t="n">
        <f aca="false">F22-I22</f>
        <v>0.000169405839022065</v>
      </c>
      <c r="O22" s="27" t="n">
        <f aca="false">F22-L22</f>
        <v>-3.8617531235571E-005</v>
      </c>
    </row>
    <row r="23" customFormat="false" ht="15" hidden="false" customHeight="false" outlineLevel="0" collapsed="false">
      <c r="A23" s="22" t="n">
        <v>17</v>
      </c>
      <c r="B23" s="22" t="s">
        <v>119</v>
      </c>
      <c r="C23" s="23" t="s">
        <v>120</v>
      </c>
      <c r="D23" s="24" t="n">
        <v>600</v>
      </c>
      <c r="E23" s="24" t="n">
        <v>23400</v>
      </c>
      <c r="F23" s="26" t="n">
        <f aca="false">IFERROR(E23/E$49,0)</f>
        <v>0.00704989154013015</v>
      </c>
      <c r="G23" s="22" t="n">
        <f aca="false">IF(E23=0,"-",RANK(E23,E$7:E$48))</f>
        <v>25</v>
      </c>
      <c r="H23" s="24" t="n">
        <v>37200</v>
      </c>
      <c r="I23" s="26" t="n">
        <f aca="false">IFERROR(H23/H$49,0)</f>
        <v>0.00177841520258157</v>
      </c>
      <c r="J23" s="22" t="n">
        <f aca="false">IF(H23=0,"-",RANK(H23,H$7:H$48))</f>
        <v>32</v>
      </c>
      <c r="K23" s="24" t="n">
        <v>23400</v>
      </c>
      <c r="L23" s="26" t="n">
        <f aca="false">IFERROR(K23/K$49,0)</f>
        <v>0.00283196979232222</v>
      </c>
      <c r="M23" s="22" t="n">
        <f aca="false">IF(K23=0,"-",RANK(K23,K$7:K$48))</f>
        <v>32</v>
      </c>
      <c r="N23" s="27" t="n">
        <f aca="false">F23-I23</f>
        <v>0.00527147633754858</v>
      </c>
      <c r="O23" s="27" t="n">
        <f aca="false">F23-L23</f>
        <v>0.00421792174780794</v>
      </c>
    </row>
    <row r="24" customFormat="false" ht="15" hidden="false" customHeight="false" outlineLevel="0" collapsed="false">
      <c r="A24" s="22" t="n">
        <v>18</v>
      </c>
      <c r="B24" s="22" t="s">
        <v>121</v>
      </c>
      <c r="C24" s="23" t="s">
        <v>122</v>
      </c>
      <c r="D24" s="24" t="n">
        <v>600</v>
      </c>
      <c r="E24" s="24" t="n">
        <v>134400</v>
      </c>
      <c r="F24" s="26" t="n">
        <f aca="false">IFERROR(E24/E$49,0)</f>
        <v>0.0404916847433116</v>
      </c>
      <c r="G24" s="22" t="n">
        <f aca="false">IF(E24=0,"-",RANK(E24,E$7:E$48))</f>
        <v>9</v>
      </c>
      <c r="H24" s="24" t="n">
        <v>382800</v>
      </c>
      <c r="I24" s="26" t="n">
        <f aca="false">IFERROR(H24/H$49,0)</f>
        <v>0.0183004661168878</v>
      </c>
      <c r="J24" s="22" t="n">
        <f aca="false">IF(H24=0,"-",RANK(H24,H$7:H$48))</f>
        <v>9</v>
      </c>
      <c r="K24" s="24" t="n">
        <v>199200</v>
      </c>
      <c r="L24" s="26" t="n">
        <f aca="false">IFERROR(K24/K$49,0)</f>
        <v>0.0241080505397686</v>
      </c>
      <c r="M24" s="22" t="n">
        <f aca="false">IF(K24=0,"-",RANK(K24,K$7:K$48))</f>
        <v>9</v>
      </c>
      <c r="N24" s="27" t="n">
        <f aca="false">F24-I24</f>
        <v>0.0221912186264239</v>
      </c>
      <c r="O24" s="27" t="n">
        <f aca="false">F24-L24</f>
        <v>0.016383634203543</v>
      </c>
    </row>
    <row r="25" customFormat="false" ht="15" hidden="false" customHeight="false" outlineLevel="0" collapsed="false">
      <c r="A25" s="22" t="n">
        <v>19</v>
      </c>
      <c r="B25" s="22" t="s">
        <v>123</v>
      </c>
      <c r="C25" s="23" t="s">
        <v>124</v>
      </c>
      <c r="D25" s="24" t="n">
        <v>600</v>
      </c>
      <c r="E25" s="24" t="n">
        <v>4800</v>
      </c>
      <c r="F25" s="26" t="n">
        <f aca="false">IFERROR(E25/E$49,0)</f>
        <v>0.00144613159797542</v>
      </c>
      <c r="G25" s="22" t="n">
        <f aca="false">IF(E25=0,"-",RANK(E25,E$7:E$48))</f>
        <v>32</v>
      </c>
      <c r="H25" s="24" t="n">
        <v>11400</v>
      </c>
      <c r="I25" s="26" t="n">
        <f aca="false">IFERROR(H25/H$49,0)</f>
        <v>0.000544998207242739</v>
      </c>
      <c r="J25" s="22" t="n">
        <f aca="false">IF(H25=0,"-",RANK(H25,H$7:H$48))</f>
        <v>38</v>
      </c>
      <c r="K25" s="24" t="n">
        <v>4800</v>
      </c>
      <c r="L25" s="26" t="n">
        <f aca="false">IFERROR(K25/K$49,0)</f>
        <v>0.000580916880476352</v>
      </c>
      <c r="M25" s="22" t="n">
        <f aca="false">IF(K25=0,"-",RANK(K25,K$7:K$48))</f>
        <v>39</v>
      </c>
      <c r="N25" s="27" t="n">
        <f aca="false">F25-I25</f>
        <v>0.000901133390732676</v>
      </c>
      <c r="O25" s="27" t="n">
        <f aca="false">F25-L25</f>
        <v>0.000865214717499064</v>
      </c>
    </row>
    <row r="26" customFormat="false" ht="15" hidden="false" customHeight="false" outlineLevel="0" collapsed="false">
      <c r="A26" s="22" t="n">
        <v>20</v>
      </c>
      <c r="B26" s="22" t="s">
        <v>125</v>
      </c>
      <c r="C26" s="23" t="s">
        <v>126</v>
      </c>
      <c r="D26" s="24" t="n">
        <v>600</v>
      </c>
      <c r="E26" s="24" t="n">
        <v>3000</v>
      </c>
      <c r="F26" s="26" t="n">
        <f aca="false">IFERROR(E26/E$49,0)</f>
        <v>0.000903832248734635</v>
      </c>
      <c r="G26" s="22" t="n">
        <f aca="false">IF(E26=0,"-",RANK(E26,E$7:E$48))</f>
        <v>34</v>
      </c>
      <c r="H26" s="24" t="n">
        <v>6000</v>
      </c>
      <c r="I26" s="26" t="n">
        <f aca="false">IFERROR(H26/H$49,0)</f>
        <v>0.000286841161706705</v>
      </c>
      <c r="J26" s="22" t="n">
        <f aca="false">IF(H26=0,"-",RANK(H26,H$7:H$48))</f>
        <v>40</v>
      </c>
      <c r="K26" s="24" t="n">
        <v>3600</v>
      </c>
      <c r="L26" s="26" t="n">
        <f aca="false">IFERROR(K26/K$49,0)</f>
        <v>0.000435687660357264</v>
      </c>
      <c r="M26" s="22" t="n">
        <f aca="false">IF(K26=0,"-",RANK(K26,K$7:K$48))</f>
        <v>41</v>
      </c>
      <c r="N26" s="27" t="n">
        <f aca="false">F26-I26</f>
        <v>0.00061699108702793</v>
      </c>
      <c r="O26" s="27" t="n">
        <f aca="false">F26-L26</f>
        <v>0.000468144588377371</v>
      </c>
    </row>
    <row r="27" customFormat="false" ht="15" hidden="false" customHeight="false" outlineLevel="0" collapsed="false">
      <c r="A27" s="22" t="n">
        <v>21</v>
      </c>
      <c r="B27" s="22" t="s">
        <v>127</v>
      </c>
      <c r="C27" s="23" t="s">
        <v>128</v>
      </c>
      <c r="D27" s="24" t="n">
        <v>600</v>
      </c>
      <c r="E27" s="24" t="n">
        <v>24000</v>
      </c>
      <c r="F27" s="26" t="n">
        <f aca="false">IFERROR(E27/E$49,0)</f>
        <v>0.00723065798987708</v>
      </c>
      <c r="G27" s="22" t="n">
        <f aca="false">IF(E27=0,"-",RANK(E27,E$7:E$48))</f>
        <v>24</v>
      </c>
      <c r="H27" s="24" t="n">
        <v>43800</v>
      </c>
      <c r="I27" s="26" t="n">
        <f aca="false">IFERROR(H27/H$49,0)</f>
        <v>0.00209394048045895</v>
      </c>
      <c r="J27" s="22" t="n">
        <f aca="false">IF(H27=0,"-",RANK(H27,H$7:H$48))</f>
        <v>31</v>
      </c>
      <c r="K27" s="24" t="n">
        <v>33000</v>
      </c>
      <c r="L27" s="26" t="n">
        <f aca="false">IFERROR(K27/K$49,0)</f>
        <v>0.00399380355327492</v>
      </c>
      <c r="M27" s="22" t="n">
        <f aca="false">IF(K27=0,"-",RANK(K27,K$7:K$48))</f>
        <v>28</v>
      </c>
      <c r="N27" s="27" t="n">
        <f aca="false">F27-I27</f>
        <v>0.00513671750941813</v>
      </c>
      <c r="O27" s="27" t="n">
        <f aca="false">F27-L27</f>
        <v>0.00323685443660216</v>
      </c>
    </row>
    <row r="28" customFormat="false" ht="15" hidden="false" customHeight="false" outlineLevel="0" collapsed="false">
      <c r="A28" s="22" t="n">
        <v>22</v>
      </c>
      <c r="B28" s="22" t="s">
        <v>129</v>
      </c>
      <c r="C28" s="23" t="s">
        <v>130</v>
      </c>
      <c r="D28" s="24" t="n">
        <v>600</v>
      </c>
      <c r="E28" s="24" t="n">
        <v>8400</v>
      </c>
      <c r="F28" s="26" t="n">
        <f aca="false">IFERROR(E28/E$49,0)</f>
        <v>0.00253073029645698</v>
      </c>
      <c r="G28" s="22" t="n">
        <f aca="false">IF(E28=0,"-",RANK(E28,E$7:E$48))</f>
        <v>30</v>
      </c>
      <c r="H28" s="24" t="n">
        <v>21000</v>
      </c>
      <c r="I28" s="26" t="n">
        <f aca="false">IFERROR(H28/H$49,0)</f>
        <v>0.00100394406597347</v>
      </c>
      <c r="J28" s="22" t="n">
        <f aca="false">IF(H28=0,"-",RANK(H28,H$7:H$48))</f>
        <v>36</v>
      </c>
      <c r="K28" s="24" t="n">
        <v>11400</v>
      </c>
      <c r="L28" s="26" t="n">
        <f aca="false">IFERROR(K28/K$49,0)</f>
        <v>0.00137967759113134</v>
      </c>
      <c r="M28" s="22" t="n">
        <f aca="false">IF(K28=0,"-",RANK(K28,K$7:K$48))</f>
        <v>36</v>
      </c>
      <c r="N28" s="27" t="n">
        <f aca="false">F28-I28</f>
        <v>0.00152678623048351</v>
      </c>
      <c r="O28" s="27" t="n">
        <f aca="false">F28-L28</f>
        <v>0.00115105270532564</v>
      </c>
    </row>
    <row r="29" customFormat="false" ht="15" hidden="false" customHeight="false" outlineLevel="0" collapsed="false">
      <c r="A29" s="22" t="n">
        <v>23</v>
      </c>
      <c r="B29" s="22" t="s">
        <v>131</v>
      </c>
      <c r="C29" s="23" t="s">
        <v>132</v>
      </c>
      <c r="D29" s="24" t="n">
        <v>600</v>
      </c>
      <c r="E29" s="24" t="n">
        <v>616200</v>
      </c>
      <c r="F29" s="26" t="n">
        <f aca="false">IFERROR(E29/E$49,0)</f>
        <v>0.185647143890094</v>
      </c>
      <c r="G29" s="22" t="n">
        <f aca="false">IF(E29=0,"-",RANK(E29,E$7:E$48))</f>
        <v>1</v>
      </c>
      <c r="H29" s="24" t="n">
        <v>3739800</v>
      </c>
      <c r="I29" s="26" t="n">
        <f aca="false">IFERROR(H29/H$49,0)</f>
        <v>0.178788096091789</v>
      </c>
      <c r="J29" s="22" t="n">
        <f aca="false">IF(H29=0,"-",RANK(H29,H$7:H$48))</f>
        <v>2</v>
      </c>
      <c r="K29" s="24" t="n">
        <v>1448400</v>
      </c>
      <c r="L29" s="26" t="n">
        <f aca="false">IFERROR(K29/K$49,0)</f>
        <v>0.175291668683739</v>
      </c>
      <c r="M29" s="22" t="n">
        <f aca="false">IF(K29=0,"-",RANK(K29,K$7:K$48))</f>
        <v>2</v>
      </c>
      <c r="N29" s="27" t="n">
        <f aca="false">F29-I29</f>
        <v>0.00685904779830482</v>
      </c>
      <c r="O29" s="27" t="n">
        <f aca="false">F29-L29</f>
        <v>0.0103554752063548</v>
      </c>
    </row>
    <row r="30" customFormat="false" ht="15" hidden="false" customHeight="false" outlineLevel="0" collapsed="false">
      <c r="A30" s="22" t="n">
        <v>24</v>
      </c>
      <c r="B30" s="22" t="s">
        <v>133</v>
      </c>
      <c r="C30" s="23" t="s">
        <v>134</v>
      </c>
      <c r="D30" s="24" t="n">
        <v>600</v>
      </c>
      <c r="E30" s="24" t="n">
        <v>325800</v>
      </c>
      <c r="F30" s="26" t="n">
        <f aca="false">IFERROR(E30/E$49,0)</f>
        <v>0.0981561822125814</v>
      </c>
      <c r="G30" s="22" t="n">
        <f aca="false">IF(E30=0,"-",RANK(E30,E$7:E$48))</f>
        <v>3</v>
      </c>
      <c r="H30" s="24" t="n">
        <v>2621400</v>
      </c>
      <c r="I30" s="26" t="n">
        <f aca="false">IFERROR(H30/H$49,0)</f>
        <v>0.125320903549659</v>
      </c>
      <c r="J30" s="22" t="n">
        <f aca="false">IF(H30=0,"-",RANK(H30,H$7:H$48))</f>
        <v>4</v>
      </c>
      <c r="K30" s="24" t="n">
        <v>835800</v>
      </c>
      <c r="L30" s="26" t="n">
        <f aca="false">IFERROR(K30/K$49,0)</f>
        <v>0.101152151812945</v>
      </c>
      <c r="M30" s="22" t="n">
        <f aca="false">IF(K30=0,"-",RANK(K30,K$7:K$48))</f>
        <v>4</v>
      </c>
      <c r="N30" s="27" t="n">
        <f aca="false">F30-I30</f>
        <v>-0.027164721337078</v>
      </c>
      <c r="O30" s="27" t="n">
        <f aca="false">F30-L30</f>
        <v>-0.00299596960036341</v>
      </c>
    </row>
    <row r="31" customFormat="false" ht="15" hidden="false" customHeight="false" outlineLevel="0" collapsed="false">
      <c r="A31" s="22" t="n">
        <v>25</v>
      </c>
      <c r="B31" s="22" t="s">
        <v>135</v>
      </c>
      <c r="C31" s="23" t="s">
        <v>136</v>
      </c>
      <c r="D31" s="24" t="n">
        <v>1500</v>
      </c>
      <c r="E31" s="24" t="n">
        <v>27000</v>
      </c>
      <c r="F31" s="26" t="n">
        <f aca="false">IFERROR(E31/E$49,0)</f>
        <v>0.00813449023861171</v>
      </c>
      <c r="G31" s="22" t="n">
        <f aca="false">IF(E31=0,"-",RANK(E31,E$7:E$48))</f>
        <v>22</v>
      </c>
      <c r="H31" s="24" t="n">
        <v>147000</v>
      </c>
      <c r="I31" s="26" t="n">
        <f aca="false">IFERROR(H31/H$49,0)</f>
        <v>0.00702760846181427</v>
      </c>
      <c r="J31" s="22" t="n">
        <f aca="false">IF(H31=0,"-",RANK(H31,H$7:H$48))</f>
        <v>19</v>
      </c>
      <c r="K31" s="24" t="n">
        <v>78000</v>
      </c>
      <c r="L31" s="26" t="n">
        <f aca="false">IFERROR(K31/K$49,0)</f>
        <v>0.00943989930774072</v>
      </c>
      <c r="M31" s="22" t="n">
        <f aca="false">IF(K31=0,"-",RANK(K31,K$7:K$48))</f>
        <v>21</v>
      </c>
      <c r="N31" s="27" t="n">
        <f aca="false">F31-I31</f>
        <v>0.00110688177679744</v>
      </c>
      <c r="O31" s="27" t="n">
        <f aca="false">F31-L31</f>
        <v>-0.00130540906912901</v>
      </c>
    </row>
    <row r="32" customFormat="false" ht="15" hidden="false" customHeight="false" outlineLevel="0" collapsed="false">
      <c r="A32" s="22" t="n">
        <v>26</v>
      </c>
      <c r="B32" s="22" t="s">
        <v>137</v>
      </c>
      <c r="C32" s="23" t="s">
        <v>138</v>
      </c>
      <c r="D32" s="24" t="n">
        <v>2200</v>
      </c>
      <c r="E32" s="24" t="n">
        <v>187000</v>
      </c>
      <c r="F32" s="26" t="n">
        <f aca="false">IFERROR(E32/E$49,0)</f>
        <v>0.0563388768377922</v>
      </c>
      <c r="G32" s="22" t="n">
        <f aca="false">IF(E32=0,"-",RANK(E32,E$7:E$48))</f>
        <v>6</v>
      </c>
      <c r="H32" s="24" t="n">
        <v>820600</v>
      </c>
      <c r="I32" s="26" t="n">
        <f aca="false">IFERROR(H32/H$49,0)</f>
        <v>0.0392303095494203</v>
      </c>
      <c r="J32" s="22" t="n">
        <f aca="false">IF(H32=0,"-",RANK(H32,H$7:H$48))</f>
        <v>6</v>
      </c>
      <c r="K32" s="24" t="n">
        <v>336600</v>
      </c>
      <c r="L32" s="26" t="n">
        <f aca="false">IFERROR(K32/K$49,0)</f>
        <v>0.0407367962434042</v>
      </c>
      <c r="M32" s="22" t="n">
        <f aca="false">IF(K32=0,"-",RANK(K32,K$7:K$48))</f>
        <v>6</v>
      </c>
      <c r="N32" s="27" t="n">
        <f aca="false">F32-I32</f>
        <v>0.0171085672883719</v>
      </c>
      <c r="O32" s="27" t="n">
        <f aca="false">F32-L32</f>
        <v>0.0156020805943881</v>
      </c>
    </row>
    <row r="33" customFormat="false" ht="15" hidden="false" customHeight="false" outlineLevel="0" collapsed="false">
      <c r="A33" s="22" t="n">
        <v>27</v>
      </c>
      <c r="B33" s="22" t="s">
        <v>139</v>
      </c>
      <c r="C33" s="23" t="s">
        <v>140</v>
      </c>
      <c r="D33" s="24" t="n">
        <v>1100</v>
      </c>
      <c r="E33" s="24" t="n">
        <v>16500</v>
      </c>
      <c r="F33" s="26" t="n">
        <f aca="false">IFERROR(E33/E$49,0)</f>
        <v>0.00497107736804049</v>
      </c>
      <c r="G33" s="22" t="n">
        <f aca="false">IF(E33=0,"-",RANK(E33,E$7:E$48))</f>
        <v>28</v>
      </c>
      <c r="H33" s="24" t="n">
        <v>36300</v>
      </c>
      <c r="I33" s="26" t="n">
        <f aca="false">IFERROR(H33/H$49,0)</f>
        <v>0.00173538902832556</v>
      </c>
      <c r="J33" s="22" t="n">
        <f aca="false">IF(H33=0,"-",RANK(H33,H$7:H$48))</f>
        <v>33</v>
      </c>
      <c r="K33" s="24" t="n">
        <v>22000</v>
      </c>
      <c r="L33" s="26" t="n">
        <f aca="false">IFERROR(K33/K$49,0)</f>
        <v>0.00266253570218328</v>
      </c>
      <c r="M33" s="22" t="n">
        <f aca="false">IF(K33=0,"-",RANK(K33,K$7:K$48))</f>
        <v>33</v>
      </c>
      <c r="N33" s="27" t="n">
        <f aca="false">F33-I33</f>
        <v>0.00323568833971493</v>
      </c>
      <c r="O33" s="27" t="n">
        <f aca="false">F33-L33</f>
        <v>0.00230854166585721</v>
      </c>
    </row>
    <row r="34" customFormat="false" ht="15" hidden="false" customHeight="false" outlineLevel="0" collapsed="false">
      <c r="A34" s="22" t="n">
        <v>28</v>
      </c>
      <c r="B34" s="22" t="s">
        <v>141</v>
      </c>
      <c r="C34" s="23" t="s">
        <v>142</v>
      </c>
      <c r="D34" s="24" t="n">
        <v>1800</v>
      </c>
      <c r="E34" s="24" t="n">
        <v>234000</v>
      </c>
      <c r="F34" s="26" t="n">
        <f aca="false">IFERROR(E34/E$49,0)</f>
        <v>0.0704989154013015</v>
      </c>
      <c r="G34" s="22" t="n">
        <f aca="false">IF(E34=0,"-",RANK(E34,E$7:E$48))</f>
        <v>4</v>
      </c>
      <c r="H34" s="24" t="n">
        <v>538200</v>
      </c>
      <c r="I34" s="26" t="n">
        <f aca="false">IFERROR(H34/H$49,0)</f>
        <v>0.0257296522050914</v>
      </c>
      <c r="J34" s="22" t="n">
        <f aca="false">IF(H34=0,"-",RANK(H34,H$7:H$48))</f>
        <v>8</v>
      </c>
      <c r="K34" s="24" t="n">
        <v>262800</v>
      </c>
      <c r="L34" s="26" t="n">
        <f aca="false">IFERROR(K34/K$49,0)</f>
        <v>0.0318051992060803</v>
      </c>
      <c r="M34" s="22" t="n">
        <f aca="false">IF(K34=0,"-",RANK(K34,K$7:K$48))</f>
        <v>7</v>
      </c>
      <c r="N34" s="27" t="n">
        <f aca="false">F34-I34</f>
        <v>0.0447692631962101</v>
      </c>
      <c r="O34" s="27" t="n">
        <f aca="false">F34-L34</f>
        <v>0.0386937161952213</v>
      </c>
    </row>
    <row r="35" customFormat="false" ht="15" hidden="false" customHeight="false" outlineLevel="0" collapsed="false">
      <c r="A35" s="22" t="n">
        <v>29</v>
      </c>
      <c r="B35" s="22" t="s">
        <v>143</v>
      </c>
      <c r="C35" s="23" t="s">
        <v>144</v>
      </c>
      <c r="D35" s="24" t="n">
        <v>1500</v>
      </c>
      <c r="E35" s="24" t="n">
        <v>99000</v>
      </c>
      <c r="F35" s="26" t="n">
        <f aca="false">IFERROR(E35/E$49,0)</f>
        <v>0.029826464208243</v>
      </c>
      <c r="G35" s="22" t="n">
        <f aca="false">IF(E35=0,"-",RANK(E35,E$7:E$48))</f>
        <v>11</v>
      </c>
      <c r="H35" s="24" t="n">
        <v>354000</v>
      </c>
      <c r="I35" s="26" t="n">
        <f aca="false">IFERROR(H35/H$49,0)</f>
        <v>0.0169236285406956</v>
      </c>
      <c r="J35" s="22" t="n">
        <f aca="false">IF(H35=0,"-",RANK(H35,H$7:H$48))</f>
        <v>11</v>
      </c>
      <c r="K35" s="24" t="n">
        <v>138000</v>
      </c>
      <c r="L35" s="26" t="n">
        <f aca="false">IFERROR(K35/K$49,0)</f>
        <v>0.0167013603136951</v>
      </c>
      <c r="M35" s="22" t="n">
        <f aca="false">IF(K35=0,"-",RANK(K35,K$7:K$48))</f>
        <v>13</v>
      </c>
      <c r="N35" s="27" t="n">
        <f aca="false">F35-I35</f>
        <v>0.0129028356675474</v>
      </c>
      <c r="O35" s="27" t="n">
        <f aca="false">F35-L35</f>
        <v>0.0131251038945478</v>
      </c>
    </row>
    <row r="36" customFormat="false" ht="15" hidden="false" customHeight="false" outlineLevel="0" collapsed="false">
      <c r="A36" s="22" t="n">
        <v>30</v>
      </c>
      <c r="B36" s="22" t="s">
        <v>145</v>
      </c>
      <c r="C36" s="23" t="s">
        <v>146</v>
      </c>
      <c r="D36" s="24" t="n">
        <v>3300</v>
      </c>
      <c r="E36" s="24" t="n">
        <v>66000</v>
      </c>
      <c r="F36" s="26" t="n">
        <f aca="false">IFERROR(E36/E$49,0)</f>
        <v>0.019884309472162</v>
      </c>
      <c r="G36" s="22" t="n">
        <f aca="false">IF(E36=0,"-",RANK(E36,E$7:E$48))</f>
        <v>15</v>
      </c>
      <c r="H36" s="24" t="n">
        <v>224400</v>
      </c>
      <c r="I36" s="26" t="n">
        <f aca="false">IFERROR(H36/H$49,0)</f>
        <v>0.0107278594478308</v>
      </c>
      <c r="J36" s="22" t="n">
        <f aca="false">IF(H36=0,"-",RANK(H36,H$7:H$48))</f>
        <v>17</v>
      </c>
      <c r="K36" s="24" t="n">
        <v>59400</v>
      </c>
      <c r="L36" s="26" t="n">
        <f aca="false">IFERROR(K36/K$49,0)</f>
        <v>0.00718884639589485</v>
      </c>
      <c r="M36" s="22" t="n">
        <f aca="false">IF(K36=0,"-",RANK(K36,K$7:K$48))</f>
        <v>23</v>
      </c>
      <c r="N36" s="27" t="n">
        <f aca="false">F36-I36</f>
        <v>0.0091564500243312</v>
      </c>
      <c r="O36" s="27" t="n">
        <f aca="false">F36-L36</f>
        <v>0.0126954630762671</v>
      </c>
    </row>
    <row r="37" customFormat="false" ht="15" hidden="false" customHeight="false" outlineLevel="0" collapsed="false">
      <c r="A37" s="22" t="n">
        <v>31</v>
      </c>
      <c r="B37" s="22" t="s">
        <v>147</v>
      </c>
      <c r="C37" s="23" t="s">
        <v>148</v>
      </c>
      <c r="D37" s="24" t="n">
        <v>1300</v>
      </c>
      <c r="E37" s="24" t="n">
        <v>55900</v>
      </c>
      <c r="F37" s="26" t="n">
        <f aca="false">IFERROR(E37/E$49,0)</f>
        <v>0.0168414075680887</v>
      </c>
      <c r="G37" s="22" t="n">
        <f aca="false">IF(E37=0,"-",RANK(E37,E$7:E$48))</f>
        <v>16</v>
      </c>
      <c r="H37" s="24" t="n">
        <v>150800</v>
      </c>
      <c r="I37" s="26" t="n">
        <f aca="false">IFERROR(H37/H$49,0)</f>
        <v>0.00720927453089518</v>
      </c>
      <c r="J37" s="22" t="n">
        <f aca="false">IF(H37=0,"-",RANK(H37,H$7:H$48))</f>
        <v>18</v>
      </c>
      <c r="K37" s="24" t="n">
        <v>84500</v>
      </c>
      <c r="L37" s="26" t="n">
        <f aca="false">IFERROR(K37/K$49,0)</f>
        <v>0.0102265575833858</v>
      </c>
      <c r="M37" s="22" t="n">
        <f aca="false">IF(K37=0,"-",RANK(K37,K$7:K$48))</f>
        <v>16</v>
      </c>
      <c r="N37" s="27" t="n">
        <f aca="false">F37-I37</f>
        <v>0.00963213303719351</v>
      </c>
      <c r="O37" s="27" t="n">
        <f aca="false">F37-L37</f>
        <v>0.00661484998470292</v>
      </c>
    </row>
    <row r="38" customFormat="false" ht="15" hidden="false" customHeight="false" outlineLevel="0" collapsed="false">
      <c r="A38" s="22" t="n">
        <v>32</v>
      </c>
      <c r="B38" s="22" t="s">
        <v>149</v>
      </c>
      <c r="C38" s="23" t="s">
        <v>150</v>
      </c>
      <c r="D38" s="24" t="n">
        <v>8800</v>
      </c>
      <c r="E38" s="24" t="n">
        <v>88000</v>
      </c>
      <c r="F38" s="26" t="n">
        <f aca="false">IFERROR(E38/E$49,0)</f>
        <v>0.0265124126295493</v>
      </c>
      <c r="G38" s="22" t="n">
        <f aca="false">IF(E38=0,"-",RANK(E38,E$7:E$48))</f>
        <v>12</v>
      </c>
      <c r="H38" s="24" t="n">
        <v>316800</v>
      </c>
      <c r="I38" s="26" t="n">
        <f aca="false">IFERROR(H38/H$49,0)</f>
        <v>0.015145213338114</v>
      </c>
      <c r="J38" s="22" t="n">
        <f aca="false">IF(H38=0,"-",RANK(H38,H$7:H$48))</f>
        <v>13</v>
      </c>
      <c r="K38" s="24" t="n">
        <v>237600</v>
      </c>
      <c r="L38" s="26" t="n">
        <f aca="false">IFERROR(K38/K$49,0)</f>
        <v>0.0287553855835794</v>
      </c>
      <c r="M38" s="22" t="n">
        <f aca="false">IF(K38=0,"-",RANK(K38,K$7:K$48))</f>
        <v>8</v>
      </c>
      <c r="N38" s="27" t="n">
        <f aca="false">F38-I38</f>
        <v>0.0113671992914353</v>
      </c>
      <c r="O38" s="27" t="n">
        <f aca="false">F38-L38</f>
        <v>-0.00224297295403013</v>
      </c>
    </row>
    <row r="39" customFormat="false" ht="15" hidden="false" customHeight="false" outlineLevel="0" collapsed="false">
      <c r="A39" s="22" t="n">
        <v>33</v>
      </c>
      <c r="B39" s="22" t="s">
        <v>151</v>
      </c>
      <c r="C39" s="23" t="s">
        <v>152</v>
      </c>
      <c r="D39" s="24" t="n">
        <v>27500</v>
      </c>
      <c r="E39" s="24" t="n">
        <v>0</v>
      </c>
      <c r="F39" s="26" t="n">
        <f aca="false">IFERROR(E39/E$49,0)</f>
        <v>0</v>
      </c>
      <c r="G39" s="22" t="str">
        <f aca="false">IF(E39=0,"-",RANK(E39,E$7:E$48))</f>
        <v>-</v>
      </c>
      <c r="H39" s="24" t="n">
        <v>770000</v>
      </c>
      <c r="I39" s="26" t="n">
        <f aca="false">IFERROR(H39/H$49,0)</f>
        <v>0.0368112824190271</v>
      </c>
      <c r="J39" s="22" t="n">
        <f aca="false">IF(H39=0,"-",RANK(H39,H$7:H$48))</f>
        <v>7</v>
      </c>
      <c r="K39" s="24" t="n">
        <v>110000</v>
      </c>
      <c r="L39" s="26" t="n">
        <f aca="false">IFERROR(K39/K$49,0)</f>
        <v>0.0133126785109164</v>
      </c>
      <c r="M39" s="22" t="n">
        <f aca="false">IF(K39=0,"-",RANK(K39,K$7:K$48))</f>
        <v>15</v>
      </c>
      <c r="N39" s="27" t="n">
        <f aca="false">F39-I39</f>
        <v>-0.0368112824190271</v>
      </c>
      <c r="O39" s="27" t="n">
        <f aca="false">F39-L39</f>
        <v>-0.0133126785109164</v>
      </c>
    </row>
    <row r="40" customFormat="false" ht="15" hidden="false" customHeight="false" outlineLevel="0" collapsed="false">
      <c r="A40" s="22" t="n">
        <v>34</v>
      </c>
      <c r="B40" s="22" t="s">
        <v>153</v>
      </c>
      <c r="C40" s="23" t="s">
        <v>154</v>
      </c>
      <c r="D40" s="24" t="n">
        <v>27500</v>
      </c>
      <c r="E40" s="24" t="n">
        <v>27500</v>
      </c>
      <c r="F40" s="26" t="n">
        <f aca="false">IFERROR(E40/E$49,0)</f>
        <v>0.00828512894673415</v>
      </c>
      <c r="G40" s="22" t="n">
        <f aca="false">IF(E40=0,"-",RANK(E40,E$7:E$48))</f>
        <v>19</v>
      </c>
      <c r="H40" s="24" t="n">
        <v>82500</v>
      </c>
      <c r="I40" s="26" t="n">
        <f aca="false">IFERROR(H40/H$49,0)</f>
        <v>0.00394406597346719</v>
      </c>
      <c r="J40" s="22" t="n">
        <f aca="false">IF(H40=0,"-",RANK(H40,H$7:H$48))</f>
        <v>23</v>
      </c>
      <c r="K40" s="24" t="n">
        <v>82500</v>
      </c>
      <c r="L40" s="26" t="n">
        <f aca="false">IFERROR(K40/K$49,0)</f>
        <v>0.0099845088831873</v>
      </c>
      <c r="M40" s="22" t="n">
        <f aca="false">IF(K40=0,"-",RANK(K40,K$7:K$48))</f>
        <v>17</v>
      </c>
      <c r="N40" s="27" t="n">
        <f aca="false">F40-I40</f>
        <v>0.00434106297326696</v>
      </c>
      <c r="O40" s="27" t="n">
        <f aca="false">F40-L40</f>
        <v>-0.00169937993645315</v>
      </c>
    </row>
    <row r="41" customFormat="false" ht="15" hidden="false" customHeight="false" outlineLevel="0" collapsed="false">
      <c r="A41" s="22" t="n">
        <v>35</v>
      </c>
      <c r="B41" s="22" t="s">
        <v>155</v>
      </c>
      <c r="C41" s="23" t="s">
        <v>156</v>
      </c>
      <c r="D41" s="24" t="n">
        <v>27500</v>
      </c>
      <c r="E41" s="24" t="n">
        <v>0</v>
      </c>
      <c r="F41" s="26" t="n">
        <f aca="false">IFERROR(E41/E$49,0)</f>
        <v>0</v>
      </c>
      <c r="G41" s="22" t="str">
        <f aca="false">IF(E41=0,"-",RANK(E41,E$7:E$48))</f>
        <v>-</v>
      </c>
      <c r="H41" s="24" t="n">
        <v>82500</v>
      </c>
      <c r="I41" s="26" t="n">
        <f aca="false">IFERROR(H41/H$49,0)</f>
        <v>0.00394406597346719</v>
      </c>
      <c r="J41" s="22" t="n">
        <f aca="false">IF(H41=0,"-",RANK(H41,H$7:H$48))</f>
        <v>23</v>
      </c>
      <c r="K41" s="24" t="n">
        <v>82500</v>
      </c>
      <c r="L41" s="26" t="n">
        <f aca="false">IFERROR(K41/K$49,0)</f>
        <v>0.0099845088831873</v>
      </c>
      <c r="M41" s="22" t="n">
        <f aca="false">IF(K41=0,"-",RANK(K41,K$7:K$48))</f>
        <v>17</v>
      </c>
      <c r="N41" s="27" t="n">
        <f aca="false">F41-I41</f>
        <v>-0.00394406597346719</v>
      </c>
      <c r="O41" s="27" t="n">
        <f aca="false">F41-L41</f>
        <v>-0.0099845088831873</v>
      </c>
    </row>
    <row r="42" customFormat="false" ht="15" hidden="false" customHeight="false" outlineLevel="0" collapsed="false">
      <c r="A42" s="22" t="n">
        <v>36</v>
      </c>
      <c r="B42" s="22" t="s">
        <v>157</v>
      </c>
      <c r="C42" s="23" t="s">
        <v>158</v>
      </c>
      <c r="D42" s="24" t="n">
        <v>27500</v>
      </c>
      <c r="E42" s="24" t="n">
        <v>0</v>
      </c>
      <c r="F42" s="26" t="n">
        <f aca="false">IFERROR(E42/E$49,0)</f>
        <v>0</v>
      </c>
      <c r="G42" s="22" t="str">
        <f aca="false">IF(E42=0,"-",RANK(E42,E$7:E$48))</f>
        <v>-</v>
      </c>
      <c r="H42" s="24" t="n">
        <v>82500</v>
      </c>
      <c r="I42" s="26" t="n">
        <f aca="false">IFERROR(H42/H$49,0)</f>
        <v>0.00394406597346719</v>
      </c>
      <c r="J42" s="22" t="n">
        <f aca="false">IF(H42=0,"-",RANK(H42,H$7:H$48))</f>
        <v>23</v>
      </c>
      <c r="K42" s="24" t="n">
        <v>55000</v>
      </c>
      <c r="L42" s="26" t="n">
        <f aca="false">IFERROR(K42/K$49,0)</f>
        <v>0.0066563392554582</v>
      </c>
      <c r="M42" s="22" t="n">
        <f aca="false">IF(K42=0,"-",RANK(K42,K$7:K$48))</f>
        <v>24</v>
      </c>
      <c r="N42" s="27" t="n">
        <f aca="false">F42-I42</f>
        <v>-0.00394406597346719</v>
      </c>
      <c r="O42" s="27" t="n">
        <f aca="false">F42-L42</f>
        <v>-0.0066563392554582</v>
      </c>
    </row>
    <row r="43" customFormat="false" ht="15" hidden="false" customHeight="false" outlineLevel="0" collapsed="false">
      <c r="A43" s="22" t="n">
        <v>37</v>
      </c>
      <c r="B43" s="22" t="s">
        <v>159</v>
      </c>
      <c r="C43" s="23" t="s">
        <v>160</v>
      </c>
      <c r="D43" s="24" t="n">
        <v>27500</v>
      </c>
      <c r="E43" s="24" t="n">
        <v>0</v>
      </c>
      <c r="F43" s="26" t="n">
        <f aca="false">IFERROR(E43/E$49,0)</f>
        <v>0</v>
      </c>
      <c r="G43" s="22" t="str">
        <f aca="false">IF(E43=0,"-",RANK(E43,E$7:E$48))</f>
        <v>-</v>
      </c>
      <c r="H43" s="24" t="n">
        <v>302500</v>
      </c>
      <c r="I43" s="26" t="n">
        <f aca="false">IFERROR(H43/H$49,0)</f>
        <v>0.0144615752360464</v>
      </c>
      <c r="J43" s="22" t="n">
        <f aca="false">IF(H43=0,"-",RANK(H43,H$7:H$48))</f>
        <v>14</v>
      </c>
      <c r="K43" s="24" t="n">
        <v>55000</v>
      </c>
      <c r="L43" s="26" t="n">
        <f aca="false">IFERROR(K43/K$49,0)</f>
        <v>0.0066563392554582</v>
      </c>
      <c r="M43" s="22" t="n">
        <f aca="false">IF(K43=0,"-",RANK(K43,K$7:K$48))</f>
        <v>24</v>
      </c>
      <c r="N43" s="27" t="n">
        <f aca="false">F43-I43</f>
        <v>-0.0144615752360464</v>
      </c>
      <c r="O43" s="27" t="n">
        <f aca="false">F43-L43</f>
        <v>-0.0066563392554582</v>
      </c>
    </row>
    <row r="44" customFormat="false" ht="15" hidden="false" customHeight="false" outlineLevel="0" collapsed="false">
      <c r="A44" s="22" t="n">
        <v>38</v>
      </c>
      <c r="B44" s="22" t="s">
        <v>161</v>
      </c>
      <c r="C44" s="23" t="s">
        <v>162</v>
      </c>
      <c r="D44" s="24" t="n">
        <v>27500</v>
      </c>
      <c r="E44" s="24" t="n">
        <v>27500</v>
      </c>
      <c r="F44" s="26" t="n">
        <f aca="false">IFERROR(E44/E$49,0)</f>
        <v>0.00828512894673415</v>
      </c>
      <c r="G44" s="22" t="n">
        <f aca="false">IF(E44=0,"-",RANK(E44,E$7:E$48))</f>
        <v>19</v>
      </c>
      <c r="H44" s="24" t="n">
        <v>82500</v>
      </c>
      <c r="I44" s="26" t="n">
        <f aca="false">IFERROR(H44/H$49,0)</f>
        <v>0.00394406597346719</v>
      </c>
      <c r="J44" s="22" t="n">
        <f aca="false">IF(H44=0,"-",RANK(H44,H$7:H$48))</f>
        <v>23</v>
      </c>
      <c r="K44" s="24" t="n">
        <v>55000</v>
      </c>
      <c r="L44" s="26" t="n">
        <f aca="false">IFERROR(K44/K$49,0)</f>
        <v>0.0066563392554582</v>
      </c>
      <c r="M44" s="22" t="n">
        <f aca="false">IF(K44=0,"-",RANK(K44,K$7:K$48))</f>
        <v>24</v>
      </c>
      <c r="N44" s="27" t="n">
        <f aca="false">F44-I44</f>
        <v>0.00434106297326696</v>
      </c>
      <c r="O44" s="27" t="n">
        <f aca="false">F44-L44</f>
        <v>0.00162878969127595</v>
      </c>
    </row>
    <row r="45" customFormat="false" ht="15" hidden="false" customHeight="false" outlineLevel="0" collapsed="false">
      <c r="A45" s="22" t="n">
        <v>39</v>
      </c>
      <c r="B45" s="22" t="s">
        <v>163</v>
      </c>
      <c r="C45" s="23" t="s">
        <v>164</v>
      </c>
      <c r="D45" s="24" t="n">
        <v>27500</v>
      </c>
      <c r="E45" s="24" t="n">
        <v>27500</v>
      </c>
      <c r="F45" s="26" t="n">
        <f aca="false">IFERROR(E45/E$49,0)</f>
        <v>0.00828512894673415</v>
      </c>
      <c r="G45" s="22" t="n">
        <f aca="false">IF(E45=0,"-",RANK(E45,E$7:E$48))</f>
        <v>19</v>
      </c>
      <c r="H45" s="24" t="n">
        <v>82500</v>
      </c>
      <c r="I45" s="26" t="n">
        <f aca="false">IFERROR(H45/H$49,0)</f>
        <v>0.00394406597346719</v>
      </c>
      <c r="J45" s="22" t="n">
        <f aca="false">IF(H45=0,"-",RANK(H45,H$7:H$48))</f>
        <v>23</v>
      </c>
      <c r="K45" s="24" t="n">
        <v>27500</v>
      </c>
      <c r="L45" s="26" t="n">
        <f aca="false">IFERROR(K45/K$49,0)</f>
        <v>0.0033281696277291</v>
      </c>
      <c r="M45" s="22" t="n">
        <f aca="false">IF(K45=0,"-",RANK(K45,K$7:K$48))</f>
        <v>29</v>
      </c>
      <c r="N45" s="27" t="n">
        <f aca="false">F45-I45</f>
        <v>0.00434106297326696</v>
      </c>
      <c r="O45" s="27" t="n">
        <f aca="false">F45-L45</f>
        <v>0.00495695931900505</v>
      </c>
    </row>
    <row r="46" customFormat="false" ht="15" hidden="false" customHeight="false" outlineLevel="0" collapsed="false">
      <c r="A46" s="22" t="n">
        <v>40</v>
      </c>
      <c r="B46" s="22" t="s">
        <v>165</v>
      </c>
      <c r="C46" s="23" t="s">
        <v>166</v>
      </c>
      <c r="D46" s="24" t="n">
        <v>27500</v>
      </c>
      <c r="E46" s="24" t="n">
        <v>0</v>
      </c>
      <c r="F46" s="26" t="n">
        <f aca="false">IFERROR(E46/E$49,0)</f>
        <v>0</v>
      </c>
      <c r="G46" s="22" t="str">
        <f aca="false">IF(E46=0,"-",RANK(E46,E$7:E$48))</f>
        <v>-</v>
      </c>
      <c r="H46" s="24" t="n">
        <v>82500</v>
      </c>
      <c r="I46" s="26" t="n">
        <f aca="false">IFERROR(H46/H$49,0)</f>
        <v>0.00394406597346719</v>
      </c>
      <c r="J46" s="22" t="n">
        <f aca="false">IF(H46=0,"-",RANK(H46,H$7:H$48))</f>
        <v>23</v>
      </c>
      <c r="K46" s="24" t="n">
        <v>82500</v>
      </c>
      <c r="L46" s="26" t="n">
        <f aca="false">IFERROR(K46/K$49,0)</f>
        <v>0.0099845088831873</v>
      </c>
      <c r="M46" s="22" t="n">
        <f aca="false">IF(K46=0,"-",RANK(K46,K$7:K$48))</f>
        <v>17</v>
      </c>
      <c r="N46" s="27" t="n">
        <f aca="false">F46-I46</f>
        <v>-0.00394406597346719</v>
      </c>
      <c r="O46" s="27" t="n">
        <f aca="false">F46-L46</f>
        <v>-0.0099845088831873</v>
      </c>
    </row>
    <row r="47" customFormat="false" ht="15" hidden="false" customHeight="false" outlineLevel="0" collapsed="false">
      <c r="A47" s="22" t="n">
        <v>41</v>
      </c>
      <c r="B47" s="22" t="s">
        <v>167</v>
      </c>
      <c r="C47" s="23" t="s">
        <v>168</v>
      </c>
      <c r="D47" s="24" t="n">
        <v>25000</v>
      </c>
      <c r="E47" s="24" t="n">
        <v>0</v>
      </c>
      <c r="F47" s="26" t="n">
        <f aca="false">IFERROR(E47/E$49,0)</f>
        <v>0</v>
      </c>
      <c r="G47" s="22" t="str">
        <f aca="false">IF(E47=0,"-",RANK(E47,E$7:E$48))</f>
        <v>-</v>
      </c>
      <c r="H47" s="24" t="n">
        <v>100000</v>
      </c>
      <c r="I47" s="26" t="n">
        <f aca="false">IFERROR(H47/H$49,0)</f>
        <v>0.00478068602844508</v>
      </c>
      <c r="J47" s="22" t="n">
        <f aca="false">IF(H47=0,"-",RANK(H47,H$7:H$48))</f>
        <v>22</v>
      </c>
      <c r="K47" s="24" t="n">
        <v>25000</v>
      </c>
      <c r="L47" s="26" t="n">
        <f aca="false">IFERROR(K47/K$49,0)</f>
        <v>0.003025608752481</v>
      </c>
      <c r="M47" s="22" t="n">
        <f aca="false">IF(K47=0,"-",RANK(K47,K$7:K$48))</f>
        <v>30</v>
      </c>
      <c r="N47" s="27" t="n">
        <f aca="false">F47-I47</f>
        <v>-0.00478068602844508</v>
      </c>
      <c r="O47" s="27" t="n">
        <f aca="false">F47-L47</f>
        <v>-0.003025608752481</v>
      </c>
    </row>
    <row r="48" customFormat="false" ht="15" hidden="false" customHeight="false" outlineLevel="0" collapsed="false">
      <c r="A48" s="22" t="n">
        <v>42</v>
      </c>
      <c r="B48" s="22" t="s">
        <v>169</v>
      </c>
      <c r="C48" s="23" t="s">
        <v>170</v>
      </c>
      <c r="D48" s="24" t="n">
        <v>25000</v>
      </c>
      <c r="E48" s="24" t="n">
        <v>25000</v>
      </c>
      <c r="F48" s="26" t="n">
        <f aca="false">IFERROR(E48/E$49,0)</f>
        <v>0.00753193540612196</v>
      </c>
      <c r="G48" s="22" t="n">
        <f aca="false">IF(E48=0,"-",RANK(E48,E$7:E$48))</f>
        <v>23</v>
      </c>
      <c r="H48" s="24" t="n">
        <v>75000</v>
      </c>
      <c r="I48" s="26" t="n">
        <f aca="false">IFERROR(H48/H$49,0)</f>
        <v>0.00358551452133381</v>
      </c>
      <c r="J48" s="22" t="n">
        <f aca="false">IF(H48=0,"-",RANK(H48,H$7:H$48))</f>
        <v>29</v>
      </c>
      <c r="K48" s="24" t="n">
        <v>25000</v>
      </c>
      <c r="L48" s="26" t="n">
        <f aca="false">IFERROR(K48/K$49,0)</f>
        <v>0.003025608752481</v>
      </c>
      <c r="M48" s="22" t="n">
        <f aca="false">IF(K48=0,"-",RANK(K48,K$7:K$48))</f>
        <v>30</v>
      </c>
      <c r="N48" s="27" t="n">
        <f aca="false">F48-I48</f>
        <v>0.00394642088478815</v>
      </c>
      <c r="O48" s="27" t="n">
        <f aca="false">F48-L48</f>
        <v>0.00450632665364096</v>
      </c>
    </row>
    <row r="49" customFormat="false" ht="15" hidden="false" customHeight="false" outlineLevel="0" collapsed="false">
      <c r="A49" s="28"/>
      <c r="B49" s="28"/>
      <c r="C49" s="29" t="s">
        <v>171</v>
      </c>
      <c r="D49" s="28"/>
      <c r="E49" s="32" t="n">
        <f aca="false">SUM(E7:E48)</f>
        <v>3319200</v>
      </c>
      <c r="F49" s="31" t="n">
        <f aca="false">IFERROR(E49/E49,0)</f>
        <v>1</v>
      </c>
      <c r="G49" s="28"/>
      <c r="H49" s="32" t="n">
        <f aca="false">SUM(H7:H48)</f>
        <v>20917500</v>
      </c>
      <c r="I49" s="31" t="n">
        <f aca="false">IFERROR(H49/H49,0)</f>
        <v>1</v>
      </c>
      <c r="J49" s="28"/>
      <c r="K49" s="32" t="n">
        <f aca="false">SUM(K7:K48)</f>
        <v>8262800</v>
      </c>
      <c r="L49" s="31" t="n">
        <f aca="false">IFERROR(K49/K49,0)</f>
        <v>1</v>
      </c>
      <c r="M49" s="28"/>
      <c r="N49" s="28"/>
      <c r="O49" s="28"/>
    </row>
  </sheetData>
  <mergeCells count="8">
    <mergeCell ref="A5:A6"/>
    <mergeCell ref="B5:B6"/>
    <mergeCell ref="C5:C6"/>
    <mergeCell ref="D5:D6"/>
    <mergeCell ref="E5:G5"/>
    <mergeCell ref="H5:J5"/>
    <mergeCell ref="K5:M5"/>
    <mergeCell ref="N5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14" min="4" style="0" width="9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15" hidden="false" customHeight="false" outlineLevel="0" collapsed="false">
      <c r="A1" s="11" t="s">
        <v>181</v>
      </c>
    </row>
    <row r="2" customFormat="false" ht="15" hidden="false" customHeight="false" outlineLevel="0" collapsed="false">
      <c r="A2" s="3" t="s">
        <v>182</v>
      </c>
    </row>
    <row r="5" customFormat="false" ht="19.5" hidden="false" customHeight="true" outlineLevel="0" collapsed="false">
      <c r="A5" s="33" t="s">
        <v>74</v>
      </c>
      <c r="B5" s="33" t="s">
        <v>75</v>
      </c>
      <c r="C5" s="34" t="s">
        <v>76</v>
      </c>
      <c r="D5" s="34" t="s">
        <v>77</v>
      </c>
      <c r="E5" s="14" t="s">
        <v>183</v>
      </c>
      <c r="F5" s="14"/>
      <c r="G5" s="14"/>
      <c r="H5" s="14"/>
      <c r="I5" s="14"/>
      <c r="J5" s="35" t="s">
        <v>184</v>
      </c>
      <c r="K5" s="35"/>
      <c r="L5" s="35"/>
      <c r="M5" s="35"/>
      <c r="N5" s="35"/>
      <c r="O5" s="36" t="s">
        <v>185</v>
      </c>
      <c r="P5" s="36"/>
      <c r="Q5" s="36"/>
    </row>
    <row r="6" customFormat="false" ht="25.5" hidden="false" customHeight="true" outlineLevel="0" collapsed="false">
      <c r="A6" s="33"/>
      <c r="B6" s="33"/>
      <c r="C6" s="33"/>
      <c r="D6" s="33"/>
      <c r="E6" s="37" t="s">
        <v>186</v>
      </c>
      <c r="F6" s="37" t="s">
        <v>187</v>
      </c>
      <c r="G6" s="37" t="s">
        <v>188</v>
      </c>
      <c r="H6" s="37" t="s">
        <v>189</v>
      </c>
      <c r="I6" s="37" t="s">
        <v>190</v>
      </c>
      <c r="J6" s="38" t="s">
        <v>186</v>
      </c>
      <c r="K6" s="38" t="s">
        <v>187</v>
      </c>
      <c r="L6" s="38" t="s">
        <v>188</v>
      </c>
      <c r="M6" s="38" t="s">
        <v>189</v>
      </c>
      <c r="N6" s="38" t="s">
        <v>190</v>
      </c>
      <c r="O6" s="39" t="s">
        <v>82</v>
      </c>
      <c r="P6" s="39" t="s">
        <v>83</v>
      </c>
      <c r="Q6" s="39" t="s">
        <v>191</v>
      </c>
    </row>
    <row r="7" customFormat="false" ht="15" hidden="false" customHeight="false" outlineLevel="0" collapsed="false">
      <c r="A7" s="22" t="n">
        <v>1</v>
      </c>
      <c r="B7" s="22" t="s">
        <v>87</v>
      </c>
      <c r="C7" s="23" t="s">
        <v>88</v>
      </c>
      <c r="D7" s="24" t="n">
        <v>500</v>
      </c>
      <c r="E7" s="25" t="n">
        <v>72</v>
      </c>
      <c r="F7" s="25" t="n">
        <v>23</v>
      </c>
      <c r="G7" s="25" t="n">
        <v>26</v>
      </c>
      <c r="H7" s="25" t="n">
        <v>49</v>
      </c>
      <c r="I7" s="25" t="n">
        <v>35</v>
      </c>
      <c r="J7" s="26" t="n">
        <f aca="false">IFERROR(E7/E$49,0)</f>
        <v>0.0404040404040404</v>
      </c>
      <c r="K7" s="26" t="n">
        <f aca="false">IFERROR(F7/F$49,0)</f>
        <v>0.0543735224586288</v>
      </c>
      <c r="L7" s="26" t="n">
        <f aca="false">IFERROR(G7/G$49,0)</f>
        <v>0.0500963391136802</v>
      </c>
      <c r="M7" s="26" t="n">
        <f aca="false">IFERROR(H7/H$49,0)</f>
        <v>0.0538461538461539</v>
      </c>
      <c r="N7" s="26" t="n">
        <f aca="false">IFERROR(I7/I$49,0)</f>
        <v>0.0630630630630631</v>
      </c>
      <c r="O7" s="25" t="n">
        <f aca="false">SUM(E7:I7)</f>
        <v>205</v>
      </c>
      <c r="P7" s="26" t="n">
        <f aca="false">IFERROR(O7/O$49,0)</f>
        <v>0.0489376939603724</v>
      </c>
      <c r="Q7" s="24" t="n">
        <f aca="false">O7*D7</f>
        <v>102500</v>
      </c>
    </row>
    <row r="8" customFormat="false" ht="15" hidden="false" customHeight="false" outlineLevel="0" collapsed="false">
      <c r="A8" s="22" t="n">
        <v>2</v>
      </c>
      <c r="B8" s="22" t="s">
        <v>89</v>
      </c>
      <c r="C8" s="23" t="s">
        <v>90</v>
      </c>
      <c r="D8" s="24" t="n">
        <v>600</v>
      </c>
      <c r="E8" s="25" t="n">
        <v>66</v>
      </c>
      <c r="F8" s="25" t="n">
        <v>23</v>
      </c>
      <c r="G8" s="25" t="n">
        <v>31</v>
      </c>
      <c r="H8" s="25" t="n">
        <v>61</v>
      </c>
      <c r="I8" s="25" t="n">
        <v>52</v>
      </c>
      <c r="J8" s="26" t="n">
        <f aca="false">IFERROR(E8/E$49,0)</f>
        <v>0.037037037037037</v>
      </c>
      <c r="K8" s="26" t="n">
        <f aca="false">IFERROR(F8/F$49,0)</f>
        <v>0.0543735224586288</v>
      </c>
      <c r="L8" s="26" t="n">
        <f aca="false">IFERROR(G8/G$49,0)</f>
        <v>0.0597302504816956</v>
      </c>
      <c r="M8" s="26" t="n">
        <f aca="false">IFERROR(H8/H$49,0)</f>
        <v>0.067032967032967</v>
      </c>
      <c r="N8" s="26" t="n">
        <f aca="false">IFERROR(I8/I$49,0)</f>
        <v>0.0936936936936937</v>
      </c>
      <c r="O8" s="25" t="n">
        <f aca="false">SUM(E8:I8)</f>
        <v>233</v>
      </c>
      <c r="P8" s="26" t="n">
        <f aca="false">IFERROR(O8/O$49,0)</f>
        <v>0.0556218667939842</v>
      </c>
      <c r="Q8" s="24" t="n">
        <f aca="false">O8*D8</f>
        <v>139800</v>
      </c>
    </row>
    <row r="9" customFormat="false" ht="15" hidden="false" customHeight="false" outlineLevel="0" collapsed="false">
      <c r="A9" s="22" t="n">
        <v>3</v>
      </c>
      <c r="B9" s="22" t="s">
        <v>91</v>
      </c>
      <c r="C9" s="23" t="s">
        <v>92</v>
      </c>
      <c r="D9" s="24" t="n">
        <v>1000</v>
      </c>
      <c r="E9" s="25" t="n">
        <v>39</v>
      </c>
      <c r="F9" s="25" t="n">
        <v>12</v>
      </c>
      <c r="G9" s="25" t="n">
        <v>7</v>
      </c>
      <c r="H9" s="25" t="n">
        <v>16</v>
      </c>
      <c r="I9" s="25" t="n">
        <v>10</v>
      </c>
      <c r="J9" s="26" t="n">
        <f aca="false">IFERROR(E9/E$49,0)</f>
        <v>0.0218855218855219</v>
      </c>
      <c r="K9" s="26" t="n">
        <f aca="false">IFERROR(F9/F$49,0)</f>
        <v>0.0283687943262411</v>
      </c>
      <c r="L9" s="26" t="n">
        <f aca="false">IFERROR(G9/G$49,0)</f>
        <v>0.0134874759152216</v>
      </c>
      <c r="M9" s="26" t="n">
        <f aca="false">IFERROR(H9/H$49,0)</f>
        <v>0.0175824175824176</v>
      </c>
      <c r="N9" s="26" t="n">
        <f aca="false">IFERROR(I9/I$49,0)</f>
        <v>0.018018018018018</v>
      </c>
      <c r="O9" s="25" t="n">
        <f aca="false">SUM(E9:I9)</f>
        <v>84</v>
      </c>
      <c r="P9" s="26" t="n">
        <f aca="false">IFERROR(O9/O$49,0)</f>
        <v>0.0200525185008355</v>
      </c>
      <c r="Q9" s="24" t="n">
        <f aca="false">O9*D9</f>
        <v>84000</v>
      </c>
    </row>
    <row r="10" customFormat="false" ht="15" hidden="false" customHeight="false" outlineLevel="0" collapsed="false">
      <c r="A10" s="22" t="n">
        <v>4</v>
      </c>
      <c r="B10" s="22" t="s">
        <v>93</v>
      </c>
      <c r="C10" s="23" t="s">
        <v>94</v>
      </c>
      <c r="D10" s="24" t="n">
        <v>1800</v>
      </c>
      <c r="E10" s="25" t="n">
        <v>52</v>
      </c>
      <c r="F10" s="25" t="n">
        <v>13</v>
      </c>
      <c r="G10" s="25" t="n">
        <v>13</v>
      </c>
      <c r="H10" s="25" t="n">
        <v>28</v>
      </c>
      <c r="I10" s="25" t="n">
        <v>16</v>
      </c>
      <c r="J10" s="26" t="n">
        <f aca="false">IFERROR(E10/E$49,0)</f>
        <v>0.0291806958473625</v>
      </c>
      <c r="K10" s="26" t="n">
        <f aca="false">IFERROR(F10/F$49,0)</f>
        <v>0.0307328605200946</v>
      </c>
      <c r="L10" s="26" t="n">
        <f aca="false">IFERROR(G10/G$49,0)</f>
        <v>0.0250481695568401</v>
      </c>
      <c r="M10" s="26" t="n">
        <f aca="false">IFERROR(H10/H$49,0)</f>
        <v>0.0307692307692308</v>
      </c>
      <c r="N10" s="26" t="n">
        <f aca="false">IFERROR(I10/I$49,0)</f>
        <v>0.0288288288288288</v>
      </c>
      <c r="O10" s="25" t="n">
        <f aca="false">SUM(E10:I10)</f>
        <v>122</v>
      </c>
      <c r="P10" s="26" t="n">
        <f aca="false">IFERROR(O10/O$49,0)</f>
        <v>0.0291238959178802</v>
      </c>
      <c r="Q10" s="24" t="n">
        <f aca="false">O10*D10</f>
        <v>219600</v>
      </c>
    </row>
    <row r="11" customFormat="false" ht="15" hidden="false" customHeight="false" outlineLevel="0" collapsed="false">
      <c r="A11" s="22" t="n">
        <v>5</v>
      </c>
      <c r="B11" s="22" t="s">
        <v>95</v>
      </c>
      <c r="C11" s="23" t="s">
        <v>96</v>
      </c>
      <c r="D11" s="24" t="n">
        <v>600</v>
      </c>
      <c r="E11" s="25" t="n">
        <v>174</v>
      </c>
      <c r="F11" s="25" t="n">
        <v>16</v>
      </c>
      <c r="G11" s="25" t="n">
        <v>13</v>
      </c>
      <c r="H11" s="25" t="n">
        <v>24</v>
      </c>
      <c r="I11" s="25" t="n">
        <v>20</v>
      </c>
      <c r="J11" s="26" t="n">
        <f aca="false">IFERROR(E11/E$49,0)</f>
        <v>0.0976430976430976</v>
      </c>
      <c r="K11" s="26" t="n">
        <f aca="false">IFERROR(F11/F$49,0)</f>
        <v>0.0378250591016548</v>
      </c>
      <c r="L11" s="26" t="n">
        <f aca="false">IFERROR(G11/G$49,0)</f>
        <v>0.0250481695568401</v>
      </c>
      <c r="M11" s="26" t="n">
        <f aca="false">IFERROR(H11/H$49,0)</f>
        <v>0.0263736263736264</v>
      </c>
      <c r="N11" s="26" t="n">
        <f aca="false">IFERROR(I11/I$49,0)</f>
        <v>0.036036036036036</v>
      </c>
      <c r="O11" s="25" t="n">
        <f aca="false">SUM(E11:I11)</f>
        <v>247</v>
      </c>
      <c r="P11" s="26" t="n">
        <f aca="false">IFERROR(O11/O$49,0)</f>
        <v>0.0589639532107902</v>
      </c>
      <c r="Q11" s="24" t="n">
        <f aca="false">O11*D11</f>
        <v>148200</v>
      </c>
    </row>
    <row r="12" customFormat="false" ht="15" hidden="false" customHeight="false" outlineLevel="0" collapsed="false">
      <c r="A12" s="22" t="n">
        <v>6</v>
      </c>
      <c r="B12" s="22" t="s">
        <v>97</v>
      </c>
      <c r="C12" s="23" t="s">
        <v>98</v>
      </c>
      <c r="D12" s="24" t="n">
        <v>600</v>
      </c>
      <c r="E12" s="25" t="n">
        <v>407</v>
      </c>
      <c r="F12" s="25" t="n">
        <v>74</v>
      </c>
      <c r="G12" s="25" t="n">
        <v>55</v>
      </c>
      <c r="H12" s="25" t="n">
        <v>53</v>
      </c>
      <c r="I12" s="25" t="n">
        <v>27</v>
      </c>
      <c r="J12" s="26" t="n">
        <f aca="false">IFERROR(E12/E$49,0)</f>
        <v>0.228395061728395</v>
      </c>
      <c r="K12" s="26" t="n">
        <f aca="false">IFERROR(F12/F$49,0)</f>
        <v>0.174940898345154</v>
      </c>
      <c r="L12" s="26" t="n">
        <f aca="false">IFERROR(G12/G$49,0)</f>
        <v>0.10597302504817</v>
      </c>
      <c r="M12" s="26" t="n">
        <f aca="false">IFERROR(H12/H$49,0)</f>
        <v>0.0582417582417582</v>
      </c>
      <c r="N12" s="26" t="n">
        <f aca="false">IFERROR(I12/I$49,0)</f>
        <v>0.0486486486486487</v>
      </c>
      <c r="O12" s="25" t="n">
        <f aca="false">SUM(E12:I12)</f>
        <v>616</v>
      </c>
      <c r="P12" s="26" t="n">
        <f aca="false">IFERROR(O12/O$49,0)</f>
        <v>0.147051802339461</v>
      </c>
      <c r="Q12" s="24" t="n">
        <f aca="false">O12*D12</f>
        <v>369600</v>
      </c>
    </row>
    <row r="13" customFormat="false" ht="15" hidden="false" customHeight="false" outlineLevel="0" collapsed="false">
      <c r="A13" s="22" t="n">
        <v>7</v>
      </c>
      <c r="B13" s="22" t="s">
        <v>99</v>
      </c>
      <c r="C13" s="23" t="s">
        <v>100</v>
      </c>
      <c r="D13" s="24" t="n">
        <v>600</v>
      </c>
      <c r="E13" s="25" t="n">
        <v>28</v>
      </c>
      <c r="F13" s="25" t="n">
        <v>4</v>
      </c>
      <c r="G13" s="25" t="n">
        <v>13</v>
      </c>
      <c r="H13" s="25" t="n">
        <v>10</v>
      </c>
      <c r="I13" s="25" t="n">
        <v>24</v>
      </c>
      <c r="J13" s="26" t="n">
        <f aca="false">IFERROR(E13/E$49,0)</f>
        <v>0.015712682379349</v>
      </c>
      <c r="K13" s="26" t="n">
        <f aca="false">IFERROR(F13/F$49,0)</f>
        <v>0.00945626477541371</v>
      </c>
      <c r="L13" s="26" t="n">
        <f aca="false">IFERROR(G13/G$49,0)</f>
        <v>0.0250481695568401</v>
      </c>
      <c r="M13" s="26" t="n">
        <f aca="false">IFERROR(H13/H$49,0)</f>
        <v>0.010989010989011</v>
      </c>
      <c r="N13" s="26" t="n">
        <f aca="false">IFERROR(I13/I$49,0)</f>
        <v>0.0432432432432432</v>
      </c>
      <c r="O13" s="25" t="n">
        <f aca="false">SUM(E13:I13)</f>
        <v>79</v>
      </c>
      <c r="P13" s="26" t="n">
        <f aca="false">IFERROR(O13/O$49,0)</f>
        <v>0.0188589162091191</v>
      </c>
      <c r="Q13" s="24" t="n">
        <f aca="false">O13*D13</f>
        <v>47400</v>
      </c>
    </row>
    <row r="14" customFormat="false" ht="15" hidden="false" customHeight="false" outlineLevel="0" collapsed="false">
      <c r="A14" s="22" t="n">
        <v>8</v>
      </c>
      <c r="B14" s="22" t="s">
        <v>101</v>
      </c>
      <c r="C14" s="23" t="s">
        <v>102</v>
      </c>
      <c r="D14" s="24" t="n">
        <v>600</v>
      </c>
      <c r="E14" s="25" t="n">
        <v>39</v>
      </c>
      <c r="F14" s="25" t="n">
        <v>15</v>
      </c>
      <c r="G14" s="25" t="n">
        <v>13</v>
      </c>
      <c r="H14" s="25" t="n">
        <v>40</v>
      </c>
      <c r="I14" s="25" t="n">
        <v>28</v>
      </c>
      <c r="J14" s="26" t="n">
        <f aca="false">IFERROR(E14/E$49,0)</f>
        <v>0.0218855218855219</v>
      </c>
      <c r="K14" s="26" t="n">
        <f aca="false">IFERROR(F14/F$49,0)</f>
        <v>0.0354609929078014</v>
      </c>
      <c r="L14" s="26" t="n">
        <f aca="false">IFERROR(G14/G$49,0)</f>
        <v>0.0250481695568401</v>
      </c>
      <c r="M14" s="26" t="n">
        <f aca="false">IFERROR(H14/H$49,0)</f>
        <v>0.043956043956044</v>
      </c>
      <c r="N14" s="26" t="n">
        <f aca="false">IFERROR(I14/I$49,0)</f>
        <v>0.0504504504504505</v>
      </c>
      <c r="O14" s="25" t="n">
        <f aca="false">SUM(E14:I14)</f>
        <v>135</v>
      </c>
      <c r="P14" s="26" t="n">
        <f aca="false">IFERROR(O14/O$49,0)</f>
        <v>0.0322272618763428</v>
      </c>
      <c r="Q14" s="24" t="n">
        <f aca="false">O14*D14</f>
        <v>81000</v>
      </c>
    </row>
    <row r="15" customFormat="false" ht="15" hidden="false" customHeight="false" outlineLevel="0" collapsed="false">
      <c r="A15" s="22" t="n">
        <v>9</v>
      </c>
      <c r="B15" s="22" t="s">
        <v>103</v>
      </c>
      <c r="C15" s="23" t="s">
        <v>104</v>
      </c>
      <c r="D15" s="24" t="n">
        <v>600</v>
      </c>
      <c r="E15" s="25" t="n">
        <v>28</v>
      </c>
      <c r="F15" s="25" t="n">
        <v>10</v>
      </c>
      <c r="G15" s="25" t="n">
        <v>9</v>
      </c>
      <c r="H15" s="25" t="n">
        <v>14</v>
      </c>
      <c r="I15" s="25" t="n">
        <v>14</v>
      </c>
      <c r="J15" s="26" t="n">
        <f aca="false">IFERROR(E15/E$49,0)</f>
        <v>0.015712682379349</v>
      </c>
      <c r="K15" s="26" t="n">
        <f aca="false">IFERROR(F15/F$49,0)</f>
        <v>0.0236406619385343</v>
      </c>
      <c r="L15" s="26" t="n">
        <f aca="false">IFERROR(G15/G$49,0)</f>
        <v>0.0173410404624277</v>
      </c>
      <c r="M15" s="26" t="n">
        <f aca="false">IFERROR(H15/H$49,0)</f>
        <v>0.0153846153846154</v>
      </c>
      <c r="N15" s="26" t="n">
        <f aca="false">IFERROR(I15/I$49,0)</f>
        <v>0.0252252252252252</v>
      </c>
      <c r="O15" s="25" t="n">
        <f aca="false">SUM(E15:I15)</f>
        <v>75</v>
      </c>
      <c r="P15" s="26" t="n">
        <f aca="false">IFERROR(O15/O$49,0)</f>
        <v>0.017904034375746</v>
      </c>
      <c r="Q15" s="24" t="n">
        <f aca="false">O15*D15</f>
        <v>45000</v>
      </c>
    </row>
    <row r="16" customFormat="false" ht="15" hidden="false" customHeight="false" outlineLevel="0" collapsed="false">
      <c r="A16" s="22" t="n">
        <v>10</v>
      </c>
      <c r="B16" s="22" t="s">
        <v>105</v>
      </c>
      <c r="C16" s="23" t="s">
        <v>106</v>
      </c>
      <c r="D16" s="24" t="n">
        <v>600</v>
      </c>
      <c r="E16" s="25" t="n">
        <v>18</v>
      </c>
      <c r="F16" s="25" t="n">
        <v>2</v>
      </c>
      <c r="G16" s="25" t="n">
        <v>4</v>
      </c>
      <c r="H16" s="25" t="n">
        <v>2</v>
      </c>
      <c r="I16" s="25" t="n">
        <v>4</v>
      </c>
      <c r="J16" s="26" t="n">
        <f aca="false">IFERROR(E16/E$49,0)</f>
        <v>0.0101010101010101</v>
      </c>
      <c r="K16" s="26" t="n">
        <f aca="false">IFERROR(F16/F$49,0)</f>
        <v>0.00472813238770686</v>
      </c>
      <c r="L16" s="26" t="n">
        <f aca="false">IFERROR(G16/G$49,0)</f>
        <v>0.00770712909441233</v>
      </c>
      <c r="M16" s="26" t="n">
        <f aca="false">IFERROR(H16/H$49,0)</f>
        <v>0.0021978021978022</v>
      </c>
      <c r="N16" s="26" t="n">
        <f aca="false">IFERROR(I16/I$49,0)</f>
        <v>0.00720720720720721</v>
      </c>
      <c r="O16" s="25" t="n">
        <f aca="false">SUM(E16:I16)</f>
        <v>30</v>
      </c>
      <c r="P16" s="26" t="n">
        <f aca="false">IFERROR(O16/O$49,0)</f>
        <v>0.0071616137502984</v>
      </c>
      <c r="Q16" s="24" t="n">
        <f aca="false">O16*D16</f>
        <v>18000</v>
      </c>
    </row>
    <row r="17" customFormat="false" ht="15" hidden="false" customHeight="false" outlineLevel="0" collapsed="false">
      <c r="A17" s="22" t="n">
        <v>11</v>
      </c>
      <c r="B17" s="22" t="s">
        <v>107</v>
      </c>
      <c r="C17" s="23" t="s">
        <v>108</v>
      </c>
      <c r="D17" s="24" t="n">
        <v>600</v>
      </c>
      <c r="E17" s="25" t="n">
        <v>0</v>
      </c>
      <c r="F17" s="25" t="n">
        <v>1</v>
      </c>
      <c r="G17" s="25" t="n">
        <v>2</v>
      </c>
      <c r="H17" s="25" t="n">
        <v>4</v>
      </c>
      <c r="I17" s="25" t="n">
        <v>1</v>
      </c>
      <c r="J17" s="26" t="n">
        <f aca="false">IFERROR(E17/E$49,0)</f>
        <v>0</v>
      </c>
      <c r="K17" s="26" t="n">
        <f aca="false">IFERROR(F17/F$49,0)</f>
        <v>0.00236406619385343</v>
      </c>
      <c r="L17" s="26" t="n">
        <f aca="false">IFERROR(G17/G$49,0)</f>
        <v>0.00385356454720617</v>
      </c>
      <c r="M17" s="26" t="n">
        <f aca="false">IFERROR(H17/H$49,0)</f>
        <v>0.0043956043956044</v>
      </c>
      <c r="N17" s="26" t="n">
        <f aca="false">IFERROR(I17/I$49,0)</f>
        <v>0.0018018018018018</v>
      </c>
      <c r="O17" s="25" t="n">
        <f aca="false">SUM(E17:I17)</f>
        <v>8</v>
      </c>
      <c r="P17" s="26" t="n">
        <f aca="false">IFERROR(O17/O$49,0)</f>
        <v>0.00190976366674624</v>
      </c>
      <c r="Q17" s="24" t="n">
        <f aca="false">O17*D17</f>
        <v>4800</v>
      </c>
    </row>
    <row r="18" customFormat="false" ht="15" hidden="false" customHeight="false" outlineLevel="0" collapsed="false">
      <c r="A18" s="22" t="n">
        <v>12</v>
      </c>
      <c r="B18" s="22" t="s">
        <v>109</v>
      </c>
      <c r="C18" s="23" t="s">
        <v>110</v>
      </c>
      <c r="D18" s="24" t="n">
        <v>600</v>
      </c>
      <c r="E18" s="25" t="n">
        <v>1</v>
      </c>
      <c r="F18" s="25" t="n">
        <v>3</v>
      </c>
      <c r="G18" s="25" t="n">
        <v>2</v>
      </c>
      <c r="H18" s="25" t="n">
        <v>3</v>
      </c>
      <c r="I18" s="25" t="n">
        <v>3</v>
      </c>
      <c r="J18" s="26" t="n">
        <f aca="false">IFERROR(E18/E$49,0)</f>
        <v>0.000561167227833895</v>
      </c>
      <c r="K18" s="26" t="n">
        <f aca="false">IFERROR(F18/F$49,0)</f>
        <v>0.00709219858156028</v>
      </c>
      <c r="L18" s="26" t="n">
        <f aca="false">IFERROR(G18/G$49,0)</f>
        <v>0.00385356454720617</v>
      </c>
      <c r="M18" s="26" t="n">
        <f aca="false">IFERROR(H18/H$49,0)</f>
        <v>0.0032967032967033</v>
      </c>
      <c r="N18" s="26" t="n">
        <f aca="false">IFERROR(I18/I$49,0)</f>
        <v>0.00540540540540541</v>
      </c>
      <c r="O18" s="25" t="n">
        <f aca="false">SUM(E18:I18)</f>
        <v>12</v>
      </c>
      <c r="P18" s="26" t="n">
        <f aca="false">IFERROR(O18/O$49,0)</f>
        <v>0.00286464550011936</v>
      </c>
      <c r="Q18" s="24" t="n">
        <f aca="false">O18*D18</f>
        <v>7200</v>
      </c>
    </row>
    <row r="19" customFormat="false" ht="15" hidden="false" customHeight="false" outlineLevel="0" collapsed="false">
      <c r="A19" s="22" t="n">
        <v>13</v>
      </c>
      <c r="B19" s="22" t="s">
        <v>111</v>
      </c>
      <c r="C19" s="23" t="s">
        <v>112</v>
      </c>
      <c r="D19" s="24" t="n">
        <v>600</v>
      </c>
      <c r="E19" s="25" t="n">
        <v>0</v>
      </c>
      <c r="F19" s="25" t="n">
        <v>1</v>
      </c>
      <c r="G19" s="25" t="n">
        <v>0</v>
      </c>
      <c r="H19" s="25" t="n">
        <v>1</v>
      </c>
      <c r="I19" s="25" t="n">
        <v>1</v>
      </c>
      <c r="J19" s="26" t="n">
        <f aca="false">IFERROR(E19/E$49,0)</f>
        <v>0</v>
      </c>
      <c r="K19" s="26" t="n">
        <f aca="false">IFERROR(F19/F$49,0)</f>
        <v>0.00236406619385343</v>
      </c>
      <c r="L19" s="26" t="n">
        <f aca="false">IFERROR(G19/G$49,0)</f>
        <v>0</v>
      </c>
      <c r="M19" s="26" t="n">
        <f aca="false">IFERROR(H19/H$49,0)</f>
        <v>0.0010989010989011</v>
      </c>
      <c r="N19" s="26" t="n">
        <f aca="false">IFERROR(I19/I$49,0)</f>
        <v>0.0018018018018018</v>
      </c>
      <c r="O19" s="25" t="n">
        <f aca="false">SUM(E19:I19)</f>
        <v>3</v>
      </c>
      <c r="P19" s="26" t="n">
        <f aca="false">IFERROR(O19/O$49,0)</f>
        <v>0.00071616137502984</v>
      </c>
      <c r="Q19" s="24" t="n">
        <f aca="false">O19*D19</f>
        <v>1800</v>
      </c>
    </row>
    <row r="20" customFormat="false" ht="15" hidden="false" customHeight="false" outlineLevel="0" collapsed="false">
      <c r="A20" s="22" t="n">
        <v>14</v>
      </c>
      <c r="B20" s="22" t="s">
        <v>113</v>
      </c>
      <c r="C20" s="23" t="s">
        <v>114</v>
      </c>
      <c r="D20" s="24" t="n">
        <v>600</v>
      </c>
      <c r="E20" s="25" t="n">
        <v>7</v>
      </c>
      <c r="F20" s="25" t="n">
        <v>1</v>
      </c>
      <c r="G20" s="25" t="n">
        <v>3</v>
      </c>
      <c r="H20" s="25" t="n">
        <v>5</v>
      </c>
      <c r="I20" s="25" t="n">
        <v>1</v>
      </c>
      <c r="J20" s="26" t="n">
        <f aca="false">IFERROR(E20/E$49,0)</f>
        <v>0.00392817059483726</v>
      </c>
      <c r="K20" s="26" t="n">
        <f aca="false">IFERROR(F20/F$49,0)</f>
        <v>0.00236406619385343</v>
      </c>
      <c r="L20" s="26" t="n">
        <f aca="false">IFERROR(G20/G$49,0)</f>
        <v>0.00578034682080925</v>
      </c>
      <c r="M20" s="26" t="n">
        <f aca="false">IFERROR(H20/H$49,0)</f>
        <v>0.0054945054945055</v>
      </c>
      <c r="N20" s="26" t="n">
        <f aca="false">IFERROR(I20/I$49,0)</f>
        <v>0.0018018018018018</v>
      </c>
      <c r="O20" s="25" t="n">
        <f aca="false">SUM(E20:I20)</f>
        <v>17</v>
      </c>
      <c r="P20" s="26" t="n">
        <f aca="false">IFERROR(O20/O$49,0)</f>
        <v>0.00405824779183576</v>
      </c>
      <c r="Q20" s="24" t="n">
        <f aca="false">O20*D20</f>
        <v>10200</v>
      </c>
    </row>
    <row r="21" customFormat="false" ht="15" hidden="false" customHeight="false" outlineLevel="0" collapsed="false">
      <c r="A21" s="22" t="n">
        <v>15</v>
      </c>
      <c r="B21" s="22" t="s">
        <v>115</v>
      </c>
      <c r="C21" s="23" t="s">
        <v>116</v>
      </c>
      <c r="D21" s="24" t="n">
        <v>600</v>
      </c>
      <c r="E21" s="25" t="n">
        <v>11</v>
      </c>
      <c r="F21" s="25" t="n">
        <v>3</v>
      </c>
      <c r="G21" s="25" t="n">
        <v>2</v>
      </c>
      <c r="H21" s="25" t="n">
        <v>7</v>
      </c>
      <c r="I21" s="25" t="n">
        <v>6</v>
      </c>
      <c r="J21" s="26" t="n">
        <f aca="false">IFERROR(E21/E$49,0)</f>
        <v>0.00617283950617284</v>
      </c>
      <c r="K21" s="26" t="n">
        <f aca="false">IFERROR(F21/F$49,0)</f>
        <v>0.00709219858156028</v>
      </c>
      <c r="L21" s="26" t="n">
        <f aca="false">IFERROR(G21/G$49,0)</f>
        <v>0.00385356454720617</v>
      </c>
      <c r="M21" s="26" t="n">
        <f aca="false">IFERROR(H21/H$49,0)</f>
        <v>0.00769230769230769</v>
      </c>
      <c r="N21" s="26" t="n">
        <f aca="false">IFERROR(I21/I$49,0)</f>
        <v>0.0108108108108108</v>
      </c>
      <c r="O21" s="25" t="n">
        <f aca="false">SUM(E21:I21)</f>
        <v>29</v>
      </c>
      <c r="P21" s="26" t="n">
        <f aca="false">IFERROR(O21/O$49,0)</f>
        <v>0.00692289329195512</v>
      </c>
      <c r="Q21" s="24" t="n">
        <f aca="false">O21*D21</f>
        <v>17400</v>
      </c>
    </row>
    <row r="22" customFormat="false" ht="15" hidden="false" customHeight="false" outlineLevel="0" collapsed="false">
      <c r="A22" s="22" t="n">
        <v>16</v>
      </c>
      <c r="B22" s="22" t="s">
        <v>117</v>
      </c>
      <c r="C22" s="23" t="s">
        <v>118</v>
      </c>
      <c r="D22" s="24" t="n">
        <v>600</v>
      </c>
      <c r="E22" s="25" t="n">
        <v>3</v>
      </c>
      <c r="F22" s="25" t="n">
        <v>0</v>
      </c>
      <c r="G22" s="25" t="n">
        <v>0</v>
      </c>
      <c r="H22" s="25" t="n">
        <v>0</v>
      </c>
      <c r="I22" s="25" t="n">
        <v>0</v>
      </c>
      <c r="J22" s="26" t="n">
        <f aca="false">IFERROR(E22/E$49,0)</f>
        <v>0.00168350168350168</v>
      </c>
      <c r="K22" s="26" t="n">
        <f aca="false">IFERROR(F22/F$49,0)</f>
        <v>0</v>
      </c>
      <c r="L22" s="26" t="n">
        <f aca="false">IFERROR(G22/G$49,0)</f>
        <v>0</v>
      </c>
      <c r="M22" s="26" t="n">
        <f aca="false">IFERROR(H22/H$49,0)</f>
        <v>0</v>
      </c>
      <c r="N22" s="26" t="n">
        <f aca="false">IFERROR(I22/I$49,0)</f>
        <v>0</v>
      </c>
      <c r="O22" s="25" t="n">
        <f aca="false">SUM(E22:I22)</f>
        <v>3</v>
      </c>
      <c r="P22" s="26" t="n">
        <f aca="false">IFERROR(O22/O$49,0)</f>
        <v>0.00071616137502984</v>
      </c>
      <c r="Q22" s="24" t="n">
        <f aca="false">O22*D22</f>
        <v>1800</v>
      </c>
    </row>
    <row r="23" customFormat="false" ht="15" hidden="false" customHeight="false" outlineLevel="0" collapsed="false">
      <c r="A23" s="22" t="n">
        <v>17</v>
      </c>
      <c r="B23" s="22" t="s">
        <v>119</v>
      </c>
      <c r="C23" s="23" t="s">
        <v>120</v>
      </c>
      <c r="D23" s="24" t="n">
        <v>600</v>
      </c>
      <c r="E23" s="25" t="n">
        <v>11</v>
      </c>
      <c r="F23" s="25" t="n">
        <v>7</v>
      </c>
      <c r="G23" s="25" t="n">
        <v>9</v>
      </c>
      <c r="H23" s="25" t="n">
        <v>4</v>
      </c>
      <c r="I23" s="25" t="n">
        <v>8</v>
      </c>
      <c r="J23" s="26" t="n">
        <f aca="false">IFERROR(E23/E$49,0)</f>
        <v>0.00617283950617284</v>
      </c>
      <c r="K23" s="26" t="n">
        <f aca="false">IFERROR(F23/F$49,0)</f>
        <v>0.016548463356974</v>
      </c>
      <c r="L23" s="26" t="n">
        <f aca="false">IFERROR(G23/G$49,0)</f>
        <v>0.0173410404624277</v>
      </c>
      <c r="M23" s="26" t="n">
        <f aca="false">IFERROR(H23/H$49,0)</f>
        <v>0.0043956043956044</v>
      </c>
      <c r="N23" s="26" t="n">
        <f aca="false">IFERROR(I23/I$49,0)</f>
        <v>0.0144144144144144</v>
      </c>
      <c r="O23" s="25" t="n">
        <f aca="false">SUM(E23:I23)</f>
        <v>39</v>
      </c>
      <c r="P23" s="26" t="n">
        <f aca="false">IFERROR(O23/O$49,0)</f>
        <v>0.00931009787538792</v>
      </c>
      <c r="Q23" s="24" t="n">
        <f aca="false">O23*D23</f>
        <v>23400</v>
      </c>
    </row>
    <row r="24" customFormat="false" ht="15" hidden="false" customHeight="false" outlineLevel="0" collapsed="false">
      <c r="A24" s="22" t="n">
        <v>18</v>
      </c>
      <c r="B24" s="22" t="s">
        <v>121</v>
      </c>
      <c r="C24" s="23" t="s">
        <v>122</v>
      </c>
      <c r="D24" s="24" t="n">
        <v>600</v>
      </c>
      <c r="E24" s="25" t="n">
        <v>96</v>
      </c>
      <c r="F24" s="25" t="n">
        <v>22</v>
      </c>
      <c r="G24" s="25" t="n">
        <v>31</v>
      </c>
      <c r="H24" s="25" t="n">
        <v>44</v>
      </c>
      <c r="I24" s="25" t="n">
        <v>31</v>
      </c>
      <c r="J24" s="26" t="n">
        <f aca="false">IFERROR(E24/E$49,0)</f>
        <v>0.0538720538720539</v>
      </c>
      <c r="K24" s="26" t="n">
        <f aca="false">IFERROR(F24/F$49,0)</f>
        <v>0.0520094562647754</v>
      </c>
      <c r="L24" s="26" t="n">
        <f aca="false">IFERROR(G24/G$49,0)</f>
        <v>0.0597302504816956</v>
      </c>
      <c r="M24" s="26" t="n">
        <f aca="false">IFERROR(H24/H$49,0)</f>
        <v>0.0483516483516484</v>
      </c>
      <c r="N24" s="26" t="n">
        <f aca="false">IFERROR(I24/I$49,0)</f>
        <v>0.0558558558558559</v>
      </c>
      <c r="O24" s="25" t="n">
        <f aca="false">SUM(E24:I24)</f>
        <v>224</v>
      </c>
      <c r="P24" s="26" t="n">
        <f aca="false">IFERROR(O24/O$49,0)</f>
        <v>0.0534733826688947</v>
      </c>
      <c r="Q24" s="24" t="n">
        <f aca="false">O24*D24</f>
        <v>134400</v>
      </c>
    </row>
    <row r="25" customFormat="false" ht="15" hidden="false" customHeight="false" outlineLevel="0" collapsed="false">
      <c r="A25" s="22" t="n">
        <v>19</v>
      </c>
      <c r="B25" s="22" t="s">
        <v>123</v>
      </c>
      <c r="C25" s="23" t="s">
        <v>124</v>
      </c>
      <c r="D25" s="24" t="n">
        <v>600</v>
      </c>
      <c r="E25" s="25" t="n">
        <v>4</v>
      </c>
      <c r="F25" s="25" t="n">
        <v>1</v>
      </c>
      <c r="G25" s="25" t="n">
        <v>2</v>
      </c>
      <c r="H25" s="25" t="n">
        <v>1</v>
      </c>
      <c r="I25" s="25" t="n">
        <v>0</v>
      </c>
      <c r="J25" s="26" t="n">
        <f aca="false">IFERROR(E25/E$49,0)</f>
        <v>0.00224466891133558</v>
      </c>
      <c r="K25" s="26" t="n">
        <f aca="false">IFERROR(F25/F$49,0)</f>
        <v>0.00236406619385343</v>
      </c>
      <c r="L25" s="26" t="n">
        <f aca="false">IFERROR(G25/G$49,0)</f>
        <v>0.00385356454720617</v>
      </c>
      <c r="M25" s="26" t="n">
        <f aca="false">IFERROR(H25/H$49,0)</f>
        <v>0.0010989010989011</v>
      </c>
      <c r="N25" s="26" t="n">
        <f aca="false">IFERROR(I25/I$49,0)</f>
        <v>0</v>
      </c>
      <c r="O25" s="25" t="n">
        <f aca="false">SUM(E25:I25)</f>
        <v>8</v>
      </c>
      <c r="P25" s="26" t="n">
        <f aca="false">IFERROR(O25/O$49,0)</f>
        <v>0.00190976366674624</v>
      </c>
      <c r="Q25" s="24" t="n">
        <f aca="false">O25*D25</f>
        <v>4800</v>
      </c>
    </row>
    <row r="26" customFormat="false" ht="15" hidden="false" customHeight="false" outlineLevel="0" collapsed="false">
      <c r="A26" s="22" t="n">
        <v>20</v>
      </c>
      <c r="B26" s="22" t="s">
        <v>125</v>
      </c>
      <c r="C26" s="23" t="s">
        <v>126</v>
      </c>
      <c r="D26" s="24" t="n">
        <v>600</v>
      </c>
      <c r="E26" s="25" t="n">
        <v>2</v>
      </c>
      <c r="F26" s="25" t="n">
        <v>0</v>
      </c>
      <c r="G26" s="25" t="n">
        <v>1</v>
      </c>
      <c r="H26" s="25" t="n">
        <v>0</v>
      </c>
      <c r="I26" s="25" t="n">
        <v>2</v>
      </c>
      <c r="J26" s="26" t="n">
        <f aca="false">IFERROR(E26/E$49,0)</f>
        <v>0.00112233445566779</v>
      </c>
      <c r="K26" s="26" t="n">
        <f aca="false">IFERROR(F26/F$49,0)</f>
        <v>0</v>
      </c>
      <c r="L26" s="26" t="n">
        <f aca="false">IFERROR(G26/G$49,0)</f>
        <v>0.00192678227360308</v>
      </c>
      <c r="M26" s="26" t="n">
        <f aca="false">IFERROR(H26/H$49,0)</f>
        <v>0</v>
      </c>
      <c r="N26" s="26" t="n">
        <f aca="false">IFERROR(I26/I$49,0)</f>
        <v>0.0036036036036036</v>
      </c>
      <c r="O26" s="25" t="n">
        <f aca="false">SUM(E26:I26)</f>
        <v>5</v>
      </c>
      <c r="P26" s="26" t="n">
        <f aca="false">IFERROR(O26/O$49,0)</f>
        <v>0.0011936022917164</v>
      </c>
      <c r="Q26" s="24" t="n">
        <f aca="false">O26*D26</f>
        <v>3000</v>
      </c>
    </row>
    <row r="27" customFormat="false" ht="15" hidden="false" customHeight="false" outlineLevel="0" collapsed="false">
      <c r="A27" s="22" t="n">
        <v>21</v>
      </c>
      <c r="B27" s="22" t="s">
        <v>127</v>
      </c>
      <c r="C27" s="23" t="s">
        <v>128</v>
      </c>
      <c r="D27" s="24" t="n">
        <v>600</v>
      </c>
      <c r="E27" s="25" t="n">
        <v>12</v>
      </c>
      <c r="F27" s="25" t="n">
        <v>7</v>
      </c>
      <c r="G27" s="25" t="n">
        <v>6</v>
      </c>
      <c r="H27" s="25" t="n">
        <v>8</v>
      </c>
      <c r="I27" s="25" t="n">
        <v>7</v>
      </c>
      <c r="J27" s="26" t="n">
        <f aca="false">IFERROR(E27/E$49,0)</f>
        <v>0.00673400673400673</v>
      </c>
      <c r="K27" s="26" t="n">
        <f aca="false">IFERROR(F27/F$49,0)</f>
        <v>0.016548463356974</v>
      </c>
      <c r="L27" s="26" t="n">
        <f aca="false">IFERROR(G27/G$49,0)</f>
        <v>0.0115606936416185</v>
      </c>
      <c r="M27" s="26" t="n">
        <f aca="false">IFERROR(H27/H$49,0)</f>
        <v>0.00879120879120879</v>
      </c>
      <c r="N27" s="26" t="n">
        <f aca="false">IFERROR(I27/I$49,0)</f>
        <v>0.0126126126126126</v>
      </c>
      <c r="O27" s="25" t="n">
        <f aca="false">SUM(E27:I27)</f>
        <v>40</v>
      </c>
      <c r="P27" s="26" t="n">
        <f aca="false">IFERROR(O27/O$49,0)</f>
        <v>0.0095488183337312</v>
      </c>
      <c r="Q27" s="24" t="n">
        <f aca="false">O27*D27</f>
        <v>24000</v>
      </c>
    </row>
    <row r="28" customFormat="false" ht="15" hidden="false" customHeight="false" outlineLevel="0" collapsed="false">
      <c r="A28" s="22" t="n">
        <v>22</v>
      </c>
      <c r="B28" s="22" t="s">
        <v>129</v>
      </c>
      <c r="C28" s="23" t="s">
        <v>130</v>
      </c>
      <c r="D28" s="24" t="n">
        <v>600</v>
      </c>
      <c r="E28" s="25" t="n">
        <v>3</v>
      </c>
      <c r="F28" s="25" t="n">
        <v>3</v>
      </c>
      <c r="G28" s="25" t="n">
        <v>1</v>
      </c>
      <c r="H28" s="25" t="n">
        <v>5</v>
      </c>
      <c r="I28" s="25" t="n">
        <v>2</v>
      </c>
      <c r="J28" s="26" t="n">
        <f aca="false">IFERROR(E28/E$49,0)</f>
        <v>0.00168350168350168</v>
      </c>
      <c r="K28" s="26" t="n">
        <f aca="false">IFERROR(F28/F$49,0)</f>
        <v>0.00709219858156028</v>
      </c>
      <c r="L28" s="26" t="n">
        <f aca="false">IFERROR(G28/G$49,0)</f>
        <v>0.00192678227360308</v>
      </c>
      <c r="M28" s="26" t="n">
        <f aca="false">IFERROR(H28/H$49,0)</f>
        <v>0.0054945054945055</v>
      </c>
      <c r="N28" s="26" t="n">
        <f aca="false">IFERROR(I28/I$49,0)</f>
        <v>0.0036036036036036</v>
      </c>
      <c r="O28" s="25" t="n">
        <f aca="false">SUM(E28:I28)</f>
        <v>14</v>
      </c>
      <c r="P28" s="26" t="n">
        <f aca="false">IFERROR(O28/O$49,0)</f>
        <v>0.00334208641680592</v>
      </c>
      <c r="Q28" s="24" t="n">
        <f aca="false">O28*D28</f>
        <v>8400</v>
      </c>
    </row>
    <row r="29" customFormat="false" ht="15" hidden="false" customHeight="false" outlineLevel="0" collapsed="false">
      <c r="A29" s="22" t="n">
        <v>23</v>
      </c>
      <c r="B29" s="22" t="s">
        <v>131</v>
      </c>
      <c r="C29" s="23" t="s">
        <v>132</v>
      </c>
      <c r="D29" s="24" t="n">
        <v>600</v>
      </c>
      <c r="E29" s="25" t="n">
        <v>390</v>
      </c>
      <c r="F29" s="25" t="n">
        <v>100</v>
      </c>
      <c r="G29" s="25" t="n">
        <v>158</v>
      </c>
      <c r="H29" s="25" t="n">
        <v>266</v>
      </c>
      <c r="I29" s="25" t="n">
        <v>113</v>
      </c>
      <c r="J29" s="26" t="n">
        <f aca="false">IFERROR(E29/E$49,0)</f>
        <v>0.218855218855219</v>
      </c>
      <c r="K29" s="26" t="n">
        <f aca="false">IFERROR(F29/F$49,0)</f>
        <v>0.236406619385343</v>
      </c>
      <c r="L29" s="26" t="n">
        <f aca="false">IFERROR(G29/G$49,0)</f>
        <v>0.304431599229287</v>
      </c>
      <c r="M29" s="26" t="n">
        <f aca="false">IFERROR(H29/H$49,0)</f>
        <v>0.292307692307692</v>
      </c>
      <c r="N29" s="26" t="n">
        <f aca="false">IFERROR(I29/I$49,0)</f>
        <v>0.203603603603604</v>
      </c>
      <c r="O29" s="25" t="n">
        <f aca="false">SUM(E29:I29)</f>
        <v>1027</v>
      </c>
      <c r="P29" s="26" t="n">
        <f aca="false">IFERROR(O29/O$49,0)</f>
        <v>0.245165910718549</v>
      </c>
      <c r="Q29" s="24" t="n">
        <f aca="false">O29*D29</f>
        <v>616200</v>
      </c>
    </row>
    <row r="30" customFormat="false" ht="15" hidden="false" customHeight="false" outlineLevel="0" collapsed="false">
      <c r="A30" s="22" t="n">
        <v>24</v>
      </c>
      <c r="B30" s="22" t="s">
        <v>133</v>
      </c>
      <c r="C30" s="23" t="s">
        <v>134</v>
      </c>
      <c r="D30" s="24" t="n">
        <v>600</v>
      </c>
      <c r="E30" s="25" t="n">
        <v>205</v>
      </c>
      <c r="F30" s="25" t="n">
        <v>34</v>
      </c>
      <c r="G30" s="25" t="n">
        <v>84</v>
      </c>
      <c r="H30" s="25" t="n">
        <v>155</v>
      </c>
      <c r="I30" s="25" t="n">
        <v>65</v>
      </c>
      <c r="J30" s="26" t="n">
        <f aca="false">IFERROR(E30/E$49,0)</f>
        <v>0.115039281705948</v>
      </c>
      <c r="K30" s="26" t="n">
        <f aca="false">IFERROR(F30/F$49,0)</f>
        <v>0.0803782505910166</v>
      </c>
      <c r="L30" s="26" t="n">
        <f aca="false">IFERROR(G30/G$49,0)</f>
        <v>0.161849710982659</v>
      </c>
      <c r="M30" s="26" t="n">
        <f aca="false">IFERROR(H30/H$49,0)</f>
        <v>0.17032967032967</v>
      </c>
      <c r="N30" s="26" t="n">
        <f aca="false">IFERROR(I30/I$49,0)</f>
        <v>0.117117117117117</v>
      </c>
      <c r="O30" s="25" t="n">
        <f aca="false">SUM(E30:I30)</f>
        <v>543</v>
      </c>
      <c r="P30" s="26" t="n">
        <f aca="false">IFERROR(O30/O$49,0)</f>
        <v>0.129625208880401</v>
      </c>
      <c r="Q30" s="24" t="n">
        <f aca="false">O30*D30</f>
        <v>325800</v>
      </c>
    </row>
    <row r="31" customFormat="false" ht="15" hidden="false" customHeight="false" outlineLevel="0" collapsed="false">
      <c r="A31" s="22" t="n">
        <v>25</v>
      </c>
      <c r="B31" s="22" t="s">
        <v>135</v>
      </c>
      <c r="C31" s="23" t="s">
        <v>136</v>
      </c>
      <c r="D31" s="24" t="n">
        <v>1500</v>
      </c>
      <c r="E31" s="25" t="n">
        <v>7</v>
      </c>
      <c r="F31" s="25" t="n">
        <v>2</v>
      </c>
      <c r="G31" s="25" t="n">
        <v>2</v>
      </c>
      <c r="H31" s="25" t="n">
        <v>4</v>
      </c>
      <c r="I31" s="25" t="n">
        <v>3</v>
      </c>
      <c r="J31" s="26" t="n">
        <f aca="false">IFERROR(E31/E$49,0)</f>
        <v>0.00392817059483726</v>
      </c>
      <c r="K31" s="26" t="n">
        <f aca="false">IFERROR(F31/F$49,0)</f>
        <v>0.00472813238770686</v>
      </c>
      <c r="L31" s="26" t="n">
        <f aca="false">IFERROR(G31/G$49,0)</f>
        <v>0.00385356454720617</v>
      </c>
      <c r="M31" s="26" t="n">
        <f aca="false">IFERROR(H31/H$49,0)</f>
        <v>0.0043956043956044</v>
      </c>
      <c r="N31" s="26" t="n">
        <f aca="false">IFERROR(I31/I$49,0)</f>
        <v>0.00540540540540541</v>
      </c>
      <c r="O31" s="25" t="n">
        <f aca="false">SUM(E31:I31)</f>
        <v>18</v>
      </c>
      <c r="P31" s="26" t="n">
        <f aca="false">IFERROR(O31/O$49,0)</f>
        <v>0.00429696825017904</v>
      </c>
      <c r="Q31" s="24" t="n">
        <f aca="false">O31*D31</f>
        <v>27000</v>
      </c>
    </row>
    <row r="32" customFormat="false" ht="15" hidden="false" customHeight="false" outlineLevel="0" collapsed="false">
      <c r="A32" s="22" t="n">
        <v>26</v>
      </c>
      <c r="B32" s="22" t="s">
        <v>137</v>
      </c>
      <c r="C32" s="23" t="s">
        <v>138</v>
      </c>
      <c r="D32" s="24" t="n">
        <v>2200</v>
      </c>
      <c r="E32" s="25" t="n">
        <v>27</v>
      </c>
      <c r="F32" s="25" t="n">
        <v>8</v>
      </c>
      <c r="G32" s="25" t="n">
        <v>11</v>
      </c>
      <c r="H32" s="25" t="n">
        <v>23</v>
      </c>
      <c r="I32" s="25" t="n">
        <v>16</v>
      </c>
      <c r="J32" s="26" t="n">
        <f aca="false">IFERROR(E32/E$49,0)</f>
        <v>0.0151515151515152</v>
      </c>
      <c r="K32" s="26" t="n">
        <f aca="false">IFERROR(F32/F$49,0)</f>
        <v>0.0189125295508274</v>
      </c>
      <c r="L32" s="26" t="n">
        <f aca="false">IFERROR(G32/G$49,0)</f>
        <v>0.0211946050096339</v>
      </c>
      <c r="M32" s="26" t="n">
        <f aca="false">IFERROR(H32/H$49,0)</f>
        <v>0.0252747252747253</v>
      </c>
      <c r="N32" s="26" t="n">
        <f aca="false">IFERROR(I32/I$49,0)</f>
        <v>0.0288288288288288</v>
      </c>
      <c r="O32" s="25" t="n">
        <f aca="false">SUM(E32:I32)</f>
        <v>85</v>
      </c>
      <c r="P32" s="26" t="n">
        <f aca="false">IFERROR(O32/O$49,0)</f>
        <v>0.0202912389591788</v>
      </c>
      <c r="Q32" s="24" t="n">
        <f aca="false">O32*D32</f>
        <v>187000</v>
      </c>
    </row>
    <row r="33" customFormat="false" ht="15" hidden="false" customHeight="false" outlineLevel="0" collapsed="false">
      <c r="A33" s="22" t="n">
        <v>27</v>
      </c>
      <c r="B33" s="22" t="s">
        <v>139</v>
      </c>
      <c r="C33" s="23" t="s">
        <v>140</v>
      </c>
      <c r="D33" s="24" t="n">
        <v>1100</v>
      </c>
      <c r="E33" s="25" t="n">
        <v>5</v>
      </c>
      <c r="F33" s="25" t="n">
        <v>1</v>
      </c>
      <c r="G33" s="25" t="n">
        <v>1</v>
      </c>
      <c r="H33" s="25" t="n">
        <v>5</v>
      </c>
      <c r="I33" s="25" t="n">
        <v>3</v>
      </c>
      <c r="J33" s="26" t="n">
        <f aca="false">IFERROR(E33/E$49,0)</f>
        <v>0.00280583613916947</v>
      </c>
      <c r="K33" s="26" t="n">
        <f aca="false">IFERROR(F33/F$49,0)</f>
        <v>0.00236406619385343</v>
      </c>
      <c r="L33" s="26" t="n">
        <f aca="false">IFERROR(G33/G$49,0)</f>
        <v>0.00192678227360308</v>
      </c>
      <c r="M33" s="26" t="n">
        <f aca="false">IFERROR(H33/H$49,0)</f>
        <v>0.0054945054945055</v>
      </c>
      <c r="N33" s="26" t="n">
        <f aca="false">IFERROR(I33/I$49,0)</f>
        <v>0.00540540540540541</v>
      </c>
      <c r="O33" s="25" t="n">
        <f aca="false">SUM(E33:I33)</f>
        <v>15</v>
      </c>
      <c r="P33" s="26" t="n">
        <f aca="false">IFERROR(O33/O$49,0)</f>
        <v>0.0035808068751492</v>
      </c>
      <c r="Q33" s="24" t="n">
        <f aca="false">O33*D33</f>
        <v>16500</v>
      </c>
    </row>
    <row r="34" customFormat="false" ht="15" hidden="false" customHeight="false" outlineLevel="0" collapsed="false">
      <c r="A34" s="22" t="n">
        <v>28</v>
      </c>
      <c r="B34" s="22" t="s">
        <v>141</v>
      </c>
      <c r="C34" s="23" t="s">
        <v>142</v>
      </c>
      <c r="D34" s="24" t="n">
        <v>1800</v>
      </c>
      <c r="E34" s="25" t="n">
        <v>33</v>
      </c>
      <c r="F34" s="25" t="n">
        <v>19</v>
      </c>
      <c r="G34" s="25" t="n">
        <v>11</v>
      </c>
      <c r="H34" s="25" t="n">
        <v>33</v>
      </c>
      <c r="I34" s="25" t="n">
        <v>34</v>
      </c>
      <c r="J34" s="26" t="n">
        <f aca="false">IFERROR(E34/E$49,0)</f>
        <v>0.0185185185185185</v>
      </c>
      <c r="K34" s="26" t="n">
        <f aca="false">IFERROR(F34/F$49,0)</f>
        <v>0.0449172576832151</v>
      </c>
      <c r="L34" s="26" t="n">
        <f aca="false">IFERROR(G34/G$49,0)</f>
        <v>0.0211946050096339</v>
      </c>
      <c r="M34" s="26" t="n">
        <f aca="false">IFERROR(H34/H$49,0)</f>
        <v>0.0362637362637363</v>
      </c>
      <c r="N34" s="26" t="n">
        <f aca="false">IFERROR(I34/I$49,0)</f>
        <v>0.0612612612612613</v>
      </c>
      <c r="O34" s="25" t="n">
        <f aca="false">SUM(E34:I34)</f>
        <v>130</v>
      </c>
      <c r="P34" s="26" t="n">
        <f aca="false">IFERROR(O34/O$49,0)</f>
        <v>0.0310336595846264</v>
      </c>
      <c r="Q34" s="24" t="n">
        <f aca="false">O34*D34</f>
        <v>234000</v>
      </c>
    </row>
    <row r="35" customFormat="false" ht="15" hidden="false" customHeight="false" outlineLevel="0" collapsed="false">
      <c r="A35" s="22" t="n">
        <v>29</v>
      </c>
      <c r="B35" s="22" t="s">
        <v>143</v>
      </c>
      <c r="C35" s="23" t="s">
        <v>144</v>
      </c>
      <c r="D35" s="24" t="n">
        <v>1500</v>
      </c>
      <c r="E35" s="25" t="n">
        <v>19</v>
      </c>
      <c r="F35" s="25" t="n">
        <v>10</v>
      </c>
      <c r="G35" s="25" t="n">
        <v>6</v>
      </c>
      <c r="H35" s="25" t="n">
        <v>21</v>
      </c>
      <c r="I35" s="25" t="n">
        <v>10</v>
      </c>
      <c r="J35" s="26" t="n">
        <f aca="false">IFERROR(E35/E$49,0)</f>
        <v>0.010662177328844</v>
      </c>
      <c r="K35" s="26" t="n">
        <f aca="false">IFERROR(F35/F$49,0)</f>
        <v>0.0236406619385343</v>
      </c>
      <c r="L35" s="26" t="n">
        <f aca="false">IFERROR(G35/G$49,0)</f>
        <v>0.0115606936416185</v>
      </c>
      <c r="M35" s="26" t="n">
        <f aca="false">IFERROR(H35/H$49,0)</f>
        <v>0.0230769230769231</v>
      </c>
      <c r="N35" s="26" t="n">
        <f aca="false">IFERROR(I35/I$49,0)</f>
        <v>0.018018018018018</v>
      </c>
      <c r="O35" s="25" t="n">
        <f aca="false">SUM(E35:I35)</f>
        <v>66</v>
      </c>
      <c r="P35" s="26" t="n">
        <f aca="false">IFERROR(O35/O$49,0)</f>
        <v>0.0157555502506565</v>
      </c>
      <c r="Q35" s="24" t="n">
        <f aca="false">O35*D35</f>
        <v>99000</v>
      </c>
    </row>
    <row r="36" customFormat="false" ht="15" hidden="false" customHeight="false" outlineLevel="0" collapsed="false">
      <c r="A36" s="22" t="n">
        <v>30</v>
      </c>
      <c r="B36" s="22" t="s">
        <v>145</v>
      </c>
      <c r="C36" s="23" t="s">
        <v>146</v>
      </c>
      <c r="D36" s="24" t="n">
        <v>3300</v>
      </c>
      <c r="E36" s="25" t="n">
        <v>5</v>
      </c>
      <c r="F36" s="25" t="n">
        <v>4</v>
      </c>
      <c r="G36" s="25" t="n">
        <v>0</v>
      </c>
      <c r="H36" s="25" t="n">
        <v>6</v>
      </c>
      <c r="I36" s="25" t="n">
        <v>5</v>
      </c>
      <c r="J36" s="26" t="n">
        <f aca="false">IFERROR(E36/E$49,0)</f>
        <v>0.00280583613916947</v>
      </c>
      <c r="K36" s="26" t="n">
        <f aca="false">IFERROR(F36/F$49,0)</f>
        <v>0.00945626477541371</v>
      </c>
      <c r="L36" s="26" t="n">
        <f aca="false">IFERROR(G36/G$49,0)</f>
        <v>0</v>
      </c>
      <c r="M36" s="26" t="n">
        <f aca="false">IFERROR(H36/H$49,0)</f>
        <v>0.00659340659340659</v>
      </c>
      <c r="N36" s="26" t="n">
        <f aca="false">IFERROR(I36/I$49,0)</f>
        <v>0.00900900900900901</v>
      </c>
      <c r="O36" s="25" t="n">
        <f aca="false">SUM(E36:I36)</f>
        <v>20</v>
      </c>
      <c r="P36" s="26" t="n">
        <f aca="false">IFERROR(O36/O$49,0)</f>
        <v>0.0047744091668656</v>
      </c>
      <c r="Q36" s="24" t="n">
        <f aca="false">O36*D36</f>
        <v>66000</v>
      </c>
    </row>
    <row r="37" customFormat="false" ht="15" hidden="false" customHeight="false" outlineLevel="0" collapsed="false">
      <c r="A37" s="22" t="n">
        <v>31</v>
      </c>
      <c r="B37" s="22" t="s">
        <v>147</v>
      </c>
      <c r="C37" s="23" t="s">
        <v>148</v>
      </c>
      <c r="D37" s="24" t="n">
        <v>1300</v>
      </c>
      <c r="E37" s="25" t="n">
        <v>15</v>
      </c>
      <c r="F37" s="25" t="n">
        <v>3</v>
      </c>
      <c r="G37" s="25" t="n">
        <v>2</v>
      </c>
      <c r="H37" s="25" t="n">
        <v>12</v>
      </c>
      <c r="I37" s="25" t="n">
        <v>11</v>
      </c>
      <c r="J37" s="26" t="n">
        <f aca="false">IFERROR(E37/E$49,0)</f>
        <v>0.00841750841750842</v>
      </c>
      <c r="K37" s="26" t="n">
        <f aca="false">IFERROR(F37/F$49,0)</f>
        <v>0.00709219858156028</v>
      </c>
      <c r="L37" s="26" t="n">
        <f aca="false">IFERROR(G37/G$49,0)</f>
        <v>0.00385356454720617</v>
      </c>
      <c r="M37" s="26" t="n">
        <f aca="false">IFERROR(H37/H$49,0)</f>
        <v>0.0131868131868132</v>
      </c>
      <c r="N37" s="26" t="n">
        <f aca="false">IFERROR(I37/I$49,0)</f>
        <v>0.0198198198198198</v>
      </c>
      <c r="O37" s="25" t="n">
        <f aca="false">SUM(E37:I37)</f>
        <v>43</v>
      </c>
      <c r="P37" s="26" t="n">
        <f aca="false">IFERROR(O37/O$49,0)</f>
        <v>0.010264979708761</v>
      </c>
      <c r="Q37" s="24" t="n">
        <f aca="false">O37*D37</f>
        <v>55900</v>
      </c>
    </row>
    <row r="38" customFormat="false" ht="15" hidden="false" customHeight="false" outlineLevel="0" collapsed="false">
      <c r="A38" s="22" t="n">
        <v>32</v>
      </c>
      <c r="B38" s="22" t="s">
        <v>149</v>
      </c>
      <c r="C38" s="23" t="s">
        <v>150</v>
      </c>
      <c r="D38" s="24" t="n">
        <v>8800</v>
      </c>
      <c r="E38" s="25" t="n">
        <v>3</v>
      </c>
      <c r="F38" s="25" t="n">
        <v>1</v>
      </c>
      <c r="G38" s="25" t="n">
        <v>1</v>
      </c>
      <c r="H38" s="25" t="n">
        <v>2</v>
      </c>
      <c r="I38" s="25" t="n">
        <v>3</v>
      </c>
      <c r="J38" s="26" t="n">
        <f aca="false">IFERROR(E38/E$49,0)</f>
        <v>0.00168350168350168</v>
      </c>
      <c r="K38" s="26" t="n">
        <f aca="false">IFERROR(F38/F$49,0)</f>
        <v>0.00236406619385343</v>
      </c>
      <c r="L38" s="26" t="n">
        <f aca="false">IFERROR(G38/G$49,0)</f>
        <v>0.00192678227360308</v>
      </c>
      <c r="M38" s="26" t="n">
        <f aca="false">IFERROR(H38/H$49,0)</f>
        <v>0.0021978021978022</v>
      </c>
      <c r="N38" s="26" t="n">
        <f aca="false">IFERROR(I38/I$49,0)</f>
        <v>0.00540540540540541</v>
      </c>
      <c r="O38" s="25" t="n">
        <f aca="false">SUM(E38:I38)</f>
        <v>10</v>
      </c>
      <c r="P38" s="26" t="n">
        <f aca="false">IFERROR(O38/O$49,0)</f>
        <v>0.0023872045834328</v>
      </c>
      <c r="Q38" s="24" t="n">
        <f aca="false">O38*D38</f>
        <v>88000</v>
      </c>
    </row>
    <row r="39" customFormat="false" ht="15" hidden="false" customHeight="false" outlineLevel="0" collapsed="false">
      <c r="A39" s="22" t="n">
        <v>33</v>
      </c>
      <c r="B39" s="22" t="s">
        <v>151</v>
      </c>
      <c r="C39" s="23" t="s">
        <v>152</v>
      </c>
      <c r="D39" s="24" t="n">
        <v>27500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6" t="n">
        <f aca="false">IFERROR(E39/E$49,0)</f>
        <v>0</v>
      </c>
      <c r="K39" s="26" t="n">
        <f aca="false">IFERROR(F39/F$49,0)</f>
        <v>0</v>
      </c>
      <c r="L39" s="26" t="n">
        <f aca="false">IFERROR(G39/G$49,0)</f>
        <v>0</v>
      </c>
      <c r="M39" s="26" t="n">
        <f aca="false">IFERROR(H39/H$49,0)</f>
        <v>0</v>
      </c>
      <c r="N39" s="26" t="n">
        <f aca="false">IFERROR(I39/I$49,0)</f>
        <v>0</v>
      </c>
      <c r="O39" s="25" t="n">
        <f aca="false">SUM(E39:I39)</f>
        <v>0</v>
      </c>
      <c r="P39" s="26" t="n">
        <f aca="false">IFERROR(O39/O$49,0)</f>
        <v>0</v>
      </c>
      <c r="Q39" s="24" t="n">
        <f aca="false">O39*D39</f>
        <v>0</v>
      </c>
    </row>
    <row r="40" customFormat="false" ht="15" hidden="false" customHeight="false" outlineLevel="0" collapsed="false">
      <c r="A40" s="22" t="n">
        <v>34</v>
      </c>
      <c r="B40" s="22" t="s">
        <v>153</v>
      </c>
      <c r="C40" s="23" t="s">
        <v>154</v>
      </c>
      <c r="D40" s="24" t="n">
        <v>27500</v>
      </c>
      <c r="E40" s="25" t="n">
        <v>0</v>
      </c>
      <c r="F40" s="25" t="n">
        <v>0</v>
      </c>
      <c r="G40" s="25" t="n">
        <v>0</v>
      </c>
      <c r="H40" s="25" t="n">
        <v>1</v>
      </c>
      <c r="I40" s="25" t="n">
        <v>0</v>
      </c>
      <c r="J40" s="26" t="n">
        <f aca="false">IFERROR(E40/E$49,0)</f>
        <v>0</v>
      </c>
      <c r="K40" s="26" t="n">
        <f aca="false">IFERROR(F40/F$49,0)</f>
        <v>0</v>
      </c>
      <c r="L40" s="26" t="n">
        <f aca="false">IFERROR(G40/G$49,0)</f>
        <v>0</v>
      </c>
      <c r="M40" s="26" t="n">
        <f aca="false">IFERROR(H40/H$49,0)</f>
        <v>0.0010989010989011</v>
      </c>
      <c r="N40" s="26" t="n">
        <f aca="false">IFERROR(I40/I$49,0)</f>
        <v>0</v>
      </c>
      <c r="O40" s="25" t="n">
        <f aca="false">SUM(E40:I40)</f>
        <v>1</v>
      </c>
      <c r="P40" s="26" t="n">
        <f aca="false">IFERROR(O40/O$49,0)</f>
        <v>0.00023872045834328</v>
      </c>
      <c r="Q40" s="24" t="n">
        <f aca="false">O40*D40</f>
        <v>27500</v>
      </c>
    </row>
    <row r="41" customFormat="false" ht="15" hidden="false" customHeight="false" outlineLevel="0" collapsed="false">
      <c r="A41" s="22" t="n">
        <v>35</v>
      </c>
      <c r="B41" s="22" t="s">
        <v>155</v>
      </c>
      <c r="C41" s="23" t="s">
        <v>156</v>
      </c>
      <c r="D41" s="24" t="n">
        <v>27500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  <c r="J41" s="26" t="n">
        <f aca="false">IFERROR(E41/E$49,0)</f>
        <v>0</v>
      </c>
      <c r="K41" s="26" t="n">
        <f aca="false">IFERROR(F41/F$49,0)</f>
        <v>0</v>
      </c>
      <c r="L41" s="26" t="n">
        <f aca="false">IFERROR(G41/G$49,0)</f>
        <v>0</v>
      </c>
      <c r="M41" s="26" t="n">
        <f aca="false">IFERROR(H41/H$49,0)</f>
        <v>0</v>
      </c>
      <c r="N41" s="26" t="n">
        <f aca="false">IFERROR(I41/I$49,0)</f>
        <v>0</v>
      </c>
      <c r="O41" s="25" t="n">
        <f aca="false">SUM(E41:I41)</f>
        <v>0</v>
      </c>
      <c r="P41" s="26" t="n">
        <f aca="false">IFERROR(O41/O$49,0)</f>
        <v>0</v>
      </c>
      <c r="Q41" s="24" t="n">
        <f aca="false">O41*D41</f>
        <v>0</v>
      </c>
    </row>
    <row r="42" customFormat="false" ht="15" hidden="false" customHeight="false" outlineLevel="0" collapsed="false">
      <c r="A42" s="22" t="n">
        <v>36</v>
      </c>
      <c r="B42" s="22" t="s">
        <v>157</v>
      </c>
      <c r="C42" s="23" t="s">
        <v>158</v>
      </c>
      <c r="D42" s="24" t="n">
        <v>27500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6" t="n">
        <f aca="false">IFERROR(E42/E$49,0)</f>
        <v>0</v>
      </c>
      <c r="K42" s="26" t="n">
        <f aca="false">IFERROR(F42/F$49,0)</f>
        <v>0</v>
      </c>
      <c r="L42" s="26" t="n">
        <f aca="false">IFERROR(G42/G$49,0)</f>
        <v>0</v>
      </c>
      <c r="M42" s="26" t="n">
        <f aca="false">IFERROR(H42/H$49,0)</f>
        <v>0</v>
      </c>
      <c r="N42" s="26" t="n">
        <f aca="false">IFERROR(I42/I$49,0)</f>
        <v>0</v>
      </c>
      <c r="O42" s="25" t="n">
        <f aca="false">SUM(E42:I42)</f>
        <v>0</v>
      </c>
      <c r="P42" s="26" t="n">
        <f aca="false">IFERROR(O42/O$49,0)</f>
        <v>0</v>
      </c>
      <c r="Q42" s="24" t="n">
        <f aca="false">O42*D42</f>
        <v>0</v>
      </c>
    </row>
    <row r="43" customFormat="false" ht="15" hidden="false" customHeight="false" outlineLevel="0" collapsed="false">
      <c r="A43" s="22" t="n">
        <v>37</v>
      </c>
      <c r="B43" s="22" t="s">
        <v>159</v>
      </c>
      <c r="C43" s="23" t="s">
        <v>160</v>
      </c>
      <c r="D43" s="24" t="n">
        <v>27500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6" t="n">
        <f aca="false">IFERROR(E43/E$49,0)</f>
        <v>0</v>
      </c>
      <c r="K43" s="26" t="n">
        <f aca="false">IFERROR(F43/F$49,0)</f>
        <v>0</v>
      </c>
      <c r="L43" s="26" t="n">
        <f aca="false">IFERROR(G43/G$49,0)</f>
        <v>0</v>
      </c>
      <c r="M43" s="26" t="n">
        <f aca="false">IFERROR(H43/H$49,0)</f>
        <v>0</v>
      </c>
      <c r="N43" s="26" t="n">
        <f aca="false">IFERROR(I43/I$49,0)</f>
        <v>0</v>
      </c>
      <c r="O43" s="25" t="n">
        <f aca="false">SUM(E43:I43)</f>
        <v>0</v>
      </c>
      <c r="P43" s="26" t="n">
        <f aca="false">IFERROR(O43/O$49,0)</f>
        <v>0</v>
      </c>
      <c r="Q43" s="24" t="n">
        <f aca="false">O43*D43</f>
        <v>0</v>
      </c>
    </row>
    <row r="44" customFormat="false" ht="15" hidden="false" customHeight="false" outlineLevel="0" collapsed="false">
      <c r="A44" s="22" t="n">
        <v>38</v>
      </c>
      <c r="B44" s="22" t="s">
        <v>161</v>
      </c>
      <c r="C44" s="23" t="s">
        <v>162</v>
      </c>
      <c r="D44" s="24" t="n">
        <v>27500</v>
      </c>
      <c r="E44" s="25" t="n">
        <v>0</v>
      </c>
      <c r="F44" s="25" t="n">
        <v>0</v>
      </c>
      <c r="G44" s="25" t="n">
        <v>0</v>
      </c>
      <c r="H44" s="25" t="n">
        <v>1</v>
      </c>
      <c r="I44" s="25" t="n">
        <v>0</v>
      </c>
      <c r="J44" s="26" t="n">
        <f aca="false">IFERROR(E44/E$49,0)</f>
        <v>0</v>
      </c>
      <c r="K44" s="26" t="n">
        <f aca="false">IFERROR(F44/F$49,0)</f>
        <v>0</v>
      </c>
      <c r="L44" s="26" t="n">
        <f aca="false">IFERROR(G44/G$49,0)</f>
        <v>0</v>
      </c>
      <c r="M44" s="26" t="n">
        <f aca="false">IFERROR(H44/H$49,0)</f>
        <v>0.0010989010989011</v>
      </c>
      <c r="N44" s="26" t="n">
        <f aca="false">IFERROR(I44/I$49,0)</f>
        <v>0</v>
      </c>
      <c r="O44" s="25" t="n">
        <f aca="false">SUM(E44:I44)</f>
        <v>1</v>
      </c>
      <c r="P44" s="26" t="n">
        <f aca="false">IFERROR(O44/O$49,0)</f>
        <v>0.00023872045834328</v>
      </c>
      <c r="Q44" s="24" t="n">
        <f aca="false">O44*D44</f>
        <v>27500</v>
      </c>
    </row>
    <row r="45" customFormat="false" ht="15" hidden="false" customHeight="false" outlineLevel="0" collapsed="false">
      <c r="A45" s="22" t="n">
        <v>39</v>
      </c>
      <c r="B45" s="22" t="s">
        <v>163</v>
      </c>
      <c r="C45" s="23" t="s">
        <v>164</v>
      </c>
      <c r="D45" s="24" t="n">
        <v>27500</v>
      </c>
      <c r="E45" s="25" t="n">
        <v>0</v>
      </c>
      <c r="F45" s="25" t="n">
        <v>0</v>
      </c>
      <c r="G45" s="25" t="n">
        <v>0</v>
      </c>
      <c r="H45" s="25" t="n">
        <v>1</v>
      </c>
      <c r="I45" s="25" t="n">
        <v>0</v>
      </c>
      <c r="J45" s="26" t="n">
        <f aca="false">IFERROR(E45/E$49,0)</f>
        <v>0</v>
      </c>
      <c r="K45" s="26" t="n">
        <f aca="false">IFERROR(F45/F$49,0)</f>
        <v>0</v>
      </c>
      <c r="L45" s="26" t="n">
        <f aca="false">IFERROR(G45/G$49,0)</f>
        <v>0</v>
      </c>
      <c r="M45" s="26" t="n">
        <f aca="false">IFERROR(H45/H$49,0)</f>
        <v>0.0010989010989011</v>
      </c>
      <c r="N45" s="26" t="n">
        <f aca="false">IFERROR(I45/I$49,0)</f>
        <v>0</v>
      </c>
      <c r="O45" s="25" t="n">
        <f aca="false">SUM(E45:I45)</f>
        <v>1</v>
      </c>
      <c r="P45" s="26" t="n">
        <f aca="false">IFERROR(O45/O$49,0)</f>
        <v>0.00023872045834328</v>
      </c>
      <c r="Q45" s="24" t="n">
        <f aca="false">O45*D45</f>
        <v>27500</v>
      </c>
    </row>
    <row r="46" customFormat="false" ht="15" hidden="false" customHeight="false" outlineLevel="0" collapsed="false">
      <c r="A46" s="22" t="n">
        <v>40</v>
      </c>
      <c r="B46" s="22" t="s">
        <v>165</v>
      </c>
      <c r="C46" s="23" t="s">
        <v>166</v>
      </c>
      <c r="D46" s="24" t="n">
        <v>27500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6" t="n">
        <f aca="false">IFERROR(E46/E$49,0)</f>
        <v>0</v>
      </c>
      <c r="K46" s="26" t="n">
        <f aca="false">IFERROR(F46/F$49,0)</f>
        <v>0</v>
      </c>
      <c r="L46" s="26" t="n">
        <f aca="false">IFERROR(G46/G$49,0)</f>
        <v>0</v>
      </c>
      <c r="M46" s="26" t="n">
        <f aca="false">IFERROR(H46/H$49,0)</f>
        <v>0</v>
      </c>
      <c r="N46" s="26" t="n">
        <f aca="false">IFERROR(I46/I$49,0)</f>
        <v>0</v>
      </c>
      <c r="O46" s="25" t="n">
        <f aca="false">SUM(E46:I46)</f>
        <v>0</v>
      </c>
      <c r="P46" s="26" t="n">
        <f aca="false">IFERROR(O46/O$49,0)</f>
        <v>0</v>
      </c>
      <c r="Q46" s="24" t="n">
        <f aca="false">O46*D46</f>
        <v>0</v>
      </c>
    </row>
    <row r="47" customFormat="false" ht="15" hidden="false" customHeight="false" outlineLevel="0" collapsed="false">
      <c r="A47" s="22" t="n">
        <v>41</v>
      </c>
      <c r="B47" s="22" t="s">
        <v>167</v>
      </c>
      <c r="C47" s="23" t="s">
        <v>168</v>
      </c>
      <c r="D47" s="24" t="n">
        <v>25000</v>
      </c>
      <c r="E47" s="25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6" t="n">
        <f aca="false">IFERROR(E47/E$49,0)</f>
        <v>0</v>
      </c>
      <c r="K47" s="26" t="n">
        <f aca="false">IFERROR(F47/F$49,0)</f>
        <v>0</v>
      </c>
      <c r="L47" s="26" t="n">
        <f aca="false">IFERROR(G47/G$49,0)</f>
        <v>0</v>
      </c>
      <c r="M47" s="26" t="n">
        <f aca="false">IFERROR(H47/H$49,0)</f>
        <v>0</v>
      </c>
      <c r="N47" s="26" t="n">
        <f aca="false">IFERROR(I47/I$49,0)</f>
        <v>0</v>
      </c>
      <c r="O47" s="25" t="n">
        <f aca="false">SUM(E47:I47)</f>
        <v>0</v>
      </c>
      <c r="P47" s="26" t="n">
        <f aca="false">IFERROR(O47/O$49,0)</f>
        <v>0</v>
      </c>
      <c r="Q47" s="24" t="n">
        <f aca="false">O47*D47</f>
        <v>0</v>
      </c>
    </row>
    <row r="48" customFormat="false" ht="15" hidden="false" customHeight="false" outlineLevel="0" collapsed="false">
      <c r="A48" s="22" t="n">
        <v>42</v>
      </c>
      <c r="B48" s="22" t="s">
        <v>169</v>
      </c>
      <c r="C48" s="23" t="s">
        <v>170</v>
      </c>
      <c r="D48" s="24" t="n">
        <v>25000</v>
      </c>
      <c r="E48" s="25" t="n">
        <v>0</v>
      </c>
      <c r="F48" s="25" t="n">
        <v>0</v>
      </c>
      <c r="G48" s="25" t="n">
        <v>0</v>
      </c>
      <c r="H48" s="25" t="n">
        <v>1</v>
      </c>
      <c r="I48" s="25" t="n">
        <v>0</v>
      </c>
      <c r="J48" s="26" t="n">
        <f aca="false">IFERROR(E48/E$49,0)</f>
        <v>0</v>
      </c>
      <c r="K48" s="26" t="n">
        <f aca="false">IFERROR(F48/F$49,0)</f>
        <v>0</v>
      </c>
      <c r="L48" s="26" t="n">
        <f aca="false">IFERROR(G48/G$49,0)</f>
        <v>0</v>
      </c>
      <c r="M48" s="26" t="n">
        <f aca="false">IFERROR(H48/H$49,0)</f>
        <v>0.0010989010989011</v>
      </c>
      <c r="N48" s="26" t="n">
        <f aca="false">IFERROR(I48/I$49,0)</f>
        <v>0</v>
      </c>
      <c r="O48" s="25" t="n">
        <f aca="false">SUM(E48:I48)</f>
        <v>1</v>
      </c>
      <c r="P48" s="26" t="n">
        <f aca="false">IFERROR(O48/O$49,0)</f>
        <v>0.00023872045834328</v>
      </c>
      <c r="Q48" s="24" t="n">
        <f aca="false">O48*D48</f>
        <v>25000</v>
      </c>
    </row>
    <row r="49" customFormat="false" ht="15" hidden="false" customHeight="false" outlineLevel="0" collapsed="false">
      <c r="A49" s="28"/>
      <c r="B49" s="28"/>
      <c r="C49" s="29" t="s">
        <v>171</v>
      </c>
      <c r="D49" s="28"/>
      <c r="E49" s="30" t="n">
        <f aca="false">SUM(E7:E48)</f>
        <v>1782</v>
      </c>
      <c r="F49" s="30" t="n">
        <f aca="false">SUM(F7:F48)</f>
        <v>423</v>
      </c>
      <c r="G49" s="30" t="n">
        <f aca="false">SUM(G7:G48)</f>
        <v>519</v>
      </c>
      <c r="H49" s="30" t="n">
        <f aca="false">SUM(H7:H48)</f>
        <v>910</v>
      </c>
      <c r="I49" s="30" t="n">
        <f aca="false">SUM(I7:I48)</f>
        <v>555</v>
      </c>
      <c r="J49" s="31" t="n">
        <v>1</v>
      </c>
      <c r="K49" s="31" t="n">
        <v>1</v>
      </c>
      <c r="L49" s="31" t="n">
        <v>1</v>
      </c>
      <c r="M49" s="31" t="n">
        <v>1</v>
      </c>
      <c r="N49" s="31" t="n">
        <v>1</v>
      </c>
      <c r="O49" s="30" t="n">
        <f aca="false">SUM(O7:O48)</f>
        <v>4189</v>
      </c>
      <c r="P49" s="31" t="n">
        <v>1</v>
      </c>
      <c r="Q49" s="32" t="n">
        <f aca="false">SUM(Q7:Q48)</f>
        <v>3319200</v>
      </c>
    </row>
  </sheetData>
  <mergeCells count="7">
    <mergeCell ref="A5:A6"/>
    <mergeCell ref="B5:B6"/>
    <mergeCell ref="C5:C6"/>
    <mergeCell ref="D5:D6"/>
    <mergeCell ref="E5:I5"/>
    <mergeCell ref="J5:N5"/>
    <mergeCell ref="O5:Q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5" min="13" style="0" width="9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9" min="18" style="0" width="12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2" min="22" style="0" width="34"/>
  </cols>
  <sheetData>
    <row r="1" customFormat="false" ht="17.15" hidden="false" customHeight="false" outlineLevel="0" collapsed="false">
      <c r="A1" s="11" t="s">
        <v>192</v>
      </c>
      <c r="S1" s="40" t="s">
        <v>193</v>
      </c>
      <c r="T1" s="41" t="n">
        <v>0.453213817227809</v>
      </c>
    </row>
    <row r="2" customFormat="false" ht="15" hidden="false" customHeight="false" outlineLevel="0" collapsed="false">
      <c r="A2" s="42" t="s">
        <v>194</v>
      </c>
      <c r="S2" s="40" t="s">
        <v>195</v>
      </c>
      <c r="T2" s="43" t="n">
        <v>2.68950597639272</v>
      </c>
    </row>
    <row r="3" customFormat="false" ht="15" hidden="false" customHeight="false" outlineLevel="0" collapsed="false">
      <c r="A3" s="3" t="s">
        <v>196</v>
      </c>
      <c r="S3" s="3" t="s">
        <v>197</v>
      </c>
    </row>
    <row r="6" customFormat="false" ht="43.5" hidden="false" customHeight="true" outlineLevel="0" collapsed="false">
      <c r="A6" s="33" t="s">
        <v>74</v>
      </c>
      <c r="B6" s="33" t="s">
        <v>75</v>
      </c>
      <c r="C6" s="34" t="s">
        <v>76</v>
      </c>
      <c r="D6" s="18" t="s">
        <v>198</v>
      </c>
      <c r="E6" s="18" t="s">
        <v>199</v>
      </c>
      <c r="F6" s="18" t="s">
        <v>200</v>
      </c>
      <c r="G6" s="18" t="s">
        <v>201</v>
      </c>
      <c r="H6" s="19" t="s">
        <v>202</v>
      </c>
      <c r="I6" s="19" t="s">
        <v>203</v>
      </c>
      <c r="J6" s="20" t="s">
        <v>204</v>
      </c>
      <c r="K6" s="20" t="s">
        <v>205</v>
      </c>
      <c r="L6" s="20" t="s">
        <v>206</v>
      </c>
      <c r="M6" s="44" t="s">
        <v>207</v>
      </c>
      <c r="N6" s="44" t="s">
        <v>208</v>
      </c>
      <c r="O6" s="44" t="s">
        <v>209</v>
      </c>
      <c r="P6" s="39" t="s">
        <v>210</v>
      </c>
      <c r="Q6" s="39" t="s">
        <v>211</v>
      </c>
      <c r="R6" s="39" t="s">
        <v>212</v>
      </c>
      <c r="S6" s="39" t="s">
        <v>213</v>
      </c>
      <c r="T6" s="39" t="s">
        <v>214</v>
      </c>
      <c r="U6" s="45" t="s">
        <v>215</v>
      </c>
      <c r="V6" s="45" t="s">
        <v>216</v>
      </c>
    </row>
    <row r="7" customFormat="false" ht="25.35" hidden="false" customHeight="false" outlineLevel="0" collapsed="false">
      <c r="A7" s="22" t="n">
        <v>1</v>
      </c>
      <c r="B7" s="22" t="s">
        <v>87</v>
      </c>
      <c r="C7" s="23" t="s">
        <v>88</v>
      </c>
      <c r="D7" s="25" t="n">
        <v>205</v>
      </c>
      <c r="E7" s="25" t="n">
        <v>1000</v>
      </c>
      <c r="F7" s="26" t="n">
        <f aca="false">IFERROR(D7/E7,0)</f>
        <v>0.205</v>
      </c>
      <c r="G7" s="25" t="n">
        <f aca="false">E7-D7</f>
        <v>795</v>
      </c>
      <c r="H7" s="25" t="n">
        <v>605</v>
      </c>
      <c r="I7" s="25" t="n">
        <v>1125</v>
      </c>
      <c r="J7" s="25" t="n">
        <v>419</v>
      </c>
      <c r="K7" s="25" t="n">
        <v>781</v>
      </c>
      <c r="L7" s="25" t="n">
        <v>987</v>
      </c>
      <c r="M7" s="46" t="n">
        <f aca="false">IF(H7=0,"",I7*(1+$T$1)/H7)</f>
        <v>2.70225709815089</v>
      </c>
      <c r="N7" s="46" t="n">
        <f aca="false">IF(J7=0,"",L7/J7)</f>
        <v>2.35560859188544</v>
      </c>
      <c r="O7" s="46" t="n">
        <f aca="false">IF(COUNT(M7:N7)=0,$T$2,AVERAGE(M7:N7))</f>
        <v>2.52893284501816</v>
      </c>
      <c r="P7" s="25" t="n">
        <f aca="false">ROUND(D7*O7,0)</f>
        <v>518</v>
      </c>
      <c r="Q7" s="26" t="n">
        <f aca="false">IFERROR(P7/E7,0)</f>
        <v>0.518</v>
      </c>
      <c r="R7" s="47" t="n">
        <f aca="false">P7-E7</f>
        <v>-482</v>
      </c>
      <c r="S7" s="48" t="str">
        <f aca="false">IF(R7&gt;0,"要 追加発注",IF(Q7&gt;=0.9,"要注意(90%超)",IF(Q7&gt;=0.5,"適正","在庫余剰見込")))</f>
        <v>適正</v>
      </c>
      <c r="T7" s="25" t="n">
        <f aca="false">IF(R7&gt;0,ROUNDUP(R7*1.1,0),0)</f>
        <v>0</v>
      </c>
      <c r="U7" s="48" t="s">
        <v>217</v>
      </c>
      <c r="V7" s="49" t="s">
        <v>218</v>
      </c>
    </row>
    <row r="8" customFormat="false" ht="15" hidden="false" customHeight="false" outlineLevel="0" collapsed="false">
      <c r="A8" s="22" t="n">
        <v>2</v>
      </c>
      <c r="B8" s="22" t="s">
        <v>89</v>
      </c>
      <c r="C8" s="23" t="s">
        <v>90</v>
      </c>
      <c r="D8" s="25" t="n">
        <v>233</v>
      </c>
      <c r="E8" s="25" t="n">
        <v>1000</v>
      </c>
      <c r="F8" s="26" t="n">
        <f aca="false">IFERROR(D8/E8,0)</f>
        <v>0.233</v>
      </c>
      <c r="G8" s="25" t="n">
        <f aca="false">E8-D8</f>
        <v>767</v>
      </c>
      <c r="H8" s="25" t="n">
        <v>616</v>
      </c>
      <c r="I8" s="25" t="n">
        <v>1190</v>
      </c>
      <c r="J8" s="25" t="n">
        <v>363</v>
      </c>
      <c r="K8" s="25" t="n">
        <v>738</v>
      </c>
      <c r="L8" s="25" t="n">
        <v>898</v>
      </c>
      <c r="M8" s="46" t="n">
        <f aca="false">IF(H8=0,"",I8*(1+$T$1)/H8)</f>
        <v>2.80734487419009</v>
      </c>
      <c r="N8" s="46" t="n">
        <f aca="false">IF(J8=0,"",L8/J8)</f>
        <v>2.47382920110193</v>
      </c>
      <c r="O8" s="46" t="n">
        <f aca="false">IF(COUNT(M8:N8)=0,$T$2,AVERAGE(M8:N8))</f>
        <v>2.64058703764601</v>
      </c>
      <c r="P8" s="25" t="n">
        <f aca="false">ROUND(D8*O8,0)</f>
        <v>615</v>
      </c>
      <c r="Q8" s="26" t="n">
        <f aca="false">IFERROR(P8/E8,0)</f>
        <v>0.615</v>
      </c>
      <c r="R8" s="47" t="n">
        <f aca="false">P8-E8</f>
        <v>-385</v>
      </c>
      <c r="S8" s="48" t="str">
        <f aca="false">IF(R8&gt;0,"要 追加発注",IF(Q8&gt;=0.9,"要注意(90%超)",IF(Q8&gt;=0.5,"適正","在庫余剰見込")))</f>
        <v>適正</v>
      </c>
      <c r="T8" s="25" t="n">
        <f aca="false">IF(R8&gt;0,ROUNDUP(R8*1.1,0),0)</f>
        <v>0</v>
      </c>
      <c r="U8" s="22" t="s">
        <v>219</v>
      </c>
      <c r="V8" s="49"/>
    </row>
    <row r="9" customFormat="false" ht="15" hidden="false" customHeight="false" outlineLevel="0" collapsed="false">
      <c r="A9" s="22" t="n">
        <v>3</v>
      </c>
      <c r="B9" s="22" t="s">
        <v>91</v>
      </c>
      <c r="C9" s="23" t="s">
        <v>92</v>
      </c>
      <c r="D9" s="25" t="n">
        <v>84</v>
      </c>
      <c r="E9" s="25" t="n">
        <v>450</v>
      </c>
      <c r="F9" s="26" t="n">
        <f aca="false">IFERROR(D9/E9,0)</f>
        <v>0.186666666666667</v>
      </c>
      <c r="G9" s="25" t="n">
        <f aca="false">E9-D9</f>
        <v>366</v>
      </c>
      <c r="H9" s="25" t="n">
        <v>349</v>
      </c>
      <c r="I9" s="25" t="n">
        <v>532</v>
      </c>
      <c r="J9" s="25" t="n">
        <v>166</v>
      </c>
      <c r="K9" s="25" t="n">
        <v>317</v>
      </c>
      <c r="L9" s="25" t="n">
        <v>384</v>
      </c>
      <c r="M9" s="46" t="n">
        <f aca="false">IF(H9=0,"",I9*(1+$T$1)/H9)</f>
        <v>2.21521418557362</v>
      </c>
      <c r="N9" s="46" t="n">
        <f aca="false">IF(J9=0,"",L9/J9)</f>
        <v>2.31325301204819</v>
      </c>
      <c r="O9" s="46" t="n">
        <f aca="false">IF(COUNT(M9:N9)=0,$T$2,AVERAGE(M9:N9))</f>
        <v>2.26423359881091</v>
      </c>
      <c r="P9" s="25" t="n">
        <f aca="false">ROUND(D9*O9,0)</f>
        <v>190</v>
      </c>
      <c r="Q9" s="26" t="n">
        <f aca="false">IFERROR(P9/E9,0)</f>
        <v>0.422222222222222</v>
      </c>
      <c r="R9" s="47" t="n">
        <f aca="false">P9-E9</f>
        <v>-260</v>
      </c>
      <c r="S9" s="48" t="str">
        <f aca="false">IF(R9&gt;0,"要 追加発注",IF(Q9&gt;=0.9,"要注意(90%超)",IF(Q9&gt;=0.5,"適正","在庫余剰見込")))</f>
        <v>在庫余剰見込</v>
      </c>
      <c r="T9" s="25" t="n">
        <f aca="false">IF(R9&gt;0,ROUNDUP(R9*1.1,0),0)</f>
        <v>0</v>
      </c>
      <c r="U9" s="22" t="s">
        <v>219</v>
      </c>
      <c r="V9" s="49"/>
    </row>
    <row r="10" customFormat="false" ht="15" hidden="false" customHeight="false" outlineLevel="0" collapsed="false">
      <c r="A10" s="22" t="n">
        <v>4</v>
      </c>
      <c r="B10" s="22" t="s">
        <v>93</v>
      </c>
      <c r="C10" s="23" t="s">
        <v>94</v>
      </c>
      <c r="D10" s="25" t="n">
        <v>122</v>
      </c>
      <c r="E10" s="25" t="n">
        <v>800</v>
      </c>
      <c r="F10" s="26" t="n">
        <f aca="false">IFERROR(D10/E10,0)</f>
        <v>0.1525</v>
      </c>
      <c r="G10" s="25" t="n">
        <f aca="false">E10-D10</f>
        <v>678</v>
      </c>
      <c r="H10" s="25" t="n">
        <v>553</v>
      </c>
      <c r="I10" s="25" t="n">
        <v>817</v>
      </c>
      <c r="J10" s="25" t="n">
        <v>212</v>
      </c>
      <c r="K10" s="25" t="n">
        <v>377</v>
      </c>
      <c r="L10" s="25" t="n">
        <v>442</v>
      </c>
      <c r="M10" s="46" t="n">
        <f aca="false">IF(H10=0,"",I10*(1+$T$1)/H10)</f>
        <v>2.14697231225157</v>
      </c>
      <c r="N10" s="46" t="n">
        <f aca="false">IF(J10=0,"",L10/J10)</f>
        <v>2.08490566037736</v>
      </c>
      <c r="O10" s="46" t="n">
        <f aca="false">IF(COUNT(M10:N10)=0,$T$2,AVERAGE(M10:N10))</f>
        <v>2.11593898631447</v>
      </c>
      <c r="P10" s="25" t="n">
        <f aca="false">ROUND(D10*O10,0)</f>
        <v>258</v>
      </c>
      <c r="Q10" s="26" t="n">
        <f aca="false">IFERROR(P10/E10,0)</f>
        <v>0.3225</v>
      </c>
      <c r="R10" s="47" t="n">
        <f aca="false">P10-E10</f>
        <v>-542</v>
      </c>
      <c r="S10" s="48" t="str">
        <f aca="false">IF(R10&gt;0,"要 追加発注",IF(Q10&gt;=0.9,"要注意(90%超)",IF(Q10&gt;=0.5,"適正","在庫余剰見込")))</f>
        <v>在庫余剰見込</v>
      </c>
      <c r="T10" s="25" t="n">
        <f aca="false">IF(R10&gt;0,ROUNDUP(R10*1.1,0),0)</f>
        <v>0</v>
      </c>
      <c r="U10" s="22" t="s">
        <v>219</v>
      </c>
      <c r="V10" s="49"/>
    </row>
    <row r="11" customFormat="false" ht="25.35" hidden="false" customHeight="false" outlineLevel="0" collapsed="false">
      <c r="A11" s="22" t="n">
        <v>5</v>
      </c>
      <c r="B11" s="22" t="s">
        <v>95</v>
      </c>
      <c r="C11" s="23" t="s">
        <v>96</v>
      </c>
      <c r="D11" s="25" t="n">
        <v>247</v>
      </c>
      <c r="E11" s="25" t="n">
        <v>9000</v>
      </c>
      <c r="F11" s="26" t="n">
        <f aca="false">IFERROR(D11/E11,0)</f>
        <v>0.0274444444444444</v>
      </c>
      <c r="G11" s="25" t="n">
        <f aca="false">E11-D11</f>
        <v>8753</v>
      </c>
      <c r="H11" s="25" t="n">
        <v>5070</v>
      </c>
      <c r="I11" s="25" t="n">
        <v>9400</v>
      </c>
      <c r="J11" s="25" t="n">
        <v>2232</v>
      </c>
      <c r="K11" s="25" t="n">
        <v>3939</v>
      </c>
      <c r="L11" s="25" t="n">
        <v>6948</v>
      </c>
      <c r="M11" s="46" t="n">
        <f aca="false">IF(H11=0,"",I11*(1+$T$1)/H11)</f>
        <v>2.69432147572809</v>
      </c>
      <c r="N11" s="46" t="n">
        <f aca="false">IF(J11=0,"",L11/J11)</f>
        <v>3.11290322580645</v>
      </c>
      <c r="O11" s="46" t="n">
        <f aca="false">IF(COUNT(M11:N11)=0,$T$2,AVERAGE(M11:N11))</f>
        <v>2.90361235076727</v>
      </c>
      <c r="P11" s="25" t="n">
        <f aca="false">ROUND(D11*O11,0)</f>
        <v>717</v>
      </c>
      <c r="Q11" s="26" t="n">
        <f aca="false">IFERROR(P11/E11,0)</f>
        <v>0.0796666666666667</v>
      </c>
      <c r="R11" s="47" t="n">
        <f aca="false">P11-E11</f>
        <v>-8283</v>
      </c>
      <c r="S11" s="48" t="str">
        <f aca="false">IF(R11&gt;0,"要 追加発注",IF(Q11&gt;=0.9,"要注意(90%超)",IF(Q11&gt;=0.5,"適正","在庫余剰見込")))</f>
        <v>在庫余剰見込</v>
      </c>
      <c r="T11" s="25" t="n">
        <f aca="false">IF(R11&gt;0,ROUNDUP(R11*1.1,0),0)</f>
        <v>0</v>
      </c>
      <c r="U11" s="48" t="s">
        <v>217</v>
      </c>
      <c r="V11" s="49" t="s">
        <v>218</v>
      </c>
    </row>
    <row r="12" customFormat="false" ht="25.35" hidden="false" customHeight="false" outlineLevel="0" collapsed="false">
      <c r="A12" s="22" t="n">
        <v>6</v>
      </c>
      <c r="B12" s="22" t="s">
        <v>97</v>
      </c>
      <c r="C12" s="23" t="s">
        <v>98</v>
      </c>
      <c r="D12" s="25" t="n">
        <v>616</v>
      </c>
      <c r="E12" s="25" t="n">
        <v>13991</v>
      </c>
      <c r="F12" s="26" t="n">
        <f aca="false">IFERROR(D12/E12,0)</f>
        <v>0.0440283039096562</v>
      </c>
      <c r="G12" s="25" t="n">
        <f aca="false">E12-D12</f>
        <v>13375</v>
      </c>
      <c r="H12" s="25" t="n">
        <v>6714</v>
      </c>
      <c r="I12" s="25" t="n">
        <v>13632</v>
      </c>
      <c r="J12" s="25" t="n">
        <v>2836</v>
      </c>
      <c r="K12" s="25" t="n">
        <v>4957</v>
      </c>
      <c r="L12" s="25" t="n">
        <v>8314</v>
      </c>
      <c r="M12" s="46" t="n">
        <f aca="false">IF(H12=0,"",I12*(1+$T$1)/H12)</f>
        <v>2.95058247787452</v>
      </c>
      <c r="N12" s="46" t="n">
        <f aca="false">IF(J12=0,"",L12/J12)</f>
        <v>2.93159379407616</v>
      </c>
      <c r="O12" s="46" t="n">
        <f aca="false">IF(COUNT(M12:N12)=0,$T$2,AVERAGE(M12:N12))</f>
        <v>2.94108813597534</v>
      </c>
      <c r="P12" s="25" t="n">
        <f aca="false">ROUND(D12*O12,0)</f>
        <v>1812</v>
      </c>
      <c r="Q12" s="26" t="n">
        <f aca="false">IFERROR(P12/E12,0)</f>
        <v>0.12951182903295</v>
      </c>
      <c r="R12" s="47" t="n">
        <f aca="false">P12-E12</f>
        <v>-12179</v>
      </c>
      <c r="S12" s="48" t="str">
        <f aca="false">IF(R12&gt;0,"要 追加発注",IF(Q12&gt;=0.9,"要注意(90%超)",IF(Q12&gt;=0.5,"適正","在庫余剰見込")))</f>
        <v>在庫余剰見込</v>
      </c>
      <c r="T12" s="25" t="n">
        <f aca="false">IF(R12&gt;0,ROUNDUP(R12*1.1,0),0)</f>
        <v>0</v>
      </c>
      <c r="U12" s="48" t="s">
        <v>220</v>
      </c>
      <c r="V12" s="49" t="s">
        <v>221</v>
      </c>
    </row>
    <row r="13" customFormat="false" ht="25.35" hidden="false" customHeight="false" outlineLevel="0" collapsed="false">
      <c r="A13" s="22" t="n">
        <v>7</v>
      </c>
      <c r="B13" s="22" t="s">
        <v>99</v>
      </c>
      <c r="C13" s="23" t="s">
        <v>100</v>
      </c>
      <c r="D13" s="25" t="n">
        <v>79</v>
      </c>
      <c r="E13" s="25" t="n">
        <v>350</v>
      </c>
      <c r="F13" s="26" t="n">
        <f aca="false">IFERROR(D13/E13,0)</f>
        <v>0.225714285714286</v>
      </c>
      <c r="G13" s="25" t="n">
        <f aca="false">E13-D13</f>
        <v>271</v>
      </c>
      <c r="H13" s="25" t="n">
        <v>209</v>
      </c>
      <c r="I13" s="25" t="n">
        <v>433</v>
      </c>
      <c r="J13" s="25" t="n">
        <v>148</v>
      </c>
      <c r="K13" s="25" t="n">
        <v>276</v>
      </c>
      <c r="L13" s="25" t="n">
        <v>349</v>
      </c>
      <c r="M13" s="46" t="n">
        <f aca="false">IF(H13=0,"",I13*(1+$T$1)/H13)</f>
        <v>3.01072527684039</v>
      </c>
      <c r="N13" s="46" t="n">
        <f aca="false">IF(J13=0,"",L13/J13)</f>
        <v>2.35810810810811</v>
      </c>
      <c r="O13" s="46" t="n">
        <f aca="false">IF(COUNT(M13:N13)=0,$T$2,AVERAGE(M13:N13))</f>
        <v>2.68441669247425</v>
      </c>
      <c r="P13" s="25" t="n">
        <f aca="false">ROUND(D13*O13,0)</f>
        <v>212</v>
      </c>
      <c r="Q13" s="26" t="n">
        <f aca="false">IFERROR(P13/E13,0)</f>
        <v>0.605714285714286</v>
      </c>
      <c r="R13" s="47" t="n">
        <f aca="false">P13-E13</f>
        <v>-138</v>
      </c>
      <c r="S13" s="48" t="str">
        <f aca="false">IF(R13&gt;0,"要 追加発注",IF(Q13&gt;=0.9,"要注意(90%超)",IF(Q13&gt;=0.5,"適正","在庫余剰見込")))</f>
        <v>適正</v>
      </c>
      <c r="T13" s="25" t="n">
        <f aca="false">IF(R13&gt;0,ROUNDUP(R13*1.1,0),0)</f>
        <v>0</v>
      </c>
      <c r="U13" s="48" t="s">
        <v>217</v>
      </c>
      <c r="V13" s="49" t="s">
        <v>218</v>
      </c>
    </row>
    <row r="14" customFormat="false" ht="25.35" hidden="false" customHeight="false" outlineLevel="0" collapsed="false">
      <c r="A14" s="22" t="n">
        <v>8</v>
      </c>
      <c r="B14" s="22" t="s">
        <v>101</v>
      </c>
      <c r="C14" s="23" t="s">
        <v>102</v>
      </c>
      <c r="D14" s="25" t="n">
        <v>135</v>
      </c>
      <c r="E14" s="25" t="n">
        <v>900</v>
      </c>
      <c r="F14" s="26" t="n">
        <f aca="false">IFERROR(D14/E14,0)</f>
        <v>0.15</v>
      </c>
      <c r="G14" s="25" t="n">
        <f aca="false">E14-D14</f>
        <v>765</v>
      </c>
      <c r="H14" s="25" t="n">
        <v>432</v>
      </c>
      <c r="I14" s="25" t="n">
        <v>926</v>
      </c>
      <c r="J14" s="25" t="n">
        <v>235</v>
      </c>
      <c r="K14" s="25" t="n">
        <v>490</v>
      </c>
      <c r="L14" s="25" t="n">
        <v>608</v>
      </c>
      <c r="M14" s="46" t="n">
        <f aca="false">IF(H14=0,"",I14*(1+$T$1)/H14)</f>
        <v>3.1149907285948</v>
      </c>
      <c r="N14" s="46" t="n">
        <f aca="false">IF(J14=0,"",L14/J14)</f>
        <v>2.58723404255319</v>
      </c>
      <c r="O14" s="46" t="n">
        <f aca="false">IF(COUNT(M14:N14)=0,$T$2,AVERAGE(M14:N14))</f>
        <v>2.85111238557399</v>
      </c>
      <c r="P14" s="25" t="n">
        <f aca="false">ROUND(D14*O14,0)</f>
        <v>385</v>
      </c>
      <c r="Q14" s="26" t="n">
        <f aca="false">IFERROR(P14/E14,0)</f>
        <v>0.427777777777778</v>
      </c>
      <c r="R14" s="47" t="n">
        <f aca="false">P14-E14</f>
        <v>-515</v>
      </c>
      <c r="S14" s="48" t="str">
        <f aca="false">IF(R14&gt;0,"要 追加発注",IF(Q14&gt;=0.9,"要注意(90%超)",IF(Q14&gt;=0.5,"適正","在庫余剰見込")))</f>
        <v>在庫余剰見込</v>
      </c>
      <c r="T14" s="25" t="n">
        <f aca="false">IF(R14&gt;0,ROUNDUP(R14*1.1,0),0)</f>
        <v>0</v>
      </c>
      <c r="U14" s="48" t="s">
        <v>217</v>
      </c>
      <c r="V14" s="49" t="s">
        <v>218</v>
      </c>
    </row>
    <row r="15" customFormat="false" ht="25.35" hidden="false" customHeight="false" outlineLevel="0" collapsed="false">
      <c r="A15" s="22" t="n">
        <v>9</v>
      </c>
      <c r="B15" s="22" t="s">
        <v>103</v>
      </c>
      <c r="C15" s="23" t="s">
        <v>104</v>
      </c>
      <c r="D15" s="25" t="n">
        <v>75</v>
      </c>
      <c r="E15" s="25" t="n">
        <v>300</v>
      </c>
      <c r="F15" s="26" t="n">
        <f aca="false">IFERROR(D15/E15,0)</f>
        <v>0.25</v>
      </c>
      <c r="G15" s="25" t="n">
        <f aca="false">E15-D15</f>
        <v>225</v>
      </c>
      <c r="H15" s="25" t="n">
        <v>197</v>
      </c>
      <c r="I15" s="25" t="n">
        <v>276</v>
      </c>
      <c r="J15" s="25" t="n">
        <v>141</v>
      </c>
      <c r="K15" s="25" t="n">
        <v>238</v>
      </c>
      <c r="L15" s="25" t="n">
        <v>265</v>
      </c>
      <c r="M15" s="46" t="n">
        <f aca="false">IF(H15=0,"",I15*(1+$T$1)/H15)</f>
        <v>2.03597468809581</v>
      </c>
      <c r="N15" s="46" t="n">
        <f aca="false">IF(J15=0,"",L15/J15)</f>
        <v>1.87943262411348</v>
      </c>
      <c r="O15" s="46" t="n">
        <f aca="false">IF(COUNT(M15:N15)=0,$T$2,AVERAGE(M15:N15))</f>
        <v>1.95770365610464</v>
      </c>
      <c r="P15" s="25" t="n">
        <f aca="false">ROUND(D15*O15,0)</f>
        <v>147</v>
      </c>
      <c r="Q15" s="26" t="n">
        <f aca="false">IFERROR(P15/E15,0)</f>
        <v>0.49</v>
      </c>
      <c r="R15" s="47" t="n">
        <f aca="false">P15-E15</f>
        <v>-153</v>
      </c>
      <c r="S15" s="48" t="str">
        <f aca="false">IF(R15&gt;0,"要 追加発注",IF(Q15&gt;=0.9,"要注意(90%超)",IF(Q15&gt;=0.5,"適正","在庫余剰見込")))</f>
        <v>在庫余剰見込</v>
      </c>
      <c r="T15" s="25" t="n">
        <f aca="false">IF(R15&gt;0,ROUNDUP(R15*1.1,0),0)</f>
        <v>0</v>
      </c>
      <c r="U15" s="48" t="s">
        <v>217</v>
      </c>
      <c r="V15" s="49" t="s">
        <v>218</v>
      </c>
    </row>
    <row r="16" customFormat="false" ht="15" hidden="false" customHeight="false" outlineLevel="0" collapsed="false">
      <c r="A16" s="22" t="n">
        <v>10</v>
      </c>
      <c r="B16" s="22" t="s">
        <v>105</v>
      </c>
      <c r="C16" s="23" t="s">
        <v>106</v>
      </c>
      <c r="D16" s="25" t="n">
        <v>30</v>
      </c>
      <c r="E16" s="25" t="n">
        <v>100</v>
      </c>
      <c r="F16" s="26" t="n">
        <f aca="false">IFERROR(D16/E16,0)</f>
        <v>0.3</v>
      </c>
      <c r="G16" s="25" t="n">
        <f aca="false">E16-D16</f>
        <v>70</v>
      </c>
      <c r="H16" s="25" t="n">
        <v>78</v>
      </c>
      <c r="I16" s="25" t="n">
        <v>118</v>
      </c>
      <c r="J16" s="25" t="n">
        <v>65</v>
      </c>
      <c r="K16" s="25" t="n">
        <v>99</v>
      </c>
      <c r="L16" s="25" t="n">
        <v>108</v>
      </c>
      <c r="M16" s="46" t="n">
        <f aca="false">IF(H16=0,"",I16*(1+$T$1)/H16)</f>
        <v>2.19845167221643</v>
      </c>
      <c r="N16" s="46" t="n">
        <f aca="false">IF(J16=0,"",L16/J16)</f>
        <v>1.66153846153846</v>
      </c>
      <c r="O16" s="46" t="n">
        <f aca="false">IF(COUNT(M16:N16)=0,$T$2,AVERAGE(M16:N16))</f>
        <v>1.92999506687745</v>
      </c>
      <c r="P16" s="25" t="n">
        <f aca="false">ROUND(D16*O16,0)</f>
        <v>58</v>
      </c>
      <c r="Q16" s="26" t="n">
        <f aca="false">IFERROR(P16/E16,0)</f>
        <v>0.58</v>
      </c>
      <c r="R16" s="47" t="n">
        <f aca="false">P16-E16</f>
        <v>-42</v>
      </c>
      <c r="S16" s="48" t="str">
        <f aca="false">IF(R16&gt;0,"要 追加発注",IF(Q16&gt;=0.9,"要注意(90%超)",IF(Q16&gt;=0.5,"適正","在庫余剰見込")))</f>
        <v>適正</v>
      </c>
      <c r="T16" s="25" t="n">
        <f aca="false">IF(R16&gt;0,ROUNDUP(R16*1.1,0),0)</f>
        <v>0</v>
      </c>
      <c r="U16" s="22" t="s">
        <v>219</v>
      </c>
      <c r="V16" s="49"/>
    </row>
    <row r="17" customFormat="false" ht="25.35" hidden="false" customHeight="false" outlineLevel="0" collapsed="false">
      <c r="A17" s="22" t="n">
        <v>11</v>
      </c>
      <c r="B17" s="22" t="s">
        <v>107</v>
      </c>
      <c r="C17" s="23" t="s">
        <v>108</v>
      </c>
      <c r="D17" s="25" t="n">
        <v>8</v>
      </c>
      <c r="E17" s="25" t="n">
        <v>50</v>
      </c>
      <c r="F17" s="26" t="n">
        <f aca="false">IFERROR(D17/E17,0)</f>
        <v>0.16</v>
      </c>
      <c r="G17" s="25" t="n">
        <f aca="false">E17-D17</f>
        <v>42</v>
      </c>
      <c r="H17" s="25" t="n">
        <v>8</v>
      </c>
      <c r="I17" s="25" t="n">
        <v>22</v>
      </c>
      <c r="J17" s="25" t="n">
        <v>10</v>
      </c>
      <c r="K17" s="25" t="n">
        <v>28</v>
      </c>
      <c r="L17" s="25" t="n">
        <v>30</v>
      </c>
      <c r="M17" s="46" t="n">
        <f aca="false">IF(H17=0,"",I17*(1+$T$1)/H17)</f>
        <v>3.99633799737648</v>
      </c>
      <c r="N17" s="46" t="n">
        <f aca="false">IF(J17=0,"",L17/J17)</f>
        <v>3</v>
      </c>
      <c r="O17" s="46" t="n">
        <f aca="false">IF(COUNT(M17:N17)=0,$T$2,AVERAGE(M17:N17))</f>
        <v>3.49816899868824</v>
      </c>
      <c r="P17" s="25" t="n">
        <f aca="false">ROUND(D17*O17,0)</f>
        <v>28</v>
      </c>
      <c r="Q17" s="26" t="n">
        <f aca="false">IFERROR(P17/E17,0)</f>
        <v>0.56</v>
      </c>
      <c r="R17" s="47" t="n">
        <f aca="false">P17-E17</f>
        <v>-22</v>
      </c>
      <c r="S17" s="48" t="str">
        <f aca="false">IF(R17&gt;0,"要 追加発注",IF(Q17&gt;=0.9,"要注意(90%超)",IF(Q17&gt;=0.5,"適正","在庫余剰見込")))</f>
        <v>適正</v>
      </c>
      <c r="T17" s="25" t="n">
        <f aca="false">IF(R17&gt;0,ROUNDUP(R17*1.1,0),0)</f>
        <v>0</v>
      </c>
      <c r="U17" s="48" t="s">
        <v>217</v>
      </c>
      <c r="V17" s="49" t="s">
        <v>218</v>
      </c>
    </row>
    <row r="18" customFormat="false" ht="15" hidden="false" customHeight="false" outlineLevel="0" collapsed="false">
      <c r="A18" s="22" t="n">
        <v>12</v>
      </c>
      <c r="B18" s="22" t="s">
        <v>109</v>
      </c>
      <c r="C18" s="23" t="s">
        <v>110</v>
      </c>
      <c r="D18" s="25" t="n">
        <v>12</v>
      </c>
      <c r="E18" s="25" t="n">
        <v>50</v>
      </c>
      <c r="F18" s="26" t="n">
        <f aca="false">IFERROR(D18/E18,0)</f>
        <v>0.24</v>
      </c>
      <c r="G18" s="25" t="n">
        <f aca="false">E18-D18</f>
        <v>38</v>
      </c>
      <c r="H18" s="25" t="n">
        <v>33</v>
      </c>
      <c r="I18" s="25" t="n">
        <v>52</v>
      </c>
      <c r="J18" s="25" t="n">
        <v>13</v>
      </c>
      <c r="K18" s="25" t="n">
        <v>35</v>
      </c>
      <c r="L18" s="25" t="n">
        <v>43</v>
      </c>
      <c r="M18" s="46" t="n">
        <f aca="false">IF(H18=0,"",I18*(1+$T$1)/H18)</f>
        <v>2.28991268169231</v>
      </c>
      <c r="N18" s="46" t="n">
        <f aca="false">IF(J18=0,"",L18/J18)</f>
        <v>3.30769230769231</v>
      </c>
      <c r="O18" s="46" t="n">
        <f aca="false">IF(COUNT(M18:N18)=0,$T$2,AVERAGE(M18:N18))</f>
        <v>2.79880249469231</v>
      </c>
      <c r="P18" s="25" t="n">
        <f aca="false">ROUND(D18*O18,0)</f>
        <v>34</v>
      </c>
      <c r="Q18" s="26" t="n">
        <f aca="false">IFERROR(P18/E18,0)</f>
        <v>0.68</v>
      </c>
      <c r="R18" s="47" t="n">
        <f aca="false">P18-E18</f>
        <v>-16</v>
      </c>
      <c r="S18" s="48" t="str">
        <f aca="false">IF(R18&gt;0,"要 追加発注",IF(Q18&gt;=0.9,"要注意(90%超)",IF(Q18&gt;=0.5,"適正","在庫余剰見込")))</f>
        <v>適正</v>
      </c>
      <c r="T18" s="25" t="n">
        <f aca="false">IF(R18&gt;0,ROUNDUP(R18*1.1,0),0)</f>
        <v>0</v>
      </c>
      <c r="U18" s="22" t="s">
        <v>219</v>
      </c>
      <c r="V18" s="49"/>
    </row>
    <row r="19" customFormat="false" ht="15" hidden="false" customHeight="false" outlineLevel="0" collapsed="false">
      <c r="A19" s="22" t="n">
        <v>13</v>
      </c>
      <c r="B19" s="22" t="s">
        <v>111</v>
      </c>
      <c r="C19" s="23" t="s">
        <v>112</v>
      </c>
      <c r="D19" s="25" t="n">
        <v>3</v>
      </c>
      <c r="E19" s="25" t="n">
        <v>50</v>
      </c>
      <c r="F19" s="26" t="n">
        <f aca="false">IFERROR(D19/E19,0)</f>
        <v>0.06</v>
      </c>
      <c r="G19" s="25" t="n">
        <f aca="false">E19-D19</f>
        <v>47</v>
      </c>
      <c r="H19" s="25" t="n">
        <v>6</v>
      </c>
      <c r="I19" s="25" t="n">
        <v>14</v>
      </c>
      <c r="J19" s="25" t="n">
        <v>6</v>
      </c>
      <c r="K19" s="25" t="n">
        <v>16</v>
      </c>
      <c r="L19" s="25" t="n">
        <v>18</v>
      </c>
      <c r="M19" s="46" t="n">
        <f aca="false">IF(H19=0,"",I19*(1+$T$1)/H19)</f>
        <v>3.39083224019822</v>
      </c>
      <c r="N19" s="46" t="n">
        <f aca="false">IF(J19=0,"",L19/J19)</f>
        <v>3</v>
      </c>
      <c r="O19" s="46" t="n">
        <f aca="false">IF(COUNT(M19:N19)=0,$T$2,AVERAGE(M19:N19))</f>
        <v>3.19541612009911</v>
      </c>
      <c r="P19" s="25" t="n">
        <f aca="false">ROUND(D19*O19,0)</f>
        <v>10</v>
      </c>
      <c r="Q19" s="26" t="n">
        <f aca="false">IFERROR(P19/E19,0)</f>
        <v>0.2</v>
      </c>
      <c r="R19" s="47" t="n">
        <f aca="false">P19-E19</f>
        <v>-40</v>
      </c>
      <c r="S19" s="48" t="str">
        <f aca="false">IF(R19&gt;0,"要 追加発注",IF(Q19&gt;=0.9,"要注意(90%超)",IF(Q19&gt;=0.5,"適正","在庫余剰見込")))</f>
        <v>在庫余剰見込</v>
      </c>
      <c r="T19" s="25" t="n">
        <f aca="false">IF(R19&gt;0,ROUNDUP(R19*1.1,0),0)</f>
        <v>0</v>
      </c>
      <c r="U19" s="22" t="s">
        <v>219</v>
      </c>
      <c r="V19" s="49"/>
    </row>
    <row r="20" customFormat="false" ht="25.35" hidden="false" customHeight="false" outlineLevel="0" collapsed="false">
      <c r="A20" s="22" t="n">
        <v>14</v>
      </c>
      <c r="B20" s="22" t="s">
        <v>113</v>
      </c>
      <c r="C20" s="23" t="s">
        <v>114</v>
      </c>
      <c r="D20" s="25" t="n">
        <v>17</v>
      </c>
      <c r="E20" s="25" t="n">
        <v>50</v>
      </c>
      <c r="F20" s="26" t="n">
        <f aca="false">IFERROR(D20/E20,0)</f>
        <v>0.34</v>
      </c>
      <c r="G20" s="25" t="n">
        <f aca="false">E20-D20</f>
        <v>33</v>
      </c>
      <c r="H20" s="25" t="n">
        <v>36</v>
      </c>
      <c r="I20" s="25" t="n">
        <v>60</v>
      </c>
      <c r="J20" s="25" t="n">
        <v>30</v>
      </c>
      <c r="K20" s="25" t="n">
        <v>54</v>
      </c>
      <c r="L20" s="25" t="n">
        <v>62</v>
      </c>
      <c r="M20" s="46" t="n">
        <f aca="false">IF(H20=0,"",I20*(1+$T$1)/H20)</f>
        <v>2.42202302871302</v>
      </c>
      <c r="N20" s="46" t="n">
        <f aca="false">IF(J20=0,"",L20/J20)</f>
        <v>2.06666666666667</v>
      </c>
      <c r="O20" s="46" t="n">
        <f aca="false">IF(COUNT(M20:N20)=0,$T$2,AVERAGE(M20:N20))</f>
        <v>2.24434484768984</v>
      </c>
      <c r="P20" s="25" t="n">
        <f aca="false">ROUND(D20*O20,0)</f>
        <v>38</v>
      </c>
      <c r="Q20" s="26" t="n">
        <f aca="false">IFERROR(P20/E20,0)</f>
        <v>0.76</v>
      </c>
      <c r="R20" s="47" t="n">
        <f aca="false">P20-E20</f>
        <v>-12</v>
      </c>
      <c r="S20" s="48" t="str">
        <f aca="false">IF(R20&gt;0,"要 追加発注",IF(Q20&gt;=0.9,"要注意(90%超)",IF(Q20&gt;=0.5,"適正","在庫余剰見込")))</f>
        <v>適正</v>
      </c>
      <c r="T20" s="25" t="n">
        <f aca="false">IF(R20&gt;0,ROUNDUP(R20*1.1,0),0)</f>
        <v>0</v>
      </c>
      <c r="U20" s="48" t="s">
        <v>217</v>
      </c>
      <c r="V20" s="49" t="s">
        <v>218</v>
      </c>
    </row>
    <row r="21" customFormat="false" ht="25.35" hidden="false" customHeight="false" outlineLevel="0" collapsed="false">
      <c r="A21" s="22" t="n">
        <v>15</v>
      </c>
      <c r="B21" s="22" t="s">
        <v>115</v>
      </c>
      <c r="C21" s="23" t="s">
        <v>116</v>
      </c>
      <c r="D21" s="25" t="n">
        <v>29</v>
      </c>
      <c r="E21" s="25" t="n">
        <v>100</v>
      </c>
      <c r="F21" s="26" t="n">
        <f aca="false">IFERROR(D21/E21,0)</f>
        <v>0.29</v>
      </c>
      <c r="G21" s="25" t="n">
        <f aca="false">E21-D21</f>
        <v>71</v>
      </c>
      <c r="H21" s="25" t="n">
        <v>49</v>
      </c>
      <c r="I21" s="25" t="n">
        <v>85</v>
      </c>
      <c r="J21" s="25" t="n">
        <v>33</v>
      </c>
      <c r="K21" s="25" t="n">
        <v>71</v>
      </c>
      <c r="L21" s="25" t="n">
        <v>91</v>
      </c>
      <c r="M21" s="46" t="n">
        <f aca="false">IF(H21=0,"",I21*(1+$T$1)/H21)</f>
        <v>2.52088111151763</v>
      </c>
      <c r="N21" s="46" t="n">
        <f aca="false">IF(J21=0,"",L21/J21)</f>
        <v>2.75757575757576</v>
      </c>
      <c r="O21" s="46" t="n">
        <f aca="false">IF(COUNT(M21:N21)=0,$T$2,AVERAGE(M21:N21))</f>
        <v>2.63922843454669</v>
      </c>
      <c r="P21" s="25" t="n">
        <f aca="false">ROUND(D21*O21,0)</f>
        <v>77</v>
      </c>
      <c r="Q21" s="26" t="n">
        <f aca="false">IFERROR(P21/E21,0)</f>
        <v>0.77</v>
      </c>
      <c r="R21" s="47" t="n">
        <f aca="false">P21-E21</f>
        <v>-23</v>
      </c>
      <c r="S21" s="48" t="str">
        <f aca="false">IF(R21&gt;0,"要 追加発注",IF(Q21&gt;=0.9,"要注意(90%超)",IF(Q21&gt;=0.5,"適正","在庫余剰見込")))</f>
        <v>適正</v>
      </c>
      <c r="T21" s="25" t="n">
        <f aca="false">IF(R21&gt;0,ROUNDUP(R21*1.1,0),0)</f>
        <v>0</v>
      </c>
      <c r="U21" s="48" t="s">
        <v>217</v>
      </c>
      <c r="V21" s="49" t="s">
        <v>218</v>
      </c>
    </row>
    <row r="22" customFormat="false" ht="25.35" hidden="false" customHeight="false" outlineLevel="0" collapsed="false">
      <c r="A22" s="22" t="n">
        <v>16</v>
      </c>
      <c r="B22" s="22" t="s">
        <v>117</v>
      </c>
      <c r="C22" s="23" t="s">
        <v>118</v>
      </c>
      <c r="D22" s="25" t="n">
        <v>3</v>
      </c>
      <c r="E22" s="25" t="n">
        <v>50</v>
      </c>
      <c r="F22" s="26" t="n">
        <f aca="false">IFERROR(D22/E22,0)</f>
        <v>0.06</v>
      </c>
      <c r="G22" s="25" t="n">
        <f aca="false">E22-D22</f>
        <v>47</v>
      </c>
      <c r="H22" s="25" t="n">
        <v>13</v>
      </c>
      <c r="I22" s="25" t="n">
        <v>24</v>
      </c>
      <c r="J22" s="25" t="n">
        <v>9</v>
      </c>
      <c r="K22" s="25" t="n">
        <v>21</v>
      </c>
      <c r="L22" s="25" t="n">
        <v>26</v>
      </c>
      <c r="M22" s="46" t="n">
        <f aca="false">IF(H22=0,"",I22*(1+$T$1)/H22)</f>
        <v>2.68285627795903</v>
      </c>
      <c r="N22" s="46" t="n">
        <f aca="false">IF(J22=0,"",L22/J22)</f>
        <v>2.88888888888889</v>
      </c>
      <c r="O22" s="46" t="n">
        <f aca="false">IF(COUNT(M22:N22)=0,$T$2,AVERAGE(M22:N22))</f>
        <v>2.78587258342396</v>
      </c>
      <c r="P22" s="25" t="n">
        <f aca="false">ROUND(D22*O22,0)</f>
        <v>8</v>
      </c>
      <c r="Q22" s="26" t="n">
        <f aca="false">IFERROR(P22/E22,0)</f>
        <v>0.16</v>
      </c>
      <c r="R22" s="47" t="n">
        <f aca="false">P22-E22</f>
        <v>-42</v>
      </c>
      <c r="S22" s="48" t="str">
        <f aca="false">IF(R22&gt;0,"要 追加発注",IF(Q22&gt;=0.9,"要注意(90%超)",IF(Q22&gt;=0.5,"適正","在庫余剰見込")))</f>
        <v>在庫余剰見込</v>
      </c>
      <c r="T22" s="25" t="n">
        <f aca="false">IF(R22&gt;0,ROUNDUP(R22*1.1,0),0)</f>
        <v>0</v>
      </c>
      <c r="U22" s="48" t="s">
        <v>217</v>
      </c>
      <c r="V22" s="49" t="s">
        <v>218</v>
      </c>
    </row>
    <row r="23" customFormat="false" ht="25.35" hidden="false" customHeight="false" outlineLevel="0" collapsed="false">
      <c r="A23" s="22" t="n">
        <v>17</v>
      </c>
      <c r="B23" s="22" t="s">
        <v>119</v>
      </c>
      <c r="C23" s="23" t="s">
        <v>120</v>
      </c>
      <c r="D23" s="25" t="n">
        <v>39</v>
      </c>
      <c r="E23" s="25" t="n">
        <v>100</v>
      </c>
      <c r="F23" s="26" t="n">
        <f aca="false">IFERROR(D23/E23,0)</f>
        <v>0.39</v>
      </c>
      <c r="G23" s="25" t="n">
        <f aca="false">E23-D23</f>
        <v>61</v>
      </c>
      <c r="H23" s="25" t="n">
        <v>62</v>
      </c>
      <c r="I23" s="25" t="n">
        <v>100</v>
      </c>
      <c r="J23" s="25" t="n">
        <v>41</v>
      </c>
      <c r="K23" s="25" t="n">
        <v>70</v>
      </c>
      <c r="L23" s="25" t="n">
        <v>94</v>
      </c>
      <c r="M23" s="46" t="n">
        <f aca="false">IF(H23=0,"",I23*(1+$T$1)/H23)</f>
        <v>2.34389325359324</v>
      </c>
      <c r="N23" s="46" t="n">
        <f aca="false">IF(J23=0,"",L23/J23)</f>
        <v>2.29268292682927</v>
      </c>
      <c r="O23" s="46" t="n">
        <f aca="false">IF(COUNT(M23:N23)=0,$T$2,AVERAGE(M23:N23))</f>
        <v>2.31828809021125</v>
      </c>
      <c r="P23" s="25" t="n">
        <f aca="false">ROUND(D23*O23,0)</f>
        <v>90</v>
      </c>
      <c r="Q23" s="26" t="n">
        <f aca="false">IFERROR(P23/E23,0)</f>
        <v>0.9</v>
      </c>
      <c r="R23" s="47" t="n">
        <f aca="false">P23-E23</f>
        <v>-10</v>
      </c>
      <c r="S23" s="48" t="str">
        <f aca="false">IF(R23&gt;0,"要 追加発注",IF(Q23&gt;=0.9,"要注意(90%超)",IF(Q23&gt;=0.5,"適正","在庫余剰見込")))</f>
        <v>要注意(90%超)</v>
      </c>
      <c r="T23" s="25" t="n">
        <f aca="false">IF(R23&gt;0,ROUNDUP(R23*1.1,0),0)</f>
        <v>0</v>
      </c>
      <c r="U23" s="48" t="s">
        <v>217</v>
      </c>
      <c r="V23" s="49" t="s">
        <v>218</v>
      </c>
    </row>
    <row r="24" customFormat="false" ht="25.35" hidden="false" customHeight="false" outlineLevel="0" collapsed="false">
      <c r="A24" s="22" t="n">
        <v>18</v>
      </c>
      <c r="B24" s="22" t="s">
        <v>121</v>
      </c>
      <c r="C24" s="23" t="s">
        <v>122</v>
      </c>
      <c r="D24" s="25" t="n">
        <v>224</v>
      </c>
      <c r="E24" s="25" t="n">
        <v>1500</v>
      </c>
      <c r="F24" s="26" t="n">
        <f aca="false">IFERROR(D24/E24,0)</f>
        <v>0.149333333333333</v>
      </c>
      <c r="G24" s="25" t="n">
        <f aca="false">E24-D24</f>
        <v>1276</v>
      </c>
      <c r="H24" s="25" t="n">
        <v>638</v>
      </c>
      <c r="I24" s="25" t="n">
        <v>1029</v>
      </c>
      <c r="J24" s="25" t="n">
        <v>386</v>
      </c>
      <c r="K24" s="25" t="n">
        <v>644</v>
      </c>
      <c r="L24" s="25" t="n">
        <v>743</v>
      </c>
      <c r="M24" s="46" t="n">
        <f aca="false">IF(H24=0,"",I24*(1+$T$1)/H24)</f>
        <v>2.3438197773157</v>
      </c>
      <c r="N24" s="46" t="n">
        <f aca="false">IF(J24=0,"",L24/J24)</f>
        <v>1.92487046632124</v>
      </c>
      <c r="O24" s="46" t="n">
        <f aca="false">IF(COUNT(M24:N24)=0,$T$2,AVERAGE(M24:N24))</f>
        <v>2.13434512181847</v>
      </c>
      <c r="P24" s="25" t="n">
        <f aca="false">ROUND(D24*O24,0)</f>
        <v>478</v>
      </c>
      <c r="Q24" s="26" t="n">
        <f aca="false">IFERROR(P24/E24,0)</f>
        <v>0.318666666666667</v>
      </c>
      <c r="R24" s="47" t="n">
        <f aca="false">P24-E24</f>
        <v>-1022</v>
      </c>
      <c r="S24" s="48" t="str">
        <f aca="false">IF(R24&gt;0,"要 追加発注",IF(Q24&gt;=0.9,"要注意(90%超)",IF(Q24&gt;=0.5,"適正","在庫余剰見込")))</f>
        <v>在庫余剰見込</v>
      </c>
      <c r="T24" s="25" t="n">
        <f aca="false">IF(R24&gt;0,ROUNDUP(R24*1.1,0),0)</f>
        <v>0</v>
      </c>
      <c r="U24" s="48" t="s">
        <v>217</v>
      </c>
      <c r="V24" s="49" t="s">
        <v>218</v>
      </c>
    </row>
    <row r="25" customFormat="false" ht="25.35" hidden="false" customHeight="false" outlineLevel="0" collapsed="false">
      <c r="A25" s="22" t="n">
        <v>19</v>
      </c>
      <c r="B25" s="22" t="s">
        <v>123</v>
      </c>
      <c r="C25" s="23" t="s">
        <v>124</v>
      </c>
      <c r="D25" s="25" t="n">
        <v>8</v>
      </c>
      <c r="E25" s="25" t="n">
        <v>50</v>
      </c>
      <c r="F25" s="26" t="n">
        <f aca="false">IFERROR(D25/E25,0)</f>
        <v>0.16</v>
      </c>
      <c r="G25" s="25" t="n">
        <f aca="false">E25-D25</f>
        <v>42</v>
      </c>
      <c r="H25" s="25" t="n">
        <v>19</v>
      </c>
      <c r="I25" s="25" t="n">
        <v>23</v>
      </c>
      <c r="J25" s="25" t="n">
        <v>8</v>
      </c>
      <c r="K25" s="25" t="n">
        <v>19</v>
      </c>
      <c r="L25" s="25" t="n">
        <v>19</v>
      </c>
      <c r="M25" s="46" t="n">
        <f aca="false">IF(H25=0,"",I25*(1+$T$1)/H25)</f>
        <v>1.75915356822314</v>
      </c>
      <c r="N25" s="46" t="n">
        <f aca="false">IF(J25=0,"",L25/J25)</f>
        <v>2.375</v>
      </c>
      <c r="O25" s="46" t="n">
        <f aca="false">IF(COUNT(M25:N25)=0,$T$2,AVERAGE(M25:N25))</f>
        <v>2.06707678411157</v>
      </c>
      <c r="P25" s="25" t="n">
        <f aca="false">ROUND(D25*O25,0)</f>
        <v>17</v>
      </c>
      <c r="Q25" s="26" t="n">
        <f aca="false">IFERROR(P25/E25,0)</f>
        <v>0.34</v>
      </c>
      <c r="R25" s="47" t="n">
        <f aca="false">P25-E25</f>
        <v>-33</v>
      </c>
      <c r="S25" s="48" t="str">
        <f aca="false">IF(R25&gt;0,"要 追加発注",IF(Q25&gt;=0.9,"要注意(90%超)",IF(Q25&gt;=0.5,"適正","在庫余剰見込")))</f>
        <v>在庫余剰見込</v>
      </c>
      <c r="T25" s="25" t="n">
        <f aca="false">IF(R25&gt;0,ROUNDUP(R25*1.1,0),0)</f>
        <v>0</v>
      </c>
      <c r="U25" s="48" t="s">
        <v>217</v>
      </c>
      <c r="V25" s="49" t="s">
        <v>218</v>
      </c>
    </row>
    <row r="26" customFormat="false" ht="25.35" hidden="false" customHeight="false" outlineLevel="0" collapsed="false">
      <c r="A26" s="22" t="n">
        <v>20</v>
      </c>
      <c r="B26" s="22" t="s">
        <v>125</v>
      </c>
      <c r="C26" s="23" t="s">
        <v>126</v>
      </c>
      <c r="D26" s="25" t="n">
        <v>5</v>
      </c>
      <c r="E26" s="25" t="n">
        <v>30</v>
      </c>
      <c r="F26" s="26" t="n">
        <f aca="false">IFERROR(D26/E26,0)</f>
        <v>0.166666666666667</v>
      </c>
      <c r="G26" s="25" t="n">
        <f aca="false">E26-D26</f>
        <v>25</v>
      </c>
      <c r="H26" s="25" t="n">
        <v>10</v>
      </c>
      <c r="I26" s="25" t="n">
        <v>18</v>
      </c>
      <c r="J26" s="25" t="n">
        <v>7</v>
      </c>
      <c r="K26" s="25" t="n">
        <v>15</v>
      </c>
      <c r="L26" s="25" t="n">
        <v>15</v>
      </c>
      <c r="M26" s="46" t="n">
        <f aca="false">IF(H26=0,"",I26*(1+$T$1)/H26)</f>
        <v>2.61578487101006</v>
      </c>
      <c r="N26" s="46" t="n">
        <f aca="false">IF(J26=0,"",L26/J26)</f>
        <v>2.14285714285714</v>
      </c>
      <c r="O26" s="46" t="n">
        <f aca="false">IF(COUNT(M26:N26)=0,$T$2,AVERAGE(M26:N26))</f>
        <v>2.3793210069336</v>
      </c>
      <c r="P26" s="25" t="n">
        <f aca="false">ROUND(D26*O26,0)</f>
        <v>12</v>
      </c>
      <c r="Q26" s="26" t="n">
        <f aca="false">IFERROR(P26/E26,0)</f>
        <v>0.4</v>
      </c>
      <c r="R26" s="47" t="n">
        <f aca="false">P26-E26</f>
        <v>-18</v>
      </c>
      <c r="S26" s="48" t="str">
        <f aca="false">IF(R26&gt;0,"要 追加発注",IF(Q26&gt;=0.9,"要注意(90%超)",IF(Q26&gt;=0.5,"適正","在庫余剰見込")))</f>
        <v>在庫余剰見込</v>
      </c>
      <c r="T26" s="25" t="n">
        <f aca="false">IF(R26&gt;0,ROUNDUP(R26*1.1,0),0)</f>
        <v>0</v>
      </c>
      <c r="U26" s="48" t="s">
        <v>217</v>
      </c>
      <c r="V26" s="49" t="s">
        <v>218</v>
      </c>
    </row>
    <row r="27" customFormat="false" ht="25.35" hidden="false" customHeight="false" outlineLevel="0" collapsed="false">
      <c r="A27" s="22" t="n">
        <v>21</v>
      </c>
      <c r="B27" s="22" t="s">
        <v>127</v>
      </c>
      <c r="C27" s="23" t="s">
        <v>128</v>
      </c>
      <c r="D27" s="25" t="n">
        <v>40</v>
      </c>
      <c r="E27" s="25" t="n">
        <v>50</v>
      </c>
      <c r="F27" s="26" t="n">
        <f aca="false">IFERROR(D27/E27,0)</f>
        <v>0.8</v>
      </c>
      <c r="G27" s="25" t="n">
        <f aca="false">E27-D27</f>
        <v>10</v>
      </c>
      <c r="H27" s="25" t="n">
        <v>73</v>
      </c>
      <c r="I27" s="25" t="n">
        <v>139</v>
      </c>
      <c r="J27" s="25" t="n">
        <v>63</v>
      </c>
      <c r="K27" s="25" t="n">
        <v>116</v>
      </c>
      <c r="L27" s="25" t="n">
        <v>139</v>
      </c>
      <c r="M27" s="46" t="n">
        <f aca="false">IF(H27=0,"",I27*(1+$T$1)/H27)</f>
        <v>2.76707836431049</v>
      </c>
      <c r="N27" s="46" t="n">
        <f aca="false">IF(J27=0,"",L27/J27)</f>
        <v>2.20634920634921</v>
      </c>
      <c r="O27" s="46" t="n">
        <f aca="false">IF(COUNT(M27:N27)=0,$T$2,AVERAGE(M27:N27))</f>
        <v>2.48671378532985</v>
      </c>
      <c r="P27" s="25" t="n">
        <f aca="false">ROUND(D27*O27,0)</f>
        <v>99</v>
      </c>
      <c r="Q27" s="26" t="n">
        <f aca="false">IFERROR(P27/E27,0)</f>
        <v>1.98</v>
      </c>
      <c r="R27" s="47" t="n">
        <f aca="false">P27-E27</f>
        <v>49</v>
      </c>
      <c r="S27" s="48" t="str">
        <f aca="false">IF(R27&gt;0,"要 追加発注",IF(Q27&gt;=0.9,"要注意(90%超)",IF(Q27&gt;=0.5,"適正","在庫余剰見込")))</f>
        <v>要 追加発注</v>
      </c>
      <c r="T27" s="25" t="n">
        <f aca="false">IF(R27&gt;0,ROUNDUP(R27*1.1,0),0)</f>
        <v>54</v>
      </c>
      <c r="U27" s="48" t="s">
        <v>220</v>
      </c>
      <c r="V27" s="49" t="s">
        <v>221</v>
      </c>
    </row>
    <row r="28" customFormat="false" ht="25.35" hidden="false" customHeight="false" outlineLevel="0" collapsed="false">
      <c r="A28" s="22" t="n">
        <v>22</v>
      </c>
      <c r="B28" s="22" t="s">
        <v>129</v>
      </c>
      <c r="C28" s="23" t="s">
        <v>130</v>
      </c>
      <c r="D28" s="25" t="n">
        <v>14</v>
      </c>
      <c r="E28" s="25" t="n">
        <v>50</v>
      </c>
      <c r="F28" s="26" t="n">
        <f aca="false">IFERROR(D28/E28,0)</f>
        <v>0.28</v>
      </c>
      <c r="G28" s="25" t="n">
        <f aca="false">E28-D28</f>
        <v>36</v>
      </c>
      <c r="H28" s="25" t="n">
        <v>35</v>
      </c>
      <c r="I28" s="25" t="n">
        <v>80</v>
      </c>
      <c r="J28" s="25" t="n">
        <v>20</v>
      </c>
      <c r="K28" s="25" t="n">
        <v>59</v>
      </c>
      <c r="L28" s="25" t="n">
        <v>77</v>
      </c>
      <c r="M28" s="46" t="n">
        <f aca="false">IF(H28=0,"",I28*(1+$T$1)/H28)</f>
        <v>3.32163158223499</v>
      </c>
      <c r="N28" s="46" t="n">
        <f aca="false">IF(J28=0,"",L28/J28)</f>
        <v>3.85</v>
      </c>
      <c r="O28" s="46" t="n">
        <f aca="false">IF(COUNT(M28:N28)=0,$T$2,AVERAGE(M28:N28))</f>
        <v>3.5858157911175</v>
      </c>
      <c r="P28" s="25" t="n">
        <f aca="false">ROUND(D28*O28,0)</f>
        <v>50</v>
      </c>
      <c r="Q28" s="26" t="n">
        <f aca="false">IFERROR(P28/E28,0)</f>
        <v>1</v>
      </c>
      <c r="R28" s="47" t="n">
        <f aca="false">P28-E28</f>
        <v>0</v>
      </c>
      <c r="S28" s="48" t="str">
        <f aca="false">IF(R28&gt;0,"要 追加発注",IF(Q28&gt;=0.9,"要注意(90%超)",IF(Q28&gt;=0.5,"適正","在庫余剰見込")))</f>
        <v>要注意(90%超)</v>
      </c>
      <c r="T28" s="25" t="n">
        <f aca="false">IF(R28&gt;0,ROUNDUP(R28*1.1,0),0)</f>
        <v>0</v>
      </c>
      <c r="U28" s="48" t="s">
        <v>217</v>
      </c>
      <c r="V28" s="49" t="s">
        <v>218</v>
      </c>
    </row>
    <row r="29" customFormat="false" ht="15" hidden="false" customHeight="false" outlineLevel="0" collapsed="false">
      <c r="A29" s="22" t="n">
        <v>23</v>
      </c>
      <c r="B29" s="22" t="s">
        <v>131</v>
      </c>
      <c r="C29" s="23" t="s">
        <v>132</v>
      </c>
      <c r="D29" s="25" t="n">
        <v>1027</v>
      </c>
      <c r="E29" s="25" t="n">
        <v>11000</v>
      </c>
      <c r="F29" s="26" t="n">
        <f aca="false">IFERROR(D29/E29,0)</f>
        <v>0.0933636363636364</v>
      </c>
      <c r="G29" s="25" t="n">
        <f aca="false">E29-D29</f>
        <v>9973</v>
      </c>
      <c r="H29" s="25" t="n">
        <v>6233</v>
      </c>
      <c r="I29" s="25" t="n">
        <v>11918</v>
      </c>
      <c r="J29" s="25" t="n">
        <v>2701</v>
      </c>
      <c r="K29" s="25" t="n">
        <v>5144</v>
      </c>
      <c r="L29" s="25" t="n">
        <v>6933</v>
      </c>
      <c r="M29" s="46" t="n">
        <f aca="false">IF(H29=0,"",I29*(1+$T$1)/H29)</f>
        <v>2.77866232532024</v>
      </c>
      <c r="N29" s="46" t="n">
        <f aca="false">IF(J29=0,"",L29/J29)</f>
        <v>2.56682710107368</v>
      </c>
      <c r="O29" s="46" t="n">
        <f aca="false">IF(COUNT(M29:N29)=0,$T$2,AVERAGE(M29:N29))</f>
        <v>2.67274471319696</v>
      </c>
      <c r="P29" s="25" t="n">
        <f aca="false">ROUND(D29*O29,0)</f>
        <v>2745</v>
      </c>
      <c r="Q29" s="26" t="n">
        <f aca="false">IFERROR(P29/E29,0)</f>
        <v>0.249545454545455</v>
      </c>
      <c r="R29" s="47" t="n">
        <f aca="false">P29-E29</f>
        <v>-8255</v>
      </c>
      <c r="S29" s="48" t="str">
        <f aca="false">IF(R29&gt;0,"要 追加発注",IF(Q29&gt;=0.9,"要注意(90%超)",IF(Q29&gt;=0.5,"適正","在庫余剰見込")))</f>
        <v>在庫余剰見込</v>
      </c>
      <c r="T29" s="25" t="n">
        <f aca="false">IF(R29&gt;0,ROUNDUP(R29*1.1,0),0)</f>
        <v>0</v>
      </c>
      <c r="U29" s="22" t="s">
        <v>219</v>
      </c>
      <c r="V29" s="49"/>
    </row>
    <row r="30" customFormat="false" ht="15" hidden="false" customHeight="false" outlineLevel="0" collapsed="false">
      <c r="A30" s="22" t="n">
        <v>24</v>
      </c>
      <c r="B30" s="22" t="s">
        <v>133</v>
      </c>
      <c r="C30" s="23" t="s">
        <v>134</v>
      </c>
      <c r="D30" s="25" t="n">
        <v>543</v>
      </c>
      <c r="E30" s="25" t="n">
        <v>8000</v>
      </c>
      <c r="F30" s="26" t="n">
        <f aca="false">IFERROR(D30/E30,0)</f>
        <v>0.067875</v>
      </c>
      <c r="G30" s="25" t="n">
        <f aca="false">E30-D30</f>
        <v>7457</v>
      </c>
      <c r="H30" s="25" t="n">
        <v>4369</v>
      </c>
      <c r="I30" s="25" t="n">
        <v>7253</v>
      </c>
      <c r="J30" s="25" t="n">
        <v>1535</v>
      </c>
      <c r="K30" s="25" t="n">
        <v>3074</v>
      </c>
      <c r="L30" s="25" t="n">
        <v>4202</v>
      </c>
      <c r="M30" s="46" t="n">
        <f aca="false">IF(H30=0,"",I30*(1+$T$1)/H30)</f>
        <v>2.41248794148622</v>
      </c>
      <c r="N30" s="46" t="n">
        <f aca="false">IF(J30=0,"",L30/J30)</f>
        <v>2.73745928338762</v>
      </c>
      <c r="O30" s="46" t="n">
        <f aca="false">IF(COUNT(M30:N30)=0,$T$2,AVERAGE(M30:N30))</f>
        <v>2.57497361243692</v>
      </c>
      <c r="P30" s="25" t="n">
        <f aca="false">ROUND(D30*O30,0)</f>
        <v>1398</v>
      </c>
      <c r="Q30" s="26" t="n">
        <f aca="false">IFERROR(P30/E30,0)</f>
        <v>0.17475</v>
      </c>
      <c r="R30" s="47" t="n">
        <f aca="false">P30-E30</f>
        <v>-6602</v>
      </c>
      <c r="S30" s="48" t="str">
        <f aca="false">IF(R30&gt;0,"要 追加発注",IF(Q30&gt;=0.9,"要注意(90%超)",IF(Q30&gt;=0.5,"適正","在庫余剰見込")))</f>
        <v>在庫余剰見込</v>
      </c>
      <c r="T30" s="25" t="n">
        <f aca="false">IF(R30&gt;0,ROUNDUP(R30*1.1,0),0)</f>
        <v>0</v>
      </c>
      <c r="U30" s="22" t="s">
        <v>219</v>
      </c>
      <c r="V30" s="49"/>
    </row>
    <row r="31" customFormat="false" ht="25.35" hidden="false" customHeight="false" outlineLevel="0" collapsed="false">
      <c r="A31" s="22" t="n">
        <v>25</v>
      </c>
      <c r="B31" s="22" t="s">
        <v>135</v>
      </c>
      <c r="C31" s="23" t="s">
        <v>136</v>
      </c>
      <c r="D31" s="25" t="n">
        <v>18</v>
      </c>
      <c r="E31" s="25" t="n">
        <v>200</v>
      </c>
      <c r="F31" s="26" t="n">
        <f aca="false">IFERROR(D31/E31,0)</f>
        <v>0.09</v>
      </c>
      <c r="G31" s="25" t="n">
        <f aca="false">E31-D31</f>
        <v>182</v>
      </c>
      <c r="H31" s="25" t="n">
        <v>98</v>
      </c>
      <c r="I31" s="25" t="n">
        <v>181</v>
      </c>
      <c r="J31" s="25" t="n">
        <v>57</v>
      </c>
      <c r="K31" s="25" t="n">
        <v>110</v>
      </c>
      <c r="L31" s="25" t="n">
        <v>140</v>
      </c>
      <c r="M31" s="46" t="n">
        <f aca="false">IF(H31=0,"",I31*(1+$T$1)/H31)</f>
        <v>2.68399694814524</v>
      </c>
      <c r="N31" s="46" t="n">
        <f aca="false">IF(J31=0,"",L31/J31)</f>
        <v>2.45614035087719</v>
      </c>
      <c r="O31" s="46" t="n">
        <f aca="false">IF(COUNT(M31:N31)=0,$T$2,AVERAGE(M31:N31))</f>
        <v>2.57006864951122</v>
      </c>
      <c r="P31" s="25" t="n">
        <f aca="false">ROUND(D31*O31,0)</f>
        <v>46</v>
      </c>
      <c r="Q31" s="26" t="n">
        <f aca="false">IFERROR(P31/E31,0)</f>
        <v>0.23</v>
      </c>
      <c r="R31" s="47" t="n">
        <f aca="false">P31-E31</f>
        <v>-154</v>
      </c>
      <c r="S31" s="48" t="str">
        <f aca="false">IF(R31&gt;0,"要 追加発注",IF(Q31&gt;=0.9,"要注意(90%超)",IF(Q31&gt;=0.5,"適正","在庫余剰見込")))</f>
        <v>在庫余剰見込</v>
      </c>
      <c r="T31" s="25" t="n">
        <f aca="false">IF(R31&gt;0,ROUNDUP(R31*1.1,0),0)</f>
        <v>0</v>
      </c>
      <c r="U31" s="48" t="s">
        <v>217</v>
      </c>
      <c r="V31" s="49" t="s">
        <v>218</v>
      </c>
    </row>
    <row r="32" customFormat="false" ht="25.35" hidden="false" customHeight="false" outlineLevel="0" collapsed="false">
      <c r="A32" s="22" t="n">
        <v>26</v>
      </c>
      <c r="B32" s="22" t="s">
        <v>137</v>
      </c>
      <c r="C32" s="23" t="s">
        <v>138</v>
      </c>
      <c r="D32" s="25" t="n">
        <v>85</v>
      </c>
      <c r="E32" s="25" t="n">
        <v>100</v>
      </c>
      <c r="F32" s="26" t="n">
        <f aca="false">IFERROR(D32/E32,0)</f>
        <v>0.85</v>
      </c>
      <c r="G32" s="25" t="n">
        <f aca="false">E32-D32</f>
        <v>15</v>
      </c>
      <c r="H32" s="25" t="n">
        <v>373</v>
      </c>
      <c r="I32" s="25" t="n">
        <v>513</v>
      </c>
      <c r="J32" s="25" t="n">
        <v>162</v>
      </c>
      <c r="K32" s="25" t="n">
        <v>292</v>
      </c>
      <c r="L32" s="25" t="n">
        <v>353</v>
      </c>
      <c r="M32" s="46" t="n">
        <f aca="false">IF(H32=0,"",I32*(1+$T$1)/H32)</f>
        <v>1.99865600063771</v>
      </c>
      <c r="N32" s="46" t="n">
        <f aca="false">IF(J32=0,"",L32/J32)</f>
        <v>2.17901234567901</v>
      </c>
      <c r="O32" s="46" t="n">
        <f aca="false">IF(COUNT(M32:N32)=0,$T$2,AVERAGE(M32:N32))</f>
        <v>2.08883417315836</v>
      </c>
      <c r="P32" s="25" t="n">
        <f aca="false">ROUND(D32*O32,0)</f>
        <v>178</v>
      </c>
      <c r="Q32" s="26" t="n">
        <f aca="false">IFERROR(P32/E32,0)</f>
        <v>1.78</v>
      </c>
      <c r="R32" s="47" t="n">
        <f aca="false">P32-E32</f>
        <v>78</v>
      </c>
      <c r="S32" s="48" t="str">
        <f aca="false">IF(R32&gt;0,"要 追加発注",IF(Q32&gt;=0.9,"要注意(90%超)",IF(Q32&gt;=0.5,"適正","在庫余剰見込")))</f>
        <v>要 追加発注</v>
      </c>
      <c r="T32" s="25" t="n">
        <f aca="false">IF(R32&gt;0,ROUNDUP(R32*1.1,0),0)</f>
        <v>86</v>
      </c>
      <c r="U32" s="48" t="s">
        <v>222</v>
      </c>
      <c r="V32" s="49" t="s">
        <v>223</v>
      </c>
    </row>
    <row r="33" customFormat="false" ht="25.35" hidden="false" customHeight="false" outlineLevel="0" collapsed="false">
      <c r="A33" s="22" t="n">
        <v>27</v>
      </c>
      <c r="B33" s="22" t="s">
        <v>139</v>
      </c>
      <c r="C33" s="23" t="s">
        <v>140</v>
      </c>
      <c r="D33" s="25" t="n">
        <v>15</v>
      </c>
      <c r="E33" s="25" t="n">
        <v>70</v>
      </c>
      <c r="F33" s="26" t="n">
        <f aca="false">IFERROR(D33/E33,0)</f>
        <v>0.214285714285714</v>
      </c>
      <c r="G33" s="25" t="n">
        <f aca="false">E33-D33</f>
        <v>55</v>
      </c>
      <c r="H33" s="25" t="n">
        <v>33</v>
      </c>
      <c r="I33" s="25" t="n">
        <v>80</v>
      </c>
      <c r="J33" s="25" t="n">
        <v>26</v>
      </c>
      <c r="K33" s="25" t="n">
        <v>57</v>
      </c>
      <c r="L33" s="25" t="n">
        <v>69</v>
      </c>
      <c r="M33" s="46" t="n">
        <f aca="false">IF(H33=0,"",I33*(1+$T$1)/H33)</f>
        <v>3.52294258721893</v>
      </c>
      <c r="N33" s="46" t="n">
        <f aca="false">IF(J33=0,"",L33/J33)</f>
        <v>2.65384615384615</v>
      </c>
      <c r="O33" s="46" t="n">
        <f aca="false">IF(COUNT(M33:N33)=0,$T$2,AVERAGE(M33:N33))</f>
        <v>3.08839437053254</v>
      </c>
      <c r="P33" s="25" t="n">
        <f aca="false">ROUND(D33*O33,0)</f>
        <v>46</v>
      </c>
      <c r="Q33" s="26" t="n">
        <f aca="false">IFERROR(P33/E33,0)</f>
        <v>0.657142857142857</v>
      </c>
      <c r="R33" s="47" t="n">
        <f aca="false">P33-E33</f>
        <v>-24</v>
      </c>
      <c r="S33" s="48" t="str">
        <f aca="false">IF(R33&gt;0,"要 追加発注",IF(Q33&gt;=0.9,"要注意(90%超)",IF(Q33&gt;=0.5,"適正","在庫余剰見込")))</f>
        <v>適正</v>
      </c>
      <c r="T33" s="25" t="n">
        <f aca="false">IF(R33&gt;0,ROUNDUP(R33*1.1,0),0)</f>
        <v>0</v>
      </c>
      <c r="U33" s="48" t="s">
        <v>217</v>
      </c>
      <c r="V33" s="49" t="s">
        <v>218</v>
      </c>
    </row>
    <row r="34" customFormat="false" ht="25.35" hidden="false" customHeight="false" outlineLevel="0" collapsed="false">
      <c r="A34" s="22" t="n">
        <v>28</v>
      </c>
      <c r="B34" s="22" t="s">
        <v>141</v>
      </c>
      <c r="C34" s="23" t="s">
        <v>142</v>
      </c>
      <c r="D34" s="25" t="n">
        <v>130</v>
      </c>
      <c r="E34" s="25" t="n">
        <v>200</v>
      </c>
      <c r="F34" s="26" t="n">
        <f aca="false">IFERROR(D34/E34,0)</f>
        <v>0.65</v>
      </c>
      <c r="G34" s="25" t="n">
        <f aca="false">E34-D34</f>
        <v>70</v>
      </c>
      <c r="H34" s="25" t="n">
        <v>299</v>
      </c>
      <c r="I34" s="25" t="n">
        <v>436</v>
      </c>
      <c r="J34" s="25" t="n">
        <v>167</v>
      </c>
      <c r="K34" s="25" t="n">
        <v>333</v>
      </c>
      <c r="L34" s="25" t="n">
        <v>333</v>
      </c>
      <c r="M34" s="46" t="n">
        <f aca="false">IF(H34=0,"",I34*(1+$T$1)/H34)</f>
        <v>2.11906763983721</v>
      </c>
      <c r="N34" s="46" t="n">
        <f aca="false">IF(J34=0,"",L34/J34)</f>
        <v>1.9940119760479</v>
      </c>
      <c r="O34" s="46" t="n">
        <f aca="false">IF(COUNT(M34:N34)=0,$T$2,AVERAGE(M34:N34))</f>
        <v>2.05653980794256</v>
      </c>
      <c r="P34" s="25" t="n">
        <f aca="false">ROUND(D34*O34,0)</f>
        <v>267</v>
      </c>
      <c r="Q34" s="26" t="n">
        <f aca="false">IFERROR(P34/E34,0)</f>
        <v>1.335</v>
      </c>
      <c r="R34" s="47" t="n">
        <f aca="false">P34-E34</f>
        <v>67</v>
      </c>
      <c r="S34" s="48" t="str">
        <f aca="false">IF(R34&gt;0,"要 追加発注",IF(Q34&gt;=0.9,"要注意(90%超)",IF(Q34&gt;=0.5,"適正","在庫余剰見込")))</f>
        <v>要 追加発注</v>
      </c>
      <c r="T34" s="25" t="n">
        <f aca="false">IF(R34&gt;0,ROUNDUP(R34*1.1,0),0)</f>
        <v>74</v>
      </c>
      <c r="U34" s="48" t="s">
        <v>220</v>
      </c>
      <c r="V34" s="49" t="s">
        <v>221</v>
      </c>
    </row>
    <row r="35" customFormat="false" ht="25.35" hidden="false" customHeight="false" outlineLevel="0" collapsed="false">
      <c r="A35" s="22" t="n">
        <v>29</v>
      </c>
      <c r="B35" s="22" t="s">
        <v>143</v>
      </c>
      <c r="C35" s="23" t="s">
        <v>144</v>
      </c>
      <c r="D35" s="25" t="n">
        <v>66</v>
      </c>
      <c r="E35" s="25" t="n">
        <v>100</v>
      </c>
      <c r="F35" s="26" t="n">
        <f aca="false">IFERROR(D35/E35,0)</f>
        <v>0.66</v>
      </c>
      <c r="G35" s="25" t="n">
        <f aca="false">E35-D35</f>
        <v>34</v>
      </c>
      <c r="H35" s="25" t="n">
        <v>236</v>
      </c>
      <c r="I35" s="25" t="n">
        <v>318</v>
      </c>
      <c r="J35" s="25" t="n">
        <v>102</v>
      </c>
      <c r="K35" s="25" t="n">
        <v>239</v>
      </c>
      <c r="L35" s="25" t="n">
        <v>249</v>
      </c>
      <c r="M35" s="46" t="n">
        <f aca="false">IF(H35=0,"",I35*(1+$T$1)/H35)</f>
        <v>1.95814404185781</v>
      </c>
      <c r="N35" s="46" t="n">
        <f aca="false">IF(J35=0,"",L35/J35)</f>
        <v>2.44117647058824</v>
      </c>
      <c r="O35" s="46" t="n">
        <f aca="false">IF(COUNT(M35:N35)=0,$T$2,AVERAGE(M35:N35))</f>
        <v>2.19966025622302</v>
      </c>
      <c r="P35" s="25" t="n">
        <f aca="false">ROUND(D35*O35,0)</f>
        <v>145</v>
      </c>
      <c r="Q35" s="26" t="n">
        <f aca="false">IFERROR(P35/E35,0)</f>
        <v>1.45</v>
      </c>
      <c r="R35" s="47" t="n">
        <f aca="false">P35-E35</f>
        <v>45</v>
      </c>
      <c r="S35" s="48" t="str">
        <f aca="false">IF(R35&gt;0,"要 追加発注",IF(Q35&gt;=0.9,"要注意(90%超)",IF(Q35&gt;=0.5,"適正","在庫余剰見込")))</f>
        <v>要 追加発注</v>
      </c>
      <c r="T35" s="25" t="n">
        <f aca="false">IF(R35&gt;0,ROUNDUP(R35*1.1,0),0)</f>
        <v>50</v>
      </c>
      <c r="U35" s="48" t="s">
        <v>220</v>
      </c>
      <c r="V35" s="49" t="s">
        <v>221</v>
      </c>
    </row>
    <row r="36" customFormat="false" ht="25.35" hidden="false" customHeight="false" outlineLevel="0" collapsed="false">
      <c r="A36" s="22" t="n">
        <v>30</v>
      </c>
      <c r="B36" s="22" t="s">
        <v>145</v>
      </c>
      <c r="C36" s="23" t="s">
        <v>146</v>
      </c>
      <c r="D36" s="25" t="n">
        <v>20</v>
      </c>
      <c r="E36" s="25" t="n">
        <v>250</v>
      </c>
      <c r="F36" s="26" t="n">
        <f aca="false">IFERROR(D36/E36,0)</f>
        <v>0.08</v>
      </c>
      <c r="G36" s="25" t="n">
        <f aca="false">E36-D36</f>
        <v>230</v>
      </c>
      <c r="H36" s="25" t="n">
        <v>68</v>
      </c>
      <c r="I36" s="25" t="n">
        <v>142</v>
      </c>
      <c r="J36" s="25" t="n">
        <v>20</v>
      </c>
      <c r="K36" s="25" t="n">
        <v>51</v>
      </c>
      <c r="L36" s="25" t="n">
        <v>63</v>
      </c>
      <c r="M36" s="46" t="n">
        <f aca="false">IF(H36=0,"",I36*(1+$T$1)/H36)</f>
        <v>3.03465238303454</v>
      </c>
      <c r="N36" s="46" t="n">
        <f aca="false">IF(J36=0,"",L36/J36)</f>
        <v>3.15</v>
      </c>
      <c r="O36" s="46" t="n">
        <f aca="false">IF(COUNT(M36:N36)=0,$T$2,AVERAGE(M36:N36))</f>
        <v>3.09232619151727</v>
      </c>
      <c r="P36" s="25" t="n">
        <f aca="false">ROUND(D36*O36,0)</f>
        <v>62</v>
      </c>
      <c r="Q36" s="26" t="n">
        <f aca="false">IFERROR(P36/E36,0)</f>
        <v>0.248</v>
      </c>
      <c r="R36" s="47" t="n">
        <f aca="false">P36-E36</f>
        <v>-188</v>
      </c>
      <c r="S36" s="48" t="str">
        <f aca="false">IF(R36&gt;0,"要 追加発注",IF(Q36&gt;=0.9,"要注意(90%超)",IF(Q36&gt;=0.5,"適正","在庫余剰見込")))</f>
        <v>在庫余剰見込</v>
      </c>
      <c r="T36" s="25" t="n">
        <f aca="false">IF(R36&gt;0,ROUNDUP(R36*1.1,0),0)</f>
        <v>0</v>
      </c>
      <c r="U36" s="48" t="s">
        <v>217</v>
      </c>
      <c r="V36" s="49" t="s">
        <v>218</v>
      </c>
    </row>
    <row r="37" customFormat="false" ht="25.35" hidden="false" customHeight="false" outlineLevel="0" collapsed="false">
      <c r="A37" s="22" t="n">
        <v>31</v>
      </c>
      <c r="B37" s="22" t="s">
        <v>147</v>
      </c>
      <c r="C37" s="23" t="s">
        <v>148</v>
      </c>
      <c r="D37" s="25" t="n">
        <v>43</v>
      </c>
      <c r="E37" s="25" t="n">
        <v>200</v>
      </c>
      <c r="F37" s="26" t="n">
        <f aca="false">IFERROR(D37/E37,0)</f>
        <v>0.215</v>
      </c>
      <c r="G37" s="25" t="n">
        <f aca="false">E37-D37</f>
        <v>157</v>
      </c>
      <c r="H37" s="25" t="n">
        <v>116</v>
      </c>
      <c r="I37" s="25" t="n">
        <v>198</v>
      </c>
      <c r="J37" s="25" t="n">
        <v>73</v>
      </c>
      <c r="K37" s="25" t="n">
        <v>138</v>
      </c>
      <c r="L37" s="25" t="n">
        <v>160</v>
      </c>
      <c r="M37" s="46" t="n">
        <f aca="false">IF(H37=0,"",I37*(1+$T$1)/H37)</f>
        <v>2.48048565354402</v>
      </c>
      <c r="N37" s="46" t="n">
        <f aca="false">IF(J37=0,"",L37/J37)</f>
        <v>2.19178082191781</v>
      </c>
      <c r="O37" s="46" t="n">
        <f aca="false">IF(COUNT(M37:N37)=0,$T$2,AVERAGE(M37:N37))</f>
        <v>2.33613323773091</v>
      </c>
      <c r="P37" s="25" t="n">
        <f aca="false">ROUND(D37*O37,0)</f>
        <v>100</v>
      </c>
      <c r="Q37" s="26" t="n">
        <f aca="false">IFERROR(P37/E37,0)</f>
        <v>0.5</v>
      </c>
      <c r="R37" s="47" t="n">
        <f aca="false">P37-E37</f>
        <v>-100</v>
      </c>
      <c r="S37" s="48" t="str">
        <f aca="false">IF(R37&gt;0,"要 追加発注",IF(Q37&gt;=0.9,"要注意(90%超)",IF(Q37&gt;=0.5,"適正","在庫余剰見込")))</f>
        <v>適正</v>
      </c>
      <c r="T37" s="25" t="n">
        <f aca="false">IF(R37&gt;0,ROUNDUP(R37*1.1,0),0)</f>
        <v>0</v>
      </c>
      <c r="U37" s="48" t="s">
        <v>217</v>
      </c>
      <c r="V37" s="49" t="s">
        <v>218</v>
      </c>
    </row>
    <row r="38" customFormat="false" ht="37.3" hidden="false" customHeight="false" outlineLevel="0" collapsed="false">
      <c r="A38" s="22" t="n">
        <v>32</v>
      </c>
      <c r="B38" s="22" t="s">
        <v>149</v>
      </c>
      <c r="C38" s="23" t="s">
        <v>150</v>
      </c>
      <c r="D38" s="25" t="n">
        <v>10</v>
      </c>
      <c r="E38" s="25" t="n">
        <v>10</v>
      </c>
      <c r="F38" s="26" t="n">
        <f aca="false">IFERROR(D38/E38,0)</f>
        <v>1</v>
      </c>
      <c r="G38" s="25" t="n">
        <f aca="false">E38-D38</f>
        <v>0</v>
      </c>
      <c r="H38" s="25" t="n">
        <v>36</v>
      </c>
      <c r="I38" s="25" t="n">
        <v>36</v>
      </c>
      <c r="J38" s="25" t="n">
        <v>28</v>
      </c>
      <c r="K38" s="25" t="n">
        <v>30</v>
      </c>
      <c r="L38" s="25" t="n">
        <v>30</v>
      </c>
      <c r="M38" s="46" t="n">
        <f aca="false">IF(H38=0,"",I38*(1+$T$1)/H38)</f>
        <v>1.45321381722781</v>
      </c>
      <c r="N38" s="46" t="n">
        <f aca="false">IF(J38=0,"",L38/J38)</f>
        <v>1.07142857142857</v>
      </c>
      <c r="O38" s="46" t="n">
        <f aca="false">IF(COUNT(M38:N38)=0,$T$2,AVERAGE(M38:N38))</f>
        <v>1.26232119432819</v>
      </c>
      <c r="P38" s="25" t="n">
        <f aca="false">ROUND(D38*O38,0)</f>
        <v>13</v>
      </c>
      <c r="Q38" s="26" t="n">
        <f aca="false">IFERROR(P38/E38,0)</f>
        <v>1.3</v>
      </c>
      <c r="R38" s="47" t="n">
        <f aca="false">P38-E38</f>
        <v>3</v>
      </c>
      <c r="S38" s="48" t="str">
        <f aca="false">IF(R38&gt;0,"要 追加発注",IF(Q38&gt;=0.9,"要注意(90%超)",IF(Q38&gt;=0.5,"適正","在庫余剰見込")))</f>
        <v>要 追加発注</v>
      </c>
      <c r="T38" s="25" t="n">
        <f aca="false">IF(R38&gt;0,ROUNDUP(R38*1.1,0),0)</f>
        <v>4</v>
      </c>
      <c r="U38" s="48" t="s">
        <v>217</v>
      </c>
      <c r="V38" s="49" t="s">
        <v>224</v>
      </c>
    </row>
    <row r="39" customFormat="false" ht="15" hidden="false" customHeight="false" outlineLevel="0" collapsed="false">
      <c r="A39" s="22" t="n">
        <v>33</v>
      </c>
      <c r="B39" s="22" t="s">
        <v>151</v>
      </c>
      <c r="C39" s="23" t="s">
        <v>152</v>
      </c>
      <c r="D39" s="25" t="n">
        <v>0</v>
      </c>
      <c r="E39" s="25" t="n">
        <v>15</v>
      </c>
      <c r="F39" s="26" t="n">
        <f aca="false">IFERROR(D39/E39,0)</f>
        <v>0</v>
      </c>
      <c r="G39" s="25" t="n">
        <f aca="false">E39-D39</f>
        <v>15</v>
      </c>
      <c r="H39" s="25" t="n">
        <v>28</v>
      </c>
      <c r="I39" s="25" t="n">
        <v>35</v>
      </c>
      <c r="J39" s="25" t="n">
        <v>4</v>
      </c>
      <c r="K39" s="25" t="n">
        <v>12</v>
      </c>
      <c r="L39" s="25" t="n">
        <v>13</v>
      </c>
      <c r="M39" s="46" t="n">
        <f aca="false">IF(H39=0,"",I39*(1+$T$1)/H39)</f>
        <v>1.81651727153476</v>
      </c>
      <c r="N39" s="46" t="n">
        <f aca="false">IF(J39=0,"",L39/J39)</f>
        <v>3.25</v>
      </c>
      <c r="O39" s="46" t="n">
        <f aca="false">IF(COUNT(M39:N39)=0,$T$2,AVERAGE(M39:N39))</f>
        <v>2.53325863576738</v>
      </c>
      <c r="P39" s="25" t="n">
        <f aca="false">ROUND(D39*O39,0)</f>
        <v>0</v>
      </c>
      <c r="Q39" s="26" t="n">
        <f aca="false">IFERROR(P39/E39,0)</f>
        <v>0</v>
      </c>
      <c r="R39" s="47" t="n">
        <f aca="false">P39-E39</f>
        <v>-15</v>
      </c>
      <c r="S39" s="48" t="str">
        <f aca="false">IF(R39&gt;0,"要 追加発注",IF(Q39&gt;=0.9,"要注意(90%超)",IF(Q39&gt;=0.5,"適正","在庫余剰見込")))</f>
        <v>在庫余剰見込</v>
      </c>
      <c r="T39" s="25" t="n">
        <f aca="false">IF(R39&gt;0,ROUNDUP(R39*1.1,0),0)</f>
        <v>0</v>
      </c>
      <c r="U39" s="22" t="s">
        <v>219</v>
      </c>
      <c r="V39" s="49" t="s">
        <v>225</v>
      </c>
    </row>
    <row r="40" customFormat="false" ht="37.3" hidden="false" customHeight="false" outlineLevel="0" collapsed="false">
      <c r="A40" s="22" t="n">
        <v>34</v>
      </c>
      <c r="B40" s="22" t="s">
        <v>153</v>
      </c>
      <c r="C40" s="23" t="s">
        <v>154</v>
      </c>
      <c r="D40" s="25" t="n">
        <v>1</v>
      </c>
      <c r="E40" s="25" t="n">
        <v>2</v>
      </c>
      <c r="F40" s="26" t="n">
        <f aca="false">IFERROR(D40/E40,0)</f>
        <v>0.5</v>
      </c>
      <c r="G40" s="25" t="n">
        <f aca="false">E40-D40</f>
        <v>1</v>
      </c>
      <c r="H40" s="25" t="n">
        <v>3</v>
      </c>
      <c r="I40" s="25" t="n">
        <v>3</v>
      </c>
      <c r="J40" s="25" t="n">
        <v>3</v>
      </c>
      <c r="K40" s="25" t="n">
        <v>3</v>
      </c>
      <c r="L40" s="25" t="n">
        <v>3</v>
      </c>
      <c r="M40" s="46" t="n">
        <f aca="false">IF(H40=0,"",I40*(1+$T$1)/H40)</f>
        <v>1.45321381722781</v>
      </c>
      <c r="N40" s="46" t="n">
        <f aca="false">IF(J40=0,"",L40/J40)</f>
        <v>1</v>
      </c>
      <c r="O40" s="46" t="n">
        <f aca="false">IF(COUNT(M40:N40)=0,$T$2,AVERAGE(M40:N40))</f>
        <v>1.2266069086139</v>
      </c>
      <c r="P40" s="25" t="n">
        <f aca="false">ROUND(D40*O40,0)</f>
        <v>1</v>
      </c>
      <c r="Q40" s="26" t="n">
        <f aca="false">IFERROR(P40/E40,0)</f>
        <v>0.5</v>
      </c>
      <c r="R40" s="47" t="n">
        <f aca="false">P40-E40</f>
        <v>-1</v>
      </c>
      <c r="S40" s="48" t="str">
        <f aca="false">IF(R40&gt;0,"要 追加発注",IF(Q40&gt;=0.9,"要注意(90%超)",IF(Q40&gt;=0.5,"適正","在庫余剰見込")))</f>
        <v>適正</v>
      </c>
      <c r="T40" s="25" t="n">
        <f aca="false">IF(R40&gt;0,ROUNDUP(R40*1.1,0),0)</f>
        <v>0</v>
      </c>
      <c r="U40" s="48" t="s">
        <v>220</v>
      </c>
      <c r="V40" s="49" t="s">
        <v>226</v>
      </c>
    </row>
    <row r="41" customFormat="false" ht="37.3" hidden="false" customHeight="false" outlineLevel="0" collapsed="false">
      <c r="A41" s="22" t="n">
        <v>35</v>
      </c>
      <c r="B41" s="22" t="s">
        <v>155</v>
      </c>
      <c r="C41" s="23" t="s">
        <v>156</v>
      </c>
      <c r="D41" s="25" t="n">
        <v>0</v>
      </c>
      <c r="E41" s="25" t="n">
        <v>2</v>
      </c>
      <c r="F41" s="26" t="n">
        <f aca="false">IFERROR(D41/E41,0)</f>
        <v>0</v>
      </c>
      <c r="G41" s="25" t="n">
        <f aca="false">E41-D41</f>
        <v>2</v>
      </c>
      <c r="H41" s="25" t="n">
        <v>3</v>
      </c>
      <c r="I41" s="25" t="n">
        <v>3</v>
      </c>
      <c r="J41" s="25" t="n">
        <v>3</v>
      </c>
      <c r="K41" s="25" t="n">
        <v>3</v>
      </c>
      <c r="L41" s="25" t="n">
        <v>3</v>
      </c>
      <c r="M41" s="46" t="n">
        <f aca="false">IF(H41=0,"",I41*(1+$T$1)/H41)</f>
        <v>1.45321381722781</v>
      </c>
      <c r="N41" s="46" t="n">
        <f aca="false">IF(J41=0,"",L41/J41)</f>
        <v>1</v>
      </c>
      <c r="O41" s="46" t="n">
        <f aca="false">IF(COUNT(M41:N41)=0,$T$2,AVERAGE(M41:N41))</f>
        <v>1.2266069086139</v>
      </c>
      <c r="P41" s="25" t="n">
        <f aca="false">ROUND(D41*O41,0)</f>
        <v>0</v>
      </c>
      <c r="Q41" s="26" t="n">
        <f aca="false">IFERROR(P41/E41,0)</f>
        <v>0</v>
      </c>
      <c r="R41" s="47" t="n">
        <f aca="false">P41-E41</f>
        <v>-2</v>
      </c>
      <c r="S41" s="48" t="str">
        <f aca="false">IF(R41&gt;0,"要 追加発注",IF(Q41&gt;=0.9,"要注意(90%超)",IF(Q41&gt;=0.5,"適正","在庫余剰見込")))</f>
        <v>在庫余剰見込</v>
      </c>
      <c r="T41" s="25" t="n">
        <f aca="false">IF(R41&gt;0,ROUNDUP(R41*1.1,0),0)</f>
        <v>0</v>
      </c>
      <c r="U41" s="48" t="s">
        <v>220</v>
      </c>
      <c r="V41" s="49" t="s">
        <v>227</v>
      </c>
    </row>
    <row r="42" customFormat="false" ht="37.3" hidden="false" customHeight="false" outlineLevel="0" collapsed="false">
      <c r="A42" s="22" t="n">
        <v>36</v>
      </c>
      <c r="B42" s="22" t="s">
        <v>157</v>
      </c>
      <c r="C42" s="23" t="s">
        <v>158</v>
      </c>
      <c r="D42" s="25" t="n">
        <v>0</v>
      </c>
      <c r="E42" s="25" t="n">
        <v>2</v>
      </c>
      <c r="F42" s="26" t="n">
        <f aca="false">IFERROR(D42/E42,0)</f>
        <v>0</v>
      </c>
      <c r="G42" s="25" t="n">
        <f aca="false">E42-D42</f>
        <v>2</v>
      </c>
      <c r="H42" s="25" t="n">
        <v>3</v>
      </c>
      <c r="I42" s="25" t="n">
        <v>3</v>
      </c>
      <c r="J42" s="25" t="n">
        <v>3</v>
      </c>
      <c r="K42" s="25" t="n">
        <v>3</v>
      </c>
      <c r="L42" s="25" t="n">
        <v>3</v>
      </c>
      <c r="M42" s="46" t="n">
        <f aca="false">IF(H42=0,"",I42*(1+$T$1)/H42)</f>
        <v>1.45321381722781</v>
      </c>
      <c r="N42" s="46" t="n">
        <f aca="false">IF(J42=0,"",L42/J42)</f>
        <v>1</v>
      </c>
      <c r="O42" s="46" t="n">
        <f aca="false">IF(COUNT(M42:N42)=0,$T$2,AVERAGE(M42:N42))</f>
        <v>1.2266069086139</v>
      </c>
      <c r="P42" s="25" t="n">
        <f aca="false">ROUND(D42*O42,0)</f>
        <v>0</v>
      </c>
      <c r="Q42" s="26" t="n">
        <f aca="false">IFERROR(P42/E42,0)</f>
        <v>0</v>
      </c>
      <c r="R42" s="47" t="n">
        <f aca="false">P42-E42</f>
        <v>-2</v>
      </c>
      <c r="S42" s="48" t="str">
        <f aca="false">IF(R42&gt;0,"要 追加発注",IF(Q42&gt;=0.9,"要注意(90%超)",IF(Q42&gt;=0.5,"適正","在庫余剰見込")))</f>
        <v>在庫余剰見込</v>
      </c>
      <c r="T42" s="25" t="n">
        <f aca="false">IF(R42&gt;0,ROUNDUP(R42*1.1,0),0)</f>
        <v>0</v>
      </c>
      <c r="U42" s="48" t="s">
        <v>220</v>
      </c>
      <c r="V42" s="49" t="s">
        <v>227</v>
      </c>
    </row>
    <row r="43" customFormat="false" ht="25.35" hidden="false" customHeight="false" outlineLevel="0" collapsed="false">
      <c r="A43" s="22" t="n">
        <v>37</v>
      </c>
      <c r="B43" s="22" t="s">
        <v>159</v>
      </c>
      <c r="C43" s="23" t="s">
        <v>160</v>
      </c>
      <c r="D43" s="25" t="n">
        <v>0</v>
      </c>
      <c r="E43" s="25" t="n">
        <v>8</v>
      </c>
      <c r="F43" s="26" t="n">
        <f aca="false">IFERROR(D43/E43,0)</f>
        <v>0</v>
      </c>
      <c r="G43" s="25" t="n">
        <f aca="false">E43-D43</f>
        <v>8</v>
      </c>
      <c r="H43" s="25" t="n">
        <v>11</v>
      </c>
      <c r="I43" s="25" t="n">
        <v>18</v>
      </c>
      <c r="J43" s="25" t="n">
        <v>4</v>
      </c>
      <c r="K43" s="25" t="n">
        <v>10</v>
      </c>
      <c r="L43" s="25" t="n">
        <v>10</v>
      </c>
      <c r="M43" s="46" t="n">
        <f aca="false">IF(H43=0,"",I43*(1+$T$1)/H43)</f>
        <v>2.37798624637278</v>
      </c>
      <c r="N43" s="46" t="n">
        <f aca="false">IF(J43=0,"",L43/J43)</f>
        <v>2.5</v>
      </c>
      <c r="O43" s="46" t="n">
        <f aca="false">IF(COUNT(M43:N43)=0,$T$2,AVERAGE(M43:N43))</f>
        <v>2.43899312318639</v>
      </c>
      <c r="P43" s="25" t="n">
        <f aca="false">ROUND(D43*O43,0)</f>
        <v>0</v>
      </c>
      <c r="Q43" s="26" t="n">
        <f aca="false">IFERROR(P43/E43,0)</f>
        <v>0</v>
      </c>
      <c r="R43" s="47" t="n">
        <f aca="false">P43-E43</f>
        <v>-8</v>
      </c>
      <c r="S43" s="48" t="str">
        <f aca="false">IF(R43&gt;0,"要 追加発注",IF(Q43&gt;=0.9,"要注意(90%超)",IF(Q43&gt;=0.5,"適正","在庫余剰見込")))</f>
        <v>在庫余剰見込</v>
      </c>
      <c r="T43" s="25" t="n">
        <f aca="false">IF(R43&gt;0,ROUNDUP(R43*1.1,0),0)</f>
        <v>0</v>
      </c>
      <c r="U43" s="22" t="s">
        <v>219</v>
      </c>
      <c r="V43" s="49" t="s">
        <v>228</v>
      </c>
    </row>
    <row r="44" customFormat="false" ht="37.3" hidden="false" customHeight="false" outlineLevel="0" collapsed="false">
      <c r="A44" s="22" t="n">
        <v>38</v>
      </c>
      <c r="B44" s="22" t="s">
        <v>161</v>
      </c>
      <c r="C44" s="23" t="s">
        <v>162</v>
      </c>
      <c r="D44" s="25" t="n">
        <v>1</v>
      </c>
      <c r="E44" s="25" t="n">
        <v>2</v>
      </c>
      <c r="F44" s="26" t="n">
        <f aca="false">IFERROR(D44/E44,0)</f>
        <v>0.5</v>
      </c>
      <c r="G44" s="25" t="n">
        <f aca="false">E44-D44</f>
        <v>1</v>
      </c>
      <c r="H44" s="25" t="n">
        <v>3</v>
      </c>
      <c r="I44" s="25" t="n">
        <v>3</v>
      </c>
      <c r="J44" s="25" t="n">
        <v>3</v>
      </c>
      <c r="K44" s="25" t="n">
        <v>3</v>
      </c>
      <c r="L44" s="25" t="n">
        <v>3</v>
      </c>
      <c r="M44" s="46" t="n">
        <f aca="false">IF(H44=0,"",I44*(1+$T$1)/H44)</f>
        <v>1.45321381722781</v>
      </c>
      <c r="N44" s="46" t="n">
        <f aca="false">IF(J44=0,"",L44/J44)</f>
        <v>1</v>
      </c>
      <c r="O44" s="46" t="n">
        <f aca="false">IF(COUNT(M44:N44)=0,$T$2,AVERAGE(M44:N44))</f>
        <v>1.2266069086139</v>
      </c>
      <c r="P44" s="25" t="n">
        <f aca="false">ROUND(D44*O44,0)</f>
        <v>1</v>
      </c>
      <c r="Q44" s="26" t="n">
        <f aca="false">IFERROR(P44/E44,0)</f>
        <v>0.5</v>
      </c>
      <c r="R44" s="47" t="n">
        <f aca="false">P44-E44</f>
        <v>-1</v>
      </c>
      <c r="S44" s="48" t="str">
        <f aca="false">IF(R44&gt;0,"要 追加発注",IF(Q44&gt;=0.9,"要注意(90%超)",IF(Q44&gt;=0.5,"適正","在庫余剰見込")))</f>
        <v>適正</v>
      </c>
      <c r="T44" s="25" t="n">
        <f aca="false">IF(R44&gt;0,ROUNDUP(R44*1.1,0),0)</f>
        <v>0</v>
      </c>
      <c r="U44" s="48" t="s">
        <v>220</v>
      </c>
      <c r="V44" s="49" t="s">
        <v>226</v>
      </c>
    </row>
    <row r="45" customFormat="false" ht="37.3" hidden="false" customHeight="false" outlineLevel="0" collapsed="false">
      <c r="A45" s="22" t="n">
        <v>39</v>
      </c>
      <c r="B45" s="22" t="s">
        <v>163</v>
      </c>
      <c r="C45" s="23" t="s">
        <v>164</v>
      </c>
      <c r="D45" s="25" t="n">
        <v>1</v>
      </c>
      <c r="E45" s="25" t="n">
        <v>2</v>
      </c>
      <c r="F45" s="26" t="n">
        <f aca="false">IFERROR(D45/E45,0)</f>
        <v>0.5</v>
      </c>
      <c r="G45" s="25" t="n">
        <f aca="false">E45-D45</f>
        <v>1</v>
      </c>
      <c r="H45" s="25" t="n">
        <v>3</v>
      </c>
      <c r="I45" s="25" t="n">
        <v>3</v>
      </c>
      <c r="J45" s="25" t="n">
        <v>2</v>
      </c>
      <c r="K45" s="25" t="n">
        <v>2</v>
      </c>
      <c r="L45" s="25" t="n">
        <v>2</v>
      </c>
      <c r="M45" s="46" t="n">
        <f aca="false">IF(H45=0,"",I45*(1+$T$1)/H45)</f>
        <v>1.45321381722781</v>
      </c>
      <c r="N45" s="46" t="n">
        <f aca="false">IF(J45=0,"",L45/J45)</f>
        <v>1</v>
      </c>
      <c r="O45" s="46" t="n">
        <f aca="false">IF(COUNT(M45:N45)=0,$T$2,AVERAGE(M45:N45))</f>
        <v>1.2266069086139</v>
      </c>
      <c r="P45" s="25" t="n">
        <f aca="false">ROUND(D45*O45,0)</f>
        <v>1</v>
      </c>
      <c r="Q45" s="26" t="n">
        <f aca="false">IFERROR(P45/E45,0)</f>
        <v>0.5</v>
      </c>
      <c r="R45" s="47" t="n">
        <f aca="false">P45-E45</f>
        <v>-1</v>
      </c>
      <c r="S45" s="48" t="str">
        <f aca="false">IF(R45&gt;0,"要 追加発注",IF(Q45&gt;=0.9,"要注意(90%超)",IF(Q45&gt;=0.5,"適正","在庫余剰見込")))</f>
        <v>適正</v>
      </c>
      <c r="T45" s="25" t="n">
        <f aca="false">IF(R45&gt;0,ROUNDUP(R45*1.1,0),0)</f>
        <v>0</v>
      </c>
      <c r="U45" s="48" t="s">
        <v>220</v>
      </c>
      <c r="V45" s="49" t="s">
        <v>226</v>
      </c>
    </row>
    <row r="46" customFormat="false" ht="37.3" hidden="false" customHeight="false" outlineLevel="0" collapsed="false">
      <c r="A46" s="22" t="n">
        <v>40</v>
      </c>
      <c r="B46" s="22" t="s">
        <v>165</v>
      </c>
      <c r="C46" s="23" t="s">
        <v>166</v>
      </c>
      <c r="D46" s="25" t="n">
        <v>0</v>
      </c>
      <c r="E46" s="25" t="n">
        <v>2</v>
      </c>
      <c r="F46" s="26" t="n">
        <f aca="false">IFERROR(D46/E46,0)</f>
        <v>0</v>
      </c>
      <c r="G46" s="25" t="n">
        <f aca="false">E46-D46</f>
        <v>2</v>
      </c>
      <c r="H46" s="25" t="n">
        <v>3</v>
      </c>
      <c r="I46" s="25" t="n">
        <v>3</v>
      </c>
      <c r="J46" s="25" t="n">
        <v>3</v>
      </c>
      <c r="K46" s="25" t="n">
        <v>3</v>
      </c>
      <c r="L46" s="25" t="n">
        <v>3</v>
      </c>
      <c r="M46" s="46" t="n">
        <f aca="false">IF(H46=0,"",I46*(1+$T$1)/H46)</f>
        <v>1.45321381722781</v>
      </c>
      <c r="N46" s="46" t="n">
        <f aca="false">IF(J46=0,"",L46/J46)</f>
        <v>1</v>
      </c>
      <c r="O46" s="46" t="n">
        <f aca="false">IF(COUNT(M46:N46)=0,$T$2,AVERAGE(M46:N46))</f>
        <v>1.2266069086139</v>
      </c>
      <c r="P46" s="25" t="n">
        <f aca="false">ROUND(D46*O46,0)</f>
        <v>0</v>
      </c>
      <c r="Q46" s="26" t="n">
        <f aca="false">IFERROR(P46/E46,0)</f>
        <v>0</v>
      </c>
      <c r="R46" s="47" t="n">
        <f aca="false">P46-E46</f>
        <v>-2</v>
      </c>
      <c r="S46" s="48" t="str">
        <f aca="false">IF(R46&gt;0,"要 追加発注",IF(Q46&gt;=0.9,"要注意(90%超)",IF(Q46&gt;=0.5,"適正","在庫余剰見込")))</f>
        <v>在庫余剰見込</v>
      </c>
      <c r="T46" s="25" t="n">
        <f aca="false">IF(R46&gt;0,ROUNDUP(R46*1.1,0),0)</f>
        <v>0</v>
      </c>
      <c r="U46" s="48" t="s">
        <v>220</v>
      </c>
      <c r="V46" s="49" t="s">
        <v>227</v>
      </c>
    </row>
    <row r="47" customFormat="false" ht="25.35" hidden="false" customHeight="false" outlineLevel="0" collapsed="false">
      <c r="A47" s="22" t="n">
        <v>41</v>
      </c>
      <c r="B47" s="22" t="s">
        <v>167</v>
      </c>
      <c r="C47" s="23" t="s">
        <v>168</v>
      </c>
      <c r="D47" s="25" t="n">
        <v>0</v>
      </c>
      <c r="E47" s="25" t="n">
        <v>4</v>
      </c>
      <c r="F47" s="26" t="n">
        <f aca="false">IFERROR(D47/E47,0)</f>
        <v>0</v>
      </c>
      <c r="G47" s="25" t="n">
        <f aca="false">E47-D47</f>
        <v>4</v>
      </c>
      <c r="H47" s="25" t="n">
        <v>4</v>
      </c>
      <c r="I47" s="25" t="n">
        <v>5</v>
      </c>
      <c r="J47" s="25" t="n">
        <v>1</v>
      </c>
      <c r="K47" s="25" t="n">
        <v>1</v>
      </c>
      <c r="L47" s="25" t="n">
        <v>1</v>
      </c>
      <c r="M47" s="46" t="n">
        <f aca="false">IF(H47=0,"",I47*(1+$T$1)/H47)</f>
        <v>1.81651727153476</v>
      </c>
      <c r="N47" s="46" t="n">
        <f aca="false">IF(J47=0,"",L47/J47)</f>
        <v>1</v>
      </c>
      <c r="O47" s="46" t="n">
        <f aca="false">IF(COUNT(M47:N47)=0,$T$2,AVERAGE(M47:N47))</f>
        <v>1.40825863576738</v>
      </c>
      <c r="P47" s="25" t="n">
        <f aca="false">ROUND(D47*O47,0)</f>
        <v>0</v>
      </c>
      <c r="Q47" s="26" t="n">
        <f aca="false">IFERROR(P47/E47,0)</f>
        <v>0</v>
      </c>
      <c r="R47" s="47" t="n">
        <f aca="false">P47-E47</f>
        <v>-4</v>
      </c>
      <c r="S47" s="48" t="str">
        <f aca="false">IF(R47&gt;0,"要 追加発注",IF(Q47&gt;=0.9,"要注意(90%超)",IF(Q47&gt;=0.5,"適正","在庫余剰見込")))</f>
        <v>在庫余剰見込</v>
      </c>
      <c r="T47" s="25" t="n">
        <f aca="false">IF(R47&gt;0,ROUNDUP(R47*1.1,0),0)</f>
        <v>0</v>
      </c>
      <c r="U47" s="22" t="s">
        <v>219</v>
      </c>
      <c r="V47" s="49" t="s">
        <v>229</v>
      </c>
    </row>
    <row r="48" customFormat="false" ht="15" hidden="false" customHeight="false" outlineLevel="0" collapsed="false">
      <c r="A48" s="22" t="n">
        <v>42</v>
      </c>
      <c r="B48" s="22" t="s">
        <v>169</v>
      </c>
      <c r="C48" s="23" t="s">
        <v>170</v>
      </c>
      <c r="D48" s="25" t="n">
        <v>1</v>
      </c>
      <c r="E48" s="25" t="n">
        <v>6</v>
      </c>
      <c r="F48" s="26" t="n">
        <f aca="false">IFERROR(D48/E48,0)</f>
        <v>0.166666666666667</v>
      </c>
      <c r="G48" s="25" t="n">
        <f aca="false">E48-D48</f>
        <v>5</v>
      </c>
      <c r="H48" s="25" t="n">
        <v>3</v>
      </c>
      <c r="I48" s="25" t="n">
        <v>7</v>
      </c>
      <c r="J48" s="25" t="n">
        <v>1</v>
      </c>
      <c r="K48" s="25" t="n">
        <v>2</v>
      </c>
      <c r="L48" s="25" t="n">
        <v>2</v>
      </c>
      <c r="M48" s="46" t="n">
        <f aca="false">IF(H48=0,"",I48*(1+$T$1)/H48)</f>
        <v>3.39083224019822</v>
      </c>
      <c r="N48" s="46" t="n">
        <f aca="false">IF(J48=0,"",L48/J48)</f>
        <v>2</v>
      </c>
      <c r="O48" s="46" t="n">
        <f aca="false">IF(COUNT(M48:N48)=0,$T$2,AVERAGE(M48:N48))</f>
        <v>2.69541612009911</v>
      </c>
      <c r="P48" s="25" t="n">
        <f aca="false">ROUND(D48*O48,0)</f>
        <v>3</v>
      </c>
      <c r="Q48" s="26" t="n">
        <f aca="false">IFERROR(P48/E48,0)</f>
        <v>0.5</v>
      </c>
      <c r="R48" s="47" t="n">
        <f aca="false">P48-E48</f>
        <v>-3</v>
      </c>
      <c r="S48" s="48" t="str">
        <f aca="false">IF(R48&gt;0,"要 追加発注",IF(Q48&gt;=0.9,"要注意(90%超)",IF(Q48&gt;=0.5,"適正","在庫余剰見込")))</f>
        <v>適正</v>
      </c>
      <c r="T48" s="25" t="n">
        <f aca="false">IF(R48&gt;0,ROUNDUP(R48*1.1,0),0)</f>
        <v>0</v>
      </c>
      <c r="U48" s="22" t="s">
        <v>219</v>
      </c>
      <c r="V48" s="49" t="s">
        <v>230</v>
      </c>
    </row>
    <row r="49" customFormat="false" ht="15" hidden="false" customHeight="false" outlineLevel="0" collapsed="false">
      <c r="A49" s="28"/>
      <c r="B49" s="28"/>
      <c r="C49" s="29" t="s">
        <v>171</v>
      </c>
      <c r="D49" s="30" t="n">
        <f aca="false">SUM(D7:D48)</f>
        <v>4189</v>
      </c>
      <c r="E49" s="30" t="n">
        <f aca="false">SUM(E7:E48)</f>
        <v>50196</v>
      </c>
      <c r="F49" s="31" t="n">
        <f aca="false">IFERROR(D49/E49,0)</f>
        <v>0.0834528647701012</v>
      </c>
      <c r="G49" s="30" t="n">
        <f aca="false">SUM(G7:G48)</f>
        <v>46007</v>
      </c>
      <c r="H49" s="30" t="n">
        <f aca="false">SUM(H7:H48)</f>
        <v>27730</v>
      </c>
      <c r="I49" s="30" t="n">
        <f aca="false">SUM(I7:I48)</f>
        <v>51253</v>
      </c>
      <c r="J49" s="30" t="n">
        <f aca="false">SUM(J7:J48)</f>
        <v>12341</v>
      </c>
      <c r="K49" s="30" t="n">
        <f aca="false">SUM(K7:K48)</f>
        <v>22870</v>
      </c>
      <c r="L49" s="30" t="n">
        <f aca="false">SUM(L7:L48)</f>
        <v>33235</v>
      </c>
      <c r="M49" s="28"/>
      <c r="N49" s="28"/>
      <c r="O49" s="50" t="n">
        <f aca="false">IFERROR(P49/D49,0)</f>
        <v>2.59226545714968</v>
      </c>
      <c r="P49" s="30" t="n">
        <f aca="false">SUM(P7:P48)</f>
        <v>10859</v>
      </c>
      <c r="Q49" s="31" t="n">
        <f aca="false">IFERROR(P49/E49,0)</f>
        <v>0.216331978643717</v>
      </c>
      <c r="R49" s="30" t="n">
        <f aca="false">SUM(R7:R48)</f>
        <v>-39337</v>
      </c>
      <c r="S49" s="28" t="str">
        <f aca="false">COUNTIF(S7:S48,"要 追加発注")&amp;"品目 が要発注"</f>
        <v>5品目 が要発注</v>
      </c>
      <c r="T49" s="30" t="n">
        <f aca="false">SUM(T7:T48)</f>
        <v>268</v>
      </c>
      <c r="U49" s="28"/>
      <c r="V49" s="28"/>
    </row>
  </sheetData>
  <conditionalFormatting sqref="S7:S48">
    <cfRule type="expression" priority="2" aboveAverage="0" equalAverage="0" bottom="0" percent="0" rank="0" text="" dxfId="0">
      <formula>$S7="要 追加発注"</formula>
    </cfRule>
    <cfRule type="expression" priority="3" aboveAverage="0" equalAverage="0" bottom="0" percent="0" rank="0" text="" dxfId="1">
      <formula>$S7="要注意(90%超)"</formula>
    </cfRule>
    <cfRule type="expression" priority="4" aboveAverage="0" equalAverage="0" bottom="0" percent="0" rank="0" text="" dxfId="2">
      <formula>$S7="適正"</formula>
    </cfRule>
    <cfRule type="expression" priority="5" aboveAverage="0" equalAverage="0" bottom="0" percent="0" rank="0" text="" dxfId="3">
      <formula>$S7="在庫余剰見込"</formula>
    </cfRule>
  </conditionalFormatting>
  <conditionalFormatting sqref="Q7:Q48">
    <cfRule type="expression" priority="6" aboveAverage="0" equalAverage="0" bottom="0" percent="0" rank="0" text="" dxfId="4">
      <formula>$Q7&gt;=1</formula>
    </cfRule>
  </conditionalFormatting>
  <conditionalFormatting sqref="F7:F48">
    <cfRule type="expression" priority="7" aboveAverage="0" equalAverage="0" bottom="0" percent="0" rank="0" text="" dxfId="5">
      <formula>$F7&gt;=0.6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9" min="5" style="0" width="8"/>
    <col collapsed="false" customWidth="true" hidden="false" outlineLevel="0" max="11" min="10" style="0" width="9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22" min="17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30" min="26" style="0" width="9"/>
    <col collapsed="false" customWidth="true" hidden="false" outlineLevel="0" max="31" min="31" style="0" width="10"/>
    <col collapsed="false" customWidth="true" hidden="false" outlineLevel="0" max="37" min="32" style="0" width="9"/>
    <col collapsed="false" customWidth="true" hidden="false" outlineLevel="0" max="38" min="38" style="0" width="12"/>
    <col collapsed="false" customWidth="true" hidden="false" outlineLevel="0" max="39" min="39" style="0" width="9"/>
    <col collapsed="false" customWidth="true" hidden="false" outlineLevel="0" max="40" min="40" style="0" width="10"/>
    <col collapsed="false" customWidth="true" hidden="false" outlineLevel="0" max="41" min="41" style="0" width="12"/>
    <col collapsed="false" customWidth="true" hidden="false" outlineLevel="0" max="42" min="42" style="0" width="11"/>
  </cols>
  <sheetData>
    <row r="1" customFormat="false" ht="17.15" hidden="false" customHeight="false" outlineLevel="0" collapsed="false">
      <c r="A1" s="11" t="s">
        <v>231</v>
      </c>
    </row>
    <row r="2" customFormat="false" ht="15" hidden="false" customHeight="false" outlineLevel="0" collapsed="false">
      <c r="A2" s="3" t="s">
        <v>232</v>
      </c>
    </row>
    <row r="5" customFormat="false" ht="19.5" hidden="false" customHeight="true" outlineLevel="0" collapsed="false">
      <c r="A5" s="13" t="s">
        <v>233</v>
      </c>
      <c r="B5" s="13"/>
      <c r="C5" s="13"/>
      <c r="D5" s="13"/>
      <c r="E5" s="14" t="s">
        <v>234</v>
      </c>
      <c r="F5" s="14"/>
      <c r="G5" s="14"/>
      <c r="H5" s="14"/>
      <c r="I5" s="14"/>
      <c r="J5" s="14"/>
      <c r="K5" s="14"/>
      <c r="L5" s="14"/>
      <c r="M5" s="35" t="s">
        <v>235</v>
      </c>
      <c r="N5" s="35"/>
      <c r="O5" s="35"/>
      <c r="P5" s="35"/>
      <c r="Q5" s="35"/>
      <c r="R5" s="51" t="s">
        <v>236</v>
      </c>
      <c r="S5" s="51"/>
      <c r="T5" s="51"/>
      <c r="U5" s="51"/>
      <c r="V5" s="51"/>
      <c r="W5" s="51"/>
      <c r="X5" s="15" t="s">
        <v>237</v>
      </c>
      <c r="Y5" s="15"/>
      <c r="Z5" s="15"/>
      <c r="AA5" s="15"/>
      <c r="AB5" s="15"/>
      <c r="AC5" s="15"/>
      <c r="AD5" s="16" t="s">
        <v>238</v>
      </c>
      <c r="AE5" s="16"/>
      <c r="AF5" s="16"/>
      <c r="AG5" s="16"/>
      <c r="AH5" s="16"/>
      <c r="AI5" s="16"/>
      <c r="AJ5" s="16"/>
      <c r="AK5" s="17" t="s">
        <v>239</v>
      </c>
      <c r="AL5" s="17"/>
      <c r="AM5" s="17"/>
      <c r="AN5" s="17"/>
      <c r="AO5" s="17"/>
      <c r="AP5" s="17"/>
    </row>
    <row r="6" customFormat="false" ht="33.75" hidden="false" customHeight="true" outlineLevel="0" collapsed="false">
      <c r="A6" s="33" t="s">
        <v>74</v>
      </c>
      <c r="B6" s="33" t="s">
        <v>75</v>
      </c>
      <c r="C6" s="34" t="s">
        <v>76</v>
      </c>
      <c r="D6" s="34" t="s">
        <v>240</v>
      </c>
      <c r="E6" s="37" t="s">
        <v>241</v>
      </c>
      <c r="F6" s="37" t="s">
        <v>242</v>
      </c>
      <c r="G6" s="37" t="s">
        <v>243</v>
      </c>
      <c r="H6" s="37" t="s">
        <v>244</v>
      </c>
      <c r="I6" s="37" t="s">
        <v>245</v>
      </c>
      <c r="J6" s="18" t="s">
        <v>246</v>
      </c>
      <c r="K6" s="37" t="s">
        <v>247</v>
      </c>
      <c r="L6" s="37" t="s">
        <v>248</v>
      </c>
      <c r="M6" s="44" t="s">
        <v>249</v>
      </c>
      <c r="N6" s="38" t="s">
        <v>250</v>
      </c>
      <c r="O6" s="44" t="s">
        <v>251</v>
      </c>
      <c r="P6" s="44" t="s">
        <v>252</v>
      </c>
      <c r="Q6" s="38" t="s">
        <v>253</v>
      </c>
      <c r="R6" s="52" t="s">
        <v>254</v>
      </c>
      <c r="S6" s="52" t="s">
        <v>255</v>
      </c>
      <c r="T6" s="52" t="s">
        <v>256</v>
      </c>
      <c r="U6" s="52" t="s">
        <v>257</v>
      </c>
      <c r="V6" s="52" t="s">
        <v>258</v>
      </c>
      <c r="W6" s="52" t="s">
        <v>259</v>
      </c>
      <c r="X6" s="19" t="s">
        <v>246</v>
      </c>
      <c r="Y6" s="19" t="s">
        <v>260</v>
      </c>
      <c r="Z6" s="53" t="s">
        <v>261</v>
      </c>
      <c r="AA6" s="19" t="s">
        <v>249</v>
      </c>
      <c r="AB6" s="19" t="s">
        <v>262</v>
      </c>
      <c r="AC6" s="19" t="s">
        <v>257</v>
      </c>
      <c r="AD6" s="20" t="s">
        <v>246</v>
      </c>
      <c r="AE6" s="20" t="s">
        <v>263</v>
      </c>
      <c r="AF6" s="54" t="s">
        <v>264</v>
      </c>
      <c r="AG6" s="54" t="s">
        <v>265</v>
      </c>
      <c r="AH6" s="20" t="s">
        <v>249</v>
      </c>
      <c r="AI6" s="20" t="s">
        <v>262</v>
      </c>
      <c r="AJ6" s="20" t="s">
        <v>257</v>
      </c>
      <c r="AK6" s="39" t="s">
        <v>209</v>
      </c>
      <c r="AL6" s="39" t="s">
        <v>266</v>
      </c>
      <c r="AM6" s="39" t="s">
        <v>211</v>
      </c>
      <c r="AN6" s="39" t="s">
        <v>267</v>
      </c>
      <c r="AO6" s="39" t="s">
        <v>213</v>
      </c>
      <c r="AP6" s="39" t="s">
        <v>268</v>
      </c>
    </row>
    <row r="7" customFormat="false" ht="15" hidden="false" customHeight="false" outlineLevel="0" collapsed="false">
      <c r="A7" s="22" t="n">
        <v>1</v>
      </c>
      <c r="B7" s="22" t="s">
        <v>87</v>
      </c>
      <c r="C7" s="23" t="s">
        <v>88</v>
      </c>
      <c r="D7" s="24" t="n">
        <v>500</v>
      </c>
      <c r="E7" s="25" t="n">
        <v>72</v>
      </c>
      <c r="F7" s="25" t="n">
        <v>23</v>
      </c>
      <c r="G7" s="25" t="n">
        <v>26</v>
      </c>
      <c r="H7" s="25" t="n">
        <v>49</v>
      </c>
      <c r="I7" s="25" t="n">
        <v>35</v>
      </c>
      <c r="J7" s="25" t="n">
        <f aca="false">E7</f>
        <v>72</v>
      </c>
      <c r="K7" s="25" t="n">
        <f aca="false">SUM(E7:I7)</f>
        <v>205</v>
      </c>
      <c r="L7" s="24" t="n">
        <f aca="false">K7*D7</f>
        <v>102500</v>
      </c>
      <c r="M7" s="26" t="n">
        <f aca="false">IFERROR(J7/J$49,0)</f>
        <v>0.0404040404040404</v>
      </c>
      <c r="N7" s="26" t="n">
        <f aca="false">IFERROR(K7/K$49,0)</f>
        <v>0.0489376939603724</v>
      </c>
      <c r="O7" s="26" t="n">
        <f aca="false">IFERROR(L7/L$49,0)</f>
        <v>0.0308809351651</v>
      </c>
      <c r="P7" s="22" t="n">
        <f aca="false">IF(J7=0,"-",RANK(J7,J$7:J$48))</f>
        <v>6</v>
      </c>
      <c r="Q7" s="22" t="n">
        <f aca="false">IF(K7=0,"-",RANK(K7,K$7:K$48))</f>
        <v>7</v>
      </c>
      <c r="R7" s="25" t="n">
        <v>1000</v>
      </c>
      <c r="S7" s="25" t="n">
        <v>1000</v>
      </c>
      <c r="T7" s="25" t="n">
        <f aca="false">S7-K7</f>
        <v>795</v>
      </c>
      <c r="U7" s="26" t="n">
        <f aca="false">IFERROR(K7/S7,0)</f>
        <v>0.205</v>
      </c>
      <c r="V7" s="55" t="n">
        <f aca="false">K7/5</f>
        <v>41</v>
      </c>
      <c r="W7" s="25" t="str">
        <f aca="false">IF(V7=0,"—",IF(T7/V7&gt;=15,"15日超",ROUND(T7/V7,0)))</f>
        <v>15日超</v>
      </c>
      <c r="X7" s="25" t="n">
        <v>159</v>
      </c>
      <c r="Y7" s="25" t="n">
        <v>605</v>
      </c>
      <c r="Z7" s="25" t="n">
        <v>1125</v>
      </c>
      <c r="AA7" s="26" t="n">
        <f aca="false">IFERROR(X7/X$49,0)</f>
        <v>0.0255791505791506</v>
      </c>
      <c r="AB7" s="26" t="n">
        <f aca="false">IFERROR(Y7/Y$49,0)</f>
        <v>0.0218175261449693</v>
      </c>
      <c r="AC7" s="26" t="n">
        <f aca="false">IFERROR(Z7/2000,0)</f>
        <v>0.5625</v>
      </c>
      <c r="AD7" s="25" t="n">
        <v>107</v>
      </c>
      <c r="AE7" s="25" t="n">
        <v>361</v>
      </c>
      <c r="AF7" s="25" t="n">
        <v>987</v>
      </c>
      <c r="AG7" s="25" t="n">
        <v>1092</v>
      </c>
      <c r="AH7" s="26" t="n">
        <f aca="false">IFERROR(AD7/AD$49,0)</f>
        <v>0.0278936392075078</v>
      </c>
      <c r="AI7" s="26" t="n">
        <f aca="false">IFERROR(AE7/AE$49,0)</f>
        <v>0.0330434782608696</v>
      </c>
      <c r="AJ7" s="26" t="n">
        <f aca="false">IFERROR(AG7/1099,0)</f>
        <v>0.993630573248408</v>
      </c>
      <c r="AK7" s="46" t="n">
        <f aca="false">③追加発注判定!O7</f>
        <v>2.52893284501816</v>
      </c>
      <c r="AL7" s="25" t="n">
        <f aca="false">③追加発注判定!P7</f>
        <v>518</v>
      </c>
      <c r="AM7" s="26" t="n">
        <f aca="false">③追加発注判定!Q7</f>
        <v>0.518</v>
      </c>
      <c r="AN7" s="47" t="n">
        <f aca="false">③追加発注判定!R7</f>
        <v>-482</v>
      </c>
      <c r="AO7" s="48" t="str">
        <f aca="false">③追加発注判定!S7</f>
        <v>適正</v>
      </c>
      <c r="AP7" s="25" t="n">
        <f aca="false">③追加発注判定!T7</f>
        <v>0</v>
      </c>
    </row>
    <row r="8" customFormat="false" ht="15" hidden="false" customHeight="false" outlineLevel="0" collapsed="false">
      <c r="A8" s="22" t="n">
        <v>2</v>
      </c>
      <c r="B8" s="22" t="s">
        <v>89</v>
      </c>
      <c r="C8" s="23" t="s">
        <v>90</v>
      </c>
      <c r="D8" s="24" t="n">
        <v>600</v>
      </c>
      <c r="E8" s="25" t="n">
        <v>66</v>
      </c>
      <c r="F8" s="25" t="n">
        <v>23</v>
      </c>
      <c r="G8" s="25" t="n">
        <v>31</v>
      </c>
      <c r="H8" s="25" t="n">
        <v>61</v>
      </c>
      <c r="I8" s="25" t="n">
        <v>52</v>
      </c>
      <c r="J8" s="25" t="n">
        <f aca="false">E8</f>
        <v>66</v>
      </c>
      <c r="K8" s="25" t="n">
        <f aca="false">SUM(E8:I8)</f>
        <v>233</v>
      </c>
      <c r="L8" s="24" t="n">
        <f aca="false">K8*D8</f>
        <v>139800</v>
      </c>
      <c r="M8" s="26" t="n">
        <f aca="false">IFERROR(J8/J$49,0)</f>
        <v>0.037037037037037</v>
      </c>
      <c r="N8" s="26" t="n">
        <f aca="false">IFERROR(K8/K$49,0)</f>
        <v>0.0556218667939842</v>
      </c>
      <c r="O8" s="26" t="n">
        <f aca="false">IFERROR(L8/L$49,0)</f>
        <v>0.042118582791034</v>
      </c>
      <c r="P8" s="22" t="n">
        <f aca="false">IF(J8=0,"-",RANK(J8,J$7:J$48))</f>
        <v>7</v>
      </c>
      <c r="Q8" s="22" t="n">
        <f aca="false">IF(K8=0,"-",RANK(K8,K$7:K$48))</f>
        <v>5</v>
      </c>
      <c r="R8" s="25" t="n">
        <v>1000</v>
      </c>
      <c r="S8" s="25" t="n">
        <v>1000</v>
      </c>
      <c r="T8" s="25" t="n">
        <f aca="false">S8-K8</f>
        <v>767</v>
      </c>
      <c r="U8" s="26" t="n">
        <f aca="false">IFERROR(K8/S8,0)</f>
        <v>0.233</v>
      </c>
      <c r="V8" s="55" t="n">
        <f aca="false">K8/5</f>
        <v>46.6</v>
      </c>
      <c r="W8" s="25" t="str">
        <f aca="false">IF(V8=0,"—",IF(T8/V8&gt;=15,"15日超",ROUND(T8/V8,0)))</f>
        <v>15日超</v>
      </c>
      <c r="X8" s="25" t="n">
        <v>154</v>
      </c>
      <c r="Y8" s="25" t="n">
        <v>616</v>
      </c>
      <c r="Z8" s="25" t="n">
        <v>1190</v>
      </c>
      <c r="AA8" s="26" t="n">
        <f aca="false">IFERROR(X8/X$49,0)</f>
        <v>0.0247747747747748</v>
      </c>
      <c r="AB8" s="26" t="n">
        <f aca="false">IFERROR(Y8/Y$49,0)</f>
        <v>0.0222142084385142</v>
      </c>
      <c r="AC8" s="26" t="n">
        <f aca="false">IFERROR(Z8/2000,0)</f>
        <v>0.595</v>
      </c>
      <c r="AD8" s="25" t="n">
        <v>88</v>
      </c>
      <c r="AE8" s="25" t="n">
        <v>307</v>
      </c>
      <c r="AF8" s="25" t="n">
        <v>898</v>
      </c>
      <c r="AG8" s="25" t="n">
        <v>1132</v>
      </c>
      <c r="AH8" s="26" t="n">
        <f aca="false">IFERROR(AD8/AD$49,0)</f>
        <v>0.0229405630865485</v>
      </c>
      <c r="AI8" s="26" t="n">
        <f aca="false">IFERROR(AE8/AE$49,0)</f>
        <v>0.0281006864988558</v>
      </c>
      <c r="AJ8" s="26" t="n">
        <f aca="false">IFERROR(AG8/1200,0)</f>
        <v>0.943333333333333</v>
      </c>
      <c r="AK8" s="46" t="n">
        <f aca="false">③追加発注判定!O8</f>
        <v>2.64058703764601</v>
      </c>
      <c r="AL8" s="25" t="n">
        <f aca="false">③追加発注判定!P8</f>
        <v>615</v>
      </c>
      <c r="AM8" s="26" t="n">
        <f aca="false">③追加発注判定!Q8</f>
        <v>0.615</v>
      </c>
      <c r="AN8" s="47" t="n">
        <f aca="false">③追加発注判定!R8</f>
        <v>-385</v>
      </c>
      <c r="AO8" s="48" t="str">
        <f aca="false">③追加発注判定!S8</f>
        <v>適正</v>
      </c>
      <c r="AP8" s="25" t="n">
        <f aca="false">③追加発注判定!T8</f>
        <v>0</v>
      </c>
    </row>
    <row r="9" customFormat="false" ht="15" hidden="false" customHeight="false" outlineLevel="0" collapsed="false">
      <c r="A9" s="22" t="n">
        <v>3</v>
      </c>
      <c r="B9" s="22" t="s">
        <v>91</v>
      </c>
      <c r="C9" s="23" t="s">
        <v>92</v>
      </c>
      <c r="D9" s="24" t="n">
        <v>1000</v>
      </c>
      <c r="E9" s="25" t="n">
        <v>39</v>
      </c>
      <c r="F9" s="25" t="n">
        <v>12</v>
      </c>
      <c r="G9" s="25" t="n">
        <v>7</v>
      </c>
      <c r="H9" s="25" t="n">
        <v>16</v>
      </c>
      <c r="I9" s="25" t="n">
        <v>10</v>
      </c>
      <c r="J9" s="25" t="n">
        <f aca="false">E9</f>
        <v>39</v>
      </c>
      <c r="K9" s="25" t="n">
        <f aca="false">SUM(E9:I9)</f>
        <v>84</v>
      </c>
      <c r="L9" s="24" t="n">
        <f aca="false">K9*D9</f>
        <v>84000</v>
      </c>
      <c r="M9" s="26" t="n">
        <f aca="false">IFERROR(J9/J$49,0)</f>
        <v>0.0218855218855219</v>
      </c>
      <c r="N9" s="26" t="n">
        <f aca="false">IFERROR(K9/K$49,0)</f>
        <v>0.0200525185008355</v>
      </c>
      <c r="O9" s="26" t="n">
        <f aca="false">IFERROR(L9/L$49,0)</f>
        <v>0.0253073029645698</v>
      </c>
      <c r="P9" s="22" t="n">
        <f aca="false">IF(J9=0,"-",RANK(J9,J$7:J$48))</f>
        <v>9</v>
      </c>
      <c r="Q9" s="22" t="n">
        <f aca="false">IF(K9=0,"-",RANK(K9,K$7:K$48))</f>
        <v>12</v>
      </c>
      <c r="R9" s="25" t="n">
        <v>450</v>
      </c>
      <c r="S9" s="25" t="n">
        <v>450</v>
      </c>
      <c r="T9" s="25" t="n">
        <f aca="false">S9-K9</f>
        <v>366</v>
      </c>
      <c r="U9" s="26" t="n">
        <f aca="false">IFERROR(K9/S9,0)</f>
        <v>0.186666666666667</v>
      </c>
      <c r="V9" s="55" t="n">
        <f aca="false">K9/5</f>
        <v>16.8</v>
      </c>
      <c r="W9" s="25" t="str">
        <f aca="false">IF(V9=0,"—",IF(T9/V9&gt;=15,"15日超",ROUND(T9/V9,0)))</f>
        <v>15日超</v>
      </c>
      <c r="X9" s="25" t="n">
        <v>103</v>
      </c>
      <c r="Y9" s="25" t="n">
        <v>349</v>
      </c>
      <c r="Z9" s="25" t="n">
        <v>532</v>
      </c>
      <c r="AA9" s="26" t="n">
        <f aca="false">IFERROR(X9/X$49,0)</f>
        <v>0.0165701415701416</v>
      </c>
      <c r="AB9" s="26" t="n">
        <f aca="false">IFERROR(Y9/Y$49,0)</f>
        <v>0.012585647313379</v>
      </c>
      <c r="AC9" s="26" t="n">
        <f aca="false">IFERROR(Z9/1200,0)</f>
        <v>0.443333333333333</v>
      </c>
      <c r="AD9" s="25" t="n">
        <v>42</v>
      </c>
      <c r="AE9" s="25" t="n">
        <v>141</v>
      </c>
      <c r="AF9" s="25" t="n">
        <v>384</v>
      </c>
      <c r="AG9" s="25" t="n">
        <v>454</v>
      </c>
      <c r="AH9" s="26" t="n">
        <f aca="false">IFERROR(AD9/AD$49,0)</f>
        <v>0.0109489051094891</v>
      </c>
      <c r="AI9" s="26" t="n">
        <f aca="false">IFERROR(AE9/AE$49,0)</f>
        <v>0.0129061784897025</v>
      </c>
      <c r="AJ9" s="26" t="n">
        <f aca="false">IFERROR(AG9/500,0)</f>
        <v>0.908</v>
      </c>
      <c r="AK9" s="46" t="n">
        <f aca="false">③追加発注判定!O9</f>
        <v>2.26423359881091</v>
      </c>
      <c r="AL9" s="25" t="n">
        <f aca="false">③追加発注判定!P9</f>
        <v>190</v>
      </c>
      <c r="AM9" s="26" t="n">
        <f aca="false">③追加発注判定!Q9</f>
        <v>0.422222222222222</v>
      </c>
      <c r="AN9" s="47" t="n">
        <f aca="false">③追加発注判定!R9</f>
        <v>-260</v>
      </c>
      <c r="AO9" s="48" t="str">
        <f aca="false">③追加発注判定!S9</f>
        <v>在庫余剰見込</v>
      </c>
      <c r="AP9" s="25" t="n">
        <f aca="false">③追加発注判定!T9</f>
        <v>0</v>
      </c>
    </row>
    <row r="10" customFormat="false" ht="15" hidden="false" customHeight="false" outlineLevel="0" collapsed="false">
      <c r="A10" s="22" t="n">
        <v>4</v>
      </c>
      <c r="B10" s="22" t="s">
        <v>93</v>
      </c>
      <c r="C10" s="23" t="s">
        <v>94</v>
      </c>
      <c r="D10" s="24" t="n">
        <v>1800</v>
      </c>
      <c r="E10" s="25" t="n">
        <v>52</v>
      </c>
      <c r="F10" s="25" t="n">
        <v>13</v>
      </c>
      <c r="G10" s="25" t="n">
        <v>13</v>
      </c>
      <c r="H10" s="25" t="n">
        <v>28</v>
      </c>
      <c r="I10" s="25" t="n">
        <v>16</v>
      </c>
      <c r="J10" s="25" t="n">
        <f aca="false">E10</f>
        <v>52</v>
      </c>
      <c r="K10" s="25" t="n">
        <f aca="false">SUM(E10:I10)</f>
        <v>122</v>
      </c>
      <c r="L10" s="24" t="n">
        <f aca="false">K10*D10</f>
        <v>219600</v>
      </c>
      <c r="M10" s="26" t="n">
        <f aca="false">IFERROR(J10/J$49,0)</f>
        <v>0.0291806958473625</v>
      </c>
      <c r="N10" s="26" t="n">
        <f aca="false">IFERROR(K10/K$49,0)</f>
        <v>0.0291238959178802</v>
      </c>
      <c r="O10" s="26" t="n">
        <f aca="false">IFERROR(L10/L$49,0)</f>
        <v>0.0661605206073753</v>
      </c>
      <c r="P10" s="22" t="n">
        <f aca="false">IF(J10=0,"-",RANK(J10,J$7:J$48))</f>
        <v>8</v>
      </c>
      <c r="Q10" s="22" t="n">
        <f aca="false">IF(K10=0,"-",RANK(K10,K$7:K$48))</f>
        <v>10</v>
      </c>
      <c r="R10" s="25" t="n">
        <v>800</v>
      </c>
      <c r="S10" s="25" t="n">
        <v>800</v>
      </c>
      <c r="T10" s="25" t="n">
        <f aca="false">S10-K10</f>
        <v>678</v>
      </c>
      <c r="U10" s="26" t="n">
        <f aca="false">IFERROR(K10/S10,0)</f>
        <v>0.1525</v>
      </c>
      <c r="V10" s="55" t="n">
        <f aca="false">K10/5</f>
        <v>24.4</v>
      </c>
      <c r="W10" s="25" t="str">
        <f aca="false">IF(V10=0,"—",IF(T10/V10&gt;=15,"15日超",ROUND(T10/V10,0)))</f>
        <v>15日超</v>
      </c>
      <c r="X10" s="25" t="n">
        <v>196</v>
      </c>
      <c r="Y10" s="25" t="n">
        <v>553</v>
      </c>
      <c r="Z10" s="25" t="n">
        <v>817</v>
      </c>
      <c r="AA10" s="26" t="n">
        <f aca="false">IFERROR(X10/X$49,0)</f>
        <v>0.0315315315315315</v>
      </c>
      <c r="AB10" s="26" t="n">
        <f aca="false">IFERROR(Y10/Y$49,0)</f>
        <v>0.0199423007573026</v>
      </c>
      <c r="AC10" s="26" t="n">
        <f aca="false">IFERROR(Z10/1330,0)</f>
        <v>0.614285714285714</v>
      </c>
      <c r="AD10" s="25" t="n">
        <v>66</v>
      </c>
      <c r="AE10" s="25" t="n">
        <v>188</v>
      </c>
      <c r="AF10" s="25" t="n">
        <v>442</v>
      </c>
      <c r="AG10" s="25" t="n">
        <v>539</v>
      </c>
      <c r="AH10" s="26" t="n">
        <f aca="false">IFERROR(AD10/AD$49,0)</f>
        <v>0.0172054223149114</v>
      </c>
      <c r="AI10" s="26" t="n">
        <f aca="false">IFERROR(AE10/AE$49,0)</f>
        <v>0.01720823798627</v>
      </c>
      <c r="AJ10" s="26" t="n">
        <f aca="false">IFERROR(AG10/800,0)</f>
        <v>0.67375</v>
      </c>
      <c r="AK10" s="46" t="n">
        <f aca="false">③追加発注判定!O10</f>
        <v>2.11593898631447</v>
      </c>
      <c r="AL10" s="25" t="n">
        <f aca="false">③追加発注判定!P10</f>
        <v>258</v>
      </c>
      <c r="AM10" s="26" t="n">
        <f aca="false">③追加発注判定!Q10</f>
        <v>0.3225</v>
      </c>
      <c r="AN10" s="47" t="n">
        <f aca="false">③追加発注判定!R10</f>
        <v>-542</v>
      </c>
      <c r="AO10" s="48" t="str">
        <f aca="false">③追加発注判定!S10</f>
        <v>在庫余剰見込</v>
      </c>
      <c r="AP10" s="25" t="n">
        <f aca="false">③追加発注判定!T10</f>
        <v>0</v>
      </c>
    </row>
    <row r="11" customFormat="false" ht="15" hidden="false" customHeight="false" outlineLevel="0" collapsed="false">
      <c r="A11" s="22" t="n">
        <v>5</v>
      </c>
      <c r="B11" s="22" t="s">
        <v>95</v>
      </c>
      <c r="C11" s="23" t="s">
        <v>96</v>
      </c>
      <c r="D11" s="24" t="n">
        <v>600</v>
      </c>
      <c r="E11" s="25" t="n">
        <v>174</v>
      </c>
      <c r="F11" s="25" t="n">
        <v>16</v>
      </c>
      <c r="G11" s="25" t="n">
        <v>13</v>
      </c>
      <c r="H11" s="25" t="n">
        <v>24</v>
      </c>
      <c r="I11" s="25" t="n">
        <v>20</v>
      </c>
      <c r="J11" s="25" t="n">
        <f aca="false">E11</f>
        <v>174</v>
      </c>
      <c r="K11" s="25" t="n">
        <f aca="false">SUM(E11:I11)</f>
        <v>247</v>
      </c>
      <c r="L11" s="24" t="n">
        <f aca="false">K11*D11</f>
        <v>148200</v>
      </c>
      <c r="M11" s="26" t="n">
        <f aca="false">IFERROR(J11/J$49,0)</f>
        <v>0.0976430976430976</v>
      </c>
      <c r="N11" s="26" t="n">
        <f aca="false">IFERROR(K11/K$49,0)</f>
        <v>0.0589639532107902</v>
      </c>
      <c r="O11" s="26" t="n">
        <f aca="false">IFERROR(L11/L$49,0)</f>
        <v>0.044649313087491</v>
      </c>
      <c r="P11" s="22" t="n">
        <f aca="false">IF(J11=0,"-",RANK(J11,J$7:J$48))</f>
        <v>4</v>
      </c>
      <c r="Q11" s="22" t="n">
        <f aca="false">IF(K11=0,"-",RANK(K11,K$7:K$48))</f>
        <v>4</v>
      </c>
      <c r="R11" s="25" t="n">
        <v>9000</v>
      </c>
      <c r="S11" s="25" t="n">
        <v>9000</v>
      </c>
      <c r="T11" s="25" t="n">
        <f aca="false">S11-K11</f>
        <v>8753</v>
      </c>
      <c r="U11" s="26" t="n">
        <f aca="false">IFERROR(K11/S11,0)</f>
        <v>0.0274444444444444</v>
      </c>
      <c r="V11" s="55" t="n">
        <f aca="false">K11/5</f>
        <v>49.4</v>
      </c>
      <c r="W11" s="25" t="str">
        <f aca="false">IF(V11=0,"—",IF(T11/V11&gt;=15,"15日超",ROUND(T11/V11,0)))</f>
        <v>15日超</v>
      </c>
      <c r="X11" s="25" t="n">
        <v>1089</v>
      </c>
      <c r="Y11" s="25" t="n">
        <v>5070</v>
      </c>
      <c r="Z11" s="25" t="n">
        <v>9400</v>
      </c>
      <c r="AA11" s="26" t="n">
        <f aca="false">IFERROR(X11/X$49,0)</f>
        <v>0.17519305019305</v>
      </c>
      <c r="AB11" s="26" t="n">
        <f aca="false">IFERROR(Y11/Y$49,0)</f>
        <v>0.182834475297512</v>
      </c>
      <c r="AC11" s="26" t="n">
        <f aca="false">IFERROR(Z11/14505,0)</f>
        <v>0.648052395725612</v>
      </c>
      <c r="AD11" s="25" t="n">
        <v>618</v>
      </c>
      <c r="AE11" s="25" t="n">
        <v>1927</v>
      </c>
      <c r="AF11" s="25" t="n">
        <v>6948</v>
      </c>
      <c r="AG11" s="25" t="n">
        <v>8991</v>
      </c>
      <c r="AH11" s="26" t="n">
        <f aca="false">IFERROR(AD11/AD$49,0)</f>
        <v>0.161105318039625</v>
      </c>
      <c r="AI11" s="26" t="n">
        <f aca="false">IFERROR(AE11/AE$49,0)</f>
        <v>0.176384439359268</v>
      </c>
      <c r="AJ11" s="26" t="n">
        <f aca="false">IFERROR(AG11/9000,0)</f>
        <v>0.999</v>
      </c>
      <c r="AK11" s="46" t="n">
        <f aca="false">③追加発注判定!O11</f>
        <v>2.90361235076727</v>
      </c>
      <c r="AL11" s="25" t="n">
        <f aca="false">③追加発注判定!P11</f>
        <v>717</v>
      </c>
      <c r="AM11" s="26" t="n">
        <f aca="false">③追加発注判定!Q11</f>
        <v>0.0796666666666667</v>
      </c>
      <c r="AN11" s="47" t="n">
        <f aca="false">③追加発注判定!R11</f>
        <v>-8283</v>
      </c>
      <c r="AO11" s="48" t="str">
        <f aca="false">③追加発注判定!S11</f>
        <v>在庫余剰見込</v>
      </c>
      <c r="AP11" s="25" t="n">
        <f aca="false">③追加発注判定!T11</f>
        <v>0</v>
      </c>
    </row>
    <row r="12" customFormat="false" ht="15" hidden="false" customHeight="false" outlineLevel="0" collapsed="false">
      <c r="A12" s="22" t="n">
        <v>6</v>
      </c>
      <c r="B12" s="22" t="s">
        <v>97</v>
      </c>
      <c r="C12" s="23" t="s">
        <v>98</v>
      </c>
      <c r="D12" s="24" t="n">
        <v>600</v>
      </c>
      <c r="E12" s="25" t="n">
        <v>407</v>
      </c>
      <c r="F12" s="25" t="n">
        <v>74</v>
      </c>
      <c r="G12" s="25" t="n">
        <v>55</v>
      </c>
      <c r="H12" s="25" t="n">
        <v>53</v>
      </c>
      <c r="I12" s="25" t="n">
        <v>27</v>
      </c>
      <c r="J12" s="25" t="n">
        <f aca="false">E12</f>
        <v>407</v>
      </c>
      <c r="K12" s="25" t="n">
        <f aca="false">SUM(E12:I12)</f>
        <v>616</v>
      </c>
      <c r="L12" s="24" t="n">
        <f aca="false">K12*D12</f>
        <v>369600</v>
      </c>
      <c r="M12" s="26" t="n">
        <f aca="false">IFERROR(J12/J$49,0)</f>
        <v>0.228395061728395</v>
      </c>
      <c r="N12" s="26" t="n">
        <f aca="false">IFERROR(K12/K$49,0)</f>
        <v>0.147051802339461</v>
      </c>
      <c r="O12" s="26" t="n">
        <f aca="false">IFERROR(L12/L$49,0)</f>
        <v>0.111352133044107</v>
      </c>
      <c r="P12" s="22" t="n">
        <f aca="false">IF(J12=0,"-",RANK(J12,J$7:J$48))</f>
        <v>1</v>
      </c>
      <c r="Q12" s="22" t="n">
        <f aca="false">IF(K12=0,"-",RANK(K12,K$7:K$48))</f>
        <v>2</v>
      </c>
      <c r="R12" s="25" t="n">
        <v>13995</v>
      </c>
      <c r="S12" s="25" t="n">
        <v>13991</v>
      </c>
      <c r="T12" s="25" t="n">
        <f aca="false">S12-K12</f>
        <v>13375</v>
      </c>
      <c r="U12" s="26" t="n">
        <f aca="false">IFERROR(K12/S12,0)</f>
        <v>0.0440283039096562</v>
      </c>
      <c r="V12" s="55" t="n">
        <f aca="false">K12/5</f>
        <v>123.2</v>
      </c>
      <c r="W12" s="25" t="str">
        <f aca="false">IF(V12=0,"—",IF(T12/V12&gt;=15,"15日超",ROUND(T12/V12,0)))</f>
        <v>15日超</v>
      </c>
      <c r="X12" s="25" t="n">
        <v>1543</v>
      </c>
      <c r="Y12" s="25" t="n">
        <v>6714</v>
      </c>
      <c r="Z12" s="25" t="n">
        <v>13632</v>
      </c>
      <c r="AA12" s="26" t="n">
        <f aca="false">IFERROR(X12/X$49,0)</f>
        <v>0.248230373230373</v>
      </c>
      <c r="AB12" s="26" t="n">
        <f aca="false">IFERROR(Y12/Y$49,0)</f>
        <v>0.242120447169131</v>
      </c>
      <c r="AC12" s="26" t="n">
        <f aca="false">IFERROR(Z12/12439,0)</f>
        <v>1.09590803119222</v>
      </c>
      <c r="AD12" s="25" t="n">
        <v>942</v>
      </c>
      <c r="AE12" s="25" t="n">
        <v>2531</v>
      </c>
      <c r="AF12" s="25" t="n">
        <v>8314</v>
      </c>
      <c r="AG12" s="25" t="n">
        <v>13877</v>
      </c>
      <c r="AH12" s="26" t="n">
        <f aca="false">IFERROR(AD12/AD$49,0)</f>
        <v>0.245568300312826</v>
      </c>
      <c r="AI12" s="26" t="n">
        <f aca="false">IFERROR(AE12/AE$49,0)</f>
        <v>0.231670480549199</v>
      </c>
      <c r="AJ12" s="26" t="n">
        <f aca="false">IFERROR(AG12/13986,0)</f>
        <v>0.992206492206492</v>
      </c>
      <c r="AK12" s="46" t="n">
        <f aca="false">③追加発注判定!O12</f>
        <v>2.94108813597534</v>
      </c>
      <c r="AL12" s="25" t="n">
        <f aca="false">③追加発注判定!P12</f>
        <v>1812</v>
      </c>
      <c r="AM12" s="26" t="n">
        <f aca="false">③追加発注判定!Q12</f>
        <v>0.12951182903295</v>
      </c>
      <c r="AN12" s="47" t="n">
        <f aca="false">③追加発注判定!R12</f>
        <v>-12179</v>
      </c>
      <c r="AO12" s="48" t="str">
        <f aca="false">③追加発注判定!S12</f>
        <v>在庫余剰見込</v>
      </c>
      <c r="AP12" s="25" t="n">
        <f aca="false">③追加発注判定!T12</f>
        <v>0</v>
      </c>
    </row>
    <row r="13" customFormat="false" ht="15" hidden="false" customHeight="false" outlineLevel="0" collapsed="false">
      <c r="A13" s="22" t="n">
        <v>7</v>
      </c>
      <c r="B13" s="22" t="s">
        <v>99</v>
      </c>
      <c r="C13" s="23" t="s">
        <v>100</v>
      </c>
      <c r="D13" s="24" t="n">
        <v>600</v>
      </c>
      <c r="E13" s="25" t="n">
        <v>28</v>
      </c>
      <c r="F13" s="25" t="n">
        <v>4</v>
      </c>
      <c r="G13" s="25" t="n">
        <v>13</v>
      </c>
      <c r="H13" s="25" t="n">
        <v>10</v>
      </c>
      <c r="I13" s="25" t="n">
        <v>24</v>
      </c>
      <c r="J13" s="25" t="n">
        <f aca="false">E13</f>
        <v>28</v>
      </c>
      <c r="K13" s="25" t="n">
        <f aca="false">SUM(E13:I13)</f>
        <v>79</v>
      </c>
      <c r="L13" s="24" t="n">
        <f aca="false">K13*D13</f>
        <v>47400</v>
      </c>
      <c r="M13" s="26" t="n">
        <f aca="false">IFERROR(J13/J$49,0)</f>
        <v>0.015712682379349</v>
      </c>
      <c r="N13" s="26" t="n">
        <f aca="false">IFERROR(K13/K$49,0)</f>
        <v>0.0188589162091191</v>
      </c>
      <c r="O13" s="26" t="n">
        <f aca="false">IFERROR(L13/L$49,0)</f>
        <v>0.0142805495300072</v>
      </c>
      <c r="P13" s="22" t="n">
        <f aca="false">IF(J13=0,"-",RANK(J13,J$7:J$48))</f>
        <v>12</v>
      </c>
      <c r="Q13" s="22" t="n">
        <f aca="false">IF(K13=0,"-",RANK(K13,K$7:K$48))</f>
        <v>13</v>
      </c>
      <c r="R13" s="25" t="n">
        <v>350</v>
      </c>
      <c r="S13" s="25" t="n">
        <v>350</v>
      </c>
      <c r="T13" s="25" t="n">
        <f aca="false">S13-K13</f>
        <v>271</v>
      </c>
      <c r="U13" s="26" t="n">
        <f aca="false">IFERROR(K13/S13,0)</f>
        <v>0.225714285714286</v>
      </c>
      <c r="V13" s="55" t="n">
        <f aca="false">K13/5</f>
        <v>15.8</v>
      </c>
      <c r="W13" s="25" t="str">
        <f aca="false">IF(V13=0,"—",IF(T13/V13&gt;=15,"15日超",ROUND(T13/V13,0)))</f>
        <v>15日超</v>
      </c>
      <c r="X13" s="25" t="n">
        <v>70</v>
      </c>
      <c r="Y13" s="25" t="n">
        <v>209</v>
      </c>
      <c r="Z13" s="25" t="n">
        <v>433</v>
      </c>
      <c r="AA13" s="26" t="n">
        <f aca="false">IFERROR(X13/X$49,0)</f>
        <v>0.0112612612612613</v>
      </c>
      <c r="AB13" s="26" t="n">
        <f aca="false">IFERROR(Y13/Y$49,0)</f>
        <v>0.00753696357735305</v>
      </c>
      <c r="AC13" s="26" t="n">
        <f aca="false">IFERROR(Z13/1389,0)</f>
        <v>0.311735061195104</v>
      </c>
      <c r="AD13" s="25" t="n">
        <v>72</v>
      </c>
      <c r="AE13" s="25" t="n">
        <v>133</v>
      </c>
      <c r="AF13" s="25" t="n">
        <v>349</v>
      </c>
      <c r="AG13" s="25" t="n">
        <v>384</v>
      </c>
      <c r="AH13" s="26" t="n">
        <f aca="false">IFERROR(AD13/AD$49,0)</f>
        <v>0.0187695516162669</v>
      </c>
      <c r="AI13" s="26" t="n">
        <f aca="false">IFERROR(AE13/AE$49,0)</f>
        <v>0.0121739130434783</v>
      </c>
      <c r="AJ13" s="26" t="n">
        <f aca="false">IFERROR(AG13/400,0)</f>
        <v>0.96</v>
      </c>
      <c r="AK13" s="46" t="n">
        <f aca="false">③追加発注判定!O13</f>
        <v>2.68441669247425</v>
      </c>
      <c r="AL13" s="25" t="n">
        <f aca="false">③追加発注判定!P13</f>
        <v>212</v>
      </c>
      <c r="AM13" s="26" t="n">
        <f aca="false">③追加発注判定!Q13</f>
        <v>0.605714285714286</v>
      </c>
      <c r="AN13" s="47" t="n">
        <f aca="false">③追加発注判定!R13</f>
        <v>-138</v>
      </c>
      <c r="AO13" s="48" t="str">
        <f aca="false">③追加発注判定!S13</f>
        <v>適正</v>
      </c>
      <c r="AP13" s="25" t="n">
        <f aca="false">③追加発注判定!T13</f>
        <v>0</v>
      </c>
    </row>
    <row r="14" customFormat="false" ht="15" hidden="false" customHeight="false" outlineLevel="0" collapsed="false">
      <c r="A14" s="22" t="n">
        <v>8</v>
      </c>
      <c r="B14" s="22" t="s">
        <v>101</v>
      </c>
      <c r="C14" s="23" t="s">
        <v>102</v>
      </c>
      <c r="D14" s="24" t="n">
        <v>600</v>
      </c>
      <c r="E14" s="25" t="n">
        <v>39</v>
      </c>
      <c r="F14" s="25" t="n">
        <v>15</v>
      </c>
      <c r="G14" s="25" t="n">
        <v>13</v>
      </c>
      <c r="H14" s="25" t="n">
        <v>40</v>
      </c>
      <c r="I14" s="25" t="n">
        <v>28</v>
      </c>
      <c r="J14" s="25" t="n">
        <f aca="false">E14</f>
        <v>39</v>
      </c>
      <c r="K14" s="25" t="n">
        <f aca="false">SUM(E14:I14)</f>
        <v>135</v>
      </c>
      <c r="L14" s="24" t="n">
        <f aca="false">K14*D14</f>
        <v>81000</v>
      </c>
      <c r="M14" s="26" t="n">
        <f aca="false">IFERROR(J14/J$49,0)</f>
        <v>0.0218855218855219</v>
      </c>
      <c r="N14" s="26" t="n">
        <f aca="false">IFERROR(K14/K$49,0)</f>
        <v>0.0322272618763428</v>
      </c>
      <c r="O14" s="26" t="n">
        <f aca="false">IFERROR(L14/L$49,0)</f>
        <v>0.0244034707158351</v>
      </c>
      <c r="P14" s="22" t="n">
        <f aca="false">IF(J14=0,"-",RANK(J14,J$7:J$48))</f>
        <v>9</v>
      </c>
      <c r="Q14" s="22" t="n">
        <f aca="false">IF(K14=0,"-",RANK(K14,K$7:K$48))</f>
        <v>8</v>
      </c>
      <c r="R14" s="25" t="n">
        <v>900</v>
      </c>
      <c r="S14" s="25" t="n">
        <v>900</v>
      </c>
      <c r="T14" s="25" t="n">
        <f aca="false">S14-K14</f>
        <v>765</v>
      </c>
      <c r="U14" s="26" t="n">
        <f aca="false">IFERROR(K14/S14,0)</f>
        <v>0.15</v>
      </c>
      <c r="V14" s="55" t="n">
        <f aca="false">K14/5</f>
        <v>27</v>
      </c>
      <c r="W14" s="25" t="str">
        <f aca="false">IF(V14=0,"—",IF(T14/V14&gt;=15,"15日超",ROUND(T14/V14,0)))</f>
        <v>15日超</v>
      </c>
      <c r="X14" s="25" t="n">
        <v>106</v>
      </c>
      <c r="Y14" s="25" t="n">
        <v>432</v>
      </c>
      <c r="Z14" s="25" t="n">
        <v>926</v>
      </c>
      <c r="AA14" s="26" t="n">
        <f aca="false">IFERROR(X14/X$49,0)</f>
        <v>0.0170527670527671</v>
      </c>
      <c r="AB14" s="26" t="n">
        <f aca="false">IFERROR(Y14/Y$49,0)</f>
        <v>0.0155787955283087</v>
      </c>
      <c r="AC14" s="26" t="n">
        <f aca="false">IFERROR(Z14/2240,0)</f>
        <v>0.413392857142857</v>
      </c>
      <c r="AD14" s="25" t="n">
        <v>82</v>
      </c>
      <c r="AE14" s="25" t="n">
        <v>201</v>
      </c>
      <c r="AF14" s="25" t="n">
        <v>608</v>
      </c>
      <c r="AG14" s="25" t="n">
        <v>799</v>
      </c>
      <c r="AH14" s="26" t="n">
        <f aca="false">IFERROR(AD14/AD$49,0)</f>
        <v>0.0213764337851929</v>
      </c>
      <c r="AI14" s="26" t="n">
        <f aca="false">IFERROR(AE14/AE$49,0)</f>
        <v>0.0183981693363844</v>
      </c>
      <c r="AJ14" s="26" t="n">
        <f aca="false">IFERROR(AG14/840,0)</f>
        <v>0.951190476190476</v>
      </c>
      <c r="AK14" s="46" t="n">
        <f aca="false">③追加発注判定!O14</f>
        <v>2.85111238557399</v>
      </c>
      <c r="AL14" s="25" t="n">
        <f aca="false">③追加発注判定!P14</f>
        <v>385</v>
      </c>
      <c r="AM14" s="26" t="n">
        <f aca="false">③追加発注判定!Q14</f>
        <v>0.427777777777778</v>
      </c>
      <c r="AN14" s="47" t="n">
        <f aca="false">③追加発注判定!R14</f>
        <v>-515</v>
      </c>
      <c r="AO14" s="48" t="str">
        <f aca="false">③追加発注判定!S14</f>
        <v>在庫余剰見込</v>
      </c>
      <c r="AP14" s="25" t="n">
        <f aca="false">③追加発注判定!T14</f>
        <v>0</v>
      </c>
    </row>
    <row r="15" customFormat="false" ht="15" hidden="false" customHeight="false" outlineLevel="0" collapsed="false">
      <c r="A15" s="22" t="n">
        <v>9</v>
      </c>
      <c r="B15" s="22" t="s">
        <v>103</v>
      </c>
      <c r="C15" s="23" t="s">
        <v>104</v>
      </c>
      <c r="D15" s="24" t="n">
        <v>600</v>
      </c>
      <c r="E15" s="25" t="n">
        <v>28</v>
      </c>
      <c r="F15" s="25" t="n">
        <v>10</v>
      </c>
      <c r="G15" s="25" t="n">
        <v>9</v>
      </c>
      <c r="H15" s="25" t="n">
        <v>14</v>
      </c>
      <c r="I15" s="25" t="n">
        <v>14</v>
      </c>
      <c r="J15" s="25" t="n">
        <f aca="false">E15</f>
        <v>28</v>
      </c>
      <c r="K15" s="25" t="n">
        <f aca="false">SUM(E15:I15)</f>
        <v>75</v>
      </c>
      <c r="L15" s="24" t="n">
        <f aca="false">K15*D15</f>
        <v>45000</v>
      </c>
      <c r="M15" s="26" t="n">
        <f aca="false">IFERROR(J15/J$49,0)</f>
        <v>0.015712682379349</v>
      </c>
      <c r="N15" s="26" t="n">
        <f aca="false">IFERROR(K15/K$49,0)</f>
        <v>0.017904034375746</v>
      </c>
      <c r="O15" s="26" t="n">
        <f aca="false">IFERROR(L15/L$49,0)</f>
        <v>0.0135574837310195</v>
      </c>
      <c r="P15" s="22" t="n">
        <f aca="false">IF(J15=0,"-",RANK(J15,J$7:J$48))</f>
        <v>12</v>
      </c>
      <c r="Q15" s="22" t="n">
        <f aca="false">IF(K15=0,"-",RANK(K15,K$7:K$48))</f>
        <v>14</v>
      </c>
      <c r="R15" s="25" t="n">
        <v>300</v>
      </c>
      <c r="S15" s="25" t="n">
        <v>300</v>
      </c>
      <c r="T15" s="25" t="n">
        <f aca="false">S15-K15</f>
        <v>225</v>
      </c>
      <c r="U15" s="26" t="n">
        <f aca="false">IFERROR(K15/S15,0)</f>
        <v>0.25</v>
      </c>
      <c r="V15" s="55" t="n">
        <f aca="false">K15/5</f>
        <v>15</v>
      </c>
      <c r="W15" s="25" t="str">
        <f aca="false">IF(V15=0,"—",IF(T15/V15&gt;=15,"15日超",ROUND(T15/V15,0)))</f>
        <v>15日超</v>
      </c>
      <c r="X15" s="25" t="n">
        <v>73</v>
      </c>
      <c r="Y15" s="25" t="n">
        <v>197</v>
      </c>
      <c r="Z15" s="25" t="n">
        <v>276</v>
      </c>
      <c r="AA15" s="26" t="n">
        <f aca="false">IFERROR(X15/X$49,0)</f>
        <v>0.0117438867438867</v>
      </c>
      <c r="AB15" s="26" t="n">
        <f aca="false">IFERROR(Y15/Y$49,0)</f>
        <v>0.00710421925712225</v>
      </c>
      <c r="AC15" s="26" t="n">
        <f aca="false">IFERROR(Z15/950,0)</f>
        <v>0.290526315789474</v>
      </c>
      <c r="AD15" s="25" t="n">
        <v>50</v>
      </c>
      <c r="AE15" s="25" t="n">
        <v>127</v>
      </c>
      <c r="AF15" s="25" t="n">
        <v>265</v>
      </c>
      <c r="AG15" s="25" t="n">
        <v>301</v>
      </c>
      <c r="AH15" s="26" t="n">
        <f aca="false">IFERROR(AD15/AD$49,0)</f>
        <v>0.0130344108446298</v>
      </c>
      <c r="AI15" s="26" t="n">
        <f aca="false">IFERROR(AE15/AE$49,0)</f>
        <v>0.0116247139588101</v>
      </c>
      <c r="AJ15" s="26" t="n">
        <f aca="false">IFERROR(AG15/300,0)</f>
        <v>1.00333333333333</v>
      </c>
      <c r="AK15" s="46" t="n">
        <f aca="false">③追加発注判定!O15</f>
        <v>1.95770365610464</v>
      </c>
      <c r="AL15" s="25" t="n">
        <f aca="false">③追加発注判定!P15</f>
        <v>147</v>
      </c>
      <c r="AM15" s="26" t="n">
        <f aca="false">③追加発注判定!Q15</f>
        <v>0.49</v>
      </c>
      <c r="AN15" s="47" t="n">
        <f aca="false">③追加発注判定!R15</f>
        <v>-153</v>
      </c>
      <c r="AO15" s="48" t="str">
        <f aca="false">③追加発注判定!S15</f>
        <v>在庫余剰見込</v>
      </c>
      <c r="AP15" s="25" t="n">
        <f aca="false">③追加発注判定!T15</f>
        <v>0</v>
      </c>
    </row>
    <row r="16" customFormat="false" ht="15" hidden="false" customHeight="false" outlineLevel="0" collapsed="false">
      <c r="A16" s="22" t="n">
        <v>10</v>
      </c>
      <c r="B16" s="22" t="s">
        <v>105</v>
      </c>
      <c r="C16" s="23" t="s">
        <v>106</v>
      </c>
      <c r="D16" s="24" t="n">
        <v>600</v>
      </c>
      <c r="E16" s="25" t="n">
        <v>18</v>
      </c>
      <c r="F16" s="25" t="n">
        <v>2</v>
      </c>
      <c r="G16" s="25" t="n">
        <v>4</v>
      </c>
      <c r="H16" s="25" t="n">
        <v>2</v>
      </c>
      <c r="I16" s="25" t="n">
        <v>4</v>
      </c>
      <c r="J16" s="25" t="n">
        <f aca="false">E16</f>
        <v>18</v>
      </c>
      <c r="K16" s="25" t="n">
        <f aca="false">SUM(E16:I16)</f>
        <v>30</v>
      </c>
      <c r="L16" s="24" t="n">
        <f aca="false">K16*D16</f>
        <v>18000</v>
      </c>
      <c r="M16" s="26" t="n">
        <f aca="false">IFERROR(J16/J$49,0)</f>
        <v>0.0101010101010101</v>
      </c>
      <c r="N16" s="26" t="n">
        <f aca="false">IFERROR(K16/K$49,0)</f>
        <v>0.0071616137502984</v>
      </c>
      <c r="O16" s="26" t="n">
        <f aca="false">IFERROR(L16/L$49,0)</f>
        <v>0.00542299349240781</v>
      </c>
      <c r="P16" s="22" t="n">
        <f aca="false">IF(J16=0,"-",RANK(J16,J$7:J$48))</f>
        <v>16</v>
      </c>
      <c r="Q16" s="22" t="n">
        <f aca="false">IF(K16=0,"-",RANK(K16,K$7:K$48))</f>
        <v>19</v>
      </c>
      <c r="R16" s="25" t="n">
        <v>100</v>
      </c>
      <c r="S16" s="25" t="n">
        <v>100</v>
      </c>
      <c r="T16" s="25" t="n">
        <f aca="false">S16-K16</f>
        <v>70</v>
      </c>
      <c r="U16" s="26" t="n">
        <f aca="false">IFERROR(K16/S16,0)</f>
        <v>0.3</v>
      </c>
      <c r="V16" s="55" t="n">
        <f aca="false">K16/5</f>
        <v>6</v>
      </c>
      <c r="W16" s="25" t="n">
        <f aca="false">IF(V16=0,"—",IF(T16/V16&gt;=15,"15日超",ROUND(T16/V16,0)))</f>
        <v>12</v>
      </c>
      <c r="X16" s="25" t="n">
        <v>24</v>
      </c>
      <c r="Y16" s="25" t="n">
        <v>78</v>
      </c>
      <c r="Z16" s="25" t="n">
        <v>118</v>
      </c>
      <c r="AA16" s="26" t="n">
        <f aca="false">IFERROR(X16/X$49,0)</f>
        <v>0.00386100386100386</v>
      </c>
      <c r="AB16" s="26" t="n">
        <f aca="false">IFERROR(Y16/Y$49,0)</f>
        <v>0.00281283808150018</v>
      </c>
      <c r="AC16" s="26" t="n">
        <f aca="false">IFERROR(Z16/410,0)</f>
        <v>0.28780487804878</v>
      </c>
      <c r="AD16" s="25" t="n">
        <v>28</v>
      </c>
      <c r="AE16" s="25" t="n">
        <v>61</v>
      </c>
      <c r="AF16" s="25" t="n">
        <v>108</v>
      </c>
      <c r="AG16" s="25" t="n">
        <v>123</v>
      </c>
      <c r="AH16" s="26" t="n">
        <f aca="false">IFERROR(AD16/AD$49,0)</f>
        <v>0.0072992700729927</v>
      </c>
      <c r="AI16" s="26" t="n">
        <f aca="false">IFERROR(AE16/AE$49,0)</f>
        <v>0.00558352402745995</v>
      </c>
      <c r="AJ16" s="26" t="n">
        <f aca="false">IFERROR(AG16/180,0)</f>
        <v>0.683333333333333</v>
      </c>
      <c r="AK16" s="46" t="n">
        <f aca="false">③追加発注判定!O16</f>
        <v>1.92999506687745</v>
      </c>
      <c r="AL16" s="25" t="n">
        <f aca="false">③追加発注判定!P16</f>
        <v>58</v>
      </c>
      <c r="AM16" s="26" t="n">
        <f aca="false">③追加発注判定!Q16</f>
        <v>0.58</v>
      </c>
      <c r="AN16" s="47" t="n">
        <f aca="false">③追加発注判定!R16</f>
        <v>-42</v>
      </c>
      <c r="AO16" s="48" t="str">
        <f aca="false">③追加発注判定!S16</f>
        <v>適正</v>
      </c>
      <c r="AP16" s="25" t="n">
        <f aca="false">③追加発注判定!T16</f>
        <v>0</v>
      </c>
    </row>
    <row r="17" customFormat="false" ht="15" hidden="false" customHeight="false" outlineLevel="0" collapsed="false">
      <c r="A17" s="22" t="n">
        <v>11</v>
      </c>
      <c r="B17" s="22" t="s">
        <v>107</v>
      </c>
      <c r="C17" s="23" t="s">
        <v>108</v>
      </c>
      <c r="D17" s="24" t="n">
        <v>600</v>
      </c>
      <c r="E17" s="25" t="n">
        <v>0</v>
      </c>
      <c r="F17" s="25" t="n">
        <v>1</v>
      </c>
      <c r="G17" s="25" t="n">
        <v>2</v>
      </c>
      <c r="H17" s="25" t="n">
        <v>4</v>
      </c>
      <c r="I17" s="25" t="n">
        <v>1</v>
      </c>
      <c r="J17" s="25" t="n">
        <f aca="false">E17</f>
        <v>0</v>
      </c>
      <c r="K17" s="25" t="n">
        <f aca="false">SUM(E17:I17)</f>
        <v>8</v>
      </c>
      <c r="L17" s="24" t="n">
        <f aca="false">K17*D17</f>
        <v>4800</v>
      </c>
      <c r="M17" s="26" t="n">
        <f aca="false">IFERROR(J17/J$49,0)</f>
        <v>0</v>
      </c>
      <c r="N17" s="26" t="n">
        <f aca="false">IFERROR(K17/K$49,0)</f>
        <v>0.00190976366674624</v>
      </c>
      <c r="O17" s="26" t="n">
        <f aca="false">IFERROR(L17/L$49,0)</f>
        <v>0.00144613159797542</v>
      </c>
      <c r="P17" s="22" t="str">
        <f aca="false">IF(J17=0,"-",RANK(J17,J$7:J$48))</f>
        <v>-</v>
      </c>
      <c r="Q17" s="22" t="n">
        <f aca="false">IF(K17=0,"-",RANK(K17,K$7:K$48))</f>
        <v>28</v>
      </c>
      <c r="R17" s="25" t="n">
        <v>50</v>
      </c>
      <c r="S17" s="25" t="n">
        <v>50</v>
      </c>
      <c r="T17" s="25" t="n">
        <f aca="false">S17-K17</f>
        <v>42</v>
      </c>
      <c r="U17" s="26" t="n">
        <f aca="false">IFERROR(K17/S17,0)</f>
        <v>0.16</v>
      </c>
      <c r="V17" s="55" t="n">
        <f aca="false">K17/5</f>
        <v>1.6</v>
      </c>
      <c r="W17" s="25" t="str">
        <f aca="false">IF(V17=0,"—",IF(T17/V17&gt;=15,"15日超",ROUND(T17/V17,0)))</f>
        <v>15日超</v>
      </c>
      <c r="X17" s="25" t="n">
        <v>2</v>
      </c>
      <c r="Y17" s="25" t="n">
        <v>8</v>
      </c>
      <c r="Z17" s="25" t="n">
        <v>22</v>
      </c>
      <c r="AA17" s="26" t="n">
        <f aca="false">IFERROR(X17/X$49,0)</f>
        <v>0.000321750321750322</v>
      </c>
      <c r="AB17" s="26" t="n">
        <f aca="false">IFERROR(Y17/Y$49,0)</f>
        <v>0.000288496213487198</v>
      </c>
      <c r="AC17" s="26" t="n">
        <f aca="false">IFERROR(Z17/90,0)</f>
        <v>0.244444444444444</v>
      </c>
      <c r="AD17" s="25" t="n">
        <v>4</v>
      </c>
      <c r="AE17" s="25" t="n">
        <v>10</v>
      </c>
      <c r="AF17" s="25" t="n">
        <v>30</v>
      </c>
      <c r="AG17" s="25" t="n">
        <v>30</v>
      </c>
      <c r="AH17" s="26" t="n">
        <f aca="false">IFERROR(AD17/AD$49,0)</f>
        <v>0.00104275286757039</v>
      </c>
      <c r="AI17" s="26" t="n">
        <f aca="false">IFERROR(AE17/AE$49,0)</f>
        <v>0.00091533180778032</v>
      </c>
      <c r="AJ17" s="26" t="n">
        <f aca="false">IFERROR(AG17/30,0)</f>
        <v>1</v>
      </c>
      <c r="AK17" s="46" t="n">
        <f aca="false">③追加発注判定!O17</f>
        <v>3.49816899868824</v>
      </c>
      <c r="AL17" s="25" t="n">
        <f aca="false">③追加発注判定!P17</f>
        <v>28</v>
      </c>
      <c r="AM17" s="26" t="n">
        <f aca="false">③追加発注判定!Q17</f>
        <v>0.56</v>
      </c>
      <c r="AN17" s="47" t="n">
        <f aca="false">③追加発注判定!R17</f>
        <v>-22</v>
      </c>
      <c r="AO17" s="48" t="str">
        <f aca="false">③追加発注判定!S17</f>
        <v>適正</v>
      </c>
      <c r="AP17" s="25" t="n">
        <f aca="false">③追加発注判定!T17</f>
        <v>0</v>
      </c>
    </row>
    <row r="18" customFormat="false" ht="15" hidden="false" customHeight="false" outlineLevel="0" collapsed="false">
      <c r="A18" s="22" t="n">
        <v>12</v>
      </c>
      <c r="B18" s="22" t="s">
        <v>109</v>
      </c>
      <c r="C18" s="23" t="s">
        <v>110</v>
      </c>
      <c r="D18" s="24" t="n">
        <v>600</v>
      </c>
      <c r="E18" s="25" t="n">
        <v>1</v>
      </c>
      <c r="F18" s="25" t="n">
        <v>3</v>
      </c>
      <c r="G18" s="25" t="n">
        <v>2</v>
      </c>
      <c r="H18" s="25" t="n">
        <v>3</v>
      </c>
      <c r="I18" s="25" t="n">
        <v>3</v>
      </c>
      <c r="J18" s="25" t="n">
        <f aca="false">E18</f>
        <v>1</v>
      </c>
      <c r="K18" s="25" t="n">
        <f aca="false">SUM(E18:I18)</f>
        <v>12</v>
      </c>
      <c r="L18" s="24" t="n">
        <f aca="false">K18*D18</f>
        <v>7200</v>
      </c>
      <c r="M18" s="26" t="n">
        <f aca="false">IFERROR(J18/J$49,0)</f>
        <v>0.000561167227833895</v>
      </c>
      <c r="N18" s="26" t="n">
        <f aca="false">IFERROR(K18/K$49,0)</f>
        <v>0.00286464550011936</v>
      </c>
      <c r="O18" s="26" t="n">
        <f aca="false">IFERROR(L18/L$49,0)</f>
        <v>0.00216919739696312</v>
      </c>
      <c r="P18" s="22" t="n">
        <f aca="false">IF(J18=0,"-",RANK(J18,J$7:J$48))</f>
        <v>30</v>
      </c>
      <c r="Q18" s="22" t="n">
        <f aca="false">IF(K18=0,"-",RANK(K18,K$7:K$48))</f>
        <v>26</v>
      </c>
      <c r="R18" s="25" t="n">
        <v>50</v>
      </c>
      <c r="S18" s="25" t="n">
        <v>50</v>
      </c>
      <c r="T18" s="25" t="n">
        <f aca="false">S18-K18</f>
        <v>38</v>
      </c>
      <c r="U18" s="26" t="n">
        <f aca="false">IFERROR(K18/S18,0)</f>
        <v>0.24</v>
      </c>
      <c r="V18" s="55" t="n">
        <f aca="false">K18/5</f>
        <v>2.4</v>
      </c>
      <c r="W18" s="25" t="str">
        <f aca="false">IF(V18=0,"—",IF(T18/V18&gt;=15,"15日超",ROUND(T18/V18,0)))</f>
        <v>15日超</v>
      </c>
      <c r="X18" s="25" t="n">
        <v>9</v>
      </c>
      <c r="Y18" s="25" t="n">
        <v>33</v>
      </c>
      <c r="Z18" s="25" t="n">
        <v>52</v>
      </c>
      <c r="AA18" s="26" t="n">
        <f aca="false">IFERROR(X18/X$49,0)</f>
        <v>0.00144787644787645</v>
      </c>
      <c r="AB18" s="26" t="n">
        <f aca="false">IFERROR(Y18/Y$49,0)</f>
        <v>0.00119004688063469</v>
      </c>
      <c r="AC18" s="26" t="n">
        <f aca="false">IFERROR(Z18/120,0)</f>
        <v>0.433333333333333</v>
      </c>
      <c r="AD18" s="25" t="n">
        <v>6</v>
      </c>
      <c r="AE18" s="25" t="n">
        <v>13</v>
      </c>
      <c r="AF18" s="25" t="n">
        <v>43</v>
      </c>
      <c r="AG18" s="25" t="n">
        <v>54</v>
      </c>
      <c r="AH18" s="26" t="n">
        <f aca="false">IFERROR(AD18/AD$49,0)</f>
        <v>0.00156412930135558</v>
      </c>
      <c r="AI18" s="26" t="n">
        <f aca="false">IFERROR(AE18/AE$49,0)</f>
        <v>0.00118993135011442</v>
      </c>
      <c r="AJ18" s="26" t="n">
        <f aca="false">IFERROR(AG18/80,0)</f>
        <v>0.675</v>
      </c>
      <c r="AK18" s="46" t="n">
        <f aca="false">③追加発注判定!O18</f>
        <v>2.79880249469231</v>
      </c>
      <c r="AL18" s="25" t="n">
        <f aca="false">③追加発注判定!P18</f>
        <v>34</v>
      </c>
      <c r="AM18" s="26" t="n">
        <f aca="false">③追加発注判定!Q18</f>
        <v>0.68</v>
      </c>
      <c r="AN18" s="47" t="n">
        <f aca="false">③追加発注判定!R18</f>
        <v>-16</v>
      </c>
      <c r="AO18" s="48" t="str">
        <f aca="false">③追加発注判定!S18</f>
        <v>適正</v>
      </c>
      <c r="AP18" s="25" t="n">
        <f aca="false">③追加発注判定!T18</f>
        <v>0</v>
      </c>
    </row>
    <row r="19" customFormat="false" ht="15" hidden="false" customHeight="false" outlineLevel="0" collapsed="false">
      <c r="A19" s="22" t="n">
        <v>13</v>
      </c>
      <c r="B19" s="22" t="s">
        <v>111</v>
      </c>
      <c r="C19" s="23" t="s">
        <v>112</v>
      </c>
      <c r="D19" s="24" t="n">
        <v>600</v>
      </c>
      <c r="E19" s="25" t="n">
        <v>0</v>
      </c>
      <c r="F19" s="25" t="n">
        <v>1</v>
      </c>
      <c r="G19" s="25" t="n">
        <v>0</v>
      </c>
      <c r="H19" s="25" t="n">
        <v>1</v>
      </c>
      <c r="I19" s="25" t="n">
        <v>1</v>
      </c>
      <c r="J19" s="25" t="n">
        <f aca="false">E19</f>
        <v>0</v>
      </c>
      <c r="K19" s="25" t="n">
        <f aca="false">SUM(E19:I19)</f>
        <v>3</v>
      </c>
      <c r="L19" s="24" t="n">
        <f aca="false">K19*D19</f>
        <v>1800</v>
      </c>
      <c r="M19" s="26" t="n">
        <f aca="false">IFERROR(J19/J$49,0)</f>
        <v>0</v>
      </c>
      <c r="N19" s="26" t="n">
        <f aca="false">IFERROR(K19/K$49,0)</f>
        <v>0.00071616137502984</v>
      </c>
      <c r="O19" s="26" t="n">
        <f aca="false">IFERROR(L19/L$49,0)</f>
        <v>0.000542299349240781</v>
      </c>
      <c r="P19" s="22" t="str">
        <f aca="false">IF(J19=0,"-",RANK(J19,J$7:J$48))</f>
        <v>-</v>
      </c>
      <c r="Q19" s="22" t="n">
        <f aca="false">IF(K19=0,"-",RANK(K19,K$7:K$48))</f>
        <v>31</v>
      </c>
      <c r="R19" s="25" t="n">
        <v>50</v>
      </c>
      <c r="S19" s="25" t="n">
        <v>50</v>
      </c>
      <c r="T19" s="25" t="n">
        <f aca="false">S19-K19</f>
        <v>47</v>
      </c>
      <c r="U19" s="26" t="n">
        <f aca="false">IFERROR(K19/S19,0)</f>
        <v>0.06</v>
      </c>
      <c r="V19" s="55" t="n">
        <f aca="false">K19/5</f>
        <v>0.6</v>
      </c>
      <c r="W19" s="25" t="str">
        <f aca="false">IF(V19=0,"—",IF(T19/V19&gt;=15,"15日超",ROUND(T19/V19,0)))</f>
        <v>15日超</v>
      </c>
      <c r="X19" s="25" t="n">
        <v>1</v>
      </c>
      <c r="Y19" s="25" t="n">
        <v>6</v>
      </c>
      <c r="Z19" s="25" t="n">
        <v>14</v>
      </c>
      <c r="AA19" s="26" t="n">
        <f aca="false">IFERROR(X19/X$49,0)</f>
        <v>0.000160875160875161</v>
      </c>
      <c r="AB19" s="26" t="n">
        <f aca="false">IFERROR(Y19/Y$49,0)</f>
        <v>0.000216372160115398</v>
      </c>
      <c r="AC19" s="26" t="n">
        <f aca="false">IFERROR(Z19/39,0)</f>
        <v>0.358974358974359</v>
      </c>
      <c r="AD19" s="25" t="n">
        <v>2</v>
      </c>
      <c r="AE19" s="25" t="n">
        <v>5</v>
      </c>
      <c r="AF19" s="25" t="n">
        <v>18</v>
      </c>
      <c r="AG19" s="25" t="n">
        <v>22</v>
      </c>
      <c r="AH19" s="26" t="n">
        <f aca="false">IFERROR(AD19/AD$49,0)</f>
        <v>0.000521376433785193</v>
      </c>
      <c r="AI19" s="26" t="n">
        <f aca="false">IFERROR(AE19/AE$49,0)</f>
        <v>0.00045766590389016</v>
      </c>
      <c r="AJ19" s="26" t="n">
        <f aca="false">IFERROR(AG19/25,0)</f>
        <v>0.88</v>
      </c>
      <c r="AK19" s="46" t="n">
        <f aca="false">③追加発注判定!O19</f>
        <v>3.19541612009911</v>
      </c>
      <c r="AL19" s="25" t="n">
        <f aca="false">③追加発注判定!P19</f>
        <v>10</v>
      </c>
      <c r="AM19" s="26" t="n">
        <f aca="false">③追加発注判定!Q19</f>
        <v>0.2</v>
      </c>
      <c r="AN19" s="47" t="n">
        <f aca="false">③追加発注判定!R19</f>
        <v>-40</v>
      </c>
      <c r="AO19" s="48" t="str">
        <f aca="false">③追加発注判定!S19</f>
        <v>在庫余剰見込</v>
      </c>
      <c r="AP19" s="25" t="n">
        <f aca="false">③追加発注判定!T19</f>
        <v>0</v>
      </c>
    </row>
    <row r="20" customFormat="false" ht="15" hidden="false" customHeight="false" outlineLevel="0" collapsed="false">
      <c r="A20" s="22" t="n">
        <v>14</v>
      </c>
      <c r="B20" s="22" t="s">
        <v>113</v>
      </c>
      <c r="C20" s="23" t="s">
        <v>114</v>
      </c>
      <c r="D20" s="24" t="n">
        <v>600</v>
      </c>
      <c r="E20" s="25" t="n">
        <v>7</v>
      </c>
      <c r="F20" s="25" t="n">
        <v>1</v>
      </c>
      <c r="G20" s="25" t="n">
        <v>3</v>
      </c>
      <c r="H20" s="25" t="n">
        <v>5</v>
      </c>
      <c r="I20" s="25" t="n">
        <v>1</v>
      </c>
      <c r="J20" s="25" t="n">
        <f aca="false">E20</f>
        <v>7</v>
      </c>
      <c r="K20" s="25" t="n">
        <f aca="false">SUM(E20:I20)</f>
        <v>17</v>
      </c>
      <c r="L20" s="24" t="n">
        <f aca="false">K20*D20</f>
        <v>10200</v>
      </c>
      <c r="M20" s="26" t="n">
        <f aca="false">IFERROR(J20/J$49,0)</f>
        <v>0.00392817059483726</v>
      </c>
      <c r="N20" s="26" t="n">
        <f aca="false">IFERROR(K20/K$49,0)</f>
        <v>0.00405824779183576</v>
      </c>
      <c r="O20" s="26" t="n">
        <f aca="false">IFERROR(L20/L$49,0)</f>
        <v>0.00307302964569776</v>
      </c>
      <c r="P20" s="22" t="n">
        <f aca="false">IF(J20=0,"-",RANK(J20,J$7:J$48))</f>
        <v>21</v>
      </c>
      <c r="Q20" s="22" t="n">
        <f aca="false">IF(K20=0,"-",RANK(K20,K$7:K$48))</f>
        <v>23</v>
      </c>
      <c r="R20" s="25" t="n">
        <v>50</v>
      </c>
      <c r="S20" s="25" t="n">
        <v>50</v>
      </c>
      <c r="T20" s="25" t="n">
        <f aca="false">S20-K20</f>
        <v>33</v>
      </c>
      <c r="U20" s="26" t="n">
        <f aca="false">IFERROR(K20/S20,0)</f>
        <v>0.34</v>
      </c>
      <c r="V20" s="55" t="n">
        <f aca="false">K20/5</f>
        <v>3.4</v>
      </c>
      <c r="W20" s="25" t="n">
        <f aca="false">IF(V20=0,"—",IF(T20/V20&gt;=15,"15日超",ROUND(T20/V20,0)))</f>
        <v>10</v>
      </c>
      <c r="X20" s="25" t="n">
        <v>12</v>
      </c>
      <c r="Y20" s="25" t="n">
        <v>36</v>
      </c>
      <c r="Z20" s="25" t="n">
        <v>60</v>
      </c>
      <c r="AA20" s="26" t="n">
        <f aca="false">IFERROR(X20/X$49,0)</f>
        <v>0.00193050193050193</v>
      </c>
      <c r="AB20" s="26" t="n">
        <f aca="false">IFERROR(Y20/Y$49,0)</f>
        <v>0.00129823296069239</v>
      </c>
      <c r="AC20" s="26" t="n">
        <f aca="false">IFERROR(Z20/165,0)</f>
        <v>0.363636363636364</v>
      </c>
      <c r="AD20" s="25" t="n">
        <v>7</v>
      </c>
      <c r="AE20" s="25" t="n">
        <v>22</v>
      </c>
      <c r="AF20" s="25" t="n">
        <v>62</v>
      </c>
      <c r="AG20" s="25" t="n">
        <v>79</v>
      </c>
      <c r="AH20" s="26" t="n">
        <f aca="false">IFERROR(AD20/AD$49,0)</f>
        <v>0.00182481751824818</v>
      </c>
      <c r="AI20" s="26" t="n">
        <f aca="false">IFERROR(AE20/AE$49,0)</f>
        <v>0.00201372997711671</v>
      </c>
      <c r="AJ20" s="26" t="n">
        <f aca="false">IFERROR(AG20/80,0)</f>
        <v>0.9875</v>
      </c>
      <c r="AK20" s="46" t="n">
        <f aca="false">③追加発注判定!O20</f>
        <v>2.24434484768984</v>
      </c>
      <c r="AL20" s="25" t="n">
        <f aca="false">③追加発注判定!P20</f>
        <v>38</v>
      </c>
      <c r="AM20" s="26" t="n">
        <f aca="false">③追加発注判定!Q20</f>
        <v>0.76</v>
      </c>
      <c r="AN20" s="47" t="n">
        <f aca="false">③追加発注判定!R20</f>
        <v>-12</v>
      </c>
      <c r="AO20" s="48" t="str">
        <f aca="false">③追加発注判定!S20</f>
        <v>適正</v>
      </c>
      <c r="AP20" s="25" t="n">
        <f aca="false">③追加発注判定!T20</f>
        <v>0</v>
      </c>
    </row>
    <row r="21" customFormat="false" ht="15" hidden="false" customHeight="false" outlineLevel="0" collapsed="false">
      <c r="A21" s="22" t="n">
        <v>15</v>
      </c>
      <c r="B21" s="22" t="s">
        <v>115</v>
      </c>
      <c r="C21" s="23" t="s">
        <v>116</v>
      </c>
      <c r="D21" s="24" t="n">
        <v>600</v>
      </c>
      <c r="E21" s="25" t="n">
        <v>11</v>
      </c>
      <c r="F21" s="25" t="n">
        <v>3</v>
      </c>
      <c r="G21" s="25" t="n">
        <v>2</v>
      </c>
      <c r="H21" s="25" t="n">
        <v>7</v>
      </c>
      <c r="I21" s="25" t="n">
        <v>6</v>
      </c>
      <c r="J21" s="25" t="n">
        <f aca="false">E21</f>
        <v>11</v>
      </c>
      <c r="K21" s="25" t="n">
        <f aca="false">SUM(E21:I21)</f>
        <v>29</v>
      </c>
      <c r="L21" s="24" t="n">
        <f aca="false">K21*D21</f>
        <v>17400</v>
      </c>
      <c r="M21" s="26" t="n">
        <f aca="false">IFERROR(J21/J$49,0)</f>
        <v>0.00617283950617284</v>
      </c>
      <c r="N21" s="26" t="n">
        <f aca="false">IFERROR(K21/K$49,0)</f>
        <v>0.00692289329195512</v>
      </c>
      <c r="O21" s="26" t="n">
        <f aca="false">IFERROR(L21/L$49,0)</f>
        <v>0.00524222704266088</v>
      </c>
      <c r="P21" s="22" t="n">
        <f aca="false">IF(J21=0,"-",RANK(J21,J$7:J$48))</f>
        <v>19</v>
      </c>
      <c r="Q21" s="22" t="n">
        <f aca="false">IF(K21=0,"-",RANK(K21,K$7:K$48))</f>
        <v>20</v>
      </c>
      <c r="R21" s="25" t="n">
        <v>100</v>
      </c>
      <c r="S21" s="25" t="n">
        <v>100</v>
      </c>
      <c r="T21" s="25" t="n">
        <f aca="false">S21-K21</f>
        <v>71</v>
      </c>
      <c r="U21" s="26" t="n">
        <f aca="false">IFERROR(K21/S21,0)</f>
        <v>0.29</v>
      </c>
      <c r="V21" s="55" t="n">
        <f aca="false">K21/5</f>
        <v>5.8</v>
      </c>
      <c r="W21" s="25" t="n">
        <f aca="false">IF(V21=0,"—",IF(T21/V21&gt;=15,"15日超",ROUND(T21/V21,0)))</f>
        <v>12</v>
      </c>
      <c r="X21" s="25" t="n">
        <v>14</v>
      </c>
      <c r="Y21" s="25" t="n">
        <v>49</v>
      </c>
      <c r="Z21" s="25" t="n">
        <v>85</v>
      </c>
      <c r="AA21" s="26" t="n">
        <f aca="false">IFERROR(X21/X$49,0)</f>
        <v>0.00225225225225225</v>
      </c>
      <c r="AB21" s="26" t="n">
        <f aca="false">IFERROR(Y21/Y$49,0)</f>
        <v>0.00176703930760909</v>
      </c>
      <c r="AC21" s="26" t="n">
        <f aca="false">IFERROR(Z21/190,0)</f>
        <v>0.447368421052632</v>
      </c>
      <c r="AD21" s="25" t="n">
        <v>12</v>
      </c>
      <c r="AE21" s="25" t="n">
        <v>29</v>
      </c>
      <c r="AF21" s="25" t="n">
        <v>91</v>
      </c>
      <c r="AG21" s="25" t="n">
        <v>100</v>
      </c>
      <c r="AH21" s="26" t="n">
        <f aca="false">IFERROR(AD21/AD$49,0)</f>
        <v>0.00312825860271116</v>
      </c>
      <c r="AI21" s="26" t="n">
        <f aca="false">IFERROR(AE21/AE$49,0)</f>
        <v>0.00265446224256293</v>
      </c>
      <c r="AJ21" s="26" t="n">
        <f aca="false">IFERROR(AG21/100,0)</f>
        <v>1</v>
      </c>
      <c r="AK21" s="46" t="n">
        <f aca="false">③追加発注判定!O21</f>
        <v>2.63922843454669</v>
      </c>
      <c r="AL21" s="25" t="n">
        <f aca="false">③追加発注判定!P21</f>
        <v>77</v>
      </c>
      <c r="AM21" s="26" t="n">
        <f aca="false">③追加発注判定!Q21</f>
        <v>0.77</v>
      </c>
      <c r="AN21" s="47" t="n">
        <f aca="false">③追加発注判定!R21</f>
        <v>-23</v>
      </c>
      <c r="AO21" s="48" t="str">
        <f aca="false">③追加発注判定!S21</f>
        <v>適正</v>
      </c>
      <c r="AP21" s="25" t="n">
        <f aca="false">③追加発注判定!T21</f>
        <v>0</v>
      </c>
    </row>
    <row r="22" customFormat="false" ht="15" hidden="false" customHeight="false" outlineLevel="0" collapsed="false">
      <c r="A22" s="22" t="n">
        <v>16</v>
      </c>
      <c r="B22" s="22" t="s">
        <v>117</v>
      </c>
      <c r="C22" s="23" t="s">
        <v>118</v>
      </c>
      <c r="D22" s="24" t="n">
        <v>600</v>
      </c>
      <c r="E22" s="25" t="n">
        <v>3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f aca="false">E22</f>
        <v>3</v>
      </c>
      <c r="K22" s="25" t="n">
        <f aca="false">SUM(E22:I22)</f>
        <v>3</v>
      </c>
      <c r="L22" s="24" t="n">
        <f aca="false">K22*D22</f>
        <v>1800</v>
      </c>
      <c r="M22" s="26" t="n">
        <f aca="false">IFERROR(J22/J$49,0)</f>
        <v>0.00168350168350168</v>
      </c>
      <c r="N22" s="26" t="n">
        <f aca="false">IFERROR(K22/K$49,0)</f>
        <v>0.00071616137502984</v>
      </c>
      <c r="O22" s="26" t="n">
        <f aca="false">IFERROR(L22/L$49,0)</f>
        <v>0.000542299349240781</v>
      </c>
      <c r="P22" s="22" t="n">
        <f aca="false">IF(J22=0,"-",RANK(J22,J$7:J$48))</f>
        <v>26</v>
      </c>
      <c r="Q22" s="22" t="n">
        <f aca="false">IF(K22=0,"-",RANK(K22,K$7:K$48))</f>
        <v>31</v>
      </c>
      <c r="R22" s="25" t="n">
        <v>50</v>
      </c>
      <c r="S22" s="25" t="n">
        <v>50</v>
      </c>
      <c r="T22" s="25" t="n">
        <f aca="false">S22-K22</f>
        <v>47</v>
      </c>
      <c r="U22" s="26" t="n">
        <f aca="false">IFERROR(K22/S22,0)</f>
        <v>0.06</v>
      </c>
      <c r="V22" s="55" t="n">
        <f aca="false">K22/5</f>
        <v>0.6</v>
      </c>
      <c r="W22" s="25" t="str">
        <f aca="false">IF(V22=0,"—",IF(T22/V22&gt;=15,"15日超",ROUND(T22/V22,0)))</f>
        <v>15日超</v>
      </c>
      <c r="X22" s="25" t="n">
        <v>2</v>
      </c>
      <c r="Y22" s="25" t="n">
        <v>13</v>
      </c>
      <c r="Z22" s="25" t="n">
        <v>24</v>
      </c>
      <c r="AA22" s="26" t="n">
        <f aca="false">IFERROR(X22/X$49,0)</f>
        <v>0.000321750321750322</v>
      </c>
      <c r="AB22" s="26" t="n">
        <f aca="false">IFERROR(Y22/Y$49,0)</f>
        <v>0.000468806346916697</v>
      </c>
      <c r="AC22" s="26" t="n">
        <f aca="false">IFERROR(Z22/40,0)</f>
        <v>0.6</v>
      </c>
      <c r="AD22" s="25" t="n">
        <v>2</v>
      </c>
      <c r="AE22" s="25" t="n">
        <v>8</v>
      </c>
      <c r="AF22" s="25" t="n">
        <v>26</v>
      </c>
      <c r="AG22" s="25" t="n">
        <v>30</v>
      </c>
      <c r="AH22" s="26" t="n">
        <f aca="false">IFERROR(AD22/AD$49,0)</f>
        <v>0.000521376433785193</v>
      </c>
      <c r="AI22" s="26" t="n">
        <f aca="false">IFERROR(AE22/AE$49,0)</f>
        <v>0.000732265446224256</v>
      </c>
      <c r="AJ22" s="26" t="n">
        <f aca="false">IFERROR(AG22/30,0)</f>
        <v>1</v>
      </c>
      <c r="AK22" s="46" t="n">
        <f aca="false">③追加発注判定!O22</f>
        <v>2.78587258342396</v>
      </c>
      <c r="AL22" s="25" t="n">
        <f aca="false">③追加発注判定!P22</f>
        <v>8</v>
      </c>
      <c r="AM22" s="26" t="n">
        <f aca="false">③追加発注判定!Q22</f>
        <v>0.16</v>
      </c>
      <c r="AN22" s="47" t="n">
        <f aca="false">③追加発注判定!R22</f>
        <v>-42</v>
      </c>
      <c r="AO22" s="48" t="str">
        <f aca="false">③追加発注判定!S22</f>
        <v>在庫余剰見込</v>
      </c>
      <c r="AP22" s="25" t="n">
        <f aca="false">③追加発注判定!T22</f>
        <v>0</v>
      </c>
    </row>
    <row r="23" customFormat="false" ht="15" hidden="false" customHeight="false" outlineLevel="0" collapsed="false">
      <c r="A23" s="22" t="n">
        <v>17</v>
      </c>
      <c r="B23" s="22" t="s">
        <v>119</v>
      </c>
      <c r="C23" s="23" t="s">
        <v>120</v>
      </c>
      <c r="D23" s="24" t="n">
        <v>600</v>
      </c>
      <c r="E23" s="25" t="n">
        <v>11</v>
      </c>
      <c r="F23" s="25" t="n">
        <v>7</v>
      </c>
      <c r="G23" s="25" t="n">
        <v>9</v>
      </c>
      <c r="H23" s="25" t="n">
        <v>4</v>
      </c>
      <c r="I23" s="25" t="n">
        <v>8</v>
      </c>
      <c r="J23" s="25" t="n">
        <f aca="false">E23</f>
        <v>11</v>
      </c>
      <c r="K23" s="25" t="n">
        <f aca="false">SUM(E23:I23)</f>
        <v>39</v>
      </c>
      <c r="L23" s="24" t="n">
        <f aca="false">K23*D23</f>
        <v>23400</v>
      </c>
      <c r="M23" s="26" t="n">
        <f aca="false">IFERROR(J23/J$49,0)</f>
        <v>0.00617283950617284</v>
      </c>
      <c r="N23" s="26" t="n">
        <f aca="false">IFERROR(K23/K$49,0)</f>
        <v>0.00931009787538792</v>
      </c>
      <c r="O23" s="26" t="n">
        <f aca="false">IFERROR(L23/L$49,0)</f>
        <v>0.00704989154013015</v>
      </c>
      <c r="P23" s="22" t="n">
        <f aca="false">IF(J23=0,"-",RANK(J23,J$7:J$48))</f>
        <v>19</v>
      </c>
      <c r="Q23" s="22" t="n">
        <f aca="false">IF(K23=0,"-",RANK(K23,K$7:K$48))</f>
        <v>18</v>
      </c>
      <c r="R23" s="25" t="n">
        <v>100</v>
      </c>
      <c r="S23" s="25" t="n">
        <v>100</v>
      </c>
      <c r="T23" s="25" t="n">
        <f aca="false">S23-K23</f>
        <v>61</v>
      </c>
      <c r="U23" s="26" t="n">
        <f aca="false">IFERROR(K23/S23,0)</f>
        <v>0.39</v>
      </c>
      <c r="V23" s="55" t="n">
        <f aca="false">K23/5</f>
        <v>7.8</v>
      </c>
      <c r="W23" s="25" t="n">
        <f aca="false">IF(V23=0,"—",IF(T23/V23&gt;=15,"15日超",ROUND(T23/V23,0)))</f>
        <v>8</v>
      </c>
      <c r="X23" s="25" t="n">
        <v>15</v>
      </c>
      <c r="Y23" s="25" t="n">
        <v>62</v>
      </c>
      <c r="Z23" s="25" t="n">
        <v>100</v>
      </c>
      <c r="AA23" s="26" t="n">
        <f aca="false">IFERROR(X23/X$49,0)</f>
        <v>0.00241312741312741</v>
      </c>
      <c r="AB23" s="26" t="n">
        <f aca="false">IFERROR(Y23/Y$49,0)</f>
        <v>0.00223584565452578</v>
      </c>
      <c r="AC23" s="26" t="n">
        <f aca="false">IFERROR(Z23/200,0)</f>
        <v>0.5</v>
      </c>
      <c r="AD23" s="25" t="n">
        <v>11</v>
      </c>
      <c r="AE23" s="25" t="n">
        <v>39</v>
      </c>
      <c r="AF23" s="25" t="n">
        <v>94</v>
      </c>
      <c r="AG23" s="25" t="n">
        <v>100</v>
      </c>
      <c r="AH23" s="26" t="n">
        <f aca="false">IFERROR(AD23/AD$49,0)</f>
        <v>0.00286757038581856</v>
      </c>
      <c r="AI23" s="26" t="n">
        <f aca="false">IFERROR(AE23/AE$49,0)</f>
        <v>0.00356979405034325</v>
      </c>
      <c r="AJ23" s="26" t="n">
        <f aca="false">IFERROR(AG23/100,0)</f>
        <v>1</v>
      </c>
      <c r="AK23" s="46" t="n">
        <f aca="false">③追加発注判定!O23</f>
        <v>2.31828809021125</v>
      </c>
      <c r="AL23" s="25" t="n">
        <f aca="false">③追加発注判定!P23</f>
        <v>90</v>
      </c>
      <c r="AM23" s="26" t="n">
        <f aca="false">③追加発注判定!Q23</f>
        <v>0.9</v>
      </c>
      <c r="AN23" s="47" t="n">
        <f aca="false">③追加発注判定!R23</f>
        <v>-10</v>
      </c>
      <c r="AO23" s="48" t="str">
        <f aca="false">③追加発注判定!S23</f>
        <v>要注意(90%超)</v>
      </c>
      <c r="AP23" s="25" t="n">
        <f aca="false">③追加発注判定!T23</f>
        <v>0</v>
      </c>
    </row>
    <row r="24" customFormat="false" ht="15" hidden="false" customHeight="false" outlineLevel="0" collapsed="false">
      <c r="A24" s="22" t="n">
        <v>18</v>
      </c>
      <c r="B24" s="22" t="s">
        <v>121</v>
      </c>
      <c r="C24" s="23" t="s">
        <v>122</v>
      </c>
      <c r="D24" s="24" t="n">
        <v>600</v>
      </c>
      <c r="E24" s="25" t="n">
        <v>96</v>
      </c>
      <c r="F24" s="25" t="n">
        <v>22</v>
      </c>
      <c r="G24" s="25" t="n">
        <v>31</v>
      </c>
      <c r="H24" s="25" t="n">
        <v>44</v>
      </c>
      <c r="I24" s="25" t="n">
        <v>31</v>
      </c>
      <c r="J24" s="25" t="n">
        <f aca="false">E24</f>
        <v>96</v>
      </c>
      <c r="K24" s="25" t="n">
        <f aca="false">SUM(E24:I24)</f>
        <v>224</v>
      </c>
      <c r="L24" s="24" t="n">
        <f aca="false">K24*D24</f>
        <v>134400</v>
      </c>
      <c r="M24" s="26" t="n">
        <f aca="false">IFERROR(J24/J$49,0)</f>
        <v>0.0538720538720539</v>
      </c>
      <c r="N24" s="26" t="n">
        <f aca="false">IFERROR(K24/K$49,0)</f>
        <v>0.0534733826688947</v>
      </c>
      <c r="O24" s="26" t="n">
        <f aca="false">IFERROR(L24/L$49,0)</f>
        <v>0.0404916847433116</v>
      </c>
      <c r="P24" s="22" t="n">
        <f aca="false">IF(J24=0,"-",RANK(J24,J$7:J$48))</f>
        <v>5</v>
      </c>
      <c r="Q24" s="22" t="n">
        <f aca="false">IF(K24=0,"-",RANK(K24,K$7:K$48))</f>
        <v>6</v>
      </c>
      <c r="R24" s="25" t="n">
        <v>1500</v>
      </c>
      <c r="S24" s="25" t="n">
        <v>1500</v>
      </c>
      <c r="T24" s="25" t="n">
        <f aca="false">S24-K24</f>
        <v>1276</v>
      </c>
      <c r="U24" s="26" t="n">
        <f aca="false">IFERROR(K24/S24,0)</f>
        <v>0.149333333333333</v>
      </c>
      <c r="V24" s="55" t="n">
        <f aca="false">K24/5</f>
        <v>44.8</v>
      </c>
      <c r="W24" s="25" t="str">
        <f aca="false">IF(V24=0,"—",IF(T24/V24&gt;=15,"15日超",ROUND(T24/V24,0)))</f>
        <v>15日超</v>
      </c>
      <c r="X24" s="25" t="n">
        <v>225</v>
      </c>
      <c r="Y24" s="25" t="n">
        <v>638</v>
      </c>
      <c r="Z24" s="25" t="n">
        <v>1029</v>
      </c>
      <c r="AA24" s="26" t="n">
        <f aca="false">IFERROR(X24/X$49,0)</f>
        <v>0.0361969111969112</v>
      </c>
      <c r="AB24" s="26" t="n">
        <f aca="false">IFERROR(Y24/Y$49,0)</f>
        <v>0.023007573025604</v>
      </c>
      <c r="AC24" s="26" t="n">
        <f aca="false">IFERROR(Z24/2265,0)</f>
        <v>0.454304635761589</v>
      </c>
      <c r="AD24" s="25" t="n">
        <v>131</v>
      </c>
      <c r="AE24" s="25" t="n">
        <v>332</v>
      </c>
      <c r="AF24" s="25" t="n">
        <v>743</v>
      </c>
      <c r="AG24" s="25" t="n">
        <v>898</v>
      </c>
      <c r="AH24" s="26" t="n">
        <f aca="false">IFERROR(AD24/AD$49,0)</f>
        <v>0.0341501564129301</v>
      </c>
      <c r="AI24" s="26" t="n">
        <f aca="false">IFERROR(AE24/AE$49,0)</f>
        <v>0.0303890160183066</v>
      </c>
      <c r="AJ24" s="26" t="n">
        <f aca="false">IFERROR(AG24/900,0)</f>
        <v>0.997777777777778</v>
      </c>
      <c r="AK24" s="46" t="n">
        <f aca="false">③追加発注判定!O24</f>
        <v>2.13434512181847</v>
      </c>
      <c r="AL24" s="25" t="n">
        <f aca="false">③追加発注判定!P24</f>
        <v>478</v>
      </c>
      <c r="AM24" s="26" t="n">
        <f aca="false">③追加発注判定!Q24</f>
        <v>0.318666666666667</v>
      </c>
      <c r="AN24" s="47" t="n">
        <f aca="false">③追加発注判定!R24</f>
        <v>-1022</v>
      </c>
      <c r="AO24" s="48" t="str">
        <f aca="false">③追加発注判定!S24</f>
        <v>在庫余剰見込</v>
      </c>
      <c r="AP24" s="25" t="n">
        <f aca="false">③追加発注判定!T24</f>
        <v>0</v>
      </c>
    </row>
    <row r="25" customFormat="false" ht="15" hidden="false" customHeight="false" outlineLevel="0" collapsed="false">
      <c r="A25" s="22" t="n">
        <v>19</v>
      </c>
      <c r="B25" s="22" t="s">
        <v>123</v>
      </c>
      <c r="C25" s="23" t="s">
        <v>124</v>
      </c>
      <c r="D25" s="24" t="n">
        <v>600</v>
      </c>
      <c r="E25" s="25" t="n">
        <v>4</v>
      </c>
      <c r="F25" s="25" t="n">
        <v>1</v>
      </c>
      <c r="G25" s="25" t="n">
        <v>2</v>
      </c>
      <c r="H25" s="25" t="n">
        <v>1</v>
      </c>
      <c r="I25" s="25" t="n">
        <v>0</v>
      </c>
      <c r="J25" s="25" t="n">
        <f aca="false">E25</f>
        <v>4</v>
      </c>
      <c r="K25" s="25" t="n">
        <f aca="false">SUM(E25:I25)</f>
        <v>8</v>
      </c>
      <c r="L25" s="24" t="n">
        <f aca="false">K25*D25</f>
        <v>4800</v>
      </c>
      <c r="M25" s="26" t="n">
        <f aca="false">IFERROR(J25/J$49,0)</f>
        <v>0.00224466891133558</v>
      </c>
      <c r="N25" s="26" t="n">
        <f aca="false">IFERROR(K25/K$49,0)</f>
        <v>0.00190976366674624</v>
      </c>
      <c r="O25" s="26" t="n">
        <f aca="false">IFERROR(L25/L$49,0)</f>
        <v>0.00144613159797542</v>
      </c>
      <c r="P25" s="22" t="n">
        <f aca="false">IF(J25=0,"-",RANK(J25,J$7:J$48))</f>
        <v>25</v>
      </c>
      <c r="Q25" s="22" t="n">
        <f aca="false">IF(K25=0,"-",RANK(K25,K$7:K$48))</f>
        <v>28</v>
      </c>
      <c r="R25" s="25" t="n">
        <v>50</v>
      </c>
      <c r="S25" s="25" t="n">
        <v>50</v>
      </c>
      <c r="T25" s="25" t="n">
        <f aca="false">S25-K25</f>
        <v>42</v>
      </c>
      <c r="U25" s="26" t="n">
        <f aca="false">IFERROR(K25/S25,0)</f>
        <v>0.16</v>
      </c>
      <c r="V25" s="55" t="n">
        <f aca="false">K25/5</f>
        <v>1.6</v>
      </c>
      <c r="W25" s="25" t="str">
        <f aca="false">IF(V25=0,"—",IF(T25/V25&gt;=15,"15日超",ROUND(T25/V25,0)))</f>
        <v>15日超</v>
      </c>
      <c r="X25" s="25" t="n">
        <v>8</v>
      </c>
      <c r="Y25" s="25" t="n">
        <v>19</v>
      </c>
      <c r="Z25" s="25" t="n">
        <v>23</v>
      </c>
      <c r="AA25" s="26" t="n">
        <f aca="false">IFERROR(X25/X$49,0)</f>
        <v>0.00128700128700129</v>
      </c>
      <c r="AB25" s="26" t="n">
        <f aca="false">IFERROR(Y25/Y$49,0)</f>
        <v>0.000685178507032095</v>
      </c>
      <c r="AC25" s="26" t="n">
        <f aca="false">IFERROR(Z25/65,0)</f>
        <v>0.353846153846154</v>
      </c>
      <c r="AD25" s="25" t="n">
        <v>3</v>
      </c>
      <c r="AE25" s="25" t="n">
        <v>8</v>
      </c>
      <c r="AF25" s="25" t="n">
        <v>19</v>
      </c>
      <c r="AG25" s="25" t="n">
        <v>19</v>
      </c>
      <c r="AH25" s="26" t="n">
        <f aca="false">IFERROR(AD25/AD$49,0)</f>
        <v>0.000782064650677789</v>
      </c>
      <c r="AI25" s="26" t="n">
        <f aca="false">IFERROR(AE25/AE$49,0)</f>
        <v>0.000732265446224256</v>
      </c>
      <c r="AJ25" s="26" t="n">
        <f aca="false">IFERROR(AG25/20,0)</f>
        <v>0.95</v>
      </c>
      <c r="AK25" s="46" t="n">
        <f aca="false">③追加発注判定!O25</f>
        <v>2.06707678411157</v>
      </c>
      <c r="AL25" s="25" t="n">
        <f aca="false">③追加発注判定!P25</f>
        <v>17</v>
      </c>
      <c r="AM25" s="26" t="n">
        <f aca="false">③追加発注判定!Q25</f>
        <v>0.34</v>
      </c>
      <c r="AN25" s="47" t="n">
        <f aca="false">③追加発注判定!R25</f>
        <v>-33</v>
      </c>
      <c r="AO25" s="48" t="str">
        <f aca="false">③追加発注判定!S25</f>
        <v>在庫余剰見込</v>
      </c>
      <c r="AP25" s="25" t="n">
        <f aca="false">③追加発注判定!T25</f>
        <v>0</v>
      </c>
    </row>
    <row r="26" customFormat="false" ht="15" hidden="false" customHeight="false" outlineLevel="0" collapsed="false">
      <c r="A26" s="22" t="n">
        <v>20</v>
      </c>
      <c r="B26" s="22" t="s">
        <v>125</v>
      </c>
      <c r="C26" s="23" t="s">
        <v>126</v>
      </c>
      <c r="D26" s="24" t="n">
        <v>600</v>
      </c>
      <c r="E26" s="25" t="n">
        <v>2</v>
      </c>
      <c r="F26" s="25" t="n">
        <v>0</v>
      </c>
      <c r="G26" s="25" t="n">
        <v>1</v>
      </c>
      <c r="H26" s="25" t="n">
        <v>0</v>
      </c>
      <c r="I26" s="25" t="n">
        <v>2</v>
      </c>
      <c r="J26" s="25" t="n">
        <f aca="false">E26</f>
        <v>2</v>
      </c>
      <c r="K26" s="25" t="n">
        <f aca="false">SUM(E26:I26)</f>
        <v>5</v>
      </c>
      <c r="L26" s="24" t="n">
        <f aca="false">K26*D26</f>
        <v>3000</v>
      </c>
      <c r="M26" s="26" t="n">
        <f aca="false">IFERROR(J26/J$49,0)</f>
        <v>0.00112233445566779</v>
      </c>
      <c r="N26" s="26" t="n">
        <f aca="false">IFERROR(K26/K$49,0)</f>
        <v>0.0011936022917164</v>
      </c>
      <c r="O26" s="26" t="n">
        <f aca="false">IFERROR(L26/L$49,0)</f>
        <v>0.000903832248734635</v>
      </c>
      <c r="P26" s="22" t="n">
        <f aca="false">IF(J26=0,"-",RANK(J26,J$7:J$48))</f>
        <v>29</v>
      </c>
      <c r="Q26" s="22" t="n">
        <f aca="false">IF(K26=0,"-",RANK(K26,K$7:K$48))</f>
        <v>30</v>
      </c>
      <c r="R26" s="25" t="n">
        <v>30</v>
      </c>
      <c r="S26" s="25" t="n">
        <v>30</v>
      </c>
      <c r="T26" s="25" t="n">
        <f aca="false">S26-K26</f>
        <v>25</v>
      </c>
      <c r="U26" s="26" t="n">
        <f aca="false">IFERROR(K26/S26,0)</f>
        <v>0.166666666666667</v>
      </c>
      <c r="V26" s="55" t="n">
        <f aca="false">K26/5</f>
        <v>1</v>
      </c>
      <c r="W26" s="25" t="str">
        <f aca="false">IF(V26=0,"—",IF(T26/V26&gt;=15,"15日超",ROUND(T26/V26,0)))</f>
        <v>15日超</v>
      </c>
      <c r="X26" s="25" t="n">
        <v>0</v>
      </c>
      <c r="Y26" s="25" t="n">
        <v>10</v>
      </c>
      <c r="Z26" s="25" t="n">
        <v>18</v>
      </c>
      <c r="AA26" s="26" t="n">
        <f aca="false">IFERROR(X26/X$49,0)</f>
        <v>0</v>
      </c>
      <c r="AB26" s="26" t="n">
        <f aca="false">IFERROR(Y26/Y$49,0)</f>
        <v>0.000360620266858998</v>
      </c>
      <c r="AC26" s="26" t="n">
        <f aca="false">IFERROR(Z26/50,0)</f>
        <v>0.36</v>
      </c>
      <c r="AD26" s="25" t="n">
        <v>2</v>
      </c>
      <c r="AE26" s="25" t="n">
        <v>6</v>
      </c>
      <c r="AF26" s="25" t="n">
        <v>15</v>
      </c>
      <c r="AG26" s="25" t="n">
        <v>15</v>
      </c>
      <c r="AH26" s="26" t="n">
        <f aca="false">IFERROR(AD26/AD$49,0)</f>
        <v>0.000521376433785193</v>
      </c>
      <c r="AI26" s="26" t="n">
        <f aca="false">IFERROR(AE26/AE$49,0)</f>
        <v>0.000549199084668192</v>
      </c>
      <c r="AJ26" s="26" t="n">
        <f aca="false">IFERROR(AG26/15,0)</f>
        <v>1</v>
      </c>
      <c r="AK26" s="46" t="n">
        <f aca="false">③追加発注判定!O26</f>
        <v>2.3793210069336</v>
      </c>
      <c r="AL26" s="25" t="n">
        <f aca="false">③追加発注判定!P26</f>
        <v>12</v>
      </c>
      <c r="AM26" s="26" t="n">
        <f aca="false">③追加発注判定!Q26</f>
        <v>0.4</v>
      </c>
      <c r="AN26" s="47" t="n">
        <f aca="false">③追加発注判定!R26</f>
        <v>-18</v>
      </c>
      <c r="AO26" s="48" t="str">
        <f aca="false">③追加発注判定!S26</f>
        <v>在庫余剰見込</v>
      </c>
      <c r="AP26" s="25" t="n">
        <f aca="false">③追加発注判定!T26</f>
        <v>0</v>
      </c>
    </row>
    <row r="27" customFormat="false" ht="15" hidden="false" customHeight="false" outlineLevel="0" collapsed="false">
      <c r="A27" s="22" t="n">
        <v>21</v>
      </c>
      <c r="B27" s="22" t="s">
        <v>127</v>
      </c>
      <c r="C27" s="23" t="s">
        <v>128</v>
      </c>
      <c r="D27" s="24" t="n">
        <v>600</v>
      </c>
      <c r="E27" s="25" t="n">
        <v>12</v>
      </c>
      <c r="F27" s="25" t="n">
        <v>7</v>
      </c>
      <c r="G27" s="25" t="n">
        <v>6</v>
      </c>
      <c r="H27" s="25" t="n">
        <v>8</v>
      </c>
      <c r="I27" s="25" t="n">
        <v>7</v>
      </c>
      <c r="J27" s="25" t="n">
        <f aca="false">E27</f>
        <v>12</v>
      </c>
      <c r="K27" s="25" t="n">
        <f aca="false">SUM(E27:I27)</f>
        <v>40</v>
      </c>
      <c r="L27" s="24" t="n">
        <f aca="false">K27*D27</f>
        <v>24000</v>
      </c>
      <c r="M27" s="26" t="n">
        <f aca="false">IFERROR(J27/J$49,0)</f>
        <v>0.00673400673400673</v>
      </c>
      <c r="N27" s="26" t="n">
        <f aca="false">IFERROR(K27/K$49,0)</f>
        <v>0.0095488183337312</v>
      </c>
      <c r="O27" s="26" t="n">
        <f aca="false">IFERROR(L27/L$49,0)</f>
        <v>0.00723065798987708</v>
      </c>
      <c r="P27" s="22" t="n">
        <f aca="false">IF(J27=0,"-",RANK(J27,J$7:J$48))</f>
        <v>18</v>
      </c>
      <c r="Q27" s="22" t="n">
        <f aca="false">IF(K27=0,"-",RANK(K27,K$7:K$48))</f>
        <v>17</v>
      </c>
      <c r="R27" s="25" t="n">
        <v>50</v>
      </c>
      <c r="S27" s="25" t="n">
        <v>50</v>
      </c>
      <c r="T27" s="25" t="n">
        <f aca="false">S27-K27</f>
        <v>10</v>
      </c>
      <c r="U27" s="26" t="n">
        <f aca="false">IFERROR(K27/S27,0)</f>
        <v>0.8</v>
      </c>
      <c r="V27" s="55" t="n">
        <f aca="false">K27/5</f>
        <v>8</v>
      </c>
      <c r="W27" s="25" t="n">
        <f aca="false">IF(V27=0,"—",IF(T27/V27&gt;=15,"15日超",ROUND(T27/V27,0)))</f>
        <v>1</v>
      </c>
      <c r="X27" s="25" t="n">
        <v>17</v>
      </c>
      <c r="Y27" s="25" t="n">
        <v>73</v>
      </c>
      <c r="Z27" s="25" t="n">
        <v>139</v>
      </c>
      <c r="AA27" s="26" t="n">
        <f aca="false">IFERROR(X27/X$49,0)</f>
        <v>0.00273487773487773</v>
      </c>
      <c r="AB27" s="26" t="n">
        <f aca="false">IFERROR(Y27/Y$49,0)</f>
        <v>0.00263252794807068</v>
      </c>
      <c r="AC27" s="26" t="n">
        <f aca="false">IFERROR(Z27/140,0)</f>
        <v>0.992857142857143</v>
      </c>
      <c r="AD27" s="25" t="n">
        <v>19</v>
      </c>
      <c r="AE27" s="25" t="n">
        <v>55</v>
      </c>
      <c r="AF27" s="25" t="n">
        <v>139</v>
      </c>
      <c r="AG27" s="25" t="n">
        <v>150</v>
      </c>
      <c r="AH27" s="26" t="n">
        <f aca="false">IFERROR(AD27/AD$49,0)</f>
        <v>0.00495307612095933</v>
      </c>
      <c r="AI27" s="26" t="n">
        <f aca="false">IFERROR(AE27/AE$49,0)</f>
        <v>0.00503432494279176</v>
      </c>
      <c r="AJ27" s="26" t="n">
        <f aca="false">IFERROR(AG27/150,0)</f>
        <v>1</v>
      </c>
      <c r="AK27" s="46" t="n">
        <f aca="false">③追加発注判定!O27</f>
        <v>2.48671378532985</v>
      </c>
      <c r="AL27" s="25" t="n">
        <f aca="false">③追加発注判定!P27</f>
        <v>99</v>
      </c>
      <c r="AM27" s="26" t="n">
        <f aca="false">③追加発注判定!Q27</f>
        <v>1.98</v>
      </c>
      <c r="AN27" s="47" t="n">
        <f aca="false">③追加発注判定!R27</f>
        <v>49</v>
      </c>
      <c r="AO27" s="48" t="str">
        <f aca="false">③追加発注判定!S27</f>
        <v>要 追加発注</v>
      </c>
      <c r="AP27" s="25" t="n">
        <f aca="false">③追加発注判定!T27</f>
        <v>54</v>
      </c>
    </row>
    <row r="28" customFormat="false" ht="15" hidden="false" customHeight="false" outlineLevel="0" collapsed="false">
      <c r="A28" s="22" t="n">
        <v>22</v>
      </c>
      <c r="B28" s="22" t="s">
        <v>129</v>
      </c>
      <c r="C28" s="23" t="s">
        <v>130</v>
      </c>
      <c r="D28" s="24" t="n">
        <v>600</v>
      </c>
      <c r="E28" s="25" t="n">
        <v>3</v>
      </c>
      <c r="F28" s="25" t="n">
        <v>3</v>
      </c>
      <c r="G28" s="25" t="n">
        <v>1</v>
      </c>
      <c r="H28" s="25" t="n">
        <v>5</v>
      </c>
      <c r="I28" s="25" t="n">
        <v>2</v>
      </c>
      <c r="J28" s="25" t="n">
        <f aca="false">E28</f>
        <v>3</v>
      </c>
      <c r="K28" s="25" t="n">
        <f aca="false">SUM(E28:I28)</f>
        <v>14</v>
      </c>
      <c r="L28" s="24" t="n">
        <f aca="false">K28*D28</f>
        <v>8400</v>
      </c>
      <c r="M28" s="26" t="n">
        <f aca="false">IFERROR(J28/J$49,0)</f>
        <v>0.00168350168350168</v>
      </c>
      <c r="N28" s="26" t="n">
        <f aca="false">IFERROR(K28/K$49,0)</f>
        <v>0.00334208641680592</v>
      </c>
      <c r="O28" s="26" t="n">
        <f aca="false">IFERROR(L28/L$49,0)</f>
        <v>0.00253073029645698</v>
      </c>
      <c r="P28" s="22" t="n">
        <f aca="false">IF(J28=0,"-",RANK(J28,J$7:J$48))</f>
        <v>26</v>
      </c>
      <c r="Q28" s="22" t="n">
        <f aca="false">IF(K28=0,"-",RANK(K28,K$7:K$48))</f>
        <v>25</v>
      </c>
      <c r="R28" s="25" t="n">
        <v>50</v>
      </c>
      <c r="S28" s="25" t="n">
        <v>50</v>
      </c>
      <c r="T28" s="25" t="n">
        <f aca="false">S28-K28</f>
        <v>36</v>
      </c>
      <c r="U28" s="26" t="n">
        <f aca="false">IFERROR(K28/S28,0)</f>
        <v>0.28</v>
      </c>
      <c r="V28" s="55" t="n">
        <f aca="false">K28/5</f>
        <v>2.8</v>
      </c>
      <c r="W28" s="25" t="n">
        <f aca="false">IF(V28=0,"—",IF(T28/V28&gt;=15,"15日超",ROUND(T28/V28,0)))</f>
        <v>13</v>
      </c>
      <c r="X28" s="25" t="n">
        <v>9</v>
      </c>
      <c r="Y28" s="25" t="n">
        <v>35</v>
      </c>
      <c r="Z28" s="25" t="n">
        <v>80</v>
      </c>
      <c r="AA28" s="26" t="n">
        <f aca="false">IFERROR(X28/X$49,0)</f>
        <v>0.00144787644787645</v>
      </c>
      <c r="AB28" s="26" t="n">
        <f aca="false">IFERROR(Y28/Y$49,0)</f>
        <v>0.00126217093400649</v>
      </c>
      <c r="AC28" s="26" t="n">
        <f aca="false">IFERROR(Z28/130,0)</f>
        <v>0.615384615384615</v>
      </c>
      <c r="AD28" s="25" t="n">
        <v>5</v>
      </c>
      <c r="AE28" s="25" t="n">
        <v>19</v>
      </c>
      <c r="AF28" s="25" t="n">
        <v>77</v>
      </c>
      <c r="AG28" s="25" t="n">
        <v>80</v>
      </c>
      <c r="AH28" s="26" t="n">
        <f aca="false">IFERROR(AD28/AD$49,0)</f>
        <v>0.00130344108446298</v>
      </c>
      <c r="AI28" s="26" t="n">
        <f aca="false">IFERROR(AE28/AE$49,0)</f>
        <v>0.00173913043478261</v>
      </c>
      <c r="AJ28" s="26" t="n">
        <f aca="false">IFERROR(AG28/80,0)</f>
        <v>1</v>
      </c>
      <c r="AK28" s="46" t="n">
        <f aca="false">③追加発注判定!O28</f>
        <v>3.5858157911175</v>
      </c>
      <c r="AL28" s="25" t="n">
        <f aca="false">③追加発注判定!P28</f>
        <v>50</v>
      </c>
      <c r="AM28" s="26" t="n">
        <f aca="false">③追加発注判定!Q28</f>
        <v>1</v>
      </c>
      <c r="AN28" s="47" t="n">
        <f aca="false">③追加発注判定!R28</f>
        <v>0</v>
      </c>
      <c r="AO28" s="48" t="str">
        <f aca="false">③追加発注判定!S28</f>
        <v>要注意(90%超)</v>
      </c>
      <c r="AP28" s="25" t="n">
        <f aca="false">③追加発注判定!T28</f>
        <v>0</v>
      </c>
    </row>
    <row r="29" customFormat="false" ht="15" hidden="false" customHeight="false" outlineLevel="0" collapsed="false">
      <c r="A29" s="22" t="n">
        <v>23</v>
      </c>
      <c r="B29" s="22" t="s">
        <v>131</v>
      </c>
      <c r="C29" s="23" t="s">
        <v>132</v>
      </c>
      <c r="D29" s="24" t="n">
        <v>600</v>
      </c>
      <c r="E29" s="25" t="n">
        <v>390</v>
      </c>
      <c r="F29" s="25" t="n">
        <v>100</v>
      </c>
      <c r="G29" s="25" t="n">
        <v>158</v>
      </c>
      <c r="H29" s="25" t="n">
        <v>266</v>
      </c>
      <c r="I29" s="25" t="n">
        <v>113</v>
      </c>
      <c r="J29" s="25" t="n">
        <f aca="false">E29</f>
        <v>390</v>
      </c>
      <c r="K29" s="25" t="n">
        <f aca="false">SUM(E29:I29)</f>
        <v>1027</v>
      </c>
      <c r="L29" s="24" t="n">
        <f aca="false">K29*D29</f>
        <v>616200</v>
      </c>
      <c r="M29" s="26" t="n">
        <f aca="false">IFERROR(J29/J$49,0)</f>
        <v>0.218855218855219</v>
      </c>
      <c r="N29" s="26" t="n">
        <f aca="false">IFERROR(K29/K$49,0)</f>
        <v>0.245165910718549</v>
      </c>
      <c r="O29" s="26" t="n">
        <f aca="false">IFERROR(L29/L$49,0)</f>
        <v>0.185647143890094</v>
      </c>
      <c r="P29" s="22" t="n">
        <f aca="false">IF(J29=0,"-",RANK(J29,J$7:J$48))</f>
        <v>2</v>
      </c>
      <c r="Q29" s="22" t="n">
        <f aca="false">IF(K29=0,"-",RANK(K29,K$7:K$48))</f>
        <v>1</v>
      </c>
      <c r="R29" s="25" t="n">
        <v>11000</v>
      </c>
      <c r="S29" s="25" t="n">
        <v>11000</v>
      </c>
      <c r="T29" s="25" t="n">
        <f aca="false">S29-K29</f>
        <v>9973</v>
      </c>
      <c r="U29" s="26" t="n">
        <f aca="false">IFERROR(K29/S29,0)</f>
        <v>0.0933636363636364</v>
      </c>
      <c r="V29" s="55" t="n">
        <f aca="false">K29/5</f>
        <v>205.4</v>
      </c>
      <c r="W29" s="25" t="str">
        <f aca="false">IF(V29=0,"—",IF(T29/V29&gt;=15,"15日超",ROUND(T29/V29,0)))</f>
        <v>15日超</v>
      </c>
      <c r="X29" s="25" t="n">
        <v>1173</v>
      </c>
      <c r="Y29" s="25" t="n">
        <v>6233</v>
      </c>
      <c r="Z29" s="25" t="n">
        <v>11918</v>
      </c>
      <c r="AA29" s="26" t="n">
        <f aca="false">IFERROR(X29/X$49,0)</f>
        <v>0.188706563706564</v>
      </c>
      <c r="AB29" s="26" t="n">
        <f aca="false">IFERROR(Y29/Y$49,0)</f>
        <v>0.224774612333213</v>
      </c>
      <c r="AC29" s="26" t="n">
        <f aca="false">IFERROR(Z29/16465,0)</f>
        <v>0.72383844518676</v>
      </c>
      <c r="AD29" s="25" t="n">
        <v>810</v>
      </c>
      <c r="AE29" s="25" t="n">
        <v>2414</v>
      </c>
      <c r="AF29" s="25" t="n">
        <v>6933</v>
      </c>
      <c r="AG29" s="25" t="n">
        <v>8800</v>
      </c>
      <c r="AH29" s="26" t="n">
        <f aca="false">IFERROR(AD29/AD$49,0)</f>
        <v>0.211157455683003</v>
      </c>
      <c r="AI29" s="26" t="n">
        <f aca="false">IFERROR(AE29/AE$49,0)</f>
        <v>0.220961098398169</v>
      </c>
      <c r="AJ29" s="26" t="n">
        <f aca="false">IFERROR(AG29/11000,0)</f>
        <v>0.8</v>
      </c>
      <c r="AK29" s="46" t="n">
        <f aca="false">③追加発注判定!O29</f>
        <v>2.67274471319696</v>
      </c>
      <c r="AL29" s="25" t="n">
        <f aca="false">③追加発注判定!P29</f>
        <v>2745</v>
      </c>
      <c r="AM29" s="26" t="n">
        <f aca="false">③追加発注判定!Q29</f>
        <v>0.249545454545455</v>
      </c>
      <c r="AN29" s="47" t="n">
        <f aca="false">③追加発注判定!R29</f>
        <v>-8255</v>
      </c>
      <c r="AO29" s="48" t="str">
        <f aca="false">③追加発注判定!S29</f>
        <v>在庫余剰見込</v>
      </c>
      <c r="AP29" s="25" t="n">
        <f aca="false">③追加発注判定!T29</f>
        <v>0</v>
      </c>
    </row>
    <row r="30" customFormat="false" ht="15" hidden="false" customHeight="false" outlineLevel="0" collapsed="false">
      <c r="A30" s="22" t="n">
        <v>24</v>
      </c>
      <c r="B30" s="22" t="s">
        <v>133</v>
      </c>
      <c r="C30" s="23" t="s">
        <v>134</v>
      </c>
      <c r="D30" s="24" t="n">
        <v>600</v>
      </c>
      <c r="E30" s="25" t="n">
        <v>205</v>
      </c>
      <c r="F30" s="25" t="n">
        <v>34</v>
      </c>
      <c r="G30" s="25" t="n">
        <v>84</v>
      </c>
      <c r="H30" s="25" t="n">
        <v>155</v>
      </c>
      <c r="I30" s="25" t="n">
        <v>65</v>
      </c>
      <c r="J30" s="25" t="n">
        <f aca="false">E30</f>
        <v>205</v>
      </c>
      <c r="K30" s="25" t="n">
        <f aca="false">SUM(E30:I30)</f>
        <v>543</v>
      </c>
      <c r="L30" s="24" t="n">
        <f aca="false">K30*D30</f>
        <v>325800</v>
      </c>
      <c r="M30" s="26" t="n">
        <f aca="false">IFERROR(J30/J$49,0)</f>
        <v>0.115039281705948</v>
      </c>
      <c r="N30" s="26" t="n">
        <f aca="false">IFERROR(K30/K$49,0)</f>
        <v>0.129625208880401</v>
      </c>
      <c r="O30" s="26" t="n">
        <f aca="false">IFERROR(L30/L$49,0)</f>
        <v>0.0981561822125814</v>
      </c>
      <c r="P30" s="22" t="n">
        <f aca="false">IF(J30=0,"-",RANK(J30,J$7:J$48))</f>
        <v>3</v>
      </c>
      <c r="Q30" s="22" t="n">
        <f aca="false">IF(K30=0,"-",RANK(K30,K$7:K$48))</f>
        <v>3</v>
      </c>
      <c r="R30" s="25" t="n">
        <v>8000</v>
      </c>
      <c r="S30" s="25" t="n">
        <v>8000</v>
      </c>
      <c r="T30" s="25" t="n">
        <f aca="false">S30-K30</f>
        <v>7457</v>
      </c>
      <c r="U30" s="26" t="n">
        <f aca="false">IFERROR(K30/S30,0)</f>
        <v>0.067875</v>
      </c>
      <c r="V30" s="55" t="n">
        <f aca="false">K30/5</f>
        <v>108.6</v>
      </c>
      <c r="W30" s="25" t="str">
        <f aca="false">IF(V30=0,"—",IF(T30/V30&gt;=15,"15日超",ROUND(T30/V30,0)))</f>
        <v>15日超</v>
      </c>
      <c r="X30" s="25" t="n">
        <v>794</v>
      </c>
      <c r="Y30" s="25" t="n">
        <v>4369</v>
      </c>
      <c r="Z30" s="25" t="n">
        <v>7253</v>
      </c>
      <c r="AA30" s="26" t="n">
        <f aca="false">IFERROR(X30/X$49,0)</f>
        <v>0.127734877734878</v>
      </c>
      <c r="AB30" s="26" t="n">
        <f aca="false">IFERROR(Y30/Y$49,0)</f>
        <v>0.157554994590696</v>
      </c>
      <c r="AC30" s="26" t="n">
        <f aca="false">IFERROR(Z30/9200,0)</f>
        <v>0.788369565217391</v>
      </c>
      <c r="AD30" s="25" t="n">
        <v>497</v>
      </c>
      <c r="AE30" s="25" t="n">
        <v>1393</v>
      </c>
      <c r="AF30" s="25" t="n">
        <v>4202</v>
      </c>
      <c r="AG30" s="25" t="n">
        <v>5195</v>
      </c>
      <c r="AH30" s="26" t="n">
        <f aca="false">IFERROR(AD30/AD$49,0)</f>
        <v>0.12956204379562</v>
      </c>
      <c r="AI30" s="26" t="n">
        <f aca="false">IFERROR(AE30/AE$49,0)</f>
        <v>0.127505720823799</v>
      </c>
      <c r="AJ30" s="26" t="n">
        <f aca="false">IFERROR(AG30/6999,0)</f>
        <v>0.742248892698957</v>
      </c>
      <c r="AK30" s="46" t="n">
        <f aca="false">③追加発注判定!O30</f>
        <v>2.57497361243692</v>
      </c>
      <c r="AL30" s="25" t="n">
        <f aca="false">③追加発注判定!P30</f>
        <v>1398</v>
      </c>
      <c r="AM30" s="26" t="n">
        <f aca="false">③追加発注判定!Q30</f>
        <v>0.17475</v>
      </c>
      <c r="AN30" s="47" t="n">
        <f aca="false">③追加発注判定!R30</f>
        <v>-6602</v>
      </c>
      <c r="AO30" s="48" t="str">
        <f aca="false">③追加発注判定!S30</f>
        <v>在庫余剰見込</v>
      </c>
      <c r="AP30" s="25" t="n">
        <f aca="false">③追加発注判定!T30</f>
        <v>0</v>
      </c>
    </row>
    <row r="31" customFormat="false" ht="15" hidden="false" customHeight="false" outlineLevel="0" collapsed="false">
      <c r="A31" s="22" t="n">
        <v>25</v>
      </c>
      <c r="B31" s="22" t="s">
        <v>135</v>
      </c>
      <c r="C31" s="23" t="s">
        <v>136</v>
      </c>
      <c r="D31" s="24" t="n">
        <v>1500</v>
      </c>
      <c r="E31" s="25" t="n">
        <v>7</v>
      </c>
      <c r="F31" s="25" t="n">
        <v>2</v>
      </c>
      <c r="G31" s="25" t="n">
        <v>2</v>
      </c>
      <c r="H31" s="25" t="n">
        <v>4</v>
      </c>
      <c r="I31" s="25" t="n">
        <v>3</v>
      </c>
      <c r="J31" s="25" t="n">
        <f aca="false">E31</f>
        <v>7</v>
      </c>
      <c r="K31" s="25" t="n">
        <f aca="false">SUM(E31:I31)</f>
        <v>18</v>
      </c>
      <c r="L31" s="24" t="n">
        <f aca="false">K31*D31</f>
        <v>27000</v>
      </c>
      <c r="M31" s="26" t="n">
        <f aca="false">IFERROR(J31/J$49,0)</f>
        <v>0.00392817059483726</v>
      </c>
      <c r="N31" s="26" t="n">
        <f aca="false">IFERROR(K31/K$49,0)</f>
        <v>0.00429696825017904</v>
      </c>
      <c r="O31" s="26" t="n">
        <f aca="false">IFERROR(L31/L$49,0)</f>
        <v>0.00813449023861171</v>
      </c>
      <c r="P31" s="22" t="n">
        <f aca="false">IF(J31=0,"-",RANK(J31,J$7:J$48))</f>
        <v>21</v>
      </c>
      <c r="Q31" s="22" t="n">
        <f aca="false">IF(K31=0,"-",RANK(K31,K$7:K$48))</f>
        <v>22</v>
      </c>
      <c r="R31" s="25" t="n">
        <v>200</v>
      </c>
      <c r="S31" s="25" t="n">
        <v>200</v>
      </c>
      <c r="T31" s="25" t="n">
        <f aca="false">S31-K31</f>
        <v>182</v>
      </c>
      <c r="U31" s="26" t="n">
        <f aca="false">IFERROR(K31/S31,0)</f>
        <v>0.09</v>
      </c>
      <c r="V31" s="55" t="n">
        <f aca="false">K31/5</f>
        <v>3.6</v>
      </c>
      <c r="W31" s="25" t="str">
        <f aca="false">IF(V31=0,"—",IF(T31/V31&gt;=15,"15日超",ROUND(T31/V31,0)))</f>
        <v>15日超</v>
      </c>
      <c r="X31" s="25" t="n">
        <v>21</v>
      </c>
      <c r="Y31" s="25" t="n">
        <v>98</v>
      </c>
      <c r="Z31" s="25" t="n">
        <v>181</v>
      </c>
      <c r="AA31" s="26" t="n">
        <f aca="false">IFERROR(X31/X$49,0)</f>
        <v>0.00337837837837838</v>
      </c>
      <c r="AB31" s="26" t="n">
        <f aca="false">IFERROR(Y31/Y$49,0)</f>
        <v>0.00353407861521818</v>
      </c>
      <c r="AC31" s="26" t="n">
        <f aca="false">IFERROR(Z31/340,0)</f>
        <v>0.532352941176471</v>
      </c>
      <c r="AD31" s="25" t="n">
        <v>15</v>
      </c>
      <c r="AE31" s="25" t="n">
        <v>52</v>
      </c>
      <c r="AF31" s="25" t="n">
        <v>140</v>
      </c>
      <c r="AG31" s="25" t="n">
        <v>168</v>
      </c>
      <c r="AH31" s="26" t="n">
        <f aca="false">IFERROR(AD31/AD$49,0)</f>
        <v>0.00391032325338895</v>
      </c>
      <c r="AI31" s="26" t="n">
        <f aca="false">IFERROR(AE31/AE$49,0)</f>
        <v>0.00475972540045767</v>
      </c>
      <c r="AJ31" s="26" t="n">
        <f aca="false">IFERROR(AG31/170,0)</f>
        <v>0.988235294117647</v>
      </c>
      <c r="AK31" s="46" t="n">
        <f aca="false">③追加発注判定!O31</f>
        <v>2.57006864951122</v>
      </c>
      <c r="AL31" s="25" t="n">
        <f aca="false">③追加発注判定!P31</f>
        <v>46</v>
      </c>
      <c r="AM31" s="26" t="n">
        <f aca="false">③追加発注判定!Q31</f>
        <v>0.23</v>
      </c>
      <c r="AN31" s="47" t="n">
        <f aca="false">③追加発注判定!R31</f>
        <v>-154</v>
      </c>
      <c r="AO31" s="48" t="str">
        <f aca="false">③追加発注判定!S31</f>
        <v>在庫余剰見込</v>
      </c>
      <c r="AP31" s="25" t="n">
        <f aca="false">③追加発注判定!T31</f>
        <v>0</v>
      </c>
    </row>
    <row r="32" customFormat="false" ht="15" hidden="false" customHeight="false" outlineLevel="0" collapsed="false">
      <c r="A32" s="22" t="n">
        <v>26</v>
      </c>
      <c r="B32" s="22" t="s">
        <v>137</v>
      </c>
      <c r="C32" s="23" t="s">
        <v>138</v>
      </c>
      <c r="D32" s="24" t="n">
        <v>2200</v>
      </c>
      <c r="E32" s="25" t="n">
        <v>27</v>
      </c>
      <c r="F32" s="25" t="n">
        <v>8</v>
      </c>
      <c r="G32" s="25" t="n">
        <v>11</v>
      </c>
      <c r="H32" s="25" t="n">
        <v>23</v>
      </c>
      <c r="I32" s="25" t="n">
        <v>16</v>
      </c>
      <c r="J32" s="25" t="n">
        <f aca="false">E32</f>
        <v>27</v>
      </c>
      <c r="K32" s="25" t="n">
        <f aca="false">SUM(E32:I32)</f>
        <v>85</v>
      </c>
      <c r="L32" s="24" t="n">
        <f aca="false">K32*D32</f>
        <v>187000</v>
      </c>
      <c r="M32" s="26" t="n">
        <f aca="false">IFERROR(J32/J$49,0)</f>
        <v>0.0151515151515152</v>
      </c>
      <c r="N32" s="26" t="n">
        <f aca="false">IFERROR(K32/K$49,0)</f>
        <v>0.0202912389591788</v>
      </c>
      <c r="O32" s="26" t="n">
        <f aca="false">IFERROR(L32/L$49,0)</f>
        <v>0.0563388768377922</v>
      </c>
      <c r="P32" s="22" t="n">
        <f aca="false">IF(J32=0,"-",RANK(J32,J$7:J$48))</f>
        <v>14</v>
      </c>
      <c r="Q32" s="22" t="n">
        <f aca="false">IF(K32=0,"-",RANK(K32,K$7:K$48))</f>
        <v>11</v>
      </c>
      <c r="R32" s="25" t="n">
        <v>100</v>
      </c>
      <c r="S32" s="25" t="n">
        <v>100</v>
      </c>
      <c r="T32" s="25" t="n">
        <f aca="false">S32-K32</f>
        <v>15</v>
      </c>
      <c r="U32" s="26" t="n">
        <f aca="false">IFERROR(K32/S32,0)</f>
        <v>0.85</v>
      </c>
      <c r="V32" s="55" t="n">
        <f aca="false">K32/5</f>
        <v>17</v>
      </c>
      <c r="W32" s="25" t="n">
        <f aca="false">IF(V32=0,"—",IF(T32/V32&gt;=15,"15日超",ROUND(T32/V32,0)))</f>
        <v>1</v>
      </c>
      <c r="X32" s="25" t="n">
        <v>161</v>
      </c>
      <c r="Y32" s="25" t="n">
        <v>373</v>
      </c>
      <c r="Z32" s="25" t="n">
        <v>513</v>
      </c>
      <c r="AA32" s="26" t="n">
        <f aca="false">IFERROR(X32/X$49,0)</f>
        <v>0.0259009009009009</v>
      </c>
      <c r="AB32" s="26" t="n">
        <f aca="false">IFERROR(Y32/Y$49,0)</f>
        <v>0.0134511359538406</v>
      </c>
      <c r="AC32" s="26" t="n">
        <f aca="false">IFERROR(Z32/515,0)</f>
        <v>0.996116504854369</v>
      </c>
      <c r="AD32" s="25" t="n">
        <v>83</v>
      </c>
      <c r="AE32" s="25" t="n">
        <v>153</v>
      </c>
      <c r="AF32" s="25" t="n">
        <v>353</v>
      </c>
      <c r="AG32" s="25" t="n">
        <v>444</v>
      </c>
      <c r="AH32" s="26" t="n">
        <f aca="false">IFERROR(AD32/AD$49,0)</f>
        <v>0.0216371220020855</v>
      </c>
      <c r="AI32" s="26" t="n">
        <f aca="false">IFERROR(AE32/AE$49,0)</f>
        <v>0.0140045766590389</v>
      </c>
      <c r="AJ32" s="26" t="n">
        <f aca="false">IFERROR(AG32/500,0)</f>
        <v>0.888</v>
      </c>
      <c r="AK32" s="46" t="n">
        <f aca="false">③追加発注判定!O32</f>
        <v>2.08883417315836</v>
      </c>
      <c r="AL32" s="25" t="n">
        <f aca="false">③追加発注判定!P32</f>
        <v>178</v>
      </c>
      <c r="AM32" s="26" t="n">
        <f aca="false">③追加発注判定!Q32</f>
        <v>1.78</v>
      </c>
      <c r="AN32" s="47" t="n">
        <f aca="false">③追加発注判定!R32</f>
        <v>78</v>
      </c>
      <c r="AO32" s="48" t="str">
        <f aca="false">③追加発注判定!S32</f>
        <v>要 追加発注</v>
      </c>
      <c r="AP32" s="25" t="n">
        <f aca="false">③追加発注判定!T32</f>
        <v>86</v>
      </c>
    </row>
    <row r="33" customFormat="false" ht="15" hidden="false" customHeight="false" outlineLevel="0" collapsed="false">
      <c r="A33" s="22" t="n">
        <v>27</v>
      </c>
      <c r="B33" s="22" t="s">
        <v>139</v>
      </c>
      <c r="C33" s="23" t="s">
        <v>140</v>
      </c>
      <c r="D33" s="24" t="n">
        <v>1100</v>
      </c>
      <c r="E33" s="25" t="n">
        <v>5</v>
      </c>
      <c r="F33" s="25" t="n">
        <v>1</v>
      </c>
      <c r="G33" s="25" t="n">
        <v>1</v>
      </c>
      <c r="H33" s="25" t="n">
        <v>5</v>
      </c>
      <c r="I33" s="25" t="n">
        <v>3</v>
      </c>
      <c r="J33" s="25" t="n">
        <f aca="false">E33</f>
        <v>5</v>
      </c>
      <c r="K33" s="25" t="n">
        <f aca="false">SUM(E33:I33)</f>
        <v>15</v>
      </c>
      <c r="L33" s="24" t="n">
        <f aca="false">K33*D33</f>
        <v>16500</v>
      </c>
      <c r="M33" s="26" t="n">
        <f aca="false">IFERROR(J33/J$49,0)</f>
        <v>0.00280583613916947</v>
      </c>
      <c r="N33" s="26" t="n">
        <f aca="false">IFERROR(K33/K$49,0)</f>
        <v>0.0035808068751492</v>
      </c>
      <c r="O33" s="26" t="n">
        <f aca="false">IFERROR(L33/L$49,0)</f>
        <v>0.00497107736804049</v>
      </c>
      <c r="P33" s="22" t="n">
        <f aca="false">IF(J33=0,"-",RANK(J33,J$7:J$48))</f>
        <v>23</v>
      </c>
      <c r="Q33" s="22" t="n">
        <f aca="false">IF(K33=0,"-",RANK(K33,K$7:K$48))</f>
        <v>24</v>
      </c>
      <c r="R33" s="25" t="n">
        <v>70</v>
      </c>
      <c r="S33" s="25" t="n">
        <v>70</v>
      </c>
      <c r="T33" s="25" t="n">
        <f aca="false">S33-K33</f>
        <v>55</v>
      </c>
      <c r="U33" s="26" t="n">
        <f aca="false">IFERROR(K33/S33,0)</f>
        <v>0.214285714285714</v>
      </c>
      <c r="V33" s="55" t="n">
        <f aca="false">K33/5</f>
        <v>3</v>
      </c>
      <c r="W33" s="25" t="str">
        <f aca="false">IF(V33=0,"—",IF(T33/V33&gt;=15,"15日超",ROUND(T33/V33,0)))</f>
        <v>15日超</v>
      </c>
      <c r="X33" s="25" t="n">
        <v>11</v>
      </c>
      <c r="Y33" s="25" t="n">
        <v>33</v>
      </c>
      <c r="Z33" s="25" t="n">
        <v>80</v>
      </c>
      <c r="AA33" s="26" t="n">
        <f aca="false">IFERROR(X33/X$49,0)</f>
        <v>0.00176962676962677</v>
      </c>
      <c r="AB33" s="26" t="n">
        <f aca="false">IFERROR(Y33/Y$49,0)</f>
        <v>0.00119004688063469</v>
      </c>
      <c r="AC33" s="26" t="n">
        <f aca="false">IFERROR(Z33/185,0)</f>
        <v>0.432432432432432</v>
      </c>
      <c r="AD33" s="25" t="n">
        <v>5</v>
      </c>
      <c r="AE33" s="25" t="n">
        <v>20</v>
      </c>
      <c r="AF33" s="25" t="n">
        <v>69</v>
      </c>
      <c r="AG33" s="25" t="n">
        <v>69</v>
      </c>
      <c r="AH33" s="26" t="n">
        <f aca="false">IFERROR(AD33/AD$49,0)</f>
        <v>0.00130344108446298</v>
      </c>
      <c r="AI33" s="26" t="n">
        <f aca="false">IFERROR(AE33/AE$49,0)</f>
        <v>0.00183066361556064</v>
      </c>
      <c r="AJ33" s="26" t="n">
        <f aca="false">IFERROR(AG33/70,0)</f>
        <v>0.985714285714286</v>
      </c>
      <c r="AK33" s="46" t="n">
        <f aca="false">③追加発注判定!O33</f>
        <v>3.08839437053254</v>
      </c>
      <c r="AL33" s="25" t="n">
        <f aca="false">③追加発注判定!P33</f>
        <v>46</v>
      </c>
      <c r="AM33" s="26" t="n">
        <f aca="false">③追加発注判定!Q33</f>
        <v>0.657142857142857</v>
      </c>
      <c r="AN33" s="47" t="n">
        <f aca="false">③追加発注判定!R33</f>
        <v>-24</v>
      </c>
      <c r="AO33" s="48" t="str">
        <f aca="false">③追加発注判定!S33</f>
        <v>適正</v>
      </c>
      <c r="AP33" s="25" t="n">
        <f aca="false">③追加発注判定!T33</f>
        <v>0</v>
      </c>
    </row>
    <row r="34" customFormat="false" ht="15" hidden="false" customHeight="false" outlineLevel="0" collapsed="false">
      <c r="A34" s="22" t="n">
        <v>28</v>
      </c>
      <c r="B34" s="22" t="s">
        <v>141</v>
      </c>
      <c r="C34" s="23" t="s">
        <v>142</v>
      </c>
      <c r="D34" s="24" t="n">
        <v>1800</v>
      </c>
      <c r="E34" s="25" t="n">
        <v>33</v>
      </c>
      <c r="F34" s="25" t="n">
        <v>19</v>
      </c>
      <c r="G34" s="25" t="n">
        <v>11</v>
      </c>
      <c r="H34" s="25" t="n">
        <v>33</v>
      </c>
      <c r="I34" s="25" t="n">
        <v>34</v>
      </c>
      <c r="J34" s="25" t="n">
        <f aca="false">E34</f>
        <v>33</v>
      </c>
      <c r="K34" s="25" t="n">
        <f aca="false">SUM(E34:I34)</f>
        <v>130</v>
      </c>
      <c r="L34" s="24" t="n">
        <f aca="false">K34*D34</f>
        <v>234000</v>
      </c>
      <c r="M34" s="26" t="n">
        <f aca="false">IFERROR(J34/J$49,0)</f>
        <v>0.0185185185185185</v>
      </c>
      <c r="N34" s="26" t="n">
        <f aca="false">IFERROR(K34/K$49,0)</f>
        <v>0.0310336595846264</v>
      </c>
      <c r="O34" s="26" t="n">
        <f aca="false">IFERROR(L34/L$49,0)</f>
        <v>0.0704989154013015</v>
      </c>
      <c r="P34" s="22" t="n">
        <f aca="false">IF(J34=0,"-",RANK(J34,J$7:J$48))</f>
        <v>11</v>
      </c>
      <c r="Q34" s="22" t="n">
        <f aca="false">IF(K34=0,"-",RANK(K34,K$7:K$48))</f>
        <v>9</v>
      </c>
      <c r="R34" s="25" t="n">
        <v>200</v>
      </c>
      <c r="S34" s="25" t="n">
        <v>200</v>
      </c>
      <c r="T34" s="25" t="n">
        <f aca="false">S34-K34</f>
        <v>70</v>
      </c>
      <c r="U34" s="26" t="n">
        <f aca="false">IFERROR(K34/S34,0)</f>
        <v>0.65</v>
      </c>
      <c r="V34" s="55" t="n">
        <f aca="false">K34/5</f>
        <v>26</v>
      </c>
      <c r="W34" s="25" t="n">
        <f aca="false">IF(V34=0,"—",IF(T34/V34&gt;=15,"15日超",ROUND(T34/V34,0)))</f>
        <v>3</v>
      </c>
      <c r="X34" s="25" t="n">
        <v>44</v>
      </c>
      <c r="Y34" s="25" t="n">
        <v>299</v>
      </c>
      <c r="Z34" s="25" t="n">
        <v>436</v>
      </c>
      <c r="AA34" s="26" t="n">
        <f aca="false">IFERROR(X34/X$49,0)</f>
        <v>0.00707850707850708</v>
      </c>
      <c r="AB34" s="26" t="n">
        <f aca="false">IFERROR(Y34/Y$49,0)</f>
        <v>0.010782545979084</v>
      </c>
      <c r="AC34" s="26" t="n">
        <f aca="false">IFERROR(Z34/437,0)</f>
        <v>0.997711670480549</v>
      </c>
      <c r="AD34" s="25" t="n">
        <v>39</v>
      </c>
      <c r="AE34" s="25" t="n">
        <v>146</v>
      </c>
      <c r="AF34" s="25" t="n">
        <v>333</v>
      </c>
      <c r="AG34" s="25" t="n">
        <v>333</v>
      </c>
      <c r="AH34" s="26" t="n">
        <f aca="false">IFERROR(AD34/AD$49,0)</f>
        <v>0.0101668404588113</v>
      </c>
      <c r="AI34" s="26" t="n">
        <f aca="false">IFERROR(AE34/AE$49,0)</f>
        <v>0.0133638443935927</v>
      </c>
      <c r="AJ34" s="26" t="n">
        <f aca="false">IFERROR(AG34/333,0)</f>
        <v>1</v>
      </c>
      <c r="AK34" s="46" t="n">
        <f aca="false">③追加発注判定!O34</f>
        <v>2.05653980794256</v>
      </c>
      <c r="AL34" s="25" t="n">
        <f aca="false">③追加発注判定!P34</f>
        <v>267</v>
      </c>
      <c r="AM34" s="26" t="n">
        <f aca="false">③追加発注判定!Q34</f>
        <v>1.335</v>
      </c>
      <c r="AN34" s="47" t="n">
        <f aca="false">③追加発注判定!R34</f>
        <v>67</v>
      </c>
      <c r="AO34" s="48" t="str">
        <f aca="false">③追加発注判定!S34</f>
        <v>要 追加発注</v>
      </c>
      <c r="AP34" s="25" t="n">
        <f aca="false">③追加発注判定!T34</f>
        <v>74</v>
      </c>
    </row>
    <row r="35" customFormat="false" ht="15" hidden="false" customHeight="false" outlineLevel="0" collapsed="false">
      <c r="A35" s="22" t="n">
        <v>29</v>
      </c>
      <c r="B35" s="22" t="s">
        <v>143</v>
      </c>
      <c r="C35" s="23" t="s">
        <v>144</v>
      </c>
      <c r="D35" s="24" t="n">
        <v>1500</v>
      </c>
      <c r="E35" s="25" t="n">
        <v>19</v>
      </c>
      <c r="F35" s="25" t="n">
        <v>10</v>
      </c>
      <c r="G35" s="25" t="n">
        <v>6</v>
      </c>
      <c r="H35" s="25" t="n">
        <v>21</v>
      </c>
      <c r="I35" s="25" t="n">
        <v>10</v>
      </c>
      <c r="J35" s="25" t="n">
        <f aca="false">E35</f>
        <v>19</v>
      </c>
      <c r="K35" s="25" t="n">
        <f aca="false">SUM(E35:I35)</f>
        <v>66</v>
      </c>
      <c r="L35" s="24" t="n">
        <f aca="false">K35*D35</f>
        <v>99000</v>
      </c>
      <c r="M35" s="26" t="n">
        <f aca="false">IFERROR(J35/J$49,0)</f>
        <v>0.010662177328844</v>
      </c>
      <c r="N35" s="26" t="n">
        <f aca="false">IFERROR(K35/K$49,0)</f>
        <v>0.0157555502506565</v>
      </c>
      <c r="O35" s="26" t="n">
        <f aca="false">IFERROR(L35/L$49,0)</f>
        <v>0.029826464208243</v>
      </c>
      <c r="P35" s="22" t="n">
        <f aca="false">IF(J35=0,"-",RANK(J35,J$7:J$48))</f>
        <v>15</v>
      </c>
      <c r="Q35" s="22" t="n">
        <f aca="false">IF(K35=0,"-",RANK(K35,K$7:K$48))</f>
        <v>15</v>
      </c>
      <c r="R35" s="25" t="n">
        <v>100</v>
      </c>
      <c r="S35" s="25" t="n">
        <v>100</v>
      </c>
      <c r="T35" s="25" t="n">
        <f aca="false">S35-K35</f>
        <v>34</v>
      </c>
      <c r="U35" s="26" t="n">
        <f aca="false">IFERROR(K35/S35,0)</f>
        <v>0.66</v>
      </c>
      <c r="V35" s="55" t="n">
        <f aca="false">K35/5</f>
        <v>13.2</v>
      </c>
      <c r="W35" s="25" t="n">
        <f aca="false">IF(V35=0,"—",IF(T35/V35&gt;=15,"15日超",ROUND(T35/V35,0)))</f>
        <v>3</v>
      </c>
      <c r="X35" s="25" t="n">
        <v>58</v>
      </c>
      <c r="Y35" s="25" t="n">
        <v>236</v>
      </c>
      <c r="Z35" s="25" t="n">
        <v>318</v>
      </c>
      <c r="AA35" s="26" t="n">
        <f aca="false">IFERROR(X35/X$49,0)</f>
        <v>0.00933075933075933</v>
      </c>
      <c r="AB35" s="26" t="n">
        <f aca="false">IFERROR(Y35/Y$49,0)</f>
        <v>0.00851063829787234</v>
      </c>
      <c r="AC35" s="26" t="n">
        <f aca="false">IFERROR(Z35/320,0)</f>
        <v>0.99375</v>
      </c>
      <c r="AD35" s="25" t="n">
        <v>30</v>
      </c>
      <c r="AE35" s="25" t="n">
        <v>92</v>
      </c>
      <c r="AF35" s="25" t="n">
        <v>249</v>
      </c>
      <c r="AG35" s="25" t="n">
        <v>249</v>
      </c>
      <c r="AH35" s="26" t="n">
        <f aca="false">IFERROR(AD35/AD$49,0)</f>
        <v>0.00782064650677789</v>
      </c>
      <c r="AI35" s="26" t="n">
        <f aca="false">IFERROR(AE35/AE$49,0)</f>
        <v>0.00842105263157895</v>
      </c>
      <c r="AJ35" s="26" t="n">
        <f aca="false">IFERROR(AG35/250,0)</f>
        <v>0.996</v>
      </c>
      <c r="AK35" s="46" t="n">
        <f aca="false">③追加発注判定!O35</f>
        <v>2.19966025622302</v>
      </c>
      <c r="AL35" s="25" t="n">
        <f aca="false">③追加発注判定!P35</f>
        <v>145</v>
      </c>
      <c r="AM35" s="26" t="n">
        <f aca="false">③追加発注判定!Q35</f>
        <v>1.45</v>
      </c>
      <c r="AN35" s="47" t="n">
        <f aca="false">③追加発注判定!R35</f>
        <v>45</v>
      </c>
      <c r="AO35" s="48" t="str">
        <f aca="false">③追加発注判定!S35</f>
        <v>要 追加発注</v>
      </c>
      <c r="AP35" s="25" t="n">
        <f aca="false">③追加発注判定!T35</f>
        <v>50</v>
      </c>
    </row>
    <row r="36" customFormat="false" ht="15" hidden="false" customHeight="false" outlineLevel="0" collapsed="false">
      <c r="A36" s="22" t="n">
        <v>30</v>
      </c>
      <c r="B36" s="22" t="s">
        <v>145</v>
      </c>
      <c r="C36" s="23" t="s">
        <v>146</v>
      </c>
      <c r="D36" s="24" t="n">
        <v>3300</v>
      </c>
      <c r="E36" s="25" t="n">
        <v>5</v>
      </c>
      <c r="F36" s="25" t="n">
        <v>4</v>
      </c>
      <c r="G36" s="25" t="n">
        <v>0</v>
      </c>
      <c r="H36" s="25" t="n">
        <v>6</v>
      </c>
      <c r="I36" s="25" t="n">
        <v>5</v>
      </c>
      <c r="J36" s="25" t="n">
        <f aca="false">E36</f>
        <v>5</v>
      </c>
      <c r="K36" s="25" t="n">
        <f aca="false">SUM(E36:I36)</f>
        <v>20</v>
      </c>
      <c r="L36" s="24" t="n">
        <f aca="false">K36*D36</f>
        <v>66000</v>
      </c>
      <c r="M36" s="26" t="n">
        <f aca="false">IFERROR(J36/J$49,0)</f>
        <v>0.00280583613916947</v>
      </c>
      <c r="N36" s="26" t="n">
        <f aca="false">IFERROR(K36/K$49,0)</f>
        <v>0.0047744091668656</v>
      </c>
      <c r="O36" s="26" t="n">
        <f aca="false">IFERROR(L36/L$49,0)</f>
        <v>0.019884309472162</v>
      </c>
      <c r="P36" s="22" t="n">
        <f aca="false">IF(J36=0,"-",RANK(J36,J$7:J$48))</f>
        <v>23</v>
      </c>
      <c r="Q36" s="22" t="n">
        <f aca="false">IF(K36=0,"-",RANK(K36,K$7:K$48))</f>
        <v>21</v>
      </c>
      <c r="R36" s="25" t="n">
        <v>250</v>
      </c>
      <c r="S36" s="25" t="n">
        <v>250</v>
      </c>
      <c r="T36" s="25" t="n">
        <f aca="false">S36-K36</f>
        <v>230</v>
      </c>
      <c r="U36" s="26" t="n">
        <f aca="false">IFERROR(K36/S36,0)</f>
        <v>0.08</v>
      </c>
      <c r="V36" s="55" t="n">
        <f aca="false">K36/5</f>
        <v>4</v>
      </c>
      <c r="W36" s="25" t="str">
        <f aca="false">IF(V36=0,"—",IF(T36/V36&gt;=15,"15日超",ROUND(T36/V36,0)))</f>
        <v>15日超</v>
      </c>
      <c r="X36" s="25" t="n">
        <v>19</v>
      </c>
      <c r="Y36" s="25" t="n">
        <v>68</v>
      </c>
      <c r="Z36" s="25" t="n">
        <v>142</v>
      </c>
      <c r="AA36" s="26" t="n">
        <f aca="false">IFERROR(X36/X$49,0)</f>
        <v>0.00305662805662806</v>
      </c>
      <c r="AB36" s="26" t="n">
        <f aca="false">IFERROR(Y36/Y$49,0)</f>
        <v>0.00245221781464118</v>
      </c>
      <c r="AC36" s="26" t="n">
        <f aca="false">IFERROR(Z36/250,0)</f>
        <v>0.568</v>
      </c>
      <c r="AD36" s="25" t="n">
        <v>1</v>
      </c>
      <c r="AE36" s="25" t="n">
        <v>18</v>
      </c>
      <c r="AF36" s="25" t="n">
        <v>63</v>
      </c>
      <c r="AG36" s="25" t="n">
        <v>89</v>
      </c>
      <c r="AH36" s="26" t="n">
        <f aca="false">IFERROR(AD36/AD$49,0)</f>
        <v>0.000260688216892596</v>
      </c>
      <c r="AI36" s="26" t="n">
        <f aca="false">IFERROR(AE36/AE$49,0)</f>
        <v>0.00164759725400458</v>
      </c>
      <c r="AJ36" s="26" t="n">
        <f aca="false">IFERROR(AG36/90,0)</f>
        <v>0.988888888888889</v>
      </c>
      <c r="AK36" s="46" t="n">
        <f aca="false">③追加発注判定!O36</f>
        <v>3.09232619151727</v>
      </c>
      <c r="AL36" s="25" t="n">
        <f aca="false">③追加発注判定!P36</f>
        <v>62</v>
      </c>
      <c r="AM36" s="26" t="n">
        <f aca="false">③追加発注判定!Q36</f>
        <v>0.248</v>
      </c>
      <c r="AN36" s="47" t="n">
        <f aca="false">③追加発注判定!R36</f>
        <v>-188</v>
      </c>
      <c r="AO36" s="48" t="str">
        <f aca="false">③追加発注判定!S36</f>
        <v>在庫余剰見込</v>
      </c>
      <c r="AP36" s="25" t="n">
        <f aca="false">③追加発注判定!T36</f>
        <v>0</v>
      </c>
    </row>
    <row r="37" customFormat="false" ht="15" hidden="false" customHeight="false" outlineLevel="0" collapsed="false">
      <c r="A37" s="22" t="n">
        <v>31</v>
      </c>
      <c r="B37" s="22" t="s">
        <v>147</v>
      </c>
      <c r="C37" s="23" t="s">
        <v>148</v>
      </c>
      <c r="D37" s="24" t="n">
        <v>1300</v>
      </c>
      <c r="E37" s="25" t="n">
        <v>15</v>
      </c>
      <c r="F37" s="25" t="n">
        <v>3</v>
      </c>
      <c r="G37" s="25" t="n">
        <v>2</v>
      </c>
      <c r="H37" s="25" t="n">
        <v>12</v>
      </c>
      <c r="I37" s="25" t="n">
        <v>11</v>
      </c>
      <c r="J37" s="25" t="n">
        <f aca="false">E37</f>
        <v>15</v>
      </c>
      <c r="K37" s="25" t="n">
        <f aca="false">SUM(E37:I37)</f>
        <v>43</v>
      </c>
      <c r="L37" s="24" t="n">
        <f aca="false">K37*D37</f>
        <v>55900</v>
      </c>
      <c r="M37" s="26" t="n">
        <f aca="false">IFERROR(J37/J$49,0)</f>
        <v>0.00841750841750842</v>
      </c>
      <c r="N37" s="26" t="n">
        <f aca="false">IFERROR(K37/K$49,0)</f>
        <v>0.010264979708761</v>
      </c>
      <c r="O37" s="26" t="n">
        <f aca="false">IFERROR(L37/L$49,0)</f>
        <v>0.0168414075680887</v>
      </c>
      <c r="P37" s="22" t="n">
        <f aca="false">IF(J37=0,"-",RANK(J37,J$7:J$48))</f>
        <v>17</v>
      </c>
      <c r="Q37" s="22" t="n">
        <f aca="false">IF(K37=0,"-",RANK(K37,K$7:K$48))</f>
        <v>16</v>
      </c>
      <c r="R37" s="25" t="n">
        <v>200</v>
      </c>
      <c r="S37" s="25" t="n">
        <v>200</v>
      </c>
      <c r="T37" s="25" t="n">
        <f aca="false">S37-K37</f>
        <v>157</v>
      </c>
      <c r="U37" s="26" t="n">
        <f aca="false">IFERROR(K37/S37,0)</f>
        <v>0.215</v>
      </c>
      <c r="V37" s="55" t="n">
        <f aca="false">K37/5</f>
        <v>8.6</v>
      </c>
      <c r="W37" s="25" t="str">
        <f aca="false">IF(V37=0,"—",IF(T37/V37&gt;=15,"15日超",ROUND(T37/V37,0)))</f>
        <v>15日超</v>
      </c>
      <c r="X37" s="25" t="n">
        <v>40</v>
      </c>
      <c r="Y37" s="25" t="n">
        <v>116</v>
      </c>
      <c r="Z37" s="25" t="n">
        <v>198</v>
      </c>
      <c r="AA37" s="26" t="n">
        <f aca="false">IFERROR(X37/X$49,0)</f>
        <v>0.00643500643500644</v>
      </c>
      <c r="AB37" s="26" t="n">
        <f aca="false">IFERROR(Y37/Y$49,0)</f>
        <v>0.00418319509556437</v>
      </c>
      <c r="AC37" s="26" t="n">
        <f aca="false">IFERROR(Z37/485,0)</f>
        <v>0.408247422680412</v>
      </c>
      <c r="AD37" s="25" t="n">
        <v>24</v>
      </c>
      <c r="AE37" s="25" t="n">
        <v>65</v>
      </c>
      <c r="AF37" s="25" t="n">
        <v>160</v>
      </c>
      <c r="AG37" s="25" t="n">
        <v>178</v>
      </c>
      <c r="AH37" s="26" t="n">
        <f aca="false">IFERROR(AD37/AD$49,0)</f>
        <v>0.00625651720542232</v>
      </c>
      <c r="AI37" s="26" t="n">
        <f aca="false">IFERROR(AE37/AE$49,0)</f>
        <v>0.00594965675057208</v>
      </c>
      <c r="AJ37" s="26" t="n">
        <f aca="false">IFERROR(AG37/180,0)</f>
        <v>0.988888888888889</v>
      </c>
      <c r="AK37" s="46" t="n">
        <f aca="false">③追加発注判定!O37</f>
        <v>2.33613323773091</v>
      </c>
      <c r="AL37" s="25" t="n">
        <f aca="false">③追加発注判定!P37</f>
        <v>100</v>
      </c>
      <c r="AM37" s="26" t="n">
        <f aca="false">③追加発注判定!Q37</f>
        <v>0.5</v>
      </c>
      <c r="AN37" s="47" t="n">
        <f aca="false">③追加発注判定!R37</f>
        <v>-100</v>
      </c>
      <c r="AO37" s="48" t="str">
        <f aca="false">③追加発注判定!S37</f>
        <v>適正</v>
      </c>
      <c r="AP37" s="25" t="n">
        <f aca="false">③追加発注判定!T37</f>
        <v>0</v>
      </c>
    </row>
    <row r="38" customFormat="false" ht="15" hidden="false" customHeight="false" outlineLevel="0" collapsed="false">
      <c r="A38" s="22" t="n">
        <v>32</v>
      </c>
      <c r="B38" s="22" t="s">
        <v>149</v>
      </c>
      <c r="C38" s="23" t="s">
        <v>150</v>
      </c>
      <c r="D38" s="24" t="n">
        <v>8800</v>
      </c>
      <c r="E38" s="25" t="n">
        <v>3</v>
      </c>
      <c r="F38" s="25" t="n">
        <v>1</v>
      </c>
      <c r="G38" s="25" t="n">
        <v>1</v>
      </c>
      <c r="H38" s="25" t="n">
        <v>2</v>
      </c>
      <c r="I38" s="25" t="n">
        <v>3</v>
      </c>
      <c r="J38" s="25" t="n">
        <f aca="false">E38</f>
        <v>3</v>
      </c>
      <c r="K38" s="25" t="n">
        <f aca="false">SUM(E38:I38)</f>
        <v>10</v>
      </c>
      <c r="L38" s="24" t="n">
        <f aca="false">K38*D38</f>
        <v>88000</v>
      </c>
      <c r="M38" s="26" t="n">
        <f aca="false">IFERROR(J38/J$49,0)</f>
        <v>0.00168350168350168</v>
      </c>
      <c r="N38" s="26" t="n">
        <f aca="false">IFERROR(K38/K$49,0)</f>
        <v>0.0023872045834328</v>
      </c>
      <c r="O38" s="26" t="n">
        <f aca="false">IFERROR(L38/L$49,0)</f>
        <v>0.0265124126295493</v>
      </c>
      <c r="P38" s="22" t="n">
        <f aca="false">IF(J38=0,"-",RANK(J38,J$7:J$48))</f>
        <v>26</v>
      </c>
      <c r="Q38" s="22" t="n">
        <f aca="false">IF(K38=0,"-",RANK(K38,K$7:K$48))</f>
        <v>27</v>
      </c>
      <c r="R38" s="25" t="n">
        <v>10</v>
      </c>
      <c r="S38" s="25" t="n">
        <v>10</v>
      </c>
      <c r="T38" s="25" t="n">
        <f aca="false">S38-K38</f>
        <v>0</v>
      </c>
      <c r="U38" s="26" t="n">
        <f aca="false">IFERROR(K38/S38,0)</f>
        <v>1</v>
      </c>
      <c r="V38" s="55" t="n">
        <f aca="false">K38/5</f>
        <v>2</v>
      </c>
      <c r="W38" s="25" t="n">
        <f aca="false">IF(V38=0,"—",IF(T38/V38&gt;=15,"15日超",ROUND(T38/V38,0)))</f>
        <v>0</v>
      </c>
      <c r="X38" s="25" t="n">
        <v>29</v>
      </c>
      <c r="Y38" s="25" t="n">
        <v>36</v>
      </c>
      <c r="Z38" s="25" t="n">
        <v>36</v>
      </c>
      <c r="AA38" s="26" t="n">
        <f aca="false">IFERROR(X38/X$49,0)</f>
        <v>0.00466537966537967</v>
      </c>
      <c r="AB38" s="26" t="n">
        <f aca="false">IFERROR(Y38/Y$49,0)</f>
        <v>0.00129823296069239</v>
      </c>
      <c r="AC38" s="26" t="n">
        <f aca="false">IFERROR(Z38/38,0)</f>
        <v>0.947368421052632</v>
      </c>
      <c r="AD38" s="25" t="n">
        <v>20</v>
      </c>
      <c r="AE38" s="25" t="n">
        <v>27</v>
      </c>
      <c r="AF38" s="25" t="n">
        <v>30</v>
      </c>
      <c r="AG38" s="25" t="n">
        <v>30</v>
      </c>
      <c r="AH38" s="26" t="n">
        <f aca="false">IFERROR(AD38/AD$49,0)</f>
        <v>0.00521376433785193</v>
      </c>
      <c r="AI38" s="26" t="n">
        <f aca="false">IFERROR(AE38/AE$49,0)</f>
        <v>0.00247139588100687</v>
      </c>
      <c r="AJ38" s="26" t="n">
        <f aca="false">IFERROR(AG38/29,0)</f>
        <v>1.03448275862069</v>
      </c>
      <c r="AK38" s="46" t="n">
        <f aca="false">③追加発注判定!O38</f>
        <v>1.26232119432819</v>
      </c>
      <c r="AL38" s="25" t="n">
        <f aca="false">③追加発注判定!P38</f>
        <v>13</v>
      </c>
      <c r="AM38" s="26" t="n">
        <f aca="false">③追加発注判定!Q38</f>
        <v>1.3</v>
      </c>
      <c r="AN38" s="47" t="n">
        <f aca="false">③追加発注判定!R38</f>
        <v>3</v>
      </c>
      <c r="AO38" s="48" t="str">
        <f aca="false">③追加発注判定!S38</f>
        <v>要 追加発注</v>
      </c>
      <c r="AP38" s="25" t="n">
        <f aca="false">③追加発注判定!T38</f>
        <v>4</v>
      </c>
    </row>
    <row r="39" customFormat="false" ht="15" hidden="false" customHeight="false" outlineLevel="0" collapsed="false">
      <c r="A39" s="22" t="n">
        <v>33</v>
      </c>
      <c r="B39" s="22" t="s">
        <v>151</v>
      </c>
      <c r="C39" s="23" t="s">
        <v>152</v>
      </c>
      <c r="D39" s="24" t="n">
        <v>27500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f aca="false">E39</f>
        <v>0</v>
      </c>
      <c r="K39" s="25" t="n">
        <f aca="false">SUM(E39:I39)</f>
        <v>0</v>
      </c>
      <c r="L39" s="24" t="n">
        <f aca="false">K39*D39</f>
        <v>0</v>
      </c>
      <c r="M39" s="26" t="n">
        <f aca="false">IFERROR(J39/J$49,0)</f>
        <v>0</v>
      </c>
      <c r="N39" s="26" t="n">
        <f aca="false">IFERROR(K39/K$49,0)</f>
        <v>0</v>
      </c>
      <c r="O39" s="26" t="n">
        <f aca="false">IFERROR(L39/L$49,0)</f>
        <v>0</v>
      </c>
      <c r="P39" s="22" t="str">
        <f aca="false">IF(J39=0,"-",RANK(J39,J$7:J$48))</f>
        <v>-</v>
      </c>
      <c r="Q39" s="22" t="str">
        <f aca="false">IF(K39=0,"-",RANK(K39,K$7:K$48))</f>
        <v>-</v>
      </c>
      <c r="R39" s="25" t="n">
        <v>15</v>
      </c>
      <c r="S39" s="25" t="n">
        <v>15</v>
      </c>
      <c r="T39" s="25" t="n">
        <f aca="false">S39-K39</f>
        <v>15</v>
      </c>
      <c r="U39" s="26" t="n">
        <f aca="false">IFERROR(K39/S39,0)</f>
        <v>0</v>
      </c>
      <c r="V39" s="55" t="n">
        <f aca="false">K39/5</f>
        <v>0</v>
      </c>
      <c r="W39" s="25" t="str">
        <f aca="false">IF(V39=0,"—",IF(T39/V39&gt;=15,"15日超",ROUND(T39/V39,0)))</f>
        <v>—</v>
      </c>
      <c r="X39" s="25" t="n">
        <v>12</v>
      </c>
      <c r="Y39" s="25" t="n">
        <v>28</v>
      </c>
      <c r="Z39" s="25" t="n">
        <v>35</v>
      </c>
      <c r="AA39" s="26" t="n">
        <f aca="false">IFERROR(X39/X$49,0)</f>
        <v>0.00193050193050193</v>
      </c>
      <c r="AB39" s="26" t="n">
        <f aca="false">IFERROR(Y39/Y$49,0)</f>
        <v>0.00100973674720519</v>
      </c>
      <c r="AC39" s="26" t="n">
        <f aca="false">IFERROR(Z39/40,0)</f>
        <v>0.875</v>
      </c>
      <c r="AD39" s="25" t="n">
        <v>1</v>
      </c>
      <c r="AE39" s="25" t="n">
        <v>4</v>
      </c>
      <c r="AF39" s="25" t="n">
        <v>13</v>
      </c>
      <c r="AG39" s="25" t="n">
        <v>14</v>
      </c>
      <c r="AH39" s="26" t="n">
        <f aca="false">IFERROR(AD39/AD$49,0)</f>
        <v>0.000260688216892596</v>
      </c>
      <c r="AI39" s="26" t="n">
        <f aca="false">IFERROR(AE39/AE$49,0)</f>
        <v>0.000366132723112128</v>
      </c>
      <c r="AJ39" s="26" t="n">
        <f aca="false">IFERROR(AG39/20,0)</f>
        <v>0.7</v>
      </c>
      <c r="AK39" s="46" t="n">
        <f aca="false">③追加発注判定!O39</f>
        <v>2.53325863576738</v>
      </c>
      <c r="AL39" s="25" t="n">
        <f aca="false">③追加発注判定!P39</f>
        <v>0</v>
      </c>
      <c r="AM39" s="26" t="n">
        <f aca="false">③追加発注判定!Q39</f>
        <v>0</v>
      </c>
      <c r="AN39" s="47" t="n">
        <f aca="false">③追加発注判定!R39</f>
        <v>-15</v>
      </c>
      <c r="AO39" s="48" t="str">
        <f aca="false">③追加発注判定!S39</f>
        <v>在庫余剰見込</v>
      </c>
      <c r="AP39" s="25" t="n">
        <f aca="false">③追加発注判定!T39</f>
        <v>0</v>
      </c>
    </row>
    <row r="40" customFormat="false" ht="15" hidden="false" customHeight="false" outlineLevel="0" collapsed="false">
      <c r="A40" s="22" t="n">
        <v>34</v>
      </c>
      <c r="B40" s="22" t="s">
        <v>153</v>
      </c>
      <c r="C40" s="23" t="s">
        <v>154</v>
      </c>
      <c r="D40" s="24" t="n">
        <v>27500</v>
      </c>
      <c r="E40" s="25" t="n">
        <v>0</v>
      </c>
      <c r="F40" s="25" t="n">
        <v>0</v>
      </c>
      <c r="G40" s="25" t="n">
        <v>0</v>
      </c>
      <c r="H40" s="25" t="n">
        <v>1</v>
      </c>
      <c r="I40" s="25" t="n">
        <v>0</v>
      </c>
      <c r="J40" s="25" t="n">
        <f aca="false">E40</f>
        <v>0</v>
      </c>
      <c r="K40" s="25" t="n">
        <f aca="false">SUM(E40:I40)</f>
        <v>1</v>
      </c>
      <c r="L40" s="24" t="n">
        <f aca="false">K40*D40</f>
        <v>27500</v>
      </c>
      <c r="M40" s="26" t="n">
        <f aca="false">IFERROR(J40/J$49,0)</f>
        <v>0</v>
      </c>
      <c r="N40" s="26" t="n">
        <f aca="false">IFERROR(K40/K$49,0)</f>
        <v>0.00023872045834328</v>
      </c>
      <c r="O40" s="26" t="n">
        <f aca="false">IFERROR(L40/L$49,0)</f>
        <v>0.00828512894673415</v>
      </c>
      <c r="P40" s="22" t="str">
        <f aca="false">IF(J40=0,"-",RANK(J40,J$7:J$48))</f>
        <v>-</v>
      </c>
      <c r="Q40" s="22" t="n">
        <f aca="false">IF(K40=0,"-",RANK(K40,K$7:K$48))</f>
        <v>33</v>
      </c>
      <c r="R40" s="25" t="n">
        <v>2</v>
      </c>
      <c r="S40" s="25" t="n">
        <v>2</v>
      </c>
      <c r="T40" s="25" t="n">
        <f aca="false">S40-K40</f>
        <v>1</v>
      </c>
      <c r="U40" s="26" t="n">
        <f aca="false">IFERROR(K40/S40,0)</f>
        <v>0.5</v>
      </c>
      <c r="V40" s="55" t="n">
        <f aca="false">K40/5</f>
        <v>0.2</v>
      </c>
      <c r="W40" s="25" t="n">
        <f aca="false">IF(V40=0,"—",IF(T40/V40&gt;=15,"15日超",ROUND(T40/V40,0)))</f>
        <v>5</v>
      </c>
      <c r="X40" s="25" t="n">
        <v>3</v>
      </c>
      <c r="Y40" s="25" t="n">
        <v>3</v>
      </c>
      <c r="Z40" s="25" t="n">
        <v>3</v>
      </c>
      <c r="AA40" s="26" t="n">
        <f aca="false">IFERROR(X40/X$49,0)</f>
        <v>0.000482625482625483</v>
      </c>
      <c r="AB40" s="26" t="n">
        <f aca="false">IFERROR(Y40/Y$49,0)</f>
        <v>0.000108186080057699</v>
      </c>
      <c r="AC40" s="26" t="n">
        <f aca="false">IFERROR(Z40/3,0)</f>
        <v>1</v>
      </c>
      <c r="AD40" s="25" t="n">
        <v>2</v>
      </c>
      <c r="AE40" s="25" t="n">
        <v>3</v>
      </c>
      <c r="AF40" s="25" t="n">
        <v>3</v>
      </c>
      <c r="AG40" s="25" t="n">
        <v>3</v>
      </c>
      <c r="AH40" s="26" t="n">
        <f aca="false">IFERROR(AD40/AD$49,0)</f>
        <v>0.000521376433785193</v>
      </c>
      <c r="AI40" s="26" t="n">
        <f aca="false">IFERROR(AE40/AE$49,0)</f>
        <v>0.000274599542334096</v>
      </c>
      <c r="AJ40" s="26" t="n">
        <f aca="false">IFERROR(AG40/3,0)</f>
        <v>1</v>
      </c>
      <c r="AK40" s="46" t="n">
        <f aca="false">③追加発注判定!O40</f>
        <v>1.2266069086139</v>
      </c>
      <c r="AL40" s="25" t="n">
        <f aca="false">③追加発注判定!P40</f>
        <v>1</v>
      </c>
      <c r="AM40" s="26" t="n">
        <f aca="false">③追加発注判定!Q40</f>
        <v>0.5</v>
      </c>
      <c r="AN40" s="47" t="n">
        <f aca="false">③追加発注判定!R40</f>
        <v>-1</v>
      </c>
      <c r="AO40" s="48" t="str">
        <f aca="false">③追加発注判定!S40</f>
        <v>適正</v>
      </c>
      <c r="AP40" s="25" t="n">
        <f aca="false">③追加発注判定!T40</f>
        <v>0</v>
      </c>
    </row>
    <row r="41" customFormat="false" ht="15" hidden="false" customHeight="false" outlineLevel="0" collapsed="false">
      <c r="A41" s="22" t="n">
        <v>35</v>
      </c>
      <c r="B41" s="22" t="s">
        <v>155</v>
      </c>
      <c r="C41" s="23" t="s">
        <v>156</v>
      </c>
      <c r="D41" s="24" t="n">
        <v>27500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  <c r="J41" s="25" t="n">
        <f aca="false">E41</f>
        <v>0</v>
      </c>
      <c r="K41" s="25" t="n">
        <f aca="false">SUM(E41:I41)</f>
        <v>0</v>
      </c>
      <c r="L41" s="24" t="n">
        <f aca="false">K41*D41</f>
        <v>0</v>
      </c>
      <c r="M41" s="26" t="n">
        <f aca="false">IFERROR(J41/J$49,0)</f>
        <v>0</v>
      </c>
      <c r="N41" s="26" t="n">
        <f aca="false">IFERROR(K41/K$49,0)</f>
        <v>0</v>
      </c>
      <c r="O41" s="26" t="n">
        <f aca="false">IFERROR(L41/L$49,0)</f>
        <v>0</v>
      </c>
      <c r="P41" s="22" t="str">
        <f aca="false">IF(J41=0,"-",RANK(J41,J$7:J$48))</f>
        <v>-</v>
      </c>
      <c r="Q41" s="22" t="str">
        <f aca="false">IF(K41=0,"-",RANK(K41,K$7:K$48))</f>
        <v>-</v>
      </c>
      <c r="R41" s="25" t="n">
        <v>2</v>
      </c>
      <c r="S41" s="25" t="n">
        <v>2</v>
      </c>
      <c r="T41" s="25" t="n">
        <f aca="false">S41-K41</f>
        <v>2</v>
      </c>
      <c r="U41" s="26" t="n">
        <f aca="false">IFERROR(K41/S41,0)</f>
        <v>0</v>
      </c>
      <c r="V41" s="55" t="n">
        <f aca="false">K41/5</f>
        <v>0</v>
      </c>
      <c r="W41" s="25" t="str">
        <f aca="false">IF(V41=0,"—",IF(T41/V41&gt;=15,"15日超",ROUND(T41/V41,0)))</f>
        <v>—</v>
      </c>
      <c r="X41" s="25" t="n">
        <v>3</v>
      </c>
      <c r="Y41" s="25" t="n">
        <v>3</v>
      </c>
      <c r="Z41" s="25" t="n">
        <v>3</v>
      </c>
      <c r="AA41" s="26" t="n">
        <f aca="false">IFERROR(X41/X$49,0)</f>
        <v>0.000482625482625483</v>
      </c>
      <c r="AB41" s="26" t="n">
        <f aca="false">IFERROR(Y41/Y$49,0)</f>
        <v>0.000108186080057699</v>
      </c>
      <c r="AC41" s="26" t="n">
        <f aca="false">IFERROR(Z41/3,0)</f>
        <v>1</v>
      </c>
      <c r="AD41" s="25" t="n">
        <v>3</v>
      </c>
      <c r="AE41" s="25" t="n">
        <v>3</v>
      </c>
      <c r="AF41" s="25" t="n">
        <v>3</v>
      </c>
      <c r="AG41" s="25" t="n">
        <v>3</v>
      </c>
      <c r="AH41" s="26" t="n">
        <f aca="false">IFERROR(AD41/AD$49,0)</f>
        <v>0.000782064650677789</v>
      </c>
      <c r="AI41" s="26" t="n">
        <f aca="false">IFERROR(AE41/AE$49,0)</f>
        <v>0.000274599542334096</v>
      </c>
      <c r="AJ41" s="26" t="n">
        <f aca="false">IFERROR(AG41/3,0)</f>
        <v>1</v>
      </c>
      <c r="AK41" s="46" t="n">
        <f aca="false">③追加発注判定!O41</f>
        <v>1.2266069086139</v>
      </c>
      <c r="AL41" s="25" t="n">
        <f aca="false">③追加発注判定!P41</f>
        <v>0</v>
      </c>
      <c r="AM41" s="26" t="n">
        <f aca="false">③追加発注判定!Q41</f>
        <v>0</v>
      </c>
      <c r="AN41" s="47" t="n">
        <f aca="false">③追加発注判定!R41</f>
        <v>-2</v>
      </c>
      <c r="AO41" s="48" t="str">
        <f aca="false">③追加発注判定!S41</f>
        <v>在庫余剰見込</v>
      </c>
      <c r="AP41" s="25" t="n">
        <f aca="false">③追加発注判定!T41</f>
        <v>0</v>
      </c>
    </row>
    <row r="42" customFormat="false" ht="15" hidden="false" customHeight="false" outlineLevel="0" collapsed="false">
      <c r="A42" s="22" t="n">
        <v>36</v>
      </c>
      <c r="B42" s="22" t="s">
        <v>157</v>
      </c>
      <c r="C42" s="23" t="s">
        <v>158</v>
      </c>
      <c r="D42" s="24" t="n">
        <v>27500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f aca="false">E42</f>
        <v>0</v>
      </c>
      <c r="K42" s="25" t="n">
        <f aca="false">SUM(E42:I42)</f>
        <v>0</v>
      </c>
      <c r="L42" s="24" t="n">
        <f aca="false">K42*D42</f>
        <v>0</v>
      </c>
      <c r="M42" s="26" t="n">
        <f aca="false">IFERROR(J42/J$49,0)</f>
        <v>0</v>
      </c>
      <c r="N42" s="26" t="n">
        <f aca="false">IFERROR(K42/K$49,0)</f>
        <v>0</v>
      </c>
      <c r="O42" s="26" t="n">
        <f aca="false">IFERROR(L42/L$49,0)</f>
        <v>0</v>
      </c>
      <c r="P42" s="22" t="str">
        <f aca="false">IF(J42=0,"-",RANK(J42,J$7:J$48))</f>
        <v>-</v>
      </c>
      <c r="Q42" s="22" t="str">
        <f aca="false">IF(K42=0,"-",RANK(K42,K$7:K$48))</f>
        <v>-</v>
      </c>
      <c r="R42" s="25" t="n">
        <v>2</v>
      </c>
      <c r="S42" s="25" t="n">
        <v>2</v>
      </c>
      <c r="T42" s="25" t="n">
        <f aca="false">S42-K42</f>
        <v>2</v>
      </c>
      <c r="U42" s="26" t="n">
        <f aca="false">IFERROR(K42/S42,0)</f>
        <v>0</v>
      </c>
      <c r="V42" s="55" t="n">
        <f aca="false">K42/5</f>
        <v>0</v>
      </c>
      <c r="W42" s="25" t="str">
        <f aca="false">IF(V42=0,"—",IF(T42/V42&gt;=15,"15日超",ROUND(T42/V42,0)))</f>
        <v>—</v>
      </c>
      <c r="X42" s="25" t="n">
        <v>3</v>
      </c>
      <c r="Y42" s="25" t="n">
        <v>3</v>
      </c>
      <c r="Z42" s="25" t="n">
        <v>3</v>
      </c>
      <c r="AA42" s="26" t="n">
        <f aca="false">IFERROR(X42/X$49,0)</f>
        <v>0.000482625482625483</v>
      </c>
      <c r="AB42" s="26" t="n">
        <f aca="false">IFERROR(Y42/Y$49,0)</f>
        <v>0.000108186080057699</v>
      </c>
      <c r="AC42" s="26" t="n">
        <f aca="false">IFERROR(Z42/3,0)</f>
        <v>1</v>
      </c>
      <c r="AD42" s="25" t="n">
        <v>1</v>
      </c>
      <c r="AE42" s="25" t="n">
        <v>2</v>
      </c>
      <c r="AF42" s="25" t="n">
        <v>3</v>
      </c>
      <c r="AG42" s="25" t="n">
        <v>3</v>
      </c>
      <c r="AH42" s="26" t="n">
        <f aca="false">IFERROR(AD42/AD$49,0)</f>
        <v>0.000260688216892596</v>
      </c>
      <c r="AI42" s="26" t="n">
        <f aca="false">IFERROR(AE42/AE$49,0)</f>
        <v>0.000183066361556064</v>
      </c>
      <c r="AJ42" s="26" t="n">
        <f aca="false">IFERROR(AG42/3,0)</f>
        <v>1</v>
      </c>
      <c r="AK42" s="46" t="n">
        <f aca="false">③追加発注判定!O42</f>
        <v>1.2266069086139</v>
      </c>
      <c r="AL42" s="25" t="n">
        <f aca="false">③追加発注判定!P42</f>
        <v>0</v>
      </c>
      <c r="AM42" s="26" t="n">
        <f aca="false">③追加発注判定!Q42</f>
        <v>0</v>
      </c>
      <c r="AN42" s="47" t="n">
        <f aca="false">③追加発注判定!R42</f>
        <v>-2</v>
      </c>
      <c r="AO42" s="48" t="str">
        <f aca="false">③追加発注判定!S42</f>
        <v>在庫余剰見込</v>
      </c>
      <c r="AP42" s="25" t="n">
        <f aca="false">③追加発注判定!T42</f>
        <v>0</v>
      </c>
    </row>
    <row r="43" customFormat="false" ht="15" hidden="false" customHeight="false" outlineLevel="0" collapsed="false">
      <c r="A43" s="22" t="n">
        <v>37</v>
      </c>
      <c r="B43" s="22" t="s">
        <v>159</v>
      </c>
      <c r="C43" s="23" t="s">
        <v>160</v>
      </c>
      <c r="D43" s="24" t="n">
        <v>27500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f aca="false">E43</f>
        <v>0</v>
      </c>
      <c r="K43" s="25" t="n">
        <f aca="false">SUM(E43:I43)</f>
        <v>0</v>
      </c>
      <c r="L43" s="24" t="n">
        <f aca="false">K43*D43</f>
        <v>0</v>
      </c>
      <c r="M43" s="26" t="n">
        <f aca="false">IFERROR(J43/J$49,0)</f>
        <v>0</v>
      </c>
      <c r="N43" s="26" t="n">
        <f aca="false">IFERROR(K43/K$49,0)</f>
        <v>0</v>
      </c>
      <c r="O43" s="26" t="n">
        <f aca="false">IFERROR(L43/L$49,0)</f>
        <v>0</v>
      </c>
      <c r="P43" s="22" t="str">
        <f aca="false">IF(J43=0,"-",RANK(J43,J$7:J$48))</f>
        <v>-</v>
      </c>
      <c r="Q43" s="22" t="str">
        <f aca="false">IF(K43=0,"-",RANK(K43,K$7:K$48))</f>
        <v>-</v>
      </c>
      <c r="R43" s="25" t="n">
        <v>8</v>
      </c>
      <c r="S43" s="25" t="n">
        <v>8</v>
      </c>
      <c r="T43" s="25" t="n">
        <f aca="false">S43-K43</f>
        <v>8</v>
      </c>
      <c r="U43" s="26" t="n">
        <f aca="false">IFERROR(K43/S43,0)</f>
        <v>0</v>
      </c>
      <c r="V43" s="55" t="n">
        <f aca="false">K43/5</f>
        <v>0</v>
      </c>
      <c r="W43" s="25" t="str">
        <f aca="false">IF(V43=0,"—",IF(T43/V43&gt;=15,"15日超",ROUND(T43/V43,0)))</f>
        <v>—</v>
      </c>
      <c r="X43" s="25" t="n">
        <v>3</v>
      </c>
      <c r="Y43" s="25" t="n">
        <v>11</v>
      </c>
      <c r="Z43" s="25" t="n">
        <v>18</v>
      </c>
      <c r="AA43" s="26" t="n">
        <f aca="false">IFERROR(X43/X$49,0)</f>
        <v>0.000482625482625483</v>
      </c>
      <c r="AB43" s="26" t="n">
        <f aca="false">IFERROR(Y43/Y$49,0)</f>
        <v>0.000396682293544897</v>
      </c>
      <c r="AC43" s="26" t="n">
        <f aca="false">IFERROR(Z43/20,0)</f>
        <v>0.9</v>
      </c>
      <c r="AD43" s="25" t="n">
        <v>2</v>
      </c>
      <c r="AE43" s="25" t="n">
        <v>2</v>
      </c>
      <c r="AF43" s="25" t="n">
        <v>10</v>
      </c>
      <c r="AG43" s="25" t="n">
        <v>12</v>
      </c>
      <c r="AH43" s="26" t="n">
        <f aca="false">IFERROR(AD43/AD$49,0)</f>
        <v>0.000521376433785193</v>
      </c>
      <c r="AI43" s="26" t="n">
        <f aca="false">IFERROR(AE43/AE$49,0)</f>
        <v>0.000183066361556064</v>
      </c>
      <c r="AJ43" s="26" t="n">
        <f aca="false">IFERROR(AG43/15,0)</f>
        <v>0.8</v>
      </c>
      <c r="AK43" s="46" t="n">
        <f aca="false">③追加発注判定!O43</f>
        <v>2.43899312318639</v>
      </c>
      <c r="AL43" s="25" t="n">
        <f aca="false">③追加発注判定!P43</f>
        <v>0</v>
      </c>
      <c r="AM43" s="26" t="n">
        <f aca="false">③追加発注判定!Q43</f>
        <v>0</v>
      </c>
      <c r="AN43" s="47" t="n">
        <f aca="false">③追加発注判定!R43</f>
        <v>-8</v>
      </c>
      <c r="AO43" s="48" t="str">
        <f aca="false">③追加発注判定!S43</f>
        <v>在庫余剰見込</v>
      </c>
      <c r="AP43" s="25" t="n">
        <f aca="false">③追加発注判定!T43</f>
        <v>0</v>
      </c>
    </row>
    <row r="44" customFormat="false" ht="15" hidden="false" customHeight="false" outlineLevel="0" collapsed="false">
      <c r="A44" s="22" t="n">
        <v>38</v>
      </c>
      <c r="B44" s="22" t="s">
        <v>161</v>
      </c>
      <c r="C44" s="23" t="s">
        <v>162</v>
      </c>
      <c r="D44" s="24" t="n">
        <v>27500</v>
      </c>
      <c r="E44" s="25" t="n">
        <v>0</v>
      </c>
      <c r="F44" s="25" t="n">
        <v>0</v>
      </c>
      <c r="G44" s="25" t="n">
        <v>0</v>
      </c>
      <c r="H44" s="25" t="n">
        <v>1</v>
      </c>
      <c r="I44" s="25" t="n">
        <v>0</v>
      </c>
      <c r="J44" s="25" t="n">
        <f aca="false">E44</f>
        <v>0</v>
      </c>
      <c r="K44" s="25" t="n">
        <f aca="false">SUM(E44:I44)</f>
        <v>1</v>
      </c>
      <c r="L44" s="24" t="n">
        <f aca="false">K44*D44</f>
        <v>27500</v>
      </c>
      <c r="M44" s="26" t="n">
        <f aca="false">IFERROR(J44/J$49,0)</f>
        <v>0</v>
      </c>
      <c r="N44" s="26" t="n">
        <f aca="false">IFERROR(K44/K$49,0)</f>
        <v>0.00023872045834328</v>
      </c>
      <c r="O44" s="26" t="n">
        <f aca="false">IFERROR(L44/L$49,0)</f>
        <v>0.00828512894673415</v>
      </c>
      <c r="P44" s="22" t="str">
        <f aca="false">IF(J44=0,"-",RANK(J44,J$7:J$48))</f>
        <v>-</v>
      </c>
      <c r="Q44" s="22" t="n">
        <f aca="false">IF(K44=0,"-",RANK(K44,K$7:K$48))</f>
        <v>33</v>
      </c>
      <c r="R44" s="25" t="n">
        <v>2</v>
      </c>
      <c r="S44" s="25" t="n">
        <v>2</v>
      </c>
      <c r="T44" s="25" t="n">
        <f aca="false">S44-K44</f>
        <v>1</v>
      </c>
      <c r="U44" s="26" t="n">
        <f aca="false">IFERROR(K44/S44,0)</f>
        <v>0.5</v>
      </c>
      <c r="V44" s="55" t="n">
        <f aca="false">K44/5</f>
        <v>0.2</v>
      </c>
      <c r="W44" s="25" t="n">
        <f aca="false">IF(V44=0,"—",IF(T44/V44&gt;=15,"15日超",ROUND(T44/V44,0)))</f>
        <v>5</v>
      </c>
      <c r="X44" s="25" t="n">
        <v>2</v>
      </c>
      <c r="Y44" s="25" t="n">
        <v>3</v>
      </c>
      <c r="Z44" s="25" t="n">
        <v>3</v>
      </c>
      <c r="AA44" s="26" t="n">
        <f aca="false">IFERROR(X44/X$49,0)</f>
        <v>0.000321750321750322</v>
      </c>
      <c r="AB44" s="26" t="n">
        <f aca="false">IFERROR(Y44/Y$49,0)</f>
        <v>0.000108186080057699</v>
      </c>
      <c r="AC44" s="26" t="n">
        <f aca="false">IFERROR(Z44/3,0)</f>
        <v>1</v>
      </c>
      <c r="AD44" s="25" t="n">
        <v>1</v>
      </c>
      <c r="AE44" s="25" t="n">
        <v>2</v>
      </c>
      <c r="AF44" s="25" t="n">
        <v>3</v>
      </c>
      <c r="AG44" s="25" t="n">
        <v>3</v>
      </c>
      <c r="AH44" s="26" t="n">
        <f aca="false">IFERROR(AD44/AD$49,0)</f>
        <v>0.000260688216892596</v>
      </c>
      <c r="AI44" s="26" t="n">
        <f aca="false">IFERROR(AE44/AE$49,0)</f>
        <v>0.000183066361556064</v>
      </c>
      <c r="AJ44" s="26" t="n">
        <f aca="false">IFERROR(AG44/3,0)</f>
        <v>1</v>
      </c>
      <c r="AK44" s="46" t="n">
        <f aca="false">③追加発注判定!O44</f>
        <v>1.2266069086139</v>
      </c>
      <c r="AL44" s="25" t="n">
        <f aca="false">③追加発注判定!P44</f>
        <v>1</v>
      </c>
      <c r="AM44" s="26" t="n">
        <f aca="false">③追加発注判定!Q44</f>
        <v>0.5</v>
      </c>
      <c r="AN44" s="47" t="n">
        <f aca="false">③追加発注判定!R44</f>
        <v>-1</v>
      </c>
      <c r="AO44" s="48" t="str">
        <f aca="false">③追加発注判定!S44</f>
        <v>適正</v>
      </c>
      <c r="AP44" s="25" t="n">
        <f aca="false">③追加発注判定!T44</f>
        <v>0</v>
      </c>
    </row>
    <row r="45" customFormat="false" ht="15" hidden="false" customHeight="false" outlineLevel="0" collapsed="false">
      <c r="A45" s="22" t="n">
        <v>39</v>
      </c>
      <c r="B45" s="22" t="s">
        <v>163</v>
      </c>
      <c r="C45" s="23" t="s">
        <v>164</v>
      </c>
      <c r="D45" s="24" t="n">
        <v>27500</v>
      </c>
      <c r="E45" s="25" t="n">
        <v>0</v>
      </c>
      <c r="F45" s="25" t="n">
        <v>0</v>
      </c>
      <c r="G45" s="25" t="n">
        <v>0</v>
      </c>
      <c r="H45" s="25" t="n">
        <v>1</v>
      </c>
      <c r="I45" s="25" t="n">
        <v>0</v>
      </c>
      <c r="J45" s="25" t="n">
        <f aca="false">E45</f>
        <v>0</v>
      </c>
      <c r="K45" s="25" t="n">
        <f aca="false">SUM(E45:I45)</f>
        <v>1</v>
      </c>
      <c r="L45" s="24" t="n">
        <f aca="false">K45*D45</f>
        <v>27500</v>
      </c>
      <c r="M45" s="26" t="n">
        <f aca="false">IFERROR(J45/J$49,0)</f>
        <v>0</v>
      </c>
      <c r="N45" s="26" t="n">
        <f aca="false">IFERROR(K45/K$49,0)</f>
        <v>0.00023872045834328</v>
      </c>
      <c r="O45" s="26" t="n">
        <f aca="false">IFERROR(L45/L$49,0)</f>
        <v>0.00828512894673415</v>
      </c>
      <c r="P45" s="22" t="str">
        <f aca="false">IF(J45=0,"-",RANK(J45,J$7:J$48))</f>
        <v>-</v>
      </c>
      <c r="Q45" s="22" t="n">
        <f aca="false">IF(K45=0,"-",RANK(K45,K$7:K$48))</f>
        <v>33</v>
      </c>
      <c r="R45" s="25" t="n">
        <v>2</v>
      </c>
      <c r="S45" s="25" t="n">
        <v>2</v>
      </c>
      <c r="T45" s="25" t="n">
        <f aca="false">S45-K45</f>
        <v>1</v>
      </c>
      <c r="U45" s="26" t="n">
        <f aca="false">IFERROR(K45/S45,0)</f>
        <v>0.5</v>
      </c>
      <c r="V45" s="55" t="n">
        <f aca="false">K45/5</f>
        <v>0.2</v>
      </c>
      <c r="W45" s="25" t="n">
        <f aca="false">IF(V45=0,"—",IF(T45/V45&gt;=15,"15日超",ROUND(T45/V45,0)))</f>
        <v>5</v>
      </c>
      <c r="X45" s="25" t="n">
        <v>3</v>
      </c>
      <c r="Y45" s="25" t="n">
        <v>3</v>
      </c>
      <c r="Z45" s="25" t="n">
        <v>3</v>
      </c>
      <c r="AA45" s="26" t="n">
        <f aca="false">IFERROR(X45/X$49,0)</f>
        <v>0.000482625482625483</v>
      </c>
      <c r="AB45" s="26" t="n">
        <f aca="false">IFERROR(Y45/Y$49,0)</f>
        <v>0.000108186080057699</v>
      </c>
      <c r="AC45" s="26" t="n">
        <f aca="false">IFERROR(Z45/3,0)</f>
        <v>1</v>
      </c>
      <c r="AD45" s="25" t="n">
        <v>0</v>
      </c>
      <c r="AE45" s="25" t="n">
        <v>1</v>
      </c>
      <c r="AF45" s="25" t="n">
        <v>2</v>
      </c>
      <c r="AG45" s="25" t="n">
        <v>2</v>
      </c>
      <c r="AH45" s="26" t="n">
        <f aca="false">IFERROR(AD45/AD$49,0)</f>
        <v>0</v>
      </c>
      <c r="AI45" s="26" t="n">
        <f aca="false">IFERROR(AE45/AE$49,0)</f>
        <v>9.1533180778032E-005</v>
      </c>
      <c r="AJ45" s="26" t="n">
        <f aca="false">IFERROR(AG45/2,0)</f>
        <v>1</v>
      </c>
      <c r="AK45" s="46" t="n">
        <f aca="false">③追加発注判定!O45</f>
        <v>1.2266069086139</v>
      </c>
      <c r="AL45" s="25" t="n">
        <f aca="false">③追加発注判定!P45</f>
        <v>1</v>
      </c>
      <c r="AM45" s="26" t="n">
        <f aca="false">③追加発注判定!Q45</f>
        <v>0.5</v>
      </c>
      <c r="AN45" s="47" t="n">
        <f aca="false">③追加発注判定!R45</f>
        <v>-1</v>
      </c>
      <c r="AO45" s="48" t="str">
        <f aca="false">③追加発注判定!S45</f>
        <v>適正</v>
      </c>
      <c r="AP45" s="25" t="n">
        <f aca="false">③追加発注判定!T45</f>
        <v>0</v>
      </c>
    </row>
    <row r="46" customFormat="false" ht="15" hidden="false" customHeight="false" outlineLevel="0" collapsed="false">
      <c r="A46" s="22" t="n">
        <v>40</v>
      </c>
      <c r="B46" s="22" t="s">
        <v>165</v>
      </c>
      <c r="C46" s="23" t="s">
        <v>166</v>
      </c>
      <c r="D46" s="24" t="n">
        <v>27500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f aca="false">E46</f>
        <v>0</v>
      </c>
      <c r="K46" s="25" t="n">
        <f aca="false">SUM(E46:I46)</f>
        <v>0</v>
      </c>
      <c r="L46" s="24" t="n">
        <f aca="false">K46*D46</f>
        <v>0</v>
      </c>
      <c r="M46" s="26" t="n">
        <f aca="false">IFERROR(J46/J$49,0)</f>
        <v>0</v>
      </c>
      <c r="N46" s="26" t="n">
        <f aca="false">IFERROR(K46/K$49,0)</f>
        <v>0</v>
      </c>
      <c r="O46" s="26" t="n">
        <f aca="false">IFERROR(L46/L$49,0)</f>
        <v>0</v>
      </c>
      <c r="P46" s="22" t="str">
        <f aca="false">IF(J46=0,"-",RANK(J46,J$7:J$48))</f>
        <v>-</v>
      </c>
      <c r="Q46" s="22" t="str">
        <f aca="false">IF(K46=0,"-",RANK(K46,K$7:K$48))</f>
        <v>-</v>
      </c>
      <c r="R46" s="25" t="n">
        <v>2</v>
      </c>
      <c r="S46" s="25" t="n">
        <v>2</v>
      </c>
      <c r="T46" s="25" t="n">
        <f aca="false">S46-K46</f>
        <v>2</v>
      </c>
      <c r="U46" s="26" t="n">
        <f aca="false">IFERROR(K46/S46,0)</f>
        <v>0</v>
      </c>
      <c r="V46" s="55" t="n">
        <f aca="false">K46/5</f>
        <v>0</v>
      </c>
      <c r="W46" s="25" t="str">
        <f aca="false">IF(V46=0,"—",IF(T46/V46&gt;=15,"15日超",ROUND(T46/V46,0)))</f>
        <v>—</v>
      </c>
      <c r="X46" s="25" t="n">
        <v>3</v>
      </c>
      <c r="Y46" s="25" t="n">
        <v>3</v>
      </c>
      <c r="Z46" s="25" t="n">
        <v>3</v>
      </c>
      <c r="AA46" s="26" t="n">
        <f aca="false">IFERROR(X46/X$49,0)</f>
        <v>0.000482625482625483</v>
      </c>
      <c r="AB46" s="26" t="n">
        <f aca="false">IFERROR(Y46/Y$49,0)</f>
        <v>0.000108186080057699</v>
      </c>
      <c r="AC46" s="26" t="n">
        <f aca="false">IFERROR(Z46/3,0)</f>
        <v>1</v>
      </c>
      <c r="AD46" s="25" t="n">
        <v>1</v>
      </c>
      <c r="AE46" s="25" t="n">
        <v>3</v>
      </c>
      <c r="AF46" s="25" t="n">
        <v>3</v>
      </c>
      <c r="AG46" s="25" t="n">
        <v>3</v>
      </c>
      <c r="AH46" s="26" t="n">
        <f aca="false">IFERROR(AD46/AD$49,0)</f>
        <v>0.000260688216892596</v>
      </c>
      <c r="AI46" s="26" t="n">
        <f aca="false">IFERROR(AE46/AE$49,0)</f>
        <v>0.000274599542334096</v>
      </c>
      <c r="AJ46" s="26" t="n">
        <f aca="false">IFERROR(AG46/3,0)</f>
        <v>1</v>
      </c>
      <c r="AK46" s="46" t="n">
        <f aca="false">③追加発注判定!O46</f>
        <v>1.2266069086139</v>
      </c>
      <c r="AL46" s="25" t="n">
        <f aca="false">③追加発注判定!P46</f>
        <v>0</v>
      </c>
      <c r="AM46" s="26" t="n">
        <f aca="false">③追加発注判定!Q46</f>
        <v>0</v>
      </c>
      <c r="AN46" s="47" t="n">
        <f aca="false">③追加発注判定!R46</f>
        <v>-2</v>
      </c>
      <c r="AO46" s="48" t="str">
        <f aca="false">③追加発注判定!S46</f>
        <v>在庫余剰見込</v>
      </c>
      <c r="AP46" s="25" t="n">
        <f aca="false">③追加発注判定!T46</f>
        <v>0</v>
      </c>
    </row>
    <row r="47" customFormat="false" ht="15" hidden="false" customHeight="false" outlineLevel="0" collapsed="false">
      <c r="A47" s="22" t="n">
        <v>41</v>
      </c>
      <c r="B47" s="22" t="s">
        <v>167</v>
      </c>
      <c r="C47" s="23" t="s">
        <v>168</v>
      </c>
      <c r="D47" s="24" t="n">
        <v>25000</v>
      </c>
      <c r="E47" s="25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f aca="false">E47</f>
        <v>0</v>
      </c>
      <c r="K47" s="25" t="n">
        <f aca="false">SUM(E47:I47)</f>
        <v>0</v>
      </c>
      <c r="L47" s="24" t="n">
        <f aca="false">K47*D47</f>
        <v>0</v>
      </c>
      <c r="M47" s="26" t="n">
        <f aca="false">IFERROR(J47/J$49,0)</f>
        <v>0</v>
      </c>
      <c r="N47" s="26" t="n">
        <f aca="false">IFERROR(K47/K$49,0)</f>
        <v>0</v>
      </c>
      <c r="O47" s="26" t="n">
        <f aca="false">IFERROR(L47/L$49,0)</f>
        <v>0</v>
      </c>
      <c r="P47" s="22" t="str">
        <f aca="false">IF(J47=0,"-",RANK(J47,J$7:J$48))</f>
        <v>-</v>
      </c>
      <c r="Q47" s="22" t="str">
        <f aca="false">IF(K47=0,"-",RANK(K47,K$7:K$48))</f>
        <v>-</v>
      </c>
      <c r="R47" s="25" t="n">
        <v>4</v>
      </c>
      <c r="S47" s="25" t="n">
        <v>4</v>
      </c>
      <c r="T47" s="25" t="n">
        <f aca="false">S47-K47</f>
        <v>4</v>
      </c>
      <c r="U47" s="26" t="n">
        <f aca="false">IFERROR(K47/S47,0)</f>
        <v>0</v>
      </c>
      <c r="V47" s="55" t="n">
        <f aca="false">K47/5</f>
        <v>0</v>
      </c>
      <c r="W47" s="25" t="str">
        <f aca="false">IF(V47=0,"—",IF(T47/V47&gt;=15,"15日超",ROUND(T47/V47,0)))</f>
        <v>—</v>
      </c>
      <c r="X47" s="25" t="n">
        <v>1</v>
      </c>
      <c r="Y47" s="25" t="n">
        <v>4</v>
      </c>
      <c r="Z47" s="25" t="n">
        <v>5</v>
      </c>
      <c r="AA47" s="26" t="n">
        <f aca="false">IFERROR(X47/X$49,0)</f>
        <v>0.000160875160875161</v>
      </c>
      <c r="AB47" s="26" t="n">
        <f aca="false">IFERROR(Y47/Y$49,0)</f>
        <v>0.000144248106743599</v>
      </c>
      <c r="AC47" s="26" t="n">
        <f aca="false">IFERROR(Z47/9,0)</f>
        <v>0.555555555555556</v>
      </c>
      <c r="AD47" s="25" t="n">
        <v>1</v>
      </c>
      <c r="AE47" s="25" t="n">
        <v>1</v>
      </c>
      <c r="AF47" s="25" t="n">
        <v>1</v>
      </c>
      <c r="AG47" s="25" t="n">
        <v>1</v>
      </c>
      <c r="AH47" s="26" t="n">
        <f aca="false">IFERROR(AD47/AD$49,0)</f>
        <v>0.000260688216892596</v>
      </c>
      <c r="AI47" s="26" t="n">
        <f aca="false">IFERROR(AE47/AE$49,0)</f>
        <v>9.1533180778032E-005</v>
      </c>
      <c r="AJ47" s="26" t="n">
        <f aca="false">IFERROR(AG47/5,0)</f>
        <v>0.2</v>
      </c>
      <c r="AK47" s="46" t="n">
        <f aca="false">③追加発注判定!O47</f>
        <v>1.40825863576738</v>
      </c>
      <c r="AL47" s="25" t="n">
        <f aca="false">③追加発注判定!P47</f>
        <v>0</v>
      </c>
      <c r="AM47" s="26" t="n">
        <f aca="false">③追加発注判定!Q47</f>
        <v>0</v>
      </c>
      <c r="AN47" s="47" t="n">
        <f aca="false">③追加発注判定!R47</f>
        <v>-4</v>
      </c>
      <c r="AO47" s="48" t="str">
        <f aca="false">③追加発注判定!S47</f>
        <v>在庫余剰見込</v>
      </c>
      <c r="AP47" s="25" t="n">
        <f aca="false">③追加発注判定!T47</f>
        <v>0</v>
      </c>
    </row>
    <row r="48" customFormat="false" ht="15" hidden="false" customHeight="false" outlineLevel="0" collapsed="false">
      <c r="A48" s="22" t="n">
        <v>42</v>
      </c>
      <c r="B48" s="22" t="s">
        <v>169</v>
      </c>
      <c r="C48" s="23" t="s">
        <v>170</v>
      </c>
      <c r="D48" s="24" t="n">
        <v>25000</v>
      </c>
      <c r="E48" s="25" t="n">
        <v>0</v>
      </c>
      <c r="F48" s="25" t="n">
        <v>0</v>
      </c>
      <c r="G48" s="25" t="n">
        <v>0</v>
      </c>
      <c r="H48" s="25" t="n">
        <v>1</v>
      </c>
      <c r="I48" s="25" t="n">
        <v>0</v>
      </c>
      <c r="J48" s="25" t="n">
        <f aca="false">E48</f>
        <v>0</v>
      </c>
      <c r="K48" s="25" t="n">
        <f aca="false">SUM(E48:I48)</f>
        <v>1</v>
      </c>
      <c r="L48" s="24" t="n">
        <f aca="false">K48*D48</f>
        <v>25000</v>
      </c>
      <c r="M48" s="26" t="n">
        <f aca="false">IFERROR(J48/J$49,0)</f>
        <v>0</v>
      </c>
      <c r="N48" s="26" t="n">
        <f aca="false">IFERROR(K48/K$49,0)</f>
        <v>0.00023872045834328</v>
      </c>
      <c r="O48" s="26" t="n">
        <f aca="false">IFERROR(L48/L$49,0)</f>
        <v>0.00753193540612196</v>
      </c>
      <c r="P48" s="22" t="str">
        <f aca="false">IF(J48=0,"-",RANK(J48,J$7:J$48))</f>
        <v>-</v>
      </c>
      <c r="Q48" s="22" t="n">
        <f aca="false">IF(K48=0,"-",RANK(K48,K$7:K$48))</f>
        <v>33</v>
      </c>
      <c r="R48" s="25" t="n">
        <v>6</v>
      </c>
      <c r="S48" s="25" t="n">
        <v>6</v>
      </c>
      <c r="T48" s="25" t="n">
        <f aca="false">S48-K48</f>
        <v>5</v>
      </c>
      <c r="U48" s="26" t="n">
        <f aca="false">IFERROR(K48/S48,0)</f>
        <v>0.166666666666667</v>
      </c>
      <c r="V48" s="55" t="n">
        <f aca="false">K48/5</f>
        <v>0.2</v>
      </c>
      <c r="W48" s="25" t="str">
        <f aca="false">IF(V48=0,"—",IF(T48/V48&gt;=15,"15日超",ROUND(T48/V48,0)))</f>
        <v>15日超</v>
      </c>
      <c r="X48" s="25" t="n">
        <v>2</v>
      </c>
      <c r="Y48" s="25" t="n">
        <v>3</v>
      </c>
      <c r="Z48" s="25" t="n">
        <v>7</v>
      </c>
      <c r="AA48" s="26" t="n">
        <f aca="false">IFERROR(X48/X$49,0)</f>
        <v>0.000321750321750322</v>
      </c>
      <c r="AB48" s="26" t="n">
        <f aca="false">IFERROR(Y48/Y$49,0)</f>
        <v>0.000108186080057699</v>
      </c>
      <c r="AC48" s="26" t="n">
        <f aca="false">IFERROR(Z48/9,0)</f>
        <v>0.777777777777778</v>
      </c>
      <c r="AD48" s="25" t="n">
        <v>1</v>
      </c>
      <c r="AE48" s="25" t="n">
        <v>1</v>
      </c>
      <c r="AF48" s="25" t="n">
        <v>2</v>
      </c>
      <c r="AG48" s="25" t="n">
        <v>3</v>
      </c>
      <c r="AH48" s="26" t="n">
        <f aca="false">IFERROR(AD48/AD$49,0)</f>
        <v>0.000260688216892596</v>
      </c>
      <c r="AI48" s="26" t="n">
        <f aca="false">IFERROR(AE48/AE$49,0)</f>
        <v>9.1533180778032E-005</v>
      </c>
      <c r="AJ48" s="26" t="n">
        <f aca="false">IFERROR(AG48/5,0)</f>
        <v>0.6</v>
      </c>
      <c r="AK48" s="46" t="n">
        <f aca="false">③追加発注判定!O48</f>
        <v>2.69541612009911</v>
      </c>
      <c r="AL48" s="25" t="n">
        <f aca="false">③追加発注判定!P48</f>
        <v>3</v>
      </c>
      <c r="AM48" s="26" t="n">
        <f aca="false">③追加発注判定!Q48</f>
        <v>0.5</v>
      </c>
      <c r="AN48" s="47" t="n">
        <f aca="false">③追加発注判定!R48</f>
        <v>-3</v>
      </c>
      <c r="AO48" s="48" t="str">
        <f aca="false">③追加発注判定!S48</f>
        <v>適正</v>
      </c>
      <c r="AP48" s="25" t="n">
        <f aca="false">③追加発注判定!T48</f>
        <v>0</v>
      </c>
    </row>
    <row r="49" customFormat="false" ht="15" hidden="false" customHeight="false" outlineLevel="0" collapsed="false">
      <c r="A49" s="28"/>
      <c r="B49" s="28"/>
      <c r="C49" s="29" t="s">
        <v>171</v>
      </c>
      <c r="D49" s="28"/>
      <c r="E49" s="30" t="n">
        <f aca="false">SUM(E7:E48)</f>
        <v>1782</v>
      </c>
      <c r="F49" s="30" t="n">
        <f aca="false">SUM(F7:F48)</f>
        <v>423</v>
      </c>
      <c r="G49" s="30" t="n">
        <f aca="false">SUM(G7:G48)</f>
        <v>519</v>
      </c>
      <c r="H49" s="30" t="n">
        <f aca="false">SUM(H7:H48)</f>
        <v>910</v>
      </c>
      <c r="I49" s="30" t="n">
        <f aca="false">SUM(I7:I48)</f>
        <v>555</v>
      </c>
      <c r="J49" s="30" t="n">
        <f aca="false">SUM(J7:J48)</f>
        <v>1782</v>
      </c>
      <c r="K49" s="30" t="n">
        <f aca="false">SUM(K7:K48)</f>
        <v>4189</v>
      </c>
      <c r="L49" s="32" t="n">
        <f aca="false">SUM(L7:L48)</f>
        <v>3319200</v>
      </c>
      <c r="M49" s="28"/>
      <c r="N49" s="28"/>
      <c r="O49" s="28"/>
      <c r="P49" s="28"/>
      <c r="Q49" s="28"/>
      <c r="R49" s="30" t="n">
        <f aca="false">SUM(R7:R48)</f>
        <v>50200</v>
      </c>
      <c r="S49" s="30" t="n">
        <f aca="false">SUM(S7:S48)</f>
        <v>50196</v>
      </c>
      <c r="T49" s="30" t="n">
        <f aca="false">SUM(T7:T48)</f>
        <v>46007</v>
      </c>
      <c r="U49" s="31" t="n">
        <f aca="false">IFERROR(K49/S49,0)</f>
        <v>0.0834528647701012</v>
      </c>
      <c r="V49" s="56" t="n">
        <f aca="false">K49/5</f>
        <v>837.8</v>
      </c>
      <c r="W49" s="28"/>
      <c r="X49" s="30" t="n">
        <f aca="false">SUM(X7:X48)</f>
        <v>6216</v>
      </c>
      <c r="Y49" s="30" t="n">
        <f aca="false">SUM(Y7:Y48)</f>
        <v>27730</v>
      </c>
      <c r="Z49" s="30" t="n">
        <f aca="false">SUM(Z7:Z48)</f>
        <v>51253</v>
      </c>
      <c r="AA49" s="28"/>
      <c r="AB49" s="28"/>
      <c r="AC49" s="28"/>
      <c r="AD49" s="30" t="n">
        <f aca="false">SUM(AD7:AD48)</f>
        <v>3836</v>
      </c>
      <c r="AE49" s="30" t="n">
        <f aca="false">SUM(AE7:AE48)</f>
        <v>10925</v>
      </c>
      <c r="AF49" s="30" t="n">
        <f aca="false">SUM(AF7:AF48)</f>
        <v>33235</v>
      </c>
      <c r="AG49" s="30" t="n">
        <f aca="false">SUM(AG7:AG48)</f>
        <v>44871</v>
      </c>
      <c r="AH49" s="28"/>
      <c r="AI49" s="28"/>
      <c r="AJ49" s="28"/>
      <c r="AK49" s="50" t="n">
        <f aca="false">IFERROR(AL49/K49,0)</f>
        <v>2.59226545714968</v>
      </c>
      <c r="AL49" s="30" t="n">
        <f aca="false">SUM(AL7:AL48)</f>
        <v>10859</v>
      </c>
      <c r="AM49" s="31" t="n">
        <f aca="false">IFERROR(AL49/S49,0)</f>
        <v>0.216331978643717</v>
      </c>
      <c r="AN49" s="30" t="n">
        <f aca="false">SUM(AN7:AN48)</f>
        <v>-39337</v>
      </c>
      <c r="AO49" s="28"/>
      <c r="AP49" s="30" t="n">
        <f aca="false">SUM(AP7:AP48)</f>
        <v>268</v>
      </c>
    </row>
  </sheetData>
  <mergeCells count="7">
    <mergeCell ref="A5:D5"/>
    <mergeCell ref="E5:L5"/>
    <mergeCell ref="M5:Q5"/>
    <mergeCell ref="R5:W5"/>
    <mergeCell ref="X5:AC5"/>
    <mergeCell ref="AD5:AJ5"/>
    <mergeCell ref="AK5:AP5"/>
  </mergeCells>
  <conditionalFormatting sqref="AO7:AO48">
    <cfRule type="expression" priority="2" aboveAverage="0" equalAverage="0" bottom="0" percent="0" rank="0" text="" dxfId="0">
      <formula>$AO7="要 追加発注"</formula>
    </cfRule>
    <cfRule type="expression" priority="3" aboveAverage="0" equalAverage="0" bottom="0" percent="0" rank="0" text="" dxfId="5">
      <formula>$AO7="要注意(90%超)"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2026-07-28T01:32:54Z</dcterms:created>
  <dc:creator>openpyxl</dc:creator>
  <dc:description/>
  <dc:language>en-US</dc:language>
  <cp:lastModifiedBy/>
  <dcterms:modified xsi:type="dcterms:W3CDTF">2026-07-28T01:32:54Z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