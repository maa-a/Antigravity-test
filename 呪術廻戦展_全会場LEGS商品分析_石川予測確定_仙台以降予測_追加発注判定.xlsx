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石川予測確定" sheetId="3" state="visible" r:id="rId5"/>
    <sheet name="②会場別構成比" sheetId="4" state="visible" r:id="rId6"/>
    <sheet name="③仙台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5会場 予測vs実績" sheetId="11" state="visible" r:id="rId13"/>
    <sheet name="⑩会場比率シナリオ比較" sheetId="12" state="visible" r:id="rId14"/>
    <sheet name="⑪会場別引当・発注期限" sheetId="13" state="visible" r:id="rId15"/>
    <sheet name="⑫計算ロジック解説" sheetId="14" state="visible" r:id="rId16"/>
    <sheet name="⑬会場別 納品予測"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<sst xmlns="http://schemas.openxmlformats.org/spreadsheetml/2006/main" count="2738" uniqueCount="1424">
  <si>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</si>
  <si>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販売分析・石川予測確定・仙台会場以降予測・追加発注判定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</si>
  <si>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8</t>
    </r>
    <r>
      <rPr>
        <sz val="8"/>
        <color rgb="FF555555"/>
        <rFont val="WenQuanYi Zen Hei"/>
        <family val="2"/>
      </rPr>
      <t xml:space="preserve">月</t>
    </r>
    <r>
      <rPr>
        <sz val="8"/>
        <color rgb="FF555555"/>
        <rFont val="Meiryo UI"/>
        <family val="0"/>
        <charset val="1"/>
      </rPr>
      <t xml:space="preserve">26</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＝全会期、石川＝</t>
    </r>
    <r>
      <rPr>
        <sz val="8"/>
        <color rgb="FF555555"/>
        <rFont val="Meiryo UI"/>
        <family val="0"/>
        <charset val="1"/>
      </rPr>
      <t xml:space="preserve">8/25(</t>
    </r>
    <r>
      <rPr>
        <sz val="8"/>
        <color rgb="FF555555"/>
        <rFont val="WenQuanYi Zen Hei"/>
        <family val="2"/>
      </rPr>
      <t xml:space="preserve">会期</t>
    </r>
    <r>
      <rPr>
        <sz val="8"/>
        <color rgb="FF555555"/>
        <rFont val="Meiryo UI"/>
        <family val="0"/>
        <charset val="1"/>
      </rPr>
      <t xml:space="preserve">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SPJ</t>
    </r>
    <r>
      <rPr>
        <sz val="8"/>
        <color rgb="FF555555"/>
        <rFont val="WenQuanYi Zen Hei"/>
        <family val="2"/>
      </rPr>
      <t xml:space="preserve">様 欠品報告メール</t>
    </r>
  </si>
  <si>
    <t xml:space="preserve">■ 結論サマリー</t>
  </si>
  <si>
    <r>
      <rPr>
        <b val="true"/>
        <sz val="9"/>
        <rFont val="WenQuanYi Zen Hei"/>
        <family val="2"/>
      </rPr>
      <t xml:space="preserve">① 石川 会期</t>
    </r>
    <r>
      <rPr>
        <b val="true"/>
        <sz val="9"/>
        <rFont val="Meiryo UI"/>
        <family val="0"/>
        <charset val="1"/>
      </rPr>
      <t xml:space="preserve">18</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</si>
  <si>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5,151</t>
    </r>
    <r>
      <rPr>
        <sz val="9"/>
        <rFont val="WenQuanYi Zen Hei"/>
        <family val="2"/>
      </rPr>
      <t xml:space="preserve">個／販売金額 </t>
    </r>
    <r>
      <rPr>
        <sz val="9"/>
        <rFont val="Meiryo UI"/>
        <family val="0"/>
        <charset val="1"/>
      </rPr>
      <t xml:space="preserve">4,292,200</t>
    </r>
    <r>
      <rPr>
        <sz val="9"/>
        <rFont val="WenQuanYi Zen Hei"/>
        <family val="2"/>
      </rPr>
      <t xml:space="preserve">円　※博多・大阪・札幌 の実績倍率から算出</t>
    </r>
  </si>
  <si>
    <t xml:space="preserve">　石川 全物販予測</t>
  </si>
  <si>
    <r>
      <rPr>
        <sz val="9"/>
        <rFont val="WenQuanYi Zen Hei"/>
        <family val="2"/>
      </rPr>
      <t xml:space="preserve">数量 </t>
    </r>
    <r>
      <rPr>
        <sz val="9"/>
        <rFont val="Meiryo UI"/>
        <family val="0"/>
        <charset val="1"/>
      </rPr>
      <t xml:space="preserve">24,559</t>
    </r>
    <r>
      <rPr>
        <sz val="9"/>
        <rFont val="WenQuanYi Zen Hei"/>
        <family val="2"/>
      </rPr>
      <t xml:space="preserve">個／金額 </t>
    </r>
    <r>
      <rPr>
        <sz val="9"/>
        <rFont val="Meiryo UI"/>
        <family val="0"/>
        <charset val="1"/>
      </rPr>
      <t xml:space="preserve">25,161,149</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7.0%</t>
    </r>
  </si>
  <si>
    <t xml:space="preserve">　石川 入場者予測</t>
  </si>
  <si>
    <r>
      <rPr>
        <sz val="9"/>
        <rFont val="Meiryo UI"/>
        <family val="0"/>
        <charset val="1"/>
      </rPr>
      <t xml:space="preserve">8,923</t>
    </r>
    <r>
      <rPr>
        <sz val="9"/>
        <rFont val="WenQuanYi Zen Hei"/>
        <family val="2"/>
      </rPr>
      <t xml:space="preserve">人（初</t>
    </r>
    <r>
      <rPr>
        <sz val="9"/>
        <rFont val="Meiryo UI"/>
        <family val="0"/>
        <charset val="1"/>
      </rPr>
      <t xml:space="preserve">12</t>
    </r>
    <r>
      <rPr>
        <sz val="9"/>
        <rFont val="WenQuanYi Zen Hei"/>
        <family val="2"/>
      </rPr>
      <t xml:space="preserve">日実績</t>
    </r>
    <r>
      <rPr>
        <sz val="9"/>
        <rFont val="Meiryo UI"/>
        <family val="0"/>
        <charset val="1"/>
      </rPr>
      <t xml:space="preserve">5,304</t>
    </r>
    <r>
      <rPr>
        <sz val="9"/>
        <rFont val="WenQuanYi Zen Hei"/>
        <family val="2"/>
      </rPr>
      <t xml:space="preserve">人 </t>
    </r>
    <r>
      <rPr>
        <sz val="9"/>
        <rFont val="Meiryo UI"/>
        <family val="0"/>
        <charset val="1"/>
      </rPr>
      <t xml:space="preserve">× </t>
    </r>
    <r>
      <rPr>
        <sz val="9"/>
        <rFont val="WenQuanYi Zen Hei"/>
        <family val="2"/>
      </rPr>
      <t xml:space="preserve">札幌の初</t>
    </r>
    <r>
      <rPr>
        <sz val="9"/>
        <rFont val="Meiryo UI"/>
        <family val="0"/>
        <charset val="1"/>
      </rPr>
      <t xml:space="preserve">12</t>
    </r>
    <r>
      <rPr>
        <sz val="9"/>
        <rFont val="WenQuanYi Zen Hei"/>
        <family val="2"/>
      </rPr>
      <t xml:space="preserve">日→</t>
    </r>
    <r>
      <rPr>
        <sz val="9"/>
        <rFont val="Meiryo UI"/>
        <family val="0"/>
        <charset val="1"/>
      </rPr>
      <t xml:space="preserve">20</t>
    </r>
    <r>
      <rPr>
        <sz val="9"/>
        <rFont val="WenQuanYi Zen Hei"/>
        <family val="2"/>
      </rPr>
      <t xml:space="preserve">日 伸び率）</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</si>
  <si>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</si>
  <si>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17.6%→</t>
    </r>
    <r>
      <rPr>
        <sz val="9"/>
        <rFont val="WenQuanYi Zen Hei"/>
        <family val="2"/>
      </rPr>
      <t xml:space="preserve">石川</t>
    </r>
    <r>
      <rPr>
        <sz val="9"/>
        <rFont val="Meiryo UI"/>
        <family val="0"/>
        <charset val="1"/>
      </rPr>
      <t xml:space="preserve">17.1%(</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38.7%→34.5%→40.0%→26.7%→21.8%→</t>
    </r>
    <r>
      <rPr>
        <sz val="9"/>
        <rFont val="WenQuanYi Zen Hei"/>
        <family val="2"/>
      </rPr>
      <t xml:space="preserve">石川</t>
    </r>
    <r>
      <rPr>
        <sz val="9"/>
        <rFont val="Meiryo UI"/>
        <family val="0"/>
        <charset val="1"/>
      </rPr>
      <t xml:space="preserve">21.0%(</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</si>
  <si>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</si>
  <si>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）。札幌・石川 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</si>
  <si>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仙台以降</t>
    </r>
    <r>
      <rPr>
        <b val="true"/>
        <sz val="9"/>
        <rFont val="Meiryo UI"/>
        <family val="0"/>
        <charset val="1"/>
      </rPr>
      <t xml:space="preserve">4</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</si>
  <si>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61,617</t>
    </r>
    <r>
      <rPr>
        <sz val="9"/>
        <rFont val="WenQuanYi Zen Hei"/>
        <family val="2"/>
      </rPr>
      <t xml:space="preserve">個（シナリオ①ユーザー指定：仙台</t>
    </r>
    <r>
      <rPr>
        <sz val="9"/>
        <rFont val="Meiryo UI"/>
        <family val="0"/>
        <charset val="1"/>
      </rPr>
      <t xml:space="preserve">13%</t>
    </r>
    <r>
      <rPr>
        <sz val="9"/>
        <rFont val="WenQuanYi Zen Hei"/>
        <family val="2"/>
      </rPr>
      <t xml:space="preserve">・神戸阪急</t>
    </r>
    <r>
      <rPr>
        <sz val="9"/>
        <rFont val="Meiryo UI"/>
        <family val="0"/>
        <charset val="1"/>
      </rPr>
      <t xml:space="preserve">12%</t>
    </r>
    <r>
      <rPr>
        <sz val="9"/>
        <rFont val="WenQuanYi Zen Hei"/>
        <family val="2"/>
      </rPr>
      <t xml:space="preserve">・鳥取島根</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</si>
  <si>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</si>
  <si>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仙台</t>
    </r>
    <r>
      <rPr>
        <sz val="9"/>
        <rFont val="Meiryo UI"/>
        <family val="0"/>
        <charset val="1"/>
      </rPr>
      <t xml:space="preserve">15.60%</t>
    </r>
    <r>
      <rPr>
        <sz val="9"/>
        <rFont val="WenQuanYi Zen Hei"/>
        <family val="2"/>
      </rPr>
      <t xml:space="preserve">・神戸阪急</t>
    </r>
    <r>
      <rPr>
        <sz val="9"/>
        <rFont val="Meiryo UI"/>
        <family val="0"/>
        <charset val="1"/>
      </rPr>
      <t xml:space="preserve">12.00%</t>
    </r>
    <r>
      <rPr>
        <sz val="9"/>
        <rFont val="WenQuanYi Zen Hei"/>
        <family val="2"/>
      </rPr>
      <t xml:space="preserve">・鳥取島根</t>
    </r>
    <r>
      <rPr>
        <sz val="9"/>
        <rFont val="Meiryo UI"/>
        <family val="0"/>
        <charset val="1"/>
      </rPr>
      <t xml:space="preserve">9.00%</t>
    </r>
    <r>
      <rPr>
        <sz val="9"/>
        <rFont val="WenQuanYi Zen Hei"/>
        <family val="2"/>
      </rPr>
      <t xml:space="preserve">・東京凱旋</t>
    </r>
    <r>
      <rPr>
        <sz val="9"/>
        <rFont val="Meiryo UI"/>
        <family val="0"/>
        <charset val="1"/>
      </rPr>
      <t xml:space="preserve">50.00%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63,524</t>
    </r>
    <r>
      <rPr>
        <sz val="9"/>
        <rFont val="WenQuanYi Zen Hei"/>
        <family val="2"/>
      </rPr>
      <t xml:space="preserve">個</t>
    </r>
  </si>
  <si>
    <r>
      <rPr>
        <b val="true"/>
        <sz val="9"/>
        <rFont val="WenQuanYi Zen Hei"/>
        <family val="2"/>
      </rPr>
      <t xml:space="preserve">　シナリオ③石川実績連動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</si>
  <si>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②に石川の計画比達成率</t>
    </r>
    <r>
      <rPr>
        <sz val="9"/>
        <rFont val="Meiryo UI"/>
        <family val="0"/>
        <charset val="1"/>
      </rPr>
      <t xml:space="preserve">56.3%</t>
    </r>
    <r>
      <rPr>
        <sz val="9"/>
        <rFont val="WenQuanYi Zen Hei"/>
        <family val="2"/>
      </rPr>
      <t xml:space="preserve">を乗算 → 仙台</t>
    </r>
    <r>
      <rPr>
        <sz val="9"/>
        <rFont val="Meiryo UI"/>
        <family val="0"/>
        <charset val="1"/>
      </rPr>
      <t xml:space="preserve">8.78%</t>
    </r>
    <r>
      <rPr>
        <sz val="9"/>
        <rFont val="WenQuanYi Zen Hei"/>
        <family val="2"/>
      </rPr>
      <t xml:space="preserve">・神戸阪急</t>
    </r>
    <r>
      <rPr>
        <sz val="9"/>
        <rFont val="Meiryo UI"/>
        <family val="0"/>
        <charset val="1"/>
      </rPr>
      <t xml:space="preserve">6.75%</t>
    </r>
    <r>
      <rPr>
        <sz val="9"/>
        <rFont val="WenQuanYi Zen Hei"/>
        <family val="2"/>
      </rPr>
      <t xml:space="preserve">・鳥取島根</t>
    </r>
    <r>
      <rPr>
        <sz val="9"/>
        <rFont val="Meiryo UI"/>
        <family val="0"/>
        <charset val="1"/>
      </rPr>
      <t xml:space="preserve">5.07%</t>
    </r>
    <r>
      <rPr>
        <sz val="9"/>
        <rFont val="WenQuanYi Zen Hei"/>
        <family val="2"/>
      </rPr>
      <t xml:space="preserve">・東京凱旋</t>
    </r>
    <r>
      <rPr>
        <sz val="9"/>
        <rFont val="Meiryo UI"/>
        <family val="0"/>
        <charset val="1"/>
      </rPr>
      <t xml:space="preserve">50.00%</t>
    </r>
    <r>
      <rPr>
        <sz val="9"/>
        <rFont val="WenQuanYi Zen Hei"/>
        <family val="2"/>
      </rPr>
      <t xml:space="preserve">（凱旋は据置）→ 必要数 </t>
    </r>
    <r>
      <rPr>
        <sz val="9"/>
        <rFont val="Meiryo UI"/>
        <family val="0"/>
        <charset val="1"/>
      </rPr>
      <t xml:space="preserve">51,789</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</si>
  <si>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</si>
  <si>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276,521</t>
    </r>
    <r>
      <rPr>
        <sz val="9"/>
        <rFont val="WenQuanYi Zen Hei"/>
        <family val="2"/>
      </rPr>
      <t xml:space="preserve">個を採用（梅田会場後の検品結果まで反映済み）。</t>
    </r>
  </si>
  <si>
    <t xml:space="preserve">★石川 への追納（実施済）</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</si>
  <si>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追納：札幌会場からの転送（</t>
    </r>
    <r>
      <rPr>
        <sz val="9"/>
        <rFont val="Meiryo UI"/>
        <family val="0"/>
        <charset val="1"/>
      </rPr>
      <t xml:space="preserve">LEGS 42SKU </t>
    </r>
    <r>
      <rPr>
        <sz val="9"/>
        <rFont val="WenQuanYi Zen Hei"/>
        <family val="2"/>
      </rPr>
      <t xml:space="preserve">計） </t>
    </r>
    <r>
      <rPr>
        <sz val="9"/>
        <rFont val="Meiryo UI"/>
        <family val="0"/>
        <charset val="1"/>
      </rPr>
      <t xml:space="preserve">41,612</t>
    </r>
    <r>
      <rPr>
        <sz val="9"/>
        <rFont val="WenQuanYi Zen Hei"/>
        <family val="2"/>
      </rPr>
      <t xml:space="preserve">個／宿儺の指風お菓子 </t>
    </r>
    <r>
      <rPr>
        <sz val="9"/>
        <rFont val="Meiryo UI"/>
        <family val="0"/>
        <charset val="1"/>
      </rPr>
      <t xml:space="preserve">20</t>
    </r>
    <r>
      <rPr>
        <sz val="9"/>
        <rFont val="WenQuanYi Zen Hei"/>
        <family val="2"/>
      </rPr>
      <t xml:space="preserve">個　計</t>
    </r>
    <r>
      <rPr>
        <sz val="9"/>
        <rFont val="Meiryo UI"/>
        <family val="0"/>
        <charset val="1"/>
      </rPr>
      <t xml:space="preserve">41,632</t>
    </r>
    <r>
      <rPr>
        <sz val="9"/>
        <rFont val="WenQuanYi Zen Hei"/>
        <family val="2"/>
      </rPr>
      <t xml:space="preserve">個（日報の販売可能数に反映済み）。倉庫在庫からの出荷なので全社在庫は不変</t>
    </r>
  </si>
  <si>
    <t xml:space="preserve">　追納後になお必要な追納</t>
  </si>
  <si>
    <r>
      <rPr>
        <sz val="9"/>
        <rFont val="Meiryo UI"/>
        <family val="0"/>
        <charset val="1"/>
      </rPr>
      <t xml:space="preserve">33</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</si>
  <si>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仙台以降 供給可能在庫</t>
  </si>
  <si>
    <r>
      <rPr>
        <sz val="9"/>
        <rFont val="Meiryo UI"/>
        <family val="0"/>
        <charset val="1"/>
      </rPr>
      <t xml:space="preserve">234,422</t>
    </r>
    <r>
      <rPr>
        <sz val="9"/>
        <rFont val="WenQuanYi Zen Hei"/>
        <family val="2"/>
      </rPr>
      <t xml:space="preserve">個 ＝ 倉庫残</t>
    </r>
    <r>
      <rPr>
        <sz val="9"/>
        <rFont val="Meiryo UI"/>
        <family val="0"/>
        <charset val="1"/>
      </rPr>
      <t xml:space="preserve">197,962</t>
    </r>
    <r>
      <rPr>
        <sz val="9"/>
        <rFont val="WenQuanYi Zen Hei"/>
        <family val="2"/>
      </rPr>
      <t xml:space="preserve">個 − 石川会期中の追納</t>
    </r>
    <r>
      <rPr>
        <sz val="9"/>
        <rFont val="Meiryo UI"/>
        <family val="0"/>
        <charset val="1"/>
      </rPr>
      <t xml:space="preserve">33</t>
    </r>
    <r>
      <rPr>
        <sz val="9"/>
        <rFont val="WenQuanYi Zen Hei"/>
        <family val="2"/>
      </rPr>
      <t xml:space="preserve">個 ＋ 会期末の返送見込</t>
    </r>
    <r>
      <rPr>
        <sz val="9"/>
        <rFont val="Meiryo UI"/>
        <family val="0"/>
        <charset val="1"/>
      </rPr>
      <t xml:space="preserve">41,810</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</si>
  <si>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</si>
  <si>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234,422</t>
    </r>
    <r>
      <rPr>
        <sz val="9"/>
        <rFont val="WenQuanYi Zen Hei"/>
        <family val="2"/>
      </rPr>
      <t xml:space="preserve">個 − 必要</t>
    </r>
    <r>
      <rPr>
        <sz val="9"/>
        <rFont val="Meiryo UI"/>
        <family val="0"/>
        <charset val="1"/>
      </rPr>
      <t xml:space="preserve">61,617</t>
    </r>
    <r>
      <rPr>
        <sz val="9"/>
        <rFont val="WenQuanYi Zen Hei"/>
        <family val="2"/>
      </rPr>
      <t xml:space="preserve">個 ＝ </t>
    </r>
    <r>
      <rPr>
        <sz val="9"/>
        <rFont val="Meiryo UI"/>
        <family val="0"/>
        <charset val="1"/>
      </rPr>
      <t xml:space="preserve">+172,805</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</si>
  <si>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</si>
  <si>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個（会場順に在庫を引き当て、在庫が尽きる会場を特定）</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</si>
  <si>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</si>
  <si>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895</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</si>
  <si>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前髪ヘアバンド</t>
  </si>
  <si>
    <r>
      <rPr>
        <sz val="9"/>
        <rFont val="WenQuanYi Zen Hei"/>
        <family val="2"/>
      </rPr>
      <t xml:space="preserve">不足</t>
    </r>
    <r>
      <rPr>
        <sz val="9"/>
        <rFont val="Meiryo UI"/>
        <family val="0"/>
        <charset val="1"/>
      </rPr>
      <t xml:space="preserve">883</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</si>
  <si>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脱兎！ポーチ入りクリップセット</t>
  </si>
  <si>
    <r>
      <rPr>
        <sz val="9"/>
        <rFont val="WenQuanYi Zen Hei"/>
        <family val="2"/>
      </rPr>
      <t xml:space="preserve">不足</t>
    </r>
    <r>
      <rPr>
        <sz val="9"/>
        <rFont val="Meiryo UI"/>
        <family val="0"/>
        <charset val="1"/>
      </rPr>
      <t xml:space="preserve">875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</si>
  <si>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t xml:space="preserve">　　宿儺の指風お菓子</t>
  </si>
  <si>
    <r>
      <rPr>
        <sz val="9"/>
        <rFont val="WenQuanYi Zen Hei"/>
        <family val="2"/>
      </rPr>
      <t xml:space="preserve">不足</t>
    </r>
    <r>
      <rPr>
        <sz val="9"/>
        <rFont val="Meiryo UI"/>
        <family val="0"/>
        <charset val="1"/>
      </rPr>
      <t xml:space="preserve">321</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</si>
  <si>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t xml:space="preserve">　　呪術廻戦 渋谷事変 クリアファイル（脹相）</t>
  </si>
  <si>
    <r>
      <rPr>
        <sz val="9"/>
        <rFont val="WenQuanYi Zen Hei"/>
        <family val="2"/>
      </rPr>
      <t xml:space="preserve">不足</t>
    </r>
    <r>
      <rPr>
        <sz val="9"/>
        <rFont val="Meiryo UI"/>
        <family val="0"/>
        <charset val="1"/>
      </rPr>
      <t xml:space="preserve">294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</si>
  <si>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</si>
  <si>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</si>
  <si>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</si>
  <si>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19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</si>
  <si>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</si>
  <si>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12</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</si>
  <si>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</si>
  <si>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b val="true"/>
        <sz val="9"/>
        <rFont val="WenQuanYi Zen Hei"/>
        <family val="2"/>
      </rPr>
      <t xml:space="preserve">　　五条 悟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</si>
  <si>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7</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</si>
  <si>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五条 悟 イメージリング（</t>
    </r>
    <r>
      <rPr>
        <b val="true"/>
        <sz val="9"/>
        <rFont val="Meiryo UI"/>
        <family val="0"/>
        <charset val="1"/>
      </rPr>
      <t xml:space="preserve">#17</t>
    </r>
    <r>
      <rPr>
        <b val="true"/>
        <sz val="9"/>
        <rFont val="WenQuanYi Zen Hei"/>
        <family val="2"/>
      </rPr>
      <t xml:space="preserve">）</t>
    </r>
  </si>
  <si>
    <r>
      <rPr>
        <b val="true"/>
        <sz val="9"/>
        <rFont val="WenQuanYi Zen Hei"/>
        <family val="2"/>
      </rPr>
      <t xml:space="preserve">　　夏油 傑 イメージリング（</t>
    </r>
    <r>
      <rPr>
        <b val="true"/>
        <sz val="9"/>
        <rFont val="Meiryo UI"/>
        <family val="0"/>
        <charset val="1"/>
      </rPr>
      <t xml:space="preserve">#11</t>
    </r>
    <r>
      <rPr>
        <b val="true"/>
        <sz val="9"/>
        <rFont val="WenQuanYi Zen Hei"/>
        <family val="2"/>
      </rPr>
      <t xml:space="preserve">）</t>
    </r>
  </si>
  <si>
    <r>
      <rPr>
        <sz val="9"/>
        <rFont val="WenQuanYi Zen Hei"/>
        <family val="2"/>
      </rPr>
      <t xml:space="preserve">不足</t>
    </r>
    <r>
      <rPr>
        <sz val="9"/>
        <rFont val="Meiryo UI"/>
        <family val="0"/>
        <charset val="1"/>
      </rPr>
      <t xml:space="preserve">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</si>
  <si>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r>
      <rPr>
        <b val="true"/>
        <sz val="9"/>
        <rFont val="WenQuanYi Zen Hei"/>
        <family val="2"/>
      </rPr>
      <t xml:space="preserve">　　夏油 傑 イメージリング（</t>
    </r>
    <r>
      <rPr>
        <b val="true"/>
        <sz val="9"/>
        <rFont val="Meiryo UI"/>
        <family val="0"/>
        <charset val="1"/>
      </rPr>
      <t xml:space="preserve">#17</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</si>
  <si>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</si>
  <si>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</si>
  <si>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-94</t>
    </r>
    <r>
      <rPr>
        <sz val="9"/>
        <rFont val="WenQuanYi Zen Hei"/>
        <family val="2"/>
      </rPr>
      <t xml:space="preserve">日後）。現時点で期限超過の商品はない。</t>
    </r>
  </si>
  <si>
    <t xml:space="preserve">　石川 会期中の追加発注</t>
  </si>
  <si>
    <r>
      <rPr>
        <sz val="9"/>
        <rFont val="Meiryo UI"/>
        <family val="0"/>
        <charset val="1"/>
      </rPr>
      <t xml:space="preserve">3</t>
    </r>
    <r>
      <rPr>
        <sz val="9"/>
        <rFont val="WenQuanYi Zen Hei"/>
        <family val="2"/>
      </rPr>
      <t xml:space="preserve">品目が会期内に在庫切れ見込：前髪ヘアバンド</t>
    </r>
    <r>
      <rPr>
        <sz val="9"/>
        <rFont val="Meiryo UI"/>
        <family val="0"/>
        <charset val="1"/>
      </rPr>
      <t xml:space="preserve">(</t>
    </r>
    <r>
      <rPr>
        <sz val="9"/>
        <rFont val="WenQuanYi Zen Hei"/>
        <family val="2"/>
      </rPr>
      <t xml:space="preserve">不足</t>
    </r>
    <r>
      <rPr>
        <sz val="9"/>
        <rFont val="Meiryo UI"/>
        <family val="0"/>
        <charset val="1"/>
      </rPr>
      <t xml:space="preserve">20)</t>
    </r>
    <r>
      <rPr>
        <sz val="9"/>
        <rFont val="WenQuanYi Zen Hei"/>
        <family val="2"/>
      </rPr>
      <t xml:space="preserve">　宿儺の指風お菓子</t>
    </r>
    <r>
      <rPr>
        <sz val="9"/>
        <rFont val="Meiryo UI"/>
        <family val="0"/>
        <charset val="1"/>
      </rPr>
      <t xml:space="preserve">(</t>
    </r>
    <r>
      <rPr>
        <sz val="9"/>
        <rFont val="WenQuanYi Zen Hei"/>
        <family val="2"/>
      </rPr>
      <t xml:space="preserve">不足</t>
    </r>
    <r>
      <rPr>
        <sz val="9"/>
        <rFont val="Meiryo UI"/>
        <family val="0"/>
        <charset val="1"/>
      </rPr>
      <t xml:space="preserve">12)</t>
    </r>
    <r>
      <rPr>
        <sz val="9"/>
        <rFont val="WenQuanYi Zen Hei"/>
        <family val="2"/>
      </rPr>
      <t xml:space="preserve">　夏油 傑 イメージリング（</t>
    </r>
    <r>
      <rPr>
        <sz val="9"/>
        <rFont val="Meiryo UI"/>
        <family val="0"/>
        <charset val="1"/>
      </rPr>
      <t xml:space="preserve">#15</t>
    </r>
    <r>
      <rPr>
        <sz val="9"/>
        <rFont val="WenQuanYi Zen Hei"/>
        <family val="2"/>
      </rPr>
      <t xml:space="preserve">）</t>
    </r>
    <r>
      <rPr>
        <sz val="9"/>
        <rFont val="Meiryo UI"/>
        <family val="0"/>
        <charset val="1"/>
      </rPr>
      <t xml:space="preserve">(</t>
    </r>
    <r>
      <rPr>
        <sz val="9"/>
        <rFont val="WenQuanYi Zen Hei"/>
        <family val="2"/>
      </rPr>
      <t xml:space="preserve">不足</t>
    </r>
    <r>
      <rPr>
        <sz val="9"/>
        <rFont val="Meiryo UI"/>
        <family val="0"/>
        <charset val="1"/>
      </rPr>
      <t xml:space="preserve">1)</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</si>
  <si>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※受領メール</t>
    </r>
  </si>
  <si>
    <t xml:space="preserve">報告された欠品／近々欠品</t>
  </si>
  <si>
    <r>
      <rPr>
        <sz val="9"/>
        <rFont val="Meiryo UI"/>
        <family val="0"/>
        <charset val="1"/>
      </rPr>
      <t xml:space="preserve">0</t>
    </r>
    <r>
      <rPr>
        <sz val="9"/>
        <rFont val="WenQuanYi Zen Hei"/>
        <family val="2"/>
      </rPr>
      <t xml:space="preserve">品目：</t>
    </r>
  </si>
  <si>
    <t xml:space="preserve">◎ モデルも会期中欠品を検知</t>
  </si>
  <si>
    <r>
      <rPr>
        <sz val="9"/>
        <rFont val="Meiryo UI"/>
        <family val="0"/>
        <charset val="1"/>
      </rPr>
      <t xml:space="preserve">0</t>
    </r>
    <r>
      <rPr>
        <sz val="9"/>
        <rFont val="WenQuanYi Zen Hei"/>
        <family val="2"/>
      </rPr>
      <t xml:space="preserve">品目：なし</t>
    </r>
  </si>
  <si>
    <t xml:space="preserve">○ モデルは高消化率で整合</t>
  </si>
  <si>
    <r>
      <rPr>
        <sz val="9"/>
        <rFont val="Meiryo UI"/>
        <family val="0"/>
        <charset val="1"/>
      </rPr>
      <t xml:space="preserve">0</t>
    </r>
    <r>
      <rPr>
        <sz val="9"/>
        <rFont val="WenQuanYi Zen Hei"/>
        <family val="2"/>
      </rPr>
      <t xml:space="preserve">品目：なし（予測消化率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</si>
  <si>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</si>
  <si>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t xml:space="preserve">▲ モデルのみ検知（現場未報告）</t>
  </si>
  <si>
    <r>
      <rPr>
        <sz val="9"/>
        <rFont val="Meiryo UI"/>
        <family val="0"/>
        <charset val="1"/>
      </rPr>
      <t xml:space="preserve">3</t>
    </r>
    <r>
      <rPr>
        <sz val="9"/>
        <rFont val="WenQuanYi Zen Hei"/>
        <family val="2"/>
      </rPr>
      <t xml:space="preserve">品目：前髪ヘアバンド　宿儺の指風お菓子　夏油 傑 イメージリング（</t>
    </r>
    <r>
      <rPr>
        <sz val="9"/>
        <rFont val="Meiryo UI"/>
        <family val="0"/>
        <charset val="1"/>
      </rPr>
      <t xml:space="preserve">#15</t>
    </r>
    <r>
      <rPr>
        <sz val="9"/>
        <rFont val="WenQuanYi Zen Hei"/>
        <family val="2"/>
      </rPr>
      <t xml:space="preserve">）　→ 現場に実在庫の確認を推奨</t>
    </r>
  </si>
  <si>
    <t xml:space="preserve">★追納不可と回答された品目</t>
  </si>
  <si>
    <r>
      <rPr>
        <sz val="9"/>
        <rFont val="WenQuanYi Zen Hei"/>
        <family val="2"/>
      </rPr>
      <t xml:space="preserve">なし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0</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</si>
  <si>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</si>
  <si>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0</t>
    </r>
    <r>
      <rPr>
        <sz val="9"/>
        <rFont val="WenQuanYi Zen Hei"/>
        <family val="2"/>
      </rPr>
      <t xml:space="preserve">品目のうち</t>
    </r>
    <r>
      <rPr>
        <sz val="9"/>
        <rFont val="Meiryo UI"/>
        <family val="0"/>
        <charset val="1"/>
      </rPr>
      <t xml:space="preserve">0</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</si>
  <si>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8/25</t>
    </r>
    <r>
      <rPr>
        <sz val="9"/>
        <rFont val="WenQuanYi Zen Hei"/>
        <family val="2"/>
      </rPr>
      <t xml:space="preserve">（</t>
    </r>
    <r>
      <rPr>
        <sz val="9"/>
        <rFont val="Meiryo UI"/>
        <family val="0"/>
        <charset val="1"/>
      </rPr>
      <t xml:space="preserve">12</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</si>
  <si>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</si>
  <si>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</si>
  <si>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0</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</si>
  <si>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倉庫残（石川納品を除く）</t>
  </si>
  <si>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</si>
  <si>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</si>
  <si>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WenQuanYi Zen Hei"/>
        <family val="2"/>
      </rPr>
      <t xml:space="preserve">出荷可否を</t>
    </r>
    <r>
      <rPr>
        <sz val="9"/>
        <rFont val="Meiryo UI"/>
        <family val="0"/>
        <charset val="1"/>
      </rPr>
      <t xml:space="preserve">SPJ</t>
    </r>
    <r>
      <rPr>
        <sz val="9"/>
        <rFont val="WenQuanYi Zen Hei"/>
        <family val="2"/>
      </rPr>
      <t xml:space="preserve">様・倉庫に再確認のうえ、可能なら石川会場へ充当することを推奨。</t>
    </r>
  </si>
  <si>
    <t xml:space="preserve">■ 最重要リスクと打ち手</t>
  </si>
  <si>
    <r>
      <rPr>
        <b val="true"/>
        <sz val="9"/>
        <rFont val="WenQuanYi Zen Hei"/>
        <family val="2"/>
      </rPr>
      <t xml:space="preserve">石川 の動員が計画比</t>
    </r>
    <r>
      <rPr>
        <b val="true"/>
        <sz val="9"/>
        <rFont val="Meiryo UI"/>
        <family val="0"/>
        <charset val="1"/>
      </rPr>
      <t xml:space="preserve">50%</t>
    </r>
  </si>
  <si>
    <r>
      <rPr>
        <sz val="9"/>
        <rFont val="WenQuanYi Zen Hei"/>
        <family val="2"/>
      </rPr>
      <t xml:space="preserve">初</t>
    </r>
    <r>
      <rPr>
        <sz val="9"/>
        <rFont val="Meiryo UI"/>
        <family val="0"/>
        <charset val="1"/>
      </rPr>
      <t xml:space="preserve">12</t>
    </r>
    <r>
      <rPr>
        <sz val="9"/>
        <rFont val="WenQuanYi Zen Hei"/>
        <family val="2"/>
      </rPr>
      <t xml:space="preserve">日入場者</t>
    </r>
    <r>
      <rPr>
        <sz val="9"/>
        <rFont val="Meiryo UI"/>
        <family val="0"/>
        <charset val="1"/>
      </rPr>
      <t xml:space="preserve">5,304</t>
    </r>
    <r>
      <rPr>
        <sz val="9"/>
        <rFont val="WenQuanYi Zen Hei"/>
        <family val="2"/>
      </rPr>
      <t xml:space="preserve">人（大阪同期間</t>
    </r>
    <r>
      <rPr>
        <sz val="9"/>
        <rFont val="Meiryo UI"/>
        <family val="0"/>
        <charset val="1"/>
      </rPr>
      <t xml:space="preserve">6,105</t>
    </r>
    <r>
      <rPr>
        <sz val="9"/>
        <rFont val="WenQuanYi Zen Hei"/>
        <family val="2"/>
      </rPr>
      <t xml:space="preserve">人の</t>
    </r>
    <r>
      <rPr>
        <sz val="9"/>
        <rFont val="Meiryo UI"/>
        <family val="0"/>
        <charset val="1"/>
      </rPr>
      <t xml:space="preserve">86.9%</t>
    </r>
    <r>
      <rPr>
        <sz val="9"/>
        <rFont val="WenQuanYi Zen Hei"/>
        <family val="2"/>
      </rPr>
      <t xml:space="preserve">）。物販売上も東京対比</t>
    </r>
    <r>
      <rPr>
        <sz val="9"/>
        <rFont val="Meiryo UI"/>
        <family val="0"/>
        <charset val="1"/>
      </rPr>
      <t xml:space="preserve">7.0%</t>
    </r>
    <r>
      <rPr>
        <sz val="9"/>
        <rFont val="WenQuanYi Zen Hei"/>
        <family val="2"/>
      </rPr>
      <t xml:space="preserve">と、</t>
    </r>
  </si>
  <si>
    <t xml:space="preserve">仙台以降の会場比率も、この水準を踏まえて下方修正を検討すべき。</t>
  </si>
  <si>
    <r>
      <rPr>
        <b val="true"/>
        <sz val="9"/>
        <rFont val="WenQuanYi Zen Hei"/>
        <family val="2"/>
      </rPr>
      <t xml:space="preserve">東京凱旋が必要数の</t>
    </r>
    <r>
      <rPr>
        <b val="true"/>
        <sz val="9"/>
        <rFont val="Meiryo UI"/>
        <family val="0"/>
        <charset val="1"/>
      </rPr>
      <t xml:space="preserve">60%</t>
    </r>
  </si>
  <si>
    <r>
      <rPr>
        <sz val="9"/>
        <rFont val="WenQuanYi Zen Hei"/>
        <family val="2"/>
      </rPr>
      <t xml:space="preserve">仙台以降 必要数</t>
    </r>
    <r>
      <rPr>
        <sz val="9"/>
        <rFont val="Meiryo UI"/>
        <family val="0"/>
        <charset val="1"/>
      </rPr>
      <t xml:space="preserve">61,617</t>
    </r>
    <r>
      <rPr>
        <sz val="9"/>
        <rFont val="WenQuanYi Zen Hei"/>
        <family val="2"/>
      </rPr>
      <t xml:space="preserve">個のうち</t>
    </r>
    <r>
      <rPr>
        <sz val="9"/>
        <rFont val="Meiryo UI"/>
        <family val="0"/>
        <charset val="1"/>
      </rPr>
      <t xml:space="preserve">36,677</t>
    </r>
    <r>
      <rPr>
        <sz val="9"/>
        <rFont val="WenQuanYi Zen Hei"/>
        <family val="2"/>
      </rPr>
      <t xml:space="preserve">個</t>
    </r>
    <r>
      <rPr>
        <sz val="9"/>
        <rFont val="Meiryo UI"/>
        <family val="0"/>
        <charset val="1"/>
      </rPr>
      <t xml:space="preserve">(60%)</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</si>
  <si>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発注は「仙台〜鳥取島根</t>
    </r>
    <r>
      <rPr>
        <sz val="9"/>
        <rFont val="Meiryo UI"/>
        <family val="0"/>
        <charset val="1"/>
      </rPr>
      <t xml:space="preserve">(3</t>
    </r>
    <r>
      <rPr>
        <sz val="9"/>
        <rFont val="WenQuanYi Zen Hei"/>
        <family val="2"/>
      </rPr>
      <t xml:space="preserve">会場・</t>
    </r>
    <r>
      <rPr>
        <sz val="9"/>
        <rFont val="Meiryo UI"/>
        <family val="0"/>
        <charset val="1"/>
      </rPr>
      <t xml:space="preserve">24,940</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</si>
  <si>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</si>
  <si>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供給可能</t>
    </r>
    <r>
      <rPr>
        <sz val="9"/>
        <rFont val="Meiryo UI"/>
        <family val="0"/>
        <charset val="1"/>
      </rPr>
      <t xml:space="preserve">234,422</t>
    </r>
    <r>
      <rPr>
        <sz val="9"/>
        <rFont val="WenQuanYi Zen Hei"/>
        <family val="2"/>
      </rPr>
      <t xml:space="preserve">個に対し仙台以降の必要数は</t>
    </r>
    <r>
      <rPr>
        <sz val="9"/>
        <rFont val="Meiryo UI"/>
        <family val="0"/>
        <charset val="1"/>
      </rPr>
      <t xml:space="preserve">61,617</t>
    </r>
    <r>
      <rPr>
        <sz val="9"/>
        <rFont val="WenQuanYi Zen Hei"/>
        <family val="2"/>
      </rPr>
      <t xml:space="preserve">個。差引</t>
    </r>
    <r>
      <rPr>
        <sz val="9"/>
        <rFont val="Meiryo UI"/>
        <family val="0"/>
        <charset val="1"/>
      </rPr>
      <t xml:space="preserve">172,805</t>
    </r>
    <r>
      <rPr>
        <sz val="9"/>
        <rFont val="WenQuanYi Zen Hei"/>
        <family val="2"/>
      </rPr>
      <t xml:space="preserve">個（供給可能の</t>
    </r>
    <r>
      <rPr>
        <sz val="9"/>
        <rFont val="Meiryo UI"/>
        <family val="0"/>
        <charset val="1"/>
      </rPr>
      <t xml:space="preserve">74%</t>
    </r>
    <r>
      <rPr>
        <sz val="9"/>
        <rFont val="WenQuanYi Zen Hei"/>
        <family val="2"/>
      </rPr>
      <t xml:space="preserve">）が余剰となる見込み。</t>
    </r>
  </si>
  <si>
    <r>
      <rPr>
        <sz val="9"/>
        <rFont val="WenQuanYi Zen Hei"/>
        <family val="2"/>
      </rPr>
      <t xml:space="preserve">余剰上位：呪術廻戦 渋谷事変 ブラインド缶バッジ（全</t>
    </r>
    <r>
      <rPr>
        <sz val="9"/>
        <rFont val="Meiryo UI"/>
        <family val="0"/>
        <charset val="1"/>
      </rPr>
      <t xml:space="preserve">9 </t>
    </r>
    <r>
      <rPr>
        <sz val="9"/>
        <rFont val="WenQuanYi Zen Hei"/>
        <family val="2"/>
      </rPr>
      <t xml:space="preserve">供給可能</t>
    </r>
    <r>
      <rPr>
        <sz val="9"/>
        <rFont val="Meiryo UI"/>
        <family val="0"/>
        <charset val="1"/>
      </rPr>
      <t xml:space="preserve">50,228</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6,990</t>
    </r>
    <r>
      <rPr>
        <sz val="9"/>
        <rFont val="WenQuanYi Zen Hei"/>
        <family val="2"/>
      </rPr>
      <t xml:space="preserve">個／呪術廻戦 懐玉・玉折 ブラインド缶バッジ（全 供給可能</t>
    </r>
    <r>
      <rPr>
        <sz val="9"/>
        <rFont val="Meiryo UI"/>
        <family val="0"/>
        <charset val="1"/>
      </rPr>
      <t xml:space="preserve">39,392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3,173</t>
    </r>
    <r>
      <rPr>
        <sz val="9"/>
        <rFont val="WenQuanYi Zen Hei"/>
        <family val="2"/>
      </rPr>
      <t xml:space="preserve">個／呪術廻戦 懐玉・玉折 ブラインドミニ色紙（全 供給可能</t>
    </r>
    <r>
      <rPr>
        <sz val="9"/>
        <rFont val="Meiryo UI"/>
        <family val="0"/>
        <charset val="1"/>
      </rPr>
      <t xml:space="preserve">48,729</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15,264</t>
    </r>
    <r>
      <rPr>
        <sz val="9"/>
        <rFont val="WenQuanYi Zen Hei"/>
        <family val="2"/>
      </rPr>
      <t xml:space="preserve">個</t>
    </r>
  </si>
  <si>
    <t xml:space="preserve">追加発注よりも、余剰在庫の消化策（セット販売・ノベルティ転用等）の検討が急務。</t>
  </si>
  <si>
    <t xml:space="preserve">不足はごく一部</t>
  </si>
  <si>
    <r>
      <rPr>
        <sz val="9"/>
        <rFont val="WenQuanYi Zen Hei"/>
        <family val="2"/>
      </rPr>
      <t xml:space="preserve">追加生産が必要なのは</t>
    </r>
    <r>
      <rPr>
        <sz val="9"/>
        <rFont val="Meiryo UI"/>
        <family val="0"/>
        <charset val="1"/>
      </rPr>
      <t xml:space="preserve">13</t>
    </r>
    <r>
      <rPr>
        <sz val="9"/>
        <rFont val="WenQuanYi Zen Hei"/>
        <family val="2"/>
      </rPr>
      <t xml:space="preserve">品目・</t>
    </r>
    <r>
      <rPr>
        <sz val="9"/>
        <rFont val="Meiryo UI"/>
        <family val="0"/>
        <charset val="1"/>
      </rPr>
      <t xml:space="preserve">3,384</t>
    </r>
    <r>
      <rPr>
        <sz val="9"/>
        <rFont val="WenQuanYi Zen Hei"/>
        <family val="2"/>
      </rPr>
      <t xml:space="preserve">個のみ。うち展示会キービジュアル クリアファイルが</t>
    </r>
    <r>
      <rPr>
        <sz val="9"/>
        <rFont val="Meiryo UI"/>
        <family val="0"/>
        <charset val="1"/>
      </rPr>
      <t xml:space="preserve">895</t>
    </r>
    <r>
      <rPr>
        <sz val="9"/>
        <rFont val="WenQuanYi Zen Hei"/>
        <family val="2"/>
      </rPr>
      <t xml:space="preserve">個で全体の</t>
    </r>
    <r>
      <rPr>
        <sz val="9"/>
        <rFont val="Meiryo UI"/>
        <family val="0"/>
        <charset val="1"/>
      </rPr>
      <t xml:space="preserve">26%</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</si>
  <si>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</si>
  <si>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</si>
  <si>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</si>
  <si>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</si>
  <si>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</si>
  <si>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</si>
  <si>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算出モデル（①石川予測）</t>
  </si>
  <si>
    <t xml:space="preserve">基本式</t>
  </si>
  <si>
    <r>
      <rPr>
        <sz val="9"/>
        <rFont val="WenQuanYi Zen Hei"/>
        <family val="2"/>
      </rPr>
      <t xml:space="preserve">石川 会期</t>
    </r>
    <r>
      <rPr>
        <sz val="9"/>
        <rFont val="Meiryo UI"/>
        <family val="0"/>
        <charset val="1"/>
      </rPr>
      <t xml:space="preserve">18</t>
    </r>
    <r>
      <rPr>
        <sz val="9"/>
        <rFont val="WenQuanYi Zen Hei"/>
        <family val="2"/>
      </rPr>
      <t xml:space="preserve">日予測販売数 ＝ 石川 初</t>
    </r>
    <r>
      <rPr>
        <sz val="9"/>
        <rFont val="Meiryo UI"/>
        <family val="0"/>
        <charset val="1"/>
      </rPr>
      <t xml:space="preserve">12</t>
    </r>
    <r>
      <rPr>
        <sz val="9"/>
        <rFont val="WenQuanYi Zen Hei"/>
        <family val="2"/>
      </rPr>
      <t xml:space="preserve">日</t>
    </r>
    <r>
      <rPr>
        <sz val="9"/>
        <rFont val="Meiryo UI"/>
        <family val="0"/>
        <charset val="1"/>
      </rPr>
      <t xml:space="preserve">(8/14-8/25)</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</si>
  <si>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</si>
  <si>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18</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12</t>
    </r>
    <r>
      <rPr>
        <sz val="9"/>
        <rFont val="WenQuanYi Zen Hei"/>
        <family val="2"/>
      </rPr>
      <t xml:space="preserve">日販売数」を商品別に算出し加重平均</t>
    </r>
  </si>
  <si>
    <t xml:space="preserve">採用会場と加重</t>
  </si>
  <si>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×1</t>
    </r>
    <r>
      <rPr>
        <sz val="9"/>
        <rFont val="WenQuanYi Zen Hei"/>
        <family val="2"/>
      </rPr>
      <t xml:space="preserve">、札幌</t>
    </r>
    <r>
      <rPr>
        <sz val="9"/>
        <rFont val="Meiryo UI"/>
        <family val="0"/>
        <charset val="1"/>
      </rPr>
      <t xml:space="preserve">×2</t>
    </r>
    <r>
      <rPr>
        <sz val="9"/>
        <rFont val="WenQuanYi Zen Hei"/>
        <family val="2"/>
      </rPr>
      <t xml:space="preserve">（直前会場・品揃え同一で条件が最も近い）。東京・名古屋 は除外</t>
    </r>
  </si>
  <si>
    <t xml:space="preserve">会期日数の揃え方</t>
  </si>
  <si>
    <r>
      <rPr>
        <sz val="9"/>
        <rFont val="WenQuanYi Zen Hei"/>
        <family val="2"/>
      </rPr>
      <t xml:space="preserve">各参照会場の頭から</t>
    </r>
    <r>
      <rPr>
        <sz val="9"/>
        <rFont val="Meiryo UI"/>
        <family val="0"/>
        <charset val="1"/>
      </rPr>
      <t xml:space="preserve">18</t>
    </r>
    <r>
      <rPr>
        <sz val="9"/>
        <rFont val="WenQuanYi Zen Hei"/>
        <family val="2"/>
      </rPr>
      <t xml:space="preserve">日分を切り出して倍率化。</t>
    </r>
    <r>
      <rPr>
        <sz val="9"/>
        <rFont val="Meiryo UI"/>
        <family val="0"/>
        <charset val="1"/>
      </rPr>
      <t xml:space="preserve">18</t>
    </r>
    <r>
      <rPr>
        <sz val="9"/>
        <rFont val="WenQuanYi Zen Hei"/>
        <family val="2"/>
      </rPr>
      <t xml:space="preserve">日に満たない会場は</t>
    </r>
    <r>
      <rPr>
        <sz val="9"/>
        <rFont val="Meiryo UI"/>
        <family val="0"/>
        <charset val="1"/>
      </rPr>
      <t xml:space="preserve">+0.00%</t>
    </r>
    <r>
      <rPr>
        <sz val="9"/>
        <rFont val="WenQuanYi Zen Hei"/>
        <family val="2"/>
      </rPr>
      <t xml:space="preserve">を補完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</si>
  <si>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</si>
  <si>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博多</t>
    </r>
    <r>
      <rPr>
        <sz val="9"/>
        <rFont val="Meiryo UI"/>
        <family val="0"/>
        <charset val="1"/>
      </rPr>
      <t xml:space="preserve">1.413</t>
    </r>
    <r>
      <rPr>
        <sz val="9"/>
        <rFont val="WenQuanYi Zen Hei"/>
        <family val="2"/>
      </rPr>
      <t xml:space="preserve">倍・大阪</t>
    </r>
    <r>
      <rPr>
        <sz val="9"/>
        <rFont val="Meiryo UI"/>
        <family val="0"/>
        <charset val="1"/>
      </rPr>
      <t xml:space="preserve">1.225</t>
    </r>
    <r>
      <rPr>
        <sz val="9"/>
        <rFont val="WenQuanYi Zen Hei"/>
        <family val="2"/>
      </rPr>
      <t xml:space="preserve">倍・札幌</t>
    </r>
    <r>
      <rPr>
        <sz val="9"/>
        <rFont val="Meiryo UI"/>
        <family val="0"/>
        <charset val="1"/>
      </rPr>
      <t xml:space="preserve">1.274</t>
    </r>
    <r>
      <rPr>
        <sz val="9"/>
        <rFont val="WenQuanYi Zen Hei"/>
        <family val="2"/>
      </rPr>
      <t xml:space="preserve">倍 → 加重平均 </t>
    </r>
    <r>
      <rPr>
        <sz val="9"/>
        <rFont val="Meiryo UI"/>
        <family val="0"/>
        <charset val="1"/>
      </rPr>
      <t xml:space="preserve">1.296</t>
    </r>
    <r>
      <rPr>
        <sz val="9"/>
        <rFont val="WenQuanYi Zen Hei"/>
        <family val="2"/>
      </rPr>
      <t xml:space="preserve">倍</t>
    </r>
  </si>
  <si>
    <t xml:space="preserve">■ 算出モデル（③仙台以降）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</si>
  <si>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</si>
  <si>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</si>
  <si>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</si>
  <si>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17.1%</t>
    </r>
    <r>
      <rPr>
        <sz val="9"/>
        <rFont val="WenQuanYi Zen Hei"/>
        <family val="2"/>
      </rPr>
      <t xml:space="preserve">（石川予測値＝大阪以降の推移の到達点を採用）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</si>
  <si>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</si>
  <si>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833</t>
    </r>
    <r>
      <rPr>
        <sz val="9"/>
        <rFont val="WenQuanYi Zen Hei"/>
        <family val="2"/>
      </rPr>
      <t xml:space="preserve">円（石川予測ミックスベース）</t>
    </r>
  </si>
  <si>
    <t xml:space="preserve">商品別按分</t>
  </si>
  <si>
    <r>
      <rPr>
        <sz val="9"/>
        <rFont val="WenQuanYi Zen Hei"/>
        <family val="2"/>
      </rPr>
      <t xml:space="preserve">札幌</t>
    </r>
    <r>
      <rPr>
        <sz val="9"/>
        <rFont val="Meiryo UI"/>
        <family val="0"/>
        <charset val="1"/>
      </rPr>
      <t xml:space="preserve">20</t>
    </r>
    <r>
      <rPr>
        <sz val="9"/>
        <rFont val="WenQuanYi Zen Hei"/>
        <family val="2"/>
      </rPr>
      <t xml:space="preserve">日実績の数量構成比</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日予測の数量構成比</t>
    </r>
    <r>
      <rPr>
        <sz val="9"/>
        <rFont val="Meiryo UI"/>
        <family val="0"/>
        <charset val="1"/>
      </rPr>
      <t xml:space="preserve">50% </t>
    </r>
    <r>
      <rPr>
        <sz val="9"/>
        <rFont val="WenQuanYi Zen Hei"/>
        <family val="2"/>
      </rPr>
      <t xml:space="preserve">のブレンド</t>
    </r>
  </si>
  <si>
    <t xml:space="preserve">供給可能在庫</t>
  </si>
  <si>
    <r>
      <rPr>
        <sz val="9"/>
        <rFont val="WenQuanYi Zen Hei"/>
        <family val="2"/>
      </rPr>
      <t xml:space="preserve">倉庫残（札幌出荷後）</t>
    </r>
    <r>
      <rPr>
        <sz val="9"/>
        <rFont val="Meiryo UI"/>
        <family val="0"/>
        <charset val="1"/>
      </rPr>
      <t xml:space="preserve">197,962</t>
    </r>
    <r>
      <rPr>
        <sz val="9"/>
        <rFont val="WenQuanYi Zen Hei"/>
        <family val="2"/>
      </rPr>
      <t xml:space="preserve">個 ＋ 札幌会期末残</t>
    </r>
    <r>
      <rPr>
        <sz val="9"/>
        <rFont val="Meiryo UI"/>
        <family val="0"/>
        <charset val="1"/>
      </rPr>
      <t xml:space="preserve">41,615</t>
    </r>
    <r>
      <rPr>
        <sz val="9"/>
        <rFont val="WenQuanYi Zen Hei"/>
        <family val="2"/>
      </rPr>
      <t xml:space="preserve">個 − 石川会期</t>
    </r>
    <r>
      <rPr>
        <sz val="9"/>
        <rFont val="Meiryo UI"/>
        <family val="0"/>
        <charset val="1"/>
      </rPr>
      <t xml:space="preserve">18</t>
    </r>
    <r>
      <rPr>
        <sz val="9"/>
        <rFont val="WenQuanYi Zen Hei"/>
        <family val="2"/>
      </rPr>
      <t xml:space="preserve">日予測販売</t>
    </r>
    <r>
      <rPr>
        <sz val="9"/>
        <rFont val="Meiryo UI"/>
        <family val="0"/>
        <charset val="1"/>
      </rPr>
      <t xml:space="preserve">5,151</t>
    </r>
    <r>
      <rPr>
        <sz val="9"/>
        <rFont val="WenQuanYi Zen Hei"/>
        <family val="2"/>
      </rPr>
      <t xml:space="preserve">個 ＝ </t>
    </r>
    <r>
      <rPr>
        <sz val="9"/>
        <rFont val="Meiryo UI"/>
        <family val="0"/>
        <charset val="1"/>
      </rPr>
      <t xml:space="preserve">234,422</t>
    </r>
    <r>
      <rPr>
        <sz val="9"/>
        <rFont val="WenQuanYi Zen Hei"/>
        <family val="2"/>
      </rPr>
      <t xml:space="preserve">個</t>
    </r>
  </si>
  <si>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</si>
  <si>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</si>
  <si>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</si>
  <si>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</si>
  <si>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</si>
  <si>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</si>
  <si>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</si>
  <si>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</si>
  <si>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</si>
  <si>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</si>
  <si>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</si>
  <si>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</si>
  <si>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★仙台以降の最大リスク</t>
  </si>
  <si>
    <r>
      <rPr>
        <sz val="9"/>
        <rFont val="WenQuanYi Zen Hei"/>
        <family val="2"/>
      </rPr>
      <t xml:space="preserve">同規模の新商品を仙台以降に追加投入すると③の必要数</t>
    </r>
    <r>
      <rPr>
        <sz val="9"/>
        <rFont val="Meiryo UI"/>
        <family val="0"/>
        <charset val="1"/>
      </rPr>
      <t xml:space="preserve">61,617</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</si>
  <si>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追加生産を確定する前に、仙台以降の新商品投入計画（有無・規模）を必ず確認すること。</t>
  </si>
  <si>
    <t xml:space="preserve">■ シート構成</t>
  </si>
  <si>
    <t xml:space="preserve">前提・入力</t>
  </si>
  <si>
    <t xml:space="preserve">会場比率・構成比・加重など全パラメータの入力（青字＝編集可）</t>
  </si>
  <si>
    <t xml:space="preserve">①石川予測確定</t>
  </si>
  <si>
    <r>
      <rPr>
        <sz val="9"/>
        <rFont val="WenQuanYi Zen Hei"/>
        <family val="2"/>
      </rPr>
      <t xml:space="preserve">商品別 会期</t>
    </r>
    <r>
      <rPr>
        <sz val="9"/>
        <rFont val="Meiryo UI"/>
        <family val="0"/>
        <charset val="1"/>
      </rPr>
      <t xml:space="preserve">18</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</si>
  <si>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</si>
  <si>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</si>
  <si>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③仙台以降予測</t>
  </si>
  <si>
    <r>
      <rPr>
        <sz val="9"/>
        <rFont val="WenQuanYi Zen Hei"/>
        <family val="2"/>
      </rPr>
      <t xml:space="preserve">残</t>
    </r>
    <r>
      <rPr>
        <sz val="9"/>
        <rFont val="Meiryo UI"/>
        <family val="0"/>
        <charset val="1"/>
      </rPr>
      <t xml:space="preserve">4</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</si>
  <si>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</si>
  <si>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石川会期中／仙台以降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</si>
  <si>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</si>
  <si>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</si>
  <si>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</si>
  <si>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</si>
  <si>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</si>
  <si>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</si>
  <si>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</si>
  <si>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</si>
  <si>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</si>
  <si>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</si>
  <si>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</si>
  <si>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仙台以降の東京対比比率 </t>
    </r>
    <r>
      <rPr>
        <sz val="9"/>
        <rFont val="Meiryo UI"/>
        <family val="0"/>
        <charset val="1"/>
      </rPr>
      <t xml:space="preserve">4</t>
    </r>
    <r>
      <rPr>
        <sz val="9"/>
        <rFont val="WenQuanYi Zen Hei"/>
        <family val="2"/>
      </rPr>
      <t xml:space="preserve">シナリオ（ユーザー指定／企画概要書／石川実績連動／手動）の比較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</si>
  <si>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</si>
  <si>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</si>
  <si>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</si>
  <si>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</si>
  <si>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⑬会場別 納品予測</t>
  </si>
  <si>
    <r>
      <rPr>
        <sz val="9"/>
        <rFont val="WenQuanYi Zen Hei"/>
        <family val="2"/>
      </rPr>
      <t xml:space="preserve">仙台以降 各会場へ実際に何個出せるか（必要数 </t>
    </r>
    <r>
      <rPr>
        <sz val="9"/>
        <rFont val="Meiryo UI"/>
        <family val="0"/>
        <charset val="1"/>
      </rPr>
      <t xml:space="preserve">vs </t>
    </r>
    <r>
      <rPr>
        <sz val="9"/>
        <rFont val="WenQuanYi Zen Hei"/>
        <family val="2"/>
      </rPr>
      <t xml:space="preserve">在庫制約を織り込んだ納品予測数）</t>
    </r>
  </si>
  <si>
    <t xml:space="preserve">運営欠品報告の反映先</t>
  </si>
  <si>
    <r>
      <rPr>
        <sz val="9"/>
        <rFont val="WenQuanYi Zen Hei"/>
        <family val="2"/>
      </rPr>
      <t xml:space="preserve">④追加発注判定シートの「運営 欠品報告」「モデル</t>
    </r>
    <r>
      <rPr>
        <sz val="9"/>
        <rFont val="Meiryo UI"/>
        <family val="0"/>
        <charset val="1"/>
      </rPr>
      <t xml:space="preserve">×</t>
    </r>
    <r>
      <rPr>
        <sz val="9"/>
        <rFont val="WenQuanYi Zen Hei"/>
        <family val="2"/>
      </rPr>
      <t xml:space="preserve">現場 突合」列、および⑧シートの運営欠品報告列・備考欄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</si>
  <si>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</si>
  <si>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</si>
  <si>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</si>
  <si>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</si>
  <si>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</si>
  <si>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</si>
  <si>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</si>
  <si>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</si>
  <si>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</si>
  <si>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</si>
  <si>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</si>
  <si>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</si>
  <si>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</si>
  <si>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</si>
  <si>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</si>
  <si>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</si>
  <si>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</si>
  <si>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</si>
  <si>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</si>
  <si>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</si>
  <si>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</si>
  <si>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</si>
  <si>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</si>
  <si>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</si>
  <si>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</si>
  <si>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①石川予測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</si>
  <si>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</si>
  <si>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</si>
  <si>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</si>
  <si>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か】名古屋は初動カーブが石川と大きく異なるため、ユーザー指示により倍率の算出根拠から除外している（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以外にすると①の採用倍率</t>
    </r>
    <r>
      <rPr>
        <sz val="8"/>
        <color rgb="FF555555"/>
        <rFont val="Meiryo UI"/>
        <family val="0"/>
        <charset val="1"/>
      </rPr>
      <t xml:space="preserve">g</t>
    </r>
    <r>
      <rPr>
        <sz val="8"/>
        <color rgb="FF555555"/>
        <rFont val="WenQuanYi Zen Hei"/>
        <family val="2"/>
      </rPr>
      <t xml:space="preserve">＝石川予測が全品変動する。</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</si>
  <si>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</si>
  <si>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【算出】博多③は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1.413</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</si>
  <si>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</si>
  <si>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【算出】大阪④は</t>
    </r>
    <r>
      <rPr>
        <sz val="8"/>
        <color rgb="FF555555"/>
        <rFont val="Meiryo UI"/>
        <family val="0"/>
        <charset val="1"/>
      </rPr>
      <t xml:space="preserve">20</t>
    </r>
    <r>
      <rPr>
        <sz val="8"/>
        <color rgb="FF555555"/>
        <rFont val="WenQuanYi Zen Hei"/>
        <family val="2"/>
      </rPr>
      <t xml:space="preserve">日会期のため、頭から</t>
    </r>
    <r>
      <rPr>
        <sz val="8"/>
        <color rgb="FF555555"/>
        <rFont val="Meiryo UI"/>
        <family val="0"/>
        <charset val="1"/>
      </rPr>
      <t xml:space="preserve">18</t>
    </r>
    <r>
      <rPr>
        <sz val="8"/>
        <color rgb="FF555555"/>
        <rFont val="WenQuanYi Zen Hei"/>
        <family val="2"/>
      </rPr>
      <t xml:space="preserve">日分だけを切り出して倍率化する（</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1.225</t>
    </r>
    <r>
      <rPr>
        <sz val="8"/>
        <color rgb="FF555555"/>
        <rFont val="WenQuanYi Zen Hei"/>
        <family val="2"/>
      </rPr>
      <t xml:space="preserve">。会期構成が石川と異なるため加重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</si>
  <si>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加重：札幌</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</si>
  <si>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」の加重平均ウェイト。石川</t>
    </r>
    <r>
      <rPr>
        <sz val="8"/>
        <color rgb="FF555555"/>
        <rFont val="Meiryo UI"/>
        <family val="0"/>
        <charset val="1"/>
      </rPr>
      <t xml:space="preserve">18</t>
    </r>
    <r>
      <rPr>
        <sz val="8"/>
        <color rgb="FF555555"/>
        <rFont val="WenQuanYi Zen Hei"/>
        <family val="2"/>
      </rPr>
      <t xml:space="preserve">日予測＝初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倍か】札幌⑤は直前に終了した会場で、品揃えが石川と同一・会期</t>
    </r>
    <r>
      <rPr>
        <sz val="8"/>
        <color rgb="FF555555"/>
        <rFont val="Meiryo UI"/>
        <family val="0"/>
        <charset val="1"/>
      </rPr>
      <t xml:space="preserve">20</t>
    </r>
    <r>
      <rPr>
        <sz val="8"/>
        <color rgb="FF555555"/>
        <rFont val="WenQuanYi Zen Hei"/>
        <family val="2"/>
      </rPr>
      <t xml:space="preserve">日と条件が最も近い。このため他会場の</t>
    </r>
    <r>
      <rPr>
        <sz val="8"/>
        <color rgb="FF555555"/>
        <rFont val="Meiryo UI"/>
        <family val="0"/>
        <charset val="1"/>
      </rPr>
      <t xml:space="preserve">2</t>
    </r>
    <r>
      <rPr>
        <sz val="8"/>
        <color rgb="FF555555"/>
        <rFont val="WenQuanYi Zen Hei"/>
        <family val="2"/>
      </rPr>
      <t xml:space="preserve">倍の重みを置く。札幌の倍率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1.274</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</si>
  <si>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会期が</t>
    </r>
    <r>
      <rPr>
        <b val="true"/>
        <sz val="9"/>
        <rFont val="Meiryo UI"/>
        <family val="0"/>
        <charset val="1"/>
      </rPr>
      <t xml:space="preserve">18</t>
    </r>
    <r>
      <rPr>
        <b val="true"/>
        <sz val="9"/>
        <rFont val="WenQuanYi Zen Hei"/>
        <family val="2"/>
      </rPr>
      <t xml:space="preserve">日に満たない参照会場の補完率</t>
    </r>
  </si>
  <si>
    <r>
      <rPr>
        <sz val="8"/>
        <color rgb="FF555555"/>
        <rFont val="WenQuanYi Zen Hei"/>
        <family val="2"/>
      </rPr>
      <t xml:space="preserve">【何に効くか】会期が</t>
    </r>
    <r>
      <rPr>
        <sz val="8"/>
        <color rgb="FF555555"/>
        <rFont val="Meiryo UI"/>
        <family val="0"/>
        <charset val="1"/>
      </rPr>
      <t xml:space="preserve">18</t>
    </r>
    <r>
      <rPr>
        <sz val="8"/>
        <color rgb="FF555555"/>
        <rFont val="WenQuanYi Zen Hei"/>
        <family val="2"/>
      </rPr>
      <t xml:space="preserve">日より短い参照会場（今回は該当なし）の倍率</t>
    </r>
    <r>
      <rPr>
        <sz val="8"/>
        <color rgb="FF555555"/>
        <rFont val="Meiryo UI"/>
        <family val="0"/>
        <charset val="1"/>
      </rPr>
      <t xml:space="preserve">g</t>
    </r>
    <r>
      <rPr>
        <sz val="8"/>
        <color rgb="FF555555"/>
        <rFont val="WenQuanYi Zen Hei"/>
        <family val="2"/>
      </rPr>
      <t xml:space="preserve">の分子補正。
【算出】</t>
    </r>
    <r>
      <rPr>
        <sz val="8"/>
        <color rgb="FF555555"/>
        <rFont val="Meiryo UI"/>
        <family val="0"/>
        <charset val="1"/>
      </rPr>
      <t xml:space="preserve">18</t>
    </r>
    <r>
      <rPr>
        <sz val="8"/>
        <color rgb="FF555555"/>
        <rFont val="WenQuanYi Zen Hei"/>
        <family val="2"/>
      </rPr>
      <t xml:space="preserve">日以上ある会場の「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その会場の会期日数までの累計」の伸び率の平均。短い会場の累計にこの率を掛けて</t>
    </r>
    <r>
      <rPr>
        <sz val="8"/>
        <color rgb="FF555555"/>
        <rFont val="Meiryo UI"/>
        <family val="0"/>
        <charset val="1"/>
      </rPr>
      <t xml:space="preserve">18</t>
    </r>
    <r>
      <rPr>
        <sz val="8"/>
        <color rgb="FF555555"/>
        <rFont val="WenQuanYi Zen Hei"/>
        <family val="2"/>
      </rPr>
      <t xml:space="preserve">日相当に補完し、他会場と粒度を揃える。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</si>
  <si>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</si>
  <si>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【何に効くか】①シートの採用倍率</t>
    </r>
    <r>
      <rPr>
        <sz val="8"/>
        <color rgb="FF555555"/>
        <rFont val="Meiryo UI"/>
        <family val="0"/>
        <charset val="1"/>
      </rPr>
      <t xml:space="preserve">g</t>
    </r>
    <r>
      <rPr>
        <sz val="8"/>
        <color rgb="FF555555"/>
        <rFont val="WenQuanYi Zen Hei"/>
        <family val="2"/>
      </rPr>
      <t xml:space="preserve">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18</t>
    </r>
    <r>
      <rPr>
        <sz val="8"/>
        <color rgb="FF555555"/>
        <rFont val="WenQuanYi Zen Hei"/>
        <family val="2"/>
      </rPr>
      <t xml:space="preserve">日 加重平均倍率＝</t>
    </r>
    <r>
      <rPr>
        <sz val="8"/>
        <color rgb="FF555555"/>
        <rFont val="Meiryo UI"/>
        <family val="0"/>
        <charset val="1"/>
      </rPr>
      <t xml:space="preserve">1.296</t>
    </r>
    <r>
      <rPr>
        <sz val="8"/>
        <color rgb="FF555555"/>
        <rFont val="WenQuanYi Zen Hei"/>
        <family val="2"/>
      </rPr>
      <t xml:space="preserve">。参照会場（博多／大阪／札幌）のいずれにも初</t>
    </r>
    <r>
      <rPr>
        <sz val="8"/>
        <color rgb="FF555555"/>
        <rFont val="Meiryo UI"/>
        <family val="0"/>
        <charset val="1"/>
      </rPr>
      <t xml:space="preserve">12</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</si>
  <si>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</si>
  <si>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</si>
  <si>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列の基準額。本値</t>
    </r>
    <r>
      <rPr>
        <sz val="8"/>
        <color rgb="FF555555"/>
        <rFont val="Meiryo UI"/>
        <family val="0"/>
        <charset val="1"/>
      </rPr>
      <t xml:space="preserve">×</t>
    </r>
    <r>
      <rPr>
        <sz val="8"/>
        <color rgb="FF555555"/>
        <rFont val="WenQuanYi Zen Hei"/>
        <family val="2"/>
      </rPr>
      <t xml:space="preserve">東京対比で次会場以降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</si>
  <si>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</si>
  <si>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【何に効くか】②シートの「全物販 販売数量」の次会場以降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</si>
  <si>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</si>
  <si>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＝石川実績連動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</si>
  <si>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</si>
  <si>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</si>
  <si>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</si>
  <si>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</si>
  <si>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</si>
  <si>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</si>
  <si>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</si>
  <si>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</si>
  <si>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</si>
  <si>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</si>
  <si>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</si>
  <si>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</si>
  <si>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</si>
  <si>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※③は企画概要書の計画値に石川の計画比達成率 </t>
    </r>
    <r>
      <rPr>
        <sz val="8"/>
        <color rgb="FF555555"/>
        <rFont val="Meiryo UI"/>
        <family val="0"/>
        <charset val="1"/>
      </rPr>
      <t xml:space="preserve">56.3% </t>
    </r>
    <r>
      <rPr>
        <sz val="8"/>
        <color rgb="FF555555"/>
        <rFont val="WenQuanYi Zen Hei"/>
        <family val="2"/>
      </rPr>
      <t xml:space="preserve">を乗じたもの（凱旋は据置）</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</si>
  <si>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</si>
  <si>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</si>
  <si>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</si>
  <si>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</si>
  <si>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</si>
  <si>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</si>
  <si>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</si>
  <si>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」。全シナリオ共通で据置のためシナリオを切り替えても動かない。次会場以降の必要数の過半を占める、最も感度の高い前提。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</si>
  <si>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</si>
  <si>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</si>
  <si>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③仙台以降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</si>
  <si>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金額構成比（仙台以降）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</si>
  <si>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 </t>
    </r>
    <r>
      <rPr>
        <sz val="8"/>
        <color rgb="FF555555"/>
        <rFont val="Meiryo UI"/>
        <family val="0"/>
        <charset val="1"/>
      </rPr>
      <t xml:space="preserve">17.6% → </t>
    </r>
    <r>
      <rPr>
        <sz val="8"/>
        <color rgb="FF555555"/>
        <rFont val="WenQuanYi Zen Hei"/>
        <family val="2"/>
      </rPr>
      <t xml:space="preserve">石川</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17.1%</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投入で低下しており、その到達点を次会場以降にも適用する。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</si>
  <si>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</si>
  <si>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【算出】石川</t>
    </r>
    <r>
      <rPr>
        <sz val="8"/>
        <color rgb="FF555555"/>
        <rFont val="Meiryo UI"/>
        <family val="0"/>
        <charset val="1"/>
      </rPr>
      <t xml:space="preserve">18</t>
    </r>
    <r>
      <rPr>
        <sz val="8"/>
        <color rgb="FF555555"/>
        <rFont val="WenQuanYi Zen Hei"/>
        <family val="2"/>
      </rPr>
      <t xml:space="preserve">日予測の金額 </t>
    </r>
    <r>
      <rPr>
        <sz val="8"/>
        <color rgb="FF555555"/>
        <rFont val="Meiryo UI"/>
        <family val="0"/>
        <charset val="1"/>
      </rPr>
      <t xml:space="preserve">4,292,200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5,151</t>
    </r>
    <r>
      <rPr>
        <sz val="8"/>
        <color rgb="FF555555"/>
        <rFont val="WenQuanYi Zen Hei"/>
        <family val="2"/>
      </rPr>
      <t xml:space="preserve">個 ≒ </t>
    </r>
    <r>
      <rPr>
        <sz val="8"/>
        <color rgb="FF555555"/>
        <rFont val="Meiryo UI"/>
        <family val="0"/>
        <charset val="1"/>
      </rPr>
      <t xml:space="preserve">833</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＝次会場以降の必要数量。</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</si>
  <si>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</si>
  <si>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石川構成比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【札幌を使う理由】直前に終了した会場で</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8,891</t>
    </r>
    <r>
      <rPr>
        <sz val="8"/>
        <color rgb="FF555555"/>
        <rFont val="WenQuanYi Zen Hei"/>
        <family val="2"/>
      </rPr>
      <t xml:space="preserve">個）があり、品揃えも石川と同一。</t>
    </r>
  </si>
  <si>
    <r>
      <rPr>
        <b val="true"/>
        <sz val="9"/>
        <rFont val="WenQuanYi Zen Hei"/>
        <family val="2"/>
      </rPr>
      <t xml:space="preserve">商品別按分：石川</t>
    </r>
    <r>
      <rPr>
        <b val="true"/>
        <sz val="9"/>
        <rFont val="Meiryo UI"/>
        <family val="0"/>
        <charset val="1"/>
      </rPr>
      <t xml:space="preserve">18</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</si>
  <si>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【石川を使う理由】新商品投入後のミックスで、次会場以降の品揃えに条件が近い（ただし予測値）。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に寄せると定番商品へ、石川</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</si>
  <si>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</si>
  <si>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</si>
  <si>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</si>
  <si>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</si>
  <si>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を積み上げた確定値で、直近会場の返送検品まで反映済み。石川会場への納品数と石川会場の販売数はまだ差し引かれていない。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</si>
  <si>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石川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</si>
  <si>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列「石川会期末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。次会場以降の供給可能在庫に加算される。
【</t>
    </r>
    <r>
      <rPr>
        <sz val="8"/>
        <color rgb="FF555555"/>
        <rFont val="Meiryo UI"/>
        <family val="0"/>
        <charset val="1"/>
      </rPr>
      <t xml:space="preserve">100%</t>
    </r>
    <r>
      <rPr>
        <sz val="8"/>
        <color rgb="FF555555"/>
        <rFont val="WenQuanYi Zen Hei"/>
        <family val="2"/>
      </rPr>
      <t xml:space="preserve">の意味】石川終了在庫 </t>
    </r>
    <r>
      <rPr>
        <sz val="8"/>
        <color rgb="FF555555"/>
        <rFont val="Meiryo UI"/>
        <family val="0"/>
        <charset val="1"/>
      </rPr>
      <t xml:space="preserve">41,810</t>
    </r>
    <r>
      <rPr>
        <sz val="8"/>
        <color rgb="FF555555"/>
        <rFont val="WenQuanYi Zen Hei"/>
        <family val="2"/>
      </rPr>
      <t xml:space="preserve">個を全量 次会場以降へ回せる前提。損傷・返送ロスを見込むなら下げる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</si>
  <si>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</si>
  <si>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</si>
  <si>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</si>
  <si>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2026/08/26</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</si>
  <si>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石川会場 会期</t>
    </r>
    <r>
      <rPr>
        <b val="true"/>
        <sz val="15"/>
        <color rgb="FF1F3864"/>
        <rFont val="Meiryo UI"/>
        <family val="0"/>
        <charset val="1"/>
      </rPr>
      <t xml:space="preserve">18</t>
    </r>
    <r>
      <rPr>
        <b val="true"/>
        <sz val="15"/>
        <color rgb="FF1F3864"/>
        <rFont val="WenQuanYi Zen Hei"/>
        <family val="2"/>
      </rPr>
      <t xml:space="preserve">日間（</t>
    </r>
    <r>
      <rPr>
        <b val="true"/>
        <sz val="15"/>
        <color rgb="FF1F3864"/>
        <rFont val="Meiryo UI"/>
        <family val="0"/>
        <charset val="1"/>
      </rPr>
      <t xml:space="preserve">26/8/14(</t>
    </r>
    <r>
      <rPr>
        <b val="true"/>
        <sz val="15"/>
        <color rgb="FF1F3864"/>
        <rFont val="WenQuanYi Zen Hei"/>
        <family val="2"/>
      </rPr>
      <t xml:space="preserve">金</t>
    </r>
    <r>
      <rPr>
        <b val="true"/>
        <sz val="15"/>
        <color rgb="FF1F3864"/>
        <rFont val="Meiryo UI"/>
        <family val="0"/>
        <charset val="1"/>
      </rPr>
      <t xml:space="preserve">)-8/31(</t>
    </r>
    <r>
      <rPr>
        <b val="true"/>
        <sz val="15"/>
        <color rgb="FF1F3864"/>
        <rFont val="WenQuanYi Zen Hei"/>
        <family val="2"/>
      </rPr>
      <t xml:space="preserve">月</t>
    </r>
    <r>
      <rPr>
        <b val="true"/>
        <sz val="15"/>
        <color rgb="FF1F3864"/>
        <rFont val="Meiryo UI"/>
        <family val="0"/>
        <charset val="1"/>
      </rPr>
      <t xml:space="preserve">)</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</si>
  <si>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18</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12</t>
    </r>
    <r>
      <rPr>
        <sz val="8"/>
        <color rgb="FF555555"/>
        <rFont val="WenQuanYi Zen Hei"/>
        <family val="2"/>
      </rPr>
      <t xml:space="preserve">日」倍率を商品別に加重平均し、石川の初</t>
    </r>
    <r>
      <rPr>
        <sz val="8"/>
        <color rgb="FF555555"/>
        <rFont val="Meiryo UI"/>
        <family val="0"/>
        <charset val="1"/>
      </rPr>
      <t xml:space="preserve">12</t>
    </r>
    <r>
      <rPr>
        <sz val="8"/>
        <color rgb="FF555555"/>
        <rFont val="WenQuanYi Zen Hei"/>
        <family val="2"/>
      </rPr>
      <t xml:space="preserve">日</t>
    </r>
    <r>
      <rPr>
        <sz val="8"/>
        <color rgb="FF555555"/>
        <rFont val="Meiryo UI"/>
        <family val="0"/>
        <charset val="1"/>
      </rPr>
      <t xml:space="preserve">(8/14-8/25)</t>
    </r>
    <r>
      <rPr>
        <sz val="8"/>
        <color rgb="FF555555"/>
        <rFont val="WenQuanYi Zen Hei"/>
        <family val="2"/>
      </rPr>
      <t xml:space="preserve">実績に乗算</t>
    </r>
  </si>
  <si>
    <r>
      <rPr>
        <sz val="8"/>
        <color rgb="FF555555"/>
        <rFont val="WenQuanYi Zen Hei"/>
        <family val="2"/>
      </rPr>
      <t xml:space="preserve">加重：博多</t>
    </r>
    <r>
      <rPr>
        <sz val="8"/>
        <color rgb="FF555555"/>
        <rFont val="Meiryo UI"/>
        <family val="0"/>
        <charset val="1"/>
      </rPr>
      <t xml:space="preserve">1</t>
    </r>
    <r>
      <rPr>
        <sz val="8"/>
        <color rgb="FF555555"/>
        <rFont val="WenQuanYi Zen Hei"/>
        <family val="2"/>
      </rPr>
      <t xml:space="preserve">・大阪</t>
    </r>
    <r>
      <rPr>
        <sz val="8"/>
        <color rgb="FF555555"/>
        <rFont val="Meiryo UI"/>
        <family val="0"/>
        <charset val="1"/>
      </rPr>
      <t xml:space="preserve">1</t>
    </r>
    <r>
      <rPr>
        <sz val="8"/>
        <color rgb="FF555555"/>
        <rFont val="WenQuanYi Zen Hei"/>
        <family val="2"/>
      </rPr>
      <t xml:space="preserve">・札幌</t>
    </r>
    <r>
      <rPr>
        <sz val="8"/>
        <color rgb="FF555555"/>
        <rFont val="Meiryo UI"/>
        <family val="0"/>
        <charset val="1"/>
      </rPr>
      <t xml:space="preserve">2</t>
    </r>
    <r>
      <rPr>
        <sz val="8"/>
        <color rgb="FF555555"/>
        <rFont val="WenQuanYi Zen Hei"/>
        <family val="2"/>
      </rPr>
      <t xml:space="preserve">（「前提・入力」シートで変更可）</t>
    </r>
  </si>
  <si>
    <t xml:space="preserve">No.</t>
  </si>
  <si>
    <t xml:space="preserve">JAN</t>
  </si>
  <si>
    <t xml:space="preserve">商品名</t>
  </si>
  <si>
    <t xml:space="preserve">税込
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</si>
  <si>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
</t>
    </r>
    <r>
      <rPr>
        <b val="true"/>
        <sz val="9"/>
        <color rgb="FFFFFFFF"/>
        <rFont val="Meiryo UI"/>
        <family val="0"/>
        <charset val="1"/>
      </rPr>
      <t xml:space="preserve">8/14-8/25</t>
    </r>
  </si>
  <si>
    <r>
      <rPr>
        <b val="true"/>
        <sz val="9"/>
        <color rgb="FFFFFFFF"/>
        <rFont val="WenQuanYi Zen Hei"/>
        <family val="2"/>
      </rPr>
      <t xml:space="preserve">博多③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</si>
  <si>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博多③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</si>
  <si>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</si>
  <si>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</si>
  <si>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</si>
  <si>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</si>
  <si>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札幌⑤
初</t>
    </r>
    <r>
      <rPr>
        <b val="true"/>
        <sz val="9"/>
        <color rgb="FFFFFFFF"/>
        <rFont val="Meiryo UI"/>
        <family val="0"/>
        <charset val="1"/>
      </rPr>
      <t xml:space="preserve">12</t>
    </r>
    <r>
      <rPr>
        <b val="true"/>
        <sz val="9"/>
        <color rgb="FFFFFFFF"/>
        <rFont val="WenQuanYi Zen Hei"/>
        <family val="2"/>
      </rPr>
      <t xml:space="preserve">日</t>
    </r>
  </si>
  <si>
    <r>
      <rPr>
        <b val="true"/>
        <sz val="9"/>
        <color rgb="FFFFFFFF"/>
        <rFont val="WenQuanYi Zen Hei"/>
        <family val="2"/>
      </rPr>
      <t xml:space="preserve">札幌⑤
</t>
    </r>
    <r>
      <rPr>
        <b val="true"/>
        <sz val="9"/>
        <color rgb="FFFFFFFF"/>
        <rFont val="Meiryo UI"/>
        <family val="0"/>
        <charset val="1"/>
      </rPr>
      <t xml:space="preserve">18</t>
    </r>
    <r>
      <rPr>
        <b val="true"/>
        <sz val="9"/>
        <color rgb="FFFFFFFF"/>
        <rFont val="WenQuanYi Zen Hei"/>
        <family val="2"/>
      </rPr>
      <t xml:space="preserve">日累計</t>
    </r>
  </si>
  <si>
    <r>
      <rPr>
        <b val="true"/>
        <sz val="9"/>
        <color rgb="FFFFFFFF"/>
        <rFont val="WenQuanYi Zen Hei"/>
        <family val="2"/>
      </rPr>
      <t xml:space="preserve">札幌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</si>
  <si>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</si>
  <si>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予測販売数</t>
    </r>
  </si>
  <si>
    <t xml:space="preserve">石川
予測販売金額</t>
  </si>
  <si>
    <t xml:space="preserve">石川
数量構成比</t>
  </si>
  <si>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</si>
  <si>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</si>
  <si>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</si>
  <si>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</si>
  <si>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</si>
  <si>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</si>
  <si>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</si>
  <si>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</si>
  <si>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</si>
  <si>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</si>
  <si>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</si>
  <si>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</si>
  <si>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</si>
  <si>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</si>
  <si>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</si>
  <si>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</si>
  <si>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</si>
  <si>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</si>
  <si>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</si>
  <si>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</si>
  <si>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</si>
  <si>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</si>
  <si>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</si>
  <si>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</si>
  <si>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</si>
  <si>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</si>
  <si>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</si>
  <si>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</si>
  <si>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</si>
  <si>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</si>
  <si>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</si>
  <si>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</si>
  <si>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</si>
  <si>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</si>
  <si>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</si>
  <si>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</si>
  <si>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</si>
  <si>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</si>
  <si>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</si>
  <si>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</si>
  <si>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</si>
  <si>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</si>
  <si>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</si>
  <si>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</si>
  <si>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</si>
  <si>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</si>
  <si>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</si>
  <si>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</si>
  <si>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</si>
  <si>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</si>
  <si>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</si>
  <si>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</si>
  <si>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</si>
  <si>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</si>
  <si>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</si>
  <si>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</si>
  <si>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</si>
  <si>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</si>
  <si>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</si>
  <si>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</si>
  <si>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</si>
  <si>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</si>
  <si>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</si>
  <si>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</si>
  <si>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</si>
  <si>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</si>
  <si>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</si>
  <si>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</si>
  <si>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</si>
  <si>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</si>
  <si>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</si>
  <si>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</si>
  <si>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</si>
  <si>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</si>
  <si>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</si>
  <si>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</si>
  <si>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</si>
  <si>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</si>
  <si>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</si>
  <si>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</si>
  <si>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</si>
  <si>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</si>
  <si>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</si>
  <si>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</si>
  <si>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</si>
  <si>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</si>
  <si>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</si>
  <si>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</si>
  <si>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</si>
  <si>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</si>
  <si>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</si>
  <si>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</si>
  <si>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</si>
  <si>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</si>
  <si>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</si>
  <si>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</si>
  <si>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</si>
  <si>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</si>
  <si>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</si>
  <si>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</si>
  <si>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t xml:space="preserve">石川</t>
  </si>
  <si>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</si>
  <si>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</si>
  <si>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</si>
  <si>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</si>
  <si>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</si>
  <si>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</si>
  <si>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</si>
  <si>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</si>
  <si>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</si>
  <si>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</si>
  <si>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</si>
  <si>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香林坊大和</t>
    </r>
    <r>
      <rPr>
        <sz val="9"/>
        <rFont val="Meiryo UI"/>
        <family val="0"/>
        <charset val="1"/>
      </rPr>
      <t xml:space="preserve">(</t>
    </r>
    <r>
      <rPr>
        <sz val="9"/>
        <rFont val="WenQuanYi Zen Hei"/>
        <family val="2"/>
      </rPr>
      <t xml:space="preserve">金沢</t>
    </r>
    <r>
      <rPr>
        <sz val="9"/>
        <rFont val="Meiryo UI"/>
        <family val="0"/>
        <charset val="1"/>
      </rPr>
      <t xml:space="preserve">)</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</si>
  <si>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18</t>
    </r>
    <r>
      <rPr>
        <sz val="9"/>
        <rFont val="WenQuanYi Zen Hei"/>
        <family val="2"/>
      </rPr>
      <t xml:space="preserve">日 予測</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</si>
  <si>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</si>
  <si>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</si>
  <si>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</si>
  <si>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</si>
  <si>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</si>
  <si>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</si>
  <si>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</si>
  <si>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</si>
  <si>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</si>
  <si>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</si>
  <si>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</si>
  <si>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</si>
  <si>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</si>
  <si>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</si>
  <si>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</si>
  <si>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</si>
  <si>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</si>
  <si>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</si>
  <si>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会期全体。石川は初</t>
    </r>
    <r>
      <rPr>
        <b val="true"/>
        <sz val="11"/>
        <color rgb="FFC00000"/>
        <rFont val="Meiryo UI"/>
        <family val="0"/>
        <charset val="1"/>
      </rPr>
      <t xml:space="preserve">12</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</si>
  <si>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</si>
  <si>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</si>
  <si>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</si>
  <si>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</si>
  <si>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</si>
  <si>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</si>
  <si>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</si>
  <si>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</si>
  <si>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</si>
  <si>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</si>
  <si>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</si>
  <si>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</si>
  <si>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</si>
  <si>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</si>
  <si>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12</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</si>
  <si>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</si>
  <si>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</si>
  <si>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</si>
  <si>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</si>
  <si>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</si>
  <si>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</si>
  <si>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仙台会場以降 </t>
    </r>
    <r>
      <rPr>
        <b val="true"/>
        <sz val="15"/>
        <color rgb="FF1F3864"/>
        <rFont val="Meiryo UI"/>
        <family val="0"/>
        <charset val="1"/>
      </rPr>
      <t xml:space="preserve">4</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</si>
  <si>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</si>
  <si>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商品別按分＝札幌</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石川</t>
    </r>
    <r>
      <rPr>
        <sz val="8"/>
        <color rgb="FF555555"/>
        <rFont val="Meiryo UI"/>
        <family val="0"/>
        <charset val="1"/>
      </rPr>
      <t xml:space="preserve">18</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</si>
  <si>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</si>
  <si>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</si>
  <si>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</si>
  <si>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</si>
  <si>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</si>
  <si>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</si>
  <si>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</si>
  <si>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</si>
  <si>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</si>
  <si>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</si>
  <si>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</si>
  <si>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</si>
  <si>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</si>
  <si>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</si>
  <si>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t xml:space="preserve">ユーザー指定</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</si>
  <si>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</si>
  <si>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</si>
  <si>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</si>
  <si>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</si>
  <si>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残在庫想定（台帳 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</si>
  <si>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</si>
  <si>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t>
  </si>
  <si>
    <t xml:space="preserve">札幌の販売可能数。台帳・ロジ在庫はこの出荷までを反映している</t>
  </si>
  <si>
    <t xml:space="preserve">★倉庫残（札幌出荷後）</t>
  </si>
  <si>
    <r>
      <rPr>
        <sz val="8"/>
        <color rgb="FF555555"/>
        <rFont val="WenQuanYi Zen Hei"/>
        <family val="2"/>
      </rPr>
      <t xml:space="preserve">ロジ（倉庫</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2026/8/5</t>
    </r>
    <r>
      <rPr>
        <sz val="8"/>
        <color rgb="FF555555"/>
        <rFont val="WenQuanYi Zen Hei"/>
        <family val="2"/>
      </rPr>
      <t xml:space="preserve">時点の実棚を採用。台帳から計算した </t>
    </r>
    <r>
      <rPr>
        <sz val="8"/>
        <color rgb="FF555555"/>
        <rFont val="Meiryo UI"/>
        <family val="0"/>
        <charset val="1"/>
      </rPr>
      <t xml:space="preserve">226,015</t>
    </r>
    <r>
      <rPr>
        <sz val="8"/>
        <color rgb="FF555555"/>
        <rFont val="WenQuanYi Zen Hei"/>
        <family val="2"/>
      </rPr>
      <t xml:space="preserve">個 との差 </t>
    </r>
    <r>
      <rPr>
        <sz val="8"/>
        <color rgb="FF555555"/>
        <rFont val="Meiryo UI"/>
        <family val="0"/>
        <charset val="1"/>
      </rPr>
      <t xml:space="preserve">-28053</t>
    </r>
    <r>
      <rPr>
        <sz val="8"/>
        <color rgb="FF555555"/>
        <rFont val="WenQuanYi Zen Hei"/>
        <family val="2"/>
      </rPr>
      <t xml:space="preserve">個</t>
    </r>
  </si>
  <si>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実績販売数</t>
    </r>
  </si>
  <si>
    <t xml:space="preserve">会期終了済みの確定値</t>
  </si>
  <si>
    <t xml:space="preserve">札幌 会期末 残（実績）</t>
  </si>
  <si>
    <t xml:space="preserve">販売可能数 − 実績販売数。石川会場へ転送された分と倉庫へ戻った分の合計</t>
  </si>
  <si>
    <t xml:space="preserve">　うち販売不可（予備持出）</t>
  </si>
  <si>
    <r>
      <rPr>
        <sz val="8"/>
        <color rgb="FF555555"/>
        <rFont val="WenQuanYi Zen Hei"/>
        <family val="2"/>
      </rPr>
      <t xml:space="preserve">呪術廻戦 渋谷事変 クリアファイル（五条 悟） </t>
    </r>
    <r>
      <rPr>
        <sz val="8"/>
        <color rgb="FF555555"/>
        <rFont val="Meiryo UI"/>
        <family val="0"/>
        <charset val="1"/>
      </rPr>
      <t xml:space="preserve">4</t>
    </r>
    <r>
      <rPr>
        <sz val="8"/>
        <color rgb="FF555555"/>
        <rFont val="WenQuanYi Zen Hei"/>
        <family val="2"/>
      </rPr>
      <t xml:space="preserve">個（不良交換用の予備が不足したため販売分から</t>
    </r>
    <r>
      <rPr>
        <sz val="8"/>
        <color rgb="FF555555"/>
        <rFont val="Meiryo UI"/>
        <family val="0"/>
        <charset val="1"/>
      </rPr>
      <t xml:space="preserve">4</t>
    </r>
    <r>
      <rPr>
        <sz val="8"/>
        <color rgb="FF555555"/>
        <rFont val="WenQuanYi Zen Hei"/>
        <family val="2"/>
      </rPr>
      <t xml:space="preserve">個を持ち出し。交換対応専用のため販売在庫として数えない）</t>
    </r>
  </si>
  <si>
    <t xml:space="preserve">石川へ納品（初回＋転送＋追納）</t>
  </si>
  <si>
    <r>
      <rPr>
        <sz val="8"/>
        <color rgb="FF555555"/>
        <rFont val="Meiryo UI"/>
        <family val="0"/>
        <charset val="1"/>
      </rPr>
      <t xml:space="preserve">2026/8 </t>
    </r>
    <r>
      <rPr>
        <sz val="8"/>
        <color rgb="FF555555"/>
        <rFont val="WenQuanYi Zen Hei"/>
        <family val="2"/>
      </rPr>
      <t xml:space="preserve">石川</t>
    </r>
    <r>
      <rPr>
        <sz val="8"/>
        <color rgb="FF555555"/>
        <rFont val="Meiryo UI"/>
        <family val="0"/>
        <charset val="1"/>
      </rPr>
      <t xml:space="preserve">(</t>
    </r>
    <r>
      <rPr>
        <sz val="8"/>
        <color rgb="FF555555"/>
        <rFont val="WenQuanYi Zen Hei"/>
        <family val="2"/>
      </rPr>
      <t xml:space="preserve">金沢</t>
    </r>
    <r>
      <rPr>
        <sz val="8"/>
        <color rgb="FF555555"/>
        <rFont val="Meiryo UI"/>
        <family val="0"/>
        <charset val="1"/>
      </rPr>
      <t xml:space="preserve">)</t>
    </r>
    <r>
      <rPr>
        <sz val="8"/>
        <color rgb="FF555555"/>
        <rFont val="WenQuanYi Zen Hei"/>
        <family val="2"/>
      </rPr>
      <t xml:space="preserve">会場への札幌転送分＋</t>
    </r>
    <r>
      <rPr>
        <sz val="8"/>
        <color rgb="FF555555"/>
        <rFont val="Meiryo UI"/>
        <family val="0"/>
        <charset val="1"/>
      </rPr>
      <t xml:space="preserve">8/22</t>
    </r>
    <r>
      <rPr>
        <sz val="8"/>
        <color rgb="FF555555"/>
        <rFont val="WenQuanYi Zen Hei"/>
        <family val="2"/>
      </rPr>
      <t xml:space="preserve">追納（日報の販売可能数に反映済み）を含む</t>
    </r>
  </si>
  <si>
    <r>
      <rPr>
        <b val="true"/>
        <sz val="9"/>
        <rFont val="WenQuanYi Zen Hei"/>
        <family val="2"/>
      </rPr>
      <t xml:space="preserve">石川 会期</t>
    </r>
    <r>
      <rPr>
        <b val="true"/>
        <sz val="9"/>
        <rFont val="Meiryo UI"/>
        <family val="0"/>
        <charset val="1"/>
      </rPr>
      <t xml:space="preserve">18</t>
    </r>
    <r>
      <rPr>
        <b val="true"/>
        <sz val="9"/>
        <rFont val="WenQuanYi Zen Hei"/>
        <family val="2"/>
      </rPr>
      <t xml:space="preserve">日 予測販売数</t>
    </r>
  </si>
  <si>
    <t xml:space="preserve">仙台以降 供給可能在庫 合計</t>
  </si>
  <si>
    <r>
      <rPr>
        <sz val="8"/>
        <color rgb="FF555555"/>
        <rFont val="WenQuanYi Zen Hei"/>
        <family val="2"/>
      </rPr>
      <t xml:space="preserve">＝倉庫残 ＋ 札幌会期末残 − 販売不可 − 石川会期予測販売。石川への納品はこの</t>
    </r>
    <r>
      <rPr>
        <sz val="8"/>
        <color rgb="FF555555"/>
        <rFont val="Meiryo UI"/>
        <family val="0"/>
        <charset val="1"/>
      </rPr>
      <t xml:space="preserve">2</t>
    </r>
    <r>
      <rPr>
        <sz val="8"/>
        <color rgb="FF555555"/>
        <rFont val="WenQuanYi Zen Hei"/>
        <family val="2"/>
      </rPr>
      <t xml:space="preserve">つから出ているので相殺される</t>
    </r>
  </si>
  <si>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</si>
  <si>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（鳥取島根 夢みなとタワー入荷）</t>
    </r>
  </si>
  <si>
    <r>
      <rPr>
        <b val="true"/>
        <sz val="9"/>
        <rFont val="WenQuanYi Zen Hei"/>
        <family val="2"/>
      </rPr>
      <t xml:space="preserve">仙台以降 </t>
    </r>
    <r>
      <rPr>
        <b val="true"/>
        <sz val="9"/>
        <rFont val="Meiryo UI"/>
        <family val="0"/>
        <charset val="1"/>
      </rPr>
      <t xml:space="preserve">4</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</si>
  <si>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</si>
  <si>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</si>
  <si>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</si>
  <si>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</si>
  <si>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仙台以降 必要数と在庫過不足</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</si>
  <si>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日実績</t>
    </r>
  </si>
  <si>
    <t xml:space="preserve">札幌
構成比</t>
  </si>
  <si>
    <r>
      <rPr>
        <b val="true"/>
        <sz val="9"/>
        <color rgb="FFFFFFFF"/>
        <rFont val="WenQuanYi Zen Hei"/>
        <family val="2"/>
      </rPr>
      <t xml:space="preserve">石川⑥
</t>
    </r>
    <r>
      <rPr>
        <b val="true"/>
        <sz val="9"/>
        <color rgb="FFFFFFFF"/>
        <rFont val="Meiryo UI"/>
        <family val="0"/>
        <charset val="1"/>
      </rPr>
      <t xml:space="preserve">18</t>
    </r>
    <r>
      <rPr>
        <b val="true"/>
        <sz val="9"/>
        <color rgb="FFFFFFFF"/>
        <rFont val="WenQuanYi Zen Hei"/>
        <family val="2"/>
      </rPr>
      <t xml:space="preserve">日予測</t>
    </r>
  </si>
  <si>
    <t xml:space="preserve">石川
構成比</t>
  </si>
  <si>
    <t xml:space="preserve">採用
按分構成比</t>
  </si>
  <si>
    <t xml:space="preserve">仙台
必要数</t>
  </si>
  <si>
    <t xml:space="preserve">神戸阪急
必要数</t>
  </si>
  <si>
    <t xml:space="preserve">鳥取島根
必要数</t>
  </si>
  <si>
    <t xml:space="preserve">東京凱旋
必要数</t>
  </si>
  <si>
    <t xml:space="preserve">仙台以降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</si>
  <si>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台帳 梅田まで</t>
    </r>
    <r>
      <rPr>
        <b val="true"/>
        <sz val="9"/>
        <color rgb="FFFFFFFF"/>
        <rFont val="Meiryo UI"/>
        <family val="0"/>
        <charset val="1"/>
      </rPr>
      <t xml:space="preserve">)</t>
    </r>
  </si>
  <si>
    <t xml:space="preserve">うち札幌
へ納品</t>
  </si>
  <si>
    <r>
      <rPr>
        <b val="true"/>
        <sz val="9"/>
        <color rgb="FFFFFFFF"/>
        <rFont val="WenQuanYi Zen Hei"/>
        <family val="2"/>
      </rPr>
      <t xml:space="preserve">★ロジ在庫
</t>
    </r>
    <r>
      <rPr>
        <b val="true"/>
        <sz val="9"/>
        <color rgb="FFFFFFFF"/>
        <rFont val="Meiryo UI"/>
        <family val="0"/>
        <charset val="1"/>
      </rPr>
      <t xml:space="preserve">(2026/8/5 </t>
    </r>
    <r>
      <rPr>
        <b val="true"/>
        <sz val="9"/>
        <color rgb="FFFFFFFF"/>
        <rFont val="WenQuanYi Zen Hei"/>
        <family val="2"/>
      </rPr>
      <t xml:space="preserve">実棚</t>
    </r>
    <r>
      <rPr>
        <b val="true"/>
        <sz val="9"/>
        <color rgb="FFFFFFFF"/>
        <rFont val="Meiryo UI"/>
        <family val="0"/>
        <charset val="1"/>
      </rPr>
      <t xml:space="preserve">)</t>
    </r>
  </si>
  <si>
    <t xml:space="preserve">差引
倉庫残</t>
  </si>
  <si>
    <t xml:space="preserve">札幌会期末
残（実績）</t>
  </si>
  <si>
    <r>
      <rPr>
        <b val="true"/>
        <sz val="9"/>
        <color rgb="FFFFFFFF"/>
        <rFont val="WenQuanYi Zen Hei"/>
        <family val="2"/>
      </rPr>
      <t xml:space="preserve">販売不可
</t>
    </r>
    <r>
      <rPr>
        <b val="true"/>
        <sz val="9"/>
        <color rgb="FFFFFFFF"/>
        <rFont val="Meiryo UI"/>
        <family val="0"/>
        <charset val="1"/>
      </rPr>
      <t xml:space="preserve">(</t>
    </r>
    <r>
      <rPr>
        <b val="true"/>
        <sz val="9"/>
        <color rgb="FFFFFFFF"/>
        <rFont val="WenQuanYi Zen Hei"/>
        <family val="2"/>
      </rPr>
      <t xml:space="preserve">予備持出</t>
    </r>
    <r>
      <rPr>
        <b val="true"/>
        <sz val="9"/>
        <color rgb="FFFFFFFF"/>
        <rFont val="Meiryo UI"/>
        <family val="0"/>
        <charset val="1"/>
      </rPr>
      <t xml:space="preserve">)</t>
    </r>
  </si>
  <si>
    <r>
      <rPr>
        <b val="true"/>
        <sz val="9"/>
        <color rgb="FFFFFFFF"/>
        <rFont val="WenQuanYi Zen Hei"/>
        <family val="2"/>
      </rPr>
      <t xml:space="preserve">石川へ納品
</t>
    </r>
    <r>
      <rPr>
        <b val="true"/>
        <sz val="9"/>
        <color rgb="FFFFFFFF"/>
        <rFont val="Meiryo UI"/>
        <family val="0"/>
        <charset val="1"/>
      </rPr>
      <t xml:space="preserve">(</t>
    </r>
    <r>
      <rPr>
        <b val="true"/>
        <sz val="9"/>
        <color rgb="FFFFFFFF"/>
        <rFont val="WenQuanYi Zen Hei"/>
        <family val="2"/>
      </rPr>
      <t xml:space="preserve">初回</t>
    </r>
    <r>
      <rPr>
        <b val="true"/>
        <sz val="9"/>
        <color rgb="FFFFFFFF"/>
        <rFont val="Meiryo UI"/>
        <family val="0"/>
        <charset val="1"/>
      </rPr>
      <t xml:space="preserve">+</t>
    </r>
    <r>
      <rPr>
        <b val="true"/>
        <sz val="9"/>
        <color rgb="FFFFFFFF"/>
        <rFont val="WenQuanYi Zen Hei"/>
        <family val="2"/>
      </rPr>
      <t xml:space="preserve">転送</t>
    </r>
    <r>
      <rPr>
        <b val="true"/>
        <sz val="9"/>
        <color rgb="FFFFFFFF"/>
        <rFont val="Meiryo UI"/>
        <family val="0"/>
        <charset val="1"/>
      </rPr>
      <t xml:space="preserve">+</t>
    </r>
    <r>
      <rPr>
        <b val="true"/>
        <sz val="9"/>
        <color rgb="FFFFFFFF"/>
        <rFont val="WenQuanYi Zen Hei"/>
        <family val="2"/>
      </rPr>
      <t xml:space="preserve">追納</t>
    </r>
    <r>
      <rPr>
        <b val="true"/>
        <sz val="9"/>
        <color rgb="FFFFFFFF"/>
        <rFont val="Meiryo UI"/>
        <family val="0"/>
        <charset val="1"/>
      </rPr>
      <t xml:space="preserve">)</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</si>
  <si>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
予測販売</t>
    </r>
  </si>
  <si>
    <t xml:space="preserve">仙台以降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</si>
  <si>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</si>
  <si>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</si>
  <si>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</si>
  <si>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</si>
  <si>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必要有無の判定（石川会期中 ＋ 仙台以降</t>
    </r>
    <r>
      <rPr>
        <b val="true"/>
        <sz val="15"/>
        <color rgb="FF1F3864"/>
        <rFont val="Meiryo UI"/>
        <family val="0"/>
        <charset val="1"/>
      </rPr>
      <t xml:space="preserve">4</t>
    </r>
    <r>
      <rPr>
        <b val="true"/>
        <sz val="15"/>
        <color rgb="FF1F3864"/>
        <rFont val="WenQuanYi Zen Hei"/>
        <family val="2"/>
      </rPr>
      <t xml:space="preserve">会場）</t>
    </r>
  </si>
  <si>
    <r>
      <rPr>
        <sz val="8"/>
        <color rgb="FF555555"/>
        <rFont val="WenQuanYi Zen Hei"/>
        <family val="2"/>
      </rPr>
      <t xml:space="preserve">【石川会期中】会期</t>
    </r>
    <r>
      <rPr>
        <sz val="8"/>
        <color rgb="FF555555"/>
        <rFont val="Meiryo UI"/>
        <family val="0"/>
        <charset val="1"/>
      </rPr>
      <t xml:space="preserve">18</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石川への納品済 販売可能数　／　【仙台以降】</t>
    </r>
    <r>
      <rPr>
        <sz val="8"/>
        <color rgb="FF555555"/>
        <rFont val="Meiryo UI"/>
        <family val="0"/>
        <charset val="1"/>
      </rPr>
      <t xml:space="preserve">4</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倉庫在庫＋石川会期末残在庫</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</si>
  <si>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を切り上げ。欠品発生会場・最終発注期限（会期初日−生産日数−バッファ）・残日数・緊急度を右側に記載</t>
    </r>
  </si>
  <si>
    <t xml:space="preserve">税込単価</t>
  </si>
  <si>
    <r>
      <rPr>
        <b val="true"/>
        <sz val="9"/>
        <color rgb="FFFFFFFF"/>
        <rFont val="WenQuanYi Zen Hei"/>
        <family val="2"/>
      </rPr>
      <t xml:space="preserve">石川
初</t>
    </r>
    <r>
      <rPr>
        <b val="true"/>
        <sz val="9"/>
        <color rgb="FFFFFFFF"/>
        <rFont val="Meiryo UI"/>
        <family val="0"/>
        <charset val="1"/>
      </rPr>
      <t xml:space="preserve">12</t>
    </r>
    <r>
      <rPr>
        <b val="true"/>
        <sz val="9"/>
        <color rgb="FFFFFFFF"/>
        <rFont val="WenQuanYi Zen Hei"/>
        <family val="2"/>
      </rPr>
      <t xml:space="preserve">日実績</t>
    </r>
  </si>
  <si>
    <r>
      <rPr>
        <b val="true"/>
        <sz val="9"/>
        <color rgb="FFFFFFFF"/>
        <rFont val="WenQuanYi Zen Hei"/>
        <family val="2"/>
      </rPr>
      <t xml:space="preserve">石川
会期</t>
    </r>
    <r>
      <rPr>
        <b val="true"/>
        <sz val="9"/>
        <color rgb="FFFFFFFF"/>
        <rFont val="Meiryo UI"/>
        <family val="0"/>
        <charset val="1"/>
      </rPr>
      <t xml:space="preserve">18</t>
    </r>
    <r>
      <rPr>
        <b val="true"/>
        <sz val="9"/>
        <color rgb="FFFFFFFF"/>
        <rFont val="WenQuanYi Zen Hei"/>
        <family val="2"/>
      </rPr>
      <t xml:space="preserve">日予測</t>
    </r>
  </si>
  <si>
    <r>
      <rPr>
        <b val="true"/>
        <sz val="9"/>
        <color rgb="FFFFFFFF"/>
        <rFont val="WenQuanYi Zen Hei"/>
        <family val="2"/>
      </rPr>
      <t xml:space="preserve">石川
販売可能数
</t>
    </r>
    <r>
      <rPr>
        <b val="true"/>
        <sz val="9"/>
        <color rgb="FFFFFFFF"/>
        <rFont val="Meiryo UI"/>
        <family val="0"/>
        <charset val="1"/>
      </rPr>
      <t xml:space="preserve">(</t>
    </r>
    <r>
      <rPr>
        <b val="true"/>
        <sz val="9"/>
        <color rgb="FFFFFFFF"/>
        <rFont val="WenQuanYi Zen Hei"/>
        <family val="2"/>
      </rPr>
      <t xml:space="preserve">転送・追納込</t>
    </r>
    <r>
      <rPr>
        <b val="true"/>
        <sz val="9"/>
        <color rgb="FFFFFFFF"/>
        <rFont val="Meiryo UI"/>
        <family val="0"/>
        <charset val="1"/>
      </rPr>
      <t xml:space="preserve">)</t>
    </r>
  </si>
  <si>
    <t xml:space="preserve">石川
予測消化率</t>
  </si>
  <si>
    <t xml:space="preserve">石川会期中
過不足</t>
  </si>
  <si>
    <t xml:space="preserve">石川会期中
判定</t>
  </si>
  <si>
    <t xml:space="preserve">石川会期中
推奨発注数</t>
  </si>
  <si>
    <t xml:space="preserve">仙台以降
必要数</t>
  </si>
  <si>
    <t xml:space="preserve">仙台以降
供給可能在庫</t>
  </si>
  <si>
    <t xml:space="preserve">仙台以降
過不足</t>
  </si>
  <si>
    <t xml:space="preserve">仙台以降
判定</t>
  </si>
  <si>
    <t xml:space="preserve">仙台以降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</si>
  <si>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石川</t>
    </r>
    <r>
      <rPr>
        <b val="true"/>
        <sz val="9"/>
        <color rgb="FFFFFFFF"/>
        <rFont val="Meiryo UI"/>
        <family val="0"/>
        <charset val="1"/>
      </rPr>
      <t xml:space="preserve">+</t>
    </r>
    <r>
      <rPr>
        <b val="true"/>
        <sz val="9"/>
        <color rgb="FFFFFFFF"/>
        <rFont val="WenQuanYi Zen Hei"/>
        <family val="2"/>
      </rPr>
      <t xml:space="preserve">仙台以降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</si>
  <si>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</si>
  <si>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</si>
  <si>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</si>
  <si>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</si>
  <si>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</si>
  <si>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</si>
  <si>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</si>
  <si>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</si>
  <si>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</si>
  <si>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</si>
  <si>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名古屋会場で完売（実績が在庫上限で頭打ち＝予測は控えめ） ／ 博多会場で完売（実績が在庫上限で頭打ち＝予測は控えめ）</t>
  </si>
  <si>
    <t xml:space="preserve">石川会期中に欠品見込。至急スライド納品または追加発注 ／ 名古屋会場で完売（実績が在庫上限で頭打ち＝予測は控えめ）</t>
  </si>
  <si>
    <r>
      <rPr>
        <sz val="9"/>
        <rFont val="WenQuanYi Zen Hei"/>
        <family val="2"/>
      </rPr>
      <t xml:space="preserve">仙台 </t>
    </r>
    <r>
      <rPr>
        <sz val="9"/>
        <rFont val="Meiryo UI"/>
        <family val="0"/>
        <charset val="1"/>
      </rPr>
      <t xml:space="preserve">Ebeans</t>
    </r>
  </si>
  <si>
    <t xml:space="preserve">◎発注確定済</t>
  </si>
  <si>
    <t xml:space="preserve">石川会期中に欠品見込。至急スライド納品または追加発注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</si>
  <si>
    <t xml:space="preserve">名古屋会場で完売（実績が在庫上限で頭打ち＝予測は控えめ） ／ 博多会場で完売（実績が在庫上限で頭打ち＝予測は控えめ） ／ 大阪会場で完売（実績が在庫上限で頭打ち＝予測は控えめ）</t>
  </si>
  <si>
    <r>
      <rPr>
        <sz val="9"/>
        <rFont val="WenQuanYi Zen Hei"/>
        <family val="2"/>
      </rPr>
      <t xml:space="preserve">石川納品数が極小</t>
    </r>
    <r>
      <rPr>
        <sz val="9"/>
        <rFont val="Meiryo UI"/>
        <family val="0"/>
        <charset val="1"/>
      </rPr>
      <t xml:space="preserve">(5</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</si>
  <si>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</si>
  <si>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t xml:space="preserve">名古屋会場で完売（実績が在庫上限で頭打ち＝予測は控えめ）</t>
  </si>
  <si>
    <r>
      <rPr>
        <sz val="9"/>
        <rFont val="WenQuanYi Zen Hei"/>
        <family val="2"/>
      </rPr>
      <t xml:space="preserve">石川会期中に欠品見込。至急スライド納品または追加発注 ／ 石川納品数が極小</t>
    </r>
    <r>
      <rPr>
        <sz val="9"/>
        <rFont val="Meiryo UI"/>
        <family val="0"/>
        <charset val="1"/>
      </rPr>
      <t xml:space="preserve">(1</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</si>
  <si>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石川納品数が極小</t>
    </r>
    <r>
      <rPr>
        <sz val="9"/>
        <rFont val="Meiryo UI"/>
        <family val="0"/>
        <charset val="1"/>
      </rPr>
      <t xml:space="preserve">(3</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</si>
  <si>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石川初</t>
    </r>
    <r>
      <rPr>
        <sz val="9"/>
        <rFont val="Meiryo UI"/>
        <family val="0"/>
        <charset val="1"/>
      </rPr>
      <t xml:space="preserve">12</t>
    </r>
    <r>
      <rPr>
        <sz val="9"/>
        <rFont val="WenQuanYi Zen Hei"/>
        <family val="2"/>
      </rPr>
      <t xml:space="preserve">日の販売実績ゼロ（予測は大阪・博多構成比で按分）</t>
    </r>
  </si>
  <si>
    <r>
      <rPr>
        <b val="true"/>
        <sz val="15"/>
        <color rgb="FF1F3864"/>
        <rFont val="WenQuanYi Zen Hei"/>
        <family val="2"/>
      </rPr>
      <t xml:space="preserve">⑤ 商品別 全データ統合リスト（</t>
    </r>
    <r>
      <rPr>
        <b val="true"/>
        <sz val="15"/>
        <color rgb="FF1F3864"/>
        <rFont val="Meiryo UI"/>
        <family val="0"/>
        <charset val="1"/>
      </rPr>
      <t xml:space="preserve">6</t>
    </r>
    <r>
      <rPr>
        <b val="true"/>
        <sz val="15"/>
        <color rgb="FF1F3864"/>
        <rFont val="WenQuanYi Zen Hei"/>
        <family val="2"/>
      </rPr>
      <t xml:space="preserve">会場実績 ＋ 石川予測 ＋ 仙台以降予測）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</si>
  <si>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販売可能数。石川のみ</t>
    </r>
    <r>
      <rPr>
        <sz val="8"/>
        <color rgb="FF555555"/>
        <rFont val="Meiryo UI"/>
        <family val="0"/>
        <charset val="1"/>
      </rPr>
      <t xml:space="preserve">8/25(12</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</si>
  <si>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</si>
  <si>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</si>
  <si>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</si>
  <si>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</si>
  <si>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</si>
  <si>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</si>
  <si>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26/7/22(</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</si>
  <si>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石川（</t>
    </r>
    <r>
      <rPr>
        <b val="true"/>
        <sz val="11"/>
        <color rgb="FFFFFFFF"/>
        <rFont val="Meiryo UI"/>
        <family val="0"/>
        <charset val="1"/>
      </rPr>
      <t xml:space="preserve">8/14-8/25 </t>
    </r>
    <r>
      <rPr>
        <b val="true"/>
        <sz val="11"/>
        <color rgb="FFFFFFFF"/>
        <rFont val="WenQuanYi Zen Hei"/>
        <family val="2"/>
      </rPr>
      <t xml:space="preserve">実績</t>
    </r>
    <r>
      <rPr>
        <b val="true"/>
        <sz val="11"/>
        <color rgb="FFFFFFFF"/>
        <rFont val="Meiryo UI"/>
        <family val="0"/>
        <charset val="1"/>
      </rPr>
      <t xml:space="preserve">12</t>
    </r>
    <r>
      <rPr>
        <b val="true"/>
        <sz val="11"/>
        <color rgb="FFFFFFFF"/>
        <rFont val="WenQuanYi Zen Hei"/>
        <family val="2"/>
      </rPr>
      <t xml:space="preserve">日）</t>
    </r>
  </si>
  <si>
    <r>
      <rPr>
        <b val="true"/>
        <sz val="11"/>
        <color rgb="FFFFFFFF"/>
        <rFont val="WenQuanYi Zen Hei"/>
        <family val="2"/>
      </rPr>
      <t xml:space="preserve">石川 会期</t>
    </r>
    <r>
      <rPr>
        <b val="true"/>
        <sz val="11"/>
        <color rgb="FFFFFFFF"/>
        <rFont val="Meiryo UI"/>
        <family val="0"/>
        <charset val="1"/>
      </rPr>
      <t xml:space="preserve">18</t>
    </r>
    <r>
      <rPr>
        <b val="true"/>
        <sz val="11"/>
        <color rgb="FFFFFFFF"/>
        <rFont val="WenQuanYi Zen Hei"/>
        <family val="2"/>
      </rPr>
      <t xml:space="preserve">日予測</t>
    </r>
  </si>
  <si>
    <r>
      <rPr>
        <b val="true"/>
        <sz val="11"/>
        <color rgb="FFFFFFFF"/>
        <rFont val="WenQuanYi Zen Hei"/>
        <family val="2"/>
      </rPr>
      <t xml:space="preserve">仙台以降 </t>
    </r>
    <r>
      <rPr>
        <b val="true"/>
        <sz val="11"/>
        <color rgb="FFFFFFFF"/>
        <rFont val="Meiryo UI"/>
        <family val="0"/>
        <charset val="1"/>
      </rPr>
      <t xml:space="preserve">4</t>
    </r>
    <r>
      <rPr>
        <b val="true"/>
        <sz val="11"/>
        <color rgb="FFFFFFFF"/>
        <rFont val="WenQuanYi Zen Hei"/>
        <family val="2"/>
      </rPr>
      <t xml:space="preserve">会場</t>
    </r>
  </si>
  <si>
    <t xml:space="preserve">発注判定</t>
  </si>
  <si>
    <t xml:space="preserve">現行
税込単価</t>
  </si>
  <si>
    <r>
      <rPr>
        <b val="true"/>
        <sz val="9"/>
        <color rgb="FFFFFFFF"/>
        <rFont val="WenQuanYi Zen Hei"/>
        <family val="2"/>
      </rPr>
      <t xml:space="preserve">税込</t>
    </r>
    <r>
      <rPr>
        <b val="true"/>
        <sz val="9"/>
        <color rgb="FFFFFFFF"/>
        <rFont val="Meiryo UI"/>
        <family val="0"/>
        <charset val="1"/>
      </rPr>
      <t xml:space="preserve">
</t>
    </r>
    <r>
      <rPr>
        <b val="true"/>
        <sz val="9"/>
        <color rgb="FFFFFFFF"/>
        <rFont val="WenQuanYi Zen Hei"/>
        <family val="2"/>
      </rPr>
      <t xml:space="preserve">単価</t>
    </r>
  </si>
  <si>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</si>
  <si>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</si>
  <si>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</si>
  <si>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</si>
  <si>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</si>
  <si>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</si>
  <si>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</si>
  <si>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</si>
  <si>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</si>
  <si>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</si>
  <si>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</si>
  <si>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</si>
  <si>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</si>
  <si>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各会場の会期全体（石川は初</t>
    </r>
    <r>
      <rPr>
        <sz val="8"/>
        <color rgb="FF555555"/>
        <rFont val="Meiryo UI"/>
        <family val="0"/>
        <charset val="1"/>
      </rPr>
      <t xml:space="preserve">12</t>
    </r>
    <r>
      <rPr>
        <sz val="8"/>
        <color rgb="FF555555"/>
        <rFont val="WenQuanYi Zen Hei"/>
        <family val="2"/>
      </rPr>
      <t xml:space="preserve">日実績と</t>
    </r>
    <r>
      <rPr>
        <sz val="8"/>
        <color rgb="FF555555"/>
        <rFont val="Meiryo UI"/>
        <family val="0"/>
        <charset val="1"/>
      </rPr>
      <t xml:space="preserve">18</t>
    </r>
    <r>
      <rPr>
        <sz val="8"/>
        <color rgb="FF555555"/>
        <rFont val="WenQuanYi Zen Hei"/>
        <family val="2"/>
      </rPr>
      <t xml:space="preserve">日予測）。構成比の伸び／減退から仙台以降の重点商品を判断</t>
    </r>
  </si>
  <si>
    <t xml:space="preserve">東京
販売数</t>
  </si>
  <si>
    <t xml:space="preserve">名古屋
販売数</t>
  </si>
  <si>
    <t xml:space="preserve">博多
販売数</t>
  </si>
  <si>
    <t xml:space="preserve">大阪
販売数</t>
  </si>
  <si>
    <t xml:space="preserve">札幌
販売数</t>
  </si>
  <si>
    <t xml:space="preserve">石川
販売数</t>
  </si>
  <si>
    <t xml:space="preserve">東京
構成比</t>
  </si>
  <si>
    <t xml:space="preserve">名古屋
構成比</t>
  </si>
  <si>
    <t xml:space="preserve">博多
構成比</t>
  </si>
  <si>
    <t xml:space="preserve">大阪
構成比</t>
  </si>
  <si>
    <r>
      <rPr>
        <b val="true"/>
        <sz val="9"/>
        <color rgb="FFFFFFFF"/>
        <rFont val="WenQuanYi Zen Hei"/>
        <family val="2"/>
      </rPr>
      <t xml:space="preserve">石川</t>
    </r>
    <r>
      <rPr>
        <b val="true"/>
        <sz val="9"/>
        <color rgb="FFFFFFFF"/>
        <rFont val="Meiryo UI"/>
        <family val="0"/>
        <charset val="1"/>
      </rPr>
      <t xml:space="preserve">18</t>
    </r>
    <r>
      <rPr>
        <b val="true"/>
        <sz val="9"/>
        <color rgb="FFFFFFFF"/>
        <rFont val="WenQuanYi Zen Hei"/>
        <family val="2"/>
      </rPr>
      <t xml:space="preserve">日
予測構成比</t>
    </r>
  </si>
  <si>
    <t xml:space="preserve">札幌→石川
構成比変化</t>
  </si>
  <si>
    <r>
      <rPr>
        <b val="true"/>
        <sz val="9"/>
        <color rgb="FFFFFFFF"/>
        <rFont val="WenQuanYi Zen Hei"/>
        <family val="2"/>
      </rPr>
      <t xml:space="preserve">東京→大阪</t>
    </r>
    <r>
      <rPr>
        <b val="true"/>
        <sz val="9"/>
        <color rgb="FFFFFFFF"/>
        <rFont val="Meiryo UI"/>
        <family val="0"/>
        <charset val="1"/>
      </rPr>
      <t xml:space="preserve">
</t>
    </r>
    <r>
      <rPr>
        <b val="true"/>
        <sz val="9"/>
        <color rgb="FFFFFFFF"/>
        <rFont val="WenQuanYi Zen Hei"/>
        <family val="2"/>
      </rPr>
      <t xml:space="preserve">構成比変化</t>
    </r>
  </si>
  <si>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</si>
  <si>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</si>
  <si>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人）」に正規化して比較する（石川は</t>
    </r>
    <r>
      <rPr>
        <sz val="8"/>
        <color rgb="FF555555"/>
        <rFont val="Meiryo UI"/>
        <family val="0"/>
        <charset val="1"/>
      </rPr>
      <t xml:space="preserve">8/25</t>
    </r>
    <r>
      <rPr>
        <sz val="8"/>
        <color rgb="FF555555"/>
        <rFont val="WenQuanYi Zen Hei"/>
        <family val="2"/>
      </rPr>
      <t xml:space="preserve">までの</t>
    </r>
    <r>
      <rPr>
        <sz val="8"/>
        <color rgb="FF555555"/>
        <rFont val="Meiryo UI"/>
        <family val="0"/>
        <charset val="1"/>
      </rPr>
      <t xml:space="preserve">12</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</si>
  <si>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</si>
  <si>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</si>
  <si>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</si>
  <si>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</si>
  <si>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</si>
  <si>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</si>
  <si>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</si>
  <si>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</si>
  <si>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</si>
  <si>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</si>
  <si>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</si>
  <si>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</si>
  <si>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</si>
  <si>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</si>
  <si>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</si>
  <si>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</si>
  <si>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</si>
  <si>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</si>
  <si>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</si>
  <si>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</si>
  <si>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</si>
  <si>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</si>
  <si>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</si>
  <si>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</si>
  <si>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</si>
  <si>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</si>
  <si>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</si>
  <si>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</si>
  <si>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</si>
  <si>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</si>
  <si>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</si>
  <si>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</si>
  <si>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</si>
  <si>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</si>
  <si>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</si>
  <si>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</si>
  <si>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</si>
  <si>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</si>
  <si>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</si>
  <si>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</si>
  <si>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</si>
  <si>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</si>
  <si>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</si>
  <si>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</si>
  <si>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</si>
  <si>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</si>
  <si>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</si>
  <si>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</si>
  <si>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</si>
  <si>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</si>
  <si>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</si>
  <si>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</si>
  <si>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</si>
  <si>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</si>
  <si>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</si>
  <si>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</si>
  <si>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</si>
  <si>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</si>
  <si>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</si>
  <si>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</si>
  <si>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</si>
  <si>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</si>
  <si>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</si>
  <si>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</si>
  <si>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</si>
  <si>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</si>
  <si>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</si>
  <si>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</si>
  <si>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</si>
  <si>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仙台会場以降への示唆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</si>
  <si>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</si>
  <si>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札幌・石川は新規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金額構成比は</t>
    </r>
    <r>
      <rPr>
        <sz val="9"/>
        <rFont val="Meiryo UI"/>
        <family val="0"/>
        <charset val="1"/>
      </rPr>
      <t xml:space="preserve">17.1%</t>
    </r>
    <r>
      <rPr>
        <sz val="9"/>
        <rFont val="WenQuanYi Zen Hei"/>
        <family val="2"/>
      </rPr>
      <t xml:space="preserve">まで下がったが減少幅は縮小しており、仙台以降も新商品の追加が無ければこの水準で安定すると想定。③の予測はこれを採用している。</t>
    </r>
  </si>
  <si>
    <t xml:space="preserve">★最大のリスクは「仙台以降の新商品追加」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</si>
  <si>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人失われた。同規模の新商品を仙台以降に投入すると、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</si>
  <si>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</si>
  <si>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仙台以降に新商品（ぬいぐるみ第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</si>
  <si>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</si>
  <si>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</si>
  <si>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</si>
  <si>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</si>
  <si>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</si>
  <si>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</si>
  <si>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仙台以降に使えるのは「倉庫残（札幌出荷後） ＋ 札幌会期末の残 − 石川会期</t>
    </r>
    <r>
      <rPr>
        <sz val="8"/>
        <color rgb="FF555555"/>
        <rFont val="Meiryo UI"/>
        <family val="0"/>
        <charset val="1"/>
      </rPr>
      <t xml:space="preserve">18</t>
    </r>
    <r>
      <rPr>
        <sz val="8"/>
        <color rgb="FF555555"/>
        <rFont val="WenQuanYi Zen Hei"/>
        <family val="2"/>
      </rPr>
      <t xml:space="preserve">日の予測販売」。★倉庫残は</t>
    </r>
    <r>
      <rPr>
        <sz val="8"/>
        <color rgb="FF555555"/>
        <rFont val="Meiryo UI"/>
        <family val="0"/>
        <charset val="1"/>
      </rPr>
      <t xml:space="preserve">2026/8/5</t>
    </r>
    <r>
      <rPr>
        <sz val="8"/>
        <color rgb="FF555555"/>
        <rFont val="WenQuanYi Zen Hei"/>
        <family val="2"/>
      </rPr>
      <t xml:space="preserve">時点のロジ（</t>
    </r>
    <r>
      <rPr>
        <sz val="8"/>
        <color rgb="FF555555"/>
        <rFont val="Meiryo UI"/>
        <family val="0"/>
        <charset val="1"/>
      </rPr>
      <t xml:space="preserve">WMS</t>
    </r>
    <r>
      <rPr>
        <sz val="8"/>
        <color rgb="FF555555"/>
        <rFont val="WenQuanYi Zen Hei"/>
        <family val="2"/>
      </rPr>
      <t xml:space="preserve">）実棚を採用している（ロジ在庫データ（</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CZ05001</t>
    </r>
    <r>
      <rPr>
        <sz val="8"/>
        <color rgb="FF555555"/>
        <rFont val="WenQuanYi Zen Hei"/>
        <family val="2"/>
      </rPr>
      <t xml:space="preserve">／「在庫数</t>
    </r>
    <r>
      <rPr>
        <sz val="8"/>
        <color rgb="FF555555"/>
        <rFont val="Meiryo UI"/>
        <family val="0"/>
        <charset val="1"/>
      </rPr>
      <t xml:space="preserve">(</t>
    </r>
    <r>
      <rPr>
        <sz val="8"/>
        <color rgb="FF555555"/>
        <rFont val="WenQuanYi Zen Hei"/>
        <family val="2"/>
      </rPr>
      <t xml:space="preserve">引当数を含む</t>
    </r>
    <r>
      <rPr>
        <sz val="8"/>
        <color rgb="FF555555"/>
        <rFont val="Meiryo UI"/>
        <family val="0"/>
        <charset val="1"/>
      </rPr>
      <t xml:space="preserve">)</t>
    </r>
    <r>
      <rPr>
        <sz val="8"/>
        <color rgb="FF555555"/>
        <rFont val="WenQuanYi Zen Hei"/>
        <family val="2"/>
      </rPr>
      <t xml:space="preserve">」列）。台帳から計算した値との差は備考欄に明記した</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</si>
  <si>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</si>
  <si>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WenQuanYi Zen Hei"/>
        <family val="2"/>
      </rPr>
      <t xml:space="preserve">※過不足には確定済み追加発注（宿儺の指風お菓子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</si>
  <si>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</si>
  <si>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</si>
  <si>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</si>
  <si>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</si>
  <si>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</si>
  <si>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札幌へ納品</t>
  </si>
  <si>
    <t xml:space="preserve">札幌 会期末
残（実績）</t>
  </si>
  <si>
    <r>
      <rPr>
        <b val="true"/>
        <sz val="9"/>
        <color rgb="FF333333"/>
        <rFont val="WenQuanYi Zen Hei"/>
        <family val="2"/>
      </rPr>
      <t xml:space="preserve">販売不可
</t>
    </r>
    <r>
      <rPr>
        <b val="true"/>
        <sz val="9"/>
        <color rgb="FF333333"/>
        <rFont val="Meiryo UI"/>
        <family val="0"/>
        <charset val="1"/>
      </rPr>
      <t xml:space="preserve">(</t>
    </r>
    <r>
      <rPr>
        <b val="true"/>
        <sz val="9"/>
        <color rgb="FF333333"/>
        <rFont val="WenQuanYi Zen Hei"/>
        <family val="2"/>
      </rPr>
      <t xml:space="preserve">予備持出</t>
    </r>
    <r>
      <rPr>
        <b val="true"/>
        <sz val="9"/>
        <color rgb="FF333333"/>
        <rFont val="Meiryo UI"/>
        <family val="0"/>
        <charset val="1"/>
      </rPr>
      <t xml:space="preserve">)</t>
    </r>
  </si>
  <si>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</si>
  <si>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t>
    </r>
    <r>
      <rPr>
        <b val="true"/>
        <sz val="9"/>
        <color rgb="FFFFFFFF"/>
        <rFont val="Meiryo UI"/>
        <family val="0"/>
        <charset val="1"/>
      </rPr>
      <t xml:space="preserve">+</t>
    </r>
    <r>
      <rPr>
        <b val="true"/>
        <sz val="9"/>
        <color rgb="FFFFFFFF"/>
        <rFont val="WenQuanYi Zen Hei"/>
        <family val="2"/>
      </rPr>
      <t xml:space="preserve">確定−必要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</si>
  <si>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</si>
  <si>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</si>
  <si>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t>
    </r>
    <r>
      <rPr>
        <b val="true"/>
        <sz val="9"/>
        <color rgb="FF333333"/>
        <rFont val="WenQuanYi Zen Hei"/>
        <family val="2"/>
      </rPr>
      <t xml:space="preserve">受領なし</t>
    </r>
    <r>
      <rPr>
        <b val="true"/>
        <sz val="9"/>
        <color rgb="FF333333"/>
        <rFont val="Meiryo UI"/>
        <family val="0"/>
        <charset val="1"/>
      </rPr>
      <t xml:space="preserve">)</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</si>
  <si>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 ／ ★ロジ実棚</t>
    </r>
    <r>
      <rPr>
        <sz val="9"/>
        <rFont val="Meiryo UI"/>
        <family val="0"/>
        <charset val="1"/>
      </rPr>
      <t xml:space="preserve">1,694</t>
    </r>
    <r>
      <rPr>
        <sz val="9"/>
        <rFont val="WenQuanYi Zen Hei"/>
        <family val="2"/>
      </rPr>
      <t xml:space="preserve">個と台帳計算</t>
    </r>
    <r>
      <rPr>
        <sz val="9"/>
        <rFont val="Meiryo UI"/>
        <family val="0"/>
        <charset val="1"/>
      </rPr>
      <t xml:space="preserve">5,690</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</si>
  <si>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 ／ ★ロジ実棚</t>
    </r>
    <r>
      <rPr>
        <sz val="9"/>
        <rFont val="Meiryo UI"/>
        <family val="0"/>
        <charset val="1"/>
      </rPr>
      <t xml:space="preserve">2,715</t>
    </r>
    <r>
      <rPr>
        <sz val="9"/>
        <rFont val="WenQuanYi Zen Hei"/>
        <family val="2"/>
      </rPr>
      <t xml:space="preserve">個と台帳計算</t>
    </r>
    <r>
      <rPr>
        <sz val="9"/>
        <rFont val="Meiryo UI"/>
        <family val="0"/>
        <charset val="1"/>
      </rPr>
      <t xml:space="preserve">26,711</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</si>
  <si>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WenQuanYi Zen Hei"/>
        <family val="2"/>
      </rPr>
      <t xml:space="preserve">★不良交換用の予備が不足したため販売分から</t>
    </r>
    <r>
      <rPr>
        <sz val="9"/>
        <rFont val="Meiryo UI"/>
        <family val="0"/>
        <charset val="1"/>
      </rPr>
      <t xml:space="preserve">4</t>
    </r>
    <r>
      <rPr>
        <sz val="9"/>
        <rFont val="WenQuanYi Zen Hei"/>
        <family val="2"/>
      </rPr>
      <t xml:space="preserve">個を持ち出し。交換対応専用のため販売在庫として数えない（札幌会場）。供給可能在庫から</t>
    </r>
    <r>
      <rPr>
        <sz val="9"/>
        <rFont val="Meiryo UI"/>
        <family val="0"/>
        <charset val="1"/>
      </rPr>
      <t xml:space="preserve">4</t>
    </r>
    <r>
      <rPr>
        <sz val="9"/>
        <rFont val="WenQuanYi Zen Hei"/>
        <family val="2"/>
      </rPr>
      <t xml:space="preserve">個を除外している</t>
    </r>
  </si>
  <si>
    <r>
      <rPr>
        <sz val="9"/>
        <rFont val="WenQuanYi Zen Hei"/>
        <family val="2"/>
      </rPr>
      <t xml:space="preserve">◎追加発注 確定済 </t>
    </r>
    <r>
      <rPr>
        <sz val="9"/>
        <rFont val="Meiryo UI"/>
        <family val="0"/>
        <charset val="1"/>
      </rPr>
      <t xml:space="preserve">1,200SET</t>
    </r>
    <r>
      <rPr>
        <sz val="9"/>
        <rFont val="WenQuanYi Zen Hei"/>
        <family val="2"/>
      </rPr>
      <t xml:space="preserve">（鳥取島根 夢みなとタワー入荷）を過不足に加算済／ミニマム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 ／ ★ロジ在庫データに無い品。倉庫残は台帳の残在庫−札幌納品で代用（要確認）</t>
    </r>
  </si>
  <si>
    <r>
      <rPr>
        <sz val="9"/>
        <rFont val="WenQuanYi Zen Hei"/>
        <family val="2"/>
      </rPr>
      <t xml:space="preserve">★ロジ実棚</t>
    </r>
    <r>
      <rPr>
        <sz val="9"/>
        <rFont val="Meiryo UI"/>
        <family val="0"/>
        <charset val="1"/>
      </rPr>
      <t xml:space="preserve">26</t>
    </r>
    <r>
      <rPr>
        <sz val="9"/>
        <rFont val="WenQuanYi Zen Hei"/>
        <family val="2"/>
      </rPr>
      <t xml:space="preserve">個と台帳計算</t>
    </r>
    <r>
      <rPr>
        <sz val="9"/>
        <rFont val="Meiryo UI"/>
        <family val="0"/>
        <charset val="1"/>
      </rPr>
      <t xml:space="preserve">35</t>
    </r>
    <r>
      <rPr>
        <sz val="9"/>
        <rFont val="WenQuanYi Zen Hei"/>
        <family val="2"/>
      </rPr>
      <t xml:space="preserve">個が乖離。ロジ側を採用（要確認）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</si>
  <si>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</si>
  <si>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12</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</si>
  <si>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</si>
  <si>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</si>
  <si>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</si>
  <si>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</si>
  <si>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</si>
  <si>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</si>
  <si>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</si>
  <si>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</si>
  <si>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</si>
  <si>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</si>
  <si>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</si>
  <si>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</si>
  <si>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</si>
  <si>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</si>
  <si>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</si>
  <si>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</si>
  <si>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</si>
  <si>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</si>
  <si>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</si>
  <si>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</si>
  <si>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×1</t>
    </r>
    <r>
      <rPr>
        <sz val="9"/>
        <rFont val="WenQuanYi Zen Hei"/>
        <family val="2"/>
      </rPr>
      <t xml:space="preserve">・大阪</t>
    </r>
    <r>
      <rPr>
        <sz val="9"/>
        <rFont val="Meiryo UI"/>
        <family val="0"/>
        <charset val="1"/>
      </rPr>
      <t xml:space="preserve">×2</t>
    </r>
  </si>
  <si>
    <t xml:space="preserve">動員が計画を大きく下回り、実績が予測を下回った</t>
  </si>
  <si>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</si>
  <si>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</si>
  <si>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</si>
  <si>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</si>
  <si>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</si>
  <si>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</si>
  <si>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</si>
  <si>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</si>
  <si>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</si>
  <si>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</si>
  <si>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</si>
  <si>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</si>
  <si>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</si>
  <si>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</si>
  <si>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</si>
  <si>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</si>
  <si>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</si>
  <si>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</si>
  <si>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</si>
  <si>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</si>
  <si>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</si>
  <si>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</si>
  <si>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</si>
  <si>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</si>
  <si>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</si>
  <si>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</si>
  <si>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</si>
  <si>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</si>
  <si>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</si>
  <si>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</si>
  <si>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</si>
  <si>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t xml:space="preserve">札幌
投入数</t>
  </si>
  <si>
    <t xml:space="preserve">札幌
予測販売数</t>
  </si>
  <si>
    <t xml:space="preserve">札幌
実績販売数</t>
  </si>
  <si>
    <t xml:space="preserve">札幌
予測誤差</t>
  </si>
  <si>
    <t xml:space="preserve">札幌
予測時構成比</t>
  </si>
  <si>
    <t xml:space="preserve">札幌
実績構成比</t>
  </si>
  <si>
    <t xml:space="preserve">札幌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</si>
  <si>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</si>
  <si>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</si>
  <si>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</si>
  <si>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仙台以降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</si>
  <si>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</si>
  <si>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</si>
  <si>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</si>
  <si>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12</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</si>
  <si>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</si>
  <si>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</si>
  <si>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</si>
  <si>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</si>
  <si>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仙台以降 適用構成比</t>
  </si>
  <si>
    <r>
      <rPr>
        <sz val="9"/>
        <rFont val="WenQuanYi Zen Hei"/>
        <family val="2"/>
      </rPr>
      <t xml:space="preserve">札幌</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石川</t>
    </r>
    <r>
      <rPr>
        <sz val="9"/>
        <rFont val="Meiryo UI"/>
        <family val="0"/>
        <charset val="1"/>
      </rPr>
      <t xml:space="preserve">18</t>
    </r>
    <r>
      <rPr>
        <sz val="9"/>
        <rFont val="WenQuanYi Zen Hei"/>
        <family val="2"/>
      </rPr>
      <t xml:space="preserve">日予測のシェア</t>
    </r>
    <r>
      <rPr>
        <sz val="9"/>
        <rFont val="Meiryo UI"/>
        <family val="0"/>
        <charset val="1"/>
      </rPr>
      <t xml:space="preserve">50% </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</si>
  <si>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</si>
  <si>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</si>
  <si>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</si>
  <si>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仙台会場以降の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</si>
  <si>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</si>
  <si>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</si>
  <si>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③石川実績連動は、②に石川の計画比達成率 </t>
    </r>
    <r>
      <rPr>
        <sz val="8"/>
        <color rgb="FF555555"/>
        <rFont val="Meiryo UI"/>
        <family val="0"/>
        <charset val="1"/>
      </rPr>
      <t xml:space="preserve">56.3%</t>
    </r>
    <r>
      <rPr>
        <sz val="8"/>
        <color rgb="FF555555"/>
        <rFont val="WenQuanYi Zen Hei"/>
        <family val="2"/>
      </rPr>
      <t xml:space="preserve">（予測 東京対比</t>
    </r>
    <r>
      <rPr>
        <sz val="8"/>
        <color rgb="FF555555"/>
        <rFont val="Meiryo UI"/>
        <family val="0"/>
        <charset val="1"/>
      </rPr>
      <t xml:space="preserve">7.02%</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</si>
  <si>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</si>
  <si>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</si>
  <si>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</si>
  <si>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</si>
  <si>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</si>
  <si>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</si>
  <si>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</si>
  <si>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</si>
  <si>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</si>
  <si>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★計画を大きく下回った</t>
  </si>
  <si>
    <t xml:space="preserve">石川（予測）</t>
  </si>
  <si>
    <r>
      <rPr>
        <sz val="9"/>
        <rFont val="WenQuanYi Zen Hei"/>
        <family val="2"/>
      </rPr>
      <t xml:space="preserve">会期途中（</t>
    </r>
    <r>
      <rPr>
        <sz val="9"/>
        <rFont val="Meiryo UI"/>
        <family val="0"/>
        <charset val="1"/>
      </rPr>
      <t xml:space="preserve">12</t>
    </r>
    <r>
      <rPr>
        <sz val="9"/>
        <rFont val="WenQuanYi Zen Hei"/>
        <family val="2"/>
      </rPr>
      <t xml:space="preserve">日実績→</t>
    </r>
    <r>
      <rPr>
        <sz val="9"/>
        <rFont val="Meiryo UI"/>
        <family val="0"/>
        <charset val="1"/>
      </rPr>
      <t xml:space="preserve">18</t>
    </r>
    <r>
      <rPr>
        <sz val="9"/>
        <rFont val="WenQuanYi Zen Hei"/>
        <family val="2"/>
      </rPr>
      <t xml:space="preserve">日予測）</t>
    </r>
  </si>
  <si>
    <t xml:space="preserve">仙台</t>
  </si>
  <si>
    <t xml:space="preserve">実績未確定。②はこの計画値を採用</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</si>
  <si>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</si>
  <si>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</si>
  <si>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</si>
  <si>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</si>
  <si>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</si>
  <si>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</si>
  <si>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</si>
  <si>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</si>
  <si>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</si>
  <si>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</si>
  <si>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</si>
  <si>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</si>
  <si>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</si>
  <si>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</si>
  <si>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</si>
  <si>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</si>
  <si>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</si>
  <si>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③石川実績連動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</si>
  <si>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</si>
  <si>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</si>
  <si>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</si>
  <si>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仙台以降 </t>
    </r>
    <r>
      <rPr>
        <b val="true"/>
        <sz val="9"/>
        <rFont val="Meiryo UI"/>
        <family val="0"/>
        <charset val="1"/>
      </rPr>
      <t xml:space="preserve">LEGS</t>
    </r>
    <r>
      <rPr>
        <b val="true"/>
        <sz val="9"/>
        <rFont val="WenQuanYi Zen Hei"/>
        <family val="2"/>
      </rPr>
      <t xml:space="preserve">必要数</t>
    </r>
  </si>
  <si>
    <t xml:space="preserve">仙台以降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</si>
  <si>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</si>
  <si>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</si>
  <si>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</si>
  <si>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</si>
  <si>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</si>
  <si>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t xml:space="preserve">②企画概要書ベースは①より強気。直近会場が計画を下回っている実態を踏まえると、</t>
  </si>
  <si>
    <t xml:space="preserve">発注量の意思決定は③石川実績連動（保守）を下限、②企画概要書ベースを上限としたレンジで持つのが妥当。</t>
  </si>
  <si>
    <t xml:space="preserve">留意</t>
  </si>
  <si>
    <r>
      <rPr>
        <sz val="9"/>
        <rFont val="WenQuanYi Zen Hei"/>
        <family val="2"/>
      </rPr>
      <t xml:space="preserve">名古屋・博多・大阪の</t>
    </r>
    <r>
      <rPr>
        <sz val="9"/>
        <rFont val="Meiryo UI"/>
        <family val="0"/>
        <charset val="1"/>
      </rPr>
      <t xml:space="preserve">3</t>
    </r>
    <r>
      <rPr>
        <sz val="9"/>
        <rFont val="WenQuanYi Zen Hei"/>
        <family val="2"/>
      </rPr>
      <t xml:space="preserve">会場はいずれも計画を大きく超過した一方、直近会場は下振れしている。</t>
    </r>
  </si>
  <si>
    <t xml:space="preserve">これが会場規模・立地に起因する個別要因か、地方会場全体の傾向かで判断が分かれる。</t>
  </si>
  <si>
    <r>
      <rPr>
        <sz val="9"/>
        <rFont val="WenQuanYi Zen Hei"/>
        <family val="2"/>
      </rPr>
      <t xml:space="preserve">仙台以降の前売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</si>
  <si>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仙台以降 会場別 在庫引当シミュレーションと 最終追加発注期限</t>
  </si>
  <si>
    <r>
      <rPr>
        <sz val="8"/>
        <color rgb="FF555555"/>
        <rFont val="WenQuanYi Zen Hei"/>
        <family val="2"/>
      </rPr>
      <t xml:space="preserve">石川の欠品分は倉庫在庫から追納する前提。仙台以降の供給可能在庫（＝倉庫残 ＋ 札幌会期末残 − 石川会期</t>
    </r>
    <r>
      <rPr>
        <sz val="8"/>
        <color rgb="FF555555"/>
        <rFont val="Meiryo UI"/>
        <family val="0"/>
        <charset val="1"/>
      </rPr>
      <t xml:space="preserve">18</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</si>
  <si>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</si>
  <si>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</si>
  <si>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</si>
  <si>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</si>
  <si>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</si>
  <si>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</si>
  <si>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</si>
  <si>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</si>
  <si>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</si>
  <si>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</si>
  <si>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</si>
  <si>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</si>
  <si>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</si>
  <si>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</si>
  <si>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t>
    </r>
  </si>
  <si>
    <r>
      <rPr>
        <sz val="9"/>
        <rFont val="WenQuanYi Zen Hei"/>
        <family val="2"/>
      </rPr>
      <t xml:space="preserve">札幌会場からの転送（</t>
    </r>
    <r>
      <rPr>
        <sz val="9"/>
        <rFont val="Meiryo UI"/>
        <family val="0"/>
        <charset val="1"/>
      </rPr>
      <t xml:space="preserve">LEGS 42SKU </t>
    </r>
    <r>
      <rPr>
        <sz val="9"/>
        <rFont val="WenQuanYi Zen Hei"/>
        <family val="2"/>
      </rPr>
      <t xml:space="preserve">計）</t>
    </r>
  </si>
  <si>
    <t xml:space="preserve">2026/8/13</t>
  </si>
  <si>
    <r>
      <rPr>
        <sz val="9"/>
        <rFont val="WenQuanYi Zen Hei"/>
        <family val="2"/>
      </rPr>
      <t xml:space="preserve">石川会場（</t>
    </r>
    <r>
      <rPr>
        <sz val="9"/>
        <rFont val="Meiryo UI"/>
        <family val="0"/>
        <charset val="1"/>
      </rPr>
      <t xml:space="preserve">41,612</t>
    </r>
    <r>
      <rPr>
        <sz val="9"/>
        <rFont val="WenQuanYi Zen Hei"/>
        <family val="2"/>
      </rPr>
      <t xml:space="preserve">個）</t>
    </r>
  </si>
  <si>
    <r>
      <rPr>
        <sz val="9"/>
        <rFont val="WenQuanYi Zen Hei"/>
        <family val="2"/>
      </rPr>
      <t xml:space="preserve">札幌の会期末残</t>
    </r>
    <r>
      <rPr>
        <sz val="9"/>
        <rFont val="Meiryo UI"/>
        <family val="0"/>
        <charset val="1"/>
      </rPr>
      <t xml:space="preserve">41,615</t>
    </r>
    <r>
      <rPr>
        <sz val="9"/>
        <rFont val="WenQuanYi Zen Hei"/>
        <family val="2"/>
      </rPr>
      <t xml:space="preserve">個のうち</t>
    </r>
    <r>
      <rPr>
        <sz val="9"/>
        <rFont val="Meiryo UI"/>
        <family val="0"/>
        <charset val="1"/>
      </rPr>
      <t xml:space="preserve">41,612</t>
    </r>
    <r>
      <rPr>
        <sz val="9"/>
        <rFont val="WenQuanYi Zen Hei"/>
        <family val="2"/>
      </rPr>
      <t xml:space="preserve">個を金沢へ横持ち</t>
    </r>
  </si>
  <si>
    <t xml:space="preserve">2026/8/22</t>
  </si>
  <si>
    <r>
      <rPr>
        <sz val="9"/>
        <rFont val="WenQuanYi Zen Hei"/>
        <family val="2"/>
      </rPr>
      <t xml:space="preserve">石川会場（</t>
    </r>
    <r>
      <rPr>
        <sz val="9"/>
        <rFont val="Meiryo UI"/>
        <family val="0"/>
        <charset val="1"/>
      </rPr>
      <t xml:space="preserve">20</t>
    </r>
    <r>
      <rPr>
        <sz val="9"/>
        <rFont val="WenQuanYi Zen Hei"/>
        <family val="2"/>
      </rPr>
      <t xml:space="preserve">個）</t>
    </r>
  </si>
  <si>
    <r>
      <rPr>
        <sz val="9"/>
        <rFont val="WenQuanYi Zen Hei"/>
        <family val="2"/>
      </rPr>
      <t xml:space="preserve">倉庫残</t>
    </r>
    <r>
      <rPr>
        <sz val="9"/>
        <rFont val="Meiryo UI"/>
        <family val="0"/>
        <charset val="1"/>
      </rPr>
      <t xml:space="preserve">100</t>
    </r>
    <r>
      <rPr>
        <sz val="9"/>
        <rFont val="WenQuanYi Zen Hei"/>
        <family val="2"/>
      </rPr>
      <t xml:space="preserve">個のうち</t>
    </r>
    <r>
      <rPr>
        <sz val="9"/>
        <rFont val="Meiryo UI"/>
        <family val="0"/>
        <charset val="1"/>
      </rPr>
      <t xml:space="preserve">20</t>
    </r>
    <r>
      <rPr>
        <sz val="9"/>
        <rFont val="WenQuanYi Zen Hei"/>
        <family val="2"/>
      </rPr>
      <t xml:space="preserve">個を追納。金沢は</t>
    </r>
    <r>
      <rPr>
        <sz val="9"/>
        <rFont val="Meiryo UI"/>
        <family val="0"/>
        <charset val="1"/>
      </rPr>
      <t xml:space="preserve">8/25</t>
    </r>
    <r>
      <rPr>
        <sz val="9"/>
        <rFont val="WenQuanYi Zen Hei"/>
        <family val="2"/>
      </rPr>
      <t xml:space="preserve">時点で</t>
    </r>
    <r>
      <rPr>
        <sz val="9"/>
        <rFont val="Meiryo UI"/>
        <family val="0"/>
        <charset val="1"/>
      </rPr>
      <t xml:space="preserve">80</t>
    </r>
    <r>
      <rPr>
        <sz val="9"/>
        <rFont val="WenQuanYi Zen Hei"/>
        <family val="2"/>
      </rPr>
      <t xml:space="preserve">個完売</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</si>
  <si>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</si>
  <si>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</si>
  <si>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</si>
  <si>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</si>
  <si>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</si>
  <si>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</si>
  <si>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</si>
  <si>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</si>
  <si>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</si>
  <si>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</si>
  <si>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</si>
  <si>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</si>
  <si>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</si>
  <si>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鳥取島根 夢みなとタワー 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</si>
  <si>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</si>
  <si>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</si>
  <si>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</si>
  <si>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</si>
  <si>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</si>
  <si>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</si>
  <si>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</si>
  <si>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</si>
  <si>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</si>
  <si>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</si>
  <si>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</si>
  <si>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</si>
  <si>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</si>
  <si>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</si>
  <si>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</si>
  <si>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</si>
  <si>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</si>
  <si>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</si>
  <si>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</si>
  <si>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</si>
  <si>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</si>
  <si>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</si>
  <si>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</si>
  <si>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</si>
  <si>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</si>
  <si>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</si>
  <si>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石川 香林坊大和</t>
  </si>
  <si>
    <t xml:space="preserve">1,200SET</t>
  </si>
  <si>
    <r>
      <rPr>
        <sz val="9"/>
        <rFont val="WenQuanYi Zen Hei"/>
        <family val="2"/>
      </rPr>
      <t xml:space="preserve">★石川で賞味期限切れ。仙台以降では販売できないため、現在庫</t>
    </r>
    <r>
      <rPr>
        <sz val="9"/>
        <rFont val="Meiryo UI"/>
        <family val="0"/>
        <charset val="1"/>
      </rPr>
      <t xml:space="preserve">68</t>
    </r>
    <r>
      <rPr>
        <sz val="9"/>
        <rFont val="WenQuanYi Zen Hei"/>
        <family val="2"/>
      </rPr>
      <t xml:space="preserve">個は全量が廃棄見込。返品・社内販売・ノベルティ転用など消化策の検討が必要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</si>
  <si>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</si>
  <si>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石川会期中の対応</t>
  </si>
  <si>
    <r>
      <rPr>
        <sz val="9"/>
        <rFont val="WenQuanYi Zen Hei"/>
        <family val="2"/>
      </rPr>
      <t xml:space="preserve">会期中の不足は</t>
    </r>
    <r>
      <rPr>
        <sz val="9"/>
        <rFont val="Meiryo UI"/>
        <family val="0"/>
        <charset val="1"/>
      </rPr>
      <t xml:space="preserve">33</t>
    </r>
    <r>
      <rPr>
        <sz val="9"/>
        <rFont val="WenQuanYi Zen Hei"/>
        <family val="2"/>
      </rPr>
      <t xml:space="preserve">個。倉庫在庫から追納できる分は追加生産に含めていない。</t>
    </r>
  </si>
  <si>
    <t xml:space="preserve">仙台以降の考え方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</si>
  <si>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</si>
  <si>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</si>
  <si>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</si>
  <si>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</si>
  <si>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</si>
  <si>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</si>
  <si>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</si>
  <si>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会場までが販売期限。金沢は</t>
    </r>
    <r>
      <rPr>
        <sz val="9"/>
        <rFont val="Meiryo UI"/>
        <family val="0"/>
        <charset val="1"/>
      </rPr>
      <t xml:space="preserve">8/25</t>
    </r>
    <r>
      <rPr>
        <sz val="9"/>
        <rFont val="WenQuanYi Zen Hei"/>
        <family val="2"/>
      </rPr>
      <t xml:space="preserve">時点で納品</t>
    </r>
    <r>
      <rPr>
        <sz val="9"/>
        <rFont val="Meiryo UI"/>
        <family val="0"/>
        <charset val="1"/>
      </rPr>
      <t xml:space="preserve">80</t>
    </r>
    <r>
      <rPr>
        <sz val="9"/>
        <rFont val="WenQuanYi Zen Hei"/>
        <family val="2"/>
      </rPr>
      <t xml:space="preserve">個が完売済みのため、倉庫に残る分は販売機会が無く廃棄リスク。仙台・神戸は現在庫では供給できず、</t>
    </r>
    <r>
      <rPr>
        <sz val="9"/>
        <rFont val="Meiryo UI"/>
        <family val="0"/>
        <charset val="1"/>
      </rPr>
      <t xml:space="preserve">9</t>
    </r>
    <r>
      <rPr>
        <sz val="9"/>
        <rFont val="WenQuanYi Zen Hei"/>
        <family val="2"/>
      </rPr>
      <t xml:space="preserve">月発注分（納品</t>
    </r>
    <r>
      <rPr>
        <sz val="9"/>
        <rFont val="Meiryo UI"/>
        <family val="0"/>
        <charset val="1"/>
      </rPr>
      <t xml:space="preserve">11/20</t>
    </r>
    <r>
      <rPr>
        <sz val="9"/>
        <rFont val="WenQuanYi Zen Hei"/>
        <family val="2"/>
      </rPr>
      <t xml:space="preserve">〜</t>
    </r>
    <r>
      <rPr>
        <sz val="9"/>
        <rFont val="Meiryo UI"/>
        <family val="0"/>
        <charset val="1"/>
      </rPr>
      <t xml:space="preserve">11/25</t>
    </r>
    <r>
      <rPr>
        <sz val="9"/>
        <rFont val="WenQuanYi Zen Hei"/>
        <family val="2"/>
      </rPr>
      <t xml:space="preserve">）は鳥取以降に充当する</t>
    </r>
  </si>
  <si>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</si>
  <si>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</si>
  <si>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</si>
  <si>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</si>
  <si>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</si>
  <si>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</si>
  <si>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</si>
  <si>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</si>
  <si>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</si>
  <si>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</si>
  <si>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</si>
  <si>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</si>
  <si>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</si>
  <si>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</si>
  <si>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</si>
  <si>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</si>
  <si>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B31</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</si>
  <si>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</si>
  <si>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B23:B26</t>
  </si>
  <si>
    <t xml:space="preserve">東京対比 会場比率（シナリオ連動）</t>
  </si>
  <si>
    <r>
      <rPr>
        <sz val="9"/>
        <rFont val="Meiryo UI"/>
        <family val="0"/>
        <charset val="1"/>
      </rPr>
      <t xml:space="preserve">=INDEX(C17:F17,'</t>
    </r>
    <r>
      <rPr>
        <sz val="9"/>
        <rFont val="WenQuanYi Zen Hei"/>
        <family val="2"/>
      </rPr>
      <t xml:space="preserve">前提・入力</t>
    </r>
    <r>
      <rPr>
        <sz val="9"/>
        <rFont val="Meiryo UI"/>
        <family val="0"/>
        <charset val="1"/>
      </rPr>
      <t xml:space="preserve">'!$B15)</t>
    </r>
  </si>
  <si>
    <r>
      <rPr>
        <sz val="9"/>
        <rFont val="Meiryo UI"/>
        <family val="0"/>
        <charset val="1"/>
      </rPr>
      <t xml:space="preserve">B15</t>
    </r>
    <r>
      <rPr>
        <sz val="9"/>
        <rFont val="WenQuanYi Zen Hei"/>
        <family val="2"/>
      </rPr>
      <t xml:space="preserve">＝</t>
    </r>
    <r>
      <rPr>
        <sz val="9"/>
        <rFont val="Meiryo UI"/>
        <family val="0"/>
        <charset val="1"/>
      </rPr>
      <t xml:space="preserve">1 → C17 </t>
    </r>
    <r>
      <rPr>
        <sz val="9"/>
        <rFont val="WenQuanYi Zen Hei"/>
        <family val="2"/>
      </rPr>
      <t xml:space="preserve">の </t>
    </r>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）を取得</t>
    </r>
  </si>
  <si>
    <r>
      <rPr>
        <sz val="9"/>
        <rFont val="Meiryo UI"/>
        <family val="0"/>
        <charset val="1"/>
      </rPr>
      <t xml:space="preserve">B15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</si>
  <si>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①石川予測確定（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</si>
  <si>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J</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</si>
  <si>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</si>
  <si>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</si>
  <si>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石川初</t>
    </r>
    <r>
      <rPr>
        <sz val="9"/>
        <rFont val="Meiryo UI"/>
        <family val="0"/>
        <charset val="1"/>
      </rPr>
      <t xml:space="preserve">12</t>
    </r>
    <r>
      <rPr>
        <sz val="9"/>
        <rFont val="WenQuanYi Zen Hei"/>
        <family val="2"/>
      </rPr>
      <t xml:space="preserve">日 </t>
    </r>
    <r>
      <rPr>
        <sz val="9"/>
        <rFont val="Meiryo UI"/>
        <family val="0"/>
        <charset val="1"/>
      </rPr>
      <t xml:space="preserve">210</t>
    </r>
    <r>
      <rPr>
        <sz val="9"/>
        <rFont val="WenQuanYi Zen Hei"/>
        <family val="2"/>
      </rPr>
      <t xml:space="preserve">／名古屋 </t>
    </r>
    <r>
      <rPr>
        <sz val="9"/>
        <rFont val="Meiryo UI"/>
        <family val="0"/>
        <charset val="1"/>
      </rPr>
      <t xml:space="preserve">1,047</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719</t>
    </r>
    <r>
      <rPr>
        <sz val="9"/>
        <rFont val="WenQuanYi Zen Hei"/>
        <family val="2"/>
      </rPr>
      <t xml:space="preserve">・</t>
    </r>
    <r>
      <rPr>
        <sz val="9"/>
        <rFont val="Meiryo UI"/>
        <family val="0"/>
        <charset val="1"/>
      </rPr>
      <t xml:space="preserve">944</t>
    </r>
    <r>
      <rPr>
        <sz val="9"/>
        <rFont val="WenQuanYi Zen Hei"/>
        <family val="2"/>
      </rPr>
      <t xml:space="preserve">／大阪 </t>
    </r>
    <r>
      <rPr>
        <sz val="9"/>
        <rFont val="Meiryo UI"/>
        <family val="0"/>
        <charset val="1"/>
      </rPr>
      <t xml:space="preserve">343</t>
    </r>
    <r>
      <rPr>
        <sz val="9"/>
        <rFont val="WenQuanYi Zen Hei"/>
        <family val="2"/>
      </rPr>
      <t xml:space="preserve">・</t>
    </r>
    <r>
      <rPr>
        <sz val="9"/>
        <rFont val="Meiryo UI"/>
        <family val="0"/>
        <charset val="1"/>
      </rPr>
      <t xml:space="preserve">447</t>
    </r>
  </si>
  <si>
    <r>
      <rPr>
        <sz val="9"/>
        <rFont val="Meiryo UI"/>
        <family val="0"/>
        <charset val="1"/>
      </rPr>
      <t xml:space="preserve">18</t>
    </r>
    <r>
      <rPr>
        <sz val="9"/>
        <rFont val="WenQuanYi Zen Hei"/>
        <family val="2"/>
      </rPr>
      <t xml:space="preserve">日ベースに揃えた累計（博多は初</t>
    </r>
    <r>
      <rPr>
        <sz val="9"/>
        <rFont val="Meiryo UI"/>
        <family val="0"/>
        <charset val="1"/>
      </rPr>
      <t xml:space="preserve">18</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18</t>
    </r>
    <r>
      <rPr>
        <sz val="9"/>
        <rFont val="WenQuanYi Zen Hei"/>
        <family val="2"/>
      </rPr>
      <t xml:space="preserve">日目補完）</t>
    </r>
  </si>
  <si>
    <r>
      <rPr>
        <sz val="9"/>
        <rFont val="Meiryo UI"/>
        <family val="0"/>
        <charset val="1"/>
      </rPr>
      <t xml:space="preserve">?</t>
    </r>
    <r>
      <rPr>
        <sz val="9"/>
        <rFont val="WenQuanYi Zen Hei"/>
        <family val="2"/>
      </rPr>
      <t xml:space="preserve">列</t>
    </r>
  </si>
  <si>
    <r>
      <rPr>
        <b val="true"/>
        <sz val="9"/>
        <rFont val="WenQuanYi Zen Hei"/>
        <family val="2"/>
      </rPr>
      <t xml:space="preserve">名古屋／倍率</t>
    </r>
    <r>
      <rPr>
        <b val="true"/>
        <sz val="9"/>
        <rFont val="Meiryo UI"/>
        <family val="0"/>
        <charset val="1"/>
      </rPr>
      <t xml:space="preserve">g</t>
    </r>
  </si>
  <si>
    <r>
      <rPr>
        <sz val="9"/>
        <rFont val="Meiryo UI"/>
        <family val="0"/>
        <charset val="1"/>
      </rPr>
      <t xml:space="preserve">1,316×(1+0.00%)÷1,047 </t>
    </r>
    <r>
      <rPr>
        <sz val="9"/>
        <rFont val="WenQuanYi Zen Hei"/>
        <family val="2"/>
      </rPr>
      <t xml:space="preserve">＝ </t>
    </r>
    <r>
      <rPr>
        <sz val="9"/>
        <rFont val="Meiryo UI"/>
        <family val="0"/>
        <charset val="1"/>
      </rPr>
      <t xml:space="preserve">0.000</t>
    </r>
  </si>
  <si>
    <r>
      <rPr>
        <sz val="9"/>
        <rFont val="Meiryo UI"/>
        <family val="0"/>
        <charset val="1"/>
      </rPr>
      <t xml:space="preserve">B10</t>
    </r>
    <r>
      <rPr>
        <sz val="9"/>
        <rFont val="WenQuanYi Zen Hei"/>
        <family val="2"/>
      </rPr>
      <t xml:space="preserve">＝</t>
    </r>
    <r>
      <rPr>
        <sz val="9"/>
        <rFont val="Meiryo UI"/>
        <family val="0"/>
        <charset val="1"/>
      </rPr>
      <t xml:space="preserve">18</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18</t>
    </r>
    <r>
      <rPr>
        <sz val="9"/>
        <rFont val="WenQuanYi Zen Hei"/>
        <family val="2"/>
      </rPr>
      <t xml:space="preserve">日相当に換算</t>
    </r>
  </si>
  <si>
    <r>
      <rPr>
        <sz val="9"/>
        <rFont val="Meiryo UI"/>
        <family val="0"/>
        <charset val="1"/>
      </rPr>
      <t xml:space="preserve">H</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</si>
  <si>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</si>
  <si>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=IF(F7=0,"",G7/F7)</t>
  </si>
  <si>
    <r>
      <rPr>
        <sz val="9"/>
        <rFont val="Meiryo UI"/>
        <family val="0"/>
        <charset val="1"/>
      </rPr>
      <t xml:space="preserve">944÷719 </t>
    </r>
    <r>
      <rPr>
        <sz val="9"/>
        <rFont val="WenQuanYi Zen Hei"/>
        <family val="2"/>
      </rPr>
      <t xml:space="preserve">＝ </t>
    </r>
    <r>
      <rPr>
        <sz val="9"/>
        <rFont val="Meiryo UI"/>
        <family val="0"/>
        <charset val="1"/>
      </rPr>
      <t xml:space="preserve">1.313</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</si>
  <si>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18</t>
    </r>
    <r>
      <rPr>
        <sz val="9"/>
        <rFont val="WenQuanYi Zen Hei"/>
        <family val="2"/>
      </rPr>
      <t xml:space="preserve">日ぶんを使用</t>
    </r>
  </si>
  <si>
    <r>
      <rPr>
        <sz val="9"/>
        <rFont val="Meiryo UI"/>
        <family val="0"/>
        <charset val="1"/>
      </rPr>
      <t xml:space="preserve">K</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</si>
  <si>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</si>
  <si>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=IF(I7=0,"",J7/I7)</t>
  </si>
  <si>
    <r>
      <rPr>
        <sz val="9"/>
        <rFont val="Meiryo UI"/>
        <family val="0"/>
        <charset val="1"/>
      </rPr>
      <t xml:space="preserve">447÷343 </t>
    </r>
    <r>
      <rPr>
        <sz val="9"/>
        <rFont val="WenQuanYi Zen Hei"/>
        <family val="2"/>
      </rPr>
      <t xml:space="preserve">＝ </t>
    </r>
    <r>
      <rPr>
        <sz val="9"/>
        <rFont val="Meiryo UI"/>
        <family val="0"/>
        <charset val="1"/>
      </rPr>
      <t xml:space="preserve">1.262</t>
    </r>
  </si>
  <si>
    <r>
      <rPr>
        <sz val="9"/>
        <rFont val="WenQuanYi Zen Hei"/>
        <family val="2"/>
      </rPr>
      <t xml:space="preserve">石川と同条件（</t>
    </r>
    <r>
      <rPr>
        <sz val="9"/>
        <rFont val="Meiryo UI"/>
        <family val="0"/>
        <charset val="1"/>
      </rPr>
      <t xml:space="preserve">18</t>
    </r>
    <r>
      <rPr>
        <sz val="9"/>
        <rFont val="WenQuanYi Zen Hei"/>
        <family val="2"/>
      </rPr>
      <t xml:space="preserve">日・水曜開始・新商品投入後）のため加重</t>
    </r>
    <r>
      <rPr>
        <sz val="9"/>
        <rFont val="Meiryo UI"/>
        <family val="0"/>
        <charset val="1"/>
      </rPr>
      <t xml:space="preserve">1</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</si>
  <si>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</si>
  <si>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</si>
  <si>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=IFERROR((IF(H7="",0,H7*'</t>
    </r>
    <r>
      <rPr>
        <sz val="9"/>
        <rFont val="WenQuanYi Zen Hei"/>
        <family val="2"/>
      </rPr>
      <t xml:space="preserve">前提・入力</t>
    </r>
    <r>
      <rPr>
        <sz val="9"/>
        <rFont val="Meiryo UI"/>
        <family val="0"/>
        <charset val="1"/>
      </rPr>
      <t xml:space="preserve">'!$B$7)+IF(K7="",0,K7*'</t>
    </r>
    <r>
      <rPr>
        <sz val="9"/>
        <rFont val="WenQuanYi Zen Hei"/>
        <family val="2"/>
      </rPr>
      <t xml:space="preserve">前提・入力</t>
    </r>
    <r>
      <rPr>
        <sz val="9"/>
        <rFont val="Meiryo UI"/>
        <family val="0"/>
        <charset val="1"/>
      </rPr>
      <t xml:space="preserve">'!$B$8)+IF(N7="",0,N7*'</t>
    </r>
    <r>
      <rPr>
        <sz val="9"/>
        <rFont val="WenQuanYi Zen Hei"/>
        <family val="2"/>
      </rPr>
      <t xml:space="preserve">前提・入力</t>
    </r>
    <r>
      <rPr>
        <sz val="9"/>
        <rFont val="Meiryo UI"/>
        <family val="0"/>
        <charset val="1"/>
      </rPr>
      <t xml:space="preserve">'!$B$9))/(IF(H7="",0,'</t>
    </r>
    <r>
      <rPr>
        <sz val="9"/>
        <rFont val="WenQuanYi Zen Hei"/>
        <family val="2"/>
      </rPr>
      <t xml:space="preserve">前提・入力</t>
    </r>
    <r>
      <rPr>
        <sz val="9"/>
        <rFont val="Meiryo UI"/>
        <family val="0"/>
        <charset val="1"/>
      </rPr>
      <t xml:space="preserve">'!$B$7)+IF(K7="",0,'</t>
    </r>
    <r>
      <rPr>
        <sz val="9"/>
        <rFont val="WenQuanYi Zen Hei"/>
        <family val="2"/>
      </rPr>
      <t xml:space="preserve">前提・入力</t>
    </r>
    <r>
      <rPr>
        <sz val="9"/>
        <rFont val="Meiryo UI"/>
        <family val="0"/>
        <charset val="1"/>
      </rPr>
      <t xml:space="preserve">'!$B$8)+IF(N7="",0,'</t>
    </r>
    <r>
      <rPr>
        <sz val="9"/>
        <rFont val="WenQuanYi Zen Hei"/>
        <family val="2"/>
      </rPr>
      <t xml:space="preserve">前提・入力</t>
    </r>
    <r>
      <rPr>
        <sz val="9"/>
        <rFont val="Meiryo UI"/>
        <family val="0"/>
        <charset val="1"/>
      </rPr>
      <t xml:space="preserve">'!$B$9)),'</t>
    </r>
    <r>
      <rPr>
        <sz val="9"/>
        <rFont val="WenQuanYi Zen Hei"/>
        <family val="2"/>
      </rPr>
      <t xml:space="preserve">前提・入力</t>
    </r>
    <r>
      <rPr>
        <sz val="9"/>
        <rFont val="Meiryo UI"/>
        <family val="0"/>
        <charset val="1"/>
      </rPr>
      <t xml:space="preserve">'!$B$11)</t>
    </r>
  </si>
  <si>
    <r>
      <rPr>
        <sz val="9"/>
        <rFont val="Meiryo UI"/>
        <family val="0"/>
        <charset val="1"/>
      </rPr>
      <t xml:space="preserve">(1.303×2</t>
    </r>
    <r>
      <rPr>
        <sz val="9"/>
        <rFont val="WenQuanYi Zen Hei"/>
        <family val="2"/>
      </rPr>
      <t xml:space="preserve">＋</t>
    </r>
    <r>
      <rPr>
        <sz val="9"/>
        <rFont val="Meiryo UI"/>
        <family val="0"/>
        <charset val="1"/>
      </rPr>
      <t xml:space="preserve">1.262×1</t>
    </r>
    <r>
      <rPr>
        <sz val="9"/>
        <rFont val="WenQuanYi Zen Hei"/>
        <family val="2"/>
      </rPr>
      <t xml:space="preserve">＋</t>
    </r>
    <r>
      <rPr>
        <sz val="9"/>
        <rFont val="Meiryo UI"/>
        <family val="0"/>
        <charset val="1"/>
      </rPr>
      <t xml:space="preserve">1.313×1)÷4 </t>
    </r>
    <r>
      <rPr>
        <sz val="9"/>
        <rFont val="WenQuanYi Zen Hei"/>
        <family val="2"/>
      </rPr>
      <t xml:space="preserve">＝ </t>
    </r>
    <r>
      <rPr>
        <sz val="9"/>
        <rFont val="Meiryo UI"/>
        <family val="0"/>
        <charset val="1"/>
      </rPr>
      <t xml:space="preserve">1.2952</t>
    </r>
  </si>
  <si>
    <r>
      <rPr>
        <sz val="9"/>
        <rFont val="WenQuanYi Zen Hei"/>
        <family val="2"/>
      </rPr>
      <t xml:space="preserve">加重は「前提・入力」</t>
    </r>
    <r>
      <rPr>
        <sz val="9"/>
        <rFont val="Meiryo UI"/>
        <family val="0"/>
        <charset val="1"/>
      </rPr>
      <t xml:space="preserve">B5:B9</t>
    </r>
    <r>
      <rPr>
        <sz val="9"/>
        <rFont val="WenQuanYi Zen Hei"/>
        <family val="2"/>
      </rPr>
      <t xml:space="preserve">。実績ゼロ品は</t>
    </r>
    <r>
      <rPr>
        <sz val="9"/>
        <rFont val="Meiryo UI"/>
        <family val="0"/>
        <charset val="1"/>
      </rPr>
      <t xml:space="preserve">B11</t>
    </r>
    <r>
      <rPr>
        <sz val="9"/>
        <rFont val="WenQuanYi Zen Hei"/>
        <family val="2"/>
      </rPr>
      <t xml:space="preserve">（</t>
    </r>
    <r>
      <rPr>
        <sz val="9"/>
        <rFont val="Meiryo UI"/>
        <family val="0"/>
        <charset val="1"/>
      </rPr>
      <t xml:space="preserve">1.296</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</si>
  <si>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</si>
  <si>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</si>
  <si>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210×1.2952 </t>
    </r>
    <r>
      <rPr>
        <sz val="9"/>
        <rFont val="WenQuanYi Zen Hei"/>
        <family val="2"/>
      </rPr>
      <t xml:space="preserve">＝ </t>
    </r>
    <r>
      <rPr>
        <sz val="9"/>
        <rFont val="Meiryo UI"/>
        <family val="0"/>
        <charset val="1"/>
      </rPr>
      <t xml:space="preserve">272</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</si>
  <si>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5,151</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</si>
  <si>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</si>
  <si>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石川 予測販売金額</t>
  </si>
  <si>
    <t xml:space="preserve">=P7*D7</t>
  </si>
  <si>
    <r>
      <rPr>
        <sz val="9"/>
        <rFont val="Meiryo UI"/>
        <family val="0"/>
        <charset val="1"/>
      </rPr>
      <t xml:space="preserve">272×500</t>
    </r>
    <r>
      <rPr>
        <sz val="9"/>
        <rFont val="WenQuanYi Zen Hei"/>
        <family val="2"/>
      </rPr>
      <t xml:space="preserve">円 ＝ </t>
    </r>
    <r>
      <rPr>
        <sz val="9"/>
        <rFont val="Meiryo UI"/>
        <family val="0"/>
        <charset val="1"/>
      </rPr>
      <t xml:space="preserve">136,000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</si>
  <si>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4,292,200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</si>
  <si>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</si>
  <si>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石川 数量構成比</t>
  </si>
  <si>
    <t xml:space="preserve">=IFERROR(P7/P$49,0)</t>
  </si>
  <si>
    <r>
      <rPr>
        <sz val="9"/>
        <rFont val="Meiryo UI"/>
        <family val="0"/>
        <charset val="1"/>
      </rPr>
      <t xml:space="preserve">272÷5,151 </t>
    </r>
    <r>
      <rPr>
        <sz val="9"/>
        <rFont val="WenQuanYi Zen Hei"/>
        <family val="2"/>
      </rPr>
      <t xml:space="preserve">＝ </t>
    </r>
    <r>
      <rPr>
        <sz val="9"/>
        <rFont val="Meiryo UI"/>
        <family val="0"/>
        <charset val="1"/>
      </rPr>
      <t xml:space="preserve">5.28%</t>
    </r>
  </si>
  <si>
    <t xml:space="preserve">③の按分構成比（石川側ウェイト）に使う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</si>
  <si>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</si>
  <si>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石川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</si>
  <si>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</si>
  <si>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693</t>
    </r>
    <r>
      <rPr>
        <sz val="9"/>
        <rFont val="WenQuanYi Zen Hei"/>
        <family val="2"/>
      </rPr>
      <t xml:space="preserve">個</t>
    </r>
  </si>
  <si>
    <r>
      <rPr>
        <sz val="9"/>
        <rFont val="Meiryo UI"/>
        <family val="0"/>
        <charset val="1"/>
      </rPr>
      <t xml:space="preserve">2026/8 </t>
    </r>
    <r>
      <rPr>
        <sz val="9"/>
        <rFont val="WenQuanYi Zen Hei"/>
        <family val="2"/>
      </rPr>
      <t xml:space="preserve">石川</t>
    </r>
    <r>
      <rPr>
        <sz val="9"/>
        <rFont val="Meiryo UI"/>
        <family val="0"/>
        <charset val="1"/>
      </rPr>
      <t xml:space="preserve">(</t>
    </r>
    <r>
      <rPr>
        <sz val="9"/>
        <rFont val="WenQuanYi Zen Hei"/>
        <family val="2"/>
      </rPr>
      <t xml:space="preserve">金沢</t>
    </r>
    <r>
      <rPr>
        <sz val="9"/>
        <rFont val="Meiryo UI"/>
        <family val="0"/>
        <charset val="1"/>
      </rPr>
      <t xml:space="preserve">)</t>
    </r>
    <r>
      <rPr>
        <sz val="9"/>
        <rFont val="WenQuanYi Zen Hei"/>
        <family val="2"/>
      </rPr>
      <t xml:space="preserve">会場への札幌転送分＋</t>
    </r>
    <r>
      <rPr>
        <sz val="9"/>
        <rFont val="Meiryo UI"/>
        <family val="0"/>
        <charset val="1"/>
      </rPr>
      <t xml:space="preserve">8/22</t>
    </r>
    <r>
      <rPr>
        <sz val="9"/>
        <rFont val="WenQuanYi Zen Hei"/>
        <family val="2"/>
      </rPr>
      <t xml:space="preserve">追納 の追納分（</t>
    </r>
    <r>
      <rPr>
        <sz val="9"/>
        <rFont val="Meiryo UI"/>
        <family val="0"/>
        <charset val="1"/>
      </rPr>
      <t xml:space="preserve">LEGS</t>
    </r>
    <r>
      <rPr>
        <sz val="9"/>
        <rFont val="WenQuanYi Zen Hei"/>
        <family val="2"/>
      </rPr>
      <t xml:space="preserve">計</t>
    </r>
    <r>
      <rPr>
        <sz val="9"/>
        <rFont val="Meiryo UI"/>
        <family val="0"/>
        <charset val="1"/>
      </rPr>
      <t xml:space="preserve">41,632</t>
    </r>
    <r>
      <rPr>
        <sz val="9"/>
        <rFont val="WenQuanYi Zen Hei"/>
        <family val="2"/>
      </rPr>
      <t xml:space="preserve">個）を含む（日報の販売可能数に反映済み）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</si>
  <si>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</si>
  <si>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</si>
  <si>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</si>
  <si>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272÷693 </t>
    </r>
    <r>
      <rPr>
        <sz val="9"/>
        <rFont val="WenQuanYi Zen Hei"/>
        <family val="2"/>
      </rPr>
      <t xml:space="preserve">＝ </t>
    </r>
    <r>
      <rPr>
        <sz val="9"/>
        <rFont val="Meiryo UI"/>
        <family val="0"/>
        <charset val="1"/>
      </rPr>
      <t xml:space="preserve">39.2%</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</si>
  <si>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</si>
  <si>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</si>
  <si>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</si>
  <si>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</si>
  <si>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693−272 </t>
    </r>
    <r>
      <rPr>
        <sz val="9"/>
        <rFont val="WenQuanYi Zen Hei"/>
        <family val="2"/>
      </rPr>
      <t xml:space="preserve">＝ </t>
    </r>
    <r>
      <rPr>
        <sz val="9"/>
        <rFont val="Meiryo UI"/>
        <family val="0"/>
        <charset val="1"/>
      </rPr>
      <t xml:space="preserve">421</t>
    </r>
    <r>
      <rPr>
        <sz val="9"/>
        <rFont val="WenQuanYi Zen Hei"/>
        <family val="2"/>
      </rPr>
      <t xml:space="preserve">個</t>
    </r>
  </si>
  <si>
    <t xml:space="preserve">③のスライド列で仙台以降へ回す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</si>
  <si>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</si>
  <si>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</si>
  <si>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</si>
  <si>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272−693 </t>
    </r>
    <r>
      <rPr>
        <sz val="9"/>
        <rFont val="WenQuanYi Zen Hei"/>
        <family val="2"/>
      </rPr>
      <t xml:space="preserve">＝ </t>
    </r>
    <r>
      <rPr>
        <sz val="9"/>
        <rFont val="Meiryo UI"/>
        <family val="0"/>
        <charset val="1"/>
      </rPr>
      <t xml:space="preserve">-421</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</si>
  <si>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</si>
  <si>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</si>
  <si>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</si>
  <si>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</si>
  <si>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</si>
  <si>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</si>
  <si>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6</t>
    </r>
    <r>
      <rPr>
        <b val="true"/>
        <sz val="10"/>
        <color rgb="FFFFFFFF"/>
        <rFont val="WenQuanYi Zen Hei"/>
        <family val="2"/>
      </rPr>
      <t xml:space="preserve">会場＋石川予測＋仙台以降</t>
    </r>
    <r>
      <rPr>
        <b val="true"/>
        <sz val="10"/>
        <color rgb="FFFFFFFF"/>
        <rFont val="Meiryo UI"/>
        <family val="0"/>
        <charset val="1"/>
      </rPr>
      <t xml:space="preserve">4</t>
    </r>
    <r>
      <rPr>
        <b val="true"/>
        <sz val="10"/>
        <color rgb="FFFFFFFF"/>
        <rFont val="WenQuanYi Zen Hei"/>
        <family val="2"/>
      </rPr>
      <t xml:space="preserve">会場）</t>
    </r>
  </si>
  <si>
    <t xml:space="preserve">I10 / I11</t>
  </si>
  <si>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全物販（予測）</t>
    </r>
  </si>
  <si>
    <r>
      <rPr>
        <sz val="9"/>
        <rFont val="Meiryo UI"/>
        <family val="0"/>
        <charset val="1"/>
      </rPr>
      <t xml:space="preserve">=H10*1.284925 </t>
    </r>
    <r>
      <rPr>
        <sz val="9"/>
        <rFont val="WenQuanYi Zen Hei"/>
        <family val="2"/>
      </rPr>
      <t xml:space="preserve">／ </t>
    </r>
    <r>
      <rPr>
        <sz val="9"/>
        <rFont val="Meiryo UI"/>
        <family val="0"/>
        <charset val="1"/>
      </rPr>
      <t xml:space="preserve">=H11*1.277780</t>
    </r>
  </si>
  <si>
    <r>
      <rPr>
        <sz val="9"/>
        <rFont val="Meiryo UI"/>
        <family val="0"/>
        <charset val="1"/>
      </rPr>
      <t xml:space="preserve">19,113</t>
    </r>
    <r>
      <rPr>
        <sz val="9"/>
        <rFont val="WenQuanYi Zen Hei"/>
        <family val="2"/>
      </rPr>
      <t xml:space="preserve">個</t>
    </r>
    <r>
      <rPr>
        <sz val="9"/>
        <rFont val="Meiryo UI"/>
        <family val="0"/>
        <charset val="1"/>
      </rPr>
      <t xml:space="preserve">×1.2849 </t>
    </r>
    <r>
      <rPr>
        <sz val="9"/>
        <rFont val="WenQuanYi Zen Hei"/>
        <family val="2"/>
      </rPr>
      <t xml:space="preserve">＝ </t>
    </r>
    <r>
      <rPr>
        <sz val="9"/>
        <rFont val="Meiryo UI"/>
        <family val="0"/>
        <charset val="1"/>
      </rPr>
      <t xml:space="preserve">24,559</t>
    </r>
    <r>
      <rPr>
        <sz val="9"/>
        <rFont val="WenQuanYi Zen Hei"/>
        <family val="2"/>
      </rPr>
      <t xml:space="preserve">個</t>
    </r>
  </si>
  <si>
    <r>
      <rPr>
        <sz val="9"/>
        <rFont val="WenQuanYi Zen Hei"/>
        <family val="2"/>
      </rPr>
      <t xml:space="preserve">初</t>
    </r>
    <r>
      <rPr>
        <sz val="9"/>
        <rFont val="Meiryo UI"/>
        <family val="0"/>
        <charset val="1"/>
      </rPr>
      <t xml:space="preserve">12</t>
    </r>
    <r>
      <rPr>
        <sz val="9"/>
        <rFont val="WenQuanYi Zen Hei"/>
        <family val="2"/>
      </rPr>
      <t xml:space="preserve">日→</t>
    </r>
    <r>
      <rPr>
        <sz val="9"/>
        <rFont val="Meiryo UI"/>
        <family val="0"/>
        <charset val="1"/>
      </rPr>
      <t xml:space="preserve">18</t>
    </r>
    <r>
      <rPr>
        <sz val="9"/>
        <rFont val="WenQuanYi Zen Hei"/>
        <family val="2"/>
      </rPr>
      <t xml:space="preserve">日の実績倍率（数量／金額で別倍率）を大阪実績から算出</t>
    </r>
  </si>
  <si>
    <t xml:space="preserve">J10:M11</t>
  </si>
  <si>
    <t xml:space="preserve">仙台以降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</si>
  <si>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'!$B$14*'</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</si>
  <si>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×13.00%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</si>
  <si>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</si>
  <si>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J12:M13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</si>
  <si>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</si>
  <si>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=ROUND(J13/'</t>
    </r>
    <r>
      <rPr>
        <sz val="9"/>
        <rFont val="WenQuanYi Zen Hei"/>
        <family val="2"/>
      </rPr>
      <t xml:space="preserve">前提・入力</t>
    </r>
    <r>
      <rPr>
        <sz val="9"/>
        <rFont val="Meiryo UI"/>
        <family val="0"/>
        <charset val="1"/>
      </rPr>
      <t xml:space="preserve">'!$B$30,0) </t>
    </r>
    <r>
      <rPr>
        <sz val="9"/>
        <rFont val="WenQuanYi Zen Hei"/>
        <family val="2"/>
      </rPr>
      <t xml:space="preserve">／ </t>
    </r>
    <r>
      <rPr>
        <sz val="9"/>
        <rFont val="Meiryo UI"/>
        <family val="0"/>
        <charset val="1"/>
      </rPr>
      <t xml:space="preserve">=J11*'</t>
    </r>
    <r>
      <rPr>
        <sz val="9"/>
        <rFont val="WenQuanYi Zen Hei"/>
        <family val="2"/>
      </rPr>
      <t xml:space="preserve">前提・入力</t>
    </r>
    <r>
      <rPr>
        <sz val="9"/>
        <rFont val="Meiryo UI"/>
        <family val="0"/>
        <charset val="1"/>
      </rPr>
      <t xml:space="preserve">'!$B$29</t>
    </r>
  </si>
  <si>
    <r>
      <rPr>
        <sz val="9"/>
        <rFont val="WenQuanYi Zen Hei"/>
        <family val="2"/>
      </rPr>
      <t xml:space="preserve">会場売上</t>
    </r>
    <r>
      <rPr>
        <sz val="9"/>
        <rFont val="Meiryo UI"/>
        <family val="0"/>
        <charset val="1"/>
      </rPr>
      <t xml:space="preserve">×17.1%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833</t>
    </r>
    <r>
      <rPr>
        <sz val="9"/>
        <rFont val="WenQuanYi Zen Hei"/>
        <family val="2"/>
      </rPr>
      <t xml:space="preserve">円で割る</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</si>
  <si>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</si>
  <si>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</si>
  <si>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</si>
  <si>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</si>
  <si>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</si>
  <si>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</si>
  <si>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</si>
  <si>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</si>
  <si>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</si>
  <si>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</si>
  <si>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仙台以降は「前提・入力」の東京対比セルを直接参照している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</si>
  <si>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</si>
  <si>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</si>
  <si>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</si>
  <si>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</si>
  <si>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石川予測は</t>
    </r>
    <r>
      <rPr>
        <sz val="9"/>
        <rFont val="Meiryo UI"/>
        <family val="0"/>
        <charset val="1"/>
      </rPr>
      <t xml:space="preserve">833</t>
    </r>
    <r>
      <rPr>
        <sz val="9"/>
        <rFont val="WenQuanYi Zen Hei"/>
        <family val="2"/>
      </rPr>
      <t xml:space="preserve">円（</t>
    </r>
    <r>
      <rPr>
        <sz val="9"/>
        <rFont val="Meiryo UI"/>
        <family val="0"/>
        <charset val="1"/>
      </rPr>
      <t xml:space="preserve">B30 </t>
    </r>
    <r>
      <rPr>
        <sz val="9"/>
        <rFont val="WenQuanYi Zen Hei"/>
        <family val="2"/>
      </rPr>
      <t xml:space="preserve">の根拠）</t>
    </r>
  </si>
  <si>
    <r>
      <rPr>
        <b val="true"/>
        <sz val="10"/>
        <color rgb="FFFFFFFF"/>
        <rFont val="WenQuanYi Zen Hei"/>
        <family val="2"/>
      </rPr>
      <t xml:space="preserve">■ ③仙台以降予測（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11</t>
    </r>
    <r>
      <rPr>
        <b val="true"/>
        <sz val="10"/>
        <color rgb="FFFFFFFF"/>
        <rFont val="WenQuanYi Zen Hei"/>
        <family val="2"/>
      </rPr>
      <t xml:space="preserve">行＝会場別、</t>
    </r>
    <r>
      <rPr>
        <b val="true"/>
        <sz val="10"/>
        <color rgb="FFFFFFFF"/>
        <rFont val="Meiryo UI"/>
        <family val="0"/>
        <charset val="1"/>
      </rPr>
      <t xml:space="preserve">14</t>
    </r>
    <r>
      <rPr>
        <b val="true"/>
        <sz val="10"/>
        <color rgb="FFFFFFFF"/>
        <rFont val="WenQuanYi Zen Hei"/>
        <family val="2"/>
      </rPr>
      <t xml:space="preserve">〜</t>
    </r>
    <r>
      <rPr>
        <b val="true"/>
        <sz val="10"/>
        <color rgb="FFFFFFFF"/>
        <rFont val="Meiryo UI"/>
        <family val="0"/>
        <charset val="1"/>
      </rPr>
      <t xml:space="preserve">26</t>
    </r>
    <r>
      <rPr>
        <b val="true"/>
        <sz val="10"/>
        <color rgb="FFFFFFFF"/>
        <rFont val="WenQuanYi Zen Hei"/>
        <family val="2"/>
      </rPr>
      <t xml:space="preserve">行＝在庫収支、</t>
    </r>
    <r>
      <rPr>
        <b val="true"/>
        <sz val="10"/>
        <color rgb="FFFFFFFF"/>
        <rFont val="Meiryo UI"/>
        <family val="0"/>
        <charset val="1"/>
      </rPr>
      <t xml:space="preserve">29</t>
    </r>
    <r>
      <rPr>
        <b val="true"/>
        <sz val="10"/>
        <color rgb="FFFFFFFF"/>
        <rFont val="WenQuanYi Zen Hei"/>
        <family val="2"/>
      </rPr>
      <t xml:space="preserve">行＝見出し、</t>
    </r>
    <r>
      <rPr>
        <b val="true"/>
        <sz val="10"/>
        <color rgb="FFFFFFFF"/>
        <rFont val="Meiryo UI"/>
        <family val="0"/>
        <charset val="1"/>
      </rPr>
      <t xml:space="preserve">30</t>
    </r>
    <r>
      <rPr>
        <b val="true"/>
        <sz val="10"/>
        <color rgb="FFFFFFFF"/>
        <rFont val="WenQuanYi Zen Hei"/>
        <family val="2"/>
      </rPr>
      <t xml:space="preserve">〜</t>
    </r>
    <r>
      <rPr>
        <b val="true"/>
        <sz val="10"/>
        <color rgb="FFFFFFFF"/>
        <rFont val="Meiryo UI"/>
        <family val="0"/>
        <charset val="1"/>
      </rPr>
      <t xml:space="preserve">71</t>
    </r>
    <r>
      <rPr>
        <b val="true"/>
        <sz val="10"/>
        <color rgb="FFFFFFFF"/>
        <rFont val="WenQuanYi Zen Hei"/>
        <family val="2"/>
      </rPr>
      <t xml:space="preserve">行＝商品、</t>
    </r>
    <r>
      <rPr>
        <b val="true"/>
        <sz val="10"/>
        <color rgb="FFFFFFFF"/>
        <rFont val="Meiryo UI"/>
        <family val="0"/>
        <charset val="1"/>
      </rPr>
      <t xml:space="preserve">72</t>
    </r>
    <r>
      <rPr>
        <b val="true"/>
        <sz val="10"/>
        <color rgb="FFFFFFFF"/>
        <rFont val="WenQuanYi Zen Hei"/>
        <family val="2"/>
      </rPr>
      <t xml:space="preserve">行＝合計）</t>
    </r>
  </si>
  <si>
    <t xml:space="preserve">D7:D10</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</si>
  <si>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</si>
  <si>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13.0%</t>
    </r>
    <r>
      <rPr>
        <sz val="9"/>
        <rFont val="WenQuanYi Zen Hei"/>
        <family val="2"/>
      </rPr>
      <t xml:space="preserve">（仙台 </t>
    </r>
    <r>
      <rPr>
        <sz val="9"/>
        <rFont val="Meiryo UI"/>
        <family val="0"/>
        <charset val="1"/>
      </rPr>
      <t xml:space="preserve">Ebeans</t>
    </r>
    <r>
      <rPr>
        <sz val="9"/>
        <rFont val="WenQuanYi Zen Hei"/>
        <family val="2"/>
      </rPr>
      <t xml:space="preserve">）</t>
    </r>
  </si>
  <si>
    <t xml:space="preserve">シナリオ選択で自動切替</t>
  </si>
  <si>
    <t xml:space="preserve">E7:E10</t>
  </si>
  <si>
    <r>
      <rPr>
        <sz val="9"/>
        <rFont val="Meiryo UI"/>
        <family val="0"/>
        <charset val="1"/>
      </rPr>
      <t xml:space="preserve">='</t>
    </r>
    <r>
      <rPr>
        <sz val="9"/>
        <rFont val="WenQuanYi Zen Hei"/>
        <family val="2"/>
      </rPr>
      <t xml:space="preserve">前提・入力</t>
    </r>
    <r>
      <rPr>
        <sz val="9"/>
        <rFont val="Meiryo UI"/>
        <family val="0"/>
        <charset val="1"/>
      </rPr>
      <t xml:space="preserve">'!$B$13*D7</t>
    </r>
  </si>
  <si>
    <r>
      <rPr>
        <sz val="9"/>
        <rFont val="Meiryo UI"/>
        <family val="0"/>
        <charset val="1"/>
      </rPr>
      <t xml:space="preserve">358,193,925×13.0% </t>
    </r>
    <r>
      <rPr>
        <sz val="9"/>
        <rFont val="WenQuanYi Zen Hei"/>
        <family val="2"/>
      </rPr>
      <t xml:space="preserve">＝ </t>
    </r>
    <r>
      <rPr>
        <sz val="9"/>
        <rFont val="Meiryo UI"/>
        <family val="0"/>
        <charset val="1"/>
      </rPr>
      <t xml:space="preserve">46,565,210</t>
    </r>
    <r>
      <rPr>
        <sz val="9"/>
        <rFont val="WenQuanYi Zen Hei"/>
        <family val="2"/>
      </rPr>
      <t xml:space="preserve">円</t>
    </r>
  </si>
  <si>
    <r>
      <rPr>
        <sz val="9"/>
        <rFont val="Meiryo UI"/>
        <family val="0"/>
        <charset val="1"/>
      </rPr>
      <t xml:space="preserve">B13</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</si>
  <si>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F7:F10</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</si>
  <si>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</si>
  <si>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'!$B$29</t>
    </r>
  </si>
  <si>
    <r>
      <rPr>
        <sz val="9"/>
        <rFont val="Meiryo UI"/>
        <family val="0"/>
        <charset val="1"/>
      </rPr>
      <t xml:space="preserve">46,565,210×17.1% </t>
    </r>
    <r>
      <rPr>
        <sz val="9"/>
        <rFont val="WenQuanYi Zen Hei"/>
        <family val="2"/>
      </rPr>
      <t xml:space="preserve">＝ </t>
    </r>
    <r>
      <rPr>
        <sz val="9"/>
        <rFont val="Meiryo UI"/>
        <family val="0"/>
        <charset val="1"/>
      </rPr>
      <t xml:space="preserve">7,943,484</t>
    </r>
    <r>
      <rPr>
        <sz val="9"/>
        <rFont val="WenQuanYi Zen Hei"/>
        <family val="2"/>
      </rPr>
      <t xml:space="preserve">円</t>
    </r>
  </si>
  <si>
    <r>
      <rPr>
        <sz val="9"/>
        <rFont val="Meiryo UI"/>
        <family val="0"/>
        <charset val="1"/>
      </rPr>
      <t xml:space="preserve">B29</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</si>
  <si>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G7:G10</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</si>
  <si>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</si>
  <si>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'!$B$30,0)</t>
    </r>
  </si>
  <si>
    <r>
      <rPr>
        <sz val="9"/>
        <rFont val="Meiryo UI"/>
        <family val="0"/>
        <charset val="1"/>
      </rPr>
      <t xml:space="preserve">7,943,484÷833</t>
    </r>
    <r>
      <rPr>
        <sz val="9"/>
        <rFont val="WenQuanYi Zen Hei"/>
        <family val="2"/>
      </rPr>
      <t xml:space="preserve">円 ＝ </t>
    </r>
    <r>
      <rPr>
        <sz val="9"/>
        <rFont val="Meiryo UI"/>
        <family val="0"/>
        <charset val="1"/>
      </rPr>
      <t xml:space="preserve">9,536</t>
    </r>
    <r>
      <rPr>
        <sz val="9"/>
        <rFont val="WenQuanYi Zen Hei"/>
        <family val="2"/>
      </rPr>
      <t xml:space="preserve">個</t>
    </r>
  </si>
  <si>
    <r>
      <rPr>
        <sz val="9"/>
        <rFont val="Meiryo UI"/>
        <family val="0"/>
        <charset val="1"/>
      </rPr>
      <t xml:space="preserve">4</t>
    </r>
    <r>
      <rPr>
        <sz val="9"/>
        <rFont val="WenQuanYi Zen Hei"/>
        <family val="2"/>
      </rPr>
      <t xml:space="preserve">会場計 </t>
    </r>
    <r>
      <rPr>
        <sz val="9"/>
        <rFont val="Meiryo UI"/>
        <family val="0"/>
        <charset val="1"/>
      </rPr>
      <t xml:space="preserve">G11</t>
    </r>
    <r>
      <rPr>
        <sz val="9"/>
        <rFont val="WenQuanYi Zen Hei"/>
        <family val="2"/>
      </rPr>
      <t xml:space="preserve">＝</t>
    </r>
    <r>
      <rPr>
        <sz val="9"/>
        <rFont val="Meiryo UI"/>
        <family val="0"/>
        <charset val="1"/>
      </rPr>
      <t xml:space="preserve">61,617</t>
    </r>
    <r>
      <rPr>
        <sz val="9"/>
        <rFont val="WenQuanYi Zen Hei"/>
        <family val="2"/>
      </rPr>
      <t xml:space="preserve">個</t>
    </r>
  </si>
  <si>
    <t xml:space="preserve">B14:B26</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</si>
  <si>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</si>
  <si>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石川納品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</si>
  <si>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271,370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61,617 </t>
    </r>
    <r>
      <rPr>
        <sz val="9"/>
        <rFont val="WenQuanYi Zen Hei"/>
        <family val="2"/>
      </rPr>
      <t xml:space="preserve">＝ </t>
    </r>
    <r>
      <rPr>
        <sz val="9"/>
        <rFont val="Meiryo UI"/>
        <family val="0"/>
        <charset val="1"/>
      </rPr>
      <t xml:space="preserve">210,953</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</si>
  <si>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</si>
  <si>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t xml:space="preserve">大阪／構成比</t>
  </si>
  <si>
    <r>
      <rPr>
        <sz val="9"/>
        <rFont val="Meiryo UI"/>
        <family val="0"/>
        <charset val="1"/>
      </rPr>
      <t xml:space="preserve">507÷8,891 </t>
    </r>
    <r>
      <rPr>
        <sz val="9"/>
        <rFont val="WenQuanYi Zen Hei"/>
        <family val="2"/>
      </rPr>
      <t xml:space="preserve">＝ </t>
    </r>
    <r>
      <rPr>
        <sz val="9"/>
        <rFont val="Meiryo UI"/>
        <family val="0"/>
        <charset val="1"/>
      </rPr>
      <t xml:space="preserve">5.70%</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</si>
  <si>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</si>
  <si>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</si>
  <si>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石川 構成比</t>
  </si>
  <si>
    <t xml:space="preserve">=IFERROR(F30/F$72,0)</t>
  </si>
  <si>
    <r>
      <rPr>
        <sz val="9"/>
        <rFont val="WenQuanYi Zen Hei"/>
        <family val="2"/>
      </rPr>
      <t xml:space="preserve">石川</t>
    </r>
    <r>
      <rPr>
        <sz val="9"/>
        <rFont val="Meiryo UI"/>
        <family val="0"/>
        <charset val="1"/>
      </rPr>
      <t xml:space="preserve">18</t>
    </r>
    <r>
      <rPr>
        <sz val="9"/>
        <rFont val="WenQuanYi Zen Hei"/>
        <family val="2"/>
      </rPr>
      <t xml:space="preserve">日予測ベース（①の数量構成比と同値）</t>
    </r>
  </si>
  <si>
    <t xml:space="preserve">採用 按分構成比</t>
  </si>
  <si>
    <r>
      <rPr>
        <sz val="9"/>
        <rFont val="Meiryo UI"/>
        <family val="0"/>
        <charset val="1"/>
      </rPr>
      <t xml:space="preserve">=E30*'</t>
    </r>
    <r>
      <rPr>
        <sz val="9"/>
        <rFont val="WenQuanYi Zen Hei"/>
        <family val="2"/>
      </rPr>
      <t xml:space="preserve">前提・入力</t>
    </r>
    <r>
      <rPr>
        <sz val="9"/>
        <rFont val="Meiryo UI"/>
        <family val="0"/>
        <charset val="1"/>
      </rPr>
      <t xml:space="preserve">'!$B$31+G30*'</t>
    </r>
    <r>
      <rPr>
        <sz val="9"/>
        <rFont val="WenQuanYi Zen Hei"/>
        <family val="2"/>
      </rPr>
      <t xml:space="preserve">前提・入力</t>
    </r>
    <r>
      <rPr>
        <sz val="9"/>
        <rFont val="Meiryo UI"/>
        <family val="0"/>
        <charset val="1"/>
      </rPr>
      <t xml:space="preserve">'!$B$32</t>
    </r>
  </si>
  <si>
    <r>
      <rPr>
        <sz val="9"/>
        <rFont val="Meiryo UI"/>
        <family val="0"/>
        <charset val="1"/>
      </rPr>
      <t xml:space="preserve">5.70%×50% </t>
    </r>
    <r>
      <rPr>
        <sz val="9"/>
        <rFont val="WenQuanYi Zen Hei"/>
        <family val="2"/>
      </rPr>
      <t xml:space="preserve">＋ </t>
    </r>
    <r>
      <rPr>
        <sz val="9"/>
        <rFont val="Meiryo UI"/>
        <family val="0"/>
        <charset val="1"/>
      </rPr>
      <t xml:space="preserve">5.28%×50% </t>
    </r>
    <r>
      <rPr>
        <sz val="9"/>
        <rFont val="WenQuanYi Zen Hei"/>
        <family val="2"/>
      </rPr>
      <t xml:space="preserve">＝ </t>
    </r>
    <r>
      <rPr>
        <sz val="9"/>
        <rFont val="Meiryo UI"/>
        <family val="0"/>
        <charset val="1"/>
      </rPr>
      <t xml:space="preserve">5.491%</t>
    </r>
  </si>
  <si>
    <r>
      <rPr>
        <sz val="9"/>
        <rFont val="WenQuanYi Zen Hei"/>
        <family val="2"/>
      </rPr>
      <t xml:space="preserve">★商品別配分の要。ウェイトは「前提・入力」</t>
    </r>
    <r>
      <rPr>
        <sz val="9"/>
        <rFont val="Meiryo UI"/>
        <family val="0"/>
        <charset val="1"/>
      </rPr>
      <t xml:space="preserve">B31</t>
    </r>
    <r>
      <rPr>
        <sz val="9"/>
        <rFont val="WenQuanYi Zen Hei"/>
        <family val="2"/>
      </rPr>
      <t xml:space="preserve">／</t>
    </r>
    <r>
      <rPr>
        <sz val="9"/>
        <rFont val="Meiryo UI"/>
        <family val="0"/>
        <charset val="1"/>
      </rPr>
      <t xml:space="preserve">B32</t>
    </r>
  </si>
  <si>
    <r>
      <rPr>
        <sz val="9"/>
        <rFont val="Meiryo UI"/>
        <family val="0"/>
        <charset val="1"/>
      </rPr>
      <t xml:space="preserve">I:L</t>
    </r>
    <r>
      <rPr>
        <sz val="9"/>
        <rFont val="WenQuanYi Zen Hei"/>
        <family val="2"/>
      </rPr>
      <t xml:space="preserve">列</t>
    </r>
  </si>
  <si>
    <t xml:space="preserve">会場別 必要数</t>
  </si>
  <si>
    <r>
      <rPr>
        <sz val="9"/>
        <rFont val="Meiryo UI"/>
        <family val="0"/>
        <charset val="1"/>
      </rPr>
      <t xml:space="preserve">=ROUND($H30*'③</t>
    </r>
    <r>
      <rPr>
        <sz val="9"/>
        <rFont val="WenQuanYi Zen Hei"/>
        <family val="2"/>
      </rPr>
      <t xml:space="preserve">仙台以降予測</t>
    </r>
    <r>
      <rPr>
        <sz val="9"/>
        <rFont val="Meiryo UI"/>
        <family val="0"/>
        <charset val="1"/>
      </rPr>
      <t xml:space="preserve">'!$G$7,0)</t>
    </r>
  </si>
  <si>
    <r>
      <rPr>
        <sz val="9"/>
        <rFont val="Meiryo UI"/>
        <family val="0"/>
        <charset val="1"/>
      </rPr>
      <t xml:space="preserve">5.491%×9,536 </t>
    </r>
    <r>
      <rPr>
        <sz val="9"/>
        <rFont val="WenQuanYi Zen Hei"/>
        <family val="2"/>
      </rPr>
      <t xml:space="preserve">＝ </t>
    </r>
    <r>
      <rPr>
        <sz val="9"/>
        <rFont val="Meiryo UI"/>
        <family val="0"/>
        <charset val="1"/>
      </rPr>
      <t xml:space="preserve">524</t>
    </r>
    <r>
      <rPr>
        <sz val="9"/>
        <rFont val="WenQuanYi Zen Hei"/>
        <family val="2"/>
      </rPr>
      <t xml:space="preserve">個（仙台 </t>
    </r>
    <r>
      <rPr>
        <sz val="9"/>
        <rFont val="Meiryo UI"/>
        <family val="0"/>
        <charset val="1"/>
      </rPr>
      <t xml:space="preserve">Ebeans</t>
    </r>
    <r>
      <rPr>
        <sz val="9"/>
        <rFont val="WenQuanYi Zen Hei"/>
        <family val="2"/>
      </rPr>
      <t xml:space="preserve">）</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</si>
  <si>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$G$10 </t>
    </r>
    <r>
      <rPr>
        <sz val="9"/>
        <rFont val="WenQuanYi Zen Hei"/>
        <family val="2"/>
      </rPr>
      <t xml:space="preserve">を参照</t>
    </r>
  </si>
  <si>
    <r>
      <rPr>
        <sz val="9"/>
        <rFont val="Meiryo UI"/>
        <family val="0"/>
        <charset val="1"/>
      </rPr>
      <t xml:space="preserve">M</t>
    </r>
    <r>
      <rPr>
        <sz val="9"/>
        <rFont val="WenQuanYi Zen Hei"/>
        <family val="2"/>
      </rPr>
      <t xml:space="preserve">列</t>
    </r>
  </si>
  <si>
    <t xml:space="preserve">仙台以降 必要数 計</t>
  </si>
  <si>
    <t xml:space="preserve">=SUM(I30:L30)</t>
  </si>
  <si>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 </t>
    </r>
    <r>
      <rPr>
        <sz val="9"/>
        <rFont val="WenQuanYi Zen Hei"/>
        <family val="2"/>
      </rPr>
      <t xml:space="preserve">＝ </t>
    </r>
    <r>
      <rPr>
        <sz val="9"/>
        <rFont val="Meiryo UI"/>
        <family val="0"/>
        <charset val="1"/>
      </rPr>
      <t xml:space="preserve">3,384</t>
    </r>
    <r>
      <rPr>
        <sz val="9"/>
        <rFont val="WenQuanYi Zen Hei"/>
        <family val="2"/>
      </rPr>
      <t xml:space="preserve">個</t>
    </r>
  </si>
  <si>
    <t xml:space="preserve">この商品の仙台以降 総需要。④⑤⑧⑩⑪へ供給される</t>
  </si>
  <si>
    <r>
      <rPr>
        <sz val="9"/>
        <rFont val="Meiryo UI"/>
        <family val="0"/>
        <charset val="1"/>
      </rPr>
      <t xml:space="preserve">N</t>
    </r>
    <r>
      <rPr>
        <sz val="9"/>
        <rFont val="WenQuanYi Zen Hei"/>
        <family val="2"/>
      </rPr>
      <t xml:space="preserve">列</t>
    </r>
  </si>
  <si>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台帳 梅田まで</t>
    </r>
    <r>
      <rPr>
        <b val="true"/>
        <sz val="9"/>
        <rFont val="Meiryo UI"/>
        <family val="0"/>
        <charset val="1"/>
      </rPr>
      <t xml:space="preserve">)</t>
    </r>
  </si>
  <si>
    <t xml:space="preserve">⑧シートの残在庫想定列からの転記</t>
  </si>
  <si>
    <r>
      <rPr>
        <sz val="9"/>
        <rFont val="Meiryo UI"/>
        <family val="0"/>
        <charset val="1"/>
      </rPr>
      <t xml:space="preserve">3,271</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</si>
  <si>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</si>
  <si>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b val="true"/>
        <sz val="9"/>
        <rFont val="WenQuanYi Zen Hei"/>
        <family val="2"/>
      </rPr>
      <t xml:space="preserve">★ロジ在庫 </t>
    </r>
    <r>
      <rPr>
        <b val="true"/>
        <sz val="9"/>
        <rFont val="Meiryo UI"/>
        <family val="0"/>
        <charset val="1"/>
      </rPr>
      <t xml:space="preserve">(2026/8/5 </t>
    </r>
    <r>
      <rPr>
        <b val="true"/>
        <sz val="9"/>
        <rFont val="WenQuanYi Zen Hei"/>
        <family val="2"/>
      </rPr>
      <t xml:space="preserve">実棚</t>
    </r>
    <r>
      <rPr>
        <b val="true"/>
        <sz val="9"/>
        <rFont val="Meiryo UI"/>
        <family val="0"/>
        <charset val="1"/>
      </rPr>
      <t xml:space="preserve">)</t>
    </r>
  </si>
  <si>
    <r>
      <rPr>
        <sz val="9"/>
        <rFont val="WenQuanYi Zen Hei"/>
        <family val="2"/>
      </rPr>
      <t xml:space="preserve">（数式なし＝ロジ在庫データの「在庫数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」を転記）</t>
    </r>
  </si>
  <si>
    <r>
      <rPr>
        <sz val="9"/>
        <rFont val="Meiryo UI"/>
        <family val="0"/>
        <charset val="1"/>
      </rPr>
      <t xml:space="preserve">2,268</t>
    </r>
    <r>
      <rPr>
        <sz val="9"/>
        <rFont val="WenQuanYi Zen Hei"/>
        <family val="2"/>
      </rPr>
      <t xml:space="preserve">個（台帳から計算した倉庫残 </t>
    </r>
    <r>
      <rPr>
        <sz val="9"/>
        <rFont val="Meiryo UI"/>
        <family val="0"/>
        <charset val="1"/>
      </rPr>
      <t xml:space="preserve">2,578</t>
    </r>
    <r>
      <rPr>
        <sz val="9"/>
        <rFont val="WenQuanYi Zen Hei"/>
        <family val="2"/>
      </rPr>
      <t xml:space="preserve">個 との差 </t>
    </r>
    <r>
      <rPr>
        <sz val="9"/>
        <rFont val="Meiryo UI"/>
        <family val="0"/>
        <charset val="1"/>
      </rPr>
      <t xml:space="preserve">-310</t>
    </r>
    <r>
      <rPr>
        <sz val="9"/>
        <rFont val="WenQuanYi Zen Hei"/>
        <family val="2"/>
      </rPr>
      <t xml:space="preserve">個）</t>
    </r>
  </si>
  <si>
    <r>
      <rPr>
        <sz val="9"/>
        <rFont val="WenQuanYi Zen Hei"/>
        <family val="2"/>
      </rPr>
      <t xml:space="preserve">ロジ在庫データ（</t>
    </r>
    <r>
      <rPr>
        <sz val="9"/>
        <rFont val="Meiryo UI"/>
        <family val="0"/>
        <charset val="1"/>
      </rPr>
      <t xml:space="preserve">WMS</t>
    </r>
    <r>
      <rPr>
        <sz val="9"/>
        <rFont val="WenQuanYi Zen Hei"/>
        <family val="2"/>
      </rPr>
      <t xml:space="preserve">）</t>
    </r>
    <r>
      <rPr>
        <sz val="9"/>
        <rFont val="Meiryo UI"/>
        <family val="0"/>
        <charset val="1"/>
      </rPr>
      <t xml:space="preserve">CZ05001</t>
    </r>
    <r>
      <rPr>
        <sz val="9"/>
        <rFont val="WenQuanYi Zen Hei"/>
        <family val="2"/>
      </rPr>
      <t xml:space="preserve">／「在庫数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」列。石川会場への出荷が済んだ後の実棚なので、台帳から計算した倉庫残より実態に近い</t>
    </r>
  </si>
  <si>
    <r>
      <rPr>
        <sz val="9"/>
        <rFont val="Meiryo UI"/>
        <family val="0"/>
        <charset val="1"/>
      </rPr>
      <t xml:space="preserve">? / Q</t>
    </r>
    <r>
      <rPr>
        <sz val="9"/>
        <rFont val="WenQuanYi Zen Hei"/>
        <family val="2"/>
      </rPr>
      <t xml:space="preserve">列</t>
    </r>
  </si>
  <si>
    <t xml:space="preserve">石川納品済／差引 倉庫残</t>
  </si>
  <si>
    <r>
      <rPr>
        <sz val="9"/>
        <rFont val="WenQuanYi Zen Hei"/>
        <family val="2"/>
      </rPr>
      <t xml:space="preserve"> ／ </t>
    </r>
    <r>
      <rPr>
        <sz val="9"/>
        <rFont val="Meiryo UI"/>
        <family val="0"/>
        <charset val="1"/>
      </rPr>
      <t xml:space="preserve">=IF(P30="",N30-O30,P30)</t>
    </r>
  </si>
  <si>
    <r>
      <rPr>
        <sz val="9"/>
        <rFont val="Meiryo UI"/>
        <family val="0"/>
        <charset val="1"/>
      </rPr>
      <t xml:space="preserve">693 </t>
    </r>
    <r>
      <rPr>
        <sz val="9"/>
        <rFont val="WenQuanYi Zen Hei"/>
        <family val="2"/>
      </rPr>
      <t xml:space="preserve">／ </t>
    </r>
    <r>
      <rPr>
        <sz val="9"/>
        <rFont val="Meiryo UI"/>
        <family val="0"/>
        <charset val="1"/>
      </rPr>
      <t xml:space="preserve">2,268</t>
    </r>
    <r>
      <rPr>
        <sz val="9"/>
        <rFont val="WenQuanYi Zen Hei"/>
        <family val="2"/>
      </rPr>
      <t xml:space="preserve">個</t>
    </r>
  </si>
  <si>
    <t xml:space="preserve">倉庫残＝仙台以降へ即出荷できる分。ロジ実棚があればそれを、無い品だけ 残在庫−会場納品 で代用する</t>
  </si>
  <si>
    <t xml:space="preserve">追納必要数</t>
  </si>
  <si>
    <r>
      <rPr>
        <sz val="9"/>
        <rFont val="Meiryo UI"/>
        <family val="0"/>
        <charset val="1"/>
      </rPr>
      <t xml:space="preserve">MAX(0, 272−693) </t>
    </r>
    <r>
      <rPr>
        <sz val="9"/>
        <rFont val="WenQuanYi Zen Hei"/>
        <family val="2"/>
      </rPr>
      <t xml:space="preserve">＝ </t>
    </r>
    <r>
      <rPr>
        <sz val="9"/>
        <rFont val="Meiryo UI"/>
        <family val="0"/>
        <charset val="1"/>
      </rPr>
      <t xml:space="preserve">0</t>
    </r>
  </si>
  <si>
    <t xml:space="preserve">会期中に在庫切れになる品だけプラスになる</t>
  </si>
  <si>
    <t xml:space="preserve">返送</t>
  </si>
  <si>
    <r>
      <rPr>
        <sz val="9"/>
        <rFont val="Meiryo UI"/>
        <family val="0"/>
        <charset val="1"/>
      </rPr>
      <t xml:space="preserve">421×100% </t>
    </r>
    <r>
      <rPr>
        <sz val="9"/>
        <rFont val="WenQuanYi Zen Hei"/>
        <family val="2"/>
      </rPr>
      <t xml:space="preserve">＝ </t>
    </r>
    <r>
      <rPr>
        <sz val="9"/>
        <rFont val="Meiryo UI"/>
        <family val="0"/>
        <charset val="1"/>
      </rPr>
      <t xml:space="preserve">421</t>
    </r>
    <r>
      <rPr>
        <sz val="9"/>
        <rFont val="WenQuanYi Zen Hei"/>
        <family val="2"/>
      </rPr>
      <t xml:space="preserve">個</t>
    </r>
  </si>
  <si>
    <r>
      <rPr>
        <sz val="9"/>
        <rFont val="Meiryo UI"/>
        <family val="0"/>
        <charset val="1"/>
      </rPr>
      <t xml:space="preserve">B36</t>
    </r>
    <r>
      <rPr>
        <sz val="9"/>
        <rFont val="WenQuanYi Zen Hei"/>
        <family val="2"/>
      </rPr>
      <t xml:space="preserve">＝スライド率</t>
    </r>
  </si>
  <si>
    <t xml:space="preserve">仙台以降 供給可能計</t>
  </si>
  <si>
    <t xml:space="preserve">=Q30+R30-S30-U30</t>
  </si>
  <si>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</si>
  <si>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倉庫残 − 石川追納 ＋ 石川会期末返送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</si>
  <si>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</si>
  <si>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</si>
  <si>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（鳥取島根 夢みなとタワー入荷）</t>
    </r>
  </si>
  <si>
    <t xml:space="preserve">発注済みなので過不足から差し引く。⑪では緊急度「◎発注確定済」として期限警告から外す</t>
  </si>
  <si>
    <r>
      <rPr>
        <sz val="9"/>
        <rFont val="Meiryo UI"/>
        <family val="0"/>
        <charset val="1"/>
      </rPr>
      <t xml:space="preserve">X</t>
    </r>
    <r>
      <rPr>
        <sz val="9"/>
        <rFont val="WenQuanYi Zen Hei"/>
        <family val="2"/>
      </rPr>
      <t xml:space="preserve">列</t>
    </r>
  </si>
  <si>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</si>
  <si>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=M30-V30-W30</t>
  </si>
  <si>
    <r>
      <rPr>
        <sz val="9"/>
        <rFont val="Meiryo UI"/>
        <family val="0"/>
        <charset val="1"/>
      </rPr>
      <t xml:space="preserve">3,384−2,689−0 </t>
    </r>
    <r>
      <rPr>
        <sz val="9"/>
        <rFont val="WenQuanYi Zen Hei"/>
        <family val="2"/>
      </rPr>
      <t xml:space="preserve">＝ </t>
    </r>
    <r>
      <rPr>
        <sz val="9"/>
        <rFont val="Meiryo UI"/>
        <family val="0"/>
        <charset val="1"/>
      </rPr>
      <t xml:space="preserve">695</t>
    </r>
  </si>
  <si>
    <t xml:space="preserve">プラス＝不足</t>
  </si>
  <si>
    <r>
      <rPr>
        <sz val="9"/>
        <rFont val="Meiryo UI"/>
        <family val="0"/>
        <charset val="1"/>
      </rPr>
      <t xml:space="preserve">Y</t>
    </r>
    <r>
      <rPr>
        <sz val="9"/>
        <rFont val="WenQuanYi Zen Hei"/>
        <family val="2"/>
      </rPr>
      <t xml:space="preserve">列</t>
    </r>
  </si>
  <si>
    <t xml:space="preserve">=MAX(0,X30)</t>
  </si>
  <si>
    <r>
      <rPr>
        <sz val="9"/>
        <rFont val="Meiryo UI"/>
        <family val="0"/>
        <charset val="1"/>
      </rPr>
      <t xml:space="preserve">695</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</si>
  <si>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3,384</t>
    </r>
    <r>
      <rPr>
        <sz val="9"/>
        <rFont val="WenQuanYi Zen Hei"/>
        <family val="2"/>
      </rPr>
      <t xml:space="preserve">個・</t>
    </r>
    <r>
      <rPr>
        <sz val="9"/>
        <rFont val="Meiryo UI"/>
        <family val="0"/>
        <charset val="1"/>
      </rPr>
      <t xml:space="preserve">13</t>
    </r>
    <r>
      <rPr>
        <sz val="9"/>
        <rFont val="WenQuanYi Zen Hei"/>
        <family val="2"/>
      </rPr>
      <t xml:space="preserve">品目</t>
    </r>
  </si>
  <si>
    <r>
      <rPr>
        <sz val="9"/>
        <rFont val="Meiryo UI"/>
        <family val="0"/>
        <charset val="1"/>
      </rPr>
      <t xml:space="preserve">Z</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</si>
  <si>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</si>
  <si>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=IF(Y30&gt;0,ROUNDUP(Y30*(1+'</t>
    </r>
    <r>
      <rPr>
        <sz val="9"/>
        <rFont val="WenQuanYi Zen Hei"/>
        <family val="2"/>
      </rPr>
      <t xml:space="preserve">前提・入力</t>
    </r>
    <r>
      <rPr>
        <sz val="9"/>
        <rFont val="Meiryo UI"/>
        <family val="0"/>
        <charset val="1"/>
      </rPr>
      <t xml:space="preserve">'!$B$34),0),0)</t>
    </r>
  </si>
  <si>
    <r>
      <rPr>
        <sz val="9"/>
        <rFont val="Meiryo UI"/>
        <family val="0"/>
        <charset val="1"/>
      </rPr>
      <t xml:space="preserve">695×1.1 → 765</t>
    </r>
    <r>
      <rPr>
        <sz val="9"/>
        <rFont val="WenQuanYi Zen Hei"/>
        <family val="2"/>
      </rPr>
      <t xml:space="preserve">個</t>
    </r>
  </si>
  <si>
    <r>
      <rPr>
        <sz val="9"/>
        <rFont val="Meiryo UI"/>
        <family val="0"/>
        <charset val="1"/>
      </rPr>
      <t xml:space="preserve">B34</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</si>
  <si>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</si>
  <si>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</si>
  <si>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石川 初</t>
    </r>
    <r>
      <rPr>
        <b val="true"/>
        <sz val="9"/>
        <rFont val="Meiryo UI"/>
        <family val="0"/>
        <charset val="1"/>
      </rPr>
      <t xml:space="preserve">12</t>
    </r>
    <r>
      <rPr>
        <b val="true"/>
        <sz val="9"/>
        <rFont val="WenQuanYi Zen Hei"/>
        <family val="2"/>
      </rPr>
      <t xml:space="preserve">日／</t>
    </r>
    <r>
      <rPr>
        <b val="true"/>
        <sz val="9"/>
        <rFont val="Meiryo UI"/>
        <family val="0"/>
        <charset val="1"/>
      </rPr>
      <t xml:space="preserve">18</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</si>
  <si>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石川予測確定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石川予測確定</t>
    </r>
    <r>
      <rPr>
        <sz val="9"/>
        <rFont val="Meiryo UI"/>
        <family val="0"/>
        <charset val="1"/>
      </rPr>
      <t xml:space="preserve">'!S7</t>
    </r>
  </si>
  <si>
    <r>
      <rPr>
        <sz val="9"/>
        <rFont val="Meiryo UI"/>
        <family val="0"/>
        <charset val="1"/>
      </rPr>
      <t xml:space="preserve">210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693</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</si>
  <si>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</si>
  <si>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</si>
  <si>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</si>
  <si>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</si>
  <si>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39.2% </t>
    </r>
    <r>
      <rPr>
        <sz val="9"/>
        <rFont val="WenQuanYi Zen Hei"/>
        <family val="2"/>
      </rPr>
      <t xml:space="preserve">／ </t>
    </r>
    <r>
      <rPr>
        <sz val="9"/>
        <rFont val="Meiryo UI"/>
        <family val="0"/>
        <charset val="1"/>
      </rPr>
      <t xml:space="preserve">-421</t>
    </r>
  </si>
  <si>
    <t xml:space="preserve">プラス＝会期中に足りない</t>
  </si>
  <si>
    <r>
      <rPr>
        <sz val="9"/>
        <rFont val="Meiryo UI"/>
        <family val="0"/>
        <charset val="1"/>
      </rPr>
      <t xml:space="preserve">J / K</t>
    </r>
    <r>
      <rPr>
        <sz val="9"/>
        <rFont val="WenQuanYi Zen Hei"/>
        <family val="2"/>
      </rPr>
      <t xml:space="preserve">列</t>
    </r>
  </si>
  <si>
    <t xml:space="preserve">石川会期中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</si>
  <si>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'!$B$34),0),0)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</si>
  <si>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</si>
  <si>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B34</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</si>
  <si>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t>
    </r>
    <r>
      <rPr>
        <sz val="9"/>
        <rFont val="WenQuanYi Zen Hei"/>
        <family val="2"/>
      </rPr>
      <t xml:space="preserve">列</t>
    </r>
  </si>
  <si>
    <t xml:space="preserve">仙台以降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</si>
  <si>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仙台以降予測</t>
    </r>
    <r>
      <rPr>
        <sz val="9"/>
        <rFont val="Meiryo UI"/>
        <family val="0"/>
        <charset val="1"/>
      </rPr>
      <t xml:space="preserve">'!M30 </t>
    </r>
    <r>
      <rPr>
        <sz val="9"/>
        <rFont val="WenQuanYi Zen Hei"/>
        <family val="2"/>
      </rPr>
      <t xml:space="preserve">ほか）</t>
    </r>
  </si>
  <si>
    <r>
      <rPr>
        <sz val="9"/>
        <rFont val="Meiryo UI"/>
        <family val="0"/>
        <charset val="1"/>
      </rPr>
      <t xml:space="preserve">3,384 </t>
    </r>
    <r>
      <rPr>
        <sz val="9"/>
        <rFont val="WenQuanYi Zen Hei"/>
        <family val="2"/>
      </rPr>
      <t xml:space="preserve">／ </t>
    </r>
    <r>
      <rPr>
        <sz val="9"/>
        <rFont val="Meiryo UI"/>
        <family val="0"/>
        <charset val="1"/>
      </rPr>
      <t xml:space="preserve">421 </t>
    </r>
    <r>
      <rPr>
        <sz val="9"/>
        <rFont val="WenQuanYi Zen Hei"/>
        <family val="2"/>
      </rPr>
      <t xml:space="preserve">／ </t>
    </r>
    <r>
      <rPr>
        <sz val="9"/>
        <rFont val="Meiryo UI"/>
        <family val="0"/>
        <charset val="1"/>
      </rPr>
      <t xml:space="preserve">2,268</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</si>
  <si>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</si>
  <si>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仙台以降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</si>
  <si>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'!Z30</t>
    </r>
  </si>
  <si>
    <r>
      <rPr>
        <sz val="9"/>
        <rFont val="Meiryo UI"/>
        <family val="0"/>
        <charset val="1"/>
      </rPr>
      <t xml:space="preserve">3,384−421−2,268 </t>
    </r>
    <r>
      <rPr>
        <sz val="9"/>
        <rFont val="WenQuanYi Zen Hei"/>
        <family val="2"/>
      </rPr>
      <t xml:space="preserve">＝ </t>
    </r>
    <r>
      <rPr>
        <sz val="9"/>
        <rFont val="Meiryo UI"/>
        <family val="0"/>
        <charset val="1"/>
      </rPr>
      <t xml:space="preserve">695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</si>
  <si>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</si>
  <si>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</si>
  <si>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</si>
  <si>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765</t>
    </r>
    <r>
      <rPr>
        <sz val="9"/>
        <rFont val="WenQuanYi Zen Hei"/>
        <family val="2"/>
      </rPr>
      <t xml:space="preserve">個 ／ </t>
    </r>
    <r>
      <rPr>
        <sz val="9"/>
        <rFont val="Meiryo UI"/>
        <family val="0"/>
        <charset val="1"/>
      </rPr>
      <t xml:space="preserve">382,500</t>
    </r>
    <r>
      <rPr>
        <sz val="9"/>
        <rFont val="WenQuanYi Zen Hei"/>
        <family val="2"/>
      </rPr>
      <t xml:space="preserve">円</t>
    </r>
  </si>
  <si>
    <t xml:space="preserve">石川会期中分 ＋ 仙台以降分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</si>
  <si>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</si>
  <si>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</si>
  <si>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'!$B$37</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</si>
  <si>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</si>
  <si>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</si>
  <si>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</si>
  <si>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</si>
  <si>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'!$B$38)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</si>
  <si>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</si>
  <si>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B38</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</si>
  <si>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</si>
  <si>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仙台以降不足 ＞ —</t>
    </r>
  </si>
  <si>
    <r>
      <rPr>
        <sz val="9"/>
        <rFont val="Meiryo UI"/>
        <family val="0"/>
        <charset val="1"/>
      </rPr>
      <t xml:space="preserve">Y</t>
    </r>
    <r>
      <rPr>
        <sz val="9"/>
        <rFont val="WenQuanYi Zen Hei"/>
        <family val="2"/>
      </rPr>
      <t xml:space="preserve">列（運営 欠品報告 ）を最優先にする</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</si>
  <si>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</si>
  <si>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</si>
  <si>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</si>
  <si>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</si>
  <si>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</si>
  <si>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</si>
  <si>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</si>
  <si>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</si>
  <si>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</si>
  <si>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</si>
  <si>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</si>
  <si>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</si>
  <si>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</si>
  <si>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1.2952 </t>
    </r>
    <r>
      <rPr>
        <sz val="9"/>
        <rFont val="WenQuanYi Zen Hei"/>
        <family val="2"/>
      </rPr>
      <t xml:space="preserve">／ </t>
    </r>
    <r>
      <rPr>
        <sz val="9"/>
        <rFont val="Meiryo UI"/>
        <family val="0"/>
        <charset val="1"/>
      </rPr>
      <t xml:space="preserve">272</t>
    </r>
    <r>
      <rPr>
        <sz val="9"/>
        <rFont val="WenQuanYi Zen Hei"/>
        <family val="2"/>
      </rPr>
      <t xml:space="preserve">個 ／ </t>
    </r>
    <r>
      <rPr>
        <sz val="9"/>
        <rFont val="Meiryo UI"/>
        <family val="0"/>
        <charset val="1"/>
      </rPr>
      <t xml:space="preserve">136,000</t>
    </r>
    <r>
      <rPr>
        <sz val="9"/>
        <rFont val="WenQuanYi Zen Hei"/>
        <family val="2"/>
      </rPr>
      <t xml:space="preserve">円 ／ </t>
    </r>
    <r>
      <rPr>
        <sz val="9"/>
        <rFont val="Meiryo UI"/>
        <family val="0"/>
        <charset val="1"/>
      </rPr>
      <t xml:space="preserve">3,384</t>
    </r>
    <r>
      <rPr>
        <sz val="9"/>
        <rFont val="WenQuanYi Zen Hei"/>
        <family val="2"/>
      </rPr>
      <t xml:space="preserve">個 ／ </t>
    </r>
    <r>
      <rPr>
        <sz val="9"/>
        <rFont val="Meiryo UI"/>
        <family val="0"/>
        <charset val="1"/>
      </rPr>
      <t xml:space="preserve">2,689</t>
    </r>
    <r>
      <rPr>
        <sz val="9"/>
        <rFont val="WenQuanYi Zen Hei"/>
        <family val="2"/>
      </rPr>
      <t xml:space="preserve">個 ／ </t>
    </r>
    <r>
      <rPr>
        <sz val="9"/>
        <rFont val="Meiryo UI"/>
        <family val="0"/>
        <charset val="1"/>
      </rPr>
      <t xml:space="preserve">695</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</si>
  <si>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</si>
  <si>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</si>
  <si>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J</t>
    </r>
    <r>
      <rPr>
        <sz val="9"/>
        <rFont val="WenQuanYi Zen Hei"/>
        <family val="2"/>
      </rPr>
      <t xml:space="preserve">〜</t>
    </r>
    <r>
      <rPr>
        <sz val="9"/>
        <rFont val="Meiryo UI"/>
        <family val="0"/>
        <charset val="1"/>
      </rPr>
      <t xml:space="preserve">O</t>
    </r>
    <r>
      <rPr>
        <sz val="9"/>
        <rFont val="WenQuanYi Zen Hei"/>
        <family val="2"/>
      </rPr>
      <t xml:space="preserve">列</t>
    </r>
  </si>
  <si>
    <t xml:space="preserve">各会場 構成比</t>
  </si>
  <si>
    <t xml:space="preserve">=IFERROR(E6/E$48,0)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</si>
  <si>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</si>
  <si>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会期全体ベース（石川のみ初</t>
    </r>
    <r>
      <rPr>
        <sz val="9"/>
        <rFont val="Meiryo UI"/>
        <family val="0"/>
        <charset val="1"/>
      </rPr>
      <t xml:space="preserve">12</t>
    </r>
    <r>
      <rPr>
        <sz val="9"/>
        <rFont val="WenQuanYi Zen Hei"/>
        <family val="2"/>
      </rPr>
      <t xml:space="preserve">日実績）</t>
    </r>
  </si>
  <si>
    <r>
      <rPr>
        <b val="true"/>
        <sz val="9"/>
        <rFont val="WenQuanYi Zen Hei"/>
        <family val="2"/>
      </rPr>
      <t xml:space="preserve">石川</t>
    </r>
    <r>
      <rPr>
        <b val="true"/>
        <sz val="9"/>
        <rFont val="Meiryo UI"/>
        <family val="0"/>
        <charset val="1"/>
      </rPr>
      <t xml:space="preserve">18</t>
    </r>
    <r>
      <rPr>
        <b val="true"/>
        <sz val="9"/>
        <rFont val="WenQuanYi Zen Hei"/>
        <family val="2"/>
      </rPr>
      <t xml:space="preserve">日 予測構成比</t>
    </r>
  </si>
  <si>
    <t xml:space="preserve">=L6-I6</t>
  </si>
  <si>
    <t xml:space="preserve">5.28%</t>
  </si>
  <si>
    <t xml:space="preserve">①シートの数量構成比へのリンク</t>
  </si>
  <si>
    <r>
      <rPr>
        <sz val="9"/>
        <rFont val="Meiryo UI"/>
        <family val="0"/>
        <charset val="1"/>
      </rPr>
      <t xml:space="preserve">? / R</t>
    </r>
    <r>
      <rPr>
        <sz val="9"/>
        <rFont val="WenQuanYi Zen Hei"/>
        <family val="2"/>
      </rPr>
      <t xml:space="preserve">列</t>
    </r>
  </si>
  <si>
    <t xml:space="preserve">構成比変化</t>
  </si>
  <si>
    <t xml:space="preserve"> ／ （数式なし＝実績値・転記値の直接入力）</t>
  </si>
  <si>
    <r>
      <rPr>
        <sz val="9"/>
        <rFont val="Meiryo UI"/>
        <family val="0"/>
        <charset val="1"/>
      </rPr>
      <t xml:space="preserve">5.28%−5.70% </t>
    </r>
    <r>
      <rPr>
        <sz val="9"/>
        <rFont val="WenQuanYi Zen Hei"/>
        <family val="2"/>
      </rPr>
      <t xml:space="preserve">＝ </t>
    </r>
    <r>
      <rPr>
        <sz val="9"/>
        <rFont val="Meiryo UI"/>
        <family val="0"/>
        <charset val="1"/>
      </rPr>
      <t xml:space="preserve">-0.42pt</t>
    </r>
  </si>
  <si>
    <r>
      <rPr>
        <sz val="9"/>
        <rFont val="WenQuanYi Zen Hei"/>
        <family val="2"/>
      </rPr>
      <t xml:space="preserve">ポイント差（</t>
    </r>
    <r>
      <rPr>
        <sz val="9"/>
        <rFont val="Meiryo UI"/>
        <family val="0"/>
        <charset val="1"/>
      </rPr>
      <t xml:space="preserve">pt</t>
    </r>
    <r>
      <rPr>
        <sz val="9"/>
        <rFont val="WenQuanYi Zen Hei"/>
        <family val="2"/>
      </rPr>
      <t xml:space="preserve">）で表示。仙台以降の重点商品を選ぶ材料</t>
    </r>
  </si>
  <si>
    <t xml:space="preserve">（数式なし＝実績値・転記値の直接入力）</t>
  </si>
  <si>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</si>
  <si>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</si>
  <si>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</si>
  <si>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</si>
  <si>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</si>
  <si>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</si>
  <si>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703</t>
    </r>
    <r>
      <rPr>
        <sz val="9"/>
        <rFont val="WenQuanYi Zen Hei"/>
        <family val="2"/>
      </rPr>
      <t xml:space="preserve">円</t>
    </r>
    <r>
      <rPr>
        <sz val="9"/>
        <rFont val="Meiryo UI"/>
        <family val="0"/>
        <charset val="1"/>
      </rPr>
      <t xml:space="preserve">/</t>
    </r>
    <r>
      <rPr>
        <sz val="9"/>
        <rFont val="WenQuanYi Zen Hei"/>
        <family val="2"/>
      </rPr>
      <t xml:space="preserve">人 → 石川 </t>
    </r>
    <r>
      <rPr>
        <sz val="9"/>
        <rFont val="Meiryo UI"/>
        <family val="0"/>
        <charset val="1"/>
      </rPr>
      <t xml:space="preserve">639</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</si>
  <si>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</si>
  <si>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</si>
  <si>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</si>
  <si>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</si>
  <si>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</si>
  <si>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</si>
  <si>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</si>
  <si>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</si>
  <si>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</si>
  <si>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</si>
  <si>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</si>
  <si>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</si>
  <si>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</si>
  <si>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</si>
  <si>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</si>
  <si>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</si>
  <si>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</si>
  <si>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</si>
  <si>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</si>
  <si>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</si>
  <si>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</si>
  <si>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2,696 → 5,597 → 3,271</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</si>
  <si>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</si>
  <si>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</si>
  <si>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t xml:space="preserve">（数式なし＝ロジ在庫データの転記）</t>
  </si>
  <si>
    <r>
      <rPr>
        <sz val="9"/>
        <rFont val="Meiryo UI"/>
        <family val="0"/>
        <charset val="1"/>
      </rPr>
      <t xml:space="preserve">2,268</t>
    </r>
    <r>
      <rPr>
        <sz val="9"/>
        <rFont val="WenQuanYi Zen Hei"/>
        <family val="2"/>
      </rPr>
      <t xml:space="preserve">個</t>
    </r>
  </si>
  <si>
    <r>
      <rPr>
        <sz val="9"/>
        <rFont val="WenQuanYi Zen Hei"/>
        <family val="2"/>
      </rPr>
      <t xml:space="preserve">ロジ在庫データに無い品（</t>
    </r>
    <r>
      <rPr>
        <sz val="9"/>
        <rFont val="Meiryo UI"/>
        <family val="0"/>
        <charset val="1"/>
      </rPr>
      <t xml:space="preserve">1</t>
    </r>
    <r>
      <rPr>
        <sz val="9"/>
        <rFont val="WenQuanYi Zen Hei"/>
        <family val="2"/>
      </rPr>
      <t xml:space="preserve">件）は備考に★を出し、台帳の残在庫−会場納品で代用している</t>
    </r>
  </si>
  <si>
    <r>
      <rPr>
        <sz val="9"/>
        <rFont val="Meiryo UI"/>
        <family val="0"/>
        <charset val="1"/>
      </rPr>
      <t xml:space="preserve">J</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</si>
  <si>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</si>
  <si>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</si>
  <si>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3,271×500 </t>
    </r>
    <r>
      <rPr>
        <sz val="9"/>
        <rFont val="WenQuanYi Zen Hei"/>
        <family val="2"/>
      </rPr>
      <t xml:space="preserve">＝ </t>
    </r>
    <r>
      <rPr>
        <sz val="9"/>
        <rFont val="Meiryo UI"/>
        <family val="0"/>
        <charset val="1"/>
      </rPr>
      <t xml:space="preserve">1,635,500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</si>
  <si>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276,521</t>
    </r>
    <r>
      <rPr>
        <sz val="9"/>
        <rFont val="WenQuanYi Zen Hei"/>
        <family val="2"/>
      </rPr>
      <t xml:space="preserve">個（「前提・入力」</t>
    </r>
    <r>
      <rPr>
        <sz val="9"/>
        <rFont val="Meiryo UI"/>
        <family val="0"/>
        <charset val="1"/>
      </rPr>
      <t xml:space="preserve">B35 </t>
    </r>
    <r>
      <rPr>
        <sz val="9"/>
        <rFont val="WenQuanYi Zen Hei"/>
        <family val="2"/>
      </rPr>
      <t xml:space="preserve">に集計）</t>
    </r>
  </si>
  <si>
    <r>
      <rPr>
        <sz val="9"/>
        <rFont val="Meiryo UI"/>
        <family val="0"/>
        <charset val="1"/>
      </rPr>
      <t xml:space="preserve">K</t>
    </r>
    <r>
      <rPr>
        <sz val="9"/>
        <rFont val="WenQuanYi Zen Hei"/>
        <family val="2"/>
      </rPr>
      <t xml:space="preserve">〜</t>
    </r>
    <r>
      <rPr>
        <sz val="9"/>
        <rFont val="Meiryo UI"/>
        <family val="0"/>
        <charset val="1"/>
      </rPr>
      <t xml:space="preserve">?</t>
    </r>
    <r>
      <rPr>
        <sz val="9"/>
        <rFont val="WenQuanYi Zen Hei"/>
        <family val="2"/>
      </rPr>
      <t xml:space="preserve">列</t>
    </r>
  </si>
  <si>
    <r>
      <rPr>
        <b val="true"/>
        <sz val="9"/>
        <rFont val="WenQuanYi Zen Hei"/>
        <family val="2"/>
      </rPr>
      <t xml:space="preserve">石川へ納品／</t>
    </r>
    <r>
      <rPr>
        <b val="true"/>
        <sz val="9"/>
        <rFont val="Meiryo UI"/>
        <family val="0"/>
        <charset val="1"/>
      </rPr>
      <t xml:space="preserve">18</t>
    </r>
    <r>
      <rPr>
        <b val="true"/>
        <sz val="9"/>
        <rFont val="WenQuanYi Zen Hei"/>
        <family val="2"/>
      </rPr>
      <t xml:space="preserve">日予測販売／会期末返送</t>
    </r>
  </si>
  <si>
    <t xml:space="preserve">①シートからのリンク</t>
  </si>
  <si>
    <r>
      <rPr>
        <sz val="9"/>
        <rFont val="Meiryo UI"/>
        <family val="0"/>
        <charset val="1"/>
      </rPr>
      <t xml:space="preserve">693 </t>
    </r>
    <r>
      <rPr>
        <sz val="9"/>
        <rFont val="WenQuanYi Zen Hei"/>
        <family val="2"/>
      </rPr>
      <t xml:space="preserve">／ </t>
    </r>
    <r>
      <rPr>
        <sz val="9"/>
        <rFont val="Meiryo UI"/>
        <family val="0"/>
        <charset val="1"/>
      </rPr>
      <t xml:space="preserve">272 </t>
    </r>
    <r>
      <rPr>
        <sz val="9"/>
        <rFont val="WenQuanYi Zen Hei"/>
        <family val="2"/>
      </rPr>
      <t xml:space="preserve">／ </t>
    </r>
    <r>
      <rPr>
        <sz val="9"/>
        <rFont val="Meiryo UI"/>
        <family val="0"/>
        <charset val="1"/>
      </rPr>
      <t xml:space="preserve">421</t>
    </r>
  </si>
  <si>
    <r>
      <rPr>
        <sz val="9"/>
        <rFont val="Meiryo UI"/>
        <family val="0"/>
        <charset val="1"/>
      </rPr>
      <t xml:space="preserve">P / Q</t>
    </r>
    <r>
      <rPr>
        <sz val="9"/>
        <rFont val="WenQuanYi Zen Hei"/>
        <family val="2"/>
      </rPr>
      <t xml:space="preserve">列</t>
    </r>
  </si>
  <si>
    <t xml:space="preserve">差引 倉庫残／仙台以降 供給可能計</t>
  </si>
  <si>
    <r>
      <rPr>
        <sz val="9"/>
        <rFont val="Meiryo UI"/>
        <family val="0"/>
        <charset val="1"/>
      </rPr>
      <t xml:space="preserve">=IF(I7="",H7-K7,I7) </t>
    </r>
    <r>
      <rPr>
        <sz val="9"/>
        <rFont val="WenQuanYi Zen Hei"/>
        <family val="2"/>
      </rPr>
      <t xml:space="preserve">／ </t>
    </r>
    <r>
      <rPr>
        <sz val="9"/>
        <rFont val="Meiryo UI"/>
        <family val="0"/>
        <charset val="1"/>
      </rPr>
      <t xml:space="preserve">=P7+L7-M7-O7</t>
    </r>
  </si>
  <si>
    <r>
      <rPr>
        <sz val="9"/>
        <rFont val="Meiryo UI"/>
        <family val="0"/>
        <charset val="1"/>
      </rPr>
      <t xml:space="preserve">2,268 </t>
    </r>
    <r>
      <rPr>
        <sz val="9"/>
        <rFont val="WenQuanYi Zen Hei"/>
        <family val="2"/>
      </rPr>
      <t xml:space="preserve">／ </t>
    </r>
    <r>
      <rPr>
        <sz val="9"/>
        <rFont val="Meiryo UI"/>
        <family val="0"/>
        <charset val="1"/>
      </rPr>
      <t xml:space="preserve">2,268−0</t>
    </r>
    <r>
      <rPr>
        <sz val="9"/>
        <rFont val="WenQuanYi Zen Hei"/>
        <family val="2"/>
      </rPr>
      <t xml:space="preserve">＋</t>
    </r>
    <r>
      <rPr>
        <sz val="9"/>
        <rFont val="Meiryo UI"/>
        <family val="0"/>
        <charset val="1"/>
      </rPr>
      <t xml:space="preserve">421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</si>
  <si>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③の供給可能計と必ず一致する（突合用）。倉庫残はロジ実棚を優先し、石川会期中に欠品する品は追納分を差し引く</t>
  </si>
  <si>
    <r>
      <rPr>
        <sz val="9"/>
        <rFont val="Meiryo UI"/>
        <family val="0"/>
        <charset val="1"/>
      </rPr>
      <t xml:space="preserve">R</t>
    </r>
    <r>
      <rPr>
        <sz val="9"/>
        <rFont val="WenQuanYi Zen Hei"/>
        <family val="2"/>
      </rPr>
      <t xml:space="preserve">〜</t>
    </r>
    <r>
      <rPr>
        <sz val="9"/>
        <rFont val="Meiryo UI"/>
        <family val="0"/>
        <charset val="1"/>
      </rPr>
      <t xml:space="preserve">U</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</si>
  <si>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</si>
  <si>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=Q7-R7 </t>
    </r>
    <r>
      <rPr>
        <sz val="9"/>
        <rFont val="WenQuanYi Zen Hei"/>
        <family val="2"/>
      </rPr>
      <t xml:space="preserve">／ </t>
    </r>
    <r>
      <rPr>
        <sz val="9"/>
        <rFont val="Meiryo UI"/>
        <family val="0"/>
        <charset val="1"/>
      </rPr>
      <t xml:space="preserve">=MAX(0,-S7) </t>
    </r>
    <r>
      <rPr>
        <sz val="9"/>
        <rFont val="WenQuanYi Zen Hei"/>
        <family val="2"/>
      </rPr>
      <t xml:space="preserve">／ </t>
    </r>
    <r>
      <rPr>
        <sz val="9"/>
        <rFont val="Meiryo UI"/>
        <family val="0"/>
        <charset val="1"/>
      </rPr>
      <t xml:space="preserve">=IF(T7&gt;0,ROUNDUP(T7*(1+'</t>
    </r>
    <r>
      <rPr>
        <sz val="9"/>
        <rFont val="WenQuanYi Zen Hei"/>
        <family val="2"/>
      </rPr>
      <t xml:space="preserve">前提・入力</t>
    </r>
    <r>
      <rPr>
        <sz val="9"/>
        <rFont val="Meiryo UI"/>
        <family val="0"/>
        <charset val="1"/>
      </rPr>
      <t xml:space="preserve">'!$B$34),0),0)</t>
    </r>
  </si>
  <si>
    <r>
      <rPr>
        <sz val="9"/>
        <rFont val="Meiryo UI"/>
        <family val="0"/>
        <charset val="1"/>
      </rPr>
      <t xml:space="preserve">3,384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695 </t>
    </r>
    <r>
      <rPr>
        <sz val="9"/>
        <rFont val="WenQuanYi Zen Hei"/>
        <family val="2"/>
      </rPr>
      <t xml:space="preserve">／ </t>
    </r>
    <r>
      <rPr>
        <sz val="9"/>
        <rFont val="Meiryo UI"/>
        <family val="0"/>
        <charset val="1"/>
      </rPr>
      <t xml:space="preserve">765</t>
    </r>
  </si>
  <si>
    <t xml:space="preserve">過不足はプラス＝余剰。③の過不足とは符号が逆なので注意</t>
  </si>
  <si>
    <r>
      <rPr>
        <sz val="9"/>
        <rFont val="Meiryo UI"/>
        <family val="0"/>
        <charset val="1"/>
      </rPr>
      <t xml:space="preserve">V</t>
    </r>
    <r>
      <rPr>
        <sz val="9"/>
        <rFont val="WenQuanYi Zen Hei"/>
        <family val="2"/>
      </rPr>
      <t xml:space="preserve">〜</t>
    </r>
    <r>
      <rPr>
        <sz val="9"/>
        <rFont val="Meiryo UI"/>
        <family val="0"/>
        <charset val="1"/>
      </rPr>
      <t xml:space="preserve">X</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</si>
  <si>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</si>
  <si>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</si>
  <si>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</si>
  <si>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</si>
  <si>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=IF(T7&gt;0,"★</t>
    </r>
    <r>
      <rPr>
        <sz val="9"/>
        <rFont val="WenQuanYi Zen Hei"/>
        <family val="2"/>
      </rPr>
      <t xml:space="preserve">欠品：追加生産が必要</t>
    </r>
    <r>
      <rPr>
        <sz val="9"/>
        <rFont val="Meiryo UI"/>
        <family val="0"/>
        <charset val="1"/>
      </rPr>
      <t xml:space="preserve">",IF(S7&gt;=R7*2,"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</si>
  <si>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</si>
  <si>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</si>
  <si>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5</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13</t>
    </r>
    <r>
      <rPr>
        <b val="true"/>
        <sz val="10"/>
        <color rgb="FFFFFFFF"/>
        <rFont val="WenQuanYi Zen Hei"/>
        <family val="2"/>
      </rPr>
      <t xml:space="preserve">行＝会場別サマリー、</t>
    </r>
    <r>
      <rPr>
        <b val="true"/>
        <sz val="10"/>
        <color rgb="FFFFFFFF"/>
        <rFont val="Meiryo UI"/>
        <family val="0"/>
        <charset val="1"/>
      </rPr>
      <t xml:space="preserve">16</t>
    </r>
    <r>
      <rPr>
        <b val="true"/>
        <sz val="10"/>
        <color rgb="FFFFFFFF"/>
        <rFont val="WenQuanYi Zen Hei"/>
        <family val="2"/>
      </rPr>
      <t xml:space="preserve">行＝見出し、</t>
    </r>
    <r>
      <rPr>
        <b val="true"/>
        <sz val="10"/>
        <color rgb="FFFFFFFF"/>
        <rFont val="Meiryo UI"/>
        <family val="0"/>
        <charset val="1"/>
      </rPr>
      <t xml:space="preserve">17</t>
    </r>
    <r>
      <rPr>
        <b val="true"/>
        <sz val="10"/>
        <color rgb="FFFFFFFF"/>
        <rFont val="WenQuanYi Zen Hei"/>
        <family val="2"/>
      </rPr>
      <t xml:space="preserve">〜</t>
    </r>
    <r>
      <rPr>
        <b val="true"/>
        <sz val="10"/>
        <color rgb="FFFFFFFF"/>
        <rFont val="Meiryo UI"/>
        <family val="0"/>
        <charset val="1"/>
      </rPr>
      <t xml:space="preserve">58</t>
    </r>
    <r>
      <rPr>
        <b val="true"/>
        <sz val="10"/>
        <color rgb="FFFFFFFF"/>
        <rFont val="WenQuanYi Zen Hei"/>
        <family val="2"/>
      </rPr>
      <t xml:space="preserve">行＝商品、</t>
    </r>
    <r>
      <rPr>
        <b val="true"/>
        <sz val="10"/>
        <color rgb="FFFFFFFF"/>
        <rFont val="Meiryo UI"/>
        <family val="0"/>
        <charset val="1"/>
      </rPr>
      <t xml:space="preserve">59</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</si>
  <si>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5</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</si>
  <si>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</si>
  <si>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</si>
  <si>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</si>
  <si>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1.212</t>
    </r>
    <r>
      <rPr>
        <sz val="9"/>
        <rFont val="WenQuanYi Zen Hei"/>
        <family val="2"/>
      </rPr>
      <t xml:space="preserve">／博多 </t>
    </r>
    <r>
      <rPr>
        <sz val="9"/>
        <rFont val="Meiryo UI"/>
        <family val="0"/>
        <charset val="1"/>
      </rPr>
      <t xml:space="preserve">1.638</t>
    </r>
    <r>
      <rPr>
        <sz val="9"/>
        <rFont val="WenQuanYi Zen Hei"/>
        <family val="2"/>
      </rPr>
      <t xml:space="preserve">／大阪 </t>
    </r>
    <r>
      <rPr>
        <sz val="9"/>
        <rFont val="Meiryo UI"/>
        <family val="0"/>
        <charset val="1"/>
      </rPr>
      <t xml:space="preserve">1.465</t>
    </r>
    <r>
      <rPr>
        <sz val="9"/>
        <rFont val="WenQuanYi Zen Hei"/>
        <family val="2"/>
      </rPr>
      <t xml:space="preserve">／札幌 </t>
    </r>
    <r>
      <rPr>
        <sz val="9"/>
        <rFont val="Meiryo UI"/>
        <family val="0"/>
        <charset val="1"/>
      </rPr>
      <t xml:space="preserve">1.367</t>
    </r>
    <r>
      <rPr>
        <sz val="9"/>
        <rFont val="WenQuanYi Zen Hei"/>
        <family val="2"/>
      </rPr>
      <t xml:space="preserve">／石川 </t>
    </r>
    <r>
      <rPr>
        <sz val="9"/>
        <rFont val="Meiryo UI"/>
        <family val="0"/>
        <charset val="1"/>
      </rPr>
      <t xml:space="preserve">1.263</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</si>
  <si>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</si>
  <si>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</si>
  <si>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</si>
  <si>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</si>
  <si>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</si>
  <si>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</si>
  <si>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</si>
  <si>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</si>
  <si>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</si>
  <si>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</si>
  <si>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AN / AO</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</si>
  <si>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</si>
  <si>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=G17+N17+U17+AB17 </t>
    </r>
    <r>
      <rPr>
        <sz val="9"/>
        <rFont val="WenQuanYi Zen Hei"/>
        <family val="2"/>
      </rPr>
      <t xml:space="preserve">／ </t>
    </r>
    <r>
      <rPr>
        <sz val="9"/>
        <rFont val="Meiryo UI"/>
        <family val="0"/>
        <charset val="1"/>
      </rPr>
      <t xml:space="preserve">=IFERROR(AN17/AN$59,0)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</si>
  <si>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t>
    </r>
    <r>
      <rPr>
        <sz val="9"/>
        <rFont val="WenQuanYi Zen Hei"/>
        <family val="2"/>
      </rPr>
      <t xml:space="preserve">＋</t>
    </r>
    <r>
      <rPr>
        <sz val="9"/>
        <rFont val="Meiryo UI"/>
        <family val="0"/>
        <charset val="1"/>
      </rPr>
      <t xml:space="preserve">507 </t>
    </r>
    <r>
      <rPr>
        <sz val="9"/>
        <rFont val="WenQuanYi Zen Hei"/>
        <family val="2"/>
      </rPr>
      <t xml:space="preserve">＝ </t>
    </r>
    <r>
      <rPr>
        <sz val="9"/>
        <rFont val="Meiryo UI"/>
        <family val="0"/>
        <charset val="1"/>
      </rPr>
      <t xml:space="preserve">10,205</t>
    </r>
    <r>
      <rPr>
        <sz val="9"/>
        <rFont val="WenQuanYi Zen Hei"/>
        <family val="2"/>
      </rPr>
      <t xml:space="preserve">個</t>
    </r>
  </si>
  <si>
    <r>
      <rPr>
        <sz val="9"/>
        <rFont val="Meiryo UI"/>
        <family val="0"/>
        <charset val="1"/>
      </rPr>
      <t xml:space="preserve">? / AQ</t>
    </r>
    <r>
      <rPr>
        <sz val="9"/>
        <rFont val="WenQuanYi Zen Hei"/>
        <family val="2"/>
      </rPr>
      <t xml:space="preserve">列</t>
    </r>
  </si>
  <si>
    <t xml:space="preserve">石川 予測構成比／仙台以降 適用構成比</t>
  </si>
  <si>
    <r>
      <rPr>
        <sz val="9"/>
        <rFont val="WenQuanYi Zen Hei"/>
        <family val="2"/>
      </rPr>
      <t xml:space="preserve"> ／ </t>
    </r>
    <r>
      <rPr>
        <sz val="9"/>
        <rFont val="Meiryo UI"/>
        <family val="0"/>
        <charset val="1"/>
      </rPr>
      <t xml:space="preserve">='③</t>
    </r>
    <r>
      <rPr>
        <sz val="9"/>
        <rFont val="WenQuanYi Zen Hei"/>
        <family val="2"/>
      </rPr>
      <t xml:space="preserve">仙台以降予測</t>
    </r>
    <r>
      <rPr>
        <sz val="9"/>
        <rFont val="Meiryo UI"/>
        <family val="0"/>
        <charset val="1"/>
      </rPr>
      <t xml:space="preserve">'!H30</t>
    </r>
  </si>
  <si>
    <r>
      <rPr>
        <sz val="9"/>
        <rFont val="Meiryo UI"/>
        <family val="0"/>
        <charset val="1"/>
      </rPr>
      <t xml:space="preserve">5.28% </t>
    </r>
    <r>
      <rPr>
        <sz val="9"/>
        <rFont val="WenQuanYi Zen Hei"/>
        <family val="2"/>
      </rPr>
      <t xml:space="preserve">／ </t>
    </r>
    <r>
      <rPr>
        <sz val="9"/>
        <rFont val="Meiryo UI"/>
        <family val="0"/>
        <charset val="1"/>
      </rPr>
      <t xml:space="preserve">5.491%</t>
    </r>
  </si>
  <si>
    <r>
      <rPr>
        <sz val="9"/>
        <rFont val="Meiryo UI"/>
        <family val="0"/>
        <charset val="1"/>
      </rPr>
      <t xml:space="preserve">AR</t>
    </r>
    <r>
      <rPr>
        <sz val="9"/>
        <rFont val="WenQuanYi Zen Hei"/>
        <family val="2"/>
      </rPr>
      <t xml:space="preserve">列</t>
    </r>
  </si>
  <si>
    <r>
      <rPr>
        <sz val="9"/>
        <rFont val="Meiryo UI"/>
        <family val="0"/>
        <charset val="1"/>
      </rPr>
      <t xml:space="preserve">=IF(AQ17-AO17&gt;=0.005,"↑ </t>
    </r>
    <r>
      <rPr>
        <sz val="9"/>
        <rFont val="WenQuanYi Zen Hei"/>
        <family val="2"/>
      </rPr>
      <t xml:space="preserve">上方修正</t>
    </r>
    <r>
      <rPr>
        <sz val="9"/>
        <rFont val="Meiryo UI"/>
        <family val="0"/>
        <charset val="1"/>
      </rPr>
      <t xml:space="preserve">",IF(AQ17-AO17&lt;=-0.005,"↓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</si>
  <si>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</si>
  <si>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会場の実績構成比と、仙台以降の適用構成比の差で判定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</si>
  <si>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22</t>
    </r>
    <r>
      <rPr>
        <b val="true"/>
        <sz val="10"/>
        <color rgb="FFFFFFFF"/>
        <rFont val="WenQuanYi Zen Hei"/>
        <family val="2"/>
      </rPr>
      <t xml:space="preserve">行＝会場別、</t>
    </r>
    <r>
      <rPr>
        <b val="true"/>
        <sz val="10"/>
        <color rgb="FFFFFFFF"/>
        <rFont val="Meiryo UI"/>
        <family val="0"/>
        <charset val="1"/>
      </rPr>
      <t xml:space="preserve">25</t>
    </r>
    <r>
      <rPr>
        <b val="true"/>
        <sz val="10"/>
        <color rgb="FFFFFFFF"/>
        <rFont val="WenQuanYi Zen Hei"/>
        <family val="2"/>
      </rPr>
      <t xml:space="preserve">行＝見出し、</t>
    </r>
    <r>
      <rPr>
        <b val="true"/>
        <sz val="10"/>
        <color rgb="FFFFFFFF"/>
        <rFont val="Meiryo UI"/>
        <family val="0"/>
        <charset val="1"/>
      </rPr>
      <t xml:space="preserve">26</t>
    </r>
    <r>
      <rPr>
        <b val="true"/>
        <sz val="10"/>
        <color rgb="FFFFFFFF"/>
        <rFont val="WenQuanYi Zen Hei"/>
        <family val="2"/>
      </rPr>
      <t xml:space="preserve">〜</t>
    </r>
    <r>
      <rPr>
        <b val="true"/>
        <sz val="10"/>
        <color rgb="FFFFFFFF"/>
        <rFont val="Meiryo UI"/>
        <family val="0"/>
        <charset val="1"/>
      </rPr>
      <t xml:space="preserve">67</t>
    </r>
    <r>
      <rPr>
        <b val="true"/>
        <sz val="10"/>
        <color rgb="FFFFFFFF"/>
        <rFont val="WenQuanYi Zen Hei"/>
        <family val="2"/>
      </rPr>
      <t xml:space="preserve">行＝商品）</t>
    </r>
  </si>
  <si>
    <t xml:space="preserve">C18:J21</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</si>
  <si>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</si>
  <si>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</si>
  <si>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358,193,925×13.0%×17.1%÷833 </t>
    </r>
    <r>
      <rPr>
        <sz val="9"/>
        <rFont val="WenQuanYi Zen Hei"/>
        <family val="2"/>
      </rPr>
      <t xml:space="preserve">＝ </t>
    </r>
    <r>
      <rPr>
        <sz val="9"/>
        <rFont val="Meiryo UI"/>
        <family val="0"/>
        <charset val="1"/>
      </rPr>
      <t xml:space="preserve">9,536</t>
    </r>
    <r>
      <rPr>
        <sz val="9"/>
        <rFont val="WenQuanYi Zen Hei"/>
        <family val="2"/>
      </rPr>
      <t xml:space="preserve">個（仙台 </t>
    </r>
    <r>
      <rPr>
        <sz val="9"/>
        <rFont val="Meiryo UI"/>
        <family val="0"/>
        <charset val="1"/>
      </rPr>
      <t xml:space="preserve">Ebeans</t>
    </r>
    <r>
      <rPr>
        <sz val="9"/>
        <rFont val="WenQuanYi Zen Hei"/>
        <family val="2"/>
      </rPr>
      <t xml:space="preserve">・シナリオ①）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</si>
  <si>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22</t>
    </r>
    <r>
      <rPr>
        <sz val="9"/>
        <rFont val="WenQuanYi Zen Hei"/>
        <family val="2"/>
      </rPr>
      <t xml:space="preserve">行＝各シナリオの</t>
    </r>
    <r>
      <rPr>
        <sz val="9"/>
        <rFont val="Meiryo UI"/>
        <family val="0"/>
        <charset val="1"/>
      </rPr>
      <t xml:space="preserve">4</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</si>
  <si>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</si>
  <si>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</si>
  <si>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仙台以降予測</t>
    </r>
    <r>
      <rPr>
        <sz val="9"/>
        <rFont val="Meiryo UI"/>
        <family val="0"/>
        <charset val="1"/>
      </rPr>
      <t xml:space="preserve">'!H30 </t>
    </r>
    <r>
      <rPr>
        <sz val="9"/>
        <rFont val="WenQuanYi Zen Hei"/>
        <family val="2"/>
      </rPr>
      <t xml:space="preserve">／ </t>
    </r>
    <r>
      <rPr>
        <sz val="9"/>
        <rFont val="Meiryo UI"/>
        <family val="0"/>
        <charset val="1"/>
      </rPr>
      <t xml:space="preserve">='③</t>
    </r>
    <r>
      <rPr>
        <sz val="9"/>
        <rFont val="WenQuanYi Zen Hei"/>
        <family val="2"/>
      </rPr>
      <t xml:space="preserve">仙台以降予測</t>
    </r>
    <r>
      <rPr>
        <sz val="9"/>
        <rFont val="Meiryo UI"/>
        <family val="0"/>
        <charset val="1"/>
      </rPr>
      <t xml:space="preserve">'!V30</t>
    </r>
  </si>
  <si>
    <r>
      <rPr>
        <sz val="9"/>
        <rFont val="Meiryo UI"/>
        <family val="0"/>
        <charset val="1"/>
      </rPr>
      <t xml:space="preserve">5.491% </t>
    </r>
    <r>
      <rPr>
        <sz val="9"/>
        <rFont val="WenQuanYi Zen Hei"/>
        <family val="2"/>
      </rPr>
      <t xml:space="preserve">／ </t>
    </r>
    <r>
      <rPr>
        <sz val="9"/>
        <rFont val="Meiryo UI"/>
        <family val="0"/>
        <charset val="1"/>
      </rPr>
      <t xml:space="preserve">2,689</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</si>
  <si>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</si>
  <si>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</si>
  <si>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</si>
  <si>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</si>
  <si>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5.491%×61,617 </t>
    </r>
    <r>
      <rPr>
        <sz val="9"/>
        <rFont val="WenQuanYi Zen Hei"/>
        <family val="2"/>
      </rPr>
      <t xml:space="preserve">＝ </t>
    </r>
    <r>
      <rPr>
        <sz val="9"/>
        <rFont val="Meiryo UI"/>
        <family val="0"/>
        <charset val="1"/>
      </rPr>
      <t xml:space="preserve">3,384</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</si>
  <si>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</si>
  <si>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</si>
  <si>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</si>
  <si>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3,384−2,689) </t>
    </r>
    <r>
      <rPr>
        <sz val="9"/>
        <rFont val="WenQuanYi Zen Hei"/>
        <family val="2"/>
      </rPr>
      <t xml:space="preserve">＝ </t>
    </r>
    <r>
      <rPr>
        <sz val="9"/>
        <rFont val="Meiryo UI"/>
        <family val="0"/>
        <charset val="1"/>
      </rPr>
      <t xml:space="preserve">695</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</si>
  <si>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</si>
  <si>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15</t>
    </r>
    <r>
      <rPr>
        <b val="true"/>
        <sz val="10"/>
        <color rgb="FFFFFFFF"/>
        <rFont val="WenQuanYi Zen Hei"/>
        <family val="2"/>
      </rPr>
      <t xml:space="preserve">行目＝見出し、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</si>
  <si>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</si>
  <si>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=IF(ISNUMBER(D16),ROUND(D16*30,0),"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</si>
  <si>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</si>
  <si>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</si>
  <si>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</si>
  <si>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仙台以降予測</t>
    </r>
    <r>
      <rPr>
        <sz val="9"/>
        <rFont val="Meiryo UI"/>
        <family val="0"/>
        <charset val="1"/>
      </rPr>
      <t xml:space="preserve">'!V30</t>
    </r>
  </si>
  <si>
    <r>
      <rPr>
        <sz val="9"/>
        <rFont val="Meiryo UI"/>
        <family val="0"/>
        <charset val="1"/>
      </rPr>
      <t xml:space="preserve">2,689</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</si>
  <si>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</si>
  <si>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</si>
  <si>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会場別の必要数（仙台 </t>
    </r>
    <r>
      <rPr>
        <sz val="9"/>
        <rFont val="Meiryo UI"/>
        <family val="0"/>
        <charset val="1"/>
      </rPr>
      <t xml:space="preserve">Ebeans</t>
    </r>
    <r>
      <rPr>
        <sz val="9"/>
        <rFont val="WenQuanYi Zen Hei"/>
        <family val="2"/>
      </rPr>
      <t xml:space="preserve">〜東京凱旋 東京建物ぴあホール）</t>
    </r>
  </si>
  <si>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2,014</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</si>
  <si>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</si>
  <si>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</si>
  <si>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供給可能在庫−仙台必要数 → </t>
    </r>
    <r>
      <rPr>
        <sz val="9"/>
        <rFont val="Meiryo UI"/>
        <family val="0"/>
        <charset val="1"/>
      </rPr>
      <t xml:space="preserve">=</t>
    </r>
    <r>
      <rPr>
        <sz val="9"/>
        <rFont val="WenQuanYi Zen Hei"/>
        <family val="2"/>
      </rPr>
      <t xml:space="preserve">前の残−神戸阪急必要数 → …と連鎖</t>
    </r>
  </si>
  <si>
    <t xml:space="preserve">2,165 → 1,682 → 1,319 → -695</t>
  </si>
  <si>
    <t xml:space="preserve">マイナスに転じた会場でその商品が欠品する（確定発注の入荷分は加算済み）</t>
  </si>
  <si>
    <r>
      <rPr>
        <sz val="9"/>
        <rFont val="Meiryo UI"/>
        <family val="0"/>
        <charset val="1"/>
      </rPr>
      <t xml:space="preserve">O / P</t>
    </r>
    <r>
      <rPr>
        <sz val="9"/>
        <rFont val="WenQuanYi Zen Hei"/>
        <family val="2"/>
      </rPr>
      <t xml:space="preserve">列</t>
    </r>
  </si>
  <si>
    <t xml:space="preserve">欠品発生会場／会期初日</t>
  </si>
  <si>
    <r>
      <rPr>
        <sz val="9"/>
        <rFont val="Meiryo UI"/>
        <family val="0"/>
        <charset val="1"/>
      </rPr>
      <t xml:space="preserve">=IFS(H16&lt;0,"</t>
    </r>
    <r>
      <rPr>
        <sz val="9"/>
        <rFont val="WenQuanYi Zen Hei"/>
        <family val="2"/>
      </rPr>
      <t xml:space="preserve">仙台 </t>
    </r>
    <r>
      <rPr>
        <sz val="9"/>
        <rFont val="Meiryo UI"/>
        <family val="0"/>
        <charset val="1"/>
      </rPr>
      <t xml:space="preserve">Ebeans",J16&lt;0,"</t>
    </r>
    <r>
      <rPr>
        <sz val="9"/>
        <rFont val="WenQuanYi Zen Hei"/>
        <family val="2"/>
      </rPr>
      <t xml:space="preserve">神戸阪急</t>
    </r>
    <r>
      <rPr>
        <sz val="9"/>
        <rFont val="Meiryo UI"/>
        <family val="0"/>
        <charset val="1"/>
      </rPr>
      <t xml:space="preserve">",L16&lt;0,"</t>
    </r>
    <r>
      <rPr>
        <sz val="9"/>
        <rFont val="WenQuanYi Zen Hei"/>
        <family val="2"/>
      </rPr>
      <t xml:space="preserve">鳥取島根 夢みなとタワー</t>
    </r>
    <r>
      <rPr>
        <sz val="9"/>
        <rFont val="Meiryo UI"/>
        <family val="0"/>
        <charset val="1"/>
      </rPr>
      <t xml:space="preserve">",N16&lt;0,"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</si>
  <si>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</si>
  <si>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</si>
  <si>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Q / R</t>
    </r>
    <r>
      <rPr>
        <sz val="9"/>
        <rFont val="WenQuanYi Zen Hei"/>
        <family val="2"/>
      </rPr>
      <t xml:space="preserve">列</t>
    </r>
  </si>
  <si>
    <t xml:space="preserve">不足数／推奨発注数</t>
  </si>
  <si>
    <r>
      <rPr>
        <sz val="9"/>
        <rFont val="Meiryo UI"/>
        <family val="0"/>
        <charset val="1"/>
      </rPr>
      <t xml:space="preserve">=MAX(0,-N16) </t>
    </r>
    <r>
      <rPr>
        <sz val="9"/>
        <rFont val="WenQuanYi Zen Hei"/>
        <family val="2"/>
      </rPr>
      <t xml:space="preserve">／ </t>
    </r>
    <r>
      <rPr>
        <sz val="9"/>
        <rFont val="Meiryo UI"/>
        <family val="0"/>
        <charset val="1"/>
      </rPr>
      <t xml:space="preserve">=IF(Q16&gt;0,ROUNDUP(Q16*(1+'</t>
    </r>
    <r>
      <rPr>
        <sz val="9"/>
        <rFont val="WenQuanYi Zen Hei"/>
        <family val="2"/>
      </rPr>
      <t xml:space="preserve">前提・入力</t>
    </r>
    <r>
      <rPr>
        <sz val="9"/>
        <rFont val="Meiryo UI"/>
        <family val="0"/>
        <charset val="1"/>
      </rPr>
      <t xml:space="preserve">'!$B$34),0),0)</t>
    </r>
  </si>
  <si>
    <r>
      <rPr>
        <sz val="9"/>
        <rFont val="Meiryo UI"/>
        <family val="0"/>
        <charset val="1"/>
      </rPr>
      <t xml:space="preserve">695</t>
    </r>
    <r>
      <rPr>
        <sz val="9"/>
        <rFont val="WenQuanYi Zen Hei"/>
        <family val="2"/>
      </rPr>
      <t xml:space="preserve">個 ／ </t>
    </r>
    <r>
      <rPr>
        <sz val="9"/>
        <rFont val="Meiryo UI"/>
        <family val="0"/>
        <charset val="1"/>
      </rPr>
      <t xml:space="preserve">765</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</si>
  <si>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</si>
  <si>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=IF(P16="","",IF(NOT(ISNUMBER(D16)),"</t>
    </r>
    <r>
      <rPr>
        <sz val="9"/>
        <rFont val="WenQuanYi Zen Hei"/>
        <family val="2"/>
      </rPr>
      <t xml:space="preserve">再生産不可</t>
    </r>
    <r>
      <rPr>
        <sz val="9"/>
        <rFont val="Meiryo UI"/>
        <family val="0"/>
        <charset val="1"/>
      </rPr>
      <t xml:space="preserve">",P16-E16-'</t>
    </r>
    <r>
      <rPr>
        <sz val="9"/>
        <rFont val="WenQuanYi Zen Hei"/>
        <family val="2"/>
      </rPr>
      <t xml:space="preserve">前提・入力</t>
    </r>
    <r>
      <rPr>
        <sz val="9"/>
        <rFont val="Meiryo UI"/>
        <family val="0"/>
        <charset val="1"/>
      </rPr>
      <t xml:space="preserve">'!$B$37))</t>
    </r>
  </si>
  <si>
    <t xml:space="preserve">★このシートの最終アウトプット</t>
  </si>
  <si>
    <t xml:space="preserve">基準日からの 残日数</t>
  </si>
  <si>
    <r>
      <rPr>
        <sz val="9"/>
        <rFont val="Meiryo UI"/>
        <family val="0"/>
        <charset val="1"/>
      </rPr>
      <t xml:space="preserve">=IF(OR(S16="",S16="</t>
    </r>
    <r>
      <rPr>
        <sz val="9"/>
        <rFont val="WenQuanYi Zen Hei"/>
        <family val="2"/>
      </rPr>
      <t xml:space="preserve">再生産不可</t>
    </r>
    <r>
      <rPr>
        <sz val="9"/>
        <rFont val="Meiryo UI"/>
        <family val="0"/>
        <charset val="1"/>
      </rPr>
      <t xml:space="preserve">"),"",S16-'</t>
    </r>
    <r>
      <rPr>
        <sz val="9"/>
        <rFont val="WenQuanYi Zen Hei"/>
        <family val="2"/>
      </rPr>
      <t xml:space="preserve">前提・入力</t>
    </r>
    <r>
      <rPr>
        <sz val="9"/>
        <rFont val="Meiryo UI"/>
        <family val="0"/>
        <charset val="1"/>
      </rPr>
      <t xml:space="preserve">'!$B$38)</t>
    </r>
  </si>
  <si>
    <r>
      <rPr>
        <sz val="9"/>
        <rFont val="WenQuanYi Zen Hei"/>
        <family val="2"/>
      </rPr>
      <t xml:space="preserve">最終発注期限 − </t>
    </r>
    <r>
      <rPr>
        <sz val="9"/>
        <rFont val="Meiryo UI"/>
        <family val="0"/>
        <charset val="1"/>
      </rPr>
      <t xml:space="preserve">2026/08/26</t>
    </r>
  </si>
  <si>
    <t xml:space="preserve">マイナス＝すでに期限超過</t>
  </si>
  <si>
    <r>
      <rPr>
        <sz val="9"/>
        <rFont val="Meiryo UI"/>
        <family val="0"/>
        <charset val="1"/>
      </rPr>
      <t xml:space="preserve">=IF(O16="","—",IF(S16="</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",IFS(T16&lt;0,"★</t>
    </r>
    <r>
      <rPr>
        <sz val="9"/>
        <rFont val="WenQuanYi Zen Hei"/>
        <family val="2"/>
      </rPr>
      <t xml:space="preserve">期限超過</t>
    </r>
    <r>
      <rPr>
        <sz val="9"/>
        <rFont val="Meiryo UI"/>
        <family val="0"/>
        <charset val="1"/>
      </rPr>
      <t xml:space="preserve">",T16&lt;=30,"★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)",T16&lt;=90,"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</si>
  <si>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</si>
  <si>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</si>
  <si>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</si>
  <si>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</si>
  <si>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</si>
  <si>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</si>
  <si>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</si>
  <si>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r>
      <rPr>
        <b val="true"/>
        <sz val="10"/>
        <color rgb="FFFFFFFF"/>
        <rFont val="WenQuanYi Zen Hei"/>
        <family val="2"/>
      </rPr>
      <t xml:space="preserve">■ ⑬会場別 納品予測（</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行＝会場別サマリー、</t>
    </r>
    <r>
      <rPr>
        <b val="true"/>
        <sz val="10"/>
        <color rgb="FFFFFFFF"/>
        <rFont val="Meiryo UI"/>
        <family val="0"/>
        <charset val="1"/>
      </rPr>
      <t xml:space="preserve">15</t>
    </r>
    <r>
      <rPr>
        <b val="true"/>
        <sz val="10"/>
        <color rgb="FFFFFFFF"/>
        <rFont val="WenQuanYi Zen Hei"/>
        <family val="2"/>
      </rPr>
      <t xml:space="preserve">行＝見出し、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</si>
  <si>
    <t xml:space="preserve">会場別サマリーの表</t>
  </si>
  <si>
    <t xml:space="preserve">会場別 必要数／納品予測数／不足数</t>
  </si>
  <si>
    <r>
      <rPr>
        <sz val="9"/>
        <rFont val="WenQuanYi Zen Hei"/>
        <family val="2"/>
      </rPr>
      <t xml:space="preserve">（下の商品別表の合計。充足率＝納品予測数</t>
    </r>
    <r>
      <rPr>
        <sz val="9"/>
        <rFont val="Meiryo UI"/>
        <family val="0"/>
        <charset val="1"/>
      </rPr>
      <t xml:space="preserve">÷</t>
    </r>
    <r>
      <rPr>
        <sz val="9"/>
        <rFont val="WenQuanYi Zen Hei"/>
        <family val="2"/>
      </rPr>
      <t xml:space="preserve">必要数）</t>
    </r>
  </si>
  <si>
    <r>
      <rPr>
        <sz val="9"/>
        <rFont val="WenQuanYi Zen Hei"/>
        <family val="2"/>
      </rPr>
      <t xml:space="preserve">仙台 必要</t>
    </r>
    <r>
      <rPr>
        <sz val="9"/>
        <rFont val="Meiryo UI"/>
        <family val="0"/>
        <charset val="1"/>
      </rPr>
      <t xml:space="preserve">9,536→</t>
    </r>
    <r>
      <rPr>
        <sz val="9"/>
        <rFont val="WenQuanYi Zen Hei"/>
        <family val="2"/>
      </rPr>
      <t xml:space="preserve">納品</t>
    </r>
    <r>
      <rPr>
        <sz val="9"/>
        <rFont val="Meiryo UI"/>
        <family val="0"/>
        <charset val="1"/>
      </rPr>
      <t xml:space="preserve">9,353</t>
    </r>
    <r>
      <rPr>
        <sz val="9"/>
        <rFont val="WenQuanYi Zen Hei"/>
        <family val="2"/>
      </rPr>
      <t xml:space="preserve">／神戸阪急 必要</t>
    </r>
    <r>
      <rPr>
        <sz val="9"/>
        <rFont val="Meiryo UI"/>
        <family val="0"/>
        <charset val="1"/>
      </rPr>
      <t xml:space="preserve">8,800→</t>
    </r>
    <r>
      <rPr>
        <sz val="9"/>
        <rFont val="WenQuanYi Zen Hei"/>
        <family val="2"/>
      </rPr>
      <t xml:space="preserve">納品</t>
    </r>
    <r>
      <rPr>
        <sz val="9"/>
        <rFont val="Meiryo UI"/>
        <family val="0"/>
        <charset val="1"/>
      </rPr>
      <t xml:space="preserve">8,324</t>
    </r>
    <r>
      <rPr>
        <sz val="9"/>
        <rFont val="WenQuanYi Zen Hei"/>
        <family val="2"/>
      </rPr>
      <t xml:space="preserve">／鳥取島根 必要</t>
    </r>
    <r>
      <rPr>
        <sz val="9"/>
        <rFont val="Meiryo UI"/>
        <family val="0"/>
        <charset val="1"/>
      </rPr>
      <t xml:space="preserve">6,602→</t>
    </r>
    <r>
      <rPr>
        <sz val="9"/>
        <rFont val="WenQuanYi Zen Hei"/>
        <family val="2"/>
      </rPr>
      <t xml:space="preserve">納品</t>
    </r>
    <r>
      <rPr>
        <sz val="9"/>
        <rFont val="Meiryo UI"/>
        <family val="0"/>
        <charset val="1"/>
      </rPr>
      <t xml:space="preserve">6,351</t>
    </r>
    <r>
      <rPr>
        <sz val="9"/>
        <rFont val="WenQuanYi Zen Hei"/>
        <family val="2"/>
      </rPr>
      <t xml:space="preserve">／東京凱旋 必要</t>
    </r>
    <r>
      <rPr>
        <sz val="9"/>
        <rFont val="Meiryo UI"/>
        <family val="0"/>
        <charset val="1"/>
      </rPr>
      <t xml:space="preserve">36,679→</t>
    </r>
    <r>
      <rPr>
        <sz val="9"/>
        <rFont val="WenQuanYi Zen Hei"/>
        <family val="2"/>
      </rPr>
      <t xml:space="preserve">納品</t>
    </r>
    <r>
      <rPr>
        <sz val="9"/>
        <rFont val="Meiryo UI"/>
        <family val="0"/>
        <charset val="1"/>
      </rPr>
      <t xml:space="preserve">34,121</t>
    </r>
  </si>
  <si>
    <t xml:space="preserve">会場ごとの出荷計画と、どの会場から欠品が始まるかを見る表</t>
  </si>
  <si>
    <r>
      <rPr>
        <sz val="9"/>
        <rFont val="Meiryo UI"/>
        <family val="0"/>
        <charset val="1"/>
      </rPr>
      <t xml:space="preserve">E</t>
    </r>
    <r>
      <rPr>
        <sz val="9"/>
        <rFont val="WenQuanYi Zen Hei"/>
        <family val="2"/>
      </rPr>
      <t xml:space="preserve">列</t>
    </r>
  </si>
  <si>
    <t xml:space="preserve">仙台以降 引当可能在庫</t>
  </si>
  <si>
    <t xml:space="preserve">③の供給可能計へのリンク。ここから会場順に引き当てる</t>
  </si>
  <si>
    <t xml:space="preserve">各会場の「期首在庫」列</t>
  </si>
  <si>
    <t xml:space="preserve">期首在庫</t>
  </si>
  <si>
    <r>
      <rPr>
        <sz val="9"/>
        <rFont val="Meiryo UI"/>
        <family val="0"/>
        <charset val="1"/>
      </rPr>
      <t xml:space="preserve">=</t>
    </r>
    <r>
      <rPr>
        <sz val="9"/>
        <rFont val="WenQuanYi Zen Hei"/>
        <family val="2"/>
      </rPr>
      <t xml:space="preserve">前会場の期末在庫（先頭会場は引当可能在庫）＋その会場に入荷する確定発注</t>
    </r>
  </si>
  <si>
    <r>
      <rPr>
        <sz val="9"/>
        <rFont val="Meiryo UI"/>
        <family val="0"/>
        <charset val="1"/>
      </rPr>
      <t xml:space="preserve">2,689</t>
    </r>
    <r>
      <rPr>
        <sz val="9"/>
        <rFont val="WenQuanYi Zen Hei"/>
        <family val="2"/>
      </rPr>
      <t xml:space="preserve">個（仙台）</t>
    </r>
  </si>
  <si>
    <t xml:space="preserve">確定発注は入荷会場の期首在庫に加算する。それ以前の会場では使えない</t>
  </si>
  <si>
    <t xml:space="preserve">各会場の「必要数」列</t>
  </si>
  <si>
    <t xml:space="preserve">必要数（需要）</t>
  </si>
  <si>
    <r>
      <rPr>
        <sz val="9"/>
        <rFont val="Meiryo UI"/>
        <family val="0"/>
        <charset val="1"/>
      </rPr>
      <t xml:space="preserve">=③</t>
    </r>
    <r>
      <rPr>
        <sz val="9"/>
        <rFont val="WenQuanYi Zen Hei"/>
        <family val="2"/>
      </rPr>
      <t xml:space="preserve">シートの会場別 必要数</t>
    </r>
  </si>
  <si>
    <r>
      <rPr>
        <sz val="9"/>
        <rFont val="WenQuanYi Zen Hei"/>
        <family val="2"/>
      </rPr>
      <t xml:space="preserve">按分構成比 </t>
    </r>
    <r>
      <rPr>
        <sz val="9"/>
        <rFont val="Meiryo UI"/>
        <family val="0"/>
        <charset val="1"/>
      </rPr>
      <t xml:space="preserve">× </t>
    </r>
    <r>
      <rPr>
        <sz val="9"/>
        <rFont val="WenQuanYi Zen Hei"/>
        <family val="2"/>
      </rPr>
      <t xml:space="preserve">その会場の</t>
    </r>
    <r>
      <rPr>
        <sz val="9"/>
        <rFont val="Meiryo UI"/>
        <family val="0"/>
        <charset val="1"/>
      </rPr>
      <t xml:space="preserve">LEGS</t>
    </r>
    <r>
      <rPr>
        <sz val="9"/>
        <rFont val="WenQuanYi Zen Hei"/>
        <family val="2"/>
      </rPr>
      <t xml:space="preserve">必要数量</t>
    </r>
  </si>
  <si>
    <t xml:space="preserve">各会場の「★納品予測数」列</t>
  </si>
  <si>
    <t xml:space="preserve">納品予測数（出荷計画）</t>
  </si>
  <si>
    <t xml:space="preserve">=MAX(0,MIN(G16,F16))</t>
  </si>
  <si>
    <r>
      <rPr>
        <sz val="9"/>
        <rFont val="Meiryo UI"/>
        <family val="0"/>
        <charset val="1"/>
      </rPr>
      <t xml:space="preserve">524</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363</t>
    </r>
    <r>
      <rPr>
        <sz val="9"/>
        <rFont val="WenQuanYi Zen Hei"/>
        <family val="2"/>
      </rPr>
      <t xml:space="preserve">／</t>
    </r>
    <r>
      <rPr>
        <sz val="9"/>
        <rFont val="Meiryo UI"/>
        <family val="0"/>
        <charset val="1"/>
      </rPr>
      <t xml:space="preserve">1,119</t>
    </r>
  </si>
  <si>
    <t xml:space="preserve">★このシートの主役。必要数と期首在庫の小さいほうで、在庫が足りていれば必要数と一致する</t>
  </si>
  <si>
    <t xml:space="preserve">各会場の「不足」列</t>
  </si>
  <si>
    <t xml:space="preserve">不足（欠品見込）</t>
  </si>
  <si>
    <r>
      <rPr>
        <sz val="9"/>
        <rFont val="Meiryo UI"/>
        <family val="0"/>
        <charset val="1"/>
      </rPr>
      <t xml:space="preserve">=</t>
    </r>
    <r>
      <rPr>
        <sz val="9"/>
        <rFont val="WenQuanYi Zen Hei"/>
        <family val="2"/>
      </rPr>
      <t xml:space="preserve">必要数 − 納品予測数</t>
    </r>
  </si>
  <si>
    <r>
      <rPr>
        <sz val="9"/>
        <rFont val="Meiryo UI"/>
        <family val="0"/>
        <charset val="1"/>
      </rPr>
      <t xml:space="preserve">0</t>
    </r>
    <r>
      <rPr>
        <sz val="9"/>
        <rFont val="WenQuanYi Zen Hei"/>
        <family val="2"/>
      </rPr>
      <t xml:space="preserve">／</t>
    </r>
    <r>
      <rPr>
        <sz val="9"/>
        <rFont val="Meiryo UI"/>
        <family val="0"/>
        <charset val="1"/>
      </rPr>
      <t xml:space="preserve">0</t>
    </r>
    <r>
      <rPr>
        <sz val="9"/>
        <rFont val="WenQuanYi Zen Hei"/>
        <family val="2"/>
      </rPr>
      <t xml:space="preserve">／</t>
    </r>
    <r>
      <rPr>
        <sz val="9"/>
        <rFont val="Meiryo UI"/>
        <family val="0"/>
        <charset val="1"/>
      </rPr>
      <t xml:space="preserve">0</t>
    </r>
    <r>
      <rPr>
        <sz val="9"/>
        <rFont val="WenQuanYi Zen Hei"/>
        <family val="2"/>
      </rPr>
      <t xml:space="preserve">／</t>
    </r>
    <r>
      <rPr>
        <sz val="9"/>
        <rFont val="Meiryo UI"/>
        <family val="0"/>
        <charset val="1"/>
      </rPr>
      <t xml:space="preserve">895</t>
    </r>
  </si>
  <si>
    <t xml:space="preserve">在庫を会場順に引き当てるので、不足は必ず後半の会場から出る</t>
  </si>
  <si>
    <t xml:space="preserve">各会場の「期末在庫」列</t>
  </si>
  <si>
    <t xml:space="preserve">期末在庫</t>
  </si>
  <si>
    <r>
      <rPr>
        <sz val="9"/>
        <rFont val="Meiryo UI"/>
        <family val="0"/>
        <charset val="1"/>
      </rPr>
      <t xml:space="preserve">=</t>
    </r>
    <r>
      <rPr>
        <sz val="9"/>
        <rFont val="WenQuanYi Zen Hei"/>
        <family val="2"/>
      </rPr>
      <t xml:space="preserve">期首在庫 − 納品予測数</t>
    </r>
  </si>
  <si>
    <t xml:space="preserve">次の会場の期首在庫になる</t>
  </si>
  <si>
    <t xml:space="preserve">最後の会場の期末在庫が会期終了後の余剰</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</si>
  <si>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</si>
  <si>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</si>
  <si>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</si>
  <si>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</si>
  <si>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</si>
  <si>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</si>
  <si>
    <t xml:space="preserve">⑬ 仙台以降 会場別 納品予測数（商品別の出荷計画）</t>
  </si>
  <si>
    <r>
      <rPr>
        <sz val="8"/>
        <color rgb="FF555555"/>
        <rFont val="WenQuanYi Zen Hei"/>
        <family val="2"/>
      </rPr>
      <t xml:space="preserve">納品予測数 ＝ </t>
    </r>
    <r>
      <rPr>
        <sz val="8"/>
        <color rgb="FF555555"/>
        <rFont val="Meiryo UI"/>
        <family val="0"/>
        <charset val="1"/>
      </rPr>
      <t xml:space="preserve">MIN( </t>
    </r>
    <r>
      <rPr>
        <sz val="8"/>
        <color rgb="FF555555"/>
        <rFont val="WenQuanYi Zen Hei"/>
        <family val="2"/>
      </rPr>
      <t xml:space="preserve">その会場の必要数</t>
    </r>
    <r>
      <rPr>
        <sz val="8"/>
        <color rgb="FF555555"/>
        <rFont val="Meiryo UI"/>
        <family val="0"/>
        <charset val="1"/>
      </rPr>
      <t xml:space="preserve">, </t>
    </r>
    <r>
      <rPr>
        <sz val="8"/>
        <color rgb="FF555555"/>
        <rFont val="WenQuanYi Zen Hei"/>
        <family val="2"/>
      </rPr>
      <t xml:space="preserve">その時点で引き当てられる在庫 </t>
    </r>
    <r>
      <rPr>
        <sz val="8"/>
        <color rgb="FF555555"/>
        <rFont val="Meiryo UI"/>
        <family val="0"/>
        <charset val="1"/>
      </rPr>
      <t xml:space="preserve">)</t>
    </r>
    <r>
      <rPr>
        <sz val="8"/>
        <color rgb="FF555555"/>
        <rFont val="WenQuanYi Zen Hei"/>
        <family val="2"/>
      </rPr>
      <t xml:space="preserve">。会場順に在庫を減らしていくので、前の会場で使った分は後の会場には回らない。</t>
    </r>
  </si>
  <si>
    <t xml:space="preserve">必要数は「需要」、納品予測数は「供給の上限を踏まえて実際に出せる数」。両者の差が不足数＝その会場で欠品する数量。確定発注の入荷はその会場の期首在庫に加算している。</t>
  </si>
  <si>
    <r>
      <rPr>
        <sz val="8"/>
        <color rgb="FF555555"/>
        <rFont val="WenQuanYi Zen Hei"/>
        <family val="2"/>
      </rPr>
      <t xml:space="preserve">※在庫は</t>
    </r>
    <r>
      <rPr>
        <sz val="8"/>
        <color rgb="FF555555"/>
        <rFont val="Meiryo UI"/>
        <family val="0"/>
        <charset val="1"/>
      </rPr>
      <t xml:space="preserve">42SKU</t>
    </r>
    <r>
      <rPr>
        <sz val="8"/>
        <color rgb="FF555555"/>
        <rFont val="WenQuanYi Zen Hei"/>
        <family val="2"/>
      </rPr>
      <t xml:space="preserve">一括ではなく商品別に引き当てている。全体では余っていても、商品によっては前半の会場で在庫を使い切って後半で欠品する。</t>
    </r>
  </si>
  <si>
    <r>
      <rPr>
        <b val="true"/>
        <sz val="11"/>
        <color rgb="FFC00000"/>
        <rFont val="WenQuanYi Zen Hei"/>
        <family val="2"/>
      </rPr>
      <t xml:space="preserve">■ 会場別 納品予測サマリー（</t>
    </r>
    <r>
      <rPr>
        <b val="true"/>
        <sz val="11"/>
        <color rgb="FFC00000"/>
        <rFont val="Meiryo UI"/>
        <family val="0"/>
        <charset val="1"/>
      </rPr>
      <t xml:space="preserve">LEGS 42SKU </t>
    </r>
    <r>
      <rPr>
        <b val="true"/>
        <sz val="11"/>
        <color rgb="FFC00000"/>
        <rFont val="WenQuanYi Zen Hei"/>
        <family val="2"/>
      </rPr>
      <t xml:space="preserve">合計）</t>
    </r>
  </si>
  <si>
    <r>
      <rPr>
        <b val="true"/>
        <sz val="9"/>
        <color rgb="FFFFFFFF"/>
        <rFont val="WenQuanYi Zen Hei"/>
        <family val="2"/>
      </rPr>
      <t xml:space="preserve">必要数
</t>
    </r>
    <r>
      <rPr>
        <b val="true"/>
        <sz val="9"/>
        <color rgb="FFFFFFFF"/>
        <rFont val="Meiryo UI"/>
        <family val="0"/>
        <charset val="1"/>
      </rPr>
      <t xml:space="preserve">(</t>
    </r>
    <r>
      <rPr>
        <b val="true"/>
        <sz val="9"/>
        <color rgb="FFFFFFFF"/>
        <rFont val="WenQuanYi Zen Hei"/>
        <family val="2"/>
      </rPr>
      <t xml:space="preserve">需要</t>
    </r>
    <r>
      <rPr>
        <b val="true"/>
        <sz val="9"/>
        <color rgb="FFFFFFFF"/>
        <rFont val="Meiryo UI"/>
        <family val="0"/>
        <charset val="1"/>
      </rPr>
      <t xml:space="preserve">)</t>
    </r>
  </si>
  <si>
    <r>
      <rPr>
        <b val="true"/>
        <sz val="9"/>
        <color rgb="FFFFFFFF"/>
        <rFont val="WenQuanYi Zen Hei"/>
        <family val="2"/>
      </rPr>
      <t xml:space="preserve">納品予測数
</t>
    </r>
    <r>
      <rPr>
        <b val="true"/>
        <sz val="9"/>
        <color rgb="FFFFFFFF"/>
        <rFont val="Meiryo UI"/>
        <family val="0"/>
        <charset val="1"/>
      </rPr>
      <t xml:space="preserve">(</t>
    </r>
    <r>
      <rPr>
        <b val="true"/>
        <sz val="9"/>
        <color rgb="FFFFFFFF"/>
        <rFont val="WenQuanYi Zen Hei"/>
        <family val="2"/>
      </rPr>
      <t xml:space="preserve">出荷計画</t>
    </r>
    <r>
      <rPr>
        <b val="true"/>
        <sz val="9"/>
        <color rgb="FFFFFFFF"/>
        <rFont val="Meiryo UI"/>
        <family val="0"/>
        <charset val="1"/>
      </rPr>
      <t xml:space="preserve">)</t>
    </r>
  </si>
  <si>
    <r>
      <rPr>
        <b val="true"/>
        <sz val="9"/>
        <color rgb="FFFFFFFF"/>
        <rFont val="WenQuanYi Zen Hei"/>
        <family val="2"/>
      </rPr>
      <t xml:space="preserve">不足数
</t>
    </r>
    <r>
      <rPr>
        <b val="true"/>
        <sz val="9"/>
        <color rgb="FFFFFFFF"/>
        <rFont val="Meiryo UI"/>
        <family val="0"/>
        <charset val="1"/>
      </rPr>
      <t xml:space="preserve">(</t>
    </r>
    <r>
      <rPr>
        <b val="true"/>
        <sz val="9"/>
        <color rgb="FFFFFFFF"/>
        <rFont val="WenQuanYi Zen Hei"/>
        <family val="2"/>
      </rPr>
      <t xml:space="preserve">欠品見込</t>
    </r>
    <r>
      <rPr>
        <b val="true"/>
        <sz val="9"/>
        <color rgb="FFFFFFFF"/>
        <rFont val="Meiryo UI"/>
        <family val="0"/>
        <charset val="1"/>
      </rPr>
      <t xml:space="preserve">)</t>
    </r>
  </si>
  <si>
    <t xml:space="preserve">充足率</t>
  </si>
  <si>
    <r>
      <rPr>
        <b val="true"/>
        <sz val="9"/>
        <color rgb="FFFFFFFF"/>
        <rFont val="WenQuanYi Zen Hei"/>
        <family val="2"/>
      </rPr>
      <t xml:space="preserve">納品金額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</si>
  <si>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確定発注の入荷</t>
  </si>
  <si>
    <r>
      <rPr>
        <sz val="9"/>
        <rFont val="WenQuanYi Zen Hei"/>
        <family val="2"/>
      </rPr>
      <t xml:space="preserve">欠品 </t>
    </r>
    <r>
      <rPr>
        <sz val="9"/>
        <rFont val="Meiryo UI"/>
        <family val="0"/>
        <charset val="1"/>
      </rPr>
      <t xml:space="preserve">4</t>
    </r>
    <r>
      <rPr>
        <sz val="9"/>
        <rFont val="WenQuanYi Zen Hei"/>
        <family val="2"/>
      </rPr>
      <t xml:space="preserve">品目：宿儺の指風お菓子 </t>
    </r>
    <r>
      <rPr>
        <sz val="9"/>
        <rFont val="Meiryo UI"/>
        <family val="0"/>
        <charset val="1"/>
      </rPr>
      <t xml:space="preserve">178</t>
    </r>
    <r>
      <rPr>
        <sz val="9"/>
        <rFont val="WenQuanYi Zen Hei"/>
        <family val="2"/>
      </rPr>
      <t xml:space="preserve">個／夏油 傑 イメージリング（</t>
    </r>
    <r>
      <rPr>
        <sz val="9"/>
        <rFont val="Meiryo UI"/>
        <family val="0"/>
        <charset val="1"/>
      </rPr>
      <t xml:space="preserve">#15</t>
    </r>
    <r>
      <rPr>
        <sz val="9"/>
        <rFont val="WenQuanYi Zen Hei"/>
        <family val="2"/>
      </rPr>
      <t xml:space="preserve">） </t>
    </r>
    <r>
      <rPr>
        <sz val="9"/>
        <rFont val="Meiryo UI"/>
        <family val="0"/>
        <charset val="1"/>
      </rPr>
      <t xml:space="preserve">3</t>
    </r>
    <r>
      <rPr>
        <sz val="9"/>
        <rFont val="WenQuanYi Zen Hei"/>
        <family val="2"/>
      </rPr>
      <t xml:space="preserve">個／五条 悟 イメージリング（</t>
    </r>
    <r>
      <rPr>
        <sz val="9"/>
        <rFont val="Meiryo UI"/>
        <family val="0"/>
        <charset val="1"/>
      </rPr>
      <t xml:space="preserve">#13</t>
    </r>
    <r>
      <rPr>
        <sz val="9"/>
        <rFont val="WenQuanYi Zen Hei"/>
        <family val="2"/>
      </rPr>
      <t xml:space="preserve">） </t>
    </r>
    <r>
      <rPr>
        <sz val="9"/>
        <rFont val="Meiryo UI"/>
        <family val="0"/>
        <charset val="1"/>
      </rPr>
      <t xml:space="preserve">1</t>
    </r>
    <r>
      <rPr>
        <sz val="9"/>
        <rFont val="WenQuanYi Zen Hei"/>
        <family val="2"/>
      </rPr>
      <t xml:space="preserve">個／夏油 傑 イメージリング（</t>
    </r>
    <r>
      <rPr>
        <sz val="9"/>
        <rFont val="Meiryo UI"/>
        <family val="0"/>
        <charset val="1"/>
      </rPr>
      <t xml:space="preserve">#13</t>
    </r>
    <r>
      <rPr>
        <sz val="9"/>
        <rFont val="WenQuanYi Zen Hei"/>
        <family val="2"/>
      </rPr>
      <t xml:space="preserve">） </t>
    </r>
    <r>
      <rPr>
        <sz val="9"/>
        <rFont val="Meiryo UI"/>
        <family val="0"/>
        <charset val="1"/>
      </rPr>
      <t xml:space="preserve">1</t>
    </r>
    <r>
      <rPr>
        <sz val="9"/>
        <rFont val="WenQuanYi Zen Hei"/>
        <family val="2"/>
      </rPr>
      <t xml:space="preserve">個</t>
    </r>
  </si>
  <si>
    <r>
      <rPr>
        <sz val="9"/>
        <rFont val="WenQuanYi Zen Hei"/>
        <family val="2"/>
      </rPr>
      <t xml:space="preserve">欠品 </t>
    </r>
    <r>
      <rPr>
        <sz val="9"/>
        <rFont val="Meiryo UI"/>
        <family val="0"/>
        <charset val="1"/>
      </rPr>
      <t xml:space="preserve">7</t>
    </r>
    <r>
      <rPr>
        <sz val="9"/>
        <rFont val="WenQuanYi Zen Hei"/>
        <family val="2"/>
      </rPr>
      <t xml:space="preserve">品目：宿儺の指風お菓子 </t>
    </r>
    <r>
      <rPr>
        <sz val="9"/>
        <rFont val="Meiryo UI"/>
        <family val="0"/>
        <charset val="1"/>
      </rPr>
      <t xml:space="preserve">227</t>
    </r>
    <r>
      <rPr>
        <sz val="9"/>
        <rFont val="WenQuanYi Zen Hei"/>
        <family val="2"/>
      </rPr>
      <t xml:space="preserve">個／脱兎！ポーチ入りクリップセット </t>
    </r>
    <r>
      <rPr>
        <sz val="9"/>
        <rFont val="Meiryo UI"/>
        <family val="0"/>
        <charset val="1"/>
      </rPr>
      <t xml:space="preserve">136</t>
    </r>
    <r>
      <rPr>
        <sz val="9"/>
        <rFont val="WenQuanYi Zen Hei"/>
        <family val="2"/>
      </rPr>
      <t xml:space="preserve">個／前髪ヘアバンド </t>
    </r>
    <r>
      <rPr>
        <sz val="9"/>
        <rFont val="Meiryo UI"/>
        <family val="0"/>
        <charset val="1"/>
      </rPr>
      <t xml:space="preserve">102</t>
    </r>
    <r>
      <rPr>
        <sz val="9"/>
        <rFont val="WenQuanYi Zen Hei"/>
        <family val="2"/>
      </rPr>
      <t xml:space="preserve">個／気分リフレッシュオルゴール </t>
    </r>
    <r>
      <rPr>
        <sz val="9"/>
        <rFont val="Meiryo UI"/>
        <family val="0"/>
        <charset val="1"/>
      </rPr>
      <t xml:space="preserve">4</t>
    </r>
    <r>
      <rPr>
        <sz val="9"/>
        <rFont val="WenQuanYi Zen Hei"/>
        <family val="2"/>
      </rPr>
      <t xml:space="preserve">個　ほか</t>
    </r>
  </si>
  <si>
    <r>
      <rPr>
        <sz val="9"/>
        <rFont val="WenQuanYi Zen Hei"/>
        <family val="2"/>
      </rPr>
      <t xml:space="preserve">宿儺の指風お菓子 </t>
    </r>
    <r>
      <rPr>
        <sz val="9"/>
        <rFont val="Meiryo UI"/>
        <family val="0"/>
        <charset val="1"/>
      </rPr>
      <t xml:space="preserve">1,200SET</t>
    </r>
  </si>
  <si>
    <r>
      <rPr>
        <sz val="9"/>
        <rFont val="WenQuanYi Zen Hei"/>
        <family val="2"/>
      </rPr>
      <t xml:space="preserve">欠品 </t>
    </r>
    <r>
      <rPr>
        <sz val="9"/>
        <rFont val="Meiryo UI"/>
        <family val="0"/>
        <charset val="1"/>
      </rPr>
      <t xml:space="preserve">9</t>
    </r>
    <r>
      <rPr>
        <sz val="9"/>
        <rFont val="WenQuanYi Zen Hei"/>
        <family val="2"/>
      </rPr>
      <t xml:space="preserve">品目：前髪ヘアバンド </t>
    </r>
    <r>
      <rPr>
        <sz val="9"/>
        <rFont val="Meiryo UI"/>
        <family val="0"/>
        <charset val="1"/>
      </rPr>
      <t xml:space="preserve">119</t>
    </r>
    <r>
      <rPr>
        <sz val="9"/>
        <rFont val="WenQuanYi Zen Hei"/>
        <family val="2"/>
      </rPr>
      <t xml:space="preserve">個／脱兎！ポーチ入りクリップセット </t>
    </r>
    <r>
      <rPr>
        <sz val="9"/>
        <rFont val="Meiryo UI"/>
        <family val="0"/>
        <charset val="1"/>
      </rPr>
      <t xml:space="preserve">113</t>
    </r>
    <r>
      <rPr>
        <sz val="9"/>
        <rFont val="WenQuanYi Zen Hei"/>
        <family val="2"/>
      </rPr>
      <t xml:space="preserve">個／気分リフレッシュオルゴール </t>
    </r>
    <r>
      <rPr>
        <sz val="9"/>
        <rFont val="Meiryo UI"/>
        <family val="0"/>
        <charset val="1"/>
      </rPr>
      <t xml:space="preserve">7</t>
    </r>
    <r>
      <rPr>
        <sz val="9"/>
        <rFont val="WenQuanYi Zen Hei"/>
        <family val="2"/>
      </rPr>
      <t xml:space="preserve">個／呪術廻戦 渋谷事変 クリアファイル（脹相） </t>
    </r>
    <r>
      <rPr>
        <sz val="9"/>
        <rFont val="Meiryo UI"/>
        <family val="0"/>
        <charset val="1"/>
      </rPr>
      <t xml:space="preserve">6</t>
    </r>
    <r>
      <rPr>
        <sz val="9"/>
        <rFont val="WenQuanYi Zen Hei"/>
        <family val="2"/>
      </rPr>
      <t xml:space="preserve">個　ほか</t>
    </r>
  </si>
  <si>
    <r>
      <rPr>
        <sz val="9"/>
        <rFont val="WenQuanYi Zen Hei"/>
        <family val="2"/>
      </rPr>
      <t xml:space="preserve">欠品 </t>
    </r>
    <r>
      <rPr>
        <sz val="9"/>
        <rFont val="Meiryo UI"/>
        <family val="0"/>
        <charset val="1"/>
      </rPr>
      <t xml:space="preserve">12</t>
    </r>
    <r>
      <rPr>
        <sz val="9"/>
        <rFont val="WenQuanYi Zen Hei"/>
        <family val="2"/>
      </rPr>
      <t xml:space="preserve">品目：呪術廻戦 メタリックポストカード 展示会キービジュアル </t>
    </r>
    <r>
      <rPr>
        <sz val="9"/>
        <rFont val="Meiryo UI"/>
        <family val="0"/>
        <charset val="1"/>
      </rPr>
      <t xml:space="preserve">895</t>
    </r>
    <r>
      <rPr>
        <sz val="9"/>
        <rFont val="WenQuanYi Zen Hei"/>
        <family val="2"/>
      </rPr>
      <t xml:space="preserve">個／前髪ヘアバンド </t>
    </r>
    <r>
      <rPr>
        <sz val="9"/>
        <rFont val="Meiryo UI"/>
        <family val="0"/>
        <charset val="1"/>
      </rPr>
      <t xml:space="preserve">662</t>
    </r>
    <r>
      <rPr>
        <sz val="9"/>
        <rFont val="WenQuanYi Zen Hei"/>
        <family val="2"/>
      </rPr>
      <t xml:space="preserve">個／脱兎！ポーチ入りクリップセット </t>
    </r>
    <r>
      <rPr>
        <sz val="9"/>
        <rFont val="Meiryo UI"/>
        <family val="0"/>
        <charset val="1"/>
      </rPr>
      <t xml:space="preserve">626</t>
    </r>
    <r>
      <rPr>
        <sz val="9"/>
        <rFont val="WenQuanYi Zen Hei"/>
        <family val="2"/>
      </rPr>
      <t xml:space="preserve">個／呪術廻戦 渋谷事変 クリアファイル（脹相） </t>
    </r>
    <r>
      <rPr>
        <sz val="9"/>
        <rFont val="Meiryo UI"/>
        <family val="0"/>
        <charset val="1"/>
      </rPr>
      <t xml:space="preserve">288</t>
    </r>
    <r>
      <rPr>
        <sz val="9"/>
        <rFont val="WenQuanYi Zen Hei"/>
        <family val="2"/>
      </rPr>
      <t xml:space="preserve">個　ほか</t>
    </r>
  </si>
  <si>
    <t xml:space="preserve">■ 商品別 会場別 納品予測数</t>
  </si>
  <si>
    <t xml:space="preserve">仙台以降
引当可能在庫</t>
  </si>
  <si>
    <t xml:space="preserve">仙台
期首在庫</t>
  </si>
  <si>
    <t xml:space="preserve">仙台
★納品予測数</t>
  </si>
  <si>
    <t xml:space="preserve">仙台
不足</t>
  </si>
  <si>
    <t xml:space="preserve">仙台
期末在庫</t>
  </si>
  <si>
    <t xml:space="preserve">神戸阪急
期首在庫</t>
  </si>
  <si>
    <t xml:space="preserve">神戸阪急
★納品予測数</t>
  </si>
  <si>
    <t xml:space="preserve">神戸阪急
不足</t>
  </si>
  <si>
    <t xml:space="preserve">神戸阪急
期末在庫</t>
  </si>
  <si>
    <t xml:space="preserve">鳥取島根
期首在庫</t>
  </si>
  <si>
    <t xml:space="preserve">鳥取島根
★納品予測数</t>
  </si>
  <si>
    <t xml:space="preserve">鳥取島根
不足</t>
  </si>
  <si>
    <t xml:space="preserve">鳥取島根
期末在庫</t>
  </si>
  <si>
    <t xml:space="preserve">東京凱旋
期首在庫</t>
  </si>
  <si>
    <t xml:space="preserve">東京凱旋
★納品予測数</t>
  </si>
  <si>
    <t xml:space="preserve">東京凱旋
不足</t>
  </si>
  <si>
    <t xml:space="preserve">東京凱旋
期末在庫</t>
  </si>
  <si>
    <t xml:space="preserve">納品予測数
合計</t>
  </si>
  <si>
    <t xml:space="preserve">不足数
合計</t>
  </si>
  <si>
    <r>
      <rPr>
        <b val="true"/>
        <sz val="9"/>
        <color rgb="FFFFFFFF"/>
        <rFont val="WenQuanYi Zen Hei"/>
        <family val="2"/>
      </rPr>
      <t xml:space="preserve">納品金額 合計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</si>
  <si>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★東京凱旋 で欠品。追加発注しない場合はこの会場から品切れになる</t>
  </si>
  <si>
    <r>
      <rPr>
        <sz val="9"/>
        <rFont val="WenQuanYi Zen Hei"/>
        <family val="2"/>
      </rPr>
      <t xml:space="preserve">★予備持出 </t>
    </r>
    <r>
      <rPr>
        <sz val="9"/>
        <rFont val="Meiryo UI"/>
        <family val="0"/>
        <charset val="1"/>
      </rPr>
      <t xml:space="preserve">4</t>
    </r>
    <r>
      <rPr>
        <sz val="9"/>
        <rFont val="WenQuanYi Zen Hei"/>
        <family val="2"/>
      </rPr>
      <t xml:space="preserve">個を引当可能在庫から除外済み</t>
    </r>
  </si>
  <si>
    <t xml:space="preserve">★鳥取島根・東京凱旋 で欠品。追加発注しない場合はこの会場から品切れになる</t>
  </si>
  <si>
    <t xml:space="preserve">再生産不可。現有在庫の範囲で配分する</t>
  </si>
  <si>
    <t xml:space="preserve">★神戸阪急・鳥取島根・東京凱旋 で欠品。追加発注しない場合はこの会場から品切れになる</t>
  </si>
  <si>
    <r>
      <rPr>
        <sz val="9"/>
        <rFont val="WenQuanYi Zen Hei"/>
        <family val="2"/>
      </rPr>
      <t xml:space="preserve">★仙台・神戸阪急 で欠品。追加発注しない場合はこの会場から品切れになる ／ ◎</t>
    </r>
    <r>
      <rPr>
        <sz val="9"/>
        <rFont val="Meiryo UI"/>
        <family val="0"/>
        <charset val="1"/>
      </rPr>
      <t xml:space="preserve">1,200SET </t>
    </r>
    <r>
      <rPr>
        <sz val="9"/>
        <rFont val="WenQuanYi Zen Hei"/>
        <family val="2"/>
      </rPr>
      <t xml:space="preserve">を 鳥取島根 夢みなとタワー の期首在庫に加算済み ／ 【賞味期限】石川 香林坊大和 までが販売期限</t>
    </r>
  </si>
  <si>
    <t xml:space="preserve">★仙台・神戸阪急・鳥取島根・東京凱旋 で欠品。追加発注しない場合はこの会場から品切れになる</t>
  </si>
  <si>
    <t xml:space="preserve">■ 読み方と使いかた</t>
  </si>
  <si>
    <t xml:space="preserve">必要数と納品予測数の違い</t>
  </si>
  <si>
    <t xml:space="preserve">必要数はその会場で売れると見込む数（需要）。納品予測数は在庫の制約を織り込んだ出荷計画で、在庫が足りていれば両者は一致する。</t>
  </si>
  <si>
    <t xml:space="preserve">不足が出る会場</t>
  </si>
  <si>
    <t xml:space="preserve">在庫を会場順に引き当てるので、不足は必ず後半の会場から出る。前半の会場に多めに送ると後半の欠品が増える点に注意。</t>
  </si>
  <si>
    <t xml:space="preserve">確定発注の扱い</t>
  </si>
  <si>
    <t xml:space="preserve">入荷予定の会場の期首在庫に加算している。それ以前の会場では使えないので、入荷会場より前で欠品する場合は発注時期の前倒しが要る。</t>
  </si>
  <si>
    <t xml:space="preserve">納品金額</t>
  </si>
  <si>
    <r>
      <rPr>
        <sz val="9"/>
        <rFont val="WenQuanYi Zen Hei"/>
        <family val="2"/>
      </rPr>
      <t xml:space="preserve">税込小売価格 </t>
    </r>
    <r>
      <rPr>
        <sz val="9"/>
        <rFont val="Meiryo UI"/>
        <family val="0"/>
        <charset val="1"/>
      </rPr>
      <t xml:space="preserve">× </t>
    </r>
    <r>
      <rPr>
        <sz val="9"/>
        <rFont val="WenQuanYi Zen Hei"/>
        <family val="2"/>
      </rPr>
      <t xml:space="preserve">納品予測数。会場ごとの物販売上の目安として使う（原価ではない）。</t>
    </r>
  </si>
  <si>
    <t xml:space="preserve">この表で決めること</t>
  </si>
  <si>
    <t xml:space="preserve">各会場への出荷数量と、どの会場から欠品が始まるか。追加発注の要否・期限は⑪シート、商品別の過不足は③シートを参照。</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</si>
</sst>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9">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7030A0"/>
        <bgColor rgb="FF993366"/>
      </patternFill>
    </fill>
    <fill>
      <patternFill patternType="solid">
        <fgColor rgb="FF1F6FB5"/>
        <bgColor rgb="FF2E5C8A"/>
      </patternFill>
    </fill>
    <fill>
      <patternFill patternType="solid">
        <fgColor rgb="FF806000"/>
        <bgColor rgb="FF7B3F00"/>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548235"/>
        <bgColor rgb="FF7B7B7B"/>
      </patternFill>
    </fill>
    <fill>
      <patternFill patternType="solid">
        <fgColor rgb="FF7B3F00"/>
        <bgColor rgb="FF806000"/>
      </patternFill>
    </fill>
    <fill>
      <patternFill patternType="solid">
        <fgColor rgb="FFFFC7CE"/>
        <bgColor rgb="FFFFEB9C"/>
      </patternFill>
    </fill>
    <fill>
      <patternFill patternType="solid">
        <fgColor rgb="FF375623"/>
        <bgColor rgb="FF555555"/>
      </patternFill>
    </fill>
    <fill>
      <patternFill patternType="solid">
        <fgColor rgb="FFC55A11"/>
        <bgColor rgb="FF8060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4"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5"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5"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4"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64" fontId="16" fillId="10" borderId="0" xfId="0" applyFont="true" applyBorder="false" applyAlignment="true" applyProtection="false">
      <alignment horizontal="general" vertical="bottom"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8"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5" borderId="1" xfId="0" applyFont="true" applyBorder="true" applyAlignment="true" applyProtection="false">
      <alignment horizontal="left" vertical="center" textRotation="0" wrapText="false" indent="0" shrinkToFit="false"/>
      <protection locked="true" hidden="false"/>
    </xf>
    <xf numFmtId="169" fontId="12" fillId="15"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6000"/>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548235"/>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3.4" hidden="false" customHeight="false" outlineLevel="0" collapsed="false">
      <c r="A28" s="5" t="s">
        <v>48</v>
      </c>
      <c r="B28" s="7" t="s">
        <v>47</v>
      </c>
    </row>
    <row r="29" customFormat="false" ht="13.4" hidden="false" customHeight="false" outlineLevel="0" collapsed="false">
      <c r="A29" s="5" t="s">
        <v>49</v>
      </c>
      <c r="B29" s="7" t="s">
        <v>50</v>
      </c>
    </row>
    <row r="30" customFormat="false" ht="13.4" hidden="false" customHeight="false" outlineLevel="0" collapsed="false">
      <c r="A30" s="5" t="s">
        <v>51</v>
      </c>
      <c r="B30" s="7" t="s">
        <v>50</v>
      </c>
    </row>
    <row r="31" customFormat="false" ht="13.4" hidden="false" customHeight="false" outlineLevel="0" collapsed="false">
      <c r="A31" s="5" t="s">
        <v>52</v>
      </c>
      <c r="B31" s="7" t="s">
        <v>53</v>
      </c>
    </row>
    <row r="32" customFormat="false" ht="13.4" hidden="false" customHeight="false" outlineLevel="0" collapsed="false">
      <c r="A32" s="5" t="s">
        <v>54</v>
      </c>
      <c r="B32" s="7" t="s">
        <v>55</v>
      </c>
    </row>
    <row r="33" customFormat="false" ht="15" hidden="false" customHeight="false" outlineLevel="0" collapsed="false">
      <c r="A33" s="5" t="s">
        <v>56</v>
      </c>
      <c r="B33" s="7" t="s">
        <v>57</v>
      </c>
    </row>
    <row r="34" customFormat="false" ht="15" hidden="false" customHeight="false" outlineLevel="0" collapsed="false">
      <c r="A34" s="5" t="s">
        <v>58</v>
      </c>
      <c r="B34" s="6" t="s">
        <v>59</v>
      </c>
    </row>
    <row r="36" customFormat="false" ht="15" hidden="false" customHeight="false" outlineLevel="0" collapsed="false">
      <c r="A36" s="4" t="s">
        <v>60</v>
      </c>
    </row>
    <row r="37" customFormat="false" ht="15" hidden="false" customHeight="false" outlineLevel="0" collapsed="false">
      <c r="A37" s="5" t="s">
        <v>61</v>
      </c>
      <c r="B37" s="6" t="s">
        <v>62</v>
      </c>
    </row>
    <row r="38" customFormat="false" ht="15" hidden="false" customHeight="false" outlineLevel="0" collapsed="false">
      <c r="A38" s="5" t="s">
        <v>63</v>
      </c>
      <c r="B38" s="6" t="s">
        <v>64</v>
      </c>
    </row>
    <row r="39" customFormat="false" ht="15" hidden="false" customHeight="false" outlineLevel="0" collapsed="false">
      <c r="A39" s="5" t="s">
        <v>65</v>
      </c>
      <c r="B39" s="6" t="s">
        <v>66</v>
      </c>
    </row>
    <row r="40" customFormat="false" ht="15" hidden="false" customHeight="false" outlineLevel="0" collapsed="false">
      <c r="A40" s="5" t="s">
        <v>67</v>
      </c>
      <c r="B40" s="6" t="s">
        <v>64</v>
      </c>
    </row>
    <row r="41" customFormat="false" ht="15" hidden="false" customHeight="false" outlineLevel="0" collapsed="false">
      <c r="A41" s="5" t="s">
        <v>68</v>
      </c>
      <c r="B41" s="6" t="s">
        <v>69</v>
      </c>
    </row>
    <row r="42" customFormat="false" ht="15" hidden="false" customHeight="false" outlineLevel="0" collapsed="false">
      <c r="A42" s="5" t="s">
        <v>70</v>
      </c>
      <c r="B42" s="7" t="s">
        <v>71</v>
      </c>
    </row>
    <row r="43" customFormat="false" ht="15" hidden="false" customHeight="false" outlineLevel="0" collapsed="false">
      <c r="A43" s="5" t="s">
        <v>72</v>
      </c>
      <c r="B43" s="7" t="s">
        <v>73</v>
      </c>
    </row>
    <row r="44" customFormat="false" ht="15" hidden="false" customHeight="false" outlineLevel="0" collapsed="false">
      <c r="A44" s="9"/>
      <c r="B44" s="6" t="s">
        <v>74</v>
      </c>
    </row>
    <row r="45" customFormat="false" ht="15" hidden="false" customHeight="false" outlineLevel="0" collapsed="false">
      <c r="A45" s="9"/>
      <c r="B45" s="7" t="s">
        <v>75</v>
      </c>
    </row>
    <row r="46" customFormat="false" ht="15" hidden="false" customHeight="false" outlineLevel="0" collapsed="false">
      <c r="A46" s="5" t="s">
        <v>76</v>
      </c>
      <c r="B46" s="7" t="s">
        <v>77</v>
      </c>
    </row>
    <row r="47" customFormat="false" ht="15" hidden="false" customHeight="false" outlineLevel="0" collapsed="false">
      <c r="A47" s="5" t="s">
        <v>78</v>
      </c>
      <c r="B47" s="6"/>
    </row>
    <row r="48" customFormat="false" ht="15" hidden="false" customHeight="false" outlineLevel="0" collapsed="false">
      <c r="A48" s="5" t="s">
        <v>79</v>
      </c>
      <c r="B48" s="7" t="s">
        <v>80</v>
      </c>
    </row>
    <row r="49" customFormat="false" ht="15" hidden="false" customHeight="false" outlineLevel="0" collapsed="false">
      <c r="A49" s="9"/>
      <c r="B49" s="7" t="s">
        <v>81</v>
      </c>
    </row>
    <row r="51" customFormat="false" ht="15" hidden="false" customHeight="false" outlineLevel="0" collapsed="false">
      <c r="A51" s="4" t="s">
        <v>82</v>
      </c>
    </row>
    <row r="52" customFormat="false" ht="13.4" hidden="false" customHeight="false" outlineLevel="0" collapsed="false">
      <c r="A52" s="5" t="s">
        <v>83</v>
      </c>
      <c r="B52" s="7" t="s">
        <v>84</v>
      </c>
    </row>
    <row r="53" customFormat="false" ht="15" hidden="false" customHeight="false" outlineLevel="0" collapsed="false">
      <c r="A53" s="9"/>
      <c r="B53" s="7" t="s">
        <v>85</v>
      </c>
    </row>
    <row r="54" customFormat="false" ht="13.4" hidden="false" customHeight="false" outlineLevel="0" collapsed="false">
      <c r="A54" s="5" t="s">
        <v>86</v>
      </c>
      <c r="B54" s="7" t="s">
        <v>87</v>
      </c>
    </row>
    <row r="55" customFormat="false" ht="15" hidden="false" customHeight="false" outlineLevel="0" collapsed="false">
      <c r="A55" s="9"/>
      <c r="B55" s="7" t="s">
        <v>88</v>
      </c>
    </row>
    <row r="56" customFormat="false" ht="15" hidden="false" customHeight="false" outlineLevel="0" collapsed="false">
      <c r="A56" s="5" t="s">
        <v>89</v>
      </c>
      <c r="B56" s="7" t="s">
        <v>90</v>
      </c>
    </row>
    <row r="57" customFormat="false" ht="15" hidden="false" customHeight="false" outlineLevel="0" collapsed="false">
      <c r="A57" s="9"/>
      <c r="B57" s="7" t="s">
        <v>91</v>
      </c>
    </row>
    <row r="58" customFormat="false" ht="15" hidden="false" customHeight="false" outlineLevel="0" collapsed="false">
      <c r="A58" s="9"/>
      <c r="B58" s="7" t="s">
        <v>92</v>
      </c>
    </row>
    <row r="59" customFormat="false" ht="15" hidden="false" customHeight="false" outlineLevel="0" collapsed="false">
      <c r="A59" s="5" t="s">
        <v>93</v>
      </c>
      <c r="B59" s="7" t="s">
        <v>94</v>
      </c>
    </row>
    <row r="60" customFormat="false" ht="15" hidden="false" customHeight="false" outlineLevel="0" collapsed="false">
      <c r="A60" s="5" t="s">
        <v>95</v>
      </c>
      <c r="B60" s="7" t="s">
        <v>96</v>
      </c>
    </row>
    <row r="61" customFormat="false" ht="15" hidden="false" customHeight="false" outlineLevel="0" collapsed="false">
      <c r="A61" s="9"/>
      <c r="B61" s="6" t="s">
        <v>97</v>
      </c>
    </row>
    <row r="62" customFormat="false" ht="15" hidden="false" customHeight="false" outlineLevel="0" collapsed="false">
      <c r="A62" s="5" t="s">
        <v>98</v>
      </c>
      <c r="B62" s="7" t="s">
        <v>99</v>
      </c>
    </row>
    <row r="63" customFormat="false" ht="15" hidden="false" customHeight="false" outlineLevel="0" collapsed="false">
      <c r="A63" s="9"/>
      <c r="B63" s="7" t="s">
        <v>100</v>
      </c>
    </row>
    <row r="65" customFormat="false" ht="15" hidden="false" customHeight="false" outlineLevel="0" collapsed="false">
      <c r="A65" s="4" t="s">
        <v>101</v>
      </c>
    </row>
    <row r="66" customFormat="false" ht="15" hidden="false" customHeight="false" outlineLevel="0" collapsed="false">
      <c r="A66" s="5" t="s">
        <v>102</v>
      </c>
      <c r="B66" s="7" t="s">
        <v>103</v>
      </c>
    </row>
    <row r="67" customFormat="false" ht="13.4" hidden="false" customHeight="false" outlineLevel="0" collapsed="false">
      <c r="A67" s="5" t="s">
        <v>104</v>
      </c>
      <c r="B67" s="6" t="s">
        <v>105</v>
      </c>
    </row>
    <row r="68" customFormat="false" ht="15" hidden="false" customHeight="false" outlineLevel="0" collapsed="false">
      <c r="A68" s="5" t="s">
        <v>106</v>
      </c>
      <c r="B68" s="7" t="s">
        <v>107</v>
      </c>
    </row>
    <row r="69" customFormat="false" ht="15" hidden="false" customHeight="false" outlineLevel="0" collapsed="false">
      <c r="A69" s="5" t="s">
        <v>108</v>
      </c>
      <c r="B69" s="7" t="s">
        <v>109</v>
      </c>
    </row>
    <row r="70" customFormat="false" ht="13.4" hidden="false" customHeight="false" outlineLevel="0" collapsed="false">
      <c r="A70" s="8" t="s">
        <v>110</v>
      </c>
      <c r="B70" s="7" t="s">
        <v>111</v>
      </c>
    </row>
    <row r="72" customFormat="false" ht="15" hidden="false" customHeight="false" outlineLevel="0" collapsed="false">
      <c r="A72" s="4" t="s">
        <v>112</v>
      </c>
    </row>
    <row r="73" customFormat="false" ht="15" hidden="false" customHeight="false" outlineLevel="0" collapsed="false">
      <c r="A73" s="5" t="s">
        <v>113</v>
      </c>
      <c r="B73" s="7" t="s">
        <v>114</v>
      </c>
    </row>
    <row r="74" customFormat="false" ht="13.4" hidden="false" customHeight="false" outlineLevel="0" collapsed="false">
      <c r="A74" s="8" t="s">
        <v>115</v>
      </c>
      <c r="B74" s="7" t="s">
        <v>116</v>
      </c>
    </row>
    <row r="75" customFormat="false" ht="13.4" hidden="false" customHeight="false" outlineLevel="0" collapsed="false">
      <c r="A75" s="8" t="s">
        <v>117</v>
      </c>
      <c r="B75" s="6" t="s">
        <v>118</v>
      </c>
    </row>
    <row r="76" customFormat="false" ht="15" hidden="false" customHeight="false" outlineLevel="0" collapsed="false">
      <c r="A76" s="5" t="s">
        <v>119</v>
      </c>
      <c r="B76" s="7" t="s">
        <v>120</v>
      </c>
    </row>
    <row r="77" customFormat="false" ht="15" hidden="false" customHeight="false" outlineLevel="0" collapsed="false">
      <c r="A77" s="5" t="s">
        <v>121</v>
      </c>
      <c r="B77" s="7" t="s">
        <v>122</v>
      </c>
    </row>
    <row r="79" customFormat="false" ht="15" hidden="false" customHeight="false" outlineLevel="0" collapsed="false">
      <c r="A79" s="4" t="s">
        <v>123</v>
      </c>
    </row>
    <row r="80" customFormat="false" ht="15" hidden="false" customHeight="false" outlineLevel="0" collapsed="false">
      <c r="A80" s="5" t="s">
        <v>124</v>
      </c>
      <c r="B80" s="7" t="s">
        <v>125</v>
      </c>
    </row>
    <row r="81" customFormat="false" ht="15" hidden="false" customHeight="false" outlineLevel="0" collapsed="false">
      <c r="A81" s="9"/>
      <c r="B81" s="7" t="s">
        <v>126</v>
      </c>
    </row>
    <row r="82" customFormat="false" ht="13.4" hidden="false" customHeight="false" outlineLevel="0" collapsed="false">
      <c r="A82" s="5" t="s">
        <v>127</v>
      </c>
      <c r="B82" s="7" t="s">
        <v>128</v>
      </c>
    </row>
    <row r="83" customFormat="false" ht="13.4" hidden="false" customHeight="false" outlineLevel="0" collapsed="false">
      <c r="A83" s="8" t="s">
        <v>129</v>
      </c>
      <c r="B83" s="7" t="s">
        <v>130</v>
      </c>
    </row>
    <row r="84" customFormat="false" ht="15" hidden="false" customHeight="false" outlineLevel="0" collapsed="false">
      <c r="A84" s="9"/>
      <c r="B84" s="6" t="s">
        <v>131</v>
      </c>
    </row>
    <row r="85" customFormat="false" ht="15" hidden="false" customHeight="false" outlineLevel="0" collapsed="false">
      <c r="A85" s="5" t="s">
        <v>132</v>
      </c>
      <c r="B85" s="7" t="s">
        <v>133</v>
      </c>
    </row>
    <row r="86" customFormat="false" ht="15" hidden="false" customHeight="false" outlineLevel="0" collapsed="false">
      <c r="A86" s="9"/>
      <c r="B86" s="7" t="s">
        <v>134</v>
      </c>
    </row>
    <row r="87" customFormat="false" ht="15" hidden="false" customHeight="false" outlineLevel="0" collapsed="false">
      <c r="A87" s="5" t="s">
        <v>135</v>
      </c>
      <c r="B87" s="7" t="s">
        <v>136</v>
      </c>
    </row>
    <row r="88" customFormat="false" ht="15" hidden="false" customHeight="false" outlineLevel="0" collapsed="false">
      <c r="A88" s="9"/>
      <c r="B88" s="7" t="s">
        <v>137</v>
      </c>
    </row>
    <row r="90" customFormat="false" ht="15" hidden="false" customHeight="false" outlineLevel="0" collapsed="false">
      <c r="A90" s="4" t="s">
        <v>138</v>
      </c>
    </row>
    <row r="91" customFormat="false" ht="15" hidden="false" customHeight="false" outlineLevel="0" collapsed="false">
      <c r="A91" s="5" t="s">
        <v>139</v>
      </c>
      <c r="B91" s="7" t="s">
        <v>140</v>
      </c>
    </row>
    <row r="92" customFormat="false" ht="15" hidden="false" customHeight="false" outlineLevel="0" collapsed="false">
      <c r="A92" s="5" t="s">
        <v>141</v>
      </c>
      <c r="B92" s="7" t="s">
        <v>142</v>
      </c>
    </row>
    <row r="93" customFormat="false" ht="15" hidden="false" customHeight="false" outlineLevel="0" collapsed="false">
      <c r="A93" s="5" t="s">
        <v>143</v>
      </c>
      <c r="B93" s="7" t="s">
        <v>144</v>
      </c>
    </row>
    <row r="94" customFormat="false" ht="15" hidden="false" customHeight="false" outlineLevel="0" collapsed="false">
      <c r="A94" s="5" t="s">
        <v>145</v>
      </c>
      <c r="B94" s="7" t="s">
        <v>146</v>
      </c>
    </row>
    <row r="95" customFormat="false" ht="15" hidden="false" customHeight="false" outlineLevel="0" collapsed="false">
      <c r="A95" s="5" t="s">
        <v>147</v>
      </c>
      <c r="B95" s="7" t="s">
        <v>148</v>
      </c>
    </row>
    <row r="96" customFormat="false" ht="15" hidden="false" customHeight="false" outlineLevel="0" collapsed="false">
      <c r="A96" s="5" t="s">
        <v>149</v>
      </c>
      <c r="B96" s="6" t="s">
        <v>150</v>
      </c>
    </row>
    <row r="97" customFormat="false" ht="15" hidden="false" customHeight="false" outlineLevel="0" collapsed="false">
      <c r="A97" s="5" t="s">
        <v>151</v>
      </c>
      <c r="B97" s="7" t="s">
        <v>152</v>
      </c>
    </row>
    <row r="98" customFormat="false" ht="15" hidden="false" customHeight="false" outlineLevel="0" collapsed="false">
      <c r="A98" s="5" t="s">
        <v>153</v>
      </c>
      <c r="B98" s="7" t="s">
        <v>154</v>
      </c>
    </row>
    <row r="99" customFormat="false" ht="13.4" hidden="false" customHeight="false" outlineLevel="0" collapsed="false">
      <c r="A99" s="5" t="s">
        <v>155</v>
      </c>
      <c r="B99" s="6" t="s">
        <v>156</v>
      </c>
    </row>
    <row r="100" customFormat="false" ht="15" hidden="false" customHeight="false" outlineLevel="0" collapsed="false">
      <c r="A100" s="5" t="s">
        <v>157</v>
      </c>
      <c r="B100" s="7" t="s">
        <v>158</v>
      </c>
    </row>
    <row r="101" customFormat="false" ht="15" hidden="false" customHeight="false" outlineLevel="0" collapsed="false">
      <c r="A101" s="5" t="s">
        <v>159</v>
      </c>
      <c r="B101" s="7" t="s">
        <v>160</v>
      </c>
    </row>
    <row r="102" customFormat="false" ht="15" hidden="false" customHeight="false" outlineLevel="0" collapsed="false">
      <c r="A102" s="5" t="s">
        <v>161</v>
      </c>
      <c r="B102" s="7" t="s">
        <v>162</v>
      </c>
    </row>
    <row r="103" customFormat="false" ht="15" hidden="false" customHeight="false" outlineLevel="0" collapsed="false">
      <c r="A103" s="5" t="s">
        <v>163</v>
      </c>
      <c r="B103" s="7" t="s">
        <v>164</v>
      </c>
    </row>
    <row r="104" customFormat="false" ht="15" hidden="false" customHeight="false" outlineLevel="0" collapsed="false">
      <c r="A104" s="5" t="s">
        <v>165</v>
      </c>
      <c r="B104" s="7" t="s">
        <v>166</v>
      </c>
    </row>
    <row r="105" customFormat="false" ht="15" hidden="false" customHeight="false" outlineLevel="0" collapsed="false">
      <c r="A105" s="5" t="s">
        <v>167</v>
      </c>
      <c r="B105" s="7" t="s">
        <v>168</v>
      </c>
    </row>
    <row r="107" customFormat="false" ht="15" hidden="false" customHeight="false" outlineLevel="0" collapsed="false">
      <c r="A107" s="4" t="s">
        <v>169</v>
      </c>
    </row>
    <row r="108" customFormat="false" ht="15" hidden="false" customHeight="false" outlineLevel="0" collapsed="false">
      <c r="A108" s="5" t="s">
        <v>170</v>
      </c>
      <c r="B108" s="7" t="s">
        <v>171</v>
      </c>
    </row>
    <row r="109" customFormat="false" ht="15" hidden="false" customHeight="false" outlineLevel="0" collapsed="false">
      <c r="A109" s="9"/>
      <c r="B109" s="7" t="s">
        <v>172</v>
      </c>
    </row>
    <row r="110" customFormat="false" ht="13.4" hidden="false" customHeight="false" outlineLevel="0" collapsed="false">
      <c r="A110" s="8" t="s">
        <v>173</v>
      </c>
      <c r="B110" s="7" t="s">
        <v>174</v>
      </c>
    </row>
    <row r="111" customFormat="false" ht="15" hidden="false" customHeight="false" outlineLevel="0" collapsed="false">
      <c r="A111" s="5" t="s">
        <v>175</v>
      </c>
      <c r="B111" s="7" t="s">
        <v>176</v>
      </c>
    </row>
    <row r="112" customFormat="false" ht="15" hidden="false" customHeight="false" outlineLevel="0" collapsed="false">
      <c r="A112" s="5" t="s">
        <v>177</v>
      </c>
      <c r="B112" s="7" t="s">
        <v>178</v>
      </c>
    </row>
    <row r="113" customFormat="false" ht="15" hidden="false" customHeight="false" outlineLevel="0" collapsed="false">
      <c r="A113" s="9"/>
      <c r="B113" s="7" t="s">
        <v>179</v>
      </c>
    </row>
    <row r="114" customFormat="false" ht="15" hidden="false" customHeight="false" outlineLevel="0" collapsed="false">
      <c r="A114" s="5" t="s">
        <v>180</v>
      </c>
      <c r="B114" s="7" t="s">
        <v>181</v>
      </c>
    </row>
    <row r="115" customFormat="false" ht="15" hidden="false" customHeight="false" outlineLevel="0" collapsed="false">
      <c r="A115" s="5" t="s">
        <v>182</v>
      </c>
      <c r="B115" s="7" t="s">
        <v>183</v>
      </c>
    </row>
    <row r="116" customFormat="false" ht="15" hidden="false" customHeight="false" outlineLevel="0" collapsed="false">
      <c r="A116" s="5" t="s">
        <v>184</v>
      </c>
      <c r="B116" s="7" t="s">
        <v>185</v>
      </c>
    </row>
    <row r="117" customFormat="false" ht="15" hidden="false" customHeight="false" outlineLevel="0" collapsed="false">
      <c r="A117" s="5" t="s">
        <v>186</v>
      </c>
      <c r="B117" s="7" t="s">
        <v>187</v>
      </c>
    </row>
    <row r="118" customFormat="false" ht="15" hidden="false" customHeight="false" outlineLevel="0" collapsed="false">
      <c r="A118" s="5" t="s">
        <v>188</v>
      </c>
      <c r="B118" s="7" t="s">
        <v>189</v>
      </c>
    </row>
    <row r="119" customFormat="false" ht="15" hidden="false" customHeight="false" outlineLevel="0" collapsed="false">
      <c r="A119" s="5" t="s">
        <v>190</v>
      </c>
      <c r="B119" s="7" t="s">
        <v>191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192</v>
      </c>
    </row>
    <row r="2" customFormat="false" ht="15" hidden="false" customHeight="false" outlineLevel="0" collapsed="false">
      <c r="A2" s="3" t="s">
        <v>193</v>
      </c>
    </row>
    <row r="4" customFormat="false" ht="15" hidden="false" customHeight="false" outlineLevel="0" collapsed="false">
      <c r="A4" s="4" t="s">
        <v>194</v>
      </c>
    </row>
    <row r="5" customFormat="false" ht="54" hidden="false" customHeight="true" outlineLevel="0" collapsed="false">
      <c r="A5" s="5" t="s">
        <v>195</v>
      </c>
      <c r="B5" s="10" t="n">
        <v>0</v>
      </c>
      <c r="C5" s="11" t="s">
        <v>196</v>
      </c>
    </row>
    <row r="6" customFormat="false" ht="54" hidden="false" customHeight="true" outlineLevel="0" collapsed="false">
      <c r="A6" s="5" t="s">
        <v>197</v>
      </c>
      <c r="B6" s="10" t="n">
        <v>0</v>
      </c>
      <c r="C6" s="11" t="s">
        <v>198</v>
      </c>
    </row>
    <row r="7" customFormat="false" ht="54" hidden="false" customHeight="true" outlineLevel="0" collapsed="false">
      <c r="A7" s="5" t="s">
        <v>199</v>
      </c>
      <c r="B7" s="10" t="n">
        <v>1</v>
      </c>
      <c r="C7" s="11" t="s">
        <v>200</v>
      </c>
    </row>
    <row r="8" customFormat="false" ht="54" hidden="false" customHeight="true" outlineLevel="0" collapsed="false">
      <c r="A8" s="5" t="s">
        <v>201</v>
      </c>
      <c r="B8" s="10" t="n">
        <v>1</v>
      </c>
      <c r="C8" s="11" t="s">
        <v>202</v>
      </c>
    </row>
    <row r="9" customFormat="false" ht="54" hidden="false" customHeight="true" outlineLevel="0" collapsed="false">
      <c r="A9" s="5" t="s">
        <v>203</v>
      </c>
      <c r="B9" s="10" t="n">
        <v>2</v>
      </c>
      <c r="C9" s="11" t="s">
        <v>204</v>
      </c>
    </row>
    <row r="10" customFormat="false" ht="40.5" hidden="false" customHeight="true" outlineLevel="0" collapsed="false">
      <c r="A10" s="5" t="s">
        <v>205</v>
      </c>
      <c r="B10" s="12" t="n">
        <v>0</v>
      </c>
      <c r="C10" s="11" t="s">
        <v>206</v>
      </c>
    </row>
    <row r="11" customFormat="false" ht="40.5" hidden="false" customHeight="true" outlineLevel="0" collapsed="false">
      <c r="A11" s="5" t="s">
        <v>207</v>
      </c>
      <c r="B11" s="13" t="n">
        <v>1.29620631634641</v>
      </c>
      <c r="C11" s="11" t="s">
        <v>208</v>
      </c>
    </row>
    <row r="12" customFormat="false" ht="15" hidden="false" customHeight="false" outlineLevel="0" collapsed="false">
      <c r="A12" s="4" t="s">
        <v>209</v>
      </c>
    </row>
    <row r="13" customFormat="false" ht="40.5" hidden="false" customHeight="true" outlineLevel="0" collapsed="false">
      <c r="A13" s="5" t="s">
        <v>210</v>
      </c>
      <c r="B13" s="14" t="n">
        <v>358193925</v>
      </c>
      <c r="C13" s="11" t="s">
        <v>211</v>
      </c>
    </row>
    <row r="14" customFormat="false" ht="40.5" hidden="false" customHeight="true" outlineLevel="0" collapsed="false">
      <c r="A14" s="5" t="s">
        <v>212</v>
      </c>
      <c r="B14" s="15" t="n">
        <v>383342</v>
      </c>
      <c r="C14" s="11" t="s">
        <v>213</v>
      </c>
    </row>
    <row r="15" customFormat="false" ht="40.5" hidden="false" customHeight="true" outlineLevel="0" collapsed="false">
      <c r="A15" s="5" t="s">
        <v>214</v>
      </c>
      <c r="B15" s="10" t="n">
        <v>1</v>
      </c>
      <c r="C15" s="16" t="s">
        <v>215</v>
      </c>
    </row>
    <row r="16" customFormat="false" ht="15" hidden="false" customHeight="false" outlineLevel="0" collapsed="false">
      <c r="A16" s="5" t="s">
        <v>216</v>
      </c>
      <c r="C16" s="17" t="s">
        <v>217</v>
      </c>
      <c r="D16" s="17" t="s">
        <v>218</v>
      </c>
      <c r="E16" s="17" t="s">
        <v>219</v>
      </c>
      <c r="F16" s="17" t="s">
        <v>220</v>
      </c>
    </row>
    <row r="17" customFormat="false" ht="15" hidden="false" customHeight="false" outlineLevel="0" collapsed="false">
      <c r="A17" s="18" t="s">
        <v>221</v>
      </c>
      <c r="B17" s="19" t="s">
        <v>222</v>
      </c>
      <c r="C17" s="20" t="n">
        <v>0.13</v>
      </c>
      <c r="D17" s="20" t="n">
        <v>0.156</v>
      </c>
      <c r="E17" s="20" t="n">
        <v>0.0878056107071955</v>
      </c>
      <c r="F17" s="12" t="n">
        <v>0.13</v>
      </c>
    </row>
    <row r="18" customFormat="false" ht="15" hidden="false" customHeight="false" outlineLevel="0" collapsed="false">
      <c r="A18" s="18" t="s">
        <v>223</v>
      </c>
      <c r="B18" s="19" t="s">
        <v>224</v>
      </c>
      <c r="C18" s="20" t="n">
        <v>0.12</v>
      </c>
      <c r="D18" s="20" t="n">
        <v>0.12</v>
      </c>
      <c r="E18" s="20" t="n">
        <v>0.0675427774670735</v>
      </c>
      <c r="F18" s="12" t="n">
        <v>0.12</v>
      </c>
    </row>
    <row r="19" customFormat="false" ht="15" hidden="false" customHeight="false" outlineLevel="0" collapsed="false">
      <c r="A19" s="18" t="s">
        <v>225</v>
      </c>
      <c r="B19" s="19" t="s">
        <v>226</v>
      </c>
      <c r="C19" s="20" t="n">
        <v>0.09</v>
      </c>
      <c r="D19" s="20" t="n">
        <v>0.09</v>
      </c>
      <c r="E19" s="20" t="n">
        <v>0.0506570831003051</v>
      </c>
      <c r="F19" s="12" t="n">
        <v>0.09</v>
      </c>
    </row>
    <row r="20" customFormat="false" ht="15" hidden="false" customHeight="false" outlineLevel="0" collapsed="false">
      <c r="A20" s="18" t="s">
        <v>227</v>
      </c>
      <c r="B20" s="19" t="s">
        <v>228</v>
      </c>
      <c r="C20" s="20" t="n">
        <v>0.5</v>
      </c>
      <c r="D20" s="20" t="n">
        <v>0.5</v>
      </c>
      <c r="E20" s="20" t="n">
        <v>0.5</v>
      </c>
      <c r="F20" s="12" t="n">
        <v>0.5</v>
      </c>
    </row>
    <row r="21" customFormat="false" ht="15" hidden="false" customHeight="false" outlineLevel="0" collapsed="false">
      <c r="A21" s="3" t="s">
        <v>229</v>
      </c>
    </row>
    <row r="23" customFormat="false" ht="54" hidden="false" customHeight="true" outlineLevel="0" collapsed="false">
      <c r="A23" s="5" t="s">
        <v>230</v>
      </c>
      <c r="B23" s="21" t="n">
        <f aca="false">INDEX(C17:F17,前提・入力!$B$15)</f>
        <v>0.13</v>
      </c>
      <c r="C23" s="11" t="s">
        <v>231</v>
      </c>
    </row>
    <row r="24" customFormat="false" ht="54" hidden="false" customHeight="true" outlineLevel="0" collapsed="false">
      <c r="A24" s="5" t="s">
        <v>232</v>
      </c>
      <c r="B24" s="21" t="n">
        <f aca="false">INDEX(C18:F18,前提・入力!$B$15)</f>
        <v>0.12</v>
      </c>
      <c r="C24" s="11" t="s">
        <v>233</v>
      </c>
    </row>
    <row r="25" customFormat="false" ht="40.5" hidden="false" customHeight="true" outlineLevel="0" collapsed="false">
      <c r="A25" s="5" t="s">
        <v>234</v>
      </c>
      <c r="B25" s="21" t="n">
        <f aca="false">INDEX(C19:F19,前提・入力!$B$15)</f>
        <v>0.09</v>
      </c>
      <c r="C25" s="11" t="s">
        <v>235</v>
      </c>
    </row>
    <row r="26" customFormat="false" ht="54" hidden="false" customHeight="true" outlineLevel="0" collapsed="false">
      <c r="A26" s="5" t="s">
        <v>236</v>
      </c>
      <c r="B26" s="21" t="n">
        <f aca="false">INDEX(C20:F20,前提・入力!$B$15)</f>
        <v>0.5</v>
      </c>
      <c r="C26" s="11" t="s">
        <v>237</v>
      </c>
    </row>
    <row r="27" customFormat="false" ht="40.5" hidden="false" customHeight="true" outlineLevel="0" collapsed="false">
      <c r="A27" s="5" t="s">
        <v>238</v>
      </c>
      <c r="B27" s="20"/>
      <c r="C27" s="11" t="s">
        <v>239</v>
      </c>
    </row>
    <row r="28" customFormat="false" ht="15" hidden="false" customHeight="false" outlineLevel="0" collapsed="false">
      <c r="A28" s="4" t="s">
        <v>240</v>
      </c>
    </row>
    <row r="29" customFormat="false" ht="67.5" hidden="false" customHeight="true" outlineLevel="0" collapsed="false">
      <c r="A29" s="8" t="s">
        <v>241</v>
      </c>
      <c r="B29" s="12" t="n">
        <v>0.170588393567869</v>
      </c>
      <c r="C29" s="11" t="s">
        <v>242</v>
      </c>
    </row>
    <row r="30" customFormat="false" ht="40.5" hidden="false" customHeight="true" outlineLevel="0" collapsed="false">
      <c r="A30" s="8" t="s">
        <v>243</v>
      </c>
      <c r="B30" s="14" t="n">
        <v>833</v>
      </c>
      <c r="C30" s="11" t="s">
        <v>244</v>
      </c>
    </row>
    <row r="31" customFormat="false" ht="54" hidden="false" customHeight="true" outlineLevel="0" collapsed="false">
      <c r="A31" s="5" t="s">
        <v>245</v>
      </c>
      <c r="B31" s="12" t="n">
        <v>0.5</v>
      </c>
      <c r="C31" s="11" t="s">
        <v>246</v>
      </c>
    </row>
    <row r="32" customFormat="false" ht="54" hidden="false" customHeight="true" outlineLevel="0" collapsed="false">
      <c r="A32" s="5" t="s">
        <v>247</v>
      </c>
      <c r="B32" s="12" t="n">
        <v>0.5</v>
      </c>
      <c r="C32" s="11" t="s">
        <v>248</v>
      </c>
    </row>
    <row r="33" customFormat="false" ht="15" hidden="false" customHeight="false" outlineLevel="0" collapsed="false">
      <c r="A33" s="4" t="s">
        <v>249</v>
      </c>
    </row>
    <row r="34" customFormat="false" ht="40.5" hidden="false" customHeight="true" outlineLevel="0" collapsed="false">
      <c r="A34" s="5" t="s">
        <v>250</v>
      </c>
      <c r="B34" s="12" t="n">
        <v>0.1</v>
      </c>
      <c r="C34" s="11" t="s">
        <v>251</v>
      </c>
    </row>
    <row r="35" customFormat="false" ht="54" hidden="false" customHeight="true" outlineLevel="0" collapsed="false">
      <c r="A35" s="5" t="s">
        <v>252</v>
      </c>
      <c r="B35" s="22" t="n">
        <v>276521</v>
      </c>
      <c r="C35" s="11" t="s">
        <v>253</v>
      </c>
    </row>
    <row r="36" customFormat="false" ht="54" hidden="false" customHeight="true" outlineLevel="0" collapsed="false">
      <c r="A36" s="5" t="s">
        <v>254</v>
      </c>
      <c r="B36" s="12" t="n">
        <v>1</v>
      </c>
      <c r="C36" s="11" t="s">
        <v>255</v>
      </c>
    </row>
    <row r="37" customFormat="false" ht="40.5" hidden="false" customHeight="true" outlineLevel="0" collapsed="false">
      <c r="A37" s="5" t="s">
        <v>256</v>
      </c>
      <c r="B37" s="23" t="n">
        <v>14</v>
      </c>
      <c r="C37" s="11" t="s">
        <v>257</v>
      </c>
    </row>
    <row r="38" customFormat="false" ht="40.5" hidden="false" customHeight="true" outlineLevel="0" collapsed="false">
      <c r="A38" s="5" t="s">
        <v>258</v>
      </c>
      <c r="B38" s="24" t="n">
        <v>46260</v>
      </c>
      <c r="C38" s="11" t="s">
        <v>259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260</v>
      </c>
    </row>
    <row r="2" customFormat="false" ht="15" hidden="false" customHeight="false" outlineLevel="0" collapsed="false">
      <c r="A2" s="3" t="s">
        <v>261</v>
      </c>
    </row>
    <row r="3" customFormat="false" ht="15" hidden="false" customHeight="false" outlineLevel="0" collapsed="false">
      <c r="A3" s="3" t="s">
        <v>262</v>
      </c>
    </row>
    <row r="6" customFormat="false" ht="45.75" hidden="false" customHeight="true" outlineLevel="0" collapsed="false">
      <c r="A6" s="25" t="s">
        <v>263</v>
      </c>
      <c r="B6" s="25" t="s">
        <v>264</v>
      </c>
      <c r="C6" s="26" t="s">
        <v>265</v>
      </c>
      <c r="D6" s="26" t="s">
        <v>266</v>
      </c>
      <c r="E6" s="27" t="s">
        <v>267</v>
      </c>
      <c r="F6" s="28" t="s">
        <v>268</v>
      </c>
      <c r="G6" s="28" t="s">
        <v>269</v>
      </c>
      <c r="H6" s="28" t="s">
        <v>270</v>
      </c>
      <c r="I6" s="29" t="s">
        <v>271</v>
      </c>
      <c r="J6" s="29" t="s">
        <v>272</v>
      </c>
      <c r="K6" s="29" t="s">
        <v>273</v>
      </c>
      <c r="L6" s="30" t="s">
        <v>274</v>
      </c>
      <c r="M6" s="30" t="s">
        <v>275</v>
      </c>
      <c r="N6" s="30" t="s">
        <v>276</v>
      </c>
      <c r="O6" s="17" t="s">
        <v>277</v>
      </c>
      <c r="P6" s="31" t="s">
        <v>278</v>
      </c>
      <c r="Q6" s="31" t="s">
        <v>279</v>
      </c>
      <c r="R6" s="31" t="s">
        <v>280</v>
      </c>
      <c r="S6" s="31" t="s">
        <v>281</v>
      </c>
      <c r="T6" s="31" t="s">
        <v>282</v>
      </c>
      <c r="U6" s="31" t="s">
        <v>283</v>
      </c>
      <c r="V6" s="31" t="s">
        <v>284</v>
      </c>
      <c r="W6" s="31" t="s">
        <v>285</v>
      </c>
    </row>
    <row r="7" customFormat="false" ht="15" hidden="false" customHeight="false" outlineLevel="0" collapsed="false">
      <c r="A7" s="32" t="n">
        <v>1</v>
      </c>
      <c r="B7" s="32" t="s">
        <v>286</v>
      </c>
      <c r="C7" s="33" t="s">
        <v>287</v>
      </c>
      <c r="D7" s="34" t="n">
        <v>500</v>
      </c>
      <c r="E7" s="35" t="n">
        <v>210</v>
      </c>
      <c r="F7" s="35" t="n">
        <v>719</v>
      </c>
      <c r="G7" s="35" t="n">
        <v>944</v>
      </c>
      <c r="H7" s="36" t="n">
        <f aca="false">IF(F7=0,"",G7/F7)</f>
        <v>1.31293463143255</v>
      </c>
      <c r="I7" s="35" t="n">
        <v>1710</v>
      </c>
      <c r="J7" s="35" t="n">
        <v>2158</v>
      </c>
      <c r="K7" s="36" t="n">
        <f aca="false">IF(I7=0,"",J7/I7)</f>
        <v>1.26198830409357</v>
      </c>
      <c r="L7" s="35" t="n">
        <v>343</v>
      </c>
      <c r="M7" s="35" t="n">
        <v>447</v>
      </c>
      <c r="N7" s="36" t="n">
        <f aca="false">IF(L7=0,"",M7/L7)</f>
        <v>1.30320699708455</v>
      </c>
      <c r="O7" s="36" t="n">
        <f aca="false">IFERROR((IF(H7="",0,H7*前提・入力!$B$7)+IF(K7="",0,K7*前提・入力!$B$8)+IF(N7="",0,N7*前提・入力!$B$9))/(IF(H7="",0,前提・入力!$B$7)+IF(K7="",0,前提・入力!$B$8)+IF(N7="",0,前提・入力!$B$9)),前提・入力!$B$11)</f>
        <v>1.2953342324238</v>
      </c>
      <c r="P7" s="35" t="n">
        <f aca="false">ROUND(E7*O7,0)</f>
        <v>272</v>
      </c>
      <c r="Q7" s="34" t="n">
        <f aca="false">P7*D7</f>
        <v>136000</v>
      </c>
      <c r="R7" s="37" t="n">
        <f aca="false">IFERROR(P7/P$49,0)</f>
        <v>0.0528052805280528</v>
      </c>
      <c r="S7" s="35" t="n">
        <v>693</v>
      </c>
      <c r="T7" s="37" t="n">
        <f aca="false">IFERROR(P7/S7,0)</f>
        <v>0.392496392496393</v>
      </c>
      <c r="U7" s="35" t="n">
        <f aca="false">MAX(0,S7-P7)</f>
        <v>421</v>
      </c>
      <c r="V7" s="38" t="n">
        <f aca="false">P7-S7</f>
        <v>-421</v>
      </c>
      <c r="W7" s="39" t="str">
        <f aca="false">IF(V7&gt;0,"会期中に在庫切れ",IF(T7&gt;=0.9,"要注意(90%超)",IF(T7&gt;=0.5,"適正","在庫余剰")))</f>
        <v>在庫余剰</v>
      </c>
    </row>
    <row r="8" customFormat="false" ht="15" hidden="false" customHeight="false" outlineLevel="0" collapsed="false">
      <c r="A8" s="32" t="n">
        <v>2</v>
      </c>
      <c r="B8" s="32" t="s">
        <v>288</v>
      </c>
      <c r="C8" s="33" t="s">
        <v>289</v>
      </c>
      <c r="D8" s="34" t="n">
        <v>600</v>
      </c>
      <c r="E8" s="35" t="n">
        <v>250</v>
      </c>
      <c r="F8" s="35" t="n">
        <v>653</v>
      </c>
      <c r="G8" s="35" t="n">
        <v>850</v>
      </c>
      <c r="H8" s="36" t="n">
        <f aca="false">IF(F8=0,"",G8/F8)</f>
        <v>1.30168453292496</v>
      </c>
      <c r="I8" s="35" t="n">
        <v>1500</v>
      </c>
      <c r="J8" s="35" t="n">
        <v>1781</v>
      </c>
      <c r="K8" s="36" t="n">
        <f aca="false">IF(I8=0,"",J8/I8)</f>
        <v>1.18733333333333</v>
      </c>
      <c r="L8" s="35" t="n">
        <v>362</v>
      </c>
      <c r="M8" s="35" t="n">
        <v>492</v>
      </c>
      <c r="N8" s="36" t="n">
        <f aca="false">IF(L8=0,"",M8/L8)</f>
        <v>1.35911602209945</v>
      </c>
      <c r="O8" s="36" t="n">
        <f aca="false">IFERROR((IF(H8="",0,H8*前提・入力!$B$7)+IF(K8="",0,K8*前提・入力!$B$8)+IF(N8="",0,N8*前提・入力!$B$9))/(IF(H8="",0,前提・入力!$B$7)+IF(K8="",0,前提・入力!$B$8)+IF(N8="",0,前提・入力!$B$9)),前提・入力!$B$11)</f>
        <v>1.3018124776143</v>
      </c>
      <c r="P8" s="35" t="n">
        <f aca="false">ROUND(E8*O8,0)</f>
        <v>325</v>
      </c>
      <c r="Q8" s="34" t="n">
        <f aca="false">P8*D8</f>
        <v>195000</v>
      </c>
      <c r="R8" s="37" t="n">
        <f aca="false">IFERROR(P8/P$49,0)</f>
        <v>0.0630945447485925</v>
      </c>
      <c r="S8" s="35" t="n">
        <v>659</v>
      </c>
      <c r="T8" s="37" t="n">
        <f aca="false">IFERROR(P8/S8,0)</f>
        <v>0.493171471927162</v>
      </c>
      <c r="U8" s="35" t="n">
        <f aca="false">MAX(0,S8-P8)</f>
        <v>334</v>
      </c>
      <c r="V8" s="38" t="n">
        <f aca="false">P8-S8</f>
        <v>-334</v>
      </c>
      <c r="W8" s="39" t="str">
        <f aca="false">IF(V8&gt;0,"会期中に在庫切れ",IF(T8&gt;=0.9,"要注意(90%超)",IF(T8&gt;=0.5,"適正","在庫余剰")))</f>
        <v>在庫余剰</v>
      </c>
    </row>
    <row r="9" customFormat="false" ht="15" hidden="false" customHeight="false" outlineLevel="0" collapsed="false">
      <c r="A9" s="32" t="n">
        <v>3</v>
      </c>
      <c r="B9" s="32" t="s">
        <v>290</v>
      </c>
      <c r="C9" s="33" t="s">
        <v>291</v>
      </c>
      <c r="D9" s="34" t="n">
        <v>1000</v>
      </c>
      <c r="E9" s="35" t="n">
        <v>92</v>
      </c>
      <c r="F9" s="35" t="n">
        <v>280</v>
      </c>
      <c r="G9" s="35" t="n">
        <v>368</v>
      </c>
      <c r="H9" s="36" t="n">
        <f aca="false">IF(F9=0,"",G9/F9)</f>
        <v>1.31428571428571</v>
      </c>
      <c r="I9" s="35" t="n">
        <v>904</v>
      </c>
      <c r="J9" s="35" t="n">
        <v>1063</v>
      </c>
      <c r="K9" s="36" t="n">
        <f aca="false">IF(I9=0,"",J9/I9)</f>
        <v>1.17588495575221</v>
      </c>
      <c r="L9" s="35" t="n">
        <v>116</v>
      </c>
      <c r="M9" s="35" t="n">
        <v>152</v>
      </c>
      <c r="N9" s="36" t="n">
        <f aca="false">IF(L9=0,"",M9/L9)</f>
        <v>1.31034482758621</v>
      </c>
      <c r="O9" s="36" t="n">
        <f aca="false">IFERROR((IF(H9="",0,H9*前提・入力!$B$7)+IF(K9="",0,K9*前提・入力!$B$8)+IF(N9="",0,N9*前提・入力!$B$9))/(IF(H9="",0,前提・入力!$B$7)+IF(K9="",0,前提・入力!$B$8)+IF(N9="",0,前提・入力!$B$9)),前提・入力!$B$11)</f>
        <v>1.27771508130259</v>
      </c>
      <c r="P9" s="35" t="n">
        <f aca="false">ROUND(E9*O9,0)</f>
        <v>118</v>
      </c>
      <c r="Q9" s="34" t="n">
        <f aca="false">P9*D9</f>
        <v>118000</v>
      </c>
      <c r="R9" s="37" t="n">
        <f aca="false">IFERROR(P9/P$49,0)</f>
        <v>0.0229081731702582</v>
      </c>
      <c r="S9" s="35" t="n">
        <v>381</v>
      </c>
      <c r="T9" s="37" t="n">
        <f aca="false">IFERROR(P9/S9,0)</f>
        <v>0.309711286089239</v>
      </c>
      <c r="U9" s="35" t="n">
        <f aca="false">MAX(0,S9-P9)</f>
        <v>263</v>
      </c>
      <c r="V9" s="38" t="n">
        <f aca="false">P9-S9</f>
        <v>-263</v>
      </c>
      <c r="W9" s="39" t="str">
        <f aca="false">IF(V9&gt;0,"会期中に在庫切れ",IF(T9&gt;=0.9,"要注意(90%超)",IF(T9&gt;=0.5,"適正","在庫余剰")))</f>
        <v>在庫余剰</v>
      </c>
    </row>
    <row r="10" customFormat="false" ht="15" hidden="false" customHeight="false" outlineLevel="0" collapsed="false">
      <c r="A10" s="32" t="n">
        <v>4</v>
      </c>
      <c r="B10" s="32" t="s">
        <v>292</v>
      </c>
      <c r="C10" s="33" t="s">
        <v>293</v>
      </c>
      <c r="D10" s="34" t="n">
        <v>1800</v>
      </c>
      <c r="E10" s="35" t="n">
        <v>110</v>
      </c>
      <c r="F10" s="35" t="n">
        <v>353</v>
      </c>
      <c r="G10" s="35" t="n">
        <v>427</v>
      </c>
      <c r="H10" s="36" t="n">
        <f aca="false">IF(F10=0,"",G10/F10)</f>
        <v>1.20963172804533</v>
      </c>
      <c r="I10" s="35" t="n">
        <v>1012</v>
      </c>
      <c r="J10" s="35" t="n">
        <v>1209</v>
      </c>
      <c r="K10" s="36" t="n">
        <f aca="false">IF(I10=0,"",J10/I10)</f>
        <v>1.19466403162055</v>
      </c>
      <c r="L10" s="35" t="n">
        <v>170</v>
      </c>
      <c r="M10" s="35" t="n">
        <v>209</v>
      </c>
      <c r="N10" s="36" t="n">
        <f aca="false">IF(L10=0,"",M10/L10)</f>
        <v>1.22941176470588</v>
      </c>
      <c r="O10" s="36" t="n">
        <f aca="false">IFERROR((IF(H10="",0,H10*前提・入力!$B$7)+IF(K10="",0,K10*前提・入力!$B$8)+IF(N10="",0,N10*前提・入力!$B$9))/(IF(H10="",0,前提・入力!$B$7)+IF(K10="",0,前提・入力!$B$8)+IF(N10="",0,前提・入力!$B$9)),前提・入力!$B$11)</f>
        <v>1.21577982226941</v>
      </c>
      <c r="P10" s="35" t="n">
        <f aca="false">ROUND(E10*O10,0)</f>
        <v>134</v>
      </c>
      <c r="Q10" s="34" t="n">
        <f aca="false">P10*D10</f>
        <v>241200</v>
      </c>
      <c r="R10" s="37" t="n">
        <f aca="false">IFERROR(P10/P$49,0)</f>
        <v>0.0260143661424966</v>
      </c>
      <c r="S10" s="35" t="n">
        <v>772</v>
      </c>
      <c r="T10" s="37" t="n">
        <f aca="false">IFERROR(P10/S10,0)</f>
        <v>0.173575129533679</v>
      </c>
      <c r="U10" s="35" t="n">
        <f aca="false">MAX(0,S10-P10)</f>
        <v>638</v>
      </c>
      <c r="V10" s="38" t="n">
        <f aca="false">P10-S10</f>
        <v>-638</v>
      </c>
      <c r="W10" s="39" t="str">
        <f aca="false">IF(V10&gt;0,"会期中に在庫切れ",IF(T10&gt;=0.9,"要注意(90%超)",IF(T10&gt;=0.5,"適正","在庫余剰")))</f>
        <v>在庫余剰</v>
      </c>
    </row>
    <row r="11" customFormat="false" ht="15" hidden="false" customHeight="false" outlineLevel="0" collapsed="false">
      <c r="A11" s="32" t="n">
        <v>5</v>
      </c>
      <c r="B11" s="32" t="s">
        <v>294</v>
      </c>
      <c r="C11" s="33" t="s">
        <v>295</v>
      </c>
      <c r="D11" s="34" t="n">
        <v>600</v>
      </c>
      <c r="E11" s="35" t="n">
        <v>226</v>
      </c>
      <c r="F11" s="35" t="n">
        <v>3298</v>
      </c>
      <c r="G11" s="35" t="n">
        <v>5127</v>
      </c>
      <c r="H11" s="36" t="n">
        <f aca="false">IF(F11=0,"",G11/F11)</f>
        <v>1.55457853244391</v>
      </c>
      <c r="I11" s="35" t="n">
        <v>7193</v>
      </c>
      <c r="J11" s="35" t="n">
        <v>8539</v>
      </c>
      <c r="K11" s="36" t="n">
        <f aca="false">IF(I11=0,"",J11/I11)</f>
        <v>1.18712637286251</v>
      </c>
      <c r="L11" s="35" t="n">
        <v>322</v>
      </c>
      <c r="M11" s="35" t="n">
        <v>394</v>
      </c>
      <c r="N11" s="36" t="n">
        <f aca="false">IF(L11=0,"",M11/L11)</f>
        <v>1.22360248447205</v>
      </c>
      <c r="O11" s="36" t="n">
        <f aca="false">IFERROR((IF(H11="",0,H11*前提・入力!$B$7)+IF(K11="",0,K11*前提・入力!$B$8)+IF(N11="",0,N11*前提・入力!$B$9))/(IF(H11="",0,前提・入力!$B$7)+IF(K11="",0,前提・入力!$B$8)+IF(N11="",0,前提・入力!$B$9)),前提・入力!$B$11)</f>
        <v>1.29722746856263</v>
      </c>
      <c r="P11" s="35" t="n">
        <f aca="false">ROUND(E11*O11,0)</f>
        <v>293</v>
      </c>
      <c r="Q11" s="34" t="n">
        <f aca="false">P11*D11</f>
        <v>175800</v>
      </c>
      <c r="R11" s="37" t="n">
        <f aca="false">IFERROR(P11/P$49,0)</f>
        <v>0.0568821588041157</v>
      </c>
      <c r="S11" s="35" t="n">
        <v>8790</v>
      </c>
      <c r="T11" s="37" t="n">
        <f aca="false">IFERROR(P11/S11,0)</f>
        <v>0.0333333333333333</v>
      </c>
      <c r="U11" s="35" t="n">
        <f aca="false">MAX(0,S11-P11)</f>
        <v>8497</v>
      </c>
      <c r="V11" s="38" t="n">
        <f aca="false">P11-S11</f>
        <v>-8497</v>
      </c>
      <c r="W11" s="39" t="str">
        <f aca="false">IF(V11&gt;0,"会期中に在庫切れ",IF(T11&gt;=0.9,"要注意(90%超)",IF(T11&gt;=0.5,"適正","在庫余剰")))</f>
        <v>在庫余剰</v>
      </c>
    </row>
    <row r="12" customFormat="false" ht="15" hidden="false" customHeight="false" outlineLevel="0" collapsed="false">
      <c r="A12" s="32" t="n">
        <v>6</v>
      </c>
      <c r="B12" s="32" t="s">
        <v>296</v>
      </c>
      <c r="C12" s="33" t="s">
        <v>297</v>
      </c>
      <c r="D12" s="34" t="n">
        <v>600</v>
      </c>
      <c r="E12" s="35" t="n">
        <v>439</v>
      </c>
      <c r="F12" s="35" t="n">
        <v>4238</v>
      </c>
      <c r="G12" s="35" t="n">
        <v>6491</v>
      </c>
      <c r="H12" s="36" t="n">
        <f aca="false">IF(F12=0,"",G12/F12)</f>
        <v>1.53161868806041</v>
      </c>
      <c r="I12" s="35" t="n">
        <v>13071</v>
      </c>
      <c r="J12" s="35" t="n">
        <v>17062</v>
      </c>
      <c r="K12" s="36" t="n">
        <f aca="false">IF(I12=0,"",J12/I12)</f>
        <v>1.30533241527045</v>
      </c>
      <c r="L12" s="35" t="n">
        <v>860</v>
      </c>
      <c r="M12" s="35" t="n">
        <v>995</v>
      </c>
      <c r="N12" s="36" t="n">
        <f aca="false">IF(L12=0,"",M12/L12)</f>
        <v>1.15697674418605</v>
      </c>
      <c r="O12" s="36" t="n">
        <f aca="false">IFERROR((IF(H12="",0,H12*前提・入力!$B$7)+IF(K12="",0,K12*前提・入力!$B$8)+IF(N12="",0,N12*前提・入力!$B$9))/(IF(H12="",0,前提・入力!$B$7)+IF(K12="",0,前提・入力!$B$8)+IF(N12="",0,前提・入力!$B$9)),前提・入力!$B$11)</f>
        <v>1.28772614792574</v>
      </c>
      <c r="P12" s="35" t="n">
        <f aca="false">ROUND(E12*O12,0)</f>
        <v>565</v>
      </c>
      <c r="Q12" s="34" t="n">
        <f aca="false">P12*D12</f>
        <v>339000</v>
      </c>
      <c r="R12" s="37" t="n">
        <f aca="false">IFERROR(P12/P$49,0)</f>
        <v>0.109687439332169</v>
      </c>
      <c r="S12" s="35" t="n">
        <v>13249</v>
      </c>
      <c r="T12" s="37" t="n">
        <f aca="false">IFERROR(P12/S12,0)</f>
        <v>0.0426447279039928</v>
      </c>
      <c r="U12" s="35" t="n">
        <f aca="false">MAX(0,S12-P12)</f>
        <v>12684</v>
      </c>
      <c r="V12" s="38" t="n">
        <f aca="false">P12-S12</f>
        <v>-12684</v>
      </c>
      <c r="W12" s="39" t="str">
        <f aca="false">IF(V12&gt;0,"会期中に在庫切れ",IF(T12&gt;=0.9,"要注意(90%超)",IF(T12&gt;=0.5,"適正","在庫余剰")))</f>
        <v>在庫余剰</v>
      </c>
    </row>
    <row r="13" customFormat="false" ht="15" hidden="false" customHeight="false" outlineLevel="0" collapsed="false">
      <c r="A13" s="32" t="n">
        <v>7</v>
      </c>
      <c r="B13" s="32" t="s">
        <v>298</v>
      </c>
      <c r="C13" s="33" t="s">
        <v>299</v>
      </c>
      <c r="D13" s="34" t="n">
        <v>600</v>
      </c>
      <c r="E13" s="35" t="n">
        <v>130</v>
      </c>
      <c r="F13" s="35" t="n">
        <v>239</v>
      </c>
      <c r="G13" s="35" t="n">
        <v>321</v>
      </c>
      <c r="H13" s="36" t="n">
        <f aca="false">IF(F13=0,"",G13/F13)</f>
        <v>1.34309623430962</v>
      </c>
      <c r="I13" s="35" t="n">
        <v>727</v>
      </c>
      <c r="J13" s="35" t="n">
        <v>880</v>
      </c>
      <c r="K13" s="36" t="n">
        <f aca="false">IF(I13=0,"",J13/I13)</f>
        <v>1.21045392022008</v>
      </c>
      <c r="L13" s="35" t="n">
        <v>134</v>
      </c>
      <c r="M13" s="35" t="n">
        <v>169</v>
      </c>
      <c r="N13" s="36" t="n">
        <f aca="false">IF(L13=0,"",M13/L13)</f>
        <v>1.26119402985075</v>
      </c>
      <c r="O13" s="36" t="n">
        <f aca="false">IFERROR((IF(H13="",0,H13*前提・入力!$B$7)+IF(K13="",0,K13*前提・入力!$B$8)+IF(N13="",0,N13*前提・入力!$B$9))/(IF(H13="",0,前提・入力!$B$7)+IF(K13="",0,前提・入力!$B$8)+IF(N13="",0,前提・入力!$B$9)),前提・入力!$B$11)</f>
        <v>1.2689845535578</v>
      </c>
      <c r="P13" s="35" t="n">
        <f aca="false">ROUND(E13*O13,0)</f>
        <v>165</v>
      </c>
      <c r="Q13" s="34" t="n">
        <f aca="false">P13*D13</f>
        <v>99000</v>
      </c>
      <c r="R13" s="37" t="n">
        <f aca="false">IFERROR(P13/P$49,0)</f>
        <v>0.0320326150262085</v>
      </c>
      <c r="S13" s="35" t="n">
        <v>463</v>
      </c>
      <c r="T13" s="37" t="n">
        <f aca="false">IFERROR(P13/S13,0)</f>
        <v>0.356371490280778</v>
      </c>
      <c r="U13" s="35" t="n">
        <f aca="false">MAX(0,S13-P13)</f>
        <v>298</v>
      </c>
      <c r="V13" s="38" t="n">
        <f aca="false">P13-S13</f>
        <v>-298</v>
      </c>
      <c r="W13" s="39" t="str">
        <f aca="false">IF(V13&gt;0,"会期中に在庫切れ",IF(T13&gt;=0.9,"要注意(90%超)",IF(T13&gt;=0.5,"適正","在庫余剰")))</f>
        <v>在庫余剰</v>
      </c>
    </row>
    <row r="14" customFormat="false" ht="15" hidden="false" customHeight="false" outlineLevel="0" collapsed="false">
      <c r="A14" s="32" t="n">
        <v>8</v>
      </c>
      <c r="B14" s="32" t="s">
        <v>300</v>
      </c>
      <c r="C14" s="33" t="s">
        <v>301</v>
      </c>
      <c r="D14" s="34" t="n">
        <v>600</v>
      </c>
      <c r="E14" s="35" t="n">
        <v>207</v>
      </c>
      <c r="F14" s="35" t="n">
        <v>435</v>
      </c>
      <c r="G14" s="35" t="n">
        <v>581</v>
      </c>
      <c r="H14" s="36" t="n">
        <f aca="false">IF(F14=0,"",G14/F14)</f>
        <v>1.33563218390805</v>
      </c>
      <c r="I14" s="35" t="n">
        <v>1388</v>
      </c>
      <c r="J14" s="35" t="n">
        <v>1642</v>
      </c>
      <c r="K14" s="36" t="n">
        <f aca="false">IF(I14=0,"",J14/I14)</f>
        <v>1.18299711815562</v>
      </c>
      <c r="L14" s="35" t="n">
        <v>222</v>
      </c>
      <c r="M14" s="35" t="n">
        <v>291</v>
      </c>
      <c r="N14" s="36" t="n">
        <f aca="false">IF(L14=0,"",M14/L14)</f>
        <v>1.31081081081081</v>
      </c>
      <c r="O14" s="36" t="n">
        <f aca="false">IFERROR((IF(H14="",0,H14*前提・入力!$B$7)+IF(K14="",0,K14*前提・入力!$B$8)+IF(N14="",0,N14*前提・入力!$B$9))/(IF(H14="",0,前提・入力!$B$7)+IF(K14="",0,前提・入力!$B$8)+IF(N14="",0,前提・入力!$B$9)),前提・入力!$B$11)</f>
        <v>1.28506273092132</v>
      </c>
      <c r="P14" s="35" t="n">
        <f aca="false">ROUND(E14*O14,0)</f>
        <v>266</v>
      </c>
      <c r="Q14" s="34" t="n">
        <f aca="false">P14*D14</f>
        <v>159600</v>
      </c>
      <c r="R14" s="37" t="n">
        <f aca="false">IFERROR(P14/P$49,0)</f>
        <v>0.0516404581634634</v>
      </c>
      <c r="S14" s="35" t="n">
        <v>778</v>
      </c>
      <c r="T14" s="37" t="n">
        <f aca="false">IFERROR(P14/S14,0)</f>
        <v>0.341902313624679</v>
      </c>
      <c r="U14" s="35" t="n">
        <f aca="false">MAX(0,S14-P14)</f>
        <v>512</v>
      </c>
      <c r="V14" s="38" t="n">
        <f aca="false">P14-S14</f>
        <v>-512</v>
      </c>
      <c r="W14" s="39" t="str">
        <f aca="false">IF(V14&gt;0,"会期中に在庫切れ",IF(T14&gt;=0.9,"要注意(90%超)",IF(T14&gt;=0.5,"適正","在庫余剰")))</f>
        <v>在庫余剰</v>
      </c>
    </row>
    <row r="15" customFormat="false" ht="15" hidden="false" customHeight="false" outlineLevel="0" collapsed="false">
      <c r="A15" s="32" t="n">
        <v>9</v>
      </c>
      <c r="B15" s="32" t="s">
        <v>302</v>
      </c>
      <c r="C15" s="33" t="s">
        <v>303</v>
      </c>
      <c r="D15" s="34" t="n">
        <v>600</v>
      </c>
      <c r="E15" s="35" t="n">
        <v>41</v>
      </c>
      <c r="F15" s="35" t="n">
        <v>223</v>
      </c>
      <c r="G15" s="35" t="n">
        <v>261</v>
      </c>
      <c r="H15" s="36" t="n">
        <f aca="false">IF(F15=0,"",G15/F15)</f>
        <v>1.17040358744395</v>
      </c>
      <c r="I15" s="35" t="n">
        <v>615</v>
      </c>
      <c r="J15" s="35" t="n">
        <v>697</v>
      </c>
      <c r="K15" s="36" t="n">
        <f aca="false">IF(I15=0,"",J15/I15)</f>
        <v>1.13333333333333</v>
      </c>
      <c r="L15" s="35" t="n">
        <v>106</v>
      </c>
      <c r="M15" s="35" t="n">
        <v>144</v>
      </c>
      <c r="N15" s="36" t="n">
        <f aca="false">IF(L15=0,"",M15/L15)</f>
        <v>1.35849056603774</v>
      </c>
      <c r="O15" s="36" t="n">
        <f aca="false">IFERROR((IF(H15="",0,H15*前提・入力!$B$7)+IF(K15="",0,K15*前提・入力!$B$8)+IF(N15="",0,N15*前提・入力!$B$9))/(IF(H15="",0,前提・入力!$B$7)+IF(K15="",0,前提・入力!$B$8)+IF(N15="",0,前提・入力!$B$9)),前提・入力!$B$11)</f>
        <v>1.25517951321319</v>
      </c>
      <c r="P15" s="35" t="n">
        <f aca="false">ROUND(E15*O15,0)</f>
        <v>51</v>
      </c>
      <c r="Q15" s="34" t="n">
        <f aca="false">P15*D15</f>
        <v>30600</v>
      </c>
      <c r="R15" s="37" t="n">
        <f aca="false">IFERROR(P15/P$49,0)</f>
        <v>0.0099009900990099</v>
      </c>
      <c r="S15" s="35" t="n">
        <v>740</v>
      </c>
      <c r="T15" s="37" t="n">
        <f aca="false">IFERROR(P15/S15,0)</f>
        <v>0.0689189189189189</v>
      </c>
      <c r="U15" s="35" t="n">
        <f aca="false">MAX(0,S15-P15)</f>
        <v>689</v>
      </c>
      <c r="V15" s="38" t="n">
        <f aca="false">P15-S15</f>
        <v>-689</v>
      </c>
      <c r="W15" s="39" t="str">
        <f aca="false">IF(V15&gt;0,"会期中に在庫切れ",IF(T15&gt;=0.9,"要注意(90%超)",IF(T15&gt;=0.5,"適正","在庫余剰")))</f>
        <v>在庫余剰</v>
      </c>
    </row>
    <row r="16" customFormat="false" ht="15" hidden="false" customHeight="false" outlineLevel="0" collapsed="false">
      <c r="A16" s="32" t="n">
        <v>10</v>
      </c>
      <c r="B16" s="32" t="s">
        <v>304</v>
      </c>
      <c r="C16" s="33" t="s">
        <v>305</v>
      </c>
      <c r="D16" s="34" t="n">
        <v>600</v>
      </c>
      <c r="E16" s="35" t="n">
        <v>16</v>
      </c>
      <c r="F16" s="35" t="n">
        <v>93</v>
      </c>
      <c r="G16" s="35" t="n">
        <v>104</v>
      </c>
      <c r="H16" s="36" t="n">
        <f aca="false">IF(F16=0,"",G16/F16)</f>
        <v>1.11827956989247</v>
      </c>
      <c r="I16" s="35" t="n">
        <v>219</v>
      </c>
      <c r="J16" s="35" t="n">
        <v>254</v>
      </c>
      <c r="K16" s="36" t="n">
        <f aca="false">IF(I16=0,"",J16/I16)</f>
        <v>1.15981735159817</v>
      </c>
      <c r="L16" s="35" t="n">
        <v>38</v>
      </c>
      <c r="M16" s="35" t="n">
        <v>53</v>
      </c>
      <c r="N16" s="36" t="n">
        <f aca="false">IF(L16=0,"",M16/L16)</f>
        <v>1.39473684210526</v>
      </c>
      <c r="O16" s="36" t="n">
        <f aca="false">IFERROR((IF(H16="",0,H16*前提・入力!$B$7)+IF(K16="",0,K16*前提・入力!$B$8)+IF(N16="",0,N16*前提・入力!$B$9))/(IF(H16="",0,前提・入力!$B$7)+IF(K16="",0,前提・入力!$B$8)+IF(N16="",0,前提・入力!$B$9)),前提・入力!$B$11)</f>
        <v>1.26689265142529</v>
      </c>
      <c r="P16" s="35" t="n">
        <f aca="false">ROUND(E16*O16,0)</f>
        <v>20</v>
      </c>
      <c r="Q16" s="34" t="n">
        <f aca="false">P16*D16</f>
        <v>12000</v>
      </c>
      <c r="R16" s="37" t="n">
        <f aca="false">IFERROR(P16/P$49,0)</f>
        <v>0.003882741215298</v>
      </c>
      <c r="S16" s="35" t="n">
        <v>541</v>
      </c>
      <c r="T16" s="37" t="n">
        <f aca="false">IFERROR(P16/S16,0)</f>
        <v>0.0369685767097967</v>
      </c>
      <c r="U16" s="35" t="n">
        <f aca="false">MAX(0,S16-P16)</f>
        <v>521</v>
      </c>
      <c r="V16" s="38" t="n">
        <f aca="false">P16-S16</f>
        <v>-521</v>
      </c>
      <c r="W16" s="39" t="str">
        <f aca="false">IF(V16&gt;0,"会期中に在庫切れ",IF(T16&gt;=0.9,"要注意(90%超)",IF(T16&gt;=0.5,"適正","在庫余剰")))</f>
        <v>在庫余剰</v>
      </c>
    </row>
    <row r="17" customFormat="false" ht="15" hidden="false" customHeight="false" outlineLevel="0" collapsed="false">
      <c r="A17" s="32" t="n">
        <v>11</v>
      </c>
      <c r="B17" s="32" t="s">
        <v>306</v>
      </c>
      <c r="C17" s="33" t="s">
        <v>307</v>
      </c>
      <c r="D17" s="34" t="n">
        <v>600</v>
      </c>
      <c r="E17" s="35" t="n">
        <v>6</v>
      </c>
      <c r="F17" s="35" t="n">
        <v>27</v>
      </c>
      <c r="G17" s="35" t="n">
        <v>30</v>
      </c>
      <c r="H17" s="36" t="n">
        <f aca="false">IF(F17=0,"",G17/F17)</f>
        <v>1.11111111111111</v>
      </c>
      <c r="I17" s="35" t="n">
        <v>54</v>
      </c>
      <c r="J17" s="35" t="n">
        <v>69</v>
      </c>
      <c r="K17" s="36" t="n">
        <f aca="false">IF(I17=0,"",J17/I17)</f>
        <v>1.27777777777778</v>
      </c>
      <c r="L17" s="35" t="n">
        <v>11</v>
      </c>
      <c r="M17" s="35" t="n">
        <v>16</v>
      </c>
      <c r="N17" s="36" t="n">
        <f aca="false">IF(L17=0,"",M17/L17)</f>
        <v>1.45454545454545</v>
      </c>
      <c r="O17" s="36" t="n">
        <f aca="false">IFERROR((IF(H17="",0,H17*前提・入力!$B$7)+IF(K17="",0,K17*前提・入力!$B$8)+IF(N17="",0,N17*前提・入力!$B$9))/(IF(H17="",0,前提・入力!$B$7)+IF(K17="",0,前提・入力!$B$8)+IF(N17="",0,前提・入力!$B$9)),前提・入力!$B$11)</f>
        <v>1.32449494949495</v>
      </c>
      <c r="P17" s="35" t="n">
        <f aca="false">ROUND(E17*O17,0)</f>
        <v>8</v>
      </c>
      <c r="Q17" s="34" t="n">
        <f aca="false">P17*D17</f>
        <v>4800</v>
      </c>
      <c r="R17" s="37" t="n">
        <f aca="false">IFERROR(P17/P$49,0)</f>
        <v>0.0015530964861192</v>
      </c>
      <c r="S17" s="35" t="n">
        <v>79</v>
      </c>
      <c r="T17" s="37" t="n">
        <f aca="false">IFERROR(P17/S17,0)</f>
        <v>0.10126582278481</v>
      </c>
      <c r="U17" s="35" t="n">
        <f aca="false">MAX(0,S17-P17)</f>
        <v>71</v>
      </c>
      <c r="V17" s="38" t="n">
        <f aca="false">P17-S17</f>
        <v>-71</v>
      </c>
      <c r="W17" s="39" t="str">
        <f aca="false">IF(V17&gt;0,"会期中に在庫切れ",IF(T17&gt;=0.9,"要注意(90%超)",IF(T17&gt;=0.5,"適正","在庫余剰")))</f>
        <v>在庫余剰</v>
      </c>
    </row>
    <row r="18" customFormat="false" ht="15" hidden="false" customHeight="false" outlineLevel="0" collapsed="false">
      <c r="A18" s="32" t="n">
        <v>12</v>
      </c>
      <c r="B18" s="32" t="s">
        <v>308</v>
      </c>
      <c r="C18" s="33" t="s">
        <v>309</v>
      </c>
      <c r="D18" s="34" t="n">
        <v>600</v>
      </c>
      <c r="E18" s="35" t="n">
        <v>13</v>
      </c>
      <c r="F18" s="35" t="n">
        <v>32</v>
      </c>
      <c r="G18" s="35" t="n">
        <v>42</v>
      </c>
      <c r="H18" s="36" t="n">
        <f aca="false">IF(F18=0,"",G18/F18)</f>
        <v>1.3125</v>
      </c>
      <c r="I18" s="35" t="n">
        <v>107</v>
      </c>
      <c r="J18" s="35" t="n">
        <v>126</v>
      </c>
      <c r="K18" s="36" t="n">
        <f aca="false">IF(I18=0,"",J18/I18)</f>
        <v>1.17757009345794</v>
      </c>
      <c r="L18" s="35" t="n">
        <v>27</v>
      </c>
      <c r="M18" s="35" t="n">
        <v>36</v>
      </c>
      <c r="N18" s="36" t="n">
        <f aca="false">IF(L18=0,"",M18/L18)</f>
        <v>1.33333333333333</v>
      </c>
      <c r="O18" s="36" t="n">
        <f aca="false">IFERROR((IF(H18="",0,H18*前提・入力!$B$7)+IF(K18="",0,K18*前提・入力!$B$8)+IF(N18="",0,N18*前提・入力!$B$9))/(IF(H18="",0,前提・入力!$B$7)+IF(K18="",0,前提・入力!$B$8)+IF(N18="",0,前提・入力!$B$9)),前提・入力!$B$11)</f>
        <v>1.28918419003115</v>
      </c>
      <c r="P18" s="35" t="n">
        <f aca="false">ROUND(E18*O18,0)</f>
        <v>17</v>
      </c>
      <c r="Q18" s="34" t="n">
        <f aca="false">P18*D18</f>
        <v>10200</v>
      </c>
      <c r="R18" s="37" t="n">
        <f aca="false">IFERROR(P18/P$49,0)</f>
        <v>0.0033003300330033</v>
      </c>
      <c r="S18" s="35" t="n">
        <v>107</v>
      </c>
      <c r="T18" s="37" t="n">
        <f aca="false">IFERROR(P18/S18,0)</f>
        <v>0.158878504672897</v>
      </c>
      <c r="U18" s="35" t="n">
        <f aca="false">MAX(0,S18-P18)</f>
        <v>90</v>
      </c>
      <c r="V18" s="38" t="n">
        <f aca="false">P18-S18</f>
        <v>-90</v>
      </c>
      <c r="W18" s="39" t="str">
        <f aca="false">IF(V18&gt;0,"会期中に在庫切れ",IF(T18&gt;=0.9,"要注意(90%超)",IF(T18&gt;=0.5,"適正","在庫余剰")))</f>
        <v>在庫余剰</v>
      </c>
    </row>
    <row r="19" customFormat="false" ht="15" hidden="false" customHeight="false" outlineLevel="0" collapsed="false">
      <c r="A19" s="32" t="n">
        <v>13</v>
      </c>
      <c r="B19" s="32" t="s">
        <v>310</v>
      </c>
      <c r="C19" s="33" t="s">
        <v>311</v>
      </c>
      <c r="D19" s="34" t="n">
        <v>600</v>
      </c>
      <c r="E19" s="35" t="n">
        <v>5</v>
      </c>
      <c r="F19" s="35" t="n">
        <v>13</v>
      </c>
      <c r="G19" s="35" t="n">
        <v>18</v>
      </c>
      <c r="H19" s="36" t="n">
        <f aca="false">IF(F19=0,"",G19/F19)</f>
        <v>1.38461538461538</v>
      </c>
      <c r="I19" s="35" t="n">
        <v>35</v>
      </c>
      <c r="J19" s="35" t="n">
        <v>39</v>
      </c>
      <c r="K19" s="36" t="n">
        <f aca="false">IF(I19=0,"",J19/I19)</f>
        <v>1.11428571428571</v>
      </c>
      <c r="L19" s="35" t="n">
        <v>3</v>
      </c>
      <c r="M19" s="35" t="n">
        <v>4</v>
      </c>
      <c r="N19" s="36" t="n">
        <f aca="false">IF(L19=0,"",M19/L19)</f>
        <v>1.33333333333333</v>
      </c>
      <c r="O19" s="36" t="n">
        <f aca="false">IFERROR((IF(H19="",0,H19*前提・入力!$B$7)+IF(K19="",0,K19*前提・入力!$B$8)+IF(N19="",0,N19*前提・入力!$B$9))/(IF(H19="",0,前提・入力!$B$7)+IF(K19="",0,前提・入力!$B$8)+IF(N19="",0,前提・入力!$B$9)),前提・入力!$B$11)</f>
        <v>1.29139194139194</v>
      </c>
      <c r="P19" s="35" t="n">
        <f aca="false">ROUND(E19*O19,0)</f>
        <v>6</v>
      </c>
      <c r="Q19" s="34" t="n">
        <f aca="false">P19*D19</f>
        <v>3600</v>
      </c>
      <c r="R19" s="37" t="n">
        <f aca="false">IFERROR(P19/P$49,0)</f>
        <v>0.0011648223645894</v>
      </c>
      <c r="S19" s="35" t="n">
        <v>52</v>
      </c>
      <c r="T19" s="37" t="n">
        <f aca="false">IFERROR(P19/S19,0)</f>
        <v>0.115384615384615</v>
      </c>
      <c r="U19" s="35" t="n">
        <f aca="false">MAX(0,S19-P19)</f>
        <v>46</v>
      </c>
      <c r="V19" s="38" t="n">
        <f aca="false">P19-S19</f>
        <v>-46</v>
      </c>
      <c r="W19" s="39" t="str">
        <f aca="false">IF(V19&gt;0,"会期中に在庫切れ",IF(T19&gt;=0.9,"要注意(90%超)",IF(T19&gt;=0.5,"適正","在庫余剰")))</f>
        <v>在庫余剰</v>
      </c>
    </row>
    <row r="20" customFormat="false" ht="15" hidden="false" customHeight="false" outlineLevel="0" collapsed="false">
      <c r="A20" s="32" t="n">
        <v>14</v>
      </c>
      <c r="B20" s="32" t="s">
        <v>312</v>
      </c>
      <c r="C20" s="33" t="s">
        <v>313</v>
      </c>
      <c r="D20" s="34" t="n">
        <v>600</v>
      </c>
      <c r="E20" s="35" t="n">
        <v>10</v>
      </c>
      <c r="F20" s="35" t="n">
        <v>50</v>
      </c>
      <c r="G20" s="35" t="n">
        <v>61</v>
      </c>
      <c r="H20" s="36" t="n">
        <f aca="false">IF(F20=0,"",G20/F20)</f>
        <v>1.22</v>
      </c>
      <c r="I20" s="35" t="n">
        <v>110</v>
      </c>
      <c r="J20" s="35" t="n">
        <v>133</v>
      </c>
      <c r="K20" s="36" t="n">
        <f aca="false">IF(I20=0,"",J20/I20)</f>
        <v>1.20909090909091</v>
      </c>
      <c r="L20" s="35" t="n">
        <v>25</v>
      </c>
      <c r="M20" s="35" t="n">
        <v>41</v>
      </c>
      <c r="N20" s="36" t="n">
        <f aca="false">IF(L20=0,"",M20/L20)</f>
        <v>1.64</v>
      </c>
      <c r="O20" s="36" t="n">
        <f aca="false">IFERROR((IF(H20="",0,H20*前提・入力!$B$7)+IF(K20="",0,K20*前提・入力!$B$8)+IF(N20="",0,N20*前提・入力!$B$9))/(IF(H20="",0,前提・入力!$B$7)+IF(K20="",0,前提・入力!$B$8)+IF(N20="",0,前提・入力!$B$9)),前提・入力!$B$11)</f>
        <v>1.42727272727273</v>
      </c>
      <c r="P20" s="35" t="n">
        <f aca="false">ROUND(E20*O20,0)</f>
        <v>14</v>
      </c>
      <c r="Q20" s="34" t="n">
        <f aca="false">P20*D20</f>
        <v>8400</v>
      </c>
      <c r="R20" s="37" t="n">
        <f aca="false">IFERROR(P20/P$49,0)</f>
        <v>0.0027179188507086</v>
      </c>
      <c r="S20" s="35" t="n">
        <v>53</v>
      </c>
      <c r="T20" s="37" t="n">
        <f aca="false">IFERROR(P20/S20,0)</f>
        <v>0.264150943396226</v>
      </c>
      <c r="U20" s="35" t="n">
        <f aca="false">MAX(0,S20-P20)</f>
        <v>39</v>
      </c>
      <c r="V20" s="38" t="n">
        <f aca="false">P20-S20</f>
        <v>-39</v>
      </c>
      <c r="W20" s="39" t="str">
        <f aca="false">IF(V20&gt;0,"会期中に在庫切れ",IF(T20&gt;=0.9,"要注意(90%超)",IF(T20&gt;=0.5,"適正","在庫余剰")))</f>
        <v>在庫余剰</v>
      </c>
    </row>
    <row r="21" customFormat="false" ht="15" hidden="false" customHeight="false" outlineLevel="0" collapsed="false">
      <c r="A21" s="32" t="n">
        <v>15</v>
      </c>
      <c r="B21" s="32" t="s">
        <v>314</v>
      </c>
      <c r="C21" s="33" t="s">
        <v>315</v>
      </c>
      <c r="D21" s="34" t="n">
        <v>600</v>
      </c>
      <c r="E21" s="35" t="n">
        <v>17</v>
      </c>
      <c r="F21" s="35" t="n">
        <v>63</v>
      </c>
      <c r="G21" s="35" t="n">
        <v>88</v>
      </c>
      <c r="H21" s="36" t="n">
        <f aca="false">IF(F21=0,"",G21/F21)</f>
        <v>1.3968253968254</v>
      </c>
      <c r="I21" s="35" t="n">
        <v>149</v>
      </c>
      <c r="J21" s="35" t="n">
        <v>184</v>
      </c>
      <c r="K21" s="36" t="n">
        <f aca="false">IF(I21=0,"",J21/I21)</f>
        <v>1.23489932885906</v>
      </c>
      <c r="L21" s="35" t="n">
        <v>35</v>
      </c>
      <c r="M21" s="35" t="n">
        <v>48</v>
      </c>
      <c r="N21" s="36" t="n">
        <f aca="false">IF(L21=0,"",M21/L21)</f>
        <v>1.37142857142857</v>
      </c>
      <c r="O21" s="36" t="n">
        <f aca="false">IFERROR((IF(H21="",0,H21*前提・入力!$B$7)+IF(K21="",0,K21*前提・入力!$B$8)+IF(N21="",0,N21*前提・入力!$B$9))/(IF(H21="",0,前提・入力!$B$7)+IF(K21="",0,前提・入力!$B$8)+IF(N21="",0,前提・入力!$B$9)),前提・入力!$B$11)</f>
        <v>1.3436454671354</v>
      </c>
      <c r="P21" s="35" t="n">
        <f aca="false">ROUND(E21*O21,0)</f>
        <v>23</v>
      </c>
      <c r="Q21" s="34" t="n">
        <f aca="false">P21*D21</f>
        <v>13800</v>
      </c>
      <c r="R21" s="37" t="n">
        <f aca="false">IFERROR(P21/P$49,0)</f>
        <v>0.0044651523975927</v>
      </c>
      <c r="S21" s="35" t="n">
        <v>96</v>
      </c>
      <c r="T21" s="37" t="n">
        <f aca="false">IFERROR(P21/S21,0)</f>
        <v>0.239583333333333</v>
      </c>
      <c r="U21" s="35" t="n">
        <f aca="false">MAX(0,S21-P21)</f>
        <v>73</v>
      </c>
      <c r="V21" s="38" t="n">
        <f aca="false">P21-S21</f>
        <v>-73</v>
      </c>
      <c r="W21" s="39" t="str">
        <f aca="false">IF(V21&gt;0,"会期中に在庫切れ",IF(T21&gt;=0.9,"要注意(90%超)",IF(T21&gt;=0.5,"適正","在庫余剰")))</f>
        <v>在庫余剰</v>
      </c>
    </row>
    <row r="22" customFormat="false" ht="15" hidden="false" customHeight="false" outlineLevel="0" collapsed="false">
      <c r="A22" s="32" t="n">
        <v>16</v>
      </c>
      <c r="B22" s="32" t="s">
        <v>316</v>
      </c>
      <c r="C22" s="33" t="s">
        <v>317</v>
      </c>
      <c r="D22" s="34" t="n">
        <v>600</v>
      </c>
      <c r="E22" s="35" t="n">
        <v>4</v>
      </c>
      <c r="F22" s="35" t="n">
        <v>18</v>
      </c>
      <c r="G22" s="35" t="n">
        <v>25</v>
      </c>
      <c r="H22" s="36" t="n">
        <f aca="false">IF(F22=0,"",G22/F22)</f>
        <v>1.38888888888889</v>
      </c>
      <c r="I22" s="35" t="n">
        <v>47</v>
      </c>
      <c r="J22" s="35" t="n">
        <v>62</v>
      </c>
      <c r="K22" s="36" t="n">
        <f aca="false">IF(I22=0,"",J22/I22)</f>
        <v>1.31914893617021</v>
      </c>
      <c r="L22" s="35" t="n">
        <v>11</v>
      </c>
      <c r="M22" s="35" t="n">
        <v>19</v>
      </c>
      <c r="N22" s="36" t="n">
        <f aca="false">IF(L22=0,"",M22/L22)</f>
        <v>1.72727272727273</v>
      </c>
      <c r="O22" s="36" t="n">
        <f aca="false">IFERROR((IF(H22="",0,H22*前提・入力!$B$7)+IF(K22="",0,K22*前提・入力!$B$8)+IF(N22="",0,N22*前提・入力!$B$9))/(IF(H22="",0,前提・入力!$B$7)+IF(K22="",0,前提・入力!$B$8)+IF(N22="",0,前提・入力!$B$9)),前提・入力!$B$11)</f>
        <v>1.54064581990114</v>
      </c>
      <c r="P22" s="35" t="n">
        <f aca="false">ROUND(E22*O22,0)</f>
        <v>6</v>
      </c>
      <c r="Q22" s="34" t="n">
        <f aca="false">P22*D22</f>
        <v>3600</v>
      </c>
      <c r="R22" s="37" t="n">
        <f aca="false">IFERROR(P22/P$49,0)</f>
        <v>0.0011648223645894</v>
      </c>
      <c r="S22" s="35" t="n">
        <v>78</v>
      </c>
      <c r="T22" s="37" t="n">
        <f aca="false">IFERROR(P22/S22,0)</f>
        <v>0.0769230769230769</v>
      </c>
      <c r="U22" s="35" t="n">
        <f aca="false">MAX(0,S22-P22)</f>
        <v>72</v>
      </c>
      <c r="V22" s="38" t="n">
        <f aca="false">P22-S22</f>
        <v>-72</v>
      </c>
      <c r="W22" s="39" t="str">
        <f aca="false">IF(V22&gt;0,"会期中に在庫切れ",IF(T22&gt;=0.9,"要注意(90%超)",IF(T22&gt;=0.5,"適正","在庫余剰")))</f>
        <v>在庫余剰</v>
      </c>
    </row>
    <row r="23" customFormat="false" ht="15" hidden="false" customHeight="false" outlineLevel="0" collapsed="false">
      <c r="A23" s="32" t="n">
        <v>17</v>
      </c>
      <c r="B23" s="32" t="s">
        <v>318</v>
      </c>
      <c r="C23" s="33" t="s">
        <v>319</v>
      </c>
      <c r="D23" s="34" t="n">
        <v>600</v>
      </c>
      <c r="E23" s="35" t="n">
        <v>30</v>
      </c>
      <c r="F23" s="35" t="n">
        <v>64</v>
      </c>
      <c r="G23" s="35" t="n">
        <v>90</v>
      </c>
      <c r="H23" s="36" t="n">
        <f aca="false">IF(F23=0,"",G23/F23)</f>
        <v>1.40625</v>
      </c>
      <c r="I23" s="35" t="n">
        <v>192</v>
      </c>
      <c r="J23" s="35" t="n">
        <v>235</v>
      </c>
      <c r="K23" s="36" t="n">
        <f aca="false">IF(I23=0,"",J23/I23)</f>
        <v>1.22395833333333</v>
      </c>
      <c r="L23" s="35" t="n">
        <v>69</v>
      </c>
      <c r="M23" s="35" t="n">
        <v>96</v>
      </c>
      <c r="N23" s="36" t="n">
        <f aca="false">IF(L23=0,"",M23/L23)</f>
        <v>1.39130434782609</v>
      </c>
      <c r="O23" s="36" t="n">
        <f aca="false">IFERROR((IF(H23="",0,H23*前提・入力!$B$7)+IF(K23="",0,K23*前提・入力!$B$8)+IF(N23="",0,N23*前提・入力!$B$9))/(IF(H23="",0,前提・入力!$B$7)+IF(K23="",0,前提・入力!$B$8)+IF(N23="",0,前提・入力!$B$9)),前提・入力!$B$11)</f>
        <v>1.35320425724638</v>
      </c>
      <c r="P23" s="35" t="n">
        <f aca="false">ROUND(E23*O23,0)</f>
        <v>41</v>
      </c>
      <c r="Q23" s="34" t="n">
        <f aca="false">P23*D23</f>
        <v>24600</v>
      </c>
      <c r="R23" s="37" t="n">
        <f aca="false">IFERROR(P23/P$49,0)</f>
        <v>0.0079596194913609</v>
      </c>
      <c r="S23" s="35" t="n">
        <v>200</v>
      </c>
      <c r="T23" s="37" t="n">
        <f aca="false">IFERROR(P23/S23,0)</f>
        <v>0.205</v>
      </c>
      <c r="U23" s="35" t="n">
        <f aca="false">MAX(0,S23-P23)</f>
        <v>159</v>
      </c>
      <c r="V23" s="38" t="n">
        <f aca="false">P23-S23</f>
        <v>-159</v>
      </c>
      <c r="W23" s="39" t="str">
        <f aca="false">IF(V23&gt;0,"会期中に在庫切れ",IF(T23&gt;=0.9,"要注意(90%超)",IF(T23&gt;=0.5,"適正","在庫余剰")))</f>
        <v>在庫余剰</v>
      </c>
    </row>
    <row r="24" customFormat="false" ht="15" hidden="false" customHeight="false" outlineLevel="0" collapsed="false">
      <c r="A24" s="32" t="n">
        <v>18</v>
      </c>
      <c r="B24" s="32" t="s">
        <v>320</v>
      </c>
      <c r="C24" s="33" t="s">
        <v>321</v>
      </c>
      <c r="D24" s="34" t="n">
        <v>600</v>
      </c>
      <c r="E24" s="35" t="n">
        <v>122</v>
      </c>
      <c r="F24" s="35" t="n">
        <v>607</v>
      </c>
      <c r="G24" s="35" t="n">
        <v>723</v>
      </c>
      <c r="H24" s="36" t="n">
        <f aca="false">IF(F24=0,"",G24/F24)</f>
        <v>1.19110378912685</v>
      </c>
      <c r="I24" s="35" t="n">
        <v>1606</v>
      </c>
      <c r="J24" s="35" t="n">
        <v>1903</v>
      </c>
      <c r="K24" s="36" t="n">
        <f aca="false">IF(I24=0,"",J24/I24)</f>
        <v>1.18493150684932</v>
      </c>
      <c r="L24" s="35" t="n">
        <v>319</v>
      </c>
      <c r="M24" s="35" t="n">
        <v>416</v>
      </c>
      <c r="N24" s="36" t="n">
        <f aca="false">IF(L24=0,"",M24/L24)</f>
        <v>1.30407523510972</v>
      </c>
      <c r="O24" s="36" t="n">
        <f aca="false">IFERROR((IF(H24="",0,H24*前提・入力!$B$7)+IF(K24="",0,K24*前提・入力!$B$8)+IF(N24="",0,N24*前提・入力!$B$9))/(IF(H24="",0,前提・入力!$B$7)+IF(K24="",0,前提・入力!$B$8)+IF(N24="",0,前提・入力!$B$9)),前提・入力!$B$11)</f>
        <v>1.2460464415489</v>
      </c>
      <c r="P24" s="35" t="n">
        <f aca="false">ROUND(E24*O24,0)</f>
        <v>152</v>
      </c>
      <c r="Q24" s="34" t="n">
        <f aca="false">P24*D24</f>
        <v>91200</v>
      </c>
      <c r="R24" s="37" t="n">
        <f aca="false">IFERROR(P24/P$49,0)</f>
        <v>0.0295088332362648</v>
      </c>
      <c r="S24" s="35" t="n">
        <v>1157</v>
      </c>
      <c r="T24" s="37" t="n">
        <f aca="false">IFERROR(P24/S24,0)</f>
        <v>0.131374243733794</v>
      </c>
      <c r="U24" s="35" t="n">
        <f aca="false">MAX(0,S24-P24)</f>
        <v>1005</v>
      </c>
      <c r="V24" s="38" t="n">
        <f aca="false">P24-S24</f>
        <v>-1005</v>
      </c>
      <c r="W24" s="39" t="str">
        <f aca="false">IF(V24&gt;0,"会期中に在庫切れ",IF(T24&gt;=0.9,"要注意(90%超)",IF(T24&gt;=0.5,"適正","在庫余剰")))</f>
        <v>在庫余剰</v>
      </c>
    </row>
    <row r="25" customFormat="false" ht="15" hidden="false" customHeight="false" outlineLevel="0" collapsed="false">
      <c r="A25" s="32" t="n">
        <v>19</v>
      </c>
      <c r="B25" s="32" t="s">
        <v>322</v>
      </c>
      <c r="C25" s="33" t="s">
        <v>323</v>
      </c>
      <c r="D25" s="34" t="n">
        <v>600</v>
      </c>
      <c r="E25" s="35" t="n">
        <v>4</v>
      </c>
      <c r="F25" s="35" t="n">
        <v>18</v>
      </c>
      <c r="G25" s="35" t="n">
        <v>19</v>
      </c>
      <c r="H25" s="36" t="n">
        <f aca="false">IF(F25=0,"",G25/F25)</f>
        <v>1.05555555555556</v>
      </c>
      <c r="I25" s="35" t="n">
        <v>34</v>
      </c>
      <c r="J25" s="35" t="n">
        <v>42</v>
      </c>
      <c r="K25" s="36" t="n">
        <f aca="false">IF(I25=0,"",J25/I25)</f>
        <v>1.23529411764706</v>
      </c>
      <c r="L25" s="35" t="n">
        <v>14</v>
      </c>
      <c r="M25" s="35" t="n">
        <v>19</v>
      </c>
      <c r="N25" s="36" t="n">
        <f aca="false">IF(L25=0,"",M25/L25)</f>
        <v>1.35714285714286</v>
      </c>
      <c r="O25" s="36" t="n">
        <f aca="false">IFERROR((IF(H25="",0,H25*前提・入力!$B$7)+IF(K25="",0,K25*前提・入力!$B$8)+IF(N25="",0,N25*前提・入力!$B$9))/(IF(H25="",0,前提・入力!$B$7)+IF(K25="",0,前提・入力!$B$8)+IF(N25="",0,前提・入力!$B$9)),前提・入力!$B$11)</f>
        <v>1.25128384687208</v>
      </c>
      <c r="P25" s="35" t="n">
        <f aca="false">ROUND(E25*O25,0)</f>
        <v>5</v>
      </c>
      <c r="Q25" s="34" t="n">
        <f aca="false">P25*D25</f>
        <v>3000</v>
      </c>
      <c r="R25" s="37" t="n">
        <f aca="false">IFERROR(P25/P$49,0)</f>
        <v>0.0009706853038245</v>
      </c>
      <c r="S25" s="35" t="n">
        <v>129</v>
      </c>
      <c r="T25" s="37" t="n">
        <f aca="false">IFERROR(P25/S25,0)</f>
        <v>0.0387596899224806</v>
      </c>
      <c r="U25" s="35" t="n">
        <f aca="false">MAX(0,S25-P25)</f>
        <v>124</v>
      </c>
      <c r="V25" s="38" t="n">
        <f aca="false">P25-S25</f>
        <v>-124</v>
      </c>
      <c r="W25" s="39" t="str">
        <f aca="false">IF(V25&gt;0,"会期中に在庫切れ",IF(T25&gt;=0.9,"要注意(90%超)",IF(T25&gt;=0.5,"適正","在庫余剰")))</f>
        <v>在庫余剰</v>
      </c>
    </row>
    <row r="26" customFormat="false" ht="15" hidden="false" customHeight="false" outlineLevel="0" collapsed="false">
      <c r="A26" s="32" t="n">
        <v>20</v>
      </c>
      <c r="B26" s="32" t="s">
        <v>324</v>
      </c>
      <c r="C26" s="33" t="s">
        <v>325</v>
      </c>
      <c r="D26" s="34" t="n">
        <v>600</v>
      </c>
      <c r="E26" s="35" t="n">
        <v>5</v>
      </c>
      <c r="F26" s="35" t="n">
        <v>15</v>
      </c>
      <c r="G26" s="35" t="n">
        <v>15</v>
      </c>
      <c r="H26" s="36" t="n">
        <f aca="false">IF(F26=0,"",G26/F26)</f>
        <v>1</v>
      </c>
      <c r="I26" s="35" t="n">
        <v>26</v>
      </c>
      <c r="J26" s="35" t="n">
        <v>38</v>
      </c>
      <c r="K26" s="36" t="n">
        <f aca="false">IF(I26=0,"",J26/I26)</f>
        <v>1.46153846153846</v>
      </c>
      <c r="L26" s="35" t="n">
        <v>11</v>
      </c>
      <c r="M26" s="35" t="n">
        <v>16</v>
      </c>
      <c r="N26" s="36" t="n">
        <f aca="false">IF(L26=0,"",M26/L26)</f>
        <v>1.45454545454545</v>
      </c>
      <c r="O26" s="36" t="n">
        <f aca="false">IFERROR((IF(H26="",0,H26*前提・入力!$B$7)+IF(K26="",0,K26*前提・入力!$B$8)+IF(N26="",0,N26*前提・入力!$B$9))/(IF(H26="",0,前提・入力!$B$7)+IF(K26="",0,前提・入力!$B$8)+IF(N26="",0,前提・入力!$B$9)),前提・入力!$B$11)</f>
        <v>1.34265734265734</v>
      </c>
      <c r="P26" s="35" t="n">
        <f aca="false">ROUND(E26*O26,0)</f>
        <v>7</v>
      </c>
      <c r="Q26" s="34" t="n">
        <f aca="false">P26*D26</f>
        <v>4200</v>
      </c>
      <c r="R26" s="37" t="n">
        <f aca="false">IFERROR(P26/P$49,0)</f>
        <v>0.0013589594253543</v>
      </c>
      <c r="S26" s="35" t="n">
        <v>17</v>
      </c>
      <c r="T26" s="37" t="n">
        <f aca="false">IFERROR(P26/S26,0)</f>
        <v>0.411764705882353</v>
      </c>
      <c r="U26" s="35" t="n">
        <f aca="false">MAX(0,S26-P26)</f>
        <v>10</v>
      </c>
      <c r="V26" s="38" t="n">
        <f aca="false">P26-S26</f>
        <v>-10</v>
      </c>
      <c r="W26" s="39" t="str">
        <f aca="false">IF(V26&gt;0,"会期中に在庫切れ",IF(T26&gt;=0.9,"要注意(90%超)",IF(T26&gt;=0.5,"適正","在庫余剰")))</f>
        <v>在庫余剰</v>
      </c>
    </row>
    <row r="27" customFormat="false" ht="15" hidden="false" customHeight="false" outlineLevel="0" collapsed="false">
      <c r="A27" s="32" t="n">
        <v>21</v>
      </c>
      <c r="B27" s="32" t="s">
        <v>326</v>
      </c>
      <c r="C27" s="33" t="s">
        <v>327</v>
      </c>
      <c r="D27" s="34" t="n">
        <v>600</v>
      </c>
      <c r="E27" s="35" t="n">
        <v>23</v>
      </c>
      <c r="F27" s="35" t="n">
        <v>103</v>
      </c>
      <c r="G27" s="35" t="n">
        <v>134</v>
      </c>
      <c r="H27" s="36" t="n">
        <f aca="false">IF(F27=0,"",G27/F27)</f>
        <v>1.30097087378641</v>
      </c>
      <c r="I27" s="35" t="n">
        <v>175</v>
      </c>
      <c r="J27" s="35" t="n">
        <v>221</v>
      </c>
      <c r="K27" s="36" t="n">
        <f aca="false">IF(I27=0,"",J27/I27)</f>
        <v>1.26285714285714</v>
      </c>
      <c r="L27" s="35" t="n">
        <v>58</v>
      </c>
      <c r="M27" s="35" t="n">
        <v>78</v>
      </c>
      <c r="N27" s="36" t="n">
        <f aca="false">IF(L27=0,"",M27/L27)</f>
        <v>1.3448275862069</v>
      </c>
      <c r="O27" s="36" t="n">
        <f aca="false">IFERROR((IF(H27="",0,H27*前提・入力!$B$7)+IF(K27="",0,K27*前提・入力!$B$8)+IF(N27="",0,N27*前提・入力!$B$9))/(IF(H27="",0,前提・入力!$B$7)+IF(K27="",0,前提・入力!$B$8)+IF(N27="",0,前提・入力!$B$9)),前提・入力!$B$11)</f>
        <v>1.31337079726434</v>
      </c>
      <c r="P27" s="35" t="n">
        <f aca="false">ROUND(E27*O27,0)</f>
        <v>30</v>
      </c>
      <c r="Q27" s="34" t="n">
        <f aca="false">P27*D27</f>
        <v>18000</v>
      </c>
      <c r="R27" s="37" t="n">
        <f aca="false">IFERROR(P27/P$49,0)</f>
        <v>0.005824111822947</v>
      </c>
      <c r="S27" s="35" t="n">
        <v>32</v>
      </c>
      <c r="T27" s="37" t="n">
        <f aca="false">IFERROR(P27/S27,0)</f>
        <v>0.9375</v>
      </c>
      <c r="U27" s="35" t="n">
        <f aca="false">MAX(0,S27-P27)</f>
        <v>2</v>
      </c>
      <c r="V27" s="38" t="n">
        <f aca="false">P27-S27</f>
        <v>-2</v>
      </c>
      <c r="W27" s="39" t="str">
        <f aca="false">IF(V27&gt;0,"会期中に在庫切れ",IF(T27&gt;=0.9,"要注意(90%超)",IF(T27&gt;=0.5,"適正","在庫余剰")))</f>
        <v>要注意(90%超)</v>
      </c>
    </row>
    <row r="28" customFormat="false" ht="15" hidden="false" customHeight="false" outlineLevel="0" collapsed="false">
      <c r="A28" s="32" t="n">
        <v>22</v>
      </c>
      <c r="B28" s="32" t="s">
        <v>328</v>
      </c>
      <c r="C28" s="33" t="s">
        <v>329</v>
      </c>
      <c r="D28" s="34" t="n">
        <v>600</v>
      </c>
      <c r="E28" s="35" t="n">
        <v>19</v>
      </c>
      <c r="F28" s="35" t="n">
        <v>49</v>
      </c>
      <c r="G28" s="35" t="n">
        <v>75</v>
      </c>
      <c r="H28" s="36" t="n">
        <f aca="false">IF(F28=0,"",G28/F28)</f>
        <v>1.53061224489796</v>
      </c>
      <c r="I28" s="35" t="n">
        <v>121</v>
      </c>
      <c r="J28" s="35" t="n">
        <v>157</v>
      </c>
      <c r="K28" s="36" t="n">
        <f aca="false">IF(I28=0,"",J28/I28)</f>
        <v>1.29752066115702</v>
      </c>
      <c r="L28" s="35" t="n">
        <v>33</v>
      </c>
      <c r="M28" s="35" t="n">
        <v>46</v>
      </c>
      <c r="N28" s="36" t="n">
        <f aca="false">IF(L28=0,"",M28/L28)</f>
        <v>1.39393939393939</v>
      </c>
      <c r="O28" s="36" t="n">
        <f aca="false">IFERROR((IF(H28="",0,H28*前提・入力!$B$7)+IF(K28="",0,K28*前提・入力!$B$8)+IF(N28="",0,N28*前提・入力!$B$9))/(IF(H28="",0,前提・入力!$B$7)+IF(K28="",0,前提・入力!$B$8)+IF(N28="",0,前提・入力!$B$9)),前提・入力!$B$11)</f>
        <v>1.40400292348344</v>
      </c>
      <c r="P28" s="35" t="n">
        <f aca="false">ROUND(E28*O28,0)</f>
        <v>27</v>
      </c>
      <c r="Q28" s="34" t="n">
        <f aca="false">P28*D28</f>
        <v>16200</v>
      </c>
      <c r="R28" s="37" t="n">
        <f aca="false">IFERROR(P28/P$49,0)</f>
        <v>0.0052417006406523</v>
      </c>
      <c r="S28" s="35" t="n">
        <v>150</v>
      </c>
      <c r="T28" s="37" t="n">
        <f aca="false">IFERROR(P28/S28,0)</f>
        <v>0.18</v>
      </c>
      <c r="U28" s="35" t="n">
        <f aca="false">MAX(0,S28-P28)</f>
        <v>123</v>
      </c>
      <c r="V28" s="38" t="n">
        <f aca="false">P28-S28</f>
        <v>-123</v>
      </c>
      <c r="W28" s="39" t="str">
        <f aca="false">IF(V28&gt;0,"会期中に在庫切れ",IF(T28&gt;=0.9,"要注意(90%超)",IF(T28&gt;=0.5,"適正","在庫余剰")))</f>
        <v>在庫余剰</v>
      </c>
    </row>
    <row r="29" customFormat="false" ht="15" hidden="false" customHeight="false" outlineLevel="0" collapsed="false">
      <c r="A29" s="32" t="n">
        <v>23</v>
      </c>
      <c r="B29" s="32" t="s">
        <v>330</v>
      </c>
      <c r="C29" s="33" t="s">
        <v>331</v>
      </c>
      <c r="D29" s="34" t="n">
        <v>600</v>
      </c>
      <c r="E29" s="35" t="n">
        <v>1018</v>
      </c>
      <c r="F29" s="35" t="n">
        <v>4567</v>
      </c>
      <c r="G29" s="35" t="n">
        <v>6249</v>
      </c>
      <c r="H29" s="36" t="n">
        <f aca="false">IF(F29=0,"",G29/F29)</f>
        <v>1.36829428508868</v>
      </c>
      <c r="I29" s="35" t="n">
        <v>9873</v>
      </c>
      <c r="J29" s="35" t="n">
        <v>11830</v>
      </c>
      <c r="K29" s="36" t="n">
        <f aca="false">IF(I29=0,"",J29/I29)</f>
        <v>1.19821736047807</v>
      </c>
      <c r="L29" s="35" t="n">
        <v>1568</v>
      </c>
      <c r="M29" s="35" t="n">
        <v>1967</v>
      </c>
      <c r="N29" s="36" t="n">
        <f aca="false">IF(L29=0,"",M29/L29)</f>
        <v>1.25446428571429</v>
      </c>
      <c r="O29" s="36" t="n">
        <f aca="false">IFERROR((IF(H29="",0,H29*前提・入力!$B$7)+IF(K29="",0,K29*前提・入力!$B$8)+IF(N29="",0,N29*前提・入力!$B$9))/(IF(H29="",0,前提・入力!$B$7)+IF(K29="",0,前提・入力!$B$8)+IF(N29="",0,前提・入力!$B$9)),前提・入力!$B$11)</f>
        <v>1.26886005424883</v>
      </c>
      <c r="P29" s="35" t="n">
        <f aca="false">ROUND(E29*O29,0)</f>
        <v>1292</v>
      </c>
      <c r="Q29" s="34" t="n">
        <f aca="false">P29*D29</f>
        <v>775200</v>
      </c>
      <c r="R29" s="37" t="n">
        <f aca="false">IFERROR(P29/P$49,0)</f>
        <v>0.250825082508251</v>
      </c>
      <c r="S29" s="35" t="n">
        <v>9325</v>
      </c>
      <c r="T29" s="37" t="n">
        <f aca="false">IFERROR(P29/S29,0)</f>
        <v>0.138552278820375</v>
      </c>
      <c r="U29" s="35" t="n">
        <f aca="false">MAX(0,S29-P29)</f>
        <v>8033</v>
      </c>
      <c r="V29" s="38" t="n">
        <f aca="false">P29-S29</f>
        <v>-8033</v>
      </c>
      <c r="W29" s="39" t="str">
        <f aca="false">IF(V29&gt;0,"会期中に在庫切れ",IF(T29&gt;=0.9,"要注意(90%超)",IF(T29&gt;=0.5,"適正","在庫余剰")))</f>
        <v>在庫余剰</v>
      </c>
    </row>
    <row r="30" customFormat="false" ht="15" hidden="false" customHeight="false" outlineLevel="0" collapsed="false">
      <c r="A30" s="32" t="n">
        <v>24</v>
      </c>
      <c r="B30" s="32" t="s">
        <v>332</v>
      </c>
      <c r="C30" s="33" t="s">
        <v>333</v>
      </c>
      <c r="D30" s="34" t="n">
        <v>600</v>
      </c>
      <c r="E30" s="35" t="n">
        <v>668</v>
      </c>
      <c r="F30" s="35" t="n">
        <v>2692</v>
      </c>
      <c r="G30" s="35" t="n">
        <v>3777</v>
      </c>
      <c r="H30" s="36" t="n">
        <f aca="false">IF(F30=0,"",G30/F30)</f>
        <v>1.40304606240713</v>
      </c>
      <c r="I30" s="35" t="n">
        <v>5350</v>
      </c>
      <c r="J30" s="35" t="n">
        <v>6411</v>
      </c>
      <c r="K30" s="36" t="n">
        <f aca="false">IF(I30=0,"",J30/I30)</f>
        <v>1.19831775700935</v>
      </c>
      <c r="L30" s="35" t="n">
        <v>872</v>
      </c>
      <c r="M30" s="35" t="n">
        <v>1124</v>
      </c>
      <c r="N30" s="36" t="n">
        <f aca="false">IF(L30=0,"",M30/L30)</f>
        <v>1.28899082568807</v>
      </c>
      <c r="O30" s="36" t="n">
        <f aca="false">IFERROR((IF(H30="",0,H30*前提・入力!$B$7)+IF(K30="",0,K30*前提・入力!$B$8)+IF(N30="",0,N30*前提・入力!$B$9))/(IF(H30="",0,前提・入力!$B$7)+IF(K30="",0,前提・入力!$B$8)+IF(N30="",0,前提・入力!$B$9)),前提・入力!$B$11)</f>
        <v>1.29483636769816</v>
      </c>
      <c r="P30" s="35" t="n">
        <f aca="false">ROUND(E30*O30,0)</f>
        <v>865</v>
      </c>
      <c r="Q30" s="34" t="n">
        <f aca="false">P30*D30</f>
        <v>519000</v>
      </c>
      <c r="R30" s="37" t="n">
        <f aca="false">IFERROR(P30/P$49,0)</f>
        <v>0.167928557561639</v>
      </c>
      <c r="S30" s="35" t="n">
        <v>7284</v>
      </c>
      <c r="T30" s="37" t="n">
        <f aca="false">IFERROR(P30/S30,0)</f>
        <v>0.118753432180121</v>
      </c>
      <c r="U30" s="35" t="n">
        <f aca="false">MAX(0,S30-P30)</f>
        <v>6419</v>
      </c>
      <c r="V30" s="38" t="n">
        <f aca="false">P30-S30</f>
        <v>-6419</v>
      </c>
      <c r="W30" s="39" t="str">
        <f aca="false">IF(V30&gt;0,"会期中に在庫切れ",IF(T30&gt;=0.9,"要注意(90%超)",IF(T30&gt;=0.5,"適正","在庫余剰")))</f>
        <v>在庫余剰</v>
      </c>
    </row>
    <row r="31" customFormat="false" ht="15" hidden="false" customHeight="false" outlineLevel="0" collapsed="false">
      <c r="A31" s="32" t="n">
        <v>25</v>
      </c>
      <c r="B31" s="32" t="s">
        <v>334</v>
      </c>
      <c r="C31" s="33" t="s">
        <v>335</v>
      </c>
      <c r="D31" s="34" t="n">
        <v>1500</v>
      </c>
      <c r="E31" s="35" t="n">
        <v>43</v>
      </c>
      <c r="F31" s="35" t="n">
        <v>97</v>
      </c>
      <c r="G31" s="35" t="n">
        <v>134</v>
      </c>
      <c r="H31" s="36" t="n">
        <f aca="false">IF(F31=0,"",G31/F31)</f>
        <v>1.38144329896907</v>
      </c>
      <c r="I31" s="35" t="n">
        <v>174</v>
      </c>
      <c r="J31" s="35" t="n">
        <v>228</v>
      </c>
      <c r="K31" s="36" t="n">
        <f aca="false">IF(I31=0,"",J31/I31)</f>
        <v>1.31034482758621</v>
      </c>
      <c r="L31" s="35" t="n">
        <v>38</v>
      </c>
      <c r="M31" s="35" t="n">
        <v>52</v>
      </c>
      <c r="N31" s="36" t="n">
        <f aca="false">IF(L31=0,"",M31/L31)</f>
        <v>1.36842105263158</v>
      </c>
      <c r="O31" s="36" t="n">
        <f aca="false">IFERROR((IF(H31="",0,H31*前提・入力!$B$7)+IF(K31="",0,K31*前提・入力!$B$8)+IF(N31="",0,N31*前提・入力!$B$9))/(IF(H31="",0,前提・入力!$B$7)+IF(K31="",0,前提・入力!$B$8)+IF(N31="",0,前提・入力!$B$9)),前提・入力!$B$11)</f>
        <v>1.35715755795461</v>
      </c>
      <c r="P31" s="35" t="n">
        <f aca="false">ROUND(E31*O31,0)</f>
        <v>58</v>
      </c>
      <c r="Q31" s="34" t="n">
        <f aca="false">P31*D31</f>
        <v>87000</v>
      </c>
      <c r="R31" s="37" t="n">
        <f aca="false">IFERROR(P31/P$49,0)</f>
        <v>0.0112599495243642</v>
      </c>
      <c r="S31" s="35" t="n">
        <v>176</v>
      </c>
      <c r="T31" s="37" t="n">
        <f aca="false">IFERROR(P31/S31,0)</f>
        <v>0.329545454545455</v>
      </c>
      <c r="U31" s="35" t="n">
        <f aca="false">MAX(0,S31-P31)</f>
        <v>118</v>
      </c>
      <c r="V31" s="38" t="n">
        <f aca="false">P31-S31</f>
        <v>-118</v>
      </c>
      <c r="W31" s="39" t="str">
        <f aca="false">IF(V31&gt;0,"会期中に在庫切れ",IF(T31&gt;=0.9,"要注意(90%超)",IF(T31&gt;=0.5,"適正","在庫余剰")))</f>
        <v>在庫余剰</v>
      </c>
    </row>
    <row r="32" customFormat="false" ht="15" hidden="false" customHeight="false" outlineLevel="0" collapsed="false">
      <c r="A32" s="32" t="n">
        <v>26</v>
      </c>
      <c r="B32" s="32" t="s">
        <v>336</v>
      </c>
      <c r="C32" s="33" t="s">
        <v>337</v>
      </c>
      <c r="D32" s="34" t="n">
        <v>2200</v>
      </c>
      <c r="E32" s="35" t="n">
        <v>50</v>
      </c>
      <c r="F32" s="35" t="n">
        <v>255</v>
      </c>
      <c r="G32" s="35" t="n">
        <v>337</v>
      </c>
      <c r="H32" s="36" t="n">
        <f aca="false">IF(F32=0,"",G32/F32)</f>
        <v>1.32156862745098</v>
      </c>
      <c r="I32" s="35" t="n">
        <v>645</v>
      </c>
      <c r="J32" s="35" t="n">
        <v>779</v>
      </c>
      <c r="K32" s="36" t="n">
        <f aca="false">IF(I32=0,"",J32/I32)</f>
        <v>1.2077519379845</v>
      </c>
      <c r="L32" s="35" t="n">
        <v>124</v>
      </c>
      <c r="M32" s="35" t="n">
        <v>188</v>
      </c>
      <c r="N32" s="36" t="n">
        <f aca="false">IF(L32=0,"",M32/L32)</f>
        <v>1.51612903225806</v>
      </c>
      <c r="O32" s="36" t="n">
        <f aca="false">IFERROR((IF(H32="",0,H32*前提・入力!$B$7)+IF(K32="",0,K32*前提・入力!$B$8)+IF(N32="",0,N32*前提・入力!$B$9))/(IF(H32="",0,前提・入力!$B$7)+IF(K32="",0,前提・入力!$B$8)+IF(N32="",0,前提・入力!$B$9)),前提・入力!$B$11)</f>
        <v>1.3903946574879</v>
      </c>
      <c r="P32" s="35" t="n">
        <f aca="false">ROUND(E32*O32,0)</f>
        <v>70</v>
      </c>
      <c r="Q32" s="34" t="n">
        <f aca="false">P32*D32</f>
        <v>154000</v>
      </c>
      <c r="R32" s="37" t="n">
        <f aca="false">IFERROR(P32/P$49,0)</f>
        <v>0.013589594253543</v>
      </c>
      <c r="S32" s="35" t="n">
        <v>50</v>
      </c>
      <c r="T32" s="37" t="n">
        <f aca="false">IFERROR(P32/S32,0)</f>
        <v>1.4</v>
      </c>
      <c r="U32" s="35" t="n">
        <f aca="false">MAX(0,S32-P32)</f>
        <v>0</v>
      </c>
      <c r="V32" s="38" t="n">
        <f aca="false">P32-S32</f>
        <v>20</v>
      </c>
      <c r="W32" s="39" t="str">
        <f aca="false">IF(V32&gt;0,"会期中に在庫切れ",IF(T32&gt;=0.9,"要注意(90%超)",IF(T32&gt;=0.5,"適正","在庫余剰")))</f>
        <v>会期中に在庫切れ</v>
      </c>
    </row>
    <row r="33" customFormat="false" ht="15" hidden="false" customHeight="false" outlineLevel="0" collapsed="false">
      <c r="A33" s="32" t="n">
        <v>27</v>
      </c>
      <c r="B33" s="32" t="s">
        <v>338</v>
      </c>
      <c r="C33" s="33" t="s">
        <v>339</v>
      </c>
      <c r="D33" s="34" t="n">
        <v>1100</v>
      </c>
      <c r="E33" s="35" t="n">
        <v>13</v>
      </c>
      <c r="F33" s="35" t="n">
        <v>52</v>
      </c>
      <c r="G33" s="35" t="n">
        <v>69</v>
      </c>
      <c r="H33" s="36" t="n">
        <f aca="false">IF(F33=0,"",G33/F33)</f>
        <v>1.32692307692308</v>
      </c>
      <c r="I33" s="35" t="n">
        <v>103</v>
      </c>
      <c r="J33" s="35" t="n">
        <v>134</v>
      </c>
      <c r="K33" s="36" t="n">
        <f aca="false">IF(I33=0,"",J33/I33)</f>
        <v>1.30097087378641</v>
      </c>
      <c r="L33" s="35" t="n">
        <v>31</v>
      </c>
      <c r="M33" s="35" t="n">
        <v>44</v>
      </c>
      <c r="N33" s="36" t="n">
        <f aca="false">IF(L33=0,"",M33/L33)</f>
        <v>1.41935483870968</v>
      </c>
      <c r="O33" s="36" t="n">
        <f aca="false">IFERROR((IF(H33="",0,H33*前提・入力!$B$7)+IF(K33="",0,K33*前提・入力!$B$8)+IF(N33="",0,N33*前提・入力!$B$9))/(IF(H33="",0,前提・入力!$B$7)+IF(K33="",0,前提・入力!$B$8)+IF(N33="",0,前提・入力!$B$9)),前提・入力!$B$11)</f>
        <v>1.36665090703221</v>
      </c>
      <c r="P33" s="35" t="n">
        <f aca="false">ROUND(E33*O33,0)</f>
        <v>18</v>
      </c>
      <c r="Q33" s="34" t="n">
        <f aca="false">P33*D33</f>
        <v>19800</v>
      </c>
      <c r="R33" s="37" t="n">
        <f aca="false">IFERROR(P33/P$49,0)</f>
        <v>0.0034944670937682</v>
      </c>
      <c r="S33" s="35" t="n">
        <v>70</v>
      </c>
      <c r="T33" s="37" t="n">
        <f aca="false">IFERROR(P33/S33,0)</f>
        <v>0.257142857142857</v>
      </c>
      <c r="U33" s="35" t="n">
        <f aca="false">MAX(0,S33-P33)</f>
        <v>52</v>
      </c>
      <c r="V33" s="38" t="n">
        <f aca="false">P33-S33</f>
        <v>-52</v>
      </c>
      <c r="W33" s="39" t="str">
        <f aca="false">IF(V33&gt;0,"会期中に在庫切れ",IF(T33&gt;=0.9,"要注意(90%超)",IF(T33&gt;=0.5,"適正","在庫余剰")))</f>
        <v>在庫余剰</v>
      </c>
    </row>
    <row r="34" customFormat="false" ht="15" hidden="false" customHeight="false" outlineLevel="0" collapsed="false">
      <c r="A34" s="32" t="n">
        <v>28</v>
      </c>
      <c r="B34" s="32" t="s">
        <v>340</v>
      </c>
      <c r="C34" s="33" t="s">
        <v>341</v>
      </c>
      <c r="D34" s="34" t="n">
        <v>1800</v>
      </c>
      <c r="E34" s="35" t="n">
        <v>80</v>
      </c>
      <c r="F34" s="35" t="n">
        <v>279</v>
      </c>
      <c r="G34" s="35" t="n">
        <v>333</v>
      </c>
      <c r="H34" s="36" t="n">
        <f aca="false">IF(F34=0,"",G34/F34)</f>
        <v>1.19354838709677</v>
      </c>
      <c r="I34" s="35" t="n">
        <v>400</v>
      </c>
      <c r="J34" s="35" t="n">
        <v>400</v>
      </c>
      <c r="K34" s="36" t="n">
        <f aca="false">IF(I34=0,"",J34/I34)</f>
        <v>1</v>
      </c>
      <c r="L34" s="35" t="n">
        <v>249</v>
      </c>
      <c r="M34" s="35" t="n">
        <v>300</v>
      </c>
      <c r="N34" s="36" t="n">
        <f aca="false">IF(L34=0,"",M34/L34)</f>
        <v>1.20481927710843</v>
      </c>
      <c r="O34" s="36" t="n">
        <f aca="false">IFERROR((IF(H34="",0,H34*前提・入力!$B$7)+IF(K34="",0,K34*前提・入力!$B$8)+IF(N34="",0,N34*前提・入力!$B$9))/(IF(H34="",0,前提・入力!$B$7)+IF(K34="",0,前提・入力!$B$8)+IF(N34="",0,前提・入力!$B$9)),前提・入力!$B$11)</f>
        <v>1.15079673532841</v>
      </c>
      <c r="P34" s="35" t="n">
        <f aca="false">ROUND(E34*O34,0)</f>
        <v>92</v>
      </c>
      <c r="Q34" s="34" t="n">
        <f aca="false">P34*D34</f>
        <v>165600</v>
      </c>
      <c r="R34" s="37" t="n">
        <f aca="false">IFERROR(P34/P$49,0)</f>
        <v>0.0178606095903708</v>
      </c>
      <c r="S34" s="35" t="n">
        <v>80</v>
      </c>
      <c r="T34" s="37" t="n">
        <f aca="false">IFERROR(P34/S34,0)</f>
        <v>1.15</v>
      </c>
      <c r="U34" s="35" t="n">
        <f aca="false">MAX(0,S34-P34)</f>
        <v>0</v>
      </c>
      <c r="V34" s="38" t="n">
        <f aca="false">P34-S34</f>
        <v>12</v>
      </c>
      <c r="W34" s="39" t="str">
        <f aca="false">IF(V34&gt;0,"会期中に在庫切れ",IF(T34&gt;=0.9,"要注意(90%超)",IF(T34&gt;=0.5,"適正","在庫余剰")))</f>
        <v>会期中に在庫切れ</v>
      </c>
    </row>
    <row r="35" customFormat="false" ht="15" hidden="false" customHeight="false" outlineLevel="0" collapsed="false">
      <c r="A35" s="32" t="n">
        <v>29</v>
      </c>
      <c r="B35" s="32" t="s">
        <v>342</v>
      </c>
      <c r="C35" s="33" t="s">
        <v>343</v>
      </c>
      <c r="D35" s="34" t="n">
        <v>1500</v>
      </c>
      <c r="E35" s="35" t="n">
        <v>71</v>
      </c>
      <c r="F35" s="35" t="n">
        <v>210</v>
      </c>
      <c r="G35" s="35" t="n">
        <v>249</v>
      </c>
      <c r="H35" s="36" t="n">
        <f aca="false">IF(F35=0,"",G35/F35)</f>
        <v>1.18571428571429</v>
      </c>
      <c r="I35" s="35" t="n">
        <v>200</v>
      </c>
      <c r="J35" s="35" t="n">
        <v>200</v>
      </c>
      <c r="K35" s="36" t="n">
        <f aca="false">IF(I35=0,"",J35/I35)</f>
        <v>1</v>
      </c>
      <c r="L35" s="35" t="n">
        <v>121</v>
      </c>
      <c r="M35" s="35" t="n">
        <v>149</v>
      </c>
      <c r="N35" s="36" t="n">
        <f aca="false">IF(L35=0,"",M35/L35)</f>
        <v>1.23140495867769</v>
      </c>
      <c r="O35" s="36" t="n">
        <f aca="false">IFERROR((IF(H35="",0,H35*前提・入力!$B$7)+IF(K35="",0,K35*前提・入力!$B$8)+IF(N35="",0,N35*前提・入力!$B$9))/(IF(H35="",0,前提・入力!$B$7)+IF(K35="",0,前提・入力!$B$8)+IF(N35="",0,前提・入力!$B$9)),前提・入力!$B$11)</f>
        <v>1.16213105076741</v>
      </c>
      <c r="P35" s="35" t="n">
        <f aca="false">ROUND(E35*O35,0)</f>
        <v>83</v>
      </c>
      <c r="Q35" s="34" t="n">
        <f aca="false">P35*D35</f>
        <v>124500</v>
      </c>
      <c r="R35" s="37" t="n">
        <f aca="false">IFERROR(P35/P$49,0)</f>
        <v>0.0161133760434867</v>
      </c>
      <c r="S35" s="35" t="n">
        <v>120</v>
      </c>
      <c r="T35" s="37" t="n">
        <f aca="false">IFERROR(P35/S35,0)</f>
        <v>0.691666666666667</v>
      </c>
      <c r="U35" s="35" t="n">
        <f aca="false">MAX(0,S35-P35)</f>
        <v>37</v>
      </c>
      <c r="V35" s="38" t="n">
        <f aca="false">P35-S35</f>
        <v>-37</v>
      </c>
      <c r="W35" s="39" t="str">
        <f aca="false">IF(V35&gt;0,"会期中に在庫切れ",IF(T35&gt;=0.9,"要注意(90%超)",IF(T35&gt;=0.5,"適正","在庫余剰")))</f>
        <v>適正</v>
      </c>
    </row>
    <row r="36" customFormat="false" ht="15" hidden="false" customHeight="false" outlineLevel="0" collapsed="false">
      <c r="A36" s="32" t="n">
        <v>30</v>
      </c>
      <c r="B36" s="32" t="s">
        <v>344</v>
      </c>
      <c r="C36" s="33" t="s">
        <v>345</v>
      </c>
      <c r="D36" s="34" t="n">
        <v>3300</v>
      </c>
      <c r="E36" s="35" t="n">
        <v>34</v>
      </c>
      <c r="F36" s="35" t="n">
        <v>46</v>
      </c>
      <c r="G36" s="35" t="n">
        <v>61</v>
      </c>
      <c r="H36" s="36" t="n">
        <f aca="false">IF(F36=0,"",G36/F36)</f>
        <v>1.32608695652174</v>
      </c>
      <c r="I36" s="35" t="n">
        <v>143</v>
      </c>
      <c r="J36" s="35" t="n">
        <v>183</v>
      </c>
      <c r="K36" s="36" t="n">
        <f aca="false">IF(I36=0,"",J36/I36)</f>
        <v>1.27972027972028</v>
      </c>
      <c r="L36" s="35" t="n">
        <v>46</v>
      </c>
      <c r="M36" s="35" t="n">
        <v>62</v>
      </c>
      <c r="N36" s="36" t="n">
        <f aca="false">IF(L36=0,"",M36/L36)</f>
        <v>1.34782608695652</v>
      </c>
      <c r="O36" s="36" t="n">
        <f aca="false">IFERROR((IF(H36="",0,H36*前提・入力!$B$7)+IF(K36="",0,K36*前提・入力!$B$8)+IF(N36="",0,N36*前提・入力!$B$9))/(IF(H36="",0,前提・入力!$B$7)+IF(K36="",0,前提・入力!$B$8)+IF(N36="",0,前提・入力!$B$9)),前提・入力!$B$11)</f>
        <v>1.32536485253877</v>
      </c>
      <c r="P36" s="35" t="n">
        <f aca="false">ROUND(E36*O36,0)</f>
        <v>45</v>
      </c>
      <c r="Q36" s="34" t="n">
        <f aca="false">P36*D36</f>
        <v>148500</v>
      </c>
      <c r="R36" s="37" t="n">
        <f aca="false">IFERROR(P36/P$49,0)</f>
        <v>0.0087361677344205</v>
      </c>
      <c r="S36" s="35" t="n">
        <v>278</v>
      </c>
      <c r="T36" s="37" t="n">
        <f aca="false">IFERROR(P36/S36,0)</f>
        <v>0.161870503597122</v>
      </c>
      <c r="U36" s="35" t="n">
        <f aca="false">MAX(0,S36-P36)</f>
        <v>233</v>
      </c>
      <c r="V36" s="38" t="n">
        <f aca="false">P36-S36</f>
        <v>-233</v>
      </c>
      <c r="W36" s="39" t="str">
        <f aca="false">IF(V36&gt;0,"会期中に在庫切れ",IF(T36&gt;=0.9,"要注意(90%超)",IF(T36&gt;=0.5,"適正","在庫余剰")))</f>
        <v>在庫余剰</v>
      </c>
    </row>
    <row r="37" customFormat="false" ht="15" hidden="false" customHeight="false" outlineLevel="0" collapsed="false">
      <c r="A37" s="32" t="n">
        <v>31</v>
      </c>
      <c r="B37" s="32" t="s">
        <v>346</v>
      </c>
      <c r="C37" s="33" t="s">
        <v>347</v>
      </c>
      <c r="D37" s="34" t="n">
        <v>1300</v>
      </c>
      <c r="E37" s="35" t="n">
        <v>47</v>
      </c>
      <c r="F37" s="35" t="n">
        <v>125</v>
      </c>
      <c r="G37" s="35" t="n">
        <v>155</v>
      </c>
      <c r="H37" s="36" t="n">
        <f aca="false">IF(F37=0,"",G37/F37)</f>
        <v>1.24</v>
      </c>
      <c r="I37" s="35" t="n">
        <v>316</v>
      </c>
      <c r="J37" s="35" t="n">
        <v>395</v>
      </c>
      <c r="K37" s="36" t="n">
        <f aca="false">IF(I37=0,"",J37/I37)</f>
        <v>1.25</v>
      </c>
      <c r="L37" s="35" t="n">
        <v>67</v>
      </c>
      <c r="M37" s="35" t="n">
        <v>91</v>
      </c>
      <c r="N37" s="36" t="n">
        <f aca="false">IF(L37=0,"",M37/L37)</f>
        <v>1.35820895522388</v>
      </c>
      <c r="O37" s="36" t="n">
        <f aca="false">IFERROR((IF(H37="",0,H37*前提・入力!$B$7)+IF(K37="",0,K37*前提・入力!$B$8)+IF(N37="",0,N37*前提・入力!$B$9))/(IF(H37="",0,前提・入力!$B$7)+IF(K37="",0,前提・入力!$B$8)+IF(N37="",0,前提・入力!$B$9)),前提・入力!$B$11)</f>
        <v>1.30160447761194</v>
      </c>
      <c r="P37" s="35" t="n">
        <f aca="false">ROUND(E37*O37,0)</f>
        <v>61</v>
      </c>
      <c r="Q37" s="34" t="n">
        <f aca="false">P37*D37</f>
        <v>79300</v>
      </c>
      <c r="R37" s="37" t="n">
        <f aca="false">IFERROR(P37/P$49,0)</f>
        <v>0.0118423607066589</v>
      </c>
      <c r="S37" s="35" t="n">
        <v>249</v>
      </c>
      <c r="T37" s="37" t="n">
        <f aca="false">IFERROR(P37/S37,0)</f>
        <v>0.244979919678715</v>
      </c>
      <c r="U37" s="35" t="n">
        <f aca="false">MAX(0,S37-P37)</f>
        <v>188</v>
      </c>
      <c r="V37" s="38" t="n">
        <f aca="false">P37-S37</f>
        <v>-188</v>
      </c>
      <c r="W37" s="39" t="str">
        <f aca="false">IF(V37&gt;0,"会期中に在庫切れ",IF(T37&gt;=0.9,"要注意(90%超)",IF(T37&gt;=0.5,"適正","在庫余剰")))</f>
        <v>在庫余剰</v>
      </c>
    </row>
    <row r="38" customFormat="false" ht="15" hidden="false" customHeight="false" outlineLevel="0" collapsed="false">
      <c r="A38" s="32" t="n">
        <v>32</v>
      </c>
      <c r="B38" s="32" t="s">
        <v>348</v>
      </c>
      <c r="C38" s="33" t="s">
        <v>349</v>
      </c>
      <c r="D38" s="34" t="n">
        <v>8800</v>
      </c>
      <c r="E38" s="35" t="n">
        <v>5</v>
      </c>
      <c r="F38" s="35" t="n">
        <v>30</v>
      </c>
      <c r="G38" s="35" t="n">
        <v>30</v>
      </c>
      <c r="H38" s="36" t="n">
        <f aca="false">IF(F38=0,"",G38/F38)</f>
        <v>1</v>
      </c>
      <c r="I38" s="35" t="n">
        <v>40</v>
      </c>
      <c r="J38" s="35" t="n">
        <v>40</v>
      </c>
      <c r="K38" s="36" t="n">
        <f aca="false">IF(I38=0,"",J38/I38)</f>
        <v>1</v>
      </c>
      <c r="L38" s="35" t="n">
        <v>10</v>
      </c>
      <c r="M38" s="35" t="n">
        <v>10</v>
      </c>
      <c r="N38" s="36" t="n">
        <f aca="false">IF(L38=0,"",M38/L38)</f>
        <v>1</v>
      </c>
      <c r="O38" s="36" t="n">
        <f aca="false">IFERROR((IF(H38="",0,H38*前提・入力!$B$7)+IF(K38="",0,K38*前提・入力!$B$8)+IF(N38="",0,N38*前提・入力!$B$9))/(IF(H38="",0,前提・入力!$B$7)+IF(K38="",0,前提・入力!$B$8)+IF(N38="",0,前提・入力!$B$9)),前提・入力!$B$11)</f>
        <v>1</v>
      </c>
      <c r="P38" s="35" t="n">
        <f aca="false">ROUND(E38*O38,0)</f>
        <v>5</v>
      </c>
      <c r="Q38" s="34" t="n">
        <f aca="false">P38*D38</f>
        <v>44000</v>
      </c>
      <c r="R38" s="37" t="n">
        <f aca="false">IFERROR(P38/P$49,0)</f>
        <v>0.0009706853038245</v>
      </c>
      <c r="S38" s="35" t="n">
        <v>5</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350</v>
      </c>
      <c r="C39" s="33" t="s">
        <v>351</v>
      </c>
      <c r="D39" s="34" t="n">
        <v>27500</v>
      </c>
      <c r="E39" s="35" t="n">
        <v>4</v>
      </c>
      <c r="F39" s="35" t="n">
        <v>12</v>
      </c>
      <c r="G39" s="35" t="n">
        <v>13</v>
      </c>
      <c r="H39" s="36" t="n">
        <f aca="false">IF(F39=0,"",G39/F39)</f>
        <v>1.08333333333333</v>
      </c>
      <c r="I39" s="35" t="n">
        <v>17</v>
      </c>
      <c r="J39" s="35" t="n">
        <v>20</v>
      </c>
      <c r="K39" s="36" t="n">
        <f aca="false">IF(I39=0,"",J39/I39)</f>
        <v>1.17647058823529</v>
      </c>
      <c r="L39" s="35" t="n">
        <v>0</v>
      </c>
      <c r="M39" s="35" t="n">
        <v>2</v>
      </c>
      <c r="N39" s="36" t="str">
        <f aca="false">IF(L39=0,"",M39/L39)</f>
        <v/>
      </c>
      <c r="O39" s="36" t="n">
        <f aca="false">IFERROR((IF(H39="",0,H39*前提・入力!$B$7)+IF(K39="",0,K39*前提・入力!$B$8)+IF(N39="",0,N39*前提・入力!$B$9))/(IF(H39="",0,前提・入力!$B$7)+IF(K39="",0,前提・入力!$B$8)+IF(N39="",0,前提・入力!$B$9)),前提・入力!$B$11)</f>
        <v>1.12990196078431</v>
      </c>
      <c r="P39" s="35" t="n">
        <f aca="false">ROUND(E39*O39,0)</f>
        <v>5</v>
      </c>
      <c r="Q39" s="34" t="n">
        <f aca="false">P39*D39</f>
        <v>137500</v>
      </c>
      <c r="R39" s="37" t="n">
        <f aca="false">IFERROR(P39/P$49,0)</f>
        <v>0.0009706853038245</v>
      </c>
      <c r="S39" s="35" t="n">
        <v>21</v>
      </c>
      <c r="T39" s="37" t="n">
        <f aca="false">IFERROR(P39/S39,0)</f>
        <v>0.238095238095238</v>
      </c>
      <c r="U39" s="35" t="n">
        <f aca="false">MAX(0,S39-P39)</f>
        <v>16</v>
      </c>
      <c r="V39" s="38" t="n">
        <f aca="false">P39-S39</f>
        <v>-16</v>
      </c>
      <c r="W39" s="39" t="str">
        <f aca="false">IF(V39&gt;0,"会期中に在庫切れ",IF(T39&gt;=0.9,"要注意(90%超)",IF(T39&gt;=0.5,"適正","在庫余剰")))</f>
        <v>在庫余剰</v>
      </c>
    </row>
    <row r="40" customFormat="false" ht="15" hidden="false" customHeight="false" outlineLevel="0" collapsed="false">
      <c r="A40" s="32" t="n">
        <v>34</v>
      </c>
      <c r="B40" s="32" t="s">
        <v>352</v>
      </c>
      <c r="C40" s="33" t="s">
        <v>353</v>
      </c>
      <c r="D40" s="34" t="n">
        <v>27500</v>
      </c>
      <c r="E40" s="35" t="n">
        <v>1</v>
      </c>
      <c r="F40" s="35" t="n">
        <v>3</v>
      </c>
      <c r="G40" s="35" t="n">
        <v>3</v>
      </c>
      <c r="H40" s="36" t="n">
        <f aca="false">IF(F40=0,"",G40/F40)</f>
        <v>1</v>
      </c>
      <c r="I40" s="35" t="n">
        <v>3</v>
      </c>
      <c r="J40" s="35" t="n">
        <v>3</v>
      </c>
      <c r="K40" s="36" t="n">
        <f aca="false">IF(I40=0,"",J40/I40)</f>
        <v>1</v>
      </c>
      <c r="L40" s="35" t="n">
        <v>2</v>
      </c>
      <c r="M40" s="35" t="n">
        <v>2</v>
      </c>
      <c r="N40" s="36" t="n">
        <f aca="false">IF(L40=0,"",M40/L40)</f>
        <v>1</v>
      </c>
      <c r="O40" s="36" t="n">
        <f aca="false">IFERROR((IF(H40="",0,H40*前提・入力!$B$7)+IF(K40="",0,K40*前提・入力!$B$8)+IF(N40="",0,N40*前提・入力!$B$9))/(IF(H40="",0,前提・入力!$B$7)+IF(K40="",0,前提・入力!$B$8)+IF(N40="",0,前提・入力!$B$9)),前提・入力!$B$11)</f>
        <v>1</v>
      </c>
      <c r="P40" s="35" t="n">
        <f aca="false">ROUND(E40*O40,0)</f>
        <v>1</v>
      </c>
      <c r="Q40" s="34" t="n">
        <f aca="false">P40*D40</f>
        <v>27500</v>
      </c>
      <c r="R40" s="37" t="n">
        <f aca="false">IFERROR(P40/P$49,0)</f>
        <v>0.0001941370607649</v>
      </c>
      <c r="S40" s="35" t="n">
        <v>1</v>
      </c>
      <c r="T40" s="37" t="n">
        <f aca="false">IFERROR(P40/S40,0)</f>
        <v>1</v>
      </c>
      <c r="U40" s="35" t="n">
        <f aca="false">MAX(0,S40-P40)</f>
        <v>0</v>
      </c>
      <c r="V40" s="38" t="n">
        <f aca="false">P40-S40</f>
        <v>0</v>
      </c>
      <c r="W40" s="39" t="str">
        <f aca="false">IF(V40&gt;0,"会期中に在庫切れ",IF(T40&gt;=0.9,"要注意(90%超)",IF(T40&gt;=0.5,"適正","在庫余剰")))</f>
        <v>要注意(90%超)</v>
      </c>
    </row>
    <row r="41" customFormat="false" ht="15" hidden="false" customHeight="false" outlineLevel="0" collapsed="false">
      <c r="A41" s="32" t="n">
        <v>35</v>
      </c>
      <c r="B41" s="32" t="s">
        <v>354</v>
      </c>
      <c r="C41" s="33" t="s">
        <v>355</v>
      </c>
      <c r="D41" s="34" t="n">
        <v>27500</v>
      </c>
      <c r="E41" s="35" t="n">
        <v>1</v>
      </c>
      <c r="F41" s="35" t="n">
        <v>3</v>
      </c>
      <c r="G41" s="35" t="n">
        <v>3</v>
      </c>
      <c r="H41" s="36" t="n">
        <f aca="false">IF(F41=0,"",G41/F41)</f>
        <v>1</v>
      </c>
      <c r="I41" s="35" t="n">
        <v>3</v>
      </c>
      <c r="J41" s="35" t="n">
        <v>3</v>
      </c>
      <c r="K41" s="36" t="n">
        <f aca="false">IF(I41=0,"",J41/I41)</f>
        <v>1</v>
      </c>
      <c r="L41" s="35" t="n">
        <v>1</v>
      </c>
      <c r="M41" s="35" t="n">
        <v>1</v>
      </c>
      <c r="N41" s="36" t="n">
        <f aca="false">IF(L41=0,"",M41/L41)</f>
        <v>1</v>
      </c>
      <c r="O41" s="36" t="n">
        <f aca="false">IFERROR((IF(H41="",0,H41*前提・入力!$B$7)+IF(K41="",0,K41*前提・入力!$B$8)+IF(N41="",0,N41*前提・入力!$B$9))/(IF(H41="",0,前提・入力!$B$7)+IF(K41="",0,前提・入力!$B$8)+IF(N41="",0,前提・入力!$B$9)),前提・入力!$B$11)</f>
        <v>1</v>
      </c>
      <c r="P41" s="35" t="n">
        <f aca="false">ROUND(E41*O41,0)</f>
        <v>1</v>
      </c>
      <c r="Q41" s="34" t="n">
        <f aca="false">P41*D41</f>
        <v>27500</v>
      </c>
      <c r="R41" s="37" t="n">
        <f aca="false">IFERROR(P41/P$49,0)</f>
        <v>0.0001941370607649</v>
      </c>
      <c r="S41" s="35" t="n">
        <v>1</v>
      </c>
      <c r="T41" s="37" t="n">
        <f aca="false">IFERROR(P41/S41,0)</f>
        <v>1</v>
      </c>
      <c r="U41" s="35" t="n">
        <f aca="false">MAX(0,S41-P41)</f>
        <v>0</v>
      </c>
      <c r="V41" s="38" t="n">
        <f aca="false">P41-S41</f>
        <v>0</v>
      </c>
      <c r="W41" s="39" t="str">
        <f aca="false">IF(V41&gt;0,"会期中に在庫切れ",IF(T41&gt;=0.9,"要注意(90%超)",IF(T41&gt;=0.5,"適正","在庫余剰")))</f>
        <v>要注意(90%超)</v>
      </c>
    </row>
    <row r="42" customFormat="false" ht="15" hidden="false" customHeight="false" outlineLevel="0" collapsed="false">
      <c r="A42" s="32" t="n">
        <v>36</v>
      </c>
      <c r="B42" s="32" t="s">
        <v>356</v>
      </c>
      <c r="C42" s="33" t="s">
        <v>357</v>
      </c>
      <c r="D42" s="34" t="n">
        <v>27500</v>
      </c>
      <c r="E42" s="35" t="n">
        <v>1</v>
      </c>
      <c r="F42" s="35" t="n">
        <v>3</v>
      </c>
      <c r="G42" s="35" t="n">
        <v>3</v>
      </c>
      <c r="H42" s="36" t="n">
        <f aca="false">IF(F42=0,"",G42/F42)</f>
        <v>1</v>
      </c>
      <c r="I42" s="35" t="n">
        <v>3</v>
      </c>
      <c r="J42" s="35" t="n">
        <v>3</v>
      </c>
      <c r="K42" s="36" t="n">
        <f aca="false">IF(I42=0,"",J42/I42)</f>
        <v>1</v>
      </c>
      <c r="L42" s="35" t="n">
        <v>0</v>
      </c>
      <c r="M42" s="35" t="n">
        <v>1</v>
      </c>
      <c r="N42" s="36" t="str">
        <f aca="false">IF(L42=0,"",M42/L42)</f>
        <v/>
      </c>
      <c r="O42" s="36" t="n">
        <f aca="false">IFERROR((IF(H42="",0,H42*前提・入力!$B$7)+IF(K42="",0,K42*前提・入力!$B$8)+IF(N42="",0,N42*前提・入力!$B$9))/(IF(H42="",0,前提・入力!$B$7)+IF(K42="",0,前提・入力!$B$8)+IF(N42="",0,前提・入力!$B$9)),前提・入力!$B$11)</f>
        <v>1</v>
      </c>
      <c r="P42" s="35" t="n">
        <f aca="false">ROUND(E42*O42,0)</f>
        <v>1</v>
      </c>
      <c r="Q42" s="34" t="n">
        <f aca="false">P42*D42</f>
        <v>27500</v>
      </c>
      <c r="R42" s="37" t="n">
        <f aca="false">IFERROR(P42/P$49,0)</f>
        <v>0.0001941370607649</v>
      </c>
      <c r="S42" s="35" t="n">
        <v>1</v>
      </c>
      <c r="T42" s="37" t="n">
        <f aca="false">IFERROR(P42/S42,0)</f>
        <v>1</v>
      </c>
      <c r="U42" s="35" t="n">
        <f aca="false">MAX(0,S42-P42)</f>
        <v>0</v>
      </c>
      <c r="V42" s="38" t="n">
        <f aca="false">P42-S42</f>
        <v>0</v>
      </c>
      <c r="W42" s="39" t="str">
        <f aca="false">IF(V42&gt;0,"会期中に在庫切れ",IF(T42&gt;=0.9,"要注意(90%超)",IF(T42&gt;=0.5,"適正","在庫余剰")))</f>
        <v>要注意(90%超)</v>
      </c>
    </row>
    <row r="43" customFormat="false" ht="15" hidden="false" customHeight="false" outlineLevel="0" collapsed="false">
      <c r="A43" s="32" t="n">
        <v>37</v>
      </c>
      <c r="B43" s="32" t="s">
        <v>358</v>
      </c>
      <c r="C43" s="33" t="s">
        <v>359</v>
      </c>
      <c r="D43" s="34" t="n">
        <v>27500</v>
      </c>
      <c r="E43" s="35" t="n">
        <v>4</v>
      </c>
      <c r="F43" s="35" t="n">
        <v>8</v>
      </c>
      <c r="G43" s="35" t="n">
        <v>10</v>
      </c>
      <c r="H43" s="36" t="n">
        <f aca="false">IF(F43=0,"",G43/F43)</f>
        <v>1.25</v>
      </c>
      <c r="I43" s="35" t="n">
        <v>22</v>
      </c>
      <c r="J43" s="35" t="n">
        <v>26</v>
      </c>
      <c r="K43" s="36" t="n">
        <f aca="false">IF(I43=0,"",J43/I43)</f>
        <v>1.18181818181818</v>
      </c>
      <c r="L43" s="35" t="n">
        <v>0</v>
      </c>
      <c r="M43" s="35" t="n">
        <v>0</v>
      </c>
      <c r="N43" s="36" t="str">
        <f aca="false">IF(L43=0,"",M43/L43)</f>
        <v/>
      </c>
      <c r="O43" s="36" t="n">
        <f aca="false">IFERROR((IF(H43="",0,H43*前提・入力!$B$7)+IF(K43="",0,K43*前提・入力!$B$8)+IF(N43="",0,N43*前提・入力!$B$9))/(IF(H43="",0,前提・入力!$B$7)+IF(K43="",0,前提・入力!$B$8)+IF(N43="",0,前提・入力!$B$9)),前提・入力!$B$11)</f>
        <v>1.21590909090909</v>
      </c>
      <c r="P43" s="35" t="n">
        <f aca="false">ROUND(E43*O43,0)</f>
        <v>5</v>
      </c>
      <c r="Q43" s="34" t="n">
        <f aca="false">P43*D43</f>
        <v>137500</v>
      </c>
      <c r="R43" s="37" t="n">
        <f aca="false">IFERROR(P43/P$49,0)</f>
        <v>0.0009706853038245</v>
      </c>
      <c r="S43" s="35" t="n">
        <v>17</v>
      </c>
      <c r="T43" s="37" t="n">
        <f aca="false">IFERROR(P43/S43,0)</f>
        <v>0.294117647058824</v>
      </c>
      <c r="U43" s="35" t="n">
        <f aca="false">MAX(0,S43-P43)</f>
        <v>12</v>
      </c>
      <c r="V43" s="38" t="n">
        <f aca="false">P43-S43</f>
        <v>-12</v>
      </c>
      <c r="W43" s="39" t="str">
        <f aca="false">IF(V43&gt;0,"会期中に在庫切れ",IF(T43&gt;=0.9,"要注意(90%超)",IF(T43&gt;=0.5,"適正","在庫余剰")))</f>
        <v>在庫余剰</v>
      </c>
    </row>
    <row r="44" customFormat="false" ht="15" hidden="false" customHeight="false" outlineLevel="0" collapsed="false">
      <c r="A44" s="32" t="n">
        <v>38</v>
      </c>
      <c r="B44" s="32" t="s">
        <v>360</v>
      </c>
      <c r="C44" s="33" t="s">
        <v>361</v>
      </c>
      <c r="D44" s="34" t="n">
        <v>27500</v>
      </c>
      <c r="E44" s="35" t="n">
        <v>1</v>
      </c>
      <c r="F44" s="35" t="n">
        <v>3</v>
      </c>
      <c r="G44" s="35" t="n">
        <v>3</v>
      </c>
      <c r="H44" s="36" t="n">
        <f aca="false">IF(F44=0,"",G44/F44)</f>
        <v>1</v>
      </c>
      <c r="I44" s="35" t="n">
        <v>3</v>
      </c>
      <c r="J44" s="35" t="n">
        <v>3</v>
      </c>
      <c r="K44" s="36" t="n">
        <f aca="false">IF(I44=0,"",J44/I44)</f>
        <v>1</v>
      </c>
      <c r="L44" s="35" t="n">
        <v>2</v>
      </c>
      <c r="M44" s="35" t="n">
        <v>2</v>
      </c>
      <c r="N44" s="36" t="n">
        <f aca="false">IF(L44=0,"",M44/L44)</f>
        <v>1</v>
      </c>
      <c r="O44" s="36" t="n">
        <f aca="false">IFERROR((IF(H44="",0,H44*前提・入力!$B$7)+IF(K44="",0,K44*前提・入力!$B$8)+IF(N44="",0,N44*前提・入力!$B$9))/(IF(H44="",0,前提・入力!$B$7)+IF(K44="",0,前提・入力!$B$8)+IF(N44="",0,前提・入力!$B$9)),前提・入力!$B$11)</f>
        <v>1</v>
      </c>
      <c r="P44" s="35" t="n">
        <f aca="false">ROUND(E44*O44,0)</f>
        <v>1</v>
      </c>
      <c r="Q44" s="34" t="n">
        <f aca="false">P44*D44</f>
        <v>27500</v>
      </c>
      <c r="R44" s="37" t="n">
        <f aca="false">IFERROR(P44/P$49,0)</f>
        <v>0.0001941370607649</v>
      </c>
      <c r="S44" s="35" t="n">
        <v>1</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362</v>
      </c>
      <c r="C45" s="33" t="s">
        <v>363</v>
      </c>
      <c r="D45" s="34" t="n">
        <v>27500</v>
      </c>
      <c r="E45" s="35" t="n">
        <v>1</v>
      </c>
      <c r="F45" s="35" t="n">
        <v>2</v>
      </c>
      <c r="G45" s="35" t="n">
        <v>2</v>
      </c>
      <c r="H45" s="36" t="n">
        <f aca="false">IF(F45=0,"",G45/F45)</f>
        <v>1</v>
      </c>
      <c r="I45" s="35" t="n">
        <v>3</v>
      </c>
      <c r="J45" s="35" t="n">
        <v>3</v>
      </c>
      <c r="K45" s="36" t="n">
        <f aca="false">IF(I45=0,"",J45/I45)</f>
        <v>1</v>
      </c>
      <c r="L45" s="35" t="n">
        <v>1</v>
      </c>
      <c r="M45" s="35" t="n">
        <v>2</v>
      </c>
      <c r="N45" s="36" t="n">
        <f aca="false">IF(L45=0,"",M45/L45)</f>
        <v>2</v>
      </c>
      <c r="O45" s="36" t="n">
        <f aca="false">IFERROR((IF(H45="",0,H45*前提・入力!$B$7)+IF(K45="",0,K45*前提・入力!$B$8)+IF(N45="",0,N45*前提・入力!$B$9))/(IF(H45="",0,前提・入力!$B$7)+IF(K45="",0,前提・入力!$B$8)+IF(N45="",0,前提・入力!$B$9)),前提・入力!$B$11)</f>
        <v>1.5</v>
      </c>
      <c r="P45" s="35" t="n">
        <f aca="false">ROUND(E45*O45,0)</f>
        <v>2</v>
      </c>
      <c r="Q45" s="34" t="n">
        <f aca="false">P45*D45</f>
        <v>55000</v>
      </c>
      <c r="R45" s="37" t="n">
        <f aca="false">IFERROR(P45/P$49,0)</f>
        <v>0.0003882741215298</v>
      </c>
      <c r="S45" s="35" t="n">
        <v>1</v>
      </c>
      <c r="T45" s="37" t="n">
        <f aca="false">IFERROR(P45/S45,0)</f>
        <v>2</v>
      </c>
      <c r="U45" s="35" t="n">
        <f aca="false">MAX(0,S45-P45)</f>
        <v>0</v>
      </c>
      <c r="V45" s="38" t="n">
        <f aca="false">P45-S45</f>
        <v>1</v>
      </c>
      <c r="W45" s="39" t="str">
        <f aca="false">IF(V45&gt;0,"会期中に在庫切れ",IF(T45&gt;=0.9,"要注意(90%超)",IF(T45&gt;=0.5,"適正","在庫余剰")))</f>
        <v>会期中に在庫切れ</v>
      </c>
    </row>
    <row r="46" customFormat="false" ht="15" hidden="false" customHeight="false" outlineLevel="0" collapsed="false">
      <c r="A46" s="32" t="n">
        <v>40</v>
      </c>
      <c r="B46" s="32" t="s">
        <v>364</v>
      </c>
      <c r="C46" s="33" t="s">
        <v>365</v>
      </c>
      <c r="D46" s="34" t="n">
        <v>27500</v>
      </c>
      <c r="E46" s="35" t="n">
        <v>1</v>
      </c>
      <c r="F46" s="35" t="n">
        <v>3</v>
      </c>
      <c r="G46" s="35" t="n">
        <v>3</v>
      </c>
      <c r="H46" s="36" t="n">
        <f aca="false">IF(F46=0,"",G46/F46)</f>
        <v>1</v>
      </c>
      <c r="I46" s="35" t="n">
        <v>3</v>
      </c>
      <c r="J46" s="35" t="n">
        <v>3</v>
      </c>
      <c r="K46" s="36" t="n">
        <f aca="false">IF(I46=0,"",J46/I46)</f>
        <v>1</v>
      </c>
      <c r="L46" s="35" t="n">
        <v>0</v>
      </c>
      <c r="M46" s="35" t="n">
        <v>0</v>
      </c>
      <c r="N46" s="36" t="str">
        <f aca="false">IF(L46=0,"",M46/L46)</f>
        <v/>
      </c>
      <c r="O46" s="36" t="n">
        <f aca="false">IFERROR((IF(H46="",0,H46*前提・入力!$B$7)+IF(K46="",0,K46*前提・入力!$B$8)+IF(N46="",0,N46*前提・入力!$B$9))/(IF(H46="",0,前提・入力!$B$7)+IF(K46="",0,前提・入力!$B$8)+IF(N46="",0,前提・入力!$B$9)),前提・入力!$B$11)</f>
        <v>1</v>
      </c>
      <c r="P46" s="35" t="n">
        <f aca="false">ROUND(E46*O46,0)</f>
        <v>1</v>
      </c>
      <c r="Q46" s="34" t="n">
        <f aca="false">P46*D46</f>
        <v>27500</v>
      </c>
      <c r="R46" s="37" t="n">
        <f aca="false">IFERROR(P46/P$49,0)</f>
        <v>0.0001941370607649</v>
      </c>
      <c r="S46" s="35" t="n">
        <v>3</v>
      </c>
      <c r="T46" s="37" t="n">
        <f aca="false">IFERROR(P46/S46,0)</f>
        <v>0.333333333333333</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366</v>
      </c>
      <c r="C47" s="33" t="s">
        <v>367</v>
      </c>
      <c r="D47" s="34" t="n">
        <v>25000</v>
      </c>
      <c r="E47" s="35" t="n">
        <v>0</v>
      </c>
      <c r="F47" s="35" t="n">
        <v>1</v>
      </c>
      <c r="G47" s="35" t="n">
        <v>1</v>
      </c>
      <c r="H47" s="36" t="n">
        <f aca="false">IF(F47=0,"",G47/F47)</f>
        <v>1</v>
      </c>
      <c r="I47" s="35" t="n">
        <v>2</v>
      </c>
      <c r="J47" s="35" t="n">
        <v>2</v>
      </c>
      <c r="K47" s="36" t="n">
        <f aca="false">IF(I47=0,"",J47/I47)</f>
        <v>1</v>
      </c>
      <c r="L47" s="35" t="n">
        <v>0</v>
      </c>
      <c r="M47" s="35" t="n">
        <v>0</v>
      </c>
      <c r="N47" s="36" t="str">
        <f aca="false">IF(L47=0,"",M47/L47)</f>
        <v/>
      </c>
      <c r="O47" s="36" t="n">
        <f aca="false">IFERROR((IF(H47="",0,H47*前提・入力!$B$7)+IF(K47="",0,K47*前提・入力!$B$8)+IF(N47="",0,N47*前提・入力!$B$9))/(IF(H47="",0,前提・入力!$B$7)+IF(K47="",0,前提・入力!$B$8)+IF(N47="",0,前提・入力!$B$9)),前提・入力!$B$11)</f>
        <v>1</v>
      </c>
      <c r="P47" s="35" t="n">
        <f aca="false">ROUND(E47*O47,0)</f>
        <v>0</v>
      </c>
      <c r="Q47" s="34" t="n">
        <f aca="false">P47*D47</f>
        <v>0</v>
      </c>
      <c r="R47" s="37" t="n">
        <f aca="false">IFERROR(P47/P$49,0)</f>
        <v>0</v>
      </c>
      <c r="S47" s="35" t="n">
        <v>14</v>
      </c>
      <c r="T47" s="37" t="n">
        <f aca="false">IFERROR(P47/S47,0)</f>
        <v>0</v>
      </c>
      <c r="U47" s="35" t="n">
        <f aca="false">MAX(0,S47-P47)</f>
        <v>14</v>
      </c>
      <c r="V47" s="38" t="n">
        <f aca="false">P47-S47</f>
        <v>-14</v>
      </c>
      <c r="W47" s="39" t="str">
        <f aca="false">IF(V47&gt;0,"会期中に在庫切れ",IF(T47&gt;=0.9,"要注意(90%超)",IF(T47&gt;=0.5,"適正","在庫余剰")))</f>
        <v>在庫余剰</v>
      </c>
    </row>
    <row r="48" customFormat="false" ht="15" hidden="false" customHeight="false" outlineLevel="0" collapsed="false">
      <c r="A48" s="32" t="n">
        <v>42</v>
      </c>
      <c r="B48" s="32" t="s">
        <v>368</v>
      </c>
      <c r="C48" s="33" t="s">
        <v>369</v>
      </c>
      <c r="D48" s="34" t="n">
        <v>25000</v>
      </c>
      <c r="E48" s="35" t="n">
        <v>0</v>
      </c>
      <c r="F48" s="35" t="n">
        <v>2</v>
      </c>
      <c r="G48" s="35" t="n">
        <v>2</v>
      </c>
      <c r="H48" s="36" t="n">
        <f aca="false">IF(F48=0,"",G48/F48)</f>
        <v>1</v>
      </c>
      <c r="I48" s="35" t="n">
        <v>5</v>
      </c>
      <c r="J48" s="35" t="n">
        <v>6</v>
      </c>
      <c r="K48" s="36" t="n">
        <f aca="false">IF(I48=0,"",J48/I48)</f>
        <v>1.2</v>
      </c>
      <c r="L48" s="35" t="n">
        <v>1</v>
      </c>
      <c r="M48" s="35" t="n">
        <v>1</v>
      </c>
      <c r="N48" s="36" t="n">
        <f aca="false">IF(L48=0,"",M48/L48)</f>
        <v>1</v>
      </c>
      <c r="O48" s="36" t="n">
        <f aca="false">IFERROR((IF(H48="",0,H48*前提・入力!$B$7)+IF(K48="",0,K48*前提・入力!$B$8)+IF(N48="",0,N48*前提・入力!$B$9))/(IF(H48="",0,前提・入力!$B$7)+IF(K48="",0,前提・入力!$B$8)+IF(N48="",0,前提・入力!$B$9)),前提・入力!$B$11)</f>
        <v>1.05</v>
      </c>
      <c r="P48" s="35" t="n">
        <f aca="false">ROUND(E48*O48,0)</f>
        <v>0</v>
      </c>
      <c r="Q48" s="34" t="n">
        <f aca="false">P48*D48</f>
        <v>0</v>
      </c>
      <c r="R48" s="37" t="n">
        <f aca="false">IFERROR(P48/P$49,0)</f>
        <v>0</v>
      </c>
      <c r="S48" s="35" t="n">
        <v>15</v>
      </c>
      <c r="T48" s="37" t="n">
        <f aca="false">IFERROR(P48/S48,0)</f>
        <v>0</v>
      </c>
      <c r="U48" s="35" t="n">
        <f aca="false">MAX(0,S48-P48)</f>
        <v>15</v>
      </c>
      <c r="V48" s="38" t="n">
        <f aca="false">P48-S48</f>
        <v>-15</v>
      </c>
      <c r="W48" s="39" t="str">
        <f aca="false">IF(V48&gt;0,"会期中に在庫切れ",IF(T48&gt;=0.9,"要注意(90%超)",IF(T48&gt;=0.5,"適正","在庫余剰")))</f>
        <v>在庫余剰</v>
      </c>
    </row>
    <row r="49" customFormat="false" ht="15" hidden="false" customHeight="false" outlineLevel="0" collapsed="false">
      <c r="A49" s="40"/>
      <c r="B49" s="40"/>
      <c r="C49" s="41" t="s">
        <v>370</v>
      </c>
      <c r="D49" s="40"/>
      <c r="E49" s="42" t="n">
        <f aca="false">SUM(E7:E48)</f>
        <v>4022</v>
      </c>
      <c r="F49" s="42" t="n">
        <f aca="false">SUM(F7:F48)</f>
        <v>19983</v>
      </c>
      <c r="G49" s="42" t="n">
        <f aca="false">SUM(G7:G48)</f>
        <v>28231</v>
      </c>
      <c r="H49" s="40"/>
      <c r="I49" s="42" t="n">
        <f aca="false">SUM(I7:I48)</f>
        <v>48303</v>
      </c>
      <c r="J49" s="42" t="n">
        <f aca="false">SUM(J7:J48)</f>
        <v>59166</v>
      </c>
      <c r="K49" s="40"/>
      <c r="L49" s="42" t="n">
        <f aca="false">SUM(L7:L48)</f>
        <v>6422</v>
      </c>
      <c r="M49" s="42" t="n">
        <f aca="false">SUM(M7:M48)</f>
        <v>8179</v>
      </c>
      <c r="N49" s="40"/>
      <c r="O49" s="43" t="n">
        <f aca="false">IFERROR(P49/E49,0)</f>
        <v>1.28070611636002</v>
      </c>
      <c r="P49" s="42" t="n">
        <f aca="false">SUM(P7:P48)</f>
        <v>5151</v>
      </c>
      <c r="Q49" s="44" t="n">
        <f aca="false">SUM(Q7:Q48)</f>
        <v>4292200</v>
      </c>
      <c r="R49" s="45" t="n">
        <v>1</v>
      </c>
      <c r="S49" s="42" t="n">
        <f aca="false">SUM(S7:S48)</f>
        <v>46928</v>
      </c>
      <c r="T49" s="45" t="n">
        <f aca="false">IFERROR(P49/S49,0)</f>
        <v>0.109763893624275</v>
      </c>
      <c r="U49" s="42" t="n">
        <f aca="false">SUM(U7:U48)</f>
        <v>41810</v>
      </c>
      <c r="V49" s="46" t="n">
        <f aca="false">SUM(V7:V48)</f>
        <v>-41777</v>
      </c>
      <c r="W49" s="40" t="str">
        <f aca="false">COUNTIF(W7:W48,"会期中に在庫切れ")&amp;"品目"</f>
        <v>3品目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371</v>
      </c>
    </row>
    <row r="2" customFormat="false" ht="15" hidden="false" customHeight="false" outlineLevel="0" collapsed="false">
      <c r="A2" s="3" t="s">
        <v>372</v>
      </c>
    </row>
    <row r="4" customFormat="false" ht="15" hidden="false" customHeight="false" outlineLevel="0" collapsed="false">
      <c r="A4" s="4" t="s">
        <v>373</v>
      </c>
    </row>
    <row r="5" customFormat="false" ht="33.75" hidden="false" customHeight="true" outlineLevel="0" collapsed="false">
      <c r="A5" s="26" t="s">
        <v>374</v>
      </c>
      <c r="B5" s="26" t="s">
        <v>375</v>
      </c>
      <c r="C5" s="47" t="s">
        <v>376</v>
      </c>
      <c r="D5" s="48" t="s">
        <v>377</v>
      </c>
      <c r="E5" s="28" t="s">
        <v>378</v>
      </c>
      <c r="F5" s="29" t="s">
        <v>379</v>
      </c>
      <c r="G5" s="30" t="s">
        <v>380</v>
      </c>
      <c r="H5" s="27" t="s">
        <v>381</v>
      </c>
      <c r="I5" s="27" t="s">
        <v>382</v>
      </c>
      <c r="J5" s="49" t="s">
        <v>383</v>
      </c>
      <c r="K5" s="49" t="s">
        <v>384</v>
      </c>
      <c r="L5" s="49" t="s">
        <v>385</v>
      </c>
      <c r="M5" s="49" t="s">
        <v>386</v>
      </c>
    </row>
    <row r="6" customFormat="false" ht="39.75" hidden="false" customHeight="true" outlineLevel="0" collapsed="false">
      <c r="A6" s="50" t="s">
        <v>387</v>
      </c>
      <c r="B6" s="32"/>
      <c r="C6" s="22" t="s">
        <v>388</v>
      </c>
      <c r="D6" s="22" t="s">
        <v>389</v>
      </c>
      <c r="E6" s="22" t="s">
        <v>390</v>
      </c>
      <c r="F6" s="22" t="s">
        <v>391</v>
      </c>
      <c r="G6" s="22" t="s">
        <v>392</v>
      </c>
      <c r="H6" s="22" t="s">
        <v>393</v>
      </c>
      <c r="I6" s="51" t="s">
        <v>394</v>
      </c>
      <c r="J6" s="51" t="s">
        <v>395</v>
      </c>
      <c r="K6" s="51" t="s">
        <v>396</v>
      </c>
      <c r="L6" s="51" t="s">
        <v>397</v>
      </c>
      <c r="M6" s="51" t="s">
        <v>398</v>
      </c>
    </row>
    <row r="7" customFormat="false" ht="15" hidden="false" customHeight="false" outlineLevel="0" collapsed="false">
      <c r="A7" s="50" t="s">
        <v>399</v>
      </c>
      <c r="B7" s="32"/>
      <c r="C7" s="35" t="n">
        <v>25</v>
      </c>
      <c r="D7" s="35" t="n">
        <v>19</v>
      </c>
      <c r="E7" s="35" t="n">
        <v>26</v>
      </c>
      <c r="F7" s="35" t="n">
        <v>20</v>
      </c>
      <c r="G7" s="35" t="n">
        <v>20</v>
      </c>
      <c r="H7" s="35" t="n">
        <v>18</v>
      </c>
      <c r="I7" s="32" t="n">
        <v>18</v>
      </c>
      <c r="J7" s="32" t="n">
        <v>30</v>
      </c>
      <c r="K7" s="32" t="n">
        <v>21</v>
      </c>
      <c r="L7" s="32" t="n">
        <v>21</v>
      </c>
      <c r="M7" s="32" t="n">
        <v>25</v>
      </c>
    </row>
    <row r="8" customFormat="false" ht="15" hidden="false" customHeight="false" outlineLevel="0" collapsed="false">
      <c r="A8" s="50" t="s">
        <v>400</v>
      </c>
      <c r="B8" s="32"/>
      <c r="C8" s="35" t="n">
        <v>25</v>
      </c>
      <c r="D8" s="35" t="n">
        <v>19</v>
      </c>
      <c r="E8" s="35" t="n">
        <v>26</v>
      </c>
      <c r="F8" s="35" t="n">
        <v>20</v>
      </c>
      <c r="G8" s="35" t="n">
        <v>20</v>
      </c>
      <c r="H8" s="35" t="n">
        <v>12</v>
      </c>
      <c r="I8" s="39" t="s">
        <v>401</v>
      </c>
      <c r="J8" s="39" t="s">
        <v>401</v>
      </c>
      <c r="K8" s="39" t="s">
        <v>401</v>
      </c>
      <c r="L8" s="39" t="s">
        <v>401</v>
      </c>
      <c r="M8" s="39" t="s">
        <v>401</v>
      </c>
    </row>
    <row r="9" customFormat="false" ht="15" hidden="false" customHeight="false" outlineLevel="0" collapsed="false">
      <c r="A9" s="50" t="s">
        <v>402</v>
      </c>
      <c r="B9" s="32"/>
      <c r="C9" s="35" t="n">
        <v>47339</v>
      </c>
      <c r="D9" s="35" t="n">
        <v>19764</v>
      </c>
      <c r="E9" s="35" t="n">
        <v>18993</v>
      </c>
      <c r="F9" s="35" t="n">
        <v>31267</v>
      </c>
      <c r="G9" s="35" t="n">
        <v>10270</v>
      </c>
      <c r="H9" s="35" t="n">
        <v>5304</v>
      </c>
      <c r="I9" s="35" t="n">
        <v>8923</v>
      </c>
      <c r="J9" s="32"/>
      <c r="K9" s="32"/>
      <c r="L9" s="32"/>
      <c r="M9" s="32"/>
    </row>
    <row r="10" customFormat="false" ht="15" hidden="false" customHeight="false" outlineLevel="0" collapsed="false">
      <c r="A10" s="50" t="s">
        <v>403</v>
      </c>
      <c r="B10" s="32"/>
      <c r="C10" s="35" t="n">
        <v>383342</v>
      </c>
      <c r="D10" s="35" t="n">
        <v>169802</v>
      </c>
      <c r="E10" s="35" t="n">
        <v>112198</v>
      </c>
      <c r="F10" s="35" t="n">
        <v>238658</v>
      </c>
      <c r="G10" s="35" t="n">
        <v>40818</v>
      </c>
      <c r="H10" s="35" t="n">
        <v>19113</v>
      </c>
      <c r="I10" s="35" t="n">
        <f aca="false">H10*1.284925</f>
        <v>24558.771525</v>
      </c>
      <c r="J10" s="35" t="n">
        <f aca="false">前提・入力!$B$14*前提・入力!$B$23</f>
        <v>49834.46</v>
      </c>
      <c r="K10" s="35" t="n">
        <f aca="false">前提・入力!$B$14*前提・入力!$B$24</f>
        <v>46001.04</v>
      </c>
      <c r="L10" s="35" t="n">
        <f aca="false">前提・入力!$B$14*前提・入力!$B$25</f>
        <v>34500.78</v>
      </c>
      <c r="M10" s="35" t="n">
        <f aca="false">前提・入力!$B$14*前提・入力!$B$26</f>
        <v>191671</v>
      </c>
    </row>
    <row r="11" customFormat="false" ht="15" hidden="false" customHeight="false" outlineLevel="0" collapsed="false">
      <c r="A11" s="50" t="s">
        <v>404</v>
      </c>
      <c r="B11" s="32"/>
      <c r="C11" s="34" t="n">
        <v>358193925</v>
      </c>
      <c r="D11" s="34" t="n">
        <v>138575410</v>
      </c>
      <c r="E11" s="34" t="n">
        <v>105540655</v>
      </c>
      <c r="F11" s="34" t="n">
        <v>215184570</v>
      </c>
      <c r="G11" s="34" t="n">
        <v>41120210</v>
      </c>
      <c r="H11" s="34" t="n">
        <v>19691300</v>
      </c>
      <c r="I11" s="34" t="n">
        <f aca="false">H11*1.27778</f>
        <v>25161149.314</v>
      </c>
      <c r="J11" s="34" t="n">
        <f aca="false">前提・入力!$B$13*前提・入力!$B$23</f>
        <v>46565210.25</v>
      </c>
      <c r="K11" s="34" t="n">
        <f aca="false">前提・入力!$B$13*前提・入力!$B$24</f>
        <v>42983271</v>
      </c>
      <c r="L11" s="34" t="n">
        <f aca="false">前提・入力!$B$13*前提・入力!$B$25</f>
        <v>32237453.25</v>
      </c>
      <c r="M11" s="34" t="n">
        <f aca="false">前提・入力!$B$13*前提・入力!$B$26</f>
        <v>179096962.5</v>
      </c>
    </row>
    <row r="12" customFormat="false" ht="15" hidden="false" customHeight="false" outlineLevel="0" collapsed="false">
      <c r="A12" s="52" t="s">
        <v>405</v>
      </c>
      <c r="B12" s="32"/>
      <c r="C12" s="35" t="n">
        <v>148185</v>
      </c>
      <c r="D12" s="35" t="n">
        <v>58600</v>
      </c>
      <c r="E12" s="35" t="n">
        <v>44871</v>
      </c>
      <c r="F12" s="35" t="n">
        <v>63740</v>
      </c>
      <c r="G12" s="35" t="n">
        <v>8891</v>
      </c>
      <c r="H12" s="35" t="n">
        <v>4022</v>
      </c>
      <c r="I12" s="35" t="n">
        <f aca="false">①石川予測確定!P49</f>
        <v>5151</v>
      </c>
      <c r="J12" s="35" t="n">
        <f aca="false">ROUND(J13/前提・入力!$B$30,0)</f>
        <v>9536</v>
      </c>
      <c r="K12" s="35" t="n">
        <f aca="false">ROUND(K13/前提・入力!$B$30,0)</f>
        <v>8802</v>
      </c>
      <c r="L12" s="35" t="n">
        <f aca="false">ROUND(L13/前提・入力!$B$30,0)</f>
        <v>6602</v>
      </c>
      <c r="M12" s="35" t="n">
        <f aca="false">ROUND(M13/前提・入力!$B$30,0)</f>
        <v>36677</v>
      </c>
    </row>
    <row r="13" customFormat="false" ht="15" hidden="false" customHeight="false" outlineLevel="0" collapsed="false">
      <c r="A13" s="52" t="s">
        <v>406</v>
      </c>
      <c r="B13" s="32"/>
      <c r="C13" s="34" t="n">
        <v>102186200</v>
      </c>
      <c r="D13" s="34" t="n">
        <v>41479600</v>
      </c>
      <c r="E13" s="34" t="n">
        <v>31026800</v>
      </c>
      <c r="F13" s="34" t="n">
        <v>45507600</v>
      </c>
      <c r="G13" s="34" t="n">
        <v>7217000</v>
      </c>
      <c r="H13" s="34" t="n">
        <v>3388400</v>
      </c>
      <c r="I13" s="34" t="n">
        <f aca="false">①石川予測確定!Q49</f>
        <v>4292200</v>
      </c>
      <c r="J13" s="34" t="n">
        <f aca="false">J11*前提・入力!$B$29</f>
        <v>7943484.41269759</v>
      </c>
      <c r="K13" s="34" t="n">
        <f aca="false">K11*前提・入力!$B$29</f>
        <v>7332447.15018239</v>
      </c>
      <c r="L13" s="34" t="n">
        <f aca="false">L11*前提・入力!$B$29</f>
        <v>5499335.36263679</v>
      </c>
      <c r="M13" s="34" t="n">
        <f aca="false">M11*前提・入力!$B$29</f>
        <v>30551863.1257599</v>
      </c>
    </row>
    <row r="14" customFormat="false" ht="15" hidden="false" customHeight="false" outlineLevel="0" collapsed="false">
      <c r="A14" s="52" t="s">
        <v>407</v>
      </c>
      <c r="B14" s="32"/>
      <c r="C14" s="37" t="n">
        <f aca="false">C12/C10</f>
        <v>0.386560825581335</v>
      </c>
      <c r="D14" s="37" t="n">
        <f aca="false">D12/D10</f>
        <v>0.345107831474305</v>
      </c>
      <c r="E14" s="37" t="n">
        <f aca="false">E12/E10</f>
        <v>0.39992691491827</v>
      </c>
      <c r="F14" s="37" t="n">
        <f aca="false">F12/F10</f>
        <v>0.267076737423426</v>
      </c>
      <c r="G14" s="37" t="n">
        <f aca="false">G12/G10</f>
        <v>0.217820569356656</v>
      </c>
      <c r="H14" s="37" t="n">
        <f aca="false">H12/H10</f>
        <v>0.210432689792288</v>
      </c>
      <c r="I14" s="37" t="n">
        <f aca="false">I12/I10</f>
        <v>0.209741761502869</v>
      </c>
      <c r="J14" s="37" t="n">
        <f aca="false">J12/J10</f>
        <v>0.191353533277977</v>
      </c>
      <c r="K14" s="37" t="n">
        <f aca="false">K12/K10</f>
        <v>0.191343500059999</v>
      </c>
      <c r="L14" s="37" t="n">
        <f aca="false">L12/L10</f>
        <v>0.191357992485967</v>
      </c>
      <c r="M14" s="37" t="n">
        <f aca="false">M12/M10</f>
        <v>0.191353934606696</v>
      </c>
    </row>
    <row r="15" customFormat="false" ht="15" hidden="false" customHeight="false" outlineLevel="0" collapsed="false">
      <c r="A15" s="52" t="s">
        <v>408</v>
      </c>
      <c r="B15" s="32"/>
      <c r="C15" s="37" t="n">
        <f aca="false">C13/C11</f>
        <v>0.285281778578461</v>
      </c>
      <c r="D15" s="37" t="n">
        <f aca="false">D13/D11</f>
        <v>0.29932871928721</v>
      </c>
      <c r="E15" s="37" t="n">
        <f aca="false">E13/E11</f>
        <v>0.293979604352465</v>
      </c>
      <c r="F15" s="37" t="n">
        <f aca="false">F13/F11</f>
        <v>0.211481706146496</v>
      </c>
      <c r="G15" s="37" t="n">
        <f aca="false">G13/G11</f>
        <v>0.175509804059853</v>
      </c>
      <c r="H15" s="37" t="n">
        <f aca="false">H13/H11</f>
        <v>0.172075992951202</v>
      </c>
      <c r="I15" s="37" t="n">
        <f aca="false">I13/I11</f>
        <v>0.170588391906715</v>
      </c>
      <c r="J15" s="37" t="n">
        <f aca="false">J13/J11</f>
        <v>0.170588393567869</v>
      </c>
      <c r="K15" s="37" t="n">
        <f aca="false">K13/K11</f>
        <v>0.170588393567869</v>
      </c>
      <c r="L15" s="37" t="n">
        <f aca="false">L13/L11</f>
        <v>0.170588393567869</v>
      </c>
      <c r="M15" s="37" t="n">
        <f aca="false">M13/M11</f>
        <v>0.170588393567869</v>
      </c>
    </row>
    <row r="16" customFormat="false" ht="15" hidden="false" customHeight="false" outlineLevel="0" collapsed="false">
      <c r="A16" s="50" t="s">
        <v>409</v>
      </c>
      <c r="B16" s="32"/>
      <c r="C16" s="37" t="n">
        <f aca="false">C10/$C$10</f>
        <v>1</v>
      </c>
      <c r="D16" s="37" t="n">
        <f aca="false">D10/$C$10</f>
        <v>0.442951724569705</v>
      </c>
      <c r="E16" s="37" t="n">
        <f aca="false">E10/$C$10</f>
        <v>0.292683817583255</v>
      </c>
      <c r="F16" s="37" t="n">
        <f aca="false">F10/$C$10</f>
        <v>0.622572011415394</v>
      </c>
      <c r="G16" s="37" t="n">
        <f aca="false">G10/$C$10</f>
        <v>0.10647933177163</v>
      </c>
      <c r="H16" s="37" t="n">
        <f aca="false">H10/$C$10</f>
        <v>0.0498588727559203</v>
      </c>
      <c r="I16" s="37" t="n">
        <f aca="false">I10/$C$10</f>
        <v>0.0640649120759009</v>
      </c>
      <c r="J16" s="37" t="n">
        <f aca="false">J10/$C$10</f>
        <v>0.13</v>
      </c>
      <c r="K16" s="37" t="n">
        <f aca="false">K10/$C$10</f>
        <v>0.12</v>
      </c>
      <c r="L16" s="37" t="n">
        <f aca="false">L10/$C$10</f>
        <v>0.09</v>
      </c>
      <c r="M16" s="37" t="n">
        <f aca="false">M10/$C$10</f>
        <v>0.5</v>
      </c>
    </row>
    <row r="17" customFormat="false" ht="15" hidden="false" customHeight="false" outlineLevel="0" collapsed="false">
      <c r="A17" s="50" t="s">
        <v>410</v>
      </c>
      <c r="B17" s="39" t="s">
        <v>411</v>
      </c>
      <c r="C17" s="37" t="n">
        <f aca="false">C11/$C$11</f>
        <v>1</v>
      </c>
      <c r="D17" s="37" t="n">
        <f aca="false">D11/$C$11</f>
        <v>0.386872585848574</v>
      </c>
      <c r="E17" s="37" t="n">
        <f aca="false">E11/$C$11</f>
        <v>0.294646691732698</v>
      </c>
      <c r="F17" s="37" t="n">
        <f aca="false">F11/$C$11</f>
        <v>0.600748798294108</v>
      </c>
      <c r="G17" s="37" t="n">
        <f aca="false">G11/$C$11</f>
        <v>0.114798736466566</v>
      </c>
      <c r="H17" s="37" t="n">
        <f aca="false">H11/$C$11</f>
        <v>0.0549738525018257</v>
      </c>
      <c r="I17" s="37" t="n">
        <f aca="false">I11/$C$11</f>
        <v>0.0702444892497828</v>
      </c>
      <c r="J17" s="37" t="n">
        <f aca="false">前提・入力!$B$23</f>
        <v>0.13</v>
      </c>
      <c r="K17" s="37" t="n">
        <f aca="false">前提・入力!$B$24</f>
        <v>0.12</v>
      </c>
      <c r="L17" s="37" t="n">
        <f aca="false">前提・入力!$B$25</f>
        <v>0.09</v>
      </c>
      <c r="M17" s="37" t="n">
        <f aca="false">前提・入力!$B$26</f>
        <v>0.5</v>
      </c>
    </row>
    <row r="18" customFormat="false" ht="15" hidden="false" customHeight="false" outlineLevel="0" collapsed="false">
      <c r="A18" s="52" t="s">
        <v>412</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811.719716567315</v>
      </c>
      <c r="H18" s="34" t="n">
        <f aca="false">IFERROR(H13/H12,0)</f>
        <v>842.466434609647</v>
      </c>
      <c r="I18" s="34" t="n">
        <f aca="false">I13/I12</f>
        <v>833.275092215104</v>
      </c>
      <c r="J18" s="34" t="n">
        <f aca="false">J13/J12</f>
        <v>832.999623814764</v>
      </c>
      <c r="K18" s="34" t="n">
        <f aca="false">K13/K12</f>
        <v>833.043302679208</v>
      </c>
      <c r="L18" s="34" t="n">
        <f aca="false">L13/L12</f>
        <v>832.980212456345</v>
      </c>
      <c r="M18" s="34" t="n">
        <f aca="false">M13/M12</f>
        <v>832.997876755458</v>
      </c>
    </row>
    <row r="21" customFormat="false" ht="15" hidden="false" customHeight="false" outlineLevel="0" collapsed="false">
      <c r="A21" s="4" t="s">
        <v>413</v>
      </c>
    </row>
    <row r="22" customFormat="false" ht="15" hidden="false" customHeight="false" outlineLevel="0" collapsed="false">
      <c r="A22" s="26" t="s">
        <v>414</v>
      </c>
      <c r="B22" s="53"/>
      <c r="C22" s="47" t="s">
        <v>376</v>
      </c>
      <c r="D22" s="48" t="s">
        <v>377</v>
      </c>
      <c r="E22" s="28" t="s">
        <v>378</v>
      </c>
      <c r="F22" s="29" t="s">
        <v>379</v>
      </c>
      <c r="G22" s="30" t="s">
        <v>380</v>
      </c>
      <c r="H22" s="27" t="s">
        <v>381</v>
      </c>
    </row>
    <row r="23" customFormat="false" ht="15" hidden="false" customHeight="false" outlineLevel="0" collapsed="false">
      <c r="A23" s="52" t="s">
        <v>415</v>
      </c>
      <c r="B23" s="32"/>
      <c r="C23" s="37" t="n">
        <v>0.285281778578461</v>
      </c>
      <c r="D23" s="37" t="n">
        <v>0.29932871928721</v>
      </c>
      <c r="E23" s="37" t="n">
        <v>0.293979604352465</v>
      </c>
      <c r="F23" s="37" t="n">
        <v>0.211481706146496</v>
      </c>
      <c r="G23" s="37" t="n">
        <v>0.175509804059853</v>
      </c>
      <c r="H23" s="37" t="n">
        <v>0.172075992951202</v>
      </c>
    </row>
    <row r="24" customFormat="false" ht="15" hidden="false" customHeight="false" outlineLevel="0" collapsed="false">
      <c r="A24" s="50" t="s">
        <v>416</v>
      </c>
      <c r="B24" s="32"/>
      <c r="C24" s="37" t="n">
        <v>0.533839232477212</v>
      </c>
      <c r="D24" s="37" t="n">
        <v>0.351384419501267</v>
      </c>
      <c r="E24" s="37" t="n">
        <v>0.321055426461016</v>
      </c>
      <c r="F24" s="37" t="n">
        <v>0.418945187380303</v>
      </c>
      <c r="G24" s="37" t="n">
        <v>0.390839930048995</v>
      </c>
      <c r="H24" s="37" t="n">
        <v>0.415033034893583</v>
      </c>
    </row>
    <row r="25" customFormat="false" ht="15" hidden="false" customHeight="false" outlineLevel="0" collapsed="false">
      <c r="A25" s="50" t="s">
        <v>417</v>
      </c>
      <c r="B25" s="32"/>
      <c r="C25" s="37" t="n">
        <v>0.092163721090468</v>
      </c>
      <c r="D25" s="37" t="n">
        <v>0.0783654906739948</v>
      </c>
      <c r="E25" s="37" t="n">
        <v>0.0782893094608897</v>
      </c>
      <c r="F25" s="37" t="n">
        <v>0.15216207184372</v>
      </c>
      <c r="G25" s="37" t="n">
        <v>0.168412564040894</v>
      </c>
      <c r="H25" s="37" t="n">
        <v>0.149990097149503</v>
      </c>
    </row>
    <row r="26" customFormat="false" ht="15" hidden="false" customHeight="false" outlineLevel="0" collapsed="false">
      <c r="A26" s="52" t="s">
        <v>418</v>
      </c>
      <c r="B26" s="32"/>
      <c r="C26" s="37" t="n">
        <v>0</v>
      </c>
      <c r="D26" s="37" t="n">
        <v>0.236180719219954</v>
      </c>
      <c r="E26" s="37" t="n">
        <v>0.232523476379789</v>
      </c>
      <c r="F26" s="37" t="n">
        <v>0.143011090432739</v>
      </c>
      <c r="G26" s="37" t="n">
        <v>0.185393994826388</v>
      </c>
      <c r="H26" s="37" t="n">
        <v>0.178362017743877</v>
      </c>
    </row>
    <row r="27" customFormat="false" ht="15" hidden="false" customHeight="false" outlineLevel="0" collapsed="false">
      <c r="A27" s="52" t="s">
        <v>419</v>
      </c>
      <c r="B27" s="32"/>
      <c r="C27" s="37" t="n">
        <v>0.0332721164938797</v>
      </c>
      <c r="D27" s="37" t="n">
        <v>0.034740651317575</v>
      </c>
      <c r="E27" s="37" t="n">
        <v>0.0741521833458396</v>
      </c>
      <c r="F27" s="37" t="n">
        <v>0.0743999441967424</v>
      </c>
      <c r="G27" s="37" t="n">
        <v>0.0798437070238698</v>
      </c>
      <c r="H27" s="37" t="n">
        <v>0.0845388572618365</v>
      </c>
    </row>
    <row r="28" customFormat="false" ht="15" hidden="false" customHeight="false" outlineLevel="0" collapsed="false">
      <c r="A28" s="50" t="s">
        <v>420</v>
      </c>
      <c r="B28" s="32"/>
      <c r="C28" s="37" t="n">
        <v>0.0554431513599791</v>
      </c>
      <c r="D28" s="37" t="n">
        <v>0</v>
      </c>
      <c r="E28" s="37" t="n">
        <v>0</v>
      </c>
      <c r="F28" s="37" t="n">
        <v>0</v>
      </c>
      <c r="G28" s="37" t="n">
        <v>0</v>
      </c>
      <c r="H28" s="37" t="n">
        <v>0</v>
      </c>
    </row>
    <row r="29" customFormat="false" ht="15" hidden="false" customHeight="false" outlineLevel="0" collapsed="false">
      <c r="A29" s="50" t="s">
        <v>421</v>
      </c>
      <c r="B29" s="32"/>
      <c r="C29" s="37" t="n">
        <v>0</v>
      </c>
      <c r="D29" s="37" t="n">
        <v>0</v>
      </c>
      <c r="E29" s="37" t="n">
        <v>0</v>
      </c>
      <c r="F29" s="37" t="n">
        <v>0</v>
      </c>
      <c r="G29" s="37" t="n">
        <v>0</v>
      </c>
      <c r="H29" s="37" t="n">
        <v>0</v>
      </c>
    </row>
    <row r="30" customFormat="false" ht="15" hidden="false" customHeight="false" outlineLevel="0" collapsed="false">
      <c r="A30" s="41" t="s">
        <v>422</v>
      </c>
      <c r="B30" s="40"/>
      <c r="C30" s="45" t="n">
        <f aca="false">SUM(C23:C29)</f>
        <v>1</v>
      </c>
      <c r="D30" s="45" t="n">
        <f aca="false">SUM(D23:D29)</f>
        <v>1</v>
      </c>
      <c r="E30" s="45" t="n">
        <f aca="false">SUM(E23:E29)</f>
        <v>1</v>
      </c>
      <c r="F30" s="45" t="n">
        <f aca="false">SUM(F23:F29)</f>
        <v>1</v>
      </c>
      <c r="G30" s="45" t="n">
        <f aca="false">SUM(G23:G29)</f>
        <v>1</v>
      </c>
      <c r="H30" s="45" t="n">
        <f aca="false">SUM(H23:H29)</f>
        <v>1</v>
      </c>
    </row>
    <row r="32" customFormat="false" ht="15" hidden="false" customHeight="false" outlineLevel="0" collapsed="false">
      <c r="A32" s="4" t="s">
        <v>423</v>
      </c>
    </row>
    <row r="33" customFormat="false" ht="25.35" hidden="false" customHeight="false" outlineLevel="0" collapsed="false">
      <c r="A33" s="26" t="s">
        <v>424</v>
      </c>
      <c r="B33" s="26"/>
      <c r="C33" s="26" t="s">
        <v>425</v>
      </c>
      <c r="D33" s="26" t="s">
        <v>426</v>
      </c>
      <c r="E33" s="26" t="s">
        <v>427</v>
      </c>
      <c r="F33" s="25" t="s">
        <v>428</v>
      </c>
      <c r="G33" s="26" t="s">
        <v>429</v>
      </c>
    </row>
    <row r="34" customFormat="false" ht="15" hidden="false" customHeight="false" outlineLevel="0" collapsed="false">
      <c r="A34" s="54" t="s">
        <v>376</v>
      </c>
      <c r="B34" s="32"/>
      <c r="C34" s="35" t="n">
        <v>332</v>
      </c>
      <c r="D34" s="35" t="n">
        <v>332</v>
      </c>
      <c r="E34" s="37" t="n">
        <v>1</v>
      </c>
      <c r="F34" s="37" t="n">
        <v>0.295918178066487</v>
      </c>
      <c r="G34" s="33" t="s">
        <v>430</v>
      </c>
    </row>
    <row r="35" customFormat="false" ht="15" hidden="false" customHeight="false" outlineLevel="0" collapsed="false">
      <c r="A35" s="54" t="s">
        <v>377</v>
      </c>
      <c r="B35" s="32"/>
      <c r="C35" s="35" t="n">
        <v>416</v>
      </c>
      <c r="D35" s="35" t="n">
        <v>85</v>
      </c>
      <c r="E35" s="37" t="n">
        <v>0.211208575551697</v>
      </c>
      <c r="F35" s="37" t="n">
        <v>0.306532372423343</v>
      </c>
      <c r="G35" s="55" t="s">
        <v>431</v>
      </c>
    </row>
    <row r="36" customFormat="false" ht="15" hidden="false" customHeight="false" outlineLevel="0" collapsed="false">
      <c r="A36" s="54" t="s">
        <v>378</v>
      </c>
      <c r="B36" s="32"/>
      <c r="C36" s="35" t="n">
        <v>435</v>
      </c>
      <c r="D36" s="35" t="n">
        <v>19</v>
      </c>
      <c r="E36" s="37" t="n">
        <v>0.146400658503392</v>
      </c>
      <c r="F36" s="37" t="n">
        <v>0.244486551474135</v>
      </c>
      <c r="G36" s="33" t="s">
        <v>432</v>
      </c>
    </row>
    <row r="37" customFormat="false" ht="15" hidden="false" customHeight="false" outlineLevel="0" collapsed="false">
      <c r="A37" s="54" t="s">
        <v>379</v>
      </c>
      <c r="B37" s="32"/>
      <c r="C37" s="35" t="n">
        <v>515</v>
      </c>
      <c r="D37" s="35" t="n">
        <v>106</v>
      </c>
      <c r="E37" s="37" t="n">
        <v>0.191457716359134</v>
      </c>
      <c r="F37" s="37" t="n">
        <v>0.206984790695496</v>
      </c>
      <c r="G37" s="33" t="s">
        <v>433</v>
      </c>
    </row>
    <row r="38" customFormat="false" ht="15" hidden="false" customHeight="false" outlineLevel="0" collapsed="false">
      <c r="A38" s="54" t="s">
        <v>380</v>
      </c>
      <c r="B38" s="32"/>
      <c r="C38" s="35" t="n">
        <v>382</v>
      </c>
      <c r="D38" s="35" t="n">
        <v>0</v>
      </c>
      <c r="E38" s="37" t="n">
        <v>0</v>
      </c>
      <c r="F38" s="37" t="n">
        <v>0.17555847926377</v>
      </c>
      <c r="G38" s="33" t="s">
        <v>434</v>
      </c>
    </row>
    <row r="39" customFormat="false" ht="15" hidden="false" customHeight="false" outlineLevel="0" collapsed="false">
      <c r="A39" s="54" t="s">
        <v>381</v>
      </c>
      <c r="B39" s="32"/>
      <c r="C39" s="35" t="n">
        <v>382</v>
      </c>
      <c r="D39" s="35" t="n">
        <v>0</v>
      </c>
      <c r="E39" s="37" t="n">
        <v>0</v>
      </c>
      <c r="F39" s="37" t="n">
        <v>0.172075992951202</v>
      </c>
      <c r="G39" s="33" t="s">
        <v>434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2" min="8" style="0" width="11"/>
    <col collapsed="false" customWidth="true" hidden="false" outlineLevel="0" max="14" min="13" style="0" width="12"/>
    <col collapsed="false" customWidth="true" hidden="false" outlineLevel="0" max="15" min="15" style="0" width="10"/>
    <col collapsed="false" customWidth="true" hidden="false" outlineLevel="0" max="16" min="16" style="0" width="12"/>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2" min="20" style="0" width="12"/>
    <col collapsed="false" customWidth="true" hidden="false" outlineLevel="0" max="23" min="23" style="0" width="11"/>
    <col collapsed="false" customWidth="true" hidden="false" outlineLevel="0" max="24" min="24" style="0" width="15"/>
    <col collapsed="false" customWidth="true" hidden="false" outlineLevel="0" max="25" min="25" style="0" width="11"/>
    <col collapsed="false" customWidth="true" hidden="false" outlineLevel="0" max="26" min="26" style="0" width="12"/>
  </cols>
  <sheetData>
    <row r="1" customFormat="false" ht="20.1" hidden="false" customHeight="false" outlineLevel="0" collapsed="false">
      <c r="A1" s="1" t="s">
        <v>435</v>
      </c>
    </row>
    <row r="2" customFormat="false" ht="15" hidden="false" customHeight="false" outlineLevel="0" collapsed="false">
      <c r="A2" s="3" t="s">
        <v>436</v>
      </c>
    </row>
    <row r="3" customFormat="false" ht="15" hidden="false" customHeight="false" outlineLevel="0" collapsed="false">
      <c r="A3" s="3" t="s">
        <v>437</v>
      </c>
    </row>
    <row r="4" customFormat="false" ht="15" hidden="false" customHeight="false" outlineLevel="0" collapsed="false">
      <c r="A4" s="3" t="s">
        <v>438</v>
      </c>
    </row>
    <row r="5" customFormat="false" ht="15" hidden="false" customHeight="false" outlineLevel="0" collapsed="false">
      <c r="A5" s="4" t="s">
        <v>439</v>
      </c>
    </row>
    <row r="6" customFormat="false" ht="25.35" hidden="false" customHeight="false" outlineLevel="0" collapsed="false">
      <c r="A6" s="49" t="s">
        <v>424</v>
      </c>
      <c r="B6" s="49" t="s">
        <v>387</v>
      </c>
      <c r="C6" s="49" t="s">
        <v>440</v>
      </c>
      <c r="D6" s="49" t="s">
        <v>441</v>
      </c>
      <c r="E6" s="49" t="s">
        <v>442</v>
      </c>
      <c r="F6" s="56" t="s">
        <v>443</v>
      </c>
      <c r="G6" s="56" t="s">
        <v>444</v>
      </c>
      <c r="H6" s="49" t="s">
        <v>445</v>
      </c>
    </row>
    <row r="7" customFormat="false" ht="15" hidden="false" customHeight="false" outlineLevel="0" collapsed="false">
      <c r="A7" s="50" t="s">
        <v>446</v>
      </c>
      <c r="B7" s="32" t="s">
        <v>447</v>
      </c>
      <c r="C7" s="32" t="n">
        <v>30</v>
      </c>
      <c r="D7" s="37" t="n">
        <f aca="false">前提・入力!$B$23</f>
        <v>0.13</v>
      </c>
      <c r="E7" s="34" t="n">
        <f aca="false">前提・入力!$B$13*D7</f>
        <v>46565210.25</v>
      </c>
      <c r="F7" s="34" t="n">
        <f aca="false">E7*前提・入力!$B$29</f>
        <v>7943484.41269759</v>
      </c>
      <c r="G7" s="35" t="n">
        <f aca="false">ROUND(F7/前提・入力!$B$30,0)</f>
        <v>9536</v>
      </c>
      <c r="H7" s="33" t="s">
        <v>448</v>
      </c>
    </row>
    <row r="8" customFormat="false" ht="15" hidden="false" customHeight="false" outlineLevel="0" collapsed="false">
      <c r="A8" s="50" t="s">
        <v>384</v>
      </c>
      <c r="B8" s="32" t="s">
        <v>449</v>
      </c>
      <c r="C8" s="32" t="n">
        <v>21</v>
      </c>
      <c r="D8" s="37" t="n">
        <f aca="false">前提・入力!$B$24</f>
        <v>0.12</v>
      </c>
      <c r="E8" s="34" t="n">
        <f aca="false">前提・入力!$B$13*D8</f>
        <v>42983271</v>
      </c>
      <c r="F8" s="34" t="n">
        <f aca="false">E8*前提・入力!$B$29</f>
        <v>7332447.15018239</v>
      </c>
      <c r="G8" s="35" t="n">
        <f aca="false">ROUND(F8/前提・入力!$B$30,0)</f>
        <v>8802</v>
      </c>
      <c r="H8" s="33" t="s">
        <v>450</v>
      </c>
    </row>
    <row r="9" customFormat="false" ht="15" hidden="false" customHeight="false" outlineLevel="0" collapsed="false">
      <c r="A9" s="50" t="s">
        <v>385</v>
      </c>
      <c r="B9" s="32" t="s">
        <v>451</v>
      </c>
      <c r="C9" s="32" t="n">
        <v>21</v>
      </c>
      <c r="D9" s="37" t="n">
        <f aca="false">前提・入力!$B$25</f>
        <v>0.09</v>
      </c>
      <c r="E9" s="34" t="n">
        <f aca="false">前提・入力!$B$13*D9</f>
        <v>32237453.25</v>
      </c>
      <c r="F9" s="34" t="n">
        <f aca="false">E9*前提・入力!$B$29</f>
        <v>5499335.36263679</v>
      </c>
      <c r="G9" s="35" t="n">
        <f aca="false">ROUND(F9/前提・入力!$B$30,0)</f>
        <v>6602</v>
      </c>
      <c r="H9" s="33" t="s">
        <v>452</v>
      </c>
    </row>
    <row r="10" customFormat="false" ht="15" hidden="false" customHeight="false" outlineLevel="0" collapsed="false">
      <c r="A10" s="50" t="s">
        <v>386</v>
      </c>
      <c r="B10" s="32" t="s">
        <v>453</v>
      </c>
      <c r="C10" s="32" t="n">
        <v>25</v>
      </c>
      <c r="D10" s="37" t="n">
        <f aca="false">前提・入力!$B$26</f>
        <v>0.5</v>
      </c>
      <c r="E10" s="34" t="n">
        <f aca="false">前提・入力!$B$13*D10</f>
        <v>179096962.5</v>
      </c>
      <c r="F10" s="34" t="n">
        <f aca="false">E10*前提・入力!$B$29</f>
        <v>30551863.1257599</v>
      </c>
      <c r="G10" s="35" t="n">
        <f aca="false">ROUND(F10/前提・入力!$B$30,0)</f>
        <v>36677</v>
      </c>
      <c r="H10" s="33" t="s">
        <v>454</v>
      </c>
    </row>
    <row r="11" customFormat="false" ht="15" hidden="false" customHeight="false" outlineLevel="0" collapsed="false">
      <c r="A11" s="41" t="s">
        <v>455</v>
      </c>
      <c r="B11" s="40"/>
      <c r="C11" s="40"/>
      <c r="D11" s="45" t="n">
        <f aca="false">SUM(D7:D10)</f>
        <v>0.84</v>
      </c>
      <c r="E11" s="44" t="n">
        <f aca="false">SUM(E7:E10)</f>
        <v>300882897</v>
      </c>
      <c r="F11" s="44" t="n">
        <f aca="false">SUM(F7:F10)</f>
        <v>51327130.0512767</v>
      </c>
      <c r="G11" s="42" t="n">
        <f aca="false">SUM(G7:G10)</f>
        <v>61617</v>
      </c>
      <c r="H11" s="41"/>
    </row>
    <row r="13" customFormat="false" ht="15" hidden="false" customHeight="false" outlineLevel="0" collapsed="false">
      <c r="A13" s="4" t="s">
        <v>456</v>
      </c>
    </row>
    <row r="14" customFormat="false" ht="15" hidden="false" customHeight="false" outlineLevel="0" collapsed="false">
      <c r="A14" s="5" t="s">
        <v>457</v>
      </c>
      <c r="B14" s="22" t="n">
        <v>276521</v>
      </c>
      <c r="C14" s="57" t="s">
        <v>458</v>
      </c>
    </row>
    <row r="15" customFormat="false" ht="15" hidden="false" customHeight="false" outlineLevel="0" collapsed="false">
      <c r="A15" s="5" t="s">
        <v>459</v>
      </c>
      <c r="B15" s="22" t="n">
        <v>50506</v>
      </c>
      <c r="C15" s="57" t="s">
        <v>460</v>
      </c>
    </row>
    <row r="16" customFormat="false" ht="15" hidden="false" customHeight="false" outlineLevel="0" collapsed="false">
      <c r="A16" s="5" t="s">
        <v>461</v>
      </c>
      <c r="B16" s="22" t="n">
        <f aca="false">Q72</f>
        <v>197962</v>
      </c>
      <c r="C16" s="57" t="s">
        <v>462</v>
      </c>
    </row>
    <row r="17" customFormat="false" ht="15" hidden="false" customHeight="false" outlineLevel="0" collapsed="false">
      <c r="A17" s="5" t="s">
        <v>463</v>
      </c>
      <c r="B17" s="22" t="n">
        <v>8891</v>
      </c>
      <c r="C17" s="57" t="s">
        <v>464</v>
      </c>
    </row>
    <row r="18" customFormat="false" ht="15" hidden="false" customHeight="false" outlineLevel="0" collapsed="false">
      <c r="A18" s="5" t="s">
        <v>465</v>
      </c>
      <c r="B18" s="22" t="n">
        <f aca="false">R72</f>
        <v>41615</v>
      </c>
      <c r="C18" s="57" t="s">
        <v>466</v>
      </c>
    </row>
    <row r="19" customFormat="false" ht="15" hidden="false" customHeight="false" outlineLevel="0" collapsed="false">
      <c r="A19" s="5" t="s">
        <v>467</v>
      </c>
      <c r="B19" s="22" t="n">
        <v>4</v>
      </c>
      <c r="C19" s="57" t="s">
        <v>468</v>
      </c>
    </row>
    <row r="20" customFormat="false" ht="15" hidden="false" customHeight="false" outlineLevel="0" collapsed="false">
      <c r="A20" s="5" t="s">
        <v>469</v>
      </c>
      <c r="B20" s="22" t="n">
        <f aca="false">①石川予測確定!S49</f>
        <v>46928</v>
      </c>
      <c r="C20" s="58" t="s">
        <v>470</v>
      </c>
    </row>
    <row r="21" customFormat="false" ht="15" hidden="false" customHeight="false" outlineLevel="0" collapsed="false">
      <c r="A21" s="5" t="s">
        <v>471</v>
      </c>
      <c r="B21" s="59" t="n">
        <f aca="false">①石川予測確定!P49</f>
        <v>5151</v>
      </c>
      <c r="C21" s="57"/>
    </row>
    <row r="22" customFormat="false" ht="15" hidden="false" customHeight="false" outlineLevel="0" collapsed="false">
      <c r="A22" s="5" t="s">
        <v>472</v>
      </c>
      <c r="B22" s="22" t="n">
        <f aca="false">B16+B18-B19-B21</f>
        <v>234422</v>
      </c>
      <c r="C22" s="57" t="s">
        <v>473</v>
      </c>
    </row>
    <row r="23" customFormat="false" ht="15" hidden="false" customHeight="false" outlineLevel="0" collapsed="false">
      <c r="A23" s="5" t="s">
        <v>474</v>
      </c>
      <c r="B23" s="22" t="n">
        <v>1200</v>
      </c>
      <c r="C23" s="57" t="s">
        <v>475</v>
      </c>
    </row>
    <row r="24" customFormat="false" ht="15" hidden="false" customHeight="false" outlineLevel="0" collapsed="false">
      <c r="A24" s="5" t="s">
        <v>476</v>
      </c>
      <c r="B24" s="22" t="n">
        <f aca="false">G11</f>
        <v>61617</v>
      </c>
      <c r="C24" s="57"/>
    </row>
    <row r="25" customFormat="false" ht="15" hidden="false" customHeight="false" outlineLevel="0" collapsed="false">
      <c r="A25" s="5" t="s">
        <v>477</v>
      </c>
      <c r="B25" s="60" t="n">
        <f aca="false">B22+B23-B24</f>
        <v>174005</v>
      </c>
      <c r="C25" s="57" t="s">
        <v>478</v>
      </c>
    </row>
    <row r="26" customFormat="false" ht="15" hidden="false" customHeight="false" outlineLevel="0" collapsed="false">
      <c r="A26" s="5" t="s">
        <v>479</v>
      </c>
      <c r="B26" s="61" t="n">
        <f aca="false">Y72</f>
        <v>3384</v>
      </c>
      <c r="C26" s="57" t="s">
        <v>480</v>
      </c>
    </row>
    <row r="28" customFormat="false" ht="15" hidden="false" customHeight="false" outlineLevel="0" collapsed="false">
      <c r="A28" s="4" t="s">
        <v>481</v>
      </c>
    </row>
    <row r="29" customFormat="false" ht="42" hidden="false" customHeight="true" outlineLevel="0" collapsed="false">
      <c r="A29" s="25" t="s">
        <v>263</v>
      </c>
      <c r="B29" s="25" t="s">
        <v>264</v>
      </c>
      <c r="C29" s="26" t="s">
        <v>265</v>
      </c>
      <c r="D29" s="30" t="s">
        <v>482</v>
      </c>
      <c r="E29" s="30" t="s">
        <v>483</v>
      </c>
      <c r="F29" s="27" t="s">
        <v>484</v>
      </c>
      <c r="G29" s="27" t="s">
        <v>485</v>
      </c>
      <c r="H29" s="17" t="s">
        <v>486</v>
      </c>
      <c r="I29" s="49" t="s">
        <v>487</v>
      </c>
      <c r="J29" s="49" t="s">
        <v>488</v>
      </c>
      <c r="K29" s="49" t="s">
        <v>489</v>
      </c>
      <c r="L29" s="49" t="s">
        <v>490</v>
      </c>
      <c r="M29" s="31" t="s">
        <v>491</v>
      </c>
      <c r="N29" s="62" t="s">
        <v>492</v>
      </c>
      <c r="O29" s="62" t="s">
        <v>493</v>
      </c>
      <c r="P29" s="63" t="s">
        <v>494</v>
      </c>
      <c r="Q29" s="62" t="s">
        <v>495</v>
      </c>
      <c r="R29" s="30" t="s">
        <v>496</v>
      </c>
      <c r="S29" s="64" t="s">
        <v>497</v>
      </c>
      <c r="T29" s="27" t="s">
        <v>498</v>
      </c>
      <c r="U29" s="27" t="s">
        <v>499</v>
      </c>
      <c r="V29" s="31" t="s">
        <v>500</v>
      </c>
      <c r="W29" s="63" t="s">
        <v>501</v>
      </c>
      <c r="X29" s="31" t="s">
        <v>502</v>
      </c>
      <c r="Y29" s="31" t="s">
        <v>503</v>
      </c>
      <c r="Z29" s="31" t="s">
        <v>504</v>
      </c>
    </row>
    <row r="30" customFormat="false" ht="15" hidden="false" customHeight="false" outlineLevel="0" collapsed="false">
      <c r="A30" s="32" t="n">
        <v>1</v>
      </c>
      <c r="B30" s="32" t="s">
        <v>286</v>
      </c>
      <c r="C30" s="33" t="s">
        <v>287</v>
      </c>
      <c r="D30" s="35" t="n">
        <v>507</v>
      </c>
      <c r="E30" s="65" t="n">
        <f aca="false">IFERROR(D30/D$72,0)</f>
        <v>0.0570239568102576</v>
      </c>
      <c r="F30" s="35" t="n">
        <f aca="false">①石川予測確定!P7</f>
        <v>272</v>
      </c>
      <c r="G30" s="65" t="n">
        <f aca="false">IFERROR(F30/F$72,0)</f>
        <v>0.0528052805280528</v>
      </c>
      <c r="H30" s="65" t="n">
        <f aca="false">E30*前提・入力!$B$31+G30*前提・入力!$B$32</f>
        <v>0.0549146186691552</v>
      </c>
      <c r="I30" s="35" t="n">
        <f aca="false">ROUND($H30*③仙台以降予測!$G$7,0)</f>
        <v>524</v>
      </c>
      <c r="J30" s="35" t="n">
        <f aca="false">ROUND($H30*③仙台以降予測!$G$8,0)</f>
        <v>483</v>
      </c>
      <c r="K30" s="35" t="n">
        <f aca="false">ROUND($H30*③仙台以降予測!$G$9,0)</f>
        <v>363</v>
      </c>
      <c r="L30" s="35" t="n">
        <f aca="false">ROUND($H30*③仙台以降予測!$G$10,0)</f>
        <v>2014</v>
      </c>
      <c r="M30" s="35" t="n">
        <f aca="false">SUM(I30:L30)</f>
        <v>3384</v>
      </c>
      <c r="N30" s="35" t="n">
        <v>3271</v>
      </c>
      <c r="O30" s="35" t="n">
        <v>1000</v>
      </c>
      <c r="P30" s="35" t="n">
        <v>2268</v>
      </c>
      <c r="Q30" s="35" t="n">
        <f aca="false">IF(P30="",N30-O30,P30)</f>
        <v>2268</v>
      </c>
      <c r="R30" s="35" t="n">
        <v>493</v>
      </c>
      <c r="S30" s="35" t="n">
        <v>0</v>
      </c>
      <c r="T30" s="35" t="n">
        <f aca="false">①石川予測確定!S7</f>
        <v>693</v>
      </c>
      <c r="U30" s="35" t="n">
        <f aca="false">①石川予測確定!P7</f>
        <v>272</v>
      </c>
      <c r="V30" s="35" t="n">
        <f aca="false">Q30+R30-S30-U30</f>
        <v>2489</v>
      </c>
      <c r="W30" s="35" t="n">
        <v>0</v>
      </c>
      <c r="X30" s="38" t="n">
        <f aca="false">M30-V30-W30</f>
        <v>895</v>
      </c>
      <c r="Y30" s="35" t="n">
        <f aca="false">MAX(0,X30)</f>
        <v>895</v>
      </c>
      <c r="Z30" s="35" t="n">
        <f aca="false">IF(Y30&gt;0,ROUNDUP(Y30*(1+前提・入力!$B$34),0),0)</f>
        <v>985</v>
      </c>
    </row>
    <row r="31" customFormat="false" ht="15" hidden="false" customHeight="false" outlineLevel="0" collapsed="false">
      <c r="A31" s="32" t="n">
        <v>2</v>
      </c>
      <c r="B31" s="32" t="s">
        <v>288</v>
      </c>
      <c r="C31" s="33" t="s">
        <v>289</v>
      </c>
      <c r="D31" s="35" t="n">
        <v>541</v>
      </c>
      <c r="E31" s="65" t="n">
        <f aca="false">IFERROR(D31/D$72,0)</f>
        <v>0.0608480485884602</v>
      </c>
      <c r="F31" s="35" t="n">
        <f aca="false">①石川予測確定!P8</f>
        <v>325</v>
      </c>
      <c r="G31" s="65" t="n">
        <f aca="false">IFERROR(F31/F$72,0)</f>
        <v>0.0630945447485925</v>
      </c>
      <c r="H31" s="65" t="n">
        <f aca="false">E31*前提・入力!$B$31+G31*前提・入力!$B$32</f>
        <v>0.0619712966685264</v>
      </c>
      <c r="I31" s="35" t="n">
        <f aca="false">ROUND($H31*③仙台以降予測!$G$7,0)</f>
        <v>591</v>
      </c>
      <c r="J31" s="35" t="n">
        <f aca="false">ROUND($H31*③仙台以降予測!$G$8,0)</f>
        <v>545</v>
      </c>
      <c r="K31" s="35" t="n">
        <f aca="false">ROUND($H31*③仙台以降予測!$G$9,0)</f>
        <v>409</v>
      </c>
      <c r="L31" s="35" t="n">
        <f aca="false">ROUND($H31*③仙台以降予測!$G$10,0)</f>
        <v>2273</v>
      </c>
      <c r="M31" s="35" t="n">
        <f aca="false">SUM(I31:L31)</f>
        <v>3818</v>
      </c>
      <c r="N31" s="35" t="n">
        <v>5038</v>
      </c>
      <c r="O31" s="35" t="n">
        <v>1000</v>
      </c>
      <c r="P31" s="35" t="n">
        <v>4036</v>
      </c>
      <c r="Q31" s="35" t="n">
        <f aca="false">IF(P31="",N31-O31,P31)</f>
        <v>4036</v>
      </c>
      <c r="R31" s="35" t="n">
        <v>459</v>
      </c>
      <c r="S31" s="35" t="n">
        <v>0</v>
      </c>
      <c r="T31" s="35" t="n">
        <f aca="false">①石川予測確定!S8</f>
        <v>659</v>
      </c>
      <c r="U31" s="35" t="n">
        <f aca="false">①石川予測確定!P8</f>
        <v>325</v>
      </c>
      <c r="V31" s="35" t="n">
        <f aca="false">Q31+R31-S31-U31</f>
        <v>4170</v>
      </c>
      <c r="W31" s="35" t="n">
        <v>0</v>
      </c>
      <c r="X31" s="38" t="n">
        <f aca="false">M31-V31-W31</f>
        <v>-352</v>
      </c>
      <c r="Y31" s="35" t="n">
        <f aca="false">MAX(0,X31)</f>
        <v>0</v>
      </c>
      <c r="Z31" s="35" t="n">
        <f aca="false">IF(Y31&gt;0,ROUNDUP(Y31*(1+前提・入力!$B$34),0),0)</f>
        <v>0</v>
      </c>
    </row>
    <row r="32" customFormat="false" ht="15" hidden="false" customHeight="false" outlineLevel="0" collapsed="false">
      <c r="A32" s="32" t="n">
        <v>3</v>
      </c>
      <c r="B32" s="32" t="s">
        <v>290</v>
      </c>
      <c r="C32" s="33" t="s">
        <v>291</v>
      </c>
      <c r="D32" s="35" t="n">
        <v>169</v>
      </c>
      <c r="E32" s="65" t="n">
        <f aca="false">IFERROR(D32/D$72,0)</f>
        <v>0.0190079856034192</v>
      </c>
      <c r="F32" s="35" t="n">
        <f aca="false">①石川予測確定!P9</f>
        <v>118</v>
      </c>
      <c r="G32" s="65" t="n">
        <f aca="false">IFERROR(F32/F$72,0)</f>
        <v>0.0229081731702582</v>
      </c>
      <c r="H32" s="65" t="n">
        <f aca="false">E32*前提・入力!$B$31+G32*前提・入力!$B$32</f>
        <v>0.0209580793868387</v>
      </c>
      <c r="I32" s="35" t="n">
        <f aca="false">ROUND($H32*③仙台以降予測!$G$7,0)</f>
        <v>200</v>
      </c>
      <c r="J32" s="35" t="n">
        <f aca="false">ROUND($H32*③仙台以降予測!$G$8,0)</f>
        <v>184</v>
      </c>
      <c r="K32" s="35" t="n">
        <f aca="false">ROUND($H32*③仙台以降予測!$G$9,0)</f>
        <v>138</v>
      </c>
      <c r="L32" s="35" t="n">
        <f aca="false">ROUND($H32*③仙台以降予測!$G$10,0)</f>
        <v>769</v>
      </c>
      <c r="M32" s="35" t="n">
        <f aca="false">SUM(I32:L32)</f>
        <v>1291</v>
      </c>
      <c r="N32" s="35" t="n">
        <v>6140</v>
      </c>
      <c r="O32" s="35" t="n">
        <v>450</v>
      </c>
      <c r="P32" s="35" t="n">
        <v>1694</v>
      </c>
      <c r="Q32" s="35" t="n">
        <f aca="false">IF(P32="",N32-O32,P32)</f>
        <v>1694</v>
      </c>
      <c r="R32" s="35" t="n">
        <v>281</v>
      </c>
      <c r="S32" s="35" t="n">
        <v>0</v>
      </c>
      <c r="T32" s="35" t="n">
        <f aca="false">①石川予測確定!S9</f>
        <v>381</v>
      </c>
      <c r="U32" s="35" t="n">
        <f aca="false">①石川予測確定!P9</f>
        <v>118</v>
      </c>
      <c r="V32" s="35" t="n">
        <f aca="false">Q32+R32-S32-U32</f>
        <v>1857</v>
      </c>
      <c r="W32" s="35" t="n">
        <v>0</v>
      </c>
      <c r="X32" s="38" t="n">
        <f aca="false">M32-V32-W32</f>
        <v>-566</v>
      </c>
      <c r="Y32" s="35" t="n">
        <f aca="false">MAX(0,X32)</f>
        <v>0</v>
      </c>
      <c r="Z32" s="35" t="n">
        <f aca="false">IF(Y32&gt;0,ROUNDUP(Y32*(1+前提・入力!$B$34),0),0)</f>
        <v>0</v>
      </c>
    </row>
    <row r="33" customFormat="false" ht="15" hidden="false" customHeight="false" outlineLevel="0" collapsed="false">
      <c r="A33" s="32" t="n">
        <v>4</v>
      </c>
      <c r="B33" s="32" t="s">
        <v>292</v>
      </c>
      <c r="C33" s="33" t="s">
        <v>293</v>
      </c>
      <c r="D33" s="35" t="n">
        <v>228</v>
      </c>
      <c r="E33" s="65" t="n">
        <f aca="false">IFERROR(D33/D$72,0)</f>
        <v>0.0256439095714768</v>
      </c>
      <c r="F33" s="35" t="n">
        <f aca="false">①石川予測確定!P10</f>
        <v>134</v>
      </c>
      <c r="G33" s="65" t="n">
        <f aca="false">IFERROR(F33/F$72,0)</f>
        <v>0.0260143661424966</v>
      </c>
      <c r="H33" s="65" t="n">
        <f aca="false">E33*前提・入力!$B$31+G33*前提・入力!$B$32</f>
        <v>0.0258291378569867</v>
      </c>
      <c r="I33" s="35" t="n">
        <f aca="false">ROUND($H33*③仙台以降予測!$G$7,0)</f>
        <v>246</v>
      </c>
      <c r="J33" s="35" t="n">
        <f aca="false">ROUND($H33*③仙台以降予測!$G$8,0)</f>
        <v>227</v>
      </c>
      <c r="K33" s="35" t="n">
        <f aca="false">ROUND($H33*③仙台以降予測!$G$9,0)</f>
        <v>171</v>
      </c>
      <c r="L33" s="35" t="n">
        <f aca="false">ROUND($H33*③仙台以降予測!$G$10,0)</f>
        <v>947</v>
      </c>
      <c r="M33" s="35" t="n">
        <f aca="false">SUM(I33:L33)</f>
        <v>1591</v>
      </c>
      <c r="N33" s="35" t="n">
        <v>27511</v>
      </c>
      <c r="O33" s="35" t="n">
        <v>800</v>
      </c>
      <c r="P33" s="35" t="n">
        <v>2715</v>
      </c>
      <c r="Q33" s="35" t="n">
        <f aca="false">IF(P33="",N33-O33,P33)</f>
        <v>2715</v>
      </c>
      <c r="R33" s="35" t="n">
        <v>572</v>
      </c>
      <c r="S33" s="35" t="n">
        <v>0</v>
      </c>
      <c r="T33" s="35" t="n">
        <f aca="false">①石川予測確定!S10</f>
        <v>772</v>
      </c>
      <c r="U33" s="35" t="n">
        <f aca="false">①石川予測確定!P10</f>
        <v>134</v>
      </c>
      <c r="V33" s="35" t="n">
        <f aca="false">Q33+R33-S33-U33</f>
        <v>3153</v>
      </c>
      <c r="W33" s="35" t="n">
        <v>0</v>
      </c>
      <c r="X33" s="38" t="n">
        <f aca="false">M33-V33-W33</f>
        <v>-1562</v>
      </c>
      <c r="Y33" s="35" t="n">
        <f aca="false">MAX(0,X33)</f>
        <v>0</v>
      </c>
      <c r="Z33" s="35" t="n">
        <f aca="false">IF(Y33&gt;0,ROUNDUP(Y33*(1+前提・入力!$B$34),0),0)</f>
        <v>0</v>
      </c>
    </row>
    <row r="34" customFormat="false" ht="15" hidden="false" customHeight="false" outlineLevel="0" collapsed="false">
      <c r="A34" s="32" t="n">
        <v>5</v>
      </c>
      <c r="B34" s="32" t="s">
        <v>294</v>
      </c>
      <c r="C34" s="33" t="s">
        <v>295</v>
      </c>
      <c r="D34" s="35" t="n">
        <v>410</v>
      </c>
      <c r="E34" s="65" t="n">
        <f aca="false">IFERROR(D34/D$72,0)</f>
        <v>0.0461140479136205</v>
      </c>
      <c r="F34" s="35" t="n">
        <f aca="false">①石川予測確定!P11</f>
        <v>293</v>
      </c>
      <c r="G34" s="65" t="n">
        <f aca="false">IFERROR(F34/F$72,0)</f>
        <v>0.0568821588041157</v>
      </c>
      <c r="H34" s="65" t="n">
        <f aca="false">E34*前提・入力!$B$31+G34*前提・入力!$B$32</f>
        <v>0.0514981033588681</v>
      </c>
      <c r="I34" s="35" t="n">
        <f aca="false">ROUND($H34*③仙台以降予測!$G$7,0)</f>
        <v>491</v>
      </c>
      <c r="J34" s="35" t="n">
        <f aca="false">ROUND($H34*③仙台以降予測!$G$8,0)</f>
        <v>453</v>
      </c>
      <c r="K34" s="35" t="n">
        <f aca="false">ROUND($H34*③仙台以降予測!$G$9,0)</f>
        <v>340</v>
      </c>
      <c r="L34" s="35" t="n">
        <f aca="false">ROUND($H34*③仙台以降予測!$G$10,0)</f>
        <v>1889</v>
      </c>
      <c r="M34" s="35" t="n">
        <f aca="false">SUM(I34:L34)</f>
        <v>3173</v>
      </c>
      <c r="N34" s="35" t="n">
        <v>40108</v>
      </c>
      <c r="O34" s="35" t="n">
        <v>9000</v>
      </c>
      <c r="P34" s="35" t="n">
        <v>31095</v>
      </c>
      <c r="Q34" s="35" t="n">
        <f aca="false">IF(P34="",N34-O34,P34)</f>
        <v>31095</v>
      </c>
      <c r="R34" s="35" t="n">
        <v>8590</v>
      </c>
      <c r="S34" s="35" t="n">
        <v>0</v>
      </c>
      <c r="T34" s="35" t="n">
        <f aca="false">①石川予測確定!S11</f>
        <v>8790</v>
      </c>
      <c r="U34" s="35" t="n">
        <f aca="false">①石川予測確定!P11</f>
        <v>293</v>
      </c>
      <c r="V34" s="35" t="n">
        <f aca="false">Q34+R34-S34-U34</f>
        <v>39392</v>
      </c>
      <c r="W34" s="35" t="n">
        <v>0</v>
      </c>
      <c r="X34" s="38" t="n">
        <f aca="false">M34-V34-W34</f>
        <v>-36219</v>
      </c>
      <c r="Y34" s="35" t="n">
        <f aca="false">MAX(0,X34)</f>
        <v>0</v>
      </c>
      <c r="Z34" s="35" t="n">
        <f aca="false">IF(Y34&gt;0,ROUNDUP(Y34*(1+前提・入力!$B$34),0),0)</f>
        <v>0</v>
      </c>
    </row>
    <row r="35" customFormat="false" ht="15" hidden="false" customHeight="false" outlineLevel="0" collapsed="false">
      <c r="A35" s="32" t="n">
        <v>6</v>
      </c>
      <c r="B35" s="32" t="s">
        <v>296</v>
      </c>
      <c r="C35" s="33" t="s">
        <v>297</v>
      </c>
      <c r="D35" s="35" t="n">
        <v>1042</v>
      </c>
      <c r="E35" s="65" t="n">
        <f aca="false">IFERROR(D35/D$72,0)</f>
        <v>0.117197165673153</v>
      </c>
      <c r="F35" s="35" t="n">
        <f aca="false">①石川予測確定!P12</f>
        <v>565</v>
      </c>
      <c r="G35" s="65" t="n">
        <f aca="false">IFERROR(F35/F$72,0)</f>
        <v>0.109687439332169</v>
      </c>
      <c r="H35" s="65" t="n">
        <f aca="false">E35*前提・入力!$B$31+G35*前提・入力!$B$32</f>
        <v>0.113442302502661</v>
      </c>
      <c r="I35" s="35" t="n">
        <f aca="false">ROUND($H35*③仙台以降予測!$G$7,0)</f>
        <v>1082</v>
      </c>
      <c r="J35" s="35" t="n">
        <f aca="false">ROUND($H35*③仙台以降予測!$G$8,0)</f>
        <v>999</v>
      </c>
      <c r="K35" s="35" t="n">
        <f aca="false">ROUND($H35*③仙台以降予測!$G$9,0)</f>
        <v>749</v>
      </c>
      <c r="L35" s="35" t="n">
        <f aca="false">ROUND($H35*③仙台以降予測!$G$10,0)</f>
        <v>4161</v>
      </c>
      <c r="M35" s="35" t="n">
        <f aca="false">SUM(I35:L35)</f>
        <v>6991</v>
      </c>
      <c r="N35" s="35" t="n">
        <v>51840</v>
      </c>
      <c r="O35" s="35" t="n">
        <v>13991</v>
      </c>
      <c r="P35" s="35" t="n">
        <v>37844</v>
      </c>
      <c r="Q35" s="35" t="n">
        <f aca="false">IF(P35="",N35-O35,P35)</f>
        <v>37844</v>
      </c>
      <c r="R35" s="35" t="n">
        <v>12949</v>
      </c>
      <c r="S35" s="35" t="n">
        <v>0</v>
      </c>
      <c r="T35" s="35" t="n">
        <f aca="false">①石川予測確定!S12</f>
        <v>13249</v>
      </c>
      <c r="U35" s="35" t="n">
        <f aca="false">①石川予測確定!P12</f>
        <v>565</v>
      </c>
      <c r="V35" s="35" t="n">
        <f aca="false">Q35+R35-S35-U35</f>
        <v>50228</v>
      </c>
      <c r="W35" s="35" t="n">
        <v>0</v>
      </c>
      <c r="X35" s="38" t="n">
        <f aca="false">M35-V35-W35</f>
        <v>-43237</v>
      </c>
      <c r="Y35" s="35" t="n">
        <f aca="false">MAX(0,X35)</f>
        <v>0</v>
      </c>
      <c r="Z35" s="35" t="n">
        <f aca="false">IF(Y35&gt;0,ROUNDUP(Y35*(1+前提・入力!$B$34),0),0)</f>
        <v>0</v>
      </c>
    </row>
    <row r="36" customFormat="false" ht="15" hidden="false" customHeight="false" outlineLevel="0" collapsed="false">
      <c r="A36" s="32" t="n">
        <v>7</v>
      </c>
      <c r="B36" s="32" t="s">
        <v>298</v>
      </c>
      <c r="C36" s="33" t="s">
        <v>299</v>
      </c>
      <c r="D36" s="35" t="n">
        <v>187</v>
      </c>
      <c r="E36" s="65" t="n">
        <f aca="false">IFERROR(D36/D$72,0)</f>
        <v>0.0210325047801147</v>
      </c>
      <c r="F36" s="35" t="n">
        <f aca="false">①石川予測確定!P13</f>
        <v>165</v>
      </c>
      <c r="G36" s="65" t="n">
        <f aca="false">IFERROR(F36/F$72,0)</f>
        <v>0.0320326150262085</v>
      </c>
      <c r="H36" s="65" t="n">
        <f aca="false">E36*前提・入力!$B$31+G36*前提・入力!$B$32</f>
        <v>0.0265325599031616</v>
      </c>
      <c r="I36" s="35" t="n">
        <f aca="false">ROUND($H36*③仙台以降予測!$G$7,0)</f>
        <v>253</v>
      </c>
      <c r="J36" s="35" t="n">
        <f aca="false">ROUND($H36*③仙台以降予測!$G$8,0)</f>
        <v>234</v>
      </c>
      <c r="K36" s="35" t="n">
        <f aca="false">ROUND($H36*③仙台以降予測!$G$9,0)</f>
        <v>175</v>
      </c>
      <c r="L36" s="35" t="n">
        <f aca="false">ROUND($H36*③仙台以降予測!$G$10,0)</f>
        <v>973</v>
      </c>
      <c r="M36" s="35" t="n">
        <f aca="false">SUM(I36:L36)</f>
        <v>1635</v>
      </c>
      <c r="N36" s="35" t="n">
        <v>4601</v>
      </c>
      <c r="O36" s="35" t="n">
        <v>350</v>
      </c>
      <c r="P36" s="35" t="n">
        <v>4251</v>
      </c>
      <c r="Q36" s="35" t="n">
        <f aca="false">IF(P36="",N36-O36,P36)</f>
        <v>4251</v>
      </c>
      <c r="R36" s="35" t="n">
        <v>163</v>
      </c>
      <c r="S36" s="35" t="n">
        <v>0</v>
      </c>
      <c r="T36" s="35" t="n">
        <f aca="false">①石川予測確定!S13</f>
        <v>463</v>
      </c>
      <c r="U36" s="35" t="n">
        <f aca="false">①石川予測確定!P13</f>
        <v>165</v>
      </c>
      <c r="V36" s="35" t="n">
        <f aca="false">Q36+R36-S36-U36</f>
        <v>4249</v>
      </c>
      <c r="W36" s="35" t="n">
        <v>0</v>
      </c>
      <c r="X36" s="38" t="n">
        <f aca="false">M36-V36-W36</f>
        <v>-2614</v>
      </c>
      <c r="Y36" s="35" t="n">
        <f aca="false">MAX(0,X36)</f>
        <v>0</v>
      </c>
      <c r="Z36" s="35" t="n">
        <f aca="false">IF(Y36&gt;0,ROUNDUP(Y36*(1+前提・入力!$B$34),0),0)</f>
        <v>0</v>
      </c>
    </row>
    <row r="37" customFormat="false" ht="15" hidden="false" customHeight="false" outlineLevel="0" collapsed="false">
      <c r="A37" s="32" t="n">
        <v>8</v>
      </c>
      <c r="B37" s="32" t="s">
        <v>300</v>
      </c>
      <c r="C37" s="33" t="s">
        <v>301</v>
      </c>
      <c r="D37" s="35" t="n">
        <v>322</v>
      </c>
      <c r="E37" s="65" t="n">
        <f aca="false">IFERROR(D37/D$72,0)</f>
        <v>0.0362163986053312</v>
      </c>
      <c r="F37" s="35" t="n">
        <f aca="false">①石川予測確定!P14</f>
        <v>266</v>
      </c>
      <c r="G37" s="65" t="n">
        <f aca="false">IFERROR(F37/F$72,0)</f>
        <v>0.0516404581634634</v>
      </c>
      <c r="H37" s="65" t="n">
        <f aca="false">E37*前提・入力!$B$31+G37*前提・入力!$B$32</f>
        <v>0.0439284283843973</v>
      </c>
      <c r="I37" s="35" t="n">
        <f aca="false">ROUND($H37*③仙台以降予測!$G$7,0)</f>
        <v>419</v>
      </c>
      <c r="J37" s="35" t="n">
        <f aca="false">ROUND($H37*③仙台以降予測!$G$8,0)</f>
        <v>387</v>
      </c>
      <c r="K37" s="35" t="n">
        <f aca="false">ROUND($H37*③仙台以降予測!$G$9,0)</f>
        <v>290</v>
      </c>
      <c r="L37" s="35" t="n">
        <f aca="false">ROUND($H37*③仙台以降予測!$G$10,0)</f>
        <v>1611</v>
      </c>
      <c r="M37" s="35" t="n">
        <f aca="false">SUM(I37:L37)</f>
        <v>2707</v>
      </c>
      <c r="N37" s="35" t="n">
        <v>8622</v>
      </c>
      <c r="O37" s="35" t="n">
        <v>900</v>
      </c>
      <c r="P37" s="35" t="n">
        <v>7722</v>
      </c>
      <c r="Q37" s="35" t="n">
        <f aca="false">IF(P37="",N37-O37,P37)</f>
        <v>7722</v>
      </c>
      <c r="R37" s="35" t="n">
        <v>578</v>
      </c>
      <c r="S37" s="35" t="n">
        <v>0</v>
      </c>
      <c r="T37" s="35" t="n">
        <f aca="false">①石川予測確定!S14</f>
        <v>778</v>
      </c>
      <c r="U37" s="35" t="n">
        <f aca="false">①石川予測確定!P14</f>
        <v>266</v>
      </c>
      <c r="V37" s="35" t="n">
        <f aca="false">Q37+R37-S37-U37</f>
        <v>8034</v>
      </c>
      <c r="W37" s="35" t="n">
        <v>0</v>
      </c>
      <c r="X37" s="38" t="n">
        <f aca="false">M37-V37-W37</f>
        <v>-5327</v>
      </c>
      <c r="Y37" s="35" t="n">
        <f aca="false">MAX(0,X37)</f>
        <v>0</v>
      </c>
      <c r="Z37" s="35" t="n">
        <f aca="false">IF(Y37&gt;0,ROUNDUP(Y37*(1+前提・入力!$B$34),0),0)</f>
        <v>0</v>
      </c>
    </row>
    <row r="38" customFormat="false" ht="15" hidden="false" customHeight="false" outlineLevel="0" collapsed="false">
      <c r="A38" s="32" t="n">
        <v>9</v>
      </c>
      <c r="B38" s="32" t="s">
        <v>302</v>
      </c>
      <c r="C38" s="33" t="s">
        <v>303</v>
      </c>
      <c r="D38" s="35" t="n">
        <v>160</v>
      </c>
      <c r="E38" s="65" t="n">
        <f aca="false">IFERROR(D38/D$72,0)</f>
        <v>0.0179957260150714</v>
      </c>
      <c r="F38" s="35" t="n">
        <f aca="false">①石川予測確定!P15</f>
        <v>51</v>
      </c>
      <c r="G38" s="65" t="n">
        <f aca="false">IFERROR(F38/F$72,0)</f>
        <v>0.0099009900990099</v>
      </c>
      <c r="H38" s="65" t="n">
        <f aca="false">E38*前提・入力!$B$31+G38*前提・入力!$B$32</f>
        <v>0.0139483580570407</v>
      </c>
      <c r="I38" s="35" t="n">
        <f aca="false">ROUND($H38*③仙台以降予測!$G$7,0)</f>
        <v>133</v>
      </c>
      <c r="J38" s="35" t="n">
        <f aca="false">ROUND($H38*③仙台以降予測!$G$8,0)</f>
        <v>123</v>
      </c>
      <c r="K38" s="35" t="n">
        <f aca="false">ROUND($H38*③仙台以降予測!$G$9,0)</f>
        <v>92</v>
      </c>
      <c r="L38" s="35" t="n">
        <f aca="false">ROUND($H38*③仙台以降予測!$G$10,0)</f>
        <v>512</v>
      </c>
      <c r="M38" s="35" t="n">
        <f aca="false">SUM(I38:L38)</f>
        <v>860</v>
      </c>
      <c r="N38" s="35" t="n">
        <v>8760</v>
      </c>
      <c r="O38" s="35" t="n">
        <v>300</v>
      </c>
      <c r="P38" s="35" t="n">
        <v>8458</v>
      </c>
      <c r="Q38" s="35" t="n">
        <f aca="false">IF(P38="",N38-O38,P38)</f>
        <v>8458</v>
      </c>
      <c r="R38" s="35" t="n">
        <v>140</v>
      </c>
      <c r="S38" s="35" t="n">
        <v>0</v>
      </c>
      <c r="T38" s="35" t="n">
        <f aca="false">①石川予測確定!S15</f>
        <v>740</v>
      </c>
      <c r="U38" s="35" t="n">
        <f aca="false">①石川予測確定!P15</f>
        <v>51</v>
      </c>
      <c r="V38" s="35" t="n">
        <f aca="false">Q38+R38-S38-U38</f>
        <v>8547</v>
      </c>
      <c r="W38" s="35" t="n">
        <v>0</v>
      </c>
      <c r="X38" s="38" t="n">
        <f aca="false">M38-V38-W38</f>
        <v>-7687</v>
      </c>
      <c r="Y38" s="35" t="n">
        <f aca="false">MAX(0,X38)</f>
        <v>0</v>
      </c>
      <c r="Z38" s="35" t="n">
        <f aca="false">IF(Y38&gt;0,ROUNDUP(Y38*(1+前提・入力!$B$34),0),0)</f>
        <v>0</v>
      </c>
    </row>
    <row r="39" customFormat="false" ht="15" hidden="false" customHeight="false" outlineLevel="0" collapsed="false">
      <c r="A39" s="32" t="n">
        <v>10</v>
      </c>
      <c r="B39" s="32" t="s">
        <v>304</v>
      </c>
      <c r="C39" s="33" t="s">
        <v>305</v>
      </c>
      <c r="D39" s="35" t="n">
        <v>59</v>
      </c>
      <c r="E39" s="65" t="n">
        <f aca="false">IFERROR(D39/D$72,0)</f>
        <v>0.00663592396805759</v>
      </c>
      <c r="F39" s="35" t="n">
        <f aca="false">①石川予測確定!P16</f>
        <v>20</v>
      </c>
      <c r="G39" s="65" t="n">
        <f aca="false">IFERROR(F39/F$72,0)</f>
        <v>0.003882741215298</v>
      </c>
      <c r="H39" s="65" t="n">
        <f aca="false">E39*前提・入力!$B$31+G39*前提・入力!$B$32</f>
        <v>0.00525933259167779</v>
      </c>
      <c r="I39" s="35" t="n">
        <f aca="false">ROUND($H39*③仙台以降予測!$G$7,0)</f>
        <v>50</v>
      </c>
      <c r="J39" s="35" t="n">
        <f aca="false">ROUND($H39*③仙台以降予測!$G$8,0)</f>
        <v>46</v>
      </c>
      <c r="K39" s="35" t="n">
        <f aca="false">ROUND($H39*③仙台以降予測!$G$9,0)</f>
        <v>35</v>
      </c>
      <c r="L39" s="35" t="n">
        <f aca="false">ROUND($H39*③仙台以降予測!$G$10,0)</f>
        <v>193</v>
      </c>
      <c r="M39" s="35" t="n">
        <f aca="false">SUM(I39:L39)</f>
        <v>324</v>
      </c>
      <c r="N39" s="35" t="n">
        <v>4934</v>
      </c>
      <c r="O39" s="35" t="n">
        <v>100</v>
      </c>
      <c r="P39" s="35" t="n">
        <v>4835</v>
      </c>
      <c r="Q39" s="35" t="n">
        <f aca="false">IF(P39="",N39-O39,P39)</f>
        <v>4835</v>
      </c>
      <c r="R39" s="35" t="n">
        <v>41</v>
      </c>
      <c r="S39" s="35" t="n">
        <v>0</v>
      </c>
      <c r="T39" s="35" t="n">
        <f aca="false">①石川予測確定!S16</f>
        <v>541</v>
      </c>
      <c r="U39" s="35" t="n">
        <f aca="false">①石川予測確定!P16</f>
        <v>20</v>
      </c>
      <c r="V39" s="35" t="n">
        <f aca="false">Q39+R39-S39-U39</f>
        <v>4856</v>
      </c>
      <c r="W39" s="35" t="n">
        <v>0</v>
      </c>
      <c r="X39" s="38" t="n">
        <f aca="false">M39-V39-W39</f>
        <v>-4532</v>
      </c>
      <c r="Y39" s="35" t="n">
        <f aca="false">MAX(0,X39)</f>
        <v>0</v>
      </c>
      <c r="Z39" s="35" t="n">
        <f aca="false">IF(Y39&gt;0,ROUNDUP(Y39*(1+前提・入力!$B$34),0),0)</f>
        <v>0</v>
      </c>
    </row>
    <row r="40" customFormat="false" ht="15" hidden="false" customHeight="false" outlineLevel="0" collapsed="false">
      <c r="A40" s="32" t="n">
        <v>11</v>
      </c>
      <c r="B40" s="32" t="s">
        <v>306</v>
      </c>
      <c r="C40" s="33" t="s">
        <v>307</v>
      </c>
      <c r="D40" s="35" t="n">
        <v>21</v>
      </c>
      <c r="E40" s="65" t="n">
        <f aca="false">IFERROR(D40/D$72,0)</f>
        <v>0.00236193903947812</v>
      </c>
      <c r="F40" s="35" t="n">
        <f aca="false">①石川予測確定!P17</f>
        <v>8</v>
      </c>
      <c r="G40" s="65" t="n">
        <f aca="false">IFERROR(F40/F$72,0)</f>
        <v>0.0015530964861192</v>
      </c>
      <c r="H40" s="65" t="n">
        <f aca="false">E40*前提・入力!$B$31+G40*前提・入力!$B$32</f>
        <v>0.00195751776279866</v>
      </c>
      <c r="I40" s="35" t="n">
        <f aca="false">ROUND($H40*③仙台以降予測!$G$7,0)</f>
        <v>19</v>
      </c>
      <c r="J40" s="35" t="n">
        <f aca="false">ROUND($H40*③仙台以降予測!$G$8,0)</f>
        <v>17</v>
      </c>
      <c r="K40" s="35" t="n">
        <f aca="false">ROUND($H40*③仙台以降予測!$G$9,0)</f>
        <v>13</v>
      </c>
      <c r="L40" s="35" t="n">
        <f aca="false">ROUND($H40*③仙台以降予測!$G$10,0)</f>
        <v>72</v>
      </c>
      <c r="M40" s="35" t="n">
        <f aca="false">SUM(I40:L40)</f>
        <v>121</v>
      </c>
      <c r="N40" s="35" t="n">
        <v>640</v>
      </c>
      <c r="O40" s="35" t="n">
        <v>50</v>
      </c>
      <c r="P40" s="35" t="n">
        <v>588</v>
      </c>
      <c r="Q40" s="35" t="n">
        <f aca="false">IF(P40="",N40-O40,P40)</f>
        <v>588</v>
      </c>
      <c r="R40" s="35" t="n">
        <v>29</v>
      </c>
      <c r="S40" s="35" t="n">
        <v>0</v>
      </c>
      <c r="T40" s="35" t="n">
        <f aca="false">①石川予測確定!S17</f>
        <v>79</v>
      </c>
      <c r="U40" s="35" t="n">
        <f aca="false">①石川予測確定!P17</f>
        <v>8</v>
      </c>
      <c r="V40" s="35" t="n">
        <f aca="false">Q40+R40-S40-U40</f>
        <v>609</v>
      </c>
      <c r="W40" s="35" t="n">
        <v>0</v>
      </c>
      <c r="X40" s="38" t="n">
        <f aca="false">M40-V40-W40</f>
        <v>-488</v>
      </c>
      <c r="Y40" s="35" t="n">
        <f aca="false">MAX(0,X40)</f>
        <v>0</v>
      </c>
      <c r="Z40" s="35" t="n">
        <f aca="false">IF(Y40&gt;0,ROUNDUP(Y40*(1+前提・入力!$B$34),0),0)</f>
        <v>0</v>
      </c>
    </row>
    <row r="41" customFormat="false" ht="15" hidden="false" customHeight="false" outlineLevel="0" collapsed="false">
      <c r="A41" s="32" t="n">
        <v>12</v>
      </c>
      <c r="B41" s="32" t="s">
        <v>308</v>
      </c>
      <c r="C41" s="33" t="s">
        <v>309</v>
      </c>
      <c r="D41" s="35" t="n">
        <v>43</v>
      </c>
      <c r="E41" s="65" t="n">
        <f aca="false">IFERROR(D41/D$72,0)</f>
        <v>0.00483635136655044</v>
      </c>
      <c r="F41" s="35" t="n">
        <f aca="false">①石川予測確定!P18</f>
        <v>17</v>
      </c>
      <c r="G41" s="65" t="n">
        <f aca="false">IFERROR(F41/F$72,0)</f>
        <v>0.0033003300330033</v>
      </c>
      <c r="H41" s="65" t="n">
        <f aca="false">E41*前提・入力!$B$31+G41*前提・入力!$B$32</f>
        <v>0.00406834069977687</v>
      </c>
      <c r="I41" s="35" t="n">
        <f aca="false">ROUND($H41*③仙台以降予測!$G$7,0)</f>
        <v>39</v>
      </c>
      <c r="J41" s="35" t="n">
        <f aca="false">ROUND($H41*③仙台以降予測!$G$8,0)</f>
        <v>36</v>
      </c>
      <c r="K41" s="35" t="n">
        <f aca="false">ROUND($H41*③仙台以降予測!$G$9,0)</f>
        <v>27</v>
      </c>
      <c r="L41" s="35" t="n">
        <f aca="false">ROUND($H41*③仙台以降予測!$G$10,0)</f>
        <v>149</v>
      </c>
      <c r="M41" s="35" t="n">
        <f aca="false">SUM(I41:L41)</f>
        <v>251</v>
      </c>
      <c r="N41" s="35" t="n">
        <v>953</v>
      </c>
      <c r="O41" s="35" t="n">
        <v>50</v>
      </c>
      <c r="P41" s="35" t="n">
        <v>901</v>
      </c>
      <c r="Q41" s="35" t="n">
        <f aca="false">IF(P41="",N41-O41,P41)</f>
        <v>901</v>
      </c>
      <c r="R41" s="35" t="n">
        <v>7</v>
      </c>
      <c r="S41" s="35" t="n">
        <v>0</v>
      </c>
      <c r="T41" s="35" t="n">
        <f aca="false">①石川予測確定!S18</f>
        <v>107</v>
      </c>
      <c r="U41" s="35" t="n">
        <f aca="false">①石川予測確定!P18</f>
        <v>17</v>
      </c>
      <c r="V41" s="35" t="n">
        <f aca="false">Q41+R41-S41-U41</f>
        <v>891</v>
      </c>
      <c r="W41" s="35" t="n">
        <v>0</v>
      </c>
      <c r="X41" s="38" t="n">
        <f aca="false">M41-V41-W41</f>
        <v>-640</v>
      </c>
      <c r="Y41" s="35" t="n">
        <f aca="false">MAX(0,X41)</f>
        <v>0</v>
      </c>
      <c r="Z41" s="35" t="n">
        <f aca="false">IF(Y41&gt;0,ROUNDUP(Y41*(1+前提・入力!$B$34),0),0)</f>
        <v>0</v>
      </c>
    </row>
    <row r="42" customFormat="false" ht="15" hidden="false" customHeight="false" outlineLevel="0" collapsed="false">
      <c r="A42" s="32" t="n">
        <v>13</v>
      </c>
      <c r="B42" s="32" t="s">
        <v>310</v>
      </c>
      <c r="C42" s="33" t="s">
        <v>311</v>
      </c>
      <c r="D42" s="35" t="n">
        <v>8</v>
      </c>
      <c r="E42" s="65" t="n">
        <f aca="false">IFERROR(D42/D$72,0)</f>
        <v>0.000899786300753571</v>
      </c>
      <c r="F42" s="35" t="n">
        <f aca="false">①石川予測確定!P19</f>
        <v>6</v>
      </c>
      <c r="G42" s="65" t="n">
        <f aca="false">IFERROR(F42/F$72,0)</f>
        <v>0.0011648223645894</v>
      </c>
      <c r="H42" s="65" t="n">
        <f aca="false">E42*前提・入力!$B$31+G42*前提・入力!$B$32</f>
        <v>0.00103230433267149</v>
      </c>
      <c r="I42" s="35" t="n">
        <f aca="false">ROUND($H42*③仙台以降予測!$G$7,0)</f>
        <v>10</v>
      </c>
      <c r="J42" s="35" t="n">
        <f aca="false">ROUND($H42*③仙台以降予測!$G$8,0)</f>
        <v>9</v>
      </c>
      <c r="K42" s="35" t="n">
        <f aca="false">ROUND($H42*③仙台以降予測!$G$9,0)</f>
        <v>7</v>
      </c>
      <c r="L42" s="35" t="n">
        <f aca="false">ROUND($H42*③仙台以降予測!$G$10,0)</f>
        <v>38</v>
      </c>
      <c r="M42" s="35" t="n">
        <f aca="false">SUM(I42:L42)</f>
        <v>64</v>
      </c>
      <c r="N42" s="35" t="n">
        <v>320</v>
      </c>
      <c r="O42" s="35" t="n">
        <v>50</v>
      </c>
      <c r="P42" s="35" t="n">
        <v>269</v>
      </c>
      <c r="Q42" s="35" t="n">
        <f aca="false">IF(P42="",N42-O42,P42)</f>
        <v>269</v>
      </c>
      <c r="R42" s="35" t="n">
        <v>42</v>
      </c>
      <c r="S42" s="35" t="n">
        <v>0</v>
      </c>
      <c r="T42" s="35" t="n">
        <f aca="false">①石川予測確定!S19</f>
        <v>52</v>
      </c>
      <c r="U42" s="35" t="n">
        <f aca="false">①石川予測確定!P19</f>
        <v>6</v>
      </c>
      <c r="V42" s="35" t="n">
        <f aca="false">Q42+R42-S42-U42</f>
        <v>305</v>
      </c>
      <c r="W42" s="35" t="n">
        <v>0</v>
      </c>
      <c r="X42" s="38" t="n">
        <f aca="false">M42-V42-W42</f>
        <v>-241</v>
      </c>
      <c r="Y42" s="35" t="n">
        <f aca="false">MAX(0,X42)</f>
        <v>0</v>
      </c>
      <c r="Z42" s="35" t="n">
        <f aca="false">IF(Y42&gt;0,ROUNDUP(Y42*(1+前提・入力!$B$34),0),0)</f>
        <v>0</v>
      </c>
    </row>
    <row r="43" customFormat="false" ht="15" hidden="false" customHeight="false" outlineLevel="0" collapsed="false">
      <c r="A43" s="32" t="n">
        <v>14</v>
      </c>
      <c r="B43" s="32" t="s">
        <v>312</v>
      </c>
      <c r="C43" s="33" t="s">
        <v>313</v>
      </c>
      <c r="D43" s="35" t="n">
        <v>47</v>
      </c>
      <c r="E43" s="65" t="n">
        <f aca="false">IFERROR(D43/D$72,0)</f>
        <v>0.00528624451692723</v>
      </c>
      <c r="F43" s="35" t="n">
        <f aca="false">①石川予測確定!P20</f>
        <v>14</v>
      </c>
      <c r="G43" s="65" t="n">
        <f aca="false">IFERROR(F43/F$72,0)</f>
        <v>0.0027179188507086</v>
      </c>
      <c r="H43" s="65" t="n">
        <f aca="false">E43*前提・入力!$B$31+G43*前提・入力!$B$32</f>
        <v>0.00400208168381792</v>
      </c>
      <c r="I43" s="35" t="n">
        <f aca="false">ROUND($H43*③仙台以降予測!$G$7,0)</f>
        <v>38</v>
      </c>
      <c r="J43" s="35" t="n">
        <f aca="false">ROUND($H43*③仙台以降予測!$G$8,0)</f>
        <v>35</v>
      </c>
      <c r="K43" s="35" t="n">
        <f aca="false">ROUND($H43*③仙台以降予測!$G$9,0)</f>
        <v>26</v>
      </c>
      <c r="L43" s="35" t="n">
        <f aca="false">ROUND($H43*③仙台以降予測!$G$10,0)</f>
        <v>147</v>
      </c>
      <c r="M43" s="35" t="n">
        <f aca="false">SUM(I43:L43)</f>
        <v>246</v>
      </c>
      <c r="N43" s="35" t="n">
        <v>1790</v>
      </c>
      <c r="O43" s="35" t="n">
        <v>50</v>
      </c>
      <c r="P43" s="35" t="n">
        <v>1740</v>
      </c>
      <c r="Q43" s="35" t="n">
        <f aca="false">IF(P43="",N43-O43,P43)</f>
        <v>1740</v>
      </c>
      <c r="R43" s="35" t="n">
        <v>3</v>
      </c>
      <c r="S43" s="35" t="n">
        <v>0</v>
      </c>
      <c r="T43" s="35" t="n">
        <f aca="false">①石川予測確定!S20</f>
        <v>53</v>
      </c>
      <c r="U43" s="35" t="n">
        <f aca="false">①石川予測確定!P20</f>
        <v>14</v>
      </c>
      <c r="V43" s="35" t="n">
        <f aca="false">Q43+R43-S43-U43</f>
        <v>1729</v>
      </c>
      <c r="W43" s="35" t="n">
        <v>0</v>
      </c>
      <c r="X43" s="38" t="n">
        <f aca="false">M43-V43-W43</f>
        <v>-1483</v>
      </c>
      <c r="Y43" s="35" t="n">
        <f aca="false">MAX(0,X43)</f>
        <v>0</v>
      </c>
      <c r="Z43" s="35" t="n">
        <f aca="false">IF(Y43&gt;0,ROUNDUP(Y43*(1+前提・入力!$B$34),0),0)</f>
        <v>0</v>
      </c>
    </row>
    <row r="44" customFormat="false" ht="15" hidden="false" customHeight="false" outlineLevel="0" collapsed="false">
      <c r="A44" s="32" t="n">
        <v>15</v>
      </c>
      <c r="B44" s="32" t="s">
        <v>314</v>
      </c>
      <c r="C44" s="33" t="s">
        <v>315</v>
      </c>
      <c r="D44" s="35" t="n">
        <v>54</v>
      </c>
      <c r="E44" s="65" t="n">
        <f aca="false">IFERROR(D44/D$72,0)</f>
        <v>0.0060735575300866</v>
      </c>
      <c r="F44" s="35" t="n">
        <f aca="false">①石川予測確定!P21</f>
        <v>23</v>
      </c>
      <c r="G44" s="65" t="n">
        <f aca="false">IFERROR(F44/F$72,0)</f>
        <v>0.0044651523975927</v>
      </c>
      <c r="H44" s="65" t="n">
        <f aca="false">E44*前提・入力!$B$31+G44*前提・入力!$B$32</f>
        <v>0.00526935496383965</v>
      </c>
      <c r="I44" s="35" t="n">
        <f aca="false">ROUND($H44*③仙台以降予測!$G$7,0)</f>
        <v>50</v>
      </c>
      <c r="J44" s="35" t="n">
        <f aca="false">ROUND($H44*③仙台以降予測!$G$8,0)</f>
        <v>46</v>
      </c>
      <c r="K44" s="35" t="n">
        <f aca="false">ROUND($H44*③仙台以降予測!$G$9,0)</f>
        <v>35</v>
      </c>
      <c r="L44" s="35" t="n">
        <f aca="false">ROUND($H44*③仙台以降予測!$G$10,0)</f>
        <v>193</v>
      </c>
      <c r="M44" s="35" t="n">
        <f aca="false">SUM(I44:L44)</f>
        <v>324</v>
      </c>
      <c r="N44" s="35" t="n">
        <v>2131</v>
      </c>
      <c r="O44" s="35" t="n">
        <v>100</v>
      </c>
      <c r="P44" s="35" t="n">
        <v>2031</v>
      </c>
      <c r="Q44" s="35" t="n">
        <f aca="false">IF(P44="",N44-O44,P44)</f>
        <v>2031</v>
      </c>
      <c r="R44" s="35" t="n">
        <v>46</v>
      </c>
      <c r="S44" s="35" t="n">
        <v>0</v>
      </c>
      <c r="T44" s="35" t="n">
        <f aca="false">①石川予測確定!S21</f>
        <v>96</v>
      </c>
      <c r="U44" s="35" t="n">
        <f aca="false">①石川予測確定!P21</f>
        <v>23</v>
      </c>
      <c r="V44" s="35" t="n">
        <f aca="false">Q44+R44-S44-U44</f>
        <v>2054</v>
      </c>
      <c r="W44" s="35" t="n">
        <v>0</v>
      </c>
      <c r="X44" s="38" t="n">
        <f aca="false">M44-V44-W44</f>
        <v>-1730</v>
      </c>
      <c r="Y44" s="35" t="n">
        <f aca="false">MAX(0,X44)</f>
        <v>0</v>
      </c>
      <c r="Z44" s="35" t="n">
        <f aca="false">IF(Y44&gt;0,ROUNDUP(Y44*(1+前提・入力!$B$34),0),0)</f>
        <v>0</v>
      </c>
    </row>
    <row r="45" customFormat="false" ht="15" hidden="false" customHeight="false" outlineLevel="0" collapsed="false">
      <c r="A45" s="32" t="n">
        <v>16</v>
      </c>
      <c r="B45" s="32" t="s">
        <v>316</v>
      </c>
      <c r="C45" s="33" t="s">
        <v>317</v>
      </c>
      <c r="D45" s="35" t="n">
        <v>22</v>
      </c>
      <c r="E45" s="65" t="n">
        <f aca="false">IFERROR(D45/D$72,0)</f>
        <v>0.00247441232707232</v>
      </c>
      <c r="F45" s="35" t="n">
        <f aca="false">①石川予測確定!P22</f>
        <v>6</v>
      </c>
      <c r="G45" s="65" t="n">
        <f aca="false">IFERROR(F45/F$72,0)</f>
        <v>0.0011648223645894</v>
      </c>
      <c r="H45" s="65" t="n">
        <f aca="false">E45*前提・入力!$B$31+G45*前提・入力!$B$32</f>
        <v>0.00181961734583086</v>
      </c>
      <c r="I45" s="35" t="n">
        <f aca="false">ROUND($H45*③仙台以降予測!$G$7,0)</f>
        <v>17</v>
      </c>
      <c r="J45" s="35" t="n">
        <f aca="false">ROUND($H45*③仙台以降予測!$G$8,0)</f>
        <v>16</v>
      </c>
      <c r="K45" s="35" t="n">
        <f aca="false">ROUND($H45*③仙台以降予測!$G$9,0)</f>
        <v>12</v>
      </c>
      <c r="L45" s="35" t="n">
        <f aca="false">ROUND($H45*③仙台以降予測!$G$10,0)</f>
        <v>67</v>
      </c>
      <c r="M45" s="35" t="n">
        <f aca="false">SUM(I45:L45)</f>
        <v>112</v>
      </c>
      <c r="N45" s="35" t="n">
        <v>772</v>
      </c>
      <c r="O45" s="35" t="n">
        <v>50</v>
      </c>
      <c r="P45" s="35" t="n">
        <v>722</v>
      </c>
      <c r="Q45" s="35" t="n">
        <f aca="false">IF(P45="",N45-O45,P45)</f>
        <v>722</v>
      </c>
      <c r="R45" s="35" t="n">
        <v>28</v>
      </c>
      <c r="S45" s="35" t="n">
        <v>0</v>
      </c>
      <c r="T45" s="35" t="n">
        <f aca="false">①石川予測確定!S22</f>
        <v>78</v>
      </c>
      <c r="U45" s="35" t="n">
        <f aca="false">①石川予測確定!P22</f>
        <v>6</v>
      </c>
      <c r="V45" s="35" t="n">
        <f aca="false">Q45+R45-S45-U45</f>
        <v>744</v>
      </c>
      <c r="W45" s="35" t="n">
        <v>0</v>
      </c>
      <c r="X45" s="38" t="n">
        <f aca="false">M45-V45-W45</f>
        <v>-632</v>
      </c>
      <c r="Y45" s="35" t="n">
        <f aca="false">MAX(0,X45)</f>
        <v>0</v>
      </c>
      <c r="Z45" s="35" t="n">
        <f aca="false">IF(Y45&gt;0,ROUNDUP(Y45*(1+前提・入力!$B$34),0),0)</f>
        <v>0</v>
      </c>
    </row>
    <row r="46" customFormat="false" ht="15" hidden="false" customHeight="false" outlineLevel="0" collapsed="false">
      <c r="A46" s="32" t="n">
        <v>17</v>
      </c>
      <c r="B46" s="32" t="s">
        <v>318</v>
      </c>
      <c r="C46" s="33" t="s">
        <v>319</v>
      </c>
      <c r="D46" s="35" t="n">
        <v>100</v>
      </c>
      <c r="E46" s="65" t="n">
        <f aca="false">IFERROR(D46/D$72,0)</f>
        <v>0.0112473287594196</v>
      </c>
      <c r="F46" s="35" t="n">
        <f aca="false">①石川予測確定!P23</f>
        <v>41</v>
      </c>
      <c r="G46" s="65" t="n">
        <f aca="false">IFERROR(F46/F$72,0)</f>
        <v>0.0079596194913609</v>
      </c>
      <c r="H46" s="65" t="n">
        <f aca="false">E46*前提・入力!$B$31+G46*前提・入力!$B$32</f>
        <v>0.00960347412539027</v>
      </c>
      <c r="I46" s="35" t="n">
        <f aca="false">ROUND($H46*③仙台以降予測!$G$7,0)</f>
        <v>92</v>
      </c>
      <c r="J46" s="35" t="n">
        <f aca="false">ROUND($H46*③仙台以降予測!$G$8,0)</f>
        <v>85</v>
      </c>
      <c r="K46" s="35" t="n">
        <f aca="false">ROUND($H46*③仙台以降予測!$G$9,0)</f>
        <v>63</v>
      </c>
      <c r="L46" s="35" t="n">
        <f aca="false">ROUND($H46*③仙台以降予測!$G$10,0)</f>
        <v>352</v>
      </c>
      <c r="M46" s="35" t="n">
        <f aca="false">SUM(I46:L46)</f>
        <v>592</v>
      </c>
      <c r="N46" s="35" t="n">
        <v>2523</v>
      </c>
      <c r="O46" s="35" t="n">
        <v>100</v>
      </c>
      <c r="P46" s="35" t="n">
        <v>2421</v>
      </c>
      <c r="Q46" s="35" t="n">
        <f aca="false">IF(P46="",N46-O46,P46)</f>
        <v>2421</v>
      </c>
      <c r="R46" s="35" t="n">
        <v>0</v>
      </c>
      <c r="S46" s="35" t="n">
        <v>0</v>
      </c>
      <c r="T46" s="35" t="n">
        <f aca="false">①石川予測確定!S23</f>
        <v>200</v>
      </c>
      <c r="U46" s="35" t="n">
        <f aca="false">①石川予測確定!P23</f>
        <v>41</v>
      </c>
      <c r="V46" s="35" t="n">
        <f aca="false">Q46+R46-S46-U46</f>
        <v>2380</v>
      </c>
      <c r="W46" s="35" t="n">
        <v>0</v>
      </c>
      <c r="X46" s="38" t="n">
        <f aca="false">M46-V46-W46</f>
        <v>-1788</v>
      </c>
      <c r="Y46" s="35" t="n">
        <f aca="false">MAX(0,X46)</f>
        <v>0</v>
      </c>
      <c r="Z46" s="35" t="n">
        <f aca="false">IF(Y46&gt;0,ROUNDUP(Y46*(1+前提・入力!$B$34),0),0)</f>
        <v>0</v>
      </c>
    </row>
    <row r="47" customFormat="false" ht="15" hidden="false" customHeight="false" outlineLevel="0" collapsed="false">
      <c r="A47" s="32" t="n">
        <v>18</v>
      </c>
      <c r="B47" s="32" t="s">
        <v>320</v>
      </c>
      <c r="C47" s="33" t="s">
        <v>321</v>
      </c>
      <c r="D47" s="35" t="n">
        <v>443</v>
      </c>
      <c r="E47" s="65" t="n">
        <f aca="false">IFERROR(D47/D$72,0)</f>
        <v>0.049825666404229</v>
      </c>
      <c r="F47" s="35" t="n">
        <f aca="false">①石川予測確定!P24</f>
        <v>152</v>
      </c>
      <c r="G47" s="65" t="n">
        <f aca="false">IFERROR(F47/F$72,0)</f>
        <v>0.0295088332362648</v>
      </c>
      <c r="H47" s="65" t="n">
        <f aca="false">E47*前提・入力!$B$31+G47*前提・入力!$B$32</f>
        <v>0.0396672498202469</v>
      </c>
      <c r="I47" s="35" t="n">
        <f aca="false">ROUND($H47*③仙台以降予測!$G$7,0)</f>
        <v>378</v>
      </c>
      <c r="J47" s="35" t="n">
        <f aca="false">ROUND($H47*③仙台以降予測!$G$8,0)</f>
        <v>349</v>
      </c>
      <c r="K47" s="35" t="n">
        <f aca="false">ROUND($H47*③仙台以降予測!$G$9,0)</f>
        <v>262</v>
      </c>
      <c r="L47" s="35" t="n">
        <f aca="false">ROUND($H47*③仙台以降予測!$G$10,0)</f>
        <v>1455</v>
      </c>
      <c r="M47" s="35" t="n">
        <f aca="false">SUM(I47:L47)</f>
        <v>2444</v>
      </c>
      <c r="N47" s="35" t="n">
        <v>9725</v>
      </c>
      <c r="O47" s="35" t="n">
        <v>1500</v>
      </c>
      <c r="P47" s="35" t="n">
        <v>8225</v>
      </c>
      <c r="Q47" s="35" t="n">
        <f aca="false">IF(P47="",N47-O47,P47)</f>
        <v>8225</v>
      </c>
      <c r="R47" s="35" t="n">
        <v>1057</v>
      </c>
      <c r="S47" s="35" t="n">
        <v>4</v>
      </c>
      <c r="T47" s="35" t="n">
        <f aca="false">①石川予測確定!S24</f>
        <v>1157</v>
      </c>
      <c r="U47" s="35" t="n">
        <f aca="false">①石川予測確定!P24</f>
        <v>152</v>
      </c>
      <c r="V47" s="35" t="n">
        <f aca="false">Q47+R47-S47-U47</f>
        <v>9126</v>
      </c>
      <c r="W47" s="35" t="n">
        <v>0</v>
      </c>
      <c r="X47" s="38" t="n">
        <f aca="false">M47-V47-W47</f>
        <v>-6682</v>
      </c>
      <c r="Y47" s="35" t="n">
        <f aca="false">MAX(0,X47)</f>
        <v>0</v>
      </c>
      <c r="Z47" s="35" t="n">
        <f aca="false">IF(Y47&gt;0,ROUNDUP(Y47*(1+前提・入力!$B$34),0),0)</f>
        <v>0</v>
      </c>
    </row>
    <row r="48" customFormat="false" ht="15" hidden="false" customHeight="false" outlineLevel="0" collapsed="false">
      <c r="A48" s="32" t="n">
        <v>19</v>
      </c>
      <c r="B48" s="32" t="s">
        <v>322</v>
      </c>
      <c r="C48" s="33" t="s">
        <v>323</v>
      </c>
      <c r="D48" s="35" t="n">
        <v>21</v>
      </c>
      <c r="E48" s="65" t="n">
        <f aca="false">IFERROR(D48/D$72,0)</f>
        <v>0.00236193903947812</v>
      </c>
      <c r="F48" s="35" t="n">
        <f aca="false">①石川予測確定!P25</f>
        <v>5</v>
      </c>
      <c r="G48" s="65" t="n">
        <f aca="false">IFERROR(F48/F$72,0)</f>
        <v>0.0009706853038245</v>
      </c>
      <c r="H48" s="65" t="n">
        <f aca="false">E48*前提・入力!$B$31+G48*前提・入力!$B$32</f>
        <v>0.00166631217165131</v>
      </c>
      <c r="I48" s="35" t="n">
        <f aca="false">ROUND($H48*③仙台以降予測!$G$7,0)</f>
        <v>16</v>
      </c>
      <c r="J48" s="35" t="n">
        <f aca="false">ROUND($H48*③仙台以降予測!$G$8,0)</f>
        <v>15</v>
      </c>
      <c r="K48" s="35" t="n">
        <f aca="false">ROUND($H48*③仙台以降予測!$G$9,0)</f>
        <v>11</v>
      </c>
      <c r="L48" s="35" t="n">
        <f aca="false">ROUND($H48*③仙台以降予測!$G$10,0)</f>
        <v>61</v>
      </c>
      <c r="M48" s="35" t="n">
        <f aca="false">SUM(I48:L48)</f>
        <v>103</v>
      </c>
      <c r="N48" s="35" t="n">
        <v>2240</v>
      </c>
      <c r="O48" s="35" t="n">
        <v>50</v>
      </c>
      <c r="P48" s="35" t="n">
        <v>2190</v>
      </c>
      <c r="Q48" s="35" t="n">
        <f aca="false">IF(P48="",N48-O48,P48)</f>
        <v>2190</v>
      </c>
      <c r="R48" s="35" t="n">
        <v>29</v>
      </c>
      <c r="S48" s="35" t="n">
        <v>0</v>
      </c>
      <c r="T48" s="35" t="n">
        <f aca="false">①石川予測確定!S25</f>
        <v>129</v>
      </c>
      <c r="U48" s="35" t="n">
        <f aca="false">①石川予測確定!P25</f>
        <v>5</v>
      </c>
      <c r="V48" s="35" t="n">
        <f aca="false">Q48+R48-S48-U48</f>
        <v>2214</v>
      </c>
      <c r="W48" s="35" t="n">
        <v>0</v>
      </c>
      <c r="X48" s="38" t="n">
        <f aca="false">M48-V48-W48</f>
        <v>-2111</v>
      </c>
      <c r="Y48" s="35" t="n">
        <f aca="false">MAX(0,X48)</f>
        <v>0</v>
      </c>
      <c r="Z48" s="35" t="n">
        <f aca="false">IF(Y48&gt;0,ROUNDUP(Y48*(1+前提・入力!$B$34),0),0)</f>
        <v>0</v>
      </c>
    </row>
    <row r="49" customFormat="false" ht="15" hidden="false" customHeight="false" outlineLevel="0" collapsed="false">
      <c r="A49" s="32" t="n">
        <v>20</v>
      </c>
      <c r="B49" s="32" t="s">
        <v>324</v>
      </c>
      <c r="C49" s="33" t="s">
        <v>325</v>
      </c>
      <c r="D49" s="35" t="n">
        <v>18</v>
      </c>
      <c r="E49" s="65" t="n">
        <f aca="false">IFERROR(D49/D$72,0)</f>
        <v>0.00202451917669553</v>
      </c>
      <c r="F49" s="35" t="n">
        <f aca="false">①石川予測確定!P26</f>
        <v>7</v>
      </c>
      <c r="G49" s="65" t="n">
        <f aca="false">IFERROR(F49/F$72,0)</f>
        <v>0.0013589594253543</v>
      </c>
      <c r="H49" s="65" t="n">
        <f aca="false">E49*前提・入力!$B$31+G49*前提・入力!$B$32</f>
        <v>0.00169173930102492</v>
      </c>
      <c r="I49" s="35" t="n">
        <f aca="false">ROUND($H49*③仙台以降予測!$G$7,0)</f>
        <v>16</v>
      </c>
      <c r="J49" s="35" t="n">
        <f aca="false">ROUND($H49*③仙台以降予測!$G$8,0)</f>
        <v>15</v>
      </c>
      <c r="K49" s="35" t="n">
        <f aca="false">ROUND($H49*③仙台以降予測!$G$9,0)</f>
        <v>11</v>
      </c>
      <c r="L49" s="35" t="n">
        <f aca="false">ROUND($H49*③仙台以降予測!$G$10,0)</f>
        <v>62</v>
      </c>
      <c r="M49" s="35" t="n">
        <f aca="false">SUM(I49:L49)</f>
        <v>104</v>
      </c>
      <c r="N49" s="35" t="n">
        <v>302</v>
      </c>
      <c r="O49" s="35" t="n">
        <v>30</v>
      </c>
      <c r="P49" s="35" t="n">
        <v>271</v>
      </c>
      <c r="Q49" s="35" t="n">
        <f aca="false">IF(P49="",N49-O49,P49)</f>
        <v>271</v>
      </c>
      <c r="R49" s="35" t="n">
        <v>12</v>
      </c>
      <c r="S49" s="35" t="n">
        <v>0</v>
      </c>
      <c r="T49" s="35" t="n">
        <f aca="false">①石川予測確定!S26</f>
        <v>17</v>
      </c>
      <c r="U49" s="35" t="n">
        <f aca="false">①石川予測確定!P26</f>
        <v>7</v>
      </c>
      <c r="V49" s="35" t="n">
        <f aca="false">Q49+R49-S49-U49</f>
        <v>276</v>
      </c>
      <c r="W49" s="35" t="n">
        <v>0</v>
      </c>
      <c r="X49" s="38" t="n">
        <f aca="false">M49-V49-W49</f>
        <v>-172</v>
      </c>
      <c r="Y49" s="35" t="n">
        <f aca="false">MAX(0,X49)</f>
        <v>0</v>
      </c>
      <c r="Z49" s="35" t="n">
        <f aca="false">IF(Y49&gt;0,ROUNDUP(Y49*(1+前提・入力!$B$34),0),0)</f>
        <v>0</v>
      </c>
    </row>
    <row r="50" customFormat="false" ht="15" hidden="false" customHeight="false" outlineLevel="0" collapsed="false">
      <c r="A50" s="32" t="n">
        <v>21</v>
      </c>
      <c r="B50" s="32" t="s">
        <v>326</v>
      </c>
      <c r="C50" s="33" t="s">
        <v>327</v>
      </c>
      <c r="D50" s="35" t="n">
        <v>88</v>
      </c>
      <c r="E50" s="65" t="n">
        <f aca="false">IFERROR(D50/D$72,0)</f>
        <v>0.00989764930828928</v>
      </c>
      <c r="F50" s="35" t="n">
        <f aca="false">①石川予測確定!P27</f>
        <v>30</v>
      </c>
      <c r="G50" s="65" t="n">
        <f aca="false">IFERROR(F50/F$72,0)</f>
        <v>0.005824111822947</v>
      </c>
      <c r="H50" s="65" t="n">
        <f aca="false">E50*前提・入力!$B$31+G50*前提・入力!$B$32</f>
        <v>0.00786088056561814</v>
      </c>
      <c r="I50" s="35" t="n">
        <f aca="false">ROUND($H50*③仙台以降予測!$G$7,0)</f>
        <v>75</v>
      </c>
      <c r="J50" s="35" t="n">
        <f aca="false">ROUND($H50*③仙台以降予測!$G$8,0)</f>
        <v>69</v>
      </c>
      <c r="K50" s="35" t="n">
        <f aca="false">ROUND($H50*③仙台以降予測!$G$9,0)</f>
        <v>52</v>
      </c>
      <c r="L50" s="35" t="n">
        <f aca="false">ROUND($H50*③仙台以降予測!$G$10,0)</f>
        <v>288</v>
      </c>
      <c r="M50" s="35" t="n">
        <f aca="false">SUM(I50:L50)</f>
        <v>484</v>
      </c>
      <c r="N50" s="35" t="n">
        <v>308</v>
      </c>
      <c r="O50" s="35" t="n">
        <v>100</v>
      </c>
      <c r="P50" s="35" t="n">
        <v>208</v>
      </c>
      <c r="Q50" s="35" t="n">
        <f aca="false">IF(P50="",N50-O50,P50)</f>
        <v>208</v>
      </c>
      <c r="R50" s="35" t="n">
        <v>12</v>
      </c>
      <c r="S50" s="35" t="n">
        <v>0</v>
      </c>
      <c r="T50" s="35" t="n">
        <f aca="false">①石川予測確定!S27</f>
        <v>32</v>
      </c>
      <c r="U50" s="35" t="n">
        <f aca="false">①石川予測確定!P27</f>
        <v>30</v>
      </c>
      <c r="V50" s="35" t="n">
        <f aca="false">Q50+R50-S50-U50</f>
        <v>190</v>
      </c>
      <c r="W50" s="35" t="n">
        <v>0</v>
      </c>
      <c r="X50" s="38" t="n">
        <f aca="false">M50-V50-W50</f>
        <v>294</v>
      </c>
      <c r="Y50" s="35" t="n">
        <f aca="false">MAX(0,X50)</f>
        <v>294</v>
      </c>
      <c r="Z50" s="35" t="n">
        <f aca="false">IF(Y50&gt;0,ROUNDUP(Y50*(1+前提・入力!$B$34),0),0)</f>
        <v>324</v>
      </c>
    </row>
    <row r="51" customFormat="false" ht="15" hidden="false" customHeight="false" outlineLevel="0" collapsed="false">
      <c r="A51" s="32" t="n">
        <v>22</v>
      </c>
      <c r="B51" s="32" t="s">
        <v>328</v>
      </c>
      <c r="C51" s="33" t="s">
        <v>329</v>
      </c>
      <c r="D51" s="35" t="n">
        <v>50</v>
      </c>
      <c r="E51" s="65" t="n">
        <f aca="false">IFERROR(D51/D$72,0)</f>
        <v>0.00562366437970982</v>
      </c>
      <c r="F51" s="35" t="n">
        <f aca="false">①石川予測確定!P28</f>
        <v>27</v>
      </c>
      <c r="G51" s="65" t="n">
        <f aca="false">IFERROR(F51/F$72,0)</f>
        <v>0.0052417006406523</v>
      </c>
      <c r="H51" s="65" t="n">
        <f aca="false">E51*前提・入力!$B$31+G51*前提・入力!$B$32</f>
        <v>0.00543268251018106</v>
      </c>
      <c r="I51" s="35" t="n">
        <f aca="false">ROUND($H51*③仙台以降予測!$G$7,0)</f>
        <v>52</v>
      </c>
      <c r="J51" s="35" t="n">
        <f aca="false">ROUND($H51*③仙台以降予測!$G$8,0)</f>
        <v>48</v>
      </c>
      <c r="K51" s="35" t="n">
        <f aca="false">ROUND($H51*③仙台以降予測!$G$9,0)</f>
        <v>36</v>
      </c>
      <c r="L51" s="35" t="n">
        <f aca="false">ROUND($H51*③仙台以降予測!$G$10,0)</f>
        <v>199</v>
      </c>
      <c r="M51" s="35" t="n">
        <f aca="false">SUM(I51:L51)</f>
        <v>335</v>
      </c>
      <c r="N51" s="35" t="n">
        <v>1331</v>
      </c>
      <c r="O51" s="35" t="n">
        <v>50</v>
      </c>
      <c r="P51" s="35" t="n">
        <v>1281</v>
      </c>
      <c r="Q51" s="35" t="n">
        <f aca="false">IF(P51="",N51-O51,P51)</f>
        <v>1281</v>
      </c>
      <c r="R51" s="35" t="n">
        <v>0</v>
      </c>
      <c r="S51" s="35" t="n">
        <v>0</v>
      </c>
      <c r="T51" s="35" t="n">
        <f aca="false">①石川予測確定!S28</f>
        <v>150</v>
      </c>
      <c r="U51" s="35" t="n">
        <f aca="false">①石川予測確定!P28</f>
        <v>27</v>
      </c>
      <c r="V51" s="35" t="n">
        <f aca="false">Q51+R51-S51-U51</f>
        <v>1254</v>
      </c>
      <c r="W51" s="35" t="n">
        <v>0</v>
      </c>
      <c r="X51" s="38" t="n">
        <f aca="false">M51-V51-W51</f>
        <v>-919</v>
      </c>
      <c r="Y51" s="35" t="n">
        <f aca="false">MAX(0,X51)</f>
        <v>0</v>
      </c>
      <c r="Z51" s="35" t="n">
        <f aca="false">IF(Y51&gt;0,ROUNDUP(Y51*(1+前提・入力!$B$34),0),0)</f>
        <v>0</v>
      </c>
    </row>
    <row r="52" customFormat="false" ht="15" hidden="false" customHeight="false" outlineLevel="0" collapsed="false">
      <c r="A52" s="32" t="n">
        <v>23</v>
      </c>
      <c r="B52" s="32" t="s">
        <v>330</v>
      </c>
      <c r="C52" s="33" t="s">
        <v>331</v>
      </c>
      <c r="D52" s="35" t="n">
        <v>2175</v>
      </c>
      <c r="E52" s="65" t="n">
        <f aca="false">IFERROR(D52/D$72,0)</f>
        <v>0.244629400517377</v>
      </c>
      <c r="F52" s="35" t="n">
        <f aca="false">①石川予測確定!P29</f>
        <v>1292</v>
      </c>
      <c r="G52" s="65" t="n">
        <f aca="false">IFERROR(F52/F$72,0)</f>
        <v>0.250825082508251</v>
      </c>
      <c r="H52" s="65" t="n">
        <f aca="false">E52*前提・入力!$B$31+G52*前提・入力!$B$32</f>
        <v>0.247727241512814</v>
      </c>
      <c r="I52" s="35" t="n">
        <f aca="false">ROUND($H52*③仙台以降予測!$G$7,0)</f>
        <v>2362</v>
      </c>
      <c r="J52" s="35" t="n">
        <f aca="false">ROUND($H52*③仙台以降予測!$G$8,0)</f>
        <v>2180</v>
      </c>
      <c r="K52" s="35" t="n">
        <f aca="false">ROUND($H52*③仙台以降予測!$G$9,0)</f>
        <v>1635</v>
      </c>
      <c r="L52" s="35" t="n">
        <f aca="false">ROUND($H52*③仙台以降予測!$G$10,0)</f>
        <v>9086</v>
      </c>
      <c r="M52" s="35" t="n">
        <f aca="false">SUM(I52:L52)</f>
        <v>15263</v>
      </c>
      <c r="N52" s="35" t="n">
        <v>52199</v>
      </c>
      <c r="O52" s="35" t="n">
        <v>11000</v>
      </c>
      <c r="P52" s="35" t="n">
        <v>41196</v>
      </c>
      <c r="Q52" s="35" t="n">
        <f aca="false">IF(P52="",N52-O52,P52)</f>
        <v>41196</v>
      </c>
      <c r="R52" s="35" t="n">
        <v>8825</v>
      </c>
      <c r="S52" s="35" t="n">
        <v>0</v>
      </c>
      <c r="T52" s="35" t="n">
        <f aca="false">①石川予測確定!S29</f>
        <v>9325</v>
      </c>
      <c r="U52" s="35" t="n">
        <f aca="false">①石川予測確定!P29</f>
        <v>1292</v>
      </c>
      <c r="V52" s="35" t="n">
        <f aca="false">Q52+R52-S52-U52</f>
        <v>48729</v>
      </c>
      <c r="W52" s="35" t="n">
        <v>0</v>
      </c>
      <c r="X52" s="38" t="n">
        <f aca="false">M52-V52-W52</f>
        <v>-33466</v>
      </c>
      <c r="Y52" s="35" t="n">
        <f aca="false">MAX(0,X52)</f>
        <v>0</v>
      </c>
      <c r="Z52" s="35" t="n">
        <f aca="false">IF(Y52&gt;0,ROUNDUP(Y52*(1+前提・入力!$B$34),0),0)</f>
        <v>0</v>
      </c>
    </row>
    <row r="53" customFormat="false" ht="15" hidden="false" customHeight="false" outlineLevel="0" collapsed="false">
      <c r="A53" s="32" t="n">
        <v>24</v>
      </c>
      <c r="B53" s="32" t="s">
        <v>332</v>
      </c>
      <c r="C53" s="33" t="s">
        <v>333</v>
      </c>
      <c r="D53" s="35" t="n">
        <v>1216</v>
      </c>
      <c r="E53" s="65" t="n">
        <f aca="false">IFERROR(D53/D$72,0)</f>
        <v>0.136767517714543</v>
      </c>
      <c r="F53" s="35" t="n">
        <f aca="false">①石川予測確定!P30</f>
        <v>865</v>
      </c>
      <c r="G53" s="65" t="n">
        <f aca="false">IFERROR(F53/F$72,0)</f>
        <v>0.167928557561639</v>
      </c>
      <c r="H53" s="65" t="n">
        <f aca="false">E53*前提・入力!$B$31+G53*前提・入力!$B$32</f>
        <v>0.152348037638091</v>
      </c>
      <c r="I53" s="35" t="n">
        <f aca="false">ROUND($H53*③仙台以降予測!$G$7,0)</f>
        <v>1453</v>
      </c>
      <c r="J53" s="35" t="n">
        <f aca="false">ROUND($H53*③仙台以降予測!$G$8,0)</f>
        <v>1341</v>
      </c>
      <c r="K53" s="35" t="n">
        <f aca="false">ROUND($H53*③仙台以降予測!$G$9,0)</f>
        <v>1006</v>
      </c>
      <c r="L53" s="35" t="n">
        <f aca="false">ROUND($H53*③仙台以降予測!$G$10,0)</f>
        <v>5588</v>
      </c>
      <c r="M53" s="35" t="n">
        <f aca="false">SUM(I53:L53)</f>
        <v>9388</v>
      </c>
      <c r="N53" s="35" t="n">
        <v>32220</v>
      </c>
      <c r="O53" s="35" t="n">
        <v>8000</v>
      </c>
      <c r="P53" s="35" t="n">
        <v>24211</v>
      </c>
      <c r="Q53" s="35" t="n">
        <f aca="false">IF(P53="",N53-O53,P53)</f>
        <v>24211</v>
      </c>
      <c r="R53" s="35" t="n">
        <v>6784</v>
      </c>
      <c r="S53" s="35" t="n">
        <v>0</v>
      </c>
      <c r="T53" s="35" t="n">
        <f aca="false">①石川予測確定!S30</f>
        <v>7284</v>
      </c>
      <c r="U53" s="35" t="n">
        <f aca="false">①石川予測確定!P30</f>
        <v>865</v>
      </c>
      <c r="V53" s="35" t="n">
        <f aca="false">Q53+R53-S53-U53</f>
        <v>30130</v>
      </c>
      <c r="W53" s="35" t="n">
        <v>0</v>
      </c>
      <c r="X53" s="38" t="n">
        <f aca="false">M53-V53-W53</f>
        <v>-20742</v>
      </c>
      <c r="Y53" s="35" t="n">
        <f aca="false">MAX(0,X53)</f>
        <v>0</v>
      </c>
      <c r="Z53" s="35" t="n">
        <f aca="false">IF(Y53&gt;0,ROUNDUP(Y53*(1+前提・入力!$B$34),0),0)</f>
        <v>0</v>
      </c>
    </row>
    <row r="54" customFormat="false" ht="15" hidden="false" customHeight="false" outlineLevel="0" collapsed="false">
      <c r="A54" s="32" t="n">
        <v>25</v>
      </c>
      <c r="B54" s="32" t="s">
        <v>334</v>
      </c>
      <c r="C54" s="33" t="s">
        <v>335</v>
      </c>
      <c r="D54" s="35" t="n">
        <v>54</v>
      </c>
      <c r="E54" s="65" t="n">
        <f aca="false">IFERROR(D54/D$72,0)</f>
        <v>0.0060735575300866</v>
      </c>
      <c r="F54" s="35" t="n">
        <f aca="false">①石川予測確定!P31</f>
        <v>58</v>
      </c>
      <c r="G54" s="65" t="n">
        <f aca="false">IFERROR(F54/F$72,0)</f>
        <v>0.0112599495243642</v>
      </c>
      <c r="H54" s="65" t="n">
        <f aca="false">E54*前提・入力!$B$31+G54*前提・入力!$B$32</f>
        <v>0.0086667535272254</v>
      </c>
      <c r="I54" s="35" t="n">
        <f aca="false">ROUND($H54*③仙台以降予測!$G$7,0)</f>
        <v>83</v>
      </c>
      <c r="J54" s="35" t="n">
        <f aca="false">ROUND($H54*③仙台以降予測!$G$8,0)</f>
        <v>76</v>
      </c>
      <c r="K54" s="35" t="n">
        <f aca="false">ROUND($H54*③仙台以降予測!$G$9,0)</f>
        <v>57</v>
      </c>
      <c r="L54" s="35" t="n">
        <f aca="false">ROUND($H54*③仙台以降予測!$G$10,0)</f>
        <v>318</v>
      </c>
      <c r="M54" s="35" t="n">
        <f aca="false">SUM(I54:L54)</f>
        <v>534</v>
      </c>
      <c r="N54" s="35" t="n">
        <v>3505</v>
      </c>
      <c r="O54" s="35" t="n">
        <v>200</v>
      </c>
      <c r="P54" s="35" t="n">
        <v>3305</v>
      </c>
      <c r="Q54" s="35" t="n">
        <f aca="false">IF(P54="",N54-O54,P54)</f>
        <v>3305</v>
      </c>
      <c r="R54" s="35" t="n">
        <v>146</v>
      </c>
      <c r="S54" s="35" t="n">
        <v>0</v>
      </c>
      <c r="T54" s="35" t="n">
        <f aca="false">①石川予測確定!S31</f>
        <v>176</v>
      </c>
      <c r="U54" s="35" t="n">
        <f aca="false">①石川予測確定!P31</f>
        <v>58</v>
      </c>
      <c r="V54" s="35" t="n">
        <f aca="false">Q54+R54-S54-U54</f>
        <v>3393</v>
      </c>
      <c r="W54" s="35" t="n">
        <v>0</v>
      </c>
      <c r="X54" s="38" t="n">
        <f aca="false">M54-V54-W54</f>
        <v>-2859</v>
      </c>
      <c r="Y54" s="35" t="n">
        <f aca="false">MAX(0,X54)</f>
        <v>0</v>
      </c>
      <c r="Z54" s="35" t="n">
        <f aca="false">IF(Y54&gt;0,ROUNDUP(Y54*(1+前提・入力!$B$34),0),0)</f>
        <v>0</v>
      </c>
    </row>
    <row r="55" customFormat="false" ht="15" hidden="false" customHeight="false" outlineLevel="0" collapsed="false">
      <c r="A55" s="32" t="n">
        <v>26</v>
      </c>
      <c r="B55" s="32" t="s">
        <v>336</v>
      </c>
      <c r="C55" s="33" t="s">
        <v>337</v>
      </c>
      <c r="D55" s="35" t="n">
        <v>200</v>
      </c>
      <c r="E55" s="65" t="n">
        <f aca="false">IFERROR(D55/D$72,0)</f>
        <v>0.0224946575188393</v>
      </c>
      <c r="F55" s="35" t="n">
        <f aca="false">①石川予測確定!P32</f>
        <v>70</v>
      </c>
      <c r="G55" s="65" t="n">
        <f aca="false">IFERROR(F55/F$72,0)</f>
        <v>0.013589594253543</v>
      </c>
      <c r="H55" s="65" t="n">
        <f aca="false">E55*前提・入力!$B$31+G55*前提・入力!$B$32</f>
        <v>0.0180421258861911</v>
      </c>
      <c r="I55" s="35" t="n">
        <f aca="false">ROUND($H55*③仙台以降予測!$G$7,0)</f>
        <v>172</v>
      </c>
      <c r="J55" s="35" t="n">
        <f aca="false">ROUND($H55*③仙台以降予測!$G$8,0)</f>
        <v>159</v>
      </c>
      <c r="K55" s="35" t="n">
        <f aca="false">ROUND($H55*③仙台以降予測!$G$9,0)</f>
        <v>119</v>
      </c>
      <c r="L55" s="35" t="n">
        <f aca="false">ROUND($H55*③仙台以降予測!$G$10,0)</f>
        <v>662</v>
      </c>
      <c r="M55" s="35" t="n">
        <f aca="false">SUM(I55:L55)</f>
        <v>1112</v>
      </c>
      <c r="N55" s="35" t="n">
        <v>500</v>
      </c>
      <c r="O55" s="35" t="n">
        <v>200</v>
      </c>
      <c r="P55" s="35" t="n">
        <v>299</v>
      </c>
      <c r="Q55" s="35" t="n">
        <f aca="false">IF(P55="",N55-O55,P55)</f>
        <v>299</v>
      </c>
      <c r="R55" s="35" t="n">
        <v>0</v>
      </c>
      <c r="S55" s="35" t="n">
        <v>0</v>
      </c>
      <c r="T55" s="35" t="n">
        <f aca="false">①石川予測確定!S32</f>
        <v>50</v>
      </c>
      <c r="U55" s="35" t="n">
        <f aca="false">①石川予測確定!P32</f>
        <v>70</v>
      </c>
      <c r="V55" s="35" t="n">
        <f aca="false">Q55+R55-S55-U55</f>
        <v>229</v>
      </c>
      <c r="W55" s="35" t="n">
        <v>0</v>
      </c>
      <c r="X55" s="38" t="n">
        <f aca="false">M55-V55-W55</f>
        <v>883</v>
      </c>
      <c r="Y55" s="35" t="n">
        <f aca="false">MAX(0,X55)</f>
        <v>883</v>
      </c>
      <c r="Z55" s="35" t="n">
        <f aca="false">IF(Y55&gt;0,ROUNDUP(Y55*(1+前提・入力!$B$34),0),0)</f>
        <v>972</v>
      </c>
    </row>
    <row r="56" customFormat="false" ht="15" hidden="false" customHeight="false" outlineLevel="0" collapsed="false">
      <c r="A56" s="32" t="n">
        <v>27</v>
      </c>
      <c r="B56" s="32" t="s">
        <v>338</v>
      </c>
      <c r="C56" s="33" t="s">
        <v>339</v>
      </c>
      <c r="D56" s="35" t="n">
        <v>50</v>
      </c>
      <c r="E56" s="65" t="n">
        <f aca="false">IFERROR(D56/D$72,0)</f>
        <v>0.00562366437970982</v>
      </c>
      <c r="F56" s="35" t="n">
        <f aca="false">①石川予測確定!P33</f>
        <v>18</v>
      </c>
      <c r="G56" s="65" t="n">
        <f aca="false">IFERROR(F56/F$72,0)</f>
        <v>0.0034944670937682</v>
      </c>
      <c r="H56" s="65" t="n">
        <f aca="false">E56*前提・入力!$B$31+G56*前提・入力!$B$32</f>
        <v>0.00455906573673901</v>
      </c>
      <c r="I56" s="35" t="n">
        <f aca="false">ROUND($H56*③仙台以降予測!$G$7,0)</f>
        <v>43</v>
      </c>
      <c r="J56" s="35" t="n">
        <f aca="false">ROUND($H56*③仙台以降予測!$G$8,0)</f>
        <v>40</v>
      </c>
      <c r="K56" s="35" t="n">
        <f aca="false">ROUND($H56*③仙台以降予測!$G$9,0)</f>
        <v>30</v>
      </c>
      <c r="L56" s="35" t="n">
        <f aca="false">ROUND($H56*③仙台以降予測!$G$10,0)</f>
        <v>167</v>
      </c>
      <c r="M56" s="35" t="n">
        <f aca="false">SUM(I56:L56)</f>
        <v>280</v>
      </c>
      <c r="N56" s="35" t="n">
        <v>1199</v>
      </c>
      <c r="O56" s="35" t="n">
        <v>70</v>
      </c>
      <c r="P56" s="35" t="n">
        <v>1129</v>
      </c>
      <c r="Q56" s="35" t="n">
        <f aca="false">IF(P56="",N56-O56,P56)</f>
        <v>1129</v>
      </c>
      <c r="R56" s="35" t="n">
        <v>20</v>
      </c>
      <c r="S56" s="35" t="n">
        <v>0</v>
      </c>
      <c r="T56" s="35" t="n">
        <f aca="false">①石川予測確定!S33</f>
        <v>70</v>
      </c>
      <c r="U56" s="35" t="n">
        <f aca="false">①石川予測確定!P33</f>
        <v>18</v>
      </c>
      <c r="V56" s="35" t="n">
        <f aca="false">Q56+R56-S56-U56</f>
        <v>1131</v>
      </c>
      <c r="W56" s="35" t="n">
        <v>0</v>
      </c>
      <c r="X56" s="38" t="n">
        <f aca="false">M56-V56-W56</f>
        <v>-851</v>
      </c>
      <c r="Y56" s="35" t="n">
        <f aca="false">MAX(0,X56)</f>
        <v>0</v>
      </c>
      <c r="Z56" s="35" t="n">
        <f aca="false">IF(Y56&gt;0,ROUNDUP(Y56*(1+前提・入力!$B$34),0),0)</f>
        <v>0</v>
      </c>
    </row>
    <row r="57" customFormat="false" ht="15" hidden="false" customHeight="false" outlineLevel="0" collapsed="false">
      <c r="A57" s="32" t="n">
        <v>28</v>
      </c>
      <c r="B57" s="32" t="s">
        <v>340</v>
      </c>
      <c r="C57" s="33" t="s">
        <v>341</v>
      </c>
      <c r="D57" s="35" t="n">
        <v>300</v>
      </c>
      <c r="E57" s="65" t="n">
        <f aca="false">IFERROR(D57/D$72,0)</f>
        <v>0.0337419862782589</v>
      </c>
      <c r="F57" s="35" t="n">
        <f aca="false">①石川予測確定!P34</f>
        <v>92</v>
      </c>
      <c r="G57" s="65" t="n">
        <f aca="false">IFERROR(F57/F$72,0)</f>
        <v>0.0178606095903708</v>
      </c>
      <c r="H57" s="65" t="n">
        <f aca="false">E57*前提・入力!$B$31+G57*前提・入力!$B$32</f>
        <v>0.0258012979343149</v>
      </c>
      <c r="I57" s="35" t="n">
        <f aca="false">ROUND($H57*③仙台以降予測!$G$7,0)</f>
        <v>246</v>
      </c>
      <c r="J57" s="35" t="n">
        <f aca="false">ROUND($H57*③仙台以降予測!$G$8,0)</f>
        <v>227</v>
      </c>
      <c r="K57" s="35" t="n">
        <f aca="false">ROUND($H57*③仙台以降予測!$G$9,0)</f>
        <v>170</v>
      </c>
      <c r="L57" s="35" t="n">
        <f aca="false">ROUND($H57*③仙台以降予測!$G$10,0)</f>
        <v>946</v>
      </c>
      <c r="M57" s="35" t="n">
        <f aca="false">SUM(I57:L57)</f>
        <v>1589</v>
      </c>
      <c r="N57" s="35" t="n">
        <v>460</v>
      </c>
      <c r="O57" s="35" t="n">
        <v>300</v>
      </c>
      <c r="P57" s="35"/>
      <c r="Q57" s="35" t="n">
        <f aca="false">IF(P57="",N57-O57,P57)</f>
        <v>160</v>
      </c>
      <c r="R57" s="35" t="n">
        <v>0</v>
      </c>
      <c r="S57" s="35" t="n">
        <v>0</v>
      </c>
      <c r="T57" s="35" t="n">
        <f aca="false">①石川予測確定!S34</f>
        <v>80</v>
      </c>
      <c r="U57" s="35" t="n">
        <f aca="false">①石川予測確定!P34</f>
        <v>92</v>
      </c>
      <c r="V57" s="35" t="n">
        <f aca="false">Q57+R57-S57-U57</f>
        <v>68</v>
      </c>
      <c r="W57" s="35" t="n">
        <v>1200</v>
      </c>
      <c r="X57" s="38" t="n">
        <f aca="false">M57-V57-W57</f>
        <v>321</v>
      </c>
      <c r="Y57" s="35" t="n">
        <f aca="false">MAX(0,X57)</f>
        <v>321</v>
      </c>
      <c r="Z57" s="35" t="n">
        <f aca="false">IF(Y57&gt;0,ROUNDUP(Y57*(1+前提・入力!$B$34),0),0)</f>
        <v>354</v>
      </c>
    </row>
    <row r="58" customFormat="false" ht="15" hidden="false" customHeight="false" outlineLevel="0" collapsed="false">
      <c r="A58" s="32" t="n">
        <v>29</v>
      </c>
      <c r="B58" s="32" t="s">
        <v>342</v>
      </c>
      <c r="C58" s="33" t="s">
        <v>343</v>
      </c>
      <c r="D58" s="35" t="n">
        <v>160</v>
      </c>
      <c r="E58" s="65" t="n">
        <f aca="false">IFERROR(D58/D$72,0)</f>
        <v>0.0179957260150714</v>
      </c>
      <c r="F58" s="35" t="n">
        <f aca="false">①石川予測確定!P35</f>
        <v>83</v>
      </c>
      <c r="G58" s="65" t="n">
        <f aca="false">IFERROR(F58/F$72,0)</f>
        <v>0.0161133760434867</v>
      </c>
      <c r="H58" s="65" t="n">
        <f aca="false">E58*前提・入力!$B$31+G58*前提・入力!$B$32</f>
        <v>0.0170545510292791</v>
      </c>
      <c r="I58" s="35" t="n">
        <f aca="false">ROUND($H58*③仙台以降予測!$G$7,0)</f>
        <v>163</v>
      </c>
      <c r="J58" s="35" t="n">
        <f aca="false">ROUND($H58*③仙台以降予測!$G$8,0)</f>
        <v>150</v>
      </c>
      <c r="K58" s="35" t="n">
        <f aca="false">ROUND($H58*③仙台以降予測!$G$9,0)</f>
        <v>113</v>
      </c>
      <c r="L58" s="35" t="n">
        <f aca="false">ROUND($H58*③仙台以降予測!$G$10,0)</f>
        <v>626</v>
      </c>
      <c r="M58" s="35" t="n">
        <f aca="false">SUM(I58:L58)</f>
        <v>1052</v>
      </c>
      <c r="N58" s="35" t="n">
        <v>421</v>
      </c>
      <c r="O58" s="35" t="n">
        <v>160</v>
      </c>
      <c r="P58" s="35" t="n">
        <v>260</v>
      </c>
      <c r="Q58" s="35" t="n">
        <f aca="false">IF(P58="",N58-O58,P58)</f>
        <v>260</v>
      </c>
      <c r="R58" s="35" t="n">
        <v>0</v>
      </c>
      <c r="S58" s="35" t="n">
        <v>0</v>
      </c>
      <c r="T58" s="35" t="n">
        <f aca="false">①石川予測確定!S35</f>
        <v>120</v>
      </c>
      <c r="U58" s="35" t="n">
        <f aca="false">①石川予測確定!P35</f>
        <v>83</v>
      </c>
      <c r="V58" s="35" t="n">
        <f aca="false">Q58+R58-S58-U58</f>
        <v>177</v>
      </c>
      <c r="W58" s="35" t="n">
        <v>0</v>
      </c>
      <c r="X58" s="38" t="n">
        <f aca="false">M58-V58-W58</f>
        <v>875</v>
      </c>
      <c r="Y58" s="35" t="n">
        <f aca="false">MAX(0,X58)</f>
        <v>875</v>
      </c>
      <c r="Z58" s="35" t="n">
        <f aca="false">IF(Y58&gt;0,ROUNDUP(Y58*(1+前提・入力!$B$34),0),0)</f>
        <v>963</v>
      </c>
    </row>
    <row r="59" customFormat="false" ht="15" hidden="false" customHeight="false" outlineLevel="0" collapsed="false">
      <c r="A59" s="32" t="n">
        <v>30</v>
      </c>
      <c r="B59" s="32" t="s">
        <v>344</v>
      </c>
      <c r="C59" s="33" t="s">
        <v>345</v>
      </c>
      <c r="D59" s="35" t="n">
        <v>72</v>
      </c>
      <c r="E59" s="65" t="n">
        <f aca="false">IFERROR(D59/D$72,0)</f>
        <v>0.00809807670678214</v>
      </c>
      <c r="F59" s="35" t="n">
        <f aca="false">①石川予測確定!P36</f>
        <v>45</v>
      </c>
      <c r="G59" s="65" t="n">
        <f aca="false">IFERROR(F59/F$72,0)</f>
        <v>0.0087361677344205</v>
      </c>
      <c r="H59" s="65" t="n">
        <f aca="false">E59*前提・入力!$B$31+G59*前提・入力!$B$32</f>
        <v>0.00841712222060132</v>
      </c>
      <c r="I59" s="35" t="n">
        <f aca="false">ROUND($H59*③仙台以降予測!$G$7,0)</f>
        <v>80</v>
      </c>
      <c r="J59" s="35" t="n">
        <f aca="false">ROUND($H59*③仙台以降予測!$G$8,0)</f>
        <v>74</v>
      </c>
      <c r="K59" s="35" t="n">
        <f aca="false">ROUND($H59*③仙台以降予測!$G$9,0)</f>
        <v>56</v>
      </c>
      <c r="L59" s="35" t="n">
        <f aca="false">ROUND($H59*③仙台以降予測!$G$10,0)</f>
        <v>309</v>
      </c>
      <c r="M59" s="35" t="n">
        <f aca="false">SUM(I59:L59)</f>
        <v>519</v>
      </c>
      <c r="N59" s="35" t="n">
        <v>900</v>
      </c>
      <c r="O59" s="35" t="n">
        <v>250</v>
      </c>
      <c r="P59" s="35" t="n">
        <v>648</v>
      </c>
      <c r="Q59" s="35" t="n">
        <f aca="false">IF(P59="",N59-O59,P59)</f>
        <v>648</v>
      </c>
      <c r="R59" s="35" t="n">
        <v>178</v>
      </c>
      <c r="S59" s="35" t="n">
        <v>0</v>
      </c>
      <c r="T59" s="35" t="n">
        <f aca="false">①石川予測確定!S36</f>
        <v>278</v>
      </c>
      <c r="U59" s="35" t="n">
        <f aca="false">①石川予測確定!P36</f>
        <v>45</v>
      </c>
      <c r="V59" s="35" t="n">
        <f aca="false">Q59+R59-S59-U59</f>
        <v>781</v>
      </c>
      <c r="W59" s="35" t="n">
        <v>0</v>
      </c>
      <c r="X59" s="38" t="n">
        <f aca="false">M59-V59-W59</f>
        <v>-262</v>
      </c>
      <c r="Y59" s="35" t="n">
        <f aca="false">MAX(0,X59)</f>
        <v>0</v>
      </c>
      <c r="Z59" s="35" t="n">
        <f aca="false">IF(Y59&gt;0,ROUNDUP(Y59*(1+前提・入力!$B$34),0),0)</f>
        <v>0</v>
      </c>
    </row>
    <row r="60" customFormat="false" ht="15" hidden="false" customHeight="false" outlineLevel="0" collapsed="false">
      <c r="A60" s="32" t="n">
        <v>31</v>
      </c>
      <c r="B60" s="32" t="s">
        <v>346</v>
      </c>
      <c r="C60" s="33" t="s">
        <v>347</v>
      </c>
      <c r="D60" s="35" t="n">
        <v>101</v>
      </c>
      <c r="E60" s="65" t="n">
        <f aca="false">IFERROR(D60/D$72,0)</f>
        <v>0.0113598020470138</v>
      </c>
      <c r="F60" s="35" t="n">
        <f aca="false">①石川予測確定!P37</f>
        <v>61</v>
      </c>
      <c r="G60" s="65" t="n">
        <f aca="false">IFERROR(F60/F$72,0)</f>
        <v>0.0118423607066589</v>
      </c>
      <c r="H60" s="65" t="n">
        <f aca="false">E60*前提・入力!$B$31+G60*前提・入力!$B$32</f>
        <v>0.0116010813768364</v>
      </c>
      <c r="I60" s="35" t="n">
        <f aca="false">ROUND($H60*③仙台以降予測!$G$7,0)</f>
        <v>111</v>
      </c>
      <c r="J60" s="35" t="n">
        <f aca="false">ROUND($H60*③仙台以降予測!$G$8,0)</f>
        <v>102</v>
      </c>
      <c r="K60" s="35" t="n">
        <f aca="false">ROUND($H60*③仙台以降予測!$G$9,0)</f>
        <v>77</v>
      </c>
      <c r="L60" s="35" t="n">
        <f aca="false">ROUND($H60*③仙台以降予測!$G$10,0)</f>
        <v>425</v>
      </c>
      <c r="M60" s="35" t="n">
        <f aca="false">SUM(I60:L60)</f>
        <v>715</v>
      </c>
      <c r="N60" s="35" t="n">
        <v>927</v>
      </c>
      <c r="O60" s="35" t="n">
        <v>200</v>
      </c>
      <c r="P60" s="35" t="n">
        <v>727</v>
      </c>
      <c r="Q60" s="35" t="n">
        <f aca="false">IF(P60="",N60-O60,P60)</f>
        <v>727</v>
      </c>
      <c r="R60" s="35" t="n">
        <v>99</v>
      </c>
      <c r="S60" s="35" t="n">
        <v>0</v>
      </c>
      <c r="T60" s="35" t="n">
        <f aca="false">①石川予測確定!S37</f>
        <v>249</v>
      </c>
      <c r="U60" s="35" t="n">
        <f aca="false">①石川予測確定!P37</f>
        <v>61</v>
      </c>
      <c r="V60" s="35" t="n">
        <f aca="false">Q60+R60-S60-U60</f>
        <v>765</v>
      </c>
      <c r="W60" s="35" t="n">
        <v>0</v>
      </c>
      <c r="X60" s="38" t="n">
        <f aca="false">M60-V60-W60</f>
        <v>-50</v>
      </c>
      <c r="Y60" s="35" t="n">
        <f aca="false">MAX(0,X60)</f>
        <v>0</v>
      </c>
      <c r="Z60" s="35" t="n">
        <f aca="false">IF(Y60&gt;0,ROUNDUP(Y60*(1+前提・入力!$B$34),0),0)</f>
        <v>0</v>
      </c>
    </row>
    <row r="61" customFormat="false" ht="15" hidden="false" customHeight="false" outlineLevel="0" collapsed="false">
      <c r="A61" s="32" t="n">
        <v>32</v>
      </c>
      <c r="B61" s="32" t="s">
        <v>348</v>
      </c>
      <c r="C61" s="33" t="s">
        <v>349</v>
      </c>
      <c r="D61" s="35" t="n">
        <v>10</v>
      </c>
      <c r="E61" s="65" t="n">
        <f aca="false">IFERROR(D61/D$72,0)</f>
        <v>0.00112473287594196</v>
      </c>
      <c r="F61" s="35" t="n">
        <f aca="false">①石川予測確定!P38</f>
        <v>5</v>
      </c>
      <c r="G61" s="65" t="n">
        <f aca="false">IFERROR(F61/F$72,0)</f>
        <v>0.0009706853038245</v>
      </c>
      <c r="H61" s="65" t="n">
        <f aca="false">E61*前提・入力!$B$31+G61*前提・入力!$B$32</f>
        <v>0.00104770908988323</v>
      </c>
      <c r="I61" s="35" t="n">
        <f aca="false">ROUND($H61*③仙台以降予測!$G$7,0)</f>
        <v>10</v>
      </c>
      <c r="J61" s="35" t="n">
        <f aca="false">ROUND($H61*③仙台以降予測!$G$8,0)</f>
        <v>9</v>
      </c>
      <c r="K61" s="35" t="n">
        <f aca="false">ROUND($H61*③仙台以降予測!$G$9,0)</f>
        <v>7</v>
      </c>
      <c r="L61" s="35" t="n">
        <f aca="false">ROUND($H61*③仙台以降予測!$G$10,0)</f>
        <v>38</v>
      </c>
      <c r="M61" s="35" t="n">
        <f aca="false">SUM(I61:L61)</f>
        <v>64</v>
      </c>
      <c r="N61" s="35" t="n">
        <v>33</v>
      </c>
      <c r="O61" s="35" t="n">
        <v>10</v>
      </c>
      <c r="P61" s="35" t="n">
        <v>20</v>
      </c>
      <c r="Q61" s="35" t="n">
        <f aca="false">IF(P61="",N61-O61,P61)</f>
        <v>20</v>
      </c>
      <c r="R61" s="35" t="n">
        <v>0</v>
      </c>
      <c r="S61" s="35" t="n">
        <v>0</v>
      </c>
      <c r="T61" s="35" t="n">
        <f aca="false">①石川予測確定!S38</f>
        <v>5</v>
      </c>
      <c r="U61" s="35" t="n">
        <f aca="false">①石川予測確定!P38</f>
        <v>5</v>
      </c>
      <c r="V61" s="35" t="n">
        <f aca="false">Q61+R61-S61-U61</f>
        <v>15</v>
      </c>
      <c r="W61" s="35" t="n">
        <v>0</v>
      </c>
      <c r="X61" s="38" t="n">
        <f aca="false">M61-V61-W61</f>
        <v>49</v>
      </c>
      <c r="Y61" s="35" t="n">
        <f aca="false">MAX(0,X61)</f>
        <v>49</v>
      </c>
      <c r="Z61" s="35" t="n">
        <f aca="false">IF(Y61&gt;0,ROUNDUP(Y61*(1+前提・入力!$B$34),0),0)</f>
        <v>54</v>
      </c>
    </row>
    <row r="62" customFormat="false" ht="15" hidden="false" customHeight="false" outlineLevel="0" collapsed="false">
      <c r="A62" s="32" t="n">
        <v>33</v>
      </c>
      <c r="B62" s="32" t="s">
        <v>350</v>
      </c>
      <c r="C62" s="33" t="s">
        <v>351</v>
      </c>
      <c r="D62" s="35" t="n">
        <v>3</v>
      </c>
      <c r="E62" s="65" t="n">
        <f aca="false">IFERROR(D62/D$72,0)</f>
        <v>0.000337419862782589</v>
      </c>
      <c r="F62" s="35" t="n">
        <f aca="false">①石川予測確定!P39</f>
        <v>5</v>
      </c>
      <c r="G62" s="65" t="n">
        <f aca="false">IFERROR(F62/F$72,0)</f>
        <v>0.0009706853038245</v>
      </c>
      <c r="H62" s="65" t="n">
        <f aca="false">E62*前提・入力!$B$31+G62*前提・入力!$B$32</f>
        <v>0.000654052583303545</v>
      </c>
      <c r="I62" s="35" t="n">
        <f aca="false">ROUND($H62*③仙台以降予測!$G$7,0)</f>
        <v>6</v>
      </c>
      <c r="J62" s="35" t="n">
        <f aca="false">ROUND($H62*③仙台以降予測!$G$8,0)</f>
        <v>6</v>
      </c>
      <c r="K62" s="35" t="n">
        <f aca="false">ROUND($H62*③仙台以降予測!$G$9,0)</f>
        <v>4</v>
      </c>
      <c r="L62" s="35" t="n">
        <f aca="false">ROUND($H62*③仙台以降予測!$G$10,0)</f>
        <v>24</v>
      </c>
      <c r="M62" s="35" t="n">
        <f aca="false">SUM(I62:L62)</f>
        <v>40</v>
      </c>
      <c r="N62" s="35" t="n">
        <v>106</v>
      </c>
      <c r="O62" s="35" t="n">
        <v>15</v>
      </c>
      <c r="P62" s="35" t="n">
        <v>91</v>
      </c>
      <c r="Q62" s="35" t="n">
        <f aca="false">IF(P62="",N62-O62,P62)</f>
        <v>91</v>
      </c>
      <c r="R62" s="35" t="n">
        <v>12</v>
      </c>
      <c r="S62" s="35" t="n">
        <v>0</v>
      </c>
      <c r="T62" s="35" t="n">
        <f aca="false">①石川予測確定!S39</f>
        <v>21</v>
      </c>
      <c r="U62" s="35" t="n">
        <f aca="false">①石川予測確定!P39</f>
        <v>5</v>
      </c>
      <c r="V62" s="35" t="n">
        <f aca="false">Q62+R62-S62-U62</f>
        <v>98</v>
      </c>
      <c r="W62" s="35" t="n">
        <v>0</v>
      </c>
      <c r="X62" s="38" t="n">
        <f aca="false">M62-V62-W62</f>
        <v>-58</v>
      </c>
      <c r="Y62" s="35" t="n">
        <f aca="false">MAX(0,X62)</f>
        <v>0</v>
      </c>
      <c r="Z62" s="35" t="n">
        <f aca="false">IF(Y62&gt;0,ROUNDUP(Y62*(1+前提・入力!$B$34),0),0)</f>
        <v>0</v>
      </c>
    </row>
    <row r="63" customFormat="false" ht="15" hidden="false" customHeight="false" outlineLevel="0" collapsed="false">
      <c r="A63" s="32" t="n">
        <v>34</v>
      </c>
      <c r="B63" s="32" t="s">
        <v>352</v>
      </c>
      <c r="C63" s="33" t="s">
        <v>353</v>
      </c>
      <c r="D63" s="35" t="n">
        <v>2</v>
      </c>
      <c r="E63" s="65" t="n">
        <f aca="false">IFERROR(D63/D$72,0)</f>
        <v>0.000224946575188393</v>
      </c>
      <c r="F63" s="35" t="n">
        <f aca="false">①石川予測確定!P40</f>
        <v>1</v>
      </c>
      <c r="G63" s="65" t="n">
        <f aca="false">IFERROR(F63/F$72,0)</f>
        <v>0.0001941370607649</v>
      </c>
      <c r="H63" s="65" t="n">
        <f aca="false">E63*前提・入力!$B$31+G63*前提・入力!$B$32</f>
        <v>0.000209541817976646</v>
      </c>
      <c r="I63" s="35" t="n">
        <f aca="false">ROUND($H63*③仙台以降予測!$G$7,0)</f>
        <v>2</v>
      </c>
      <c r="J63" s="35" t="n">
        <f aca="false">ROUND($H63*③仙台以降予測!$G$8,0)</f>
        <v>2</v>
      </c>
      <c r="K63" s="35" t="n">
        <f aca="false">ROUND($H63*③仙台以降予測!$G$9,0)</f>
        <v>1</v>
      </c>
      <c r="L63" s="35" t="n">
        <f aca="false">ROUND($H63*③仙台以降予測!$G$10,0)</f>
        <v>8</v>
      </c>
      <c r="M63" s="35" t="n">
        <f aca="false">SUM(I63:L63)</f>
        <v>13</v>
      </c>
      <c r="N63" s="35" t="n">
        <v>4</v>
      </c>
      <c r="O63" s="35" t="n">
        <v>2</v>
      </c>
      <c r="P63" s="35" t="n">
        <v>2</v>
      </c>
      <c r="Q63" s="35" t="n">
        <f aca="false">IF(P63="",N63-O63,P63)</f>
        <v>2</v>
      </c>
      <c r="R63" s="35" t="n">
        <v>0</v>
      </c>
      <c r="S63" s="35" t="n">
        <v>0</v>
      </c>
      <c r="T63" s="35" t="n">
        <f aca="false">①石川予測確定!S40</f>
        <v>1</v>
      </c>
      <c r="U63" s="35" t="n">
        <f aca="false">①石川予測確定!P40</f>
        <v>1</v>
      </c>
      <c r="V63" s="35" t="n">
        <f aca="false">Q63+R63-S63-U63</f>
        <v>1</v>
      </c>
      <c r="W63" s="35" t="n">
        <v>0</v>
      </c>
      <c r="X63" s="38" t="n">
        <f aca="false">M63-V63-W63</f>
        <v>12</v>
      </c>
      <c r="Y63" s="35" t="n">
        <f aca="false">MAX(0,X63)</f>
        <v>12</v>
      </c>
      <c r="Z63" s="35" t="n">
        <f aca="false">IF(Y63&gt;0,ROUNDUP(Y63*(1+前提・入力!$B$34),0),0)</f>
        <v>14</v>
      </c>
    </row>
    <row r="64" customFormat="false" ht="15" hidden="false" customHeight="false" outlineLevel="0" collapsed="false">
      <c r="A64" s="32" t="n">
        <v>35</v>
      </c>
      <c r="B64" s="32" t="s">
        <v>354</v>
      </c>
      <c r="C64" s="33" t="s">
        <v>355</v>
      </c>
      <c r="D64" s="35" t="n">
        <v>1</v>
      </c>
      <c r="E64" s="65" t="n">
        <f aca="false">IFERROR(D64/D$72,0)</f>
        <v>0.000112473287594196</v>
      </c>
      <c r="F64" s="35" t="n">
        <f aca="false">①石川予測確定!P41</f>
        <v>1</v>
      </c>
      <c r="G64" s="65" t="n">
        <f aca="false">IFERROR(F64/F$72,0)</f>
        <v>0.0001941370607649</v>
      </c>
      <c r="H64" s="65" t="n">
        <f aca="false">E64*前提・入力!$B$31+G64*前提・入力!$B$32</f>
        <v>0.000153305174179548</v>
      </c>
      <c r="I64" s="35" t="n">
        <f aca="false">ROUND($H64*③仙台以降予測!$G$7,0)</f>
        <v>1</v>
      </c>
      <c r="J64" s="35" t="n">
        <f aca="false">ROUND($H64*③仙台以降予測!$G$8,0)</f>
        <v>1</v>
      </c>
      <c r="K64" s="35" t="n">
        <f aca="false">ROUND($H64*③仙台以降予測!$G$9,0)</f>
        <v>1</v>
      </c>
      <c r="L64" s="35" t="n">
        <f aca="false">ROUND($H64*③仙台以降予測!$G$10,0)</f>
        <v>6</v>
      </c>
      <c r="M64" s="35" t="n">
        <f aca="false">SUM(I64:L64)</f>
        <v>9</v>
      </c>
      <c r="N64" s="35" t="n">
        <v>4</v>
      </c>
      <c r="O64" s="35" t="n">
        <v>2</v>
      </c>
      <c r="P64" s="35" t="n">
        <v>2</v>
      </c>
      <c r="Q64" s="35" t="n">
        <f aca="false">IF(P64="",N64-O64,P64)</f>
        <v>2</v>
      </c>
      <c r="R64" s="35" t="n">
        <v>1</v>
      </c>
      <c r="S64" s="35" t="n">
        <v>0</v>
      </c>
      <c r="T64" s="35" t="n">
        <f aca="false">①石川予測確定!S41</f>
        <v>1</v>
      </c>
      <c r="U64" s="35" t="n">
        <f aca="false">①石川予測確定!P41</f>
        <v>1</v>
      </c>
      <c r="V64" s="35" t="n">
        <f aca="false">Q64+R64-S64-U64</f>
        <v>2</v>
      </c>
      <c r="W64" s="35" t="n">
        <v>0</v>
      </c>
      <c r="X64" s="38" t="n">
        <f aca="false">M64-V64-W64</f>
        <v>7</v>
      </c>
      <c r="Y64" s="35" t="n">
        <f aca="false">MAX(0,X64)</f>
        <v>7</v>
      </c>
      <c r="Z64" s="35" t="n">
        <f aca="false">IF(Y64&gt;0,ROUNDUP(Y64*(1+前提・入力!$B$34),0),0)</f>
        <v>8</v>
      </c>
    </row>
    <row r="65" customFormat="false" ht="15" hidden="false" customHeight="false" outlineLevel="0" collapsed="false">
      <c r="A65" s="32" t="n">
        <v>36</v>
      </c>
      <c r="B65" s="32" t="s">
        <v>356</v>
      </c>
      <c r="C65" s="33" t="s">
        <v>357</v>
      </c>
      <c r="D65" s="35" t="n">
        <v>1</v>
      </c>
      <c r="E65" s="65" t="n">
        <f aca="false">IFERROR(D65/D$72,0)</f>
        <v>0.000112473287594196</v>
      </c>
      <c r="F65" s="35" t="n">
        <f aca="false">①石川予測確定!P42</f>
        <v>1</v>
      </c>
      <c r="G65" s="65" t="n">
        <f aca="false">IFERROR(F65/F$72,0)</f>
        <v>0.0001941370607649</v>
      </c>
      <c r="H65" s="65" t="n">
        <f aca="false">E65*前提・入力!$B$31+G65*前提・入力!$B$32</f>
        <v>0.000153305174179548</v>
      </c>
      <c r="I65" s="35" t="n">
        <f aca="false">ROUND($H65*③仙台以降予測!$G$7,0)</f>
        <v>1</v>
      </c>
      <c r="J65" s="35" t="n">
        <f aca="false">ROUND($H65*③仙台以降予測!$G$8,0)</f>
        <v>1</v>
      </c>
      <c r="K65" s="35" t="n">
        <f aca="false">ROUND($H65*③仙台以降予測!$G$9,0)</f>
        <v>1</v>
      </c>
      <c r="L65" s="35" t="n">
        <f aca="false">ROUND($H65*③仙台以降予測!$G$10,0)</f>
        <v>6</v>
      </c>
      <c r="M65" s="35" t="n">
        <f aca="false">SUM(I65:L65)</f>
        <v>9</v>
      </c>
      <c r="N65" s="35" t="n">
        <v>4</v>
      </c>
      <c r="O65" s="35" t="n">
        <v>2</v>
      </c>
      <c r="P65" s="35" t="n">
        <v>2</v>
      </c>
      <c r="Q65" s="35" t="n">
        <f aca="false">IF(P65="",N65-O65,P65)</f>
        <v>2</v>
      </c>
      <c r="R65" s="35" t="n">
        <v>1</v>
      </c>
      <c r="S65" s="35" t="n">
        <v>0</v>
      </c>
      <c r="T65" s="35" t="n">
        <f aca="false">①石川予測確定!S42</f>
        <v>1</v>
      </c>
      <c r="U65" s="35" t="n">
        <f aca="false">①石川予測確定!P42</f>
        <v>1</v>
      </c>
      <c r="V65" s="35" t="n">
        <f aca="false">Q65+R65-S65-U65</f>
        <v>2</v>
      </c>
      <c r="W65" s="35" t="n">
        <v>0</v>
      </c>
      <c r="X65" s="38" t="n">
        <f aca="false">M65-V65-W65</f>
        <v>7</v>
      </c>
      <c r="Y65" s="35" t="n">
        <f aca="false">MAX(0,X65)</f>
        <v>7</v>
      </c>
      <c r="Z65" s="35" t="n">
        <f aca="false">IF(Y65&gt;0,ROUNDUP(Y65*(1+前提・入力!$B$34),0),0)</f>
        <v>8</v>
      </c>
    </row>
    <row r="66" customFormat="false" ht="15" hidden="false" customHeight="false" outlineLevel="0" collapsed="false">
      <c r="A66" s="32" t="n">
        <v>37</v>
      </c>
      <c r="B66" s="32" t="s">
        <v>358</v>
      </c>
      <c r="C66" s="33" t="s">
        <v>359</v>
      </c>
      <c r="D66" s="35" t="n">
        <v>1</v>
      </c>
      <c r="E66" s="65" t="n">
        <f aca="false">IFERROR(D66/D$72,0)</f>
        <v>0.000112473287594196</v>
      </c>
      <c r="F66" s="35" t="n">
        <f aca="false">①石川予測確定!P43</f>
        <v>5</v>
      </c>
      <c r="G66" s="65" t="n">
        <f aca="false">IFERROR(F66/F$72,0)</f>
        <v>0.0009706853038245</v>
      </c>
      <c r="H66" s="65" t="n">
        <f aca="false">E66*前提・入力!$B$31+G66*前提・入力!$B$32</f>
        <v>0.000541579295709348</v>
      </c>
      <c r="I66" s="35" t="n">
        <f aca="false">ROUND($H66*③仙台以降予測!$G$7,0)</f>
        <v>5</v>
      </c>
      <c r="J66" s="35" t="n">
        <f aca="false">ROUND($H66*③仙台以降予測!$G$8,0)</f>
        <v>5</v>
      </c>
      <c r="K66" s="35" t="n">
        <f aca="false">ROUND($H66*③仙台以降予測!$G$9,0)</f>
        <v>4</v>
      </c>
      <c r="L66" s="35" t="n">
        <f aca="false">ROUND($H66*③仙台以降予測!$G$10,0)</f>
        <v>20</v>
      </c>
      <c r="M66" s="35" t="n">
        <f aca="false">SUM(I66:L66)</f>
        <v>34</v>
      </c>
      <c r="N66" s="35" t="n">
        <v>43</v>
      </c>
      <c r="O66" s="35" t="n">
        <v>8</v>
      </c>
      <c r="P66" s="35" t="n">
        <v>26</v>
      </c>
      <c r="Q66" s="35" t="n">
        <f aca="false">IF(P66="",N66-O66,P66)</f>
        <v>26</v>
      </c>
      <c r="R66" s="35" t="n">
        <v>7</v>
      </c>
      <c r="S66" s="35" t="n">
        <v>0</v>
      </c>
      <c r="T66" s="35" t="n">
        <f aca="false">①石川予測確定!S43</f>
        <v>17</v>
      </c>
      <c r="U66" s="35" t="n">
        <f aca="false">①石川予測確定!P43</f>
        <v>5</v>
      </c>
      <c r="V66" s="35" t="n">
        <f aca="false">Q66+R66-S66-U66</f>
        <v>28</v>
      </c>
      <c r="W66" s="35" t="n">
        <v>0</v>
      </c>
      <c r="X66" s="38" t="n">
        <f aca="false">M66-V66-W66</f>
        <v>6</v>
      </c>
      <c r="Y66" s="35" t="n">
        <f aca="false">MAX(0,X66)</f>
        <v>6</v>
      </c>
      <c r="Z66" s="35" t="n">
        <f aca="false">IF(Y66&gt;0,ROUNDUP(Y66*(1+前提・入力!$B$34),0),0)</f>
        <v>7</v>
      </c>
    </row>
    <row r="67" customFormat="false" ht="15" hidden="false" customHeight="false" outlineLevel="0" collapsed="false">
      <c r="A67" s="32" t="n">
        <v>38</v>
      </c>
      <c r="B67" s="32" t="s">
        <v>360</v>
      </c>
      <c r="C67" s="33" t="s">
        <v>361</v>
      </c>
      <c r="D67" s="35" t="n">
        <v>2</v>
      </c>
      <c r="E67" s="65" t="n">
        <f aca="false">IFERROR(D67/D$72,0)</f>
        <v>0.000224946575188393</v>
      </c>
      <c r="F67" s="35" t="n">
        <f aca="false">①石川予測確定!P44</f>
        <v>1</v>
      </c>
      <c r="G67" s="65" t="n">
        <f aca="false">IFERROR(F67/F$72,0)</f>
        <v>0.0001941370607649</v>
      </c>
      <c r="H67" s="65" t="n">
        <f aca="false">E67*前提・入力!$B$31+G67*前提・入力!$B$32</f>
        <v>0.000209541817976646</v>
      </c>
      <c r="I67" s="35" t="n">
        <f aca="false">ROUND($H67*③仙台以降予測!$G$7,0)</f>
        <v>2</v>
      </c>
      <c r="J67" s="35" t="n">
        <f aca="false">ROUND($H67*③仙台以降予測!$G$8,0)</f>
        <v>2</v>
      </c>
      <c r="K67" s="35" t="n">
        <f aca="false">ROUND($H67*③仙台以降予測!$G$9,0)</f>
        <v>1</v>
      </c>
      <c r="L67" s="35" t="n">
        <f aca="false">ROUND($H67*③仙台以降予測!$G$10,0)</f>
        <v>8</v>
      </c>
      <c r="M67" s="35" t="n">
        <f aca="false">SUM(I67:L67)</f>
        <v>13</v>
      </c>
      <c r="N67" s="35" t="n">
        <v>4</v>
      </c>
      <c r="O67" s="35" t="n">
        <v>2</v>
      </c>
      <c r="P67" s="35" t="n">
        <v>2</v>
      </c>
      <c r="Q67" s="35" t="n">
        <f aca="false">IF(P67="",N67-O67,P67)</f>
        <v>2</v>
      </c>
      <c r="R67" s="35" t="n">
        <v>0</v>
      </c>
      <c r="S67" s="35" t="n">
        <v>0</v>
      </c>
      <c r="T67" s="35" t="n">
        <f aca="false">①石川予測確定!S44</f>
        <v>1</v>
      </c>
      <c r="U67" s="35" t="n">
        <f aca="false">①石川予測確定!P44</f>
        <v>1</v>
      </c>
      <c r="V67" s="35" t="n">
        <f aca="false">Q67+R67-S67-U67</f>
        <v>1</v>
      </c>
      <c r="W67" s="35" t="n">
        <v>0</v>
      </c>
      <c r="X67" s="38" t="n">
        <f aca="false">M67-V67-W67</f>
        <v>12</v>
      </c>
      <c r="Y67" s="35" t="n">
        <f aca="false">MAX(0,X67)</f>
        <v>12</v>
      </c>
      <c r="Z67" s="35" t="n">
        <f aca="false">IF(Y67&gt;0,ROUNDUP(Y67*(1+前提・入力!$B$34),0),0)</f>
        <v>14</v>
      </c>
    </row>
    <row r="68" customFormat="false" ht="15" hidden="false" customHeight="false" outlineLevel="0" collapsed="false">
      <c r="A68" s="32" t="n">
        <v>39</v>
      </c>
      <c r="B68" s="32" t="s">
        <v>362</v>
      </c>
      <c r="C68" s="33" t="s">
        <v>363</v>
      </c>
      <c r="D68" s="35" t="n">
        <v>2</v>
      </c>
      <c r="E68" s="65" t="n">
        <f aca="false">IFERROR(D68/D$72,0)</f>
        <v>0.000224946575188393</v>
      </c>
      <c r="F68" s="35" t="n">
        <f aca="false">①石川予測確定!P45</f>
        <v>2</v>
      </c>
      <c r="G68" s="65" t="n">
        <f aca="false">IFERROR(F68/F$72,0)</f>
        <v>0.0003882741215298</v>
      </c>
      <c r="H68" s="65" t="n">
        <f aca="false">E68*前提・入力!$B$31+G68*前提・入力!$B$32</f>
        <v>0.000306610348359096</v>
      </c>
      <c r="I68" s="35" t="n">
        <f aca="false">ROUND($H68*③仙台以降予測!$G$7,0)</f>
        <v>3</v>
      </c>
      <c r="J68" s="35" t="n">
        <f aca="false">ROUND($H68*③仙台以降予測!$G$8,0)</f>
        <v>3</v>
      </c>
      <c r="K68" s="35" t="n">
        <f aca="false">ROUND($H68*③仙台以降予測!$G$9,0)</f>
        <v>2</v>
      </c>
      <c r="L68" s="35" t="n">
        <f aca="false">ROUND($H68*③仙台以降予測!$G$10,0)</f>
        <v>11</v>
      </c>
      <c r="M68" s="35" t="n">
        <f aca="false">SUM(I68:L68)</f>
        <v>19</v>
      </c>
      <c r="N68" s="35" t="n">
        <v>5</v>
      </c>
      <c r="O68" s="35" t="n">
        <v>2</v>
      </c>
      <c r="P68" s="35" t="n">
        <v>2</v>
      </c>
      <c r="Q68" s="35" t="n">
        <f aca="false">IF(P68="",N68-O68,P68)</f>
        <v>2</v>
      </c>
      <c r="R68" s="35" t="n">
        <v>0</v>
      </c>
      <c r="S68" s="35" t="n">
        <v>0</v>
      </c>
      <c r="T68" s="35" t="n">
        <f aca="false">①石川予測確定!S45</f>
        <v>1</v>
      </c>
      <c r="U68" s="35" t="n">
        <f aca="false">①石川予測確定!P45</f>
        <v>2</v>
      </c>
      <c r="V68" s="35" t="n">
        <f aca="false">Q68+R68-S68-U68</f>
        <v>0</v>
      </c>
      <c r="W68" s="35" t="n">
        <v>0</v>
      </c>
      <c r="X68" s="38" t="n">
        <f aca="false">M68-V68-W68</f>
        <v>19</v>
      </c>
      <c r="Y68" s="35" t="n">
        <f aca="false">MAX(0,X68)</f>
        <v>19</v>
      </c>
      <c r="Z68" s="35" t="n">
        <f aca="false">IF(Y68&gt;0,ROUNDUP(Y68*(1+前提・入力!$B$34),0),0)</f>
        <v>21</v>
      </c>
    </row>
    <row r="69" customFormat="false" ht="15" hidden="false" customHeight="false" outlineLevel="0" collapsed="false">
      <c r="A69" s="32" t="n">
        <v>40</v>
      </c>
      <c r="B69" s="32" t="s">
        <v>364</v>
      </c>
      <c r="C69" s="33" t="s">
        <v>365</v>
      </c>
      <c r="D69" s="35" t="n">
        <v>0</v>
      </c>
      <c r="E69" s="65" t="n">
        <f aca="false">IFERROR(D69/D$72,0)</f>
        <v>0</v>
      </c>
      <c r="F69" s="35" t="n">
        <f aca="false">①石川予測確定!P46</f>
        <v>1</v>
      </c>
      <c r="G69" s="65" t="n">
        <f aca="false">IFERROR(F69/F$72,0)</f>
        <v>0.0001941370607649</v>
      </c>
      <c r="H69" s="65" t="n">
        <f aca="false">E69*前提・入力!$B$31+G69*前提・入力!$B$32</f>
        <v>9.706853038245E-005</v>
      </c>
      <c r="I69" s="35" t="n">
        <f aca="false">ROUND($H69*③仙台以降予測!$G$7,0)</f>
        <v>1</v>
      </c>
      <c r="J69" s="35" t="n">
        <f aca="false">ROUND($H69*③仙台以降予測!$G$8,0)</f>
        <v>1</v>
      </c>
      <c r="K69" s="35" t="n">
        <f aca="false">ROUND($H69*③仙台以降予測!$G$9,0)</f>
        <v>1</v>
      </c>
      <c r="L69" s="35" t="n">
        <f aca="false">ROUND($H69*③仙台以降予測!$G$10,0)</f>
        <v>4</v>
      </c>
      <c r="M69" s="35" t="n">
        <f aca="false">SUM(I69:L69)</f>
        <v>7</v>
      </c>
      <c r="N69" s="35" t="n">
        <v>4</v>
      </c>
      <c r="O69" s="35" t="n">
        <v>2</v>
      </c>
      <c r="P69" s="35" t="n">
        <v>2</v>
      </c>
      <c r="Q69" s="35" t="n">
        <f aca="false">IF(P69="",N69-O69,P69)</f>
        <v>2</v>
      </c>
      <c r="R69" s="35" t="n">
        <v>2</v>
      </c>
      <c r="S69" s="35" t="n">
        <v>0</v>
      </c>
      <c r="T69" s="35" t="n">
        <f aca="false">①石川予測確定!S46</f>
        <v>3</v>
      </c>
      <c r="U69" s="35" t="n">
        <f aca="false">①石川予測確定!P46</f>
        <v>1</v>
      </c>
      <c r="V69" s="35" t="n">
        <f aca="false">Q69+R69-S69-U69</f>
        <v>3</v>
      </c>
      <c r="W69" s="35" t="n">
        <v>0</v>
      </c>
      <c r="X69" s="38" t="n">
        <f aca="false">M69-V69-W69</f>
        <v>4</v>
      </c>
      <c r="Y69" s="35" t="n">
        <f aca="false">MAX(0,X69)</f>
        <v>4</v>
      </c>
      <c r="Z69" s="35" t="n">
        <f aca="false">IF(Y69&gt;0,ROUNDUP(Y69*(1+前提・入力!$B$34),0),0)</f>
        <v>5</v>
      </c>
    </row>
    <row r="70" customFormat="false" ht="15" hidden="false" customHeight="false" outlineLevel="0" collapsed="false">
      <c r="A70" s="32" t="n">
        <v>41</v>
      </c>
      <c r="B70" s="32" t="s">
        <v>366</v>
      </c>
      <c r="C70" s="33" t="s">
        <v>367</v>
      </c>
      <c r="D70" s="35" t="n">
        <v>0</v>
      </c>
      <c r="E70" s="65" t="n">
        <f aca="false">IFERROR(D70/D$72,0)</f>
        <v>0</v>
      </c>
      <c r="F70" s="35" t="n">
        <f aca="false">①石川予測確定!P47</f>
        <v>0</v>
      </c>
      <c r="G70" s="65" t="n">
        <f aca="false">IFERROR(F70/F$72,0)</f>
        <v>0</v>
      </c>
      <c r="H70" s="65" t="n">
        <f aca="false">E70*前提・入力!$B$31+G70*前提・入力!$B$32</f>
        <v>0</v>
      </c>
      <c r="I70" s="35" t="n">
        <f aca="false">ROUND($H70*③仙台以降予測!$G$7,0)</f>
        <v>0</v>
      </c>
      <c r="J70" s="35" t="n">
        <f aca="false">ROUND($H70*③仙台以降予測!$G$8,0)</f>
        <v>0</v>
      </c>
      <c r="K70" s="35" t="n">
        <f aca="false">ROUND($H70*③仙台以降予測!$G$9,0)</f>
        <v>0</v>
      </c>
      <c r="L70" s="35" t="n">
        <f aca="false">ROUND($H70*③仙台以降予測!$G$10,0)</f>
        <v>0</v>
      </c>
      <c r="M70" s="35" t="n">
        <f aca="false">SUM(I70:L70)</f>
        <v>0</v>
      </c>
      <c r="N70" s="35" t="n">
        <v>74</v>
      </c>
      <c r="O70" s="35" t="n">
        <v>4</v>
      </c>
      <c r="P70" s="35" t="n">
        <v>70</v>
      </c>
      <c r="Q70" s="35" t="n">
        <f aca="false">IF(P70="",N70-O70,P70)</f>
        <v>70</v>
      </c>
      <c r="R70" s="35" t="n">
        <v>4</v>
      </c>
      <c r="S70" s="35" t="n">
        <v>0</v>
      </c>
      <c r="T70" s="35" t="n">
        <f aca="false">①石川予測確定!S47</f>
        <v>14</v>
      </c>
      <c r="U70" s="35" t="n">
        <f aca="false">①石川予測確定!P47</f>
        <v>0</v>
      </c>
      <c r="V70" s="35" t="n">
        <f aca="false">Q70+R70-S70-U70</f>
        <v>74</v>
      </c>
      <c r="W70" s="35" t="n">
        <v>0</v>
      </c>
      <c r="X70" s="38" t="n">
        <f aca="false">M70-V70-W70</f>
        <v>-74</v>
      </c>
      <c r="Y70" s="35" t="n">
        <f aca="false">MAX(0,X70)</f>
        <v>0</v>
      </c>
      <c r="Z70" s="35" t="n">
        <f aca="false">IF(Y70&gt;0,ROUNDUP(Y70*(1+前提・入力!$B$34),0),0)</f>
        <v>0</v>
      </c>
    </row>
    <row r="71" customFormat="false" ht="15" hidden="false" customHeight="false" outlineLevel="0" collapsed="false">
      <c r="A71" s="32" t="n">
        <v>42</v>
      </c>
      <c r="B71" s="32" t="s">
        <v>368</v>
      </c>
      <c r="C71" s="33" t="s">
        <v>369</v>
      </c>
      <c r="D71" s="35" t="n">
        <v>1</v>
      </c>
      <c r="E71" s="65" t="n">
        <f aca="false">IFERROR(D71/D$72,0)</f>
        <v>0.000112473287594196</v>
      </c>
      <c r="F71" s="35" t="n">
        <f aca="false">①石川予測確定!P48</f>
        <v>0</v>
      </c>
      <c r="G71" s="65" t="n">
        <f aca="false">IFERROR(F71/F$72,0)</f>
        <v>0</v>
      </c>
      <c r="H71" s="65" t="n">
        <f aca="false">E71*前提・入力!$B$31+G71*前提・入力!$B$32</f>
        <v>5.62366437970982E-005</v>
      </c>
      <c r="I71" s="35" t="n">
        <f aca="false">ROUND($H71*③仙台以降予測!$G$7,0)</f>
        <v>1</v>
      </c>
      <c r="J71" s="35" t="n">
        <f aca="false">ROUND($H71*③仙台以降予測!$G$8,0)</f>
        <v>0</v>
      </c>
      <c r="K71" s="35" t="n">
        <f aca="false">ROUND($H71*③仙台以降予測!$G$9,0)</f>
        <v>0</v>
      </c>
      <c r="L71" s="35" t="n">
        <f aca="false">ROUND($H71*③仙台以降予測!$G$10,0)</f>
        <v>2</v>
      </c>
      <c r="M71" s="35" t="n">
        <f aca="false">SUM(I71:L71)</f>
        <v>3</v>
      </c>
      <c r="N71" s="35" t="n">
        <v>49</v>
      </c>
      <c r="O71" s="35" t="n">
        <v>6</v>
      </c>
      <c r="P71" s="35" t="n">
        <v>43</v>
      </c>
      <c r="Q71" s="35" t="n">
        <f aca="false">IF(P71="",N71-O71,P71)</f>
        <v>43</v>
      </c>
      <c r="R71" s="35" t="n">
        <v>5</v>
      </c>
      <c r="S71" s="35" t="n">
        <v>0</v>
      </c>
      <c r="T71" s="35" t="n">
        <f aca="false">①石川予測確定!S48</f>
        <v>15</v>
      </c>
      <c r="U71" s="35" t="n">
        <f aca="false">①石川予測確定!P48</f>
        <v>0</v>
      </c>
      <c r="V71" s="35" t="n">
        <f aca="false">Q71+R71-S71-U71</f>
        <v>48</v>
      </c>
      <c r="W71" s="35" t="n">
        <v>0</v>
      </c>
      <c r="X71" s="38" t="n">
        <f aca="false">M71-V71-W71</f>
        <v>-45</v>
      </c>
      <c r="Y71" s="35" t="n">
        <f aca="false">MAX(0,X71)</f>
        <v>0</v>
      </c>
      <c r="Z71" s="35" t="n">
        <f aca="false">IF(Y71&gt;0,ROUNDUP(Y71*(1+前提・入力!$B$34),0),0)</f>
        <v>0</v>
      </c>
    </row>
    <row r="72" customFormat="false" ht="15" hidden="false" customHeight="false" outlineLevel="0" collapsed="false">
      <c r="A72" s="40"/>
      <c r="B72" s="40"/>
      <c r="C72" s="41" t="s">
        <v>370</v>
      </c>
      <c r="D72" s="42" t="n">
        <f aca="false">SUM(D30:D71)</f>
        <v>8891</v>
      </c>
      <c r="E72" s="66" t="n">
        <f aca="false">SUM(E30:E71)</f>
        <v>1</v>
      </c>
      <c r="F72" s="42" t="n">
        <f aca="false">SUM(F30:F71)</f>
        <v>5151</v>
      </c>
      <c r="G72" s="66" t="n">
        <f aca="false">SUM(G30:G71)</f>
        <v>1</v>
      </c>
      <c r="H72" s="66" t="n">
        <f aca="false">SUM(H30:H71)</f>
        <v>1</v>
      </c>
      <c r="I72" s="42" t="n">
        <f aca="false">SUM(I30:I71)</f>
        <v>9536</v>
      </c>
      <c r="J72" s="42" t="n">
        <f aca="false">SUM(J30:J71)</f>
        <v>8800</v>
      </c>
      <c r="K72" s="42" t="n">
        <f aca="false">SUM(K30:K71)</f>
        <v>6602</v>
      </c>
      <c r="L72" s="42" t="n">
        <f aca="false">SUM(L30:L71)</f>
        <v>36679</v>
      </c>
      <c r="M72" s="42" t="n">
        <f aca="false">SUM(M30:M71)</f>
        <v>61617</v>
      </c>
      <c r="N72" s="42" t="n">
        <f aca="false">SUM(N30:N71)</f>
        <v>276521</v>
      </c>
      <c r="O72" s="42" t="n">
        <f aca="false">SUM(O30:O71)</f>
        <v>50506</v>
      </c>
      <c r="P72" s="42" t="n">
        <f aca="false">SUM(P30:P71)</f>
        <v>197802</v>
      </c>
      <c r="Q72" s="42" t="n">
        <f aca="false">SUM(Q30:Q71)</f>
        <v>197962</v>
      </c>
      <c r="R72" s="42" t="n">
        <f aca="false">SUM(R30:R71)</f>
        <v>41615</v>
      </c>
      <c r="S72" s="42" t="n">
        <f aca="false">SUM(S30:S71)</f>
        <v>4</v>
      </c>
      <c r="T72" s="42" t="n">
        <f aca="false">SUM(T30:T71)</f>
        <v>46928</v>
      </c>
      <c r="U72" s="42" t="n">
        <f aca="false">SUM(U30:U71)</f>
        <v>5151</v>
      </c>
      <c r="V72" s="42" t="n">
        <f aca="false">SUM(V30:V71)</f>
        <v>234422</v>
      </c>
      <c r="W72" s="42" t="n">
        <f aca="false">SUM(W30:W71)</f>
        <v>1200</v>
      </c>
      <c r="X72" s="42" t="n">
        <f aca="false">SUM(X30:X71)</f>
        <v>-174005</v>
      </c>
      <c r="Y72" s="42" t="n">
        <f aca="false">SUM(Y30:Y71)</f>
        <v>3384</v>
      </c>
      <c r="Z72" s="42" t="n">
        <f aca="false">SUM(Z30:Z71)</f>
        <v>3729</v>
      </c>
    </row>
  </sheetData>
  <conditionalFormatting sqref="Y30:Y71">
    <cfRule type="expression" priority="2" aboveAverage="0" equalAverage="0" bottom="0" percent="0" rank="0" text="" dxfId="3">
      <formula>$Y30&gt;0</formula>
    </cfRule>
  </conditionalFormatting>
  <conditionalFormatting sqref="X30:X71">
    <cfRule type="expression" priority="3" aboveAverage="0" equalAverage="0" bottom="0" percent="0" rank="0" text="" dxfId="3">
      <formula>$X30&gt;0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15" min="14"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505</v>
      </c>
    </row>
    <row r="2" customFormat="false" ht="15" hidden="false" customHeight="false" outlineLevel="0" collapsed="false">
      <c r="A2" s="3" t="s">
        <v>506</v>
      </c>
    </row>
    <row r="3" customFormat="false" ht="15" hidden="false" customHeight="false" outlineLevel="0" collapsed="false">
      <c r="A3" s="3" t="s">
        <v>507</v>
      </c>
    </row>
    <row r="6" customFormat="false" ht="43.5" hidden="false" customHeight="true" outlineLevel="0" collapsed="false">
      <c r="A6" s="25" t="s">
        <v>263</v>
      </c>
      <c r="B6" s="25" t="s">
        <v>264</v>
      </c>
      <c r="C6" s="26" t="s">
        <v>265</v>
      </c>
      <c r="D6" s="26" t="s">
        <v>508</v>
      </c>
      <c r="E6" s="27" t="s">
        <v>509</v>
      </c>
      <c r="F6" s="27" t="s">
        <v>510</v>
      </c>
      <c r="G6" s="27" t="s">
        <v>511</v>
      </c>
      <c r="H6" s="27" t="s">
        <v>512</v>
      </c>
      <c r="I6" s="67" t="s">
        <v>513</v>
      </c>
      <c r="J6" s="67" t="s">
        <v>514</v>
      </c>
      <c r="K6" s="67" t="s">
        <v>515</v>
      </c>
      <c r="L6" s="49" t="s">
        <v>516</v>
      </c>
      <c r="M6" s="49" t="s">
        <v>517</v>
      </c>
      <c r="N6" s="49" t="s">
        <v>501</v>
      </c>
      <c r="O6" s="49" t="s">
        <v>518</v>
      </c>
      <c r="P6" s="49" t="s">
        <v>519</v>
      </c>
      <c r="Q6" s="49" t="s">
        <v>520</v>
      </c>
      <c r="R6" s="31" t="s">
        <v>521</v>
      </c>
      <c r="S6" s="31" t="s">
        <v>522</v>
      </c>
      <c r="T6" s="67" t="s">
        <v>523</v>
      </c>
      <c r="U6" s="67" t="s">
        <v>524</v>
      </c>
      <c r="V6" s="67" t="s">
        <v>525</v>
      </c>
      <c r="W6" s="67" t="s">
        <v>526</v>
      </c>
      <c r="X6" s="31" t="s">
        <v>527</v>
      </c>
      <c r="Y6" s="67" t="s">
        <v>528</v>
      </c>
      <c r="Z6" s="67" t="s">
        <v>529</v>
      </c>
      <c r="AA6" s="68" t="s">
        <v>429</v>
      </c>
    </row>
    <row r="7" customFormat="false" ht="15" hidden="false" customHeight="false" outlineLevel="0" collapsed="false">
      <c r="A7" s="32" t="n">
        <v>1</v>
      </c>
      <c r="B7" s="32" t="s">
        <v>286</v>
      </c>
      <c r="C7" s="33" t="s">
        <v>287</v>
      </c>
      <c r="D7" s="34" t="n">
        <v>500</v>
      </c>
      <c r="E7" s="35" t="n">
        <f aca="false">①石川予測確定!E7</f>
        <v>210</v>
      </c>
      <c r="F7" s="35" t="n">
        <f aca="false">①石川予測確定!P7</f>
        <v>272</v>
      </c>
      <c r="G7" s="35" t="n">
        <f aca="false">①石川予測確定!S7</f>
        <v>693</v>
      </c>
      <c r="H7" s="37" t="n">
        <f aca="false">IFERROR(F7/G7,0)</f>
        <v>0.392496392496393</v>
      </c>
      <c r="I7" s="38" t="n">
        <f aca="false">F7-G7</f>
        <v>-421</v>
      </c>
      <c r="J7" s="39" t="str">
        <f aca="false">IF(I7&gt;0,"要 追加発注",IF(H7&gt;=0.9,"要注意(90%超)",IF(H7&gt;=0.5,"適正","在庫余剰")))</f>
        <v>在庫余剰</v>
      </c>
      <c r="K7" s="35" t="n">
        <f aca="false">IF(I7&gt;0,ROUNDUP(I7*(1+前提・入力!$B$34),0),0)</f>
        <v>0</v>
      </c>
      <c r="L7" s="35" t="n">
        <f aca="false">③仙台以降予測!M30</f>
        <v>3384</v>
      </c>
      <c r="M7" s="35" t="n">
        <f aca="false">③仙台以降予測!V30</f>
        <v>2489</v>
      </c>
      <c r="N7" s="35" t="n">
        <f aca="false">③仙台以降予測!W30</f>
        <v>0</v>
      </c>
      <c r="O7" s="38" t="n">
        <f aca="false">L7-M7-N7</f>
        <v>895</v>
      </c>
      <c r="P7" s="39" t="str">
        <f aca="false">IF(O7&gt;0,"要 追加生産",IF(L7=0,"—","在庫で充足"))</f>
        <v>要 追加生産</v>
      </c>
      <c r="Q7" s="35" t="n">
        <f aca="false">③仙台以降予測!Z30</f>
        <v>985</v>
      </c>
      <c r="R7" s="35" t="n">
        <f aca="false">K7+Q7</f>
        <v>985</v>
      </c>
      <c r="S7" s="34" t="n">
        <f aca="false">R7*D7</f>
        <v>492500</v>
      </c>
      <c r="T7" s="69" t="s">
        <v>386</v>
      </c>
      <c r="U7" s="70" t="n">
        <f aca="false">DATE(2027,4,1)-30-前提・入力!$B$37</f>
        <v>46434</v>
      </c>
      <c r="V7" s="71" t="n">
        <f aca="false">IF(OR(U7="",U7="再生産不可"),"",U7-前提・入力!$B$38)</f>
        <v>174</v>
      </c>
      <c r="W7" s="69"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2"/>
      <c r="Z7" s="72" t="str">
        <f aca="false">IF(Y7&lt;&gt;"",IF(I7&gt;0,"◎ 一致（モデルも会期中欠品を検知）",IF(H7&gt;=0.7,"○ 整合（予測消化率70%超）","△ モデル未検知：現場報告を優先")),IF(I7&gt;0,"▲ モデルのみ検知：現場に在庫状況を確認","—"))</f>
        <v>—</v>
      </c>
      <c r="AA7" s="69" t="s">
        <v>530</v>
      </c>
    </row>
    <row r="8" customFormat="false" ht="15" hidden="false" customHeight="false" outlineLevel="0" collapsed="false">
      <c r="A8" s="32" t="n">
        <v>2</v>
      </c>
      <c r="B8" s="32" t="s">
        <v>288</v>
      </c>
      <c r="C8" s="33" t="s">
        <v>289</v>
      </c>
      <c r="D8" s="34" t="n">
        <v>600</v>
      </c>
      <c r="E8" s="35" t="n">
        <f aca="false">①石川予測確定!E8</f>
        <v>250</v>
      </c>
      <c r="F8" s="35" t="n">
        <f aca="false">①石川予測確定!P8</f>
        <v>325</v>
      </c>
      <c r="G8" s="35" t="n">
        <f aca="false">①石川予測確定!S8</f>
        <v>659</v>
      </c>
      <c r="H8" s="37" t="n">
        <f aca="false">IFERROR(F8/G8,0)</f>
        <v>0.493171471927162</v>
      </c>
      <c r="I8" s="38" t="n">
        <f aca="false">F8-G8</f>
        <v>-334</v>
      </c>
      <c r="J8" s="39" t="str">
        <f aca="false">IF(I8&gt;0,"要 追加発注",IF(H8&gt;=0.9,"要注意(90%超)",IF(H8&gt;=0.5,"適正","在庫余剰")))</f>
        <v>在庫余剰</v>
      </c>
      <c r="K8" s="35" t="n">
        <f aca="false">IF(I8&gt;0,ROUNDUP(I8*(1+前提・入力!$B$34),0),0)</f>
        <v>0</v>
      </c>
      <c r="L8" s="35" t="n">
        <f aca="false">③仙台以降予測!M31</f>
        <v>3818</v>
      </c>
      <c r="M8" s="35" t="n">
        <f aca="false">③仙台以降予測!V31</f>
        <v>4170</v>
      </c>
      <c r="N8" s="35" t="n">
        <f aca="false">③仙台以降予測!W31</f>
        <v>0</v>
      </c>
      <c r="O8" s="38" t="n">
        <f aca="false">L8-M8-N8</f>
        <v>-352</v>
      </c>
      <c r="P8" s="39" t="str">
        <f aca="false">IF(O8&gt;0,"要 追加生産",IF(L8=0,"—","在庫で充足"))</f>
        <v>在庫で充足</v>
      </c>
      <c r="Q8" s="35" t="n">
        <f aca="false">③仙台以降予測!Z31</f>
        <v>0</v>
      </c>
      <c r="R8" s="35" t="n">
        <f aca="false">K8+Q8</f>
        <v>0</v>
      </c>
      <c r="S8" s="34" t="n">
        <f aca="false">R8*D8</f>
        <v>0</v>
      </c>
      <c r="T8" s="72" t="s">
        <v>531</v>
      </c>
      <c r="U8" s="32"/>
      <c r="V8" s="71" t="str">
        <f aca="false">IF(OR(U8="",U8="再生産不可"),"",U8-前提・入力!$B$38)</f>
        <v/>
      </c>
      <c r="W8" s="69"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2"/>
      <c r="Z8" s="72" t="str">
        <f aca="false">IF(Y8&lt;&gt;"",IF(I8&gt;0,"◎ 一致（モデルも会期中欠品を検知）",IF(H8&gt;=0.7,"○ 整合（予測消化率70%超）","△ モデル未検知：現場報告を優先")),IF(I8&gt;0,"▲ モデルのみ検知：現場に在庫状況を確認","—"))</f>
        <v>—</v>
      </c>
      <c r="AA8" s="69"/>
    </row>
    <row r="9" customFormat="false" ht="15" hidden="false" customHeight="false" outlineLevel="0" collapsed="false">
      <c r="A9" s="32" t="n">
        <v>3</v>
      </c>
      <c r="B9" s="32" t="s">
        <v>290</v>
      </c>
      <c r="C9" s="33" t="s">
        <v>291</v>
      </c>
      <c r="D9" s="34" t="n">
        <v>1000</v>
      </c>
      <c r="E9" s="35" t="n">
        <f aca="false">①石川予測確定!E9</f>
        <v>92</v>
      </c>
      <c r="F9" s="35" t="n">
        <f aca="false">①石川予測確定!P9</f>
        <v>118</v>
      </c>
      <c r="G9" s="35" t="n">
        <f aca="false">①石川予測確定!S9</f>
        <v>381</v>
      </c>
      <c r="H9" s="37" t="n">
        <f aca="false">IFERROR(F9/G9,0)</f>
        <v>0.309711286089239</v>
      </c>
      <c r="I9" s="38" t="n">
        <f aca="false">F9-G9</f>
        <v>-263</v>
      </c>
      <c r="J9" s="39" t="str">
        <f aca="false">IF(I9&gt;0,"要 追加発注",IF(H9&gt;=0.9,"要注意(90%超)",IF(H9&gt;=0.5,"適正","在庫余剰")))</f>
        <v>在庫余剰</v>
      </c>
      <c r="K9" s="35" t="n">
        <f aca="false">IF(I9&gt;0,ROUNDUP(I9*(1+前提・入力!$B$34),0),0)</f>
        <v>0</v>
      </c>
      <c r="L9" s="35" t="n">
        <f aca="false">③仙台以降予測!M32</f>
        <v>1291</v>
      </c>
      <c r="M9" s="35" t="n">
        <f aca="false">③仙台以降予測!V32</f>
        <v>1857</v>
      </c>
      <c r="N9" s="35" t="n">
        <f aca="false">③仙台以降予測!W32</f>
        <v>0</v>
      </c>
      <c r="O9" s="38" t="n">
        <f aca="false">L9-M9-N9</f>
        <v>-566</v>
      </c>
      <c r="P9" s="39" t="str">
        <f aca="false">IF(O9&gt;0,"要 追加生産",IF(L9=0,"—","在庫で充足"))</f>
        <v>在庫で充足</v>
      </c>
      <c r="Q9" s="35" t="n">
        <f aca="false">③仙台以降予測!Z32</f>
        <v>0</v>
      </c>
      <c r="R9" s="35" t="n">
        <f aca="false">K9+Q9</f>
        <v>0</v>
      </c>
      <c r="S9" s="34" t="n">
        <f aca="false">R9*D9</f>
        <v>0</v>
      </c>
      <c r="T9" s="72" t="s">
        <v>531</v>
      </c>
      <c r="U9" s="32"/>
      <c r="V9" s="71" t="str">
        <f aca="false">IF(OR(U9="",U9="再生産不可"),"",U9-前提・入力!$B$38)</f>
        <v/>
      </c>
      <c r="W9" s="69"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2"/>
      <c r="Z9" s="72" t="str">
        <f aca="false">IF(Y9&lt;&gt;"",IF(I9&gt;0,"◎ 一致（モデルも会期中欠品を検知）",IF(H9&gt;=0.7,"○ 整合（予測消化率70%超）","△ モデル未検知：現場報告を優先")),IF(I9&gt;0,"▲ モデルのみ検知：現場に在庫状況を確認","—"))</f>
        <v>—</v>
      </c>
      <c r="AA9" s="69"/>
    </row>
    <row r="10" customFormat="false" ht="15" hidden="false" customHeight="false" outlineLevel="0" collapsed="false">
      <c r="A10" s="32" t="n">
        <v>4</v>
      </c>
      <c r="B10" s="32" t="s">
        <v>292</v>
      </c>
      <c r="C10" s="33" t="s">
        <v>293</v>
      </c>
      <c r="D10" s="34" t="n">
        <v>1800</v>
      </c>
      <c r="E10" s="35" t="n">
        <f aca="false">①石川予測確定!E10</f>
        <v>110</v>
      </c>
      <c r="F10" s="35" t="n">
        <f aca="false">①石川予測確定!P10</f>
        <v>134</v>
      </c>
      <c r="G10" s="35" t="n">
        <f aca="false">①石川予測確定!S10</f>
        <v>772</v>
      </c>
      <c r="H10" s="37" t="n">
        <f aca="false">IFERROR(F10/G10,0)</f>
        <v>0.173575129533679</v>
      </c>
      <c r="I10" s="38" t="n">
        <f aca="false">F10-G10</f>
        <v>-638</v>
      </c>
      <c r="J10" s="39" t="str">
        <f aca="false">IF(I10&gt;0,"要 追加発注",IF(H10&gt;=0.9,"要注意(90%超)",IF(H10&gt;=0.5,"適正","在庫余剰")))</f>
        <v>在庫余剰</v>
      </c>
      <c r="K10" s="35" t="n">
        <f aca="false">IF(I10&gt;0,ROUNDUP(I10*(1+前提・入力!$B$34),0),0)</f>
        <v>0</v>
      </c>
      <c r="L10" s="35" t="n">
        <f aca="false">③仙台以降予測!M33</f>
        <v>1591</v>
      </c>
      <c r="M10" s="35" t="n">
        <f aca="false">③仙台以降予測!V33</f>
        <v>3153</v>
      </c>
      <c r="N10" s="35" t="n">
        <f aca="false">③仙台以降予測!W33</f>
        <v>0</v>
      </c>
      <c r="O10" s="38" t="n">
        <f aca="false">L10-M10-N10</f>
        <v>-1562</v>
      </c>
      <c r="P10" s="39" t="str">
        <f aca="false">IF(O10&gt;0,"要 追加生産",IF(L10=0,"—","在庫で充足"))</f>
        <v>在庫で充足</v>
      </c>
      <c r="Q10" s="35" t="n">
        <f aca="false">③仙台以降予測!Z33</f>
        <v>0</v>
      </c>
      <c r="R10" s="35" t="n">
        <f aca="false">K10+Q10</f>
        <v>0</v>
      </c>
      <c r="S10" s="34" t="n">
        <f aca="false">R10*D10</f>
        <v>0</v>
      </c>
      <c r="T10" s="72" t="s">
        <v>531</v>
      </c>
      <c r="U10" s="32"/>
      <c r="V10" s="71" t="str">
        <f aca="false">IF(OR(U10="",U10="再生産不可"),"",U10-前提・入力!$B$38)</f>
        <v/>
      </c>
      <c r="W10" s="69"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2"/>
      <c r="Z10" s="72" t="str">
        <f aca="false">IF(Y10&lt;&gt;"",IF(I10&gt;0,"◎ 一致（モデルも会期中欠品を検知）",IF(H10&gt;=0.7,"○ 整合（予測消化率70%超）","△ モデル未検知：現場報告を優先")),IF(I10&gt;0,"▲ モデルのみ検知：現場に在庫状況を確認","—"))</f>
        <v>—</v>
      </c>
      <c r="AA10" s="69"/>
    </row>
    <row r="11" customFormat="false" ht="15" hidden="false" customHeight="false" outlineLevel="0" collapsed="false">
      <c r="A11" s="32" t="n">
        <v>5</v>
      </c>
      <c r="B11" s="32" t="s">
        <v>294</v>
      </c>
      <c r="C11" s="33" t="s">
        <v>295</v>
      </c>
      <c r="D11" s="34" t="n">
        <v>600</v>
      </c>
      <c r="E11" s="35" t="n">
        <f aca="false">①石川予測確定!E11</f>
        <v>226</v>
      </c>
      <c r="F11" s="35" t="n">
        <f aca="false">①石川予測確定!P11</f>
        <v>293</v>
      </c>
      <c r="G11" s="35" t="n">
        <f aca="false">①石川予測確定!S11</f>
        <v>8790</v>
      </c>
      <c r="H11" s="37" t="n">
        <f aca="false">IFERROR(F11/G11,0)</f>
        <v>0.0333333333333333</v>
      </c>
      <c r="I11" s="38" t="n">
        <f aca="false">F11-G11</f>
        <v>-8497</v>
      </c>
      <c r="J11" s="39" t="str">
        <f aca="false">IF(I11&gt;0,"要 追加発注",IF(H11&gt;=0.9,"要注意(90%超)",IF(H11&gt;=0.5,"適正","在庫余剰")))</f>
        <v>在庫余剰</v>
      </c>
      <c r="K11" s="35" t="n">
        <f aca="false">IF(I11&gt;0,ROUNDUP(I11*(1+前提・入力!$B$34),0),0)</f>
        <v>0</v>
      </c>
      <c r="L11" s="35" t="n">
        <f aca="false">③仙台以降予測!M34</f>
        <v>3173</v>
      </c>
      <c r="M11" s="35" t="n">
        <f aca="false">③仙台以降予測!V34</f>
        <v>39392</v>
      </c>
      <c r="N11" s="35" t="n">
        <f aca="false">③仙台以降予測!W34</f>
        <v>0</v>
      </c>
      <c r="O11" s="38" t="n">
        <f aca="false">L11-M11-N11</f>
        <v>-36219</v>
      </c>
      <c r="P11" s="39" t="str">
        <f aca="false">IF(O11&gt;0,"要 追加生産",IF(L11=0,"—","在庫で充足"))</f>
        <v>在庫で充足</v>
      </c>
      <c r="Q11" s="35" t="n">
        <f aca="false">③仙台以降予測!Z34</f>
        <v>0</v>
      </c>
      <c r="R11" s="35" t="n">
        <f aca="false">K11+Q11</f>
        <v>0</v>
      </c>
      <c r="S11" s="34" t="n">
        <f aca="false">R11*D11</f>
        <v>0</v>
      </c>
      <c r="T11" s="72" t="s">
        <v>531</v>
      </c>
      <c r="U11" s="32"/>
      <c r="V11" s="71" t="str">
        <f aca="false">IF(OR(U11="",U11="再生産不可"),"",U11-前提・入力!$B$38)</f>
        <v/>
      </c>
      <c r="W11" s="69"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2"/>
      <c r="Z11" s="72" t="str">
        <f aca="false">IF(Y11&lt;&gt;"",IF(I11&gt;0,"◎ 一致（モデルも会期中欠品を検知）",IF(H11&gt;=0.7,"○ 整合（予測消化率70%超）","△ モデル未検知：現場報告を優先")),IF(I11&gt;0,"▲ モデルのみ検知：現場に在庫状況を確認","—"))</f>
        <v>—</v>
      </c>
      <c r="AA11" s="69" t="s">
        <v>530</v>
      </c>
    </row>
    <row r="12" customFormat="false" ht="15" hidden="false" customHeight="false" outlineLevel="0" collapsed="false">
      <c r="A12" s="32" t="n">
        <v>6</v>
      </c>
      <c r="B12" s="32" t="s">
        <v>296</v>
      </c>
      <c r="C12" s="33" t="s">
        <v>297</v>
      </c>
      <c r="D12" s="34" t="n">
        <v>600</v>
      </c>
      <c r="E12" s="35" t="n">
        <f aca="false">①石川予測確定!E12</f>
        <v>439</v>
      </c>
      <c r="F12" s="35" t="n">
        <f aca="false">①石川予測確定!P12</f>
        <v>565</v>
      </c>
      <c r="G12" s="35" t="n">
        <f aca="false">①石川予測確定!S12</f>
        <v>13249</v>
      </c>
      <c r="H12" s="37" t="n">
        <f aca="false">IFERROR(F12/G12,0)</f>
        <v>0.0426447279039928</v>
      </c>
      <c r="I12" s="38" t="n">
        <f aca="false">F12-G12</f>
        <v>-12684</v>
      </c>
      <c r="J12" s="39" t="str">
        <f aca="false">IF(I12&gt;0,"要 追加発注",IF(H12&gt;=0.9,"要注意(90%超)",IF(H12&gt;=0.5,"適正","在庫余剰")))</f>
        <v>在庫余剰</v>
      </c>
      <c r="K12" s="35" t="n">
        <f aca="false">IF(I12&gt;0,ROUNDUP(I12*(1+前提・入力!$B$34),0),0)</f>
        <v>0</v>
      </c>
      <c r="L12" s="35" t="n">
        <f aca="false">③仙台以降予測!M35</f>
        <v>6991</v>
      </c>
      <c r="M12" s="35" t="n">
        <f aca="false">③仙台以降予測!V35</f>
        <v>50228</v>
      </c>
      <c r="N12" s="35" t="n">
        <f aca="false">③仙台以降予測!W35</f>
        <v>0</v>
      </c>
      <c r="O12" s="38" t="n">
        <f aca="false">L12-M12-N12</f>
        <v>-43237</v>
      </c>
      <c r="P12" s="39" t="str">
        <f aca="false">IF(O12&gt;0,"要 追加生産",IF(L12=0,"—","在庫で充足"))</f>
        <v>在庫で充足</v>
      </c>
      <c r="Q12" s="35" t="n">
        <f aca="false">③仙台以降予測!Z35</f>
        <v>0</v>
      </c>
      <c r="R12" s="35" t="n">
        <f aca="false">K12+Q12</f>
        <v>0</v>
      </c>
      <c r="S12" s="34" t="n">
        <f aca="false">R12*D12</f>
        <v>0</v>
      </c>
      <c r="T12" s="72" t="s">
        <v>531</v>
      </c>
      <c r="U12" s="32"/>
      <c r="V12" s="71" t="str">
        <f aca="false">IF(OR(U12="",U12="再生産不可"),"",U12-前提・入力!$B$38)</f>
        <v/>
      </c>
      <c r="W12" s="69"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2"/>
      <c r="Z12" s="72" t="str">
        <f aca="false">IF(Y12&lt;&gt;"",IF(I12&gt;0,"◎ 一致（モデルも会期中欠品を検知）",IF(H12&gt;=0.7,"○ 整合（予測消化率70%超）","△ モデル未検知：現場報告を優先")),IF(I12&gt;0,"▲ モデルのみ検知：現場に在庫状況を確認","—"))</f>
        <v>—</v>
      </c>
      <c r="AA12" s="69" t="s">
        <v>530</v>
      </c>
    </row>
    <row r="13" customFormat="false" ht="15" hidden="false" customHeight="false" outlineLevel="0" collapsed="false">
      <c r="A13" s="32" t="n">
        <v>7</v>
      </c>
      <c r="B13" s="32" t="s">
        <v>298</v>
      </c>
      <c r="C13" s="33" t="s">
        <v>299</v>
      </c>
      <c r="D13" s="34" t="n">
        <v>600</v>
      </c>
      <c r="E13" s="35" t="n">
        <f aca="false">①石川予測確定!E13</f>
        <v>130</v>
      </c>
      <c r="F13" s="35" t="n">
        <f aca="false">①石川予測確定!P13</f>
        <v>165</v>
      </c>
      <c r="G13" s="35" t="n">
        <f aca="false">①石川予測確定!S13</f>
        <v>463</v>
      </c>
      <c r="H13" s="37" t="n">
        <f aca="false">IFERROR(F13/G13,0)</f>
        <v>0.356371490280778</v>
      </c>
      <c r="I13" s="38" t="n">
        <f aca="false">F13-G13</f>
        <v>-298</v>
      </c>
      <c r="J13" s="39" t="str">
        <f aca="false">IF(I13&gt;0,"要 追加発注",IF(H13&gt;=0.9,"要注意(90%超)",IF(H13&gt;=0.5,"適正","在庫余剰")))</f>
        <v>在庫余剰</v>
      </c>
      <c r="K13" s="35" t="n">
        <f aca="false">IF(I13&gt;0,ROUNDUP(I13*(1+前提・入力!$B$34),0),0)</f>
        <v>0</v>
      </c>
      <c r="L13" s="35" t="n">
        <f aca="false">③仙台以降予測!M36</f>
        <v>1635</v>
      </c>
      <c r="M13" s="35" t="n">
        <f aca="false">③仙台以降予測!V36</f>
        <v>4249</v>
      </c>
      <c r="N13" s="35" t="n">
        <f aca="false">③仙台以降予測!W36</f>
        <v>0</v>
      </c>
      <c r="O13" s="38" t="n">
        <f aca="false">L13-M13-N13</f>
        <v>-2614</v>
      </c>
      <c r="P13" s="39" t="str">
        <f aca="false">IF(O13&gt;0,"要 追加生産",IF(L13=0,"—","在庫で充足"))</f>
        <v>在庫で充足</v>
      </c>
      <c r="Q13" s="35" t="n">
        <f aca="false">③仙台以降予測!Z36</f>
        <v>0</v>
      </c>
      <c r="R13" s="35" t="n">
        <f aca="false">K13+Q13</f>
        <v>0</v>
      </c>
      <c r="S13" s="34" t="n">
        <f aca="false">R13*D13</f>
        <v>0</v>
      </c>
      <c r="T13" s="72" t="s">
        <v>531</v>
      </c>
      <c r="U13" s="32"/>
      <c r="V13" s="71" t="str">
        <f aca="false">IF(OR(U13="",U13="再生産不可"),"",U13-前提・入力!$B$38)</f>
        <v/>
      </c>
      <c r="W13" s="69"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2"/>
      <c r="Z13" s="72" t="str">
        <f aca="false">IF(Y13&lt;&gt;"",IF(I13&gt;0,"◎ 一致（モデルも会期中欠品を検知）",IF(H13&gt;=0.7,"○ 整合（予測消化率70%超）","△ モデル未検知：現場報告を優先")),IF(I13&gt;0,"▲ モデルのみ検知：現場に在庫状況を確認","—"))</f>
        <v>—</v>
      </c>
      <c r="AA13" s="69" t="s">
        <v>530</v>
      </c>
    </row>
    <row r="14" customFormat="false" ht="15" hidden="false" customHeight="false" outlineLevel="0" collapsed="false">
      <c r="A14" s="32" t="n">
        <v>8</v>
      </c>
      <c r="B14" s="32" t="s">
        <v>300</v>
      </c>
      <c r="C14" s="33" t="s">
        <v>301</v>
      </c>
      <c r="D14" s="34" t="n">
        <v>600</v>
      </c>
      <c r="E14" s="35" t="n">
        <f aca="false">①石川予測確定!E14</f>
        <v>207</v>
      </c>
      <c r="F14" s="35" t="n">
        <f aca="false">①石川予測確定!P14</f>
        <v>266</v>
      </c>
      <c r="G14" s="35" t="n">
        <f aca="false">①石川予測確定!S14</f>
        <v>778</v>
      </c>
      <c r="H14" s="37" t="n">
        <f aca="false">IFERROR(F14/G14,0)</f>
        <v>0.341902313624679</v>
      </c>
      <c r="I14" s="38" t="n">
        <f aca="false">F14-G14</f>
        <v>-512</v>
      </c>
      <c r="J14" s="39" t="str">
        <f aca="false">IF(I14&gt;0,"要 追加発注",IF(H14&gt;=0.9,"要注意(90%超)",IF(H14&gt;=0.5,"適正","在庫余剰")))</f>
        <v>在庫余剰</v>
      </c>
      <c r="K14" s="35" t="n">
        <f aca="false">IF(I14&gt;0,ROUNDUP(I14*(1+前提・入力!$B$34),0),0)</f>
        <v>0</v>
      </c>
      <c r="L14" s="35" t="n">
        <f aca="false">③仙台以降予測!M37</f>
        <v>2707</v>
      </c>
      <c r="M14" s="35" t="n">
        <f aca="false">③仙台以降予測!V37</f>
        <v>8034</v>
      </c>
      <c r="N14" s="35" t="n">
        <f aca="false">③仙台以降予測!W37</f>
        <v>0</v>
      </c>
      <c r="O14" s="38" t="n">
        <f aca="false">L14-M14-N14</f>
        <v>-5327</v>
      </c>
      <c r="P14" s="39" t="str">
        <f aca="false">IF(O14&gt;0,"要 追加生産",IF(L14=0,"—","在庫で充足"))</f>
        <v>在庫で充足</v>
      </c>
      <c r="Q14" s="35" t="n">
        <f aca="false">③仙台以降予測!Z37</f>
        <v>0</v>
      </c>
      <c r="R14" s="35" t="n">
        <f aca="false">K14+Q14</f>
        <v>0</v>
      </c>
      <c r="S14" s="34" t="n">
        <f aca="false">R14*D14</f>
        <v>0</v>
      </c>
      <c r="T14" s="72" t="s">
        <v>531</v>
      </c>
      <c r="U14" s="32"/>
      <c r="V14" s="71" t="str">
        <f aca="false">IF(OR(U14="",U14="再生産不可"),"",U14-前提・入力!$B$38)</f>
        <v/>
      </c>
      <c r="W14" s="69"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2"/>
      <c r="Z14" s="72" t="str">
        <f aca="false">IF(Y14&lt;&gt;"",IF(I14&gt;0,"◎ 一致（モデルも会期中欠品を検知）",IF(H14&gt;=0.7,"○ 整合（予測消化率70%超）","△ モデル未検知：現場報告を優先")),IF(I14&gt;0,"▲ モデルのみ検知：現場に在庫状況を確認","—"))</f>
        <v>—</v>
      </c>
      <c r="AA14" s="69" t="s">
        <v>530</v>
      </c>
    </row>
    <row r="15" customFormat="false" ht="15" hidden="false" customHeight="false" outlineLevel="0" collapsed="false">
      <c r="A15" s="32" t="n">
        <v>9</v>
      </c>
      <c r="B15" s="32" t="s">
        <v>302</v>
      </c>
      <c r="C15" s="33" t="s">
        <v>303</v>
      </c>
      <c r="D15" s="34" t="n">
        <v>600</v>
      </c>
      <c r="E15" s="35" t="n">
        <f aca="false">①石川予測確定!E15</f>
        <v>41</v>
      </c>
      <c r="F15" s="35" t="n">
        <f aca="false">①石川予測確定!P15</f>
        <v>51</v>
      </c>
      <c r="G15" s="35" t="n">
        <f aca="false">①石川予測確定!S15</f>
        <v>740</v>
      </c>
      <c r="H15" s="37" t="n">
        <f aca="false">IFERROR(F15/G15,0)</f>
        <v>0.0689189189189189</v>
      </c>
      <c r="I15" s="38" t="n">
        <f aca="false">F15-G15</f>
        <v>-689</v>
      </c>
      <c r="J15" s="39" t="str">
        <f aca="false">IF(I15&gt;0,"要 追加発注",IF(H15&gt;=0.9,"要注意(90%超)",IF(H15&gt;=0.5,"適正","在庫余剰")))</f>
        <v>在庫余剰</v>
      </c>
      <c r="K15" s="35" t="n">
        <f aca="false">IF(I15&gt;0,ROUNDUP(I15*(1+前提・入力!$B$34),0),0)</f>
        <v>0</v>
      </c>
      <c r="L15" s="35" t="n">
        <f aca="false">③仙台以降予測!M38</f>
        <v>860</v>
      </c>
      <c r="M15" s="35" t="n">
        <f aca="false">③仙台以降予測!V38</f>
        <v>8547</v>
      </c>
      <c r="N15" s="35" t="n">
        <f aca="false">③仙台以降予測!W38</f>
        <v>0</v>
      </c>
      <c r="O15" s="38" t="n">
        <f aca="false">L15-M15-N15</f>
        <v>-7687</v>
      </c>
      <c r="P15" s="39" t="str">
        <f aca="false">IF(O15&gt;0,"要 追加生産",IF(L15=0,"—","在庫で充足"))</f>
        <v>在庫で充足</v>
      </c>
      <c r="Q15" s="35" t="n">
        <f aca="false">③仙台以降予測!Z38</f>
        <v>0</v>
      </c>
      <c r="R15" s="35" t="n">
        <f aca="false">K15+Q15</f>
        <v>0</v>
      </c>
      <c r="S15" s="34" t="n">
        <f aca="false">R15*D15</f>
        <v>0</v>
      </c>
      <c r="T15" s="72" t="s">
        <v>531</v>
      </c>
      <c r="U15" s="32"/>
      <c r="V15" s="71" t="str">
        <f aca="false">IF(OR(U15="",U15="再生産不可"),"",U15-前提・入力!$B$38)</f>
        <v/>
      </c>
      <c r="W15" s="69"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2"/>
      <c r="Z15" s="72" t="str">
        <f aca="false">IF(Y15&lt;&gt;"",IF(I15&gt;0,"◎ 一致（モデルも会期中欠品を検知）",IF(H15&gt;=0.7,"○ 整合（予測消化率70%超）","△ モデル未検知：現場報告を優先")),IF(I15&gt;0,"▲ モデルのみ検知：現場に在庫状況を確認","—"))</f>
        <v>—</v>
      </c>
      <c r="AA15" s="69" t="s">
        <v>530</v>
      </c>
    </row>
    <row r="16" customFormat="false" ht="15" hidden="false" customHeight="false" outlineLevel="0" collapsed="false">
      <c r="A16" s="32" t="n">
        <v>10</v>
      </c>
      <c r="B16" s="32" t="s">
        <v>304</v>
      </c>
      <c r="C16" s="33" t="s">
        <v>305</v>
      </c>
      <c r="D16" s="34" t="n">
        <v>600</v>
      </c>
      <c r="E16" s="35" t="n">
        <f aca="false">①石川予測確定!E16</f>
        <v>16</v>
      </c>
      <c r="F16" s="35" t="n">
        <f aca="false">①石川予測確定!P16</f>
        <v>20</v>
      </c>
      <c r="G16" s="35" t="n">
        <f aca="false">①石川予測確定!S16</f>
        <v>541</v>
      </c>
      <c r="H16" s="37" t="n">
        <f aca="false">IFERROR(F16/G16,0)</f>
        <v>0.0369685767097967</v>
      </c>
      <c r="I16" s="38" t="n">
        <f aca="false">F16-G16</f>
        <v>-521</v>
      </c>
      <c r="J16" s="39" t="str">
        <f aca="false">IF(I16&gt;0,"要 追加発注",IF(H16&gt;=0.9,"要注意(90%超)",IF(H16&gt;=0.5,"適正","在庫余剰")))</f>
        <v>在庫余剰</v>
      </c>
      <c r="K16" s="35" t="n">
        <f aca="false">IF(I16&gt;0,ROUNDUP(I16*(1+前提・入力!$B$34),0),0)</f>
        <v>0</v>
      </c>
      <c r="L16" s="35" t="n">
        <f aca="false">③仙台以降予測!M39</f>
        <v>324</v>
      </c>
      <c r="M16" s="35" t="n">
        <f aca="false">③仙台以降予測!V39</f>
        <v>4856</v>
      </c>
      <c r="N16" s="35" t="n">
        <f aca="false">③仙台以降予測!W39</f>
        <v>0</v>
      </c>
      <c r="O16" s="38" t="n">
        <f aca="false">L16-M16-N16</f>
        <v>-4532</v>
      </c>
      <c r="P16" s="39" t="str">
        <f aca="false">IF(O16&gt;0,"要 追加生産",IF(L16=0,"—","在庫で充足"))</f>
        <v>在庫で充足</v>
      </c>
      <c r="Q16" s="35" t="n">
        <f aca="false">③仙台以降予測!Z39</f>
        <v>0</v>
      </c>
      <c r="R16" s="35" t="n">
        <f aca="false">K16+Q16</f>
        <v>0</v>
      </c>
      <c r="S16" s="34" t="n">
        <f aca="false">R16*D16</f>
        <v>0</v>
      </c>
      <c r="T16" s="72" t="s">
        <v>531</v>
      </c>
      <c r="U16" s="32"/>
      <c r="V16" s="71" t="str">
        <f aca="false">IF(OR(U16="",U16="再生産不可"),"",U16-前提・入力!$B$38)</f>
        <v/>
      </c>
      <c r="W16" s="69"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2"/>
      <c r="Z16" s="72" t="str">
        <f aca="false">IF(Y16&lt;&gt;"",IF(I16&gt;0,"◎ 一致（モデルも会期中欠品を検知）",IF(H16&gt;=0.7,"○ 整合（予測消化率70%超）","△ モデル未検知：現場報告を優先")),IF(I16&gt;0,"▲ モデルのみ検知：現場に在庫状況を確認","—"))</f>
        <v>—</v>
      </c>
      <c r="AA16" s="69"/>
    </row>
    <row r="17" customFormat="false" ht="15" hidden="false" customHeight="false" outlineLevel="0" collapsed="false">
      <c r="A17" s="32" t="n">
        <v>11</v>
      </c>
      <c r="B17" s="32" t="s">
        <v>306</v>
      </c>
      <c r="C17" s="33" t="s">
        <v>307</v>
      </c>
      <c r="D17" s="34" t="n">
        <v>600</v>
      </c>
      <c r="E17" s="35" t="n">
        <f aca="false">①石川予測確定!E17</f>
        <v>6</v>
      </c>
      <c r="F17" s="35" t="n">
        <f aca="false">①石川予測確定!P17</f>
        <v>8</v>
      </c>
      <c r="G17" s="35" t="n">
        <f aca="false">①石川予測確定!S17</f>
        <v>79</v>
      </c>
      <c r="H17" s="37" t="n">
        <f aca="false">IFERROR(F17/G17,0)</f>
        <v>0.10126582278481</v>
      </c>
      <c r="I17" s="38" t="n">
        <f aca="false">F17-G17</f>
        <v>-71</v>
      </c>
      <c r="J17" s="39" t="str">
        <f aca="false">IF(I17&gt;0,"要 追加発注",IF(H17&gt;=0.9,"要注意(90%超)",IF(H17&gt;=0.5,"適正","在庫余剰")))</f>
        <v>在庫余剰</v>
      </c>
      <c r="K17" s="35" t="n">
        <f aca="false">IF(I17&gt;0,ROUNDUP(I17*(1+前提・入力!$B$34),0),0)</f>
        <v>0</v>
      </c>
      <c r="L17" s="35" t="n">
        <f aca="false">③仙台以降予測!M40</f>
        <v>121</v>
      </c>
      <c r="M17" s="35" t="n">
        <f aca="false">③仙台以降予測!V40</f>
        <v>609</v>
      </c>
      <c r="N17" s="35" t="n">
        <f aca="false">③仙台以降予測!W40</f>
        <v>0</v>
      </c>
      <c r="O17" s="38" t="n">
        <f aca="false">L17-M17-N17</f>
        <v>-488</v>
      </c>
      <c r="P17" s="39" t="str">
        <f aca="false">IF(O17&gt;0,"要 追加生産",IF(L17=0,"—","在庫で充足"))</f>
        <v>在庫で充足</v>
      </c>
      <c r="Q17" s="35" t="n">
        <f aca="false">③仙台以降予測!Z40</f>
        <v>0</v>
      </c>
      <c r="R17" s="35" t="n">
        <f aca="false">K17+Q17</f>
        <v>0</v>
      </c>
      <c r="S17" s="34" t="n">
        <f aca="false">R17*D17</f>
        <v>0</v>
      </c>
      <c r="T17" s="72" t="s">
        <v>531</v>
      </c>
      <c r="U17" s="32"/>
      <c r="V17" s="71" t="str">
        <f aca="false">IF(OR(U17="",U17="再生産不可"),"",U17-前提・入力!$B$38)</f>
        <v/>
      </c>
      <c r="W17" s="69"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2"/>
      <c r="Z17" s="72" t="str">
        <f aca="false">IF(Y17&lt;&gt;"",IF(I17&gt;0,"◎ 一致（モデルも会期中欠品を検知）",IF(H17&gt;=0.7,"○ 整合（予測消化率70%超）","△ モデル未検知：現場報告を優先")),IF(I17&gt;0,"▲ モデルのみ検知：現場に在庫状況を確認","—"))</f>
        <v>—</v>
      </c>
      <c r="AA17" s="69" t="s">
        <v>530</v>
      </c>
    </row>
    <row r="18" customFormat="false" ht="15" hidden="false" customHeight="false" outlineLevel="0" collapsed="false">
      <c r="A18" s="32" t="n">
        <v>12</v>
      </c>
      <c r="B18" s="32" t="s">
        <v>308</v>
      </c>
      <c r="C18" s="33" t="s">
        <v>309</v>
      </c>
      <c r="D18" s="34" t="n">
        <v>600</v>
      </c>
      <c r="E18" s="35" t="n">
        <f aca="false">①石川予測確定!E18</f>
        <v>13</v>
      </c>
      <c r="F18" s="35" t="n">
        <f aca="false">①石川予測確定!P18</f>
        <v>17</v>
      </c>
      <c r="G18" s="35" t="n">
        <f aca="false">①石川予測確定!S18</f>
        <v>107</v>
      </c>
      <c r="H18" s="37" t="n">
        <f aca="false">IFERROR(F18/G18,0)</f>
        <v>0.158878504672897</v>
      </c>
      <c r="I18" s="38" t="n">
        <f aca="false">F18-G18</f>
        <v>-90</v>
      </c>
      <c r="J18" s="39" t="str">
        <f aca="false">IF(I18&gt;0,"要 追加発注",IF(H18&gt;=0.9,"要注意(90%超)",IF(H18&gt;=0.5,"適正","在庫余剰")))</f>
        <v>在庫余剰</v>
      </c>
      <c r="K18" s="35" t="n">
        <f aca="false">IF(I18&gt;0,ROUNDUP(I18*(1+前提・入力!$B$34),0),0)</f>
        <v>0</v>
      </c>
      <c r="L18" s="35" t="n">
        <f aca="false">③仙台以降予測!M41</f>
        <v>251</v>
      </c>
      <c r="M18" s="35" t="n">
        <f aca="false">③仙台以降予測!V41</f>
        <v>891</v>
      </c>
      <c r="N18" s="35" t="n">
        <f aca="false">③仙台以降予測!W41</f>
        <v>0</v>
      </c>
      <c r="O18" s="38" t="n">
        <f aca="false">L18-M18-N18</f>
        <v>-640</v>
      </c>
      <c r="P18" s="39" t="str">
        <f aca="false">IF(O18&gt;0,"要 追加生産",IF(L18=0,"—","在庫で充足"))</f>
        <v>在庫で充足</v>
      </c>
      <c r="Q18" s="35" t="n">
        <f aca="false">③仙台以降予測!Z41</f>
        <v>0</v>
      </c>
      <c r="R18" s="35" t="n">
        <f aca="false">K18+Q18</f>
        <v>0</v>
      </c>
      <c r="S18" s="34" t="n">
        <f aca="false">R18*D18</f>
        <v>0</v>
      </c>
      <c r="T18" s="72" t="s">
        <v>531</v>
      </c>
      <c r="U18" s="32"/>
      <c r="V18" s="71" t="str">
        <f aca="false">IF(OR(U18="",U18="再生産不可"),"",U18-前提・入力!$B$38)</f>
        <v/>
      </c>
      <c r="W18" s="69"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2"/>
      <c r="Z18" s="72" t="str">
        <f aca="false">IF(Y18&lt;&gt;"",IF(I18&gt;0,"◎ 一致（モデルも会期中欠品を検知）",IF(H18&gt;=0.7,"○ 整合（予測消化率70%超）","△ モデル未検知：現場報告を優先")),IF(I18&gt;0,"▲ モデルのみ検知：現場に在庫状況を確認","—"))</f>
        <v>—</v>
      </c>
      <c r="AA18" s="69"/>
    </row>
    <row r="19" customFormat="false" ht="15" hidden="false" customHeight="false" outlineLevel="0" collapsed="false">
      <c r="A19" s="32" t="n">
        <v>13</v>
      </c>
      <c r="B19" s="32" t="s">
        <v>310</v>
      </c>
      <c r="C19" s="33" t="s">
        <v>311</v>
      </c>
      <c r="D19" s="34" t="n">
        <v>600</v>
      </c>
      <c r="E19" s="35" t="n">
        <f aca="false">①石川予測確定!E19</f>
        <v>5</v>
      </c>
      <c r="F19" s="35" t="n">
        <f aca="false">①石川予測確定!P19</f>
        <v>6</v>
      </c>
      <c r="G19" s="35" t="n">
        <f aca="false">①石川予測確定!S19</f>
        <v>52</v>
      </c>
      <c r="H19" s="37" t="n">
        <f aca="false">IFERROR(F19/G19,0)</f>
        <v>0.115384615384615</v>
      </c>
      <c r="I19" s="38" t="n">
        <f aca="false">F19-G19</f>
        <v>-46</v>
      </c>
      <c r="J19" s="39" t="str">
        <f aca="false">IF(I19&gt;0,"要 追加発注",IF(H19&gt;=0.9,"要注意(90%超)",IF(H19&gt;=0.5,"適正","在庫余剰")))</f>
        <v>在庫余剰</v>
      </c>
      <c r="K19" s="35" t="n">
        <f aca="false">IF(I19&gt;0,ROUNDUP(I19*(1+前提・入力!$B$34),0),0)</f>
        <v>0</v>
      </c>
      <c r="L19" s="35" t="n">
        <f aca="false">③仙台以降予測!M42</f>
        <v>64</v>
      </c>
      <c r="M19" s="35" t="n">
        <f aca="false">③仙台以降予測!V42</f>
        <v>305</v>
      </c>
      <c r="N19" s="35" t="n">
        <f aca="false">③仙台以降予測!W42</f>
        <v>0</v>
      </c>
      <c r="O19" s="38" t="n">
        <f aca="false">L19-M19-N19</f>
        <v>-241</v>
      </c>
      <c r="P19" s="39" t="str">
        <f aca="false">IF(O19&gt;0,"要 追加生産",IF(L19=0,"—","在庫で充足"))</f>
        <v>在庫で充足</v>
      </c>
      <c r="Q19" s="35" t="n">
        <f aca="false">③仙台以降予測!Z42</f>
        <v>0</v>
      </c>
      <c r="R19" s="35" t="n">
        <f aca="false">K19+Q19</f>
        <v>0</v>
      </c>
      <c r="S19" s="34" t="n">
        <f aca="false">R19*D19</f>
        <v>0</v>
      </c>
      <c r="T19" s="72" t="s">
        <v>531</v>
      </c>
      <c r="U19" s="32"/>
      <c r="V19" s="71" t="str">
        <f aca="false">IF(OR(U19="",U19="再生産不可"),"",U19-前提・入力!$B$38)</f>
        <v/>
      </c>
      <c r="W19" s="69"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2"/>
      <c r="Z19" s="72" t="str">
        <f aca="false">IF(Y19&lt;&gt;"",IF(I19&gt;0,"◎ 一致（モデルも会期中欠品を検知）",IF(H19&gt;=0.7,"○ 整合（予測消化率70%超）","△ モデル未検知：現場報告を優先")),IF(I19&gt;0,"▲ モデルのみ検知：現場に在庫状況を確認","—"))</f>
        <v>—</v>
      </c>
      <c r="AA19" s="69"/>
    </row>
    <row r="20" customFormat="false" ht="15" hidden="false" customHeight="false" outlineLevel="0" collapsed="false">
      <c r="A20" s="32" t="n">
        <v>14</v>
      </c>
      <c r="B20" s="32" t="s">
        <v>312</v>
      </c>
      <c r="C20" s="33" t="s">
        <v>313</v>
      </c>
      <c r="D20" s="34" t="n">
        <v>600</v>
      </c>
      <c r="E20" s="35" t="n">
        <f aca="false">①石川予測確定!E20</f>
        <v>10</v>
      </c>
      <c r="F20" s="35" t="n">
        <f aca="false">①石川予測確定!P20</f>
        <v>14</v>
      </c>
      <c r="G20" s="35" t="n">
        <f aca="false">①石川予測確定!S20</f>
        <v>53</v>
      </c>
      <c r="H20" s="37" t="n">
        <f aca="false">IFERROR(F20/G20,0)</f>
        <v>0.264150943396226</v>
      </c>
      <c r="I20" s="38" t="n">
        <f aca="false">F20-G20</f>
        <v>-39</v>
      </c>
      <c r="J20" s="39" t="str">
        <f aca="false">IF(I20&gt;0,"要 追加発注",IF(H20&gt;=0.9,"要注意(90%超)",IF(H20&gt;=0.5,"適正","在庫余剰")))</f>
        <v>在庫余剰</v>
      </c>
      <c r="K20" s="35" t="n">
        <f aca="false">IF(I20&gt;0,ROUNDUP(I20*(1+前提・入力!$B$34),0),0)</f>
        <v>0</v>
      </c>
      <c r="L20" s="35" t="n">
        <f aca="false">③仙台以降予測!M43</f>
        <v>246</v>
      </c>
      <c r="M20" s="35" t="n">
        <f aca="false">③仙台以降予測!V43</f>
        <v>1729</v>
      </c>
      <c r="N20" s="35" t="n">
        <f aca="false">③仙台以降予測!W43</f>
        <v>0</v>
      </c>
      <c r="O20" s="38" t="n">
        <f aca="false">L20-M20-N20</f>
        <v>-1483</v>
      </c>
      <c r="P20" s="39" t="str">
        <f aca="false">IF(O20&gt;0,"要 追加生産",IF(L20=0,"—","在庫で充足"))</f>
        <v>在庫で充足</v>
      </c>
      <c r="Q20" s="35" t="n">
        <f aca="false">③仙台以降予測!Z43</f>
        <v>0</v>
      </c>
      <c r="R20" s="35" t="n">
        <f aca="false">K20+Q20</f>
        <v>0</v>
      </c>
      <c r="S20" s="34" t="n">
        <f aca="false">R20*D20</f>
        <v>0</v>
      </c>
      <c r="T20" s="72" t="s">
        <v>531</v>
      </c>
      <c r="U20" s="32"/>
      <c r="V20" s="71" t="str">
        <f aca="false">IF(OR(U20="",U20="再生産不可"),"",U20-前提・入力!$B$38)</f>
        <v/>
      </c>
      <c r="W20" s="69"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D:不要</v>
      </c>
      <c r="Y20" s="72"/>
      <c r="Z20" s="72" t="str">
        <f aca="false">IF(Y20&lt;&gt;"",IF(I20&gt;0,"◎ 一致（モデルも会期中欠品を検知）",IF(H20&gt;=0.7,"○ 整合（予測消化率70%超）","△ モデル未検知：現場報告を優先")),IF(I20&gt;0,"▲ モデルのみ検知：現場に在庫状況を確認","—"))</f>
        <v>—</v>
      </c>
      <c r="AA20" s="69" t="s">
        <v>530</v>
      </c>
    </row>
    <row r="21" customFormat="false" ht="15" hidden="false" customHeight="false" outlineLevel="0" collapsed="false">
      <c r="A21" s="32" t="n">
        <v>15</v>
      </c>
      <c r="B21" s="32" t="s">
        <v>314</v>
      </c>
      <c r="C21" s="33" t="s">
        <v>315</v>
      </c>
      <c r="D21" s="34" t="n">
        <v>600</v>
      </c>
      <c r="E21" s="35" t="n">
        <f aca="false">①石川予測確定!E21</f>
        <v>17</v>
      </c>
      <c r="F21" s="35" t="n">
        <f aca="false">①石川予測確定!P21</f>
        <v>23</v>
      </c>
      <c r="G21" s="35" t="n">
        <f aca="false">①石川予測確定!S21</f>
        <v>96</v>
      </c>
      <c r="H21" s="37" t="n">
        <f aca="false">IFERROR(F21/G21,0)</f>
        <v>0.239583333333333</v>
      </c>
      <c r="I21" s="38" t="n">
        <f aca="false">F21-G21</f>
        <v>-73</v>
      </c>
      <c r="J21" s="39" t="str">
        <f aca="false">IF(I21&gt;0,"要 追加発注",IF(H21&gt;=0.9,"要注意(90%超)",IF(H21&gt;=0.5,"適正","在庫余剰")))</f>
        <v>在庫余剰</v>
      </c>
      <c r="K21" s="35" t="n">
        <f aca="false">IF(I21&gt;0,ROUNDUP(I21*(1+前提・入力!$B$34),0),0)</f>
        <v>0</v>
      </c>
      <c r="L21" s="35" t="n">
        <f aca="false">③仙台以降予測!M44</f>
        <v>324</v>
      </c>
      <c r="M21" s="35" t="n">
        <f aca="false">③仙台以降予測!V44</f>
        <v>2054</v>
      </c>
      <c r="N21" s="35" t="n">
        <f aca="false">③仙台以降予測!W44</f>
        <v>0</v>
      </c>
      <c r="O21" s="38" t="n">
        <f aca="false">L21-M21-N21</f>
        <v>-1730</v>
      </c>
      <c r="P21" s="39" t="str">
        <f aca="false">IF(O21&gt;0,"要 追加生産",IF(L21=0,"—","在庫で充足"))</f>
        <v>在庫で充足</v>
      </c>
      <c r="Q21" s="35" t="n">
        <f aca="false">③仙台以降予測!Z44</f>
        <v>0</v>
      </c>
      <c r="R21" s="35" t="n">
        <f aca="false">K21+Q21</f>
        <v>0</v>
      </c>
      <c r="S21" s="34" t="n">
        <f aca="false">R21*D21</f>
        <v>0</v>
      </c>
      <c r="T21" s="72" t="s">
        <v>531</v>
      </c>
      <c r="U21" s="32"/>
      <c r="V21" s="71" t="str">
        <f aca="false">IF(OR(U21="",U21="再生産不可"),"",U21-前提・入力!$B$38)</f>
        <v/>
      </c>
      <c r="W21" s="69"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2"/>
      <c r="Z21" s="72" t="str">
        <f aca="false">IF(Y21&lt;&gt;"",IF(I21&gt;0,"◎ 一致（モデルも会期中欠品を検知）",IF(H21&gt;=0.7,"○ 整合（予測消化率70%超）","△ モデル未検知：現場報告を優先")),IF(I21&gt;0,"▲ モデルのみ検知：現場に在庫状況を確認","—"))</f>
        <v>—</v>
      </c>
      <c r="AA21" s="69" t="s">
        <v>530</v>
      </c>
    </row>
    <row r="22" customFormat="false" ht="25.35" hidden="false" customHeight="false" outlineLevel="0" collapsed="false">
      <c r="A22" s="32" t="n">
        <v>16</v>
      </c>
      <c r="B22" s="32" t="s">
        <v>316</v>
      </c>
      <c r="C22" s="33" t="s">
        <v>317</v>
      </c>
      <c r="D22" s="34" t="n">
        <v>600</v>
      </c>
      <c r="E22" s="35" t="n">
        <f aca="false">①石川予測確定!E22</f>
        <v>4</v>
      </c>
      <c r="F22" s="35" t="n">
        <f aca="false">①石川予測確定!P22</f>
        <v>6</v>
      </c>
      <c r="G22" s="35" t="n">
        <f aca="false">①石川予測確定!S22</f>
        <v>78</v>
      </c>
      <c r="H22" s="37" t="n">
        <f aca="false">IFERROR(F22/G22,0)</f>
        <v>0.0769230769230769</v>
      </c>
      <c r="I22" s="38" t="n">
        <f aca="false">F22-G22</f>
        <v>-72</v>
      </c>
      <c r="J22" s="39" t="str">
        <f aca="false">IF(I22&gt;0,"要 追加発注",IF(H22&gt;=0.9,"要注意(90%超)",IF(H22&gt;=0.5,"適正","在庫余剰")))</f>
        <v>在庫余剰</v>
      </c>
      <c r="K22" s="35" t="n">
        <f aca="false">IF(I22&gt;0,ROUNDUP(I22*(1+前提・入力!$B$34),0),0)</f>
        <v>0</v>
      </c>
      <c r="L22" s="35" t="n">
        <f aca="false">③仙台以降予測!M45</f>
        <v>112</v>
      </c>
      <c r="M22" s="35" t="n">
        <f aca="false">③仙台以降予測!V45</f>
        <v>744</v>
      </c>
      <c r="N22" s="35" t="n">
        <f aca="false">③仙台以降予測!W45</f>
        <v>0</v>
      </c>
      <c r="O22" s="38" t="n">
        <f aca="false">L22-M22-N22</f>
        <v>-632</v>
      </c>
      <c r="P22" s="39" t="str">
        <f aca="false">IF(O22&gt;0,"要 追加生産",IF(L22=0,"—","在庫で充足"))</f>
        <v>在庫で充足</v>
      </c>
      <c r="Q22" s="35" t="n">
        <f aca="false">③仙台以降予測!Z45</f>
        <v>0</v>
      </c>
      <c r="R22" s="35" t="n">
        <f aca="false">K22+Q22</f>
        <v>0</v>
      </c>
      <c r="S22" s="34" t="n">
        <f aca="false">R22*D22</f>
        <v>0</v>
      </c>
      <c r="T22" s="72" t="s">
        <v>531</v>
      </c>
      <c r="U22" s="32"/>
      <c r="V22" s="71" t="str">
        <f aca="false">IF(OR(U22="",U22="再生産不可"),"",U22-前提・入力!$B$38)</f>
        <v/>
      </c>
      <c r="W22" s="69"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2"/>
      <c r="Z22" s="72" t="str">
        <f aca="false">IF(Y22&lt;&gt;"",IF(I22&gt;0,"◎ 一致（モデルも会期中欠品を検知）",IF(H22&gt;=0.7,"○ 整合（予測消化率70%超）","△ モデル未検知：現場報告を優先")),IF(I22&gt;0,"▲ モデルのみ検知：現場に在庫状況を確認","—"))</f>
        <v>—</v>
      </c>
      <c r="AA22" s="69" t="s">
        <v>532</v>
      </c>
    </row>
    <row r="23" customFormat="false" ht="15" hidden="false" customHeight="false" outlineLevel="0" collapsed="false">
      <c r="A23" s="32" t="n">
        <v>17</v>
      </c>
      <c r="B23" s="32" t="s">
        <v>318</v>
      </c>
      <c r="C23" s="33" t="s">
        <v>319</v>
      </c>
      <c r="D23" s="34" t="n">
        <v>600</v>
      </c>
      <c r="E23" s="35" t="n">
        <f aca="false">①石川予測確定!E23</f>
        <v>30</v>
      </c>
      <c r="F23" s="35" t="n">
        <f aca="false">①石川予測確定!P23</f>
        <v>41</v>
      </c>
      <c r="G23" s="35" t="n">
        <f aca="false">①石川予測確定!S23</f>
        <v>200</v>
      </c>
      <c r="H23" s="37" t="n">
        <f aca="false">IFERROR(F23/G23,0)</f>
        <v>0.205</v>
      </c>
      <c r="I23" s="38" t="n">
        <f aca="false">F23-G23</f>
        <v>-159</v>
      </c>
      <c r="J23" s="39" t="str">
        <f aca="false">IF(I23&gt;0,"要 追加発注",IF(H23&gt;=0.9,"要注意(90%超)",IF(H23&gt;=0.5,"適正","在庫余剰")))</f>
        <v>在庫余剰</v>
      </c>
      <c r="K23" s="35" t="n">
        <f aca="false">IF(I23&gt;0,ROUNDUP(I23*(1+前提・入力!$B$34),0),0)</f>
        <v>0</v>
      </c>
      <c r="L23" s="35" t="n">
        <f aca="false">③仙台以降予測!M46</f>
        <v>592</v>
      </c>
      <c r="M23" s="35" t="n">
        <f aca="false">③仙台以降予測!V46</f>
        <v>2380</v>
      </c>
      <c r="N23" s="35" t="n">
        <f aca="false">③仙台以降予測!W46</f>
        <v>0</v>
      </c>
      <c r="O23" s="38" t="n">
        <f aca="false">L23-M23-N23</f>
        <v>-1788</v>
      </c>
      <c r="P23" s="39" t="str">
        <f aca="false">IF(O23&gt;0,"要 追加生産",IF(L23=0,"—","在庫で充足"))</f>
        <v>在庫で充足</v>
      </c>
      <c r="Q23" s="35" t="n">
        <f aca="false">③仙台以降予測!Z46</f>
        <v>0</v>
      </c>
      <c r="R23" s="35" t="n">
        <f aca="false">K23+Q23</f>
        <v>0</v>
      </c>
      <c r="S23" s="34" t="n">
        <f aca="false">R23*D23</f>
        <v>0</v>
      </c>
      <c r="T23" s="72" t="s">
        <v>531</v>
      </c>
      <c r="U23" s="32"/>
      <c r="V23" s="71" t="str">
        <f aca="false">IF(OR(U23="",U23="再生産不可"),"",U23-前提・入力!$B$38)</f>
        <v/>
      </c>
      <c r="W23" s="69"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D:不要</v>
      </c>
      <c r="Y23" s="72"/>
      <c r="Z23" s="72" t="str">
        <f aca="false">IF(Y23&lt;&gt;"",IF(I23&gt;0,"◎ 一致（モデルも会期中欠品を検知）",IF(H23&gt;=0.7,"○ 整合（予測消化率70%超）","△ モデル未検知：現場報告を優先")),IF(I23&gt;0,"▲ モデルのみ検知：現場に在庫状況を確認","—"))</f>
        <v>—</v>
      </c>
      <c r="AA23" s="69" t="s">
        <v>530</v>
      </c>
    </row>
    <row r="24" customFormat="false" ht="15" hidden="false" customHeight="false" outlineLevel="0" collapsed="false">
      <c r="A24" s="32" t="n">
        <v>18</v>
      </c>
      <c r="B24" s="32" t="s">
        <v>320</v>
      </c>
      <c r="C24" s="33" t="s">
        <v>321</v>
      </c>
      <c r="D24" s="34" t="n">
        <v>600</v>
      </c>
      <c r="E24" s="35" t="n">
        <f aca="false">①石川予測確定!E24</f>
        <v>122</v>
      </c>
      <c r="F24" s="35" t="n">
        <f aca="false">①石川予測確定!P24</f>
        <v>152</v>
      </c>
      <c r="G24" s="35" t="n">
        <f aca="false">①石川予測確定!S24</f>
        <v>1157</v>
      </c>
      <c r="H24" s="37" t="n">
        <f aca="false">IFERROR(F24/G24,0)</f>
        <v>0.131374243733794</v>
      </c>
      <c r="I24" s="38" t="n">
        <f aca="false">F24-G24</f>
        <v>-1005</v>
      </c>
      <c r="J24" s="39" t="str">
        <f aca="false">IF(I24&gt;0,"要 追加発注",IF(H24&gt;=0.9,"要注意(90%超)",IF(H24&gt;=0.5,"適正","在庫余剰")))</f>
        <v>在庫余剰</v>
      </c>
      <c r="K24" s="35" t="n">
        <f aca="false">IF(I24&gt;0,ROUNDUP(I24*(1+前提・入力!$B$34),0),0)</f>
        <v>0</v>
      </c>
      <c r="L24" s="35" t="n">
        <f aca="false">③仙台以降予測!M47</f>
        <v>2444</v>
      </c>
      <c r="M24" s="35" t="n">
        <f aca="false">③仙台以降予測!V47</f>
        <v>9126</v>
      </c>
      <c r="N24" s="35" t="n">
        <f aca="false">③仙台以降予測!W47</f>
        <v>0</v>
      </c>
      <c r="O24" s="38" t="n">
        <f aca="false">L24-M24-N24</f>
        <v>-6682</v>
      </c>
      <c r="P24" s="39" t="str">
        <f aca="false">IF(O24&gt;0,"要 追加生産",IF(L24=0,"—","在庫で充足"))</f>
        <v>在庫で充足</v>
      </c>
      <c r="Q24" s="35" t="n">
        <f aca="false">③仙台以降予測!Z47</f>
        <v>0</v>
      </c>
      <c r="R24" s="35" t="n">
        <f aca="false">K24+Q24</f>
        <v>0</v>
      </c>
      <c r="S24" s="34" t="n">
        <f aca="false">R24*D24</f>
        <v>0</v>
      </c>
      <c r="T24" s="72" t="s">
        <v>531</v>
      </c>
      <c r="U24" s="32"/>
      <c r="V24" s="71" t="str">
        <f aca="false">IF(OR(U24="",U24="再生産不可"),"",U24-前提・入力!$B$38)</f>
        <v/>
      </c>
      <c r="W24" s="69"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2"/>
      <c r="Z24" s="72" t="str">
        <f aca="false">IF(Y24&lt;&gt;"",IF(I24&gt;0,"◎ 一致（モデルも会期中欠品を検知）",IF(H24&gt;=0.7,"○ 整合（予測消化率70%超）","△ モデル未検知：現場報告を優先")),IF(I24&gt;0,"▲ モデルのみ検知：現場に在庫状況を確認","—"))</f>
        <v>—</v>
      </c>
      <c r="AA24" s="69" t="s">
        <v>530</v>
      </c>
    </row>
    <row r="25" customFormat="false" ht="15" hidden="false" customHeight="false" outlineLevel="0" collapsed="false">
      <c r="A25" s="32" t="n">
        <v>19</v>
      </c>
      <c r="B25" s="32" t="s">
        <v>322</v>
      </c>
      <c r="C25" s="33" t="s">
        <v>323</v>
      </c>
      <c r="D25" s="34" t="n">
        <v>600</v>
      </c>
      <c r="E25" s="35" t="n">
        <f aca="false">①石川予測確定!E25</f>
        <v>4</v>
      </c>
      <c r="F25" s="35" t="n">
        <f aca="false">①石川予測確定!P25</f>
        <v>5</v>
      </c>
      <c r="G25" s="35" t="n">
        <f aca="false">①石川予測確定!S25</f>
        <v>129</v>
      </c>
      <c r="H25" s="37" t="n">
        <f aca="false">IFERROR(F25/G25,0)</f>
        <v>0.0387596899224806</v>
      </c>
      <c r="I25" s="38" t="n">
        <f aca="false">F25-G25</f>
        <v>-124</v>
      </c>
      <c r="J25" s="39" t="str">
        <f aca="false">IF(I25&gt;0,"要 追加発注",IF(H25&gt;=0.9,"要注意(90%超)",IF(H25&gt;=0.5,"適正","在庫余剰")))</f>
        <v>在庫余剰</v>
      </c>
      <c r="K25" s="35" t="n">
        <f aca="false">IF(I25&gt;0,ROUNDUP(I25*(1+前提・入力!$B$34),0),0)</f>
        <v>0</v>
      </c>
      <c r="L25" s="35" t="n">
        <f aca="false">③仙台以降予測!M48</f>
        <v>103</v>
      </c>
      <c r="M25" s="35" t="n">
        <f aca="false">③仙台以降予測!V48</f>
        <v>2214</v>
      </c>
      <c r="N25" s="35" t="n">
        <f aca="false">③仙台以降予測!W48</f>
        <v>0</v>
      </c>
      <c r="O25" s="38" t="n">
        <f aca="false">L25-M25-N25</f>
        <v>-2111</v>
      </c>
      <c r="P25" s="39" t="str">
        <f aca="false">IF(O25&gt;0,"要 追加生産",IF(L25=0,"—","在庫で充足"))</f>
        <v>在庫で充足</v>
      </c>
      <c r="Q25" s="35" t="n">
        <f aca="false">③仙台以降予測!Z48</f>
        <v>0</v>
      </c>
      <c r="R25" s="35" t="n">
        <f aca="false">K25+Q25</f>
        <v>0</v>
      </c>
      <c r="S25" s="34" t="n">
        <f aca="false">R25*D25</f>
        <v>0</v>
      </c>
      <c r="T25" s="72" t="s">
        <v>531</v>
      </c>
      <c r="U25" s="32"/>
      <c r="V25" s="71" t="str">
        <f aca="false">IF(OR(U25="",U25="再生産不可"),"",U25-前提・入力!$B$38)</f>
        <v/>
      </c>
      <c r="W25" s="69"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2"/>
      <c r="Z25" s="72" t="str">
        <f aca="false">IF(Y25&lt;&gt;"",IF(I25&gt;0,"◎ 一致（モデルも会期中欠品を検知）",IF(H25&gt;=0.7,"○ 整合（予測消化率70%超）","△ モデル未検知：現場報告を優先")),IF(I25&gt;0,"▲ モデルのみ検知：現場に在庫状況を確認","—"))</f>
        <v>—</v>
      </c>
      <c r="AA25" s="69" t="s">
        <v>530</v>
      </c>
    </row>
    <row r="26" customFormat="false" ht="15" hidden="false" customHeight="false" outlineLevel="0" collapsed="false">
      <c r="A26" s="32" t="n">
        <v>20</v>
      </c>
      <c r="B26" s="32" t="s">
        <v>324</v>
      </c>
      <c r="C26" s="33" t="s">
        <v>325</v>
      </c>
      <c r="D26" s="34" t="n">
        <v>600</v>
      </c>
      <c r="E26" s="35" t="n">
        <f aca="false">①石川予測確定!E26</f>
        <v>5</v>
      </c>
      <c r="F26" s="35" t="n">
        <f aca="false">①石川予測確定!P26</f>
        <v>7</v>
      </c>
      <c r="G26" s="35" t="n">
        <f aca="false">①石川予測確定!S26</f>
        <v>17</v>
      </c>
      <c r="H26" s="37" t="n">
        <f aca="false">IFERROR(F26/G26,0)</f>
        <v>0.411764705882353</v>
      </c>
      <c r="I26" s="38" t="n">
        <f aca="false">F26-G26</f>
        <v>-10</v>
      </c>
      <c r="J26" s="39" t="str">
        <f aca="false">IF(I26&gt;0,"要 追加発注",IF(H26&gt;=0.9,"要注意(90%超)",IF(H26&gt;=0.5,"適正","在庫余剰")))</f>
        <v>在庫余剰</v>
      </c>
      <c r="K26" s="35" t="n">
        <f aca="false">IF(I26&gt;0,ROUNDUP(I26*(1+前提・入力!$B$34),0),0)</f>
        <v>0</v>
      </c>
      <c r="L26" s="35" t="n">
        <f aca="false">③仙台以降予測!M49</f>
        <v>104</v>
      </c>
      <c r="M26" s="35" t="n">
        <f aca="false">③仙台以降予測!V49</f>
        <v>276</v>
      </c>
      <c r="N26" s="35" t="n">
        <f aca="false">③仙台以降予測!W49</f>
        <v>0</v>
      </c>
      <c r="O26" s="38" t="n">
        <f aca="false">L26-M26-N26</f>
        <v>-172</v>
      </c>
      <c r="P26" s="39" t="str">
        <f aca="false">IF(O26&gt;0,"要 追加生産",IF(L26=0,"—","在庫で充足"))</f>
        <v>在庫で充足</v>
      </c>
      <c r="Q26" s="35" t="n">
        <f aca="false">③仙台以降予測!Z49</f>
        <v>0</v>
      </c>
      <c r="R26" s="35" t="n">
        <f aca="false">K26+Q26</f>
        <v>0</v>
      </c>
      <c r="S26" s="34" t="n">
        <f aca="false">R26*D26</f>
        <v>0</v>
      </c>
      <c r="T26" s="72" t="s">
        <v>531</v>
      </c>
      <c r="U26" s="32"/>
      <c r="V26" s="71" t="str">
        <f aca="false">IF(OR(U26="",U26="再生産不可"),"",U26-前提・入力!$B$38)</f>
        <v/>
      </c>
      <c r="W26" s="69"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2"/>
      <c r="Z26" s="72" t="str">
        <f aca="false">IF(Y26&lt;&gt;"",IF(I26&gt;0,"◎ 一致（モデルも会期中欠品を検知）",IF(H26&gt;=0.7,"○ 整合（予測消化率70%超）","△ モデル未検知：現場報告を優先")),IF(I26&gt;0,"▲ モデルのみ検知：現場に在庫状況を確認","—"))</f>
        <v>—</v>
      </c>
      <c r="AA26" s="69" t="s">
        <v>530</v>
      </c>
    </row>
    <row r="27" customFormat="false" ht="25.35" hidden="false" customHeight="false" outlineLevel="0" collapsed="false">
      <c r="A27" s="32" t="n">
        <v>21</v>
      </c>
      <c r="B27" s="32" t="s">
        <v>326</v>
      </c>
      <c r="C27" s="33" t="s">
        <v>327</v>
      </c>
      <c r="D27" s="34" t="n">
        <v>600</v>
      </c>
      <c r="E27" s="35" t="n">
        <f aca="false">①石川予測確定!E27</f>
        <v>23</v>
      </c>
      <c r="F27" s="35" t="n">
        <f aca="false">①石川予測確定!P27</f>
        <v>30</v>
      </c>
      <c r="G27" s="35" t="n">
        <f aca="false">①石川予測確定!S27</f>
        <v>32</v>
      </c>
      <c r="H27" s="37" t="n">
        <f aca="false">IFERROR(F27/G27,0)</f>
        <v>0.9375</v>
      </c>
      <c r="I27" s="38" t="n">
        <f aca="false">F27-G27</f>
        <v>-2</v>
      </c>
      <c r="J27" s="39" t="str">
        <f aca="false">IF(I27&gt;0,"要 追加発注",IF(H27&gt;=0.9,"要注意(90%超)",IF(H27&gt;=0.5,"適正","在庫余剰")))</f>
        <v>要注意(90%超)</v>
      </c>
      <c r="K27" s="35" t="n">
        <f aca="false">IF(I27&gt;0,ROUNDUP(I27*(1+前提・入力!$B$34),0),0)</f>
        <v>0</v>
      </c>
      <c r="L27" s="35" t="n">
        <f aca="false">③仙台以降予測!M50</f>
        <v>484</v>
      </c>
      <c r="M27" s="35" t="n">
        <f aca="false">③仙台以降予測!V50</f>
        <v>190</v>
      </c>
      <c r="N27" s="35" t="n">
        <f aca="false">③仙台以降予測!W50</f>
        <v>0</v>
      </c>
      <c r="O27" s="38" t="n">
        <f aca="false">L27-M27-N27</f>
        <v>294</v>
      </c>
      <c r="P27" s="39" t="str">
        <f aca="false">IF(O27&gt;0,"要 追加生産",IF(L27=0,"—","在庫で充足"))</f>
        <v>要 追加生産</v>
      </c>
      <c r="Q27" s="35" t="n">
        <f aca="false">③仙台以降予測!Z50</f>
        <v>324</v>
      </c>
      <c r="R27" s="35" t="n">
        <f aca="false">K27+Q27</f>
        <v>324</v>
      </c>
      <c r="S27" s="34" t="n">
        <f aca="false">R27*D27</f>
        <v>194400</v>
      </c>
      <c r="T27" s="69" t="s">
        <v>385</v>
      </c>
      <c r="U27" s="70" t="n">
        <f aca="false">DATE(2027,3,15)-30-前提・入力!$B$37</f>
        <v>46417</v>
      </c>
      <c r="V27" s="71" t="n">
        <f aca="false">IF(OR(U27="",U27="再生産不可"),"",U27-前提・入力!$B$38)</f>
        <v>157</v>
      </c>
      <c r="W27" s="69"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C:通常</v>
      </c>
      <c r="Y27" s="72"/>
      <c r="Z27" s="72" t="str">
        <f aca="false">IF(Y27&lt;&gt;"",IF(I27&gt;0,"◎ 一致（モデルも会期中欠品を検知）",IF(H27&gt;=0.7,"○ 整合（予測消化率70%超）","△ モデル未検知：現場報告を優先")),IF(I27&gt;0,"▲ モデルのみ検知：現場に在庫状況を確認","—"))</f>
        <v>—</v>
      </c>
      <c r="AA27" s="69" t="s">
        <v>532</v>
      </c>
    </row>
    <row r="28" customFormat="false" ht="15" hidden="false" customHeight="false" outlineLevel="0" collapsed="false">
      <c r="A28" s="32" t="n">
        <v>22</v>
      </c>
      <c r="B28" s="32" t="s">
        <v>328</v>
      </c>
      <c r="C28" s="33" t="s">
        <v>329</v>
      </c>
      <c r="D28" s="34" t="n">
        <v>600</v>
      </c>
      <c r="E28" s="35" t="n">
        <f aca="false">①石川予測確定!E28</f>
        <v>19</v>
      </c>
      <c r="F28" s="35" t="n">
        <f aca="false">①石川予測確定!P28</f>
        <v>27</v>
      </c>
      <c r="G28" s="35" t="n">
        <f aca="false">①石川予測確定!S28</f>
        <v>150</v>
      </c>
      <c r="H28" s="37" t="n">
        <f aca="false">IFERROR(F28/G28,0)</f>
        <v>0.18</v>
      </c>
      <c r="I28" s="38" t="n">
        <f aca="false">F28-G28</f>
        <v>-123</v>
      </c>
      <c r="J28" s="39" t="str">
        <f aca="false">IF(I28&gt;0,"要 追加発注",IF(H28&gt;=0.9,"要注意(90%超)",IF(H28&gt;=0.5,"適正","在庫余剰")))</f>
        <v>在庫余剰</v>
      </c>
      <c r="K28" s="35" t="n">
        <f aca="false">IF(I28&gt;0,ROUNDUP(I28*(1+前提・入力!$B$34),0),0)</f>
        <v>0</v>
      </c>
      <c r="L28" s="35" t="n">
        <f aca="false">③仙台以降予測!M51</f>
        <v>335</v>
      </c>
      <c r="M28" s="35" t="n">
        <f aca="false">③仙台以降予測!V51</f>
        <v>1254</v>
      </c>
      <c r="N28" s="35" t="n">
        <f aca="false">③仙台以降予測!W51</f>
        <v>0</v>
      </c>
      <c r="O28" s="38" t="n">
        <f aca="false">L28-M28-N28</f>
        <v>-919</v>
      </c>
      <c r="P28" s="39" t="str">
        <f aca="false">IF(O28&gt;0,"要 追加生産",IF(L28=0,"—","在庫で充足"))</f>
        <v>在庫で充足</v>
      </c>
      <c r="Q28" s="35" t="n">
        <f aca="false">③仙台以降予測!Z51</f>
        <v>0</v>
      </c>
      <c r="R28" s="35" t="n">
        <f aca="false">K28+Q28</f>
        <v>0</v>
      </c>
      <c r="S28" s="34" t="n">
        <f aca="false">R28*D28</f>
        <v>0</v>
      </c>
      <c r="T28" s="72" t="s">
        <v>531</v>
      </c>
      <c r="U28" s="32"/>
      <c r="V28" s="71" t="str">
        <f aca="false">IF(OR(U28="",U28="再生産不可"),"",U28-前提・入力!$B$38)</f>
        <v/>
      </c>
      <c r="W28" s="69"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D:不要</v>
      </c>
      <c r="Y28" s="72"/>
      <c r="Z28" s="72" t="str">
        <f aca="false">IF(Y28&lt;&gt;"",IF(I28&gt;0,"◎ 一致（モデルも会期中欠品を検知）",IF(H28&gt;=0.7,"○ 整合（予測消化率70%超）","△ モデル未検知：現場報告を優先")),IF(I28&gt;0,"▲ モデルのみ検知：現場に在庫状況を確認","—"))</f>
        <v>—</v>
      </c>
      <c r="AA28" s="69" t="s">
        <v>530</v>
      </c>
    </row>
    <row r="29" customFormat="false" ht="15" hidden="false" customHeight="false" outlineLevel="0" collapsed="false">
      <c r="A29" s="32" t="n">
        <v>23</v>
      </c>
      <c r="B29" s="32" t="s">
        <v>330</v>
      </c>
      <c r="C29" s="33" t="s">
        <v>331</v>
      </c>
      <c r="D29" s="34" t="n">
        <v>600</v>
      </c>
      <c r="E29" s="35" t="n">
        <f aca="false">①石川予測確定!E29</f>
        <v>1018</v>
      </c>
      <c r="F29" s="35" t="n">
        <f aca="false">①石川予測確定!P29</f>
        <v>1292</v>
      </c>
      <c r="G29" s="35" t="n">
        <f aca="false">①石川予測確定!S29</f>
        <v>9325</v>
      </c>
      <c r="H29" s="37" t="n">
        <f aca="false">IFERROR(F29/G29,0)</f>
        <v>0.138552278820375</v>
      </c>
      <c r="I29" s="38" t="n">
        <f aca="false">F29-G29</f>
        <v>-8033</v>
      </c>
      <c r="J29" s="39" t="str">
        <f aca="false">IF(I29&gt;0,"要 追加発注",IF(H29&gt;=0.9,"要注意(90%超)",IF(H29&gt;=0.5,"適正","在庫余剰")))</f>
        <v>在庫余剰</v>
      </c>
      <c r="K29" s="35" t="n">
        <f aca="false">IF(I29&gt;0,ROUNDUP(I29*(1+前提・入力!$B$34),0),0)</f>
        <v>0</v>
      </c>
      <c r="L29" s="35" t="n">
        <f aca="false">③仙台以降予測!M52</f>
        <v>15263</v>
      </c>
      <c r="M29" s="35" t="n">
        <f aca="false">③仙台以降予測!V52</f>
        <v>48729</v>
      </c>
      <c r="N29" s="35" t="n">
        <f aca="false">③仙台以降予測!W52</f>
        <v>0</v>
      </c>
      <c r="O29" s="38" t="n">
        <f aca="false">L29-M29-N29</f>
        <v>-33466</v>
      </c>
      <c r="P29" s="39" t="str">
        <f aca="false">IF(O29&gt;0,"要 追加生産",IF(L29=0,"—","在庫で充足"))</f>
        <v>在庫で充足</v>
      </c>
      <c r="Q29" s="35" t="n">
        <f aca="false">③仙台以降予測!Z52</f>
        <v>0</v>
      </c>
      <c r="R29" s="35" t="n">
        <f aca="false">K29+Q29</f>
        <v>0</v>
      </c>
      <c r="S29" s="34" t="n">
        <f aca="false">R29*D29</f>
        <v>0</v>
      </c>
      <c r="T29" s="72" t="s">
        <v>531</v>
      </c>
      <c r="U29" s="32"/>
      <c r="V29" s="71" t="str">
        <f aca="false">IF(OR(U29="",U29="再生産不可"),"",U29-前提・入力!$B$38)</f>
        <v/>
      </c>
      <c r="W29" s="69"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2"/>
      <c r="Z29" s="72" t="str">
        <f aca="false">IF(Y29&lt;&gt;"",IF(I29&gt;0,"◎ 一致（モデルも会期中欠品を検知）",IF(H29&gt;=0.7,"○ 整合（予測消化率70%超）","△ モデル未検知：現場報告を優先")),IF(I29&gt;0,"▲ モデルのみ検知：現場に在庫状況を確認","—"))</f>
        <v>—</v>
      </c>
      <c r="AA29" s="69"/>
    </row>
    <row r="30" customFormat="false" ht="15" hidden="false" customHeight="false" outlineLevel="0" collapsed="false">
      <c r="A30" s="32" t="n">
        <v>24</v>
      </c>
      <c r="B30" s="32" t="s">
        <v>332</v>
      </c>
      <c r="C30" s="33" t="s">
        <v>333</v>
      </c>
      <c r="D30" s="34" t="n">
        <v>600</v>
      </c>
      <c r="E30" s="35" t="n">
        <f aca="false">①石川予測確定!E30</f>
        <v>668</v>
      </c>
      <c r="F30" s="35" t="n">
        <f aca="false">①石川予測確定!P30</f>
        <v>865</v>
      </c>
      <c r="G30" s="35" t="n">
        <f aca="false">①石川予測確定!S30</f>
        <v>7284</v>
      </c>
      <c r="H30" s="37" t="n">
        <f aca="false">IFERROR(F30/G30,0)</f>
        <v>0.118753432180121</v>
      </c>
      <c r="I30" s="38" t="n">
        <f aca="false">F30-G30</f>
        <v>-6419</v>
      </c>
      <c r="J30" s="39" t="str">
        <f aca="false">IF(I30&gt;0,"要 追加発注",IF(H30&gt;=0.9,"要注意(90%超)",IF(H30&gt;=0.5,"適正","在庫余剰")))</f>
        <v>在庫余剰</v>
      </c>
      <c r="K30" s="35" t="n">
        <f aca="false">IF(I30&gt;0,ROUNDUP(I30*(1+前提・入力!$B$34),0),0)</f>
        <v>0</v>
      </c>
      <c r="L30" s="35" t="n">
        <f aca="false">③仙台以降予測!M53</f>
        <v>9388</v>
      </c>
      <c r="M30" s="35" t="n">
        <f aca="false">③仙台以降予測!V53</f>
        <v>30130</v>
      </c>
      <c r="N30" s="35" t="n">
        <f aca="false">③仙台以降予測!W53</f>
        <v>0</v>
      </c>
      <c r="O30" s="38" t="n">
        <f aca="false">L30-M30-N30</f>
        <v>-20742</v>
      </c>
      <c r="P30" s="39" t="str">
        <f aca="false">IF(O30&gt;0,"要 追加生産",IF(L30=0,"—","在庫で充足"))</f>
        <v>在庫で充足</v>
      </c>
      <c r="Q30" s="35" t="n">
        <f aca="false">③仙台以降予測!Z53</f>
        <v>0</v>
      </c>
      <c r="R30" s="35" t="n">
        <f aca="false">K30+Q30</f>
        <v>0</v>
      </c>
      <c r="S30" s="34" t="n">
        <f aca="false">R30*D30</f>
        <v>0</v>
      </c>
      <c r="T30" s="72" t="s">
        <v>531</v>
      </c>
      <c r="U30" s="32"/>
      <c r="V30" s="71" t="str">
        <f aca="false">IF(OR(U30="",U30="再生産不可"),"",U30-前提・入力!$B$38)</f>
        <v/>
      </c>
      <c r="W30" s="69"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2"/>
      <c r="Z30" s="72" t="str">
        <f aca="false">IF(Y30&lt;&gt;"",IF(I30&gt;0,"◎ 一致（モデルも会期中欠品を検知）",IF(H30&gt;=0.7,"○ 整合（予測消化率70%超）","△ モデル未検知：現場報告を優先")),IF(I30&gt;0,"▲ モデルのみ検知：現場に在庫状況を確認","—"))</f>
        <v>—</v>
      </c>
      <c r="AA30" s="69"/>
    </row>
    <row r="31" customFormat="false" ht="15" hidden="false" customHeight="false" outlineLevel="0" collapsed="false">
      <c r="A31" s="32" t="n">
        <v>25</v>
      </c>
      <c r="B31" s="32" t="s">
        <v>334</v>
      </c>
      <c r="C31" s="33" t="s">
        <v>335</v>
      </c>
      <c r="D31" s="34" t="n">
        <v>1500</v>
      </c>
      <c r="E31" s="35" t="n">
        <f aca="false">①石川予測確定!E31</f>
        <v>43</v>
      </c>
      <c r="F31" s="35" t="n">
        <f aca="false">①石川予測確定!P31</f>
        <v>58</v>
      </c>
      <c r="G31" s="35" t="n">
        <f aca="false">①石川予測確定!S31</f>
        <v>176</v>
      </c>
      <c r="H31" s="37" t="n">
        <f aca="false">IFERROR(F31/G31,0)</f>
        <v>0.329545454545455</v>
      </c>
      <c r="I31" s="38" t="n">
        <f aca="false">F31-G31</f>
        <v>-118</v>
      </c>
      <c r="J31" s="39" t="str">
        <f aca="false">IF(I31&gt;0,"要 追加発注",IF(H31&gt;=0.9,"要注意(90%超)",IF(H31&gt;=0.5,"適正","在庫余剰")))</f>
        <v>在庫余剰</v>
      </c>
      <c r="K31" s="35" t="n">
        <f aca="false">IF(I31&gt;0,ROUNDUP(I31*(1+前提・入力!$B$34),0),0)</f>
        <v>0</v>
      </c>
      <c r="L31" s="35" t="n">
        <f aca="false">③仙台以降予測!M54</f>
        <v>534</v>
      </c>
      <c r="M31" s="35" t="n">
        <f aca="false">③仙台以降予測!V54</f>
        <v>3393</v>
      </c>
      <c r="N31" s="35" t="n">
        <f aca="false">③仙台以降予測!W54</f>
        <v>0</v>
      </c>
      <c r="O31" s="38" t="n">
        <f aca="false">L31-M31-N31</f>
        <v>-2859</v>
      </c>
      <c r="P31" s="39" t="str">
        <f aca="false">IF(O31&gt;0,"要 追加生産",IF(L31=0,"—","在庫で充足"))</f>
        <v>在庫で充足</v>
      </c>
      <c r="Q31" s="35" t="n">
        <f aca="false">③仙台以降予測!Z54</f>
        <v>0</v>
      </c>
      <c r="R31" s="35" t="n">
        <f aca="false">K31+Q31</f>
        <v>0</v>
      </c>
      <c r="S31" s="34" t="n">
        <f aca="false">R31*D31</f>
        <v>0</v>
      </c>
      <c r="T31" s="72" t="s">
        <v>531</v>
      </c>
      <c r="U31" s="32"/>
      <c r="V31" s="71" t="str">
        <f aca="false">IF(OR(U31="",U31="再生産不可"),"",U31-前提・入力!$B$38)</f>
        <v/>
      </c>
      <c r="W31" s="69"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2"/>
      <c r="Z31" s="72" t="str">
        <f aca="false">IF(Y31&lt;&gt;"",IF(I31&gt;0,"◎ 一致（モデルも会期中欠品を検知）",IF(H31&gt;=0.7,"○ 整合（予測消化率70%超）","△ モデル未検知：現場報告を優先")),IF(I31&gt;0,"▲ モデルのみ検知：現場に在庫状況を確認","—"))</f>
        <v>—</v>
      </c>
      <c r="AA31" s="69" t="s">
        <v>530</v>
      </c>
    </row>
    <row r="32" customFormat="false" ht="25.35" hidden="false" customHeight="false" outlineLevel="0" collapsed="false">
      <c r="A32" s="32" t="n">
        <v>26</v>
      </c>
      <c r="B32" s="32" t="s">
        <v>336</v>
      </c>
      <c r="C32" s="33" t="s">
        <v>337</v>
      </c>
      <c r="D32" s="34" t="n">
        <v>2200</v>
      </c>
      <c r="E32" s="35" t="n">
        <f aca="false">①石川予測確定!E32</f>
        <v>50</v>
      </c>
      <c r="F32" s="35" t="n">
        <f aca="false">①石川予測確定!P32</f>
        <v>70</v>
      </c>
      <c r="G32" s="35" t="n">
        <f aca="false">①石川予測確定!S32</f>
        <v>50</v>
      </c>
      <c r="H32" s="37" t="n">
        <f aca="false">IFERROR(F32/G32,0)</f>
        <v>1.4</v>
      </c>
      <c r="I32" s="38" t="n">
        <f aca="false">F32-G32</f>
        <v>20</v>
      </c>
      <c r="J32" s="39" t="str">
        <f aca="false">IF(I32&gt;0,"要 追加発注",IF(H32&gt;=0.9,"要注意(90%超)",IF(H32&gt;=0.5,"適正","在庫余剰")))</f>
        <v>要 追加発注</v>
      </c>
      <c r="K32" s="35" t="n">
        <f aca="false">IF(I32&gt;0,ROUNDUP(I32*(1+前提・入力!$B$34),0),0)</f>
        <v>22</v>
      </c>
      <c r="L32" s="35" t="n">
        <f aca="false">③仙台以降予測!M55</f>
        <v>1112</v>
      </c>
      <c r="M32" s="35" t="n">
        <f aca="false">③仙台以降予測!V55</f>
        <v>229</v>
      </c>
      <c r="N32" s="35" t="n">
        <f aca="false">③仙台以降予測!W55</f>
        <v>0</v>
      </c>
      <c r="O32" s="38" t="n">
        <f aca="false">L32-M32-N32</f>
        <v>883</v>
      </c>
      <c r="P32" s="39" t="str">
        <f aca="false">IF(O32&gt;0,"要 追加生産",IF(L32=0,"—","在庫で充足"))</f>
        <v>要 追加生産</v>
      </c>
      <c r="Q32" s="35" t="n">
        <f aca="false">③仙台以降予測!Z55</f>
        <v>972</v>
      </c>
      <c r="R32" s="35" t="n">
        <f aca="false">K32+Q32</f>
        <v>994</v>
      </c>
      <c r="S32" s="34" t="n">
        <f aca="false">R32*D32</f>
        <v>2186800</v>
      </c>
      <c r="T32" s="69" t="s">
        <v>384</v>
      </c>
      <c r="U32" s="70" t="n">
        <f aca="false">DATE(2026,12,16)-75-前提・入力!$B$37</f>
        <v>46283</v>
      </c>
      <c r="V32" s="71" t="n">
        <f aca="false">IF(OR(U32="",U32="再生産不可"),"",U32-前提・入力!$B$38)</f>
        <v>23</v>
      </c>
      <c r="W32" s="69" t="str">
        <f aca="false">IF(T32="—","—",IF(U32="再生産不可","×再生産不可",_xlfn.IFS(V32&lt;0,"★期限超過",V32&lt;=30,"★至急(30日以内)",V32&lt;=90,"要着手(90日以内)",TRUE(),"余裕あり")))</f>
        <v>★至急(30日以内)</v>
      </c>
      <c r="X32" s="32" t="str">
        <f aca="false">IF(Y32&lt;&gt;"",IF(FALSE(),"S:現場欠品(追納不可)","S:現場欠品"),IF(I32&gt;0,"A:会期中欠品",IF(O32&gt;1000,"B:大口",IF(O32&gt;0,"C:通常","D:不要"))))</f>
        <v>A:会期中欠品</v>
      </c>
      <c r="Y32" s="72"/>
      <c r="Z32" s="72" t="str">
        <f aca="false">IF(Y32&lt;&gt;"",IF(I32&gt;0,"◎ 一致（モデルも会期中欠品を検知）",IF(H32&gt;=0.7,"○ 整合（予測消化率70%超）","△ モデル未検知：現場報告を優先")),IF(I32&gt;0,"▲ モデルのみ検知：現場に在庫状況を確認","—"))</f>
        <v>▲ モデルのみ検知：現場に在庫状況を確認</v>
      </c>
      <c r="AA32" s="69" t="s">
        <v>533</v>
      </c>
    </row>
    <row r="33" customFormat="false" ht="15" hidden="false" customHeight="false" outlineLevel="0" collapsed="false">
      <c r="A33" s="32" t="n">
        <v>27</v>
      </c>
      <c r="B33" s="32" t="s">
        <v>338</v>
      </c>
      <c r="C33" s="33" t="s">
        <v>339</v>
      </c>
      <c r="D33" s="34" t="n">
        <v>1100</v>
      </c>
      <c r="E33" s="35" t="n">
        <f aca="false">①石川予測確定!E33</f>
        <v>13</v>
      </c>
      <c r="F33" s="35" t="n">
        <f aca="false">①石川予測確定!P33</f>
        <v>18</v>
      </c>
      <c r="G33" s="35" t="n">
        <f aca="false">①石川予測確定!S33</f>
        <v>70</v>
      </c>
      <c r="H33" s="37" t="n">
        <f aca="false">IFERROR(F33/G33,0)</f>
        <v>0.257142857142857</v>
      </c>
      <c r="I33" s="38" t="n">
        <f aca="false">F33-G33</f>
        <v>-52</v>
      </c>
      <c r="J33" s="39" t="str">
        <f aca="false">IF(I33&gt;0,"要 追加発注",IF(H33&gt;=0.9,"要注意(90%超)",IF(H33&gt;=0.5,"適正","在庫余剰")))</f>
        <v>在庫余剰</v>
      </c>
      <c r="K33" s="35" t="n">
        <f aca="false">IF(I33&gt;0,ROUNDUP(I33*(1+前提・入力!$B$34),0),0)</f>
        <v>0</v>
      </c>
      <c r="L33" s="35" t="n">
        <f aca="false">③仙台以降予測!M56</f>
        <v>280</v>
      </c>
      <c r="M33" s="35" t="n">
        <f aca="false">③仙台以降予測!V56</f>
        <v>1131</v>
      </c>
      <c r="N33" s="35" t="n">
        <f aca="false">③仙台以降予測!W56</f>
        <v>0</v>
      </c>
      <c r="O33" s="38" t="n">
        <f aca="false">L33-M33-N33</f>
        <v>-851</v>
      </c>
      <c r="P33" s="39" t="str">
        <f aca="false">IF(O33&gt;0,"要 追加生産",IF(L33=0,"—","在庫で充足"))</f>
        <v>在庫で充足</v>
      </c>
      <c r="Q33" s="35" t="n">
        <f aca="false">③仙台以降予測!Z56</f>
        <v>0</v>
      </c>
      <c r="R33" s="35" t="n">
        <f aca="false">K33+Q33</f>
        <v>0</v>
      </c>
      <c r="S33" s="34" t="n">
        <f aca="false">R33*D33</f>
        <v>0</v>
      </c>
      <c r="T33" s="72" t="s">
        <v>531</v>
      </c>
      <c r="U33" s="32"/>
      <c r="V33" s="71" t="str">
        <f aca="false">IF(OR(U33="",U33="再生産不可"),"",U33-前提・入力!$B$38)</f>
        <v/>
      </c>
      <c r="W33" s="69"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2"/>
      <c r="Z33" s="72" t="str">
        <f aca="false">IF(Y33&lt;&gt;"",IF(I33&gt;0,"◎ 一致（モデルも会期中欠品を検知）",IF(H33&gt;=0.7,"○ 整合（予測消化率70%超）","△ モデル未検知：現場報告を優先")),IF(I33&gt;0,"▲ モデルのみ検知：現場に在庫状況を確認","—"))</f>
        <v>—</v>
      </c>
      <c r="AA33" s="69" t="s">
        <v>530</v>
      </c>
    </row>
    <row r="34" customFormat="false" ht="49.25" hidden="false" customHeight="false" outlineLevel="0" collapsed="false">
      <c r="A34" s="32" t="n">
        <v>28</v>
      </c>
      <c r="B34" s="32" t="s">
        <v>340</v>
      </c>
      <c r="C34" s="33" t="s">
        <v>341</v>
      </c>
      <c r="D34" s="34" t="n">
        <v>1800</v>
      </c>
      <c r="E34" s="35" t="n">
        <f aca="false">①石川予測確定!E34</f>
        <v>80</v>
      </c>
      <c r="F34" s="35" t="n">
        <f aca="false">①石川予測確定!P34</f>
        <v>92</v>
      </c>
      <c r="G34" s="35" t="n">
        <f aca="false">①石川予測確定!S34</f>
        <v>80</v>
      </c>
      <c r="H34" s="37" t="n">
        <f aca="false">IFERROR(F34/G34,0)</f>
        <v>1.15</v>
      </c>
      <c r="I34" s="38" t="n">
        <f aca="false">F34-G34</f>
        <v>12</v>
      </c>
      <c r="J34" s="39" t="str">
        <f aca="false">IF(I34&gt;0,"要 追加発注",IF(H34&gt;=0.9,"要注意(90%超)",IF(H34&gt;=0.5,"適正","在庫余剰")))</f>
        <v>要 追加発注</v>
      </c>
      <c r="K34" s="35" t="n">
        <f aca="false">IF(I34&gt;0,ROUNDUP(I34*(1+前提・入力!$B$34),0),0)</f>
        <v>14</v>
      </c>
      <c r="L34" s="35" t="n">
        <f aca="false">③仙台以降予測!M57</f>
        <v>1589</v>
      </c>
      <c r="M34" s="35" t="n">
        <f aca="false">③仙台以降予測!V57</f>
        <v>68</v>
      </c>
      <c r="N34" s="35" t="n">
        <f aca="false">③仙台以降予測!W57</f>
        <v>1200</v>
      </c>
      <c r="O34" s="38" t="n">
        <f aca="false">L34-M34-N34</f>
        <v>321</v>
      </c>
      <c r="P34" s="39" t="str">
        <f aca="false">IF(O34&gt;0,"要 追加生産",IF(L34=0,"—","在庫で充足"))</f>
        <v>要 追加生産</v>
      </c>
      <c r="Q34" s="35" t="n">
        <f aca="false">③仙台以降予測!Z57</f>
        <v>354</v>
      </c>
      <c r="R34" s="35" t="n">
        <f aca="false">K34+Q34</f>
        <v>368</v>
      </c>
      <c r="S34" s="34" t="n">
        <f aca="false">R34*D34</f>
        <v>662400</v>
      </c>
      <c r="T34" s="69" t="s">
        <v>534</v>
      </c>
      <c r="U34" s="70" t="n">
        <f aca="false">DATE(2026,9,5)-90-前提・入力!$B$37</f>
        <v>46166</v>
      </c>
      <c r="V34" s="71" t="n">
        <f aca="false">IF(OR(U34="",U34="再生産不可"),"",U34-前提・入力!$B$38)</f>
        <v>-94</v>
      </c>
      <c r="W34" s="69" t="s">
        <v>535</v>
      </c>
      <c r="X34" s="32" t="str">
        <f aca="false">IF(Y34&lt;&gt;"",IF(FALSE(),"S:現場欠品(追納不可)","S:現場欠品"),IF(I34&gt;0,"A:会期中欠品",IF(O34&gt;1000,"B:大口",IF(O34&gt;0,"C:通常","D:不要"))))</f>
        <v>A:会期中欠品</v>
      </c>
      <c r="Y34" s="72"/>
      <c r="Z34" s="72" t="str">
        <f aca="false">IF(Y34&lt;&gt;"",IF(I34&gt;0,"◎ 一致（モデルも会期中欠品を検知）",IF(H34&gt;=0.7,"○ 整合（予測消化率70%超）","△ モデル未検知：現場報告を優先")),IF(I34&gt;0,"▲ モデルのみ検知：現場に在庫状況を確認","—"))</f>
        <v>▲ モデルのみ検知：現場に在庫状況を確認</v>
      </c>
      <c r="AA34" s="69" t="s">
        <v>536</v>
      </c>
    </row>
    <row r="35" customFormat="false" ht="37.3" hidden="false" customHeight="false" outlineLevel="0" collapsed="false">
      <c r="A35" s="32" t="n">
        <v>29</v>
      </c>
      <c r="B35" s="32" t="s">
        <v>342</v>
      </c>
      <c r="C35" s="33" t="s">
        <v>343</v>
      </c>
      <c r="D35" s="34" t="n">
        <v>1500</v>
      </c>
      <c r="E35" s="35" t="n">
        <f aca="false">①石川予測確定!E35</f>
        <v>71</v>
      </c>
      <c r="F35" s="35" t="n">
        <f aca="false">①石川予測確定!P35</f>
        <v>83</v>
      </c>
      <c r="G35" s="35" t="n">
        <f aca="false">①石川予測確定!S35</f>
        <v>120</v>
      </c>
      <c r="H35" s="37" t="n">
        <f aca="false">IFERROR(F35/G35,0)</f>
        <v>0.691666666666667</v>
      </c>
      <c r="I35" s="38" t="n">
        <f aca="false">F35-G35</f>
        <v>-37</v>
      </c>
      <c r="J35" s="39" t="str">
        <f aca="false">IF(I35&gt;0,"要 追加発注",IF(H35&gt;=0.9,"要注意(90%超)",IF(H35&gt;=0.5,"適正","在庫余剰")))</f>
        <v>適正</v>
      </c>
      <c r="K35" s="35" t="n">
        <f aca="false">IF(I35&gt;0,ROUNDUP(I35*(1+前提・入力!$B$34),0),0)</f>
        <v>0</v>
      </c>
      <c r="L35" s="35" t="n">
        <f aca="false">③仙台以降予測!M58</f>
        <v>1052</v>
      </c>
      <c r="M35" s="35" t="n">
        <f aca="false">③仙台以降予測!V58</f>
        <v>177</v>
      </c>
      <c r="N35" s="35" t="n">
        <f aca="false">③仙台以降予測!W58</f>
        <v>0</v>
      </c>
      <c r="O35" s="38" t="n">
        <f aca="false">L35-M35-N35</f>
        <v>875</v>
      </c>
      <c r="P35" s="39" t="str">
        <f aca="false">IF(O35&gt;0,"要 追加生産",IF(L35=0,"—","在庫で充足"))</f>
        <v>要 追加生産</v>
      </c>
      <c r="Q35" s="35" t="n">
        <f aca="false">③仙台以降予測!Z58</f>
        <v>963</v>
      </c>
      <c r="R35" s="35" t="n">
        <f aca="false">K35+Q35</f>
        <v>963</v>
      </c>
      <c r="S35" s="34" t="n">
        <f aca="false">R35*D35</f>
        <v>1444500</v>
      </c>
      <c r="T35" s="69" t="s">
        <v>384</v>
      </c>
      <c r="U35" s="70" t="n">
        <f aca="false">DATE(2026,12,16)-90-前提・入力!$B$37</f>
        <v>46268</v>
      </c>
      <c r="V35" s="71" t="n">
        <f aca="false">IF(OR(U35="",U35="再生産不可"),"",U35-前提・入力!$B$38)</f>
        <v>8</v>
      </c>
      <c r="W35" s="69" t="str">
        <f aca="false">IF(T35="—","—",IF(U35="再生産不可","×再生産不可",_xlfn.IFS(V35&lt;0,"★期限超過",V35&lt;=30,"★至急(30日以内)",V35&lt;=90,"要着手(90日以内)",TRUE(),"余裕あり")))</f>
        <v>★至急(30日以内)</v>
      </c>
      <c r="X35" s="32" t="str">
        <f aca="false">IF(Y35&lt;&gt;"",IF(FALSE(),"S:現場欠品(追納不可)","S:現場欠品"),IF(I35&gt;0,"A:会期中欠品",IF(O35&gt;1000,"B:大口",IF(O35&gt;0,"C:通常","D:不要"))))</f>
        <v>C:通常</v>
      </c>
      <c r="Y35" s="72"/>
      <c r="Z35" s="72" t="str">
        <f aca="false">IF(Y35&lt;&gt;"",IF(I35&gt;0,"◎ 一致（モデルも会期中欠品を検知）",IF(H35&gt;=0.7,"○ 整合（予測消化率70%超）","△ モデル未検知：現場報告を優先")),IF(I35&gt;0,"▲ モデルのみ検知：現場に在庫状況を確認","—"))</f>
        <v>—</v>
      </c>
      <c r="AA35" s="69" t="s">
        <v>537</v>
      </c>
    </row>
    <row r="36" customFormat="false" ht="15" hidden="false" customHeight="false" outlineLevel="0" collapsed="false">
      <c r="A36" s="32" t="n">
        <v>30</v>
      </c>
      <c r="B36" s="32" t="s">
        <v>344</v>
      </c>
      <c r="C36" s="33" t="s">
        <v>345</v>
      </c>
      <c r="D36" s="34" t="n">
        <v>3300</v>
      </c>
      <c r="E36" s="35" t="n">
        <f aca="false">①石川予測確定!E36</f>
        <v>34</v>
      </c>
      <c r="F36" s="35" t="n">
        <f aca="false">①石川予測確定!P36</f>
        <v>45</v>
      </c>
      <c r="G36" s="35" t="n">
        <f aca="false">①石川予測確定!S36</f>
        <v>278</v>
      </c>
      <c r="H36" s="37" t="n">
        <f aca="false">IFERROR(F36/G36,0)</f>
        <v>0.161870503597122</v>
      </c>
      <c r="I36" s="38" t="n">
        <f aca="false">F36-G36</f>
        <v>-233</v>
      </c>
      <c r="J36" s="39" t="str">
        <f aca="false">IF(I36&gt;0,"要 追加発注",IF(H36&gt;=0.9,"要注意(90%超)",IF(H36&gt;=0.5,"適正","在庫余剰")))</f>
        <v>在庫余剰</v>
      </c>
      <c r="K36" s="35" t="n">
        <f aca="false">IF(I36&gt;0,ROUNDUP(I36*(1+前提・入力!$B$34),0),0)</f>
        <v>0</v>
      </c>
      <c r="L36" s="35" t="n">
        <f aca="false">③仙台以降予測!M59</f>
        <v>519</v>
      </c>
      <c r="M36" s="35" t="n">
        <f aca="false">③仙台以降予測!V59</f>
        <v>781</v>
      </c>
      <c r="N36" s="35" t="n">
        <f aca="false">③仙台以降予測!W59</f>
        <v>0</v>
      </c>
      <c r="O36" s="38" t="n">
        <f aca="false">L36-M36-N36</f>
        <v>-262</v>
      </c>
      <c r="P36" s="39" t="str">
        <f aca="false">IF(O36&gt;0,"要 追加生産",IF(L36=0,"—","在庫で充足"))</f>
        <v>在庫で充足</v>
      </c>
      <c r="Q36" s="35" t="n">
        <f aca="false">③仙台以降予測!Z59</f>
        <v>0</v>
      </c>
      <c r="R36" s="35" t="n">
        <f aca="false">K36+Q36</f>
        <v>0</v>
      </c>
      <c r="S36" s="34" t="n">
        <f aca="false">R36*D36</f>
        <v>0</v>
      </c>
      <c r="T36" s="72" t="s">
        <v>531</v>
      </c>
      <c r="U36" s="32"/>
      <c r="V36" s="71" t="str">
        <f aca="false">IF(OR(U36="",U36="再生産不可"),"",U36-前提・入力!$B$38)</f>
        <v/>
      </c>
      <c r="W36" s="69"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2"/>
      <c r="Z36" s="72" t="str">
        <f aca="false">IF(Y36&lt;&gt;"",IF(I36&gt;0,"◎ 一致（モデルも会期中欠品を検知）",IF(H36&gt;=0.7,"○ 整合（予測消化率70%超）","△ モデル未検知：現場報告を優先")),IF(I36&gt;0,"▲ モデルのみ検知：現場に在庫状況を確認","—"))</f>
        <v>—</v>
      </c>
      <c r="AA36" s="69" t="s">
        <v>530</v>
      </c>
    </row>
    <row r="37" customFormat="false" ht="15" hidden="false" customHeight="false" outlineLevel="0" collapsed="false">
      <c r="A37" s="32" t="n">
        <v>31</v>
      </c>
      <c r="B37" s="32" t="s">
        <v>346</v>
      </c>
      <c r="C37" s="33" t="s">
        <v>347</v>
      </c>
      <c r="D37" s="34" t="n">
        <v>1300</v>
      </c>
      <c r="E37" s="35" t="n">
        <f aca="false">①石川予測確定!E37</f>
        <v>47</v>
      </c>
      <c r="F37" s="35" t="n">
        <f aca="false">①石川予測確定!P37</f>
        <v>61</v>
      </c>
      <c r="G37" s="35" t="n">
        <f aca="false">①石川予測確定!S37</f>
        <v>249</v>
      </c>
      <c r="H37" s="37" t="n">
        <f aca="false">IFERROR(F37/G37,0)</f>
        <v>0.244979919678715</v>
      </c>
      <c r="I37" s="38" t="n">
        <f aca="false">F37-G37</f>
        <v>-188</v>
      </c>
      <c r="J37" s="39" t="str">
        <f aca="false">IF(I37&gt;0,"要 追加発注",IF(H37&gt;=0.9,"要注意(90%超)",IF(H37&gt;=0.5,"適正","在庫余剰")))</f>
        <v>在庫余剰</v>
      </c>
      <c r="K37" s="35" t="n">
        <f aca="false">IF(I37&gt;0,ROUNDUP(I37*(1+前提・入力!$B$34),0),0)</f>
        <v>0</v>
      </c>
      <c r="L37" s="35" t="n">
        <f aca="false">③仙台以降予測!M60</f>
        <v>715</v>
      </c>
      <c r="M37" s="35" t="n">
        <f aca="false">③仙台以降予測!V60</f>
        <v>765</v>
      </c>
      <c r="N37" s="35" t="n">
        <f aca="false">③仙台以降予測!W60</f>
        <v>0</v>
      </c>
      <c r="O37" s="38" t="n">
        <f aca="false">L37-M37-N37</f>
        <v>-50</v>
      </c>
      <c r="P37" s="39" t="str">
        <f aca="false">IF(O37&gt;0,"要 追加生産",IF(L37=0,"—","在庫で充足"))</f>
        <v>在庫で充足</v>
      </c>
      <c r="Q37" s="35" t="n">
        <f aca="false">③仙台以降予測!Z60</f>
        <v>0</v>
      </c>
      <c r="R37" s="35" t="n">
        <f aca="false">K37+Q37</f>
        <v>0</v>
      </c>
      <c r="S37" s="34" t="n">
        <f aca="false">R37*D37</f>
        <v>0</v>
      </c>
      <c r="T37" s="72" t="s">
        <v>531</v>
      </c>
      <c r="U37" s="32"/>
      <c r="V37" s="71" t="str">
        <f aca="false">IF(OR(U37="",U37="再生産不可"),"",U37-前提・入力!$B$38)</f>
        <v/>
      </c>
      <c r="W37" s="69"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2"/>
      <c r="Z37" s="72" t="str">
        <f aca="false">IF(Y37&lt;&gt;"",IF(I37&gt;0,"◎ 一致（モデルも会期中欠品を検知）",IF(H37&gt;=0.7,"○ 整合（予測消化率70%超）","△ モデル未検知：現場報告を優先")),IF(I37&gt;0,"▲ モデルのみ検知：現場に在庫状況を確認","—"))</f>
        <v>—</v>
      </c>
      <c r="AA37" s="69" t="s">
        <v>530</v>
      </c>
    </row>
    <row r="38" customFormat="false" ht="37.3" hidden="false" customHeight="false" outlineLevel="0" collapsed="false">
      <c r="A38" s="32" t="n">
        <v>32</v>
      </c>
      <c r="B38" s="32" t="s">
        <v>348</v>
      </c>
      <c r="C38" s="33" t="s">
        <v>349</v>
      </c>
      <c r="D38" s="34" t="n">
        <v>8800</v>
      </c>
      <c r="E38" s="35" t="n">
        <f aca="false">①石川予測確定!E38</f>
        <v>5</v>
      </c>
      <c r="F38" s="35" t="n">
        <f aca="false">①石川予測確定!P38</f>
        <v>5</v>
      </c>
      <c r="G38" s="35" t="n">
        <f aca="false">①石川予測確定!S38</f>
        <v>5</v>
      </c>
      <c r="H38" s="37" t="n">
        <f aca="false">IFERROR(F38/G38,0)</f>
        <v>1</v>
      </c>
      <c r="I38" s="38" t="n">
        <f aca="false">F38-G38</f>
        <v>0</v>
      </c>
      <c r="J38" s="39" t="str">
        <f aca="false">IF(I38&gt;0,"要 追加発注",IF(H38&gt;=0.9,"要注意(90%超)",IF(H38&gt;=0.5,"適正","在庫余剰")))</f>
        <v>要注意(90%超)</v>
      </c>
      <c r="K38" s="35" t="n">
        <f aca="false">IF(I38&gt;0,ROUNDUP(I38*(1+前提・入力!$B$34),0),0)</f>
        <v>0</v>
      </c>
      <c r="L38" s="35" t="n">
        <f aca="false">③仙台以降予測!M61</f>
        <v>64</v>
      </c>
      <c r="M38" s="35" t="n">
        <f aca="false">③仙台以降予測!V61</f>
        <v>15</v>
      </c>
      <c r="N38" s="35" t="n">
        <f aca="false">③仙台以降予測!W61</f>
        <v>0</v>
      </c>
      <c r="O38" s="38" t="n">
        <f aca="false">L38-M38-N38</f>
        <v>49</v>
      </c>
      <c r="P38" s="39" t="str">
        <f aca="false">IF(O38&gt;0,"要 追加生産",IF(L38=0,"—","在庫で充足"))</f>
        <v>要 追加生産</v>
      </c>
      <c r="Q38" s="35" t="n">
        <f aca="false">③仙台以降予測!Z61</f>
        <v>54</v>
      </c>
      <c r="R38" s="35" t="n">
        <f aca="false">K38+Q38</f>
        <v>54</v>
      </c>
      <c r="S38" s="34" t="n">
        <f aca="false">R38*D38</f>
        <v>475200</v>
      </c>
      <c r="T38" s="69" t="s">
        <v>384</v>
      </c>
      <c r="U38" s="70" t="n">
        <f aca="false">DATE(2026,12,16)-90-前提・入力!$B$37</f>
        <v>46268</v>
      </c>
      <c r="V38" s="71" t="n">
        <f aca="false">IF(OR(U38="",U38="再生産不可"),"",U38-前提・入力!$B$38)</f>
        <v>8</v>
      </c>
      <c r="W38" s="69" t="str">
        <f aca="false">IF(T38="—","—",IF(U38="再生産不可","×再生産不可",_xlfn.IFS(V38&lt;0,"★期限超過",V38&lt;=30,"★至急(30日以内)",V38&lt;=90,"要着手(90日以内)",TRUE(),"余裕あり")))</f>
        <v>★至急(30日以内)</v>
      </c>
      <c r="X38" s="32" t="str">
        <f aca="false">IF(Y38&lt;&gt;"",IF(FALSE(),"S:現場欠品(追納不可)","S:現場欠品"),IF(I38&gt;0,"A:会期中欠品",IF(O38&gt;1000,"B:大口",IF(O38&gt;0,"C:通常","D:不要"))))</f>
        <v>C:通常</v>
      </c>
      <c r="Y38" s="72"/>
      <c r="Z38" s="72" t="str">
        <f aca="false">IF(Y38&lt;&gt;"",IF(I38&gt;0,"◎ 一致（モデルも会期中欠品を検知）",IF(H38&gt;=0.7,"○ 整合（予測消化率70%超）","△ モデル未検知：現場報告を優先")),IF(I38&gt;0,"▲ モデルのみ検知：現場に在庫状況を確認","—"))</f>
        <v>—</v>
      </c>
      <c r="AA38" s="69" t="s">
        <v>538</v>
      </c>
    </row>
    <row r="39" customFormat="false" ht="15" hidden="false" customHeight="false" outlineLevel="0" collapsed="false">
      <c r="A39" s="32" t="n">
        <v>33</v>
      </c>
      <c r="B39" s="32" t="s">
        <v>350</v>
      </c>
      <c r="C39" s="33" t="s">
        <v>351</v>
      </c>
      <c r="D39" s="34" t="n">
        <v>27500</v>
      </c>
      <c r="E39" s="35" t="n">
        <f aca="false">①石川予測確定!E39</f>
        <v>4</v>
      </c>
      <c r="F39" s="35" t="n">
        <f aca="false">①石川予測確定!P39</f>
        <v>5</v>
      </c>
      <c r="G39" s="35" t="n">
        <f aca="false">①石川予測確定!S39</f>
        <v>21</v>
      </c>
      <c r="H39" s="37" t="n">
        <f aca="false">IFERROR(F39/G39,0)</f>
        <v>0.238095238095238</v>
      </c>
      <c r="I39" s="38" t="n">
        <f aca="false">F39-G39</f>
        <v>-16</v>
      </c>
      <c r="J39" s="39" t="str">
        <f aca="false">IF(I39&gt;0,"要 追加発注",IF(H39&gt;=0.9,"要注意(90%超)",IF(H39&gt;=0.5,"適正","在庫余剰")))</f>
        <v>在庫余剰</v>
      </c>
      <c r="K39" s="35" t="n">
        <f aca="false">IF(I39&gt;0,ROUNDUP(I39*(1+前提・入力!$B$34),0),0)</f>
        <v>0</v>
      </c>
      <c r="L39" s="35" t="n">
        <f aca="false">③仙台以降予測!M62</f>
        <v>40</v>
      </c>
      <c r="M39" s="35" t="n">
        <f aca="false">③仙台以降予測!V62</f>
        <v>98</v>
      </c>
      <c r="N39" s="35" t="n">
        <f aca="false">③仙台以降予測!W62</f>
        <v>0</v>
      </c>
      <c r="O39" s="38" t="n">
        <f aca="false">L39-M39-N39</f>
        <v>-58</v>
      </c>
      <c r="P39" s="39" t="str">
        <f aca="false">IF(O39&gt;0,"要 追加生産",IF(L39=0,"—","在庫で充足"))</f>
        <v>在庫で充足</v>
      </c>
      <c r="Q39" s="35" t="n">
        <f aca="false">③仙台以降予測!Z62</f>
        <v>0</v>
      </c>
      <c r="R39" s="35" t="n">
        <f aca="false">K39+Q39</f>
        <v>0</v>
      </c>
      <c r="S39" s="34" t="n">
        <f aca="false">R39*D39</f>
        <v>0</v>
      </c>
      <c r="T39" s="72" t="s">
        <v>531</v>
      </c>
      <c r="U39" s="32"/>
      <c r="V39" s="71" t="str">
        <f aca="false">IF(OR(U39="",U39="再生産不可"),"",U39-前提・入力!$B$38)</f>
        <v/>
      </c>
      <c r="W39" s="69"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2"/>
      <c r="Z39" s="72" t="str">
        <f aca="false">IF(Y39&lt;&gt;"",IF(I39&gt;0,"◎ 一致（モデルも会期中欠品を検知）",IF(H39&gt;=0.7,"○ 整合（予測消化率70%超）","△ モデル未検知：現場報告を優先")),IF(I39&gt;0,"▲ モデルのみ検知：現場に在庫状況を確認","—"))</f>
        <v>—</v>
      </c>
      <c r="AA39" s="69"/>
    </row>
    <row r="40" customFormat="false" ht="37.3" hidden="false" customHeight="false" outlineLevel="0" collapsed="false">
      <c r="A40" s="32" t="n">
        <v>34</v>
      </c>
      <c r="B40" s="32" t="s">
        <v>352</v>
      </c>
      <c r="C40" s="33" t="s">
        <v>353</v>
      </c>
      <c r="D40" s="34" t="n">
        <v>27500</v>
      </c>
      <c r="E40" s="35" t="n">
        <f aca="false">①石川予測確定!E40</f>
        <v>1</v>
      </c>
      <c r="F40" s="35" t="n">
        <f aca="false">①石川予測確定!P40</f>
        <v>1</v>
      </c>
      <c r="G40" s="35" t="n">
        <f aca="false">①石川予測確定!S40</f>
        <v>1</v>
      </c>
      <c r="H40" s="37" t="n">
        <f aca="false">IFERROR(F40/G40,0)</f>
        <v>1</v>
      </c>
      <c r="I40" s="38" t="n">
        <f aca="false">F40-G40</f>
        <v>0</v>
      </c>
      <c r="J40" s="39" t="str">
        <f aca="false">IF(I40&gt;0,"要 追加発注",IF(H40&gt;=0.9,"要注意(90%超)",IF(H40&gt;=0.5,"適正","在庫余剰")))</f>
        <v>要注意(90%超)</v>
      </c>
      <c r="K40" s="35" t="n">
        <f aca="false">IF(I40&gt;0,ROUNDUP(I40*(1+前提・入力!$B$34),0),0)</f>
        <v>0</v>
      </c>
      <c r="L40" s="35" t="n">
        <f aca="false">③仙台以降予測!M63</f>
        <v>13</v>
      </c>
      <c r="M40" s="35" t="n">
        <f aca="false">③仙台以降予測!V63</f>
        <v>1</v>
      </c>
      <c r="N40" s="35" t="n">
        <f aca="false">③仙台以降予測!W63</f>
        <v>0</v>
      </c>
      <c r="O40" s="38" t="n">
        <f aca="false">L40-M40-N40</f>
        <v>12</v>
      </c>
      <c r="P40" s="39" t="str">
        <f aca="false">IF(O40&gt;0,"要 追加生産",IF(L40=0,"—","在庫で充足"))</f>
        <v>要 追加生産</v>
      </c>
      <c r="Q40" s="35" t="n">
        <f aca="false">③仙台以降予測!Z63</f>
        <v>14</v>
      </c>
      <c r="R40" s="35" t="n">
        <f aca="false">K40+Q40</f>
        <v>14</v>
      </c>
      <c r="S40" s="34" t="n">
        <f aca="false">R40*D40</f>
        <v>385000</v>
      </c>
      <c r="T40" s="69" t="s">
        <v>534</v>
      </c>
      <c r="U40" s="70" t="n">
        <f aca="false">DATE(2026,9,5)-90-前提・入力!$B$37</f>
        <v>46166</v>
      </c>
      <c r="V40" s="71" t="n">
        <f aca="false">IF(OR(U40="",U40="再生産不可"),"",U40-前提・入力!$B$38)</f>
        <v>-94</v>
      </c>
      <c r="W40" s="69" t="str">
        <f aca="false">IF(T40="—","—",IF(U40="再生産不可","×再生産不可",_xlfn.IFS(V40&lt;0,"★期限超過",V40&lt;=30,"★至急(30日以内)",V40&lt;=90,"要着手(90日以内)",TRUE(),"余裕あり")))</f>
        <v>★期限超過</v>
      </c>
      <c r="X40" s="32" t="str">
        <f aca="false">IF(Y40&lt;&gt;"",IF(FALSE(),"S:現場欠品(追納不可)","S:現場欠品"),IF(I40&gt;0,"A:会期中欠品",IF(O40&gt;1000,"B:大口",IF(O40&gt;0,"C:通常","D:不要"))))</f>
        <v>C:通常</v>
      </c>
      <c r="Y40" s="72"/>
      <c r="Z40" s="72" t="str">
        <f aca="false">IF(Y40&lt;&gt;"",IF(I40&gt;0,"◎ 一致（モデルも会期中欠品を検知）",IF(H40&gt;=0.7,"○ 整合（予測消化率70%超）","△ モデル未検知：現場報告を優先")),IF(I40&gt;0,"▲ モデルのみ検知：現場に在庫状況を確認","—"))</f>
        <v>—</v>
      </c>
      <c r="AA40" s="69" t="s">
        <v>539</v>
      </c>
    </row>
    <row r="41" customFormat="false" ht="37.3" hidden="false" customHeight="false" outlineLevel="0" collapsed="false">
      <c r="A41" s="32" t="n">
        <v>35</v>
      </c>
      <c r="B41" s="32" t="s">
        <v>354</v>
      </c>
      <c r="C41" s="33" t="s">
        <v>355</v>
      </c>
      <c r="D41" s="34" t="n">
        <v>27500</v>
      </c>
      <c r="E41" s="35" t="n">
        <f aca="false">①石川予測確定!E41</f>
        <v>1</v>
      </c>
      <c r="F41" s="35" t="n">
        <f aca="false">①石川予測確定!P41</f>
        <v>1</v>
      </c>
      <c r="G41" s="35" t="n">
        <f aca="false">①石川予測確定!S41</f>
        <v>1</v>
      </c>
      <c r="H41" s="37" t="n">
        <f aca="false">IFERROR(F41/G41,0)</f>
        <v>1</v>
      </c>
      <c r="I41" s="38" t="n">
        <f aca="false">F41-G41</f>
        <v>0</v>
      </c>
      <c r="J41" s="39" t="str">
        <f aca="false">IF(I41&gt;0,"要 追加発注",IF(H41&gt;=0.9,"要注意(90%超)",IF(H41&gt;=0.5,"適正","在庫余剰")))</f>
        <v>要注意(90%超)</v>
      </c>
      <c r="K41" s="35" t="n">
        <f aca="false">IF(I41&gt;0,ROUNDUP(I41*(1+前提・入力!$B$34),0),0)</f>
        <v>0</v>
      </c>
      <c r="L41" s="35" t="n">
        <f aca="false">③仙台以降予測!M64</f>
        <v>9</v>
      </c>
      <c r="M41" s="35" t="n">
        <f aca="false">③仙台以降予測!V64</f>
        <v>2</v>
      </c>
      <c r="N41" s="35" t="n">
        <f aca="false">③仙台以降予測!W64</f>
        <v>0</v>
      </c>
      <c r="O41" s="38" t="n">
        <f aca="false">L41-M41-N41</f>
        <v>7</v>
      </c>
      <c r="P41" s="39" t="str">
        <f aca="false">IF(O41&gt;0,"要 追加生産",IF(L41=0,"—","在庫で充足"))</f>
        <v>要 追加生産</v>
      </c>
      <c r="Q41" s="35" t="n">
        <f aca="false">③仙台以降予測!Z64</f>
        <v>8</v>
      </c>
      <c r="R41" s="35" t="n">
        <f aca="false">K41+Q41</f>
        <v>8</v>
      </c>
      <c r="S41" s="34" t="n">
        <f aca="false">R41*D41</f>
        <v>220000</v>
      </c>
      <c r="T41" s="69" t="s">
        <v>385</v>
      </c>
      <c r="U41" s="70" t="n">
        <f aca="false">DATE(2027,3,15)-90-前提・入力!$B$37</f>
        <v>46357</v>
      </c>
      <c r="V41" s="71" t="n">
        <f aca="false">IF(OR(U41="",U41="再生産不可"),"",U41-前提・入力!$B$38)</f>
        <v>97</v>
      </c>
      <c r="W41" s="69" t="str">
        <f aca="false">IF(T41="—","—",IF(U41="再生産不可","×再生産不可",_xlfn.IFS(V41&lt;0,"★期限超過",V41&lt;=30,"★至急(30日以内)",V41&lt;=90,"要着手(90日以内)",TRUE(),"余裕あり")))</f>
        <v>余裕あり</v>
      </c>
      <c r="X41" s="32" t="str">
        <f aca="false">IF(Y41&lt;&gt;"",IF(FALSE(),"S:現場欠品(追納不可)","S:現場欠品"),IF(I41&gt;0,"A:会期中欠品",IF(O41&gt;1000,"B:大口",IF(O41&gt;0,"C:通常","D:不要"))))</f>
        <v>C:通常</v>
      </c>
      <c r="Y41" s="72"/>
      <c r="Z41" s="72" t="str">
        <f aca="false">IF(Y41&lt;&gt;"",IF(I41&gt;0,"◎ 一致（モデルも会期中欠品を検知）",IF(H41&gt;=0.7,"○ 整合（予測消化率70%超）","△ モデル未検知：現場報告を優先")),IF(I41&gt;0,"▲ モデルのみ検知：現場に在庫状況を確認","—"))</f>
        <v>—</v>
      </c>
      <c r="AA41" s="69" t="s">
        <v>539</v>
      </c>
    </row>
    <row r="42" customFormat="false" ht="37.3" hidden="false" customHeight="false" outlineLevel="0" collapsed="false">
      <c r="A42" s="32" t="n">
        <v>36</v>
      </c>
      <c r="B42" s="32" t="s">
        <v>356</v>
      </c>
      <c r="C42" s="33" t="s">
        <v>357</v>
      </c>
      <c r="D42" s="34" t="n">
        <v>27500</v>
      </c>
      <c r="E42" s="35" t="n">
        <f aca="false">①石川予測確定!E42</f>
        <v>1</v>
      </c>
      <c r="F42" s="35" t="n">
        <f aca="false">①石川予測確定!P42</f>
        <v>1</v>
      </c>
      <c r="G42" s="35" t="n">
        <f aca="false">①石川予測確定!S42</f>
        <v>1</v>
      </c>
      <c r="H42" s="37" t="n">
        <f aca="false">IFERROR(F42/G42,0)</f>
        <v>1</v>
      </c>
      <c r="I42" s="38" t="n">
        <f aca="false">F42-G42</f>
        <v>0</v>
      </c>
      <c r="J42" s="39" t="str">
        <f aca="false">IF(I42&gt;0,"要 追加発注",IF(H42&gt;=0.9,"要注意(90%超)",IF(H42&gt;=0.5,"適正","在庫余剰")))</f>
        <v>要注意(90%超)</v>
      </c>
      <c r="K42" s="35" t="n">
        <f aca="false">IF(I42&gt;0,ROUNDUP(I42*(1+前提・入力!$B$34),0),0)</f>
        <v>0</v>
      </c>
      <c r="L42" s="35" t="n">
        <f aca="false">③仙台以降予測!M65</f>
        <v>9</v>
      </c>
      <c r="M42" s="35" t="n">
        <f aca="false">③仙台以降予測!V65</f>
        <v>2</v>
      </c>
      <c r="N42" s="35" t="n">
        <f aca="false">③仙台以降予測!W65</f>
        <v>0</v>
      </c>
      <c r="O42" s="38" t="n">
        <f aca="false">L42-M42-N42</f>
        <v>7</v>
      </c>
      <c r="P42" s="39" t="str">
        <f aca="false">IF(O42&gt;0,"要 追加生産",IF(L42=0,"—","在庫で充足"))</f>
        <v>要 追加生産</v>
      </c>
      <c r="Q42" s="35" t="n">
        <f aca="false">③仙台以降予測!Z65</f>
        <v>8</v>
      </c>
      <c r="R42" s="35" t="n">
        <f aca="false">K42+Q42</f>
        <v>8</v>
      </c>
      <c r="S42" s="34" t="n">
        <f aca="false">R42*D42</f>
        <v>220000</v>
      </c>
      <c r="T42" s="69" t="s">
        <v>385</v>
      </c>
      <c r="U42" s="70" t="n">
        <f aca="false">DATE(2027,3,15)-90-前提・入力!$B$37</f>
        <v>46357</v>
      </c>
      <c r="V42" s="71" t="n">
        <f aca="false">IF(OR(U42="",U42="再生産不可"),"",U42-前提・入力!$B$38)</f>
        <v>97</v>
      </c>
      <c r="W42" s="69" t="str">
        <f aca="false">IF(T42="—","—",IF(U42="再生産不可","×再生産不可",_xlfn.IFS(V42&lt;0,"★期限超過",V42&lt;=30,"★至急(30日以内)",V42&lt;=90,"要着手(90日以内)",TRUE(),"余裕あり")))</f>
        <v>余裕あり</v>
      </c>
      <c r="X42" s="32" t="str">
        <f aca="false">IF(Y42&lt;&gt;"",IF(FALSE(),"S:現場欠品(追納不可)","S:現場欠品"),IF(I42&gt;0,"A:会期中欠品",IF(O42&gt;1000,"B:大口",IF(O42&gt;0,"C:通常","D:不要"))))</f>
        <v>C:通常</v>
      </c>
      <c r="Y42" s="72"/>
      <c r="Z42" s="72" t="str">
        <f aca="false">IF(Y42&lt;&gt;"",IF(I42&gt;0,"◎ 一致（モデルも会期中欠品を検知）",IF(H42&gt;=0.7,"○ 整合（予測消化率70%超）","△ モデル未検知：現場報告を優先")),IF(I42&gt;0,"▲ モデルのみ検知：現場に在庫状況を確認","—"))</f>
        <v>—</v>
      </c>
      <c r="AA42" s="69" t="s">
        <v>539</v>
      </c>
    </row>
    <row r="43" customFormat="false" ht="15" hidden="false" customHeight="false" outlineLevel="0" collapsed="false">
      <c r="A43" s="32" t="n">
        <v>37</v>
      </c>
      <c r="B43" s="32" t="s">
        <v>358</v>
      </c>
      <c r="C43" s="33" t="s">
        <v>359</v>
      </c>
      <c r="D43" s="34" t="n">
        <v>27500</v>
      </c>
      <c r="E43" s="35" t="n">
        <f aca="false">①石川予測確定!E43</f>
        <v>4</v>
      </c>
      <c r="F43" s="35" t="n">
        <f aca="false">①石川予測確定!P43</f>
        <v>5</v>
      </c>
      <c r="G43" s="35" t="n">
        <f aca="false">①石川予測確定!S43</f>
        <v>17</v>
      </c>
      <c r="H43" s="37" t="n">
        <f aca="false">IFERROR(F43/G43,0)</f>
        <v>0.294117647058824</v>
      </c>
      <c r="I43" s="38" t="n">
        <f aca="false">F43-G43</f>
        <v>-12</v>
      </c>
      <c r="J43" s="39" t="str">
        <f aca="false">IF(I43&gt;0,"要 追加発注",IF(H43&gt;=0.9,"要注意(90%超)",IF(H43&gt;=0.5,"適正","在庫余剰")))</f>
        <v>在庫余剰</v>
      </c>
      <c r="K43" s="35" t="n">
        <f aca="false">IF(I43&gt;0,ROUNDUP(I43*(1+前提・入力!$B$34),0),0)</f>
        <v>0</v>
      </c>
      <c r="L43" s="35" t="n">
        <f aca="false">③仙台以降予測!M66</f>
        <v>34</v>
      </c>
      <c r="M43" s="35" t="n">
        <f aca="false">③仙台以降予測!V66</f>
        <v>28</v>
      </c>
      <c r="N43" s="35" t="n">
        <f aca="false">③仙台以降予測!W66</f>
        <v>0</v>
      </c>
      <c r="O43" s="38" t="n">
        <f aca="false">L43-M43-N43</f>
        <v>6</v>
      </c>
      <c r="P43" s="39" t="str">
        <f aca="false">IF(O43&gt;0,"要 追加生産",IF(L43=0,"—","在庫で充足"))</f>
        <v>要 追加生産</v>
      </c>
      <c r="Q43" s="35" t="n">
        <f aca="false">③仙台以降予測!Z66</f>
        <v>7</v>
      </c>
      <c r="R43" s="35" t="n">
        <f aca="false">K43+Q43</f>
        <v>7</v>
      </c>
      <c r="S43" s="34" t="n">
        <f aca="false">R43*D43</f>
        <v>192500</v>
      </c>
      <c r="T43" s="69" t="s">
        <v>386</v>
      </c>
      <c r="U43" s="70" t="n">
        <f aca="false">DATE(2027,4,1)-90-前提・入力!$B$37</f>
        <v>46374</v>
      </c>
      <c r="V43" s="71" t="n">
        <f aca="false">IF(OR(U43="",U43="再生産不可"),"",U43-前提・入力!$B$38)</f>
        <v>114</v>
      </c>
      <c r="W43" s="69" t="str">
        <f aca="false">IF(T43="—","—",IF(U43="再生産不可","×再生産不可",_xlfn.IFS(V43&lt;0,"★期限超過",V43&lt;=30,"★至急(30日以内)",V43&lt;=90,"要着手(90日以内)",TRUE(),"余裕あり")))</f>
        <v>余裕あり</v>
      </c>
      <c r="X43" s="32" t="str">
        <f aca="false">IF(Y43&lt;&gt;"",IF(FALSE(),"S:現場欠品(追納不可)","S:現場欠品"),IF(I43&gt;0,"A:会期中欠品",IF(O43&gt;1000,"B:大口",IF(O43&gt;0,"C:通常","D:不要"))))</f>
        <v>C:通常</v>
      </c>
      <c r="Y43" s="72"/>
      <c r="Z43" s="72" t="str">
        <f aca="false">IF(Y43&lt;&gt;"",IF(I43&gt;0,"◎ 一致（モデルも会期中欠品を検知）",IF(H43&gt;=0.7,"○ 整合（予測消化率70%超）","△ モデル未検知：現場報告を優先")),IF(I43&gt;0,"▲ モデルのみ検知：現場に在庫状況を確認","—"))</f>
        <v>—</v>
      </c>
      <c r="AA43" s="69" t="s">
        <v>540</v>
      </c>
    </row>
    <row r="44" customFormat="false" ht="37.3" hidden="false" customHeight="false" outlineLevel="0" collapsed="false">
      <c r="A44" s="32" t="n">
        <v>38</v>
      </c>
      <c r="B44" s="32" t="s">
        <v>360</v>
      </c>
      <c r="C44" s="33" t="s">
        <v>361</v>
      </c>
      <c r="D44" s="34" t="n">
        <v>27500</v>
      </c>
      <c r="E44" s="35" t="n">
        <f aca="false">①石川予測確定!E44</f>
        <v>1</v>
      </c>
      <c r="F44" s="35" t="n">
        <f aca="false">①石川予測確定!P44</f>
        <v>1</v>
      </c>
      <c r="G44" s="35" t="n">
        <f aca="false">①石川予測確定!S44</f>
        <v>1</v>
      </c>
      <c r="H44" s="37" t="n">
        <f aca="false">IFERROR(F44/G44,0)</f>
        <v>1</v>
      </c>
      <c r="I44" s="38" t="n">
        <f aca="false">F44-G44</f>
        <v>0</v>
      </c>
      <c r="J44" s="39" t="str">
        <f aca="false">IF(I44&gt;0,"要 追加発注",IF(H44&gt;=0.9,"要注意(90%超)",IF(H44&gt;=0.5,"適正","在庫余剰")))</f>
        <v>要注意(90%超)</v>
      </c>
      <c r="K44" s="35" t="n">
        <f aca="false">IF(I44&gt;0,ROUNDUP(I44*(1+前提・入力!$B$34),0),0)</f>
        <v>0</v>
      </c>
      <c r="L44" s="35" t="n">
        <f aca="false">③仙台以降予測!M67</f>
        <v>13</v>
      </c>
      <c r="M44" s="35" t="n">
        <f aca="false">③仙台以降予測!V67</f>
        <v>1</v>
      </c>
      <c r="N44" s="35" t="n">
        <f aca="false">③仙台以降予測!W67</f>
        <v>0</v>
      </c>
      <c r="O44" s="38" t="n">
        <f aca="false">L44-M44-N44</f>
        <v>12</v>
      </c>
      <c r="P44" s="39" t="str">
        <f aca="false">IF(O44&gt;0,"要 追加生産",IF(L44=0,"—","在庫で充足"))</f>
        <v>要 追加生産</v>
      </c>
      <c r="Q44" s="35" t="n">
        <f aca="false">③仙台以降予測!Z67</f>
        <v>14</v>
      </c>
      <c r="R44" s="35" t="n">
        <f aca="false">K44+Q44</f>
        <v>14</v>
      </c>
      <c r="S44" s="34" t="n">
        <f aca="false">R44*D44</f>
        <v>385000</v>
      </c>
      <c r="T44" s="69" t="s">
        <v>534</v>
      </c>
      <c r="U44" s="70" t="n">
        <f aca="false">DATE(2026,9,5)-90-前提・入力!$B$37</f>
        <v>46166</v>
      </c>
      <c r="V44" s="71" t="n">
        <f aca="false">IF(OR(U44="",U44="再生産不可"),"",U44-前提・入力!$B$38)</f>
        <v>-94</v>
      </c>
      <c r="W44" s="69" t="str">
        <f aca="false">IF(T44="—","—",IF(U44="再生産不可","×再生産不可",_xlfn.IFS(V44&lt;0,"★期限超過",V44&lt;=30,"★至急(30日以内)",V44&lt;=90,"要着手(90日以内)",TRUE(),"余裕あり")))</f>
        <v>★期限超過</v>
      </c>
      <c r="X44" s="32" t="str">
        <f aca="false">IF(Y44&lt;&gt;"",IF(FALSE(),"S:現場欠品(追納不可)","S:現場欠品"),IF(I44&gt;0,"A:会期中欠品",IF(O44&gt;1000,"B:大口",IF(O44&gt;0,"C:通常","D:不要"))))</f>
        <v>C:通常</v>
      </c>
      <c r="Y44" s="72"/>
      <c r="Z44" s="72" t="str">
        <f aca="false">IF(Y44&lt;&gt;"",IF(I44&gt;0,"◎ 一致（モデルも会期中欠品を検知）",IF(H44&gt;=0.7,"○ 整合（予測消化率70%超）","△ モデル未検知：現場報告を優先")),IF(I44&gt;0,"▲ モデルのみ検知：現場に在庫状況を確認","—"))</f>
        <v>—</v>
      </c>
      <c r="AA44" s="69" t="s">
        <v>539</v>
      </c>
    </row>
    <row r="45" customFormat="false" ht="49.25" hidden="false" customHeight="false" outlineLevel="0" collapsed="false">
      <c r="A45" s="32" t="n">
        <v>39</v>
      </c>
      <c r="B45" s="32" t="s">
        <v>362</v>
      </c>
      <c r="C45" s="33" t="s">
        <v>363</v>
      </c>
      <c r="D45" s="34" t="n">
        <v>27500</v>
      </c>
      <c r="E45" s="35" t="n">
        <f aca="false">①石川予測確定!E45</f>
        <v>1</v>
      </c>
      <c r="F45" s="35" t="n">
        <f aca="false">①石川予測確定!P45</f>
        <v>2</v>
      </c>
      <c r="G45" s="35" t="n">
        <f aca="false">①石川予測確定!S45</f>
        <v>1</v>
      </c>
      <c r="H45" s="37" t="n">
        <f aca="false">IFERROR(F45/G45,0)</f>
        <v>2</v>
      </c>
      <c r="I45" s="38" t="n">
        <f aca="false">F45-G45</f>
        <v>1</v>
      </c>
      <c r="J45" s="39" t="str">
        <f aca="false">IF(I45&gt;0,"要 追加発注",IF(H45&gt;=0.9,"要注意(90%超)",IF(H45&gt;=0.5,"適正","在庫余剰")))</f>
        <v>要 追加発注</v>
      </c>
      <c r="K45" s="35" t="n">
        <f aca="false">IF(I45&gt;0,ROUNDUP(I45*(1+前提・入力!$B$34),0),0)</f>
        <v>2</v>
      </c>
      <c r="L45" s="35" t="n">
        <f aca="false">③仙台以降予測!M68</f>
        <v>19</v>
      </c>
      <c r="M45" s="35" t="n">
        <f aca="false">③仙台以降予測!V68</f>
        <v>0</v>
      </c>
      <c r="N45" s="35" t="n">
        <f aca="false">③仙台以降予測!W68</f>
        <v>0</v>
      </c>
      <c r="O45" s="38" t="n">
        <f aca="false">L45-M45-N45</f>
        <v>19</v>
      </c>
      <c r="P45" s="39" t="str">
        <f aca="false">IF(O45&gt;0,"要 追加生産",IF(L45=0,"—","在庫で充足"))</f>
        <v>要 追加生産</v>
      </c>
      <c r="Q45" s="35" t="n">
        <f aca="false">③仙台以降予測!Z68</f>
        <v>21</v>
      </c>
      <c r="R45" s="35" t="n">
        <f aca="false">K45+Q45</f>
        <v>23</v>
      </c>
      <c r="S45" s="34" t="n">
        <f aca="false">R45*D45</f>
        <v>632500</v>
      </c>
      <c r="T45" s="69" t="s">
        <v>534</v>
      </c>
      <c r="U45" s="70" t="n">
        <f aca="false">DATE(2026,9,5)-90-前提・入力!$B$37</f>
        <v>46166</v>
      </c>
      <c r="V45" s="71" t="n">
        <f aca="false">IF(OR(U45="",U45="再生産不可"),"",U45-前提・入力!$B$38)</f>
        <v>-94</v>
      </c>
      <c r="W45" s="69" t="str">
        <f aca="false">IF(T45="—","—",IF(U45="再生産不可","×再生産不可",_xlfn.IFS(V45&lt;0,"★期限超過",V45&lt;=30,"★至急(30日以内)",V45&lt;=90,"要着手(90日以内)",TRUE(),"余裕あり")))</f>
        <v>★期限超過</v>
      </c>
      <c r="X45" s="32" t="str">
        <f aca="false">IF(Y45&lt;&gt;"",IF(FALSE(),"S:現場欠品(追納不可)","S:現場欠品"),IF(I45&gt;0,"A:会期中欠品",IF(O45&gt;1000,"B:大口",IF(O45&gt;0,"C:通常","D:不要"))))</f>
        <v>A:会期中欠品</v>
      </c>
      <c r="Y45" s="72"/>
      <c r="Z45" s="72" t="str">
        <f aca="false">IF(Y45&lt;&gt;"",IF(I45&gt;0,"◎ 一致（モデルも会期中欠品を検知）",IF(H45&gt;=0.7,"○ 整合（予測消化率70%超）","△ モデル未検知：現場報告を優先")),IF(I45&gt;0,"▲ モデルのみ検知：現場に在庫状況を確認","—"))</f>
        <v>▲ モデルのみ検知：現場に在庫状況を確認</v>
      </c>
      <c r="AA45" s="69" t="s">
        <v>541</v>
      </c>
    </row>
    <row r="46" customFormat="false" ht="37.3" hidden="false" customHeight="false" outlineLevel="0" collapsed="false">
      <c r="A46" s="32" t="n">
        <v>40</v>
      </c>
      <c r="B46" s="32" t="s">
        <v>364</v>
      </c>
      <c r="C46" s="33" t="s">
        <v>365</v>
      </c>
      <c r="D46" s="34" t="n">
        <v>27500</v>
      </c>
      <c r="E46" s="35" t="n">
        <f aca="false">①石川予測確定!E46</f>
        <v>1</v>
      </c>
      <c r="F46" s="35" t="n">
        <f aca="false">①石川予測確定!P46</f>
        <v>1</v>
      </c>
      <c r="G46" s="35" t="n">
        <f aca="false">①石川予測確定!S46</f>
        <v>3</v>
      </c>
      <c r="H46" s="37" t="n">
        <f aca="false">IFERROR(F46/G46,0)</f>
        <v>0.333333333333333</v>
      </c>
      <c r="I46" s="38" t="n">
        <f aca="false">F46-G46</f>
        <v>-2</v>
      </c>
      <c r="J46" s="39" t="str">
        <f aca="false">IF(I46&gt;0,"要 追加発注",IF(H46&gt;=0.9,"要注意(90%超)",IF(H46&gt;=0.5,"適正","在庫余剰")))</f>
        <v>在庫余剰</v>
      </c>
      <c r="K46" s="35" t="n">
        <f aca="false">IF(I46&gt;0,ROUNDUP(I46*(1+前提・入力!$B$34),0),0)</f>
        <v>0</v>
      </c>
      <c r="L46" s="35" t="n">
        <f aca="false">③仙台以降予測!M69</f>
        <v>7</v>
      </c>
      <c r="M46" s="35" t="n">
        <f aca="false">③仙台以降予測!V69</f>
        <v>3</v>
      </c>
      <c r="N46" s="35" t="n">
        <f aca="false">③仙台以降予測!W69</f>
        <v>0</v>
      </c>
      <c r="O46" s="38" t="n">
        <f aca="false">L46-M46-N46</f>
        <v>4</v>
      </c>
      <c r="P46" s="39" t="str">
        <f aca="false">IF(O46&gt;0,"要 追加生産",IF(L46=0,"—","在庫で充足"))</f>
        <v>要 追加生産</v>
      </c>
      <c r="Q46" s="35" t="n">
        <f aca="false">③仙台以降予測!Z69</f>
        <v>5</v>
      </c>
      <c r="R46" s="35" t="n">
        <f aca="false">K46+Q46</f>
        <v>5</v>
      </c>
      <c r="S46" s="34" t="n">
        <f aca="false">R46*D46</f>
        <v>137500</v>
      </c>
      <c r="T46" s="69" t="s">
        <v>386</v>
      </c>
      <c r="U46" s="70" t="n">
        <f aca="false">DATE(2027,4,1)-90-前提・入力!$B$37</f>
        <v>46374</v>
      </c>
      <c r="V46" s="71" t="n">
        <f aca="false">IF(OR(U46="",U46="再生産不可"),"",U46-前提・入力!$B$38)</f>
        <v>114</v>
      </c>
      <c r="W46" s="69" t="str">
        <f aca="false">IF(T46="—","—",IF(U46="再生産不可","×再生産不可",_xlfn.IFS(V46&lt;0,"★期限超過",V46&lt;=30,"★至急(30日以内)",V46&lt;=90,"要着手(90日以内)",TRUE(),"余裕あり")))</f>
        <v>余裕あり</v>
      </c>
      <c r="X46" s="32" t="str">
        <f aca="false">IF(Y46&lt;&gt;"",IF(FALSE(),"S:現場欠品(追納不可)","S:現場欠品"),IF(I46&gt;0,"A:会期中欠品",IF(O46&gt;1000,"B:大口",IF(O46&gt;0,"C:通常","D:不要"))))</f>
        <v>C:通常</v>
      </c>
      <c r="Y46" s="72"/>
      <c r="Z46" s="72" t="str">
        <f aca="false">IF(Y46&lt;&gt;"",IF(I46&gt;0,"◎ 一致（モデルも会期中欠品を検知）",IF(H46&gt;=0.7,"○ 整合（予測消化率70%超）","△ モデル未検知：現場報告を優先")),IF(I46&gt;0,"▲ モデルのみ検知：現場に在庫状況を確認","—"))</f>
        <v>—</v>
      </c>
      <c r="AA46" s="69" t="s">
        <v>542</v>
      </c>
    </row>
    <row r="47" customFormat="false" ht="15" hidden="false" customHeight="false" outlineLevel="0" collapsed="false">
      <c r="A47" s="32" t="n">
        <v>41</v>
      </c>
      <c r="B47" s="32" t="s">
        <v>366</v>
      </c>
      <c r="C47" s="33" t="s">
        <v>367</v>
      </c>
      <c r="D47" s="34" t="n">
        <v>25000</v>
      </c>
      <c r="E47" s="35" t="n">
        <f aca="false">①石川予測確定!E47</f>
        <v>0</v>
      </c>
      <c r="F47" s="35" t="n">
        <f aca="false">①石川予測確定!P47</f>
        <v>0</v>
      </c>
      <c r="G47" s="35" t="n">
        <f aca="false">①石川予測確定!S47</f>
        <v>14</v>
      </c>
      <c r="H47" s="37" t="n">
        <f aca="false">IFERROR(F47/G47,0)</f>
        <v>0</v>
      </c>
      <c r="I47" s="38" t="n">
        <f aca="false">F47-G47</f>
        <v>-14</v>
      </c>
      <c r="J47" s="39" t="str">
        <f aca="false">IF(I47&gt;0,"要 追加発注",IF(H47&gt;=0.9,"要注意(90%超)",IF(H47&gt;=0.5,"適正","在庫余剰")))</f>
        <v>在庫余剰</v>
      </c>
      <c r="K47" s="35" t="n">
        <f aca="false">IF(I47&gt;0,ROUNDUP(I47*(1+前提・入力!$B$34),0),0)</f>
        <v>0</v>
      </c>
      <c r="L47" s="35" t="n">
        <f aca="false">③仙台以降予測!M70</f>
        <v>0</v>
      </c>
      <c r="M47" s="35" t="n">
        <f aca="false">③仙台以降予測!V70</f>
        <v>74</v>
      </c>
      <c r="N47" s="35" t="n">
        <f aca="false">③仙台以降予測!W70</f>
        <v>0</v>
      </c>
      <c r="O47" s="38" t="n">
        <f aca="false">L47-M47-N47</f>
        <v>-74</v>
      </c>
      <c r="P47" s="39" t="str">
        <f aca="false">IF(O47&gt;0,"要 追加生産",IF(L47=0,"—","在庫で充足"))</f>
        <v>—</v>
      </c>
      <c r="Q47" s="35" t="n">
        <f aca="false">③仙台以降予測!Z70</f>
        <v>0</v>
      </c>
      <c r="R47" s="35" t="n">
        <f aca="false">K47+Q47</f>
        <v>0</v>
      </c>
      <c r="S47" s="34" t="n">
        <f aca="false">R47*D47</f>
        <v>0</v>
      </c>
      <c r="T47" s="72" t="s">
        <v>531</v>
      </c>
      <c r="U47" s="32"/>
      <c r="V47" s="71" t="str">
        <f aca="false">IF(OR(U47="",U47="再生産不可"),"",U47-前提・入力!$B$38)</f>
        <v/>
      </c>
      <c r="W47" s="69"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2"/>
      <c r="Z47" s="72" t="str">
        <f aca="false">IF(Y47&lt;&gt;"",IF(I47&gt;0,"◎ 一致（モデルも会期中欠品を検知）",IF(H47&gt;=0.7,"○ 整合（予測消化率70%超）","△ モデル未検知：現場報告を優先")),IF(I47&gt;0,"▲ モデルのみ検知：現場に在庫状況を確認","—"))</f>
        <v>—</v>
      </c>
      <c r="AA47" s="69" t="s">
        <v>543</v>
      </c>
    </row>
    <row r="48" customFormat="false" ht="15" hidden="false" customHeight="false" outlineLevel="0" collapsed="false">
      <c r="A48" s="32" t="n">
        <v>42</v>
      </c>
      <c r="B48" s="32" t="s">
        <v>368</v>
      </c>
      <c r="C48" s="33" t="s">
        <v>369</v>
      </c>
      <c r="D48" s="34" t="n">
        <v>25000</v>
      </c>
      <c r="E48" s="35" t="n">
        <f aca="false">①石川予測確定!E48</f>
        <v>0</v>
      </c>
      <c r="F48" s="35" t="n">
        <f aca="false">①石川予測確定!P48</f>
        <v>0</v>
      </c>
      <c r="G48" s="35" t="n">
        <f aca="false">①石川予測確定!S48</f>
        <v>15</v>
      </c>
      <c r="H48" s="37" t="n">
        <f aca="false">IFERROR(F48/G48,0)</f>
        <v>0</v>
      </c>
      <c r="I48" s="38" t="n">
        <f aca="false">F48-G48</f>
        <v>-15</v>
      </c>
      <c r="J48" s="39" t="str">
        <f aca="false">IF(I48&gt;0,"要 追加発注",IF(H48&gt;=0.9,"要注意(90%超)",IF(H48&gt;=0.5,"適正","在庫余剰")))</f>
        <v>在庫余剰</v>
      </c>
      <c r="K48" s="35" t="n">
        <f aca="false">IF(I48&gt;0,ROUNDUP(I48*(1+前提・入力!$B$34),0),0)</f>
        <v>0</v>
      </c>
      <c r="L48" s="35" t="n">
        <f aca="false">③仙台以降予測!M71</f>
        <v>3</v>
      </c>
      <c r="M48" s="35" t="n">
        <f aca="false">③仙台以降予測!V71</f>
        <v>48</v>
      </c>
      <c r="N48" s="35" t="n">
        <f aca="false">③仙台以降予測!W71</f>
        <v>0</v>
      </c>
      <c r="O48" s="38" t="n">
        <f aca="false">L48-M48-N48</f>
        <v>-45</v>
      </c>
      <c r="P48" s="39" t="str">
        <f aca="false">IF(O48&gt;0,"要 追加生産",IF(L48=0,"—","在庫で充足"))</f>
        <v>在庫で充足</v>
      </c>
      <c r="Q48" s="35" t="n">
        <f aca="false">③仙台以降予測!Z71</f>
        <v>0</v>
      </c>
      <c r="R48" s="35" t="n">
        <f aca="false">K48+Q48</f>
        <v>0</v>
      </c>
      <c r="S48" s="34" t="n">
        <f aca="false">R48*D48</f>
        <v>0</v>
      </c>
      <c r="T48" s="72" t="s">
        <v>531</v>
      </c>
      <c r="U48" s="32"/>
      <c r="V48" s="71" t="str">
        <f aca="false">IF(OR(U48="",U48="再生産不可"),"",U48-前提・入力!$B$38)</f>
        <v/>
      </c>
      <c r="W48" s="69"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2"/>
      <c r="Z48" s="72" t="str">
        <f aca="false">IF(Y48&lt;&gt;"",IF(I48&gt;0,"◎ 一致（モデルも会期中欠品を検知）",IF(H48&gt;=0.7,"○ 整合（予測消化率70%超）","△ モデル未検知：現場報告を優先")),IF(I48&gt;0,"▲ モデルのみ検知：現場に在庫状況を確認","—"))</f>
        <v>—</v>
      </c>
      <c r="AA48" s="69" t="s">
        <v>543</v>
      </c>
    </row>
    <row r="49" customFormat="false" ht="15" hidden="false" customHeight="false" outlineLevel="0" collapsed="false">
      <c r="A49" s="40"/>
      <c r="B49" s="40"/>
      <c r="C49" s="41" t="s">
        <v>370</v>
      </c>
      <c r="D49" s="40"/>
      <c r="E49" s="42" t="n">
        <f aca="false">SUM(E7:E48)</f>
        <v>4022</v>
      </c>
      <c r="F49" s="42" t="n">
        <f aca="false">SUM(F7:F48)</f>
        <v>5151</v>
      </c>
      <c r="G49" s="42" t="n">
        <f aca="false">SUM(G7:G48)</f>
        <v>46928</v>
      </c>
      <c r="H49" s="45" t="n">
        <f aca="false">IFERROR(F49/G49,0)</f>
        <v>0.109763893624275</v>
      </c>
      <c r="I49" s="42" t="n">
        <f aca="false">SUM(I7:I48)</f>
        <v>-41777</v>
      </c>
      <c r="J49" s="40" t="str">
        <f aca="false">COUNTIF(J7:J48,"要 追加発注")&amp;"品目"</f>
        <v>3品目</v>
      </c>
      <c r="K49" s="42" t="n">
        <f aca="false">SUM(K7:K48)</f>
        <v>38</v>
      </c>
      <c r="L49" s="42" t="n">
        <f aca="false">SUM(L7:L48)</f>
        <v>61617</v>
      </c>
      <c r="M49" s="42" t="n">
        <f aca="false">SUM(M7:M48)</f>
        <v>234422</v>
      </c>
      <c r="N49" s="42" t="n">
        <f aca="false">SUM(N7:N48)</f>
        <v>1200</v>
      </c>
      <c r="O49" s="42" t="n">
        <f aca="false">SUM(O7:O48)</f>
        <v>-174005</v>
      </c>
      <c r="P49" s="40" t="str">
        <f aca="false">COUNTIF(P7:P48,"要 追加生産")&amp;"品目"</f>
        <v>13品目</v>
      </c>
      <c r="Q49" s="42" t="n">
        <f aca="false">SUM(Q7:Q48)</f>
        <v>3729</v>
      </c>
      <c r="R49" s="42" t="n">
        <f aca="false">SUM(R7:R48)</f>
        <v>3767</v>
      </c>
      <c r="S49" s="44" t="n">
        <f aca="false">SUM(S7:S48)</f>
        <v>7628300</v>
      </c>
      <c r="T49" s="40"/>
      <c r="U49" s="40" t="str">
        <f aca="false">IF(COUNT(U7:U48)=0,"",TEXT(MIN(U7:U48),"yyyy/m/d")&amp;" が最短期限")</f>
        <v>2026/5/24 が最短期限</v>
      </c>
      <c r="V49" s="40"/>
      <c r="W49" s="40" t="str">
        <f aca="false">COUNTIF(W7:W48,"★期限超過")&amp;"品目が期限超過／"&amp;COUNTIF(W7:W48,"★至急(30日以内)")&amp;"品目が至急"</f>
        <v>3品目が期限超過／3品目が至急</v>
      </c>
      <c r="X49" s="40"/>
      <c r="Y49" s="40" t="str">
        <f aca="false">COUNTIF(Y7:Y48,"&lt;&gt;")&amp;"品目 報告あり"</f>
        <v>0品目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9"/>
    <col collapsed="false" customWidth="true" hidden="false" outlineLevel="0" max="43" min="43" style="0" width="12"/>
    <col collapsed="false" customWidth="true" hidden="false" outlineLevel="0" max="47" min="44" style="0" width="9"/>
    <col collapsed="false" customWidth="true" hidden="false" outlineLevel="0" max="48" min="48" style="0" width="10"/>
    <col collapsed="false" customWidth="true" hidden="false" outlineLevel="0" max="49" min="49" style="0" width="12"/>
    <col collapsed="false" customWidth="true" hidden="false" outlineLevel="0" max="50" min="50" style="0" width="9"/>
    <col collapsed="false" customWidth="true" hidden="false" outlineLevel="0" max="52" min="51" style="0" width="10"/>
    <col collapsed="false" customWidth="true" hidden="false" outlineLevel="0" max="53" min="53" style="0" width="11"/>
    <col collapsed="false" customWidth="true" hidden="false" outlineLevel="0" max="54" min="54" style="0" width="10"/>
    <col collapsed="false" customWidth="true" hidden="false" outlineLevel="0" max="55" min="55" style="0" width="11"/>
    <col collapsed="false" customWidth="true" hidden="false" outlineLevel="0" max="56" min="56" style="0" width="14"/>
    <col collapsed="false" customWidth="true" hidden="false" outlineLevel="0" max="57" min="57" style="0" width="13"/>
    <col collapsed="false" customWidth="true" hidden="false" outlineLevel="0" max="59" min="58" style="0" width="10"/>
  </cols>
  <sheetData>
    <row r="1" customFormat="false" ht="20.1" hidden="false" customHeight="false" outlineLevel="0" collapsed="false">
      <c r="A1" s="1" t="s">
        <v>544</v>
      </c>
    </row>
    <row r="2" customFormat="false" ht="15" hidden="false" customHeight="false" outlineLevel="0" collapsed="false">
      <c r="A2" s="3" t="s">
        <v>545</v>
      </c>
    </row>
    <row r="3" customFormat="false" ht="15" hidden="false" customHeight="false" outlineLevel="0" collapsed="false">
      <c r="A3" s="3" t="s">
        <v>546</v>
      </c>
    </row>
    <row r="5" customFormat="false" ht="19.5" hidden="false" customHeight="true" outlineLevel="0" collapsed="false">
      <c r="A5" s="73" t="s">
        <v>547</v>
      </c>
      <c r="B5" s="73"/>
      <c r="C5" s="73"/>
      <c r="D5" s="73"/>
      <c r="E5" s="74" t="s">
        <v>548</v>
      </c>
      <c r="F5" s="74"/>
      <c r="G5" s="74"/>
      <c r="H5" s="74"/>
      <c r="I5" s="74"/>
      <c r="J5" s="74"/>
      <c r="K5" s="74"/>
      <c r="L5" s="75" t="s">
        <v>549</v>
      </c>
      <c r="M5" s="75"/>
      <c r="N5" s="75"/>
      <c r="O5" s="75"/>
      <c r="P5" s="75"/>
      <c r="Q5" s="75"/>
      <c r="R5" s="75"/>
      <c r="S5" s="76" t="s">
        <v>550</v>
      </c>
      <c r="T5" s="76"/>
      <c r="U5" s="76"/>
      <c r="V5" s="76"/>
      <c r="W5" s="76"/>
      <c r="X5" s="76"/>
      <c r="Y5" s="76"/>
      <c r="Z5" s="77" t="s">
        <v>551</v>
      </c>
      <c r="AA5" s="77"/>
      <c r="AB5" s="77"/>
      <c r="AC5" s="77"/>
      <c r="AD5" s="77"/>
      <c r="AE5" s="77"/>
      <c r="AF5" s="77"/>
      <c r="AG5" s="78" t="s">
        <v>552</v>
      </c>
      <c r="AH5" s="78"/>
      <c r="AI5" s="78"/>
      <c r="AJ5" s="78"/>
      <c r="AK5" s="78"/>
      <c r="AL5" s="78"/>
      <c r="AM5" s="78"/>
      <c r="AN5" s="79" t="s">
        <v>553</v>
      </c>
      <c r="AO5" s="79"/>
      <c r="AP5" s="79"/>
      <c r="AQ5" s="79"/>
      <c r="AR5" s="79"/>
      <c r="AS5" s="79"/>
      <c r="AT5" s="79"/>
      <c r="AU5" s="79" t="s">
        <v>554</v>
      </c>
      <c r="AV5" s="79"/>
      <c r="AW5" s="79"/>
      <c r="AX5" s="79"/>
      <c r="AY5" s="79"/>
      <c r="AZ5" s="80" t="s">
        <v>555</v>
      </c>
      <c r="BA5" s="80"/>
      <c r="BB5" s="80"/>
      <c r="BC5" s="80"/>
      <c r="BD5" s="81" t="s">
        <v>556</v>
      </c>
      <c r="BE5" s="81"/>
      <c r="BF5" s="81"/>
      <c r="BG5" s="81"/>
    </row>
    <row r="6" customFormat="false" ht="33.75" hidden="false" customHeight="true" outlineLevel="0" collapsed="false">
      <c r="A6" s="25" t="s">
        <v>263</v>
      </c>
      <c r="B6" s="25" t="s">
        <v>264</v>
      </c>
      <c r="C6" s="26" t="s">
        <v>265</v>
      </c>
      <c r="D6" s="26" t="s">
        <v>557</v>
      </c>
      <c r="E6" s="47" t="s">
        <v>558</v>
      </c>
      <c r="F6" s="47" t="s">
        <v>559</v>
      </c>
      <c r="G6" s="47" t="s">
        <v>560</v>
      </c>
      <c r="H6" s="47" t="s">
        <v>561</v>
      </c>
      <c r="I6" s="47" t="s">
        <v>562</v>
      </c>
      <c r="J6" s="47" t="s">
        <v>563</v>
      </c>
      <c r="K6" s="47" t="s">
        <v>564</v>
      </c>
      <c r="L6" s="48" t="s">
        <v>266</v>
      </c>
      <c r="M6" s="48" t="s">
        <v>559</v>
      </c>
      <c r="N6" s="48" t="s">
        <v>560</v>
      </c>
      <c r="O6" s="48" t="s">
        <v>561</v>
      </c>
      <c r="P6" s="48" t="s">
        <v>562</v>
      </c>
      <c r="Q6" s="48" t="s">
        <v>563</v>
      </c>
      <c r="R6" s="48" t="s">
        <v>564</v>
      </c>
      <c r="S6" s="28" t="s">
        <v>266</v>
      </c>
      <c r="T6" s="28" t="s">
        <v>559</v>
      </c>
      <c r="U6" s="28" t="s">
        <v>560</v>
      </c>
      <c r="V6" s="28" t="s">
        <v>561</v>
      </c>
      <c r="W6" s="28" t="s">
        <v>562</v>
      </c>
      <c r="X6" s="28" t="s">
        <v>563</v>
      </c>
      <c r="Y6" s="28" t="s">
        <v>564</v>
      </c>
      <c r="Z6" s="29" t="s">
        <v>266</v>
      </c>
      <c r="AA6" s="29" t="s">
        <v>559</v>
      </c>
      <c r="AB6" s="29" t="s">
        <v>560</v>
      </c>
      <c r="AC6" s="29" t="s">
        <v>561</v>
      </c>
      <c r="AD6" s="29" t="s">
        <v>562</v>
      </c>
      <c r="AE6" s="29" t="s">
        <v>563</v>
      </c>
      <c r="AF6" s="29" t="s">
        <v>564</v>
      </c>
      <c r="AG6" s="30" t="s">
        <v>266</v>
      </c>
      <c r="AH6" s="30" t="s">
        <v>559</v>
      </c>
      <c r="AI6" s="30" t="s">
        <v>560</v>
      </c>
      <c r="AJ6" s="30" t="s">
        <v>561</v>
      </c>
      <c r="AK6" s="30" t="s">
        <v>562</v>
      </c>
      <c r="AL6" s="30" t="s">
        <v>563</v>
      </c>
      <c r="AM6" s="30" t="s">
        <v>564</v>
      </c>
      <c r="AN6" s="27" t="s">
        <v>266</v>
      </c>
      <c r="AO6" s="27" t="s">
        <v>559</v>
      </c>
      <c r="AP6" s="27" t="s">
        <v>560</v>
      </c>
      <c r="AQ6" s="27" t="s">
        <v>561</v>
      </c>
      <c r="AR6" s="27" t="s">
        <v>562</v>
      </c>
      <c r="AS6" s="27" t="s">
        <v>563</v>
      </c>
      <c r="AT6" s="27" t="s">
        <v>564</v>
      </c>
      <c r="AU6" s="27" t="s">
        <v>277</v>
      </c>
      <c r="AV6" s="27" t="s">
        <v>565</v>
      </c>
      <c r="AW6" s="27" t="s">
        <v>566</v>
      </c>
      <c r="AX6" s="27" t="s">
        <v>282</v>
      </c>
      <c r="AY6" s="27" t="s">
        <v>283</v>
      </c>
      <c r="AZ6" s="49" t="s">
        <v>567</v>
      </c>
      <c r="BA6" s="49" t="s">
        <v>568</v>
      </c>
      <c r="BB6" s="49" t="s">
        <v>569</v>
      </c>
      <c r="BC6" s="49" t="s">
        <v>503</v>
      </c>
      <c r="BD6" s="31" t="s">
        <v>514</v>
      </c>
      <c r="BE6" s="31" t="s">
        <v>519</v>
      </c>
      <c r="BF6" s="31" t="s">
        <v>570</v>
      </c>
      <c r="BG6" s="31" t="s">
        <v>527</v>
      </c>
    </row>
    <row r="7" customFormat="false" ht="15" hidden="false" customHeight="false" outlineLevel="0" collapsed="false">
      <c r="A7" s="32" t="n">
        <v>1</v>
      </c>
      <c r="B7" s="32" t="s">
        <v>286</v>
      </c>
      <c r="C7" s="33" t="s">
        <v>287</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507</v>
      </c>
      <c r="AI7" s="37" t="n">
        <f aca="false">IFERROR(AH7/AH$49,0)</f>
        <v>0.0570239568102576</v>
      </c>
      <c r="AJ7" s="34" t="n">
        <f aca="false">AH7*AG7</f>
        <v>253500</v>
      </c>
      <c r="AK7" s="37" t="n">
        <f aca="false">IFERROR(AJ7/AJ$49,0)</f>
        <v>0.0351253983649716</v>
      </c>
      <c r="AL7" s="35" t="n">
        <v>1000</v>
      </c>
      <c r="AM7" s="37" t="n">
        <f aca="false">IFERROR(AH7/AL7,0)</f>
        <v>0.507</v>
      </c>
      <c r="AN7" s="34" t="n">
        <v>500</v>
      </c>
      <c r="AO7" s="35" t="n">
        <v>210</v>
      </c>
      <c r="AP7" s="37" t="n">
        <f aca="false">IFERROR(AO7/AO$49,0)</f>
        <v>0.0522128294380905</v>
      </c>
      <c r="AQ7" s="34" t="n">
        <f aca="false">AO7*AN7</f>
        <v>105000</v>
      </c>
      <c r="AR7" s="37" t="n">
        <f aca="false">IFERROR(AQ7/AQ$49,0)</f>
        <v>0.0309880769684807</v>
      </c>
      <c r="AS7" s="35" t="n">
        <v>693</v>
      </c>
      <c r="AT7" s="37" t="n">
        <f aca="false">IFERROR(AO7/AS7,0)</f>
        <v>0.303030303030303</v>
      </c>
      <c r="AU7" s="36" t="n">
        <f aca="false">①石川予測確定!O7</f>
        <v>1.2953342324238</v>
      </c>
      <c r="AV7" s="35" t="n">
        <f aca="false">①石川予測確定!P7</f>
        <v>272</v>
      </c>
      <c r="AW7" s="34" t="n">
        <f aca="false">①石川予測確定!Q7</f>
        <v>136000</v>
      </c>
      <c r="AX7" s="37" t="n">
        <f aca="false">①石川予測確定!T7</f>
        <v>0.392496392496393</v>
      </c>
      <c r="AY7" s="35" t="n">
        <f aca="false">①石川予測確定!U7</f>
        <v>421</v>
      </c>
      <c r="AZ7" s="35" t="n">
        <f aca="false">③仙台以降予測!M30</f>
        <v>3384</v>
      </c>
      <c r="BA7" s="35" t="n">
        <f aca="false">③仙台以降予測!V30</f>
        <v>2489</v>
      </c>
      <c r="BB7" s="38" t="n">
        <f aca="false">③仙台以降予測!X30</f>
        <v>895</v>
      </c>
      <c r="BC7" s="35" t="n">
        <f aca="false">③仙台以降予測!Y30</f>
        <v>895</v>
      </c>
      <c r="BD7" s="32" t="str">
        <f aca="false">④追加発注判定!J7</f>
        <v>在庫余剰</v>
      </c>
      <c r="BE7" s="32" t="str">
        <f aca="false">④追加発注判定!P7</f>
        <v>要 追加生産</v>
      </c>
      <c r="BF7" s="35" t="n">
        <f aca="false">④追加発注判定!R7</f>
        <v>985</v>
      </c>
      <c r="BG7" s="32" t="str">
        <f aca="false">④追加発注判定!X7</f>
        <v>C:通常</v>
      </c>
    </row>
    <row r="8" customFormat="false" ht="15" hidden="false" customHeight="false" outlineLevel="0" collapsed="false">
      <c r="A8" s="32" t="n">
        <v>2</v>
      </c>
      <c r="B8" s="32" t="s">
        <v>288</v>
      </c>
      <c r="C8" s="33" t="s">
        <v>289</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541</v>
      </c>
      <c r="AI8" s="37" t="n">
        <f aca="false">IFERROR(AH8/AH$49,0)</f>
        <v>0.0608480485884602</v>
      </c>
      <c r="AJ8" s="34" t="n">
        <f aca="false">AH8*AG8</f>
        <v>324600</v>
      </c>
      <c r="AK8" s="37" t="n">
        <f aca="false">IFERROR(AJ8/AJ$49,0)</f>
        <v>0.0449771373146737</v>
      </c>
      <c r="AL8" s="35" t="n">
        <v>1000</v>
      </c>
      <c r="AM8" s="37" t="n">
        <f aca="false">IFERROR(AH8/AL8,0)</f>
        <v>0.541</v>
      </c>
      <c r="AN8" s="34" t="n">
        <v>600</v>
      </c>
      <c r="AO8" s="35" t="n">
        <v>250</v>
      </c>
      <c r="AP8" s="37" t="n">
        <f aca="false">IFERROR(AO8/AO$49,0)</f>
        <v>0.0621581302834411</v>
      </c>
      <c r="AQ8" s="34" t="n">
        <f aca="false">AO8*AN8</f>
        <v>150000</v>
      </c>
      <c r="AR8" s="37" t="n">
        <f aca="false">IFERROR(AQ8/AQ$49,0)</f>
        <v>0.0442686813835439</v>
      </c>
      <c r="AS8" s="35" t="n">
        <v>659</v>
      </c>
      <c r="AT8" s="37" t="n">
        <f aca="false">IFERROR(AO8/AS8,0)</f>
        <v>0.379362670713202</v>
      </c>
      <c r="AU8" s="36" t="n">
        <f aca="false">①石川予測確定!O8</f>
        <v>1.3018124776143</v>
      </c>
      <c r="AV8" s="35" t="n">
        <f aca="false">①石川予測確定!P8</f>
        <v>325</v>
      </c>
      <c r="AW8" s="34" t="n">
        <f aca="false">①石川予測確定!Q8</f>
        <v>195000</v>
      </c>
      <c r="AX8" s="37" t="n">
        <f aca="false">①石川予測確定!T8</f>
        <v>0.493171471927162</v>
      </c>
      <c r="AY8" s="35" t="n">
        <f aca="false">①石川予測確定!U8</f>
        <v>334</v>
      </c>
      <c r="AZ8" s="35" t="n">
        <f aca="false">③仙台以降予測!M31</f>
        <v>3818</v>
      </c>
      <c r="BA8" s="35" t="n">
        <f aca="false">③仙台以降予測!V31</f>
        <v>4170</v>
      </c>
      <c r="BB8" s="38" t="n">
        <f aca="false">③仙台以降予測!X31</f>
        <v>-352</v>
      </c>
      <c r="BC8" s="35" t="n">
        <f aca="false">③仙台以降予測!Y31</f>
        <v>0</v>
      </c>
      <c r="BD8" s="32" t="str">
        <f aca="false">④追加発注判定!J8</f>
        <v>在庫余剰</v>
      </c>
      <c r="BE8" s="32" t="str">
        <f aca="false">④追加発注判定!P8</f>
        <v>在庫で充足</v>
      </c>
      <c r="BF8" s="35" t="n">
        <f aca="false">④追加発注判定!R8</f>
        <v>0</v>
      </c>
      <c r="BG8" s="32" t="str">
        <f aca="false">④追加発注判定!X8</f>
        <v>D:不要</v>
      </c>
    </row>
    <row r="9" customFormat="false" ht="15" hidden="false" customHeight="false" outlineLevel="0" collapsed="false">
      <c r="A9" s="32" t="n">
        <v>3</v>
      </c>
      <c r="B9" s="32" t="s">
        <v>290</v>
      </c>
      <c r="C9" s="33" t="s">
        <v>291</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169</v>
      </c>
      <c r="AI9" s="37" t="n">
        <f aca="false">IFERROR(AH9/AH$49,0)</f>
        <v>0.0190079856034192</v>
      </c>
      <c r="AJ9" s="34" t="n">
        <f aca="false">AH9*AG9</f>
        <v>169000</v>
      </c>
      <c r="AK9" s="37" t="n">
        <f aca="false">IFERROR(AJ9/AJ$49,0)</f>
        <v>0.0234169322433144</v>
      </c>
      <c r="AL9" s="35" t="n">
        <v>450</v>
      </c>
      <c r="AM9" s="37" t="n">
        <f aca="false">IFERROR(AH9/AL9,0)</f>
        <v>0.375555555555556</v>
      </c>
      <c r="AN9" s="34" t="n">
        <v>1000</v>
      </c>
      <c r="AO9" s="35" t="n">
        <v>92</v>
      </c>
      <c r="AP9" s="37" t="n">
        <f aca="false">IFERROR(AO9/AO$49,0)</f>
        <v>0.0228741919443063</v>
      </c>
      <c r="AQ9" s="34" t="n">
        <f aca="false">AO9*AN9</f>
        <v>92000</v>
      </c>
      <c r="AR9" s="37" t="n">
        <f aca="false">IFERROR(AQ9/AQ$49,0)</f>
        <v>0.0271514579152402</v>
      </c>
      <c r="AS9" s="35" t="n">
        <v>381</v>
      </c>
      <c r="AT9" s="37" t="n">
        <f aca="false">IFERROR(AO9/AS9,0)</f>
        <v>0.241469816272966</v>
      </c>
      <c r="AU9" s="36" t="n">
        <f aca="false">①石川予測確定!O9</f>
        <v>1.27771508130259</v>
      </c>
      <c r="AV9" s="35" t="n">
        <f aca="false">①石川予測確定!P9</f>
        <v>118</v>
      </c>
      <c r="AW9" s="34" t="n">
        <f aca="false">①石川予測確定!Q9</f>
        <v>118000</v>
      </c>
      <c r="AX9" s="37" t="n">
        <f aca="false">①石川予測確定!T9</f>
        <v>0.309711286089239</v>
      </c>
      <c r="AY9" s="35" t="n">
        <f aca="false">①石川予測確定!U9</f>
        <v>263</v>
      </c>
      <c r="AZ9" s="35" t="n">
        <f aca="false">③仙台以降予測!M32</f>
        <v>1291</v>
      </c>
      <c r="BA9" s="35" t="n">
        <f aca="false">③仙台以降予測!V32</f>
        <v>1857</v>
      </c>
      <c r="BB9" s="38" t="n">
        <f aca="false">③仙台以降予測!X32</f>
        <v>-566</v>
      </c>
      <c r="BC9" s="35" t="n">
        <f aca="false">③仙台以降予測!Y32</f>
        <v>0</v>
      </c>
      <c r="BD9" s="32" t="str">
        <f aca="false">④追加発注判定!J9</f>
        <v>在庫余剰</v>
      </c>
      <c r="BE9" s="32" t="str">
        <f aca="false">④追加発注判定!P9</f>
        <v>在庫で充足</v>
      </c>
      <c r="BF9" s="35" t="n">
        <f aca="false">④追加発注判定!R9</f>
        <v>0</v>
      </c>
      <c r="BG9" s="32" t="str">
        <f aca="false">④追加発注判定!X9</f>
        <v>D:不要</v>
      </c>
    </row>
    <row r="10" customFormat="false" ht="15" hidden="false" customHeight="false" outlineLevel="0" collapsed="false">
      <c r="A10" s="32" t="n">
        <v>4</v>
      </c>
      <c r="B10" s="32" t="s">
        <v>292</v>
      </c>
      <c r="C10" s="33" t="s">
        <v>293</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228</v>
      </c>
      <c r="AI10" s="37" t="n">
        <f aca="false">IFERROR(AH10/AH$49,0)</f>
        <v>0.0256439095714768</v>
      </c>
      <c r="AJ10" s="34" t="n">
        <f aca="false">AH10*AG10</f>
        <v>410400</v>
      </c>
      <c r="AK10" s="37" t="n">
        <f aca="false">IFERROR(AJ10/AJ$49,0)</f>
        <v>0.0568657336843564</v>
      </c>
      <c r="AL10" s="35" t="n">
        <v>800</v>
      </c>
      <c r="AM10" s="37" t="n">
        <f aca="false">IFERROR(AH10/AL10,0)</f>
        <v>0.285</v>
      </c>
      <c r="AN10" s="34" t="n">
        <v>1800</v>
      </c>
      <c r="AO10" s="35" t="n">
        <v>110</v>
      </c>
      <c r="AP10" s="37" t="n">
        <f aca="false">IFERROR(AO10/AO$49,0)</f>
        <v>0.0273495773247141</v>
      </c>
      <c r="AQ10" s="34" t="n">
        <f aca="false">AO10*AN10</f>
        <v>198000</v>
      </c>
      <c r="AR10" s="37" t="n">
        <f aca="false">IFERROR(AQ10/AQ$49,0)</f>
        <v>0.0584346594262779</v>
      </c>
      <c r="AS10" s="35" t="n">
        <v>772</v>
      </c>
      <c r="AT10" s="37" t="n">
        <f aca="false">IFERROR(AO10/AS10,0)</f>
        <v>0.142487046632124</v>
      </c>
      <c r="AU10" s="36" t="n">
        <f aca="false">①石川予測確定!O10</f>
        <v>1.21577982226941</v>
      </c>
      <c r="AV10" s="35" t="n">
        <f aca="false">①石川予測確定!P10</f>
        <v>134</v>
      </c>
      <c r="AW10" s="34" t="n">
        <f aca="false">①石川予測確定!Q10</f>
        <v>241200</v>
      </c>
      <c r="AX10" s="37" t="n">
        <f aca="false">①石川予測確定!T10</f>
        <v>0.173575129533679</v>
      </c>
      <c r="AY10" s="35" t="n">
        <f aca="false">①石川予測確定!U10</f>
        <v>638</v>
      </c>
      <c r="AZ10" s="35" t="n">
        <f aca="false">③仙台以降予測!M33</f>
        <v>1591</v>
      </c>
      <c r="BA10" s="35" t="n">
        <f aca="false">③仙台以降予測!V33</f>
        <v>3153</v>
      </c>
      <c r="BB10" s="38" t="n">
        <f aca="false">③仙台以降予測!X33</f>
        <v>-1562</v>
      </c>
      <c r="BC10" s="35" t="n">
        <f aca="false">③仙台以降予測!Y33</f>
        <v>0</v>
      </c>
      <c r="BD10" s="32" t="str">
        <f aca="false">④追加発注判定!J10</f>
        <v>在庫余剰</v>
      </c>
      <c r="BE10" s="32" t="str">
        <f aca="false">④追加発注判定!P10</f>
        <v>在庫で充足</v>
      </c>
      <c r="BF10" s="35" t="n">
        <f aca="false">④追加発注判定!R10</f>
        <v>0</v>
      </c>
      <c r="BG10" s="32" t="str">
        <f aca="false">④追加発注判定!X10</f>
        <v>D:不要</v>
      </c>
    </row>
    <row r="11" customFormat="false" ht="15" hidden="false" customHeight="false" outlineLevel="0" collapsed="false">
      <c r="A11" s="32" t="n">
        <v>5</v>
      </c>
      <c r="B11" s="32" t="s">
        <v>294</v>
      </c>
      <c r="C11" s="33" t="s">
        <v>295</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410</v>
      </c>
      <c r="AI11" s="37" t="n">
        <f aca="false">IFERROR(AH11/AH$49,0)</f>
        <v>0.0461140479136205</v>
      </c>
      <c r="AJ11" s="34" t="n">
        <f aca="false">AH11*AG11</f>
        <v>246000</v>
      </c>
      <c r="AK11" s="37" t="n">
        <f aca="false">IFERROR(AJ11/AJ$49,0)</f>
        <v>0.0340861853955937</v>
      </c>
      <c r="AL11" s="35" t="n">
        <v>9000</v>
      </c>
      <c r="AM11" s="37" t="n">
        <f aca="false">IFERROR(AH11/AL11,0)</f>
        <v>0.0455555555555556</v>
      </c>
      <c r="AN11" s="34" t="n">
        <v>600</v>
      </c>
      <c r="AO11" s="35" t="n">
        <v>226</v>
      </c>
      <c r="AP11" s="37" t="n">
        <f aca="false">IFERROR(AO11/AO$49,0)</f>
        <v>0.0561909497762307</v>
      </c>
      <c r="AQ11" s="34" t="n">
        <f aca="false">AO11*AN11</f>
        <v>135600</v>
      </c>
      <c r="AR11" s="37" t="n">
        <f aca="false">IFERROR(AQ11/AQ$49,0)</f>
        <v>0.0400188879707236</v>
      </c>
      <c r="AS11" s="35" t="n">
        <v>8790</v>
      </c>
      <c r="AT11" s="37" t="n">
        <f aca="false">IFERROR(AO11/AS11,0)</f>
        <v>0.0257110352673493</v>
      </c>
      <c r="AU11" s="36" t="n">
        <f aca="false">①石川予測確定!O11</f>
        <v>1.29722746856263</v>
      </c>
      <c r="AV11" s="35" t="n">
        <f aca="false">①石川予測確定!P11</f>
        <v>293</v>
      </c>
      <c r="AW11" s="34" t="n">
        <f aca="false">①石川予測確定!Q11</f>
        <v>175800</v>
      </c>
      <c r="AX11" s="37" t="n">
        <f aca="false">①石川予測確定!T11</f>
        <v>0.0333333333333333</v>
      </c>
      <c r="AY11" s="35" t="n">
        <f aca="false">①石川予測確定!U11</f>
        <v>8497</v>
      </c>
      <c r="AZ11" s="35" t="n">
        <f aca="false">③仙台以降予測!M34</f>
        <v>3173</v>
      </c>
      <c r="BA11" s="35" t="n">
        <f aca="false">③仙台以降予測!V34</f>
        <v>39392</v>
      </c>
      <c r="BB11" s="38" t="n">
        <f aca="false">③仙台以降予測!X34</f>
        <v>-36219</v>
      </c>
      <c r="BC11" s="35" t="n">
        <f aca="false">③仙台以降予測!Y34</f>
        <v>0</v>
      </c>
      <c r="BD11" s="32" t="str">
        <f aca="false">④追加発注判定!J11</f>
        <v>在庫余剰</v>
      </c>
      <c r="BE11" s="32" t="str">
        <f aca="false">④追加発注判定!P11</f>
        <v>在庫で充足</v>
      </c>
      <c r="BF11" s="35" t="n">
        <f aca="false">④追加発注判定!R11</f>
        <v>0</v>
      </c>
      <c r="BG11" s="32" t="str">
        <f aca="false">④追加発注判定!X11</f>
        <v>D:不要</v>
      </c>
    </row>
    <row r="12" customFormat="false" ht="15" hidden="false" customHeight="false" outlineLevel="0" collapsed="false">
      <c r="A12" s="32" t="n">
        <v>6</v>
      </c>
      <c r="B12" s="32" t="s">
        <v>296</v>
      </c>
      <c r="C12" s="33" t="s">
        <v>297</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1042</v>
      </c>
      <c r="AI12" s="37" t="n">
        <f aca="false">IFERROR(AH12/AH$49,0)</f>
        <v>0.117197165673153</v>
      </c>
      <c r="AJ12" s="34" t="n">
        <f aca="false">AH12*AG12</f>
        <v>625200</v>
      </c>
      <c r="AK12" s="37" t="n">
        <f aca="false">IFERROR(AJ12/AJ$49,0)</f>
        <v>0.0866287931273382</v>
      </c>
      <c r="AL12" s="35" t="n">
        <v>13991</v>
      </c>
      <c r="AM12" s="37" t="n">
        <f aca="false">IFERROR(AH12/AL12,0)</f>
        <v>0.0744764491458795</v>
      </c>
      <c r="AN12" s="34" t="n">
        <v>600</v>
      </c>
      <c r="AO12" s="35" t="n">
        <v>439</v>
      </c>
      <c r="AP12" s="37" t="n">
        <f aca="false">IFERROR(AO12/AO$49,0)</f>
        <v>0.109149676777723</v>
      </c>
      <c r="AQ12" s="34" t="n">
        <f aca="false">AO12*AN12</f>
        <v>263400</v>
      </c>
      <c r="AR12" s="37" t="n">
        <f aca="false">IFERROR(AQ12/AQ$49,0)</f>
        <v>0.077735804509503</v>
      </c>
      <c r="AS12" s="35" t="n">
        <v>13249</v>
      </c>
      <c r="AT12" s="37" t="n">
        <f aca="false">IFERROR(AO12/AS12,0)</f>
        <v>0.0331345761944298</v>
      </c>
      <c r="AU12" s="36" t="n">
        <f aca="false">①石川予測確定!O12</f>
        <v>1.28772614792574</v>
      </c>
      <c r="AV12" s="35" t="n">
        <f aca="false">①石川予測確定!P12</f>
        <v>565</v>
      </c>
      <c r="AW12" s="34" t="n">
        <f aca="false">①石川予測確定!Q12</f>
        <v>339000</v>
      </c>
      <c r="AX12" s="37" t="n">
        <f aca="false">①石川予測確定!T12</f>
        <v>0.0426447279039928</v>
      </c>
      <c r="AY12" s="35" t="n">
        <f aca="false">①石川予測確定!U12</f>
        <v>12684</v>
      </c>
      <c r="AZ12" s="35" t="n">
        <f aca="false">③仙台以降予測!M35</f>
        <v>6991</v>
      </c>
      <c r="BA12" s="35" t="n">
        <f aca="false">③仙台以降予測!V35</f>
        <v>50228</v>
      </c>
      <c r="BB12" s="38" t="n">
        <f aca="false">③仙台以降予測!X35</f>
        <v>-43237</v>
      </c>
      <c r="BC12" s="35" t="n">
        <f aca="false">③仙台以降予測!Y35</f>
        <v>0</v>
      </c>
      <c r="BD12" s="32" t="str">
        <f aca="false">④追加発注判定!J12</f>
        <v>在庫余剰</v>
      </c>
      <c r="BE12" s="32" t="str">
        <f aca="false">④追加発注判定!P12</f>
        <v>在庫で充足</v>
      </c>
      <c r="BF12" s="35" t="n">
        <f aca="false">④追加発注判定!R12</f>
        <v>0</v>
      </c>
      <c r="BG12" s="32" t="str">
        <f aca="false">④追加発注判定!X12</f>
        <v>D:不要</v>
      </c>
    </row>
    <row r="13" customFormat="false" ht="15" hidden="false" customHeight="false" outlineLevel="0" collapsed="false">
      <c r="A13" s="32" t="n">
        <v>7</v>
      </c>
      <c r="B13" s="32" t="s">
        <v>298</v>
      </c>
      <c r="C13" s="33" t="s">
        <v>299</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187</v>
      </c>
      <c r="AI13" s="37" t="n">
        <f aca="false">IFERROR(AH13/AH$49,0)</f>
        <v>0.0210325047801147</v>
      </c>
      <c r="AJ13" s="34" t="n">
        <f aca="false">AH13*AG13</f>
        <v>112200</v>
      </c>
      <c r="AK13" s="37" t="n">
        <f aca="false">IFERROR(AJ13/AJ$49,0)</f>
        <v>0.0155466260218928</v>
      </c>
      <c r="AL13" s="35" t="n">
        <v>350</v>
      </c>
      <c r="AM13" s="37" t="n">
        <f aca="false">IFERROR(AH13/AL13,0)</f>
        <v>0.534285714285714</v>
      </c>
      <c r="AN13" s="34" t="n">
        <v>600</v>
      </c>
      <c r="AO13" s="35" t="n">
        <v>130</v>
      </c>
      <c r="AP13" s="37" t="n">
        <f aca="false">IFERROR(AO13/AO$49,0)</f>
        <v>0.0323222277473894</v>
      </c>
      <c r="AQ13" s="34" t="n">
        <f aca="false">AO13*AN13</f>
        <v>78000</v>
      </c>
      <c r="AR13" s="37" t="n">
        <f aca="false">IFERROR(AQ13/AQ$49,0)</f>
        <v>0.0230197143194428</v>
      </c>
      <c r="AS13" s="35" t="n">
        <v>463</v>
      </c>
      <c r="AT13" s="37" t="n">
        <f aca="false">IFERROR(AO13/AS13,0)</f>
        <v>0.280777537796976</v>
      </c>
      <c r="AU13" s="36" t="n">
        <f aca="false">①石川予測確定!O13</f>
        <v>1.2689845535578</v>
      </c>
      <c r="AV13" s="35" t="n">
        <f aca="false">①石川予測確定!P13</f>
        <v>165</v>
      </c>
      <c r="AW13" s="34" t="n">
        <f aca="false">①石川予測確定!Q13</f>
        <v>99000</v>
      </c>
      <c r="AX13" s="37" t="n">
        <f aca="false">①石川予測確定!T13</f>
        <v>0.356371490280778</v>
      </c>
      <c r="AY13" s="35" t="n">
        <f aca="false">①石川予測確定!U13</f>
        <v>298</v>
      </c>
      <c r="AZ13" s="35" t="n">
        <f aca="false">③仙台以降予測!M36</f>
        <v>1635</v>
      </c>
      <c r="BA13" s="35" t="n">
        <f aca="false">③仙台以降予測!V36</f>
        <v>4249</v>
      </c>
      <c r="BB13" s="38" t="n">
        <f aca="false">③仙台以降予測!X36</f>
        <v>-2614</v>
      </c>
      <c r="BC13" s="35" t="n">
        <f aca="false">③仙台以降予測!Y36</f>
        <v>0</v>
      </c>
      <c r="BD13" s="32" t="str">
        <f aca="false">④追加発注判定!J13</f>
        <v>在庫余剰</v>
      </c>
      <c r="BE13" s="32" t="str">
        <f aca="false">④追加発注判定!P13</f>
        <v>在庫で充足</v>
      </c>
      <c r="BF13" s="35" t="n">
        <f aca="false">④追加発注判定!R13</f>
        <v>0</v>
      </c>
      <c r="BG13" s="32" t="str">
        <f aca="false">④追加発注判定!X13</f>
        <v>D:不要</v>
      </c>
    </row>
    <row r="14" customFormat="false" ht="15" hidden="false" customHeight="false" outlineLevel="0" collapsed="false">
      <c r="A14" s="32" t="n">
        <v>8</v>
      </c>
      <c r="B14" s="32" t="s">
        <v>300</v>
      </c>
      <c r="C14" s="33" t="s">
        <v>301</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322</v>
      </c>
      <c r="AI14" s="37" t="n">
        <f aca="false">IFERROR(AH14/AH$49,0)</f>
        <v>0.0362163986053312</v>
      </c>
      <c r="AJ14" s="34" t="n">
        <f aca="false">AH14*AG14</f>
        <v>193200</v>
      </c>
      <c r="AK14" s="37" t="n">
        <f aca="false">IFERROR(AJ14/AJ$49,0)</f>
        <v>0.0267701260911736</v>
      </c>
      <c r="AL14" s="35" t="n">
        <v>900</v>
      </c>
      <c r="AM14" s="37" t="n">
        <f aca="false">IFERROR(AH14/AL14,0)</f>
        <v>0.357777777777778</v>
      </c>
      <c r="AN14" s="34" t="n">
        <v>600</v>
      </c>
      <c r="AO14" s="35" t="n">
        <v>207</v>
      </c>
      <c r="AP14" s="37" t="n">
        <f aca="false">IFERROR(AO14/AO$49,0)</f>
        <v>0.0514669318746892</v>
      </c>
      <c r="AQ14" s="34" t="n">
        <f aca="false">AO14*AN14</f>
        <v>124200</v>
      </c>
      <c r="AR14" s="37" t="n">
        <f aca="false">IFERROR(AQ14/AQ$49,0)</f>
        <v>0.0366544681855743</v>
      </c>
      <c r="AS14" s="35" t="n">
        <v>778</v>
      </c>
      <c r="AT14" s="37" t="n">
        <f aca="false">IFERROR(AO14/AS14,0)</f>
        <v>0.266066838046273</v>
      </c>
      <c r="AU14" s="36" t="n">
        <f aca="false">①石川予測確定!O14</f>
        <v>1.28506273092132</v>
      </c>
      <c r="AV14" s="35" t="n">
        <f aca="false">①石川予測確定!P14</f>
        <v>266</v>
      </c>
      <c r="AW14" s="34" t="n">
        <f aca="false">①石川予測確定!Q14</f>
        <v>159600</v>
      </c>
      <c r="AX14" s="37" t="n">
        <f aca="false">①石川予測確定!T14</f>
        <v>0.341902313624679</v>
      </c>
      <c r="AY14" s="35" t="n">
        <f aca="false">①石川予測確定!U14</f>
        <v>512</v>
      </c>
      <c r="AZ14" s="35" t="n">
        <f aca="false">③仙台以降予測!M37</f>
        <v>2707</v>
      </c>
      <c r="BA14" s="35" t="n">
        <f aca="false">③仙台以降予測!V37</f>
        <v>8034</v>
      </c>
      <c r="BB14" s="38" t="n">
        <f aca="false">③仙台以降予測!X37</f>
        <v>-5327</v>
      </c>
      <c r="BC14" s="35" t="n">
        <f aca="false">③仙台以降予測!Y37</f>
        <v>0</v>
      </c>
      <c r="BD14" s="32" t="str">
        <f aca="false">④追加発注判定!J14</f>
        <v>在庫余剰</v>
      </c>
      <c r="BE14" s="32" t="str">
        <f aca="false">④追加発注判定!P14</f>
        <v>在庫で充足</v>
      </c>
      <c r="BF14" s="35" t="n">
        <f aca="false">④追加発注判定!R14</f>
        <v>0</v>
      </c>
      <c r="BG14" s="32" t="str">
        <f aca="false">④追加発注判定!X14</f>
        <v>D:不要</v>
      </c>
    </row>
    <row r="15" customFormat="false" ht="15" hidden="false" customHeight="false" outlineLevel="0" collapsed="false">
      <c r="A15" s="32" t="n">
        <v>9</v>
      </c>
      <c r="B15" s="32" t="s">
        <v>302</v>
      </c>
      <c r="C15" s="33" t="s">
        <v>303</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160</v>
      </c>
      <c r="AI15" s="37" t="n">
        <f aca="false">IFERROR(AH15/AH$49,0)</f>
        <v>0.0179957260150714</v>
      </c>
      <c r="AJ15" s="34" t="n">
        <f aca="false">AH15*AG15</f>
        <v>96000</v>
      </c>
      <c r="AK15" s="37" t="n">
        <f aca="false">IFERROR(AJ15/AJ$49,0)</f>
        <v>0.0133019260080366</v>
      </c>
      <c r="AL15" s="35" t="n">
        <v>300</v>
      </c>
      <c r="AM15" s="37" t="n">
        <f aca="false">IFERROR(AH15/AL15,0)</f>
        <v>0.533333333333333</v>
      </c>
      <c r="AN15" s="34" t="n">
        <v>600</v>
      </c>
      <c r="AO15" s="35" t="n">
        <v>41</v>
      </c>
      <c r="AP15" s="37" t="n">
        <f aca="false">IFERROR(AO15/AO$49,0)</f>
        <v>0.0101939333664843</v>
      </c>
      <c r="AQ15" s="34" t="n">
        <f aca="false">AO15*AN15</f>
        <v>24600</v>
      </c>
      <c r="AR15" s="37" t="n">
        <f aca="false">IFERROR(AQ15/AQ$49,0)</f>
        <v>0.00726006374690119</v>
      </c>
      <c r="AS15" s="35" t="n">
        <v>740</v>
      </c>
      <c r="AT15" s="37" t="n">
        <f aca="false">IFERROR(AO15/AS15,0)</f>
        <v>0.0554054054054054</v>
      </c>
      <c r="AU15" s="36" t="n">
        <f aca="false">①石川予測確定!O15</f>
        <v>1.25517951321319</v>
      </c>
      <c r="AV15" s="35" t="n">
        <f aca="false">①石川予測確定!P15</f>
        <v>51</v>
      </c>
      <c r="AW15" s="34" t="n">
        <f aca="false">①石川予測確定!Q15</f>
        <v>30600</v>
      </c>
      <c r="AX15" s="37" t="n">
        <f aca="false">①石川予測確定!T15</f>
        <v>0.0689189189189189</v>
      </c>
      <c r="AY15" s="35" t="n">
        <f aca="false">①石川予測確定!U15</f>
        <v>689</v>
      </c>
      <c r="AZ15" s="35" t="n">
        <f aca="false">③仙台以降予測!M38</f>
        <v>860</v>
      </c>
      <c r="BA15" s="35" t="n">
        <f aca="false">③仙台以降予測!V38</f>
        <v>8547</v>
      </c>
      <c r="BB15" s="38" t="n">
        <f aca="false">③仙台以降予測!X38</f>
        <v>-7687</v>
      </c>
      <c r="BC15" s="35" t="n">
        <f aca="false">③仙台以降予測!Y38</f>
        <v>0</v>
      </c>
      <c r="BD15" s="32" t="str">
        <f aca="false">④追加発注判定!J15</f>
        <v>在庫余剰</v>
      </c>
      <c r="BE15" s="32" t="str">
        <f aca="false">④追加発注判定!P15</f>
        <v>在庫で充足</v>
      </c>
      <c r="BF15" s="35" t="n">
        <f aca="false">④追加発注判定!R15</f>
        <v>0</v>
      </c>
      <c r="BG15" s="32" t="str">
        <f aca="false">④追加発注判定!X15</f>
        <v>D:不要</v>
      </c>
    </row>
    <row r="16" customFormat="false" ht="15" hidden="false" customHeight="false" outlineLevel="0" collapsed="false">
      <c r="A16" s="32" t="n">
        <v>10</v>
      </c>
      <c r="B16" s="32" t="s">
        <v>304</v>
      </c>
      <c r="C16" s="33" t="s">
        <v>305</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59</v>
      </c>
      <c r="AI16" s="37" t="n">
        <f aca="false">IFERROR(AH16/AH$49,0)</f>
        <v>0.00663592396805759</v>
      </c>
      <c r="AJ16" s="34" t="n">
        <f aca="false">AH16*AG16</f>
        <v>35400</v>
      </c>
      <c r="AK16" s="37" t="n">
        <f aca="false">IFERROR(AJ16/AJ$49,0)</f>
        <v>0.00490508521546349</v>
      </c>
      <c r="AL16" s="35" t="n">
        <v>100</v>
      </c>
      <c r="AM16" s="37" t="n">
        <f aca="false">IFERROR(AH16/AL16,0)</f>
        <v>0.59</v>
      </c>
      <c r="AN16" s="34" t="n">
        <v>600</v>
      </c>
      <c r="AO16" s="35" t="n">
        <v>16</v>
      </c>
      <c r="AP16" s="37" t="n">
        <f aca="false">IFERROR(AO16/AO$49,0)</f>
        <v>0.00397812033814023</v>
      </c>
      <c r="AQ16" s="34" t="n">
        <f aca="false">AO16*AN16</f>
        <v>9600</v>
      </c>
      <c r="AR16" s="37" t="n">
        <f aca="false">IFERROR(AQ16/AQ$49,0)</f>
        <v>0.00283319560854681</v>
      </c>
      <c r="AS16" s="35" t="n">
        <v>541</v>
      </c>
      <c r="AT16" s="37" t="n">
        <f aca="false">IFERROR(AO16/AS16,0)</f>
        <v>0.0295748613678373</v>
      </c>
      <c r="AU16" s="36" t="n">
        <f aca="false">①石川予測確定!O16</f>
        <v>1.26689265142529</v>
      </c>
      <c r="AV16" s="35" t="n">
        <f aca="false">①石川予測確定!P16</f>
        <v>20</v>
      </c>
      <c r="AW16" s="34" t="n">
        <f aca="false">①石川予測確定!Q16</f>
        <v>12000</v>
      </c>
      <c r="AX16" s="37" t="n">
        <f aca="false">①石川予測確定!T16</f>
        <v>0.0369685767097967</v>
      </c>
      <c r="AY16" s="35" t="n">
        <f aca="false">①石川予測確定!U16</f>
        <v>521</v>
      </c>
      <c r="AZ16" s="35" t="n">
        <f aca="false">③仙台以降予測!M39</f>
        <v>324</v>
      </c>
      <c r="BA16" s="35" t="n">
        <f aca="false">③仙台以降予測!V39</f>
        <v>4856</v>
      </c>
      <c r="BB16" s="38" t="n">
        <f aca="false">③仙台以降予測!X39</f>
        <v>-4532</v>
      </c>
      <c r="BC16" s="35" t="n">
        <f aca="false">③仙台以降予測!Y39</f>
        <v>0</v>
      </c>
      <c r="BD16" s="32" t="str">
        <f aca="false">④追加発注判定!J16</f>
        <v>在庫余剰</v>
      </c>
      <c r="BE16" s="32" t="str">
        <f aca="false">④追加発注判定!P16</f>
        <v>在庫で充足</v>
      </c>
      <c r="BF16" s="35" t="n">
        <f aca="false">④追加発注判定!R16</f>
        <v>0</v>
      </c>
      <c r="BG16" s="32" t="str">
        <f aca="false">④追加発注判定!X16</f>
        <v>D:不要</v>
      </c>
    </row>
    <row r="17" customFormat="false" ht="15" hidden="false" customHeight="false" outlineLevel="0" collapsed="false">
      <c r="A17" s="32" t="n">
        <v>11</v>
      </c>
      <c r="B17" s="32" t="s">
        <v>306</v>
      </c>
      <c r="C17" s="33" t="s">
        <v>307</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21</v>
      </c>
      <c r="AI17" s="37" t="n">
        <f aca="false">IFERROR(AH17/AH$49,0)</f>
        <v>0.00236193903947812</v>
      </c>
      <c r="AJ17" s="34" t="n">
        <f aca="false">AH17*AG17</f>
        <v>12600</v>
      </c>
      <c r="AK17" s="37" t="n">
        <f aca="false">IFERROR(AJ17/AJ$49,0)</f>
        <v>0.0017458777885548</v>
      </c>
      <c r="AL17" s="35" t="n">
        <v>50</v>
      </c>
      <c r="AM17" s="37" t="n">
        <f aca="false">IFERROR(AH17/AL17,0)</f>
        <v>0.42</v>
      </c>
      <c r="AN17" s="34" t="n">
        <v>600</v>
      </c>
      <c r="AO17" s="35" t="n">
        <v>6</v>
      </c>
      <c r="AP17" s="37" t="n">
        <f aca="false">IFERROR(AO17/AO$49,0)</f>
        <v>0.00149179512680259</v>
      </c>
      <c r="AQ17" s="34" t="n">
        <f aca="false">AO17*AN17</f>
        <v>3600</v>
      </c>
      <c r="AR17" s="37" t="n">
        <f aca="false">IFERROR(AQ17/AQ$49,0)</f>
        <v>0.00106244835320505</v>
      </c>
      <c r="AS17" s="35" t="n">
        <v>79</v>
      </c>
      <c r="AT17" s="37" t="n">
        <f aca="false">IFERROR(AO17/AS17,0)</f>
        <v>0.0759493670886076</v>
      </c>
      <c r="AU17" s="36" t="n">
        <f aca="false">①石川予測確定!O17</f>
        <v>1.32449494949495</v>
      </c>
      <c r="AV17" s="35" t="n">
        <f aca="false">①石川予測確定!P17</f>
        <v>8</v>
      </c>
      <c r="AW17" s="34" t="n">
        <f aca="false">①石川予測確定!Q17</f>
        <v>4800</v>
      </c>
      <c r="AX17" s="37" t="n">
        <f aca="false">①石川予測確定!T17</f>
        <v>0.10126582278481</v>
      </c>
      <c r="AY17" s="35" t="n">
        <f aca="false">①石川予測確定!U17</f>
        <v>71</v>
      </c>
      <c r="AZ17" s="35" t="n">
        <f aca="false">③仙台以降予測!M40</f>
        <v>121</v>
      </c>
      <c r="BA17" s="35" t="n">
        <f aca="false">③仙台以降予測!V40</f>
        <v>609</v>
      </c>
      <c r="BB17" s="38" t="n">
        <f aca="false">③仙台以降予測!X40</f>
        <v>-488</v>
      </c>
      <c r="BC17" s="35" t="n">
        <f aca="false">③仙台以降予測!Y40</f>
        <v>0</v>
      </c>
      <c r="BD17" s="32" t="str">
        <f aca="false">④追加発注判定!J17</f>
        <v>在庫余剰</v>
      </c>
      <c r="BE17" s="32" t="str">
        <f aca="false">④追加発注判定!P17</f>
        <v>在庫で充足</v>
      </c>
      <c r="BF17" s="35" t="n">
        <f aca="false">④追加発注判定!R17</f>
        <v>0</v>
      </c>
      <c r="BG17" s="32" t="str">
        <f aca="false">④追加発注判定!X17</f>
        <v>D:不要</v>
      </c>
    </row>
    <row r="18" customFormat="false" ht="15" hidden="false" customHeight="false" outlineLevel="0" collapsed="false">
      <c r="A18" s="32" t="n">
        <v>12</v>
      </c>
      <c r="B18" s="32" t="s">
        <v>308</v>
      </c>
      <c r="C18" s="33" t="s">
        <v>309</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43</v>
      </c>
      <c r="AI18" s="37" t="n">
        <f aca="false">IFERROR(AH18/AH$49,0)</f>
        <v>0.00483635136655044</v>
      </c>
      <c r="AJ18" s="34" t="n">
        <f aca="false">AH18*AG18</f>
        <v>25800</v>
      </c>
      <c r="AK18" s="37" t="n">
        <f aca="false">IFERROR(AJ18/AJ$49,0)</f>
        <v>0.00357489261465983</v>
      </c>
      <c r="AL18" s="35" t="n">
        <v>50</v>
      </c>
      <c r="AM18" s="37" t="n">
        <f aca="false">IFERROR(AH18/AL18,0)</f>
        <v>0.86</v>
      </c>
      <c r="AN18" s="34" t="n">
        <v>600</v>
      </c>
      <c r="AO18" s="35" t="n">
        <v>13</v>
      </c>
      <c r="AP18" s="37" t="n">
        <f aca="false">IFERROR(AO18/AO$49,0)</f>
        <v>0.00323222277473894</v>
      </c>
      <c r="AQ18" s="34" t="n">
        <f aca="false">AO18*AN18</f>
        <v>7800</v>
      </c>
      <c r="AR18" s="37" t="n">
        <f aca="false">IFERROR(AQ18/AQ$49,0)</f>
        <v>0.00230197143194428</v>
      </c>
      <c r="AS18" s="35" t="n">
        <v>107</v>
      </c>
      <c r="AT18" s="37" t="n">
        <f aca="false">IFERROR(AO18/AS18,0)</f>
        <v>0.121495327102804</v>
      </c>
      <c r="AU18" s="36" t="n">
        <f aca="false">①石川予測確定!O18</f>
        <v>1.28918419003115</v>
      </c>
      <c r="AV18" s="35" t="n">
        <f aca="false">①石川予測確定!P18</f>
        <v>17</v>
      </c>
      <c r="AW18" s="34" t="n">
        <f aca="false">①石川予測確定!Q18</f>
        <v>10200</v>
      </c>
      <c r="AX18" s="37" t="n">
        <f aca="false">①石川予測確定!T18</f>
        <v>0.158878504672897</v>
      </c>
      <c r="AY18" s="35" t="n">
        <f aca="false">①石川予測確定!U18</f>
        <v>90</v>
      </c>
      <c r="AZ18" s="35" t="n">
        <f aca="false">③仙台以降予測!M41</f>
        <v>251</v>
      </c>
      <c r="BA18" s="35" t="n">
        <f aca="false">③仙台以降予測!V41</f>
        <v>891</v>
      </c>
      <c r="BB18" s="38" t="n">
        <f aca="false">③仙台以降予測!X41</f>
        <v>-640</v>
      </c>
      <c r="BC18" s="35" t="n">
        <f aca="false">③仙台以降予測!Y41</f>
        <v>0</v>
      </c>
      <c r="BD18" s="32" t="str">
        <f aca="false">④追加発注判定!J18</f>
        <v>在庫余剰</v>
      </c>
      <c r="BE18" s="32" t="str">
        <f aca="false">④追加発注判定!P18</f>
        <v>在庫で充足</v>
      </c>
      <c r="BF18" s="35" t="n">
        <f aca="false">④追加発注判定!R18</f>
        <v>0</v>
      </c>
      <c r="BG18" s="32" t="str">
        <f aca="false">④追加発注判定!X18</f>
        <v>D:不要</v>
      </c>
    </row>
    <row r="19" customFormat="false" ht="15" hidden="false" customHeight="false" outlineLevel="0" collapsed="false">
      <c r="A19" s="32" t="n">
        <v>13</v>
      </c>
      <c r="B19" s="32" t="s">
        <v>310</v>
      </c>
      <c r="C19" s="33" t="s">
        <v>311</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8</v>
      </c>
      <c r="AI19" s="37" t="n">
        <f aca="false">IFERROR(AH19/AH$49,0)</f>
        <v>0.000899786300753571</v>
      </c>
      <c r="AJ19" s="34" t="n">
        <f aca="false">AH19*AG19</f>
        <v>4800</v>
      </c>
      <c r="AK19" s="37" t="n">
        <f aca="false">IFERROR(AJ19/AJ$49,0)</f>
        <v>0.000665096300401829</v>
      </c>
      <c r="AL19" s="35" t="n">
        <v>50</v>
      </c>
      <c r="AM19" s="37" t="n">
        <f aca="false">IFERROR(AH19/AL19,0)</f>
        <v>0.16</v>
      </c>
      <c r="AN19" s="34" t="n">
        <v>600</v>
      </c>
      <c r="AO19" s="35" t="n">
        <v>5</v>
      </c>
      <c r="AP19" s="37" t="n">
        <f aca="false">IFERROR(AO19/AO$49,0)</f>
        <v>0.00124316260566882</v>
      </c>
      <c r="AQ19" s="34" t="n">
        <f aca="false">AO19*AN19</f>
        <v>3000</v>
      </c>
      <c r="AR19" s="37" t="n">
        <f aca="false">IFERROR(AQ19/AQ$49,0)</f>
        <v>0.000885373627670877</v>
      </c>
      <c r="AS19" s="35" t="n">
        <v>52</v>
      </c>
      <c r="AT19" s="37" t="n">
        <f aca="false">IFERROR(AO19/AS19,0)</f>
        <v>0.0961538461538462</v>
      </c>
      <c r="AU19" s="36" t="n">
        <f aca="false">①石川予測確定!O19</f>
        <v>1.29139194139194</v>
      </c>
      <c r="AV19" s="35" t="n">
        <f aca="false">①石川予測確定!P19</f>
        <v>6</v>
      </c>
      <c r="AW19" s="34" t="n">
        <f aca="false">①石川予測確定!Q19</f>
        <v>3600</v>
      </c>
      <c r="AX19" s="37" t="n">
        <f aca="false">①石川予測確定!T19</f>
        <v>0.115384615384615</v>
      </c>
      <c r="AY19" s="35" t="n">
        <f aca="false">①石川予測確定!U19</f>
        <v>46</v>
      </c>
      <c r="AZ19" s="35" t="n">
        <f aca="false">③仙台以降予測!M42</f>
        <v>64</v>
      </c>
      <c r="BA19" s="35" t="n">
        <f aca="false">③仙台以降予測!V42</f>
        <v>305</v>
      </c>
      <c r="BB19" s="38" t="n">
        <f aca="false">③仙台以降予測!X42</f>
        <v>-241</v>
      </c>
      <c r="BC19" s="35" t="n">
        <f aca="false">③仙台以降予測!Y42</f>
        <v>0</v>
      </c>
      <c r="BD19" s="32" t="str">
        <f aca="false">④追加発注判定!J19</f>
        <v>在庫余剰</v>
      </c>
      <c r="BE19" s="32" t="str">
        <f aca="false">④追加発注判定!P19</f>
        <v>在庫で充足</v>
      </c>
      <c r="BF19" s="35" t="n">
        <f aca="false">④追加発注判定!R19</f>
        <v>0</v>
      </c>
      <c r="BG19" s="32" t="str">
        <f aca="false">④追加発注判定!X19</f>
        <v>D:不要</v>
      </c>
    </row>
    <row r="20" customFormat="false" ht="15" hidden="false" customHeight="false" outlineLevel="0" collapsed="false">
      <c r="A20" s="32" t="n">
        <v>14</v>
      </c>
      <c r="B20" s="32" t="s">
        <v>312</v>
      </c>
      <c r="C20" s="33" t="s">
        <v>313</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47</v>
      </c>
      <c r="AI20" s="37" t="n">
        <f aca="false">IFERROR(AH20/AH$49,0)</f>
        <v>0.00528624451692723</v>
      </c>
      <c r="AJ20" s="34" t="n">
        <f aca="false">AH20*AG20</f>
        <v>28200</v>
      </c>
      <c r="AK20" s="37" t="n">
        <f aca="false">IFERROR(AJ20/AJ$49,0)</f>
        <v>0.00390744076486075</v>
      </c>
      <c r="AL20" s="35" t="n">
        <v>50</v>
      </c>
      <c r="AM20" s="37" t="n">
        <f aca="false">IFERROR(AH20/AL20,0)</f>
        <v>0.94</v>
      </c>
      <c r="AN20" s="34" t="n">
        <v>600</v>
      </c>
      <c r="AO20" s="35" t="n">
        <v>10</v>
      </c>
      <c r="AP20" s="37" t="n">
        <f aca="false">IFERROR(AO20/AO$49,0)</f>
        <v>0.00248632521133764</v>
      </c>
      <c r="AQ20" s="34" t="n">
        <f aca="false">AO20*AN20</f>
        <v>6000</v>
      </c>
      <c r="AR20" s="37" t="n">
        <f aca="false">IFERROR(AQ20/AQ$49,0)</f>
        <v>0.00177074725534175</v>
      </c>
      <c r="AS20" s="35" t="n">
        <v>53</v>
      </c>
      <c r="AT20" s="37" t="n">
        <f aca="false">IFERROR(AO20/AS20,0)</f>
        <v>0.188679245283019</v>
      </c>
      <c r="AU20" s="36" t="n">
        <f aca="false">①石川予測確定!O20</f>
        <v>1.42727272727273</v>
      </c>
      <c r="AV20" s="35" t="n">
        <f aca="false">①石川予測確定!P20</f>
        <v>14</v>
      </c>
      <c r="AW20" s="34" t="n">
        <f aca="false">①石川予測確定!Q20</f>
        <v>8400</v>
      </c>
      <c r="AX20" s="37" t="n">
        <f aca="false">①石川予測確定!T20</f>
        <v>0.264150943396226</v>
      </c>
      <c r="AY20" s="35" t="n">
        <f aca="false">①石川予測確定!U20</f>
        <v>39</v>
      </c>
      <c r="AZ20" s="35" t="n">
        <f aca="false">③仙台以降予測!M43</f>
        <v>246</v>
      </c>
      <c r="BA20" s="35" t="n">
        <f aca="false">③仙台以降予測!V43</f>
        <v>1729</v>
      </c>
      <c r="BB20" s="38" t="n">
        <f aca="false">③仙台以降予測!X43</f>
        <v>-1483</v>
      </c>
      <c r="BC20" s="35" t="n">
        <f aca="false">③仙台以降予測!Y43</f>
        <v>0</v>
      </c>
      <c r="BD20" s="32" t="str">
        <f aca="false">④追加発注判定!J20</f>
        <v>在庫余剰</v>
      </c>
      <c r="BE20" s="32" t="str">
        <f aca="false">④追加発注判定!P20</f>
        <v>在庫で充足</v>
      </c>
      <c r="BF20" s="35" t="n">
        <f aca="false">④追加発注判定!R20</f>
        <v>0</v>
      </c>
      <c r="BG20" s="32" t="str">
        <f aca="false">④追加発注判定!X20</f>
        <v>D:不要</v>
      </c>
    </row>
    <row r="21" customFormat="false" ht="15" hidden="false" customHeight="false" outlineLevel="0" collapsed="false">
      <c r="A21" s="32" t="n">
        <v>15</v>
      </c>
      <c r="B21" s="32" t="s">
        <v>314</v>
      </c>
      <c r="C21" s="33" t="s">
        <v>315</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54</v>
      </c>
      <c r="AI21" s="37" t="n">
        <f aca="false">IFERROR(AH21/AH$49,0)</f>
        <v>0.0060735575300866</v>
      </c>
      <c r="AJ21" s="34" t="n">
        <f aca="false">AH21*AG21</f>
        <v>32400</v>
      </c>
      <c r="AK21" s="37" t="n">
        <f aca="false">IFERROR(AJ21/AJ$49,0)</f>
        <v>0.00448940002771235</v>
      </c>
      <c r="AL21" s="35" t="n">
        <v>100</v>
      </c>
      <c r="AM21" s="37" t="n">
        <f aca="false">IFERROR(AH21/AL21,0)</f>
        <v>0.54</v>
      </c>
      <c r="AN21" s="34" t="n">
        <v>600</v>
      </c>
      <c r="AO21" s="35" t="n">
        <v>17</v>
      </c>
      <c r="AP21" s="37" t="n">
        <f aca="false">IFERROR(AO21/AO$49,0)</f>
        <v>0.00422675285927399</v>
      </c>
      <c r="AQ21" s="34" t="n">
        <f aca="false">AO21*AN21</f>
        <v>10200</v>
      </c>
      <c r="AR21" s="37" t="n">
        <f aca="false">IFERROR(AQ21/AQ$49,0)</f>
        <v>0.00301027033408098</v>
      </c>
      <c r="AS21" s="35" t="n">
        <v>96</v>
      </c>
      <c r="AT21" s="37" t="n">
        <f aca="false">IFERROR(AO21/AS21,0)</f>
        <v>0.177083333333333</v>
      </c>
      <c r="AU21" s="36" t="n">
        <f aca="false">①石川予測確定!O21</f>
        <v>1.3436454671354</v>
      </c>
      <c r="AV21" s="35" t="n">
        <f aca="false">①石川予測確定!P21</f>
        <v>23</v>
      </c>
      <c r="AW21" s="34" t="n">
        <f aca="false">①石川予測確定!Q21</f>
        <v>13800</v>
      </c>
      <c r="AX21" s="37" t="n">
        <f aca="false">①石川予測確定!T21</f>
        <v>0.239583333333333</v>
      </c>
      <c r="AY21" s="35" t="n">
        <f aca="false">①石川予測確定!U21</f>
        <v>73</v>
      </c>
      <c r="AZ21" s="35" t="n">
        <f aca="false">③仙台以降予測!M44</f>
        <v>324</v>
      </c>
      <c r="BA21" s="35" t="n">
        <f aca="false">③仙台以降予測!V44</f>
        <v>2054</v>
      </c>
      <c r="BB21" s="38" t="n">
        <f aca="false">③仙台以降予測!X44</f>
        <v>-1730</v>
      </c>
      <c r="BC21" s="35" t="n">
        <f aca="false">③仙台以降予測!Y44</f>
        <v>0</v>
      </c>
      <c r="BD21" s="32" t="str">
        <f aca="false">④追加発注判定!J21</f>
        <v>在庫余剰</v>
      </c>
      <c r="BE21" s="32" t="str">
        <f aca="false">④追加発注判定!P21</f>
        <v>在庫で充足</v>
      </c>
      <c r="BF21" s="35" t="n">
        <f aca="false">④追加発注判定!R21</f>
        <v>0</v>
      </c>
      <c r="BG21" s="32" t="str">
        <f aca="false">④追加発注判定!X21</f>
        <v>D:不要</v>
      </c>
    </row>
    <row r="22" customFormat="false" ht="15" hidden="false" customHeight="false" outlineLevel="0" collapsed="false">
      <c r="A22" s="32" t="n">
        <v>16</v>
      </c>
      <c r="B22" s="32" t="s">
        <v>316</v>
      </c>
      <c r="C22" s="33" t="s">
        <v>317</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22</v>
      </c>
      <c r="AI22" s="37" t="n">
        <f aca="false">IFERROR(AH22/AH$49,0)</f>
        <v>0.00247441232707232</v>
      </c>
      <c r="AJ22" s="34" t="n">
        <f aca="false">AH22*AG22</f>
        <v>13200</v>
      </c>
      <c r="AK22" s="37" t="n">
        <f aca="false">IFERROR(AJ22/AJ$49,0)</f>
        <v>0.00182901482610503</v>
      </c>
      <c r="AL22" s="35" t="n">
        <v>50</v>
      </c>
      <c r="AM22" s="37" t="n">
        <f aca="false">IFERROR(AH22/AL22,0)</f>
        <v>0.44</v>
      </c>
      <c r="AN22" s="34" t="n">
        <v>600</v>
      </c>
      <c r="AO22" s="35" t="n">
        <v>4</v>
      </c>
      <c r="AP22" s="37" t="n">
        <f aca="false">IFERROR(AO22/AO$49,0)</f>
        <v>0.000994530084535057</v>
      </c>
      <c r="AQ22" s="34" t="n">
        <f aca="false">AO22*AN22</f>
        <v>2400</v>
      </c>
      <c r="AR22" s="37" t="n">
        <f aca="false">IFERROR(AQ22/AQ$49,0)</f>
        <v>0.000708298902136702</v>
      </c>
      <c r="AS22" s="35" t="n">
        <v>78</v>
      </c>
      <c r="AT22" s="37" t="n">
        <f aca="false">IFERROR(AO22/AS22,0)</f>
        <v>0.0512820512820513</v>
      </c>
      <c r="AU22" s="36" t="n">
        <f aca="false">①石川予測確定!O22</f>
        <v>1.54064581990114</v>
      </c>
      <c r="AV22" s="35" t="n">
        <f aca="false">①石川予測確定!P22</f>
        <v>6</v>
      </c>
      <c r="AW22" s="34" t="n">
        <f aca="false">①石川予測確定!Q22</f>
        <v>3600</v>
      </c>
      <c r="AX22" s="37" t="n">
        <f aca="false">①石川予測確定!T22</f>
        <v>0.0769230769230769</v>
      </c>
      <c r="AY22" s="35" t="n">
        <f aca="false">①石川予測確定!U22</f>
        <v>72</v>
      </c>
      <c r="AZ22" s="35" t="n">
        <f aca="false">③仙台以降予測!M45</f>
        <v>112</v>
      </c>
      <c r="BA22" s="35" t="n">
        <f aca="false">③仙台以降予測!V45</f>
        <v>744</v>
      </c>
      <c r="BB22" s="38" t="n">
        <f aca="false">③仙台以降予測!X45</f>
        <v>-632</v>
      </c>
      <c r="BC22" s="35" t="n">
        <f aca="false">③仙台以降予測!Y45</f>
        <v>0</v>
      </c>
      <c r="BD22" s="32" t="str">
        <f aca="false">④追加発注判定!J22</f>
        <v>在庫余剰</v>
      </c>
      <c r="BE22" s="32" t="str">
        <f aca="false">④追加発注判定!P22</f>
        <v>在庫で充足</v>
      </c>
      <c r="BF22" s="35" t="n">
        <f aca="false">④追加発注判定!R22</f>
        <v>0</v>
      </c>
      <c r="BG22" s="32" t="str">
        <f aca="false">④追加発注判定!X22</f>
        <v>D:不要</v>
      </c>
    </row>
    <row r="23" customFormat="false" ht="15" hidden="false" customHeight="false" outlineLevel="0" collapsed="false">
      <c r="A23" s="32" t="n">
        <v>17</v>
      </c>
      <c r="B23" s="32" t="s">
        <v>318</v>
      </c>
      <c r="C23" s="33" t="s">
        <v>319</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100</v>
      </c>
      <c r="AI23" s="37" t="n">
        <f aca="false">IFERROR(AH23/AH$49,0)</f>
        <v>0.0112473287594196</v>
      </c>
      <c r="AJ23" s="34" t="n">
        <f aca="false">AH23*AG23</f>
        <v>60000</v>
      </c>
      <c r="AK23" s="37" t="n">
        <f aca="false">IFERROR(AJ23/AJ$49,0)</f>
        <v>0.00831370375502286</v>
      </c>
      <c r="AL23" s="35" t="n">
        <v>100</v>
      </c>
      <c r="AM23" s="37" t="n">
        <f aca="false">IFERROR(AH23/AL23,0)</f>
        <v>1</v>
      </c>
      <c r="AN23" s="34" t="n">
        <v>600</v>
      </c>
      <c r="AO23" s="35" t="n">
        <v>30</v>
      </c>
      <c r="AP23" s="37" t="n">
        <f aca="false">IFERROR(AO23/AO$49,0)</f>
        <v>0.00745897563401293</v>
      </c>
      <c r="AQ23" s="34" t="n">
        <f aca="false">AO23*AN23</f>
        <v>18000</v>
      </c>
      <c r="AR23" s="37" t="n">
        <f aca="false">IFERROR(AQ23/AQ$49,0)</f>
        <v>0.00531224176602526</v>
      </c>
      <c r="AS23" s="35" t="n">
        <v>200</v>
      </c>
      <c r="AT23" s="37" t="n">
        <f aca="false">IFERROR(AO23/AS23,0)</f>
        <v>0.15</v>
      </c>
      <c r="AU23" s="36" t="n">
        <f aca="false">①石川予測確定!O23</f>
        <v>1.35320425724638</v>
      </c>
      <c r="AV23" s="35" t="n">
        <f aca="false">①石川予測確定!P23</f>
        <v>41</v>
      </c>
      <c r="AW23" s="34" t="n">
        <f aca="false">①石川予測確定!Q23</f>
        <v>24600</v>
      </c>
      <c r="AX23" s="37" t="n">
        <f aca="false">①石川予測確定!T23</f>
        <v>0.205</v>
      </c>
      <c r="AY23" s="35" t="n">
        <f aca="false">①石川予測確定!U23</f>
        <v>159</v>
      </c>
      <c r="AZ23" s="35" t="n">
        <f aca="false">③仙台以降予測!M46</f>
        <v>592</v>
      </c>
      <c r="BA23" s="35" t="n">
        <f aca="false">③仙台以降予測!V46</f>
        <v>2380</v>
      </c>
      <c r="BB23" s="38" t="n">
        <f aca="false">③仙台以降予測!X46</f>
        <v>-1788</v>
      </c>
      <c r="BC23" s="35" t="n">
        <f aca="false">③仙台以降予測!Y46</f>
        <v>0</v>
      </c>
      <c r="BD23" s="32" t="str">
        <f aca="false">④追加発注判定!J23</f>
        <v>在庫余剰</v>
      </c>
      <c r="BE23" s="32" t="str">
        <f aca="false">④追加発注判定!P23</f>
        <v>在庫で充足</v>
      </c>
      <c r="BF23" s="35" t="n">
        <f aca="false">④追加発注判定!R23</f>
        <v>0</v>
      </c>
      <c r="BG23" s="32" t="str">
        <f aca="false">④追加発注判定!X23</f>
        <v>D:不要</v>
      </c>
    </row>
    <row r="24" customFormat="false" ht="15" hidden="false" customHeight="false" outlineLevel="0" collapsed="false">
      <c r="A24" s="32" t="n">
        <v>18</v>
      </c>
      <c r="B24" s="32" t="s">
        <v>320</v>
      </c>
      <c r="C24" s="33" t="s">
        <v>321</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443</v>
      </c>
      <c r="AI24" s="37" t="n">
        <f aca="false">IFERROR(AH24/AH$49,0)</f>
        <v>0.049825666404229</v>
      </c>
      <c r="AJ24" s="34" t="n">
        <f aca="false">AH24*AG24</f>
        <v>265800</v>
      </c>
      <c r="AK24" s="37" t="n">
        <f aca="false">IFERROR(AJ24/AJ$49,0)</f>
        <v>0.0368297076347513</v>
      </c>
      <c r="AL24" s="35" t="n">
        <v>1500</v>
      </c>
      <c r="AM24" s="37" t="n">
        <f aca="false">IFERROR(AH24/AL24,0)</f>
        <v>0.295333333333333</v>
      </c>
      <c r="AN24" s="34" t="n">
        <v>600</v>
      </c>
      <c r="AO24" s="35" t="n">
        <v>122</v>
      </c>
      <c r="AP24" s="37" t="n">
        <f aca="false">IFERROR(AO24/AO$49,0)</f>
        <v>0.0303331675783192</v>
      </c>
      <c r="AQ24" s="34" t="n">
        <f aca="false">AO24*AN24</f>
        <v>73200</v>
      </c>
      <c r="AR24" s="37" t="n">
        <f aca="false">IFERROR(AQ24/AQ$49,0)</f>
        <v>0.0216031165151694</v>
      </c>
      <c r="AS24" s="35" t="n">
        <v>1157</v>
      </c>
      <c r="AT24" s="37" t="n">
        <f aca="false">IFERROR(AO24/AS24,0)</f>
        <v>0.105445116681072</v>
      </c>
      <c r="AU24" s="36" t="n">
        <f aca="false">①石川予測確定!O24</f>
        <v>1.2460464415489</v>
      </c>
      <c r="AV24" s="35" t="n">
        <f aca="false">①石川予測確定!P24</f>
        <v>152</v>
      </c>
      <c r="AW24" s="34" t="n">
        <f aca="false">①石川予測確定!Q24</f>
        <v>91200</v>
      </c>
      <c r="AX24" s="37" t="n">
        <f aca="false">①石川予測確定!T24</f>
        <v>0.131374243733794</v>
      </c>
      <c r="AY24" s="35" t="n">
        <f aca="false">①石川予測確定!U24</f>
        <v>1005</v>
      </c>
      <c r="AZ24" s="35" t="n">
        <f aca="false">③仙台以降予測!M47</f>
        <v>2444</v>
      </c>
      <c r="BA24" s="35" t="n">
        <f aca="false">③仙台以降予測!V47</f>
        <v>9126</v>
      </c>
      <c r="BB24" s="38" t="n">
        <f aca="false">③仙台以降予測!X47</f>
        <v>-6682</v>
      </c>
      <c r="BC24" s="35" t="n">
        <f aca="false">③仙台以降予測!Y47</f>
        <v>0</v>
      </c>
      <c r="BD24" s="32" t="str">
        <f aca="false">④追加発注判定!J24</f>
        <v>在庫余剰</v>
      </c>
      <c r="BE24" s="32" t="str">
        <f aca="false">④追加発注判定!P24</f>
        <v>在庫で充足</v>
      </c>
      <c r="BF24" s="35" t="n">
        <f aca="false">④追加発注判定!R24</f>
        <v>0</v>
      </c>
      <c r="BG24" s="32" t="str">
        <f aca="false">④追加発注判定!X24</f>
        <v>D:不要</v>
      </c>
    </row>
    <row r="25" customFormat="false" ht="15" hidden="false" customHeight="false" outlineLevel="0" collapsed="false">
      <c r="A25" s="32" t="n">
        <v>19</v>
      </c>
      <c r="B25" s="32" t="s">
        <v>322</v>
      </c>
      <c r="C25" s="33" t="s">
        <v>323</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21</v>
      </c>
      <c r="AI25" s="37" t="n">
        <f aca="false">IFERROR(AH25/AH$49,0)</f>
        <v>0.00236193903947812</v>
      </c>
      <c r="AJ25" s="34" t="n">
        <f aca="false">AH25*AG25</f>
        <v>12600</v>
      </c>
      <c r="AK25" s="37" t="n">
        <f aca="false">IFERROR(AJ25/AJ$49,0)</f>
        <v>0.0017458777885548</v>
      </c>
      <c r="AL25" s="35" t="n">
        <v>50</v>
      </c>
      <c r="AM25" s="37" t="n">
        <f aca="false">IFERROR(AH25/AL25,0)</f>
        <v>0.42</v>
      </c>
      <c r="AN25" s="34" t="n">
        <v>600</v>
      </c>
      <c r="AO25" s="35" t="n">
        <v>4</v>
      </c>
      <c r="AP25" s="37" t="n">
        <f aca="false">IFERROR(AO25/AO$49,0)</f>
        <v>0.000994530084535057</v>
      </c>
      <c r="AQ25" s="34" t="n">
        <f aca="false">AO25*AN25</f>
        <v>2400</v>
      </c>
      <c r="AR25" s="37" t="n">
        <f aca="false">IFERROR(AQ25/AQ$49,0)</f>
        <v>0.000708298902136702</v>
      </c>
      <c r="AS25" s="35" t="n">
        <v>129</v>
      </c>
      <c r="AT25" s="37" t="n">
        <f aca="false">IFERROR(AO25/AS25,0)</f>
        <v>0.0310077519379845</v>
      </c>
      <c r="AU25" s="36" t="n">
        <f aca="false">①石川予測確定!O25</f>
        <v>1.25128384687208</v>
      </c>
      <c r="AV25" s="35" t="n">
        <f aca="false">①石川予測確定!P25</f>
        <v>5</v>
      </c>
      <c r="AW25" s="34" t="n">
        <f aca="false">①石川予測確定!Q25</f>
        <v>3000</v>
      </c>
      <c r="AX25" s="37" t="n">
        <f aca="false">①石川予測確定!T25</f>
        <v>0.0387596899224806</v>
      </c>
      <c r="AY25" s="35" t="n">
        <f aca="false">①石川予測確定!U25</f>
        <v>124</v>
      </c>
      <c r="AZ25" s="35" t="n">
        <f aca="false">③仙台以降予測!M48</f>
        <v>103</v>
      </c>
      <c r="BA25" s="35" t="n">
        <f aca="false">③仙台以降予測!V48</f>
        <v>2214</v>
      </c>
      <c r="BB25" s="38" t="n">
        <f aca="false">③仙台以降予測!X48</f>
        <v>-2111</v>
      </c>
      <c r="BC25" s="35" t="n">
        <f aca="false">③仙台以降予測!Y48</f>
        <v>0</v>
      </c>
      <c r="BD25" s="32" t="str">
        <f aca="false">④追加発注判定!J25</f>
        <v>在庫余剰</v>
      </c>
      <c r="BE25" s="32" t="str">
        <f aca="false">④追加発注判定!P25</f>
        <v>在庫で充足</v>
      </c>
      <c r="BF25" s="35" t="n">
        <f aca="false">④追加発注判定!R25</f>
        <v>0</v>
      </c>
      <c r="BG25" s="32" t="str">
        <f aca="false">④追加発注判定!X25</f>
        <v>D:不要</v>
      </c>
    </row>
    <row r="26" customFormat="false" ht="15" hidden="false" customHeight="false" outlineLevel="0" collapsed="false">
      <c r="A26" s="32" t="n">
        <v>20</v>
      </c>
      <c r="B26" s="32" t="s">
        <v>324</v>
      </c>
      <c r="C26" s="33" t="s">
        <v>325</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18</v>
      </c>
      <c r="AI26" s="37" t="n">
        <f aca="false">IFERROR(AH26/AH$49,0)</f>
        <v>0.00202451917669553</v>
      </c>
      <c r="AJ26" s="34" t="n">
        <f aca="false">AH26*AG26</f>
        <v>10800</v>
      </c>
      <c r="AK26" s="37" t="n">
        <f aca="false">IFERROR(AJ26/AJ$49,0)</f>
        <v>0.00149646667590412</v>
      </c>
      <c r="AL26" s="35" t="n">
        <v>30</v>
      </c>
      <c r="AM26" s="37" t="n">
        <f aca="false">IFERROR(AH26/AL26,0)</f>
        <v>0.6</v>
      </c>
      <c r="AN26" s="34" t="n">
        <v>600</v>
      </c>
      <c r="AO26" s="35" t="n">
        <v>5</v>
      </c>
      <c r="AP26" s="37" t="n">
        <f aca="false">IFERROR(AO26/AO$49,0)</f>
        <v>0.00124316260566882</v>
      </c>
      <c r="AQ26" s="34" t="n">
        <f aca="false">AO26*AN26</f>
        <v>3000</v>
      </c>
      <c r="AR26" s="37" t="n">
        <f aca="false">IFERROR(AQ26/AQ$49,0)</f>
        <v>0.000885373627670877</v>
      </c>
      <c r="AS26" s="35" t="n">
        <v>17</v>
      </c>
      <c r="AT26" s="37" t="n">
        <f aca="false">IFERROR(AO26/AS26,0)</f>
        <v>0.294117647058824</v>
      </c>
      <c r="AU26" s="36" t="n">
        <f aca="false">①石川予測確定!O26</f>
        <v>1.34265734265734</v>
      </c>
      <c r="AV26" s="35" t="n">
        <f aca="false">①石川予測確定!P26</f>
        <v>7</v>
      </c>
      <c r="AW26" s="34" t="n">
        <f aca="false">①石川予測確定!Q26</f>
        <v>4200</v>
      </c>
      <c r="AX26" s="37" t="n">
        <f aca="false">①石川予測確定!T26</f>
        <v>0.411764705882353</v>
      </c>
      <c r="AY26" s="35" t="n">
        <f aca="false">①石川予測確定!U26</f>
        <v>10</v>
      </c>
      <c r="AZ26" s="35" t="n">
        <f aca="false">③仙台以降予測!M49</f>
        <v>104</v>
      </c>
      <c r="BA26" s="35" t="n">
        <f aca="false">③仙台以降予測!V49</f>
        <v>276</v>
      </c>
      <c r="BB26" s="38" t="n">
        <f aca="false">③仙台以降予測!X49</f>
        <v>-172</v>
      </c>
      <c r="BC26" s="35" t="n">
        <f aca="false">③仙台以降予測!Y49</f>
        <v>0</v>
      </c>
      <c r="BD26" s="32" t="str">
        <f aca="false">④追加発注判定!J26</f>
        <v>在庫余剰</v>
      </c>
      <c r="BE26" s="32" t="str">
        <f aca="false">④追加発注判定!P26</f>
        <v>在庫で充足</v>
      </c>
      <c r="BF26" s="35" t="n">
        <f aca="false">④追加発注判定!R26</f>
        <v>0</v>
      </c>
      <c r="BG26" s="32" t="str">
        <f aca="false">④追加発注判定!X26</f>
        <v>D:不要</v>
      </c>
    </row>
    <row r="27" customFormat="false" ht="15" hidden="false" customHeight="false" outlineLevel="0" collapsed="false">
      <c r="A27" s="32" t="n">
        <v>21</v>
      </c>
      <c r="B27" s="32" t="s">
        <v>326</v>
      </c>
      <c r="C27" s="33" t="s">
        <v>327</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88</v>
      </c>
      <c r="AI27" s="37" t="n">
        <f aca="false">IFERROR(AH27/AH$49,0)</f>
        <v>0.00989764930828928</v>
      </c>
      <c r="AJ27" s="34" t="n">
        <f aca="false">AH27*AG27</f>
        <v>52800</v>
      </c>
      <c r="AK27" s="37" t="n">
        <f aca="false">IFERROR(AJ27/AJ$49,0)</f>
        <v>0.00731605930442012</v>
      </c>
      <c r="AL27" s="35" t="n">
        <v>100</v>
      </c>
      <c r="AM27" s="37" t="n">
        <f aca="false">IFERROR(AH27/AL27,0)</f>
        <v>0.88</v>
      </c>
      <c r="AN27" s="34" t="n">
        <v>600</v>
      </c>
      <c r="AO27" s="35" t="n">
        <v>23</v>
      </c>
      <c r="AP27" s="37" t="n">
        <f aca="false">IFERROR(AO27/AO$49,0)</f>
        <v>0.00571854798607658</v>
      </c>
      <c r="AQ27" s="34" t="n">
        <f aca="false">AO27*AN27</f>
        <v>13800</v>
      </c>
      <c r="AR27" s="37" t="n">
        <f aca="false">IFERROR(AQ27/AQ$49,0)</f>
        <v>0.00407271868728604</v>
      </c>
      <c r="AS27" s="35" t="n">
        <v>32</v>
      </c>
      <c r="AT27" s="37" t="n">
        <f aca="false">IFERROR(AO27/AS27,0)</f>
        <v>0.71875</v>
      </c>
      <c r="AU27" s="36" t="n">
        <f aca="false">①石川予測確定!O27</f>
        <v>1.31337079726434</v>
      </c>
      <c r="AV27" s="35" t="n">
        <f aca="false">①石川予測確定!P27</f>
        <v>30</v>
      </c>
      <c r="AW27" s="34" t="n">
        <f aca="false">①石川予測確定!Q27</f>
        <v>18000</v>
      </c>
      <c r="AX27" s="37" t="n">
        <f aca="false">①石川予測確定!T27</f>
        <v>0.9375</v>
      </c>
      <c r="AY27" s="35" t="n">
        <f aca="false">①石川予測確定!U27</f>
        <v>2</v>
      </c>
      <c r="AZ27" s="35" t="n">
        <f aca="false">③仙台以降予測!M50</f>
        <v>484</v>
      </c>
      <c r="BA27" s="35" t="n">
        <f aca="false">③仙台以降予測!V50</f>
        <v>190</v>
      </c>
      <c r="BB27" s="38" t="n">
        <f aca="false">③仙台以降予測!X50</f>
        <v>294</v>
      </c>
      <c r="BC27" s="35" t="n">
        <f aca="false">③仙台以降予測!Y50</f>
        <v>294</v>
      </c>
      <c r="BD27" s="32" t="str">
        <f aca="false">④追加発注判定!J27</f>
        <v>要注意(90%超)</v>
      </c>
      <c r="BE27" s="32" t="str">
        <f aca="false">④追加発注判定!P27</f>
        <v>要 追加生産</v>
      </c>
      <c r="BF27" s="35" t="n">
        <f aca="false">④追加発注判定!R27</f>
        <v>324</v>
      </c>
      <c r="BG27" s="32" t="str">
        <f aca="false">④追加発注判定!X27</f>
        <v>C:通常</v>
      </c>
    </row>
    <row r="28" customFormat="false" ht="15" hidden="false" customHeight="false" outlineLevel="0" collapsed="false">
      <c r="A28" s="32" t="n">
        <v>22</v>
      </c>
      <c r="B28" s="32" t="s">
        <v>328</v>
      </c>
      <c r="C28" s="33" t="s">
        <v>329</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50</v>
      </c>
      <c r="AI28" s="37" t="n">
        <f aca="false">IFERROR(AH28/AH$49,0)</f>
        <v>0.00562366437970982</v>
      </c>
      <c r="AJ28" s="34" t="n">
        <f aca="false">AH28*AG28</f>
        <v>30000</v>
      </c>
      <c r="AK28" s="37" t="n">
        <f aca="false">IFERROR(AJ28/AJ$49,0)</f>
        <v>0.00415685187751143</v>
      </c>
      <c r="AL28" s="35" t="n">
        <v>50</v>
      </c>
      <c r="AM28" s="37" t="n">
        <f aca="false">IFERROR(AH28/AL28,0)</f>
        <v>1</v>
      </c>
      <c r="AN28" s="34" t="n">
        <v>600</v>
      </c>
      <c r="AO28" s="35" t="n">
        <v>19</v>
      </c>
      <c r="AP28" s="37" t="n">
        <f aca="false">IFERROR(AO28/AO$49,0)</f>
        <v>0.00472401790154152</v>
      </c>
      <c r="AQ28" s="34" t="n">
        <f aca="false">AO28*AN28</f>
        <v>11400</v>
      </c>
      <c r="AR28" s="37" t="n">
        <f aca="false">IFERROR(AQ28/AQ$49,0)</f>
        <v>0.00336441978514933</v>
      </c>
      <c r="AS28" s="35" t="n">
        <v>150</v>
      </c>
      <c r="AT28" s="37" t="n">
        <f aca="false">IFERROR(AO28/AS28,0)</f>
        <v>0.126666666666667</v>
      </c>
      <c r="AU28" s="36" t="n">
        <f aca="false">①石川予測確定!O28</f>
        <v>1.40400292348344</v>
      </c>
      <c r="AV28" s="35" t="n">
        <f aca="false">①石川予測確定!P28</f>
        <v>27</v>
      </c>
      <c r="AW28" s="34" t="n">
        <f aca="false">①石川予測確定!Q28</f>
        <v>16200</v>
      </c>
      <c r="AX28" s="37" t="n">
        <f aca="false">①石川予測確定!T28</f>
        <v>0.18</v>
      </c>
      <c r="AY28" s="35" t="n">
        <f aca="false">①石川予測確定!U28</f>
        <v>123</v>
      </c>
      <c r="AZ28" s="35" t="n">
        <f aca="false">③仙台以降予測!M51</f>
        <v>335</v>
      </c>
      <c r="BA28" s="35" t="n">
        <f aca="false">③仙台以降予測!V51</f>
        <v>1254</v>
      </c>
      <c r="BB28" s="38" t="n">
        <f aca="false">③仙台以降予測!X51</f>
        <v>-919</v>
      </c>
      <c r="BC28" s="35" t="n">
        <f aca="false">③仙台以降予測!Y51</f>
        <v>0</v>
      </c>
      <c r="BD28" s="32" t="str">
        <f aca="false">④追加発注判定!J28</f>
        <v>在庫余剰</v>
      </c>
      <c r="BE28" s="32" t="str">
        <f aca="false">④追加発注判定!P28</f>
        <v>在庫で充足</v>
      </c>
      <c r="BF28" s="35" t="n">
        <f aca="false">④追加発注判定!R28</f>
        <v>0</v>
      </c>
      <c r="BG28" s="32" t="str">
        <f aca="false">④追加発注判定!X28</f>
        <v>D:不要</v>
      </c>
    </row>
    <row r="29" customFormat="false" ht="15" hidden="false" customHeight="false" outlineLevel="0" collapsed="false">
      <c r="A29" s="32" t="n">
        <v>23</v>
      </c>
      <c r="B29" s="32" t="s">
        <v>330</v>
      </c>
      <c r="C29" s="33" t="s">
        <v>331</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2175</v>
      </c>
      <c r="AI29" s="37" t="n">
        <f aca="false">IFERROR(AH29/AH$49,0)</f>
        <v>0.244629400517377</v>
      </c>
      <c r="AJ29" s="34" t="n">
        <f aca="false">AH29*AG29</f>
        <v>1305000</v>
      </c>
      <c r="AK29" s="37" t="n">
        <f aca="false">IFERROR(AJ29/AJ$49,0)</f>
        <v>0.180823056671747</v>
      </c>
      <c r="AL29" s="35" t="n">
        <v>11000</v>
      </c>
      <c r="AM29" s="37" t="n">
        <f aca="false">IFERROR(AH29/AL29,0)</f>
        <v>0.197727272727273</v>
      </c>
      <c r="AN29" s="34" t="n">
        <v>600</v>
      </c>
      <c r="AO29" s="35" t="n">
        <v>1018</v>
      </c>
      <c r="AP29" s="37" t="n">
        <f aca="false">IFERROR(AO29/AO$49,0)</f>
        <v>0.253107906514172</v>
      </c>
      <c r="AQ29" s="34" t="n">
        <f aca="false">AO29*AN29</f>
        <v>610800</v>
      </c>
      <c r="AR29" s="37" t="n">
        <f aca="false">IFERROR(AQ29/AQ$49,0)</f>
        <v>0.180262070593791</v>
      </c>
      <c r="AS29" s="35" t="n">
        <v>9325</v>
      </c>
      <c r="AT29" s="37" t="n">
        <f aca="false">IFERROR(AO29/AS29,0)</f>
        <v>0.10916890080429</v>
      </c>
      <c r="AU29" s="36" t="n">
        <f aca="false">①石川予測確定!O29</f>
        <v>1.26886005424883</v>
      </c>
      <c r="AV29" s="35" t="n">
        <f aca="false">①石川予測確定!P29</f>
        <v>1292</v>
      </c>
      <c r="AW29" s="34" t="n">
        <f aca="false">①石川予測確定!Q29</f>
        <v>775200</v>
      </c>
      <c r="AX29" s="37" t="n">
        <f aca="false">①石川予測確定!T29</f>
        <v>0.138552278820375</v>
      </c>
      <c r="AY29" s="35" t="n">
        <f aca="false">①石川予測確定!U29</f>
        <v>8033</v>
      </c>
      <c r="AZ29" s="35" t="n">
        <f aca="false">③仙台以降予測!M52</f>
        <v>15263</v>
      </c>
      <c r="BA29" s="35" t="n">
        <f aca="false">③仙台以降予測!V52</f>
        <v>48729</v>
      </c>
      <c r="BB29" s="38" t="n">
        <f aca="false">③仙台以降予測!X52</f>
        <v>-33466</v>
      </c>
      <c r="BC29" s="35" t="n">
        <f aca="false">③仙台以降予測!Y52</f>
        <v>0</v>
      </c>
      <c r="BD29" s="32" t="str">
        <f aca="false">④追加発注判定!J29</f>
        <v>在庫余剰</v>
      </c>
      <c r="BE29" s="32" t="str">
        <f aca="false">④追加発注判定!P29</f>
        <v>在庫で充足</v>
      </c>
      <c r="BF29" s="35" t="n">
        <f aca="false">④追加発注判定!R29</f>
        <v>0</v>
      </c>
      <c r="BG29" s="32" t="str">
        <f aca="false">④追加発注判定!X29</f>
        <v>D:不要</v>
      </c>
    </row>
    <row r="30" customFormat="false" ht="15" hidden="false" customHeight="false" outlineLevel="0" collapsed="false">
      <c r="A30" s="32" t="n">
        <v>24</v>
      </c>
      <c r="B30" s="32" t="s">
        <v>332</v>
      </c>
      <c r="C30" s="33" t="s">
        <v>333</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1216</v>
      </c>
      <c r="AI30" s="37" t="n">
        <f aca="false">IFERROR(AH30/AH$49,0)</f>
        <v>0.136767517714543</v>
      </c>
      <c r="AJ30" s="34" t="n">
        <f aca="false">AH30*AG30</f>
        <v>729600</v>
      </c>
      <c r="AK30" s="37" t="n">
        <f aca="false">IFERROR(AJ30/AJ$49,0)</f>
        <v>0.101094637661078</v>
      </c>
      <c r="AL30" s="35" t="n">
        <v>8000</v>
      </c>
      <c r="AM30" s="37" t="n">
        <f aca="false">IFERROR(AH30/AL30,0)</f>
        <v>0.152</v>
      </c>
      <c r="AN30" s="34" t="n">
        <v>600</v>
      </c>
      <c r="AO30" s="35" t="n">
        <v>668</v>
      </c>
      <c r="AP30" s="37" t="n">
        <f aca="false">IFERROR(AO30/AO$49,0)</f>
        <v>0.166086524117355</v>
      </c>
      <c r="AQ30" s="34" t="n">
        <f aca="false">AO30*AN30</f>
        <v>400800</v>
      </c>
      <c r="AR30" s="37" t="n">
        <f aca="false">IFERROR(AQ30/AQ$49,0)</f>
        <v>0.118285916656829</v>
      </c>
      <c r="AS30" s="35" t="n">
        <v>7284</v>
      </c>
      <c r="AT30" s="37" t="n">
        <f aca="false">IFERROR(AO30/AS30,0)</f>
        <v>0.0917078528281164</v>
      </c>
      <c r="AU30" s="36" t="n">
        <f aca="false">①石川予測確定!O30</f>
        <v>1.29483636769816</v>
      </c>
      <c r="AV30" s="35" t="n">
        <f aca="false">①石川予測確定!P30</f>
        <v>865</v>
      </c>
      <c r="AW30" s="34" t="n">
        <f aca="false">①石川予測確定!Q30</f>
        <v>519000</v>
      </c>
      <c r="AX30" s="37" t="n">
        <f aca="false">①石川予測確定!T30</f>
        <v>0.118753432180121</v>
      </c>
      <c r="AY30" s="35" t="n">
        <f aca="false">①石川予測確定!U30</f>
        <v>6419</v>
      </c>
      <c r="AZ30" s="35" t="n">
        <f aca="false">③仙台以降予測!M53</f>
        <v>9388</v>
      </c>
      <c r="BA30" s="35" t="n">
        <f aca="false">③仙台以降予測!V53</f>
        <v>30130</v>
      </c>
      <c r="BB30" s="38" t="n">
        <f aca="false">③仙台以降予測!X53</f>
        <v>-20742</v>
      </c>
      <c r="BC30" s="35" t="n">
        <f aca="false">③仙台以降予測!Y53</f>
        <v>0</v>
      </c>
      <c r="BD30" s="32" t="str">
        <f aca="false">④追加発注判定!J30</f>
        <v>在庫余剰</v>
      </c>
      <c r="BE30" s="32" t="str">
        <f aca="false">④追加発注判定!P30</f>
        <v>在庫で充足</v>
      </c>
      <c r="BF30" s="35" t="n">
        <f aca="false">④追加発注判定!R30</f>
        <v>0</v>
      </c>
      <c r="BG30" s="32" t="str">
        <f aca="false">④追加発注判定!X30</f>
        <v>D:不要</v>
      </c>
    </row>
    <row r="31" customFormat="false" ht="15" hidden="false" customHeight="false" outlineLevel="0" collapsed="false">
      <c r="A31" s="32" t="n">
        <v>25</v>
      </c>
      <c r="B31" s="32" t="s">
        <v>334</v>
      </c>
      <c r="C31" s="33" t="s">
        <v>335</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54</v>
      </c>
      <c r="AI31" s="37" t="n">
        <f aca="false">IFERROR(AH31/AH$49,0)</f>
        <v>0.0060735575300866</v>
      </c>
      <c r="AJ31" s="34" t="n">
        <f aca="false">AH31*AG31</f>
        <v>81000</v>
      </c>
      <c r="AK31" s="37" t="n">
        <f aca="false">IFERROR(AJ31/AJ$49,0)</f>
        <v>0.0112235000692809</v>
      </c>
      <c r="AL31" s="35" t="n">
        <v>200</v>
      </c>
      <c r="AM31" s="37" t="n">
        <f aca="false">IFERROR(AH31/AL31,0)</f>
        <v>0.27</v>
      </c>
      <c r="AN31" s="34" t="n">
        <v>1500</v>
      </c>
      <c r="AO31" s="35" t="n">
        <v>43</v>
      </c>
      <c r="AP31" s="37" t="n">
        <f aca="false">IFERROR(AO31/AO$49,0)</f>
        <v>0.0106911984087519</v>
      </c>
      <c r="AQ31" s="34" t="n">
        <f aca="false">AO31*AN31</f>
        <v>64500</v>
      </c>
      <c r="AR31" s="37" t="n">
        <f aca="false">IFERROR(AQ31/AQ$49,0)</f>
        <v>0.0190355329949239</v>
      </c>
      <c r="AS31" s="35" t="n">
        <v>176</v>
      </c>
      <c r="AT31" s="37" t="n">
        <f aca="false">IFERROR(AO31/AS31,0)</f>
        <v>0.244318181818182</v>
      </c>
      <c r="AU31" s="36" t="n">
        <f aca="false">①石川予測確定!O31</f>
        <v>1.35715755795461</v>
      </c>
      <c r="AV31" s="35" t="n">
        <f aca="false">①石川予測確定!P31</f>
        <v>58</v>
      </c>
      <c r="AW31" s="34" t="n">
        <f aca="false">①石川予測確定!Q31</f>
        <v>87000</v>
      </c>
      <c r="AX31" s="37" t="n">
        <f aca="false">①石川予測確定!T31</f>
        <v>0.329545454545455</v>
      </c>
      <c r="AY31" s="35" t="n">
        <f aca="false">①石川予測確定!U31</f>
        <v>118</v>
      </c>
      <c r="AZ31" s="35" t="n">
        <f aca="false">③仙台以降予測!M54</f>
        <v>534</v>
      </c>
      <c r="BA31" s="35" t="n">
        <f aca="false">③仙台以降予測!V54</f>
        <v>3393</v>
      </c>
      <c r="BB31" s="38" t="n">
        <f aca="false">③仙台以降予測!X54</f>
        <v>-2859</v>
      </c>
      <c r="BC31" s="35" t="n">
        <f aca="false">③仙台以降予測!Y54</f>
        <v>0</v>
      </c>
      <c r="BD31" s="32" t="str">
        <f aca="false">④追加発注判定!J31</f>
        <v>在庫余剰</v>
      </c>
      <c r="BE31" s="32" t="str">
        <f aca="false">④追加発注判定!P31</f>
        <v>在庫で充足</v>
      </c>
      <c r="BF31" s="35" t="n">
        <f aca="false">④追加発注判定!R31</f>
        <v>0</v>
      </c>
      <c r="BG31" s="32" t="str">
        <f aca="false">④追加発注判定!X31</f>
        <v>D:不要</v>
      </c>
    </row>
    <row r="32" customFormat="false" ht="15" hidden="false" customHeight="false" outlineLevel="0" collapsed="false">
      <c r="A32" s="32" t="n">
        <v>26</v>
      </c>
      <c r="B32" s="32" t="s">
        <v>336</v>
      </c>
      <c r="C32" s="33" t="s">
        <v>337</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200</v>
      </c>
      <c r="AI32" s="37" t="n">
        <f aca="false">IFERROR(AH32/AH$49,0)</f>
        <v>0.0224946575188393</v>
      </c>
      <c r="AJ32" s="34" t="n">
        <f aca="false">AH32*AG32</f>
        <v>440000</v>
      </c>
      <c r="AK32" s="37" t="n">
        <f aca="false">IFERROR(AJ32/AJ$49,0)</f>
        <v>0.0609671608701677</v>
      </c>
      <c r="AL32" s="35" t="n">
        <v>200</v>
      </c>
      <c r="AM32" s="37" t="n">
        <f aca="false">IFERROR(AH32/AL32,0)</f>
        <v>1</v>
      </c>
      <c r="AN32" s="34" t="n">
        <v>2200</v>
      </c>
      <c r="AO32" s="35" t="n">
        <v>50</v>
      </c>
      <c r="AP32" s="37" t="n">
        <f aca="false">IFERROR(AO32/AO$49,0)</f>
        <v>0.0124316260566882</v>
      </c>
      <c r="AQ32" s="34" t="n">
        <f aca="false">AO32*AN32</f>
        <v>110000</v>
      </c>
      <c r="AR32" s="37" t="n">
        <f aca="false">IFERROR(AQ32/AQ$49,0)</f>
        <v>0.0324636996812655</v>
      </c>
      <c r="AS32" s="35" t="n">
        <v>50</v>
      </c>
      <c r="AT32" s="37" t="n">
        <f aca="false">IFERROR(AO32/AS32,0)</f>
        <v>1</v>
      </c>
      <c r="AU32" s="36" t="n">
        <f aca="false">①石川予測確定!O32</f>
        <v>1.3903946574879</v>
      </c>
      <c r="AV32" s="35" t="n">
        <f aca="false">①石川予測確定!P32</f>
        <v>70</v>
      </c>
      <c r="AW32" s="34" t="n">
        <f aca="false">①石川予測確定!Q32</f>
        <v>154000</v>
      </c>
      <c r="AX32" s="37" t="n">
        <f aca="false">①石川予測確定!T32</f>
        <v>1.4</v>
      </c>
      <c r="AY32" s="35" t="n">
        <f aca="false">①石川予測確定!U32</f>
        <v>0</v>
      </c>
      <c r="AZ32" s="35" t="n">
        <f aca="false">③仙台以降予測!M55</f>
        <v>1112</v>
      </c>
      <c r="BA32" s="35" t="n">
        <f aca="false">③仙台以降予測!V55</f>
        <v>229</v>
      </c>
      <c r="BB32" s="38" t="n">
        <f aca="false">③仙台以降予測!X55</f>
        <v>883</v>
      </c>
      <c r="BC32" s="35" t="n">
        <f aca="false">③仙台以降予測!Y55</f>
        <v>883</v>
      </c>
      <c r="BD32" s="32" t="str">
        <f aca="false">④追加発注判定!J32</f>
        <v>要 追加発注</v>
      </c>
      <c r="BE32" s="32" t="str">
        <f aca="false">④追加発注判定!P32</f>
        <v>要 追加生産</v>
      </c>
      <c r="BF32" s="35" t="n">
        <f aca="false">④追加発注判定!R32</f>
        <v>994</v>
      </c>
      <c r="BG32" s="32" t="str">
        <f aca="false">④追加発注判定!X32</f>
        <v>A:会期中欠品</v>
      </c>
    </row>
    <row r="33" customFormat="false" ht="15" hidden="false" customHeight="false" outlineLevel="0" collapsed="false">
      <c r="A33" s="32" t="n">
        <v>27</v>
      </c>
      <c r="B33" s="32" t="s">
        <v>338</v>
      </c>
      <c r="C33" s="33" t="s">
        <v>339</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50</v>
      </c>
      <c r="AI33" s="37" t="n">
        <f aca="false">IFERROR(AH33/AH$49,0)</f>
        <v>0.00562366437970982</v>
      </c>
      <c r="AJ33" s="34" t="n">
        <f aca="false">AH33*AG33</f>
        <v>55000</v>
      </c>
      <c r="AK33" s="37" t="n">
        <f aca="false">IFERROR(AJ33/AJ$49,0)</f>
        <v>0.00762089510877096</v>
      </c>
      <c r="AL33" s="35" t="n">
        <v>70</v>
      </c>
      <c r="AM33" s="37" t="n">
        <f aca="false">IFERROR(AH33/AL33,0)</f>
        <v>0.714285714285714</v>
      </c>
      <c r="AN33" s="34" t="n">
        <v>1100</v>
      </c>
      <c r="AO33" s="35" t="n">
        <v>13</v>
      </c>
      <c r="AP33" s="37" t="n">
        <f aca="false">IFERROR(AO33/AO$49,0)</f>
        <v>0.00323222277473894</v>
      </c>
      <c r="AQ33" s="34" t="n">
        <f aca="false">AO33*AN33</f>
        <v>14300</v>
      </c>
      <c r="AR33" s="37" t="n">
        <f aca="false">IFERROR(AQ33/AQ$49,0)</f>
        <v>0.00422028095856451</v>
      </c>
      <c r="AS33" s="35" t="n">
        <v>70</v>
      </c>
      <c r="AT33" s="37" t="n">
        <f aca="false">IFERROR(AO33/AS33,0)</f>
        <v>0.185714285714286</v>
      </c>
      <c r="AU33" s="36" t="n">
        <f aca="false">①石川予測確定!O33</f>
        <v>1.36665090703221</v>
      </c>
      <c r="AV33" s="35" t="n">
        <f aca="false">①石川予測確定!P33</f>
        <v>18</v>
      </c>
      <c r="AW33" s="34" t="n">
        <f aca="false">①石川予測確定!Q33</f>
        <v>19800</v>
      </c>
      <c r="AX33" s="37" t="n">
        <f aca="false">①石川予測確定!T33</f>
        <v>0.257142857142857</v>
      </c>
      <c r="AY33" s="35" t="n">
        <f aca="false">①石川予測確定!U33</f>
        <v>52</v>
      </c>
      <c r="AZ33" s="35" t="n">
        <f aca="false">③仙台以降予測!M56</f>
        <v>280</v>
      </c>
      <c r="BA33" s="35" t="n">
        <f aca="false">③仙台以降予測!V56</f>
        <v>1131</v>
      </c>
      <c r="BB33" s="38" t="n">
        <f aca="false">③仙台以降予測!X56</f>
        <v>-851</v>
      </c>
      <c r="BC33" s="35" t="n">
        <f aca="false">③仙台以降予測!Y56</f>
        <v>0</v>
      </c>
      <c r="BD33" s="32" t="str">
        <f aca="false">④追加発注判定!J33</f>
        <v>在庫余剰</v>
      </c>
      <c r="BE33" s="32" t="str">
        <f aca="false">④追加発注判定!P33</f>
        <v>在庫で充足</v>
      </c>
      <c r="BF33" s="35" t="n">
        <f aca="false">④追加発注判定!R33</f>
        <v>0</v>
      </c>
      <c r="BG33" s="32" t="str">
        <f aca="false">④追加発注判定!X33</f>
        <v>D:不要</v>
      </c>
    </row>
    <row r="34" customFormat="false" ht="15" hidden="false" customHeight="false" outlineLevel="0" collapsed="false">
      <c r="A34" s="32" t="n">
        <v>28</v>
      </c>
      <c r="B34" s="32" t="s">
        <v>340</v>
      </c>
      <c r="C34" s="33" t="s">
        <v>341</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300</v>
      </c>
      <c r="AI34" s="37" t="n">
        <f aca="false">IFERROR(AH34/AH$49,0)</f>
        <v>0.0337419862782589</v>
      </c>
      <c r="AJ34" s="34" t="n">
        <f aca="false">AH34*AG34</f>
        <v>540000</v>
      </c>
      <c r="AK34" s="37" t="n">
        <f aca="false">IFERROR(AJ34/AJ$49,0)</f>
        <v>0.0748233337952058</v>
      </c>
      <c r="AL34" s="35" t="n">
        <v>300</v>
      </c>
      <c r="AM34" s="37" t="n">
        <f aca="false">IFERROR(AH34/AL34,0)</f>
        <v>1</v>
      </c>
      <c r="AN34" s="34" t="n">
        <v>1800</v>
      </c>
      <c r="AO34" s="35" t="n">
        <v>80</v>
      </c>
      <c r="AP34" s="37" t="n">
        <f aca="false">IFERROR(AO34/AO$49,0)</f>
        <v>0.0198906016907011</v>
      </c>
      <c r="AQ34" s="34" t="n">
        <f aca="false">AO34*AN34</f>
        <v>144000</v>
      </c>
      <c r="AR34" s="37" t="n">
        <f aca="false">IFERROR(AQ34/AQ$49,0)</f>
        <v>0.0424979341282021</v>
      </c>
      <c r="AS34" s="35" t="n">
        <v>80</v>
      </c>
      <c r="AT34" s="37" t="n">
        <f aca="false">IFERROR(AO34/AS34,0)</f>
        <v>1</v>
      </c>
      <c r="AU34" s="36" t="n">
        <f aca="false">①石川予測確定!O34</f>
        <v>1.15079673532841</v>
      </c>
      <c r="AV34" s="35" t="n">
        <f aca="false">①石川予測確定!P34</f>
        <v>92</v>
      </c>
      <c r="AW34" s="34" t="n">
        <f aca="false">①石川予測確定!Q34</f>
        <v>165600</v>
      </c>
      <c r="AX34" s="37" t="n">
        <f aca="false">①石川予測確定!T34</f>
        <v>1.15</v>
      </c>
      <c r="AY34" s="35" t="n">
        <f aca="false">①石川予測確定!U34</f>
        <v>0</v>
      </c>
      <c r="AZ34" s="35" t="n">
        <f aca="false">③仙台以降予測!M57</f>
        <v>1589</v>
      </c>
      <c r="BA34" s="35" t="n">
        <f aca="false">③仙台以降予測!V57</f>
        <v>68</v>
      </c>
      <c r="BB34" s="38" t="n">
        <f aca="false">③仙台以降予測!X57</f>
        <v>321</v>
      </c>
      <c r="BC34" s="35" t="n">
        <f aca="false">③仙台以降予測!Y57</f>
        <v>321</v>
      </c>
      <c r="BD34" s="32" t="str">
        <f aca="false">④追加発注判定!J34</f>
        <v>要 追加発注</v>
      </c>
      <c r="BE34" s="32" t="str">
        <f aca="false">④追加発注判定!P34</f>
        <v>要 追加生産</v>
      </c>
      <c r="BF34" s="35" t="n">
        <f aca="false">④追加発注判定!R34</f>
        <v>368</v>
      </c>
      <c r="BG34" s="32" t="str">
        <f aca="false">④追加発注判定!X34</f>
        <v>A:会期中欠品</v>
      </c>
    </row>
    <row r="35" customFormat="false" ht="15" hidden="false" customHeight="false" outlineLevel="0" collapsed="false">
      <c r="A35" s="32" t="n">
        <v>29</v>
      </c>
      <c r="B35" s="32" t="s">
        <v>342</v>
      </c>
      <c r="C35" s="33" t="s">
        <v>343</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160</v>
      </c>
      <c r="AI35" s="37" t="n">
        <f aca="false">IFERROR(AH35/AH$49,0)</f>
        <v>0.0179957260150714</v>
      </c>
      <c r="AJ35" s="34" t="n">
        <f aca="false">AH35*AG35</f>
        <v>240000</v>
      </c>
      <c r="AK35" s="37" t="n">
        <f aca="false">IFERROR(AJ35/AJ$49,0)</f>
        <v>0.0332548150200915</v>
      </c>
      <c r="AL35" s="35" t="n">
        <v>160</v>
      </c>
      <c r="AM35" s="37" t="n">
        <f aca="false">IFERROR(AH35/AL35,0)</f>
        <v>1</v>
      </c>
      <c r="AN35" s="34" t="n">
        <v>1500</v>
      </c>
      <c r="AO35" s="35" t="n">
        <v>71</v>
      </c>
      <c r="AP35" s="37" t="n">
        <f aca="false">IFERROR(AO35/AO$49,0)</f>
        <v>0.0176529090004973</v>
      </c>
      <c r="AQ35" s="34" t="n">
        <f aca="false">AO35*AN35</f>
        <v>106500</v>
      </c>
      <c r="AR35" s="37" t="n">
        <f aca="false">IFERROR(AQ35/AQ$49,0)</f>
        <v>0.0314307637823161</v>
      </c>
      <c r="AS35" s="35" t="n">
        <v>120</v>
      </c>
      <c r="AT35" s="37" t="n">
        <f aca="false">IFERROR(AO35/AS35,0)</f>
        <v>0.591666666666667</v>
      </c>
      <c r="AU35" s="36" t="n">
        <f aca="false">①石川予測確定!O35</f>
        <v>1.16213105076741</v>
      </c>
      <c r="AV35" s="35" t="n">
        <f aca="false">①石川予測確定!P35</f>
        <v>83</v>
      </c>
      <c r="AW35" s="34" t="n">
        <f aca="false">①石川予測確定!Q35</f>
        <v>124500</v>
      </c>
      <c r="AX35" s="37" t="n">
        <f aca="false">①石川予測確定!T35</f>
        <v>0.691666666666667</v>
      </c>
      <c r="AY35" s="35" t="n">
        <f aca="false">①石川予測確定!U35</f>
        <v>37</v>
      </c>
      <c r="AZ35" s="35" t="n">
        <f aca="false">③仙台以降予測!M58</f>
        <v>1052</v>
      </c>
      <c r="BA35" s="35" t="n">
        <f aca="false">③仙台以降予測!V58</f>
        <v>177</v>
      </c>
      <c r="BB35" s="38" t="n">
        <f aca="false">③仙台以降予測!X58</f>
        <v>875</v>
      </c>
      <c r="BC35" s="35" t="n">
        <f aca="false">③仙台以降予測!Y58</f>
        <v>875</v>
      </c>
      <c r="BD35" s="32" t="str">
        <f aca="false">④追加発注判定!J35</f>
        <v>適正</v>
      </c>
      <c r="BE35" s="32" t="str">
        <f aca="false">④追加発注判定!P35</f>
        <v>要 追加生産</v>
      </c>
      <c r="BF35" s="35" t="n">
        <f aca="false">④追加発注判定!R35</f>
        <v>963</v>
      </c>
      <c r="BG35" s="32" t="str">
        <f aca="false">④追加発注判定!X35</f>
        <v>C:通常</v>
      </c>
    </row>
    <row r="36" customFormat="false" ht="15" hidden="false" customHeight="false" outlineLevel="0" collapsed="false">
      <c r="A36" s="32" t="n">
        <v>30</v>
      </c>
      <c r="B36" s="32" t="s">
        <v>344</v>
      </c>
      <c r="C36" s="33" t="s">
        <v>345</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72</v>
      </c>
      <c r="AI36" s="37" t="n">
        <f aca="false">IFERROR(AH36/AH$49,0)</f>
        <v>0.00809807670678214</v>
      </c>
      <c r="AJ36" s="34" t="n">
        <f aca="false">AH36*AG36</f>
        <v>237600</v>
      </c>
      <c r="AK36" s="37" t="n">
        <f aca="false">IFERROR(AJ36/AJ$49,0)</f>
        <v>0.0329222668698905</v>
      </c>
      <c r="AL36" s="35" t="n">
        <v>250</v>
      </c>
      <c r="AM36" s="37" t="n">
        <f aca="false">IFERROR(AH36/AL36,0)</f>
        <v>0.288</v>
      </c>
      <c r="AN36" s="34" t="n">
        <v>3300</v>
      </c>
      <c r="AO36" s="35" t="n">
        <v>34</v>
      </c>
      <c r="AP36" s="37" t="n">
        <f aca="false">IFERROR(AO36/AO$49,0)</f>
        <v>0.00845350571854799</v>
      </c>
      <c r="AQ36" s="34" t="n">
        <f aca="false">AO36*AN36</f>
        <v>112200</v>
      </c>
      <c r="AR36" s="37" t="n">
        <f aca="false">IFERROR(AQ36/AQ$49,0)</f>
        <v>0.0331129736748908</v>
      </c>
      <c r="AS36" s="35" t="n">
        <v>278</v>
      </c>
      <c r="AT36" s="37" t="n">
        <f aca="false">IFERROR(AO36/AS36,0)</f>
        <v>0.122302158273381</v>
      </c>
      <c r="AU36" s="36" t="n">
        <f aca="false">①石川予測確定!O36</f>
        <v>1.32536485253877</v>
      </c>
      <c r="AV36" s="35" t="n">
        <f aca="false">①石川予測確定!P36</f>
        <v>45</v>
      </c>
      <c r="AW36" s="34" t="n">
        <f aca="false">①石川予測確定!Q36</f>
        <v>148500</v>
      </c>
      <c r="AX36" s="37" t="n">
        <f aca="false">①石川予測確定!T36</f>
        <v>0.161870503597122</v>
      </c>
      <c r="AY36" s="35" t="n">
        <f aca="false">①石川予測確定!U36</f>
        <v>233</v>
      </c>
      <c r="AZ36" s="35" t="n">
        <f aca="false">③仙台以降予測!M59</f>
        <v>519</v>
      </c>
      <c r="BA36" s="35" t="n">
        <f aca="false">③仙台以降予測!V59</f>
        <v>781</v>
      </c>
      <c r="BB36" s="38" t="n">
        <f aca="false">③仙台以降予測!X59</f>
        <v>-262</v>
      </c>
      <c r="BC36" s="35" t="n">
        <f aca="false">③仙台以降予測!Y59</f>
        <v>0</v>
      </c>
      <c r="BD36" s="32" t="str">
        <f aca="false">④追加発注判定!J36</f>
        <v>在庫余剰</v>
      </c>
      <c r="BE36" s="32" t="str">
        <f aca="false">④追加発注判定!P36</f>
        <v>在庫で充足</v>
      </c>
      <c r="BF36" s="35" t="n">
        <f aca="false">④追加発注判定!R36</f>
        <v>0</v>
      </c>
      <c r="BG36" s="32" t="str">
        <f aca="false">④追加発注判定!X36</f>
        <v>D:不要</v>
      </c>
    </row>
    <row r="37" customFormat="false" ht="15" hidden="false" customHeight="false" outlineLevel="0" collapsed="false">
      <c r="A37" s="32" t="n">
        <v>31</v>
      </c>
      <c r="B37" s="32" t="s">
        <v>346</v>
      </c>
      <c r="C37" s="33" t="s">
        <v>347</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101</v>
      </c>
      <c r="AI37" s="37" t="n">
        <f aca="false">IFERROR(AH37/AH$49,0)</f>
        <v>0.0113598020470138</v>
      </c>
      <c r="AJ37" s="34" t="n">
        <f aca="false">AH37*AG37</f>
        <v>131300</v>
      </c>
      <c r="AK37" s="37" t="n">
        <f aca="false">IFERROR(AJ37/AJ$49,0)</f>
        <v>0.018193155050575</v>
      </c>
      <c r="AL37" s="35" t="n">
        <v>200</v>
      </c>
      <c r="AM37" s="37" t="n">
        <f aca="false">IFERROR(AH37/AL37,0)</f>
        <v>0.505</v>
      </c>
      <c r="AN37" s="34" t="n">
        <v>1300</v>
      </c>
      <c r="AO37" s="35" t="n">
        <v>47</v>
      </c>
      <c r="AP37" s="37" t="n">
        <f aca="false">IFERROR(AO37/AO$49,0)</f>
        <v>0.0116857284932869</v>
      </c>
      <c r="AQ37" s="34" t="n">
        <f aca="false">AO37*AN37</f>
        <v>61100</v>
      </c>
      <c r="AR37" s="37" t="n">
        <f aca="false">IFERROR(AQ37/AQ$49,0)</f>
        <v>0.0180321095502302</v>
      </c>
      <c r="AS37" s="35" t="n">
        <v>249</v>
      </c>
      <c r="AT37" s="37" t="n">
        <f aca="false">IFERROR(AO37/AS37,0)</f>
        <v>0.188755020080321</v>
      </c>
      <c r="AU37" s="36" t="n">
        <f aca="false">①石川予測確定!O37</f>
        <v>1.30160447761194</v>
      </c>
      <c r="AV37" s="35" t="n">
        <f aca="false">①石川予測確定!P37</f>
        <v>61</v>
      </c>
      <c r="AW37" s="34" t="n">
        <f aca="false">①石川予測確定!Q37</f>
        <v>79300</v>
      </c>
      <c r="AX37" s="37" t="n">
        <f aca="false">①石川予測確定!T37</f>
        <v>0.244979919678715</v>
      </c>
      <c r="AY37" s="35" t="n">
        <f aca="false">①石川予測確定!U37</f>
        <v>188</v>
      </c>
      <c r="AZ37" s="35" t="n">
        <f aca="false">③仙台以降予測!M60</f>
        <v>715</v>
      </c>
      <c r="BA37" s="35" t="n">
        <f aca="false">③仙台以降予測!V60</f>
        <v>765</v>
      </c>
      <c r="BB37" s="38" t="n">
        <f aca="false">③仙台以降予測!X60</f>
        <v>-50</v>
      </c>
      <c r="BC37" s="35" t="n">
        <f aca="false">③仙台以降予測!Y60</f>
        <v>0</v>
      </c>
      <c r="BD37" s="32" t="str">
        <f aca="false">④追加発注判定!J37</f>
        <v>在庫余剰</v>
      </c>
      <c r="BE37" s="32" t="str">
        <f aca="false">④追加発注判定!P37</f>
        <v>在庫で充足</v>
      </c>
      <c r="BF37" s="35" t="n">
        <f aca="false">④追加発注判定!R37</f>
        <v>0</v>
      </c>
      <c r="BG37" s="32" t="str">
        <f aca="false">④追加発注判定!X37</f>
        <v>D:不要</v>
      </c>
    </row>
    <row r="38" customFormat="false" ht="15" hidden="false" customHeight="false" outlineLevel="0" collapsed="false">
      <c r="A38" s="32" t="n">
        <v>32</v>
      </c>
      <c r="B38" s="32" t="s">
        <v>348</v>
      </c>
      <c r="C38" s="33" t="s">
        <v>349</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0.00112473287594196</v>
      </c>
      <c r="AJ38" s="34" t="n">
        <f aca="false">AH38*AG38</f>
        <v>88000</v>
      </c>
      <c r="AK38" s="37" t="n">
        <f aca="false">IFERROR(AJ38/AJ$49,0)</f>
        <v>0.0121934321740335</v>
      </c>
      <c r="AL38" s="35" t="n">
        <v>10</v>
      </c>
      <c r="AM38" s="37" t="n">
        <f aca="false">IFERROR(AH38/AL38,0)</f>
        <v>1</v>
      </c>
      <c r="AN38" s="34" t="n">
        <v>8800</v>
      </c>
      <c r="AO38" s="35" t="n">
        <v>5</v>
      </c>
      <c r="AP38" s="37" t="n">
        <f aca="false">IFERROR(AO38/AO$49,0)</f>
        <v>0.00124316260566882</v>
      </c>
      <c r="AQ38" s="34" t="n">
        <f aca="false">AO38*AN38</f>
        <v>44000</v>
      </c>
      <c r="AR38" s="37" t="n">
        <f aca="false">IFERROR(AQ38/AQ$49,0)</f>
        <v>0.0129854798725062</v>
      </c>
      <c r="AS38" s="35" t="n">
        <v>5</v>
      </c>
      <c r="AT38" s="37" t="n">
        <f aca="false">IFERROR(AO38/AS38,0)</f>
        <v>1</v>
      </c>
      <c r="AU38" s="36" t="n">
        <f aca="false">①石川予測確定!O38</f>
        <v>1</v>
      </c>
      <c r="AV38" s="35" t="n">
        <f aca="false">①石川予測確定!P38</f>
        <v>5</v>
      </c>
      <c r="AW38" s="34" t="n">
        <f aca="false">①石川予測確定!Q38</f>
        <v>44000</v>
      </c>
      <c r="AX38" s="37" t="n">
        <f aca="false">①石川予測確定!T38</f>
        <v>1</v>
      </c>
      <c r="AY38" s="35" t="n">
        <f aca="false">①石川予測確定!U38</f>
        <v>0</v>
      </c>
      <c r="AZ38" s="35" t="n">
        <f aca="false">③仙台以降予測!M61</f>
        <v>64</v>
      </c>
      <c r="BA38" s="35" t="n">
        <f aca="false">③仙台以降予測!V61</f>
        <v>15</v>
      </c>
      <c r="BB38" s="38" t="n">
        <f aca="false">③仙台以降予測!X61</f>
        <v>49</v>
      </c>
      <c r="BC38" s="35" t="n">
        <f aca="false">③仙台以降予測!Y61</f>
        <v>49</v>
      </c>
      <c r="BD38" s="32" t="str">
        <f aca="false">④追加発注判定!J38</f>
        <v>要注意(90%超)</v>
      </c>
      <c r="BE38" s="32" t="str">
        <f aca="false">④追加発注判定!P38</f>
        <v>要 追加生産</v>
      </c>
      <c r="BF38" s="35" t="n">
        <f aca="false">④追加発注判定!R38</f>
        <v>54</v>
      </c>
      <c r="BG38" s="32" t="str">
        <f aca="false">④追加発注判定!X38</f>
        <v>C:通常</v>
      </c>
    </row>
    <row r="39" customFormat="false" ht="15" hidden="false" customHeight="false" outlineLevel="0" collapsed="false">
      <c r="A39" s="32" t="n">
        <v>33</v>
      </c>
      <c r="B39" s="32" t="s">
        <v>350</v>
      </c>
      <c r="C39" s="33" t="s">
        <v>351</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3</v>
      </c>
      <c r="AI39" s="37" t="n">
        <f aca="false">IFERROR(AH39/AH$49,0)</f>
        <v>0.000337419862782589</v>
      </c>
      <c r="AJ39" s="34" t="n">
        <f aca="false">AH39*AG39</f>
        <v>82500</v>
      </c>
      <c r="AK39" s="37" t="n">
        <f aca="false">IFERROR(AJ39/AJ$49,0)</f>
        <v>0.0114313426631564</v>
      </c>
      <c r="AL39" s="35" t="n">
        <v>15</v>
      </c>
      <c r="AM39" s="37" t="n">
        <f aca="false">IFERROR(AH39/AL39,0)</f>
        <v>0.2</v>
      </c>
      <c r="AN39" s="34" t="n">
        <v>27500</v>
      </c>
      <c r="AO39" s="35" t="n">
        <v>4</v>
      </c>
      <c r="AP39" s="37" t="n">
        <f aca="false">IFERROR(AO39/AO$49,0)</f>
        <v>0.000994530084535057</v>
      </c>
      <c r="AQ39" s="34" t="n">
        <f aca="false">AO39*AN39</f>
        <v>110000</v>
      </c>
      <c r="AR39" s="37" t="n">
        <f aca="false">IFERROR(AQ39/AQ$49,0)</f>
        <v>0.0324636996812655</v>
      </c>
      <c r="AS39" s="35" t="n">
        <v>21</v>
      </c>
      <c r="AT39" s="37" t="n">
        <f aca="false">IFERROR(AO39/AS39,0)</f>
        <v>0.19047619047619</v>
      </c>
      <c r="AU39" s="36" t="n">
        <f aca="false">①石川予測確定!O39</f>
        <v>1.12990196078431</v>
      </c>
      <c r="AV39" s="35" t="n">
        <f aca="false">①石川予測確定!P39</f>
        <v>5</v>
      </c>
      <c r="AW39" s="34" t="n">
        <f aca="false">①石川予測確定!Q39</f>
        <v>137500</v>
      </c>
      <c r="AX39" s="37" t="n">
        <f aca="false">①石川予測確定!T39</f>
        <v>0.238095238095238</v>
      </c>
      <c r="AY39" s="35" t="n">
        <f aca="false">①石川予測確定!U39</f>
        <v>16</v>
      </c>
      <c r="AZ39" s="35" t="n">
        <f aca="false">③仙台以降予測!M62</f>
        <v>40</v>
      </c>
      <c r="BA39" s="35" t="n">
        <f aca="false">③仙台以降予測!V62</f>
        <v>98</v>
      </c>
      <c r="BB39" s="38" t="n">
        <f aca="false">③仙台以降予測!X62</f>
        <v>-58</v>
      </c>
      <c r="BC39" s="35" t="n">
        <f aca="false">③仙台以降予測!Y62</f>
        <v>0</v>
      </c>
      <c r="BD39" s="32" t="str">
        <f aca="false">④追加発注判定!J39</f>
        <v>在庫余剰</v>
      </c>
      <c r="BE39" s="32" t="str">
        <f aca="false">④追加発注判定!P39</f>
        <v>在庫で充足</v>
      </c>
      <c r="BF39" s="35" t="n">
        <f aca="false">④追加発注判定!R39</f>
        <v>0</v>
      </c>
      <c r="BG39" s="32" t="str">
        <f aca="false">④追加発注判定!X39</f>
        <v>D:不要</v>
      </c>
    </row>
    <row r="40" customFormat="false" ht="15" hidden="false" customHeight="false" outlineLevel="0" collapsed="false">
      <c r="A40" s="32" t="n">
        <v>34</v>
      </c>
      <c r="B40" s="32" t="s">
        <v>352</v>
      </c>
      <c r="C40" s="33" t="s">
        <v>353</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2</v>
      </c>
      <c r="AI40" s="37" t="n">
        <f aca="false">IFERROR(AH40/AH$49,0)</f>
        <v>0.000224946575188393</v>
      </c>
      <c r="AJ40" s="34" t="n">
        <f aca="false">AH40*AG40</f>
        <v>55000</v>
      </c>
      <c r="AK40" s="37" t="n">
        <f aca="false">IFERROR(AJ40/AJ$49,0)</f>
        <v>0.00762089510877096</v>
      </c>
      <c r="AL40" s="35" t="n">
        <v>2</v>
      </c>
      <c r="AM40" s="37" t="n">
        <f aca="false">IFERROR(AH40/AL40,0)</f>
        <v>1</v>
      </c>
      <c r="AN40" s="34" t="n">
        <v>27500</v>
      </c>
      <c r="AO40" s="35" t="n">
        <v>1</v>
      </c>
      <c r="AP40" s="37" t="n">
        <f aca="false">IFERROR(AO40/AO$49,0)</f>
        <v>0.000248632521133764</v>
      </c>
      <c r="AQ40" s="34" t="n">
        <f aca="false">AO40*AN40</f>
        <v>27500</v>
      </c>
      <c r="AR40" s="37" t="n">
        <f aca="false">IFERROR(AQ40/AQ$49,0)</f>
        <v>0.00811592492031637</v>
      </c>
      <c r="AS40" s="35" t="n">
        <v>1</v>
      </c>
      <c r="AT40" s="37" t="n">
        <f aca="false">IFERROR(AO40/AS40,0)</f>
        <v>1</v>
      </c>
      <c r="AU40" s="36" t="n">
        <f aca="false">①石川予測確定!O40</f>
        <v>1</v>
      </c>
      <c r="AV40" s="35" t="n">
        <f aca="false">①石川予測確定!P40</f>
        <v>1</v>
      </c>
      <c r="AW40" s="34" t="n">
        <f aca="false">①石川予測確定!Q40</f>
        <v>27500</v>
      </c>
      <c r="AX40" s="37" t="n">
        <f aca="false">①石川予測確定!T40</f>
        <v>1</v>
      </c>
      <c r="AY40" s="35" t="n">
        <f aca="false">①石川予測確定!U40</f>
        <v>0</v>
      </c>
      <c r="AZ40" s="35" t="n">
        <f aca="false">③仙台以降予測!M63</f>
        <v>13</v>
      </c>
      <c r="BA40" s="35" t="n">
        <f aca="false">③仙台以降予測!V63</f>
        <v>1</v>
      </c>
      <c r="BB40" s="38" t="n">
        <f aca="false">③仙台以降予測!X63</f>
        <v>12</v>
      </c>
      <c r="BC40" s="35" t="n">
        <f aca="false">③仙台以降予測!Y63</f>
        <v>12</v>
      </c>
      <c r="BD40" s="32" t="str">
        <f aca="false">④追加発注判定!J40</f>
        <v>要注意(90%超)</v>
      </c>
      <c r="BE40" s="32" t="str">
        <f aca="false">④追加発注判定!P40</f>
        <v>要 追加生産</v>
      </c>
      <c r="BF40" s="35" t="n">
        <f aca="false">④追加発注判定!R40</f>
        <v>14</v>
      </c>
      <c r="BG40" s="32" t="str">
        <f aca="false">④追加発注判定!X40</f>
        <v>C:通常</v>
      </c>
    </row>
    <row r="41" customFormat="false" ht="15" hidden="false" customHeight="false" outlineLevel="0" collapsed="false">
      <c r="A41" s="32" t="n">
        <v>35</v>
      </c>
      <c r="B41" s="32" t="s">
        <v>354</v>
      </c>
      <c r="C41" s="33" t="s">
        <v>355</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1</v>
      </c>
      <c r="AI41" s="37" t="n">
        <f aca="false">IFERROR(AH41/AH$49,0)</f>
        <v>0.000112473287594196</v>
      </c>
      <c r="AJ41" s="34" t="n">
        <f aca="false">AH41*AG41</f>
        <v>27500</v>
      </c>
      <c r="AK41" s="37" t="n">
        <f aca="false">IFERROR(AJ41/AJ$49,0)</f>
        <v>0.00381044755438548</v>
      </c>
      <c r="AL41" s="35" t="n">
        <v>2</v>
      </c>
      <c r="AM41" s="37" t="n">
        <f aca="false">IFERROR(AH41/AL41,0)</f>
        <v>0.5</v>
      </c>
      <c r="AN41" s="34" t="n">
        <v>27500</v>
      </c>
      <c r="AO41" s="35" t="n">
        <v>1</v>
      </c>
      <c r="AP41" s="37" t="n">
        <f aca="false">IFERROR(AO41/AO$49,0)</f>
        <v>0.000248632521133764</v>
      </c>
      <c r="AQ41" s="34" t="n">
        <f aca="false">AO41*AN41</f>
        <v>27500</v>
      </c>
      <c r="AR41" s="37" t="n">
        <f aca="false">IFERROR(AQ41/AQ$49,0)</f>
        <v>0.00811592492031637</v>
      </c>
      <c r="AS41" s="35" t="n">
        <v>1</v>
      </c>
      <c r="AT41" s="37" t="n">
        <f aca="false">IFERROR(AO41/AS41,0)</f>
        <v>1</v>
      </c>
      <c r="AU41" s="36" t="n">
        <f aca="false">①石川予測確定!O41</f>
        <v>1</v>
      </c>
      <c r="AV41" s="35" t="n">
        <f aca="false">①石川予測確定!P41</f>
        <v>1</v>
      </c>
      <c r="AW41" s="34" t="n">
        <f aca="false">①石川予測確定!Q41</f>
        <v>27500</v>
      </c>
      <c r="AX41" s="37" t="n">
        <f aca="false">①石川予測確定!T41</f>
        <v>1</v>
      </c>
      <c r="AY41" s="35" t="n">
        <f aca="false">①石川予測確定!U41</f>
        <v>0</v>
      </c>
      <c r="AZ41" s="35" t="n">
        <f aca="false">③仙台以降予測!M64</f>
        <v>9</v>
      </c>
      <c r="BA41" s="35" t="n">
        <f aca="false">③仙台以降予測!V64</f>
        <v>2</v>
      </c>
      <c r="BB41" s="38" t="n">
        <f aca="false">③仙台以降予測!X64</f>
        <v>7</v>
      </c>
      <c r="BC41" s="35" t="n">
        <f aca="false">③仙台以降予測!Y64</f>
        <v>7</v>
      </c>
      <c r="BD41" s="32" t="str">
        <f aca="false">④追加発注判定!J41</f>
        <v>要注意(90%超)</v>
      </c>
      <c r="BE41" s="32" t="str">
        <f aca="false">④追加発注判定!P41</f>
        <v>要 追加生産</v>
      </c>
      <c r="BF41" s="35" t="n">
        <f aca="false">④追加発注判定!R41</f>
        <v>8</v>
      </c>
      <c r="BG41" s="32" t="str">
        <f aca="false">④追加発注判定!X41</f>
        <v>C:通常</v>
      </c>
    </row>
    <row r="42" customFormat="false" ht="15" hidden="false" customHeight="false" outlineLevel="0" collapsed="false">
      <c r="A42" s="32" t="n">
        <v>36</v>
      </c>
      <c r="B42" s="32" t="s">
        <v>356</v>
      </c>
      <c r="C42" s="33" t="s">
        <v>357</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1</v>
      </c>
      <c r="AI42" s="37" t="n">
        <f aca="false">IFERROR(AH42/AH$49,0)</f>
        <v>0.000112473287594196</v>
      </c>
      <c r="AJ42" s="34" t="n">
        <f aca="false">AH42*AG42</f>
        <v>27500</v>
      </c>
      <c r="AK42" s="37" t="n">
        <f aca="false">IFERROR(AJ42/AJ$49,0)</f>
        <v>0.00381044755438548</v>
      </c>
      <c r="AL42" s="35" t="n">
        <v>2</v>
      </c>
      <c r="AM42" s="37" t="n">
        <f aca="false">IFERROR(AH42/AL42,0)</f>
        <v>0.5</v>
      </c>
      <c r="AN42" s="34" t="n">
        <v>27500</v>
      </c>
      <c r="AO42" s="35" t="n">
        <v>1</v>
      </c>
      <c r="AP42" s="37" t="n">
        <f aca="false">IFERROR(AO42/AO$49,0)</f>
        <v>0.000248632521133764</v>
      </c>
      <c r="AQ42" s="34" t="n">
        <f aca="false">AO42*AN42</f>
        <v>27500</v>
      </c>
      <c r="AR42" s="37" t="n">
        <f aca="false">IFERROR(AQ42/AQ$49,0)</f>
        <v>0.00811592492031637</v>
      </c>
      <c r="AS42" s="35" t="n">
        <v>1</v>
      </c>
      <c r="AT42" s="37" t="n">
        <f aca="false">IFERROR(AO42/AS42,0)</f>
        <v>1</v>
      </c>
      <c r="AU42" s="36" t="n">
        <f aca="false">①石川予測確定!O42</f>
        <v>1</v>
      </c>
      <c r="AV42" s="35" t="n">
        <f aca="false">①石川予測確定!P42</f>
        <v>1</v>
      </c>
      <c r="AW42" s="34" t="n">
        <f aca="false">①石川予測確定!Q42</f>
        <v>27500</v>
      </c>
      <c r="AX42" s="37" t="n">
        <f aca="false">①石川予測確定!T42</f>
        <v>1</v>
      </c>
      <c r="AY42" s="35" t="n">
        <f aca="false">①石川予測確定!U42</f>
        <v>0</v>
      </c>
      <c r="AZ42" s="35" t="n">
        <f aca="false">③仙台以降予測!M65</f>
        <v>9</v>
      </c>
      <c r="BA42" s="35" t="n">
        <f aca="false">③仙台以降予測!V65</f>
        <v>2</v>
      </c>
      <c r="BB42" s="38" t="n">
        <f aca="false">③仙台以降予測!X65</f>
        <v>7</v>
      </c>
      <c r="BC42" s="35" t="n">
        <f aca="false">③仙台以降予測!Y65</f>
        <v>7</v>
      </c>
      <c r="BD42" s="32" t="str">
        <f aca="false">④追加発注判定!J42</f>
        <v>要注意(90%超)</v>
      </c>
      <c r="BE42" s="32" t="str">
        <f aca="false">④追加発注判定!P42</f>
        <v>要 追加生産</v>
      </c>
      <c r="BF42" s="35" t="n">
        <f aca="false">④追加発注判定!R42</f>
        <v>8</v>
      </c>
      <c r="BG42" s="32" t="str">
        <f aca="false">④追加発注判定!X42</f>
        <v>C:通常</v>
      </c>
    </row>
    <row r="43" customFormat="false" ht="15" hidden="false" customHeight="false" outlineLevel="0" collapsed="false">
      <c r="A43" s="32" t="n">
        <v>37</v>
      </c>
      <c r="B43" s="32" t="s">
        <v>358</v>
      </c>
      <c r="C43" s="33" t="s">
        <v>359</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1</v>
      </c>
      <c r="AI43" s="37" t="n">
        <f aca="false">IFERROR(AH43/AH$49,0)</f>
        <v>0.000112473287594196</v>
      </c>
      <c r="AJ43" s="34" t="n">
        <f aca="false">AH43*AG43</f>
        <v>27500</v>
      </c>
      <c r="AK43" s="37" t="n">
        <f aca="false">IFERROR(AJ43/AJ$49,0)</f>
        <v>0.00381044755438548</v>
      </c>
      <c r="AL43" s="35" t="n">
        <v>8</v>
      </c>
      <c r="AM43" s="37" t="n">
        <f aca="false">IFERROR(AH43/AL43,0)</f>
        <v>0.125</v>
      </c>
      <c r="AN43" s="34" t="n">
        <v>27500</v>
      </c>
      <c r="AO43" s="35" t="n">
        <v>4</v>
      </c>
      <c r="AP43" s="37" t="n">
        <f aca="false">IFERROR(AO43/AO$49,0)</f>
        <v>0.000994530084535057</v>
      </c>
      <c r="AQ43" s="34" t="n">
        <f aca="false">AO43*AN43</f>
        <v>110000</v>
      </c>
      <c r="AR43" s="37" t="n">
        <f aca="false">IFERROR(AQ43/AQ$49,0)</f>
        <v>0.0324636996812655</v>
      </c>
      <c r="AS43" s="35" t="n">
        <v>17</v>
      </c>
      <c r="AT43" s="37" t="n">
        <f aca="false">IFERROR(AO43/AS43,0)</f>
        <v>0.235294117647059</v>
      </c>
      <c r="AU43" s="36" t="n">
        <f aca="false">①石川予測確定!O43</f>
        <v>1.21590909090909</v>
      </c>
      <c r="AV43" s="35" t="n">
        <f aca="false">①石川予測確定!P43</f>
        <v>5</v>
      </c>
      <c r="AW43" s="34" t="n">
        <f aca="false">①石川予測確定!Q43</f>
        <v>137500</v>
      </c>
      <c r="AX43" s="37" t="n">
        <f aca="false">①石川予測確定!T43</f>
        <v>0.294117647058824</v>
      </c>
      <c r="AY43" s="35" t="n">
        <f aca="false">①石川予測確定!U43</f>
        <v>12</v>
      </c>
      <c r="AZ43" s="35" t="n">
        <f aca="false">③仙台以降予測!M66</f>
        <v>34</v>
      </c>
      <c r="BA43" s="35" t="n">
        <f aca="false">③仙台以降予測!V66</f>
        <v>28</v>
      </c>
      <c r="BB43" s="38" t="n">
        <f aca="false">③仙台以降予測!X66</f>
        <v>6</v>
      </c>
      <c r="BC43" s="35" t="n">
        <f aca="false">③仙台以降予測!Y66</f>
        <v>6</v>
      </c>
      <c r="BD43" s="32" t="str">
        <f aca="false">④追加発注判定!J43</f>
        <v>在庫余剰</v>
      </c>
      <c r="BE43" s="32" t="str">
        <f aca="false">④追加発注判定!P43</f>
        <v>要 追加生産</v>
      </c>
      <c r="BF43" s="35" t="n">
        <f aca="false">④追加発注判定!R43</f>
        <v>7</v>
      </c>
      <c r="BG43" s="32" t="str">
        <f aca="false">④追加発注判定!X43</f>
        <v>C:通常</v>
      </c>
    </row>
    <row r="44" customFormat="false" ht="15" hidden="false" customHeight="false" outlineLevel="0" collapsed="false">
      <c r="A44" s="32" t="n">
        <v>38</v>
      </c>
      <c r="B44" s="32" t="s">
        <v>360</v>
      </c>
      <c r="C44" s="33" t="s">
        <v>361</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0.000224946575188393</v>
      </c>
      <c r="AJ44" s="34" t="n">
        <f aca="false">AH44*AG44</f>
        <v>55000</v>
      </c>
      <c r="AK44" s="37" t="n">
        <f aca="false">IFERROR(AJ44/AJ$49,0)</f>
        <v>0.00762089510877096</v>
      </c>
      <c r="AL44" s="35" t="n">
        <v>2</v>
      </c>
      <c r="AM44" s="37" t="n">
        <f aca="false">IFERROR(AH44/AL44,0)</f>
        <v>1</v>
      </c>
      <c r="AN44" s="34" t="n">
        <v>27500</v>
      </c>
      <c r="AO44" s="35" t="n">
        <v>1</v>
      </c>
      <c r="AP44" s="37" t="n">
        <f aca="false">IFERROR(AO44/AO$49,0)</f>
        <v>0.000248632521133764</v>
      </c>
      <c r="AQ44" s="34" t="n">
        <f aca="false">AO44*AN44</f>
        <v>27500</v>
      </c>
      <c r="AR44" s="37" t="n">
        <f aca="false">IFERROR(AQ44/AQ$49,0)</f>
        <v>0.00811592492031637</v>
      </c>
      <c r="AS44" s="35" t="n">
        <v>1</v>
      </c>
      <c r="AT44" s="37" t="n">
        <f aca="false">IFERROR(AO44/AS44,0)</f>
        <v>1</v>
      </c>
      <c r="AU44" s="36" t="n">
        <f aca="false">①石川予測確定!O44</f>
        <v>1</v>
      </c>
      <c r="AV44" s="35" t="n">
        <f aca="false">①石川予測確定!P44</f>
        <v>1</v>
      </c>
      <c r="AW44" s="34" t="n">
        <f aca="false">①石川予測確定!Q44</f>
        <v>27500</v>
      </c>
      <c r="AX44" s="37" t="n">
        <f aca="false">①石川予測確定!T44</f>
        <v>1</v>
      </c>
      <c r="AY44" s="35" t="n">
        <f aca="false">①石川予測確定!U44</f>
        <v>0</v>
      </c>
      <c r="AZ44" s="35" t="n">
        <f aca="false">③仙台以降予測!M67</f>
        <v>13</v>
      </c>
      <c r="BA44" s="35" t="n">
        <f aca="false">③仙台以降予測!V67</f>
        <v>1</v>
      </c>
      <c r="BB44" s="38" t="n">
        <f aca="false">③仙台以降予測!X67</f>
        <v>12</v>
      </c>
      <c r="BC44" s="35" t="n">
        <f aca="false">③仙台以降予測!Y67</f>
        <v>12</v>
      </c>
      <c r="BD44" s="32" t="str">
        <f aca="false">④追加発注判定!J44</f>
        <v>要注意(90%超)</v>
      </c>
      <c r="BE44" s="32" t="str">
        <f aca="false">④追加発注判定!P44</f>
        <v>要 追加生産</v>
      </c>
      <c r="BF44" s="35" t="n">
        <f aca="false">④追加発注判定!R44</f>
        <v>14</v>
      </c>
      <c r="BG44" s="32" t="str">
        <f aca="false">④追加発注判定!X44</f>
        <v>C:通常</v>
      </c>
    </row>
    <row r="45" customFormat="false" ht="15" hidden="false" customHeight="false" outlineLevel="0" collapsed="false">
      <c r="A45" s="32" t="n">
        <v>39</v>
      </c>
      <c r="B45" s="32" t="s">
        <v>362</v>
      </c>
      <c r="C45" s="33" t="s">
        <v>363</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2</v>
      </c>
      <c r="AI45" s="37" t="n">
        <f aca="false">IFERROR(AH45/AH$49,0)</f>
        <v>0.000224946575188393</v>
      </c>
      <c r="AJ45" s="34" t="n">
        <f aca="false">AH45*AG45</f>
        <v>55000</v>
      </c>
      <c r="AK45" s="37" t="n">
        <f aca="false">IFERROR(AJ45/AJ$49,0)</f>
        <v>0.00762089510877096</v>
      </c>
      <c r="AL45" s="35" t="n">
        <v>2</v>
      </c>
      <c r="AM45" s="37" t="n">
        <f aca="false">IFERROR(AH45/AL45,0)</f>
        <v>1</v>
      </c>
      <c r="AN45" s="34" t="n">
        <v>27500</v>
      </c>
      <c r="AO45" s="35" t="n">
        <v>1</v>
      </c>
      <c r="AP45" s="37" t="n">
        <f aca="false">IFERROR(AO45/AO$49,0)</f>
        <v>0.000248632521133764</v>
      </c>
      <c r="AQ45" s="34" t="n">
        <f aca="false">AO45*AN45</f>
        <v>27500</v>
      </c>
      <c r="AR45" s="37" t="n">
        <f aca="false">IFERROR(AQ45/AQ$49,0)</f>
        <v>0.00811592492031637</v>
      </c>
      <c r="AS45" s="35" t="n">
        <v>1</v>
      </c>
      <c r="AT45" s="37" t="n">
        <f aca="false">IFERROR(AO45/AS45,0)</f>
        <v>1</v>
      </c>
      <c r="AU45" s="36" t="n">
        <f aca="false">①石川予測確定!O45</f>
        <v>1.5</v>
      </c>
      <c r="AV45" s="35" t="n">
        <f aca="false">①石川予測確定!P45</f>
        <v>2</v>
      </c>
      <c r="AW45" s="34" t="n">
        <f aca="false">①石川予測確定!Q45</f>
        <v>55000</v>
      </c>
      <c r="AX45" s="37" t="n">
        <f aca="false">①石川予測確定!T45</f>
        <v>2</v>
      </c>
      <c r="AY45" s="35" t="n">
        <f aca="false">①石川予測確定!U45</f>
        <v>0</v>
      </c>
      <c r="AZ45" s="35" t="n">
        <f aca="false">③仙台以降予測!M68</f>
        <v>19</v>
      </c>
      <c r="BA45" s="35" t="n">
        <f aca="false">③仙台以降予測!V68</f>
        <v>0</v>
      </c>
      <c r="BB45" s="38" t="n">
        <f aca="false">③仙台以降予測!X68</f>
        <v>19</v>
      </c>
      <c r="BC45" s="35" t="n">
        <f aca="false">③仙台以降予測!Y68</f>
        <v>19</v>
      </c>
      <c r="BD45" s="32" t="str">
        <f aca="false">④追加発注判定!J45</f>
        <v>要 追加発注</v>
      </c>
      <c r="BE45" s="32" t="str">
        <f aca="false">④追加発注判定!P45</f>
        <v>要 追加生産</v>
      </c>
      <c r="BF45" s="35" t="n">
        <f aca="false">④追加発注判定!R45</f>
        <v>23</v>
      </c>
      <c r="BG45" s="32" t="str">
        <f aca="false">④追加発注判定!X45</f>
        <v>A:会期中欠品</v>
      </c>
    </row>
    <row r="46" customFormat="false" ht="15" hidden="false" customHeight="false" outlineLevel="0" collapsed="false">
      <c r="A46" s="32" t="n">
        <v>40</v>
      </c>
      <c r="B46" s="32" t="s">
        <v>364</v>
      </c>
      <c r="C46" s="33" t="s">
        <v>365</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4" t="n">
        <v>27500</v>
      </c>
      <c r="AO46" s="35" t="n">
        <v>1</v>
      </c>
      <c r="AP46" s="37" t="n">
        <f aca="false">IFERROR(AO46/AO$49,0)</f>
        <v>0.000248632521133764</v>
      </c>
      <c r="AQ46" s="34" t="n">
        <f aca="false">AO46*AN46</f>
        <v>27500</v>
      </c>
      <c r="AR46" s="37" t="n">
        <f aca="false">IFERROR(AQ46/AQ$49,0)</f>
        <v>0.00811592492031637</v>
      </c>
      <c r="AS46" s="35" t="n">
        <v>3</v>
      </c>
      <c r="AT46" s="37" t="n">
        <f aca="false">IFERROR(AO46/AS46,0)</f>
        <v>0.333333333333333</v>
      </c>
      <c r="AU46" s="36" t="n">
        <f aca="false">①石川予測確定!O46</f>
        <v>1</v>
      </c>
      <c r="AV46" s="35" t="n">
        <f aca="false">①石川予測確定!P46</f>
        <v>1</v>
      </c>
      <c r="AW46" s="34" t="n">
        <f aca="false">①石川予測確定!Q46</f>
        <v>27500</v>
      </c>
      <c r="AX46" s="37" t="n">
        <f aca="false">①石川予測確定!T46</f>
        <v>0.333333333333333</v>
      </c>
      <c r="AY46" s="35" t="n">
        <f aca="false">①石川予測確定!U46</f>
        <v>2</v>
      </c>
      <c r="AZ46" s="35" t="n">
        <f aca="false">③仙台以降予測!M69</f>
        <v>7</v>
      </c>
      <c r="BA46" s="35" t="n">
        <f aca="false">③仙台以降予測!V69</f>
        <v>3</v>
      </c>
      <c r="BB46" s="38" t="n">
        <f aca="false">③仙台以降予測!X69</f>
        <v>4</v>
      </c>
      <c r="BC46" s="35" t="n">
        <f aca="false">③仙台以降予測!Y69</f>
        <v>4</v>
      </c>
      <c r="BD46" s="32" t="str">
        <f aca="false">④追加発注判定!J46</f>
        <v>在庫余剰</v>
      </c>
      <c r="BE46" s="32" t="str">
        <f aca="false">④追加発注判定!P46</f>
        <v>要 追加生産</v>
      </c>
      <c r="BF46" s="35" t="n">
        <f aca="false">④追加発注判定!R46</f>
        <v>5</v>
      </c>
      <c r="BG46" s="32" t="str">
        <f aca="false">④追加発注判定!X46</f>
        <v>C:通常</v>
      </c>
    </row>
    <row r="47" customFormat="false" ht="15" hidden="false" customHeight="false" outlineLevel="0" collapsed="false">
      <c r="A47" s="32" t="n">
        <v>41</v>
      </c>
      <c r="B47" s="32" t="s">
        <v>366</v>
      </c>
      <c r="C47" s="33" t="s">
        <v>367</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4" t="n">
        <v>25000</v>
      </c>
      <c r="AO47" s="35" t="n">
        <v>0</v>
      </c>
      <c r="AP47" s="37" t="n">
        <f aca="false">IFERROR(AO47/AO$49,0)</f>
        <v>0</v>
      </c>
      <c r="AQ47" s="34" t="n">
        <f aca="false">AO47*AN47</f>
        <v>0</v>
      </c>
      <c r="AR47" s="37" t="n">
        <f aca="false">IFERROR(AQ47/AQ$49,0)</f>
        <v>0</v>
      </c>
      <c r="AS47" s="35" t="n">
        <v>14</v>
      </c>
      <c r="AT47" s="37" t="n">
        <f aca="false">IFERROR(AO47/AS47,0)</f>
        <v>0</v>
      </c>
      <c r="AU47" s="36" t="n">
        <f aca="false">①石川予測確定!O47</f>
        <v>1</v>
      </c>
      <c r="AV47" s="35" t="n">
        <f aca="false">①石川予測確定!P47</f>
        <v>0</v>
      </c>
      <c r="AW47" s="34" t="n">
        <f aca="false">①石川予測確定!Q47</f>
        <v>0</v>
      </c>
      <c r="AX47" s="37" t="n">
        <f aca="false">①石川予測確定!T47</f>
        <v>0</v>
      </c>
      <c r="AY47" s="35" t="n">
        <f aca="false">①石川予測確定!U47</f>
        <v>14</v>
      </c>
      <c r="AZ47" s="35" t="n">
        <f aca="false">③仙台以降予測!M70</f>
        <v>0</v>
      </c>
      <c r="BA47" s="35" t="n">
        <f aca="false">③仙台以降予測!V70</f>
        <v>74</v>
      </c>
      <c r="BB47" s="38" t="n">
        <f aca="false">③仙台以降予測!X70</f>
        <v>-74</v>
      </c>
      <c r="BC47" s="35" t="n">
        <f aca="false">③仙台以降予測!Y70</f>
        <v>0</v>
      </c>
      <c r="BD47" s="32" t="str">
        <f aca="false">④追加発注判定!J47</f>
        <v>在庫余剰</v>
      </c>
      <c r="BE47" s="32" t="str">
        <f aca="false">④追加発注判定!P47</f>
        <v>—</v>
      </c>
      <c r="BF47" s="35" t="n">
        <f aca="false">④追加発注判定!R47</f>
        <v>0</v>
      </c>
      <c r="BG47" s="32" t="str">
        <f aca="false">④追加発注判定!X47</f>
        <v>D:不要</v>
      </c>
    </row>
    <row r="48" customFormat="false" ht="15" hidden="false" customHeight="false" outlineLevel="0" collapsed="false">
      <c r="A48" s="32" t="n">
        <v>42</v>
      </c>
      <c r="B48" s="32" t="s">
        <v>368</v>
      </c>
      <c r="C48" s="33" t="s">
        <v>369</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0.000112473287594196</v>
      </c>
      <c r="AJ48" s="34" t="n">
        <f aca="false">AH48*AG48</f>
        <v>25000</v>
      </c>
      <c r="AK48" s="37" t="n">
        <f aca="false">IFERROR(AJ48/AJ$49,0)</f>
        <v>0.00346404323125953</v>
      </c>
      <c r="AL48" s="35" t="n">
        <v>6</v>
      </c>
      <c r="AM48" s="37" t="n">
        <f aca="false">IFERROR(AH48/AL48,0)</f>
        <v>0.166666666666667</v>
      </c>
      <c r="AN48" s="34" t="n">
        <v>25000</v>
      </c>
      <c r="AO48" s="35" t="n">
        <v>0</v>
      </c>
      <c r="AP48" s="37" t="n">
        <f aca="false">IFERROR(AO48/AO$49,0)</f>
        <v>0</v>
      </c>
      <c r="AQ48" s="34" t="n">
        <f aca="false">AO48*AN48</f>
        <v>0</v>
      </c>
      <c r="AR48" s="37" t="n">
        <f aca="false">IFERROR(AQ48/AQ$49,0)</f>
        <v>0</v>
      </c>
      <c r="AS48" s="35" t="n">
        <v>15</v>
      </c>
      <c r="AT48" s="37" t="n">
        <f aca="false">IFERROR(AO48/AS48,0)</f>
        <v>0</v>
      </c>
      <c r="AU48" s="36" t="n">
        <f aca="false">①石川予測確定!O48</f>
        <v>1.05</v>
      </c>
      <c r="AV48" s="35" t="n">
        <f aca="false">①石川予測確定!P48</f>
        <v>0</v>
      </c>
      <c r="AW48" s="34" t="n">
        <f aca="false">①石川予測確定!Q48</f>
        <v>0</v>
      </c>
      <c r="AX48" s="37" t="n">
        <f aca="false">①石川予測確定!T48</f>
        <v>0</v>
      </c>
      <c r="AY48" s="35" t="n">
        <f aca="false">①石川予測確定!U48</f>
        <v>15</v>
      </c>
      <c r="AZ48" s="35" t="n">
        <f aca="false">③仙台以降予測!M71</f>
        <v>3</v>
      </c>
      <c r="BA48" s="35" t="n">
        <f aca="false">③仙台以降予測!V71</f>
        <v>48</v>
      </c>
      <c r="BB48" s="38" t="n">
        <f aca="false">③仙台以降予測!X71</f>
        <v>-45</v>
      </c>
      <c r="BC48" s="35" t="n">
        <f aca="false">③仙台以降予測!Y71</f>
        <v>0</v>
      </c>
      <c r="BD48" s="32" t="str">
        <f aca="false">④追加発注判定!J48</f>
        <v>在庫余剰</v>
      </c>
      <c r="BE48" s="32" t="str">
        <f aca="false">④追加発注判定!P48</f>
        <v>在庫で充足</v>
      </c>
      <c r="BF48" s="35" t="n">
        <f aca="false">④追加発注判定!R48</f>
        <v>0</v>
      </c>
      <c r="BG48" s="32" t="str">
        <f aca="false">④追加発注判定!X48</f>
        <v>D:不要</v>
      </c>
    </row>
    <row r="49" customFormat="false" ht="15" hidden="false" customHeight="false" outlineLevel="0" collapsed="false">
      <c r="A49" s="40"/>
      <c r="B49" s="40"/>
      <c r="C49" s="41" t="s">
        <v>370</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8891</v>
      </c>
      <c r="AI49" s="40"/>
      <c r="AJ49" s="44" t="n">
        <f aca="false">SUM(AJ7:AJ48)</f>
        <v>7217000</v>
      </c>
      <c r="AK49" s="40"/>
      <c r="AL49" s="42" t="n">
        <f aca="false">SUM(AL7:AL48)</f>
        <v>50506</v>
      </c>
      <c r="AM49" s="40"/>
      <c r="AN49" s="40"/>
      <c r="AO49" s="42" t="n">
        <f aca="false">SUM(AO7:AO48)</f>
        <v>4022</v>
      </c>
      <c r="AP49" s="40"/>
      <c r="AQ49" s="44" t="n">
        <f aca="false">SUM(AQ7:AQ48)</f>
        <v>3388400</v>
      </c>
      <c r="AR49" s="40"/>
      <c r="AS49" s="42" t="n">
        <f aca="false">SUM(AS7:AS48)</f>
        <v>46928</v>
      </c>
      <c r="AT49" s="40"/>
      <c r="AU49" s="40"/>
      <c r="AV49" s="42" t="n">
        <f aca="false">SUM(AV7:AV48)</f>
        <v>5151</v>
      </c>
      <c r="AW49" s="44" t="n">
        <f aca="false">SUM(AW7:AW48)</f>
        <v>4292200</v>
      </c>
      <c r="AX49" s="40"/>
      <c r="AY49" s="42" t="n">
        <f aca="false">SUM(AY7:AY48)</f>
        <v>41810</v>
      </c>
      <c r="AZ49" s="42" t="n">
        <f aca="false">SUM(AZ7:AZ48)</f>
        <v>61617</v>
      </c>
      <c r="BA49" s="42" t="n">
        <f aca="false">SUM(BA7:BA48)</f>
        <v>234422</v>
      </c>
      <c r="BB49" s="46" t="n">
        <f aca="false">SUM(BB7:BB48)</f>
        <v>-174005</v>
      </c>
      <c r="BC49" s="42" t="n">
        <f aca="false">SUM(BC7:BC48)</f>
        <v>3384</v>
      </c>
      <c r="BD49" s="40"/>
      <c r="BE49" s="40"/>
      <c r="BF49" s="42" t="n">
        <f aca="false">SUM(BF7:BF48)</f>
        <v>3767</v>
      </c>
      <c r="BG49" s="40"/>
    </row>
  </sheetData>
  <mergeCells count="10">
    <mergeCell ref="A5:D5"/>
    <mergeCell ref="E5:K5"/>
    <mergeCell ref="L5:R5"/>
    <mergeCell ref="S5:Y5"/>
    <mergeCell ref="Z5:AF5"/>
    <mergeCell ref="AG5:AM5"/>
    <mergeCell ref="AN5:AT5"/>
    <mergeCell ref="AU5:AY5"/>
    <mergeCell ref="AZ5:BC5"/>
    <mergeCell ref="BD5:BG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9" min="4" style="0" width="10"/>
    <col collapsed="false" customWidth="true" hidden="false" outlineLevel="0" max="15" min="10" style="0" width="9"/>
    <col collapsed="false" customWidth="true" hidden="false" outlineLevel="0" max="16" min="16" style="0" width="11"/>
    <col collapsed="false" customWidth="true" hidden="false" outlineLevel="0" max="18" min="17" style="0" width="12"/>
    <col collapsed="false" customWidth="true" hidden="false" outlineLevel="0" max="19" min="19" style="0" width="14"/>
  </cols>
  <sheetData>
    <row r="1" customFormat="false" ht="20.1" hidden="false" customHeight="false" outlineLevel="0" collapsed="false">
      <c r="A1" s="1" t="s">
        <v>571</v>
      </c>
    </row>
    <row r="2" customFormat="false" ht="15" hidden="false" customHeight="false" outlineLevel="0" collapsed="false">
      <c r="A2" s="3" t="s">
        <v>572</v>
      </c>
    </row>
    <row r="5" customFormat="false" ht="33.75" hidden="false" customHeight="true" outlineLevel="0" collapsed="false">
      <c r="A5" s="25" t="s">
        <v>263</v>
      </c>
      <c r="B5" s="25" t="s">
        <v>264</v>
      </c>
      <c r="C5" s="26" t="s">
        <v>265</v>
      </c>
      <c r="D5" s="47" t="s">
        <v>573</v>
      </c>
      <c r="E5" s="48" t="s">
        <v>574</v>
      </c>
      <c r="F5" s="28" t="s">
        <v>575</v>
      </c>
      <c r="G5" s="29" t="s">
        <v>576</v>
      </c>
      <c r="H5" s="30" t="s">
        <v>577</v>
      </c>
      <c r="I5" s="27" t="s">
        <v>578</v>
      </c>
      <c r="J5" s="47" t="s">
        <v>579</v>
      </c>
      <c r="K5" s="48" t="s">
        <v>580</v>
      </c>
      <c r="L5" s="28" t="s">
        <v>581</v>
      </c>
      <c r="M5" s="29" t="s">
        <v>582</v>
      </c>
      <c r="N5" s="30" t="s">
        <v>483</v>
      </c>
      <c r="O5" s="27" t="s">
        <v>485</v>
      </c>
      <c r="P5" s="31" t="s">
        <v>583</v>
      </c>
      <c r="Q5" s="31" t="s">
        <v>584</v>
      </c>
      <c r="R5" s="82" t="s">
        <v>585</v>
      </c>
      <c r="S5" s="82" t="s">
        <v>586</v>
      </c>
    </row>
    <row r="6" customFormat="false" ht="15" hidden="false" customHeight="false" outlineLevel="0" collapsed="false">
      <c r="A6" s="32" t="n">
        <v>1</v>
      </c>
      <c r="B6" s="32" t="s">
        <v>286</v>
      </c>
      <c r="C6" s="33" t="s">
        <v>287</v>
      </c>
      <c r="D6" s="35" t="n">
        <v>4965</v>
      </c>
      <c r="E6" s="35" t="n">
        <v>1316</v>
      </c>
      <c r="F6" s="35" t="n">
        <v>1092</v>
      </c>
      <c r="G6" s="35" t="n">
        <v>2325</v>
      </c>
      <c r="H6" s="35" t="n">
        <v>507</v>
      </c>
      <c r="I6" s="35" t="n">
        <v>210</v>
      </c>
      <c r="J6" s="37" t="n">
        <f aca="false">IFERROR(E6/E$48,0)</f>
        <v>0.022457337883959</v>
      </c>
      <c r="K6" s="37" t="n">
        <f aca="false">IFERROR(F6/F$48,0)</f>
        <v>0.0243364311024938</v>
      </c>
      <c r="L6" s="37" t="n">
        <f aca="false">IFERROR(G6/G$48,0)</f>
        <v>0.0364763100094132</v>
      </c>
      <c r="M6" s="37" t="n">
        <f aca="false">IFERROR(H6/H$48,0)</f>
        <v>0.0570239568102576</v>
      </c>
      <c r="N6" s="37" t="n">
        <f aca="false">①石川予測確定!R7</f>
        <v>0.0528052805280528</v>
      </c>
      <c r="O6" s="83" t="n">
        <f aca="false">N6-L6</f>
        <v>0.0163289705186396</v>
      </c>
      <c r="P6" s="83" t="n">
        <f aca="false">L6-I6</f>
        <v>-209.963523689991</v>
      </c>
      <c r="Q6" s="39" t="str">
        <f aca="false">IF(O6&gt;=0.005,"↑ 伸長",IF(O6&lt;=-0.005,"↓ 減退","→ 横ばい"))</f>
        <v>↑ 伸長</v>
      </c>
    </row>
    <row r="7" customFormat="false" ht="15" hidden="false" customHeight="false" outlineLevel="0" collapsed="false">
      <c r="A7" s="32" t="n">
        <v>2</v>
      </c>
      <c r="B7" s="32" t="s">
        <v>288</v>
      </c>
      <c r="C7" s="33" t="s">
        <v>289</v>
      </c>
      <c r="D7" s="35" t="n">
        <v>4902</v>
      </c>
      <c r="E7" s="35" t="n">
        <v>1466</v>
      </c>
      <c r="F7" s="35" t="n">
        <v>1132</v>
      </c>
      <c r="G7" s="35" t="n">
        <v>1965</v>
      </c>
      <c r="H7" s="35" t="n">
        <v>541</v>
      </c>
      <c r="I7" s="35" t="n">
        <v>250</v>
      </c>
      <c r="J7" s="37" t="n">
        <f aca="false">IFERROR(E7/E$48,0)</f>
        <v>0.0250170648464164</v>
      </c>
      <c r="K7" s="37" t="n">
        <f aca="false">IFERROR(F7/F$48,0)</f>
        <v>0.0252278754652225</v>
      </c>
      <c r="L7" s="37" t="n">
        <f aca="false">IFERROR(G7/G$48,0)</f>
        <v>0.0308283652337622</v>
      </c>
      <c r="M7" s="37" t="n">
        <f aca="false">IFERROR(H7/H$48,0)</f>
        <v>0.0608480485884602</v>
      </c>
      <c r="N7" s="37" t="n">
        <f aca="false">①石川予測確定!R8</f>
        <v>0.0630945447485925</v>
      </c>
      <c r="O7" s="83" t="n">
        <f aca="false">N7-L7</f>
        <v>0.0322661795148304</v>
      </c>
      <c r="P7" s="83" t="n">
        <f aca="false">L7-I7</f>
        <v>-249.969171634766</v>
      </c>
      <c r="Q7" s="39" t="str">
        <f aca="false">IF(O7&gt;=0.005,"↑ 伸長",IF(O7&lt;=-0.005,"↓ 減退","→ 横ばい"))</f>
        <v>↑ 伸長</v>
      </c>
    </row>
    <row r="8" customFormat="false" ht="15" hidden="false" customHeight="false" outlineLevel="0" collapsed="false">
      <c r="A8" s="32" t="n">
        <v>3</v>
      </c>
      <c r="B8" s="32" t="s">
        <v>290</v>
      </c>
      <c r="C8" s="33" t="s">
        <v>291</v>
      </c>
      <c r="D8" s="35" t="n">
        <v>2956</v>
      </c>
      <c r="E8" s="35" t="n">
        <v>601</v>
      </c>
      <c r="F8" s="35" t="n">
        <v>454</v>
      </c>
      <c r="G8" s="35" t="n">
        <v>1132</v>
      </c>
      <c r="H8" s="35" t="n">
        <v>169</v>
      </c>
      <c r="I8" s="35" t="n">
        <v>92</v>
      </c>
      <c r="J8" s="37" t="n">
        <f aca="false">IFERROR(E8/E$48,0)</f>
        <v>0.0102559726962457</v>
      </c>
      <c r="K8" s="37" t="n">
        <f aca="false">IFERROR(F8/F$48,0)</f>
        <v>0.0101178935169709</v>
      </c>
      <c r="L8" s="37" t="n">
        <f aca="false">IFERROR(G8/G$48,0)</f>
        <v>0.0177596485723251</v>
      </c>
      <c r="M8" s="37" t="n">
        <f aca="false">IFERROR(H8/H$48,0)</f>
        <v>0.0190079856034192</v>
      </c>
      <c r="N8" s="37" t="n">
        <f aca="false">①石川予測確定!R9</f>
        <v>0.0229081731702582</v>
      </c>
      <c r="O8" s="83" t="n">
        <f aca="false">N8-L8</f>
        <v>0.00514852459793313</v>
      </c>
      <c r="P8" s="83" t="n">
        <f aca="false">L8-I8</f>
        <v>-91.9822403514277</v>
      </c>
      <c r="Q8" s="39" t="str">
        <f aca="false">IF(O8&gt;=0.005,"↑ 伸長",IF(O8&lt;=-0.005,"↓ 減退","→ 横ばい"))</f>
        <v>↑ 伸長</v>
      </c>
    </row>
    <row r="9" customFormat="false" ht="15" hidden="false" customHeight="false" outlineLevel="0" collapsed="false">
      <c r="A9" s="32" t="n">
        <v>4</v>
      </c>
      <c r="B9" s="32" t="s">
        <v>292</v>
      </c>
      <c r="C9" s="33" t="s">
        <v>293</v>
      </c>
      <c r="D9" s="35" t="n">
        <v>1819</v>
      </c>
      <c r="E9" s="35" t="n">
        <v>922</v>
      </c>
      <c r="F9" s="35" t="n">
        <v>539</v>
      </c>
      <c r="G9" s="35" t="n">
        <v>1310</v>
      </c>
      <c r="H9" s="35" t="n">
        <v>228</v>
      </c>
      <c r="I9" s="35" t="n">
        <v>110</v>
      </c>
      <c r="J9" s="37" t="n">
        <f aca="false">IFERROR(E9/E$48,0)</f>
        <v>0.0157337883959044</v>
      </c>
      <c r="K9" s="37" t="n">
        <f aca="false">IFERROR(F9/F$48,0)</f>
        <v>0.0120122127877694</v>
      </c>
      <c r="L9" s="37" t="n">
        <f aca="false">IFERROR(G9/G$48,0)</f>
        <v>0.0205522434891748</v>
      </c>
      <c r="M9" s="37" t="n">
        <f aca="false">IFERROR(H9/H$48,0)</f>
        <v>0.0256439095714768</v>
      </c>
      <c r="N9" s="37" t="n">
        <f aca="false">①石川予測確定!R10</f>
        <v>0.0260143661424966</v>
      </c>
      <c r="O9" s="83" t="n">
        <f aca="false">N9-L9</f>
        <v>0.00546212265332183</v>
      </c>
      <c r="P9" s="83" t="n">
        <f aca="false">L9-I9</f>
        <v>-109.979447756511</v>
      </c>
      <c r="Q9" s="39" t="str">
        <f aca="false">IF(O9&gt;=0.005,"↑ 伸長",IF(O9&lt;=-0.005,"↓ 減退","→ 横ばい"))</f>
        <v>↑ 伸長</v>
      </c>
    </row>
    <row r="10" customFormat="false" ht="15" hidden="false" customHeight="false" outlineLevel="0" collapsed="false">
      <c r="A10" s="32" t="n">
        <v>5</v>
      </c>
      <c r="B10" s="32" t="s">
        <v>294</v>
      </c>
      <c r="C10" s="33" t="s">
        <v>295</v>
      </c>
      <c r="D10" s="35" t="n">
        <v>18759</v>
      </c>
      <c r="E10" s="35" t="n">
        <v>10777</v>
      </c>
      <c r="F10" s="35" t="n">
        <v>8991</v>
      </c>
      <c r="G10" s="35" t="n">
        <v>8936</v>
      </c>
      <c r="H10" s="35" t="n">
        <v>410</v>
      </c>
      <c r="I10" s="35" t="n">
        <v>226</v>
      </c>
      <c r="J10" s="37" t="n">
        <f aca="false">IFERROR(E10/E$48,0)</f>
        <v>0.183907849829352</v>
      </c>
      <c r="K10" s="37" t="n">
        <f aca="false">IFERROR(F10/F$48,0)</f>
        <v>0.200374406632346</v>
      </c>
      <c r="L10" s="37" t="n">
        <f aca="false">IFERROR(G10/G$48,0)</f>
        <v>0.14019454032005</v>
      </c>
      <c r="M10" s="37" t="n">
        <f aca="false">IFERROR(H10/H$48,0)</f>
        <v>0.0461140479136205</v>
      </c>
      <c r="N10" s="37" t="n">
        <f aca="false">①石川予測確定!R11</f>
        <v>0.0568821588041157</v>
      </c>
      <c r="O10" s="83" t="n">
        <f aca="false">N10-L10</f>
        <v>-0.0833123815159345</v>
      </c>
      <c r="P10" s="83" t="n">
        <f aca="false">L10-I10</f>
        <v>-225.85980545968</v>
      </c>
      <c r="Q10" s="39" t="str">
        <f aca="false">IF(O10&gt;=0.005,"↑ 伸長",IF(O10&lt;=-0.005,"↓ 減退","→ 横ばい"))</f>
        <v>↓ 減退</v>
      </c>
    </row>
    <row r="11" customFormat="false" ht="15" hidden="false" customHeight="false" outlineLevel="0" collapsed="false">
      <c r="A11" s="32" t="n">
        <v>6</v>
      </c>
      <c r="B11" s="32" t="s">
        <v>296</v>
      </c>
      <c r="C11" s="33" t="s">
        <v>297</v>
      </c>
      <c r="D11" s="35" t="n">
        <v>31070</v>
      </c>
      <c r="E11" s="35" t="n">
        <v>15602</v>
      </c>
      <c r="F11" s="35" t="n">
        <v>13877</v>
      </c>
      <c r="G11" s="35" t="n">
        <v>18611</v>
      </c>
      <c r="H11" s="35" t="n">
        <v>1042</v>
      </c>
      <c r="I11" s="35" t="n">
        <v>439</v>
      </c>
      <c r="J11" s="37" t="n">
        <f aca="false">IFERROR(E11/E$48,0)</f>
        <v>0.266245733788396</v>
      </c>
      <c r="K11" s="37" t="n">
        <f aca="false">IFERROR(F11/F$48,0)</f>
        <v>0.309264335539658</v>
      </c>
      <c r="L11" s="37" t="n">
        <f aca="false">IFERROR(G11/G$48,0)</f>
        <v>0.291983056165673</v>
      </c>
      <c r="M11" s="37" t="n">
        <f aca="false">IFERROR(H11/H$48,0)</f>
        <v>0.117197165673153</v>
      </c>
      <c r="N11" s="37" t="n">
        <f aca="false">①石川予測確定!R12</f>
        <v>0.109687439332169</v>
      </c>
      <c r="O11" s="83" t="n">
        <f aca="false">N11-L11</f>
        <v>-0.182295616833505</v>
      </c>
      <c r="P11" s="83" t="n">
        <f aca="false">L11-I11</f>
        <v>-438.708016943834</v>
      </c>
      <c r="Q11" s="39" t="str">
        <f aca="false">IF(O11&gt;=0.005,"↑ 伸長",IF(O11&lt;=-0.005,"↓ 減退","→ 横ばい"))</f>
        <v>↓ 減退</v>
      </c>
    </row>
    <row r="12" customFormat="false" ht="15" hidden="false" customHeight="false" outlineLevel="0" collapsed="false">
      <c r="A12" s="32" t="n">
        <v>7</v>
      </c>
      <c r="B12" s="32" t="s">
        <v>298</v>
      </c>
      <c r="C12" s="33" t="s">
        <v>299</v>
      </c>
      <c r="D12" s="35" t="n">
        <v>3471</v>
      </c>
      <c r="E12" s="35" t="n">
        <v>520</v>
      </c>
      <c r="F12" s="35" t="n">
        <v>384</v>
      </c>
      <c r="G12" s="35" t="n">
        <v>940</v>
      </c>
      <c r="H12" s="35" t="n">
        <v>187</v>
      </c>
      <c r="I12" s="35" t="n">
        <v>130</v>
      </c>
      <c r="J12" s="37" t="n">
        <f aca="false">IFERROR(E12/E$48,0)</f>
        <v>0.00887372013651877</v>
      </c>
      <c r="K12" s="37" t="n">
        <f aca="false">IFERROR(F12/F$48,0)</f>
        <v>0.00855786588219563</v>
      </c>
      <c r="L12" s="37" t="n">
        <f aca="false">IFERROR(G12/G$48,0)</f>
        <v>0.0147474113586445</v>
      </c>
      <c r="M12" s="37" t="n">
        <f aca="false">IFERROR(H12/H$48,0)</f>
        <v>0.0210325047801147</v>
      </c>
      <c r="N12" s="37" t="n">
        <f aca="false">①石川予測確定!R13</f>
        <v>0.0320326150262085</v>
      </c>
      <c r="O12" s="83" t="n">
        <f aca="false">N12-L12</f>
        <v>0.017285203667564</v>
      </c>
      <c r="P12" s="83" t="n">
        <f aca="false">L12-I12</f>
        <v>-129.985252588641</v>
      </c>
      <c r="Q12" s="39" t="str">
        <f aca="false">IF(O12&gt;=0.005,"↑ 伸長",IF(O12&lt;=-0.005,"↓ 減退","→ 横ばい"))</f>
        <v>↑ 伸長</v>
      </c>
    </row>
    <row r="13" customFormat="false" ht="15" hidden="false" customHeight="false" outlineLevel="0" collapsed="false">
      <c r="A13" s="32" t="n">
        <v>8</v>
      </c>
      <c r="B13" s="32" t="s">
        <v>300</v>
      </c>
      <c r="C13" s="33" t="s">
        <v>301</v>
      </c>
      <c r="D13" s="35" t="n">
        <v>5596</v>
      </c>
      <c r="E13" s="35" t="n">
        <v>1107</v>
      </c>
      <c r="F13" s="35" t="n">
        <v>799</v>
      </c>
      <c r="G13" s="35" t="n">
        <v>1758</v>
      </c>
      <c r="H13" s="35" t="n">
        <v>322</v>
      </c>
      <c r="I13" s="35" t="n">
        <v>207</v>
      </c>
      <c r="J13" s="37" t="n">
        <f aca="false">IFERROR(E13/E$48,0)</f>
        <v>0.0188907849829352</v>
      </c>
      <c r="K13" s="37" t="n">
        <f aca="false">IFERROR(F13/F$48,0)</f>
        <v>0.017806601145506</v>
      </c>
      <c r="L13" s="37" t="n">
        <f aca="false">IFERROR(G13/G$48,0)</f>
        <v>0.0275807969877628</v>
      </c>
      <c r="M13" s="37" t="n">
        <f aca="false">IFERROR(H13/H$48,0)</f>
        <v>0.0362163986053312</v>
      </c>
      <c r="N13" s="37" t="n">
        <f aca="false">①石川予測確定!R14</f>
        <v>0.0516404581634634</v>
      </c>
      <c r="O13" s="83" t="n">
        <f aca="false">N13-L13</f>
        <v>0.0240596611757006</v>
      </c>
      <c r="P13" s="83" t="n">
        <f aca="false">L13-I13</f>
        <v>-206.972419203012</v>
      </c>
      <c r="Q13" s="39" t="str">
        <f aca="false">IF(O13&gt;=0.005,"↑ 伸長",IF(O13&lt;=-0.005,"↓ 減退","→ 横ばい"))</f>
        <v>↑ 伸長</v>
      </c>
    </row>
    <row r="14" customFormat="false" ht="15" hidden="false" customHeight="false" outlineLevel="0" collapsed="false">
      <c r="A14" s="32" t="n">
        <v>9</v>
      </c>
      <c r="B14" s="32" t="s">
        <v>302</v>
      </c>
      <c r="C14" s="33" t="s">
        <v>303</v>
      </c>
      <c r="D14" s="35" t="n">
        <v>2381</v>
      </c>
      <c r="E14" s="35" t="n">
        <v>313</v>
      </c>
      <c r="F14" s="35" t="n">
        <v>301</v>
      </c>
      <c r="G14" s="35" t="n">
        <v>743</v>
      </c>
      <c r="H14" s="35" t="n">
        <v>160</v>
      </c>
      <c r="I14" s="35" t="n">
        <v>41</v>
      </c>
      <c r="J14" s="37" t="n">
        <f aca="false">IFERROR(E14/E$48,0)</f>
        <v>0.00534129692832765</v>
      </c>
      <c r="K14" s="37" t="n">
        <f aca="false">IFERROR(F14/F$48,0)</f>
        <v>0.00670811882953355</v>
      </c>
      <c r="L14" s="37" t="n">
        <f aca="false">IFERROR(G14/G$48,0)</f>
        <v>0.0116567304675243</v>
      </c>
      <c r="M14" s="37" t="n">
        <f aca="false">IFERROR(H14/H$48,0)</f>
        <v>0.0179957260150714</v>
      </c>
      <c r="N14" s="37" t="n">
        <f aca="false">①石川予測確定!R15</f>
        <v>0.0099009900990099</v>
      </c>
      <c r="O14" s="83" t="n">
        <f aca="false">N14-L14</f>
        <v>-0.00175574036851442</v>
      </c>
      <c r="P14" s="83" t="n">
        <f aca="false">L14-I14</f>
        <v>-40.9883432695325</v>
      </c>
      <c r="Q14" s="39" t="str">
        <f aca="false">IF(O14&gt;=0.005,"↑ 伸長",IF(O14&lt;=-0.005,"↓ 減退","→ 横ばい"))</f>
        <v>→ 横ばい</v>
      </c>
    </row>
    <row r="15" customFormat="false" ht="15" hidden="false" customHeight="false" outlineLevel="0" collapsed="false">
      <c r="A15" s="32" t="n">
        <v>10</v>
      </c>
      <c r="B15" s="32" t="s">
        <v>304</v>
      </c>
      <c r="C15" s="33" t="s">
        <v>305</v>
      </c>
      <c r="D15" s="35" t="n">
        <v>1025</v>
      </c>
      <c r="E15" s="35" t="n">
        <v>141</v>
      </c>
      <c r="F15" s="35" t="n">
        <v>123</v>
      </c>
      <c r="G15" s="35" t="n">
        <v>277</v>
      </c>
      <c r="H15" s="35" t="n">
        <v>59</v>
      </c>
      <c r="I15" s="35" t="n">
        <v>16</v>
      </c>
      <c r="J15" s="37" t="n">
        <f aca="false">IFERROR(E15/E$48,0)</f>
        <v>0.0024061433447099</v>
      </c>
      <c r="K15" s="37" t="n">
        <f aca="false">IFERROR(F15/F$48,0)</f>
        <v>0.00274119141539079</v>
      </c>
      <c r="L15" s="37" t="n">
        <f aca="false">IFERROR(G15/G$48,0)</f>
        <v>0.00434577973015375</v>
      </c>
      <c r="M15" s="37" t="n">
        <f aca="false">IFERROR(H15/H$48,0)</f>
        <v>0.00663592396805759</v>
      </c>
      <c r="N15" s="37" t="n">
        <f aca="false">①石川予測確定!R16</f>
        <v>0.003882741215298</v>
      </c>
      <c r="O15" s="83" t="n">
        <f aca="false">N15-L15</f>
        <v>-0.000463038514855749</v>
      </c>
      <c r="P15" s="83" t="n">
        <f aca="false">L15-I15</f>
        <v>-15.9956542202698</v>
      </c>
      <c r="Q15" s="39" t="str">
        <f aca="false">IF(O15&gt;=0.005,"↑ 伸長",IF(O15&lt;=-0.005,"↓ 減退","→ 横ばい"))</f>
        <v>→ 横ばい</v>
      </c>
    </row>
    <row r="16" customFormat="false" ht="15" hidden="false" customHeight="false" outlineLevel="0" collapsed="false">
      <c r="A16" s="32" t="n">
        <v>11</v>
      </c>
      <c r="B16" s="32" t="s">
        <v>306</v>
      </c>
      <c r="C16" s="33" t="s">
        <v>307</v>
      </c>
      <c r="D16" s="35" t="n">
        <v>215</v>
      </c>
      <c r="E16" s="35" t="n">
        <v>37</v>
      </c>
      <c r="F16" s="35" t="n">
        <v>30</v>
      </c>
      <c r="G16" s="35" t="n">
        <v>78</v>
      </c>
      <c r="H16" s="35" t="n">
        <v>21</v>
      </c>
      <c r="I16" s="35" t="n">
        <v>6</v>
      </c>
      <c r="J16" s="37" t="n">
        <f aca="false">IFERROR(E16/E$48,0)</f>
        <v>0.000631399317406143</v>
      </c>
      <c r="K16" s="37" t="n">
        <f aca="false">IFERROR(F16/F$48,0)</f>
        <v>0.000668583272046533</v>
      </c>
      <c r="L16" s="37" t="n">
        <f aca="false">IFERROR(G16/G$48,0)</f>
        <v>0.00122372136805773</v>
      </c>
      <c r="M16" s="37" t="n">
        <f aca="false">IFERROR(H16/H$48,0)</f>
        <v>0.00236193903947812</v>
      </c>
      <c r="N16" s="37" t="n">
        <f aca="false">①石川予測確定!R17</f>
        <v>0.0015530964861192</v>
      </c>
      <c r="O16" s="83" t="n">
        <f aca="false">N16-L16</f>
        <v>0.000329375118061466</v>
      </c>
      <c r="P16" s="83" t="n">
        <f aca="false">L16-I16</f>
        <v>-5.99877627863194</v>
      </c>
      <c r="Q16" s="39" t="str">
        <f aca="false">IF(O16&gt;=0.005,"↑ 伸長",IF(O16&lt;=-0.005,"↓ 減退","→ 横ばい"))</f>
        <v>→ 横ばい</v>
      </c>
    </row>
    <row r="17" customFormat="false" ht="15" hidden="false" customHeight="false" outlineLevel="0" collapsed="false">
      <c r="A17" s="32" t="n">
        <v>12</v>
      </c>
      <c r="B17" s="32" t="s">
        <v>308</v>
      </c>
      <c r="C17" s="33" t="s">
        <v>309</v>
      </c>
      <c r="D17" s="35" t="n">
        <v>291</v>
      </c>
      <c r="E17" s="35" t="n">
        <v>58</v>
      </c>
      <c r="F17" s="35" t="n">
        <v>54</v>
      </c>
      <c r="G17" s="35" t="n">
        <v>142</v>
      </c>
      <c r="H17" s="35" t="n">
        <v>43</v>
      </c>
      <c r="I17" s="35" t="n">
        <v>13</v>
      </c>
      <c r="J17" s="37" t="n">
        <f aca="false">IFERROR(E17/E$48,0)</f>
        <v>0.000989761092150171</v>
      </c>
      <c r="K17" s="37" t="n">
        <f aca="false">IFERROR(F17/F$48,0)</f>
        <v>0.00120344988968376</v>
      </c>
      <c r="L17" s="37" t="n">
        <f aca="false">IFERROR(G17/G$48,0)</f>
        <v>0.00222780043928459</v>
      </c>
      <c r="M17" s="37" t="n">
        <f aca="false">IFERROR(H17/H$48,0)</f>
        <v>0.00483635136655044</v>
      </c>
      <c r="N17" s="37" t="n">
        <f aca="false">①石川予測確定!R18</f>
        <v>0.0033003300330033</v>
      </c>
      <c r="O17" s="83" t="n">
        <f aca="false">N17-L17</f>
        <v>0.00107252959371871</v>
      </c>
      <c r="P17" s="83" t="n">
        <f aca="false">L17-I17</f>
        <v>-12.9977721995607</v>
      </c>
      <c r="Q17" s="39" t="str">
        <f aca="false">IF(O17&gt;=0.005,"↑ 伸長",IF(O17&lt;=-0.005,"↓ 減退","→ 横ばい"))</f>
        <v>→ 横ばい</v>
      </c>
    </row>
    <row r="18" customFormat="false" ht="15" hidden="false" customHeight="false" outlineLevel="0" collapsed="false">
      <c r="A18" s="32" t="n">
        <v>13</v>
      </c>
      <c r="B18" s="32" t="s">
        <v>310</v>
      </c>
      <c r="C18" s="33" t="s">
        <v>311</v>
      </c>
      <c r="D18" s="35" t="n">
        <v>99</v>
      </c>
      <c r="E18" s="35" t="n">
        <v>16</v>
      </c>
      <c r="F18" s="35" t="n">
        <v>22</v>
      </c>
      <c r="G18" s="35" t="n">
        <v>43</v>
      </c>
      <c r="H18" s="35" t="n">
        <v>8</v>
      </c>
      <c r="I18" s="35" t="n">
        <v>5</v>
      </c>
      <c r="J18" s="37" t="n">
        <f aca="false">IFERROR(E18/E$48,0)</f>
        <v>0.000273037542662116</v>
      </c>
      <c r="K18" s="37" t="n">
        <f aca="false">IFERROR(F18/F$48,0)</f>
        <v>0.000490294399500791</v>
      </c>
      <c r="L18" s="37" t="n">
        <f aca="false">IFERROR(G18/G$48,0)</f>
        <v>0.000674615625980546</v>
      </c>
      <c r="M18" s="37" t="n">
        <f aca="false">IFERROR(H18/H$48,0)</f>
        <v>0.000899786300753571</v>
      </c>
      <c r="N18" s="37" t="n">
        <f aca="false">①石川予測確定!R19</f>
        <v>0.0011648223645894</v>
      </c>
      <c r="O18" s="83" t="n">
        <f aca="false">N18-L18</f>
        <v>0.000490206738608854</v>
      </c>
      <c r="P18" s="83" t="n">
        <f aca="false">L18-I18</f>
        <v>-4.99932538437402</v>
      </c>
      <c r="Q18" s="39" t="str">
        <f aca="false">IF(O18&gt;=0.005,"↑ 伸長",IF(O18&lt;=-0.005,"↓ 減退","→ 横ばい"))</f>
        <v>→ 横ばい</v>
      </c>
    </row>
    <row r="19" customFormat="false" ht="15" hidden="false" customHeight="false" outlineLevel="0" collapsed="false">
      <c r="A19" s="32" t="n">
        <v>14</v>
      </c>
      <c r="B19" s="32" t="s">
        <v>312</v>
      </c>
      <c r="C19" s="33" t="s">
        <v>313</v>
      </c>
      <c r="D19" s="35" t="n">
        <v>411</v>
      </c>
      <c r="E19" s="35" t="n">
        <v>73</v>
      </c>
      <c r="F19" s="35" t="n">
        <v>79</v>
      </c>
      <c r="G19" s="35" t="n">
        <v>146</v>
      </c>
      <c r="H19" s="35" t="n">
        <v>47</v>
      </c>
      <c r="I19" s="35" t="n">
        <v>10</v>
      </c>
      <c r="J19" s="37" t="n">
        <f aca="false">IFERROR(E19/E$48,0)</f>
        <v>0.0012457337883959</v>
      </c>
      <c r="K19" s="37" t="n">
        <f aca="false">IFERROR(F19/F$48,0)</f>
        <v>0.0017606026163892</v>
      </c>
      <c r="L19" s="37" t="n">
        <f aca="false">IFERROR(G19/G$48,0)</f>
        <v>0.00229055538123627</v>
      </c>
      <c r="M19" s="37" t="n">
        <f aca="false">IFERROR(H19/H$48,0)</f>
        <v>0.00528624451692723</v>
      </c>
      <c r="N19" s="37" t="n">
        <f aca="false">①石川予測確定!R20</f>
        <v>0.0027179188507086</v>
      </c>
      <c r="O19" s="83" t="n">
        <f aca="false">N19-L19</f>
        <v>0.000427363469472328</v>
      </c>
      <c r="P19" s="83" t="n">
        <f aca="false">L19-I19</f>
        <v>-9.99770944461876</v>
      </c>
      <c r="Q19" s="39" t="str">
        <f aca="false">IF(O19&gt;=0.005,"↑ 伸長",IF(O19&lt;=-0.005,"↓ 減退","→ 横ばい"))</f>
        <v>→ 横ばい</v>
      </c>
    </row>
    <row r="20" customFormat="false" ht="15" hidden="false" customHeight="false" outlineLevel="0" collapsed="false">
      <c r="A20" s="32" t="n">
        <v>15</v>
      </c>
      <c r="B20" s="32" t="s">
        <v>314</v>
      </c>
      <c r="C20" s="33" t="s">
        <v>315</v>
      </c>
      <c r="D20" s="35" t="n">
        <v>471</v>
      </c>
      <c r="E20" s="35" t="n">
        <v>100</v>
      </c>
      <c r="F20" s="35" t="n">
        <v>100</v>
      </c>
      <c r="G20" s="35" t="n">
        <v>198</v>
      </c>
      <c r="H20" s="35" t="n">
        <v>54</v>
      </c>
      <c r="I20" s="35" t="n">
        <v>17</v>
      </c>
      <c r="J20" s="37" t="n">
        <f aca="false">IFERROR(E20/E$48,0)</f>
        <v>0.00170648464163823</v>
      </c>
      <c r="K20" s="37" t="n">
        <f aca="false">IFERROR(F20/F$48,0)</f>
        <v>0.00222861090682178</v>
      </c>
      <c r="L20" s="37" t="n">
        <f aca="false">IFERROR(G20/G$48,0)</f>
        <v>0.0031063696266081</v>
      </c>
      <c r="M20" s="37" t="n">
        <f aca="false">IFERROR(H20/H$48,0)</f>
        <v>0.0060735575300866</v>
      </c>
      <c r="N20" s="37" t="n">
        <f aca="false">①石川予測確定!R21</f>
        <v>0.0044651523975927</v>
      </c>
      <c r="O20" s="83" t="n">
        <f aca="false">N20-L20</f>
        <v>0.0013587827709846</v>
      </c>
      <c r="P20" s="83" t="n">
        <f aca="false">L20-I20</f>
        <v>-16.9968936303734</v>
      </c>
      <c r="Q20" s="39" t="str">
        <f aca="false">IF(O20&gt;=0.005,"↑ 伸長",IF(O20&lt;=-0.005,"↓ 減退","→ 横ばい"))</f>
        <v>→ 横ばい</v>
      </c>
    </row>
    <row r="21" customFormat="false" ht="15" hidden="false" customHeight="false" outlineLevel="0" collapsed="false">
      <c r="A21" s="32" t="n">
        <v>16</v>
      </c>
      <c r="B21" s="32" t="s">
        <v>316</v>
      </c>
      <c r="C21" s="33" t="s">
        <v>317</v>
      </c>
      <c r="D21" s="35" t="n">
        <v>95</v>
      </c>
      <c r="E21" s="35" t="n">
        <v>38</v>
      </c>
      <c r="F21" s="35" t="n">
        <v>30</v>
      </c>
      <c r="G21" s="35" t="n">
        <v>65</v>
      </c>
      <c r="H21" s="35" t="n">
        <v>22</v>
      </c>
      <c r="I21" s="35" t="n">
        <v>4</v>
      </c>
      <c r="J21" s="37" t="n">
        <f aca="false">IFERROR(E21/E$48,0)</f>
        <v>0.000648464163822526</v>
      </c>
      <c r="K21" s="37" t="n">
        <f aca="false">IFERROR(F21/F$48,0)</f>
        <v>0.000668583272046533</v>
      </c>
      <c r="L21" s="37" t="n">
        <f aca="false">IFERROR(G21/G$48,0)</f>
        <v>0.00101976780671478</v>
      </c>
      <c r="M21" s="37" t="n">
        <f aca="false">IFERROR(H21/H$48,0)</f>
        <v>0.00247441232707232</v>
      </c>
      <c r="N21" s="37" t="n">
        <f aca="false">①石川予測確定!R22</f>
        <v>0.0011648223645894</v>
      </c>
      <c r="O21" s="83" t="n">
        <f aca="false">N21-L21</f>
        <v>0.000145054557874621</v>
      </c>
      <c r="P21" s="83" t="n">
        <f aca="false">L21-I21</f>
        <v>-3.99898023219329</v>
      </c>
      <c r="Q21" s="39" t="str">
        <f aca="false">IF(O21&gt;=0.005,"↑ 伸長",IF(O21&lt;=-0.005,"↓ 減退","→ 横ばい"))</f>
        <v>→ 横ばい</v>
      </c>
    </row>
    <row r="22" customFormat="false" ht="15" hidden="false" customHeight="false" outlineLevel="0" collapsed="false">
      <c r="A22" s="32" t="n">
        <v>17</v>
      </c>
      <c r="B22" s="32" t="s">
        <v>318</v>
      </c>
      <c r="C22" s="33" t="s">
        <v>319</v>
      </c>
      <c r="D22" s="35" t="n">
        <v>492</v>
      </c>
      <c r="E22" s="35" t="n">
        <v>124</v>
      </c>
      <c r="F22" s="35" t="n">
        <v>100</v>
      </c>
      <c r="G22" s="35" t="n">
        <v>261</v>
      </c>
      <c r="H22" s="35" t="n">
        <v>100</v>
      </c>
      <c r="I22" s="35" t="n">
        <v>30</v>
      </c>
      <c r="J22" s="37" t="n">
        <f aca="false">IFERROR(E22/E$48,0)</f>
        <v>0.0021160409556314</v>
      </c>
      <c r="K22" s="37" t="n">
        <f aca="false">IFERROR(F22/F$48,0)</f>
        <v>0.00222861090682178</v>
      </c>
      <c r="L22" s="37" t="n">
        <f aca="false">IFERROR(G22/G$48,0)</f>
        <v>0.00409475996234703</v>
      </c>
      <c r="M22" s="37" t="n">
        <f aca="false">IFERROR(H22/H$48,0)</f>
        <v>0.0112473287594196</v>
      </c>
      <c r="N22" s="37" t="n">
        <f aca="false">①石川予測確定!R23</f>
        <v>0.0079596194913609</v>
      </c>
      <c r="O22" s="83" t="n">
        <f aca="false">N22-L22</f>
        <v>0.00386485952901387</v>
      </c>
      <c r="P22" s="83" t="n">
        <f aca="false">L22-I22</f>
        <v>-29.9959052400377</v>
      </c>
      <c r="Q22" s="39" t="str">
        <f aca="false">IF(O22&gt;=0.005,"↑ 伸長",IF(O22&lt;=-0.005,"↓ 減退","→ 横ばい"))</f>
        <v>→ 横ばい</v>
      </c>
    </row>
    <row r="23" customFormat="false" ht="15" hidden="false" customHeight="false" outlineLevel="0" collapsed="false">
      <c r="A23" s="32" t="n">
        <v>18</v>
      </c>
      <c r="B23" s="32" t="s">
        <v>320</v>
      </c>
      <c r="C23" s="33" t="s">
        <v>321</v>
      </c>
      <c r="D23" s="35" t="n">
        <v>5661</v>
      </c>
      <c r="E23" s="35" t="n">
        <v>1187</v>
      </c>
      <c r="F23" s="35" t="n">
        <v>898</v>
      </c>
      <c r="G23" s="35" t="n">
        <v>2021</v>
      </c>
      <c r="H23" s="35" t="n">
        <v>443</v>
      </c>
      <c r="I23" s="35" t="n">
        <v>122</v>
      </c>
      <c r="J23" s="37" t="n">
        <f aca="false">IFERROR(E23/E$48,0)</f>
        <v>0.0202559726962457</v>
      </c>
      <c r="K23" s="37" t="n">
        <f aca="false">IFERROR(F23/F$48,0)</f>
        <v>0.0200129259432596</v>
      </c>
      <c r="L23" s="37" t="n">
        <f aca="false">IFERROR(G23/G$48,0)</f>
        <v>0.0317069344210857</v>
      </c>
      <c r="M23" s="37" t="n">
        <f aca="false">IFERROR(H23/H$48,0)</f>
        <v>0.049825666404229</v>
      </c>
      <c r="N23" s="37" t="n">
        <f aca="false">①石川予測確定!R24</f>
        <v>0.0295088332362648</v>
      </c>
      <c r="O23" s="83" t="n">
        <f aca="false">N23-L23</f>
        <v>-0.00219810118482085</v>
      </c>
      <c r="P23" s="83" t="n">
        <f aca="false">L23-I23</f>
        <v>-121.968293065579</v>
      </c>
      <c r="Q23" s="39" t="str">
        <f aca="false">IF(O23&gt;=0.005,"↑ 伸長",IF(O23&lt;=-0.005,"↓ 減退","→ 横ばい"))</f>
        <v>→ 横ばい</v>
      </c>
    </row>
    <row r="24" customFormat="false" ht="15" hidden="false" customHeight="false" outlineLevel="0" collapsed="false">
      <c r="A24" s="32" t="n">
        <v>19</v>
      </c>
      <c r="B24" s="32" t="s">
        <v>322</v>
      </c>
      <c r="C24" s="33" t="s">
        <v>323</v>
      </c>
      <c r="D24" s="35" t="n">
        <v>168</v>
      </c>
      <c r="E24" s="35" t="n">
        <v>27</v>
      </c>
      <c r="F24" s="35" t="n">
        <v>19</v>
      </c>
      <c r="G24" s="35" t="n">
        <v>45</v>
      </c>
      <c r="H24" s="35" t="n">
        <v>21</v>
      </c>
      <c r="I24" s="35" t="n">
        <v>4</v>
      </c>
      <c r="J24" s="37" t="n">
        <f aca="false">IFERROR(E24/E$48,0)</f>
        <v>0.000460750853242321</v>
      </c>
      <c r="K24" s="37" t="n">
        <f aca="false">IFERROR(F24/F$48,0)</f>
        <v>0.000423436072296138</v>
      </c>
      <c r="L24" s="37" t="n">
        <f aca="false">IFERROR(G24/G$48,0)</f>
        <v>0.000705993096956385</v>
      </c>
      <c r="M24" s="37" t="n">
        <f aca="false">IFERROR(H24/H$48,0)</f>
        <v>0.00236193903947812</v>
      </c>
      <c r="N24" s="37" t="n">
        <f aca="false">①石川予測確定!R25</f>
        <v>0.0009706853038245</v>
      </c>
      <c r="O24" s="83" t="n">
        <f aca="false">N24-L24</f>
        <v>0.000264692206868115</v>
      </c>
      <c r="P24" s="83" t="n">
        <f aca="false">L24-I24</f>
        <v>-3.99929400690304</v>
      </c>
      <c r="Q24" s="39" t="str">
        <f aca="false">IF(O24&gt;=0.005,"↑ 伸長",IF(O24&lt;=-0.005,"↓ 減退","→ 横ばい"))</f>
        <v>→ 横ばい</v>
      </c>
    </row>
    <row r="25" customFormat="false" ht="15" hidden="false" customHeight="false" outlineLevel="0" collapsed="false">
      <c r="A25" s="32" t="n">
        <v>20</v>
      </c>
      <c r="B25" s="32" t="s">
        <v>324</v>
      </c>
      <c r="C25" s="33" t="s">
        <v>325</v>
      </c>
      <c r="D25" s="35" t="n">
        <v>117</v>
      </c>
      <c r="E25" s="35" t="n">
        <v>23</v>
      </c>
      <c r="F25" s="35" t="n">
        <v>15</v>
      </c>
      <c r="G25" s="35" t="n">
        <v>42</v>
      </c>
      <c r="H25" s="35" t="n">
        <v>18</v>
      </c>
      <c r="I25" s="35" t="n">
        <v>5</v>
      </c>
      <c r="J25" s="37" t="n">
        <f aca="false">IFERROR(E25/E$48,0)</f>
        <v>0.000392491467576792</v>
      </c>
      <c r="K25" s="37" t="n">
        <f aca="false">IFERROR(F25/F$48,0)</f>
        <v>0.000334291636023267</v>
      </c>
      <c r="L25" s="37" t="n">
        <f aca="false">IFERROR(G25/G$48,0)</f>
        <v>0.000658926890492626</v>
      </c>
      <c r="M25" s="37" t="n">
        <f aca="false">IFERROR(H25/H$48,0)</f>
        <v>0.00202451917669553</v>
      </c>
      <c r="N25" s="37" t="n">
        <f aca="false">①石川予測確定!R26</f>
        <v>0.0013589594253543</v>
      </c>
      <c r="O25" s="83" t="n">
        <f aca="false">N25-L25</f>
        <v>0.000700032534861674</v>
      </c>
      <c r="P25" s="83" t="n">
        <f aca="false">L25-I25</f>
        <v>-4.99934107310951</v>
      </c>
      <c r="Q25" s="39" t="str">
        <f aca="false">IF(O25&gt;=0.005,"↑ 伸長",IF(O25&lt;=-0.005,"↓ 減退","→ 横ばい"))</f>
        <v>→ 横ばい</v>
      </c>
    </row>
    <row r="26" customFormat="false" ht="15" hidden="false" customHeight="false" outlineLevel="0" collapsed="false">
      <c r="A26" s="32" t="n">
        <v>21</v>
      </c>
      <c r="B26" s="32" t="s">
        <v>326</v>
      </c>
      <c r="C26" s="33" t="s">
        <v>327</v>
      </c>
      <c r="D26" s="35" t="n">
        <v>350</v>
      </c>
      <c r="E26" s="35" t="n">
        <v>139</v>
      </c>
      <c r="F26" s="35" t="n">
        <v>150</v>
      </c>
      <c r="G26" s="35" t="n">
        <v>252</v>
      </c>
      <c r="H26" s="35" t="n">
        <v>88</v>
      </c>
      <c r="I26" s="35" t="n">
        <v>23</v>
      </c>
      <c r="J26" s="37" t="n">
        <f aca="false">IFERROR(E26/E$48,0)</f>
        <v>0.00237201365187713</v>
      </c>
      <c r="K26" s="37" t="n">
        <f aca="false">IFERROR(F26/F$48,0)</f>
        <v>0.00334291636023267</v>
      </c>
      <c r="L26" s="37" t="n">
        <f aca="false">IFERROR(G26/G$48,0)</f>
        <v>0.00395356134295576</v>
      </c>
      <c r="M26" s="37" t="n">
        <f aca="false">IFERROR(H26/H$48,0)</f>
        <v>0.00989764930828928</v>
      </c>
      <c r="N26" s="37" t="n">
        <f aca="false">①石川予測確定!R27</f>
        <v>0.005824111822947</v>
      </c>
      <c r="O26" s="83" t="n">
        <f aca="false">N26-L26</f>
        <v>0.00187055047999124</v>
      </c>
      <c r="P26" s="83" t="n">
        <f aca="false">L26-I26</f>
        <v>-22.996046438657</v>
      </c>
      <c r="Q26" s="39" t="str">
        <f aca="false">IF(O26&gt;=0.005,"↑ 伸長",IF(O26&lt;=-0.005,"↓ 減退","→ 横ばい"))</f>
        <v>→ 横ばい</v>
      </c>
    </row>
    <row r="27" customFormat="false" ht="15" hidden="false" customHeight="false" outlineLevel="0" collapsed="false">
      <c r="A27" s="32" t="n">
        <v>22</v>
      </c>
      <c r="B27" s="32" t="s">
        <v>328</v>
      </c>
      <c r="C27" s="33" t="s">
        <v>329</v>
      </c>
      <c r="D27" s="35" t="n">
        <v>319</v>
      </c>
      <c r="E27" s="35" t="n">
        <v>99</v>
      </c>
      <c r="F27" s="35" t="n">
        <v>80</v>
      </c>
      <c r="G27" s="35" t="n">
        <v>171</v>
      </c>
      <c r="H27" s="35" t="n">
        <v>50</v>
      </c>
      <c r="I27" s="35" t="n">
        <v>19</v>
      </c>
      <c r="J27" s="37" t="n">
        <f aca="false">IFERROR(E27/E$48,0)</f>
        <v>0.00168941979522184</v>
      </c>
      <c r="K27" s="37" t="n">
        <f aca="false">IFERROR(F27/F$48,0)</f>
        <v>0.00178288872545742</v>
      </c>
      <c r="L27" s="37" t="n">
        <f aca="false">IFERROR(G27/G$48,0)</f>
        <v>0.00268277376843426</v>
      </c>
      <c r="M27" s="37" t="n">
        <f aca="false">IFERROR(H27/H$48,0)</f>
        <v>0.00562366437970982</v>
      </c>
      <c r="N27" s="37" t="n">
        <f aca="false">①石川予測確定!R28</f>
        <v>0.0052417006406523</v>
      </c>
      <c r="O27" s="83" t="n">
        <f aca="false">N27-L27</f>
        <v>0.00255892687221804</v>
      </c>
      <c r="P27" s="83" t="n">
        <f aca="false">L27-I27</f>
        <v>-18.9973172262316</v>
      </c>
      <c r="Q27" s="39" t="str">
        <f aca="false">IF(O27&gt;=0.005,"↑ 伸長",IF(O27&lt;=-0.005,"↓ 減退","→ 横ばい"))</f>
        <v>→ 横ばい</v>
      </c>
    </row>
    <row r="28" customFormat="false" ht="15" hidden="false" customHeight="false" outlineLevel="0" collapsed="false">
      <c r="A28" s="32" t="n">
        <v>23</v>
      </c>
      <c r="B28" s="32" t="s">
        <v>330</v>
      </c>
      <c r="C28" s="33" t="s">
        <v>331</v>
      </c>
      <c r="D28" s="35" t="n">
        <v>41156</v>
      </c>
      <c r="E28" s="35" t="n">
        <v>13583</v>
      </c>
      <c r="F28" s="35" t="n">
        <v>8800</v>
      </c>
      <c r="G28" s="35" t="n">
        <v>12724</v>
      </c>
      <c r="H28" s="35" t="n">
        <v>2175</v>
      </c>
      <c r="I28" s="35" t="n">
        <v>1018</v>
      </c>
      <c r="J28" s="37" t="n">
        <f aca="false">IFERROR(E28/E$48,0)</f>
        <v>0.23179180887372</v>
      </c>
      <c r="K28" s="37" t="n">
        <f aca="false">IFERROR(F28/F$48,0)</f>
        <v>0.196117759800316</v>
      </c>
      <c r="L28" s="37" t="n">
        <f aca="false">IFERROR(G28/G$48,0)</f>
        <v>0.19962347034829</v>
      </c>
      <c r="M28" s="37" t="n">
        <f aca="false">IFERROR(H28/H$48,0)</f>
        <v>0.244629400517377</v>
      </c>
      <c r="N28" s="37" t="n">
        <f aca="false">①石川予測確定!R29</f>
        <v>0.250825082508251</v>
      </c>
      <c r="O28" s="83" t="n">
        <f aca="false">N28-L28</f>
        <v>0.0512016121599609</v>
      </c>
      <c r="P28" s="83" t="n">
        <f aca="false">L28-I28</f>
        <v>-1017.80037652965</v>
      </c>
      <c r="Q28" s="39" t="str">
        <f aca="false">IF(O28&gt;=0.005,"↑ 伸長",IF(O28&lt;=-0.005,"↓ 減退","→ 横ばい"))</f>
        <v>↑ 伸長</v>
      </c>
    </row>
    <row r="29" customFormat="false" ht="15" hidden="false" customHeight="false" outlineLevel="0" collapsed="false">
      <c r="A29" s="32" t="n">
        <v>24</v>
      </c>
      <c r="B29" s="32" t="s">
        <v>332</v>
      </c>
      <c r="C29" s="33" t="s">
        <v>333</v>
      </c>
      <c r="D29" s="35" t="n">
        <v>14981</v>
      </c>
      <c r="E29" s="35" t="n">
        <v>8213</v>
      </c>
      <c r="F29" s="35" t="n">
        <v>5195</v>
      </c>
      <c r="G29" s="35" t="n">
        <v>6978</v>
      </c>
      <c r="H29" s="35" t="n">
        <v>1216</v>
      </c>
      <c r="I29" s="35" t="n">
        <v>668</v>
      </c>
      <c r="J29" s="37" t="n">
        <f aca="false">IFERROR(E29/E$48,0)</f>
        <v>0.140153583617747</v>
      </c>
      <c r="K29" s="37" t="n">
        <f aca="false">IFERROR(F29/F$48,0)</f>
        <v>0.115776336609391</v>
      </c>
      <c r="L29" s="37" t="n">
        <f aca="false">IFERROR(G29/G$48,0)</f>
        <v>0.109475996234703</v>
      </c>
      <c r="M29" s="37" t="n">
        <f aca="false">IFERROR(H29/H$48,0)</f>
        <v>0.136767517714543</v>
      </c>
      <c r="N29" s="37" t="n">
        <f aca="false">①石川予測確定!R30</f>
        <v>0.167928557561639</v>
      </c>
      <c r="O29" s="83" t="n">
        <f aca="false">N29-L29</f>
        <v>0.058452561326935</v>
      </c>
      <c r="P29" s="83" t="n">
        <f aca="false">L29-I29</f>
        <v>-667.890524003765</v>
      </c>
      <c r="Q29" s="39" t="str">
        <f aca="false">IF(O29&gt;=0.005,"↑ 伸長",IF(O29&lt;=-0.005,"↓ 減退","→ 横ばい"))</f>
        <v>↑ 伸長</v>
      </c>
    </row>
    <row r="30" customFormat="false" ht="15" hidden="false" customHeight="false" outlineLevel="0" collapsed="false">
      <c r="A30" s="32" t="n">
        <v>25</v>
      </c>
      <c r="B30" s="32" t="s">
        <v>334</v>
      </c>
      <c r="C30" s="33" t="s">
        <v>335</v>
      </c>
      <c r="D30" s="35" t="n">
        <v>849</v>
      </c>
      <c r="E30" s="35" t="n">
        <v>221</v>
      </c>
      <c r="F30" s="35" t="n">
        <v>168</v>
      </c>
      <c r="G30" s="35" t="n">
        <v>243</v>
      </c>
      <c r="H30" s="35" t="n">
        <v>54</v>
      </c>
      <c r="I30" s="35" t="n">
        <v>43</v>
      </c>
      <c r="J30" s="37" t="n">
        <f aca="false">IFERROR(E30/E$48,0)</f>
        <v>0.00377133105802048</v>
      </c>
      <c r="K30" s="37" t="n">
        <f aca="false">IFERROR(F30/F$48,0)</f>
        <v>0.00374406632346059</v>
      </c>
      <c r="L30" s="37" t="n">
        <f aca="false">IFERROR(G30/G$48,0)</f>
        <v>0.00381236272356448</v>
      </c>
      <c r="M30" s="37" t="n">
        <f aca="false">IFERROR(H30/H$48,0)</f>
        <v>0.0060735575300866</v>
      </c>
      <c r="N30" s="37" t="n">
        <f aca="false">①石川予測確定!R31</f>
        <v>0.0112599495243642</v>
      </c>
      <c r="O30" s="83" t="n">
        <f aca="false">N30-L30</f>
        <v>0.00744758680079972</v>
      </c>
      <c r="P30" s="83" t="n">
        <f aca="false">L30-I30</f>
        <v>-42.9961876372764</v>
      </c>
      <c r="Q30" s="39" t="str">
        <f aca="false">IF(O30&gt;=0.005,"↑ 伸長",IF(O30&lt;=-0.005,"↓ 減退","→ 横ばい"))</f>
        <v>↑ 伸長</v>
      </c>
    </row>
    <row r="31" customFormat="false" ht="15" hidden="false" customHeight="false" outlineLevel="0" collapsed="false">
      <c r="A31" s="32" t="n">
        <v>26</v>
      </c>
      <c r="B31" s="32" t="s">
        <v>336</v>
      </c>
      <c r="C31" s="33" t="s">
        <v>337</v>
      </c>
      <c r="D31" s="35" t="n">
        <v>1283</v>
      </c>
      <c r="E31" s="35" t="n">
        <v>513</v>
      </c>
      <c r="F31" s="35" t="n">
        <v>444</v>
      </c>
      <c r="G31" s="35" t="n">
        <v>842</v>
      </c>
      <c r="H31" s="35" t="n">
        <v>200</v>
      </c>
      <c r="I31" s="35" t="n">
        <v>50</v>
      </c>
      <c r="J31" s="37" t="n">
        <f aca="false">IFERROR(E31/E$48,0)</f>
        <v>0.0087542662116041</v>
      </c>
      <c r="K31" s="37" t="n">
        <f aca="false">IFERROR(F31/F$48,0)</f>
        <v>0.0098950324262887</v>
      </c>
      <c r="L31" s="37" t="n">
        <f aca="false">IFERROR(G31/G$48,0)</f>
        <v>0.0132099152808284</v>
      </c>
      <c r="M31" s="37" t="n">
        <f aca="false">IFERROR(H31/H$48,0)</f>
        <v>0.0224946575188393</v>
      </c>
      <c r="N31" s="37" t="n">
        <f aca="false">①石川予測確定!R32</f>
        <v>0.013589594253543</v>
      </c>
      <c r="O31" s="83" t="n">
        <f aca="false">N31-L31</f>
        <v>0.000379678972714636</v>
      </c>
      <c r="P31" s="83" t="n">
        <f aca="false">L31-I31</f>
        <v>-49.9867900847192</v>
      </c>
      <c r="Q31" s="39" t="str">
        <f aca="false">IF(O31&gt;=0.005,"↑ 伸長",IF(O31&lt;=-0.005,"↓ 減退","→ 横ばい"))</f>
        <v>→ 横ばい</v>
      </c>
    </row>
    <row r="32" customFormat="false" ht="15" hidden="false" customHeight="false" outlineLevel="0" collapsed="false">
      <c r="A32" s="32" t="n">
        <v>27</v>
      </c>
      <c r="B32" s="32" t="s">
        <v>338</v>
      </c>
      <c r="C32" s="33" t="s">
        <v>339</v>
      </c>
      <c r="D32" s="35" t="n">
        <v>466</v>
      </c>
      <c r="E32" s="35" t="n">
        <v>103</v>
      </c>
      <c r="F32" s="35" t="n">
        <v>69</v>
      </c>
      <c r="G32" s="35" t="n">
        <v>145</v>
      </c>
      <c r="H32" s="35" t="n">
        <v>50</v>
      </c>
      <c r="I32" s="35" t="n">
        <v>13</v>
      </c>
      <c r="J32" s="37" t="n">
        <f aca="false">IFERROR(E32/E$48,0)</f>
        <v>0.00175767918088737</v>
      </c>
      <c r="K32" s="37" t="n">
        <f aca="false">IFERROR(F32/F$48,0)</f>
        <v>0.00153774152570703</v>
      </c>
      <c r="L32" s="37" t="n">
        <f aca="false">IFERROR(G32/G$48,0)</f>
        <v>0.00227486664574835</v>
      </c>
      <c r="M32" s="37" t="n">
        <f aca="false">IFERROR(H32/H$48,0)</f>
        <v>0.00562366437970982</v>
      </c>
      <c r="N32" s="37" t="n">
        <f aca="false">①石川予測確定!R33</f>
        <v>0.0034944670937682</v>
      </c>
      <c r="O32" s="83" t="n">
        <f aca="false">N32-L32</f>
        <v>0.00121960044801985</v>
      </c>
      <c r="P32" s="83" t="n">
        <f aca="false">L32-I32</f>
        <v>-12.9977251333543</v>
      </c>
      <c r="Q32" s="39" t="str">
        <f aca="false">IF(O32&gt;=0.005,"↑ 伸長",IF(O32&lt;=-0.005,"↓ 減退","→ 横ばい"))</f>
        <v>→ 横ばい</v>
      </c>
    </row>
    <row r="33" customFormat="false" ht="15" hidden="false" customHeight="false" outlineLevel="0" collapsed="false">
      <c r="A33" s="32" t="n">
        <v>28</v>
      </c>
      <c r="B33" s="32" t="s">
        <v>340</v>
      </c>
      <c r="C33" s="33" t="s">
        <v>341</v>
      </c>
      <c r="D33" s="35" t="n">
        <v>1034</v>
      </c>
      <c r="E33" s="35" t="n">
        <v>436</v>
      </c>
      <c r="F33" s="35" t="n">
        <v>333</v>
      </c>
      <c r="G33" s="35" t="n">
        <v>400</v>
      </c>
      <c r="H33" s="35" t="n">
        <v>300</v>
      </c>
      <c r="I33" s="35" t="n">
        <v>80</v>
      </c>
      <c r="J33" s="37" t="n">
        <f aca="false">IFERROR(E33/E$48,0)</f>
        <v>0.00744027303754266</v>
      </c>
      <c r="K33" s="37" t="n">
        <f aca="false">IFERROR(F33/F$48,0)</f>
        <v>0.00742127431971652</v>
      </c>
      <c r="L33" s="37" t="n">
        <f aca="false">IFERROR(G33/G$48,0)</f>
        <v>0.00627549419516787</v>
      </c>
      <c r="M33" s="37" t="n">
        <f aca="false">IFERROR(H33/H$48,0)</f>
        <v>0.0337419862782589</v>
      </c>
      <c r="N33" s="37" t="n">
        <f aca="false">①石川予測確定!R34</f>
        <v>0.0178606095903708</v>
      </c>
      <c r="O33" s="83" t="n">
        <f aca="false">N33-L33</f>
        <v>0.0115851153952029</v>
      </c>
      <c r="P33" s="83" t="n">
        <f aca="false">L33-I33</f>
        <v>-79.9937245058048</v>
      </c>
      <c r="Q33" s="39" t="str">
        <f aca="false">IF(O33&gt;=0.005,"↑ 伸長",IF(O33&lt;=-0.005,"↓ 減退","→ 横ばい"))</f>
        <v>↑ 伸長</v>
      </c>
    </row>
    <row r="34" customFormat="false" ht="15" hidden="false" customHeight="false" outlineLevel="0" collapsed="false">
      <c r="A34" s="32" t="n">
        <v>29</v>
      </c>
      <c r="B34" s="32" t="s">
        <v>342</v>
      </c>
      <c r="C34" s="33" t="s">
        <v>343</v>
      </c>
      <c r="D34" s="35" t="n">
        <v>794</v>
      </c>
      <c r="E34" s="35" t="n">
        <v>318</v>
      </c>
      <c r="F34" s="35" t="n">
        <v>249</v>
      </c>
      <c r="G34" s="35" t="n">
        <v>200</v>
      </c>
      <c r="H34" s="35" t="n">
        <v>160</v>
      </c>
      <c r="I34" s="35" t="n">
        <v>71</v>
      </c>
      <c r="J34" s="37" t="n">
        <f aca="false">IFERROR(E34/E$48,0)</f>
        <v>0.00542662116040956</v>
      </c>
      <c r="K34" s="37" t="n">
        <f aca="false">IFERROR(F34/F$48,0)</f>
        <v>0.00554924115798623</v>
      </c>
      <c r="L34" s="37" t="n">
        <f aca="false">IFERROR(G34/G$48,0)</f>
        <v>0.00313774709758393</v>
      </c>
      <c r="M34" s="37" t="n">
        <f aca="false">IFERROR(H34/H$48,0)</f>
        <v>0.0179957260150714</v>
      </c>
      <c r="N34" s="37" t="n">
        <f aca="false">①石川予測確定!R35</f>
        <v>0.0161133760434867</v>
      </c>
      <c r="O34" s="83" t="n">
        <f aca="false">N34-L34</f>
        <v>0.0129756289459028</v>
      </c>
      <c r="P34" s="83" t="n">
        <f aca="false">L34-I34</f>
        <v>-70.9968622529024</v>
      </c>
      <c r="Q34" s="39" t="str">
        <f aca="false">IF(O34&gt;=0.005,"↑ 伸長",IF(O34&lt;=-0.005,"↓ 減退","→ 横ばい"))</f>
        <v>↑ 伸長</v>
      </c>
    </row>
    <row r="35" customFormat="false" ht="15" hidden="false" customHeight="false" outlineLevel="0" collapsed="false">
      <c r="A35" s="32" t="n">
        <v>30</v>
      </c>
      <c r="B35" s="32" t="s">
        <v>344</v>
      </c>
      <c r="C35" s="33" t="s">
        <v>345</v>
      </c>
      <c r="D35" s="35" t="n">
        <v>615</v>
      </c>
      <c r="E35" s="35" t="n">
        <v>169</v>
      </c>
      <c r="F35" s="35" t="n">
        <v>89</v>
      </c>
      <c r="G35" s="35" t="n">
        <v>205</v>
      </c>
      <c r="H35" s="35" t="n">
        <v>72</v>
      </c>
      <c r="I35" s="35" t="n">
        <v>34</v>
      </c>
      <c r="J35" s="37" t="n">
        <f aca="false">IFERROR(E35/E$48,0)</f>
        <v>0.0028839590443686</v>
      </c>
      <c r="K35" s="37" t="n">
        <f aca="false">IFERROR(F35/F$48,0)</f>
        <v>0.00198346370707138</v>
      </c>
      <c r="L35" s="37" t="n">
        <f aca="false">IFERROR(G35/G$48,0)</f>
        <v>0.00321619077502353</v>
      </c>
      <c r="M35" s="37" t="n">
        <f aca="false">IFERROR(H35/H$48,0)</f>
        <v>0.00809807670678214</v>
      </c>
      <c r="N35" s="37" t="n">
        <f aca="false">①石川予測確定!R36</f>
        <v>0.0087361677344205</v>
      </c>
      <c r="O35" s="83" t="n">
        <f aca="false">N35-L35</f>
        <v>0.00551997695939697</v>
      </c>
      <c r="P35" s="83" t="n">
        <f aca="false">L35-I35</f>
        <v>-33.996783809225</v>
      </c>
      <c r="Q35" s="39" t="str">
        <f aca="false">IF(O35&gt;=0.005,"↑ 伸長",IF(O35&lt;=-0.005,"↓ 減退","→ 横ばい"))</f>
        <v>↑ 伸長</v>
      </c>
    </row>
    <row r="36" customFormat="false" ht="15" hidden="false" customHeight="false" outlineLevel="0" collapsed="false">
      <c r="A36" s="32" t="n">
        <v>31</v>
      </c>
      <c r="B36" s="32" t="s">
        <v>346</v>
      </c>
      <c r="C36" s="33" t="s">
        <v>347</v>
      </c>
      <c r="D36" s="35" t="n">
        <v>1215</v>
      </c>
      <c r="E36" s="35" t="n">
        <v>235</v>
      </c>
      <c r="F36" s="35" t="n">
        <v>178</v>
      </c>
      <c r="G36" s="35" t="n">
        <v>427</v>
      </c>
      <c r="H36" s="35" t="n">
        <v>101</v>
      </c>
      <c r="I36" s="35" t="n">
        <v>47</v>
      </c>
      <c r="J36" s="37" t="n">
        <f aca="false">IFERROR(E36/E$48,0)</f>
        <v>0.00401023890784983</v>
      </c>
      <c r="K36" s="37" t="n">
        <f aca="false">IFERROR(F36/F$48,0)</f>
        <v>0.00396692741414277</v>
      </c>
      <c r="L36" s="37" t="n">
        <f aca="false">IFERROR(G36/G$48,0)</f>
        <v>0.0066990900533417</v>
      </c>
      <c r="M36" s="37" t="n">
        <f aca="false">IFERROR(H36/H$48,0)</f>
        <v>0.0113598020470138</v>
      </c>
      <c r="N36" s="37" t="n">
        <f aca="false">①石川予測確定!R37</f>
        <v>0.0118423607066589</v>
      </c>
      <c r="O36" s="83" t="n">
        <f aca="false">N36-L36</f>
        <v>0.0051432706533172</v>
      </c>
      <c r="P36" s="83" t="n">
        <f aca="false">L36-I36</f>
        <v>-46.9933009099467</v>
      </c>
      <c r="Q36" s="39" t="str">
        <f aca="false">IF(O36&gt;=0.005,"↑ 伸長",IF(O36&lt;=-0.005,"↓ 減退","→ 横ばい"))</f>
        <v>↑ 伸長</v>
      </c>
    </row>
    <row r="37" customFormat="false" ht="15" hidden="false" customHeight="false" outlineLevel="0" collapsed="false">
      <c r="A37" s="32" t="n">
        <v>32</v>
      </c>
      <c r="B37" s="32" t="s">
        <v>348</v>
      </c>
      <c r="C37" s="33" t="s">
        <v>349</v>
      </c>
      <c r="D37" s="35" t="n">
        <v>47</v>
      </c>
      <c r="E37" s="35" t="n">
        <v>36</v>
      </c>
      <c r="F37" s="35" t="n">
        <v>30</v>
      </c>
      <c r="G37" s="35" t="n">
        <v>40</v>
      </c>
      <c r="H37" s="35" t="n">
        <v>10</v>
      </c>
      <c r="I37" s="35" t="n">
        <v>5</v>
      </c>
      <c r="J37" s="37" t="n">
        <f aca="false">IFERROR(E37/E$48,0)</f>
        <v>0.000614334470989761</v>
      </c>
      <c r="K37" s="37" t="n">
        <f aca="false">IFERROR(F37/F$48,0)</f>
        <v>0.000668583272046533</v>
      </c>
      <c r="L37" s="37" t="n">
        <f aca="false">IFERROR(G37/G$48,0)</f>
        <v>0.000627549419516787</v>
      </c>
      <c r="M37" s="37" t="n">
        <f aca="false">IFERROR(H37/H$48,0)</f>
        <v>0.00112473287594196</v>
      </c>
      <c r="N37" s="37" t="n">
        <f aca="false">①石川予測確定!R38</f>
        <v>0.0009706853038245</v>
      </c>
      <c r="O37" s="83" t="n">
        <f aca="false">N37-L37</f>
        <v>0.000343135884307713</v>
      </c>
      <c r="P37" s="83" t="n">
        <f aca="false">L37-I37</f>
        <v>-4.99937245058048</v>
      </c>
      <c r="Q37" s="39" t="str">
        <f aca="false">IF(O37&gt;=0.005,"↑ 伸長",IF(O37&lt;=-0.005,"↓ 減退","→ 横ばい"))</f>
        <v>→ 横ばい</v>
      </c>
    </row>
    <row r="38" customFormat="false" ht="15" hidden="false" customHeight="false" outlineLevel="0" collapsed="false">
      <c r="A38" s="32" t="n">
        <v>33</v>
      </c>
      <c r="B38" s="32" t="s">
        <v>350</v>
      </c>
      <c r="C38" s="33" t="s">
        <v>351</v>
      </c>
      <c r="D38" s="35" t="n">
        <v>10</v>
      </c>
      <c r="E38" s="35" t="n">
        <v>37</v>
      </c>
      <c r="F38" s="35" t="n">
        <v>14</v>
      </c>
      <c r="G38" s="35" t="n">
        <v>21</v>
      </c>
      <c r="H38" s="35" t="n">
        <v>3</v>
      </c>
      <c r="I38" s="35" t="n">
        <v>4</v>
      </c>
      <c r="J38" s="37" t="n">
        <f aca="false">IFERROR(E38/E$48,0)</f>
        <v>0.000631399317406143</v>
      </c>
      <c r="K38" s="37" t="n">
        <f aca="false">IFERROR(F38/F$48,0)</f>
        <v>0.000312005526955049</v>
      </c>
      <c r="L38" s="37" t="n">
        <f aca="false">IFERROR(G38/G$48,0)</f>
        <v>0.000329463445246313</v>
      </c>
      <c r="M38" s="37" t="n">
        <f aca="false">IFERROR(H38/H$48,0)</f>
        <v>0.000337419862782589</v>
      </c>
      <c r="N38" s="37" t="n">
        <f aca="false">①石川予測確定!R39</f>
        <v>0.0009706853038245</v>
      </c>
      <c r="O38" s="83" t="n">
        <f aca="false">N38-L38</f>
        <v>0.000641221858578187</v>
      </c>
      <c r="P38" s="83" t="n">
        <f aca="false">L38-I38</f>
        <v>-3.99967053655475</v>
      </c>
      <c r="Q38" s="39" t="str">
        <f aca="false">IF(O38&gt;=0.005,"↑ 伸長",IF(O38&lt;=-0.005,"↓ 減退","→ 横ばい"))</f>
        <v>→ 横ばい</v>
      </c>
    </row>
    <row r="39" customFormat="false" ht="15" hidden="false" customHeight="false" outlineLevel="0" collapsed="false">
      <c r="A39" s="32" t="n">
        <v>34</v>
      </c>
      <c r="B39" s="32" t="s">
        <v>352</v>
      </c>
      <c r="C39" s="33" t="s">
        <v>353</v>
      </c>
      <c r="D39" s="35" t="n">
        <v>10</v>
      </c>
      <c r="E39" s="35" t="n">
        <v>3</v>
      </c>
      <c r="F39" s="35" t="n">
        <v>3</v>
      </c>
      <c r="G39" s="35" t="n">
        <v>3</v>
      </c>
      <c r="H39" s="35" t="n">
        <v>2</v>
      </c>
      <c r="I39" s="35" t="n">
        <v>1</v>
      </c>
      <c r="J39" s="37" t="n">
        <f aca="false">IFERROR(E39/E$48,0)</f>
        <v>5.11945392491468E-005</v>
      </c>
      <c r="K39" s="37" t="n">
        <f aca="false">IFERROR(F39/F$48,0)</f>
        <v>6.68583272046533E-005</v>
      </c>
      <c r="L39" s="37" t="n">
        <f aca="false">IFERROR(G39/G$48,0)</f>
        <v>4.7066206463759E-005</v>
      </c>
      <c r="M39" s="37" t="n">
        <f aca="false">IFERROR(H39/H$48,0)</f>
        <v>0.000224946575188393</v>
      </c>
      <c r="N39" s="37" t="n">
        <f aca="false">①石川予測確定!R40</f>
        <v>0.0001941370607649</v>
      </c>
      <c r="O39" s="83" t="n">
        <f aca="false">N39-L39</f>
        <v>0.000147070854301141</v>
      </c>
      <c r="P39" s="83" t="n">
        <f aca="false">L39-I39</f>
        <v>-0.999952933793536</v>
      </c>
      <c r="Q39" s="39" t="str">
        <f aca="false">IF(O39&gt;=0.005,"↑ 伸長",IF(O39&lt;=-0.005,"↓ 減退","→ 横ばい"))</f>
        <v>→ 横ばい</v>
      </c>
    </row>
    <row r="40" customFormat="false" ht="15" hidden="false" customHeight="false" outlineLevel="0" collapsed="false">
      <c r="A40" s="32" t="n">
        <v>35</v>
      </c>
      <c r="B40" s="32" t="s">
        <v>354</v>
      </c>
      <c r="C40" s="33" t="s">
        <v>355</v>
      </c>
      <c r="D40" s="35" t="n">
        <v>10</v>
      </c>
      <c r="E40" s="35" t="n">
        <v>3</v>
      </c>
      <c r="F40" s="35" t="n">
        <v>3</v>
      </c>
      <c r="G40" s="35" t="n">
        <v>3</v>
      </c>
      <c r="H40" s="35" t="n">
        <v>1</v>
      </c>
      <c r="I40" s="35" t="n">
        <v>1</v>
      </c>
      <c r="J40" s="37" t="n">
        <f aca="false">IFERROR(E40/E$48,0)</f>
        <v>5.11945392491468E-005</v>
      </c>
      <c r="K40" s="37" t="n">
        <f aca="false">IFERROR(F40/F$48,0)</f>
        <v>6.68583272046533E-005</v>
      </c>
      <c r="L40" s="37" t="n">
        <f aca="false">IFERROR(G40/G$48,0)</f>
        <v>4.7066206463759E-005</v>
      </c>
      <c r="M40" s="37" t="n">
        <f aca="false">IFERROR(H40/H$48,0)</f>
        <v>0.000112473287594196</v>
      </c>
      <c r="N40" s="37" t="n">
        <f aca="false">①石川予測確定!R41</f>
        <v>0.0001941370607649</v>
      </c>
      <c r="O40" s="83" t="n">
        <f aca="false">N40-L40</f>
        <v>0.000147070854301141</v>
      </c>
      <c r="P40" s="83" t="n">
        <f aca="false">L40-I40</f>
        <v>-0.999952933793536</v>
      </c>
      <c r="Q40" s="39" t="str">
        <f aca="false">IF(O40&gt;=0.005,"↑ 伸長",IF(O40&lt;=-0.005,"↓ 減退","→ 横ばい"))</f>
        <v>→ 横ばい</v>
      </c>
    </row>
    <row r="41" customFormat="false" ht="15" hidden="false" customHeight="false" outlineLevel="0" collapsed="false">
      <c r="A41" s="32" t="n">
        <v>36</v>
      </c>
      <c r="B41" s="32" t="s">
        <v>356</v>
      </c>
      <c r="C41" s="33" t="s">
        <v>357</v>
      </c>
      <c r="D41" s="35" t="n">
        <v>8</v>
      </c>
      <c r="E41" s="35" t="n">
        <v>3</v>
      </c>
      <c r="F41" s="35" t="n">
        <v>3</v>
      </c>
      <c r="G41" s="35" t="n">
        <v>3</v>
      </c>
      <c r="H41" s="35" t="n">
        <v>1</v>
      </c>
      <c r="I41" s="35" t="n">
        <v>1</v>
      </c>
      <c r="J41" s="37" t="n">
        <f aca="false">IFERROR(E41/E$48,0)</f>
        <v>5.11945392491468E-005</v>
      </c>
      <c r="K41" s="37" t="n">
        <f aca="false">IFERROR(F41/F$48,0)</f>
        <v>6.68583272046533E-005</v>
      </c>
      <c r="L41" s="37" t="n">
        <f aca="false">IFERROR(G41/G$48,0)</f>
        <v>4.7066206463759E-005</v>
      </c>
      <c r="M41" s="37" t="n">
        <f aca="false">IFERROR(H41/H$48,0)</f>
        <v>0.000112473287594196</v>
      </c>
      <c r="N41" s="37" t="n">
        <f aca="false">①石川予測確定!R42</f>
        <v>0.0001941370607649</v>
      </c>
      <c r="O41" s="83" t="n">
        <f aca="false">N41-L41</f>
        <v>0.000147070854301141</v>
      </c>
      <c r="P41" s="83" t="n">
        <f aca="false">L41-I41</f>
        <v>-0.999952933793536</v>
      </c>
      <c r="Q41" s="39" t="str">
        <f aca="false">IF(O41&gt;=0.005,"↑ 伸長",IF(O41&lt;=-0.005,"↓ 減退","→ 横ばい"))</f>
        <v>→ 横ばい</v>
      </c>
    </row>
    <row r="42" customFormat="false" ht="15" hidden="false" customHeight="false" outlineLevel="0" collapsed="false">
      <c r="A42" s="32" t="n">
        <v>37</v>
      </c>
      <c r="B42" s="32" t="s">
        <v>358</v>
      </c>
      <c r="C42" s="33" t="s">
        <v>359</v>
      </c>
      <c r="D42" s="35" t="n">
        <v>10</v>
      </c>
      <c r="E42" s="35" t="n">
        <v>19</v>
      </c>
      <c r="F42" s="35" t="n">
        <v>12</v>
      </c>
      <c r="G42" s="35" t="n">
        <v>26</v>
      </c>
      <c r="H42" s="35" t="n">
        <v>1</v>
      </c>
      <c r="I42" s="35" t="n">
        <v>4</v>
      </c>
      <c r="J42" s="37" t="n">
        <f aca="false">IFERROR(E42/E$48,0)</f>
        <v>0.000324232081911263</v>
      </c>
      <c r="K42" s="37" t="n">
        <f aca="false">IFERROR(F42/F$48,0)</f>
        <v>0.000267433308818613</v>
      </c>
      <c r="L42" s="37" t="n">
        <f aca="false">IFERROR(G42/G$48,0)</f>
        <v>0.000407907122685912</v>
      </c>
      <c r="M42" s="37" t="n">
        <f aca="false">IFERROR(H42/H$48,0)</f>
        <v>0.000112473287594196</v>
      </c>
      <c r="N42" s="37" t="n">
        <f aca="false">①石川予測確定!R43</f>
        <v>0.0009706853038245</v>
      </c>
      <c r="O42" s="83" t="n">
        <f aca="false">N42-L42</f>
        <v>0.000562778181138589</v>
      </c>
      <c r="P42" s="83" t="n">
        <f aca="false">L42-I42</f>
        <v>-3.99959209287731</v>
      </c>
      <c r="Q42" s="39" t="str">
        <f aca="false">IF(O42&gt;=0.005,"↑ 伸長",IF(O42&lt;=-0.005,"↓ 減退","→ 横ばい"))</f>
        <v>→ 横ばい</v>
      </c>
    </row>
    <row r="43" customFormat="false" ht="15" hidden="false" customHeight="false" outlineLevel="0" collapsed="false">
      <c r="A43" s="32" t="n">
        <v>38</v>
      </c>
      <c r="B43" s="32" t="s">
        <v>360</v>
      </c>
      <c r="C43" s="33" t="s">
        <v>361</v>
      </c>
      <c r="D43" s="35" t="n">
        <v>10</v>
      </c>
      <c r="E43" s="35" t="n">
        <v>3</v>
      </c>
      <c r="F43" s="35" t="n">
        <v>3</v>
      </c>
      <c r="G43" s="35" t="n">
        <v>3</v>
      </c>
      <c r="H43" s="35" t="n">
        <v>2</v>
      </c>
      <c r="I43" s="35" t="n">
        <v>1</v>
      </c>
      <c r="J43" s="37" t="n">
        <f aca="false">IFERROR(E43/E$48,0)</f>
        <v>5.11945392491468E-005</v>
      </c>
      <c r="K43" s="37" t="n">
        <f aca="false">IFERROR(F43/F$48,0)</f>
        <v>6.68583272046533E-005</v>
      </c>
      <c r="L43" s="37" t="n">
        <f aca="false">IFERROR(G43/G$48,0)</f>
        <v>4.7066206463759E-005</v>
      </c>
      <c r="M43" s="37" t="n">
        <f aca="false">IFERROR(H43/H$48,0)</f>
        <v>0.000224946575188393</v>
      </c>
      <c r="N43" s="37" t="n">
        <f aca="false">①石川予測確定!R44</f>
        <v>0.0001941370607649</v>
      </c>
      <c r="O43" s="83" t="n">
        <f aca="false">N43-L43</f>
        <v>0.000147070854301141</v>
      </c>
      <c r="P43" s="83" t="n">
        <f aca="false">L43-I43</f>
        <v>-0.999952933793536</v>
      </c>
      <c r="Q43" s="39" t="str">
        <f aca="false">IF(O43&gt;=0.005,"↑ 伸長",IF(O43&lt;=-0.005,"↓ 減退","→ 横ばい"))</f>
        <v>→ 横ばい</v>
      </c>
    </row>
    <row r="44" customFormat="false" ht="15" hidden="false" customHeight="false" outlineLevel="0" collapsed="false">
      <c r="A44" s="32" t="n">
        <v>39</v>
      </c>
      <c r="B44" s="32" t="s">
        <v>362</v>
      </c>
      <c r="C44" s="33" t="s">
        <v>363</v>
      </c>
      <c r="D44" s="35" t="n">
        <v>10</v>
      </c>
      <c r="E44" s="35" t="n">
        <v>3</v>
      </c>
      <c r="F44" s="35" t="n">
        <v>2</v>
      </c>
      <c r="G44" s="35" t="n">
        <v>3</v>
      </c>
      <c r="H44" s="35" t="n">
        <v>2</v>
      </c>
      <c r="I44" s="35" t="n">
        <v>1</v>
      </c>
      <c r="J44" s="37" t="n">
        <f aca="false">IFERROR(E44/E$48,0)</f>
        <v>5.11945392491468E-005</v>
      </c>
      <c r="K44" s="37" t="n">
        <f aca="false">IFERROR(F44/F$48,0)</f>
        <v>4.45722181364356E-005</v>
      </c>
      <c r="L44" s="37" t="n">
        <f aca="false">IFERROR(G44/G$48,0)</f>
        <v>4.7066206463759E-005</v>
      </c>
      <c r="M44" s="37" t="n">
        <f aca="false">IFERROR(H44/H$48,0)</f>
        <v>0.000224946575188393</v>
      </c>
      <c r="N44" s="37" t="n">
        <f aca="false">①石川予測確定!R45</f>
        <v>0.0003882741215298</v>
      </c>
      <c r="O44" s="83" t="n">
        <f aca="false">N44-L44</f>
        <v>0.000341207915066041</v>
      </c>
      <c r="P44" s="83" t="n">
        <f aca="false">L44-I44</f>
        <v>-0.999952933793536</v>
      </c>
      <c r="Q44" s="39" t="str">
        <f aca="false">IF(O44&gt;=0.005,"↑ 伸長",IF(O44&lt;=-0.005,"↓ 減退","→ 横ばい"))</f>
        <v>→ 横ばい</v>
      </c>
    </row>
    <row r="45" customFormat="false" ht="15" hidden="false" customHeight="false" outlineLevel="0" collapsed="false">
      <c r="A45" s="32" t="n">
        <v>40</v>
      </c>
      <c r="B45" s="32" t="s">
        <v>364</v>
      </c>
      <c r="C45" s="33" t="s">
        <v>365</v>
      </c>
      <c r="D45" s="35" t="n">
        <v>8</v>
      </c>
      <c r="E45" s="35" t="n">
        <v>3</v>
      </c>
      <c r="F45" s="35" t="n">
        <v>3</v>
      </c>
      <c r="G45" s="35" t="n">
        <v>3</v>
      </c>
      <c r="H45" s="35" t="n">
        <v>0</v>
      </c>
      <c r="I45" s="35" t="n">
        <v>1</v>
      </c>
      <c r="J45" s="37" t="n">
        <f aca="false">IFERROR(E45/E$48,0)</f>
        <v>5.11945392491468E-005</v>
      </c>
      <c r="K45" s="37" t="n">
        <f aca="false">IFERROR(F45/F$48,0)</f>
        <v>6.68583272046533E-005</v>
      </c>
      <c r="L45" s="37" t="n">
        <f aca="false">IFERROR(G45/G$48,0)</f>
        <v>4.7066206463759E-005</v>
      </c>
      <c r="M45" s="37" t="n">
        <f aca="false">IFERROR(H45/H$48,0)</f>
        <v>0</v>
      </c>
      <c r="N45" s="37" t="n">
        <f aca="false">①石川予測確定!R46</f>
        <v>0.0001941370607649</v>
      </c>
      <c r="O45" s="83" t="n">
        <f aca="false">N45-L45</f>
        <v>0.000147070854301141</v>
      </c>
      <c r="P45" s="83" t="n">
        <f aca="false">L45-I45</f>
        <v>-0.999952933793536</v>
      </c>
      <c r="Q45" s="39" t="str">
        <f aca="false">IF(O45&gt;=0.005,"↑ 伸長",IF(O45&lt;=-0.005,"↓ 減退","→ 横ばい"))</f>
        <v>→ 横ばい</v>
      </c>
    </row>
    <row r="46" customFormat="false" ht="15" hidden="false" customHeight="false" outlineLevel="0" collapsed="false">
      <c r="A46" s="32" t="n">
        <v>41</v>
      </c>
      <c r="B46" s="32" t="s">
        <v>366</v>
      </c>
      <c r="C46" s="33" t="s">
        <v>367</v>
      </c>
      <c r="D46" s="35" t="n">
        <v>12</v>
      </c>
      <c r="E46" s="35" t="n">
        <v>5</v>
      </c>
      <c r="F46" s="35" t="n">
        <v>1</v>
      </c>
      <c r="G46" s="35" t="n">
        <v>2</v>
      </c>
      <c r="H46" s="35" t="n">
        <v>0</v>
      </c>
      <c r="I46" s="35" t="n">
        <v>0</v>
      </c>
      <c r="J46" s="37" t="n">
        <f aca="false">IFERROR(E46/E$48,0)</f>
        <v>8.53242320819113E-005</v>
      </c>
      <c r="K46" s="37" t="n">
        <f aca="false">IFERROR(F46/F$48,0)</f>
        <v>2.22861090682178E-005</v>
      </c>
      <c r="L46" s="37" t="n">
        <f aca="false">IFERROR(G46/G$48,0)</f>
        <v>3.13774709758394E-005</v>
      </c>
      <c r="M46" s="37" t="n">
        <f aca="false">IFERROR(H46/H$48,0)</f>
        <v>0</v>
      </c>
      <c r="N46" s="37" t="n">
        <f aca="false">①石川予測確定!R47</f>
        <v>0</v>
      </c>
      <c r="O46" s="83" t="n">
        <f aca="false">N46-L46</f>
        <v>-3.13774709758394E-005</v>
      </c>
      <c r="P46" s="83" t="n">
        <f aca="false">L46-I46</f>
        <v>3.13774709758394E-005</v>
      </c>
      <c r="Q46" s="39" t="str">
        <f aca="false">IF(O46&gt;=0.005,"↑ 伸長",IF(O46&lt;=-0.005,"↓ 減退","→ 横ばい"))</f>
        <v>→ 横ばい</v>
      </c>
    </row>
    <row r="47" customFormat="false" ht="15" hidden="false" customHeight="false" outlineLevel="0" collapsed="false">
      <c r="A47" s="32" t="n">
        <v>42</v>
      </c>
      <c r="B47" s="32" t="s">
        <v>368</v>
      </c>
      <c r="C47" s="33" t="s">
        <v>369</v>
      </c>
      <c r="D47" s="35" t="n">
        <v>24</v>
      </c>
      <c r="E47" s="35" t="n">
        <v>8</v>
      </c>
      <c r="F47" s="35" t="n">
        <v>3</v>
      </c>
      <c r="G47" s="35" t="n">
        <v>8</v>
      </c>
      <c r="H47" s="35" t="n">
        <v>1</v>
      </c>
      <c r="I47" s="35" t="n">
        <v>0</v>
      </c>
      <c r="J47" s="37" t="n">
        <f aca="false">IFERROR(E47/E$48,0)</f>
        <v>0.000136518771331058</v>
      </c>
      <c r="K47" s="37" t="n">
        <f aca="false">IFERROR(F47/F$48,0)</f>
        <v>6.68583272046533E-005</v>
      </c>
      <c r="L47" s="37" t="n">
        <f aca="false">IFERROR(G47/G$48,0)</f>
        <v>0.000125509883903357</v>
      </c>
      <c r="M47" s="37" t="n">
        <f aca="false">IFERROR(H47/H$48,0)</f>
        <v>0.000112473287594196</v>
      </c>
      <c r="N47" s="37" t="n">
        <f aca="false">①石川予測確定!R48</f>
        <v>0</v>
      </c>
      <c r="O47" s="83" t="n">
        <f aca="false">N47-L47</f>
        <v>-0.000125509883903357</v>
      </c>
      <c r="P47" s="83" t="n">
        <f aca="false">L47-I47</f>
        <v>0.000125509883903357</v>
      </c>
      <c r="Q47" s="39" t="str">
        <f aca="false">IF(O47&gt;=0.005,"↑ 伸長",IF(O47&lt;=-0.005,"↓ 減退","→ 横ばい"))</f>
        <v>→ 横ばい</v>
      </c>
    </row>
    <row r="48" customFormat="false" ht="15" hidden="false" customHeight="false" outlineLevel="0" collapsed="false">
      <c r="A48" s="40"/>
      <c r="B48" s="40"/>
      <c r="C48" s="41" t="s">
        <v>370</v>
      </c>
      <c r="D48" s="42" t="n">
        <f aca="false">SUM(D6:D47)</f>
        <v>148185</v>
      </c>
      <c r="E48" s="42" t="n">
        <f aca="false">SUM(E6:E47)</f>
        <v>58600</v>
      </c>
      <c r="F48" s="42" t="n">
        <f aca="false">SUM(F6:F47)</f>
        <v>44871</v>
      </c>
      <c r="G48" s="42" t="n">
        <f aca="false">SUM(G6:G47)</f>
        <v>63740</v>
      </c>
      <c r="H48" s="42" t="n">
        <f aca="false">SUM(H6:H47)</f>
        <v>8891</v>
      </c>
      <c r="I48" s="42" t="n">
        <f aca="false">SUM(I6:I47)</f>
        <v>4022</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587</v>
      </c>
    </row>
    <row r="2" customFormat="false" ht="15" hidden="false" customHeight="false" outlineLevel="0" collapsed="false">
      <c r="A2" s="3" t="s">
        <v>588</v>
      </c>
    </row>
    <row r="4" customFormat="false" ht="15" hidden="false" customHeight="false" outlineLevel="0" collapsed="false">
      <c r="A4" s="4" t="s">
        <v>589</v>
      </c>
    </row>
    <row r="5" customFormat="false" ht="15" hidden="false" customHeight="false" outlineLevel="0" collapsed="false">
      <c r="A5" s="18" t="s">
        <v>590</v>
      </c>
    </row>
    <row r="6" customFormat="false" ht="15" hidden="false" customHeight="false" outlineLevel="0" collapsed="false">
      <c r="A6" s="18" t="s">
        <v>591</v>
      </c>
    </row>
    <row r="7" customFormat="false" ht="15" hidden="false" customHeight="false" outlineLevel="0" collapsed="false">
      <c r="A7" s="18" t="s">
        <v>592</v>
      </c>
    </row>
    <row r="8" customFormat="false" ht="15" hidden="false" customHeight="false" outlineLevel="0" collapsed="false">
      <c r="A8" s="18" t="s">
        <v>593</v>
      </c>
    </row>
    <row r="10" customFormat="false" ht="15" hidden="false" customHeight="false" outlineLevel="0" collapsed="false">
      <c r="A10" s="4" t="s">
        <v>594</v>
      </c>
    </row>
    <row r="11" customFormat="false" ht="31.5" hidden="false" customHeight="true" outlineLevel="0" collapsed="false">
      <c r="A11" s="26" t="s">
        <v>414</v>
      </c>
      <c r="B11" s="47" t="s">
        <v>376</v>
      </c>
      <c r="C11" s="48" t="s">
        <v>377</v>
      </c>
      <c r="D11" s="28" t="s">
        <v>378</v>
      </c>
      <c r="E11" s="29" t="s">
        <v>379</v>
      </c>
      <c r="F11" s="30" t="s">
        <v>380</v>
      </c>
      <c r="G11" s="31" t="s">
        <v>595</v>
      </c>
      <c r="H11" s="31" t="s">
        <v>596</v>
      </c>
      <c r="I11" s="68" t="s">
        <v>597</v>
      </c>
    </row>
    <row r="12" customFormat="false" ht="15" hidden="false" customHeight="false" outlineLevel="0" collapsed="false">
      <c r="A12" s="52" t="s">
        <v>415</v>
      </c>
      <c r="B12" s="34" t="n">
        <v>2159</v>
      </c>
      <c r="C12" s="34" t="n">
        <v>2099</v>
      </c>
      <c r="D12" s="34" t="n">
        <v>1634</v>
      </c>
      <c r="E12" s="34" t="n">
        <v>1455</v>
      </c>
      <c r="F12" s="34" t="n">
        <v>703</v>
      </c>
      <c r="G12" s="84" t="n">
        <f aca="false">E12-C12</f>
        <v>-644</v>
      </c>
      <c r="H12" s="85" t="n">
        <f aca="false">IFERROR(G12/C12,"")</f>
        <v>-0.306812767984755</v>
      </c>
      <c r="I12" s="33" t="s">
        <v>598</v>
      </c>
    </row>
    <row r="13" customFormat="false" ht="15" hidden="false" customHeight="false" outlineLevel="0" collapsed="false">
      <c r="A13" s="50" t="s">
        <v>416</v>
      </c>
      <c r="B13" s="34" t="n">
        <v>4039</v>
      </c>
      <c r="C13" s="34" t="n">
        <v>2464</v>
      </c>
      <c r="D13" s="34" t="n">
        <v>1784</v>
      </c>
      <c r="E13" s="34" t="n">
        <v>2883</v>
      </c>
      <c r="F13" s="34" t="n">
        <v>1565</v>
      </c>
      <c r="G13" s="84" t="n">
        <f aca="false">E13-C13</f>
        <v>419</v>
      </c>
      <c r="H13" s="85" t="n">
        <f aca="false">IFERROR(G13/C13,"")</f>
        <v>0.170048701298701</v>
      </c>
      <c r="I13" s="33" t="s">
        <v>599</v>
      </c>
    </row>
    <row r="14" customFormat="false" ht="15" hidden="false" customHeight="false" outlineLevel="0" collapsed="false">
      <c r="A14" s="50" t="s">
        <v>417</v>
      </c>
      <c r="B14" s="34" t="n">
        <v>697</v>
      </c>
      <c r="C14" s="34" t="n">
        <v>549</v>
      </c>
      <c r="D14" s="34" t="n">
        <v>435</v>
      </c>
      <c r="E14" s="34" t="n">
        <v>1047</v>
      </c>
      <c r="F14" s="34" t="n">
        <v>674</v>
      </c>
      <c r="G14" s="84" t="n">
        <f aca="false">E14-C14</f>
        <v>498</v>
      </c>
      <c r="H14" s="85" t="n">
        <f aca="false">IFERROR(G14/C14,"")</f>
        <v>0.907103825136612</v>
      </c>
      <c r="I14" s="33" t="s">
        <v>600</v>
      </c>
    </row>
    <row r="15" customFormat="false" ht="15" hidden="false" customHeight="false" outlineLevel="0" collapsed="false">
      <c r="A15" s="52" t="s">
        <v>418</v>
      </c>
      <c r="B15" s="34" t="n">
        <v>0</v>
      </c>
      <c r="C15" s="34" t="n">
        <v>1656</v>
      </c>
      <c r="D15" s="34" t="n">
        <v>1292</v>
      </c>
      <c r="E15" s="34" t="n">
        <v>984</v>
      </c>
      <c r="F15" s="34" t="n">
        <v>742</v>
      </c>
      <c r="G15" s="84" t="n">
        <f aca="false">E15-C15</f>
        <v>-672</v>
      </c>
      <c r="H15" s="85" t="n">
        <f aca="false">IFERROR(G15/C15,"")</f>
        <v>-0.405797101449275</v>
      </c>
      <c r="I15" s="55" t="s">
        <v>601</v>
      </c>
    </row>
    <row r="16" customFormat="false" ht="15" hidden="false" customHeight="false" outlineLevel="0" collapsed="false">
      <c r="A16" s="52" t="s">
        <v>419</v>
      </c>
      <c r="B16" s="34" t="n">
        <v>252</v>
      </c>
      <c r="C16" s="34" t="n">
        <v>244</v>
      </c>
      <c r="D16" s="34" t="n">
        <v>412</v>
      </c>
      <c r="E16" s="34" t="n">
        <v>512</v>
      </c>
      <c r="F16" s="34" t="n">
        <v>320</v>
      </c>
      <c r="G16" s="84" t="n">
        <f aca="false">E16-C16</f>
        <v>268</v>
      </c>
      <c r="H16" s="85" t="n">
        <f aca="false">IFERROR(G16/C16,"")</f>
        <v>1.09836065573771</v>
      </c>
      <c r="I16" s="33" t="s">
        <v>602</v>
      </c>
    </row>
    <row r="17" customFormat="false" ht="15" hidden="false" customHeight="false" outlineLevel="0" collapsed="false">
      <c r="A17" s="50" t="s">
        <v>420</v>
      </c>
      <c r="B17" s="34" t="n">
        <v>420</v>
      </c>
      <c r="C17" s="34" t="n">
        <v>0</v>
      </c>
      <c r="D17" s="34" t="n">
        <v>0</v>
      </c>
      <c r="E17" s="34" t="n">
        <v>0</v>
      </c>
      <c r="F17" s="34" t="n">
        <v>0</v>
      </c>
      <c r="G17" s="84" t="n">
        <f aca="false">E17-C17</f>
        <v>0</v>
      </c>
      <c r="H17" s="85" t="str">
        <f aca="false">IFERROR(G17/C17,"")</f>
        <v/>
      </c>
      <c r="I17" s="33" t="s">
        <v>603</v>
      </c>
    </row>
    <row r="18" customFormat="false" ht="15" hidden="false" customHeight="false" outlineLevel="0" collapsed="false">
      <c r="A18" s="41" t="s">
        <v>604</v>
      </c>
      <c r="B18" s="44" t="n">
        <v>7567</v>
      </c>
      <c r="C18" s="44" t="n">
        <v>7012</v>
      </c>
      <c r="D18" s="44" t="n">
        <v>5557</v>
      </c>
      <c r="E18" s="44" t="n">
        <v>6882</v>
      </c>
      <c r="F18" s="44" t="n">
        <v>4004</v>
      </c>
      <c r="G18" s="86" t="n">
        <f aca="false">E18-C18</f>
        <v>-130</v>
      </c>
      <c r="H18" s="87" t="n">
        <f aca="false">IFERROR(G18/C18,"")</f>
        <v>-0.0185396463205933</v>
      </c>
      <c r="I18" s="41" t="s">
        <v>605</v>
      </c>
    </row>
    <row r="20" customFormat="false" ht="15" hidden="false" customHeight="false" outlineLevel="0" collapsed="false">
      <c r="A20" s="4" t="s">
        <v>606</v>
      </c>
    </row>
    <row r="21" customFormat="false" ht="31.5" hidden="false" customHeight="true" outlineLevel="0" collapsed="false">
      <c r="A21" s="26" t="s">
        <v>424</v>
      </c>
      <c r="B21" s="26" t="s">
        <v>426</v>
      </c>
      <c r="C21" s="26" t="s">
        <v>607</v>
      </c>
      <c r="D21" s="25" t="s">
        <v>608</v>
      </c>
      <c r="E21" s="25" t="s">
        <v>609</v>
      </c>
      <c r="F21" s="26" t="s">
        <v>610</v>
      </c>
      <c r="G21" s="26" t="s">
        <v>611</v>
      </c>
    </row>
    <row r="22" customFormat="false" ht="25.35" hidden="false" customHeight="false" outlineLevel="0" collapsed="false">
      <c r="A22" s="54" t="s">
        <v>376</v>
      </c>
      <c r="B22" s="35" t="n">
        <v>332</v>
      </c>
      <c r="C22" s="34" t="n">
        <v>7567</v>
      </c>
      <c r="D22" s="34" t="n">
        <v>2159</v>
      </c>
      <c r="E22" s="84"/>
      <c r="F22" s="34" t="n">
        <v>7567</v>
      </c>
      <c r="G22" s="69" t="s">
        <v>612</v>
      </c>
    </row>
    <row r="23" customFormat="false" ht="49.25" hidden="false" customHeight="false" outlineLevel="0" collapsed="false">
      <c r="A23" s="54" t="s">
        <v>377</v>
      </c>
      <c r="B23" s="35" t="n">
        <v>85</v>
      </c>
      <c r="C23" s="34" t="n">
        <v>1480</v>
      </c>
      <c r="D23" s="34" t="n">
        <v>2099</v>
      </c>
      <c r="E23" s="84" t="n">
        <f aca="false">D23-D22</f>
        <v>-60</v>
      </c>
      <c r="F23" s="34" t="n">
        <v>7012</v>
      </c>
      <c r="G23" s="72" t="s">
        <v>613</v>
      </c>
    </row>
    <row r="24" customFormat="false" ht="73.1" hidden="false" customHeight="false" outlineLevel="0" collapsed="false">
      <c r="A24" s="54" t="s">
        <v>378</v>
      </c>
      <c r="B24" s="35" t="n">
        <v>19</v>
      </c>
      <c r="C24" s="34" t="n">
        <v>712</v>
      </c>
      <c r="D24" s="34" t="n">
        <v>1634</v>
      </c>
      <c r="E24" s="84" t="n">
        <f aca="false">D24-D23</f>
        <v>-465</v>
      </c>
      <c r="F24" s="34" t="n">
        <v>5557</v>
      </c>
      <c r="G24" s="69" t="s">
        <v>614</v>
      </c>
    </row>
    <row r="25" customFormat="false" ht="85.05" hidden="false" customHeight="false" outlineLevel="0" collapsed="false">
      <c r="A25" s="54" t="s">
        <v>379</v>
      </c>
      <c r="B25" s="35" t="n">
        <v>106</v>
      </c>
      <c r="C25" s="34" t="n">
        <v>1360</v>
      </c>
      <c r="D25" s="34" t="n">
        <v>1455</v>
      </c>
      <c r="E25" s="84" t="n">
        <f aca="false">D25-D24</f>
        <v>-179</v>
      </c>
      <c r="F25" s="34" t="n">
        <v>6882</v>
      </c>
      <c r="G25" s="69" t="s">
        <v>615</v>
      </c>
    </row>
    <row r="26" customFormat="false" ht="25.35" hidden="false" customHeight="false" outlineLevel="0" collapsed="false">
      <c r="A26" s="54" t="s">
        <v>380</v>
      </c>
      <c r="B26" s="35" t="n">
        <v>0</v>
      </c>
      <c r="C26" s="34" t="n">
        <v>0</v>
      </c>
      <c r="D26" s="34" t="n">
        <v>703</v>
      </c>
      <c r="E26" s="84" t="n">
        <f aca="false">D26-D25</f>
        <v>-752</v>
      </c>
      <c r="F26" s="34" t="n">
        <v>4004</v>
      </c>
      <c r="G26" s="69" t="s">
        <v>616</v>
      </c>
    </row>
    <row r="27" customFormat="false" ht="25.35" hidden="false" customHeight="false" outlineLevel="0" collapsed="false">
      <c r="A27" s="54" t="s">
        <v>381</v>
      </c>
      <c r="B27" s="35" t="n">
        <v>0</v>
      </c>
      <c r="C27" s="34" t="n">
        <v>0</v>
      </c>
      <c r="D27" s="34" t="n">
        <v>639</v>
      </c>
      <c r="E27" s="84" t="n">
        <f aca="false">D27-D26</f>
        <v>-64</v>
      </c>
      <c r="F27" s="34" t="n">
        <v>3713</v>
      </c>
      <c r="G27" s="69" t="s">
        <v>616</v>
      </c>
    </row>
    <row r="30" customFormat="false" ht="15" hidden="false" customHeight="false" outlineLevel="0" collapsed="false">
      <c r="A30" s="88" t="s">
        <v>617</v>
      </c>
    </row>
    <row r="31" customFormat="false" ht="31.5" hidden="false" customHeight="true" outlineLevel="0" collapsed="false">
      <c r="A31" s="25" t="s">
        <v>618</v>
      </c>
      <c r="B31" s="47" t="s">
        <v>376</v>
      </c>
      <c r="C31" s="48" t="s">
        <v>377</v>
      </c>
      <c r="D31" s="28" t="s">
        <v>378</v>
      </c>
      <c r="E31" s="29" t="s">
        <v>379</v>
      </c>
      <c r="F31" s="30" t="s">
        <v>380</v>
      </c>
      <c r="G31" s="31" t="s">
        <v>595</v>
      </c>
      <c r="H31" s="89" t="s">
        <v>619</v>
      </c>
      <c r="I31" s="31" t="s">
        <v>620</v>
      </c>
    </row>
    <row r="32" customFormat="false" ht="25.35" hidden="false" customHeight="false" outlineLevel="0" collapsed="false">
      <c r="A32" s="50" t="s">
        <v>621</v>
      </c>
      <c r="B32" s="34" t="n">
        <v>632</v>
      </c>
      <c r="C32" s="34" t="n">
        <v>801</v>
      </c>
      <c r="D32" s="34" t="n">
        <v>722</v>
      </c>
      <c r="E32" s="34" t="n">
        <v>529</v>
      </c>
      <c r="F32" s="34" t="n">
        <v>85</v>
      </c>
      <c r="G32" s="84" t="n">
        <f aca="false">E32-C32</f>
        <v>-272</v>
      </c>
      <c r="H32" s="37" t="n">
        <f aca="false">IFERROR(G32/G$39,"")</f>
        <v>0.423017107309487</v>
      </c>
      <c r="I32" s="69" t="s">
        <v>622</v>
      </c>
    </row>
    <row r="33" customFormat="false" ht="25.35" hidden="false" customHeight="false" outlineLevel="0" collapsed="false">
      <c r="A33" s="50" t="s">
        <v>623</v>
      </c>
      <c r="B33" s="34" t="n">
        <v>712</v>
      </c>
      <c r="C33" s="34" t="n">
        <v>662</v>
      </c>
      <c r="D33" s="34" t="n">
        <v>442</v>
      </c>
      <c r="E33" s="34" t="n">
        <v>378</v>
      </c>
      <c r="F33" s="34" t="n">
        <v>198</v>
      </c>
      <c r="G33" s="84" t="n">
        <f aca="false">E33-C33</f>
        <v>-284</v>
      </c>
      <c r="H33" s="37" t="n">
        <f aca="false">IFERROR(G33/G$39,"")</f>
        <v>0.441679626749611</v>
      </c>
      <c r="I33" s="69" t="s">
        <v>624</v>
      </c>
    </row>
    <row r="34" customFormat="false" ht="25.35" hidden="false" customHeight="false" outlineLevel="0" collapsed="false">
      <c r="A34" s="50" t="s">
        <v>625</v>
      </c>
      <c r="B34" s="34" t="n">
        <v>215</v>
      </c>
      <c r="C34" s="34" t="n">
        <v>117</v>
      </c>
      <c r="D34" s="34" t="n">
        <v>99</v>
      </c>
      <c r="E34" s="34" t="n">
        <v>124</v>
      </c>
      <c r="F34" s="34" t="n">
        <v>98</v>
      </c>
      <c r="G34" s="84" t="n">
        <f aca="false">E34-C34</f>
        <v>7</v>
      </c>
      <c r="H34" s="37" t="n">
        <f aca="false">IFERROR(G34/G$39,"")</f>
        <v>-0.0108864696734059</v>
      </c>
      <c r="I34" s="69" t="s">
        <v>626</v>
      </c>
    </row>
    <row r="35" customFormat="false" ht="15" hidden="false" customHeight="false" outlineLevel="0" collapsed="false">
      <c r="A35" s="50" t="s">
        <v>627</v>
      </c>
      <c r="B35" s="34" t="n">
        <v>184</v>
      </c>
      <c r="C35" s="34" t="n">
        <v>148</v>
      </c>
      <c r="D35" s="34" t="n">
        <v>104</v>
      </c>
      <c r="E35" s="34" t="n">
        <v>149</v>
      </c>
      <c r="F35" s="34" t="n">
        <v>81</v>
      </c>
      <c r="G35" s="84" t="n">
        <f aca="false">E35-C35</f>
        <v>1</v>
      </c>
      <c r="H35" s="37" t="n">
        <f aca="false">IFERROR(G35/G$39,"")</f>
        <v>-0.0015552099533437</v>
      </c>
      <c r="I35" s="69" t="s">
        <v>628</v>
      </c>
    </row>
    <row r="36" customFormat="false" ht="15" hidden="false" customHeight="false" outlineLevel="0" collapsed="false">
      <c r="A36" s="50" t="s">
        <v>629</v>
      </c>
      <c r="B36" s="34" t="n">
        <v>115</v>
      </c>
      <c r="C36" s="34" t="n">
        <v>49</v>
      </c>
      <c r="D36" s="34" t="n">
        <v>37</v>
      </c>
      <c r="E36" s="34" t="n">
        <v>52</v>
      </c>
      <c r="F36" s="34" t="n">
        <v>30</v>
      </c>
      <c r="G36" s="84" t="n">
        <f aca="false">E36-C36</f>
        <v>3</v>
      </c>
      <c r="H36" s="37" t="n">
        <f aca="false">IFERROR(G36/G$39,"")</f>
        <v>-0.00466562986003111</v>
      </c>
      <c r="I36" s="69" t="s">
        <v>630</v>
      </c>
    </row>
    <row r="37" customFormat="false" ht="25.35" hidden="false" customHeight="false" outlineLevel="0" collapsed="false">
      <c r="A37" s="50" t="s">
        <v>631</v>
      </c>
      <c r="B37" s="34" t="n">
        <v>247</v>
      </c>
      <c r="C37" s="34" t="n">
        <v>203</v>
      </c>
      <c r="D37" s="34" t="n">
        <v>161</v>
      </c>
      <c r="E37" s="34" t="n">
        <v>159</v>
      </c>
      <c r="F37" s="34" t="n">
        <v>177</v>
      </c>
      <c r="G37" s="84" t="n">
        <f aca="false">E37-C37</f>
        <v>-44</v>
      </c>
      <c r="H37" s="37" t="n">
        <f aca="false">IFERROR(G37/G$39,"")</f>
        <v>0.0684292379471229</v>
      </c>
      <c r="I37" s="69" t="s">
        <v>632</v>
      </c>
    </row>
    <row r="38" customFormat="false" ht="15" hidden="false" customHeight="false" outlineLevel="0" collapsed="false">
      <c r="A38" s="50" t="s">
        <v>633</v>
      </c>
      <c r="B38" s="34" t="n">
        <v>54</v>
      </c>
      <c r="C38" s="34" t="n">
        <v>119</v>
      </c>
      <c r="D38" s="34" t="n">
        <v>68</v>
      </c>
      <c r="E38" s="34" t="n">
        <v>65</v>
      </c>
      <c r="F38" s="34" t="n">
        <v>35</v>
      </c>
      <c r="G38" s="84" t="n">
        <f aca="false">E38-C38</f>
        <v>-54</v>
      </c>
      <c r="H38" s="37" t="n">
        <f aca="false">IFERROR(G38/G$39,"")</f>
        <v>0.0839813374805599</v>
      </c>
      <c r="I38" s="69" t="s">
        <v>634</v>
      </c>
    </row>
    <row r="39" customFormat="false" ht="15" hidden="false" customHeight="false" outlineLevel="0" collapsed="false">
      <c r="A39" s="90" t="s">
        <v>635</v>
      </c>
      <c r="B39" s="44" t="n">
        <f aca="false">SUM(B32:B38)</f>
        <v>2159</v>
      </c>
      <c r="C39" s="44" t="n">
        <f aca="false">SUM(C32:C38)</f>
        <v>2099</v>
      </c>
      <c r="D39" s="44" t="n">
        <f aca="false">SUM(D32:D38)</f>
        <v>1633</v>
      </c>
      <c r="E39" s="44" t="n">
        <f aca="false">SUM(E32:E38)</f>
        <v>1456</v>
      </c>
      <c r="F39" s="44" t="n">
        <f aca="false">SUM(F32:F38)</f>
        <v>704</v>
      </c>
      <c r="G39" s="86" t="n">
        <f aca="false">E39-C39</f>
        <v>-643</v>
      </c>
      <c r="H39" s="45" t="n">
        <v>1</v>
      </c>
      <c r="I39" s="91"/>
    </row>
    <row r="41" customFormat="false" ht="15" hidden="false" customHeight="false" outlineLevel="0" collapsed="false">
      <c r="A41" s="4" t="s">
        <v>636</v>
      </c>
    </row>
    <row r="42" customFormat="false" ht="31.5" hidden="false" customHeight="true" outlineLevel="0" collapsed="false">
      <c r="A42" s="49" t="s">
        <v>637</v>
      </c>
      <c r="B42" s="56" t="s">
        <v>638</v>
      </c>
      <c r="C42" s="49" t="s">
        <v>639</v>
      </c>
      <c r="D42" s="49" t="s">
        <v>640</v>
      </c>
      <c r="E42" s="49" t="s">
        <v>641</v>
      </c>
      <c r="F42" s="56" t="s">
        <v>642</v>
      </c>
      <c r="G42" s="49" t="s">
        <v>643</v>
      </c>
    </row>
    <row r="43" customFormat="false" ht="37.3" hidden="false" customHeight="false" outlineLevel="0" collapsed="false">
      <c r="A43" s="50" t="s">
        <v>644</v>
      </c>
      <c r="B43" s="35" t="n">
        <v>39</v>
      </c>
      <c r="C43" s="35" t="n">
        <v>11147</v>
      </c>
      <c r="D43" s="34" t="n">
        <v>14080770</v>
      </c>
      <c r="E43" s="37" t="n">
        <f aca="false">D43/215184570</f>
        <v>0.0654357791546113</v>
      </c>
      <c r="F43" s="34" t="n">
        <f aca="false">ROUND(D43/31267,0)</f>
        <v>450</v>
      </c>
      <c r="G43" s="69" t="s">
        <v>645</v>
      </c>
    </row>
    <row r="44" customFormat="false" ht="37.3" hidden="false" customHeight="false" outlineLevel="0" collapsed="false">
      <c r="A44" s="50" t="s">
        <v>646</v>
      </c>
      <c r="B44" s="35" t="n">
        <v>7</v>
      </c>
      <c r="C44" s="35" t="n">
        <v>17060</v>
      </c>
      <c r="D44" s="34" t="n">
        <v>9360615</v>
      </c>
      <c r="E44" s="37" t="n">
        <f aca="false">D44/215184570</f>
        <v>0.043500400609579</v>
      </c>
      <c r="F44" s="34" t="n">
        <f aca="false">ROUND(D44/31267,0)</f>
        <v>299</v>
      </c>
      <c r="G44" s="69" t="s">
        <v>647</v>
      </c>
    </row>
    <row r="45" customFormat="false" ht="37.3" hidden="false" customHeight="false" outlineLevel="0" collapsed="false">
      <c r="A45" s="50" t="s">
        <v>625</v>
      </c>
      <c r="B45" s="35" t="n">
        <v>10</v>
      </c>
      <c r="C45" s="35" t="n">
        <v>11836</v>
      </c>
      <c r="D45" s="34" t="n">
        <v>6460410</v>
      </c>
      <c r="E45" s="37" t="n">
        <f aca="false">D45/215184570</f>
        <v>0.0300226452110391</v>
      </c>
      <c r="F45" s="34" t="n">
        <f aca="false">ROUND(D45/31267,0)</f>
        <v>207</v>
      </c>
      <c r="G45" s="69" t="s">
        <v>648</v>
      </c>
    </row>
    <row r="46" customFormat="false" ht="37.3" hidden="false" customHeight="false" outlineLevel="0" collapsed="false">
      <c r="A46" s="50" t="s">
        <v>649</v>
      </c>
      <c r="B46" s="35" t="n">
        <v>14</v>
      </c>
      <c r="C46" s="35" t="n">
        <v>5531</v>
      </c>
      <c r="D46" s="34" t="n">
        <v>6084100</v>
      </c>
      <c r="E46" s="37" t="n">
        <f aca="false">D46/215184570</f>
        <v>0.0282738674060134</v>
      </c>
      <c r="F46" s="34" t="n">
        <f aca="false">ROUND(D46/31267,0)</f>
        <v>195</v>
      </c>
      <c r="G46" s="69" t="s">
        <v>650</v>
      </c>
    </row>
    <row r="47" customFormat="false" ht="25.35" hidden="false" customHeight="false" outlineLevel="0" collapsed="false">
      <c r="A47" s="50" t="s">
        <v>651</v>
      </c>
      <c r="B47" s="35" t="n">
        <v>9</v>
      </c>
      <c r="C47" s="35" t="n">
        <v>5528</v>
      </c>
      <c r="D47" s="34" t="n">
        <v>3778060</v>
      </c>
      <c r="E47" s="37" t="n">
        <f aca="false">D47/215184570</f>
        <v>0.0175572997636401</v>
      </c>
      <c r="F47" s="34" t="n">
        <f aca="false">ROUND(D47/31267,0)</f>
        <v>121</v>
      </c>
      <c r="G47" s="69" t="s">
        <v>652</v>
      </c>
    </row>
    <row r="48" customFormat="false" ht="15" hidden="false" customHeight="false" outlineLevel="0" collapsed="false">
      <c r="A48" s="50" t="s">
        <v>653</v>
      </c>
      <c r="B48" s="35" t="n">
        <v>16</v>
      </c>
      <c r="C48" s="35" t="n">
        <v>1561</v>
      </c>
      <c r="D48" s="34" t="n">
        <v>1814100</v>
      </c>
      <c r="E48" s="37" t="n">
        <f aca="false">D48/215184570</f>
        <v>0.00843043718236861</v>
      </c>
      <c r="F48" s="34" t="n">
        <f aca="false">ROUND(D48/31267,0)</f>
        <v>58</v>
      </c>
      <c r="G48" s="69" t="s">
        <v>631</v>
      </c>
    </row>
    <row r="49" customFormat="false" ht="25.35" hidden="false" customHeight="false" outlineLevel="0" collapsed="false">
      <c r="A49" s="50" t="s">
        <v>654</v>
      </c>
      <c r="B49" s="35" t="n">
        <v>11</v>
      </c>
      <c r="C49" s="35" t="n">
        <v>1719</v>
      </c>
      <c r="D49" s="34" t="n">
        <v>945450</v>
      </c>
      <c r="E49" s="37" t="n">
        <f aca="false">D49/215184570</f>
        <v>0.00439367004799647</v>
      </c>
      <c r="F49" s="34" t="n">
        <f aca="false">ROUND(D49/31267,0)</f>
        <v>30</v>
      </c>
      <c r="G49" s="69" t="s">
        <v>655</v>
      </c>
    </row>
    <row r="50" customFormat="false" ht="25.35" hidden="false" customHeight="false" outlineLevel="0" collapsed="false">
      <c r="A50" s="41" t="s">
        <v>656</v>
      </c>
      <c r="B50" s="42" t="n">
        <f aca="false">SUM(B43:B49)</f>
        <v>106</v>
      </c>
      <c r="C50" s="42" t="n">
        <f aca="false">SUM(C43:C49)</f>
        <v>54382</v>
      </c>
      <c r="D50" s="44" t="n">
        <f aca="false">SUM(D43:D49)</f>
        <v>42523505</v>
      </c>
      <c r="E50" s="45" t="n">
        <f aca="false">D50/215184570</f>
        <v>0.197614099375248</v>
      </c>
      <c r="F50" s="44" t="n">
        <f aca="false">ROUND(D50/31267,0)</f>
        <v>1360</v>
      </c>
      <c r="G50" s="92" t="s">
        <v>657</v>
      </c>
    </row>
    <row r="52" customFormat="false" ht="15" hidden="false" customHeight="false" outlineLevel="0" collapsed="false">
      <c r="A52" s="4" t="s">
        <v>658</v>
      </c>
    </row>
    <row r="53" customFormat="false" ht="13.4" hidden="false" customHeight="false" outlineLevel="0" collapsed="false">
      <c r="A53" s="8" t="s">
        <v>659</v>
      </c>
      <c r="B53" s="93" t="s">
        <v>660</v>
      </c>
      <c r="C53" s="93"/>
      <c r="D53" s="93"/>
      <c r="E53" s="93"/>
      <c r="F53" s="93"/>
      <c r="G53" s="93"/>
      <c r="H53" s="93"/>
      <c r="I53" s="93"/>
    </row>
    <row r="54" customFormat="false" ht="15" hidden="false" customHeight="false" outlineLevel="0" collapsed="false">
      <c r="A54" s="5" t="s">
        <v>661</v>
      </c>
      <c r="B54" s="93" t="s">
        <v>662</v>
      </c>
      <c r="C54" s="93"/>
      <c r="D54" s="93"/>
      <c r="E54" s="93"/>
      <c r="F54" s="93"/>
      <c r="G54" s="93"/>
      <c r="H54" s="93"/>
      <c r="I54" s="93"/>
    </row>
    <row r="55" customFormat="false" ht="15" hidden="false" customHeight="false" outlineLevel="0" collapsed="false">
      <c r="A55" s="5" t="s">
        <v>663</v>
      </c>
      <c r="B55" s="93" t="s">
        <v>664</v>
      </c>
      <c r="C55" s="93"/>
      <c r="D55" s="93"/>
      <c r="E55" s="93"/>
      <c r="F55" s="93"/>
      <c r="G55" s="93"/>
      <c r="H55" s="93"/>
      <c r="I55" s="93"/>
    </row>
    <row r="56" customFormat="false" ht="15" hidden="false" customHeight="false" outlineLevel="0" collapsed="false">
      <c r="A56" s="5" t="s">
        <v>665</v>
      </c>
      <c r="B56" s="93" t="s">
        <v>666</v>
      </c>
      <c r="C56" s="93"/>
      <c r="D56" s="93"/>
      <c r="E56" s="93"/>
      <c r="F56" s="93"/>
      <c r="G56" s="93"/>
      <c r="H56" s="93"/>
      <c r="I56" s="93"/>
    </row>
    <row r="57" customFormat="false" ht="15" hidden="false" customHeight="false" outlineLevel="0" collapsed="false">
      <c r="A57" s="5" t="s">
        <v>667</v>
      </c>
      <c r="B57" s="93" t="s">
        <v>668</v>
      </c>
      <c r="C57" s="93"/>
      <c r="D57" s="93"/>
      <c r="E57" s="93"/>
      <c r="F57" s="93"/>
      <c r="G57" s="93"/>
      <c r="H57" s="93"/>
      <c r="I57" s="93"/>
    </row>
  </sheetData>
  <mergeCells count="5">
    <mergeCell ref="B53:I53"/>
    <mergeCell ref="B54:I54"/>
    <mergeCell ref="B55:I55"/>
    <mergeCell ref="B56:I56"/>
    <mergeCell ref="B57:I5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10" min="8" style="0" width="13"/>
    <col collapsed="false" customWidth="true" hidden="false" outlineLevel="0" max="12" min="11" style="0" width="11"/>
    <col collapsed="false" customWidth="true" hidden="false" outlineLevel="0" max="13" min="13" style="0" width="10"/>
    <col collapsed="false" customWidth="true" hidden="false" outlineLevel="0" max="17" min="14" style="0" width="12"/>
    <col collapsed="false" customWidth="true" hidden="false" outlineLevel="0" max="18" min="18" style="0" width="11"/>
    <col collapsed="false" customWidth="true" hidden="false" outlineLevel="0" max="19" min="19" style="0" width="13"/>
    <col collapsed="false" customWidth="true" hidden="false" outlineLevel="0" max="20" min="20" style="0" width="14"/>
    <col collapsed="false" customWidth="true" hidden="false" outlineLevel="0" max="21" min="21" style="0" width="12"/>
    <col collapsed="false" customWidth="true" hidden="false" outlineLevel="0" max="22" min="22" style="0" width="20"/>
    <col collapsed="false" customWidth="true" hidden="false" outlineLevel="0" max="23" min="23" style="0" width="13"/>
    <col collapsed="false" customWidth="true" hidden="false" outlineLevel="0" max="24" min="24" style="0" width="16"/>
    <col collapsed="false" customWidth="true" hidden="false" outlineLevel="0" max="25" min="25" style="0" width="20"/>
    <col collapsed="false" customWidth="true" hidden="false" outlineLevel="0" max="26" min="26" style="0" width="14"/>
    <col collapsed="false" customWidth="true" hidden="false" outlineLevel="0" max="27" min="27" style="0" width="46"/>
  </cols>
  <sheetData>
    <row r="1" customFormat="false" ht="20.1" hidden="false" customHeight="false" outlineLevel="0" collapsed="false">
      <c r="A1" s="1" t="s">
        <v>669</v>
      </c>
    </row>
    <row r="2" customFormat="false" ht="15" hidden="false" customHeight="false" outlineLevel="0" collapsed="false">
      <c r="A2" s="3" t="s">
        <v>670</v>
      </c>
    </row>
    <row r="3" customFormat="false" ht="15" hidden="false" customHeight="false" outlineLevel="0" collapsed="false">
      <c r="A3" s="3" t="s">
        <v>671</v>
      </c>
    </row>
    <row r="4" customFormat="false" ht="15" hidden="false" customHeight="false" outlineLevel="0" collapsed="false">
      <c r="A4" s="3" t="s">
        <v>672</v>
      </c>
    </row>
    <row r="5" customFormat="false" ht="15" hidden="false" customHeight="false" outlineLevel="0" collapsed="false">
      <c r="A5" s="3" t="s">
        <v>673</v>
      </c>
    </row>
    <row r="6" customFormat="false" ht="45.75" hidden="false" customHeight="true" outlineLevel="0" collapsed="false">
      <c r="A6" s="25" t="s">
        <v>263</v>
      </c>
      <c r="B6" s="25" t="s">
        <v>264</v>
      </c>
      <c r="C6" s="26" t="s">
        <v>265</v>
      </c>
      <c r="D6" s="26" t="s">
        <v>508</v>
      </c>
      <c r="E6" s="94" t="s">
        <v>674</v>
      </c>
      <c r="F6" s="94" t="s">
        <v>675</v>
      </c>
      <c r="G6" s="94" t="s">
        <v>676</v>
      </c>
      <c r="H6" s="62" t="s">
        <v>677</v>
      </c>
      <c r="I6" s="63" t="s">
        <v>494</v>
      </c>
      <c r="J6" s="62" t="s">
        <v>678</v>
      </c>
      <c r="K6" s="30" t="s">
        <v>679</v>
      </c>
      <c r="L6" s="30" t="s">
        <v>680</v>
      </c>
      <c r="M6" s="67" t="s">
        <v>681</v>
      </c>
      <c r="N6" s="27" t="s">
        <v>498</v>
      </c>
      <c r="O6" s="27" t="s">
        <v>499</v>
      </c>
      <c r="P6" s="17" t="s">
        <v>682</v>
      </c>
      <c r="Q6" s="17" t="s">
        <v>500</v>
      </c>
      <c r="R6" s="49" t="s">
        <v>516</v>
      </c>
      <c r="S6" s="31" t="s">
        <v>683</v>
      </c>
      <c r="T6" s="31" t="s">
        <v>684</v>
      </c>
      <c r="U6" s="31" t="s">
        <v>504</v>
      </c>
      <c r="V6" s="67" t="s">
        <v>523</v>
      </c>
      <c r="W6" s="67" t="s">
        <v>524</v>
      </c>
      <c r="X6" s="67" t="s">
        <v>526</v>
      </c>
      <c r="Y6" s="31" t="s">
        <v>685</v>
      </c>
      <c r="Z6" s="67" t="s">
        <v>686</v>
      </c>
      <c r="AA6" s="68" t="s">
        <v>429</v>
      </c>
    </row>
    <row r="7" customFormat="false" ht="15" hidden="false" customHeight="false" outlineLevel="0" collapsed="false">
      <c r="A7" s="32" t="n">
        <v>1</v>
      </c>
      <c r="B7" s="32" t="s">
        <v>286</v>
      </c>
      <c r="C7" s="33" t="s">
        <v>287</v>
      </c>
      <c r="D7" s="34" t="n">
        <v>500</v>
      </c>
      <c r="E7" s="35" t="n">
        <v>4024</v>
      </c>
      <c r="F7" s="35" t="n">
        <v>2696</v>
      </c>
      <c r="G7" s="35" t="n">
        <v>5597</v>
      </c>
      <c r="H7" s="35" t="n">
        <v>3271</v>
      </c>
      <c r="I7" s="35" t="n">
        <v>2268</v>
      </c>
      <c r="J7" s="34" t="n">
        <f aca="false">H7*D7</f>
        <v>1635500</v>
      </c>
      <c r="K7" s="35" t="n">
        <v>1000</v>
      </c>
      <c r="L7" s="35" t="n">
        <v>493</v>
      </c>
      <c r="M7" s="35" t="n">
        <v>0</v>
      </c>
      <c r="N7" s="35" t="n">
        <f aca="false">①石川予測確定!S7</f>
        <v>693</v>
      </c>
      <c r="O7" s="35" t="n">
        <f aca="false">①石川予測確定!P7</f>
        <v>272</v>
      </c>
      <c r="P7" s="35" t="n">
        <f aca="false">IF(I7="",H7-K7,I7)</f>
        <v>2268</v>
      </c>
      <c r="Q7" s="35" t="n">
        <f aca="false">P7+L7-M7-O7</f>
        <v>2489</v>
      </c>
      <c r="R7" s="35" t="n">
        <f aca="false">③仙台以降予測!M30</f>
        <v>3384</v>
      </c>
      <c r="S7" s="38" t="n">
        <f aca="false">Q7-R7</f>
        <v>-895</v>
      </c>
      <c r="T7" s="35" t="n">
        <f aca="false">MAX(0,-S7)</f>
        <v>895</v>
      </c>
      <c r="U7" s="35" t="n">
        <f aca="false">IF(T7&gt;0,ROUNDUP(T7*(1+前提・入力!$B$34),0),0)</f>
        <v>985</v>
      </c>
      <c r="V7" s="69" t="s">
        <v>386</v>
      </c>
      <c r="W7" s="70" t="n">
        <f aca="false">DATE(2027,4,1)-30-前提・入力!$B$37</f>
        <v>46434</v>
      </c>
      <c r="X7" s="69" t="str">
        <f aca="false">IF(V7="—","—",IF(W7="再生産不可","×再生産不可",_xlfn.IFS(W7-前提・入力!$B$38&lt;0,"★期限超過",W7-前提・入力!$B$38&lt;=30,"★至急(30日以内)",W7-前提・入力!$B$38&lt;=90,"要着手(90日以内)",TRUE(),"余裕あり")))</f>
        <v>余裕あり</v>
      </c>
      <c r="Y7" s="69" t="str">
        <f aca="false">IF(T7&gt;0,"★欠品：追加生産が必要",IF(S7&gt;=R7*2,"大幅余剰","在庫で充足"))</f>
        <v>★欠品：追加生産が必要</v>
      </c>
      <c r="Z7" s="39"/>
      <c r="AA7" s="72"/>
    </row>
    <row r="8" customFormat="false" ht="15" hidden="false" customHeight="false" outlineLevel="0" collapsed="false">
      <c r="A8" s="32" t="n">
        <v>2</v>
      </c>
      <c r="B8" s="32" t="s">
        <v>288</v>
      </c>
      <c r="C8" s="33" t="s">
        <v>289</v>
      </c>
      <c r="D8" s="34" t="n">
        <v>600</v>
      </c>
      <c r="E8" s="35" t="n">
        <v>1096</v>
      </c>
      <c r="F8" s="35" t="n">
        <v>5136</v>
      </c>
      <c r="G8" s="35" t="n">
        <v>7003</v>
      </c>
      <c r="H8" s="35" t="n">
        <v>5038</v>
      </c>
      <c r="I8" s="35" t="n">
        <v>4036</v>
      </c>
      <c r="J8" s="34" t="n">
        <f aca="false">H8*D8</f>
        <v>3022800</v>
      </c>
      <c r="K8" s="35" t="n">
        <v>1000</v>
      </c>
      <c r="L8" s="35" t="n">
        <v>459</v>
      </c>
      <c r="M8" s="35" t="n">
        <v>0</v>
      </c>
      <c r="N8" s="35" t="n">
        <f aca="false">①石川予測確定!S8</f>
        <v>659</v>
      </c>
      <c r="O8" s="35" t="n">
        <f aca="false">①石川予測確定!P8</f>
        <v>325</v>
      </c>
      <c r="P8" s="35" t="n">
        <f aca="false">IF(I8="",H8-K8,I8)</f>
        <v>4036</v>
      </c>
      <c r="Q8" s="35" t="n">
        <f aca="false">P8+L8-M8-O8</f>
        <v>4170</v>
      </c>
      <c r="R8" s="35" t="n">
        <f aca="false">③仙台以降予測!M31</f>
        <v>3818</v>
      </c>
      <c r="S8" s="38" t="n">
        <f aca="false">Q8-R8</f>
        <v>352</v>
      </c>
      <c r="T8" s="35" t="n">
        <f aca="false">MAX(0,-S8)</f>
        <v>0</v>
      </c>
      <c r="U8" s="35" t="n">
        <f aca="false">IF(T8&gt;0,ROUNDUP(T8*(1+前提・入力!$B$34),0),0)</f>
        <v>0</v>
      </c>
      <c r="V8" s="72" t="s">
        <v>531</v>
      </c>
      <c r="W8" s="32"/>
      <c r="X8" s="69" t="str">
        <f aca="false">IF(V8="—","—",IF(W8="再生産不可","×再生産不可",_xlfn.IFS(W8-前提・入力!$B$38&lt;0,"★期限超過",W8-前提・入力!$B$38&lt;=30,"★至急(30日以内)",W8-前提・入力!$B$38&lt;=90,"要着手(90日以内)",TRUE(),"余裕あり")))</f>
        <v>—</v>
      </c>
      <c r="Y8" s="69" t="str">
        <f aca="false">IF(T8&gt;0,"★欠品：追加生産が必要",IF(S8&gt;=R8*2,"大幅余剰","在庫で充足"))</f>
        <v>在庫で充足</v>
      </c>
      <c r="Z8" s="39"/>
      <c r="AA8" s="72"/>
    </row>
    <row r="9" customFormat="false" ht="37.3" hidden="false" customHeight="false" outlineLevel="0" collapsed="false">
      <c r="A9" s="32" t="n">
        <v>3</v>
      </c>
      <c r="B9" s="32" t="s">
        <v>290</v>
      </c>
      <c r="C9" s="33" t="s">
        <v>291</v>
      </c>
      <c r="D9" s="34" t="n">
        <v>1000</v>
      </c>
      <c r="E9" s="35" t="n">
        <v>3340</v>
      </c>
      <c r="F9" s="35" t="n">
        <v>2735</v>
      </c>
      <c r="G9" s="35" t="n">
        <v>7280</v>
      </c>
      <c r="H9" s="35" t="n">
        <v>6140</v>
      </c>
      <c r="I9" s="35" t="n">
        <v>1694</v>
      </c>
      <c r="J9" s="34" t="n">
        <f aca="false">H9*D9</f>
        <v>6140000</v>
      </c>
      <c r="K9" s="35" t="n">
        <v>450</v>
      </c>
      <c r="L9" s="35" t="n">
        <v>281</v>
      </c>
      <c r="M9" s="35" t="n">
        <v>0</v>
      </c>
      <c r="N9" s="35" t="n">
        <f aca="false">①石川予測確定!S9</f>
        <v>381</v>
      </c>
      <c r="O9" s="35" t="n">
        <f aca="false">①石川予測確定!P9</f>
        <v>118</v>
      </c>
      <c r="P9" s="35" t="n">
        <f aca="false">IF(I9="",H9-K9,I9)</f>
        <v>1694</v>
      </c>
      <c r="Q9" s="35" t="n">
        <f aca="false">P9+L9-M9-O9</f>
        <v>1857</v>
      </c>
      <c r="R9" s="35" t="n">
        <f aca="false">③仙台以降予測!M32</f>
        <v>1291</v>
      </c>
      <c r="S9" s="38" t="n">
        <f aca="false">Q9-R9</f>
        <v>566</v>
      </c>
      <c r="T9" s="35" t="n">
        <f aca="false">MAX(0,-S9)</f>
        <v>0</v>
      </c>
      <c r="U9" s="35" t="n">
        <f aca="false">IF(T9&gt;0,ROUNDUP(T9*(1+前提・入力!$B$34),0),0)</f>
        <v>0</v>
      </c>
      <c r="V9" s="72" t="s">
        <v>531</v>
      </c>
      <c r="W9" s="32"/>
      <c r="X9" s="69" t="str">
        <f aca="false">IF(V9="—","—",IF(W9="再生産不可","×再生産不可",_xlfn.IFS(W9-前提・入力!$B$38&lt;0,"★期限超過",W9-前提・入力!$B$38&lt;=30,"★至急(30日以内)",W9-前提・入力!$B$38&lt;=90,"要着手(90日以内)",TRUE(),"余裕あり")))</f>
        <v>—</v>
      </c>
      <c r="Y9" s="69" t="str">
        <f aca="false">IF(T9&gt;0,"★欠品：追加生産が必要",IF(S9&gt;=R9*2,"大幅余剰","在庫で充足"))</f>
        <v>在庫で充足</v>
      </c>
      <c r="Z9" s="39"/>
      <c r="AA9" s="72" t="s">
        <v>687</v>
      </c>
    </row>
    <row r="10" customFormat="false" ht="37.3" hidden="false" customHeight="false" outlineLevel="0" collapsed="false">
      <c r="A10" s="32" t="n">
        <v>4</v>
      </c>
      <c r="B10" s="32" t="s">
        <v>292</v>
      </c>
      <c r="C10" s="33" t="s">
        <v>293</v>
      </c>
      <c r="D10" s="34" t="n">
        <v>1800</v>
      </c>
      <c r="E10" s="35" t="n">
        <v>3297</v>
      </c>
      <c r="F10" s="35" t="n">
        <v>2368</v>
      </c>
      <c r="G10" s="35" t="n">
        <v>28823</v>
      </c>
      <c r="H10" s="35" t="n">
        <v>27511</v>
      </c>
      <c r="I10" s="35" t="n">
        <v>2715</v>
      </c>
      <c r="J10" s="34" t="n">
        <f aca="false">H10*D10</f>
        <v>49519800</v>
      </c>
      <c r="K10" s="35" t="n">
        <v>800</v>
      </c>
      <c r="L10" s="35" t="n">
        <v>572</v>
      </c>
      <c r="M10" s="35" t="n">
        <v>0</v>
      </c>
      <c r="N10" s="35" t="n">
        <f aca="false">①石川予測確定!S10</f>
        <v>772</v>
      </c>
      <c r="O10" s="35" t="n">
        <f aca="false">①石川予測確定!P10</f>
        <v>134</v>
      </c>
      <c r="P10" s="35" t="n">
        <f aca="false">IF(I10="",H10-K10,I10)</f>
        <v>2715</v>
      </c>
      <c r="Q10" s="35" t="n">
        <f aca="false">P10+L10-M10-O10</f>
        <v>3153</v>
      </c>
      <c r="R10" s="35" t="n">
        <f aca="false">③仙台以降予測!M33</f>
        <v>1591</v>
      </c>
      <c r="S10" s="38" t="n">
        <f aca="false">Q10-R10</f>
        <v>1562</v>
      </c>
      <c r="T10" s="35" t="n">
        <f aca="false">MAX(0,-S10)</f>
        <v>0</v>
      </c>
      <c r="U10" s="35" t="n">
        <f aca="false">IF(T10&gt;0,ROUNDUP(T10*(1+前提・入力!$B$34),0),0)</f>
        <v>0</v>
      </c>
      <c r="V10" s="72" t="s">
        <v>531</v>
      </c>
      <c r="W10" s="32"/>
      <c r="X10" s="69" t="str">
        <f aca="false">IF(V10="—","—",IF(W10="再生産不可","×再生産不可",_xlfn.IFS(W10-前提・入力!$B$38&lt;0,"★期限超過",W10-前提・入力!$B$38&lt;=30,"★至急(30日以内)",W10-前提・入力!$B$38&lt;=90,"要着手(90日以内)",TRUE(),"余裕あり")))</f>
        <v>—</v>
      </c>
      <c r="Y10" s="69" t="str">
        <f aca="false">IF(T10&gt;0,"★欠品：追加生産が必要",IF(S10&gt;=R10*2,"大幅余剰","在庫で充足"))</f>
        <v>在庫で充足</v>
      </c>
      <c r="Z10" s="39"/>
      <c r="AA10" s="72" t="s">
        <v>688</v>
      </c>
    </row>
    <row r="11" customFormat="false" ht="15" hidden="false" customHeight="false" outlineLevel="0" collapsed="false">
      <c r="A11" s="32" t="n">
        <v>5</v>
      </c>
      <c r="B11" s="32" t="s">
        <v>294</v>
      </c>
      <c r="C11" s="33" t="s">
        <v>295</v>
      </c>
      <c r="D11" s="34" t="n">
        <v>600</v>
      </c>
      <c r="E11" s="35" t="n">
        <v>5958</v>
      </c>
      <c r="F11" s="35" t="n">
        <v>11154</v>
      </c>
      <c r="G11" s="35" t="n">
        <v>49154</v>
      </c>
      <c r="H11" s="35" t="n">
        <v>40108</v>
      </c>
      <c r="I11" s="35" t="n">
        <v>31095</v>
      </c>
      <c r="J11" s="34" t="n">
        <f aca="false">H11*D11</f>
        <v>24064800</v>
      </c>
      <c r="K11" s="35" t="n">
        <v>9000</v>
      </c>
      <c r="L11" s="35" t="n">
        <v>8590</v>
      </c>
      <c r="M11" s="35" t="n">
        <v>0</v>
      </c>
      <c r="N11" s="35" t="n">
        <f aca="false">①石川予測確定!S11</f>
        <v>8790</v>
      </c>
      <c r="O11" s="35" t="n">
        <f aca="false">①石川予測確定!P11</f>
        <v>293</v>
      </c>
      <c r="P11" s="35" t="n">
        <f aca="false">IF(I11="",H11-K11,I11)</f>
        <v>31095</v>
      </c>
      <c r="Q11" s="35" t="n">
        <f aca="false">P11+L11-M11-O11</f>
        <v>39392</v>
      </c>
      <c r="R11" s="35" t="n">
        <f aca="false">③仙台以降予測!M34</f>
        <v>3173</v>
      </c>
      <c r="S11" s="38" t="n">
        <f aca="false">Q11-R11</f>
        <v>36219</v>
      </c>
      <c r="T11" s="35" t="n">
        <f aca="false">MAX(0,-S11)</f>
        <v>0</v>
      </c>
      <c r="U11" s="35" t="n">
        <f aca="false">IF(T11&gt;0,ROUNDUP(T11*(1+前提・入力!$B$34),0),0)</f>
        <v>0</v>
      </c>
      <c r="V11" s="72" t="s">
        <v>531</v>
      </c>
      <c r="W11" s="32"/>
      <c r="X11" s="69" t="str">
        <f aca="false">IF(V11="—","—",IF(W11="再生産不可","×再生産不可",_xlfn.IFS(W11-前提・入力!$B$38&lt;0,"★期限超過",W11-前提・入力!$B$38&lt;=30,"★至急(30日以内)",W11-前提・入力!$B$38&lt;=90,"要着手(90日以内)",TRUE(),"余裕あり")))</f>
        <v>—</v>
      </c>
      <c r="Y11" s="69" t="str">
        <f aca="false">IF(T11&gt;0,"★欠品：追加生産が必要",IF(S11&gt;=R11*2,"大幅余剰","在庫で充足"))</f>
        <v>大幅余剰</v>
      </c>
      <c r="Z11" s="39"/>
      <c r="AA11" s="72"/>
    </row>
    <row r="12" customFormat="false" ht="15" hidden="false" customHeight="false" outlineLevel="0" collapsed="false">
      <c r="A12" s="32" t="n">
        <v>6</v>
      </c>
      <c r="B12" s="32" t="s">
        <v>296</v>
      </c>
      <c r="C12" s="33" t="s">
        <v>297</v>
      </c>
      <c r="D12" s="34" t="n">
        <v>600</v>
      </c>
      <c r="E12" s="35" t="n">
        <v>12913</v>
      </c>
      <c r="F12" s="35" t="n">
        <v>19601</v>
      </c>
      <c r="G12" s="35" t="n">
        <v>70595</v>
      </c>
      <c r="H12" s="35" t="n">
        <v>51840</v>
      </c>
      <c r="I12" s="35" t="n">
        <v>37844</v>
      </c>
      <c r="J12" s="34" t="n">
        <f aca="false">H12*D12</f>
        <v>31104000</v>
      </c>
      <c r="K12" s="35" t="n">
        <v>13991</v>
      </c>
      <c r="L12" s="35" t="n">
        <v>12949</v>
      </c>
      <c r="M12" s="35" t="n">
        <v>0</v>
      </c>
      <c r="N12" s="35" t="n">
        <f aca="false">①石川予測確定!S12</f>
        <v>13249</v>
      </c>
      <c r="O12" s="35" t="n">
        <f aca="false">①石川予測確定!P12</f>
        <v>565</v>
      </c>
      <c r="P12" s="35" t="n">
        <f aca="false">IF(I12="",H12-K12,I12)</f>
        <v>37844</v>
      </c>
      <c r="Q12" s="35" t="n">
        <f aca="false">P12+L12-M12-O12</f>
        <v>50228</v>
      </c>
      <c r="R12" s="35" t="n">
        <f aca="false">③仙台以降予測!M35</f>
        <v>6991</v>
      </c>
      <c r="S12" s="38" t="n">
        <f aca="false">Q12-R12</f>
        <v>43237</v>
      </c>
      <c r="T12" s="35" t="n">
        <f aca="false">MAX(0,-S12)</f>
        <v>0</v>
      </c>
      <c r="U12" s="35" t="n">
        <f aca="false">IF(T12&gt;0,ROUNDUP(T12*(1+前提・入力!$B$34),0),0)</f>
        <v>0</v>
      </c>
      <c r="V12" s="72" t="s">
        <v>531</v>
      </c>
      <c r="W12" s="32"/>
      <c r="X12" s="69" t="str">
        <f aca="false">IF(V12="—","—",IF(W12="再生産不可","×再生産不可",_xlfn.IFS(W12-前提・入力!$B$38&lt;0,"★期限超過",W12-前提・入力!$B$38&lt;=30,"★至急(30日以内)",W12-前提・入力!$B$38&lt;=90,"要着手(90日以内)",TRUE(),"余裕あり")))</f>
        <v>—</v>
      </c>
      <c r="Y12" s="69" t="str">
        <f aca="false">IF(T12&gt;0,"★欠品：追加生産が必要",IF(S12&gt;=R12*2,"大幅余剰","在庫で充足"))</f>
        <v>大幅余剰</v>
      </c>
      <c r="Z12" s="39"/>
      <c r="AA12" s="72"/>
    </row>
    <row r="13" customFormat="false" ht="15" hidden="false" customHeight="false" outlineLevel="0" collapsed="false">
      <c r="A13" s="32" t="n">
        <v>7</v>
      </c>
      <c r="B13" s="32" t="s">
        <v>298</v>
      </c>
      <c r="C13" s="33" t="s">
        <v>299</v>
      </c>
      <c r="D13" s="34" t="n">
        <v>600</v>
      </c>
      <c r="E13" s="35" t="n">
        <v>6467</v>
      </c>
      <c r="F13" s="35" t="n">
        <v>5943</v>
      </c>
      <c r="G13" s="35" t="n">
        <v>5543</v>
      </c>
      <c r="H13" s="35" t="n">
        <v>4601</v>
      </c>
      <c r="I13" s="35" t="n">
        <v>4251</v>
      </c>
      <c r="J13" s="34" t="n">
        <f aca="false">H13*D13</f>
        <v>2760600</v>
      </c>
      <c r="K13" s="35" t="n">
        <v>350</v>
      </c>
      <c r="L13" s="35" t="n">
        <v>163</v>
      </c>
      <c r="M13" s="35" t="n">
        <v>0</v>
      </c>
      <c r="N13" s="35" t="n">
        <f aca="false">①石川予測確定!S13</f>
        <v>463</v>
      </c>
      <c r="O13" s="35" t="n">
        <f aca="false">①石川予測確定!P13</f>
        <v>165</v>
      </c>
      <c r="P13" s="35" t="n">
        <f aca="false">IF(I13="",H13-K13,I13)</f>
        <v>4251</v>
      </c>
      <c r="Q13" s="35" t="n">
        <f aca="false">P13+L13-M13-O13</f>
        <v>4249</v>
      </c>
      <c r="R13" s="35" t="n">
        <f aca="false">③仙台以降予測!M36</f>
        <v>1635</v>
      </c>
      <c r="S13" s="38" t="n">
        <f aca="false">Q13-R13</f>
        <v>2614</v>
      </c>
      <c r="T13" s="35" t="n">
        <f aca="false">MAX(0,-S13)</f>
        <v>0</v>
      </c>
      <c r="U13" s="35" t="n">
        <f aca="false">IF(T13&gt;0,ROUNDUP(T13*(1+前提・入力!$B$34),0),0)</f>
        <v>0</v>
      </c>
      <c r="V13" s="72" t="s">
        <v>531</v>
      </c>
      <c r="W13" s="32"/>
      <c r="X13" s="69" t="str">
        <f aca="false">IF(V13="—","—",IF(W13="再生産不可","×再生産不可",_xlfn.IFS(W13-前提・入力!$B$38&lt;0,"★期限超過",W13-前提・入力!$B$38&lt;=30,"★至急(30日以内)",W13-前提・入力!$B$38&lt;=90,"要着手(90日以内)",TRUE(),"余裕あり")))</f>
        <v>—</v>
      </c>
      <c r="Y13" s="69" t="str">
        <f aca="false">IF(T13&gt;0,"★欠品：追加生産が必要",IF(S13&gt;=R13*2,"大幅余剰","在庫で充足"))</f>
        <v>在庫で充足</v>
      </c>
      <c r="Z13" s="39"/>
      <c r="AA13" s="72"/>
    </row>
    <row r="14" customFormat="false" ht="15" hidden="false" customHeight="false" outlineLevel="0" collapsed="false">
      <c r="A14" s="32" t="n">
        <v>8</v>
      </c>
      <c r="B14" s="32" t="s">
        <v>300</v>
      </c>
      <c r="C14" s="33" t="s">
        <v>301</v>
      </c>
      <c r="D14" s="34" t="n">
        <v>600</v>
      </c>
      <c r="E14" s="35" t="n">
        <v>12329</v>
      </c>
      <c r="F14" s="35" t="n">
        <v>11216</v>
      </c>
      <c r="G14" s="35" t="n">
        <v>10388</v>
      </c>
      <c r="H14" s="35" t="n">
        <v>8622</v>
      </c>
      <c r="I14" s="35" t="n">
        <v>7722</v>
      </c>
      <c r="J14" s="34" t="n">
        <f aca="false">H14*D14</f>
        <v>5173200</v>
      </c>
      <c r="K14" s="35" t="n">
        <v>900</v>
      </c>
      <c r="L14" s="35" t="n">
        <v>578</v>
      </c>
      <c r="M14" s="35" t="n">
        <v>0</v>
      </c>
      <c r="N14" s="35" t="n">
        <f aca="false">①石川予測確定!S14</f>
        <v>778</v>
      </c>
      <c r="O14" s="35" t="n">
        <f aca="false">①石川予測確定!P14</f>
        <v>266</v>
      </c>
      <c r="P14" s="35" t="n">
        <f aca="false">IF(I14="",H14-K14,I14)</f>
        <v>7722</v>
      </c>
      <c r="Q14" s="35" t="n">
        <f aca="false">P14+L14-M14-O14</f>
        <v>8034</v>
      </c>
      <c r="R14" s="35" t="n">
        <f aca="false">③仙台以降予測!M37</f>
        <v>2707</v>
      </c>
      <c r="S14" s="38" t="n">
        <f aca="false">Q14-R14</f>
        <v>5327</v>
      </c>
      <c r="T14" s="35" t="n">
        <f aca="false">MAX(0,-S14)</f>
        <v>0</v>
      </c>
      <c r="U14" s="35" t="n">
        <f aca="false">IF(T14&gt;0,ROUNDUP(T14*(1+前提・入力!$B$34),0),0)</f>
        <v>0</v>
      </c>
      <c r="V14" s="72" t="s">
        <v>531</v>
      </c>
      <c r="W14" s="32"/>
      <c r="X14" s="69" t="str">
        <f aca="false">IF(V14="—","—",IF(W14="再生産不可","×再生産不可",_xlfn.IFS(W14-前提・入力!$B$38&lt;0,"★期限超過",W14-前提・入力!$B$38&lt;=30,"★至急(30日以内)",W14-前提・入力!$B$38&lt;=90,"要着手(90日以内)",TRUE(),"余裕あり")))</f>
        <v>—</v>
      </c>
      <c r="Y14" s="69" t="str">
        <f aca="false">IF(T14&gt;0,"★欠品：追加生産が必要",IF(S14&gt;=R14*2,"大幅余剰","在庫で充足"))</f>
        <v>在庫で充足</v>
      </c>
      <c r="Z14" s="39"/>
      <c r="AA14" s="72"/>
    </row>
    <row r="15" customFormat="false" ht="15" hidden="false" customHeight="false" outlineLevel="0" collapsed="false">
      <c r="A15" s="32" t="n">
        <v>9</v>
      </c>
      <c r="B15" s="32" t="s">
        <v>302</v>
      </c>
      <c r="C15" s="33" t="s">
        <v>303</v>
      </c>
      <c r="D15" s="34" t="n">
        <v>600</v>
      </c>
      <c r="E15" s="35" t="n">
        <v>10118</v>
      </c>
      <c r="F15" s="35" t="n">
        <v>9803</v>
      </c>
      <c r="G15" s="35" t="n">
        <v>9503</v>
      </c>
      <c r="H15" s="35" t="n">
        <v>8760</v>
      </c>
      <c r="I15" s="35" t="n">
        <v>8458</v>
      </c>
      <c r="J15" s="34" t="n">
        <f aca="false">H15*D15</f>
        <v>5256000</v>
      </c>
      <c r="K15" s="35" t="n">
        <v>300</v>
      </c>
      <c r="L15" s="35" t="n">
        <v>140</v>
      </c>
      <c r="M15" s="35" t="n">
        <v>0</v>
      </c>
      <c r="N15" s="35" t="n">
        <f aca="false">①石川予測確定!S15</f>
        <v>740</v>
      </c>
      <c r="O15" s="35" t="n">
        <f aca="false">①石川予測確定!P15</f>
        <v>51</v>
      </c>
      <c r="P15" s="35" t="n">
        <f aca="false">IF(I15="",H15-K15,I15)</f>
        <v>8458</v>
      </c>
      <c r="Q15" s="35" t="n">
        <f aca="false">P15+L15-M15-O15</f>
        <v>8547</v>
      </c>
      <c r="R15" s="35" t="n">
        <f aca="false">③仙台以降予測!M38</f>
        <v>860</v>
      </c>
      <c r="S15" s="38" t="n">
        <f aca="false">Q15-R15</f>
        <v>7687</v>
      </c>
      <c r="T15" s="35" t="n">
        <f aca="false">MAX(0,-S15)</f>
        <v>0</v>
      </c>
      <c r="U15" s="35" t="n">
        <f aca="false">IF(T15&gt;0,ROUNDUP(T15*(1+前提・入力!$B$34),0),0)</f>
        <v>0</v>
      </c>
      <c r="V15" s="72" t="s">
        <v>531</v>
      </c>
      <c r="W15" s="32"/>
      <c r="X15" s="69" t="str">
        <f aca="false">IF(V15="—","—",IF(W15="再生産不可","×再生産不可",_xlfn.IFS(W15-前提・入力!$B$38&lt;0,"★期限超過",W15-前提・入力!$B$38&lt;=30,"★至急(30日以内)",W15-前提・入力!$B$38&lt;=90,"要着手(90日以内)",TRUE(),"余裕あり")))</f>
        <v>—</v>
      </c>
      <c r="Y15" s="69" t="str">
        <f aca="false">IF(T15&gt;0,"★欠品：追加生産が必要",IF(S15&gt;=R15*2,"大幅余剰","在庫で充足"))</f>
        <v>大幅余剰</v>
      </c>
      <c r="Z15" s="39"/>
      <c r="AA15" s="72"/>
    </row>
    <row r="16" customFormat="false" ht="15" hidden="false" customHeight="false" outlineLevel="0" collapsed="false">
      <c r="A16" s="32" t="n">
        <v>10</v>
      </c>
      <c r="B16" s="32" t="s">
        <v>304</v>
      </c>
      <c r="C16" s="33" t="s">
        <v>305</v>
      </c>
      <c r="D16" s="34" t="n">
        <v>600</v>
      </c>
      <c r="E16" s="35" t="n">
        <v>5476</v>
      </c>
      <c r="F16" s="35" t="n">
        <v>5334</v>
      </c>
      <c r="G16" s="35" t="n">
        <v>5212</v>
      </c>
      <c r="H16" s="35" t="n">
        <v>4934</v>
      </c>
      <c r="I16" s="35" t="n">
        <v>4835</v>
      </c>
      <c r="J16" s="34" t="n">
        <f aca="false">H16*D16</f>
        <v>2960400</v>
      </c>
      <c r="K16" s="35" t="n">
        <v>100</v>
      </c>
      <c r="L16" s="35" t="n">
        <v>41</v>
      </c>
      <c r="M16" s="35" t="n">
        <v>0</v>
      </c>
      <c r="N16" s="35" t="n">
        <f aca="false">①石川予測確定!S16</f>
        <v>541</v>
      </c>
      <c r="O16" s="35" t="n">
        <f aca="false">①石川予測確定!P16</f>
        <v>20</v>
      </c>
      <c r="P16" s="35" t="n">
        <f aca="false">IF(I16="",H16-K16,I16)</f>
        <v>4835</v>
      </c>
      <c r="Q16" s="35" t="n">
        <f aca="false">P16+L16-M16-O16</f>
        <v>4856</v>
      </c>
      <c r="R16" s="35" t="n">
        <f aca="false">③仙台以降予測!M39</f>
        <v>324</v>
      </c>
      <c r="S16" s="38" t="n">
        <f aca="false">Q16-R16</f>
        <v>4532</v>
      </c>
      <c r="T16" s="35" t="n">
        <f aca="false">MAX(0,-S16)</f>
        <v>0</v>
      </c>
      <c r="U16" s="35" t="n">
        <f aca="false">IF(T16&gt;0,ROUNDUP(T16*(1+前提・入力!$B$34),0),0)</f>
        <v>0</v>
      </c>
      <c r="V16" s="72" t="s">
        <v>531</v>
      </c>
      <c r="W16" s="32"/>
      <c r="X16" s="69" t="str">
        <f aca="false">IF(V16="—","—",IF(W16="再生産不可","×再生産不可",_xlfn.IFS(W16-前提・入力!$B$38&lt;0,"★期限超過",W16-前提・入力!$B$38&lt;=30,"★至急(30日以内)",W16-前提・入力!$B$38&lt;=90,"要着手(90日以内)",TRUE(),"余裕あり")))</f>
        <v>—</v>
      </c>
      <c r="Y16" s="69" t="str">
        <f aca="false">IF(T16&gt;0,"★欠品：追加生産が必要",IF(S16&gt;=R16*2,"大幅余剰","在庫で充足"))</f>
        <v>大幅余剰</v>
      </c>
      <c r="Z16" s="39"/>
      <c r="AA16" s="72"/>
    </row>
    <row r="17" customFormat="false" ht="15" hidden="false" customHeight="false" outlineLevel="0" collapsed="false">
      <c r="A17" s="32" t="n">
        <v>11</v>
      </c>
      <c r="B17" s="32" t="s">
        <v>306</v>
      </c>
      <c r="C17" s="33" t="s">
        <v>307</v>
      </c>
      <c r="D17" s="34" t="n">
        <v>600</v>
      </c>
      <c r="E17" s="35" t="n">
        <v>785</v>
      </c>
      <c r="F17" s="35" t="n">
        <v>748</v>
      </c>
      <c r="G17" s="35" t="n">
        <v>718</v>
      </c>
      <c r="H17" s="35" t="n">
        <v>640</v>
      </c>
      <c r="I17" s="35" t="n">
        <v>588</v>
      </c>
      <c r="J17" s="34" t="n">
        <f aca="false">H17*D17</f>
        <v>384000</v>
      </c>
      <c r="K17" s="35" t="n">
        <v>50</v>
      </c>
      <c r="L17" s="35" t="n">
        <v>29</v>
      </c>
      <c r="M17" s="35" t="n">
        <v>0</v>
      </c>
      <c r="N17" s="35" t="n">
        <f aca="false">①石川予測確定!S17</f>
        <v>79</v>
      </c>
      <c r="O17" s="35" t="n">
        <f aca="false">①石川予測確定!P17</f>
        <v>8</v>
      </c>
      <c r="P17" s="35" t="n">
        <f aca="false">IF(I17="",H17-K17,I17)</f>
        <v>588</v>
      </c>
      <c r="Q17" s="35" t="n">
        <f aca="false">P17+L17-M17-O17</f>
        <v>609</v>
      </c>
      <c r="R17" s="35" t="n">
        <f aca="false">③仙台以降予測!M40</f>
        <v>121</v>
      </c>
      <c r="S17" s="38" t="n">
        <f aca="false">Q17-R17</f>
        <v>488</v>
      </c>
      <c r="T17" s="35" t="n">
        <f aca="false">MAX(0,-S17)</f>
        <v>0</v>
      </c>
      <c r="U17" s="35" t="n">
        <f aca="false">IF(T17&gt;0,ROUNDUP(T17*(1+前提・入力!$B$34),0),0)</f>
        <v>0</v>
      </c>
      <c r="V17" s="72" t="s">
        <v>531</v>
      </c>
      <c r="W17" s="32"/>
      <c r="X17" s="69" t="str">
        <f aca="false">IF(V17="—","—",IF(W17="再生産不可","×再生産不可",_xlfn.IFS(W17-前提・入力!$B$38&lt;0,"★期限超過",W17-前提・入力!$B$38&lt;=30,"★至急(30日以内)",W17-前提・入力!$B$38&lt;=90,"要着手(90日以内)",TRUE(),"余裕あり")))</f>
        <v>—</v>
      </c>
      <c r="Y17" s="69" t="str">
        <f aca="false">IF(T17&gt;0,"★欠品：追加生産が必要",IF(S17&gt;=R17*2,"大幅余剰","在庫で充足"))</f>
        <v>大幅余剰</v>
      </c>
      <c r="Z17" s="39"/>
      <c r="AA17" s="72"/>
    </row>
    <row r="18" customFormat="false" ht="15" hidden="false" customHeight="false" outlineLevel="0" collapsed="false">
      <c r="A18" s="32" t="n">
        <v>12</v>
      </c>
      <c r="B18" s="32" t="s">
        <v>308</v>
      </c>
      <c r="C18" s="33" t="s">
        <v>309</v>
      </c>
      <c r="D18" s="34" t="n">
        <v>600</v>
      </c>
      <c r="E18" s="35" t="n">
        <v>1209</v>
      </c>
      <c r="F18" s="35" t="n">
        <v>1149</v>
      </c>
      <c r="G18" s="35" t="n">
        <v>1095</v>
      </c>
      <c r="H18" s="35" t="n">
        <v>953</v>
      </c>
      <c r="I18" s="35" t="n">
        <v>901</v>
      </c>
      <c r="J18" s="34" t="n">
        <f aca="false">H18*D18</f>
        <v>571800</v>
      </c>
      <c r="K18" s="35" t="n">
        <v>50</v>
      </c>
      <c r="L18" s="35" t="n">
        <v>7</v>
      </c>
      <c r="M18" s="35" t="n">
        <v>0</v>
      </c>
      <c r="N18" s="35" t="n">
        <f aca="false">①石川予測確定!S18</f>
        <v>107</v>
      </c>
      <c r="O18" s="35" t="n">
        <f aca="false">①石川予測確定!P18</f>
        <v>17</v>
      </c>
      <c r="P18" s="35" t="n">
        <f aca="false">IF(I18="",H18-K18,I18)</f>
        <v>901</v>
      </c>
      <c r="Q18" s="35" t="n">
        <f aca="false">P18+L18-M18-O18</f>
        <v>891</v>
      </c>
      <c r="R18" s="35" t="n">
        <f aca="false">③仙台以降予測!M41</f>
        <v>251</v>
      </c>
      <c r="S18" s="38" t="n">
        <f aca="false">Q18-R18</f>
        <v>640</v>
      </c>
      <c r="T18" s="35" t="n">
        <f aca="false">MAX(0,-S18)</f>
        <v>0</v>
      </c>
      <c r="U18" s="35" t="n">
        <f aca="false">IF(T18&gt;0,ROUNDUP(T18*(1+前提・入力!$B$34),0),0)</f>
        <v>0</v>
      </c>
      <c r="V18" s="72" t="s">
        <v>531</v>
      </c>
      <c r="W18" s="32"/>
      <c r="X18" s="69" t="str">
        <f aca="false">IF(V18="—","—",IF(W18="再生産不可","×再生産不可",_xlfn.IFS(W18-前提・入力!$B$38&lt;0,"★期限超過",W18-前提・入力!$B$38&lt;=30,"★至急(30日以内)",W18-前提・入力!$B$38&lt;=90,"要着手(90日以内)",TRUE(),"余裕あり")))</f>
        <v>—</v>
      </c>
      <c r="Y18" s="69" t="str">
        <f aca="false">IF(T18&gt;0,"★欠品：追加生産が必要",IF(S18&gt;=R18*2,"大幅余剰","在庫で充足"))</f>
        <v>大幅余剰</v>
      </c>
      <c r="Z18" s="39"/>
      <c r="AA18" s="72"/>
    </row>
    <row r="19" customFormat="false" ht="15" hidden="false" customHeight="false" outlineLevel="0" collapsed="false">
      <c r="A19" s="32" t="n">
        <v>13</v>
      </c>
      <c r="B19" s="32" t="s">
        <v>310</v>
      </c>
      <c r="C19" s="33" t="s">
        <v>311</v>
      </c>
      <c r="D19" s="34" t="n">
        <v>600</v>
      </c>
      <c r="E19" s="35" t="n">
        <v>401</v>
      </c>
      <c r="F19" s="35" t="n">
        <v>385</v>
      </c>
      <c r="G19" s="35" t="n">
        <v>363</v>
      </c>
      <c r="H19" s="35" t="n">
        <v>320</v>
      </c>
      <c r="I19" s="35" t="n">
        <v>269</v>
      </c>
      <c r="J19" s="34" t="n">
        <f aca="false">H19*D19</f>
        <v>192000</v>
      </c>
      <c r="K19" s="35" t="n">
        <v>50</v>
      </c>
      <c r="L19" s="35" t="n">
        <v>42</v>
      </c>
      <c r="M19" s="35" t="n">
        <v>0</v>
      </c>
      <c r="N19" s="35" t="n">
        <f aca="false">①石川予測確定!S19</f>
        <v>52</v>
      </c>
      <c r="O19" s="35" t="n">
        <f aca="false">①石川予測確定!P19</f>
        <v>6</v>
      </c>
      <c r="P19" s="35" t="n">
        <f aca="false">IF(I19="",H19-K19,I19)</f>
        <v>269</v>
      </c>
      <c r="Q19" s="35" t="n">
        <f aca="false">P19+L19-M19-O19</f>
        <v>305</v>
      </c>
      <c r="R19" s="35" t="n">
        <f aca="false">③仙台以降予測!M42</f>
        <v>64</v>
      </c>
      <c r="S19" s="38" t="n">
        <f aca="false">Q19-R19</f>
        <v>241</v>
      </c>
      <c r="T19" s="35" t="n">
        <f aca="false">MAX(0,-S19)</f>
        <v>0</v>
      </c>
      <c r="U19" s="35" t="n">
        <f aca="false">IF(T19&gt;0,ROUNDUP(T19*(1+前提・入力!$B$34),0),0)</f>
        <v>0</v>
      </c>
      <c r="V19" s="72" t="s">
        <v>531</v>
      </c>
      <c r="W19" s="32"/>
      <c r="X19" s="69" t="str">
        <f aca="false">IF(V19="—","—",IF(W19="再生産不可","×再生産不可",_xlfn.IFS(W19-前提・入力!$B$38&lt;0,"★期限超過",W19-前提・入力!$B$38&lt;=30,"★至急(30日以内)",W19-前提・入力!$B$38&lt;=90,"要着手(90日以内)",TRUE(),"余裕あり")))</f>
        <v>—</v>
      </c>
      <c r="Y19" s="69" t="str">
        <f aca="false">IF(T19&gt;0,"★欠品：追加生産が必要",IF(S19&gt;=R19*2,"大幅余剰","在庫で充足"))</f>
        <v>大幅余剰</v>
      </c>
      <c r="Z19" s="39"/>
      <c r="AA19" s="72"/>
    </row>
    <row r="20" customFormat="false" ht="15" hidden="false" customHeight="false" outlineLevel="0" collapsed="false">
      <c r="A20" s="32" t="n">
        <v>14</v>
      </c>
      <c r="B20" s="32" t="s">
        <v>312</v>
      </c>
      <c r="C20" s="33" t="s">
        <v>313</v>
      </c>
      <c r="D20" s="34" t="n">
        <v>600</v>
      </c>
      <c r="E20" s="35" t="n">
        <v>2089</v>
      </c>
      <c r="F20" s="35" t="n">
        <v>2016</v>
      </c>
      <c r="G20" s="35" t="n">
        <v>1936</v>
      </c>
      <c r="H20" s="35" t="n">
        <v>1790</v>
      </c>
      <c r="I20" s="35" t="n">
        <v>1740</v>
      </c>
      <c r="J20" s="34" t="n">
        <f aca="false">H20*D20</f>
        <v>1074000</v>
      </c>
      <c r="K20" s="35" t="n">
        <v>50</v>
      </c>
      <c r="L20" s="35" t="n">
        <v>3</v>
      </c>
      <c r="M20" s="35" t="n">
        <v>0</v>
      </c>
      <c r="N20" s="35" t="n">
        <f aca="false">①石川予測確定!S20</f>
        <v>53</v>
      </c>
      <c r="O20" s="35" t="n">
        <f aca="false">①石川予測確定!P20</f>
        <v>14</v>
      </c>
      <c r="P20" s="35" t="n">
        <f aca="false">IF(I20="",H20-K20,I20)</f>
        <v>1740</v>
      </c>
      <c r="Q20" s="35" t="n">
        <f aca="false">P20+L20-M20-O20</f>
        <v>1729</v>
      </c>
      <c r="R20" s="35" t="n">
        <f aca="false">③仙台以降予測!M43</f>
        <v>246</v>
      </c>
      <c r="S20" s="38" t="n">
        <f aca="false">Q20-R20</f>
        <v>1483</v>
      </c>
      <c r="T20" s="35" t="n">
        <f aca="false">MAX(0,-S20)</f>
        <v>0</v>
      </c>
      <c r="U20" s="35" t="n">
        <f aca="false">IF(T20&gt;0,ROUNDUP(T20*(1+前提・入力!$B$34),0),0)</f>
        <v>0</v>
      </c>
      <c r="V20" s="72" t="s">
        <v>531</v>
      </c>
      <c r="W20" s="32"/>
      <c r="X20" s="69" t="str">
        <f aca="false">IF(V20="—","—",IF(W20="再生産不可","×再生産不可",_xlfn.IFS(W20-前提・入力!$B$38&lt;0,"★期限超過",W20-前提・入力!$B$38&lt;=30,"★至急(30日以内)",W20-前提・入力!$B$38&lt;=90,"要着手(90日以内)",TRUE(),"余裕あり")))</f>
        <v>—</v>
      </c>
      <c r="Y20" s="69" t="str">
        <f aca="false">IF(T20&gt;0,"★欠品：追加生産が必要",IF(S20&gt;=R20*2,"大幅余剰","在庫で充足"))</f>
        <v>大幅余剰</v>
      </c>
      <c r="Z20" s="39"/>
      <c r="AA20" s="72"/>
    </row>
    <row r="21" customFormat="false" ht="15" hidden="false" customHeight="false" outlineLevel="0" collapsed="false">
      <c r="A21" s="32" t="n">
        <v>15</v>
      </c>
      <c r="B21" s="32" t="s">
        <v>314</v>
      </c>
      <c r="C21" s="33" t="s">
        <v>315</v>
      </c>
      <c r="D21" s="34" t="n">
        <v>600</v>
      </c>
      <c r="E21" s="35" t="n">
        <v>2529</v>
      </c>
      <c r="F21" s="35" t="n">
        <v>2429</v>
      </c>
      <c r="G21" s="35" t="n">
        <v>2329</v>
      </c>
      <c r="H21" s="35" t="n">
        <v>2131</v>
      </c>
      <c r="I21" s="35" t="n">
        <v>2031</v>
      </c>
      <c r="J21" s="34" t="n">
        <f aca="false">H21*D21</f>
        <v>1278600</v>
      </c>
      <c r="K21" s="35" t="n">
        <v>100</v>
      </c>
      <c r="L21" s="35" t="n">
        <v>46</v>
      </c>
      <c r="M21" s="35" t="n">
        <v>0</v>
      </c>
      <c r="N21" s="35" t="n">
        <f aca="false">①石川予測確定!S21</f>
        <v>96</v>
      </c>
      <c r="O21" s="35" t="n">
        <f aca="false">①石川予測確定!P21</f>
        <v>23</v>
      </c>
      <c r="P21" s="35" t="n">
        <f aca="false">IF(I21="",H21-K21,I21)</f>
        <v>2031</v>
      </c>
      <c r="Q21" s="35" t="n">
        <f aca="false">P21+L21-M21-O21</f>
        <v>2054</v>
      </c>
      <c r="R21" s="35" t="n">
        <f aca="false">③仙台以降予測!M44</f>
        <v>324</v>
      </c>
      <c r="S21" s="38" t="n">
        <f aca="false">Q21-R21</f>
        <v>1730</v>
      </c>
      <c r="T21" s="35" t="n">
        <f aca="false">MAX(0,-S21)</f>
        <v>0</v>
      </c>
      <c r="U21" s="35" t="n">
        <f aca="false">IF(T21&gt;0,ROUNDUP(T21*(1+前提・入力!$B$34),0),0)</f>
        <v>0</v>
      </c>
      <c r="V21" s="72" t="s">
        <v>531</v>
      </c>
      <c r="W21" s="32"/>
      <c r="X21" s="69" t="str">
        <f aca="false">IF(V21="—","—",IF(W21="再生産不可","×再生産不可",_xlfn.IFS(W21-前提・入力!$B$38&lt;0,"★期限超過",W21-前提・入力!$B$38&lt;=30,"★至急(30日以内)",W21-前提・入力!$B$38&lt;=90,"要着手(90日以内)",TRUE(),"余裕あり")))</f>
        <v>—</v>
      </c>
      <c r="Y21" s="69" t="str">
        <f aca="false">IF(T21&gt;0,"★欠品：追加生産が必要",IF(S21&gt;=R21*2,"大幅余剰","在庫で充足"))</f>
        <v>大幅余剰</v>
      </c>
      <c r="Z21" s="39"/>
      <c r="AA21" s="72"/>
    </row>
    <row r="22" customFormat="false" ht="15" hidden="false" customHeight="false" outlineLevel="0" collapsed="false">
      <c r="A22" s="32" t="n">
        <v>16</v>
      </c>
      <c r="B22" s="32" t="s">
        <v>316</v>
      </c>
      <c r="C22" s="33" t="s">
        <v>317</v>
      </c>
      <c r="D22" s="34" t="n">
        <v>600</v>
      </c>
      <c r="E22" s="35" t="n">
        <v>905</v>
      </c>
      <c r="F22" s="35" t="n">
        <v>867</v>
      </c>
      <c r="G22" s="35" t="n">
        <v>837</v>
      </c>
      <c r="H22" s="35" t="n">
        <v>772</v>
      </c>
      <c r="I22" s="35" t="n">
        <v>722</v>
      </c>
      <c r="J22" s="34" t="n">
        <f aca="false">H22*D22</f>
        <v>463200</v>
      </c>
      <c r="K22" s="35" t="n">
        <v>50</v>
      </c>
      <c r="L22" s="35" t="n">
        <v>28</v>
      </c>
      <c r="M22" s="35" t="n">
        <v>0</v>
      </c>
      <c r="N22" s="35" t="n">
        <f aca="false">①石川予測確定!S22</f>
        <v>78</v>
      </c>
      <c r="O22" s="35" t="n">
        <f aca="false">①石川予測確定!P22</f>
        <v>6</v>
      </c>
      <c r="P22" s="35" t="n">
        <f aca="false">IF(I22="",H22-K22,I22)</f>
        <v>722</v>
      </c>
      <c r="Q22" s="35" t="n">
        <f aca="false">P22+L22-M22-O22</f>
        <v>744</v>
      </c>
      <c r="R22" s="35" t="n">
        <f aca="false">③仙台以降予測!M45</f>
        <v>112</v>
      </c>
      <c r="S22" s="38" t="n">
        <f aca="false">Q22-R22</f>
        <v>632</v>
      </c>
      <c r="T22" s="35" t="n">
        <f aca="false">MAX(0,-S22)</f>
        <v>0</v>
      </c>
      <c r="U22" s="35" t="n">
        <f aca="false">IF(T22&gt;0,ROUNDUP(T22*(1+前提・入力!$B$34),0),0)</f>
        <v>0</v>
      </c>
      <c r="V22" s="72" t="s">
        <v>531</v>
      </c>
      <c r="W22" s="32"/>
      <c r="X22" s="69" t="str">
        <f aca="false">IF(V22="—","—",IF(W22="再生産不可","×再生産不可",_xlfn.IFS(W22-前提・入力!$B$38&lt;0,"★期限超過",W22-前提・入力!$B$38&lt;=30,"★至急(30日以内)",W22-前提・入力!$B$38&lt;=90,"要着手(90日以内)",TRUE(),"余裕あり")))</f>
        <v>—</v>
      </c>
      <c r="Y22" s="69" t="str">
        <f aca="false">IF(T22&gt;0,"★欠品：追加生産が必要",IF(S22&gt;=R22*2,"大幅余剰","在庫で充足"))</f>
        <v>大幅余剰</v>
      </c>
      <c r="Z22" s="39"/>
      <c r="AA22" s="72"/>
    </row>
    <row r="23" customFormat="false" ht="15" hidden="false" customHeight="false" outlineLevel="0" collapsed="false">
      <c r="A23" s="32" t="n">
        <v>17</v>
      </c>
      <c r="B23" s="32" t="s">
        <v>318</v>
      </c>
      <c r="C23" s="33" t="s">
        <v>319</v>
      </c>
      <c r="D23" s="34" t="n">
        <v>600</v>
      </c>
      <c r="E23" s="35" t="n">
        <v>3008</v>
      </c>
      <c r="F23" s="35" t="n">
        <v>2885</v>
      </c>
      <c r="G23" s="35" t="n">
        <v>2785</v>
      </c>
      <c r="H23" s="35" t="n">
        <v>2523</v>
      </c>
      <c r="I23" s="35" t="n">
        <v>2421</v>
      </c>
      <c r="J23" s="34" t="n">
        <f aca="false">H23*D23</f>
        <v>1513800</v>
      </c>
      <c r="K23" s="35" t="n">
        <v>100</v>
      </c>
      <c r="L23" s="35" t="n">
        <v>0</v>
      </c>
      <c r="M23" s="35" t="n">
        <v>0</v>
      </c>
      <c r="N23" s="35" t="n">
        <f aca="false">①石川予測確定!S23</f>
        <v>200</v>
      </c>
      <c r="O23" s="35" t="n">
        <f aca="false">①石川予測確定!P23</f>
        <v>41</v>
      </c>
      <c r="P23" s="35" t="n">
        <f aca="false">IF(I23="",H23-K23,I23)</f>
        <v>2421</v>
      </c>
      <c r="Q23" s="35" t="n">
        <f aca="false">P23+L23-M23-O23</f>
        <v>2380</v>
      </c>
      <c r="R23" s="35" t="n">
        <f aca="false">③仙台以降予測!M46</f>
        <v>592</v>
      </c>
      <c r="S23" s="38" t="n">
        <f aca="false">Q23-R23</f>
        <v>1788</v>
      </c>
      <c r="T23" s="35" t="n">
        <f aca="false">MAX(0,-S23)</f>
        <v>0</v>
      </c>
      <c r="U23" s="35" t="n">
        <f aca="false">IF(T23&gt;0,ROUNDUP(T23*(1+前提・入力!$B$34),0),0)</f>
        <v>0</v>
      </c>
      <c r="V23" s="72" t="s">
        <v>531</v>
      </c>
      <c r="W23" s="32"/>
      <c r="X23" s="69" t="str">
        <f aca="false">IF(V23="—","—",IF(W23="再生産不可","×再生産不可",_xlfn.IFS(W23-前提・入力!$B$38&lt;0,"★期限超過",W23-前提・入力!$B$38&lt;=30,"★至急(30日以内)",W23-前提・入力!$B$38&lt;=90,"要着手(90日以内)",TRUE(),"余裕あり")))</f>
        <v>—</v>
      </c>
      <c r="Y23" s="69" t="str">
        <f aca="false">IF(T23&gt;0,"★欠品：追加生産が必要",IF(S23&gt;=R23*2,"大幅余剰","在庫で充足"))</f>
        <v>大幅余剰</v>
      </c>
      <c r="Z23" s="39"/>
      <c r="AA23" s="72"/>
    </row>
    <row r="24" customFormat="false" ht="37.3" hidden="false" customHeight="false" outlineLevel="0" collapsed="false">
      <c r="A24" s="32" t="n">
        <v>18</v>
      </c>
      <c r="B24" s="32" t="s">
        <v>320</v>
      </c>
      <c r="C24" s="33" t="s">
        <v>321</v>
      </c>
      <c r="D24" s="34" t="n">
        <v>600</v>
      </c>
      <c r="E24" s="35" t="n">
        <v>6837</v>
      </c>
      <c r="F24" s="35" t="n">
        <v>12650</v>
      </c>
      <c r="G24" s="35" t="n">
        <v>11750</v>
      </c>
      <c r="H24" s="35" t="n">
        <v>9725</v>
      </c>
      <c r="I24" s="35" t="n">
        <v>8225</v>
      </c>
      <c r="J24" s="34" t="n">
        <f aca="false">H24*D24</f>
        <v>5835000</v>
      </c>
      <c r="K24" s="35" t="n">
        <v>1500</v>
      </c>
      <c r="L24" s="35" t="n">
        <v>1057</v>
      </c>
      <c r="M24" s="35" t="n">
        <v>4</v>
      </c>
      <c r="N24" s="35" t="n">
        <f aca="false">①石川予測確定!S24</f>
        <v>1157</v>
      </c>
      <c r="O24" s="35" t="n">
        <f aca="false">①石川予測確定!P24</f>
        <v>152</v>
      </c>
      <c r="P24" s="35" t="n">
        <f aca="false">IF(I24="",H24-K24,I24)</f>
        <v>8225</v>
      </c>
      <c r="Q24" s="35" t="n">
        <f aca="false">P24+L24-M24-O24</f>
        <v>9126</v>
      </c>
      <c r="R24" s="35" t="n">
        <f aca="false">③仙台以降予測!M47</f>
        <v>2444</v>
      </c>
      <c r="S24" s="38" t="n">
        <f aca="false">Q24-R24</f>
        <v>6682</v>
      </c>
      <c r="T24" s="35" t="n">
        <f aca="false">MAX(0,-S24)</f>
        <v>0</v>
      </c>
      <c r="U24" s="35" t="n">
        <f aca="false">IF(T24&gt;0,ROUNDUP(T24*(1+前提・入力!$B$34),0),0)</f>
        <v>0</v>
      </c>
      <c r="V24" s="72" t="s">
        <v>531</v>
      </c>
      <c r="W24" s="32"/>
      <c r="X24" s="69" t="str">
        <f aca="false">IF(V24="—","—",IF(W24="再生産不可","×再生産不可",_xlfn.IFS(W24-前提・入力!$B$38&lt;0,"★期限超過",W24-前提・入力!$B$38&lt;=30,"★至急(30日以内)",W24-前提・入力!$B$38&lt;=90,"要着手(90日以内)",TRUE(),"余裕あり")))</f>
        <v>—</v>
      </c>
      <c r="Y24" s="69" t="str">
        <f aca="false">IF(T24&gt;0,"★欠品：追加生産が必要",IF(S24&gt;=R24*2,"大幅余剰","在庫で充足"))</f>
        <v>大幅余剰</v>
      </c>
      <c r="Z24" s="39"/>
      <c r="AA24" s="69" t="s">
        <v>689</v>
      </c>
    </row>
    <row r="25" customFormat="false" ht="15" hidden="false" customHeight="false" outlineLevel="0" collapsed="false">
      <c r="A25" s="32" t="n">
        <v>19</v>
      </c>
      <c r="B25" s="32" t="s">
        <v>322</v>
      </c>
      <c r="C25" s="33" t="s">
        <v>323</v>
      </c>
      <c r="D25" s="34" t="n">
        <v>600</v>
      </c>
      <c r="E25" s="35" t="n">
        <v>2332</v>
      </c>
      <c r="F25" s="35" t="n">
        <v>2305</v>
      </c>
      <c r="G25" s="35" t="n">
        <v>2285</v>
      </c>
      <c r="H25" s="35" t="n">
        <v>2240</v>
      </c>
      <c r="I25" s="35" t="n">
        <v>2190</v>
      </c>
      <c r="J25" s="34" t="n">
        <f aca="false">H25*D25</f>
        <v>1344000</v>
      </c>
      <c r="K25" s="35" t="n">
        <v>50</v>
      </c>
      <c r="L25" s="35" t="n">
        <v>29</v>
      </c>
      <c r="M25" s="35" t="n">
        <v>0</v>
      </c>
      <c r="N25" s="35" t="n">
        <f aca="false">①石川予測確定!S25</f>
        <v>129</v>
      </c>
      <c r="O25" s="35" t="n">
        <f aca="false">①石川予測確定!P25</f>
        <v>5</v>
      </c>
      <c r="P25" s="35" t="n">
        <f aca="false">IF(I25="",H25-K25,I25)</f>
        <v>2190</v>
      </c>
      <c r="Q25" s="35" t="n">
        <f aca="false">P25+L25-M25-O25</f>
        <v>2214</v>
      </c>
      <c r="R25" s="35" t="n">
        <f aca="false">③仙台以降予測!M48</f>
        <v>103</v>
      </c>
      <c r="S25" s="38" t="n">
        <f aca="false">Q25-R25</f>
        <v>2111</v>
      </c>
      <c r="T25" s="35" t="n">
        <f aca="false">MAX(0,-S25)</f>
        <v>0</v>
      </c>
      <c r="U25" s="35" t="n">
        <f aca="false">IF(T25&gt;0,ROUNDUP(T25*(1+前提・入力!$B$34),0),0)</f>
        <v>0</v>
      </c>
      <c r="V25" s="72" t="s">
        <v>531</v>
      </c>
      <c r="W25" s="32"/>
      <c r="X25" s="69" t="str">
        <f aca="false">IF(V25="—","—",IF(W25="再生産不可","×再生産不可",_xlfn.IFS(W25-前提・入力!$B$38&lt;0,"★期限超過",W25-前提・入力!$B$38&lt;=30,"★至急(30日以内)",W25-前提・入力!$B$38&lt;=90,"要着手(90日以内)",TRUE(),"余裕あり")))</f>
        <v>—</v>
      </c>
      <c r="Y25" s="69" t="str">
        <f aca="false">IF(T25&gt;0,"★欠品：追加生産が必要",IF(S25&gt;=R25*2,"大幅余剰","在庫で充足"))</f>
        <v>大幅余剰</v>
      </c>
      <c r="Z25" s="39"/>
      <c r="AA25" s="72"/>
    </row>
    <row r="26" customFormat="false" ht="15" hidden="false" customHeight="false" outlineLevel="0" collapsed="false">
      <c r="A26" s="32" t="n">
        <v>20</v>
      </c>
      <c r="B26" s="32" t="s">
        <v>324</v>
      </c>
      <c r="C26" s="33" t="s">
        <v>325</v>
      </c>
      <c r="D26" s="34" t="n">
        <v>600</v>
      </c>
      <c r="E26" s="35" t="n">
        <v>382</v>
      </c>
      <c r="F26" s="35" t="n">
        <v>359</v>
      </c>
      <c r="G26" s="35" t="n">
        <v>344</v>
      </c>
      <c r="H26" s="35" t="n">
        <v>302</v>
      </c>
      <c r="I26" s="35" t="n">
        <v>271</v>
      </c>
      <c r="J26" s="34" t="n">
        <f aca="false">H26*D26</f>
        <v>181200</v>
      </c>
      <c r="K26" s="35" t="n">
        <v>30</v>
      </c>
      <c r="L26" s="35" t="n">
        <v>12</v>
      </c>
      <c r="M26" s="35" t="n">
        <v>0</v>
      </c>
      <c r="N26" s="35" t="n">
        <f aca="false">①石川予測確定!S26</f>
        <v>17</v>
      </c>
      <c r="O26" s="35" t="n">
        <f aca="false">①石川予測確定!P26</f>
        <v>7</v>
      </c>
      <c r="P26" s="35" t="n">
        <f aca="false">IF(I26="",H26-K26,I26)</f>
        <v>271</v>
      </c>
      <c r="Q26" s="35" t="n">
        <f aca="false">P26+L26-M26-O26</f>
        <v>276</v>
      </c>
      <c r="R26" s="35" t="n">
        <f aca="false">③仙台以降予測!M49</f>
        <v>104</v>
      </c>
      <c r="S26" s="38" t="n">
        <f aca="false">Q26-R26</f>
        <v>172</v>
      </c>
      <c r="T26" s="35" t="n">
        <f aca="false">MAX(0,-S26)</f>
        <v>0</v>
      </c>
      <c r="U26" s="35" t="n">
        <f aca="false">IF(T26&gt;0,ROUNDUP(T26*(1+前提・入力!$B$34),0),0)</f>
        <v>0</v>
      </c>
      <c r="V26" s="72" t="s">
        <v>531</v>
      </c>
      <c r="W26" s="32"/>
      <c r="X26" s="69" t="str">
        <f aca="false">IF(V26="—","—",IF(W26="再生産不可","×再生産不可",_xlfn.IFS(W26-前提・入力!$B$38&lt;0,"★期限超過",W26-前提・入力!$B$38&lt;=30,"★至急(30日以内)",W26-前提・入力!$B$38&lt;=90,"要着手(90日以内)",TRUE(),"余裕あり")))</f>
        <v>—</v>
      </c>
      <c r="Y26" s="69" t="str">
        <f aca="false">IF(T26&gt;0,"★欠品：追加生産が必要",IF(S26&gt;=R26*2,"大幅余剰","在庫で充足"))</f>
        <v>在庫で充足</v>
      </c>
      <c r="Z26" s="39"/>
      <c r="AA26" s="72"/>
    </row>
    <row r="27" customFormat="false" ht="15" hidden="false" customHeight="false" outlineLevel="0" collapsed="false">
      <c r="A27" s="32" t="n">
        <v>21</v>
      </c>
      <c r="B27" s="32" t="s">
        <v>326</v>
      </c>
      <c r="C27" s="33" t="s">
        <v>327</v>
      </c>
      <c r="D27" s="34" t="n">
        <v>600</v>
      </c>
      <c r="E27" s="35" t="n">
        <v>150</v>
      </c>
      <c r="F27" s="35" t="n">
        <v>710</v>
      </c>
      <c r="G27" s="35" t="n">
        <v>560</v>
      </c>
      <c r="H27" s="35" t="n">
        <v>308</v>
      </c>
      <c r="I27" s="35" t="n">
        <v>208</v>
      </c>
      <c r="J27" s="34" t="n">
        <f aca="false">H27*D27</f>
        <v>184800</v>
      </c>
      <c r="K27" s="35" t="n">
        <v>100</v>
      </c>
      <c r="L27" s="35" t="n">
        <v>12</v>
      </c>
      <c r="M27" s="35" t="n">
        <v>0</v>
      </c>
      <c r="N27" s="35" t="n">
        <f aca="false">①石川予測確定!S27</f>
        <v>32</v>
      </c>
      <c r="O27" s="35" t="n">
        <f aca="false">①石川予測確定!P27</f>
        <v>30</v>
      </c>
      <c r="P27" s="35" t="n">
        <f aca="false">IF(I27="",H27-K27,I27)</f>
        <v>208</v>
      </c>
      <c r="Q27" s="35" t="n">
        <f aca="false">P27+L27-M27-O27</f>
        <v>190</v>
      </c>
      <c r="R27" s="35" t="n">
        <f aca="false">③仙台以降予測!M50</f>
        <v>484</v>
      </c>
      <c r="S27" s="38" t="n">
        <f aca="false">Q27-R27</f>
        <v>-294</v>
      </c>
      <c r="T27" s="35" t="n">
        <f aca="false">MAX(0,-S27)</f>
        <v>294</v>
      </c>
      <c r="U27" s="35" t="n">
        <f aca="false">IF(T27&gt;0,ROUNDUP(T27*(1+前提・入力!$B$34),0),0)</f>
        <v>324</v>
      </c>
      <c r="V27" s="69" t="s">
        <v>385</v>
      </c>
      <c r="W27" s="70" t="n">
        <f aca="false">DATE(2027,3,15)-30-前提・入力!$B$37</f>
        <v>46417</v>
      </c>
      <c r="X27" s="69" t="str">
        <f aca="false">IF(V27="—","—",IF(W27="再生産不可","×再生産不可",_xlfn.IFS(W27-前提・入力!$B$38&lt;0,"★期限超過",W27-前提・入力!$B$38&lt;=30,"★至急(30日以内)",W27-前提・入力!$B$38&lt;=90,"要着手(90日以内)",TRUE(),"余裕あり")))</f>
        <v>余裕あり</v>
      </c>
      <c r="Y27" s="69" t="str">
        <f aca="false">IF(T27&gt;0,"★欠品：追加生産が必要",IF(S27&gt;=R27*2,"大幅余剰","在庫で充足"))</f>
        <v>★欠品：追加生産が必要</v>
      </c>
      <c r="Z27" s="39"/>
      <c r="AA27" s="72"/>
    </row>
    <row r="28" customFormat="false" ht="15" hidden="false" customHeight="false" outlineLevel="0" collapsed="false">
      <c r="A28" s="32" t="n">
        <v>22</v>
      </c>
      <c r="B28" s="32" t="s">
        <v>328</v>
      </c>
      <c r="C28" s="33" t="s">
        <v>329</v>
      </c>
      <c r="D28" s="34" t="n">
        <v>600</v>
      </c>
      <c r="E28" s="35" t="n">
        <v>1681</v>
      </c>
      <c r="F28" s="35" t="n">
        <v>1582</v>
      </c>
      <c r="G28" s="35" t="n">
        <v>1502</v>
      </c>
      <c r="H28" s="35" t="n">
        <v>1331</v>
      </c>
      <c r="I28" s="35" t="n">
        <v>1281</v>
      </c>
      <c r="J28" s="34" t="n">
        <f aca="false">H28*D28</f>
        <v>798600</v>
      </c>
      <c r="K28" s="35" t="n">
        <v>50</v>
      </c>
      <c r="L28" s="35" t="n">
        <v>0</v>
      </c>
      <c r="M28" s="35" t="n">
        <v>0</v>
      </c>
      <c r="N28" s="35" t="n">
        <f aca="false">①石川予測確定!S28</f>
        <v>150</v>
      </c>
      <c r="O28" s="35" t="n">
        <f aca="false">①石川予測確定!P28</f>
        <v>27</v>
      </c>
      <c r="P28" s="35" t="n">
        <f aca="false">IF(I28="",H28-K28,I28)</f>
        <v>1281</v>
      </c>
      <c r="Q28" s="35" t="n">
        <f aca="false">P28+L28-M28-O28</f>
        <v>1254</v>
      </c>
      <c r="R28" s="35" t="n">
        <f aca="false">③仙台以降予測!M51</f>
        <v>335</v>
      </c>
      <c r="S28" s="38" t="n">
        <f aca="false">Q28-R28</f>
        <v>919</v>
      </c>
      <c r="T28" s="35" t="n">
        <f aca="false">MAX(0,-S28)</f>
        <v>0</v>
      </c>
      <c r="U28" s="35" t="n">
        <f aca="false">IF(T28&gt;0,ROUNDUP(T28*(1+前提・入力!$B$34),0),0)</f>
        <v>0</v>
      </c>
      <c r="V28" s="72" t="s">
        <v>531</v>
      </c>
      <c r="W28" s="32"/>
      <c r="X28" s="69" t="str">
        <f aca="false">IF(V28="—","—",IF(W28="再生産不可","×再生産不可",_xlfn.IFS(W28-前提・入力!$B$38&lt;0,"★期限超過",W28-前提・入力!$B$38&lt;=30,"★至急(30日以内)",W28-前提・入力!$B$38&lt;=90,"要着手(90日以内)",TRUE(),"余裕あり")))</f>
        <v>—</v>
      </c>
      <c r="Y28" s="69" t="str">
        <f aca="false">IF(T28&gt;0,"★欠品：追加生産が必要",IF(S28&gt;=R28*2,"大幅余剰","在庫で充足"))</f>
        <v>大幅余剰</v>
      </c>
      <c r="Z28" s="39"/>
      <c r="AA28" s="72"/>
    </row>
    <row r="29" customFormat="false" ht="15" hidden="false" customHeight="false" outlineLevel="0" collapsed="false">
      <c r="A29" s="32" t="n">
        <v>23</v>
      </c>
      <c r="B29" s="32" t="s">
        <v>330</v>
      </c>
      <c r="C29" s="33" t="s">
        <v>331</v>
      </c>
      <c r="D29" s="34" t="n">
        <v>600</v>
      </c>
      <c r="E29" s="35" t="n">
        <v>3581</v>
      </c>
      <c r="F29" s="35" t="n">
        <v>34570</v>
      </c>
      <c r="G29" s="35" t="n">
        <v>64969</v>
      </c>
      <c r="H29" s="35" t="n">
        <v>52199</v>
      </c>
      <c r="I29" s="35" t="n">
        <v>41196</v>
      </c>
      <c r="J29" s="34" t="n">
        <f aca="false">H29*D29</f>
        <v>31319400</v>
      </c>
      <c r="K29" s="35" t="n">
        <v>11000</v>
      </c>
      <c r="L29" s="35" t="n">
        <v>8825</v>
      </c>
      <c r="M29" s="35" t="n">
        <v>0</v>
      </c>
      <c r="N29" s="35" t="n">
        <f aca="false">①石川予測確定!S29</f>
        <v>9325</v>
      </c>
      <c r="O29" s="35" t="n">
        <f aca="false">①石川予測確定!P29</f>
        <v>1292</v>
      </c>
      <c r="P29" s="35" t="n">
        <f aca="false">IF(I29="",H29-K29,I29)</f>
        <v>41196</v>
      </c>
      <c r="Q29" s="35" t="n">
        <f aca="false">P29+L29-M29-O29</f>
        <v>48729</v>
      </c>
      <c r="R29" s="35" t="n">
        <f aca="false">③仙台以降予測!M52</f>
        <v>15263</v>
      </c>
      <c r="S29" s="38" t="n">
        <f aca="false">Q29-R29</f>
        <v>33466</v>
      </c>
      <c r="T29" s="35" t="n">
        <f aca="false">MAX(0,-S29)</f>
        <v>0</v>
      </c>
      <c r="U29" s="35" t="n">
        <f aca="false">IF(T29&gt;0,ROUNDUP(T29*(1+前提・入力!$B$34),0),0)</f>
        <v>0</v>
      </c>
      <c r="V29" s="72" t="s">
        <v>531</v>
      </c>
      <c r="W29" s="32"/>
      <c r="X29" s="69" t="str">
        <f aca="false">IF(V29="—","—",IF(W29="再生産不可","×再生産不可",_xlfn.IFS(W29-前提・入力!$B$38&lt;0,"★期限超過",W29-前提・入力!$B$38&lt;=30,"★至急(30日以内)",W29-前提・入力!$B$38&lt;=90,"要着手(90日以内)",TRUE(),"余裕あり")))</f>
        <v>—</v>
      </c>
      <c r="Y29" s="69" t="str">
        <f aca="false">IF(T29&gt;0,"★欠品：追加生産が必要",IF(S29&gt;=R29*2,"大幅余剰","在庫で充足"))</f>
        <v>大幅余剰</v>
      </c>
      <c r="Z29" s="39"/>
      <c r="AA29" s="72"/>
    </row>
    <row r="30" customFormat="false" ht="15" hidden="false" customHeight="false" outlineLevel="0" collapsed="false">
      <c r="A30" s="32" t="n">
        <v>24</v>
      </c>
      <c r="B30" s="32" t="s">
        <v>332</v>
      </c>
      <c r="C30" s="33" t="s">
        <v>333</v>
      </c>
      <c r="D30" s="34" t="n">
        <v>600</v>
      </c>
      <c r="E30" s="35" t="n">
        <v>0</v>
      </c>
      <c r="F30" s="35" t="n">
        <v>9454</v>
      </c>
      <c r="G30" s="35" t="n">
        <v>39226</v>
      </c>
      <c r="H30" s="35" t="n">
        <v>32220</v>
      </c>
      <c r="I30" s="35" t="n">
        <v>24211</v>
      </c>
      <c r="J30" s="34" t="n">
        <f aca="false">H30*D30</f>
        <v>19332000</v>
      </c>
      <c r="K30" s="35" t="n">
        <v>8000</v>
      </c>
      <c r="L30" s="35" t="n">
        <v>6784</v>
      </c>
      <c r="M30" s="35" t="n">
        <v>0</v>
      </c>
      <c r="N30" s="35" t="n">
        <f aca="false">①石川予測確定!S30</f>
        <v>7284</v>
      </c>
      <c r="O30" s="35" t="n">
        <f aca="false">①石川予測確定!P30</f>
        <v>865</v>
      </c>
      <c r="P30" s="35" t="n">
        <f aca="false">IF(I30="",H30-K30,I30)</f>
        <v>24211</v>
      </c>
      <c r="Q30" s="35" t="n">
        <f aca="false">P30+L30-M30-O30</f>
        <v>30130</v>
      </c>
      <c r="R30" s="35" t="n">
        <f aca="false">③仙台以降予測!M53</f>
        <v>9388</v>
      </c>
      <c r="S30" s="38" t="n">
        <f aca="false">Q30-R30</f>
        <v>20742</v>
      </c>
      <c r="T30" s="35" t="n">
        <f aca="false">MAX(0,-S30)</f>
        <v>0</v>
      </c>
      <c r="U30" s="35" t="n">
        <f aca="false">IF(T30&gt;0,ROUNDUP(T30*(1+前提・入力!$B$34),0),0)</f>
        <v>0</v>
      </c>
      <c r="V30" s="72" t="s">
        <v>531</v>
      </c>
      <c r="W30" s="32"/>
      <c r="X30" s="69" t="str">
        <f aca="false">IF(V30="—","—",IF(W30="再生産不可","×再生産不可",_xlfn.IFS(W30-前提・入力!$B$38&lt;0,"★期限超過",W30-前提・入力!$B$38&lt;=30,"★至急(30日以内)",W30-前提・入力!$B$38&lt;=90,"要着手(90日以内)",TRUE(),"余裕あり")))</f>
        <v>—</v>
      </c>
      <c r="Y30" s="69" t="str">
        <f aca="false">IF(T30&gt;0,"★欠品：追加生産が必要",IF(S30&gt;=R30*2,"大幅余剰","在庫で充足"))</f>
        <v>大幅余剰</v>
      </c>
      <c r="Z30" s="39"/>
      <c r="AA30" s="72"/>
    </row>
    <row r="31" customFormat="false" ht="15" hidden="false" customHeight="false" outlineLevel="0" collapsed="false">
      <c r="A31" s="32" t="n">
        <v>25</v>
      </c>
      <c r="B31" s="32" t="s">
        <v>334</v>
      </c>
      <c r="C31" s="33" t="s">
        <v>335</v>
      </c>
      <c r="D31" s="34" t="n">
        <v>1500</v>
      </c>
      <c r="E31" s="35" t="n">
        <v>4137</v>
      </c>
      <c r="F31" s="35" t="n">
        <v>3916</v>
      </c>
      <c r="G31" s="35" t="n">
        <v>3748</v>
      </c>
      <c r="H31" s="35" t="n">
        <v>3505</v>
      </c>
      <c r="I31" s="35" t="n">
        <v>3305</v>
      </c>
      <c r="J31" s="34" t="n">
        <f aca="false">H31*D31</f>
        <v>5257500</v>
      </c>
      <c r="K31" s="35" t="n">
        <v>200</v>
      </c>
      <c r="L31" s="35" t="n">
        <v>146</v>
      </c>
      <c r="M31" s="35" t="n">
        <v>0</v>
      </c>
      <c r="N31" s="35" t="n">
        <f aca="false">①石川予測確定!S31</f>
        <v>176</v>
      </c>
      <c r="O31" s="35" t="n">
        <f aca="false">①石川予測確定!P31</f>
        <v>58</v>
      </c>
      <c r="P31" s="35" t="n">
        <f aca="false">IF(I31="",H31-K31,I31)</f>
        <v>3305</v>
      </c>
      <c r="Q31" s="35" t="n">
        <f aca="false">P31+L31-M31-O31</f>
        <v>3393</v>
      </c>
      <c r="R31" s="35" t="n">
        <f aca="false">③仙台以降予測!M54</f>
        <v>534</v>
      </c>
      <c r="S31" s="38" t="n">
        <f aca="false">Q31-R31</f>
        <v>2859</v>
      </c>
      <c r="T31" s="35" t="n">
        <f aca="false">MAX(0,-S31)</f>
        <v>0</v>
      </c>
      <c r="U31" s="35" t="n">
        <f aca="false">IF(T31&gt;0,ROUNDUP(T31*(1+前提・入力!$B$34),0),0)</f>
        <v>0</v>
      </c>
      <c r="V31" s="72" t="s">
        <v>531</v>
      </c>
      <c r="W31" s="32"/>
      <c r="X31" s="69" t="str">
        <f aca="false">IF(V31="—","—",IF(W31="再生産不可","×再生産不可",_xlfn.IFS(W31-前提・入力!$B$38&lt;0,"★期限超過",W31-前提・入力!$B$38&lt;=30,"★至急(30日以内)",W31-前提・入力!$B$38&lt;=90,"要着手(90日以内)",TRUE(),"余裕あり")))</f>
        <v>—</v>
      </c>
      <c r="Y31" s="69" t="str">
        <f aca="false">IF(T31&gt;0,"★欠品：追加生産が必要",IF(S31&gt;=R31*2,"大幅余剰","在庫で充足"))</f>
        <v>大幅余剰</v>
      </c>
      <c r="Z31" s="39"/>
      <c r="AA31" s="72"/>
    </row>
    <row r="32" customFormat="false" ht="15" hidden="false" customHeight="false" outlineLevel="0" collapsed="false">
      <c r="A32" s="32" t="n">
        <v>26</v>
      </c>
      <c r="B32" s="32" t="s">
        <v>336</v>
      </c>
      <c r="C32" s="33" t="s">
        <v>337</v>
      </c>
      <c r="D32" s="34" t="n">
        <v>2200</v>
      </c>
      <c r="E32" s="35" t="n">
        <v>692</v>
      </c>
      <c r="F32" s="35" t="n">
        <v>1787</v>
      </c>
      <c r="G32" s="35" t="n">
        <v>1343</v>
      </c>
      <c r="H32" s="35" t="n">
        <v>500</v>
      </c>
      <c r="I32" s="35" t="n">
        <v>299</v>
      </c>
      <c r="J32" s="34" t="n">
        <f aca="false">H32*D32</f>
        <v>1100000</v>
      </c>
      <c r="K32" s="35" t="n">
        <v>200</v>
      </c>
      <c r="L32" s="35" t="n">
        <v>0</v>
      </c>
      <c r="M32" s="35" t="n">
        <v>0</v>
      </c>
      <c r="N32" s="35" t="n">
        <f aca="false">①石川予測確定!S32</f>
        <v>50</v>
      </c>
      <c r="O32" s="35" t="n">
        <f aca="false">①石川予測確定!P32</f>
        <v>70</v>
      </c>
      <c r="P32" s="35" t="n">
        <f aca="false">IF(I32="",H32-K32,I32)</f>
        <v>299</v>
      </c>
      <c r="Q32" s="35" t="n">
        <f aca="false">P32+L32-M32-O32</f>
        <v>229</v>
      </c>
      <c r="R32" s="35" t="n">
        <f aca="false">③仙台以降予測!M55</f>
        <v>1112</v>
      </c>
      <c r="S32" s="38" t="n">
        <f aca="false">Q32-R32</f>
        <v>-883</v>
      </c>
      <c r="T32" s="35" t="n">
        <f aca="false">MAX(0,-S32)</f>
        <v>883</v>
      </c>
      <c r="U32" s="35" t="n">
        <f aca="false">IF(T32&gt;0,ROUNDUP(T32*(1+前提・入力!$B$34),0),0)</f>
        <v>972</v>
      </c>
      <c r="V32" s="69" t="s">
        <v>384</v>
      </c>
      <c r="W32" s="70" t="n">
        <f aca="false">DATE(2026,12,16)-75-前提・入力!$B$37</f>
        <v>46283</v>
      </c>
      <c r="X32" s="69" t="str">
        <f aca="false">IF(V32="—","—",IF(W32="再生産不可","×再生産不可",_xlfn.IFS(W32-前提・入力!$B$38&lt;0,"★期限超過",W32-前提・入力!$B$38&lt;=30,"★至急(30日以内)",W32-前提・入力!$B$38&lt;=90,"要着手(90日以内)",TRUE(),"余裕あり")))</f>
        <v>★至急(30日以内)</v>
      </c>
      <c r="Y32" s="69" t="str">
        <f aca="false">IF(T32&gt;0,"★欠品：追加生産が必要",IF(S32&gt;=R32*2,"大幅余剰","在庫で充足"))</f>
        <v>★欠品：追加生産が必要</v>
      </c>
      <c r="Z32" s="39"/>
      <c r="AA32" s="72"/>
    </row>
    <row r="33" customFormat="false" ht="15" hidden="false" customHeight="false" outlineLevel="0" collapsed="false">
      <c r="A33" s="32" t="n">
        <v>27</v>
      </c>
      <c r="B33" s="32" t="s">
        <v>338</v>
      </c>
      <c r="C33" s="33" t="s">
        <v>339</v>
      </c>
      <c r="D33" s="34" t="n">
        <v>1100</v>
      </c>
      <c r="E33" s="35" t="n">
        <v>1518</v>
      </c>
      <c r="F33" s="35" t="n">
        <v>1414</v>
      </c>
      <c r="G33" s="35" t="n">
        <v>1344</v>
      </c>
      <c r="H33" s="35" t="n">
        <v>1199</v>
      </c>
      <c r="I33" s="35" t="n">
        <v>1129</v>
      </c>
      <c r="J33" s="34" t="n">
        <f aca="false">H33*D33</f>
        <v>1318900</v>
      </c>
      <c r="K33" s="35" t="n">
        <v>70</v>
      </c>
      <c r="L33" s="35" t="n">
        <v>20</v>
      </c>
      <c r="M33" s="35" t="n">
        <v>0</v>
      </c>
      <c r="N33" s="35" t="n">
        <f aca="false">①石川予測確定!S33</f>
        <v>70</v>
      </c>
      <c r="O33" s="35" t="n">
        <f aca="false">①石川予測確定!P33</f>
        <v>18</v>
      </c>
      <c r="P33" s="35" t="n">
        <f aca="false">IF(I33="",H33-K33,I33)</f>
        <v>1129</v>
      </c>
      <c r="Q33" s="35" t="n">
        <f aca="false">P33+L33-M33-O33</f>
        <v>1131</v>
      </c>
      <c r="R33" s="35" t="n">
        <f aca="false">③仙台以降予測!M56</f>
        <v>280</v>
      </c>
      <c r="S33" s="38" t="n">
        <f aca="false">Q33-R33</f>
        <v>851</v>
      </c>
      <c r="T33" s="35" t="n">
        <f aca="false">MAX(0,-S33)</f>
        <v>0</v>
      </c>
      <c r="U33" s="35" t="n">
        <f aca="false">IF(T33&gt;0,ROUNDUP(T33*(1+前提・入力!$B$34),0),0)</f>
        <v>0</v>
      </c>
      <c r="V33" s="72" t="s">
        <v>531</v>
      </c>
      <c r="W33" s="32"/>
      <c r="X33" s="69" t="str">
        <f aca="false">IF(V33="—","—",IF(W33="再生産不可","×再生産不可",_xlfn.IFS(W33-前提・入力!$B$38&lt;0,"★期限超過",W33-前提・入力!$B$38&lt;=30,"★至急(30日以内)",W33-前提・入力!$B$38&lt;=90,"要着手(90日以内)",TRUE(),"余裕あり")))</f>
        <v>—</v>
      </c>
      <c r="Y33" s="69" t="str">
        <f aca="false">IF(T33&gt;0,"★欠品：追加生産が必要",IF(S33&gt;=R33*2,"大幅余剰","在庫で充足"))</f>
        <v>大幅余剰</v>
      </c>
      <c r="Z33" s="39"/>
      <c r="AA33" s="72"/>
    </row>
    <row r="34" customFormat="false" ht="97" hidden="false" customHeight="false" outlineLevel="0" collapsed="false">
      <c r="A34" s="32" t="n">
        <v>28</v>
      </c>
      <c r="B34" s="32" t="s">
        <v>340</v>
      </c>
      <c r="C34" s="33" t="s">
        <v>341</v>
      </c>
      <c r="D34" s="34" t="n">
        <v>1800</v>
      </c>
      <c r="E34" s="35" t="n">
        <v>440</v>
      </c>
      <c r="F34" s="35" t="n">
        <v>1193</v>
      </c>
      <c r="G34" s="35" t="n">
        <v>860</v>
      </c>
      <c r="H34" s="35" t="n">
        <v>460</v>
      </c>
      <c r="I34" s="35"/>
      <c r="J34" s="34" t="n">
        <f aca="false">H34*D34</f>
        <v>828000</v>
      </c>
      <c r="K34" s="35" t="n">
        <v>300</v>
      </c>
      <c r="L34" s="35" t="n">
        <v>0</v>
      </c>
      <c r="M34" s="35" t="n">
        <v>0</v>
      </c>
      <c r="N34" s="35" t="n">
        <f aca="false">①石川予測確定!S34</f>
        <v>80</v>
      </c>
      <c r="O34" s="35" t="n">
        <f aca="false">①石川予測確定!P34</f>
        <v>92</v>
      </c>
      <c r="P34" s="35" t="n">
        <f aca="false">IF(I34="",H34-K34,I34)</f>
        <v>160</v>
      </c>
      <c r="Q34" s="35" t="n">
        <f aca="false">P34+L34-M34-O34</f>
        <v>68</v>
      </c>
      <c r="R34" s="35" t="n">
        <f aca="false">③仙台以降予測!M57</f>
        <v>1589</v>
      </c>
      <c r="S34" s="38" t="n">
        <f aca="false">Q34-R34+1200</f>
        <v>-321</v>
      </c>
      <c r="T34" s="35" t="n">
        <f aca="false">MAX(0,-S34)</f>
        <v>321</v>
      </c>
      <c r="U34" s="35" t="n">
        <f aca="false">IF(T34&gt;0,ROUNDUP(T34*(1+前提・入力!$B$34),0),0)</f>
        <v>354</v>
      </c>
      <c r="V34" s="69" t="s">
        <v>534</v>
      </c>
      <c r="W34" s="70" t="n">
        <f aca="false">DATE(2026,9,5)-90-前提・入力!$B$37</f>
        <v>46166</v>
      </c>
      <c r="X34" s="69" t="s">
        <v>535</v>
      </c>
      <c r="Y34" s="69" t="str">
        <f aca="false">IF(T34&gt;0,"★欠品：追加生産が必要",IF(S34&gt;=R34*2,"大幅余剰","在庫で充足"))</f>
        <v>★欠品：追加生産が必要</v>
      </c>
      <c r="Z34" s="39"/>
      <c r="AA34" s="69" t="s">
        <v>690</v>
      </c>
    </row>
    <row r="35" customFormat="false" ht="15" hidden="false" customHeight="false" outlineLevel="0" collapsed="false">
      <c r="A35" s="32" t="n">
        <v>29</v>
      </c>
      <c r="B35" s="32" t="s">
        <v>342</v>
      </c>
      <c r="C35" s="33" t="s">
        <v>343</v>
      </c>
      <c r="D35" s="34" t="n">
        <v>1500</v>
      </c>
      <c r="E35" s="35" t="n">
        <v>1190</v>
      </c>
      <c r="F35" s="35" t="n">
        <v>871</v>
      </c>
      <c r="G35" s="35" t="n">
        <v>621</v>
      </c>
      <c r="H35" s="35" t="n">
        <v>421</v>
      </c>
      <c r="I35" s="35" t="n">
        <v>260</v>
      </c>
      <c r="J35" s="34" t="n">
        <f aca="false">H35*D35</f>
        <v>631500</v>
      </c>
      <c r="K35" s="35" t="n">
        <v>160</v>
      </c>
      <c r="L35" s="35" t="n">
        <v>0</v>
      </c>
      <c r="M35" s="35" t="n">
        <v>0</v>
      </c>
      <c r="N35" s="35" t="n">
        <f aca="false">①石川予測確定!S35</f>
        <v>120</v>
      </c>
      <c r="O35" s="35" t="n">
        <f aca="false">①石川予測確定!P35</f>
        <v>83</v>
      </c>
      <c r="P35" s="35" t="n">
        <f aca="false">IF(I35="",H35-K35,I35)</f>
        <v>260</v>
      </c>
      <c r="Q35" s="35" t="n">
        <f aca="false">P35+L35-M35-O35</f>
        <v>177</v>
      </c>
      <c r="R35" s="35" t="n">
        <f aca="false">③仙台以降予測!M58</f>
        <v>1052</v>
      </c>
      <c r="S35" s="38" t="n">
        <f aca="false">Q35-R35</f>
        <v>-875</v>
      </c>
      <c r="T35" s="35" t="n">
        <f aca="false">MAX(0,-S35)</f>
        <v>875</v>
      </c>
      <c r="U35" s="35" t="n">
        <f aca="false">IF(T35&gt;0,ROUNDUP(T35*(1+前提・入力!$B$34),0),0)</f>
        <v>963</v>
      </c>
      <c r="V35" s="69" t="s">
        <v>384</v>
      </c>
      <c r="W35" s="70" t="n">
        <f aca="false">DATE(2026,12,16)-90-前提・入力!$B$37</f>
        <v>46268</v>
      </c>
      <c r="X35" s="69" t="str">
        <f aca="false">IF(V35="—","—",IF(W35="再生産不可","×再生産不可",_xlfn.IFS(W35-前提・入力!$B$38&lt;0,"★期限超過",W35-前提・入力!$B$38&lt;=30,"★至急(30日以内)",W35-前提・入力!$B$38&lt;=90,"要着手(90日以内)",TRUE(),"余裕あり")))</f>
        <v>★至急(30日以内)</v>
      </c>
      <c r="Y35" s="69" t="str">
        <f aca="false">IF(T35&gt;0,"★欠品：追加生産が必要",IF(S35&gt;=R35*2,"大幅余剰","在庫で充足"))</f>
        <v>★欠品：追加生産が必要</v>
      </c>
      <c r="Z35" s="39"/>
      <c r="AA35" s="72"/>
    </row>
    <row r="36" customFormat="false" ht="15" hidden="false" customHeight="false" outlineLevel="0" collapsed="false">
      <c r="A36" s="32" t="n">
        <v>30</v>
      </c>
      <c r="B36" s="32" t="s">
        <v>344</v>
      </c>
      <c r="C36" s="33" t="s">
        <v>345</v>
      </c>
      <c r="D36" s="34" t="n">
        <v>3300</v>
      </c>
      <c r="E36" s="35" t="n">
        <v>1364</v>
      </c>
      <c r="F36" s="35" t="n">
        <v>1195</v>
      </c>
      <c r="G36" s="35" t="n">
        <v>1105</v>
      </c>
      <c r="H36" s="35" t="n">
        <v>900</v>
      </c>
      <c r="I36" s="35" t="n">
        <v>648</v>
      </c>
      <c r="J36" s="34" t="n">
        <f aca="false">H36*D36</f>
        <v>2970000</v>
      </c>
      <c r="K36" s="35" t="n">
        <v>250</v>
      </c>
      <c r="L36" s="35" t="n">
        <v>178</v>
      </c>
      <c r="M36" s="35" t="n">
        <v>0</v>
      </c>
      <c r="N36" s="35" t="n">
        <f aca="false">①石川予測確定!S36</f>
        <v>278</v>
      </c>
      <c r="O36" s="35" t="n">
        <f aca="false">①石川予測確定!P36</f>
        <v>45</v>
      </c>
      <c r="P36" s="35" t="n">
        <f aca="false">IF(I36="",H36-K36,I36)</f>
        <v>648</v>
      </c>
      <c r="Q36" s="35" t="n">
        <f aca="false">P36+L36-M36-O36</f>
        <v>781</v>
      </c>
      <c r="R36" s="35" t="n">
        <f aca="false">③仙台以降予測!M59</f>
        <v>519</v>
      </c>
      <c r="S36" s="38" t="n">
        <f aca="false">Q36-R36</f>
        <v>262</v>
      </c>
      <c r="T36" s="35" t="n">
        <f aca="false">MAX(0,-S36)</f>
        <v>0</v>
      </c>
      <c r="U36" s="35" t="n">
        <f aca="false">IF(T36&gt;0,ROUNDUP(T36*(1+前提・入力!$B$34),0),0)</f>
        <v>0</v>
      </c>
      <c r="V36" s="72" t="s">
        <v>531</v>
      </c>
      <c r="W36" s="32"/>
      <c r="X36" s="69" t="str">
        <f aca="false">IF(V36="—","—",IF(W36="再生産不可","×再生産不可",_xlfn.IFS(W36-前提・入力!$B$38&lt;0,"★期限超過",W36-前提・入力!$B$38&lt;=30,"★至急(30日以内)",W36-前提・入力!$B$38&lt;=90,"要着手(90日以内)",TRUE(),"余裕あり")))</f>
        <v>—</v>
      </c>
      <c r="Y36" s="69" t="str">
        <f aca="false">IF(T36&gt;0,"★欠品：追加生産が必要",IF(S36&gt;=R36*2,"大幅余剰","在庫で充足"))</f>
        <v>在庫で充足</v>
      </c>
      <c r="Z36" s="39"/>
      <c r="AA36" s="72"/>
    </row>
    <row r="37" customFormat="false" ht="15" hidden="false" customHeight="false" outlineLevel="0" collapsed="false">
      <c r="A37" s="32" t="n">
        <v>31</v>
      </c>
      <c r="B37" s="32" t="s">
        <v>346</v>
      </c>
      <c r="C37" s="33" t="s">
        <v>347</v>
      </c>
      <c r="D37" s="34" t="n">
        <v>1300</v>
      </c>
      <c r="E37" s="35" t="n">
        <v>1769</v>
      </c>
      <c r="F37" s="35" t="n">
        <v>1534</v>
      </c>
      <c r="G37" s="35" t="n">
        <v>1354</v>
      </c>
      <c r="H37" s="35" t="n">
        <v>927</v>
      </c>
      <c r="I37" s="35" t="n">
        <v>727</v>
      </c>
      <c r="J37" s="34" t="n">
        <f aca="false">H37*D37</f>
        <v>1205100</v>
      </c>
      <c r="K37" s="35" t="n">
        <v>200</v>
      </c>
      <c r="L37" s="35" t="n">
        <v>99</v>
      </c>
      <c r="M37" s="35" t="n">
        <v>0</v>
      </c>
      <c r="N37" s="35" t="n">
        <f aca="false">①石川予測確定!S37</f>
        <v>249</v>
      </c>
      <c r="O37" s="35" t="n">
        <f aca="false">①石川予測確定!P37</f>
        <v>61</v>
      </c>
      <c r="P37" s="35" t="n">
        <f aca="false">IF(I37="",H37-K37,I37)</f>
        <v>727</v>
      </c>
      <c r="Q37" s="35" t="n">
        <f aca="false">P37+L37-M37-O37</f>
        <v>765</v>
      </c>
      <c r="R37" s="35" t="n">
        <f aca="false">③仙台以降予測!M60</f>
        <v>715</v>
      </c>
      <c r="S37" s="38" t="n">
        <f aca="false">Q37-R37</f>
        <v>50</v>
      </c>
      <c r="T37" s="35" t="n">
        <f aca="false">MAX(0,-S37)</f>
        <v>0</v>
      </c>
      <c r="U37" s="35" t="n">
        <f aca="false">IF(T37&gt;0,ROUNDUP(T37*(1+前提・入力!$B$34),0),0)</f>
        <v>0</v>
      </c>
      <c r="V37" s="72" t="s">
        <v>531</v>
      </c>
      <c r="W37" s="32"/>
      <c r="X37" s="69" t="str">
        <f aca="false">IF(V37="—","—",IF(W37="再生産不可","×再生産不可",_xlfn.IFS(W37-前提・入力!$B$38&lt;0,"★期限超過",W37-前提・入力!$B$38&lt;=30,"★至急(30日以内)",W37-前提・入力!$B$38&lt;=90,"要着手(90日以内)",TRUE(),"余裕あり")))</f>
        <v>—</v>
      </c>
      <c r="Y37" s="69" t="str">
        <f aca="false">IF(T37&gt;0,"★欠品：追加生産が必要",IF(S37&gt;=R37*2,"大幅余剰","在庫で充足"))</f>
        <v>在庫で充足</v>
      </c>
      <c r="Z37" s="39"/>
      <c r="AA37" s="72"/>
    </row>
    <row r="38" customFormat="false" ht="15" hidden="false" customHeight="false" outlineLevel="0" collapsed="false">
      <c r="A38" s="32" t="n">
        <v>32</v>
      </c>
      <c r="B38" s="32" t="s">
        <v>348</v>
      </c>
      <c r="C38" s="33" t="s">
        <v>349</v>
      </c>
      <c r="D38" s="34" t="n">
        <v>8800</v>
      </c>
      <c r="E38" s="35" t="n">
        <v>38</v>
      </c>
      <c r="F38" s="35" t="n">
        <v>102</v>
      </c>
      <c r="G38" s="35" t="n">
        <v>73</v>
      </c>
      <c r="H38" s="35" t="n">
        <v>33</v>
      </c>
      <c r="I38" s="35" t="n">
        <v>20</v>
      </c>
      <c r="J38" s="34" t="n">
        <f aca="false">H38*D38</f>
        <v>290400</v>
      </c>
      <c r="K38" s="35" t="n">
        <v>10</v>
      </c>
      <c r="L38" s="35" t="n">
        <v>0</v>
      </c>
      <c r="M38" s="35" t="n">
        <v>0</v>
      </c>
      <c r="N38" s="35" t="n">
        <f aca="false">①石川予測確定!S38</f>
        <v>5</v>
      </c>
      <c r="O38" s="35" t="n">
        <f aca="false">①石川予測確定!P38</f>
        <v>5</v>
      </c>
      <c r="P38" s="35" t="n">
        <f aca="false">IF(I38="",H38-K38,I38)</f>
        <v>20</v>
      </c>
      <c r="Q38" s="35" t="n">
        <f aca="false">P38+L38-M38-O38</f>
        <v>15</v>
      </c>
      <c r="R38" s="35" t="n">
        <f aca="false">③仙台以降予測!M61</f>
        <v>64</v>
      </c>
      <c r="S38" s="38" t="n">
        <f aca="false">Q38-R38</f>
        <v>-49</v>
      </c>
      <c r="T38" s="35" t="n">
        <f aca="false">MAX(0,-S38)</f>
        <v>49</v>
      </c>
      <c r="U38" s="35" t="n">
        <f aca="false">IF(T38&gt;0,ROUNDUP(T38*(1+前提・入力!$B$34),0),0)</f>
        <v>54</v>
      </c>
      <c r="V38" s="69" t="s">
        <v>384</v>
      </c>
      <c r="W38" s="70" t="n">
        <f aca="false">DATE(2026,12,16)-90-前提・入力!$B$37</f>
        <v>46268</v>
      </c>
      <c r="X38" s="69" t="str">
        <f aca="false">IF(V38="—","—",IF(W38="再生産不可","×再生産不可",_xlfn.IFS(W38-前提・入力!$B$38&lt;0,"★期限超過",W38-前提・入力!$B$38&lt;=30,"★至急(30日以内)",W38-前提・入力!$B$38&lt;=90,"要着手(90日以内)",TRUE(),"余裕あり")))</f>
        <v>★至急(30日以内)</v>
      </c>
      <c r="Y38" s="69" t="str">
        <f aca="false">IF(T38&gt;0,"★欠品：追加生産が必要",IF(S38&gt;=R38*2,"大幅余剰","在庫で充足"))</f>
        <v>★欠品：追加生産が必要</v>
      </c>
      <c r="Z38" s="39"/>
      <c r="AA38" s="72"/>
    </row>
    <row r="39" customFormat="false" ht="15" hidden="false" customHeight="false" outlineLevel="0" collapsed="false">
      <c r="A39" s="32" t="n">
        <v>33</v>
      </c>
      <c r="B39" s="32" t="s">
        <v>350</v>
      </c>
      <c r="C39" s="33" t="s">
        <v>351</v>
      </c>
      <c r="D39" s="34" t="n">
        <v>27500</v>
      </c>
      <c r="E39" s="35" t="n">
        <v>13</v>
      </c>
      <c r="F39" s="35" t="n">
        <v>141</v>
      </c>
      <c r="G39" s="35" t="n">
        <v>127</v>
      </c>
      <c r="H39" s="35" t="n">
        <v>106</v>
      </c>
      <c r="I39" s="35" t="n">
        <v>91</v>
      </c>
      <c r="J39" s="34" t="n">
        <f aca="false">H39*D39</f>
        <v>2915000</v>
      </c>
      <c r="K39" s="35" t="n">
        <v>15</v>
      </c>
      <c r="L39" s="35" t="n">
        <v>12</v>
      </c>
      <c r="M39" s="35" t="n">
        <v>0</v>
      </c>
      <c r="N39" s="35" t="n">
        <f aca="false">①石川予測確定!S39</f>
        <v>21</v>
      </c>
      <c r="O39" s="35" t="n">
        <f aca="false">①石川予測確定!P39</f>
        <v>5</v>
      </c>
      <c r="P39" s="35" t="n">
        <f aca="false">IF(I39="",H39-K39,I39)</f>
        <v>91</v>
      </c>
      <c r="Q39" s="35" t="n">
        <f aca="false">P39+L39-M39-O39</f>
        <v>98</v>
      </c>
      <c r="R39" s="35" t="n">
        <f aca="false">③仙台以降予測!M62</f>
        <v>40</v>
      </c>
      <c r="S39" s="38" t="n">
        <f aca="false">Q39-R39</f>
        <v>58</v>
      </c>
      <c r="T39" s="35" t="n">
        <f aca="false">MAX(0,-S39)</f>
        <v>0</v>
      </c>
      <c r="U39" s="35" t="n">
        <f aca="false">IF(T39&gt;0,ROUNDUP(T39*(1+前提・入力!$B$34),0),0)</f>
        <v>0</v>
      </c>
      <c r="V39" s="72" t="s">
        <v>531</v>
      </c>
      <c r="W39" s="32"/>
      <c r="X39" s="69" t="str">
        <f aca="false">IF(V39="—","—",IF(W39="再生産不可","×再生産不可",_xlfn.IFS(W39-前提・入力!$B$38&lt;0,"★期限超過",W39-前提・入力!$B$38&lt;=30,"★至急(30日以内)",W39-前提・入力!$B$38&lt;=90,"要着手(90日以内)",TRUE(),"余裕あり")))</f>
        <v>—</v>
      </c>
      <c r="Y39" s="69" t="str">
        <f aca="false">IF(T39&gt;0,"★欠品：追加生産が必要",IF(S39&gt;=R39*2,"大幅余剰","在庫で充足"))</f>
        <v>在庫で充足</v>
      </c>
      <c r="Z39" s="39"/>
      <c r="AA39" s="72"/>
    </row>
    <row r="40" customFormat="false" ht="15" hidden="false" customHeight="false" outlineLevel="0" collapsed="false">
      <c r="A40" s="32" t="n">
        <v>34</v>
      </c>
      <c r="B40" s="32" t="s">
        <v>352</v>
      </c>
      <c r="C40" s="33" t="s">
        <v>353</v>
      </c>
      <c r="D40" s="34" t="n">
        <v>27500</v>
      </c>
      <c r="E40" s="35" t="n">
        <v>13</v>
      </c>
      <c r="F40" s="35" t="n">
        <v>10</v>
      </c>
      <c r="G40" s="35" t="n">
        <v>7</v>
      </c>
      <c r="H40" s="35" t="n">
        <v>4</v>
      </c>
      <c r="I40" s="35" t="n">
        <v>2</v>
      </c>
      <c r="J40" s="34" t="n">
        <f aca="false">H40*D40</f>
        <v>110000</v>
      </c>
      <c r="K40" s="35" t="n">
        <v>2</v>
      </c>
      <c r="L40" s="35" t="n">
        <v>0</v>
      </c>
      <c r="M40" s="35" t="n">
        <v>0</v>
      </c>
      <c r="N40" s="35" t="n">
        <f aca="false">①石川予測確定!S40</f>
        <v>1</v>
      </c>
      <c r="O40" s="35" t="n">
        <f aca="false">①石川予測確定!P40</f>
        <v>1</v>
      </c>
      <c r="P40" s="35" t="n">
        <f aca="false">IF(I40="",H40-K40,I40)</f>
        <v>2</v>
      </c>
      <c r="Q40" s="35" t="n">
        <f aca="false">P40+L40-M40-O40</f>
        <v>1</v>
      </c>
      <c r="R40" s="35" t="n">
        <f aca="false">③仙台以降予測!M63</f>
        <v>13</v>
      </c>
      <c r="S40" s="38" t="n">
        <f aca="false">Q40-R40</f>
        <v>-12</v>
      </c>
      <c r="T40" s="35" t="n">
        <f aca="false">MAX(0,-S40)</f>
        <v>12</v>
      </c>
      <c r="U40" s="35" t="n">
        <f aca="false">IF(T40&gt;0,ROUNDUP(T40*(1+前提・入力!$B$34),0),0)</f>
        <v>14</v>
      </c>
      <c r="V40" s="69" t="s">
        <v>534</v>
      </c>
      <c r="W40" s="70" t="n">
        <f aca="false">DATE(2026,9,5)-90-前提・入力!$B$37</f>
        <v>46166</v>
      </c>
      <c r="X40" s="69" t="str">
        <f aca="false">IF(V40="—","—",IF(W40="再生産不可","×再生産不可",_xlfn.IFS(W40-前提・入力!$B$38&lt;0,"★期限超過",W40-前提・入力!$B$38&lt;=30,"★至急(30日以内)",W40-前提・入力!$B$38&lt;=90,"要着手(90日以内)",TRUE(),"余裕あり")))</f>
        <v>★期限超過</v>
      </c>
      <c r="Y40" s="69" t="str">
        <f aca="false">IF(T40&gt;0,"★欠品：追加生産が必要",IF(S40&gt;=R40*2,"大幅余剰","在庫で充足"))</f>
        <v>★欠品：追加生産が必要</v>
      </c>
      <c r="Z40" s="39"/>
      <c r="AA40" s="72"/>
    </row>
    <row r="41" customFormat="false" ht="15" hidden="false" customHeight="false" outlineLevel="0" collapsed="false">
      <c r="A41" s="32" t="n">
        <v>35</v>
      </c>
      <c r="B41" s="32" t="s">
        <v>354</v>
      </c>
      <c r="C41" s="33" t="s">
        <v>355</v>
      </c>
      <c r="D41" s="34" t="n">
        <v>27500</v>
      </c>
      <c r="E41" s="35" t="n">
        <v>13</v>
      </c>
      <c r="F41" s="35" t="n">
        <v>10</v>
      </c>
      <c r="G41" s="35" t="n">
        <v>7</v>
      </c>
      <c r="H41" s="35" t="n">
        <v>4</v>
      </c>
      <c r="I41" s="35" t="n">
        <v>2</v>
      </c>
      <c r="J41" s="34" t="n">
        <f aca="false">H41*D41</f>
        <v>110000</v>
      </c>
      <c r="K41" s="35" t="n">
        <v>2</v>
      </c>
      <c r="L41" s="35" t="n">
        <v>1</v>
      </c>
      <c r="M41" s="35" t="n">
        <v>0</v>
      </c>
      <c r="N41" s="35" t="n">
        <f aca="false">①石川予測確定!S41</f>
        <v>1</v>
      </c>
      <c r="O41" s="35" t="n">
        <f aca="false">①石川予測確定!P41</f>
        <v>1</v>
      </c>
      <c r="P41" s="35" t="n">
        <f aca="false">IF(I41="",H41-K41,I41)</f>
        <v>2</v>
      </c>
      <c r="Q41" s="35" t="n">
        <f aca="false">P41+L41-M41-O41</f>
        <v>2</v>
      </c>
      <c r="R41" s="35" t="n">
        <f aca="false">③仙台以降予測!M64</f>
        <v>9</v>
      </c>
      <c r="S41" s="38" t="n">
        <f aca="false">Q41-R41</f>
        <v>-7</v>
      </c>
      <c r="T41" s="35" t="n">
        <f aca="false">MAX(0,-S41)</f>
        <v>7</v>
      </c>
      <c r="U41" s="35" t="n">
        <f aca="false">IF(T41&gt;0,ROUNDUP(T41*(1+前提・入力!$B$34),0),0)</f>
        <v>8</v>
      </c>
      <c r="V41" s="69" t="s">
        <v>385</v>
      </c>
      <c r="W41" s="70" t="n">
        <f aca="false">DATE(2027,3,15)-90-前提・入力!$B$37</f>
        <v>46357</v>
      </c>
      <c r="X41" s="69" t="str">
        <f aca="false">IF(V41="—","—",IF(W41="再生産不可","×再生産不可",_xlfn.IFS(W41-前提・入力!$B$38&lt;0,"★期限超過",W41-前提・入力!$B$38&lt;=30,"★至急(30日以内)",W41-前提・入力!$B$38&lt;=90,"要着手(90日以内)",TRUE(),"余裕あり")))</f>
        <v>余裕あり</v>
      </c>
      <c r="Y41" s="69" t="str">
        <f aca="false">IF(T41&gt;0,"★欠品：追加生産が必要",IF(S41&gt;=R41*2,"大幅余剰","在庫で充足"))</f>
        <v>★欠品：追加生産が必要</v>
      </c>
      <c r="Z41" s="39"/>
      <c r="AA41" s="72"/>
    </row>
    <row r="42" customFormat="false" ht="15" hidden="false" customHeight="false" outlineLevel="0" collapsed="false">
      <c r="A42" s="32" t="n">
        <v>36</v>
      </c>
      <c r="B42" s="32" t="s">
        <v>356</v>
      </c>
      <c r="C42" s="33" t="s">
        <v>357</v>
      </c>
      <c r="D42" s="34" t="n">
        <v>27500</v>
      </c>
      <c r="E42" s="35" t="n">
        <v>13</v>
      </c>
      <c r="F42" s="35" t="n">
        <v>10</v>
      </c>
      <c r="G42" s="35" t="n">
        <v>7</v>
      </c>
      <c r="H42" s="35" t="n">
        <v>4</v>
      </c>
      <c r="I42" s="35" t="n">
        <v>2</v>
      </c>
      <c r="J42" s="34" t="n">
        <f aca="false">H42*D42</f>
        <v>110000</v>
      </c>
      <c r="K42" s="35" t="n">
        <v>2</v>
      </c>
      <c r="L42" s="35" t="n">
        <v>1</v>
      </c>
      <c r="M42" s="35" t="n">
        <v>0</v>
      </c>
      <c r="N42" s="35" t="n">
        <f aca="false">①石川予測確定!S42</f>
        <v>1</v>
      </c>
      <c r="O42" s="35" t="n">
        <f aca="false">①石川予測確定!P42</f>
        <v>1</v>
      </c>
      <c r="P42" s="35" t="n">
        <f aca="false">IF(I42="",H42-K42,I42)</f>
        <v>2</v>
      </c>
      <c r="Q42" s="35" t="n">
        <f aca="false">P42+L42-M42-O42</f>
        <v>2</v>
      </c>
      <c r="R42" s="35" t="n">
        <f aca="false">③仙台以降予測!M65</f>
        <v>9</v>
      </c>
      <c r="S42" s="38" t="n">
        <f aca="false">Q42-R42</f>
        <v>-7</v>
      </c>
      <c r="T42" s="35" t="n">
        <f aca="false">MAX(0,-S42)</f>
        <v>7</v>
      </c>
      <c r="U42" s="35" t="n">
        <f aca="false">IF(T42&gt;0,ROUNDUP(T42*(1+前提・入力!$B$34),0),0)</f>
        <v>8</v>
      </c>
      <c r="V42" s="69" t="s">
        <v>385</v>
      </c>
      <c r="W42" s="70" t="n">
        <f aca="false">DATE(2027,3,15)-90-前提・入力!$B$37</f>
        <v>46357</v>
      </c>
      <c r="X42" s="69" t="str">
        <f aca="false">IF(V42="—","—",IF(W42="再生産不可","×再生産不可",_xlfn.IFS(W42-前提・入力!$B$38&lt;0,"★期限超過",W42-前提・入力!$B$38&lt;=30,"★至急(30日以内)",W42-前提・入力!$B$38&lt;=90,"要着手(90日以内)",TRUE(),"余裕あり")))</f>
        <v>余裕あり</v>
      </c>
      <c r="Y42" s="69" t="str">
        <f aca="false">IF(T42&gt;0,"★欠品：追加生産が必要",IF(S42&gt;=R42*2,"大幅余剰","在庫で充足"))</f>
        <v>★欠品：追加生産が必要</v>
      </c>
      <c r="Z42" s="39"/>
      <c r="AA42" s="72"/>
    </row>
    <row r="43" customFormat="false" ht="15" hidden="false" customHeight="false" outlineLevel="0" collapsed="false">
      <c r="A43" s="32" t="n">
        <v>37</v>
      </c>
      <c r="B43" s="32" t="s">
        <v>358</v>
      </c>
      <c r="C43" s="33" t="s">
        <v>359</v>
      </c>
      <c r="D43" s="34" t="n">
        <v>27500</v>
      </c>
      <c r="E43" s="35" t="n">
        <v>13</v>
      </c>
      <c r="F43" s="35" t="n">
        <v>81</v>
      </c>
      <c r="G43" s="35" t="n">
        <v>69</v>
      </c>
      <c r="H43" s="35" t="n">
        <v>43</v>
      </c>
      <c r="I43" s="35" t="n">
        <v>26</v>
      </c>
      <c r="J43" s="34" t="n">
        <f aca="false">H43*D43</f>
        <v>1182500</v>
      </c>
      <c r="K43" s="35" t="n">
        <v>8</v>
      </c>
      <c r="L43" s="35" t="n">
        <v>7</v>
      </c>
      <c r="M43" s="35" t="n">
        <v>0</v>
      </c>
      <c r="N43" s="35" t="n">
        <f aca="false">①石川予測確定!S43</f>
        <v>17</v>
      </c>
      <c r="O43" s="35" t="n">
        <f aca="false">①石川予測確定!P43</f>
        <v>5</v>
      </c>
      <c r="P43" s="35" t="n">
        <f aca="false">IF(I43="",H43-K43,I43)</f>
        <v>26</v>
      </c>
      <c r="Q43" s="35" t="n">
        <f aca="false">P43+L43-M43-O43</f>
        <v>28</v>
      </c>
      <c r="R43" s="35" t="n">
        <f aca="false">③仙台以降予測!M66</f>
        <v>34</v>
      </c>
      <c r="S43" s="38" t="n">
        <f aca="false">Q43-R43</f>
        <v>-6</v>
      </c>
      <c r="T43" s="35" t="n">
        <f aca="false">MAX(0,-S43)</f>
        <v>6</v>
      </c>
      <c r="U43" s="35" t="n">
        <f aca="false">IF(T43&gt;0,ROUNDUP(T43*(1+前提・入力!$B$34),0),0)</f>
        <v>7</v>
      </c>
      <c r="V43" s="69" t="s">
        <v>386</v>
      </c>
      <c r="W43" s="70" t="n">
        <f aca="false">DATE(2027,4,1)-90-前提・入力!$B$37</f>
        <v>46374</v>
      </c>
      <c r="X43" s="69" t="str">
        <f aca="false">IF(V43="—","—",IF(W43="再生産不可","×再生産不可",_xlfn.IFS(W43-前提・入力!$B$38&lt;0,"★期限超過",W43-前提・入力!$B$38&lt;=30,"★至急(30日以内)",W43-前提・入力!$B$38&lt;=90,"要着手(90日以内)",TRUE(),"余裕あり")))</f>
        <v>余裕あり</v>
      </c>
      <c r="Y43" s="69" t="str">
        <f aca="false">IF(T43&gt;0,"★欠品：追加生産が必要",IF(S43&gt;=R43*2,"大幅余剰","在庫で充足"))</f>
        <v>★欠品：追加生産が必要</v>
      </c>
      <c r="Z43" s="39"/>
      <c r="AA43" s="69" t="s">
        <v>691</v>
      </c>
    </row>
    <row r="44" customFormat="false" ht="15" hidden="false" customHeight="false" outlineLevel="0" collapsed="false">
      <c r="A44" s="32" t="n">
        <v>38</v>
      </c>
      <c r="B44" s="32" t="s">
        <v>360</v>
      </c>
      <c r="C44" s="33" t="s">
        <v>361</v>
      </c>
      <c r="D44" s="34" t="n">
        <v>27500</v>
      </c>
      <c r="E44" s="35" t="n">
        <v>13</v>
      </c>
      <c r="F44" s="35" t="n">
        <v>10</v>
      </c>
      <c r="G44" s="35" t="n">
        <v>7</v>
      </c>
      <c r="H44" s="35" t="n">
        <v>4</v>
      </c>
      <c r="I44" s="35" t="n">
        <v>2</v>
      </c>
      <c r="J44" s="34" t="n">
        <f aca="false">H44*D44</f>
        <v>110000</v>
      </c>
      <c r="K44" s="35" t="n">
        <v>2</v>
      </c>
      <c r="L44" s="35" t="n">
        <v>0</v>
      </c>
      <c r="M44" s="35" t="n">
        <v>0</v>
      </c>
      <c r="N44" s="35" t="n">
        <f aca="false">①石川予測確定!S44</f>
        <v>1</v>
      </c>
      <c r="O44" s="35" t="n">
        <f aca="false">①石川予測確定!P44</f>
        <v>1</v>
      </c>
      <c r="P44" s="35" t="n">
        <f aca="false">IF(I44="",H44-K44,I44)</f>
        <v>2</v>
      </c>
      <c r="Q44" s="35" t="n">
        <f aca="false">P44+L44-M44-O44</f>
        <v>1</v>
      </c>
      <c r="R44" s="35" t="n">
        <f aca="false">③仙台以降予測!M67</f>
        <v>13</v>
      </c>
      <c r="S44" s="38" t="n">
        <f aca="false">Q44-R44</f>
        <v>-12</v>
      </c>
      <c r="T44" s="35" t="n">
        <f aca="false">MAX(0,-S44)</f>
        <v>12</v>
      </c>
      <c r="U44" s="35" t="n">
        <f aca="false">IF(T44&gt;0,ROUNDUP(T44*(1+前提・入力!$B$34),0),0)</f>
        <v>14</v>
      </c>
      <c r="V44" s="69" t="s">
        <v>534</v>
      </c>
      <c r="W44" s="70" t="n">
        <f aca="false">DATE(2026,9,5)-90-前提・入力!$B$37</f>
        <v>46166</v>
      </c>
      <c r="X44" s="69" t="str">
        <f aca="false">IF(V44="—","—",IF(W44="再生産不可","×再生産不可",_xlfn.IFS(W44-前提・入力!$B$38&lt;0,"★期限超過",W44-前提・入力!$B$38&lt;=30,"★至急(30日以内)",W44-前提・入力!$B$38&lt;=90,"要着手(90日以内)",TRUE(),"余裕あり")))</f>
        <v>★期限超過</v>
      </c>
      <c r="Y44" s="69" t="str">
        <f aca="false">IF(T44&gt;0,"★欠品：追加生産が必要",IF(S44&gt;=R44*2,"大幅余剰","在庫で充足"))</f>
        <v>★欠品：追加生産が必要</v>
      </c>
      <c r="Z44" s="39"/>
      <c r="AA44" s="72"/>
    </row>
    <row r="45" customFormat="false" ht="15" hidden="false" customHeight="false" outlineLevel="0" collapsed="false">
      <c r="A45" s="32" t="n">
        <v>39</v>
      </c>
      <c r="B45" s="32" t="s">
        <v>362</v>
      </c>
      <c r="C45" s="33" t="s">
        <v>363</v>
      </c>
      <c r="D45" s="34" t="n">
        <v>27500</v>
      </c>
      <c r="E45" s="35" t="n">
        <v>13</v>
      </c>
      <c r="F45" s="35" t="n">
        <v>10</v>
      </c>
      <c r="G45" s="35" t="n">
        <v>8</v>
      </c>
      <c r="H45" s="35" t="n">
        <v>5</v>
      </c>
      <c r="I45" s="35" t="n">
        <v>2</v>
      </c>
      <c r="J45" s="34" t="n">
        <f aca="false">H45*D45</f>
        <v>137500</v>
      </c>
      <c r="K45" s="35" t="n">
        <v>2</v>
      </c>
      <c r="L45" s="35" t="n">
        <v>0</v>
      </c>
      <c r="M45" s="35" t="n">
        <v>0</v>
      </c>
      <c r="N45" s="35" t="n">
        <f aca="false">①石川予測確定!S45</f>
        <v>1</v>
      </c>
      <c r="O45" s="35" t="n">
        <f aca="false">①石川予測確定!P45</f>
        <v>2</v>
      </c>
      <c r="P45" s="35" t="n">
        <f aca="false">IF(I45="",H45-K45,I45)</f>
        <v>2</v>
      </c>
      <c r="Q45" s="35" t="n">
        <f aca="false">P45+L45-M45-O45</f>
        <v>0</v>
      </c>
      <c r="R45" s="35" t="n">
        <f aca="false">③仙台以降予測!M68</f>
        <v>19</v>
      </c>
      <c r="S45" s="38" t="n">
        <f aca="false">Q45-R45</f>
        <v>-19</v>
      </c>
      <c r="T45" s="35" t="n">
        <f aca="false">MAX(0,-S45)</f>
        <v>19</v>
      </c>
      <c r="U45" s="35" t="n">
        <f aca="false">IF(T45&gt;0,ROUNDUP(T45*(1+前提・入力!$B$34),0),0)</f>
        <v>21</v>
      </c>
      <c r="V45" s="69" t="s">
        <v>534</v>
      </c>
      <c r="W45" s="70" t="n">
        <f aca="false">DATE(2026,9,5)-90-前提・入力!$B$37</f>
        <v>46166</v>
      </c>
      <c r="X45" s="69" t="str">
        <f aca="false">IF(V45="—","—",IF(W45="再生産不可","×再生産不可",_xlfn.IFS(W45-前提・入力!$B$38&lt;0,"★期限超過",W45-前提・入力!$B$38&lt;=30,"★至急(30日以内)",W45-前提・入力!$B$38&lt;=90,"要着手(90日以内)",TRUE(),"余裕あり")))</f>
        <v>★期限超過</v>
      </c>
      <c r="Y45" s="69" t="str">
        <f aca="false">IF(T45&gt;0,"★欠品：追加生産が必要",IF(S45&gt;=R45*2,"大幅余剰","在庫で充足"))</f>
        <v>★欠品：追加生産が必要</v>
      </c>
      <c r="Z45" s="39"/>
      <c r="AA45" s="72"/>
    </row>
    <row r="46" customFormat="false" ht="15" hidden="false" customHeight="false" outlineLevel="0" collapsed="false">
      <c r="A46" s="32" t="n">
        <v>40</v>
      </c>
      <c r="B46" s="32" t="s">
        <v>364</v>
      </c>
      <c r="C46" s="33" t="s">
        <v>365</v>
      </c>
      <c r="D46" s="34" t="n">
        <v>27500</v>
      </c>
      <c r="E46" s="35" t="n">
        <v>13</v>
      </c>
      <c r="F46" s="35" t="n">
        <v>10</v>
      </c>
      <c r="G46" s="35" t="n">
        <v>7</v>
      </c>
      <c r="H46" s="35" t="n">
        <v>4</v>
      </c>
      <c r="I46" s="35" t="n">
        <v>2</v>
      </c>
      <c r="J46" s="34" t="n">
        <f aca="false">H46*D46</f>
        <v>110000</v>
      </c>
      <c r="K46" s="35" t="n">
        <v>2</v>
      </c>
      <c r="L46" s="35" t="n">
        <v>2</v>
      </c>
      <c r="M46" s="35" t="n">
        <v>0</v>
      </c>
      <c r="N46" s="35" t="n">
        <f aca="false">①石川予測確定!S46</f>
        <v>3</v>
      </c>
      <c r="O46" s="35" t="n">
        <f aca="false">①石川予測確定!P46</f>
        <v>1</v>
      </c>
      <c r="P46" s="35" t="n">
        <f aca="false">IF(I46="",H46-K46,I46)</f>
        <v>2</v>
      </c>
      <c r="Q46" s="35" t="n">
        <f aca="false">P46+L46-M46-O46</f>
        <v>3</v>
      </c>
      <c r="R46" s="35" t="n">
        <f aca="false">③仙台以降予測!M69</f>
        <v>7</v>
      </c>
      <c r="S46" s="38" t="n">
        <f aca="false">Q46-R46</f>
        <v>-4</v>
      </c>
      <c r="T46" s="35" t="n">
        <f aca="false">MAX(0,-S46)</f>
        <v>4</v>
      </c>
      <c r="U46" s="35" t="n">
        <f aca="false">IF(T46&gt;0,ROUNDUP(T46*(1+前提・入力!$B$34),0),0)</f>
        <v>5</v>
      </c>
      <c r="V46" s="69" t="s">
        <v>386</v>
      </c>
      <c r="W46" s="70" t="n">
        <f aca="false">DATE(2027,4,1)-90-前提・入力!$B$37</f>
        <v>46374</v>
      </c>
      <c r="X46" s="69" t="str">
        <f aca="false">IF(V46="—","—",IF(W46="再生産不可","×再生産不可",_xlfn.IFS(W46-前提・入力!$B$38&lt;0,"★期限超過",W46-前提・入力!$B$38&lt;=30,"★至急(30日以内)",W46-前提・入力!$B$38&lt;=90,"要着手(90日以内)",TRUE(),"余裕あり")))</f>
        <v>余裕あり</v>
      </c>
      <c r="Y46" s="69" t="str">
        <f aca="false">IF(T46&gt;0,"★欠品：追加生産が必要",IF(S46&gt;=R46*2,"大幅余剰","在庫で充足"))</f>
        <v>★欠品：追加生産が必要</v>
      </c>
      <c r="Z46" s="39"/>
      <c r="AA46" s="72"/>
    </row>
    <row r="47" customFormat="false" ht="15" hidden="false" customHeight="false" outlineLevel="0" collapsed="false">
      <c r="A47" s="32" t="n">
        <v>41</v>
      </c>
      <c r="B47" s="32" t="s">
        <v>366</v>
      </c>
      <c r="C47" s="33" t="s">
        <v>367</v>
      </c>
      <c r="D47" s="34" t="n">
        <v>25000</v>
      </c>
      <c r="E47" s="35" t="n">
        <v>81</v>
      </c>
      <c r="F47" s="35" t="n">
        <v>76</v>
      </c>
      <c r="G47" s="35" t="n">
        <v>75</v>
      </c>
      <c r="H47" s="35" t="n">
        <v>74</v>
      </c>
      <c r="I47" s="35" t="n">
        <v>70</v>
      </c>
      <c r="J47" s="34" t="n">
        <f aca="false">H47*D47</f>
        <v>1850000</v>
      </c>
      <c r="K47" s="35" t="n">
        <v>4</v>
      </c>
      <c r="L47" s="35" t="n">
        <v>4</v>
      </c>
      <c r="M47" s="35" t="n">
        <v>0</v>
      </c>
      <c r="N47" s="35" t="n">
        <f aca="false">①石川予測確定!S47</f>
        <v>14</v>
      </c>
      <c r="O47" s="35" t="n">
        <f aca="false">①石川予測確定!P47</f>
        <v>0</v>
      </c>
      <c r="P47" s="35" t="n">
        <f aca="false">IF(I47="",H47-K47,I47)</f>
        <v>70</v>
      </c>
      <c r="Q47" s="35" t="n">
        <f aca="false">P47+L47-M47-O47</f>
        <v>74</v>
      </c>
      <c r="R47" s="35" t="n">
        <f aca="false">③仙台以降予測!M70</f>
        <v>0</v>
      </c>
      <c r="S47" s="38" t="n">
        <f aca="false">Q47-R47</f>
        <v>74</v>
      </c>
      <c r="T47" s="35" t="n">
        <f aca="false">MAX(0,-S47)</f>
        <v>0</v>
      </c>
      <c r="U47" s="35" t="n">
        <f aca="false">IF(T47&gt;0,ROUNDUP(T47*(1+前提・入力!$B$34),0),0)</f>
        <v>0</v>
      </c>
      <c r="V47" s="72" t="s">
        <v>531</v>
      </c>
      <c r="W47" s="32"/>
      <c r="X47" s="69" t="str">
        <f aca="false">IF(V47="—","—",IF(W47="再生産不可","×再生産不可",_xlfn.IFS(W47-前提・入力!$B$38&lt;0,"★期限超過",W47-前提・入力!$B$38&lt;=30,"★至急(30日以内)",W47-前提・入力!$B$38&lt;=90,"要着手(90日以内)",TRUE(),"余裕あり")))</f>
        <v>—</v>
      </c>
      <c r="Y47" s="69" t="str">
        <f aca="false">IF(T47&gt;0,"★欠品：追加生産が必要",IF(S47&gt;=R47*2,"大幅余剰","在庫で充足"))</f>
        <v>大幅余剰</v>
      </c>
      <c r="Z47" s="39"/>
      <c r="AA47" s="72"/>
    </row>
    <row r="48" customFormat="false" ht="15" hidden="false" customHeight="false" outlineLevel="0" collapsed="false">
      <c r="A48" s="32" t="n">
        <v>42</v>
      </c>
      <c r="B48" s="32" t="s">
        <v>368</v>
      </c>
      <c r="C48" s="33" t="s">
        <v>369</v>
      </c>
      <c r="D48" s="34" t="n">
        <v>25000</v>
      </c>
      <c r="E48" s="35" t="n">
        <v>69</v>
      </c>
      <c r="F48" s="35" t="n">
        <v>61</v>
      </c>
      <c r="G48" s="35" t="n">
        <v>58</v>
      </c>
      <c r="H48" s="35" t="n">
        <v>49</v>
      </c>
      <c r="I48" s="35" t="n">
        <v>43</v>
      </c>
      <c r="J48" s="34" t="n">
        <f aca="false">H48*D48</f>
        <v>1225000</v>
      </c>
      <c r="K48" s="35" t="n">
        <v>6</v>
      </c>
      <c r="L48" s="35" t="n">
        <v>5</v>
      </c>
      <c r="M48" s="35" t="n">
        <v>0</v>
      </c>
      <c r="N48" s="35" t="n">
        <f aca="false">①石川予測確定!S48</f>
        <v>15</v>
      </c>
      <c r="O48" s="35" t="n">
        <f aca="false">①石川予測確定!P48</f>
        <v>0</v>
      </c>
      <c r="P48" s="35" t="n">
        <f aca="false">IF(I48="",H48-K48,I48)</f>
        <v>43</v>
      </c>
      <c r="Q48" s="35" t="n">
        <f aca="false">P48+L48-M48-O48</f>
        <v>48</v>
      </c>
      <c r="R48" s="35" t="n">
        <f aca="false">③仙台以降予測!M71</f>
        <v>3</v>
      </c>
      <c r="S48" s="38" t="n">
        <f aca="false">Q48-R48</f>
        <v>45</v>
      </c>
      <c r="T48" s="35" t="n">
        <f aca="false">MAX(0,-S48)</f>
        <v>0</v>
      </c>
      <c r="U48" s="35" t="n">
        <f aca="false">IF(T48&gt;0,ROUNDUP(T48*(1+前提・入力!$B$34),0),0)</f>
        <v>0</v>
      </c>
      <c r="V48" s="72" t="s">
        <v>531</v>
      </c>
      <c r="W48" s="32"/>
      <c r="X48" s="69" t="str">
        <f aca="false">IF(V48="—","—",IF(W48="再生産不可","×再生産不可",_xlfn.IFS(W48-前提・入力!$B$38&lt;0,"★期限超過",W48-前提・入力!$B$38&lt;=30,"★至急(30日以内)",W48-前提・入力!$B$38&lt;=90,"要着手(90日以内)",TRUE(),"余裕あり")))</f>
        <v>—</v>
      </c>
      <c r="Y48" s="69" t="str">
        <f aca="false">IF(T48&gt;0,"★欠品：追加生産が必要",IF(S48&gt;=R48*2,"大幅余剰","在庫で充足"))</f>
        <v>大幅余剰</v>
      </c>
      <c r="Z48" s="39"/>
      <c r="AA48" s="72"/>
    </row>
    <row r="49" customFormat="false" ht="15" hidden="false" customHeight="false" outlineLevel="0" collapsed="false">
      <c r="A49" s="40"/>
      <c r="B49" s="40"/>
      <c r="C49" s="41" t="s">
        <v>370</v>
      </c>
      <c r="D49" s="40"/>
      <c r="E49" s="42" t="n">
        <f aca="false">SUM(E7:E48)</f>
        <v>102309</v>
      </c>
      <c r="F49" s="42" t="n">
        <f aca="false">SUM(F7:F48)</f>
        <v>160526</v>
      </c>
      <c r="G49" s="42" t="n">
        <f aca="false">SUM(G7:G48)</f>
        <v>340617</v>
      </c>
      <c r="H49" s="42" t="n">
        <f aca="false">SUM(H7:H48)</f>
        <v>276521</v>
      </c>
      <c r="I49" s="42" t="n">
        <f aca="false">SUM(I7:I48)</f>
        <v>197802</v>
      </c>
      <c r="J49" s="44" t="n">
        <f aca="false">SUM(J7:J48)</f>
        <v>217570900</v>
      </c>
      <c r="K49" s="42" t="n">
        <f aca="false">SUM(K7:K48)</f>
        <v>50506</v>
      </c>
      <c r="L49" s="42" t="n">
        <f aca="false">SUM(L7:L48)</f>
        <v>41615</v>
      </c>
      <c r="M49" s="42" t="n">
        <f aca="false">SUM(M7:M48)</f>
        <v>4</v>
      </c>
      <c r="N49" s="42" t="n">
        <f aca="false">SUM(N7:N48)</f>
        <v>46928</v>
      </c>
      <c r="O49" s="42" t="n">
        <f aca="false">SUM(O7:O48)</f>
        <v>5151</v>
      </c>
      <c r="P49" s="42" t="n">
        <f aca="false">SUM(P7:P48)</f>
        <v>197962</v>
      </c>
      <c r="Q49" s="42" t="n">
        <f aca="false">SUM(Q7:Q48)</f>
        <v>234422</v>
      </c>
      <c r="R49" s="42" t="n">
        <f aca="false">SUM(R7:R48)</f>
        <v>61617</v>
      </c>
      <c r="S49" s="42" t="n">
        <f aca="false">SUM(S7:S48)</f>
        <v>174005</v>
      </c>
      <c r="T49" s="42" t="n">
        <f aca="false">SUM(T7:T48)</f>
        <v>3384</v>
      </c>
      <c r="U49" s="42" t="n">
        <f aca="false">SUM(U7:U48)</f>
        <v>3729</v>
      </c>
      <c r="V49" s="40"/>
      <c r="W49" s="40"/>
      <c r="X49" s="40" t="str">
        <f aca="false">COUNTIF(X7:X48,"★期限超過")&amp;"品目が期限超過"</f>
        <v>3品目が期限超過</v>
      </c>
      <c r="Y49" s="40" t="str">
        <f aca="false">COUNTIF(Y7:Y48,"★欠品：追加生産が必要")&amp;"品目が欠品"</f>
        <v>13品目が欠品</v>
      </c>
      <c r="Z49" s="40" t="str">
        <f aca="false">COUNTIF(Z7:Z48,"&lt;&gt;")&amp;"品目"</f>
        <v>0品目</v>
      </c>
      <c r="AA49" s="40"/>
    </row>
  </sheetData>
  <conditionalFormatting sqref="Y7:Y48">
    <cfRule type="expression" priority="2" aboveAverage="0" equalAverage="0" bottom="0" percent="0" rank="0" text="" dxfId="0">
      <formula>LEFT($Y7,1)="★"</formula>
    </cfRule>
    <cfRule type="expression" priority="3" aboveAverage="0" equalAverage="0" bottom="0" percent="0" rank="0" text="" dxfId="2">
      <formula>$Y7="在庫で充足"</formula>
    </cfRule>
  </conditionalFormatting>
  <conditionalFormatting sqref="Z7:Z48">
    <cfRule type="expression" priority="4" aboveAverage="0" equalAverage="0" bottom="0" percent="0" rank="0" text="" dxfId="1">
      <formula>$Z7&lt;&gt;""</formula>
    </cfRule>
  </conditionalFormatting>
  <conditionalFormatting sqref="V7:V48">
    <cfRule type="expression" priority="5" aboveAverage="0" equalAverage="0" bottom="0" percent="0" rank="0" text="" dxfId="3">
      <formula>$V7&lt;&gt;"—"</formula>
    </cfRule>
  </conditionalFormatting>
  <conditionalFormatting sqref="X7:X48">
    <cfRule type="expression" priority="6" aboveAverage="0" equalAverage="0" bottom="0" percent="0" rank="0" text="" dxfId="3">
      <formula>LEFT($X7,1)="★"</formula>
    </cfRule>
    <cfRule type="expression" priority="7" aboveAverage="0" equalAverage="0" bottom="0" percent="0" rank="0" text="" dxfId="1">
      <formula>$X7="要着手(90日以内)"</formula>
    </cfRule>
  </conditionalFormatting>
  <conditionalFormatting sqref="T7:T48">
    <cfRule type="expression" priority="8" aboveAverage="0" equalAverage="0" bottom="0" percent="0" rank="0" text="" dxfId="3">
      <formula>$T7&gt;0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R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2" min="32" style="0" width="11"/>
    <col collapsed="false" customWidth="true" hidden="false" outlineLevel="0" max="33" min="33" style="0" width="10"/>
    <col collapsed="false" customWidth="true" hidden="false" outlineLevel="0" max="35" min="34" style="0" width="11"/>
    <col collapsed="false" customWidth="true" hidden="false" outlineLevel="0" max="36" min="36" style="0" width="10"/>
    <col collapsed="false" customWidth="true" hidden="false" outlineLevel="0" max="37" min="37" style="0" width="11"/>
    <col collapsed="false" customWidth="true" hidden="false" outlineLevel="0" max="38" min="38" style="0" width="10"/>
    <col collapsed="false" customWidth="true" hidden="false" outlineLevel="0" max="42" min="39" style="0" width="11"/>
    <col collapsed="false" customWidth="true" hidden="false" outlineLevel="0" max="43" min="43" style="0" width="12"/>
    <col collapsed="false" customWidth="true" hidden="false" outlineLevel="0" max="44" min="44" style="0" width="16"/>
  </cols>
  <sheetData>
    <row r="1" customFormat="false" ht="20.1" hidden="false" customHeight="false" outlineLevel="0" collapsed="false">
      <c r="A1" s="1" t="s">
        <v>692</v>
      </c>
    </row>
    <row r="2" customFormat="false" ht="15" hidden="false" customHeight="false" outlineLevel="0" collapsed="false">
      <c r="A2" s="3" t="s">
        <v>693</v>
      </c>
    </row>
    <row r="3" customFormat="false" ht="15" hidden="false" customHeight="false" outlineLevel="0" collapsed="false">
      <c r="A3" s="3" t="s">
        <v>694</v>
      </c>
    </row>
    <row r="4" customFormat="false" ht="15" hidden="false" customHeight="false" outlineLevel="0" collapsed="false">
      <c r="A4" s="3" t="s">
        <v>695</v>
      </c>
    </row>
    <row r="6" customFormat="false" ht="15" hidden="false" customHeight="false" outlineLevel="0" collapsed="false">
      <c r="A6" s="4" t="s">
        <v>696</v>
      </c>
    </row>
    <row r="7" customFormat="false" ht="33.75" hidden="false" customHeight="true" outlineLevel="0" collapsed="false">
      <c r="A7" s="26" t="s">
        <v>424</v>
      </c>
      <c r="B7" s="26" t="s">
        <v>399</v>
      </c>
      <c r="C7" s="26" t="s">
        <v>697</v>
      </c>
      <c r="D7" s="26" t="s">
        <v>698</v>
      </c>
      <c r="E7" s="26" t="s">
        <v>699</v>
      </c>
      <c r="F7" s="26" t="s">
        <v>700</v>
      </c>
      <c r="G7" s="26" t="s">
        <v>701</v>
      </c>
      <c r="H7" s="26" t="s">
        <v>702</v>
      </c>
      <c r="I7" s="26" t="s">
        <v>703</v>
      </c>
      <c r="J7" s="26" t="s">
        <v>704</v>
      </c>
      <c r="K7" s="26" t="s">
        <v>705</v>
      </c>
      <c r="L7" s="26" t="s">
        <v>597</v>
      </c>
    </row>
    <row r="8" customFormat="false" ht="49.25" hidden="false" customHeight="false" outlineLevel="0" collapsed="false">
      <c r="A8" s="54" t="s">
        <v>376</v>
      </c>
      <c r="B8" s="35" t="n">
        <v>25</v>
      </c>
      <c r="C8" s="33" t="s">
        <v>706</v>
      </c>
      <c r="D8" s="36"/>
      <c r="E8" s="35" t="n">
        <v>211152</v>
      </c>
      <c r="F8" s="35"/>
      <c r="G8" s="35" t="n">
        <v>148185</v>
      </c>
      <c r="H8" s="32"/>
      <c r="I8" s="32"/>
      <c r="J8" s="32"/>
      <c r="K8" s="37" t="n">
        <f aca="false">IFERROR(G8/E8,0)</f>
        <v>0.701793021141169</v>
      </c>
      <c r="L8" s="69" t="s">
        <v>707</v>
      </c>
    </row>
    <row r="9" customFormat="false" ht="61.15" hidden="false" customHeight="false" outlineLevel="0" collapsed="false">
      <c r="A9" s="54" t="s">
        <v>377</v>
      </c>
      <c r="B9" s="35" t="n">
        <v>19</v>
      </c>
      <c r="C9" s="33" t="s">
        <v>708</v>
      </c>
      <c r="D9" s="36" t="n">
        <v>1.21166397445354</v>
      </c>
      <c r="E9" s="35" t="n">
        <v>83271</v>
      </c>
      <c r="F9" s="35" t="n">
        <v>57375</v>
      </c>
      <c r="G9" s="35" t="n">
        <v>58600</v>
      </c>
      <c r="H9" s="38" t="n">
        <f aca="false">G9-F9</f>
        <v>1225</v>
      </c>
      <c r="I9" s="83" t="n">
        <f aca="false">IFERROR(-H9/G9,"")</f>
        <v>-0.0209044368600683</v>
      </c>
      <c r="J9" s="37" t="n">
        <v>0.0560921501706485</v>
      </c>
      <c r="K9" s="37" t="n">
        <f aca="false">IFERROR(G9/E9,0)</f>
        <v>0.703726387337729</v>
      </c>
      <c r="L9" s="69" t="s">
        <v>709</v>
      </c>
    </row>
    <row r="10" customFormat="false" ht="61.15" hidden="false" customHeight="false" outlineLevel="0" collapsed="false">
      <c r="A10" s="54" t="s">
        <v>378</v>
      </c>
      <c r="B10" s="35" t="n">
        <v>26</v>
      </c>
      <c r="C10" s="33" t="s">
        <v>710</v>
      </c>
      <c r="D10" s="36" t="n">
        <v>1.63820903701224</v>
      </c>
      <c r="E10" s="35" t="n">
        <v>49598</v>
      </c>
      <c r="F10" s="35" t="n">
        <v>32672</v>
      </c>
      <c r="G10" s="35" t="n">
        <v>44871</v>
      </c>
      <c r="H10" s="38" t="n">
        <f aca="false">G10-F10</f>
        <v>12199</v>
      </c>
      <c r="I10" s="83" t="n">
        <f aca="false">IFERROR(-H10/G10,"")</f>
        <v>-0.271868244523189</v>
      </c>
      <c r="J10" s="37" t="n">
        <v>0.300661897439326</v>
      </c>
      <c r="K10" s="37" t="n">
        <f aca="false">IFERROR(G10/E10,0)</f>
        <v>0.904693737650712</v>
      </c>
      <c r="L10" s="72" t="s">
        <v>711</v>
      </c>
    </row>
    <row r="11" customFormat="false" ht="85.05" hidden="false" customHeight="false" outlineLevel="0" collapsed="false">
      <c r="A11" s="54" t="s">
        <v>379</v>
      </c>
      <c r="B11" s="35" t="n">
        <v>20</v>
      </c>
      <c r="C11" s="33" t="s">
        <v>712</v>
      </c>
      <c r="D11" s="36" t="n">
        <v>1.46462008519997</v>
      </c>
      <c r="E11" s="35" t="n">
        <v>137560</v>
      </c>
      <c r="F11" s="35" t="n">
        <v>71187</v>
      </c>
      <c r="G11" s="35" t="n">
        <v>63740</v>
      </c>
      <c r="H11" s="38" t="n">
        <f aca="false">G11-F11</f>
        <v>-7447</v>
      </c>
      <c r="I11" s="83" t="n">
        <f aca="false">IFERROR(-H11/G11,"")</f>
        <v>0.116834013178538</v>
      </c>
      <c r="J11" s="37" t="n">
        <v>0.129479133981801</v>
      </c>
      <c r="K11" s="37" t="n">
        <f aca="false">IFERROR(G11/E11,0)</f>
        <v>0.463361442279732</v>
      </c>
      <c r="L11" s="69" t="s">
        <v>713</v>
      </c>
    </row>
    <row r="12" customFormat="false" ht="49.25" hidden="false" customHeight="false" outlineLevel="0" collapsed="false">
      <c r="A12" s="54" t="s">
        <v>380</v>
      </c>
      <c r="B12" s="35" t="n">
        <v>20</v>
      </c>
      <c r="C12" s="33" t="s">
        <v>714</v>
      </c>
      <c r="D12" s="36" t="n">
        <v>1.36689804039224</v>
      </c>
      <c r="E12" s="35" t="n">
        <v>50506</v>
      </c>
      <c r="F12" s="35" t="n">
        <v>8524</v>
      </c>
      <c r="G12" s="35" t="n">
        <v>8891</v>
      </c>
      <c r="H12" s="38" t="n">
        <f aca="false">G12-F12</f>
        <v>367</v>
      </c>
      <c r="I12" s="83" t="n">
        <f aca="false">IFERROR(-H12/G12,"")</f>
        <v>-0.0412776965470701</v>
      </c>
      <c r="J12" s="37" t="n">
        <v>0.103362951299067</v>
      </c>
      <c r="K12" s="37" t="n">
        <f aca="false">IFERROR(G12/E12,0)</f>
        <v>0.176038490476379</v>
      </c>
      <c r="L12" s="69" t="s">
        <v>715</v>
      </c>
    </row>
    <row r="13" customFormat="false" ht="61.15" hidden="false" customHeight="false" outlineLevel="0" collapsed="false">
      <c r="A13" s="40" t="s">
        <v>716</v>
      </c>
      <c r="B13" s="40"/>
      <c r="C13" s="41"/>
      <c r="D13" s="40"/>
      <c r="E13" s="42" t="n">
        <f aca="false">SUM(E8:E12)</f>
        <v>532087</v>
      </c>
      <c r="F13" s="42" t="n">
        <f aca="false">SUM(F8:F12)</f>
        <v>169758</v>
      </c>
      <c r="G13" s="42" t="n">
        <f aca="false">SUM(G8:G12)</f>
        <v>324287</v>
      </c>
      <c r="H13" s="46" t="n">
        <f aca="false">G13-F13</f>
        <v>154529</v>
      </c>
      <c r="I13" s="95" t="n">
        <f aca="false">IFERROR(-H13/G13,"")</f>
        <v>-0.476519256091055</v>
      </c>
      <c r="J13" s="40"/>
      <c r="K13" s="45" t="n">
        <f aca="false">IFERROR(G13/E13,0)</f>
        <v>0.609462362358035</v>
      </c>
      <c r="L13" s="92" t="s">
        <v>717</v>
      </c>
    </row>
    <row r="15" customFormat="false" ht="15" hidden="false" customHeight="false" outlineLevel="0" collapsed="false">
      <c r="A15" s="4" t="s">
        <v>718</v>
      </c>
    </row>
    <row r="16" customFormat="false" ht="39.75" hidden="false" customHeight="true" outlineLevel="0" collapsed="false">
      <c r="A16" s="25" t="s">
        <v>263</v>
      </c>
      <c r="B16" s="25" t="s">
        <v>264</v>
      </c>
      <c r="C16" s="26" t="s">
        <v>265</v>
      </c>
      <c r="D16" s="26" t="s">
        <v>508</v>
      </c>
      <c r="E16" s="47" t="s">
        <v>719</v>
      </c>
      <c r="F16" s="47" t="s">
        <v>720</v>
      </c>
      <c r="G16" s="47" t="s">
        <v>721</v>
      </c>
      <c r="H16" s="47" t="s">
        <v>722</v>
      </c>
      <c r="I16" s="47" t="s">
        <v>723</v>
      </c>
      <c r="J16" s="47" t="s">
        <v>724</v>
      </c>
      <c r="K16" s="47" t="s">
        <v>725</v>
      </c>
      <c r="L16" s="48" t="s">
        <v>726</v>
      </c>
      <c r="M16" s="48" t="s">
        <v>727</v>
      </c>
      <c r="N16" s="48" t="s">
        <v>728</v>
      </c>
      <c r="O16" s="48" t="s">
        <v>729</v>
      </c>
      <c r="P16" s="48" t="s">
        <v>730</v>
      </c>
      <c r="Q16" s="48" t="s">
        <v>731</v>
      </c>
      <c r="R16" s="48" t="s">
        <v>732</v>
      </c>
      <c r="S16" s="28" t="s">
        <v>733</v>
      </c>
      <c r="T16" s="28" t="s">
        <v>734</v>
      </c>
      <c r="U16" s="28" t="s">
        <v>735</v>
      </c>
      <c r="V16" s="28" t="s">
        <v>736</v>
      </c>
      <c r="W16" s="28" t="s">
        <v>737</v>
      </c>
      <c r="X16" s="28" t="s">
        <v>738</v>
      </c>
      <c r="Y16" s="28" t="s">
        <v>739</v>
      </c>
      <c r="Z16" s="29" t="s">
        <v>740</v>
      </c>
      <c r="AA16" s="29" t="s">
        <v>741</v>
      </c>
      <c r="AB16" s="29" t="s">
        <v>742</v>
      </c>
      <c r="AC16" s="29" t="s">
        <v>743</v>
      </c>
      <c r="AD16" s="29" t="s">
        <v>744</v>
      </c>
      <c r="AE16" s="29" t="s">
        <v>745</v>
      </c>
      <c r="AF16" s="29" t="s">
        <v>746</v>
      </c>
      <c r="AG16" s="30" t="s">
        <v>747</v>
      </c>
      <c r="AH16" s="30" t="s">
        <v>748</v>
      </c>
      <c r="AI16" s="30" t="s">
        <v>749</v>
      </c>
      <c r="AJ16" s="30" t="s">
        <v>750</v>
      </c>
      <c r="AK16" s="30" t="s">
        <v>751</v>
      </c>
      <c r="AL16" s="30" t="s">
        <v>752</v>
      </c>
      <c r="AM16" s="30" t="s">
        <v>753</v>
      </c>
      <c r="AN16" s="89" t="s">
        <v>754</v>
      </c>
      <c r="AO16" s="89" t="s">
        <v>755</v>
      </c>
      <c r="AP16" s="27" t="s">
        <v>756</v>
      </c>
      <c r="AQ16" s="49" t="s">
        <v>757</v>
      </c>
      <c r="AR16" s="31" t="s">
        <v>758</v>
      </c>
    </row>
    <row r="17" customFormat="false" ht="15" hidden="false" customHeight="false" outlineLevel="0" collapsed="false">
      <c r="A17" s="32" t="n">
        <v>1</v>
      </c>
      <c r="B17" s="32" t="s">
        <v>286</v>
      </c>
      <c r="C17" s="33" t="s">
        <v>287</v>
      </c>
      <c r="D17" s="34" t="n">
        <v>500</v>
      </c>
      <c r="E17" s="35" t="n">
        <v>6000</v>
      </c>
      <c r="F17" s="32" t="s">
        <v>531</v>
      </c>
      <c r="G17" s="35" t="n">
        <v>4965</v>
      </c>
      <c r="H17" s="32" t="s">
        <v>531</v>
      </c>
      <c r="I17" s="37" t="n">
        <f aca="false">IFERROR(E17/E$59,0)</f>
        <v>0.0284155489884065</v>
      </c>
      <c r="J17" s="37" t="n">
        <f aca="false">IFERROR(G17/G$59,0)</f>
        <v>0.0335054155278874</v>
      </c>
      <c r="K17" s="96" t="n">
        <f aca="false">J17-I17</f>
        <v>0.00508986653948098</v>
      </c>
      <c r="L17" s="35" t="n">
        <v>1998</v>
      </c>
      <c r="M17" s="35" t="n">
        <v>1047</v>
      </c>
      <c r="N17" s="35" t="n">
        <v>1316</v>
      </c>
      <c r="O17" s="38" t="n">
        <f aca="false">N17-M17</f>
        <v>269</v>
      </c>
      <c r="P17" s="37" t="n">
        <f aca="false">IFERROR(M17/M$59,0)</f>
        <v>0.0182483660130719</v>
      </c>
      <c r="Q17" s="37" t="n">
        <f aca="false">IFERROR(N17/N$59,0)</f>
        <v>0.022457337883959</v>
      </c>
      <c r="R17" s="96" t="n">
        <f aca="false">Q17-P17</f>
        <v>0.00420897187088715</v>
      </c>
      <c r="S17" s="35" t="n">
        <v>1099</v>
      </c>
      <c r="T17" s="35" t="n">
        <v>1163</v>
      </c>
      <c r="U17" s="35" t="n">
        <v>1092</v>
      </c>
      <c r="V17" s="38" t="n">
        <f aca="false">U17-T17</f>
        <v>-71</v>
      </c>
      <c r="W17" s="37" t="n">
        <f aca="false">IFERROR(T17/T$59,0)</f>
        <v>0.0355962291870715</v>
      </c>
      <c r="X17" s="37" t="n">
        <f aca="false">IFERROR(U17/U$59,0)</f>
        <v>0.0243364311024938</v>
      </c>
      <c r="Y17" s="96" t="n">
        <f aca="false">X17-W17</f>
        <v>-0.0112597980845777</v>
      </c>
      <c r="Z17" s="35" t="n">
        <v>3000</v>
      </c>
      <c r="AA17" s="35" t="n">
        <v>2184</v>
      </c>
      <c r="AB17" s="35" t="n">
        <v>2325</v>
      </c>
      <c r="AC17" s="38" t="n">
        <f aca="false">AB17-AA17</f>
        <v>141</v>
      </c>
      <c r="AD17" s="37" t="n">
        <f aca="false">IFERROR(AA17/AA$59,0)</f>
        <v>0.0306797589447511</v>
      </c>
      <c r="AE17" s="37" t="n">
        <f aca="false">IFERROR(AB17/AB$59,0)</f>
        <v>0.0364763100094132</v>
      </c>
      <c r="AF17" s="96" t="n">
        <f aca="false">AE17-AD17</f>
        <v>0.00579655106466209</v>
      </c>
      <c r="AG17" s="35" t="n">
        <v>1000</v>
      </c>
      <c r="AH17" s="35" t="n">
        <v>443</v>
      </c>
      <c r="AI17" s="35" t="n">
        <v>507</v>
      </c>
      <c r="AJ17" s="38" t="n">
        <f aca="false">AI17-AH17</f>
        <v>64</v>
      </c>
      <c r="AK17" s="37" t="n">
        <f aca="false">IFERROR(AH17/AH$59,0)</f>
        <v>0.0519709056780854</v>
      </c>
      <c r="AL17" s="37" t="n">
        <f aca="false">IFERROR(AI17/AI$59,0)</f>
        <v>0.0570239568102576</v>
      </c>
      <c r="AM17" s="96" t="n">
        <f aca="false">AL17-AK17</f>
        <v>0.00505305113217216</v>
      </c>
      <c r="AN17" s="35" t="n">
        <f aca="false">G17+N17+U17+AB17</f>
        <v>9698</v>
      </c>
      <c r="AO17" s="37" t="n">
        <f aca="false">IFERROR(AN17/AN$59,0)</f>
        <v>0.0307486461464318</v>
      </c>
      <c r="AP17" s="37" t="n">
        <f aca="false">①石川予測確定!R7</f>
        <v>0.0528052805280528</v>
      </c>
      <c r="AQ17" s="37" t="n">
        <f aca="false">③仙台以降予測!H30</f>
        <v>0.0549146186691552</v>
      </c>
      <c r="AR17" s="39" t="str">
        <f aca="false">IF(AQ17-AO17&gt;=0.005,"↑ 上方修正",IF(AQ17-AO17&lt;=-0.005,"↓ 下方修正","→ 据置"))</f>
        <v>↑ 上方修正</v>
      </c>
    </row>
    <row r="18" customFormat="false" ht="15" hidden="false" customHeight="false" outlineLevel="0" collapsed="false">
      <c r="A18" s="32" t="n">
        <v>2</v>
      </c>
      <c r="B18" s="32" t="s">
        <v>288</v>
      </c>
      <c r="C18" s="33" t="s">
        <v>289</v>
      </c>
      <c r="D18" s="34" t="n">
        <v>600</v>
      </c>
      <c r="E18" s="35" t="n">
        <v>5699</v>
      </c>
      <c r="F18" s="32" t="s">
        <v>531</v>
      </c>
      <c r="G18" s="35" t="n">
        <v>4902</v>
      </c>
      <c r="H18" s="32" t="s">
        <v>531</v>
      </c>
      <c r="I18" s="37" t="n">
        <f aca="false">IFERROR(E18/E$59,0)</f>
        <v>0.0269900356141547</v>
      </c>
      <c r="J18" s="37" t="n">
        <f aca="false">IFERROR(G18/G$59,0)</f>
        <v>0.0330802712825185</v>
      </c>
      <c r="K18" s="96" t="n">
        <f aca="false">J18-I18</f>
        <v>0.00609023566836374</v>
      </c>
      <c r="L18" s="35" t="n">
        <v>1999</v>
      </c>
      <c r="M18" s="35" t="n">
        <v>1379</v>
      </c>
      <c r="N18" s="35" t="n">
        <v>1466</v>
      </c>
      <c r="O18" s="38" t="n">
        <f aca="false">N18-M18</f>
        <v>87</v>
      </c>
      <c r="P18" s="37" t="n">
        <f aca="false">IFERROR(M18/M$59,0)</f>
        <v>0.0240348583877996</v>
      </c>
      <c r="Q18" s="37" t="n">
        <f aca="false">IFERROR(N18/N$59,0)</f>
        <v>0.0250170648464164</v>
      </c>
      <c r="R18" s="96" t="n">
        <f aca="false">Q18-P18</f>
        <v>0.000982206458616818</v>
      </c>
      <c r="S18" s="35" t="n">
        <v>1200</v>
      </c>
      <c r="T18" s="35" t="n">
        <v>1148</v>
      </c>
      <c r="U18" s="35" t="n">
        <v>1132</v>
      </c>
      <c r="V18" s="38" t="n">
        <f aca="false">U18-T18</f>
        <v>-16</v>
      </c>
      <c r="W18" s="37" t="n">
        <f aca="false">IFERROR(T18/T$59,0)</f>
        <v>0.0351371204701273</v>
      </c>
      <c r="X18" s="37" t="n">
        <f aca="false">IFERROR(U18/U$59,0)</f>
        <v>0.0252278754652225</v>
      </c>
      <c r="Y18" s="96" t="n">
        <f aca="false">X18-W18</f>
        <v>-0.0099092450049048</v>
      </c>
      <c r="Z18" s="35" t="n">
        <v>3000</v>
      </c>
      <c r="AA18" s="35" t="n">
        <v>2028</v>
      </c>
      <c r="AB18" s="35" t="n">
        <v>1965</v>
      </c>
      <c r="AC18" s="38" t="n">
        <f aca="false">AB18-AA18</f>
        <v>-63</v>
      </c>
      <c r="AD18" s="37" t="n">
        <f aca="false">IFERROR(AA18/AA$59,0)</f>
        <v>0.0284883475915546</v>
      </c>
      <c r="AE18" s="37" t="n">
        <f aca="false">IFERROR(AB18/AB$59,0)</f>
        <v>0.0308283652337622</v>
      </c>
      <c r="AF18" s="96" t="n">
        <f aca="false">AE18-AD18</f>
        <v>0.00234001764220752</v>
      </c>
      <c r="AG18" s="35" t="n">
        <v>1000</v>
      </c>
      <c r="AH18" s="35" t="n">
        <v>482</v>
      </c>
      <c r="AI18" s="35" t="n">
        <v>541</v>
      </c>
      <c r="AJ18" s="38" t="n">
        <f aca="false">AI18-AH18</f>
        <v>59</v>
      </c>
      <c r="AK18" s="37" t="n">
        <f aca="false">IFERROR(AH18/AH$59,0)</f>
        <v>0.0565462224307837</v>
      </c>
      <c r="AL18" s="37" t="n">
        <f aca="false">IFERROR(AI18/AI$59,0)</f>
        <v>0.0608480485884602</v>
      </c>
      <c r="AM18" s="96" t="n">
        <f aca="false">AL18-AK18</f>
        <v>0.00430182615767657</v>
      </c>
      <c r="AN18" s="35" t="n">
        <f aca="false">G18+N18+U18+AB18</f>
        <v>9465</v>
      </c>
      <c r="AO18" s="37" t="n">
        <f aca="false">IFERROR(AN18/AN$59,0)</f>
        <v>0.030009892325838</v>
      </c>
      <c r="AP18" s="37" t="n">
        <f aca="false">①石川予測確定!R8</f>
        <v>0.0630945447485925</v>
      </c>
      <c r="AQ18" s="37" t="n">
        <f aca="false">③仙台以降予測!H31</f>
        <v>0.0619712966685264</v>
      </c>
      <c r="AR18" s="39" t="str">
        <f aca="false">IF(AQ18-AO18&gt;=0.005,"↑ 上方修正",IF(AQ18-AO18&lt;=-0.005,"↓ 下方修正","→ 据置"))</f>
        <v>↑ 上方修正</v>
      </c>
    </row>
    <row r="19" customFormat="false" ht="15" hidden="false" customHeight="false" outlineLevel="0" collapsed="false">
      <c r="A19" s="32" t="n">
        <v>3</v>
      </c>
      <c r="B19" s="32" t="s">
        <v>290</v>
      </c>
      <c r="C19" s="33" t="s">
        <v>291</v>
      </c>
      <c r="D19" s="34" t="n">
        <v>1000</v>
      </c>
      <c r="E19" s="35" t="n">
        <v>3700</v>
      </c>
      <c r="F19" s="32" t="s">
        <v>531</v>
      </c>
      <c r="G19" s="35" t="n">
        <v>2956</v>
      </c>
      <c r="H19" s="32" t="s">
        <v>531</v>
      </c>
      <c r="I19" s="37" t="n">
        <f aca="false">IFERROR(E19/E$59,0)</f>
        <v>0.017522921876184</v>
      </c>
      <c r="J19" s="37" t="n">
        <f aca="false">IFERROR(G19/G$59,0)</f>
        <v>0.019948037925566</v>
      </c>
      <c r="K19" s="96" t="n">
        <f aca="false">J19-I19</f>
        <v>0.00242511604938203</v>
      </c>
      <c r="L19" s="35" t="n">
        <v>1200</v>
      </c>
      <c r="M19" s="35" t="n">
        <v>584</v>
      </c>
      <c r="N19" s="35" t="n">
        <v>601</v>
      </c>
      <c r="O19" s="38" t="n">
        <f aca="false">N19-M19</f>
        <v>17</v>
      </c>
      <c r="P19" s="37" t="n">
        <f aca="false">IFERROR(M19/M$59,0)</f>
        <v>0.0101786492374728</v>
      </c>
      <c r="Q19" s="37" t="n">
        <f aca="false">IFERROR(N19/N$59,0)</f>
        <v>0.0102559726962457</v>
      </c>
      <c r="R19" s="96" t="n">
        <f aca="false">Q19-P19</f>
        <v>7.73234587729665E-005</v>
      </c>
      <c r="S19" s="35" t="n">
        <v>500</v>
      </c>
      <c r="T19" s="35" t="n">
        <v>440</v>
      </c>
      <c r="U19" s="35" t="n">
        <v>454</v>
      </c>
      <c r="V19" s="38" t="n">
        <f aca="false">U19-T19</f>
        <v>14</v>
      </c>
      <c r="W19" s="37" t="n">
        <f aca="false">IFERROR(T19/T$59,0)</f>
        <v>0.0134671890303624</v>
      </c>
      <c r="X19" s="37" t="n">
        <f aca="false">IFERROR(U19/U$59,0)</f>
        <v>0.0101178935169709</v>
      </c>
      <c r="Y19" s="96" t="n">
        <f aca="false">X19-W19</f>
        <v>-0.00334929551339152</v>
      </c>
      <c r="Z19" s="35" t="n">
        <v>2000</v>
      </c>
      <c r="AA19" s="35" t="n">
        <v>1164</v>
      </c>
      <c r="AB19" s="35" t="n">
        <v>1132</v>
      </c>
      <c r="AC19" s="38" t="n">
        <f aca="false">AB19-AA19</f>
        <v>-32</v>
      </c>
      <c r="AD19" s="37" t="n">
        <f aca="false">IFERROR(AA19/AA$59,0)</f>
        <v>0.0163513000969278</v>
      </c>
      <c r="AE19" s="37" t="n">
        <f aca="false">IFERROR(AB19/AB$59,0)</f>
        <v>0.0177596485723251</v>
      </c>
      <c r="AF19" s="96" t="n">
        <f aca="false">AE19-AD19</f>
        <v>0.00140834847539726</v>
      </c>
      <c r="AG19" s="35" t="n">
        <v>450</v>
      </c>
      <c r="AH19" s="35" t="n">
        <v>146</v>
      </c>
      <c r="AI19" s="35" t="n">
        <v>169</v>
      </c>
      <c r="AJ19" s="38" t="n">
        <f aca="false">AI19-AH19</f>
        <v>23</v>
      </c>
      <c r="AK19" s="37" t="n">
        <f aca="false">IFERROR(AH19/AH$59,0)</f>
        <v>0.0171281088690756</v>
      </c>
      <c r="AL19" s="37" t="n">
        <f aca="false">IFERROR(AI19/AI$59,0)</f>
        <v>0.0190079856034192</v>
      </c>
      <c r="AM19" s="96" t="n">
        <f aca="false">AL19-AK19</f>
        <v>0.00187987673434364</v>
      </c>
      <c r="AN19" s="35" t="n">
        <f aca="false">G19+N19+U19+AB19</f>
        <v>5143</v>
      </c>
      <c r="AO19" s="37" t="n">
        <f aca="false">IFERROR(AN19/AN$59,0)</f>
        <v>0.0163064845464115</v>
      </c>
      <c r="AP19" s="37" t="n">
        <f aca="false">①石川予測確定!R9</f>
        <v>0.0229081731702582</v>
      </c>
      <c r="AQ19" s="37" t="n">
        <f aca="false">③仙台以降予測!H32</f>
        <v>0.0209580793868387</v>
      </c>
      <c r="AR19" s="39" t="str">
        <f aca="false">IF(AQ19-AO19&gt;=0.005,"↑ 上方修正",IF(AQ19-AO19&lt;=-0.005,"↓ 下方修正","→ 据置"))</f>
        <v>→ 据置</v>
      </c>
    </row>
    <row r="20" customFormat="false" ht="15" hidden="false" customHeight="false" outlineLevel="0" collapsed="false">
      <c r="A20" s="32" t="n">
        <v>4</v>
      </c>
      <c r="B20" s="32" t="s">
        <v>292</v>
      </c>
      <c r="C20" s="33" t="s">
        <v>293</v>
      </c>
      <c r="D20" s="34" t="n">
        <v>1800</v>
      </c>
      <c r="E20" s="35" t="n">
        <v>2620</v>
      </c>
      <c r="F20" s="32" t="s">
        <v>531</v>
      </c>
      <c r="G20" s="35" t="n">
        <v>1819</v>
      </c>
      <c r="H20" s="32" t="s">
        <v>531</v>
      </c>
      <c r="I20" s="37" t="n">
        <f aca="false">IFERROR(E20/E$59,0)</f>
        <v>0.0124081230582708</v>
      </c>
      <c r="J20" s="37" t="n">
        <f aca="false">IFERROR(G20/G$59,0)</f>
        <v>0.0122751965448595</v>
      </c>
      <c r="K20" s="96" t="n">
        <f aca="false">J20-I20</f>
        <v>-0.000132926513411352</v>
      </c>
      <c r="L20" s="35" t="n">
        <v>1330</v>
      </c>
      <c r="M20" s="35" t="n">
        <v>784</v>
      </c>
      <c r="N20" s="35" t="n">
        <v>922</v>
      </c>
      <c r="O20" s="38" t="n">
        <f aca="false">N20-M20</f>
        <v>138</v>
      </c>
      <c r="P20" s="37" t="n">
        <f aca="false">IFERROR(M20/M$59,0)</f>
        <v>0.0136644880174292</v>
      </c>
      <c r="Q20" s="37" t="n">
        <f aca="false">IFERROR(N20/N$59,0)</f>
        <v>0.0157337883959044</v>
      </c>
      <c r="R20" s="96" t="n">
        <f aca="false">Q20-P20</f>
        <v>0.00206930037847524</v>
      </c>
      <c r="S20" s="35" t="n">
        <v>800</v>
      </c>
      <c r="T20" s="35" t="n">
        <v>589</v>
      </c>
      <c r="U20" s="35" t="n">
        <v>539</v>
      </c>
      <c r="V20" s="38" t="n">
        <f aca="false">U20-T20</f>
        <v>-50</v>
      </c>
      <c r="W20" s="37" t="n">
        <f aca="false">IFERROR(T20/T$59,0)</f>
        <v>0.0180276689520078</v>
      </c>
      <c r="X20" s="37" t="n">
        <f aca="false">IFERROR(U20/U$59,0)</f>
        <v>0.0120122127877694</v>
      </c>
      <c r="Y20" s="96" t="n">
        <f aca="false">X20-W20</f>
        <v>-0.00601545616423845</v>
      </c>
      <c r="Z20" s="35" t="n">
        <v>2000</v>
      </c>
      <c r="AA20" s="35" t="n">
        <v>1202</v>
      </c>
      <c r="AB20" s="35" t="n">
        <v>1310</v>
      </c>
      <c r="AC20" s="38" t="n">
        <f aca="false">AB20-AA20</f>
        <v>108</v>
      </c>
      <c r="AD20" s="37" t="n">
        <f aca="false">IFERROR(AA20/AA$59,0)</f>
        <v>0.0168851054265526</v>
      </c>
      <c r="AE20" s="37" t="n">
        <f aca="false">IFERROR(AB20/AB$59,0)</f>
        <v>0.0205522434891748</v>
      </c>
      <c r="AF20" s="96" t="n">
        <f aca="false">AE20-AD20</f>
        <v>0.00366713806262217</v>
      </c>
      <c r="AG20" s="35" t="n">
        <v>800</v>
      </c>
      <c r="AH20" s="35" t="n">
        <v>207</v>
      </c>
      <c r="AI20" s="35" t="n">
        <v>228</v>
      </c>
      <c r="AJ20" s="38" t="n">
        <f aca="false">AI20-AH20</f>
        <v>21</v>
      </c>
      <c r="AK20" s="37" t="n">
        <f aca="false">IFERROR(AH20/AH$59,0)</f>
        <v>0.0242843735335523</v>
      </c>
      <c r="AL20" s="37" t="n">
        <f aca="false">IFERROR(AI20/AI$59,0)</f>
        <v>0.0256439095714768</v>
      </c>
      <c r="AM20" s="96" t="n">
        <f aca="false">AL20-AK20</f>
        <v>0.00135953603792445</v>
      </c>
      <c r="AN20" s="35" t="n">
        <f aca="false">G20+N20+U20+AB20</f>
        <v>4590</v>
      </c>
      <c r="AO20" s="37" t="n">
        <f aca="false">IFERROR(AN20/AN$59,0)</f>
        <v>0.0145531332039722</v>
      </c>
      <c r="AP20" s="37" t="n">
        <f aca="false">①石川予測確定!R10</f>
        <v>0.0260143661424966</v>
      </c>
      <c r="AQ20" s="37" t="n">
        <f aca="false">③仙台以降予測!H33</f>
        <v>0.0258291378569867</v>
      </c>
      <c r="AR20" s="39" t="str">
        <f aca="false">IF(AQ20-AO20&gt;=0.005,"↑ 上方修正",IF(AQ20-AO20&lt;=-0.005,"↓ 下方修正","→ 据置"))</f>
        <v>↑ 上方修正</v>
      </c>
    </row>
    <row r="21" customFormat="false" ht="15" hidden="false" customHeight="false" outlineLevel="0" collapsed="false">
      <c r="A21" s="32" t="n">
        <v>5</v>
      </c>
      <c r="B21" s="32" t="s">
        <v>294</v>
      </c>
      <c r="C21" s="33" t="s">
        <v>295</v>
      </c>
      <c r="D21" s="34" t="n">
        <v>600</v>
      </c>
      <c r="E21" s="35" t="n">
        <v>24996</v>
      </c>
      <c r="F21" s="32" t="s">
        <v>531</v>
      </c>
      <c r="G21" s="35" t="n">
        <v>18759</v>
      </c>
      <c r="H21" s="32" t="s">
        <v>531</v>
      </c>
      <c r="I21" s="37" t="n">
        <f aca="false">IFERROR(E21/E$59,0)</f>
        <v>0.118379177085701</v>
      </c>
      <c r="J21" s="37" t="n">
        <f aca="false">IFERROR(G21/G$59,0)</f>
        <v>0.126591760299625</v>
      </c>
      <c r="K21" s="96" t="n">
        <f aca="false">J21-I21</f>
        <v>0.00821258321392417</v>
      </c>
      <c r="L21" s="35" t="n">
        <v>16500</v>
      </c>
      <c r="M21" s="35" t="n">
        <v>10536</v>
      </c>
      <c r="N21" s="35" t="n">
        <v>10777</v>
      </c>
      <c r="O21" s="38" t="n">
        <f aca="false">N21-M21</f>
        <v>241</v>
      </c>
      <c r="P21" s="37" t="n">
        <f aca="false">IFERROR(M21/M$59,0)</f>
        <v>0.183633986928105</v>
      </c>
      <c r="Q21" s="37" t="n">
        <f aca="false">IFERROR(N21/N$59,0)</f>
        <v>0.183907849829352</v>
      </c>
      <c r="R21" s="96" t="n">
        <f aca="false">Q21-P21</f>
        <v>0.00027386290124698</v>
      </c>
      <c r="S21" s="35" t="n">
        <v>9000</v>
      </c>
      <c r="T21" s="35" t="n">
        <v>5395</v>
      </c>
      <c r="U21" s="35" t="n">
        <v>8991</v>
      </c>
      <c r="V21" s="38" t="n">
        <f aca="false">U21-T21</f>
        <v>3596</v>
      </c>
      <c r="W21" s="37" t="n">
        <f aca="false">IFERROR(T21/T$59,0)</f>
        <v>0.165126101860921</v>
      </c>
      <c r="X21" s="37" t="n">
        <f aca="false">IFERROR(U21/U$59,0)</f>
        <v>0.200374406632346</v>
      </c>
      <c r="Y21" s="96" t="n">
        <f aca="false">X21-W21</f>
        <v>0.0352483047714254</v>
      </c>
      <c r="Z21" s="35" t="n">
        <v>24996</v>
      </c>
      <c r="AA21" s="35" t="n">
        <v>12132</v>
      </c>
      <c r="AB21" s="35" t="n">
        <v>8936</v>
      </c>
      <c r="AC21" s="38" t="n">
        <f aca="false">AB21-AA21</f>
        <v>-3196</v>
      </c>
      <c r="AD21" s="37" t="n">
        <f aca="false">IFERROR(AA21/AA$59,0)</f>
        <v>0.170424375237052</v>
      </c>
      <c r="AE21" s="37" t="n">
        <f aca="false">IFERROR(AB21/AB$59,0)</f>
        <v>0.14019454032005</v>
      </c>
      <c r="AF21" s="96" t="n">
        <f aca="false">AE21-AD21</f>
        <v>-0.0302298349170015</v>
      </c>
      <c r="AG21" s="35" t="n">
        <v>9000</v>
      </c>
      <c r="AH21" s="35" t="n">
        <v>459</v>
      </c>
      <c r="AI21" s="35" t="n">
        <v>410</v>
      </c>
      <c r="AJ21" s="38" t="n">
        <f aca="false">AI21-AH21</f>
        <v>-49</v>
      </c>
      <c r="AK21" s="37" t="n">
        <f aca="false">IFERROR(AH21/AH$59,0)</f>
        <v>0.0538479587048334</v>
      </c>
      <c r="AL21" s="37" t="n">
        <f aca="false">IFERROR(AI21/AI$59,0)</f>
        <v>0.0461140479136205</v>
      </c>
      <c r="AM21" s="96" t="n">
        <f aca="false">AL21-AK21</f>
        <v>-0.00773391079121289</v>
      </c>
      <c r="AN21" s="35" t="n">
        <f aca="false">G21+N21+U21+AB21</f>
        <v>47463</v>
      </c>
      <c r="AO21" s="37" t="n">
        <f aca="false">IFERROR(AN21/AN$59,0)</f>
        <v>0.150487006810486</v>
      </c>
      <c r="AP21" s="37" t="n">
        <f aca="false">①石川予測確定!R11</f>
        <v>0.0568821588041157</v>
      </c>
      <c r="AQ21" s="37" t="n">
        <f aca="false">③仙台以降予測!H34</f>
        <v>0.0514981033588681</v>
      </c>
      <c r="AR21" s="39" t="str">
        <f aca="false">IF(AQ21-AO21&gt;=0.005,"↑ 上方修正",IF(AQ21-AO21&lt;=-0.005,"↓ 下方修正","→ 据置"))</f>
        <v>↓ 下方修正</v>
      </c>
    </row>
    <row r="22" customFormat="false" ht="15" hidden="false" customHeight="false" outlineLevel="0" collapsed="false">
      <c r="A22" s="32" t="n">
        <v>6</v>
      </c>
      <c r="B22" s="32" t="s">
        <v>296</v>
      </c>
      <c r="C22" s="33" t="s">
        <v>297</v>
      </c>
      <c r="D22" s="34" t="n">
        <v>600</v>
      </c>
      <c r="E22" s="35" t="n">
        <v>44999</v>
      </c>
      <c r="F22" s="32" t="s">
        <v>531</v>
      </c>
      <c r="G22" s="35" t="n">
        <v>31070</v>
      </c>
      <c r="H22" s="32" t="s">
        <v>531</v>
      </c>
      <c r="I22" s="37" t="n">
        <f aca="false">IFERROR(E22/E$59,0)</f>
        <v>0.213111881488217</v>
      </c>
      <c r="J22" s="37" t="n">
        <f aca="false">IFERROR(G22/G$59,0)</f>
        <v>0.209670344501805</v>
      </c>
      <c r="K22" s="96" t="n">
        <f aca="false">J22-I22</f>
        <v>-0.00344153698641184</v>
      </c>
      <c r="L22" s="35" t="n">
        <v>21439</v>
      </c>
      <c r="M22" s="35" t="n">
        <v>15402</v>
      </c>
      <c r="N22" s="35" t="n">
        <v>15602</v>
      </c>
      <c r="O22" s="38" t="n">
        <f aca="false">N22-M22</f>
        <v>200</v>
      </c>
      <c r="P22" s="37" t="n">
        <f aca="false">IFERROR(M22/M$59,0)</f>
        <v>0.268444444444444</v>
      </c>
      <c r="Q22" s="37" t="n">
        <f aca="false">IFERROR(N22/N$59,0)</f>
        <v>0.266245733788396</v>
      </c>
      <c r="R22" s="96" t="n">
        <f aca="false">Q22-P22</f>
        <v>-0.00219871065604854</v>
      </c>
      <c r="S22" s="35" t="n">
        <v>13986</v>
      </c>
      <c r="T22" s="35" t="n">
        <v>7036</v>
      </c>
      <c r="U22" s="35" t="n">
        <v>13877</v>
      </c>
      <c r="V22" s="38" t="n">
        <f aca="false">U22-T22</f>
        <v>6841</v>
      </c>
      <c r="W22" s="37" t="n">
        <f aca="false">IFERROR(T22/T$59,0)</f>
        <v>0.215352595494613</v>
      </c>
      <c r="X22" s="37" t="n">
        <f aca="false">IFERROR(U22/U$59,0)</f>
        <v>0.309264335539658</v>
      </c>
      <c r="Y22" s="96" t="n">
        <f aca="false">X22-W22</f>
        <v>0.093911740045045</v>
      </c>
      <c r="Z22" s="35" t="n">
        <v>35999</v>
      </c>
      <c r="AA22" s="35" t="n">
        <v>21195</v>
      </c>
      <c r="AB22" s="35" t="n">
        <v>18611</v>
      </c>
      <c r="AC22" s="38" t="n">
        <f aca="false">AB22-AA22</f>
        <v>-2584</v>
      </c>
      <c r="AD22" s="37" t="n">
        <f aca="false">IFERROR(AA22/AA$59,0)</f>
        <v>0.297736946352564</v>
      </c>
      <c r="AE22" s="37" t="n">
        <f aca="false">IFERROR(AB22/AB$59,0)</f>
        <v>0.291983056165673</v>
      </c>
      <c r="AF22" s="96" t="n">
        <f aca="false">AE22-AD22</f>
        <v>-0.00575389018689132</v>
      </c>
      <c r="AG22" s="35" t="n">
        <v>13991</v>
      </c>
      <c r="AH22" s="35" t="n">
        <v>1268</v>
      </c>
      <c r="AI22" s="35" t="n">
        <v>1042</v>
      </c>
      <c r="AJ22" s="38" t="n">
        <f aca="false">AI22-AH22</f>
        <v>-226</v>
      </c>
      <c r="AK22" s="37" t="n">
        <f aca="false">IFERROR(AH22/AH$59,0)</f>
        <v>0.148756452369779</v>
      </c>
      <c r="AL22" s="37" t="n">
        <f aca="false">IFERROR(AI22/AI$59,0)</f>
        <v>0.117197165673153</v>
      </c>
      <c r="AM22" s="96" t="n">
        <f aca="false">AL22-AK22</f>
        <v>-0.0315592866966268</v>
      </c>
      <c r="AN22" s="35" t="n">
        <f aca="false">G22+N22+U22+AB22</f>
        <v>79160</v>
      </c>
      <c r="AO22" s="37" t="n">
        <f aca="false">IFERROR(AN22/AN$59,0)</f>
        <v>0.250986061966544</v>
      </c>
      <c r="AP22" s="37" t="n">
        <f aca="false">①石川予測確定!R12</f>
        <v>0.109687439332169</v>
      </c>
      <c r="AQ22" s="37" t="n">
        <f aca="false">③仙台以降予測!H35</f>
        <v>0.113442302502661</v>
      </c>
      <c r="AR22" s="39" t="str">
        <f aca="false">IF(AQ22-AO22&gt;=0.005,"↑ 上方修正",IF(AQ22-AO22&lt;=-0.005,"↓ 下方修正","→ 据置"))</f>
        <v>↓ 下方修正</v>
      </c>
    </row>
    <row r="23" customFormat="false" ht="15" hidden="false" customHeight="false" outlineLevel="0" collapsed="false">
      <c r="A23" s="32" t="n">
        <v>7</v>
      </c>
      <c r="B23" s="32" t="s">
        <v>298</v>
      </c>
      <c r="C23" s="33" t="s">
        <v>299</v>
      </c>
      <c r="D23" s="34" t="n">
        <v>600</v>
      </c>
      <c r="E23" s="35" t="n">
        <v>7000</v>
      </c>
      <c r="F23" s="32" t="s">
        <v>531</v>
      </c>
      <c r="G23" s="35" t="n">
        <v>3471</v>
      </c>
      <c r="H23" s="32" t="s">
        <v>531</v>
      </c>
      <c r="I23" s="37" t="n">
        <f aca="false">IFERROR(E23/E$59,0)</f>
        <v>0.0331514738198075</v>
      </c>
      <c r="J23" s="37" t="n">
        <f aca="false">IFERROR(G23/G$59,0)</f>
        <v>0.0234234234234234</v>
      </c>
      <c r="K23" s="96" t="n">
        <f aca="false">J23-I23</f>
        <v>-0.00972805039638411</v>
      </c>
      <c r="L23" s="35" t="n">
        <v>1390</v>
      </c>
      <c r="M23" s="35" t="n">
        <v>548</v>
      </c>
      <c r="N23" s="35" t="n">
        <v>520</v>
      </c>
      <c r="O23" s="38" t="n">
        <f aca="false">N23-M23</f>
        <v>-28</v>
      </c>
      <c r="P23" s="37" t="n">
        <f aca="false">IFERROR(M23/M$59,0)</f>
        <v>0.00955119825708061</v>
      </c>
      <c r="Q23" s="37" t="n">
        <f aca="false">IFERROR(N23/N$59,0)</f>
        <v>0.00887372013651877</v>
      </c>
      <c r="R23" s="96" t="n">
        <f aca="false">Q23-P23</f>
        <v>-0.000677478120561839</v>
      </c>
      <c r="S23" s="35" t="n">
        <v>400</v>
      </c>
      <c r="T23" s="35" t="n">
        <v>436</v>
      </c>
      <c r="U23" s="35" t="n">
        <v>384</v>
      </c>
      <c r="V23" s="38" t="n">
        <f aca="false">U23-T23</f>
        <v>-52</v>
      </c>
      <c r="W23" s="37" t="n">
        <f aca="false">IFERROR(T23/T$59,0)</f>
        <v>0.0133447600391773</v>
      </c>
      <c r="X23" s="37" t="n">
        <f aca="false">IFERROR(U23/U$59,0)</f>
        <v>0.00855786588219563</v>
      </c>
      <c r="Y23" s="96" t="n">
        <f aca="false">X23-W23</f>
        <v>-0.00478689415698165</v>
      </c>
      <c r="Z23" s="35" t="n">
        <v>2000</v>
      </c>
      <c r="AA23" s="35" t="n">
        <v>1048</v>
      </c>
      <c r="AB23" s="35" t="n">
        <v>940</v>
      </c>
      <c r="AC23" s="38" t="n">
        <f aca="false">AB23-AA23</f>
        <v>-108</v>
      </c>
      <c r="AD23" s="37" t="n">
        <f aca="false">IFERROR(AA23/AA$59,0)</f>
        <v>0.0147217890907048</v>
      </c>
      <c r="AE23" s="37" t="n">
        <f aca="false">IFERROR(AB23/AB$59,0)</f>
        <v>0.0147474113586445</v>
      </c>
      <c r="AF23" s="96" t="n">
        <f aca="false">AE23-AD23</f>
        <v>2.56222679397289E-005</v>
      </c>
      <c r="AG23" s="35" t="n">
        <v>350</v>
      </c>
      <c r="AH23" s="35" t="n">
        <v>185</v>
      </c>
      <c r="AI23" s="35" t="n">
        <v>187</v>
      </c>
      <c r="AJ23" s="38" t="n">
        <f aca="false">AI23-AH23</f>
        <v>2</v>
      </c>
      <c r="AK23" s="37" t="n">
        <f aca="false">IFERROR(AH23/AH$59,0)</f>
        <v>0.0217034256217738</v>
      </c>
      <c r="AL23" s="37" t="n">
        <f aca="false">IFERROR(AI23/AI$59,0)</f>
        <v>0.0210325047801147</v>
      </c>
      <c r="AM23" s="96" t="n">
        <f aca="false">AL23-AK23</f>
        <v>-0.000670920841659092</v>
      </c>
      <c r="AN23" s="35" t="n">
        <f aca="false">G23+N23+U23+AB23</f>
        <v>5315</v>
      </c>
      <c r="AO23" s="37" t="n">
        <f aca="false">IFERROR(AN23/AN$59,0)</f>
        <v>0.0168518307144035</v>
      </c>
      <c r="AP23" s="37" t="n">
        <f aca="false">①石川予測確定!R13</f>
        <v>0.0320326150262085</v>
      </c>
      <c r="AQ23" s="37" t="n">
        <f aca="false">③仙台以降予測!H36</f>
        <v>0.0265325599031616</v>
      </c>
      <c r="AR23" s="39" t="str">
        <f aca="false">IF(AQ23-AO23&gt;=0.005,"↑ 上方修正",IF(AQ23-AO23&lt;=-0.005,"↓ 下方修正","→ 据置"))</f>
        <v>↑ 上方修正</v>
      </c>
    </row>
    <row r="24" customFormat="false" ht="15" hidden="false" customHeight="false" outlineLevel="0" collapsed="false">
      <c r="A24" s="32" t="n">
        <v>8</v>
      </c>
      <c r="B24" s="32" t="s">
        <v>300</v>
      </c>
      <c r="C24" s="33" t="s">
        <v>301</v>
      </c>
      <c r="D24" s="34" t="n">
        <v>600</v>
      </c>
      <c r="E24" s="35" t="n">
        <v>12600</v>
      </c>
      <c r="F24" s="32" t="s">
        <v>531</v>
      </c>
      <c r="G24" s="35" t="n">
        <v>5596</v>
      </c>
      <c r="H24" s="32" t="s">
        <v>531</v>
      </c>
      <c r="I24" s="37" t="n">
        <f aca="false">IFERROR(E24/E$59,0)</f>
        <v>0.0596726528756536</v>
      </c>
      <c r="J24" s="37" t="n">
        <f aca="false">IFERROR(G24/G$59,0)</f>
        <v>0.0377636063029321</v>
      </c>
      <c r="K24" s="96" t="n">
        <f aca="false">J24-I24</f>
        <v>-0.0219090465727214</v>
      </c>
      <c r="L24" s="35" t="n">
        <v>2240</v>
      </c>
      <c r="M24" s="35" t="n">
        <v>1141</v>
      </c>
      <c r="N24" s="35" t="n">
        <v>1107</v>
      </c>
      <c r="O24" s="38" t="n">
        <f aca="false">N24-M24</f>
        <v>-34</v>
      </c>
      <c r="P24" s="37" t="n">
        <f aca="false">IFERROR(M24/M$59,0)</f>
        <v>0.0198867102396514</v>
      </c>
      <c r="Q24" s="37" t="n">
        <f aca="false">IFERROR(N24/N$59,0)</f>
        <v>0.0188907849829352</v>
      </c>
      <c r="R24" s="96" t="n">
        <f aca="false">Q24-P24</f>
        <v>-0.000995925256716261</v>
      </c>
      <c r="S24" s="35" t="n">
        <v>840</v>
      </c>
      <c r="T24" s="35" t="n">
        <v>785</v>
      </c>
      <c r="U24" s="35" t="n">
        <v>799</v>
      </c>
      <c r="V24" s="38" t="n">
        <f aca="false">U24-T24</f>
        <v>14</v>
      </c>
      <c r="W24" s="37" t="n">
        <f aca="false">IFERROR(T24/T$59,0)</f>
        <v>0.0240266895200784</v>
      </c>
      <c r="X24" s="37" t="n">
        <f aca="false">IFERROR(U24/U$59,0)</f>
        <v>0.017806601145506</v>
      </c>
      <c r="Y24" s="96" t="n">
        <f aca="false">X24-W24</f>
        <v>-0.00622008837457235</v>
      </c>
      <c r="Z24" s="35" t="n">
        <v>3000</v>
      </c>
      <c r="AA24" s="35" t="n">
        <v>1937</v>
      </c>
      <c r="AB24" s="35" t="n">
        <v>1758</v>
      </c>
      <c r="AC24" s="38" t="n">
        <f aca="false">AB24-AA24</f>
        <v>-179</v>
      </c>
      <c r="AD24" s="37" t="n">
        <f aca="false">IFERROR(AA24/AA$59,0)</f>
        <v>0.02721002430219</v>
      </c>
      <c r="AE24" s="37" t="n">
        <f aca="false">IFERROR(AB24/AB$59,0)</f>
        <v>0.0275807969877628</v>
      </c>
      <c r="AF24" s="96" t="n">
        <f aca="false">AE24-AD24</f>
        <v>0.000370772685572781</v>
      </c>
      <c r="AG24" s="35" t="n">
        <v>900</v>
      </c>
      <c r="AH24" s="35" t="n">
        <v>298</v>
      </c>
      <c r="AI24" s="35" t="n">
        <v>322</v>
      </c>
      <c r="AJ24" s="38" t="n">
        <f aca="false">AI24-AH24</f>
        <v>24</v>
      </c>
      <c r="AK24" s="37" t="n">
        <f aca="false">IFERROR(AH24/AH$59,0)</f>
        <v>0.0349601126231816</v>
      </c>
      <c r="AL24" s="37" t="n">
        <f aca="false">IFERROR(AI24/AI$59,0)</f>
        <v>0.0362163986053312</v>
      </c>
      <c r="AM24" s="96" t="n">
        <f aca="false">AL24-AK24</f>
        <v>0.00125628598214963</v>
      </c>
      <c r="AN24" s="35" t="n">
        <f aca="false">G24+N24+U24+AB24</f>
        <v>9260</v>
      </c>
      <c r="AO24" s="37" t="n">
        <f aca="false">IFERROR(AN24/AN$59,0)</f>
        <v>0.0293599157884057</v>
      </c>
      <c r="AP24" s="37" t="n">
        <f aca="false">①石川予測確定!R14</f>
        <v>0.0516404581634634</v>
      </c>
      <c r="AQ24" s="37" t="n">
        <f aca="false">③仙台以降予測!H37</f>
        <v>0.0439284283843973</v>
      </c>
      <c r="AR24" s="39" t="str">
        <f aca="false">IF(AQ24-AO24&gt;=0.005,"↑ 上方修正",IF(AQ24-AO24&lt;=-0.005,"↓ 下方修正","→ 据置"))</f>
        <v>↑ 上方修正</v>
      </c>
    </row>
    <row r="25" customFormat="false" ht="15" hidden="false" customHeight="false" outlineLevel="0" collapsed="false">
      <c r="A25" s="32" t="n">
        <v>9</v>
      </c>
      <c r="B25" s="32" t="s">
        <v>302</v>
      </c>
      <c r="C25" s="33" t="s">
        <v>303</v>
      </c>
      <c r="D25" s="34" t="n">
        <v>600</v>
      </c>
      <c r="E25" s="35" t="n">
        <v>8749</v>
      </c>
      <c r="F25" s="32" t="s">
        <v>531</v>
      </c>
      <c r="G25" s="35" t="n">
        <v>2381</v>
      </c>
      <c r="H25" s="32" t="s">
        <v>531</v>
      </c>
      <c r="I25" s="37" t="n">
        <f aca="false">IFERROR(E25/E$59,0)</f>
        <v>0.041434606349928</v>
      </c>
      <c r="J25" s="37" t="n">
        <f aca="false">IFERROR(G25/G$59,0)</f>
        <v>0.0160677531464048</v>
      </c>
      <c r="K25" s="96" t="n">
        <f aca="false">J25-I25</f>
        <v>-0.0253668532035232</v>
      </c>
      <c r="L25" s="35" t="n">
        <v>950</v>
      </c>
      <c r="M25" s="35" t="n">
        <v>347</v>
      </c>
      <c r="N25" s="35" t="n">
        <v>313</v>
      </c>
      <c r="O25" s="38" t="n">
        <f aca="false">N25-M25</f>
        <v>-34</v>
      </c>
      <c r="P25" s="37" t="n">
        <f aca="false">IFERROR(M25/M$59,0)</f>
        <v>0.0060479302832244</v>
      </c>
      <c r="Q25" s="37" t="n">
        <f aca="false">IFERROR(N25/N$59,0)</f>
        <v>0.00534129692832765</v>
      </c>
      <c r="R25" s="96" t="n">
        <f aca="false">Q25-P25</f>
        <v>-0.000706633354896755</v>
      </c>
      <c r="S25" s="35" t="n">
        <v>300</v>
      </c>
      <c r="T25" s="35" t="n">
        <v>357</v>
      </c>
      <c r="U25" s="35" t="n">
        <v>301</v>
      </c>
      <c r="V25" s="38" t="n">
        <f aca="false">U25-T25</f>
        <v>-56</v>
      </c>
      <c r="W25" s="37" t="n">
        <f aca="false">IFERROR(T25/T$59,0)</f>
        <v>0.0109267874632713</v>
      </c>
      <c r="X25" s="37" t="n">
        <f aca="false">IFERROR(U25/U$59,0)</f>
        <v>0.00670811882953355</v>
      </c>
      <c r="Y25" s="96" t="n">
        <f aca="false">X25-W25</f>
        <v>-0.00421866863373775</v>
      </c>
      <c r="Z25" s="35" t="n">
        <v>1500</v>
      </c>
      <c r="AA25" s="35" t="n">
        <v>761</v>
      </c>
      <c r="AB25" s="35" t="n">
        <v>743</v>
      </c>
      <c r="AC25" s="38" t="n">
        <f aca="false">AB25-AA25</f>
        <v>-18</v>
      </c>
      <c r="AD25" s="37" t="n">
        <f aca="false">IFERROR(AA25/AA$59,0)</f>
        <v>0.0106901541011702</v>
      </c>
      <c r="AE25" s="37" t="n">
        <f aca="false">IFERROR(AB25/AB$59,0)</f>
        <v>0.0116567304675243</v>
      </c>
      <c r="AF25" s="96" t="n">
        <f aca="false">AE25-AD25</f>
        <v>0.000966576366354159</v>
      </c>
      <c r="AG25" s="35" t="n">
        <v>300</v>
      </c>
      <c r="AH25" s="35" t="n">
        <v>131</v>
      </c>
      <c r="AI25" s="35" t="n">
        <v>160</v>
      </c>
      <c r="AJ25" s="38" t="n">
        <f aca="false">AI25-AH25</f>
        <v>29</v>
      </c>
      <c r="AK25" s="37" t="n">
        <f aca="false">IFERROR(AH25/AH$59,0)</f>
        <v>0.0153683716564993</v>
      </c>
      <c r="AL25" s="37" t="n">
        <f aca="false">IFERROR(AI25/AI$59,0)</f>
        <v>0.0179957260150714</v>
      </c>
      <c r="AM25" s="96" t="n">
        <f aca="false">AL25-AK25</f>
        <v>0.00262735435857212</v>
      </c>
      <c r="AN25" s="35" t="n">
        <f aca="false">G25+N25+U25+AB25</f>
        <v>3738</v>
      </c>
      <c r="AO25" s="37" t="n">
        <f aca="false">IFERROR(AN25/AN$59,0)</f>
        <v>0.0118517673020584</v>
      </c>
      <c r="AP25" s="37" t="n">
        <f aca="false">①石川予測確定!R15</f>
        <v>0.0099009900990099</v>
      </c>
      <c r="AQ25" s="37" t="n">
        <f aca="false">③仙台以降予測!H38</f>
        <v>0.0139483580570407</v>
      </c>
      <c r="AR25" s="39" t="str">
        <f aca="false">IF(AQ25-AO25&gt;=0.005,"↑ 上方修正",IF(AQ25-AO25&lt;=-0.005,"↓ 下方修正","→ 据置"))</f>
        <v>→ 据置</v>
      </c>
    </row>
    <row r="26" customFormat="false" ht="15" hidden="false" customHeight="false" outlineLevel="0" collapsed="false">
      <c r="A26" s="32" t="n">
        <v>10</v>
      </c>
      <c r="B26" s="32" t="s">
        <v>304</v>
      </c>
      <c r="C26" s="33" t="s">
        <v>305</v>
      </c>
      <c r="D26" s="34" t="n">
        <v>600</v>
      </c>
      <c r="E26" s="35" t="n">
        <v>4549</v>
      </c>
      <c r="F26" s="32" t="s">
        <v>531</v>
      </c>
      <c r="G26" s="35" t="n">
        <v>1025</v>
      </c>
      <c r="H26" s="32" t="s">
        <v>531</v>
      </c>
      <c r="I26" s="37" t="n">
        <f aca="false">IFERROR(E26/E$59,0)</f>
        <v>0.0215437220580435</v>
      </c>
      <c r="J26" s="37" t="n">
        <f aca="false">IFERROR(G26/G$59,0)</f>
        <v>0.0069170293889395</v>
      </c>
      <c r="K26" s="96" t="n">
        <f aca="false">J26-I26</f>
        <v>-0.014626692669104</v>
      </c>
      <c r="L26" s="35" t="n">
        <v>410</v>
      </c>
      <c r="M26" s="35" t="n">
        <v>145</v>
      </c>
      <c r="N26" s="35" t="n">
        <v>141</v>
      </c>
      <c r="O26" s="38" t="n">
        <f aca="false">N26-M26</f>
        <v>-4</v>
      </c>
      <c r="P26" s="37" t="n">
        <f aca="false">IFERROR(M26/M$59,0)</f>
        <v>0.00252723311546841</v>
      </c>
      <c r="Q26" s="37" t="n">
        <f aca="false">IFERROR(N26/N$59,0)</f>
        <v>0.0024061433447099</v>
      </c>
      <c r="R26" s="96" t="n">
        <f aca="false">Q26-P26</f>
        <v>-0.000121089770758512</v>
      </c>
      <c r="S26" s="35" t="n">
        <v>180</v>
      </c>
      <c r="T26" s="35" t="n">
        <v>159</v>
      </c>
      <c r="U26" s="35" t="n">
        <v>123</v>
      </c>
      <c r="V26" s="38" t="n">
        <f aca="false">U26-T26</f>
        <v>-36</v>
      </c>
      <c r="W26" s="37" t="n">
        <f aca="false">IFERROR(T26/T$59,0)</f>
        <v>0.00486655239960823</v>
      </c>
      <c r="X26" s="37" t="n">
        <f aca="false">IFERROR(U26/U$59,0)</f>
        <v>0.00274119141539079</v>
      </c>
      <c r="Y26" s="96" t="n">
        <f aca="false">X26-W26</f>
        <v>-0.00212536098421744</v>
      </c>
      <c r="Z26" s="35" t="n">
        <v>500</v>
      </c>
      <c r="AA26" s="35" t="n">
        <v>275</v>
      </c>
      <c r="AB26" s="35" t="n">
        <v>277</v>
      </c>
      <c r="AC26" s="38" t="n">
        <f aca="false">AB26-AA26</f>
        <v>2</v>
      </c>
      <c r="AD26" s="37" t="n">
        <f aca="false">IFERROR(AA26/AA$59,0)</f>
        <v>0.00386306488544257</v>
      </c>
      <c r="AE26" s="37" t="n">
        <f aca="false">IFERROR(AB26/AB$59,0)</f>
        <v>0.00434577973015375</v>
      </c>
      <c r="AF26" s="96" t="n">
        <f aca="false">AE26-AD26</f>
        <v>0.000482714844711183</v>
      </c>
      <c r="AG26" s="35" t="n">
        <v>100</v>
      </c>
      <c r="AH26" s="35" t="n">
        <v>49</v>
      </c>
      <c r="AI26" s="35" t="n">
        <v>59</v>
      </c>
      <c r="AJ26" s="38" t="n">
        <f aca="false">AI26-AH26</f>
        <v>10</v>
      </c>
      <c r="AK26" s="37" t="n">
        <f aca="false">IFERROR(AH26/AH$59,0)</f>
        <v>0.00574847489441577</v>
      </c>
      <c r="AL26" s="37" t="n">
        <f aca="false">IFERROR(AI26/AI$59,0)</f>
        <v>0.00663592396805759</v>
      </c>
      <c r="AM26" s="96" t="n">
        <f aca="false">AL26-AK26</f>
        <v>0.000887449073641819</v>
      </c>
      <c r="AN26" s="35" t="n">
        <f aca="false">G26+N26+U26+AB26</f>
        <v>1566</v>
      </c>
      <c r="AO26" s="37" t="n">
        <f aca="false">IFERROR(AN26/AN$59,0)</f>
        <v>0.00496518662253167</v>
      </c>
      <c r="AP26" s="37" t="n">
        <f aca="false">①石川予測確定!R16</f>
        <v>0.003882741215298</v>
      </c>
      <c r="AQ26" s="37" t="n">
        <f aca="false">③仙台以降予測!H39</f>
        <v>0.00525933259167779</v>
      </c>
      <c r="AR26" s="39" t="str">
        <f aca="false">IF(AQ26-AO26&gt;=0.005,"↑ 上方修正",IF(AQ26-AO26&lt;=-0.005,"↓ 下方修正","→ 据置"))</f>
        <v>→ 据置</v>
      </c>
    </row>
    <row r="27" customFormat="false" ht="15" hidden="false" customHeight="false" outlineLevel="0" collapsed="false">
      <c r="A27" s="32" t="n">
        <v>11</v>
      </c>
      <c r="B27" s="32" t="s">
        <v>306</v>
      </c>
      <c r="C27" s="33" t="s">
        <v>307</v>
      </c>
      <c r="D27" s="34" t="n">
        <v>600</v>
      </c>
      <c r="E27" s="35" t="n">
        <v>699</v>
      </c>
      <c r="F27" s="32" t="s">
        <v>531</v>
      </c>
      <c r="G27" s="35" t="n">
        <v>215</v>
      </c>
      <c r="H27" s="32" t="s">
        <v>531</v>
      </c>
      <c r="I27" s="37" t="n">
        <f aca="false">IFERROR(E27/E$59,0)</f>
        <v>0.00331041145714935</v>
      </c>
      <c r="J27" s="37" t="n">
        <f aca="false">IFERROR(G27/G$59,0)</f>
        <v>0.00145088909133853</v>
      </c>
      <c r="K27" s="96" t="n">
        <f aca="false">J27-I27</f>
        <v>-0.00185952236581082</v>
      </c>
      <c r="L27" s="35" t="n">
        <v>90</v>
      </c>
      <c r="M27" s="35" t="n">
        <v>32</v>
      </c>
      <c r="N27" s="35" t="n">
        <v>37</v>
      </c>
      <c r="O27" s="38" t="n">
        <f aca="false">N27-M27</f>
        <v>5</v>
      </c>
      <c r="P27" s="37" t="n">
        <f aca="false">IFERROR(M27/M$59,0)</f>
        <v>0.000557734204793028</v>
      </c>
      <c r="Q27" s="37" t="n">
        <f aca="false">IFERROR(N27/N$59,0)</f>
        <v>0.000631399317406143</v>
      </c>
      <c r="R27" s="96" t="n">
        <f aca="false">Q27-P27</f>
        <v>7.3665112613115E-005</v>
      </c>
      <c r="S27" s="35" t="n">
        <v>30</v>
      </c>
      <c r="T27" s="35" t="n">
        <v>68</v>
      </c>
      <c r="U27" s="35" t="n">
        <v>30</v>
      </c>
      <c r="V27" s="38" t="n">
        <f aca="false">U27-T27</f>
        <v>-38</v>
      </c>
      <c r="W27" s="37" t="n">
        <f aca="false">IFERROR(T27/T$59,0)</f>
        <v>0.00208129285014692</v>
      </c>
      <c r="X27" s="37" t="n">
        <f aca="false">IFERROR(U27/U$59,0)</f>
        <v>0.000668583272046533</v>
      </c>
      <c r="Y27" s="96" t="n">
        <f aca="false">X27-W27</f>
        <v>-0.00141270957810038</v>
      </c>
      <c r="Z27" s="35" t="n">
        <v>100</v>
      </c>
      <c r="AA27" s="35" t="n">
        <v>81</v>
      </c>
      <c r="AB27" s="35" t="n">
        <v>78</v>
      </c>
      <c r="AC27" s="38" t="n">
        <f aca="false">AB27-AA27</f>
        <v>-3</v>
      </c>
      <c r="AD27" s="37" t="n">
        <f aca="false">IFERROR(AA27/AA$59,0)</f>
        <v>0.00113784820262127</v>
      </c>
      <c r="AE27" s="37" t="n">
        <f aca="false">IFERROR(AB27/AB$59,0)</f>
        <v>0.00122372136805773</v>
      </c>
      <c r="AF27" s="96" t="n">
        <f aca="false">AE27-AD27</f>
        <v>8.58731654364694E-005</v>
      </c>
      <c r="AG27" s="35" t="n">
        <v>50</v>
      </c>
      <c r="AH27" s="35" t="n">
        <v>17</v>
      </c>
      <c r="AI27" s="35" t="n">
        <v>21</v>
      </c>
      <c r="AJ27" s="38" t="n">
        <f aca="false">AI27-AH27</f>
        <v>4</v>
      </c>
      <c r="AK27" s="37" t="n">
        <f aca="false">IFERROR(AH27/AH$59,0)</f>
        <v>0.00199436884091976</v>
      </c>
      <c r="AL27" s="37" t="n">
        <f aca="false">IFERROR(AI27/AI$59,0)</f>
        <v>0.00236193903947812</v>
      </c>
      <c r="AM27" s="96" t="n">
        <f aca="false">AL27-AK27</f>
        <v>0.000367570198558368</v>
      </c>
      <c r="AN27" s="35" t="n">
        <f aca="false">G27+N27+U27+AB27</f>
        <v>360</v>
      </c>
      <c r="AO27" s="37" t="n">
        <f aca="false">IFERROR(AN27/AN$59,0)</f>
        <v>0.00114142221207625</v>
      </c>
      <c r="AP27" s="37" t="n">
        <f aca="false">①石川予測確定!R17</f>
        <v>0.0015530964861192</v>
      </c>
      <c r="AQ27" s="37" t="n">
        <f aca="false">③仙台以降予測!H40</f>
        <v>0.00195751776279866</v>
      </c>
      <c r="AR27" s="39" t="str">
        <f aca="false">IF(AQ27-AO27&gt;=0.005,"↑ 上方修正",IF(AQ27-AO27&lt;=-0.005,"↓ 下方修正","→ 据置"))</f>
        <v>→ 据置</v>
      </c>
    </row>
    <row r="28" customFormat="false" ht="15" hidden="false" customHeight="false" outlineLevel="0" collapsed="false">
      <c r="A28" s="32" t="n">
        <v>12</v>
      </c>
      <c r="B28" s="32" t="s">
        <v>308</v>
      </c>
      <c r="C28" s="33" t="s">
        <v>309</v>
      </c>
      <c r="D28" s="34" t="n">
        <v>600</v>
      </c>
      <c r="E28" s="35" t="n">
        <v>1049</v>
      </c>
      <c r="F28" s="32" t="s">
        <v>531</v>
      </c>
      <c r="G28" s="35" t="n">
        <v>291</v>
      </c>
      <c r="H28" s="32" t="s">
        <v>531</v>
      </c>
      <c r="I28" s="37" t="n">
        <f aca="false">IFERROR(E28/E$59,0)</f>
        <v>0.00496798514813973</v>
      </c>
      <c r="J28" s="37" t="n">
        <f aca="false">IFERROR(G28/G$59,0)</f>
        <v>0.00196376151432331</v>
      </c>
      <c r="K28" s="96" t="n">
        <f aca="false">J28-I28</f>
        <v>-0.00300422363381642</v>
      </c>
      <c r="L28" s="35" t="n">
        <v>119</v>
      </c>
      <c r="M28" s="35" t="n">
        <v>64</v>
      </c>
      <c r="N28" s="35" t="n">
        <v>58</v>
      </c>
      <c r="O28" s="38" t="n">
        <f aca="false">N28-M28</f>
        <v>-6</v>
      </c>
      <c r="P28" s="37" t="n">
        <f aca="false">IFERROR(M28/M$59,0)</f>
        <v>0.00111546840958606</v>
      </c>
      <c r="Q28" s="37" t="n">
        <f aca="false">IFERROR(N28/N$59,0)</f>
        <v>0.000989761092150171</v>
      </c>
      <c r="R28" s="96" t="n">
        <f aca="false">Q28-P28</f>
        <v>-0.000125707317435886</v>
      </c>
      <c r="S28" s="35" t="n">
        <v>80</v>
      </c>
      <c r="T28" s="35" t="n">
        <v>51</v>
      </c>
      <c r="U28" s="35" t="n">
        <v>54</v>
      </c>
      <c r="V28" s="38" t="n">
        <f aca="false">U28-T28</f>
        <v>3</v>
      </c>
      <c r="W28" s="37" t="n">
        <f aca="false">IFERROR(T28/T$59,0)</f>
        <v>0.00156096963761019</v>
      </c>
      <c r="X28" s="37" t="n">
        <f aca="false">IFERROR(U28/U$59,0)</f>
        <v>0.00120344988968376</v>
      </c>
      <c r="Y28" s="96" t="n">
        <f aca="false">X28-W28</f>
        <v>-0.000357519747926426</v>
      </c>
      <c r="Z28" s="35" t="n">
        <v>150</v>
      </c>
      <c r="AA28" s="35" t="n">
        <v>140</v>
      </c>
      <c r="AB28" s="35" t="n">
        <v>142</v>
      </c>
      <c r="AC28" s="38" t="n">
        <f aca="false">AB28-AA28</f>
        <v>2</v>
      </c>
      <c r="AD28" s="37" t="n">
        <f aca="false">IFERROR(AA28/AA$59,0)</f>
        <v>0.00196665121440712</v>
      </c>
      <c r="AE28" s="37" t="n">
        <f aca="false">IFERROR(AB28/AB$59,0)</f>
        <v>0.00222780043928459</v>
      </c>
      <c r="AF28" s="96" t="n">
        <f aca="false">AE28-AD28</f>
        <v>0.000261149224877469</v>
      </c>
      <c r="AG28" s="35" t="n">
        <v>50</v>
      </c>
      <c r="AH28" s="35" t="n">
        <v>35</v>
      </c>
      <c r="AI28" s="35" t="n">
        <v>43</v>
      </c>
      <c r="AJ28" s="38" t="n">
        <f aca="false">AI28-AH28</f>
        <v>8</v>
      </c>
      <c r="AK28" s="37" t="n">
        <f aca="false">IFERROR(AH28/AH$59,0)</f>
        <v>0.00410605349601126</v>
      </c>
      <c r="AL28" s="37" t="n">
        <f aca="false">IFERROR(AI28/AI$59,0)</f>
        <v>0.00483635136655044</v>
      </c>
      <c r="AM28" s="96" t="n">
        <f aca="false">AL28-AK28</f>
        <v>0.000730297870539182</v>
      </c>
      <c r="AN28" s="35" t="n">
        <f aca="false">G28+N28+U28+AB28</f>
        <v>545</v>
      </c>
      <c r="AO28" s="37" t="n">
        <f aca="false">IFERROR(AN28/AN$59,0)</f>
        <v>0.00172798640439321</v>
      </c>
      <c r="AP28" s="37" t="n">
        <f aca="false">①石川予測確定!R18</f>
        <v>0.0033003300330033</v>
      </c>
      <c r="AQ28" s="37" t="n">
        <f aca="false">③仙台以降予測!H41</f>
        <v>0.00406834069977687</v>
      </c>
      <c r="AR28" s="39" t="str">
        <f aca="false">IF(AQ28-AO28&gt;=0.005,"↑ 上方修正",IF(AQ28-AO28&lt;=-0.005,"↓ 下方修正","→ 据置"))</f>
        <v>→ 据置</v>
      </c>
    </row>
    <row r="29" customFormat="false" ht="15" hidden="false" customHeight="false" outlineLevel="0" collapsed="false">
      <c r="A29" s="32" t="n">
        <v>13</v>
      </c>
      <c r="B29" s="32" t="s">
        <v>310</v>
      </c>
      <c r="C29" s="33" t="s">
        <v>311</v>
      </c>
      <c r="D29" s="34" t="n">
        <v>600</v>
      </c>
      <c r="E29" s="35" t="n">
        <v>349</v>
      </c>
      <c r="F29" s="32" t="s">
        <v>531</v>
      </c>
      <c r="G29" s="35" t="n">
        <v>99</v>
      </c>
      <c r="H29" s="32" t="s">
        <v>531</v>
      </c>
      <c r="I29" s="37" t="n">
        <f aca="false">IFERROR(E29/E$59,0)</f>
        <v>0.00165283776615898</v>
      </c>
      <c r="J29" s="37" t="n">
        <f aca="false">IFERROR(G29/G$59,0)</f>
        <v>0.00066808381415123</v>
      </c>
      <c r="K29" s="96" t="n">
        <f aca="false">J29-I29</f>
        <v>-0.000984753952007746</v>
      </c>
      <c r="L29" s="35" t="n">
        <v>40</v>
      </c>
      <c r="M29" s="35" t="n">
        <v>18</v>
      </c>
      <c r="N29" s="35" t="n">
        <v>16</v>
      </c>
      <c r="O29" s="38" t="n">
        <f aca="false">N29-M29</f>
        <v>-2</v>
      </c>
      <c r="P29" s="37" t="n">
        <f aca="false">IFERROR(M29/M$59,0)</f>
        <v>0.000313725490196078</v>
      </c>
      <c r="Q29" s="37" t="n">
        <f aca="false">IFERROR(N29/N$59,0)</f>
        <v>0.000273037542662116</v>
      </c>
      <c r="R29" s="96" t="n">
        <f aca="false">Q29-P29</f>
        <v>-4.06879475339624E-005</v>
      </c>
      <c r="S29" s="35" t="n">
        <v>25</v>
      </c>
      <c r="T29" s="35" t="n">
        <v>20</v>
      </c>
      <c r="U29" s="35" t="n">
        <v>22</v>
      </c>
      <c r="V29" s="38" t="n">
        <f aca="false">U29-T29</f>
        <v>2</v>
      </c>
      <c r="W29" s="37" t="n">
        <f aca="false">IFERROR(T29/T$59,0)</f>
        <v>0.000612144955925563</v>
      </c>
      <c r="X29" s="37" t="n">
        <f aca="false">IFERROR(U29/U$59,0)</f>
        <v>0.000490294399500791</v>
      </c>
      <c r="Y29" s="96" t="n">
        <f aca="false">X29-W29</f>
        <v>-0.000121850556424772</v>
      </c>
      <c r="Z29" s="35" t="n">
        <v>50</v>
      </c>
      <c r="AA29" s="35" t="n">
        <v>46</v>
      </c>
      <c r="AB29" s="35" t="n">
        <v>43</v>
      </c>
      <c r="AC29" s="38" t="n">
        <f aca="false">AB29-AA29</f>
        <v>-3</v>
      </c>
      <c r="AD29" s="37" t="n">
        <f aca="false">IFERROR(AA29/AA$59,0)</f>
        <v>0.000646185399019484</v>
      </c>
      <c r="AE29" s="37" t="n">
        <f aca="false">IFERROR(AB29/AB$59,0)</f>
        <v>0.000674615625980546</v>
      </c>
      <c r="AF29" s="96" t="n">
        <f aca="false">AE29-AD29</f>
        <v>2.84302269610621E-005</v>
      </c>
      <c r="AG29" s="35" t="n">
        <v>50</v>
      </c>
      <c r="AH29" s="35" t="n">
        <v>4</v>
      </c>
      <c r="AI29" s="35" t="n">
        <v>8</v>
      </c>
      <c r="AJ29" s="38" t="n">
        <f aca="false">AI29-AH29</f>
        <v>4</v>
      </c>
      <c r="AK29" s="37" t="n">
        <f aca="false">IFERROR(AH29/AH$59,0)</f>
        <v>0.000469263256687001</v>
      </c>
      <c r="AL29" s="37" t="n">
        <f aca="false">IFERROR(AI29/AI$59,0)</f>
        <v>0.000899786300753571</v>
      </c>
      <c r="AM29" s="96" t="n">
        <f aca="false">AL29-AK29</f>
        <v>0.00043052304406657</v>
      </c>
      <c r="AN29" s="35" t="n">
        <f aca="false">G29+N29+U29+AB29</f>
        <v>180</v>
      </c>
      <c r="AO29" s="37" t="n">
        <f aca="false">IFERROR(AN29/AN$59,0)</f>
        <v>0.000570711106038124</v>
      </c>
      <c r="AP29" s="37" t="n">
        <f aca="false">①石川予測確定!R19</f>
        <v>0.0011648223645894</v>
      </c>
      <c r="AQ29" s="37" t="n">
        <f aca="false">③仙台以降予測!H42</f>
        <v>0.00103230433267149</v>
      </c>
      <c r="AR29" s="39" t="str">
        <f aca="false">IF(AQ29-AO29&gt;=0.005,"↑ 上方修正",IF(AQ29-AO29&lt;=-0.005,"↓ 下方修正","→ 据置"))</f>
        <v>→ 据置</v>
      </c>
    </row>
    <row r="30" customFormat="false" ht="15" hidden="false" customHeight="false" outlineLevel="0" collapsed="false">
      <c r="A30" s="32" t="n">
        <v>14</v>
      </c>
      <c r="B30" s="32" t="s">
        <v>312</v>
      </c>
      <c r="C30" s="33" t="s">
        <v>313</v>
      </c>
      <c r="D30" s="34" t="n">
        <v>600</v>
      </c>
      <c r="E30" s="35" t="n">
        <v>1750</v>
      </c>
      <c r="F30" s="32" t="s">
        <v>531</v>
      </c>
      <c r="G30" s="35" t="n">
        <v>411</v>
      </c>
      <c r="H30" s="32" t="s">
        <v>531</v>
      </c>
      <c r="I30" s="37" t="n">
        <f aca="false">IFERROR(E30/E$59,0)</f>
        <v>0.00828786845495188</v>
      </c>
      <c r="J30" s="37" t="n">
        <f aca="false">IFERROR(G30/G$59,0)</f>
        <v>0.00277356007693086</v>
      </c>
      <c r="K30" s="96" t="n">
        <f aca="false">J30-I30</f>
        <v>-0.00551430837802102</v>
      </c>
      <c r="L30" s="35" t="n">
        <v>165</v>
      </c>
      <c r="M30" s="35" t="n">
        <v>76</v>
      </c>
      <c r="N30" s="35" t="n">
        <v>73</v>
      </c>
      <c r="O30" s="38" t="n">
        <f aca="false">N30-M30</f>
        <v>-3</v>
      </c>
      <c r="P30" s="37" t="n">
        <f aca="false">IFERROR(M30/M$59,0)</f>
        <v>0.00132461873638344</v>
      </c>
      <c r="Q30" s="37" t="n">
        <f aca="false">IFERROR(N30/N$59,0)</f>
        <v>0.0012457337883959</v>
      </c>
      <c r="R30" s="96" t="n">
        <f aca="false">Q30-P30</f>
        <v>-7.88849479875379E-005</v>
      </c>
      <c r="S30" s="35" t="n">
        <v>80</v>
      </c>
      <c r="T30" s="35" t="n">
        <v>84</v>
      </c>
      <c r="U30" s="35" t="n">
        <v>79</v>
      </c>
      <c r="V30" s="38" t="n">
        <f aca="false">U30-T30</f>
        <v>-5</v>
      </c>
      <c r="W30" s="37" t="n">
        <f aca="false">IFERROR(T30/T$59,0)</f>
        <v>0.00257100881488737</v>
      </c>
      <c r="X30" s="37" t="n">
        <f aca="false">IFERROR(U30/U$59,0)</f>
        <v>0.0017606026163892</v>
      </c>
      <c r="Y30" s="96" t="n">
        <f aca="false">X30-W30</f>
        <v>-0.000810406198498161</v>
      </c>
      <c r="Z30" s="35" t="n">
        <v>300</v>
      </c>
      <c r="AA30" s="35" t="n">
        <v>142</v>
      </c>
      <c r="AB30" s="35" t="n">
        <v>146</v>
      </c>
      <c r="AC30" s="38" t="n">
        <f aca="false">AB30-AA30</f>
        <v>4</v>
      </c>
      <c r="AD30" s="37" t="n">
        <f aca="false">IFERROR(AA30/AA$59,0)</f>
        <v>0.0019947462317558</v>
      </c>
      <c r="AE30" s="37" t="n">
        <f aca="false">IFERROR(AB30/AB$59,0)</f>
        <v>0.00229055538123627</v>
      </c>
      <c r="AF30" s="96" t="n">
        <f aca="false">AE30-AD30</f>
        <v>0.000295809149480474</v>
      </c>
      <c r="AG30" s="35" t="n">
        <v>50</v>
      </c>
      <c r="AH30" s="35" t="n">
        <v>33</v>
      </c>
      <c r="AI30" s="35" t="n">
        <v>47</v>
      </c>
      <c r="AJ30" s="38" t="n">
        <f aca="false">AI30-AH30</f>
        <v>14</v>
      </c>
      <c r="AK30" s="37" t="n">
        <f aca="false">IFERROR(AH30/AH$59,0)</f>
        <v>0.00387142186766776</v>
      </c>
      <c r="AL30" s="37" t="n">
        <f aca="false">IFERROR(AI30/AI$59,0)</f>
        <v>0.00528624451692723</v>
      </c>
      <c r="AM30" s="96" t="n">
        <f aca="false">AL30-AK30</f>
        <v>0.00141482264925947</v>
      </c>
      <c r="AN30" s="35" t="n">
        <f aca="false">G30+N30+U30+AB30</f>
        <v>709</v>
      </c>
      <c r="AO30" s="37" t="n">
        <f aca="false">IFERROR(AN30/AN$59,0)</f>
        <v>0.00224796763433905</v>
      </c>
      <c r="AP30" s="37" t="n">
        <f aca="false">①石川予測確定!R20</f>
        <v>0.0027179188507086</v>
      </c>
      <c r="AQ30" s="37" t="n">
        <f aca="false">③仙台以降予測!H43</f>
        <v>0.00400208168381792</v>
      </c>
      <c r="AR30" s="39" t="str">
        <f aca="false">IF(AQ30-AO30&gt;=0.005,"↑ 上方修正",IF(AQ30-AO30&lt;=-0.005,"↓ 下方修正","→ 据置"))</f>
        <v>→ 据置</v>
      </c>
    </row>
    <row r="31" customFormat="false" ht="15" hidden="false" customHeight="false" outlineLevel="0" collapsed="false">
      <c r="A31" s="32" t="n">
        <v>15</v>
      </c>
      <c r="B31" s="32" t="s">
        <v>314</v>
      </c>
      <c r="C31" s="33" t="s">
        <v>315</v>
      </c>
      <c r="D31" s="34" t="n">
        <v>600</v>
      </c>
      <c r="E31" s="35" t="n">
        <v>2100</v>
      </c>
      <c r="F31" s="32" t="s">
        <v>531</v>
      </c>
      <c r="G31" s="35" t="n">
        <v>471</v>
      </c>
      <c r="H31" s="32" t="s">
        <v>531</v>
      </c>
      <c r="I31" s="37" t="n">
        <f aca="false">IFERROR(E31/E$59,0)</f>
        <v>0.00994544214594226</v>
      </c>
      <c r="J31" s="37" t="n">
        <f aca="false">IFERROR(G31/G$59,0)</f>
        <v>0.00317845935823464</v>
      </c>
      <c r="K31" s="96" t="n">
        <f aca="false">J31-I31</f>
        <v>-0.00676698278770762</v>
      </c>
      <c r="L31" s="35" t="n">
        <v>190</v>
      </c>
      <c r="M31" s="35" t="n">
        <v>95</v>
      </c>
      <c r="N31" s="35" t="n">
        <v>100</v>
      </c>
      <c r="O31" s="38" t="n">
        <f aca="false">N31-M31</f>
        <v>5</v>
      </c>
      <c r="P31" s="37" t="n">
        <f aca="false">IFERROR(M31/M$59,0)</f>
        <v>0.0016557734204793</v>
      </c>
      <c r="Q31" s="37" t="n">
        <f aca="false">IFERROR(N31/N$59,0)</f>
        <v>0.00170648464163823</v>
      </c>
      <c r="R31" s="96" t="n">
        <f aca="false">Q31-P31</f>
        <v>5.07112211589225E-005</v>
      </c>
      <c r="S31" s="35" t="n">
        <v>100</v>
      </c>
      <c r="T31" s="35" t="n">
        <v>114</v>
      </c>
      <c r="U31" s="35" t="n">
        <v>100</v>
      </c>
      <c r="V31" s="38" t="n">
        <f aca="false">U31-T31</f>
        <v>-14</v>
      </c>
      <c r="W31" s="37" t="n">
        <f aca="false">IFERROR(T31/T$59,0)</f>
        <v>0.00348922624877571</v>
      </c>
      <c r="X31" s="37" t="n">
        <f aca="false">IFERROR(U31/U$59,0)</f>
        <v>0.00222861090682178</v>
      </c>
      <c r="Y31" s="96" t="n">
        <f aca="false">X31-W31</f>
        <v>-0.00126061534195393</v>
      </c>
      <c r="Z31" s="35" t="n">
        <v>300</v>
      </c>
      <c r="AA31" s="35" t="n">
        <v>211</v>
      </c>
      <c r="AB31" s="35" t="n">
        <v>198</v>
      </c>
      <c r="AC31" s="38" t="n">
        <f aca="false">AB31-AA31</f>
        <v>-13</v>
      </c>
      <c r="AD31" s="37" t="n">
        <f aca="false">IFERROR(AA31/AA$59,0)</f>
        <v>0.00296402433028502</v>
      </c>
      <c r="AE31" s="37" t="n">
        <f aca="false">IFERROR(AB31/AB$59,0)</f>
        <v>0.0031063696266081</v>
      </c>
      <c r="AF31" s="96" t="n">
        <f aca="false">AE31-AD31</f>
        <v>0.000142345296323071</v>
      </c>
      <c r="AG31" s="35" t="n">
        <v>100</v>
      </c>
      <c r="AH31" s="35" t="n">
        <v>48</v>
      </c>
      <c r="AI31" s="35" t="n">
        <v>54</v>
      </c>
      <c r="AJ31" s="38" t="n">
        <f aca="false">AI31-AH31</f>
        <v>6</v>
      </c>
      <c r="AK31" s="37" t="n">
        <f aca="false">IFERROR(AH31/AH$59,0)</f>
        <v>0.00563115908024402</v>
      </c>
      <c r="AL31" s="37" t="n">
        <f aca="false">IFERROR(AI31/AI$59,0)</f>
        <v>0.0060735575300866</v>
      </c>
      <c r="AM31" s="96" t="n">
        <f aca="false">AL31-AK31</f>
        <v>0.000442398449842587</v>
      </c>
      <c r="AN31" s="35" t="n">
        <f aca="false">G31+N31+U31+AB31</f>
        <v>869</v>
      </c>
      <c r="AO31" s="37" t="n">
        <f aca="false">IFERROR(AN31/AN$59,0)</f>
        <v>0.00275526639526183</v>
      </c>
      <c r="AP31" s="37" t="n">
        <f aca="false">①石川予測確定!R21</f>
        <v>0.0044651523975927</v>
      </c>
      <c r="AQ31" s="37" t="n">
        <f aca="false">③仙台以降予測!H44</f>
        <v>0.00526935496383965</v>
      </c>
      <c r="AR31" s="39" t="str">
        <f aca="false">IF(AQ31-AO31&gt;=0.005,"↑ 上方修正",IF(AQ31-AO31&lt;=-0.005,"↓ 下方修正","→ 据置"))</f>
        <v>→ 据置</v>
      </c>
    </row>
    <row r="32" customFormat="false" ht="15" hidden="false" customHeight="false" outlineLevel="0" collapsed="false">
      <c r="A32" s="32" t="n">
        <v>16</v>
      </c>
      <c r="B32" s="32" t="s">
        <v>316</v>
      </c>
      <c r="C32" s="33" t="s">
        <v>317</v>
      </c>
      <c r="D32" s="34" t="n">
        <v>600</v>
      </c>
      <c r="E32" s="35" t="n">
        <v>700</v>
      </c>
      <c r="F32" s="32" t="s">
        <v>531</v>
      </c>
      <c r="G32" s="35" t="n">
        <v>95</v>
      </c>
      <c r="H32" s="32" t="s">
        <v>531</v>
      </c>
      <c r="I32" s="37" t="n">
        <f aca="false">IFERROR(E32/E$59,0)</f>
        <v>0.00331514738198075</v>
      </c>
      <c r="J32" s="37" t="n">
        <f aca="false">IFERROR(G32/G$59,0)</f>
        <v>0.000641090528730978</v>
      </c>
      <c r="K32" s="96" t="n">
        <f aca="false">J32-I32</f>
        <v>-0.00267405685324978</v>
      </c>
      <c r="L32" s="35" t="n">
        <v>40</v>
      </c>
      <c r="M32" s="35" t="n">
        <v>27</v>
      </c>
      <c r="N32" s="35" t="n">
        <v>38</v>
      </c>
      <c r="O32" s="38" t="n">
        <f aca="false">N32-M32</f>
        <v>11</v>
      </c>
      <c r="P32" s="37" t="n">
        <f aca="false">IFERROR(M32/M$59,0)</f>
        <v>0.000470588235294118</v>
      </c>
      <c r="Q32" s="37" t="n">
        <f aca="false">IFERROR(N32/N$59,0)</f>
        <v>0.000648464163822526</v>
      </c>
      <c r="R32" s="96" t="n">
        <f aca="false">Q32-P32</f>
        <v>0.000177875928528408</v>
      </c>
      <c r="S32" s="35" t="n">
        <v>30</v>
      </c>
      <c r="T32" s="35" t="n">
        <v>41</v>
      </c>
      <c r="U32" s="35" t="n">
        <v>30</v>
      </c>
      <c r="V32" s="38" t="n">
        <f aca="false">U32-T32</f>
        <v>-11</v>
      </c>
      <c r="W32" s="37" t="n">
        <f aca="false">IFERROR(T32/T$59,0)</f>
        <v>0.0012548971596474</v>
      </c>
      <c r="X32" s="37" t="n">
        <f aca="false">IFERROR(U32/U$59,0)</f>
        <v>0.000668583272046533</v>
      </c>
      <c r="Y32" s="96" t="n">
        <f aca="false">X32-W32</f>
        <v>-0.000586313887600871</v>
      </c>
      <c r="Z32" s="35" t="n">
        <v>100</v>
      </c>
      <c r="AA32" s="35" t="n">
        <v>72</v>
      </c>
      <c r="AB32" s="35" t="n">
        <v>65</v>
      </c>
      <c r="AC32" s="38" t="n">
        <f aca="false">AB32-AA32</f>
        <v>-7</v>
      </c>
      <c r="AD32" s="37" t="n">
        <f aca="false">IFERROR(AA32/AA$59,0)</f>
        <v>0.00101142062455224</v>
      </c>
      <c r="AE32" s="37" t="n">
        <f aca="false">IFERROR(AB32/AB$59,0)</f>
        <v>0.00101976780671478</v>
      </c>
      <c r="AF32" s="96" t="n">
        <f aca="false">AE32-AD32</f>
        <v>8.34718216254299E-006</v>
      </c>
      <c r="AG32" s="35" t="n">
        <v>50</v>
      </c>
      <c r="AH32" s="35" t="n">
        <v>16</v>
      </c>
      <c r="AI32" s="35" t="n">
        <v>22</v>
      </c>
      <c r="AJ32" s="38" t="n">
        <f aca="false">AI32-AH32</f>
        <v>6</v>
      </c>
      <c r="AK32" s="37" t="n">
        <f aca="false">IFERROR(AH32/AH$59,0)</f>
        <v>0.00187705302674801</v>
      </c>
      <c r="AL32" s="37" t="n">
        <f aca="false">IFERROR(AI32/AI$59,0)</f>
        <v>0.00247441232707232</v>
      </c>
      <c r="AM32" s="96" t="n">
        <f aca="false">AL32-AK32</f>
        <v>0.000597359300324315</v>
      </c>
      <c r="AN32" s="35" t="n">
        <f aca="false">G32+N32+U32+AB32</f>
        <v>228</v>
      </c>
      <c r="AO32" s="37" t="n">
        <f aca="false">IFERROR(AN32/AN$59,0)</f>
        <v>0.000722900734314957</v>
      </c>
      <c r="AP32" s="37" t="n">
        <f aca="false">①石川予測確定!R22</f>
        <v>0.0011648223645894</v>
      </c>
      <c r="AQ32" s="37" t="n">
        <f aca="false">③仙台以降予測!H45</f>
        <v>0.00181961734583086</v>
      </c>
      <c r="AR32" s="39" t="str">
        <f aca="false">IF(AQ32-AO32&gt;=0.005,"↑ 上方修正",IF(AQ32-AO32&lt;=-0.005,"↓ 下方修正","→ 据置"))</f>
        <v>→ 据置</v>
      </c>
    </row>
    <row r="33" customFormat="false" ht="15" hidden="false" customHeight="false" outlineLevel="0" collapsed="false">
      <c r="A33" s="32" t="n">
        <v>17</v>
      </c>
      <c r="B33" s="32" t="s">
        <v>318</v>
      </c>
      <c r="C33" s="33" t="s">
        <v>319</v>
      </c>
      <c r="D33" s="34" t="n">
        <v>600</v>
      </c>
      <c r="E33" s="35" t="n">
        <v>2450</v>
      </c>
      <c r="F33" s="32" t="s">
        <v>531</v>
      </c>
      <c r="G33" s="35" t="n">
        <v>492</v>
      </c>
      <c r="H33" s="32" t="s">
        <v>531</v>
      </c>
      <c r="I33" s="37" t="n">
        <f aca="false">IFERROR(E33/E$59,0)</f>
        <v>0.0116030158369326</v>
      </c>
      <c r="J33" s="37" t="n">
        <f aca="false">IFERROR(G33/G$59,0)</f>
        <v>0.00332017410669096</v>
      </c>
      <c r="K33" s="96" t="n">
        <f aca="false">J33-I33</f>
        <v>-0.00828284173024168</v>
      </c>
      <c r="L33" s="35" t="n">
        <v>198</v>
      </c>
      <c r="M33" s="35" t="n">
        <v>122</v>
      </c>
      <c r="N33" s="35" t="n">
        <v>124</v>
      </c>
      <c r="O33" s="38" t="n">
        <f aca="false">N33-M33</f>
        <v>2</v>
      </c>
      <c r="P33" s="37" t="n">
        <f aca="false">IFERROR(M33/M$59,0)</f>
        <v>0.00212636165577342</v>
      </c>
      <c r="Q33" s="37" t="n">
        <f aca="false">IFERROR(N33/N$59,0)</f>
        <v>0.0021160409556314</v>
      </c>
      <c r="R33" s="96" t="n">
        <f aca="false">Q33-P33</f>
        <v>-1.03207001420215E-005</v>
      </c>
      <c r="S33" s="35" t="n">
        <v>100</v>
      </c>
      <c r="T33" s="35" t="n">
        <v>114</v>
      </c>
      <c r="U33" s="35" t="n">
        <v>100</v>
      </c>
      <c r="V33" s="38" t="n">
        <f aca="false">U33-T33</f>
        <v>-14</v>
      </c>
      <c r="W33" s="37" t="n">
        <f aca="false">IFERROR(T33/T$59,0)</f>
        <v>0.00348922624877571</v>
      </c>
      <c r="X33" s="37" t="n">
        <f aca="false">IFERROR(U33/U$59,0)</f>
        <v>0.00222861090682178</v>
      </c>
      <c r="Y33" s="96" t="n">
        <f aca="false">X33-W33</f>
        <v>-0.00126061534195393</v>
      </c>
      <c r="Z33" s="35" t="n">
        <v>300</v>
      </c>
      <c r="AA33" s="35" t="n">
        <v>272</v>
      </c>
      <c r="AB33" s="35" t="n">
        <v>261</v>
      </c>
      <c r="AC33" s="38" t="n">
        <f aca="false">AB33-AA33</f>
        <v>-11</v>
      </c>
      <c r="AD33" s="37" t="n">
        <f aca="false">IFERROR(AA33/AA$59,0)</f>
        <v>0.00382092235941956</v>
      </c>
      <c r="AE33" s="37" t="n">
        <f aca="false">IFERROR(AB33/AB$59,0)</f>
        <v>0.00409475996234703</v>
      </c>
      <c r="AF33" s="96" t="n">
        <f aca="false">AE33-AD33</f>
        <v>0.000273837602927477</v>
      </c>
      <c r="AG33" s="35" t="n">
        <v>100</v>
      </c>
      <c r="AH33" s="35" t="n">
        <v>96</v>
      </c>
      <c r="AI33" s="35" t="n">
        <v>100</v>
      </c>
      <c r="AJ33" s="38" t="n">
        <f aca="false">AI33-AH33</f>
        <v>4</v>
      </c>
      <c r="AK33" s="37" t="n">
        <f aca="false">IFERROR(AH33/AH$59,0)</f>
        <v>0.011262318160488</v>
      </c>
      <c r="AL33" s="37" t="n">
        <f aca="false">IFERROR(AI33/AI$59,0)</f>
        <v>0.0112473287594196</v>
      </c>
      <c r="AM33" s="96" t="n">
        <f aca="false">AL33-AK33</f>
        <v>-1.49894010683972E-005</v>
      </c>
      <c r="AN33" s="35" t="n">
        <f aca="false">G33+N33+U33+AB33</f>
        <v>977</v>
      </c>
      <c r="AO33" s="37" t="n">
        <f aca="false">IFERROR(AN33/AN$59,0)</f>
        <v>0.0030976930588847</v>
      </c>
      <c r="AP33" s="37" t="n">
        <f aca="false">①石川予測確定!R23</f>
        <v>0.0079596194913609</v>
      </c>
      <c r="AQ33" s="37" t="n">
        <f aca="false">③仙台以降予測!H46</f>
        <v>0.00960347412539027</v>
      </c>
      <c r="AR33" s="39" t="str">
        <f aca="false">IF(AQ33-AO33&gt;=0.005,"↑ 上方修正",IF(AQ33-AO33&lt;=-0.005,"↓ 下方修正","→ 据置"))</f>
        <v>↑ 上方修正</v>
      </c>
    </row>
    <row r="34" customFormat="false" ht="15" hidden="false" customHeight="false" outlineLevel="0" collapsed="false">
      <c r="A34" s="32" t="n">
        <v>18</v>
      </c>
      <c r="B34" s="32" t="s">
        <v>320</v>
      </c>
      <c r="C34" s="33" t="s">
        <v>321</v>
      </c>
      <c r="D34" s="34" t="n">
        <v>600</v>
      </c>
      <c r="E34" s="35" t="n">
        <v>8750</v>
      </c>
      <c r="F34" s="32" t="s">
        <v>531</v>
      </c>
      <c r="G34" s="35" t="n">
        <v>5661</v>
      </c>
      <c r="H34" s="32" t="s">
        <v>531</v>
      </c>
      <c r="I34" s="37" t="n">
        <f aca="false">IFERROR(E34/E$59,0)</f>
        <v>0.0414393422747594</v>
      </c>
      <c r="J34" s="37" t="n">
        <f aca="false">IFERROR(G34/G$59,0)</f>
        <v>0.0382022471910112</v>
      </c>
      <c r="K34" s="96" t="n">
        <f aca="false">J34-I34</f>
        <v>-0.00323709508374818</v>
      </c>
      <c r="L34" s="35" t="n">
        <v>2265</v>
      </c>
      <c r="M34" s="35" t="n">
        <v>1225</v>
      </c>
      <c r="N34" s="35" t="n">
        <v>1187</v>
      </c>
      <c r="O34" s="38" t="n">
        <f aca="false">N34-M34</f>
        <v>-38</v>
      </c>
      <c r="P34" s="37" t="n">
        <f aca="false">IFERROR(M34/M$59,0)</f>
        <v>0.0213507625272331</v>
      </c>
      <c r="Q34" s="37" t="n">
        <f aca="false">IFERROR(N34/N$59,0)</f>
        <v>0.0202559726962457</v>
      </c>
      <c r="R34" s="96" t="n">
        <f aca="false">Q34-P34</f>
        <v>-0.00109478983098738</v>
      </c>
      <c r="S34" s="35" t="n">
        <v>900</v>
      </c>
      <c r="T34" s="35" t="n">
        <v>992</v>
      </c>
      <c r="U34" s="35" t="n">
        <v>898</v>
      </c>
      <c r="V34" s="38" t="n">
        <f aca="false">U34-T34</f>
        <v>-94</v>
      </c>
      <c r="W34" s="37" t="n">
        <f aca="false">IFERROR(T34/T$59,0)</f>
        <v>0.0303623898139079</v>
      </c>
      <c r="X34" s="37" t="n">
        <f aca="false">IFERROR(U34/U$59,0)</f>
        <v>0.0200129259432596</v>
      </c>
      <c r="Y34" s="96" t="n">
        <f aca="false">X34-W34</f>
        <v>-0.0103494638706484</v>
      </c>
      <c r="Z34" s="35" t="n">
        <v>4000</v>
      </c>
      <c r="AA34" s="35" t="n">
        <v>2014</v>
      </c>
      <c r="AB34" s="35" t="n">
        <v>2021</v>
      </c>
      <c r="AC34" s="38" t="n">
        <f aca="false">AB34-AA34</f>
        <v>7</v>
      </c>
      <c r="AD34" s="37" t="n">
        <f aca="false">IFERROR(AA34/AA$59,0)</f>
        <v>0.0282916824701139</v>
      </c>
      <c r="AE34" s="37" t="n">
        <f aca="false">IFERROR(AB34/AB$59,0)</f>
        <v>0.0317069344210857</v>
      </c>
      <c r="AF34" s="96" t="n">
        <f aca="false">AE34-AD34</f>
        <v>0.00341525195097173</v>
      </c>
      <c r="AG34" s="35" t="n">
        <v>1500</v>
      </c>
      <c r="AH34" s="35" t="n">
        <v>402</v>
      </c>
      <c r="AI34" s="35" t="n">
        <v>443</v>
      </c>
      <c r="AJ34" s="38" t="n">
        <f aca="false">AI34-AH34</f>
        <v>41</v>
      </c>
      <c r="AK34" s="37" t="n">
        <f aca="false">IFERROR(AH34/AH$59,0)</f>
        <v>0.0471609572970436</v>
      </c>
      <c r="AL34" s="37" t="n">
        <f aca="false">IFERROR(AI34/AI$59,0)</f>
        <v>0.049825666404229</v>
      </c>
      <c r="AM34" s="96" t="n">
        <f aca="false">AL34-AK34</f>
        <v>0.00266470910718535</v>
      </c>
      <c r="AN34" s="35" t="n">
        <f aca="false">G34+N34+U34+AB34</f>
        <v>9767</v>
      </c>
      <c r="AO34" s="37" t="n">
        <f aca="false">IFERROR(AN34/AN$59,0)</f>
        <v>0.0309674187370797</v>
      </c>
      <c r="AP34" s="37" t="n">
        <f aca="false">①石川予測確定!R24</f>
        <v>0.0295088332362648</v>
      </c>
      <c r="AQ34" s="37" t="n">
        <f aca="false">③仙台以降予測!H47</f>
        <v>0.0396672498202469</v>
      </c>
      <c r="AR34" s="39" t="str">
        <f aca="false">IF(AQ34-AO34&gt;=0.005,"↑ 上方修正",IF(AQ34-AO34&lt;=-0.005,"↓ 下方修正","→ 据置"))</f>
        <v>↑ 上方修正</v>
      </c>
    </row>
    <row r="35" customFormat="false" ht="15" hidden="false" customHeight="false" outlineLevel="0" collapsed="false">
      <c r="A35" s="32" t="n">
        <v>19</v>
      </c>
      <c r="B35" s="32" t="s">
        <v>322</v>
      </c>
      <c r="C35" s="33" t="s">
        <v>323</v>
      </c>
      <c r="D35" s="34" t="n">
        <v>600</v>
      </c>
      <c r="E35" s="35" t="n">
        <v>1750</v>
      </c>
      <c r="F35" s="32" t="s">
        <v>531</v>
      </c>
      <c r="G35" s="35" t="n">
        <v>168</v>
      </c>
      <c r="H35" s="32" t="s">
        <v>531</v>
      </c>
      <c r="I35" s="37" t="n">
        <f aca="false">IFERROR(E35/E$59,0)</f>
        <v>0.00828786845495188</v>
      </c>
      <c r="J35" s="37" t="n">
        <f aca="false">IFERROR(G35/G$59,0)</f>
        <v>0.00113371798765057</v>
      </c>
      <c r="K35" s="96" t="n">
        <f aca="false">J35-I35</f>
        <v>-0.00715415046730131</v>
      </c>
      <c r="L35" s="35" t="n">
        <v>65</v>
      </c>
      <c r="M35" s="35" t="n">
        <v>26</v>
      </c>
      <c r="N35" s="35" t="n">
        <v>27</v>
      </c>
      <c r="O35" s="38" t="n">
        <f aca="false">N35-M35</f>
        <v>1</v>
      </c>
      <c r="P35" s="37" t="n">
        <f aca="false">IFERROR(M35/M$59,0)</f>
        <v>0.000453159041394336</v>
      </c>
      <c r="Q35" s="37" t="n">
        <f aca="false">IFERROR(N35/N$59,0)</f>
        <v>0.000460750853242321</v>
      </c>
      <c r="R35" s="96" t="n">
        <f aca="false">Q35-P35</f>
        <v>7.59181184798531E-006</v>
      </c>
      <c r="S35" s="35" t="n">
        <v>20</v>
      </c>
      <c r="T35" s="35" t="n">
        <v>31</v>
      </c>
      <c r="U35" s="35" t="n">
        <v>19</v>
      </c>
      <c r="V35" s="38" t="n">
        <f aca="false">U35-T35</f>
        <v>-12</v>
      </c>
      <c r="W35" s="37" t="n">
        <f aca="false">IFERROR(T35/T$59,0)</f>
        <v>0.000948824681684623</v>
      </c>
      <c r="X35" s="37" t="n">
        <f aca="false">IFERROR(U35/U$59,0)</f>
        <v>0.000423436072296138</v>
      </c>
      <c r="Y35" s="96" t="n">
        <f aca="false">X35-W35</f>
        <v>-0.000525388609388485</v>
      </c>
      <c r="Z35" s="35" t="n">
        <v>100</v>
      </c>
      <c r="AA35" s="35" t="n">
        <v>40</v>
      </c>
      <c r="AB35" s="35" t="n">
        <v>45</v>
      </c>
      <c r="AC35" s="38" t="n">
        <f aca="false">AB35-AA35</f>
        <v>5</v>
      </c>
      <c r="AD35" s="37" t="n">
        <f aca="false">IFERROR(AA35/AA$59,0)</f>
        <v>0.000561900346973464</v>
      </c>
      <c r="AE35" s="37" t="n">
        <f aca="false">IFERROR(AB35/AB$59,0)</f>
        <v>0.000705993096956385</v>
      </c>
      <c r="AF35" s="96" t="n">
        <f aca="false">AE35-AD35</f>
        <v>0.000144092749982921</v>
      </c>
      <c r="AG35" s="35" t="n">
        <v>50</v>
      </c>
      <c r="AH35" s="35" t="n">
        <v>18</v>
      </c>
      <c r="AI35" s="35" t="n">
        <v>21</v>
      </c>
      <c r="AJ35" s="38" t="n">
        <f aca="false">AI35-AH35</f>
        <v>3</v>
      </c>
      <c r="AK35" s="37" t="n">
        <f aca="false">IFERROR(AH35/AH$59,0)</f>
        <v>0.00211168465509151</v>
      </c>
      <c r="AL35" s="37" t="n">
        <f aca="false">IFERROR(AI35/AI$59,0)</f>
        <v>0.00236193903947812</v>
      </c>
      <c r="AM35" s="96" t="n">
        <f aca="false">AL35-AK35</f>
        <v>0.000250254384386618</v>
      </c>
      <c r="AN35" s="35" t="n">
        <f aca="false">G35+N35+U35+AB35</f>
        <v>259</v>
      </c>
      <c r="AO35" s="37" t="n">
        <f aca="false">IFERROR(AN35/AN$59,0)</f>
        <v>0.000821189869243744</v>
      </c>
      <c r="AP35" s="37" t="n">
        <f aca="false">①石川予測確定!R25</f>
        <v>0.0009706853038245</v>
      </c>
      <c r="AQ35" s="37" t="n">
        <f aca="false">③仙台以降予測!H48</f>
        <v>0.00166631217165131</v>
      </c>
      <c r="AR35" s="39" t="str">
        <f aca="false">IF(AQ35-AO35&gt;=0.005,"↑ 上方修正",IF(AQ35-AO35&lt;=-0.005,"↓ 下方修正","→ 据置"))</f>
        <v>→ 据置</v>
      </c>
    </row>
    <row r="36" customFormat="false" ht="15" hidden="false" customHeight="false" outlineLevel="0" collapsed="false">
      <c r="A36" s="32" t="n">
        <v>20</v>
      </c>
      <c r="B36" s="32" t="s">
        <v>324</v>
      </c>
      <c r="C36" s="33" t="s">
        <v>325</v>
      </c>
      <c r="D36" s="34" t="n">
        <v>600</v>
      </c>
      <c r="E36" s="35" t="n">
        <v>350</v>
      </c>
      <c r="F36" s="32" t="s">
        <v>531</v>
      </c>
      <c r="G36" s="35" t="n">
        <v>117</v>
      </c>
      <c r="H36" s="32" t="s">
        <v>531</v>
      </c>
      <c r="I36" s="37" t="n">
        <f aca="false">IFERROR(E36/E$59,0)</f>
        <v>0.00165757369099038</v>
      </c>
      <c r="J36" s="37" t="n">
        <f aca="false">IFERROR(G36/G$59,0)</f>
        <v>0.000789553598542363</v>
      </c>
      <c r="K36" s="96" t="n">
        <f aca="false">J36-I36</f>
        <v>-0.000868020092448014</v>
      </c>
      <c r="L36" s="35" t="n">
        <v>49</v>
      </c>
      <c r="M36" s="35" t="n">
        <v>21</v>
      </c>
      <c r="N36" s="35" t="n">
        <v>23</v>
      </c>
      <c r="O36" s="38" t="n">
        <f aca="false">N36-M36</f>
        <v>2</v>
      </c>
      <c r="P36" s="37" t="n">
        <f aca="false">IFERROR(M36/M$59,0)</f>
        <v>0.000366013071895425</v>
      </c>
      <c r="Q36" s="37" t="n">
        <f aca="false">IFERROR(N36/N$59,0)</f>
        <v>0.000392491467576792</v>
      </c>
      <c r="R36" s="96" t="n">
        <f aca="false">Q36-P36</f>
        <v>2.6478395681367E-005</v>
      </c>
      <c r="S36" s="35" t="n">
        <v>15</v>
      </c>
      <c r="T36" s="35" t="n">
        <v>28</v>
      </c>
      <c r="U36" s="35" t="n">
        <v>15</v>
      </c>
      <c r="V36" s="38" t="n">
        <f aca="false">U36-T36</f>
        <v>-13</v>
      </c>
      <c r="W36" s="37" t="n">
        <f aca="false">IFERROR(T36/T$59,0)</f>
        <v>0.000857002938295788</v>
      </c>
      <c r="X36" s="37" t="n">
        <f aca="false">IFERROR(U36/U$59,0)</f>
        <v>0.000334291636023267</v>
      </c>
      <c r="Y36" s="96" t="n">
        <f aca="false">X36-W36</f>
        <v>-0.000522711302272522</v>
      </c>
      <c r="Z36" s="35" t="n">
        <v>50</v>
      </c>
      <c r="AA36" s="35" t="n">
        <v>32</v>
      </c>
      <c r="AB36" s="35" t="n">
        <v>42</v>
      </c>
      <c r="AC36" s="38" t="n">
        <f aca="false">AB36-AA36</f>
        <v>10</v>
      </c>
      <c r="AD36" s="37" t="n">
        <f aca="false">IFERROR(AA36/AA$59,0)</f>
        <v>0.000449520277578771</v>
      </c>
      <c r="AE36" s="37" t="n">
        <f aca="false">IFERROR(AB36/AB$59,0)</f>
        <v>0.000658926890492626</v>
      </c>
      <c r="AF36" s="96" t="n">
        <f aca="false">AE36-AD36</f>
        <v>0.000209406612913855</v>
      </c>
      <c r="AG36" s="35" t="n">
        <v>30</v>
      </c>
      <c r="AH36" s="35" t="n">
        <v>16</v>
      </c>
      <c r="AI36" s="35" t="n">
        <v>18</v>
      </c>
      <c r="AJ36" s="38" t="n">
        <f aca="false">AI36-AH36</f>
        <v>2</v>
      </c>
      <c r="AK36" s="37" t="n">
        <f aca="false">IFERROR(AH36/AH$59,0)</f>
        <v>0.00187705302674801</v>
      </c>
      <c r="AL36" s="37" t="n">
        <f aca="false">IFERROR(AI36/AI$59,0)</f>
        <v>0.00202451917669553</v>
      </c>
      <c r="AM36" s="96" t="n">
        <f aca="false">AL36-AK36</f>
        <v>0.000147466149947529</v>
      </c>
      <c r="AN36" s="35" t="n">
        <f aca="false">G36+N36+U36+AB36</f>
        <v>197</v>
      </c>
      <c r="AO36" s="37" t="n">
        <f aca="false">IFERROR(AN36/AN$59,0)</f>
        <v>0.000624611599386169</v>
      </c>
      <c r="AP36" s="37" t="n">
        <f aca="false">①石川予測確定!R26</f>
        <v>0.0013589594253543</v>
      </c>
      <c r="AQ36" s="37" t="n">
        <f aca="false">③仙台以降予測!H49</f>
        <v>0.00169173930102492</v>
      </c>
      <c r="AR36" s="39" t="str">
        <f aca="false">IF(AQ36-AO36&gt;=0.005,"↑ 上方修正",IF(AQ36-AO36&lt;=-0.005,"↓ 下方修正","→ 据置"))</f>
        <v>→ 据置</v>
      </c>
    </row>
    <row r="37" customFormat="false" ht="15" hidden="false" customHeight="false" outlineLevel="0" collapsed="false">
      <c r="A37" s="32" t="n">
        <v>21</v>
      </c>
      <c r="B37" s="32" t="s">
        <v>326</v>
      </c>
      <c r="C37" s="33" t="s">
        <v>327</v>
      </c>
      <c r="D37" s="34" t="n">
        <v>600</v>
      </c>
      <c r="E37" s="35" t="n">
        <v>350</v>
      </c>
      <c r="F37" s="32" t="s">
        <v>531</v>
      </c>
      <c r="G37" s="35" t="n">
        <v>350</v>
      </c>
      <c r="H37" s="32" t="s">
        <v>531</v>
      </c>
      <c r="I37" s="37" t="n">
        <f aca="false">IFERROR(E37/E$59,0)</f>
        <v>0.00165757369099038</v>
      </c>
      <c r="J37" s="37" t="n">
        <f aca="false">IFERROR(G37/G$59,0)</f>
        <v>0.00236191247427202</v>
      </c>
      <c r="K37" s="96" t="n">
        <f aca="false">J37-I37</f>
        <v>0.000704338783281648</v>
      </c>
      <c r="L37" s="35" t="n">
        <v>140</v>
      </c>
      <c r="M37" s="35" t="n">
        <v>184</v>
      </c>
      <c r="N37" s="35" t="n">
        <v>139</v>
      </c>
      <c r="O37" s="38" t="n">
        <f aca="false">N37-M37</f>
        <v>-45</v>
      </c>
      <c r="P37" s="37" t="n">
        <f aca="false">IFERROR(M37/M$59,0)</f>
        <v>0.00320697167755991</v>
      </c>
      <c r="Q37" s="37" t="n">
        <f aca="false">IFERROR(N37/N$59,0)</f>
        <v>0.00237201365187713</v>
      </c>
      <c r="R37" s="96" t="n">
        <f aca="false">Q37-P37</f>
        <v>-0.00083495802568278</v>
      </c>
      <c r="S37" s="35" t="n">
        <v>150</v>
      </c>
      <c r="T37" s="35" t="n">
        <v>144</v>
      </c>
      <c r="U37" s="35" t="n">
        <v>150</v>
      </c>
      <c r="V37" s="38" t="n">
        <f aca="false">U37-T37</f>
        <v>6</v>
      </c>
      <c r="W37" s="37" t="n">
        <f aca="false">IFERROR(T37/T$59,0)</f>
        <v>0.00440744368266406</v>
      </c>
      <c r="X37" s="37" t="n">
        <f aca="false">IFERROR(U37/U$59,0)</f>
        <v>0.00334291636023267</v>
      </c>
      <c r="Y37" s="96" t="n">
        <f aca="false">X37-W37</f>
        <v>-0.00106452732243139</v>
      </c>
      <c r="Z37" s="35" t="n">
        <v>350</v>
      </c>
      <c r="AA37" s="35" t="n">
        <v>222</v>
      </c>
      <c r="AB37" s="35" t="n">
        <v>252</v>
      </c>
      <c r="AC37" s="38" t="n">
        <f aca="false">AB37-AA37</f>
        <v>30</v>
      </c>
      <c r="AD37" s="37" t="n">
        <f aca="false">IFERROR(AA37/AA$59,0)</f>
        <v>0.00311854692570273</v>
      </c>
      <c r="AE37" s="37" t="n">
        <f aca="false">IFERROR(AB37/AB$59,0)</f>
        <v>0.00395356134295576</v>
      </c>
      <c r="AF37" s="96" t="n">
        <f aca="false">AE37-AD37</f>
        <v>0.000835014417253031</v>
      </c>
      <c r="AG37" s="35" t="n">
        <v>100</v>
      </c>
      <c r="AH37" s="35" t="n">
        <v>77</v>
      </c>
      <c r="AI37" s="35" t="n">
        <v>88</v>
      </c>
      <c r="AJ37" s="38" t="n">
        <f aca="false">AI37-AH37</f>
        <v>11</v>
      </c>
      <c r="AK37" s="37" t="n">
        <f aca="false">IFERROR(AH37/AH$59,0)</f>
        <v>0.00903331769122478</v>
      </c>
      <c r="AL37" s="37" t="n">
        <f aca="false">IFERROR(AI37/AI$59,0)</f>
        <v>0.00989764930828928</v>
      </c>
      <c r="AM37" s="96" t="n">
        <f aca="false">AL37-AK37</f>
        <v>0.000864331617064503</v>
      </c>
      <c r="AN37" s="35" t="n">
        <f aca="false">G37+N37+U37+AB37</f>
        <v>891</v>
      </c>
      <c r="AO37" s="37" t="n">
        <f aca="false">IFERROR(AN37/AN$59,0)</f>
        <v>0.00282501997488871</v>
      </c>
      <c r="AP37" s="37" t="n">
        <f aca="false">①石川予測確定!R27</f>
        <v>0.005824111822947</v>
      </c>
      <c r="AQ37" s="37" t="n">
        <f aca="false">③仙台以降予測!H50</f>
        <v>0.00786088056561814</v>
      </c>
      <c r="AR37" s="39" t="str">
        <f aca="false">IF(AQ37-AO37&gt;=0.005,"↑ 上方修正",IF(AQ37-AO37&lt;=-0.005,"↓ 下方修正","→ 据置"))</f>
        <v>↑ 上方修正</v>
      </c>
    </row>
    <row r="38" customFormat="false" ht="15" hidden="false" customHeight="false" outlineLevel="0" collapsed="false">
      <c r="A38" s="32" t="n">
        <v>22</v>
      </c>
      <c r="B38" s="32" t="s">
        <v>328</v>
      </c>
      <c r="C38" s="33" t="s">
        <v>329</v>
      </c>
      <c r="D38" s="34" t="n">
        <v>600</v>
      </c>
      <c r="E38" s="35" t="n">
        <v>1400</v>
      </c>
      <c r="F38" s="32" t="s">
        <v>531</v>
      </c>
      <c r="G38" s="35" t="n">
        <v>319</v>
      </c>
      <c r="H38" s="32" t="s">
        <v>531</v>
      </c>
      <c r="I38" s="37" t="n">
        <f aca="false">IFERROR(E38/E$59,0)</f>
        <v>0.00663029476396151</v>
      </c>
      <c r="J38" s="37" t="n">
        <f aca="false">IFERROR(G38/G$59,0)</f>
        <v>0.00215271451226507</v>
      </c>
      <c r="K38" s="96" t="n">
        <f aca="false">J38-I38</f>
        <v>-0.00447758025169643</v>
      </c>
      <c r="L38" s="35" t="n">
        <v>130</v>
      </c>
      <c r="M38" s="35" t="n">
        <v>106</v>
      </c>
      <c r="N38" s="35" t="n">
        <v>99</v>
      </c>
      <c r="O38" s="38" t="n">
        <f aca="false">N38-M38</f>
        <v>-7</v>
      </c>
      <c r="P38" s="37" t="n">
        <f aca="false">IFERROR(M38/M$59,0)</f>
        <v>0.00184749455337691</v>
      </c>
      <c r="Q38" s="37" t="n">
        <f aca="false">IFERROR(N38/N$59,0)</f>
        <v>0.00168941979522184</v>
      </c>
      <c r="R38" s="96" t="n">
        <f aca="false">Q38-P38</f>
        <v>-0.000158074758155063</v>
      </c>
      <c r="S38" s="35" t="n">
        <v>80</v>
      </c>
      <c r="T38" s="35" t="n">
        <v>91</v>
      </c>
      <c r="U38" s="35" t="n">
        <v>80</v>
      </c>
      <c r="V38" s="38" t="n">
        <f aca="false">U38-T38</f>
        <v>-11</v>
      </c>
      <c r="W38" s="37" t="n">
        <f aca="false">IFERROR(T38/T$59,0)</f>
        <v>0.00278525954946131</v>
      </c>
      <c r="X38" s="37" t="n">
        <f aca="false">IFERROR(U38/U$59,0)</f>
        <v>0.00178288872545742</v>
      </c>
      <c r="Y38" s="96" t="n">
        <f aca="false">X38-W38</f>
        <v>-0.00100237082400389</v>
      </c>
      <c r="Z38" s="35" t="n">
        <v>200</v>
      </c>
      <c r="AA38" s="35" t="n">
        <v>181</v>
      </c>
      <c r="AB38" s="35" t="n">
        <v>171</v>
      </c>
      <c r="AC38" s="38" t="n">
        <f aca="false">AB38-AA38</f>
        <v>-10</v>
      </c>
      <c r="AD38" s="37" t="n">
        <f aca="false">IFERROR(AA38/AA$59,0)</f>
        <v>0.00254259907005493</v>
      </c>
      <c r="AE38" s="37" t="n">
        <f aca="false">IFERROR(AB38/AB$59,0)</f>
        <v>0.00268277376843426</v>
      </c>
      <c r="AF38" s="96" t="n">
        <f aca="false">AE38-AD38</f>
        <v>0.000140174698379339</v>
      </c>
      <c r="AG38" s="35" t="n">
        <v>50</v>
      </c>
      <c r="AH38" s="35" t="n">
        <v>48</v>
      </c>
      <c r="AI38" s="35" t="n">
        <v>50</v>
      </c>
      <c r="AJ38" s="38" t="n">
        <f aca="false">AI38-AH38</f>
        <v>2</v>
      </c>
      <c r="AK38" s="37" t="n">
        <f aca="false">IFERROR(AH38/AH$59,0)</f>
        <v>0.00563115908024402</v>
      </c>
      <c r="AL38" s="37" t="n">
        <f aca="false">IFERROR(AI38/AI$59,0)</f>
        <v>0.00562366437970982</v>
      </c>
      <c r="AM38" s="96" t="n">
        <f aca="false">AL38-AK38</f>
        <v>-7.49470053419861E-006</v>
      </c>
      <c r="AN38" s="35" t="n">
        <f aca="false">G38+N38+U38+AB38</f>
        <v>669</v>
      </c>
      <c r="AO38" s="37" t="n">
        <f aca="false">IFERROR(AN38/AN$59,0)</f>
        <v>0.00212114294410836</v>
      </c>
      <c r="AP38" s="37" t="n">
        <f aca="false">①石川予測確定!R28</f>
        <v>0.0052417006406523</v>
      </c>
      <c r="AQ38" s="37" t="n">
        <f aca="false">③仙台以降予測!H51</f>
        <v>0.00543268251018106</v>
      </c>
      <c r="AR38" s="39" t="str">
        <f aca="false">IF(AQ38-AO38&gt;=0.005,"↑ 上方修正",IF(AQ38-AO38&lt;=-0.005,"↓ 下方修正","→ 据置"))</f>
        <v>→ 据置</v>
      </c>
    </row>
    <row r="39" customFormat="false" ht="15" hidden="false" customHeight="false" outlineLevel="0" collapsed="false">
      <c r="A39" s="32" t="n">
        <v>23</v>
      </c>
      <c r="B39" s="32" t="s">
        <v>330</v>
      </c>
      <c r="C39" s="33" t="s">
        <v>331</v>
      </c>
      <c r="D39" s="34" t="n">
        <v>600</v>
      </c>
      <c r="E39" s="35" t="n">
        <v>45125</v>
      </c>
      <c r="F39" s="32" t="s">
        <v>531</v>
      </c>
      <c r="G39" s="35" t="n">
        <v>41156</v>
      </c>
      <c r="H39" s="32" t="s">
        <v>531</v>
      </c>
      <c r="I39" s="37" t="n">
        <f aca="false">IFERROR(E39/E$59,0)</f>
        <v>0.213708608016974</v>
      </c>
      <c r="J39" s="37" t="n">
        <f aca="false">IFERROR(G39/G$59,0)</f>
        <v>0.27773391368897</v>
      </c>
      <c r="K39" s="96" t="n">
        <f aca="false">J39-I39</f>
        <v>0.0640253056719963</v>
      </c>
      <c r="L39" s="35" t="n">
        <v>16465</v>
      </c>
      <c r="M39" s="35" t="n">
        <v>14387</v>
      </c>
      <c r="N39" s="35" t="n">
        <v>13583</v>
      </c>
      <c r="O39" s="38" t="n">
        <f aca="false">N39-M39</f>
        <v>-804</v>
      </c>
      <c r="P39" s="37" t="n">
        <f aca="false">IFERROR(M39/M$59,0)</f>
        <v>0.250753812636166</v>
      </c>
      <c r="Q39" s="37" t="n">
        <f aca="false">IFERROR(N39/N$59,0)</f>
        <v>0.23179180887372</v>
      </c>
      <c r="R39" s="96" t="n">
        <f aca="false">Q39-P39</f>
        <v>-0.0189620037624454</v>
      </c>
      <c r="S39" s="35" t="n">
        <v>11000</v>
      </c>
      <c r="T39" s="35" t="n">
        <v>7692</v>
      </c>
      <c r="U39" s="35" t="n">
        <v>8800</v>
      </c>
      <c r="V39" s="38" t="n">
        <f aca="false">U39-T39</f>
        <v>1108</v>
      </c>
      <c r="W39" s="37" t="n">
        <f aca="false">IFERROR(T39/T$59,0)</f>
        <v>0.235430950048972</v>
      </c>
      <c r="X39" s="37" t="n">
        <f aca="false">IFERROR(U39/U$59,0)</f>
        <v>0.196117759800316</v>
      </c>
      <c r="Y39" s="96" t="n">
        <f aca="false">X39-W39</f>
        <v>-0.0393131902486552</v>
      </c>
      <c r="Z39" s="35" t="n">
        <v>29997</v>
      </c>
      <c r="AA39" s="35" t="n">
        <v>13970</v>
      </c>
      <c r="AB39" s="35" t="n">
        <v>12724</v>
      </c>
      <c r="AC39" s="38" t="n">
        <f aca="false">AB39-AA39</f>
        <v>-1246</v>
      </c>
      <c r="AD39" s="37" t="n">
        <f aca="false">IFERROR(AA39/AA$59,0)</f>
        <v>0.196243696180482</v>
      </c>
      <c r="AE39" s="37" t="n">
        <f aca="false">IFERROR(AB39/AB$59,0)</f>
        <v>0.19962347034829</v>
      </c>
      <c r="AF39" s="96" t="n">
        <f aca="false">AE39-AD39</f>
        <v>0.00337977416780752</v>
      </c>
      <c r="AG39" s="35" t="n">
        <v>11000</v>
      </c>
      <c r="AH39" s="35" t="n">
        <v>2107</v>
      </c>
      <c r="AI39" s="35" t="n">
        <v>2175</v>
      </c>
      <c r="AJ39" s="38" t="n">
        <f aca="false">AI39-AH39</f>
        <v>68</v>
      </c>
      <c r="AK39" s="37" t="n">
        <f aca="false">IFERROR(AH39/AH$59,0)</f>
        <v>0.247184420459878</v>
      </c>
      <c r="AL39" s="37" t="n">
        <f aca="false">IFERROR(AI39/AI$59,0)</f>
        <v>0.244629400517377</v>
      </c>
      <c r="AM39" s="96" t="n">
        <f aca="false">AL39-AK39</f>
        <v>-0.00255501994250087</v>
      </c>
      <c r="AN39" s="35" t="n">
        <f aca="false">G39+N39+U39+AB39</f>
        <v>76263</v>
      </c>
      <c r="AO39" s="37" t="n">
        <f aca="false">IFERROR(AN39/AN$59,0)</f>
        <v>0.241800783776586</v>
      </c>
      <c r="AP39" s="37" t="n">
        <f aca="false">①石川予測確定!R29</f>
        <v>0.250825082508251</v>
      </c>
      <c r="AQ39" s="37" t="n">
        <f aca="false">③仙台以降予測!H52</f>
        <v>0.247727241512814</v>
      </c>
      <c r="AR39" s="39" t="str">
        <f aca="false">IF(AQ39-AO39&gt;=0.005,"↑ 上方修正",IF(AQ39-AO39&lt;=-0.005,"↓ 下方修正","→ 据置"))</f>
        <v>↑ 上方修正</v>
      </c>
    </row>
    <row r="40" customFormat="false" ht="15" hidden="false" customHeight="false" outlineLevel="0" collapsed="false">
      <c r="A40" s="32" t="n">
        <v>24</v>
      </c>
      <c r="B40" s="32" t="s">
        <v>332</v>
      </c>
      <c r="C40" s="33" t="s">
        <v>333</v>
      </c>
      <c r="D40" s="34" t="n">
        <v>600</v>
      </c>
      <c r="E40" s="35" t="n">
        <v>15000</v>
      </c>
      <c r="F40" s="32" t="s">
        <v>531</v>
      </c>
      <c r="G40" s="35" t="n">
        <v>14981</v>
      </c>
      <c r="H40" s="32" t="s">
        <v>531</v>
      </c>
      <c r="I40" s="37" t="n">
        <f aca="false">IFERROR(E40/E$59,0)</f>
        <v>0.0710388724710162</v>
      </c>
      <c r="J40" s="37" t="n">
        <f aca="false">IFERROR(G40/G$59,0)</f>
        <v>0.101096602220198</v>
      </c>
      <c r="K40" s="96" t="n">
        <f aca="false">J40-I40</f>
        <v>0.0300577297491816</v>
      </c>
      <c r="L40" s="35" t="n">
        <v>11194</v>
      </c>
      <c r="M40" s="35" t="n">
        <v>6948</v>
      </c>
      <c r="N40" s="35" t="n">
        <v>8213</v>
      </c>
      <c r="O40" s="38" t="n">
        <f aca="false">N40-M40</f>
        <v>1265</v>
      </c>
      <c r="P40" s="37" t="n">
        <f aca="false">IFERROR(M40/M$59,0)</f>
        <v>0.121098039215686</v>
      </c>
      <c r="Q40" s="37" t="n">
        <f aca="false">IFERROR(N40/N$59,0)</f>
        <v>0.140153583617747</v>
      </c>
      <c r="R40" s="96" t="n">
        <f aca="false">Q40-P40</f>
        <v>0.0190555444020612</v>
      </c>
      <c r="S40" s="35" t="n">
        <v>6999</v>
      </c>
      <c r="T40" s="35" t="n">
        <v>4054</v>
      </c>
      <c r="U40" s="35" t="n">
        <v>5195</v>
      </c>
      <c r="V40" s="38" t="n">
        <f aca="false">U40-T40</f>
        <v>1141</v>
      </c>
      <c r="W40" s="37" t="n">
        <f aca="false">IFERROR(T40/T$59,0)</f>
        <v>0.124081782566112</v>
      </c>
      <c r="X40" s="37" t="n">
        <f aca="false">IFERROR(U40/U$59,0)</f>
        <v>0.115776336609391</v>
      </c>
      <c r="Y40" s="96" t="n">
        <f aca="false">X40-W40</f>
        <v>-0.0083054459567203</v>
      </c>
      <c r="Z40" s="35" t="n">
        <v>19998</v>
      </c>
      <c r="AA40" s="35" t="n">
        <v>7275</v>
      </c>
      <c r="AB40" s="35" t="n">
        <v>6978</v>
      </c>
      <c r="AC40" s="38" t="n">
        <f aca="false">AB40-AA40</f>
        <v>-297</v>
      </c>
      <c r="AD40" s="37" t="n">
        <f aca="false">IFERROR(AA40/AA$59,0)</f>
        <v>0.102195625605799</v>
      </c>
      <c r="AE40" s="37" t="n">
        <f aca="false">IFERROR(AB40/AB$59,0)</f>
        <v>0.109475996234703</v>
      </c>
      <c r="AF40" s="96" t="n">
        <f aca="false">AE40-AD40</f>
        <v>0.00728037062890467</v>
      </c>
      <c r="AG40" s="35" t="n">
        <v>8000</v>
      </c>
      <c r="AH40" s="35" t="n">
        <v>1131</v>
      </c>
      <c r="AI40" s="35" t="n">
        <v>1216</v>
      </c>
      <c r="AJ40" s="38" t="n">
        <f aca="false">AI40-AH40</f>
        <v>85</v>
      </c>
      <c r="AK40" s="37" t="n">
        <f aca="false">IFERROR(AH40/AH$59,0)</f>
        <v>0.13268418582825</v>
      </c>
      <c r="AL40" s="37" t="n">
        <f aca="false">IFERROR(AI40/AI$59,0)</f>
        <v>0.136767517714543</v>
      </c>
      <c r="AM40" s="96" t="n">
        <f aca="false">AL40-AK40</f>
        <v>0.00408333188629315</v>
      </c>
      <c r="AN40" s="35" t="n">
        <f aca="false">G40+N40+U40+AB40</f>
        <v>35367</v>
      </c>
      <c r="AO40" s="37" t="n">
        <f aca="false">IFERROR(AN40/AN$59,0)</f>
        <v>0.112135220484724</v>
      </c>
      <c r="AP40" s="37" t="n">
        <f aca="false">①石川予測確定!R30</f>
        <v>0.167928557561639</v>
      </c>
      <c r="AQ40" s="37" t="n">
        <f aca="false">③仙台以降予測!H53</f>
        <v>0.152348037638091</v>
      </c>
      <c r="AR40" s="39" t="str">
        <f aca="false">IF(AQ40-AO40&gt;=0.005,"↑ 上方修正",IF(AQ40-AO40&lt;=-0.005,"↓ 下方修正","→ 据置"))</f>
        <v>↑ 上方修正</v>
      </c>
    </row>
    <row r="41" customFormat="false" ht="15" hidden="false" customHeight="false" outlineLevel="0" collapsed="false">
      <c r="A41" s="32" t="n">
        <v>25</v>
      </c>
      <c r="B41" s="32" t="s">
        <v>334</v>
      </c>
      <c r="C41" s="33" t="s">
        <v>335</v>
      </c>
      <c r="D41" s="34" t="n">
        <v>1500</v>
      </c>
      <c r="E41" s="35" t="n">
        <v>1000</v>
      </c>
      <c r="F41" s="32" t="s">
        <v>531</v>
      </c>
      <c r="G41" s="35" t="n">
        <v>849</v>
      </c>
      <c r="H41" s="32" t="s">
        <v>531</v>
      </c>
      <c r="I41" s="37" t="n">
        <f aca="false">IFERROR(E41/E$59,0)</f>
        <v>0.00473592483140108</v>
      </c>
      <c r="J41" s="37" t="n">
        <f aca="false">IFERROR(G41/G$59,0)</f>
        <v>0.00572932483044843</v>
      </c>
      <c r="K41" s="96" t="n">
        <f aca="false">J41-I41</f>
        <v>0.00099339999904735</v>
      </c>
      <c r="L41" s="35" t="n">
        <v>340</v>
      </c>
      <c r="M41" s="35" t="n">
        <v>236</v>
      </c>
      <c r="N41" s="35" t="n">
        <v>221</v>
      </c>
      <c r="O41" s="38" t="n">
        <f aca="false">N41-M41</f>
        <v>-15</v>
      </c>
      <c r="P41" s="37" t="n">
        <f aca="false">IFERROR(M41/M$59,0)</f>
        <v>0.00411328976034858</v>
      </c>
      <c r="Q41" s="37" t="n">
        <f aca="false">IFERROR(N41/N$59,0)</f>
        <v>0.00377133105802048</v>
      </c>
      <c r="R41" s="96" t="n">
        <f aca="false">Q41-P41</f>
        <v>-0.000341958702328106</v>
      </c>
      <c r="S41" s="35" t="n">
        <v>170</v>
      </c>
      <c r="T41" s="35" t="n">
        <v>188</v>
      </c>
      <c r="U41" s="35" t="n">
        <v>168</v>
      </c>
      <c r="V41" s="38" t="n">
        <f aca="false">U41-T41</f>
        <v>-20</v>
      </c>
      <c r="W41" s="37" t="n">
        <f aca="false">IFERROR(T41/T$59,0)</f>
        <v>0.00575416258570029</v>
      </c>
      <c r="X41" s="37" t="n">
        <f aca="false">IFERROR(U41/U$59,0)</f>
        <v>0.00374406632346059</v>
      </c>
      <c r="Y41" s="96" t="n">
        <f aca="false">X41-W41</f>
        <v>-0.00201009626223971</v>
      </c>
      <c r="Z41" s="35" t="n">
        <v>500</v>
      </c>
      <c r="AA41" s="35" t="n">
        <v>254</v>
      </c>
      <c r="AB41" s="35" t="n">
        <v>243</v>
      </c>
      <c r="AC41" s="38" t="n">
        <f aca="false">AB41-AA41</f>
        <v>-11</v>
      </c>
      <c r="AD41" s="37" t="n">
        <f aca="false">IFERROR(AA41/AA$59,0)</f>
        <v>0.0035680672032815</v>
      </c>
      <c r="AE41" s="37" t="n">
        <f aca="false">IFERROR(AB41/AB$59,0)</f>
        <v>0.00381236272356448</v>
      </c>
      <c r="AF41" s="96" t="n">
        <f aca="false">AE41-AD41</f>
        <v>0.000244295520282983</v>
      </c>
      <c r="AG41" s="35" t="n">
        <v>200</v>
      </c>
      <c r="AH41" s="35" t="n">
        <v>55</v>
      </c>
      <c r="AI41" s="35" t="n">
        <v>54</v>
      </c>
      <c r="AJ41" s="38" t="n">
        <f aca="false">AI41-AH41</f>
        <v>-1</v>
      </c>
      <c r="AK41" s="37" t="n">
        <f aca="false">IFERROR(AH41/AH$59,0)</f>
        <v>0.00645236977944627</v>
      </c>
      <c r="AL41" s="37" t="n">
        <f aca="false">IFERROR(AI41/AI$59,0)</f>
        <v>0.0060735575300866</v>
      </c>
      <c r="AM41" s="96" t="n">
        <f aca="false">AL41-AK41</f>
        <v>-0.000378812249359665</v>
      </c>
      <c r="AN41" s="35" t="n">
        <f aca="false">G41+N41+U41+AB41</f>
        <v>1481</v>
      </c>
      <c r="AO41" s="37" t="n">
        <f aca="false">IFERROR(AN41/AN$59,0)</f>
        <v>0.00469568415579145</v>
      </c>
      <c r="AP41" s="37" t="n">
        <f aca="false">①石川予測確定!R31</f>
        <v>0.0112599495243642</v>
      </c>
      <c r="AQ41" s="37" t="n">
        <f aca="false">③仙台以降予測!H54</f>
        <v>0.0086667535272254</v>
      </c>
      <c r="AR41" s="39" t="str">
        <f aca="false">IF(AQ41-AO41&gt;=0.005,"↑ 上方修正",IF(AQ41-AO41&lt;=-0.005,"↓ 下方修正","→ 据置"))</f>
        <v>→ 据置</v>
      </c>
    </row>
    <row r="42" customFormat="false" ht="15" hidden="false" customHeight="false" outlineLevel="0" collapsed="false">
      <c r="A42" s="32" t="n">
        <v>26</v>
      </c>
      <c r="B42" s="32" t="s">
        <v>336</v>
      </c>
      <c r="C42" s="33" t="s">
        <v>337</v>
      </c>
      <c r="D42" s="34" t="n">
        <v>2200</v>
      </c>
      <c r="E42" s="35" t="n">
        <v>1293</v>
      </c>
      <c r="F42" s="32" t="s">
        <v>531</v>
      </c>
      <c r="G42" s="35" t="n">
        <v>1283</v>
      </c>
      <c r="H42" s="32" t="s">
        <v>531</v>
      </c>
      <c r="I42" s="37" t="n">
        <f aca="false">IFERROR(E42/E$59,0)</f>
        <v>0.00612355080700159</v>
      </c>
      <c r="J42" s="37" t="n">
        <f aca="false">IFERROR(G42/G$59,0)</f>
        <v>0.00865809629854574</v>
      </c>
      <c r="K42" s="96" t="n">
        <f aca="false">J42-I42</f>
        <v>0.00253454549154415</v>
      </c>
      <c r="L42" s="35" t="n">
        <v>515</v>
      </c>
      <c r="M42" s="35" t="n">
        <v>513</v>
      </c>
      <c r="N42" s="35" t="n">
        <v>513</v>
      </c>
      <c r="O42" s="38" t="n">
        <f aca="false">N42-M42</f>
        <v>0</v>
      </c>
      <c r="P42" s="37" t="n">
        <f aca="false">IFERROR(M42/M$59,0)</f>
        <v>0.00894117647058824</v>
      </c>
      <c r="Q42" s="37" t="n">
        <f aca="false">IFERROR(N42/N$59,0)</f>
        <v>0.0087542662116041</v>
      </c>
      <c r="R42" s="96" t="n">
        <f aca="false">Q42-P42</f>
        <v>-0.00018691025898414</v>
      </c>
      <c r="S42" s="35" t="n">
        <v>500</v>
      </c>
      <c r="T42" s="35" t="n">
        <v>329</v>
      </c>
      <c r="U42" s="35" t="n">
        <v>444</v>
      </c>
      <c r="V42" s="38" t="n">
        <f aca="false">U42-T42</f>
        <v>115</v>
      </c>
      <c r="W42" s="37" t="n">
        <f aca="false">IFERROR(T42/T$59,0)</f>
        <v>0.0100697845249755</v>
      </c>
      <c r="X42" s="37" t="n">
        <f aca="false">IFERROR(U42/U$59,0)</f>
        <v>0.0098950324262887</v>
      </c>
      <c r="Y42" s="96" t="n">
        <f aca="false">X42-W42</f>
        <v>-0.000174752098686819</v>
      </c>
      <c r="Z42" s="35" t="n">
        <v>900</v>
      </c>
      <c r="AA42" s="35" t="n">
        <v>779</v>
      </c>
      <c r="AB42" s="35" t="n">
        <v>842</v>
      </c>
      <c r="AC42" s="38" t="n">
        <f aca="false">AB42-AA42</f>
        <v>63</v>
      </c>
      <c r="AD42" s="37" t="n">
        <f aca="false">IFERROR(AA42/AA$59,0)</f>
        <v>0.0109430092573082</v>
      </c>
      <c r="AE42" s="37" t="n">
        <f aca="false">IFERROR(AB42/AB$59,0)</f>
        <v>0.0132099152808284</v>
      </c>
      <c r="AF42" s="96" t="n">
        <f aca="false">AE42-AD42</f>
        <v>0.00226690602352015</v>
      </c>
      <c r="AG42" s="35" t="n">
        <v>200</v>
      </c>
      <c r="AH42" s="35" t="n">
        <v>150</v>
      </c>
      <c r="AI42" s="35" t="n">
        <v>200</v>
      </c>
      <c r="AJ42" s="38" t="n">
        <f aca="false">AI42-AH42</f>
        <v>50</v>
      </c>
      <c r="AK42" s="37" t="n">
        <f aca="false">IFERROR(AH42/AH$59,0)</f>
        <v>0.0175973721257626</v>
      </c>
      <c r="AL42" s="37" t="n">
        <f aca="false">IFERROR(AI42/AI$59,0)</f>
        <v>0.0224946575188393</v>
      </c>
      <c r="AM42" s="96" t="n">
        <f aca="false">AL42-AK42</f>
        <v>0.00489728539307672</v>
      </c>
      <c r="AN42" s="35" t="n">
        <f aca="false">G42+N42+U42+AB42</f>
        <v>3082</v>
      </c>
      <c r="AO42" s="37" t="n">
        <f aca="false">IFERROR(AN42/AN$59,0)</f>
        <v>0.00977184238227498</v>
      </c>
      <c r="AP42" s="37" t="n">
        <f aca="false">①石川予測確定!R32</f>
        <v>0.013589594253543</v>
      </c>
      <c r="AQ42" s="37" t="n">
        <f aca="false">③仙台以降予測!H55</f>
        <v>0.0180421258861911</v>
      </c>
      <c r="AR42" s="39" t="str">
        <f aca="false">IF(AQ42-AO42&gt;=0.005,"↑ 上方修正",IF(AQ42-AO42&lt;=-0.005,"↓ 下方修正","→ 据置"))</f>
        <v>↑ 上方修正</v>
      </c>
    </row>
    <row r="43" customFormat="false" ht="15" hidden="false" customHeight="false" outlineLevel="0" collapsed="false">
      <c r="A43" s="32" t="n">
        <v>27</v>
      </c>
      <c r="B43" s="32" t="s">
        <v>338</v>
      </c>
      <c r="C43" s="33" t="s">
        <v>339</v>
      </c>
      <c r="D43" s="34" t="n">
        <v>1100</v>
      </c>
      <c r="E43" s="35" t="n">
        <v>795</v>
      </c>
      <c r="F43" s="32" t="s">
        <v>531</v>
      </c>
      <c r="G43" s="35" t="n">
        <v>466</v>
      </c>
      <c r="H43" s="32" t="s">
        <v>531</v>
      </c>
      <c r="I43" s="37" t="n">
        <f aca="false">IFERROR(E43/E$59,0)</f>
        <v>0.00376506024096386</v>
      </c>
      <c r="J43" s="37" t="n">
        <f aca="false">IFERROR(G43/G$59,0)</f>
        <v>0.00314471775145932</v>
      </c>
      <c r="K43" s="96" t="n">
        <f aca="false">J43-I43</f>
        <v>-0.000620342489504531</v>
      </c>
      <c r="L43" s="35" t="n">
        <v>185</v>
      </c>
      <c r="M43" s="35" t="n">
        <v>101</v>
      </c>
      <c r="N43" s="35" t="n">
        <v>103</v>
      </c>
      <c r="O43" s="38" t="n">
        <f aca="false">N43-M43</f>
        <v>2</v>
      </c>
      <c r="P43" s="37" t="n">
        <f aca="false">IFERROR(M43/M$59,0)</f>
        <v>0.001760348583878</v>
      </c>
      <c r="Q43" s="37" t="n">
        <f aca="false">IFERROR(N43/N$59,0)</f>
        <v>0.00175767918088737</v>
      </c>
      <c r="R43" s="96" t="n">
        <f aca="false">Q43-P43</f>
        <v>-2.66940299062358E-006</v>
      </c>
      <c r="S43" s="35" t="n">
        <v>70</v>
      </c>
      <c r="T43" s="35" t="n">
        <v>101</v>
      </c>
      <c r="U43" s="35" t="n">
        <v>69</v>
      </c>
      <c r="V43" s="38" t="n">
        <f aca="false">U43-T43</f>
        <v>-32</v>
      </c>
      <c r="W43" s="37" t="n">
        <f aca="false">IFERROR(T43/T$59,0)</f>
        <v>0.00309133202742409</v>
      </c>
      <c r="X43" s="37" t="n">
        <f aca="false">IFERROR(U43/U$59,0)</f>
        <v>0.00153774152570703</v>
      </c>
      <c r="Y43" s="96" t="n">
        <f aca="false">X43-W43</f>
        <v>-0.00155359050171707</v>
      </c>
      <c r="Z43" s="35" t="n">
        <v>300</v>
      </c>
      <c r="AA43" s="35" t="n">
        <v>145</v>
      </c>
      <c r="AB43" s="35" t="n">
        <v>145</v>
      </c>
      <c r="AC43" s="38" t="n">
        <f aca="false">AB43-AA43</f>
        <v>0</v>
      </c>
      <c r="AD43" s="37" t="n">
        <f aca="false">IFERROR(AA43/AA$59,0)</f>
        <v>0.00203688875777881</v>
      </c>
      <c r="AE43" s="37" t="n">
        <f aca="false">IFERROR(AB43/AB$59,0)</f>
        <v>0.00227486664574835</v>
      </c>
      <c r="AF43" s="96" t="n">
        <f aca="false">AE43-AD43</f>
        <v>0.000237977887969545</v>
      </c>
      <c r="AG43" s="35" t="n">
        <v>70</v>
      </c>
      <c r="AH43" s="35" t="n">
        <v>44</v>
      </c>
      <c r="AI43" s="35" t="n">
        <v>50</v>
      </c>
      <c r="AJ43" s="38" t="n">
        <f aca="false">AI43-AH43</f>
        <v>6</v>
      </c>
      <c r="AK43" s="37" t="n">
        <f aca="false">IFERROR(AH43/AH$59,0)</f>
        <v>0.00516189582355702</v>
      </c>
      <c r="AL43" s="37" t="n">
        <f aca="false">IFERROR(AI43/AI$59,0)</f>
        <v>0.00562366437970982</v>
      </c>
      <c r="AM43" s="96" t="n">
        <f aca="false">AL43-AK43</f>
        <v>0.000461768556152803</v>
      </c>
      <c r="AN43" s="35" t="n">
        <f aca="false">G43+N43+U43+AB43</f>
        <v>783</v>
      </c>
      <c r="AO43" s="37" t="n">
        <f aca="false">IFERROR(AN43/AN$59,0)</f>
        <v>0.00248259331126584</v>
      </c>
      <c r="AP43" s="37" t="n">
        <f aca="false">①石川予測確定!R33</f>
        <v>0.0034944670937682</v>
      </c>
      <c r="AQ43" s="37" t="n">
        <f aca="false">③仙台以降予測!H56</f>
        <v>0.00455906573673901</v>
      </c>
      <c r="AR43" s="39" t="str">
        <f aca="false">IF(AQ43-AO43&gt;=0.005,"↑ 上方修正",IF(AQ43-AO43&lt;=-0.005,"↓ 下方修正","→ 据置"))</f>
        <v>→ 据置</v>
      </c>
    </row>
    <row r="44" customFormat="false" ht="15" hidden="false" customHeight="false" outlineLevel="0" collapsed="false">
      <c r="A44" s="32" t="n">
        <v>28</v>
      </c>
      <c r="B44" s="32" t="s">
        <v>340</v>
      </c>
      <c r="C44" s="33" t="s">
        <v>341</v>
      </c>
      <c r="D44" s="34" t="n">
        <v>1800</v>
      </c>
      <c r="E44" s="35" t="n">
        <v>1047</v>
      </c>
      <c r="F44" s="32" t="s">
        <v>531</v>
      </c>
      <c r="G44" s="35" t="n">
        <v>1034</v>
      </c>
      <c r="H44" s="32" t="s">
        <v>531</v>
      </c>
      <c r="I44" s="37" t="n">
        <f aca="false">IFERROR(E44/E$59,0)</f>
        <v>0.00495851329847693</v>
      </c>
      <c r="J44" s="37" t="n">
        <f aca="false">IFERROR(G44/G$59,0)</f>
        <v>0.00697776428113507</v>
      </c>
      <c r="K44" s="96" t="n">
        <f aca="false">J44-I44</f>
        <v>0.00201925098265814</v>
      </c>
      <c r="L44" s="35" t="n">
        <v>437</v>
      </c>
      <c r="M44" s="35" t="n">
        <v>436</v>
      </c>
      <c r="N44" s="35" t="n">
        <v>436</v>
      </c>
      <c r="O44" s="38" t="n">
        <f aca="false">N44-M44</f>
        <v>0</v>
      </c>
      <c r="P44" s="37" t="n">
        <f aca="false">IFERROR(M44/M$59,0)</f>
        <v>0.00759912854030501</v>
      </c>
      <c r="Q44" s="37" t="n">
        <f aca="false">IFERROR(N44/N$59,0)</f>
        <v>0.00744027303754266</v>
      </c>
      <c r="R44" s="96" t="n">
        <f aca="false">Q44-P44</f>
        <v>-0.000158855502762349</v>
      </c>
      <c r="S44" s="35" t="n">
        <v>333</v>
      </c>
      <c r="T44" s="35" t="n">
        <v>360</v>
      </c>
      <c r="U44" s="35" t="n">
        <v>333</v>
      </c>
      <c r="V44" s="38" t="n">
        <f aca="false">U44-T44</f>
        <v>-27</v>
      </c>
      <c r="W44" s="37" t="n">
        <f aca="false">IFERROR(T44/T$59,0)</f>
        <v>0.0110186092066601</v>
      </c>
      <c r="X44" s="37" t="n">
        <f aca="false">IFERROR(U44/U$59,0)</f>
        <v>0.00742127431971652</v>
      </c>
      <c r="Y44" s="96" t="n">
        <f aca="false">X44-W44</f>
        <v>-0.00359733488694362</v>
      </c>
      <c r="Z44" s="35" t="n">
        <v>400</v>
      </c>
      <c r="AA44" s="35" t="n">
        <v>445</v>
      </c>
      <c r="AB44" s="35" t="n">
        <v>400</v>
      </c>
      <c r="AC44" s="38" t="n">
        <f aca="false">AB44-AA44</f>
        <v>-45</v>
      </c>
      <c r="AD44" s="37" t="n">
        <f aca="false">IFERROR(AA44/AA$59,0)</f>
        <v>0.00625114136007979</v>
      </c>
      <c r="AE44" s="37" t="n">
        <f aca="false">IFERROR(AB44/AB$59,0)</f>
        <v>0.00627549419516787</v>
      </c>
      <c r="AF44" s="96" t="n">
        <f aca="false">AE44-AD44</f>
        <v>2.43528350880795E-005</v>
      </c>
      <c r="AG44" s="35" t="n">
        <v>300</v>
      </c>
      <c r="AH44" s="35" t="n">
        <v>262</v>
      </c>
      <c r="AI44" s="35" t="n">
        <v>300</v>
      </c>
      <c r="AJ44" s="38" t="n">
        <f aca="false">AI44-AH44</f>
        <v>38</v>
      </c>
      <c r="AK44" s="37" t="n">
        <f aca="false">IFERROR(AH44/AH$59,0)</f>
        <v>0.0307367433129986</v>
      </c>
      <c r="AL44" s="37" t="n">
        <f aca="false">IFERROR(AI44/AI$59,0)</f>
        <v>0.0337419862782589</v>
      </c>
      <c r="AM44" s="96" t="n">
        <f aca="false">AL44-AK44</f>
        <v>0.00300524296526032</v>
      </c>
      <c r="AN44" s="35" t="n">
        <f aca="false">G44+N44+U44+AB44</f>
        <v>2203</v>
      </c>
      <c r="AO44" s="37" t="n">
        <f aca="false">IFERROR(AN44/AN$59,0)</f>
        <v>0.00698486981445548</v>
      </c>
      <c r="AP44" s="37" t="n">
        <f aca="false">①石川予測確定!R34</f>
        <v>0.0178606095903708</v>
      </c>
      <c r="AQ44" s="37" t="n">
        <f aca="false">③仙台以降予測!H57</f>
        <v>0.0258012979343149</v>
      </c>
      <c r="AR44" s="39" t="str">
        <f aca="false">IF(AQ44-AO44&gt;=0.005,"↑ 上方修正",IF(AQ44-AO44&lt;=-0.005,"↓ 下方修正","→ 据置"))</f>
        <v>↑ 上方修正</v>
      </c>
    </row>
    <row r="45" customFormat="false" ht="15" hidden="false" customHeight="false" outlineLevel="0" collapsed="false">
      <c r="A45" s="32" t="n">
        <v>29</v>
      </c>
      <c r="B45" s="32" t="s">
        <v>342</v>
      </c>
      <c r="C45" s="33" t="s">
        <v>343</v>
      </c>
      <c r="D45" s="34" t="n">
        <v>1500</v>
      </c>
      <c r="E45" s="35" t="n">
        <v>795</v>
      </c>
      <c r="F45" s="32" t="s">
        <v>531</v>
      </c>
      <c r="G45" s="35" t="n">
        <v>794</v>
      </c>
      <c r="H45" s="32" t="s">
        <v>531</v>
      </c>
      <c r="I45" s="37" t="n">
        <f aca="false">IFERROR(E45/E$59,0)</f>
        <v>0.00376506024096386</v>
      </c>
      <c r="J45" s="37" t="n">
        <f aca="false">IFERROR(G45/G$59,0)</f>
        <v>0.00535816715591997</v>
      </c>
      <c r="K45" s="96" t="n">
        <f aca="false">J45-I45</f>
        <v>0.00159310691495611</v>
      </c>
      <c r="L45" s="35" t="n">
        <v>319</v>
      </c>
      <c r="M45" s="35" t="n">
        <v>318</v>
      </c>
      <c r="N45" s="35" t="n">
        <v>318</v>
      </c>
      <c r="O45" s="38" t="n">
        <f aca="false">N45-M45</f>
        <v>0</v>
      </c>
      <c r="P45" s="37" t="n">
        <f aca="false">IFERROR(M45/M$59,0)</f>
        <v>0.00554248366013072</v>
      </c>
      <c r="Q45" s="37" t="n">
        <f aca="false">IFERROR(N45/N$59,0)</f>
        <v>0.00542662116040956</v>
      </c>
      <c r="R45" s="96" t="n">
        <f aca="false">Q45-P45</f>
        <v>-0.000115862499721162</v>
      </c>
      <c r="S45" s="35" t="n">
        <v>250</v>
      </c>
      <c r="T45" s="35" t="n">
        <v>271</v>
      </c>
      <c r="U45" s="35" t="n">
        <v>249</v>
      </c>
      <c r="V45" s="38" t="n">
        <f aca="false">U45-T45</f>
        <v>-22</v>
      </c>
      <c r="W45" s="37" t="n">
        <f aca="false">IFERROR(T45/T$59,0)</f>
        <v>0.00829456415279138</v>
      </c>
      <c r="X45" s="37" t="n">
        <f aca="false">IFERROR(U45/U$59,0)</f>
        <v>0.00554924115798623</v>
      </c>
      <c r="Y45" s="96" t="n">
        <f aca="false">X45-W45</f>
        <v>-0.00274532299480515</v>
      </c>
      <c r="Z45" s="35" t="n">
        <v>200</v>
      </c>
      <c r="AA45" s="35" t="n">
        <v>222</v>
      </c>
      <c r="AB45" s="35" t="n">
        <v>200</v>
      </c>
      <c r="AC45" s="38" t="n">
        <f aca="false">AB45-AA45</f>
        <v>-22</v>
      </c>
      <c r="AD45" s="37" t="n">
        <f aca="false">IFERROR(AA45/AA$59,0)</f>
        <v>0.00311854692570273</v>
      </c>
      <c r="AE45" s="37" t="n">
        <f aca="false">IFERROR(AB45/AB$59,0)</f>
        <v>0.00313774709758393</v>
      </c>
      <c r="AF45" s="96" t="n">
        <f aca="false">AE45-AD45</f>
        <v>1.92001718812081E-005</v>
      </c>
      <c r="AG45" s="35" t="n">
        <v>160</v>
      </c>
      <c r="AH45" s="35" t="n">
        <v>127</v>
      </c>
      <c r="AI45" s="35" t="n">
        <v>160</v>
      </c>
      <c r="AJ45" s="38" t="n">
        <f aca="false">AI45-AH45</f>
        <v>33</v>
      </c>
      <c r="AK45" s="37" t="n">
        <f aca="false">IFERROR(AH45/AH$59,0)</f>
        <v>0.0148991083998123</v>
      </c>
      <c r="AL45" s="37" t="n">
        <f aca="false">IFERROR(AI45/AI$59,0)</f>
        <v>0.0179957260150714</v>
      </c>
      <c r="AM45" s="96" t="n">
        <f aca="false">AL45-AK45</f>
        <v>0.00309661761525913</v>
      </c>
      <c r="AN45" s="35" t="n">
        <f aca="false">G45+N45+U45+AB45</f>
        <v>1561</v>
      </c>
      <c r="AO45" s="37" t="n">
        <f aca="false">IFERROR(AN45/AN$59,0)</f>
        <v>0.00494933353625284</v>
      </c>
      <c r="AP45" s="37" t="n">
        <f aca="false">①石川予測確定!R35</f>
        <v>0.0161133760434867</v>
      </c>
      <c r="AQ45" s="37" t="n">
        <f aca="false">③仙台以降予測!H58</f>
        <v>0.0170545510292791</v>
      </c>
      <c r="AR45" s="39" t="str">
        <f aca="false">IF(AQ45-AO45&gt;=0.005,"↑ 上方修正",IF(AQ45-AO45&lt;=-0.005,"↓ 下方修正","→ 据置"))</f>
        <v>↑ 上方修正</v>
      </c>
    </row>
    <row r="46" customFormat="false" ht="15" hidden="false" customHeight="false" outlineLevel="0" collapsed="false">
      <c r="A46" s="32" t="n">
        <v>30</v>
      </c>
      <c r="B46" s="32" t="s">
        <v>344</v>
      </c>
      <c r="C46" s="33" t="s">
        <v>345</v>
      </c>
      <c r="D46" s="34" t="n">
        <v>3300</v>
      </c>
      <c r="E46" s="35" t="n">
        <v>794</v>
      </c>
      <c r="F46" s="32" t="s">
        <v>531</v>
      </c>
      <c r="G46" s="35" t="n">
        <v>615</v>
      </c>
      <c r="H46" s="32" t="s">
        <v>531</v>
      </c>
      <c r="I46" s="37" t="n">
        <f aca="false">IFERROR(E46/E$59,0)</f>
        <v>0.00376032431613245</v>
      </c>
      <c r="J46" s="37" t="n">
        <f aca="false">IFERROR(G46/G$59,0)</f>
        <v>0.0041502176333637</v>
      </c>
      <c r="K46" s="96" t="n">
        <f aca="false">J46-I46</f>
        <v>0.000389893317231247</v>
      </c>
      <c r="L46" s="35" t="n">
        <v>250</v>
      </c>
      <c r="M46" s="35" t="n">
        <v>176</v>
      </c>
      <c r="N46" s="35" t="n">
        <v>169</v>
      </c>
      <c r="O46" s="38" t="n">
        <f aca="false">N46-M46</f>
        <v>-7</v>
      </c>
      <c r="P46" s="37" t="n">
        <f aca="false">IFERROR(M46/M$59,0)</f>
        <v>0.00306753812636166</v>
      </c>
      <c r="Q46" s="37" t="n">
        <f aca="false">IFERROR(N46/N$59,0)</f>
        <v>0.0028839590443686</v>
      </c>
      <c r="R46" s="96" t="n">
        <f aca="false">Q46-P46</f>
        <v>-0.000183579081993055</v>
      </c>
      <c r="S46" s="35" t="n">
        <v>90</v>
      </c>
      <c r="T46" s="35" t="n">
        <v>85</v>
      </c>
      <c r="U46" s="35" t="n">
        <v>89</v>
      </c>
      <c r="V46" s="38" t="n">
        <f aca="false">U46-T46</f>
        <v>4</v>
      </c>
      <c r="W46" s="37" t="n">
        <f aca="false">IFERROR(T46/T$59,0)</f>
        <v>0.00260161606268364</v>
      </c>
      <c r="X46" s="37" t="n">
        <f aca="false">IFERROR(U46/U$59,0)</f>
        <v>0.00198346370707138</v>
      </c>
      <c r="Y46" s="96" t="n">
        <f aca="false">X46-W46</f>
        <v>-0.000618152355612261</v>
      </c>
      <c r="Z46" s="35" t="n">
        <v>499</v>
      </c>
      <c r="AA46" s="35" t="n">
        <v>200</v>
      </c>
      <c r="AB46" s="35" t="n">
        <v>205</v>
      </c>
      <c r="AC46" s="38" t="n">
        <f aca="false">AB46-AA46</f>
        <v>5</v>
      </c>
      <c r="AD46" s="37" t="n">
        <f aca="false">IFERROR(AA46/AA$59,0)</f>
        <v>0.00280950173486732</v>
      </c>
      <c r="AE46" s="37" t="n">
        <f aca="false">IFERROR(AB46/AB$59,0)</f>
        <v>0.00321619077502353</v>
      </c>
      <c r="AF46" s="96" t="n">
        <f aca="false">AE46-AD46</f>
        <v>0.000406689040156212</v>
      </c>
      <c r="AG46" s="35" t="n">
        <v>250</v>
      </c>
      <c r="AH46" s="35" t="n">
        <v>65</v>
      </c>
      <c r="AI46" s="35" t="n">
        <v>72</v>
      </c>
      <c r="AJ46" s="38" t="n">
        <f aca="false">AI46-AH46</f>
        <v>7</v>
      </c>
      <c r="AK46" s="37" t="n">
        <f aca="false">IFERROR(AH46/AH$59,0)</f>
        <v>0.00762552792116377</v>
      </c>
      <c r="AL46" s="37" t="n">
        <f aca="false">IFERROR(AI46/AI$59,0)</f>
        <v>0.00809807670678214</v>
      </c>
      <c r="AM46" s="96" t="n">
        <f aca="false">AL46-AK46</f>
        <v>0.000472548785618366</v>
      </c>
      <c r="AN46" s="35" t="n">
        <f aca="false">G46+N46+U46+AB46</f>
        <v>1078</v>
      </c>
      <c r="AO46" s="37" t="n">
        <f aca="false">IFERROR(AN46/AN$59,0)</f>
        <v>0.00341792540171721</v>
      </c>
      <c r="AP46" s="37" t="n">
        <f aca="false">①石川予測確定!R36</f>
        <v>0.0087361677344205</v>
      </c>
      <c r="AQ46" s="37" t="n">
        <f aca="false">③仙台以降予測!H59</f>
        <v>0.00841712222060132</v>
      </c>
      <c r="AR46" s="39" t="str">
        <f aca="false">IF(AQ46-AO46&gt;=0.005,"↑ 上方修正",IF(AQ46-AO46&lt;=-0.005,"↓ 下方修正","→ 据置"))</f>
        <v>→ 据置</v>
      </c>
    </row>
    <row r="47" customFormat="false" ht="15" hidden="false" customHeight="false" outlineLevel="0" collapsed="false">
      <c r="A47" s="32" t="n">
        <v>31</v>
      </c>
      <c r="B47" s="32" t="s">
        <v>346</v>
      </c>
      <c r="C47" s="33" t="s">
        <v>347</v>
      </c>
      <c r="D47" s="34" t="n">
        <v>1300</v>
      </c>
      <c r="E47" s="35" t="n">
        <v>2495</v>
      </c>
      <c r="F47" s="32" t="s">
        <v>531</v>
      </c>
      <c r="G47" s="35" t="n">
        <v>1215</v>
      </c>
      <c r="H47" s="32" t="s">
        <v>531</v>
      </c>
      <c r="I47" s="37" t="n">
        <f aca="false">IFERROR(E47/E$59,0)</f>
        <v>0.0118161324543457</v>
      </c>
      <c r="J47" s="37" t="n">
        <f aca="false">IFERROR(G47/G$59,0)</f>
        <v>0.00819921044640146</v>
      </c>
      <c r="K47" s="96" t="n">
        <f aca="false">J47-I47</f>
        <v>-0.00361692200794423</v>
      </c>
      <c r="L47" s="35" t="n">
        <v>485</v>
      </c>
      <c r="M47" s="35" t="n">
        <v>227</v>
      </c>
      <c r="N47" s="35" t="n">
        <v>235</v>
      </c>
      <c r="O47" s="38" t="n">
        <f aca="false">N47-M47</f>
        <v>8</v>
      </c>
      <c r="P47" s="37" t="n">
        <f aca="false">IFERROR(M47/M$59,0)</f>
        <v>0.00395642701525055</v>
      </c>
      <c r="Q47" s="37" t="n">
        <f aca="false">IFERROR(N47/N$59,0)</f>
        <v>0.00401023890784983</v>
      </c>
      <c r="R47" s="96" t="n">
        <f aca="false">Q47-P47</f>
        <v>5.38118925992844E-005</v>
      </c>
      <c r="S47" s="35" t="n">
        <v>180</v>
      </c>
      <c r="T47" s="35" t="n">
        <v>211</v>
      </c>
      <c r="U47" s="35" t="n">
        <v>178</v>
      </c>
      <c r="V47" s="38" t="n">
        <f aca="false">U47-T47</f>
        <v>-33</v>
      </c>
      <c r="W47" s="37" t="n">
        <f aca="false">IFERROR(T47/T$59,0)</f>
        <v>0.00645812928501469</v>
      </c>
      <c r="X47" s="37" t="n">
        <f aca="false">IFERROR(U47/U$59,0)</f>
        <v>0.00396692741414277</v>
      </c>
      <c r="Y47" s="96" t="n">
        <f aca="false">X47-W47</f>
        <v>-0.00249120187087193</v>
      </c>
      <c r="Z47" s="35" t="n">
        <v>600</v>
      </c>
      <c r="AA47" s="35" t="n">
        <v>408</v>
      </c>
      <c r="AB47" s="35" t="n">
        <v>427</v>
      </c>
      <c r="AC47" s="38" t="n">
        <f aca="false">AB47-AA47</f>
        <v>19</v>
      </c>
      <c r="AD47" s="37" t="n">
        <f aca="false">IFERROR(AA47/AA$59,0)</f>
        <v>0.00573138353912934</v>
      </c>
      <c r="AE47" s="37" t="n">
        <f aca="false">IFERROR(AB47/AB$59,0)</f>
        <v>0.0066990900533417</v>
      </c>
      <c r="AF47" s="96" t="n">
        <f aca="false">AE47-AD47</f>
        <v>0.000967706514212365</v>
      </c>
      <c r="AG47" s="35" t="n">
        <v>200</v>
      </c>
      <c r="AH47" s="35" t="n">
        <v>88</v>
      </c>
      <c r="AI47" s="35" t="n">
        <v>101</v>
      </c>
      <c r="AJ47" s="38" t="n">
        <f aca="false">AI47-AH47</f>
        <v>13</v>
      </c>
      <c r="AK47" s="37" t="n">
        <f aca="false">IFERROR(AH47/AH$59,0)</f>
        <v>0.010323791647114</v>
      </c>
      <c r="AL47" s="37" t="n">
        <f aca="false">IFERROR(AI47/AI$59,0)</f>
        <v>0.0113598020470138</v>
      </c>
      <c r="AM47" s="96" t="n">
        <f aca="false">AL47-AK47</f>
        <v>0.0010360103998998</v>
      </c>
      <c r="AN47" s="35" t="n">
        <f aca="false">G47+N47+U47+AB47</f>
        <v>2055</v>
      </c>
      <c r="AO47" s="37" t="n">
        <f aca="false">IFERROR(AN47/AN$59,0)</f>
        <v>0.00651561846060191</v>
      </c>
      <c r="AP47" s="37" t="n">
        <f aca="false">①石川予測確定!R37</f>
        <v>0.0118423607066589</v>
      </c>
      <c r="AQ47" s="37" t="n">
        <f aca="false">③仙台以降予測!H60</f>
        <v>0.0116010813768364</v>
      </c>
      <c r="AR47" s="39" t="str">
        <f aca="false">IF(AQ47-AO47&gt;=0.005,"↑ 上方修正",IF(AQ47-AO47&lt;=-0.005,"↓ 下方修正","→ 据置"))</f>
        <v>↑ 上方修正</v>
      </c>
    </row>
    <row r="48" customFormat="false" ht="15" hidden="false" customHeight="false" outlineLevel="0" collapsed="false">
      <c r="A48" s="32" t="n">
        <v>32</v>
      </c>
      <c r="B48" s="32" t="s">
        <v>348</v>
      </c>
      <c r="C48" s="33" t="s">
        <v>349</v>
      </c>
      <c r="D48" s="34" t="n">
        <v>8800</v>
      </c>
      <c r="E48" s="35" t="n">
        <v>47</v>
      </c>
      <c r="F48" s="32" t="s">
        <v>531</v>
      </c>
      <c r="G48" s="35" t="n">
        <v>47</v>
      </c>
      <c r="H48" s="32" t="s">
        <v>531</v>
      </c>
      <c r="I48" s="37" t="n">
        <f aca="false">IFERROR(E48/E$59,0)</f>
        <v>0.000222588467075851</v>
      </c>
      <c r="J48" s="37" t="n">
        <f aca="false">IFERROR(G48/G$59,0)</f>
        <v>0.000317171103687958</v>
      </c>
      <c r="K48" s="96" t="n">
        <f aca="false">J48-I48</f>
        <v>9.45826366121071E-005</v>
      </c>
      <c r="L48" s="35" t="n">
        <v>36</v>
      </c>
      <c r="M48" s="35" t="n">
        <v>36</v>
      </c>
      <c r="N48" s="35" t="n">
        <v>36</v>
      </c>
      <c r="O48" s="38" t="n">
        <f aca="false">N48-M48</f>
        <v>0</v>
      </c>
      <c r="P48" s="37" t="n">
        <f aca="false">IFERROR(M48/M$59,0)</f>
        <v>0.000627450980392157</v>
      </c>
      <c r="Q48" s="37" t="n">
        <f aca="false">IFERROR(N48/N$59,0)</f>
        <v>0.000614334470989761</v>
      </c>
      <c r="R48" s="96" t="n">
        <f aca="false">Q48-P48</f>
        <v>-1.31165094023958E-005</v>
      </c>
      <c r="S48" s="35" t="n">
        <v>29</v>
      </c>
      <c r="T48" s="35" t="n">
        <v>40</v>
      </c>
      <c r="U48" s="35" t="n">
        <v>30</v>
      </c>
      <c r="V48" s="38" t="n">
        <f aca="false">U48-T48</f>
        <v>-10</v>
      </c>
      <c r="W48" s="37" t="n">
        <f aca="false">IFERROR(T48/T$59,0)</f>
        <v>0.00122428991185113</v>
      </c>
      <c r="X48" s="37" t="n">
        <f aca="false">IFERROR(U48/U$59,0)</f>
        <v>0.000668583272046533</v>
      </c>
      <c r="Y48" s="96" t="n">
        <f aca="false">X48-W48</f>
        <v>-0.000555706639804593</v>
      </c>
      <c r="Z48" s="35" t="n">
        <v>40</v>
      </c>
      <c r="AA48" s="35" t="n">
        <v>41</v>
      </c>
      <c r="AB48" s="35" t="n">
        <v>40</v>
      </c>
      <c r="AC48" s="38" t="n">
        <f aca="false">AB48-AA48</f>
        <v>-1</v>
      </c>
      <c r="AD48" s="37" t="n">
        <f aca="false">IFERROR(AA48/AA$59,0)</f>
        <v>0.000575947855647801</v>
      </c>
      <c r="AE48" s="37" t="n">
        <f aca="false">IFERROR(AB48/AB$59,0)</f>
        <v>0.000627549419516787</v>
      </c>
      <c r="AF48" s="96" t="n">
        <f aca="false">AE48-AD48</f>
        <v>5.16015638689861E-005</v>
      </c>
      <c r="AG48" s="35" t="n">
        <v>10</v>
      </c>
      <c r="AH48" s="35" t="n">
        <v>10</v>
      </c>
      <c r="AI48" s="35" t="n">
        <v>10</v>
      </c>
      <c r="AJ48" s="38" t="n">
        <f aca="false">AI48-AH48</f>
        <v>0</v>
      </c>
      <c r="AK48" s="37" t="n">
        <f aca="false">IFERROR(AH48/AH$59,0)</f>
        <v>0.0011731581417175</v>
      </c>
      <c r="AL48" s="37" t="n">
        <f aca="false">IFERROR(AI48/AI$59,0)</f>
        <v>0.00112473287594196</v>
      </c>
      <c r="AM48" s="96" t="n">
        <f aca="false">AL48-AK48</f>
        <v>-4.84252657755398E-005</v>
      </c>
      <c r="AN48" s="35" t="n">
        <f aca="false">G48+N48+U48+AB48</f>
        <v>153</v>
      </c>
      <c r="AO48" s="37" t="n">
        <f aca="false">IFERROR(AN48/AN$59,0)</f>
        <v>0.000485104440132405</v>
      </c>
      <c r="AP48" s="37" t="n">
        <f aca="false">①石川予測確定!R38</f>
        <v>0.0009706853038245</v>
      </c>
      <c r="AQ48" s="37" t="n">
        <f aca="false">③仙台以降予測!H61</f>
        <v>0.00104770908988323</v>
      </c>
      <c r="AR48" s="39" t="str">
        <f aca="false">IF(AQ48-AO48&gt;=0.005,"↑ 上方修正",IF(AQ48-AO48&lt;=-0.005,"↓ 下方修正","→ 据置"))</f>
        <v>→ 据置</v>
      </c>
    </row>
    <row r="49" customFormat="false" ht="15" hidden="false" customHeight="false" outlineLevel="0" collapsed="false">
      <c r="A49" s="32" t="n">
        <v>33</v>
      </c>
      <c r="B49" s="32" t="s">
        <v>350</v>
      </c>
      <c r="C49" s="33" t="s">
        <v>351</v>
      </c>
      <c r="D49" s="34" t="n">
        <v>27500</v>
      </c>
      <c r="E49" s="35" t="n">
        <v>10</v>
      </c>
      <c r="F49" s="32" t="s">
        <v>531</v>
      </c>
      <c r="G49" s="35" t="n">
        <v>10</v>
      </c>
      <c r="H49" s="32" t="s">
        <v>531</v>
      </c>
      <c r="I49" s="37" t="n">
        <f aca="false">IFERROR(E49/E$59,0)</f>
        <v>4.73592483140108E-005</v>
      </c>
      <c r="J49" s="37" t="n">
        <f aca="false">IFERROR(G49/G$59,0)</f>
        <v>6.74832135506293E-005</v>
      </c>
      <c r="K49" s="96" t="n">
        <f aca="false">J49-I49</f>
        <v>2.01239652366185E-005</v>
      </c>
      <c r="L49" s="35" t="n">
        <v>40</v>
      </c>
      <c r="M49" s="35" t="n">
        <v>35</v>
      </c>
      <c r="N49" s="35" t="n">
        <v>37</v>
      </c>
      <c r="O49" s="38" t="n">
        <f aca="false">N49-M49</f>
        <v>2</v>
      </c>
      <c r="P49" s="37" t="n">
        <f aca="false">IFERROR(M49/M$59,0)</f>
        <v>0.000610021786492375</v>
      </c>
      <c r="Q49" s="37" t="n">
        <f aca="false">IFERROR(N49/N$59,0)</f>
        <v>0.000631399317406143</v>
      </c>
      <c r="R49" s="96" t="n">
        <f aca="false">Q49-P49</f>
        <v>2.13775309137686E-005</v>
      </c>
      <c r="S49" s="35" t="n">
        <v>20</v>
      </c>
      <c r="T49" s="35" t="n">
        <v>16</v>
      </c>
      <c r="U49" s="35" t="n">
        <v>14</v>
      </c>
      <c r="V49" s="38" t="n">
        <f aca="false">U49-T49</f>
        <v>-2</v>
      </c>
      <c r="W49" s="37" t="n">
        <f aca="false">IFERROR(T49/T$59,0)</f>
        <v>0.000489715964740451</v>
      </c>
      <c r="X49" s="37" t="n">
        <f aca="false">IFERROR(U49/U$59,0)</f>
        <v>0.000312005526955049</v>
      </c>
      <c r="Y49" s="96" t="n">
        <f aca="false">X49-W49</f>
        <v>-0.000177710437785402</v>
      </c>
      <c r="Z49" s="35" t="n">
        <v>50</v>
      </c>
      <c r="AA49" s="35" t="n">
        <v>18</v>
      </c>
      <c r="AB49" s="35" t="n">
        <v>21</v>
      </c>
      <c r="AC49" s="38" t="n">
        <f aca="false">AB49-AA49</f>
        <v>3</v>
      </c>
      <c r="AD49" s="37" t="n">
        <f aca="false">IFERROR(AA49/AA$59,0)</f>
        <v>0.000252855156138059</v>
      </c>
      <c r="AE49" s="37" t="n">
        <f aca="false">IFERROR(AB49/AB$59,0)</f>
        <v>0.000329463445246313</v>
      </c>
      <c r="AF49" s="96" t="n">
        <f aca="false">AE49-AD49</f>
        <v>7.66082891082542E-005</v>
      </c>
      <c r="AG49" s="35" t="n">
        <v>15</v>
      </c>
      <c r="AH49" s="35" t="n">
        <v>0</v>
      </c>
      <c r="AI49" s="35" t="n">
        <v>3</v>
      </c>
      <c r="AJ49" s="38" t="n">
        <f aca="false">AI49-AH49</f>
        <v>3</v>
      </c>
      <c r="AK49" s="37" t="n">
        <f aca="false">IFERROR(AH49/AH$59,0)</f>
        <v>0</v>
      </c>
      <c r="AL49" s="37" t="n">
        <f aca="false">IFERROR(AI49/AI$59,0)</f>
        <v>0.000337419862782589</v>
      </c>
      <c r="AM49" s="96" t="n">
        <f aca="false">AL49-AK49</f>
        <v>0.000337419862782589</v>
      </c>
      <c r="AN49" s="35" t="n">
        <f aca="false">G49+N49+U49+AB49</f>
        <v>82</v>
      </c>
      <c r="AO49" s="37" t="n">
        <f aca="false">IFERROR(AN49/AN$59,0)</f>
        <v>0.000259990614972923</v>
      </c>
      <c r="AP49" s="37" t="n">
        <f aca="false">①石川予測確定!R39</f>
        <v>0.0009706853038245</v>
      </c>
      <c r="AQ49" s="37" t="n">
        <f aca="false">③仙台以降予測!H62</f>
        <v>0.000654052583303545</v>
      </c>
      <c r="AR49" s="39" t="str">
        <f aca="false">IF(AQ49-AO49&gt;=0.005,"↑ 上方修正",IF(AQ49-AO49&lt;=-0.005,"↓ 下方修正","→ 据置"))</f>
        <v>→ 据置</v>
      </c>
    </row>
    <row r="50" customFormat="false" ht="15" hidden="false" customHeight="false" outlineLevel="0" collapsed="false">
      <c r="A50" s="32" t="n">
        <v>34</v>
      </c>
      <c r="B50" s="32" t="s">
        <v>352</v>
      </c>
      <c r="C50" s="33" t="s">
        <v>353</v>
      </c>
      <c r="D50" s="34" t="n">
        <v>27500</v>
      </c>
      <c r="E50" s="35" t="n">
        <v>10</v>
      </c>
      <c r="F50" s="32" t="s">
        <v>531</v>
      </c>
      <c r="G50" s="35" t="n">
        <v>10</v>
      </c>
      <c r="H50" s="32" t="s">
        <v>531</v>
      </c>
      <c r="I50" s="37" t="n">
        <f aca="false">IFERROR(E50/E$59,0)</f>
        <v>4.73592483140108E-005</v>
      </c>
      <c r="J50" s="37" t="n">
        <f aca="false">IFERROR(G50/G$59,0)</f>
        <v>6.74832135506293E-005</v>
      </c>
      <c r="K50" s="96" t="n">
        <f aca="false">J50-I50</f>
        <v>2.01239652366185E-005</v>
      </c>
      <c r="L50" s="35" t="n">
        <v>3</v>
      </c>
      <c r="M50" s="35" t="n">
        <v>3</v>
      </c>
      <c r="N50" s="35" t="n">
        <v>3</v>
      </c>
      <c r="O50" s="38" t="n">
        <f aca="false">N50-M50</f>
        <v>0</v>
      </c>
      <c r="P50" s="37" t="n">
        <f aca="false">IFERROR(M50/M$59,0)</f>
        <v>5.22875816993464E-005</v>
      </c>
      <c r="Q50" s="37" t="n">
        <f aca="false">IFERROR(N50/N$59,0)</f>
        <v>5.11945392491468E-005</v>
      </c>
      <c r="R50" s="96" t="n">
        <f aca="false">Q50-P50</f>
        <v>-1.09304245019964E-006</v>
      </c>
      <c r="S50" s="35" t="n">
        <v>3</v>
      </c>
      <c r="T50" s="35" t="n">
        <v>4</v>
      </c>
      <c r="U50" s="35" t="n">
        <v>3</v>
      </c>
      <c r="V50" s="38" t="n">
        <f aca="false">U50-T50</f>
        <v>-1</v>
      </c>
      <c r="W50" s="37" t="n">
        <f aca="false">IFERROR(T50/T$59,0)</f>
        <v>0.000122428991185113</v>
      </c>
      <c r="X50" s="37" t="n">
        <f aca="false">IFERROR(U50/U$59,0)</f>
        <v>6.68583272046533E-005</v>
      </c>
      <c r="Y50" s="96" t="n">
        <f aca="false">X50-W50</f>
        <v>-5.55706639804593E-005</v>
      </c>
      <c r="Z50" s="35" t="n">
        <v>3</v>
      </c>
      <c r="AA50" s="35" t="n">
        <v>3</v>
      </c>
      <c r="AB50" s="35" t="n">
        <v>3</v>
      </c>
      <c r="AC50" s="38" t="n">
        <f aca="false">AB50-AA50</f>
        <v>0</v>
      </c>
      <c r="AD50" s="37" t="n">
        <f aca="false">IFERROR(AA50/AA$59,0)</f>
        <v>4.21425260230098E-005</v>
      </c>
      <c r="AE50" s="37" t="n">
        <f aca="false">IFERROR(AB50/AB$59,0)</f>
        <v>4.7066206463759E-005</v>
      </c>
      <c r="AF50" s="96" t="n">
        <f aca="false">AE50-AD50</f>
        <v>4.9236804407492E-006</v>
      </c>
      <c r="AG50" s="35" t="n">
        <v>2</v>
      </c>
      <c r="AH50" s="35" t="n">
        <v>2</v>
      </c>
      <c r="AI50" s="35" t="n">
        <v>2</v>
      </c>
      <c r="AJ50" s="38" t="n">
        <f aca="false">AI50-AH50</f>
        <v>0</v>
      </c>
      <c r="AK50" s="37" t="n">
        <f aca="false">IFERROR(AH50/AH$59,0)</f>
        <v>0.000234631628343501</v>
      </c>
      <c r="AL50" s="37" t="n">
        <f aca="false">IFERROR(AI50/AI$59,0)</f>
        <v>0.000224946575188393</v>
      </c>
      <c r="AM50" s="96" t="n">
        <f aca="false">AL50-AK50</f>
        <v>-9.68505315510795E-006</v>
      </c>
      <c r="AN50" s="35" t="n">
        <f aca="false">G50+N50+U50+AB50</f>
        <v>19</v>
      </c>
      <c r="AO50" s="37" t="n">
        <f aca="false">IFERROR(AN50/AN$59,0)</f>
        <v>6.02417278595797E-005</v>
      </c>
      <c r="AP50" s="37" t="n">
        <f aca="false">①石川予測確定!R40</f>
        <v>0.0001941370607649</v>
      </c>
      <c r="AQ50" s="37" t="n">
        <f aca="false">③仙台以降予測!H63</f>
        <v>0.000209541817976646</v>
      </c>
      <c r="AR50" s="39" t="str">
        <f aca="false">IF(AQ50-AO50&gt;=0.005,"↑ 上方修正",IF(AQ50-AO50&lt;=-0.005,"↓ 下方修正","→ 据置"))</f>
        <v>→ 据置</v>
      </c>
    </row>
    <row r="51" customFormat="false" ht="15" hidden="false" customHeight="false" outlineLevel="0" collapsed="false">
      <c r="A51" s="32" t="n">
        <v>35</v>
      </c>
      <c r="B51" s="32" t="s">
        <v>354</v>
      </c>
      <c r="C51" s="33" t="s">
        <v>355</v>
      </c>
      <c r="D51" s="34" t="n">
        <v>27500</v>
      </c>
      <c r="E51" s="35" t="n">
        <v>10</v>
      </c>
      <c r="F51" s="32" t="s">
        <v>531</v>
      </c>
      <c r="G51" s="35" t="n">
        <v>10</v>
      </c>
      <c r="H51" s="32" t="s">
        <v>531</v>
      </c>
      <c r="I51" s="37" t="n">
        <f aca="false">IFERROR(E51/E$59,0)</f>
        <v>4.73592483140108E-005</v>
      </c>
      <c r="J51" s="37" t="n">
        <f aca="false">IFERROR(G51/G$59,0)</f>
        <v>6.74832135506293E-005</v>
      </c>
      <c r="K51" s="96" t="n">
        <f aca="false">J51-I51</f>
        <v>2.01239652366185E-005</v>
      </c>
      <c r="L51" s="35" t="n">
        <v>3</v>
      </c>
      <c r="M51" s="35" t="n">
        <v>3</v>
      </c>
      <c r="N51" s="35" t="n">
        <v>3</v>
      </c>
      <c r="O51" s="38" t="n">
        <f aca="false">N51-M51</f>
        <v>0</v>
      </c>
      <c r="P51" s="37" t="n">
        <f aca="false">IFERROR(M51/M$59,0)</f>
        <v>5.22875816993464E-005</v>
      </c>
      <c r="Q51" s="37" t="n">
        <f aca="false">IFERROR(N51/N$59,0)</f>
        <v>5.11945392491468E-005</v>
      </c>
      <c r="R51" s="96" t="n">
        <f aca="false">Q51-P51</f>
        <v>-1.09304245019964E-006</v>
      </c>
      <c r="S51" s="35" t="n">
        <v>3</v>
      </c>
      <c r="T51" s="35" t="n">
        <v>4</v>
      </c>
      <c r="U51" s="35" t="n">
        <v>3</v>
      </c>
      <c r="V51" s="38" t="n">
        <f aca="false">U51-T51</f>
        <v>-1</v>
      </c>
      <c r="W51" s="37" t="n">
        <f aca="false">IFERROR(T51/T$59,0)</f>
        <v>0.000122428991185113</v>
      </c>
      <c r="X51" s="37" t="n">
        <f aca="false">IFERROR(U51/U$59,0)</f>
        <v>6.68583272046533E-005</v>
      </c>
      <c r="Y51" s="96" t="n">
        <f aca="false">X51-W51</f>
        <v>-5.55706639804593E-005</v>
      </c>
      <c r="Z51" s="35" t="n">
        <v>3</v>
      </c>
      <c r="AA51" s="35" t="n">
        <v>3</v>
      </c>
      <c r="AB51" s="35" t="n">
        <v>3</v>
      </c>
      <c r="AC51" s="38" t="n">
        <f aca="false">AB51-AA51</f>
        <v>0</v>
      </c>
      <c r="AD51" s="37" t="n">
        <f aca="false">IFERROR(AA51/AA$59,0)</f>
        <v>4.21425260230098E-005</v>
      </c>
      <c r="AE51" s="37" t="n">
        <f aca="false">IFERROR(AB51/AB$59,0)</f>
        <v>4.7066206463759E-005</v>
      </c>
      <c r="AF51" s="96" t="n">
        <f aca="false">AE51-AD51</f>
        <v>4.9236804407492E-006</v>
      </c>
      <c r="AG51" s="35" t="n">
        <v>2</v>
      </c>
      <c r="AH51" s="35" t="n">
        <v>1</v>
      </c>
      <c r="AI51" s="35" t="n">
        <v>1</v>
      </c>
      <c r="AJ51" s="38" t="n">
        <f aca="false">AI51-AH51</f>
        <v>0</v>
      </c>
      <c r="AK51" s="37" t="n">
        <f aca="false">IFERROR(AH51/AH$59,0)</f>
        <v>0.00011731581417175</v>
      </c>
      <c r="AL51" s="37" t="n">
        <f aca="false">IFERROR(AI51/AI$59,0)</f>
        <v>0.000112473287594196</v>
      </c>
      <c r="AM51" s="96" t="n">
        <f aca="false">AL51-AK51</f>
        <v>-4.84252657755397E-006</v>
      </c>
      <c r="AN51" s="35" t="n">
        <f aca="false">G51+N51+U51+AB51</f>
        <v>19</v>
      </c>
      <c r="AO51" s="37" t="n">
        <f aca="false">IFERROR(AN51/AN$59,0)</f>
        <v>6.02417278595797E-005</v>
      </c>
      <c r="AP51" s="37" t="n">
        <f aca="false">①石川予測確定!R41</f>
        <v>0.0001941370607649</v>
      </c>
      <c r="AQ51" s="37" t="n">
        <f aca="false">③仙台以降予測!H64</f>
        <v>0.000153305174179548</v>
      </c>
      <c r="AR51" s="39" t="str">
        <f aca="false">IF(AQ51-AO51&gt;=0.005,"↑ 上方修正",IF(AQ51-AO51&lt;=-0.005,"↓ 下方修正","→ 据置"))</f>
        <v>→ 据置</v>
      </c>
    </row>
    <row r="52" customFormat="false" ht="15" hidden="false" customHeight="false" outlineLevel="0" collapsed="false">
      <c r="A52" s="32" t="n">
        <v>36</v>
      </c>
      <c r="B52" s="32" t="s">
        <v>356</v>
      </c>
      <c r="C52" s="33" t="s">
        <v>357</v>
      </c>
      <c r="D52" s="34" t="n">
        <v>27500</v>
      </c>
      <c r="E52" s="35" t="n">
        <v>8</v>
      </c>
      <c r="F52" s="32" t="s">
        <v>531</v>
      </c>
      <c r="G52" s="35" t="n">
        <v>8</v>
      </c>
      <c r="H52" s="32" t="s">
        <v>531</v>
      </c>
      <c r="I52" s="37" t="n">
        <f aca="false">IFERROR(E52/E$59,0)</f>
        <v>3.78873986512086E-005</v>
      </c>
      <c r="J52" s="37" t="n">
        <f aca="false">IFERROR(G52/G$59,0)</f>
        <v>5.39865708405034E-005</v>
      </c>
      <c r="K52" s="96" t="n">
        <f aca="false">J52-I52</f>
        <v>1.60991721892948E-005</v>
      </c>
      <c r="L52" s="35" t="n">
        <v>3</v>
      </c>
      <c r="M52" s="35" t="n">
        <v>3</v>
      </c>
      <c r="N52" s="35" t="n">
        <v>3</v>
      </c>
      <c r="O52" s="38" t="n">
        <f aca="false">N52-M52</f>
        <v>0</v>
      </c>
      <c r="P52" s="37" t="n">
        <f aca="false">IFERROR(M52/M$59,0)</f>
        <v>5.22875816993464E-005</v>
      </c>
      <c r="Q52" s="37" t="n">
        <f aca="false">IFERROR(N52/N$59,0)</f>
        <v>5.11945392491468E-005</v>
      </c>
      <c r="R52" s="96" t="n">
        <f aca="false">Q52-P52</f>
        <v>-1.09304245019964E-006</v>
      </c>
      <c r="S52" s="35" t="n">
        <v>3</v>
      </c>
      <c r="T52" s="35" t="n">
        <v>4</v>
      </c>
      <c r="U52" s="35" t="n">
        <v>3</v>
      </c>
      <c r="V52" s="38" t="n">
        <f aca="false">U52-T52</f>
        <v>-1</v>
      </c>
      <c r="W52" s="37" t="n">
        <f aca="false">IFERROR(T52/T$59,0)</f>
        <v>0.000122428991185113</v>
      </c>
      <c r="X52" s="37" t="n">
        <f aca="false">IFERROR(U52/U$59,0)</f>
        <v>6.68583272046533E-005</v>
      </c>
      <c r="Y52" s="96" t="n">
        <f aca="false">X52-W52</f>
        <v>-5.55706639804593E-005</v>
      </c>
      <c r="Z52" s="35" t="n">
        <v>3</v>
      </c>
      <c r="AA52" s="35" t="n">
        <v>3</v>
      </c>
      <c r="AB52" s="35" t="n">
        <v>3</v>
      </c>
      <c r="AC52" s="38" t="n">
        <f aca="false">AB52-AA52</f>
        <v>0</v>
      </c>
      <c r="AD52" s="37" t="n">
        <f aca="false">IFERROR(AA52/AA$59,0)</f>
        <v>4.21425260230098E-005</v>
      </c>
      <c r="AE52" s="37" t="n">
        <f aca="false">IFERROR(AB52/AB$59,0)</f>
        <v>4.7066206463759E-005</v>
      </c>
      <c r="AF52" s="96" t="n">
        <f aca="false">AE52-AD52</f>
        <v>4.9236804407492E-006</v>
      </c>
      <c r="AG52" s="35" t="n">
        <v>2</v>
      </c>
      <c r="AH52" s="35" t="n">
        <v>0</v>
      </c>
      <c r="AI52" s="35" t="n">
        <v>1</v>
      </c>
      <c r="AJ52" s="38" t="n">
        <f aca="false">AI52-AH52</f>
        <v>1</v>
      </c>
      <c r="AK52" s="37" t="n">
        <f aca="false">IFERROR(AH52/AH$59,0)</f>
        <v>0</v>
      </c>
      <c r="AL52" s="37" t="n">
        <f aca="false">IFERROR(AI52/AI$59,0)</f>
        <v>0.000112473287594196</v>
      </c>
      <c r="AM52" s="96" t="n">
        <f aca="false">AL52-AK52</f>
        <v>0.000112473287594196</v>
      </c>
      <c r="AN52" s="35" t="n">
        <f aca="false">G52+N52+U52+AB52</f>
        <v>17</v>
      </c>
      <c r="AO52" s="37" t="n">
        <f aca="false">IFERROR(AN52/AN$59,0)</f>
        <v>5.3900493348045E-005</v>
      </c>
      <c r="AP52" s="37" t="n">
        <f aca="false">①石川予測確定!R42</f>
        <v>0.0001941370607649</v>
      </c>
      <c r="AQ52" s="37" t="n">
        <f aca="false">③仙台以降予測!H65</f>
        <v>0.000153305174179548</v>
      </c>
      <c r="AR52" s="39" t="str">
        <f aca="false">IF(AQ52-AO52&gt;=0.005,"↑ 上方修正",IF(AQ52-AO52&lt;=-0.005,"↓ 下方修正","→ 据置"))</f>
        <v>→ 据置</v>
      </c>
    </row>
    <row r="53" customFormat="false" ht="15" hidden="false" customHeight="false" outlineLevel="0" collapsed="false">
      <c r="A53" s="32" t="n">
        <v>37</v>
      </c>
      <c r="B53" s="32" t="s">
        <v>358</v>
      </c>
      <c r="C53" s="33" t="s">
        <v>359</v>
      </c>
      <c r="D53" s="34" t="n">
        <v>27500</v>
      </c>
      <c r="E53" s="35" t="n">
        <v>10</v>
      </c>
      <c r="F53" s="32" t="s">
        <v>531</v>
      </c>
      <c r="G53" s="35" t="n">
        <v>10</v>
      </c>
      <c r="H53" s="32" t="s">
        <v>531</v>
      </c>
      <c r="I53" s="37" t="n">
        <f aca="false">IFERROR(E53/E$59,0)</f>
        <v>4.73592483140108E-005</v>
      </c>
      <c r="J53" s="37" t="n">
        <f aca="false">IFERROR(G53/G$59,0)</f>
        <v>6.74832135506293E-005</v>
      </c>
      <c r="K53" s="96" t="n">
        <f aca="false">J53-I53</f>
        <v>2.01239652366185E-005</v>
      </c>
      <c r="L53" s="35" t="n">
        <v>20</v>
      </c>
      <c r="M53" s="35" t="n">
        <v>18</v>
      </c>
      <c r="N53" s="35" t="n">
        <v>19</v>
      </c>
      <c r="O53" s="38" t="n">
        <f aca="false">N53-M53</f>
        <v>1</v>
      </c>
      <c r="P53" s="37" t="n">
        <f aca="false">IFERROR(M53/M$59,0)</f>
        <v>0.000313725490196078</v>
      </c>
      <c r="Q53" s="37" t="n">
        <f aca="false">IFERROR(N53/N$59,0)</f>
        <v>0.000324232081911263</v>
      </c>
      <c r="R53" s="96" t="n">
        <f aca="false">Q53-P53</f>
        <v>1.05065917151844E-005</v>
      </c>
      <c r="S53" s="35" t="n">
        <v>15</v>
      </c>
      <c r="T53" s="35" t="n">
        <v>11</v>
      </c>
      <c r="U53" s="35" t="n">
        <v>12</v>
      </c>
      <c r="V53" s="38" t="n">
        <f aca="false">U53-T53</f>
        <v>1</v>
      </c>
      <c r="W53" s="37" t="n">
        <f aca="false">IFERROR(T53/T$59,0)</f>
        <v>0.00033667972575906</v>
      </c>
      <c r="X53" s="37" t="n">
        <f aca="false">IFERROR(U53/U$59,0)</f>
        <v>0.000267433308818613</v>
      </c>
      <c r="Y53" s="96" t="n">
        <f aca="false">X53-W53</f>
        <v>-6.92464169404464E-005</v>
      </c>
      <c r="Z53" s="35" t="n">
        <v>28</v>
      </c>
      <c r="AA53" s="35" t="n">
        <v>25</v>
      </c>
      <c r="AB53" s="35" t="n">
        <v>26</v>
      </c>
      <c r="AC53" s="38" t="n">
        <f aca="false">AB53-AA53</f>
        <v>1</v>
      </c>
      <c r="AD53" s="37" t="n">
        <f aca="false">IFERROR(AA53/AA$59,0)</f>
        <v>0.000351187716858415</v>
      </c>
      <c r="AE53" s="37" t="n">
        <f aca="false">IFERROR(AB53/AB$59,0)</f>
        <v>0.000407907122685912</v>
      </c>
      <c r="AF53" s="96" t="n">
        <f aca="false">AE53-AD53</f>
        <v>5.67194058274963E-005</v>
      </c>
      <c r="AG53" s="35" t="n">
        <v>8</v>
      </c>
      <c r="AH53" s="35" t="n">
        <v>0</v>
      </c>
      <c r="AI53" s="35" t="n">
        <v>1</v>
      </c>
      <c r="AJ53" s="38" t="n">
        <f aca="false">AI53-AH53</f>
        <v>1</v>
      </c>
      <c r="AK53" s="37" t="n">
        <f aca="false">IFERROR(AH53/AH$59,0)</f>
        <v>0</v>
      </c>
      <c r="AL53" s="37" t="n">
        <f aca="false">IFERROR(AI53/AI$59,0)</f>
        <v>0.000112473287594196</v>
      </c>
      <c r="AM53" s="96" t="n">
        <f aca="false">AL53-AK53</f>
        <v>0.000112473287594196</v>
      </c>
      <c r="AN53" s="35" t="n">
        <f aca="false">G53+N53+U53+AB53</f>
        <v>67</v>
      </c>
      <c r="AO53" s="37" t="n">
        <f aca="false">IFERROR(AN53/AN$59,0)</f>
        <v>0.000212431356136413</v>
      </c>
      <c r="AP53" s="37" t="n">
        <f aca="false">①石川予測確定!R43</f>
        <v>0.0009706853038245</v>
      </c>
      <c r="AQ53" s="37" t="n">
        <f aca="false">③仙台以降予測!H66</f>
        <v>0.000541579295709348</v>
      </c>
      <c r="AR53" s="39" t="str">
        <f aca="false">IF(AQ53-AO53&gt;=0.005,"↑ 上方修正",IF(AQ53-AO53&lt;=-0.005,"↓ 下方修正","→ 据置"))</f>
        <v>→ 据置</v>
      </c>
    </row>
    <row r="54" customFormat="false" ht="15" hidden="false" customHeight="false" outlineLevel="0" collapsed="false">
      <c r="A54" s="32" t="n">
        <v>38</v>
      </c>
      <c r="B54" s="32" t="s">
        <v>360</v>
      </c>
      <c r="C54" s="33" t="s">
        <v>361</v>
      </c>
      <c r="D54" s="34" t="n">
        <v>27500</v>
      </c>
      <c r="E54" s="35" t="n">
        <v>10</v>
      </c>
      <c r="F54" s="32" t="s">
        <v>531</v>
      </c>
      <c r="G54" s="35" t="n">
        <v>10</v>
      </c>
      <c r="H54" s="32" t="s">
        <v>531</v>
      </c>
      <c r="I54" s="37" t="n">
        <f aca="false">IFERROR(E54/E$59,0)</f>
        <v>4.73592483140108E-005</v>
      </c>
      <c r="J54" s="37" t="n">
        <f aca="false">IFERROR(G54/G$59,0)</f>
        <v>6.74832135506293E-005</v>
      </c>
      <c r="K54" s="96" t="n">
        <f aca="false">J54-I54</f>
        <v>2.01239652366185E-005</v>
      </c>
      <c r="L54" s="35" t="n">
        <v>3</v>
      </c>
      <c r="M54" s="35" t="n">
        <v>3</v>
      </c>
      <c r="N54" s="35" t="n">
        <v>3</v>
      </c>
      <c r="O54" s="38" t="n">
        <f aca="false">N54-M54</f>
        <v>0</v>
      </c>
      <c r="P54" s="37" t="n">
        <f aca="false">IFERROR(M54/M$59,0)</f>
        <v>5.22875816993464E-005</v>
      </c>
      <c r="Q54" s="37" t="n">
        <f aca="false">IFERROR(N54/N$59,0)</f>
        <v>5.11945392491468E-005</v>
      </c>
      <c r="R54" s="96" t="n">
        <f aca="false">Q54-P54</f>
        <v>-1.09304245019964E-006</v>
      </c>
      <c r="S54" s="35" t="n">
        <v>3</v>
      </c>
      <c r="T54" s="35" t="n">
        <v>4</v>
      </c>
      <c r="U54" s="35" t="n">
        <v>3</v>
      </c>
      <c r="V54" s="38" t="n">
        <f aca="false">U54-T54</f>
        <v>-1</v>
      </c>
      <c r="W54" s="37" t="n">
        <f aca="false">IFERROR(T54/T$59,0)</f>
        <v>0.000122428991185113</v>
      </c>
      <c r="X54" s="37" t="n">
        <f aca="false">IFERROR(U54/U$59,0)</f>
        <v>6.68583272046533E-005</v>
      </c>
      <c r="Y54" s="96" t="n">
        <f aca="false">X54-W54</f>
        <v>-5.55706639804593E-005</v>
      </c>
      <c r="Z54" s="35" t="n">
        <v>3</v>
      </c>
      <c r="AA54" s="35" t="n">
        <v>3</v>
      </c>
      <c r="AB54" s="35" t="n">
        <v>3</v>
      </c>
      <c r="AC54" s="38" t="n">
        <f aca="false">AB54-AA54</f>
        <v>0</v>
      </c>
      <c r="AD54" s="37" t="n">
        <f aca="false">IFERROR(AA54/AA$59,0)</f>
        <v>4.21425260230098E-005</v>
      </c>
      <c r="AE54" s="37" t="n">
        <f aca="false">IFERROR(AB54/AB$59,0)</f>
        <v>4.7066206463759E-005</v>
      </c>
      <c r="AF54" s="96" t="n">
        <f aca="false">AE54-AD54</f>
        <v>4.9236804407492E-006</v>
      </c>
      <c r="AG54" s="35" t="n">
        <v>2</v>
      </c>
      <c r="AH54" s="35" t="n">
        <v>2</v>
      </c>
      <c r="AI54" s="35" t="n">
        <v>2</v>
      </c>
      <c r="AJ54" s="38" t="n">
        <f aca="false">AI54-AH54</f>
        <v>0</v>
      </c>
      <c r="AK54" s="37" t="n">
        <f aca="false">IFERROR(AH54/AH$59,0)</f>
        <v>0.000234631628343501</v>
      </c>
      <c r="AL54" s="37" t="n">
        <f aca="false">IFERROR(AI54/AI$59,0)</f>
        <v>0.000224946575188393</v>
      </c>
      <c r="AM54" s="96" t="n">
        <f aca="false">AL54-AK54</f>
        <v>-9.68505315510795E-006</v>
      </c>
      <c r="AN54" s="35" t="n">
        <f aca="false">G54+N54+U54+AB54</f>
        <v>19</v>
      </c>
      <c r="AO54" s="37" t="n">
        <f aca="false">IFERROR(AN54/AN$59,0)</f>
        <v>6.02417278595797E-005</v>
      </c>
      <c r="AP54" s="37" t="n">
        <f aca="false">①石川予測確定!R44</f>
        <v>0.0001941370607649</v>
      </c>
      <c r="AQ54" s="37" t="n">
        <f aca="false">③仙台以降予測!H67</f>
        <v>0.000209541817976646</v>
      </c>
      <c r="AR54" s="39" t="str">
        <f aca="false">IF(AQ54-AO54&gt;=0.005,"↑ 上方修正",IF(AQ54-AO54&lt;=-0.005,"↓ 下方修正","→ 据置"))</f>
        <v>→ 据置</v>
      </c>
    </row>
    <row r="55" customFormat="false" ht="15" hidden="false" customHeight="false" outlineLevel="0" collapsed="false">
      <c r="A55" s="32" t="n">
        <v>39</v>
      </c>
      <c r="B55" s="32" t="s">
        <v>362</v>
      </c>
      <c r="C55" s="33" t="s">
        <v>363</v>
      </c>
      <c r="D55" s="34" t="n">
        <v>27500</v>
      </c>
      <c r="E55" s="35" t="n">
        <v>10</v>
      </c>
      <c r="F55" s="32" t="s">
        <v>531</v>
      </c>
      <c r="G55" s="35" t="n">
        <v>10</v>
      </c>
      <c r="H55" s="32" t="s">
        <v>531</v>
      </c>
      <c r="I55" s="37" t="n">
        <f aca="false">IFERROR(E55/E$59,0)</f>
        <v>4.73592483140108E-005</v>
      </c>
      <c r="J55" s="37" t="n">
        <f aca="false">IFERROR(G55/G$59,0)</f>
        <v>6.74832135506293E-005</v>
      </c>
      <c r="K55" s="96" t="n">
        <f aca="false">J55-I55</f>
        <v>2.01239652366185E-005</v>
      </c>
      <c r="L55" s="35" t="n">
        <v>3</v>
      </c>
      <c r="M55" s="35" t="n">
        <v>3</v>
      </c>
      <c r="N55" s="35" t="n">
        <v>3</v>
      </c>
      <c r="O55" s="38" t="n">
        <f aca="false">N55-M55</f>
        <v>0</v>
      </c>
      <c r="P55" s="37" t="n">
        <f aca="false">IFERROR(M55/M$59,0)</f>
        <v>5.22875816993464E-005</v>
      </c>
      <c r="Q55" s="37" t="n">
        <f aca="false">IFERROR(N55/N$59,0)</f>
        <v>5.11945392491468E-005</v>
      </c>
      <c r="R55" s="96" t="n">
        <f aca="false">Q55-P55</f>
        <v>-1.09304245019964E-006</v>
      </c>
      <c r="S55" s="35" t="n">
        <v>2</v>
      </c>
      <c r="T55" s="35" t="n">
        <v>3</v>
      </c>
      <c r="U55" s="35" t="n">
        <v>2</v>
      </c>
      <c r="V55" s="38" t="n">
        <f aca="false">U55-T55</f>
        <v>-1</v>
      </c>
      <c r="W55" s="37" t="n">
        <f aca="false">IFERROR(T55/T$59,0)</f>
        <v>9.18217433888345E-005</v>
      </c>
      <c r="X55" s="37" t="n">
        <f aca="false">IFERROR(U55/U$59,0)</f>
        <v>4.45722181364356E-005</v>
      </c>
      <c r="Y55" s="96" t="n">
        <f aca="false">X55-W55</f>
        <v>-4.72495252523989E-005</v>
      </c>
      <c r="Z55" s="35" t="n">
        <v>3</v>
      </c>
      <c r="AA55" s="35" t="n">
        <v>3</v>
      </c>
      <c r="AB55" s="35" t="n">
        <v>3</v>
      </c>
      <c r="AC55" s="38" t="n">
        <f aca="false">AB55-AA55</f>
        <v>0</v>
      </c>
      <c r="AD55" s="37" t="n">
        <f aca="false">IFERROR(AA55/AA$59,0)</f>
        <v>4.21425260230098E-005</v>
      </c>
      <c r="AE55" s="37" t="n">
        <f aca="false">IFERROR(AB55/AB$59,0)</f>
        <v>4.7066206463759E-005</v>
      </c>
      <c r="AF55" s="96" t="n">
        <f aca="false">AE55-AD55</f>
        <v>4.9236804407492E-006</v>
      </c>
      <c r="AG55" s="35" t="n">
        <v>2</v>
      </c>
      <c r="AH55" s="35" t="n">
        <v>1</v>
      </c>
      <c r="AI55" s="35" t="n">
        <v>2</v>
      </c>
      <c r="AJ55" s="38" t="n">
        <f aca="false">AI55-AH55</f>
        <v>1</v>
      </c>
      <c r="AK55" s="37" t="n">
        <f aca="false">IFERROR(AH55/AH$59,0)</f>
        <v>0.00011731581417175</v>
      </c>
      <c r="AL55" s="37" t="n">
        <f aca="false">IFERROR(AI55/AI$59,0)</f>
        <v>0.000224946575188393</v>
      </c>
      <c r="AM55" s="96" t="n">
        <f aca="false">AL55-AK55</f>
        <v>0.000107630761016642</v>
      </c>
      <c r="AN55" s="35" t="n">
        <f aca="false">G55+N55+U55+AB55</f>
        <v>18</v>
      </c>
      <c r="AO55" s="37" t="n">
        <f aca="false">IFERROR(AN55/AN$59,0)</f>
        <v>5.70711106038124E-005</v>
      </c>
      <c r="AP55" s="37" t="n">
        <f aca="false">①石川予測確定!R45</f>
        <v>0.0003882741215298</v>
      </c>
      <c r="AQ55" s="37" t="n">
        <f aca="false">③仙台以降予測!H68</f>
        <v>0.000306610348359096</v>
      </c>
      <c r="AR55" s="39" t="str">
        <f aca="false">IF(AQ55-AO55&gt;=0.005,"↑ 上方修正",IF(AQ55-AO55&lt;=-0.005,"↓ 下方修正","→ 据置"))</f>
        <v>→ 据置</v>
      </c>
    </row>
    <row r="56" customFormat="false" ht="15" hidden="false" customHeight="false" outlineLevel="0" collapsed="false">
      <c r="A56" s="32" t="n">
        <v>40</v>
      </c>
      <c r="B56" s="32" t="s">
        <v>364</v>
      </c>
      <c r="C56" s="33" t="s">
        <v>365</v>
      </c>
      <c r="D56" s="34" t="n">
        <v>27500</v>
      </c>
      <c r="E56" s="35" t="n">
        <v>8</v>
      </c>
      <c r="F56" s="32" t="s">
        <v>531</v>
      </c>
      <c r="G56" s="35" t="n">
        <v>8</v>
      </c>
      <c r="H56" s="32" t="s">
        <v>531</v>
      </c>
      <c r="I56" s="37" t="n">
        <f aca="false">IFERROR(E56/E$59,0)</f>
        <v>3.78873986512086E-005</v>
      </c>
      <c r="J56" s="37" t="n">
        <f aca="false">IFERROR(G56/G$59,0)</f>
        <v>5.39865708405034E-005</v>
      </c>
      <c r="K56" s="96" t="n">
        <f aca="false">J56-I56</f>
        <v>1.60991721892948E-005</v>
      </c>
      <c r="L56" s="35" t="n">
        <v>3</v>
      </c>
      <c r="M56" s="35" t="n">
        <v>3</v>
      </c>
      <c r="N56" s="35" t="n">
        <v>3</v>
      </c>
      <c r="O56" s="38" t="n">
        <f aca="false">N56-M56</f>
        <v>0</v>
      </c>
      <c r="P56" s="37" t="n">
        <f aca="false">IFERROR(M56/M$59,0)</f>
        <v>5.22875816993464E-005</v>
      </c>
      <c r="Q56" s="37" t="n">
        <f aca="false">IFERROR(N56/N$59,0)</f>
        <v>5.11945392491468E-005</v>
      </c>
      <c r="R56" s="96" t="n">
        <f aca="false">Q56-P56</f>
        <v>-1.09304245019964E-006</v>
      </c>
      <c r="S56" s="35" t="n">
        <v>3</v>
      </c>
      <c r="T56" s="35" t="n">
        <v>4</v>
      </c>
      <c r="U56" s="35" t="n">
        <v>3</v>
      </c>
      <c r="V56" s="38" t="n">
        <f aca="false">U56-T56</f>
        <v>-1</v>
      </c>
      <c r="W56" s="37" t="n">
        <f aca="false">IFERROR(T56/T$59,0)</f>
        <v>0.000122428991185113</v>
      </c>
      <c r="X56" s="37" t="n">
        <f aca="false">IFERROR(U56/U$59,0)</f>
        <v>6.68583272046533E-005</v>
      </c>
      <c r="Y56" s="96" t="n">
        <f aca="false">X56-W56</f>
        <v>-5.55706639804593E-005</v>
      </c>
      <c r="Z56" s="35" t="n">
        <v>3</v>
      </c>
      <c r="AA56" s="35" t="n">
        <v>3</v>
      </c>
      <c r="AB56" s="35" t="n">
        <v>3</v>
      </c>
      <c r="AC56" s="38" t="n">
        <f aca="false">AB56-AA56</f>
        <v>0</v>
      </c>
      <c r="AD56" s="37" t="n">
        <f aca="false">IFERROR(AA56/AA$59,0)</f>
        <v>4.21425260230098E-005</v>
      </c>
      <c r="AE56" s="37" t="n">
        <f aca="false">IFERROR(AB56/AB$59,0)</f>
        <v>4.7066206463759E-005</v>
      </c>
      <c r="AF56" s="96" t="n">
        <f aca="false">AE56-AD56</f>
        <v>4.9236804407492E-006</v>
      </c>
      <c r="AG56" s="35" t="n">
        <v>2</v>
      </c>
      <c r="AH56" s="35" t="n">
        <v>0</v>
      </c>
      <c r="AI56" s="35" t="n">
        <v>0</v>
      </c>
      <c r="AJ56" s="38" t="n">
        <f aca="false">AI56-AH56</f>
        <v>0</v>
      </c>
      <c r="AK56" s="37" t="n">
        <f aca="false">IFERROR(AH56/AH$59,0)</f>
        <v>0</v>
      </c>
      <c r="AL56" s="37" t="n">
        <f aca="false">IFERROR(AI56/AI$59,0)</f>
        <v>0</v>
      </c>
      <c r="AM56" s="96" t="n">
        <f aca="false">AL56-AK56</f>
        <v>0</v>
      </c>
      <c r="AN56" s="35" t="n">
        <f aca="false">G56+N56+U56+AB56</f>
        <v>17</v>
      </c>
      <c r="AO56" s="37" t="n">
        <f aca="false">IFERROR(AN56/AN$59,0)</f>
        <v>5.3900493348045E-005</v>
      </c>
      <c r="AP56" s="37" t="n">
        <f aca="false">①石川予測確定!R46</f>
        <v>0.0001941370607649</v>
      </c>
      <c r="AQ56" s="37" t="n">
        <f aca="false">③仙台以降予測!H69</f>
        <v>9.706853038245E-005</v>
      </c>
      <c r="AR56" s="39" t="str">
        <f aca="false">IF(AQ56-AO56&gt;=0.005,"↑ 上方修正",IF(AQ56-AO56&lt;=-0.005,"↓ 下方修正","→ 据置"))</f>
        <v>→ 据置</v>
      </c>
    </row>
    <row r="57" customFormat="false" ht="15" hidden="false" customHeight="false" outlineLevel="0" collapsed="false">
      <c r="A57" s="32" t="n">
        <v>41</v>
      </c>
      <c r="B57" s="32" t="s">
        <v>366</v>
      </c>
      <c r="C57" s="33" t="s">
        <v>367</v>
      </c>
      <c r="D57" s="34" t="n">
        <v>25000</v>
      </c>
      <c r="E57" s="35" t="n">
        <v>38</v>
      </c>
      <c r="F57" s="32" t="s">
        <v>531</v>
      </c>
      <c r="G57" s="35" t="n">
        <v>12</v>
      </c>
      <c r="H57" s="32" t="s">
        <v>531</v>
      </c>
      <c r="I57" s="37" t="n">
        <f aca="false">IFERROR(E57/E$59,0)</f>
        <v>0.000179965143593241</v>
      </c>
      <c r="J57" s="37" t="n">
        <f aca="false">IFERROR(G57/G$59,0)</f>
        <v>8.09798562607551E-005</v>
      </c>
      <c r="K57" s="96" t="n">
        <f aca="false">J57-I57</f>
        <v>-9.89852873324858E-005</v>
      </c>
      <c r="L57" s="35" t="n">
        <v>10</v>
      </c>
      <c r="M57" s="35" t="n">
        <v>9</v>
      </c>
      <c r="N57" s="35" t="n">
        <v>5</v>
      </c>
      <c r="O57" s="38" t="n">
        <f aca="false">N57-M57</f>
        <v>-4</v>
      </c>
      <c r="P57" s="37" t="n">
        <f aca="false">IFERROR(M57/M$59,0)</f>
        <v>0.000156862745098039</v>
      </c>
      <c r="Q57" s="37" t="n">
        <f aca="false">IFERROR(N57/N$59,0)</f>
        <v>8.53242320819113E-005</v>
      </c>
      <c r="R57" s="96" t="n">
        <f aca="false">Q57-P57</f>
        <v>-7.1538513016128E-005</v>
      </c>
      <c r="S57" s="35" t="n">
        <v>5</v>
      </c>
      <c r="T57" s="35" t="n">
        <v>2</v>
      </c>
      <c r="U57" s="35" t="n">
        <v>1</v>
      </c>
      <c r="V57" s="38" t="n">
        <f aca="false">U57-T57</f>
        <v>-1</v>
      </c>
      <c r="W57" s="37" t="n">
        <f aca="false">IFERROR(T57/T$59,0)</f>
        <v>6.12144955925563E-005</v>
      </c>
      <c r="X57" s="37" t="n">
        <f aca="false">IFERROR(U57/U$59,0)</f>
        <v>2.22861090682178E-005</v>
      </c>
      <c r="Y57" s="96" t="n">
        <f aca="false">X57-W57</f>
        <v>-3.89283865243385E-005</v>
      </c>
      <c r="Z57" s="35" t="n">
        <v>15</v>
      </c>
      <c r="AA57" s="35" t="n">
        <v>3</v>
      </c>
      <c r="AB57" s="35" t="n">
        <v>2</v>
      </c>
      <c r="AC57" s="38" t="n">
        <f aca="false">AB57-AA57</f>
        <v>-1</v>
      </c>
      <c r="AD57" s="37" t="n">
        <f aca="false">IFERROR(AA57/AA$59,0)</f>
        <v>4.21425260230098E-005</v>
      </c>
      <c r="AE57" s="37" t="n">
        <f aca="false">IFERROR(AB57/AB$59,0)</f>
        <v>3.13774709758394E-005</v>
      </c>
      <c r="AF57" s="96" t="n">
        <f aca="false">AE57-AD57</f>
        <v>-1.07650550471705E-005</v>
      </c>
      <c r="AG57" s="35" t="n">
        <v>4</v>
      </c>
      <c r="AH57" s="35" t="n">
        <v>0</v>
      </c>
      <c r="AI57" s="35" t="n">
        <v>0</v>
      </c>
      <c r="AJ57" s="38" t="n">
        <f aca="false">AI57-AH57</f>
        <v>0</v>
      </c>
      <c r="AK57" s="37" t="n">
        <f aca="false">IFERROR(AH57/AH$59,0)</f>
        <v>0</v>
      </c>
      <c r="AL57" s="37" t="n">
        <f aca="false">IFERROR(AI57/AI$59,0)</f>
        <v>0</v>
      </c>
      <c r="AM57" s="96" t="n">
        <f aca="false">AL57-AK57</f>
        <v>0</v>
      </c>
      <c r="AN57" s="35" t="n">
        <f aca="false">G57+N57+U57+AB57</f>
        <v>20</v>
      </c>
      <c r="AO57" s="37" t="n">
        <f aca="false">IFERROR(AN57/AN$59,0)</f>
        <v>6.34123451153471E-005</v>
      </c>
      <c r="AP57" s="37" t="n">
        <f aca="false">①石川予測確定!R47</f>
        <v>0</v>
      </c>
      <c r="AQ57" s="37" t="n">
        <f aca="false">③仙台以降予測!H70</f>
        <v>0</v>
      </c>
      <c r="AR57" s="39" t="str">
        <f aca="false">IF(AQ57-AO57&gt;=0.005,"↑ 上方修正",IF(AQ57-AO57&lt;=-0.005,"↓ 下方修正","→ 据置"))</f>
        <v>→ 据置</v>
      </c>
    </row>
    <row r="58" customFormat="false" ht="15" hidden="false" customHeight="false" outlineLevel="0" collapsed="false">
      <c r="A58" s="32" t="n">
        <v>42</v>
      </c>
      <c r="B58" s="32" t="s">
        <v>368</v>
      </c>
      <c r="C58" s="33" t="s">
        <v>369</v>
      </c>
      <c r="D58" s="34" t="n">
        <v>25000</v>
      </c>
      <c r="E58" s="35" t="n">
        <v>38</v>
      </c>
      <c r="F58" s="32" t="s">
        <v>531</v>
      </c>
      <c r="G58" s="35" t="n">
        <v>24</v>
      </c>
      <c r="H58" s="32" t="s">
        <v>531</v>
      </c>
      <c r="I58" s="37" t="n">
        <f aca="false">IFERROR(E58/E$59,0)</f>
        <v>0.000179965143593241</v>
      </c>
      <c r="J58" s="37" t="n">
        <f aca="false">IFERROR(G58/G$59,0)</f>
        <v>0.00016195971252151</v>
      </c>
      <c r="K58" s="96" t="n">
        <f aca="false">J58-I58</f>
        <v>-1.80054310717306E-005</v>
      </c>
      <c r="L58" s="35" t="n">
        <v>10</v>
      </c>
      <c r="M58" s="35" t="n">
        <v>8</v>
      </c>
      <c r="N58" s="35" t="n">
        <v>8</v>
      </c>
      <c r="O58" s="38" t="n">
        <f aca="false">N58-M58</f>
        <v>0</v>
      </c>
      <c r="P58" s="37" t="n">
        <f aca="false">IFERROR(M58/M$59,0)</f>
        <v>0.000139433551198257</v>
      </c>
      <c r="Q58" s="37" t="n">
        <f aca="false">IFERROR(N58/N$59,0)</f>
        <v>0.000136518771331058</v>
      </c>
      <c r="R58" s="96" t="n">
        <f aca="false">Q58-P58</f>
        <v>-2.91477986719905E-006</v>
      </c>
      <c r="S58" s="35" t="n">
        <v>5</v>
      </c>
      <c r="T58" s="35" t="n">
        <v>3</v>
      </c>
      <c r="U58" s="35" t="n">
        <v>3</v>
      </c>
      <c r="V58" s="38" t="n">
        <f aca="false">U58-T58</f>
        <v>0</v>
      </c>
      <c r="W58" s="37" t="n">
        <f aca="false">IFERROR(T58/T$59,0)</f>
        <v>9.18217433888345E-005</v>
      </c>
      <c r="X58" s="37" t="n">
        <f aca="false">IFERROR(U58/U$59,0)</f>
        <v>6.68583272046533E-005</v>
      </c>
      <c r="Y58" s="96" t="n">
        <f aca="false">X58-W58</f>
        <v>-2.49634161841811E-005</v>
      </c>
      <c r="Z58" s="35" t="n">
        <v>20</v>
      </c>
      <c r="AA58" s="35" t="n">
        <v>5</v>
      </c>
      <c r="AB58" s="35" t="n">
        <v>8</v>
      </c>
      <c r="AC58" s="38" t="n">
        <f aca="false">AB58-AA58</f>
        <v>3</v>
      </c>
      <c r="AD58" s="37" t="n">
        <f aca="false">IFERROR(AA58/AA$59,0)</f>
        <v>7.0237543371683E-005</v>
      </c>
      <c r="AE58" s="37" t="n">
        <f aca="false">IFERROR(AB58/AB$59,0)</f>
        <v>0.000125509883903357</v>
      </c>
      <c r="AF58" s="96" t="n">
        <f aca="false">AE58-AD58</f>
        <v>5.52723405316744E-005</v>
      </c>
      <c r="AG58" s="35" t="n">
        <v>6</v>
      </c>
      <c r="AH58" s="35" t="n">
        <v>1</v>
      </c>
      <c r="AI58" s="35" t="n">
        <v>1</v>
      </c>
      <c r="AJ58" s="38" t="n">
        <f aca="false">AI58-AH58</f>
        <v>0</v>
      </c>
      <c r="AK58" s="37" t="n">
        <f aca="false">IFERROR(AH58/AH$59,0)</f>
        <v>0.00011731581417175</v>
      </c>
      <c r="AL58" s="37" t="n">
        <f aca="false">IFERROR(AI58/AI$59,0)</f>
        <v>0.000112473287594196</v>
      </c>
      <c r="AM58" s="96" t="n">
        <f aca="false">AL58-AK58</f>
        <v>-4.84252657755397E-006</v>
      </c>
      <c r="AN58" s="35" t="n">
        <f aca="false">G58+N58+U58+AB58</f>
        <v>43</v>
      </c>
      <c r="AO58" s="37" t="n">
        <f aca="false">IFERROR(AN58/AN$59,0)</f>
        <v>0.000136336541997996</v>
      </c>
      <c r="AP58" s="37" t="n">
        <f aca="false">①石川予測確定!R48</f>
        <v>0</v>
      </c>
      <c r="AQ58" s="37" t="n">
        <f aca="false">③仙台以降予測!H71</f>
        <v>5.62366437970982E-005</v>
      </c>
      <c r="AR58" s="39" t="str">
        <f aca="false">IF(AQ58-AO58&gt;=0.005,"↑ 上方修正",IF(AQ58-AO58&lt;=-0.005,"↓ 下方修正","→ 据置"))</f>
        <v>→ 据置</v>
      </c>
    </row>
    <row r="59" customFormat="false" ht="15" hidden="false" customHeight="false" outlineLevel="0" collapsed="false">
      <c r="A59" s="40"/>
      <c r="B59" s="40"/>
      <c r="C59" s="41" t="s">
        <v>370</v>
      </c>
      <c r="D59" s="40"/>
      <c r="E59" s="42" t="n">
        <f aca="false">SUM(E17:E58)</f>
        <v>211152</v>
      </c>
      <c r="F59" s="40"/>
      <c r="G59" s="42" t="n">
        <f aca="false">SUM(G17:G58)</f>
        <v>148185</v>
      </c>
      <c r="H59" s="40"/>
      <c r="I59" s="45" t="n">
        <v>1</v>
      </c>
      <c r="J59" s="45" t="n">
        <v>1</v>
      </c>
      <c r="K59" s="97" t="n">
        <v>0</v>
      </c>
      <c r="L59" s="42" t="n">
        <f aca="false">SUM(L17:L58)</f>
        <v>83271</v>
      </c>
      <c r="M59" s="42" t="n">
        <f aca="false">SUM(M17:M58)</f>
        <v>57375</v>
      </c>
      <c r="N59" s="42" t="n">
        <f aca="false">SUM(N17:N58)</f>
        <v>58600</v>
      </c>
      <c r="O59" s="46" t="n">
        <f aca="false">SUM(O17:O58)</f>
        <v>1225</v>
      </c>
      <c r="P59" s="45" t="n">
        <v>1</v>
      </c>
      <c r="Q59" s="45" t="n">
        <v>1</v>
      </c>
      <c r="R59" s="97" t="n">
        <v>0</v>
      </c>
      <c r="S59" s="42" t="n">
        <f aca="false">SUM(S17:S58)</f>
        <v>49598</v>
      </c>
      <c r="T59" s="42" t="n">
        <f aca="false">SUM(T17:T58)</f>
        <v>32672</v>
      </c>
      <c r="U59" s="42" t="n">
        <f aca="false">SUM(U17:U58)</f>
        <v>44871</v>
      </c>
      <c r="V59" s="46" t="n">
        <f aca="false">SUM(V17:V58)</f>
        <v>12199</v>
      </c>
      <c r="W59" s="45" t="n">
        <v>1</v>
      </c>
      <c r="X59" s="45" t="n">
        <v>1</v>
      </c>
      <c r="Y59" s="97" t="n">
        <v>0</v>
      </c>
      <c r="Z59" s="42" t="n">
        <f aca="false">SUM(Z17:Z58)</f>
        <v>137560</v>
      </c>
      <c r="AA59" s="42" t="n">
        <f aca="false">SUM(AA17:AA58)</f>
        <v>71187</v>
      </c>
      <c r="AB59" s="42" t="n">
        <f aca="false">SUM(AB17:AB58)</f>
        <v>63740</v>
      </c>
      <c r="AC59" s="46" t="n">
        <f aca="false">SUM(AC17:AC58)</f>
        <v>-7447</v>
      </c>
      <c r="AD59" s="45" t="n">
        <v>1</v>
      </c>
      <c r="AE59" s="45" t="n">
        <v>1</v>
      </c>
      <c r="AF59" s="97" t="n">
        <v>0</v>
      </c>
      <c r="AG59" s="42" t="n">
        <f aca="false">SUM(AG17:AG58)</f>
        <v>50506</v>
      </c>
      <c r="AH59" s="42" t="n">
        <f aca="false">SUM(AH17:AH58)</f>
        <v>8524</v>
      </c>
      <c r="AI59" s="42" t="n">
        <f aca="false">SUM(AI17:AI58)</f>
        <v>8891</v>
      </c>
      <c r="AJ59" s="46" t="n">
        <f aca="false">SUM(AJ17:AJ58)</f>
        <v>367</v>
      </c>
      <c r="AK59" s="45" t="n">
        <v>1</v>
      </c>
      <c r="AL59" s="45" t="n">
        <v>1</v>
      </c>
      <c r="AM59" s="97" t="n">
        <v>0</v>
      </c>
      <c r="AN59" s="42" t="n">
        <f aca="false">SUM(AN17:AN58)</f>
        <v>315396</v>
      </c>
      <c r="AO59" s="45" t="n">
        <v>1</v>
      </c>
      <c r="AP59" s="45" t="n">
        <v>1</v>
      </c>
      <c r="AQ59" s="45" t="n">
        <v>1</v>
      </c>
      <c r="AR59" s="40"/>
    </row>
    <row r="61" customFormat="false" ht="15" hidden="false" customHeight="false" outlineLevel="0" collapsed="false">
      <c r="A61" s="4" t="s">
        <v>759</v>
      </c>
    </row>
    <row r="62" customFormat="false" ht="15" hidden="false" customHeight="false" outlineLevel="0" collapsed="false">
      <c r="A62" s="5" t="s">
        <v>760</v>
      </c>
      <c r="B62" s="93" t="s">
        <v>761</v>
      </c>
      <c r="C62" s="93"/>
      <c r="D62" s="93"/>
      <c r="E62" s="93"/>
      <c r="F62" s="93"/>
      <c r="G62" s="93"/>
      <c r="H62" s="93"/>
      <c r="I62" s="93"/>
      <c r="J62" s="93"/>
      <c r="K62" s="93"/>
      <c r="L62" s="93"/>
    </row>
    <row r="63" customFormat="false" ht="15" hidden="false" customHeight="false" outlineLevel="0" collapsed="false">
      <c r="A63" s="5" t="s">
        <v>762</v>
      </c>
      <c r="B63" s="93" t="s">
        <v>763</v>
      </c>
      <c r="C63" s="93"/>
      <c r="D63" s="93"/>
      <c r="E63" s="93"/>
      <c r="F63" s="93"/>
      <c r="G63" s="93"/>
      <c r="H63" s="93"/>
      <c r="I63" s="93"/>
      <c r="J63" s="93"/>
      <c r="K63" s="93"/>
      <c r="L63" s="93"/>
    </row>
    <row r="64" customFormat="false" ht="15" hidden="false" customHeight="false" outlineLevel="0" collapsed="false">
      <c r="A64" s="5" t="s">
        <v>764</v>
      </c>
      <c r="B64" s="93" t="s">
        <v>765</v>
      </c>
      <c r="C64" s="93"/>
      <c r="D64" s="93"/>
      <c r="E64" s="93"/>
      <c r="F64" s="93"/>
      <c r="G64" s="93"/>
      <c r="H64" s="93"/>
      <c r="I64" s="93"/>
      <c r="J64" s="93"/>
      <c r="K64" s="93"/>
      <c r="L64" s="93"/>
    </row>
    <row r="65" customFormat="false" ht="15" hidden="false" customHeight="false" outlineLevel="0" collapsed="false">
      <c r="A65" s="5" t="s">
        <v>766</v>
      </c>
      <c r="B65" s="93" t="s">
        <v>767</v>
      </c>
      <c r="C65" s="93"/>
      <c r="D65" s="93"/>
      <c r="E65" s="93"/>
      <c r="F65" s="93"/>
      <c r="G65" s="93"/>
      <c r="H65" s="93"/>
      <c r="I65" s="93"/>
      <c r="J65" s="93"/>
      <c r="K65" s="93"/>
      <c r="L65" s="93"/>
    </row>
    <row r="66" customFormat="false" ht="15" hidden="false" customHeight="false" outlineLevel="0" collapsed="false">
      <c r="A66" s="5" t="s">
        <v>768</v>
      </c>
      <c r="B66" s="98" t="s">
        <v>769</v>
      </c>
      <c r="C66" s="98"/>
      <c r="D66" s="98"/>
      <c r="E66" s="98"/>
      <c r="F66" s="98"/>
      <c r="G66" s="98"/>
      <c r="H66" s="98"/>
      <c r="I66" s="98"/>
      <c r="J66" s="98"/>
      <c r="K66" s="98"/>
      <c r="L66" s="98"/>
    </row>
    <row r="67" customFormat="false" ht="15" hidden="false" customHeight="false" outlineLevel="0" collapsed="false">
      <c r="A67" s="5"/>
      <c r="B67" s="93" t="s">
        <v>770</v>
      </c>
      <c r="C67" s="93"/>
      <c r="D67" s="93"/>
      <c r="E67" s="93"/>
      <c r="F67" s="93"/>
      <c r="G67" s="93"/>
      <c r="H67" s="93"/>
      <c r="I67" s="93"/>
      <c r="J67" s="93"/>
      <c r="K67" s="93"/>
      <c r="L67" s="93"/>
    </row>
  </sheetData>
  <mergeCells count="6">
    <mergeCell ref="B62:L62"/>
    <mergeCell ref="B63:L63"/>
    <mergeCell ref="B64:L64"/>
    <mergeCell ref="B65:L65"/>
    <mergeCell ref="B66:L66"/>
    <mergeCell ref="B67:L67"/>
  </mergeCells>
  <conditionalFormatting sqref="AR17:AR58">
    <cfRule type="expression" priority="2" aboveAverage="0" equalAverage="0" bottom="0" percent="0" rank="0" text="" dxfId="2">
      <formula>LEFT($AR17,1)="↑"</formula>
    </cfRule>
    <cfRule type="expression" priority="3" aboveAverage="0" equalAverage="0" bottom="0" percent="0" rank="0" text="" dxfId="1">
      <formula>LEFT($AR17,1)="↓"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771</v>
      </c>
    </row>
    <row r="2" customFormat="false" ht="15" hidden="false" customHeight="false" outlineLevel="0" collapsed="false">
      <c r="A2" s="3" t="s">
        <v>772</v>
      </c>
    </row>
    <row r="3" customFormat="false" ht="15" hidden="false" customHeight="false" outlineLevel="0" collapsed="false">
      <c r="A3" s="3" t="s">
        <v>773</v>
      </c>
    </row>
    <row r="4" customFormat="false" ht="15" hidden="false" customHeight="false" outlineLevel="0" collapsed="false">
      <c r="A4" s="3" t="s">
        <v>774</v>
      </c>
    </row>
    <row r="6" customFormat="false" ht="15" hidden="false" customHeight="false" outlineLevel="0" collapsed="false">
      <c r="A6" s="4" t="s">
        <v>775</v>
      </c>
    </row>
    <row r="7" customFormat="false" ht="33.75" hidden="false" customHeight="true" outlineLevel="0" collapsed="false">
      <c r="A7" s="26" t="s">
        <v>424</v>
      </c>
      <c r="B7" s="26" t="s">
        <v>776</v>
      </c>
      <c r="C7" s="26" t="s">
        <v>777</v>
      </c>
      <c r="D7" s="26" t="s">
        <v>778</v>
      </c>
      <c r="E7" s="26" t="s">
        <v>779</v>
      </c>
      <c r="F7" s="26" t="s">
        <v>780</v>
      </c>
      <c r="G7" s="26" t="s">
        <v>597</v>
      </c>
    </row>
    <row r="8" customFormat="false" ht="15" hidden="false" customHeight="false" outlineLevel="0" collapsed="false">
      <c r="A8" s="54" t="s">
        <v>376</v>
      </c>
      <c r="B8" s="34" t="n">
        <v>250000000</v>
      </c>
      <c r="C8" s="65" t="n">
        <f aca="false">B8/$B$8</f>
        <v>1</v>
      </c>
      <c r="D8" s="34" t="n">
        <v>358193925</v>
      </c>
      <c r="E8" s="65" t="n">
        <f aca="false">D8/$D$8</f>
        <v>1</v>
      </c>
      <c r="F8" s="37" t="n">
        <f aca="false">IFERROR(E8/C8,"")</f>
        <v>1</v>
      </c>
      <c r="G8" s="69" t="s">
        <v>781</v>
      </c>
    </row>
    <row r="9" customFormat="false" ht="15" hidden="false" customHeight="false" outlineLevel="0" collapsed="false">
      <c r="A9" s="54" t="s">
        <v>377</v>
      </c>
      <c r="B9" s="34" t="n">
        <v>72000000</v>
      </c>
      <c r="C9" s="65" t="n">
        <f aca="false">B9/$B$8</f>
        <v>0.288</v>
      </c>
      <c r="D9" s="34" t="n">
        <v>138575410</v>
      </c>
      <c r="E9" s="65" t="n">
        <f aca="false">D9/$D$8</f>
        <v>0.386872585848574</v>
      </c>
      <c r="F9" s="37" t="n">
        <f aca="false">IFERROR(E9/C9,"")</f>
        <v>1.34330758975199</v>
      </c>
      <c r="G9" s="69" t="s">
        <v>782</v>
      </c>
    </row>
    <row r="10" customFormat="false" ht="15" hidden="false" customHeight="false" outlineLevel="0" collapsed="false">
      <c r="A10" s="54" t="s">
        <v>378</v>
      </c>
      <c r="B10" s="34" t="n">
        <v>56000000</v>
      </c>
      <c r="C10" s="65" t="n">
        <f aca="false">B10/$B$8</f>
        <v>0.224</v>
      </c>
      <c r="D10" s="34" t="n">
        <v>105540655</v>
      </c>
      <c r="E10" s="65" t="n">
        <f aca="false">D10/$D$8</f>
        <v>0.294646691732698</v>
      </c>
      <c r="F10" s="37" t="n">
        <f aca="false">IFERROR(E10/C10,"")</f>
        <v>1.31538701666383</v>
      </c>
      <c r="G10" s="69" t="s">
        <v>782</v>
      </c>
    </row>
    <row r="11" customFormat="false" ht="37.3" hidden="false" customHeight="false" outlineLevel="0" collapsed="false">
      <c r="A11" s="54" t="s">
        <v>379</v>
      </c>
      <c r="B11" s="34" t="n">
        <v>80000000</v>
      </c>
      <c r="C11" s="65" t="n">
        <f aca="false">B11/$B$8</f>
        <v>0.32</v>
      </c>
      <c r="D11" s="34" t="n">
        <v>215184570</v>
      </c>
      <c r="E11" s="65" t="n">
        <f aca="false">D11/$D$8</f>
        <v>0.600748798294108</v>
      </c>
      <c r="F11" s="37" t="n">
        <f aca="false">IFERROR(E11/C11,"")</f>
        <v>1.87733999466909</v>
      </c>
      <c r="G11" s="69" t="s">
        <v>783</v>
      </c>
    </row>
    <row r="12" customFormat="false" ht="25.35" hidden="false" customHeight="false" outlineLevel="0" collapsed="false">
      <c r="A12" s="54" t="s">
        <v>380</v>
      </c>
      <c r="B12" s="34" t="n">
        <v>54600000</v>
      </c>
      <c r="C12" s="65" t="n">
        <f aca="false">B12/$B$8</f>
        <v>0.2184</v>
      </c>
      <c r="D12" s="34" t="n">
        <v>41120210</v>
      </c>
      <c r="E12" s="65" t="n">
        <f aca="false">D12/$D$8</f>
        <v>0.114798736466566</v>
      </c>
      <c r="F12" s="37" t="n">
        <f aca="false">IFERROR(E12/C12,"")</f>
        <v>0.52563524023153</v>
      </c>
      <c r="G12" s="69" t="s">
        <v>784</v>
      </c>
    </row>
    <row r="13" customFormat="false" ht="25.35" hidden="false" customHeight="false" outlineLevel="0" collapsed="false">
      <c r="A13" s="54" t="s">
        <v>785</v>
      </c>
      <c r="B13" s="34" t="n">
        <v>31200000</v>
      </c>
      <c r="C13" s="65" t="n">
        <f aca="false">B13/$B$8</f>
        <v>0.1248</v>
      </c>
      <c r="D13" s="34" t="n">
        <v>25161149</v>
      </c>
      <c r="E13" s="65" t="n">
        <f aca="false">D13/$D$8</f>
        <v>0.0702444883731627</v>
      </c>
      <c r="F13" s="37" t="n">
        <f aca="false">IFERROR(E13/C13,"")</f>
        <v>0.56285647734906</v>
      </c>
      <c r="G13" s="69" t="s">
        <v>786</v>
      </c>
    </row>
    <row r="14" customFormat="false" ht="25.35" hidden="false" customHeight="false" outlineLevel="0" collapsed="false">
      <c r="A14" s="54" t="s">
        <v>787</v>
      </c>
      <c r="B14" s="34" t="n">
        <v>39000000</v>
      </c>
      <c r="C14" s="65" t="n">
        <f aca="false">B14/$B$8</f>
        <v>0.156</v>
      </c>
      <c r="D14" s="32" t="s">
        <v>531</v>
      </c>
      <c r="E14" s="32" t="s">
        <v>531</v>
      </c>
      <c r="F14" s="32" t="s">
        <v>531</v>
      </c>
      <c r="G14" s="69" t="s">
        <v>788</v>
      </c>
    </row>
    <row r="16" customFormat="false" ht="15" hidden="false" customHeight="false" outlineLevel="0" collapsed="false">
      <c r="A16" s="4" t="s">
        <v>789</v>
      </c>
    </row>
    <row r="17" customFormat="false" ht="33.75" hidden="false" customHeight="true" outlineLevel="0" collapsed="false">
      <c r="A17" s="26" t="s">
        <v>424</v>
      </c>
      <c r="B17" s="26" t="s">
        <v>399</v>
      </c>
      <c r="C17" s="17" t="s">
        <v>790</v>
      </c>
      <c r="D17" s="17" t="s">
        <v>791</v>
      </c>
      <c r="E17" s="17" t="s">
        <v>792</v>
      </c>
      <c r="F17" s="17" t="s">
        <v>793</v>
      </c>
      <c r="G17" s="17" t="s">
        <v>794</v>
      </c>
      <c r="H17" s="17" t="s">
        <v>795</v>
      </c>
      <c r="I17" s="17" t="s">
        <v>796</v>
      </c>
      <c r="J17" s="17" t="s">
        <v>797</v>
      </c>
    </row>
    <row r="18" customFormat="false" ht="15" hidden="false" customHeight="false" outlineLevel="0" collapsed="false">
      <c r="A18" s="50" t="s">
        <v>446</v>
      </c>
      <c r="B18" s="35" t="n">
        <v>30</v>
      </c>
      <c r="C18" s="65" t="n">
        <f aca="false">前提・入力!C17</f>
        <v>0.13</v>
      </c>
      <c r="D18" s="35" t="n">
        <f aca="false">ROUND(前提・入力!$B$13*C18*前提・入力!$B$29/前提・入力!$B$30,0)</f>
        <v>9536</v>
      </c>
      <c r="E18" s="65" t="n">
        <f aca="false">前提・入力!D17</f>
        <v>0.156</v>
      </c>
      <c r="F18" s="35" t="n">
        <f aca="false">ROUND(前提・入力!$B$13*E18*前提・入力!$B$29/前提・入力!$B$30,0)</f>
        <v>11443</v>
      </c>
      <c r="G18" s="65" t="n">
        <f aca="false">前提・入力!E17</f>
        <v>0.0878056107071955</v>
      </c>
      <c r="H18" s="35" t="n">
        <f aca="false">ROUND(前提・入力!$B$13*G18*前提・入力!$B$29/前提・入力!$B$30,0)</f>
        <v>6441</v>
      </c>
      <c r="I18" s="65" t="n">
        <f aca="false">前提・入力!F17</f>
        <v>0.13</v>
      </c>
      <c r="J18" s="35" t="n">
        <f aca="false">ROUND(前提・入力!$B$13*I18*前提・入力!$B$29/前提・入力!$B$30,0)</f>
        <v>9536</v>
      </c>
    </row>
    <row r="19" customFormat="false" ht="15" hidden="false" customHeight="false" outlineLevel="0" collapsed="false">
      <c r="A19" s="50" t="s">
        <v>384</v>
      </c>
      <c r="B19" s="35" t="n">
        <v>21</v>
      </c>
      <c r="C19" s="65" t="n">
        <f aca="false">前提・入力!C18</f>
        <v>0.12</v>
      </c>
      <c r="D19" s="35" t="n">
        <f aca="false">ROUND(前提・入力!$B$13*C19*前提・入力!$B$29/前提・入力!$B$30,0)</f>
        <v>8802</v>
      </c>
      <c r="E19" s="65" t="n">
        <f aca="false">前提・入力!D18</f>
        <v>0.12</v>
      </c>
      <c r="F19" s="35" t="n">
        <f aca="false">ROUND(前提・入力!$B$13*E19*前提・入力!$B$29/前提・入力!$B$30,0)</f>
        <v>8802</v>
      </c>
      <c r="G19" s="65" t="n">
        <f aca="false">前提・入力!E18</f>
        <v>0.0675427774670735</v>
      </c>
      <c r="H19" s="35" t="n">
        <f aca="false">ROUND(前提・入力!$B$13*G19*前提・入力!$B$29/前提・入力!$B$30,0)</f>
        <v>4955</v>
      </c>
      <c r="I19" s="65" t="n">
        <f aca="false">前提・入力!F18</f>
        <v>0.12</v>
      </c>
      <c r="J19" s="35" t="n">
        <f aca="false">ROUND(前提・入力!$B$13*I19*前提・入力!$B$29/前提・入力!$B$30,0)</f>
        <v>8802</v>
      </c>
    </row>
    <row r="20" customFormat="false" ht="15" hidden="false" customHeight="false" outlineLevel="0" collapsed="false">
      <c r="A20" s="50" t="s">
        <v>385</v>
      </c>
      <c r="B20" s="35" t="n">
        <v>21</v>
      </c>
      <c r="C20" s="65" t="n">
        <f aca="false">前提・入力!C19</f>
        <v>0.09</v>
      </c>
      <c r="D20" s="35" t="n">
        <f aca="false">ROUND(前提・入力!$B$13*C20*前提・入力!$B$29/前提・入力!$B$30,0)</f>
        <v>6602</v>
      </c>
      <c r="E20" s="65" t="n">
        <f aca="false">前提・入力!D19</f>
        <v>0.09</v>
      </c>
      <c r="F20" s="35" t="n">
        <f aca="false">ROUND(前提・入力!$B$13*E20*前提・入力!$B$29/前提・入力!$B$30,0)</f>
        <v>6602</v>
      </c>
      <c r="G20" s="65" t="n">
        <f aca="false">前提・入力!E19</f>
        <v>0.0506570831003051</v>
      </c>
      <c r="H20" s="35" t="n">
        <f aca="false">ROUND(前提・入力!$B$13*G20*前提・入力!$B$29/前提・入力!$B$30,0)</f>
        <v>3716</v>
      </c>
      <c r="I20" s="65" t="n">
        <f aca="false">前提・入力!F19</f>
        <v>0.09</v>
      </c>
      <c r="J20" s="35" t="n">
        <f aca="false">ROUND(前提・入力!$B$13*I20*前提・入力!$B$29/前提・入力!$B$30,0)</f>
        <v>6602</v>
      </c>
    </row>
    <row r="21" customFormat="false" ht="15" hidden="false" customHeight="false" outlineLevel="0" collapsed="false">
      <c r="A21" s="50" t="s">
        <v>386</v>
      </c>
      <c r="B21" s="35" t="n">
        <v>25</v>
      </c>
      <c r="C21" s="65" t="n">
        <f aca="false">前提・入力!C20</f>
        <v>0.5</v>
      </c>
      <c r="D21" s="35" t="n">
        <f aca="false">ROUND(前提・入力!$B$13*C21*前提・入力!$B$29/前提・入力!$B$30,0)</f>
        <v>36677</v>
      </c>
      <c r="E21" s="65" t="n">
        <f aca="false">前提・入力!D20</f>
        <v>0.5</v>
      </c>
      <c r="F21" s="35" t="n">
        <f aca="false">ROUND(前提・入力!$B$13*E21*前提・入力!$B$29/前提・入力!$B$30,0)</f>
        <v>36677</v>
      </c>
      <c r="G21" s="65" t="n">
        <f aca="false">前提・入力!E20</f>
        <v>0.5</v>
      </c>
      <c r="H21" s="35" t="n">
        <f aca="false">ROUND(前提・入力!$B$13*G21*前提・入力!$B$29/前提・入力!$B$30,0)</f>
        <v>36677</v>
      </c>
      <c r="I21" s="65" t="n">
        <f aca="false">前提・入力!F20</f>
        <v>0.5</v>
      </c>
      <c r="J21" s="35" t="n">
        <f aca="false">ROUND(前提・入力!$B$13*I21*前提・入力!$B$29/前提・入力!$B$30,0)</f>
        <v>36677</v>
      </c>
    </row>
    <row r="22" customFormat="false" ht="15" hidden="false" customHeight="false" outlineLevel="0" collapsed="false">
      <c r="A22" s="90" t="s">
        <v>798</v>
      </c>
      <c r="B22" s="40"/>
      <c r="C22" s="66" t="n">
        <f aca="false">SUM(C18:C21)</f>
        <v>0.84</v>
      </c>
      <c r="D22" s="42" t="n">
        <f aca="false">SUM(D18:D21)</f>
        <v>61617</v>
      </c>
      <c r="E22" s="66" t="n">
        <f aca="false">SUM(E18:E21)</f>
        <v>0.866</v>
      </c>
      <c r="F22" s="42" t="n">
        <f aca="false">SUM(F18:F21)</f>
        <v>63524</v>
      </c>
      <c r="G22" s="66" t="n">
        <f aca="false">SUM(G18:G21)</f>
        <v>0.706005471274574</v>
      </c>
      <c r="H22" s="42" t="n">
        <f aca="false">SUM(H18:H21)</f>
        <v>51789</v>
      </c>
      <c r="I22" s="66" t="n">
        <f aca="false">SUM(I18:I21)</f>
        <v>0.84</v>
      </c>
      <c r="J22" s="42" t="n">
        <f aca="false">SUM(J18:J21)</f>
        <v>61617</v>
      </c>
    </row>
    <row r="24" customFormat="false" ht="15" hidden="false" customHeight="false" outlineLevel="0" collapsed="false">
      <c r="A24" s="4" t="s">
        <v>799</v>
      </c>
    </row>
    <row r="25" customFormat="false" ht="39.75" hidden="false" customHeight="true" outlineLevel="0" collapsed="false">
      <c r="A25" s="25" t="s">
        <v>263</v>
      </c>
      <c r="B25" s="25" t="s">
        <v>264</v>
      </c>
      <c r="C25" s="26" t="s">
        <v>265</v>
      </c>
      <c r="D25" s="17" t="s">
        <v>800</v>
      </c>
      <c r="E25" s="62" t="s">
        <v>517</v>
      </c>
      <c r="F25" s="49" t="s">
        <v>801</v>
      </c>
      <c r="G25" s="31" t="s">
        <v>802</v>
      </c>
      <c r="H25" s="49" t="s">
        <v>803</v>
      </c>
      <c r="I25" s="31" t="s">
        <v>804</v>
      </c>
      <c r="J25" s="49" t="s">
        <v>805</v>
      </c>
      <c r="K25" s="31" t="s">
        <v>806</v>
      </c>
      <c r="L25" s="49" t="s">
        <v>807</v>
      </c>
      <c r="M25" s="31" t="s">
        <v>808</v>
      </c>
    </row>
    <row r="26" customFormat="false" ht="15" hidden="false" customHeight="false" outlineLevel="0" collapsed="false">
      <c r="A26" s="32" t="n">
        <v>1</v>
      </c>
      <c r="B26" s="32" t="s">
        <v>286</v>
      </c>
      <c r="C26" s="33" t="s">
        <v>287</v>
      </c>
      <c r="D26" s="65" t="n">
        <f aca="false">③仙台以降予測!H30</f>
        <v>0.0549146186691552</v>
      </c>
      <c r="E26" s="35" t="n">
        <f aca="false">③仙台以降予測!V30</f>
        <v>2489</v>
      </c>
      <c r="F26" s="35" t="n">
        <f aca="false">ROUND($D26*D$22,0)</f>
        <v>3384</v>
      </c>
      <c r="G26" s="35" t="n">
        <f aca="false">MAX(0,F26-$E26)</f>
        <v>895</v>
      </c>
      <c r="H26" s="35" t="n">
        <f aca="false">ROUND($D26*F$22,0)</f>
        <v>3488</v>
      </c>
      <c r="I26" s="35" t="n">
        <f aca="false">MAX(0,H26-$E26)</f>
        <v>999</v>
      </c>
      <c r="J26" s="35" t="n">
        <f aca="false">ROUND($D26*H$22,0)</f>
        <v>2844</v>
      </c>
      <c r="K26" s="35" t="n">
        <f aca="false">MAX(0,J26-$E26)</f>
        <v>355</v>
      </c>
      <c r="L26" s="35" t="n">
        <f aca="false">ROUND($D26*J$22,0)</f>
        <v>3384</v>
      </c>
      <c r="M26" s="35" t="n">
        <f aca="false">MAX(0,L26-$E26)</f>
        <v>895</v>
      </c>
    </row>
    <row r="27" customFormat="false" ht="15" hidden="false" customHeight="false" outlineLevel="0" collapsed="false">
      <c r="A27" s="32" t="n">
        <v>2</v>
      </c>
      <c r="B27" s="32" t="s">
        <v>288</v>
      </c>
      <c r="C27" s="33" t="s">
        <v>289</v>
      </c>
      <c r="D27" s="65" t="n">
        <f aca="false">③仙台以降予測!H31</f>
        <v>0.0619712966685264</v>
      </c>
      <c r="E27" s="35" t="n">
        <f aca="false">③仙台以降予測!V31</f>
        <v>4170</v>
      </c>
      <c r="F27" s="35" t="n">
        <f aca="false">ROUND($D27*D$22,0)</f>
        <v>3818</v>
      </c>
      <c r="G27" s="35" t="n">
        <f aca="false">MAX(0,F27-$E27)</f>
        <v>0</v>
      </c>
      <c r="H27" s="35" t="n">
        <f aca="false">ROUND($D27*F$22,0)</f>
        <v>3937</v>
      </c>
      <c r="I27" s="35" t="n">
        <f aca="false">MAX(0,H27-$E27)</f>
        <v>0</v>
      </c>
      <c r="J27" s="35" t="n">
        <f aca="false">ROUND($D27*H$22,0)</f>
        <v>3209</v>
      </c>
      <c r="K27" s="35" t="n">
        <f aca="false">MAX(0,J27-$E27)</f>
        <v>0</v>
      </c>
      <c r="L27" s="35" t="n">
        <f aca="false">ROUND($D27*J$22,0)</f>
        <v>3818</v>
      </c>
      <c r="M27" s="35" t="n">
        <f aca="false">MAX(0,L27-$E27)</f>
        <v>0</v>
      </c>
    </row>
    <row r="28" customFormat="false" ht="15" hidden="false" customHeight="false" outlineLevel="0" collapsed="false">
      <c r="A28" s="32" t="n">
        <v>3</v>
      </c>
      <c r="B28" s="32" t="s">
        <v>290</v>
      </c>
      <c r="C28" s="33" t="s">
        <v>291</v>
      </c>
      <c r="D28" s="65" t="n">
        <f aca="false">③仙台以降予測!H32</f>
        <v>0.0209580793868387</v>
      </c>
      <c r="E28" s="35" t="n">
        <f aca="false">③仙台以降予測!V32</f>
        <v>1857</v>
      </c>
      <c r="F28" s="35" t="n">
        <f aca="false">ROUND($D28*D$22,0)</f>
        <v>1291</v>
      </c>
      <c r="G28" s="35" t="n">
        <f aca="false">MAX(0,F28-$E28)</f>
        <v>0</v>
      </c>
      <c r="H28" s="35" t="n">
        <f aca="false">ROUND($D28*F$22,0)</f>
        <v>1331</v>
      </c>
      <c r="I28" s="35" t="n">
        <f aca="false">MAX(0,H28-$E28)</f>
        <v>0</v>
      </c>
      <c r="J28" s="35" t="n">
        <f aca="false">ROUND($D28*H$22,0)</f>
        <v>1085</v>
      </c>
      <c r="K28" s="35" t="n">
        <f aca="false">MAX(0,J28-$E28)</f>
        <v>0</v>
      </c>
      <c r="L28" s="35" t="n">
        <f aca="false">ROUND($D28*J$22,0)</f>
        <v>1291</v>
      </c>
      <c r="M28" s="35" t="n">
        <f aca="false">MAX(0,L28-$E28)</f>
        <v>0</v>
      </c>
    </row>
    <row r="29" customFormat="false" ht="15" hidden="false" customHeight="false" outlineLevel="0" collapsed="false">
      <c r="A29" s="32" t="n">
        <v>4</v>
      </c>
      <c r="B29" s="32" t="s">
        <v>292</v>
      </c>
      <c r="C29" s="33" t="s">
        <v>293</v>
      </c>
      <c r="D29" s="65" t="n">
        <f aca="false">③仙台以降予測!H33</f>
        <v>0.0258291378569867</v>
      </c>
      <c r="E29" s="35" t="n">
        <f aca="false">③仙台以降予測!V33</f>
        <v>3153</v>
      </c>
      <c r="F29" s="35" t="n">
        <f aca="false">ROUND($D29*D$22,0)</f>
        <v>1592</v>
      </c>
      <c r="G29" s="35" t="n">
        <f aca="false">MAX(0,F29-$E29)</f>
        <v>0</v>
      </c>
      <c r="H29" s="35" t="n">
        <f aca="false">ROUND($D29*F$22,0)</f>
        <v>1641</v>
      </c>
      <c r="I29" s="35" t="n">
        <f aca="false">MAX(0,H29-$E29)</f>
        <v>0</v>
      </c>
      <c r="J29" s="35" t="n">
        <f aca="false">ROUND($D29*H$22,0)</f>
        <v>1338</v>
      </c>
      <c r="K29" s="35" t="n">
        <f aca="false">MAX(0,J29-$E29)</f>
        <v>0</v>
      </c>
      <c r="L29" s="35" t="n">
        <f aca="false">ROUND($D29*J$22,0)</f>
        <v>1592</v>
      </c>
      <c r="M29" s="35" t="n">
        <f aca="false">MAX(0,L29-$E29)</f>
        <v>0</v>
      </c>
    </row>
    <row r="30" customFormat="false" ht="15" hidden="false" customHeight="false" outlineLevel="0" collapsed="false">
      <c r="A30" s="32" t="n">
        <v>5</v>
      </c>
      <c r="B30" s="32" t="s">
        <v>294</v>
      </c>
      <c r="C30" s="33" t="s">
        <v>295</v>
      </c>
      <c r="D30" s="65" t="n">
        <f aca="false">③仙台以降予測!H34</f>
        <v>0.0514981033588681</v>
      </c>
      <c r="E30" s="35" t="n">
        <f aca="false">③仙台以降予測!V34</f>
        <v>39392</v>
      </c>
      <c r="F30" s="35" t="n">
        <f aca="false">ROUND($D30*D$22,0)</f>
        <v>3173</v>
      </c>
      <c r="G30" s="35" t="n">
        <f aca="false">MAX(0,F30-$E30)</f>
        <v>0</v>
      </c>
      <c r="H30" s="35" t="n">
        <f aca="false">ROUND($D30*F$22,0)</f>
        <v>3271</v>
      </c>
      <c r="I30" s="35" t="n">
        <f aca="false">MAX(0,H30-$E30)</f>
        <v>0</v>
      </c>
      <c r="J30" s="35" t="n">
        <f aca="false">ROUND($D30*H$22,0)</f>
        <v>2667</v>
      </c>
      <c r="K30" s="35" t="n">
        <f aca="false">MAX(0,J30-$E30)</f>
        <v>0</v>
      </c>
      <c r="L30" s="35" t="n">
        <f aca="false">ROUND($D30*J$22,0)</f>
        <v>3173</v>
      </c>
      <c r="M30" s="35" t="n">
        <f aca="false">MAX(0,L30-$E30)</f>
        <v>0</v>
      </c>
    </row>
    <row r="31" customFormat="false" ht="15" hidden="false" customHeight="false" outlineLevel="0" collapsed="false">
      <c r="A31" s="32" t="n">
        <v>6</v>
      </c>
      <c r="B31" s="32" t="s">
        <v>296</v>
      </c>
      <c r="C31" s="33" t="s">
        <v>297</v>
      </c>
      <c r="D31" s="65" t="n">
        <f aca="false">③仙台以降予測!H35</f>
        <v>0.113442302502661</v>
      </c>
      <c r="E31" s="35" t="n">
        <f aca="false">③仙台以降予測!V35</f>
        <v>50228</v>
      </c>
      <c r="F31" s="35" t="n">
        <f aca="false">ROUND($D31*D$22,0)</f>
        <v>6990</v>
      </c>
      <c r="G31" s="35" t="n">
        <f aca="false">MAX(0,F31-$E31)</f>
        <v>0</v>
      </c>
      <c r="H31" s="35" t="n">
        <f aca="false">ROUND($D31*F$22,0)</f>
        <v>7206</v>
      </c>
      <c r="I31" s="35" t="n">
        <f aca="false">MAX(0,H31-$E31)</f>
        <v>0</v>
      </c>
      <c r="J31" s="35" t="n">
        <f aca="false">ROUND($D31*H$22,0)</f>
        <v>5875</v>
      </c>
      <c r="K31" s="35" t="n">
        <f aca="false">MAX(0,J31-$E31)</f>
        <v>0</v>
      </c>
      <c r="L31" s="35" t="n">
        <f aca="false">ROUND($D31*J$22,0)</f>
        <v>6990</v>
      </c>
      <c r="M31" s="35" t="n">
        <f aca="false">MAX(0,L31-$E31)</f>
        <v>0</v>
      </c>
    </row>
    <row r="32" customFormat="false" ht="15" hidden="false" customHeight="false" outlineLevel="0" collapsed="false">
      <c r="A32" s="32" t="n">
        <v>7</v>
      </c>
      <c r="B32" s="32" t="s">
        <v>298</v>
      </c>
      <c r="C32" s="33" t="s">
        <v>299</v>
      </c>
      <c r="D32" s="65" t="n">
        <f aca="false">③仙台以降予測!H36</f>
        <v>0.0265325599031616</v>
      </c>
      <c r="E32" s="35" t="n">
        <f aca="false">③仙台以降予測!V36</f>
        <v>4249</v>
      </c>
      <c r="F32" s="35" t="n">
        <f aca="false">ROUND($D32*D$22,0)</f>
        <v>1635</v>
      </c>
      <c r="G32" s="35" t="n">
        <f aca="false">MAX(0,F32-$E32)</f>
        <v>0</v>
      </c>
      <c r="H32" s="35" t="n">
        <f aca="false">ROUND($D32*F$22,0)</f>
        <v>1685</v>
      </c>
      <c r="I32" s="35" t="n">
        <f aca="false">MAX(0,H32-$E32)</f>
        <v>0</v>
      </c>
      <c r="J32" s="35" t="n">
        <f aca="false">ROUND($D32*H$22,0)</f>
        <v>1374</v>
      </c>
      <c r="K32" s="35" t="n">
        <f aca="false">MAX(0,J32-$E32)</f>
        <v>0</v>
      </c>
      <c r="L32" s="35" t="n">
        <f aca="false">ROUND($D32*J$22,0)</f>
        <v>1635</v>
      </c>
      <c r="M32" s="35" t="n">
        <f aca="false">MAX(0,L32-$E32)</f>
        <v>0</v>
      </c>
    </row>
    <row r="33" customFormat="false" ht="15" hidden="false" customHeight="false" outlineLevel="0" collapsed="false">
      <c r="A33" s="32" t="n">
        <v>8</v>
      </c>
      <c r="B33" s="32" t="s">
        <v>300</v>
      </c>
      <c r="C33" s="33" t="s">
        <v>301</v>
      </c>
      <c r="D33" s="65" t="n">
        <f aca="false">③仙台以降予測!H37</f>
        <v>0.0439284283843973</v>
      </c>
      <c r="E33" s="35" t="n">
        <f aca="false">③仙台以降予測!V37</f>
        <v>8034</v>
      </c>
      <c r="F33" s="35" t="n">
        <f aca="false">ROUND($D33*D$22,0)</f>
        <v>2707</v>
      </c>
      <c r="G33" s="35" t="n">
        <f aca="false">MAX(0,F33-$E33)</f>
        <v>0</v>
      </c>
      <c r="H33" s="35" t="n">
        <f aca="false">ROUND($D33*F$22,0)</f>
        <v>2791</v>
      </c>
      <c r="I33" s="35" t="n">
        <f aca="false">MAX(0,H33-$E33)</f>
        <v>0</v>
      </c>
      <c r="J33" s="35" t="n">
        <f aca="false">ROUND($D33*H$22,0)</f>
        <v>2275</v>
      </c>
      <c r="K33" s="35" t="n">
        <f aca="false">MAX(0,J33-$E33)</f>
        <v>0</v>
      </c>
      <c r="L33" s="35" t="n">
        <f aca="false">ROUND($D33*J$22,0)</f>
        <v>2707</v>
      </c>
      <c r="M33" s="35" t="n">
        <f aca="false">MAX(0,L33-$E33)</f>
        <v>0</v>
      </c>
    </row>
    <row r="34" customFormat="false" ht="15" hidden="false" customHeight="false" outlineLevel="0" collapsed="false">
      <c r="A34" s="32" t="n">
        <v>9</v>
      </c>
      <c r="B34" s="32" t="s">
        <v>302</v>
      </c>
      <c r="C34" s="33" t="s">
        <v>303</v>
      </c>
      <c r="D34" s="65" t="n">
        <f aca="false">③仙台以降予測!H38</f>
        <v>0.0139483580570407</v>
      </c>
      <c r="E34" s="35" t="n">
        <f aca="false">③仙台以降予測!V38</f>
        <v>8547</v>
      </c>
      <c r="F34" s="35" t="n">
        <f aca="false">ROUND($D34*D$22,0)</f>
        <v>859</v>
      </c>
      <c r="G34" s="35" t="n">
        <f aca="false">MAX(0,F34-$E34)</f>
        <v>0</v>
      </c>
      <c r="H34" s="35" t="n">
        <f aca="false">ROUND($D34*F$22,0)</f>
        <v>886</v>
      </c>
      <c r="I34" s="35" t="n">
        <f aca="false">MAX(0,H34-$E34)</f>
        <v>0</v>
      </c>
      <c r="J34" s="35" t="n">
        <f aca="false">ROUND($D34*H$22,0)</f>
        <v>722</v>
      </c>
      <c r="K34" s="35" t="n">
        <f aca="false">MAX(0,J34-$E34)</f>
        <v>0</v>
      </c>
      <c r="L34" s="35" t="n">
        <f aca="false">ROUND($D34*J$22,0)</f>
        <v>859</v>
      </c>
      <c r="M34" s="35" t="n">
        <f aca="false">MAX(0,L34-$E34)</f>
        <v>0</v>
      </c>
    </row>
    <row r="35" customFormat="false" ht="15" hidden="false" customHeight="false" outlineLevel="0" collapsed="false">
      <c r="A35" s="32" t="n">
        <v>10</v>
      </c>
      <c r="B35" s="32" t="s">
        <v>304</v>
      </c>
      <c r="C35" s="33" t="s">
        <v>305</v>
      </c>
      <c r="D35" s="65" t="n">
        <f aca="false">③仙台以降予測!H39</f>
        <v>0.00525933259167779</v>
      </c>
      <c r="E35" s="35" t="n">
        <f aca="false">③仙台以降予測!V39</f>
        <v>4856</v>
      </c>
      <c r="F35" s="35" t="n">
        <f aca="false">ROUND($D35*D$22,0)</f>
        <v>324</v>
      </c>
      <c r="G35" s="35" t="n">
        <f aca="false">MAX(0,F35-$E35)</f>
        <v>0</v>
      </c>
      <c r="H35" s="35" t="n">
        <f aca="false">ROUND($D35*F$22,0)</f>
        <v>334</v>
      </c>
      <c r="I35" s="35" t="n">
        <f aca="false">MAX(0,H35-$E35)</f>
        <v>0</v>
      </c>
      <c r="J35" s="35" t="n">
        <f aca="false">ROUND($D35*H$22,0)</f>
        <v>272</v>
      </c>
      <c r="K35" s="35" t="n">
        <f aca="false">MAX(0,J35-$E35)</f>
        <v>0</v>
      </c>
      <c r="L35" s="35" t="n">
        <f aca="false">ROUND($D35*J$22,0)</f>
        <v>324</v>
      </c>
      <c r="M35" s="35" t="n">
        <f aca="false">MAX(0,L35-$E35)</f>
        <v>0</v>
      </c>
    </row>
    <row r="36" customFormat="false" ht="15" hidden="false" customHeight="false" outlineLevel="0" collapsed="false">
      <c r="A36" s="32" t="n">
        <v>11</v>
      </c>
      <c r="B36" s="32" t="s">
        <v>306</v>
      </c>
      <c r="C36" s="33" t="s">
        <v>307</v>
      </c>
      <c r="D36" s="65" t="n">
        <f aca="false">③仙台以降予測!H40</f>
        <v>0.00195751776279866</v>
      </c>
      <c r="E36" s="35" t="n">
        <f aca="false">③仙台以降予測!V40</f>
        <v>609</v>
      </c>
      <c r="F36" s="35" t="n">
        <f aca="false">ROUND($D36*D$22,0)</f>
        <v>121</v>
      </c>
      <c r="G36" s="35" t="n">
        <f aca="false">MAX(0,F36-$E36)</f>
        <v>0</v>
      </c>
      <c r="H36" s="35" t="n">
        <f aca="false">ROUND($D36*F$22,0)</f>
        <v>124</v>
      </c>
      <c r="I36" s="35" t="n">
        <f aca="false">MAX(0,H36-$E36)</f>
        <v>0</v>
      </c>
      <c r="J36" s="35" t="n">
        <f aca="false">ROUND($D36*H$22,0)</f>
        <v>101</v>
      </c>
      <c r="K36" s="35" t="n">
        <f aca="false">MAX(0,J36-$E36)</f>
        <v>0</v>
      </c>
      <c r="L36" s="35" t="n">
        <f aca="false">ROUND($D36*J$22,0)</f>
        <v>121</v>
      </c>
      <c r="M36" s="35" t="n">
        <f aca="false">MAX(0,L36-$E36)</f>
        <v>0</v>
      </c>
    </row>
    <row r="37" customFormat="false" ht="15" hidden="false" customHeight="false" outlineLevel="0" collapsed="false">
      <c r="A37" s="32" t="n">
        <v>12</v>
      </c>
      <c r="B37" s="32" t="s">
        <v>308</v>
      </c>
      <c r="C37" s="33" t="s">
        <v>309</v>
      </c>
      <c r="D37" s="65" t="n">
        <f aca="false">③仙台以降予測!H41</f>
        <v>0.00406834069977687</v>
      </c>
      <c r="E37" s="35" t="n">
        <f aca="false">③仙台以降予測!V41</f>
        <v>891</v>
      </c>
      <c r="F37" s="35" t="n">
        <f aca="false">ROUND($D37*D$22,0)</f>
        <v>251</v>
      </c>
      <c r="G37" s="35" t="n">
        <f aca="false">MAX(0,F37-$E37)</f>
        <v>0</v>
      </c>
      <c r="H37" s="35" t="n">
        <f aca="false">ROUND($D37*F$22,0)</f>
        <v>258</v>
      </c>
      <c r="I37" s="35" t="n">
        <f aca="false">MAX(0,H37-$E37)</f>
        <v>0</v>
      </c>
      <c r="J37" s="35" t="n">
        <f aca="false">ROUND($D37*H$22,0)</f>
        <v>211</v>
      </c>
      <c r="K37" s="35" t="n">
        <f aca="false">MAX(0,J37-$E37)</f>
        <v>0</v>
      </c>
      <c r="L37" s="35" t="n">
        <f aca="false">ROUND($D37*J$22,0)</f>
        <v>251</v>
      </c>
      <c r="M37" s="35" t="n">
        <f aca="false">MAX(0,L37-$E37)</f>
        <v>0</v>
      </c>
    </row>
    <row r="38" customFormat="false" ht="15" hidden="false" customHeight="false" outlineLevel="0" collapsed="false">
      <c r="A38" s="32" t="n">
        <v>13</v>
      </c>
      <c r="B38" s="32" t="s">
        <v>310</v>
      </c>
      <c r="C38" s="33" t="s">
        <v>311</v>
      </c>
      <c r="D38" s="65" t="n">
        <f aca="false">③仙台以降予測!H42</f>
        <v>0.00103230433267149</v>
      </c>
      <c r="E38" s="35" t="n">
        <f aca="false">③仙台以降予測!V42</f>
        <v>305</v>
      </c>
      <c r="F38" s="35" t="n">
        <f aca="false">ROUND($D38*D$22,0)</f>
        <v>64</v>
      </c>
      <c r="G38" s="35" t="n">
        <f aca="false">MAX(0,F38-$E38)</f>
        <v>0</v>
      </c>
      <c r="H38" s="35" t="n">
        <f aca="false">ROUND($D38*F$22,0)</f>
        <v>66</v>
      </c>
      <c r="I38" s="35" t="n">
        <f aca="false">MAX(0,H38-$E38)</f>
        <v>0</v>
      </c>
      <c r="J38" s="35" t="n">
        <f aca="false">ROUND($D38*H$22,0)</f>
        <v>53</v>
      </c>
      <c r="K38" s="35" t="n">
        <f aca="false">MAX(0,J38-$E38)</f>
        <v>0</v>
      </c>
      <c r="L38" s="35" t="n">
        <f aca="false">ROUND($D38*J$22,0)</f>
        <v>64</v>
      </c>
      <c r="M38" s="35" t="n">
        <f aca="false">MAX(0,L38-$E38)</f>
        <v>0</v>
      </c>
    </row>
    <row r="39" customFormat="false" ht="15" hidden="false" customHeight="false" outlineLevel="0" collapsed="false">
      <c r="A39" s="32" t="n">
        <v>14</v>
      </c>
      <c r="B39" s="32" t="s">
        <v>312</v>
      </c>
      <c r="C39" s="33" t="s">
        <v>313</v>
      </c>
      <c r="D39" s="65" t="n">
        <f aca="false">③仙台以降予測!H43</f>
        <v>0.00400208168381792</v>
      </c>
      <c r="E39" s="35" t="n">
        <f aca="false">③仙台以降予測!V43</f>
        <v>1729</v>
      </c>
      <c r="F39" s="35" t="n">
        <f aca="false">ROUND($D39*D$22,0)</f>
        <v>247</v>
      </c>
      <c r="G39" s="35" t="n">
        <f aca="false">MAX(0,F39-$E39)</f>
        <v>0</v>
      </c>
      <c r="H39" s="35" t="n">
        <f aca="false">ROUND($D39*F$22,0)</f>
        <v>254</v>
      </c>
      <c r="I39" s="35" t="n">
        <f aca="false">MAX(0,H39-$E39)</f>
        <v>0</v>
      </c>
      <c r="J39" s="35" t="n">
        <f aca="false">ROUND($D39*H$22,0)</f>
        <v>207</v>
      </c>
      <c r="K39" s="35" t="n">
        <f aca="false">MAX(0,J39-$E39)</f>
        <v>0</v>
      </c>
      <c r="L39" s="35" t="n">
        <f aca="false">ROUND($D39*J$22,0)</f>
        <v>247</v>
      </c>
      <c r="M39" s="35" t="n">
        <f aca="false">MAX(0,L39-$E39)</f>
        <v>0</v>
      </c>
    </row>
    <row r="40" customFormat="false" ht="15" hidden="false" customHeight="false" outlineLevel="0" collapsed="false">
      <c r="A40" s="32" t="n">
        <v>15</v>
      </c>
      <c r="B40" s="32" t="s">
        <v>314</v>
      </c>
      <c r="C40" s="33" t="s">
        <v>315</v>
      </c>
      <c r="D40" s="65" t="n">
        <f aca="false">③仙台以降予測!H44</f>
        <v>0.00526935496383965</v>
      </c>
      <c r="E40" s="35" t="n">
        <f aca="false">③仙台以降予測!V44</f>
        <v>2054</v>
      </c>
      <c r="F40" s="35" t="n">
        <f aca="false">ROUND($D40*D$22,0)</f>
        <v>325</v>
      </c>
      <c r="G40" s="35" t="n">
        <f aca="false">MAX(0,F40-$E40)</f>
        <v>0</v>
      </c>
      <c r="H40" s="35" t="n">
        <f aca="false">ROUND($D40*F$22,0)</f>
        <v>335</v>
      </c>
      <c r="I40" s="35" t="n">
        <f aca="false">MAX(0,H40-$E40)</f>
        <v>0</v>
      </c>
      <c r="J40" s="35" t="n">
        <f aca="false">ROUND($D40*H$22,0)</f>
        <v>273</v>
      </c>
      <c r="K40" s="35" t="n">
        <f aca="false">MAX(0,J40-$E40)</f>
        <v>0</v>
      </c>
      <c r="L40" s="35" t="n">
        <f aca="false">ROUND($D40*J$22,0)</f>
        <v>325</v>
      </c>
      <c r="M40" s="35" t="n">
        <f aca="false">MAX(0,L40-$E40)</f>
        <v>0</v>
      </c>
    </row>
    <row r="41" customFormat="false" ht="15" hidden="false" customHeight="false" outlineLevel="0" collapsed="false">
      <c r="A41" s="32" t="n">
        <v>16</v>
      </c>
      <c r="B41" s="32" t="s">
        <v>316</v>
      </c>
      <c r="C41" s="33" t="s">
        <v>317</v>
      </c>
      <c r="D41" s="65" t="n">
        <f aca="false">③仙台以降予測!H45</f>
        <v>0.00181961734583086</v>
      </c>
      <c r="E41" s="35" t="n">
        <f aca="false">③仙台以降予測!V45</f>
        <v>744</v>
      </c>
      <c r="F41" s="35" t="n">
        <f aca="false">ROUND($D41*D$22,0)</f>
        <v>112</v>
      </c>
      <c r="G41" s="35" t="n">
        <f aca="false">MAX(0,F41-$E41)</f>
        <v>0</v>
      </c>
      <c r="H41" s="35" t="n">
        <f aca="false">ROUND($D41*F$22,0)</f>
        <v>116</v>
      </c>
      <c r="I41" s="35" t="n">
        <f aca="false">MAX(0,H41-$E41)</f>
        <v>0</v>
      </c>
      <c r="J41" s="35" t="n">
        <f aca="false">ROUND($D41*H$22,0)</f>
        <v>94</v>
      </c>
      <c r="K41" s="35" t="n">
        <f aca="false">MAX(0,J41-$E41)</f>
        <v>0</v>
      </c>
      <c r="L41" s="35" t="n">
        <f aca="false">ROUND($D41*J$22,0)</f>
        <v>112</v>
      </c>
      <c r="M41" s="35" t="n">
        <f aca="false">MAX(0,L41-$E41)</f>
        <v>0</v>
      </c>
    </row>
    <row r="42" customFormat="false" ht="15" hidden="false" customHeight="false" outlineLevel="0" collapsed="false">
      <c r="A42" s="32" t="n">
        <v>17</v>
      </c>
      <c r="B42" s="32" t="s">
        <v>318</v>
      </c>
      <c r="C42" s="33" t="s">
        <v>319</v>
      </c>
      <c r="D42" s="65" t="n">
        <f aca="false">③仙台以降予測!H46</f>
        <v>0.00960347412539027</v>
      </c>
      <c r="E42" s="35" t="n">
        <f aca="false">③仙台以降予測!V46</f>
        <v>2380</v>
      </c>
      <c r="F42" s="35" t="n">
        <f aca="false">ROUND($D42*D$22,0)</f>
        <v>592</v>
      </c>
      <c r="G42" s="35" t="n">
        <f aca="false">MAX(0,F42-$E42)</f>
        <v>0</v>
      </c>
      <c r="H42" s="35" t="n">
        <f aca="false">ROUND($D42*F$22,0)</f>
        <v>610</v>
      </c>
      <c r="I42" s="35" t="n">
        <f aca="false">MAX(0,H42-$E42)</f>
        <v>0</v>
      </c>
      <c r="J42" s="35" t="n">
        <f aca="false">ROUND($D42*H$22,0)</f>
        <v>497</v>
      </c>
      <c r="K42" s="35" t="n">
        <f aca="false">MAX(0,J42-$E42)</f>
        <v>0</v>
      </c>
      <c r="L42" s="35" t="n">
        <f aca="false">ROUND($D42*J$22,0)</f>
        <v>592</v>
      </c>
      <c r="M42" s="35" t="n">
        <f aca="false">MAX(0,L42-$E42)</f>
        <v>0</v>
      </c>
    </row>
    <row r="43" customFormat="false" ht="15" hidden="false" customHeight="false" outlineLevel="0" collapsed="false">
      <c r="A43" s="32" t="n">
        <v>18</v>
      </c>
      <c r="B43" s="32" t="s">
        <v>320</v>
      </c>
      <c r="C43" s="33" t="s">
        <v>321</v>
      </c>
      <c r="D43" s="65" t="n">
        <f aca="false">③仙台以降予測!H47</f>
        <v>0.0396672498202469</v>
      </c>
      <c r="E43" s="35" t="n">
        <f aca="false">③仙台以降予測!V47</f>
        <v>9126</v>
      </c>
      <c r="F43" s="35" t="n">
        <f aca="false">ROUND($D43*D$22,0)</f>
        <v>2444</v>
      </c>
      <c r="G43" s="35" t="n">
        <f aca="false">MAX(0,F43-$E43)</f>
        <v>0</v>
      </c>
      <c r="H43" s="35" t="n">
        <f aca="false">ROUND($D43*F$22,0)</f>
        <v>2520</v>
      </c>
      <c r="I43" s="35" t="n">
        <f aca="false">MAX(0,H43-$E43)</f>
        <v>0</v>
      </c>
      <c r="J43" s="35" t="n">
        <f aca="false">ROUND($D43*H$22,0)</f>
        <v>2054</v>
      </c>
      <c r="K43" s="35" t="n">
        <f aca="false">MAX(0,J43-$E43)</f>
        <v>0</v>
      </c>
      <c r="L43" s="35" t="n">
        <f aca="false">ROUND($D43*J$22,0)</f>
        <v>2444</v>
      </c>
      <c r="M43" s="35" t="n">
        <f aca="false">MAX(0,L43-$E43)</f>
        <v>0</v>
      </c>
    </row>
    <row r="44" customFormat="false" ht="15" hidden="false" customHeight="false" outlineLevel="0" collapsed="false">
      <c r="A44" s="32" t="n">
        <v>19</v>
      </c>
      <c r="B44" s="32" t="s">
        <v>322</v>
      </c>
      <c r="C44" s="33" t="s">
        <v>323</v>
      </c>
      <c r="D44" s="65" t="n">
        <f aca="false">③仙台以降予測!H48</f>
        <v>0.00166631217165131</v>
      </c>
      <c r="E44" s="35" t="n">
        <f aca="false">③仙台以降予測!V48</f>
        <v>2214</v>
      </c>
      <c r="F44" s="35" t="n">
        <f aca="false">ROUND($D44*D$22,0)</f>
        <v>103</v>
      </c>
      <c r="G44" s="35" t="n">
        <f aca="false">MAX(0,F44-$E44)</f>
        <v>0</v>
      </c>
      <c r="H44" s="35" t="n">
        <f aca="false">ROUND($D44*F$22,0)</f>
        <v>106</v>
      </c>
      <c r="I44" s="35" t="n">
        <f aca="false">MAX(0,H44-$E44)</f>
        <v>0</v>
      </c>
      <c r="J44" s="35" t="n">
        <f aca="false">ROUND($D44*H$22,0)</f>
        <v>86</v>
      </c>
      <c r="K44" s="35" t="n">
        <f aca="false">MAX(0,J44-$E44)</f>
        <v>0</v>
      </c>
      <c r="L44" s="35" t="n">
        <f aca="false">ROUND($D44*J$22,0)</f>
        <v>103</v>
      </c>
      <c r="M44" s="35" t="n">
        <f aca="false">MAX(0,L44-$E44)</f>
        <v>0</v>
      </c>
    </row>
    <row r="45" customFormat="false" ht="15" hidden="false" customHeight="false" outlineLevel="0" collapsed="false">
      <c r="A45" s="32" t="n">
        <v>20</v>
      </c>
      <c r="B45" s="32" t="s">
        <v>324</v>
      </c>
      <c r="C45" s="33" t="s">
        <v>325</v>
      </c>
      <c r="D45" s="65" t="n">
        <f aca="false">③仙台以降予測!H49</f>
        <v>0.00169173930102492</v>
      </c>
      <c r="E45" s="35" t="n">
        <f aca="false">③仙台以降予測!V49</f>
        <v>276</v>
      </c>
      <c r="F45" s="35" t="n">
        <f aca="false">ROUND($D45*D$22,0)</f>
        <v>104</v>
      </c>
      <c r="G45" s="35" t="n">
        <f aca="false">MAX(0,F45-$E45)</f>
        <v>0</v>
      </c>
      <c r="H45" s="35" t="n">
        <f aca="false">ROUND($D45*F$22,0)</f>
        <v>107</v>
      </c>
      <c r="I45" s="35" t="n">
        <f aca="false">MAX(0,H45-$E45)</f>
        <v>0</v>
      </c>
      <c r="J45" s="35" t="n">
        <f aca="false">ROUND($D45*H$22,0)</f>
        <v>88</v>
      </c>
      <c r="K45" s="35" t="n">
        <f aca="false">MAX(0,J45-$E45)</f>
        <v>0</v>
      </c>
      <c r="L45" s="35" t="n">
        <f aca="false">ROUND($D45*J$22,0)</f>
        <v>104</v>
      </c>
      <c r="M45" s="35" t="n">
        <f aca="false">MAX(0,L45-$E45)</f>
        <v>0</v>
      </c>
    </row>
    <row r="46" customFormat="false" ht="15" hidden="false" customHeight="false" outlineLevel="0" collapsed="false">
      <c r="A46" s="32" t="n">
        <v>21</v>
      </c>
      <c r="B46" s="32" t="s">
        <v>326</v>
      </c>
      <c r="C46" s="33" t="s">
        <v>327</v>
      </c>
      <c r="D46" s="65" t="n">
        <f aca="false">③仙台以降予測!H50</f>
        <v>0.00786088056561814</v>
      </c>
      <c r="E46" s="35" t="n">
        <f aca="false">③仙台以降予測!V50</f>
        <v>190</v>
      </c>
      <c r="F46" s="35" t="n">
        <f aca="false">ROUND($D46*D$22,0)</f>
        <v>484</v>
      </c>
      <c r="G46" s="35" t="n">
        <f aca="false">MAX(0,F46-$E46)</f>
        <v>294</v>
      </c>
      <c r="H46" s="35" t="n">
        <f aca="false">ROUND($D46*F$22,0)</f>
        <v>499</v>
      </c>
      <c r="I46" s="35" t="n">
        <f aca="false">MAX(0,H46-$E46)</f>
        <v>309</v>
      </c>
      <c r="J46" s="35" t="n">
        <f aca="false">ROUND($D46*H$22,0)</f>
        <v>407</v>
      </c>
      <c r="K46" s="35" t="n">
        <f aca="false">MAX(0,J46-$E46)</f>
        <v>217</v>
      </c>
      <c r="L46" s="35" t="n">
        <f aca="false">ROUND($D46*J$22,0)</f>
        <v>484</v>
      </c>
      <c r="M46" s="35" t="n">
        <f aca="false">MAX(0,L46-$E46)</f>
        <v>294</v>
      </c>
    </row>
    <row r="47" customFormat="false" ht="15" hidden="false" customHeight="false" outlineLevel="0" collapsed="false">
      <c r="A47" s="32" t="n">
        <v>22</v>
      </c>
      <c r="B47" s="32" t="s">
        <v>328</v>
      </c>
      <c r="C47" s="33" t="s">
        <v>329</v>
      </c>
      <c r="D47" s="65" t="n">
        <f aca="false">③仙台以降予測!H51</f>
        <v>0.00543268251018106</v>
      </c>
      <c r="E47" s="35" t="n">
        <f aca="false">③仙台以降予測!V51</f>
        <v>1254</v>
      </c>
      <c r="F47" s="35" t="n">
        <f aca="false">ROUND($D47*D$22,0)</f>
        <v>335</v>
      </c>
      <c r="G47" s="35" t="n">
        <f aca="false">MAX(0,F47-$E47)</f>
        <v>0</v>
      </c>
      <c r="H47" s="35" t="n">
        <f aca="false">ROUND($D47*F$22,0)</f>
        <v>345</v>
      </c>
      <c r="I47" s="35" t="n">
        <f aca="false">MAX(0,H47-$E47)</f>
        <v>0</v>
      </c>
      <c r="J47" s="35" t="n">
        <f aca="false">ROUND($D47*H$22,0)</f>
        <v>281</v>
      </c>
      <c r="K47" s="35" t="n">
        <f aca="false">MAX(0,J47-$E47)</f>
        <v>0</v>
      </c>
      <c r="L47" s="35" t="n">
        <f aca="false">ROUND($D47*J$22,0)</f>
        <v>335</v>
      </c>
      <c r="M47" s="35" t="n">
        <f aca="false">MAX(0,L47-$E47)</f>
        <v>0</v>
      </c>
    </row>
    <row r="48" customFormat="false" ht="15" hidden="false" customHeight="false" outlineLevel="0" collapsed="false">
      <c r="A48" s="32" t="n">
        <v>23</v>
      </c>
      <c r="B48" s="32" t="s">
        <v>330</v>
      </c>
      <c r="C48" s="33" t="s">
        <v>331</v>
      </c>
      <c r="D48" s="65" t="n">
        <f aca="false">③仙台以降予測!H52</f>
        <v>0.247727241512814</v>
      </c>
      <c r="E48" s="35" t="n">
        <f aca="false">③仙台以降予測!V52</f>
        <v>48729</v>
      </c>
      <c r="F48" s="35" t="n">
        <f aca="false">ROUND($D48*D$22,0)</f>
        <v>15264</v>
      </c>
      <c r="G48" s="35" t="n">
        <f aca="false">MAX(0,F48-$E48)</f>
        <v>0</v>
      </c>
      <c r="H48" s="35" t="n">
        <f aca="false">ROUND($D48*F$22,0)</f>
        <v>15737</v>
      </c>
      <c r="I48" s="35" t="n">
        <f aca="false">MAX(0,H48-$E48)</f>
        <v>0</v>
      </c>
      <c r="J48" s="35" t="n">
        <f aca="false">ROUND($D48*H$22,0)</f>
        <v>12830</v>
      </c>
      <c r="K48" s="35" t="n">
        <f aca="false">MAX(0,J48-$E48)</f>
        <v>0</v>
      </c>
      <c r="L48" s="35" t="n">
        <f aca="false">ROUND($D48*J$22,0)</f>
        <v>15264</v>
      </c>
      <c r="M48" s="35" t="n">
        <f aca="false">MAX(0,L48-$E48)</f>
        <v>0</v>
      </c>
    </row>
    <row r="49" customFormat="false" ht="15" hidden="false" customHeight="false" outlineLevel="0" collapsed="false">
      <c r="A49" s="32" t="n">
        <v>24</v>
      </c>
      <c r="B49" s="32" t="s">
        <v>332</v>
      </c>
      <c r="C49" s="33" t="s">
        <v>333</v>
      </c>
      <c r="D49" s="65" t="n">
        <f aca="false">③仙台以降予測!H53</f>
        <v>0.152348037638091</v>
      </c>
      <c r="E49" s="35" t="n">
        <f aca="false">③仙台以降予測!V53</f>
        <v>30130</v>
      </c>
      <c r="F49" s="35" t="n">
        <f aca="false">ROUND($D49*D$22,0)</f>
        <v>9387</v>
      </c>
      <c r="G49" s="35" t="n">
        <f aca="false">MAX(0,F49-$E49)</f>
        <v>0</v>
      </c>
      <c r="H49" s="35" t="n">
        <f aca="false">ROUND($D49*F$22,0)</f>
        <v>9678</v>
      </c>
      <c r="I49" s="35" t="n">
        <f aca="false">MAX(0,H49-$E49)</f>
        <v>0</v>
      </c>
      <c r="J49" s="35" t="n">
        <f aca="false">ROUND($D49*H$22,0)</f>
        <v>7890</v>
      </c>
      <c r="K49" s="35" t="n">
        <f aca="false">MAX(0,J49-$E49)</f>
        <v>0</v>
      </c>
      <c r="L49" s="35" t="n">
        <f aca="false">ROUND($D49*J$22,0)</f>
        <v>9387</v>
      </c>
      <c r="M49" s="35" t="n">
        <f aca="false">MAX(0,L49-$E49)</f>
        <v>0</v>
      </c>
    </row>
    <row r="50" customFormat="false" ht="15" hidden="false" customHeight="false" outlineLevel="0" collapsed="false">
      <c r="A50" s="32" t="n">
        <v>25</v>
      </c>
      <c r="B50" s="32" t="s">
        <v>334</v>
      </c>
      <c r="C50" s="33" t="s">
        <v>335</v>
      </c>
      <c r="D50" s="65" t="n">
        <f aca="false">③仙台以降予測!H54</f>
        <v>0.0086667535272254</v>
      </c>
      <c r="E50" s="35" t="n">
        <f aca="false">③仙台以降予測!V54</f>
        <v>3393</v>
      </c>
      <c r="F50" s="35" t="n">
        <f aca="false">ROUND($D50*D$22,0)</f>
        <v>534</v>
      </c>
      <c r="G50" s="35" t="n">
        <f aca="false">MAX(0,F50-$E50)</f>
        <v>0</v>
      </c>
      <c r="H50" s="35" t="n">
        <f aca="false">ROUND($D50*F$22,0)</f>
        <v>551</v>
      </c>
      <c r="I50" s="35" t="n">
        <f aca="false">MAX(0,H50-$E50)</f>
        <v>0</v>
      </c>
      <c r="J50" s="35" t="n">
        <f aca="false">ROUND($D50*H$22,0)</f>
        <v>449</v>
      </c>
      <c r="K50" s="35" t="n">
        <f aca="false">MAX(0,J50-$E50)</f>
        <v>0</v>
      </c>
      <c r="L50" s="35" t="n">
        <f aca="false">ROUND($D50*J$22,0)</f>
        <v>534</v>
      </c>
      <c r="M50" s="35" t="n">
        <f aca="false">MAX(0,L50-$E50)</f>
        <v>0</v>
      </c>
    </row>
    <row r="51" customFormat="false" ht="15" hidden="false" customHeight="false" outlineLevel="0" collapsed="false">
      <c r="A51" s="32" t="n">
        <v>26</v>
      </c>
      <c r="B51" s="32" t="s">
        <v>336</v>
      </c>
      <c r="C51" s="33" t="s">
        <v>337</v>
      </c>
      <c r="D51" s="65" t="n">
        <f aca="false">③仙台以降予測!H55</f>
        <v>0.0180421258861911</v>
      </c>
      <c r="E51" s="35" t="n">
        <f aca="false">③仙台以降予測!V55</f>
        <v>229</v>
      </c>
      <c r="F51" s="35" t="n">
        <f aca="false">ROUND($D51*D$22,0)</f>
        <v>1112</v>
      </c>
      <c r="G51" s="35" t="n">
        <f aca="false">MAX(0,F51-$E51)</f>
        <v>883</v>
      </c>
      <c r="H51" s="35" t="n">
        <f aca="false">ROUND($D51*F$22,0)</f>
        <v>1146</v>
      </c>
      <c r="I51" s="35" t="n">
        <f aca="false">MAX(0,H51-$E51)</f>
        <v>917</v>
      </c>
      <c r="J51" s="35" t="n">
        <f aca="false">ROUND($D51*H$22,0)</f>
        <v>934</v>
      </c>
      <c r="K51" s="35" t="n">
        <f aca="false">MAX(0,J51-$E51)</f>
        <v>705</v>
      </c>
      <c r="L51" s="35" t="n">
        <f aca="false">ROUND($D51*J$22,0)</f>
        <v>1112</v>
      </c>
      <c r="M51" s="35" t="n">
        <f aca="false">MAX(0,L51-$E51)</f>
        <v>883</v>
      </c>
    </row>
    <row r="52" customFormat="false" ht="15" hidden="false" customHeight="false" outlineLevel="0" collapsed="false">
      <c r="A52" s="32" t="n">
        <v>27</v>
      </c>
      <c r="B52" s="32" t="s">
        <v>338</v>
      </c>
      <c r="C52" s="33" t="s">
        <v>339</v>
      </c>
      <c r="D52" s="65" t="n">
        <f aca="false">③仙台以降予測!H56</f>
        <v>0.00455906573673901</v>
      </c>
      <c r="E52" s="35" t="n">
        <f aca="false">③仙台以降予測!V56</f>
        <v>1131</v>
      </c>
      <c r="F52" s="35" t="n">
        <f aca="false">ROUND($D52*D$22,0)</f>
        <v>281</v>
      </c>
      <c r="G52" s="35" t="n">
        <f aca="false">MAX(0,F52-$E52)</f>
        <v>0</v>
      </c>
      <c r="H52" s="35" t="n">
        <f aca="false">ROUND($D52*F$22,0)</f>
        <v>290</v>
      </c>
      <c r="I52" s="35" t="n">
        <f aca="false">MAX(0,H52-$E52)</f>
        <v>0</v>
      </c>
      <c r="J52" s="35" t="n">
        <f aca="false">ROUND($D52*H$22,0)</f>
        <v>236</v>
      </c>
      <c r="K52" s="35" t="n">
        <f aca="false">MAX(0,J52-$E52)</f>
        <v>0</v>
      </c>
      <c r="L52" s="35" t="n">
        <f aca="false">ROUND($D52*J$22,0)</f>
        <v>281</v>
      </c>
      <c r="M52" s="35" t="n">
        <f aca="false">MAX(0,L52-$E52)</f>
        <v>0</v>
      </c>
    </row>
    <row r="53" customFormat="false" ht="15" hidden="false" customHeight="false" outlineLevel="0" collapsed="false">
      <c r="A53" s="32" t="n">
        <v>28</v>
      </c>
      <c r="B53" s="32" t="s">
        <v>340</v>
      </c>
      <c r="C53" s="33" t="s">
        <v>341</v>
      </c>
      <c r="D53" s="65" t="n">
        <f aca="false">③仙台以降予測!H57</f>
        <v>0.0258012979343149</v>
      </c>
      <c r="E53" s="35" t="n">
        <f aca="false">③仙台以降予測!V57</f>
        <v>68</v>
      </c>
      <c r="F53" s="35" t="n">
        <f aca="false">ROUND($D53*D$22,0)</f>
        <v>1590</v>
      </c>
      <c r="G53" s="35" t="n">
        <f aca="false">MAX(0,F53-$E53)</f>
        <v>1522</v>
      </c>
      <c r="H53" s="35" t="n">
        <f aca="false">ROUND($D53*F$22,0)</f>
        <v>1639</v>
      </c>
      <c r="I53" s="35" t="n">
        <f aca="false">MAX(0,H53-$E53)</f>
        <v>1571</v>
      </c>
      <c r="J53" s="35" t="n">
        <f aca="false">ROUND($D53*H$22,0)</f>
        <v>1336</v>
      </c>
      <c r="K53" s="35" t="n">
        <f aca="false">MAX(0,J53-$E53)</f>
        <v>1268</v>
      </c>
      <c r="L53" s="35" t="n">
        <f aca="false">ROUND($D53*J$22,0)</f>
        <v>1590</v>
      </c>
      <c r="M53" s="35" t="n">
        <f aca="false">MAX(0,L53-$E53)</f>
        <v>1522</v>
      </c>
    </row>
    <row r="54" customFormat="false" ht="15" hidden="false" customHeight="false" outlineLevel="0" collapsed="false">
      <c r="A54" s="32" t="n">
        <v>29</v>
      </c>
      <c r="B54" s="32" t="s">
        <v>342</v>
      </c>
      <c r="C54" s="33" t="s">
        <v>343</v>
      </c>
      <c r="D54" s="65" t="n">
        <f aca="false">③仙台以降予測!H58</f>
        <v>0.0170545510292791</v>
      </c>
      <c r="E54" s="35" t="n">
        <f aca="false">③仙台以降予測!V58</f>
        <v>177</v>
      </c>
      <c r="F54" s="35" t="n">
        <f aca="false">ROUND($D54*D$22,0)</f>
        <v>1051</v>
      </c>
      <c r="G54" s="35" t="n">
        <f aca="false">MAX(0,F54-$E54)</f>
        <v>874</v>
      </c>
      <c r="H54" s="35" t="n">
        <f aca="false">ROUND($D54*F$22,0)</f>
        <v>1083</v>
      </c>
      <c r="I54" s="35" t="n">
        <f aca="false">MAX(0,H54-$E54)</f>
        <v>906</v>
      </c>
      <c r="J54" s="35" t="n">
        <f aca="false">ROUND($D54*H$22,0)</f>
        <v>883</v>
      </c>
      <c r="K54" s="35" t="n">
        <f aca="false">MAX(0,J54-$E54)</f>
        <v>706</v>
      </c>
      <c r="L54" s="35" t="n">
        <f aca="false">ROUND($D54*J$22,0)</f>
        <v>1051</v>
      </c>
      <c r="M54" s="35" t="n">
        <f aca="false">MAX(0,L54-$E54)</f>
        <v>874</v>
      </c>
    </row>
    <row r="55" customFormat="false" ht="15" hidden="false" customHeight="false" outlineLevel="0" collapsed="false">
      <c r="A55" s="32" t="n">
        <v>30</v>
      </c>
      <c r="B55" s="32" t="s">
        <v>344</v>
      </c>
      <c r="C55" s="33" t="s">
        <v>345</v>
      </c>
      <c r="D55" s="65" t="n">
        <f aca="false">③仙台以降予測!H59</f>
        <v>0.00841712222060132</v>
      </c>
      <c r="E55" s="35" t="n">
        <f aca="false">③仙台以降予測!V59</f>
        <v>781</v>
      </c>
      <c r="F55" s="35" t="n">
        <f aca="false">ROUND($D55*D$22,0)</f>
        <v>519</v>
      </c>
      <c r="G55" s="35" t="n">
        <f aca="false">MAX(0,F55-$E55)</f>
        <v>0</v>
      </c>
      <c r="H55" s="35" t="n">
        <f aca="false">ROUND($D55*F$22,0)</f>
        <v>535</v>
      </c>
      <c r="I55" s="35" t="n">
        <f aca="false">MAX(0,H55-$E55)</f>
        <v>0</v>
      </c>
      <c r="J55" s="35" t="n">
        <f aca="false">ROUND($D55*H$22,0)</f>
        <v>436</v>
      </c>
      <c r="K55" s="35" t="n">
        <f aca="false">MAX(0,J55-$E55)</f>
        <v>0</v>
      </c>
      <c r="L55" s="35" t="n">
        <f aca="false">ROUND($D55*J$22,0)</f>
        <v>519</v>
      </c>
      <c r="M55" s="35" t="n">
        <f aca="false">MAX(0,L55-$E55)</f>
        <v>0</v>
      </c>
    </row>
    <row r="56" customFormat="false" ht="15" hidden="false" customHeight="false" outlineLevel="0" collapsed="false">
      <c r="A56" s="32" t="n">
        <v>31</v>
      </c>
      <c r="B56" s="32" t="s">
        <v>346</v>
      </c>
      <c r="C56" s="33" t="s">
        <v>347</v>
      </c>
      <c r="D56" s="65" t="n">
        <f aca="false">③仙台以降予測!H60</f>
        <v>0.0116010813768364</v>
      </c>
      <c r="E56" s="35" t="n">
        <f aca="false">③仙台以降予測!V60</f>
        <v>765</v>
      </c>
      <c r="F56" s="35" t="n">
        <f aca="false">ROUND($D56*D$22,0)</f>
        <v>715</v>
      </c>
      <c r="G56" s="35" t="n">
        <f aca="false">MAX(0,F56-$E56)</f>
        <v>0</v>
      </c>
      <c r="H56" s="35" t="n">
        <f aca="false">ROUND($D56*F$22,0)</f>
        <v>737</v>
      </c>
      <c r="I56" s="35" t="n">
        <f aca="false">MAX(0,H56-$E56)</f>
        <v>0</v>
      </c>
      <c r="J56" s="35" t="n">
        <f aca="false">ROUND($D56*H$22,0)</f>
        <v>601</v>
      </c>
      <c r="K56" s="35" t="n">
        <f aca="false">MAX(0,J56-$E56)</f>
        <v>0</v>
      </c>
      <c r="L56" s="35" t="n">
        <f aca="false">ROUND($D56*J$22,0)</f>
        <v>715</v>
      </c>
      <c r="M56" s="35" t="n">
        <f aca="false">MAX(0,L56-$E56)</f>
        <v>0</v>
      </c>
    </row>
    <row r="57" customFormat="false" ht="15" hidden="false" customHeight="false" outlineLevel="0" collapsed="false">
      <c r="A57" s="32" t="n">
        <v>32</v>
      </c>
      <c r="B57" s="32" t="s">
        <v>348</v>
      </c>
      <c r="C57" s="33" t="s">
        <v>349</v>
      </c>
      <c r="D57" s="65" t="n">
        <f aca="false">③仙台以降予測!H61</f>
        <v>0.00104770908988323</v>
      </c>
      <c r="E57" s="35" t="n">
        <f aca="false">③仙台以降予測!V61</f>
        <v>15</v>
      </c>
      <c r="F57" s="35" t="n">
        <f aca="false">ROUND($D57*D$22,0)</f>
        <v>65</v>
      </c>
      <c r="G57" s="35" t="n">
        <f aca="false">MAX(0,F57-$E57)</f>
        <v>50</v>
      </c>
      <c r="H57" s="35" t="n">
        <f aca="false">ROUND($D57*F$22,0)</f>
        <v>67</v>
      </c>
      <c r="I57" s="35" t="n">
        <f aca="false">MAX(0,H57-$E57)</f>
        <v>52</v>
      </c>
      <c r="J57" s="35" t="n">
        <f aca="false">ROUND($D57*H$22,0)</f>
        <v>54</v>
      </c>
      <c r="K57" s="35" t="n">
        <f aca="false">MAX(0,J57-$E57)</f>
        <v>39</v>
      </c>
      <c r="L57" s="35" t="n">
        <f aca="false">ROUND($D57*J$22,0)</f>
        <v>65</v>
      </c>
      <c r="M57" s="35" t="n">
        <f aca="false">MAX(0,L57-$E57)</f>
        <v>50</v>
      </c>
    </row>
    <row r="58" customFormat="false" ht="15" hidden="false" customHeight="false" outlineLevel="0" collapsed="false">
      <c r="A58" s="32" t="n">
        <v>33</v>
      </c>
      <c r="B58" s="32" t="s">
        <v>350</v>
      </c>
      <c r="C58" s="33" t="s">
        <v>351</v>
      </c>
      <c r="D58" s="65" t="n">
        <f aca="false">③仙台以降予測!H62</f>
        <v>0.000654052583303545</v>
      </c>
      <c r="E58" s="35" t="n">
        <f aca="false">③仙台以降予測!V62</f>
        <v>98</v>
      </c>
      <c r="F58" s="35" t="n">
        <f aca="false">ROUND($D58*D$22,0)</f>
        <v>40</v>
      </c>
      <c r="G58" s="35" t="n">
        <f aca="false">MAX(0,F58-$E58)</f>
        <v>0</v>
      </c>
      <c r="H58" s="35" t="n">
        <f aca="false">ROUND($D58*F$22,0)</f>
        <v>42</v>
      </c>
      <c r="I58" s="35" t="n">
        <f aca="false">MAX(0,H58-$E58)</f>
        <v>0</v>
      </c>
      <c r="J58" s="35" t="n">
        <f aca="false">ROUND($D58*H$22,0)</f>
        <v>34</v>
      </c>
      <c r="K58" s="35" t="n">
        <f aca="false">MAX(0,J58-$E58)</f>
        <v>0</v>
      </c>
      <c r="L58" s="35" t="n">
        <f aca="false">ROUND($D58*J$22,0)</f>
        <v>40</v>
      </c>
      <c r="M58" s="35" t="n">
        <f aca="false">MAX(0,L58-$E58)</f>
        <v>0</v>
      </c>
    </row>
    <row r="59" customFormat="false" ht="15" hidden="false" customHeight="false" outlineLevel="0" collapsed="false">
      <c r="A59" s="32" t="n">
        <v>34</v>
      </c>
      <c r="B59" s="32" t="s">
        <v>352</v>
      </c>
      <c r="C59" s="33" t="s">
        <v>353</v>
      </c>
      <c r="D59" s="65" t="n">
        <f aca="false">③仙台以降予測!H63</f>
        <v>0.000209541817976646</v>
      </c>
      <c r="E59" s="35" t="n">
        <f aca="false">③仙台以降予測!V63</f>
        <v>1</v>
      </c>
      <c r="F59" s="35" t="n">
        <f aca="false">ROUND($D59*D$22,0)</f>
        <v>13</v>
      </c>
      <c r="G59" s="35" t="n">
        <f aca="false">MAX(0,F59-$E59)</f>
        <v>12</v>
      </c>
      <c r="H59" s="35" t="n">
        <f aca="false">ROUND($D59*F$22,0)</f>
        <v>13</v>
      </c>
      <c r="I59" s="35" t="n">
        <f aca="false">MAX(0,H59-$E59)</f>
        <v>12</v>
      </c>
      <c r="J59" s="35" t="n">
        <f aca="false">ROUND($D59*H$22,0)</f>
        <v>11</v>
      </c>
      <c r="K59" s="35" t="n">
        <f aca="false">MAX(0,J59-$E59)</f>
        <v>10</v>
      </c>
      <c r="L59" s="35" t="n">
        <f aca="false">ROUND($D59*J$22,0)</f>
        <v>13</v>
      </c>
      <c r="M59" s="35" t="n">
        <f aca="false">MAX(0,L59-$E59)</f>
        <v>12</v>
      </c>
    </row>
    <row r="60" customFormat="false" ht="15" hidden="false" customHeight="false" outlineLevel="0" collapsed="false">
      <c r="A60" s="32" t="n">
        <v>35</v>
      </c>
      <c r="B60" s="32" t="s">
        <v>354</v>
      </c>
      <c r="C60" s="33" t="s">
        <v>355</v>
      </c>
      <c r="D60" s="65" t="n">
        <f aca="false">③仙台以降予測!H64</f>
        <v>0.000153305174179548</v>
      </c>
      <c r="E60" s="35" t="n">
        <f aca="false">③仙台以降予測!V64</f>
        <v>2</v>
      </c>
      <c r="F60" s="35" t="n">
        <f aca="false">ROUND($D60*D$22,0)</f>
        <v>9</v>
      </c>
      <c r="G60" s="35" t="n">
        <f aca="false">MAX(0,F60-$E60)</f>
        <v>7</v>
      </c>
      <c r="H60" s="35" t="n">
        <f aca="false">ROUND($D60*F$22,0)</f>
        <v>10</v>
      </c>
      <c r="I60" s="35" t="n">
        <f aca="false">MAX(0,H60-$E60)</f>
        <v>8</v>
      </c>
      <c r="J60" s="35" t="n">
        <f aca="false">ROUND($D60*H$22,0)</f>
        <v>8</v>
      </c>
      <c r="K60" s="35" t="n">
        <f aca="false">MAX(0,J60-$E60)</f>
        <v>6</v>
      </c>
      <c r="L60" s="35" t="n">
        <f aca="false">ROUND($D60*J$22,0)</f>
        <v>9</v>
      </c>
      <c r="M60" s="35" t="n">
        <f aca="false">MAX(0,L60-$E60)</f>
        <v>7</v>
      </c>
    </row>
    <row r="61" customFormat="false" ht="15" hidden="false" customHeight="false" outlineLevel="0" collapsed="false">
      <c r="A61" s="32" t="n">
        <v>36</v>
      </c>
      <c r="B61" s="32" t="s">
        <v>356</v>
      </c>
      <c r="C61" s="33" t="s">
        <v>357</v>
      </c>
      <c r="D61" s="65" t="n">
        <f aca="false">③仙台以降予測!H65</f>
        <v>0.000153305174179548</v>
      </c>
      <c r="E61" s="35" t="n">
        <f aca="false">③仙台以降予測!V65</f>
        <v>2</v>
      </c>
      <c r="F61" s="35" t="n">
        <f aca="false">ROUND($D61*D$22,0)</f>
        <v>9</v>
      </c>
      <c r="G61" s="35" t="n">
        <f aca="false">MAX(0,F61-$E61)</f>
        <v>7</v>
      </c>
      <c r="H61" s="35" t="n">
        <f aca="false">ROUND($D61*F$22,0)</f>
        <v>10</v>
      </c>
      <c r="I61" s="35" t="n">
        <f aca="false">MAX(0,H61-$E61)</f>
        <v>8</v>
      </c>
      <c r="J61" s="35" t="n">
        <f aca="false">ROUND($D61*H$22,0)</f>
        <v>8</v>
      </c>
      <c r="K61" s="35" t="n">
        <f aca="false">MAX(0,J61-$E61)</f>
        <v>6</v>
      </c>
      <c r="L61" s="35" t="n">
        <f aca="false">ROUND($D61*J$22,0)</f>
        <v>9</v>
      </c>
      <c r="M61" s="35" t="n">
        <f aca="false">MAX(0,L61-$E61)</f>
        <v>7</v>
      </c>
    </row>
    <row r="62" customFormat="false" ht="15" hidden="false" customHeight="false" outlineLevel="0" collapsed="false">
      <c r="A62" s="32" t="n">
        <v>37</v>
      </c>
      <c r="B62" s="32" t="s">
        <v>358</v>
      </c>
      <c r="C62" s="33" t="s">
        <v>359</v>
      </c>
      <c r="D62" s="65" t="n">
        <f aca="false">③仙台以降予測!H66</f>
        <v>0.000541579295709348</v>
      </c>
      <c r="E62" s="35" t="n">
        <f aca="false">③仙台以降予測!V66</f>
        <v>28</v>
      </c>
      <c r="F62" s="35" t="n">
        <f aca="false">ROUND($D62*D$22,0)</f>
        <v>33</v>
      </c>
      <c r="G62" s="35" t="n">
        <f aca="false">MAX(0,F62-$E62)</f>
        <v>5</v>
      </c>
      <c r="H62" s="35" t="n">
        <f aca="false">ROUND($D62*F$22,0)</f>
        <v>34</v>
      </c>
      <c r="I62" s="35" t="n">
        <f aca="false">MAX(0,H62-$E62)</f>
        <v>6</v>
      </c>
      <c r="J62" s="35" t="n">
        <f aca="false">ROUND($D62*H$22,0)</f>
        <v>28</v>
      </c>
      <c r="K62" s="35" t="n">
        <f aca="false">MAX(0,J62-$E62)</f>
        <v>0</v>
      </c>
      <c r="L62" s="35" t="n">
        <f aca="false">ROUND($D62*J$22,0)</f>
        <v>33</v>
      </c>
      <c r="M62" s="35" t="n">
        <f aca="false">MAX(0,L62-$E62)</f>
        <v>5</v>
      </c>
    </row>
    <row r="63" customFormat="false" ht="15" hidden="false" customHeight="false" outlineLevel="0" collapsed="false">
      <c r="A63" s="32" t="n">
        <v>38</v>
      </c>
      <c r="B63" s="32" t="s">
        <v>360</v>
      </c>
      <c r="C63" s="33" t="s">
        <v>361</v>
      </c>
      <c r="D63" s="65" t="n">
        <f aca="false">③仙台以降予測!H67</f>
        <v>0.000209541817976646</v>
      </c>
      <c r="E63" s="35" t="n">
        <f aca="false">③仙台以降予測!V67</f>
        <v>1</v>
      </c>
      <c r="F63" s="35" t="n">
        <f aca="false">ROUND($D63*D$22,0)</f>
        <v>13</v>
      </c>
      <c r="G63" s="35" t="n">
        <f aca="false">MAX(0,F63-$E63)</f>
        <v>12</v>
      </c>
      <c r="H63" s="35" t="n">
        <f aca="false">ROUND($D63*F$22,0)</f>
        <v>13</v>
      </c>
      <c r="I63" s="35" t="n">
        <f aca="false">MAX(0,H63-$E63)</f>
        <v>12</v>
      </c>
      <c r="J63" s="35" t="n">
        <f aca="false">ROUND($D63*H$22,0)</f>
        <v>11</v>
      </c>
      <c r="K63" s="35" t="n">
        <f aca="false">MAX(0,J63-$E63)</f>
        <v>10</v>
      </c>
      <c r="L63" s="35" t="n">
        <f aca="false">ROUND($D63*J$22,0)</f>
        <v>13</v>
      </c>
      <c r="M63" s="35" t="n">
        <f aca="false">MAX(0,L63-$E63)</f>
        <v>12</v>
      </c>
    </row>
    <row r="64" customFormat="false" ht="15" hidden="false" customHeight="false" outlineLevel="0" collapsed="false">
      <c r="A64" s="32" t="n">
        <v>39</v>
      </c>
      <c r="B64" s="32" t="s">
        <v>362</v>
      </c>
      <c r="C64" s="33" t="s">
        <v>363</v>
      </c>
      <c r="D64" s="65" t="n">
        <f aca="false">③仙台以降予測!H68</f>
        <v>0.000306610348359096</v>
      </c>
      <c r="E64" s="35" t="n">
        <f aca="false">③仙台以降予測!V68</f>
        <v>0</v>
      </c>
      <c r="F64" s="35" t="n">
        <f aca="false">ROUND($D64*D$22,0)</f>
        <v>19</v>
      </c>
      <c r="G64" s="35" t="n">
        <f aca="false">MAX(0,F64-$E64)</f>
        <v>19</v>
      </c>
      <c r="H64" s="35" t="n">
        <f aca="false">ROUND($D64*F$22,0)</f>
        <v>19</v>
      </c>
      <c r="I64" s="35" t="n">
        <f aca="false">MAX(0,H64-$E64)</f>
        <v>19</v>
      </c>
      <c r="J64" s="35" t="n">
        <f aca="false">ROUND($D64*H$22,0)</f>
        <v>16</v>
      </c>
      <c r="K64" s="35" t="n">
        <f aca="false">MAX(0,J64-$E64)</f>
        <v>16</v>
      </c>
      <c r="L64" s="35" t="n">
        <f aca="false">ROUND($D64*J$22,0)</f>
        <v>19</v>
      </c>
      <c r="M64" s="35" t="n">
        <f aca="false">MAX(0,L64-$E64)</f>
        <v>19</v>
      </c>
    </row>
    <row r="65" customFormat="false" ht="15" hidden="false" customHeight="false" outlineLevel="0" collapsed="false">
      <c r="A65" s="32" t="n">
        <v>40</v>
      </c>
      <c r="B65" s="32" t="s">
        <v>364</v>
      </c>
      <c r="C65" s="33" t="s">
        <v>365</v>
      </c>
      <c r="D65" s="65" t="n">
        <f aca="false">③仙台以降予測!H69</f>
        <v>9.706853038245E-005</v>
      </c>
      <c r="E65" s="35" t="n">
        <f aca="false">③仙台以降予測!V69</f>
        <v>3</v>
      </c>
      <c r="F65" s="35" t="n">
        <f aca="false">ROUND($D65*D$22,0)</f>
        <v>6</v>
      </c>
      <c r="G65" s="35" t="n">
        <f aca="false">MAX(0,F65-$E65)</f>
        <v>3</v>
      </c>
      <c r="H65" s="35" t="n">
        <f aca="false">ROUND($D65*F$22,0)</f>
        <v>6</v>
      </c>
      <c r="I65" s="35" t="n">
        <f aca="false">MAX(0,H65-$E65)</f>
        <v>3</v>
      </c>
      <c r="J65" s="35" t="n">
        <f aca="false">ROUND($D65*H$22,0)</f>
        <v>5</v>
      </c>
      <c r="K65" s="35" t="n">
        <f aca="false">MAX(0,J65-$E65)</f>
        <v>2</v>
      </c>
      <c r="L65" s="35" t="n">
        <f aca="false">ROUND($D65*J$22,0)</f>
        <v>6</v>
      </c>
      <c r="M65" s="35" t="n">
        <f aca="false">MAX(0,L65-$E65)</f>
        <v>3</v>
      </c>
    </row>
    <row r="66" customFormat="false" ht="15" hidden="false" customHeight="false" outlineLevel="0" collapsed="false">
      <c r="A66" s="32" t="n">
        <v>41</v>
      </c>
      <c r="B66" s="32" t="s">
        <v>366</v>
      </c>
      <c r="C66" s="33" t="s">
        <v>367</v>
      </c>
      <c r="D66" s="65" t="n">
        <f aca="false">③仙台以降予測!H70</f>
        <v>0</v>
      </c>
      <c r="E66" s="35" t="n">
        <f aca="false">③仙台以降予測!V70</f>
        <v>74</v>
      </c>
      <c r="F66" s="35" t="n">
        <f aca="false">ROUND($D66*D$22,0)</f>
        <v>0</v>
      </c>
      <c r="G66" s="35" t="n">
        <f aca="false">MAX(0,F66-$E66)</f>
        <v>0</v>
      </c>
      <c r="H66" s="35" t="n">
        <f aca="false">ROUND($D66*F$22,0)</f>
        <v>0</v>
      </c>
      <c r="I66" s="35" t="n">
        <f aca="false">MAX(0,H66-$E66)</f>
        <v>0</v>
      </c>
      <c r="J66" s="35" t="n">
        <f aca="false">ROUND($D66*H$22,0)</f>
        <v>0</v>
      </c>
      <c r="K66" s="35" t="n">
        <f aca="false">MAX(0,J66-$E66)</f>
        <v>0</v>
      </c>
      <c r="L66" s="35" t="n">
        <f aca="false">ROUND($D66*J$22,0)</f>
        <v>0</v>
      </c>
      <c r="M66" s="35" t="n">
        <f aca="false">MAX(0,L66-$E66)</f>
        <v>0</v>
      </c>
    </row>
    <row r="67" customFormat="false" ht="15" hidden="false" customHeight="false" outlineLevel="0" collapsed="false">
      <c r="A67" s="32" t="n">
        <v>42</v>
      </c>
      <c r="B67" s="32" t="s">
        <v>368</v>
      </c>
      <c r="C67" s="33" t="s">
        <v>369</v>
      </c>
      <c r="D67" s="65" t="n">
        <f aca="false">③仙台以降予測!H71</f>
        <v>5.62366437970982E-005</v>
      </c>
      <c r="E67" s="35" t="n">
        <f aca="false">③仙台以降予測!V71</f>
        <v>48</v>
      </c>
      <c r="F67" s="35" t="n">
        <f aca="false">ROUND($D67*D$22,0)</f>
        <v>3</v>
      </c>
      <c r="G67" s="35" t="n">
        <f aca="false">MAX(0,F67-$E67)</f>
        <v>0</v>
      </c>
      <c r="H67" s="35" t="n">
        <f aca="false">ROUND($D67*F$22,0)</f>
        <v>4</v>
      </c>
      <c r="I67" s="35" t="n">
        <f aca="false">MAX(0,H67-$E67)</f>
        <v>0</v>
      </c>
      <c r="J67" s="35" t="n">
        <f aca="false">ROUND($D67*H$22,0)</f>
        <v>3</v>
      </c>
      <c r="K67" s="35" t="n">
        <f aca="false">MAX(0,J67-$E67)</f>
        <v>0</v>
      </c>
      <c r="L67" s="35" t="n">
        <f aca="false">ROUND($D67*J$22,0)</f>
        <v>3</v>
      </c>
      <c r="M67" s="35" t="n">
        <f aca="false">MAX(0,L67-$E67)</f>
        <v>0</v>
      </c>
    </row>
    <row r="68" customFormat="false" ht="15" hidden="false" customHeight="false" outlineLevel="0" collapsed="false">
      <c r="A68" s="40"/>
      <c r="B68" s="40"/>
      <c r="C68" s="41" t="s">
        <v>370</v>
      </c>
      <c r="D68" s="66" t="n">
        <f aca="false">SUM(D26:D67)</f>
        <v>1</v>
      </c>
      <c r="E68" s="42" t="n">
        <f aca="false">SUM(E26:E67)</f>
        <v>234422</v>
      </c>
      <c r="F68" s="42" t="n">
        <f aca="false">SUM(F26:F67)</f>
        <v>61618</v>
      </c>
      <c r="G68" s="42" t="n">
        <f aca="false">SUM(G26:G67)</f>
        <v>4583</v>
      </c>
      <c r="H68" s="42" t="n">
        <f aca="false">SUM(H26:H67)</f>
        <v>63524</v>
      </c>
      <c r="I68" s="42" t="n">
        <f aca="false">SUM(I26:I67)</f>
        <v>4822</v>
      </c>
      <c r="J68" s="42" t="n">
        <f aca="false">SUM(J26:J67)</f>
        <v>51786</v>
      </c>
      <c r="K68" s="42" t="n">
        <f aca="false">SUM(K26:K67)</f>
        <v>3340</v>
      </c>
      <c r="L68" s="42" t="n">
        <f aca="false">SUM(L26:L67)</f>
        <v>61618</v>
      </c>
      <c r="M68" s="42" t="n">
        <f aca="false">SUM(M26:M67)</f>
        <v>4583</v>
      </c>
    </row>
    <row r="70" customFormat="false" ht="15" hidden="false" customHeight="false" outlineLevel="0" collapsed="false">
      <c r="A70" s="4" t="s">
        <v>809</v>
      </c>
    </row>
    <row r="71" customFormat="false" ht="15" hidden="false" customHeight="false" outlineLevel="0" collapsed="false">
      <c r="A71" s="26" t="s">
        <v>374</v>
      </c>
      <c r="B71" s="17" t="s">
        <v>217</v>
      </c>
      <c r="C71" s="17" t="s">
        <v>218</v>
      </c>
      <c r="D71" s="17" t="s">
        <v>219</v>
      </c>
      <c r="E71" s="17" t="s">
        <v>220</v>
      </c>
    </row>
    <row r="72" customFormat="false" ht="15" hidden="false" customHeight="false" outlineLevel="0" collapsed="false">
      <c r="A72" s="50" t="s">
        <v>810</v>
      </c>
      <c r="B72" s="35" t="n">
        <f aca="false">F68</f>
        <v>61618</v>
      </c>
      <c r="C72" s="35" t="n">
        <f aca="false">H68</f>
        <v>63524</v>
      </c>
      <c r="D72" s="35" t="n">
        <f aca="false">J68</f>
        <v>51786</v>
      </c>
      <c r="E72" s="35" t="n">
        <f aca="false">L68</f>
        <v>61618</v>
      </c>
    </row>
    <row r="73" customFormat="false" ht="15" hidden="false" customHeight="false" outlineLevel="0" collapsed="false">
      <c r="A73" s="50" t="s">
        <v>811</v>
      </c>
      <c r="B73" s="35" t="n">
        <f aca="false">$E$68</f>
        <v>234422</v>
      </c>
      <c r="C73" s="35" t="n">
        <f aca="false">$E$68</f>
        <v>234422</v>
      </c>
      <c r="D73" s="35" t="n">
        <f aca="false">$E$68</f>
        <v>234422</v>
      </c>
      <c r="E73" s="35" t="n">
        <f aca="false">$E$68</f>
        <v>234422</v>
      </c>
    </row>
    <row r="74" customFormat="false" ht="15" hidden="false" customHeight="false" outlineLevel="0" collapsed="false">
      <c r="A74" s="50" t="s">
        <v>812</v>
      </c>
      <c r="B74" s="38" t="n">
        <f aca="false">B73-B72</f>
        <v>172804</v>
      </c>
      <c r="C74" s="38" t="n">
        <f aca="false">C73-C72</f>
        <v>170898</v>
      </c>
      <c r="D74" s="38" t="n">
        <f aca="false">D73-D72</f>
        <v>182636</v>
      </c>
      <c r="E74" s="38" t="n">
        <f aca="false">E73-E72</f>
        <v>172804</v>
      </c>
    </row>
    <row r="75" customFormat="false" ht="15" hidden="false" customHeight="false" outlineLevel="0" collapsed="false">
      <c r="A75" s="99" t="s">
        <v>813</v>
      </c>
      <c r="B75" s="100" t="n">
        <f aca="false">G68</f>
        <v>4583</v>
      </c>
      <c r="C75" s="100" t="n">
        <f aca="false">I68</f>
        <v>4822</v>
      </c>
      <c r="D75" s="100" t="n">
        <f aca="false">K68</f>
        <v>3340</v>
      </c>
      <c r="E75" s="100" t="n">
        <f aca="false">M68</f>
        <v>4583</v>
      </c>
    </row>
    <row r="76" customFormat="false" ht="15" hidden="false" customHeight="false" outlineLevel="0" collapsed="false">
      <c r="A76" s="50" t="s">
        <v>814</v>
      </c>
      <c r="B76" s="32" t="str">
        <f aca="false">COUNTIF(G26:G67,"&gt;0")&amp;"品目"</f>
        <v>13品目</v>
      </c>
      <c r="C76" s="32" t="str">
        <f aca="false">COUNTIF(I26:I67,"&gt;0")&amp;"品目"</f>
        <v>13品目</v>
      </c>
      <c r="D76" s="32" t="str">
        <f aca="false">COUNTIF(K26:K67,"&gt;0")&amp;"品目"</f>
        <v>12品目</v>
      </c>
      <c r="E76" s="32" t="str">
        <f aca="false">COUNTIF(M26:M67,"&gt;0")&amp;"品目"</f>
        <v>13品目</v>
      </c>
    </row>
    <row r="77" customFormat="false" ht="15" hidden="false" customHeight="false" outlineLevel="0" collapsed="false">
      <c r="A77" s="50" t="s">
        <v>815</v>
      </c>
      <c r="B77" s="35" t="n">
        <f aca="false">ROUNDUP(G68*(1+前提・入力!$B$34),0)</f>
        <v>5042</v>
      </c>
      <c r="C77" s="35" t="n">
        <f aca="false">ROUNDUP(I68*(1+前提・入力!$B$34),0)</f>
        <v>5305</v>
      </c>
      <c r="D77" s="35" t="n">
        <f aca="false">ROUNDUP(K68*(1+前提・入力!$B$34),0)</f>
        <v>3674</v>
      </c>
      <c r="E77" s="35" t="n">
        <f aca="false">ROUNDUP(M68*(1+前提・入力!$B$34),0)</f>
        <v>5042</v>
      </c>
    </row>
    <row r="79" customFormat="false" ht="15" hidden="false" customHeight="false" outlineLevel="0" collapsed="false">
      <c r="A79" s="5" t="s">
        <v>816</v>
      </c>
      <c r="B79" s="93" t="s">
        <v>817</v>
      </c>
      <c r="C79" s="93"/>
      <c r="D79" s="93"/>
      <c r="E79" s="93"/>
      <c r="F79" s="93"/>
      <c r="G79" s="93"/>
      <c r="H79" s="93"/>
      <c r="I79" s="93"/>
      <c r="J79" s="93"/>
    </row>
    <row r="80" customFormat="false" ht="15" hidden="false" customHeight="false" outlineLevel="0" collapsed="false">
      <c r="A80" s="5"/>
      <c r="B80" s="93" t="s">
        <v>818</v>
      </c>
      <c r="C80" s="93"/>
      <c r="D80" s="93"/>
      <c r="E80" s="93"/>
      <c r="F80" s="93"/>
      <c r="G80" s="93"/>
      <c r="H80" s="93"/>
      <c r="I80" s="93"/>
      <c r="J80" s="93"/>
    </row>
    <row r="81" customFormat="false" ht="15" hidden="false" customHeight="false" outlineLevel="0" collapsed="false">
      <c r="A81" s="5" t="s">
        <v>819</v>
      </c>
      <c r="B81" s="93" t="s">
        <v>820</v>
      </c>
      <c r="C81" s="93"/>
      <c r="D81" s="93"/>
      <c r="E81" s="93"/>
      <c r="F81" s="93"/>
      <c r="G81" s="93"/>
      <c r="H81" s="93"/>
      <c r="I81" s="93"/>
      <c r="J81" s="93"/>
    </row>
    <row r="82" customFormat="false" ht="15" hidden="false" customHeight="false" outlineLevel="0" collapsed="false">
      <c r="A82" s="5"/>
      <c r="B82" s="93" t="s">
        <v>821</v>
      </c>
      <c r="C82" s="93"/>
      <c r="D82" s="93"/>
      <c r="E82" s="93"/>
      <c r="F82" s="93"/>
      <c r="G82" s="93"/>
      <c r="H82" s="93"/>
      <c r="I82" s="93"/>
      <c r="J82" s="93"/>
    </row>
    <row r="83" customFormat="false" ht="15" hidden="false" customHeight="false" outlineLevel="0" collapsed="false">
      <c r="A83" s="5"/>
      <c r="B83" s="93" t="s">
        <v>822</v>
      </c>
      <c r="C83" s="93"/>
      <c r="D83" s="93"/>
      <c r="E83" s="93"/>
      <c r="F83" s="93"/>
      <c r="G83" s="93"/>
      <c r="H83" s="93"/>
      <c r="I83" s="93"/>
      <c r="J83" s="93"/>
    </row>
  </sheetData>
  <mergeCells count="5">
    <mergeCell ref="B79:J79"/>
    <mergeCell ref="B80:J80"/>
    <mergeCell ref="B81:J81"/>
    <mergeCell ref="B82:J82"/>
    <mergeCell ref="B83:J83"/>
  </mergeCells>
  <conditionalFormatting sqref="F8:F14">
    <cfRule type="expression" priority="2" aboveAverage="0" equalAverage="0" bottom="0" percent="0" rank="0" text="" dxfId="3">
      <formula>AND(ISNUMBER($F8),$F8&lt;0.8)</formula>
    </cfRule>
  </conditionalFormatting>
  <conditionalFormatting sqref="G26:G67">
    <cfRule type="expression" priority="3" aboveAverage="0" equalAverage="0" bottom="0" percent="0" rank="0" text="" dxfId="3">
      <formula>$G26&gt;0</formula>
    </cfRule>
  </conditionalFormatting>
  <conditionalFormatting sqref="I26:I67">
    <cfRule type="expression" priority="4" aboveAverage="0" equalAverage="0" bottom="0" percent="0" rank="0" text="" dxfId="3">
      <formula>$I26&gt;0</formula>
    </cfRule>
  </conditionalFormatting>
  <conditionalFormatting sqref="K26:K67">
    <cfRule type="expression" priority="5" aboveAverage="0" equalAverage="0" bottom="0" percent="0" rank="0" text="" dxfId="3">
      <formula>$K26&gt;0</formula>
    </cfRule>
  </conditionalFormatting>
  <conditionalFormatting sqref="M26:M67">
    <cfRule type="expression" priority="6" aboveAverage="0" equalAverage="0" bottom="0" percent="0" rank="0" text="" dxfId="3">
      <formula>$M26&gt;0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4" min="12" style="0" width="13"/>
    <col collapsed="false" customWidth="true" hidden="false" outlineLevel="0" max="15" min="15" style="0" width="22"/>
    <col collapsed="false" customWidth="true" hidden="false" outlineLevel="0" max="16" min="16" style="0" width="52"/>
    <col collapsed="false" customWidth="true" hidden="false" outlineLevel="0" max="17" min="17" style="0" width="13"/>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6"/>
    <col collapsed="false" customWidth="true" hidden="false" outlineLevel="0" max="22" min="22" style="0" width="40"/>
  </cols>
  <sheetData>
    <row r="1" customFormat="false" ht="18.55" hidden="false" customHeight="false" outlineLevel="0" collapsed="false">
      <c r="A1" s="1" t="s">
        <v>823</v>
      </c>
    </row>
    <row r="2" customFormat="false" ht="15" hidden="false" customHeight="false" outlineLevel="0" collapsed="false">
      <c r="A2" s="3" t="s">
        <v>824</v>
      </c>
    </row>
    <row r="3" customFormat="false" ht="15" hidden="false" customHeight="false" outlineLevel="0" collapsed="false">
      <c r="A3" s="3" t="s">
        <v>825</v>
      </c>
    </row>
    <row r="5" customFormat="false" ht="15" hidden="false" customHeight="false" outlineLevel="0" collapsed="false">
      <c r="A5" s="4" t="s">
        <v>826</v>
      </c>
    </row>
    <row r="6" customFormat="false" ht="15" hidden="false" customHeight="false" outlineLevel="0" collapsed="false">
      <c r="A6" s="26" t="s">
        <v>827</v>
      </c>
      <c r="B6" s="26" t="s">
        <v>828</v>
      </c>
      <c r="C6" s="26" t="s">
        <v>829</v>
      </c>
      <c r="D6" s="26" t="s">
        <v>429</v>
      </c>
    </row>
    <row r="7" customFormat="false" ht="15" hidden="false" customHeight="false" outlineLevel="0" collapsed="false">
      <c r="A7" s="33" t="s">
        <v>830</v>
      </c>
      <c r="B7" s="32" t="s">
        <v>831</v>
      </c>
      <c r="C7" s="33" t="s">
        <v>832</v>
      </c>
      <c r="D7" s="55"/>
    </row>
    <row r="8" customFormat="false" ht="15" hidden="false" customHeight="false" outlineLevel="0" collapsed="false">
      <c r="A8" s="33" t="s">
        <v>333</v>
      </c>
      <c r="B8" s="32" t="s">
        <v>833</v>
      </c>
      <c r="C8" s="33" t="s">
        <v>834</v>
      </c>
      <c r="D8" s="55"/>
    </row>
    <row r="9" customFormat="false" ht="15" hidden="false" customHeight="false" outlineLevel="0" collapsed="false">
      <c r="A9" s="33" t="s">
        <v>341</v>
      </c>
      <c r="B9" s="32" t="s">
        <v>835</v>
      </c>
      <c r="C9" s="33" t="s">
        <v>836</v>
      </c>
      <c r="D9" s="33" t="s">
        <v>837</v>
      </c>
    </row>
    <row r="10" customFormat="false" ht="15" hidden="false" customHeight="false" outlineLevel="0" collapsed="false">
      <c r="A10" s="50" t="s">
        <v>838</v>
      </c>
      <c r="B10" s="32"/>
      <c r="C10" s="55"/>
      <c r="D10" s="55" t="s">
        <v>839</v>
      </c>
    </row>
    <row r="11" customFormat="false" ht="15" hidden="false" customHeight="false" outlineLevel="0" collapsed="false">
      <c r="A11" s="33" t="s">
        <v>840</v>
      </c>
      <c r="B11" s="32" t="s">
        <v>841</v>
      </c>
      <c r="C11" s="33" t="s">
        <v>842</v>
      </c>
      <c r="D11" s="33" t="s">
        <v>843</v>
      </c>
    </row>
    <row r="12" customFormat="false" ht="15" hidden="false" customHeight="false" outlineLevel="0" collapsed="false">
      <c r="A12" s="33" t="s">
        <v>341</v>
      </c>
      <c r="B12" s="32" t="s">
        <v>844</v>
      </c>
      <c r="C12" s="33" t="s">
        <v>845</v>
      </c>
      <c r="D12" s="33" t="s">
        <v>846</v>
      </c>
    </row>
    <row r="14" customFormat="false" ht="15" hidden="false" customHeight="false" outlineLevel="0" collapsed="false">
      <c r="A14" s="4" t="s">
        <v>847</v>
      </c>
    </row>
    <row r="15" customFormat="false" ht="42" hidden="false" customHeight="true" outlineLevel="0" collapsed="false">
      <c r="A15" s="25" t="s">
        <v>263</v>
      </c>
      <c r="B15" s="25" t="s">
        <v>264</v>
      </c>
      <c r="C15" s="26" t="s">
        <v>265</v>
      </c>
      <c r="D15" s="49" t="s">
        <v>848</v>
      </c>
      <c r="E15" s="49" t="s">
        <v>849</v>
      </c>
      <c r="F15" s="62" t="s">
        <v>517</v>
      </c>
      <c r="G15" s="49" t="s">
        <v>487</v>
      </c>
      <c r="H15" s="17" t="s">
        <v>850</v>
      </c>
      <c r="I15" s="49" t="s">
        <v>488</v>
      </c>
      <c r="J15" s="17" t="s">
        <v>851</v>
      </c>
      <c r="K15" s="49" t="s">
        <v>489</v>
      </c>
      <c r="L15" s="17" t="s">
        <v>852</v>
      </c>
      <c r="M15" s="49" t="s">
        <v>490</v>
      </c>
      <c r="N15" s="17" t="s">
        <v>853</v>
      </c>
      <c r="O15" s="67" t="s">
        <v>854</v>
      </c>
      <c r="P15" s="67" t="s">
        <v>855</v>
      </c>
      <c r="Q15" s="67" t="s">
        <v>856</v>
      </c>
      <c r="R15" s="31" t="s">
        <v>504</v>
      </c>
      <c r="S15" s="31" t="s">
        <v>524</v>
      </c>
      <c r="T15" s="31" t="s">
        <v>525</v>
      </c>
      <c r="U15" s="31" t="s">
        <v>857</v>
      </c>
      <c r="V15" s="68" t="s">
        <v>429</v>
      </c>
    </row>
    <row r="16" customFormat="false" ht="15" hidden="false" customHeight="false" outlineLevel="0" collapsed="false">
      <c r="A16" s="32" t="n">
        <v>1</v>
      </c>
      <c r="B16" s="32" t="s">
        <v>286</v>
      </c>
      <c r="C16" s="33" t="s">
        <v>287</v>
      </c>
      <c r="D16" s="32" t="n">
        <v>1</v>
      </c>
      <c r="E16" s="32" t="n">
        <f aca="false">IF(ISNUMBER(D16),ROUND(D16*30,0),"－")</f>
        <v>30</v>
      </c>
      <c r="F16" s="35" t="n">
        <f aca="false">③仙台以降予測!V30</f>
        <v>2489</v>
      </c>
      <c r="G16" s="35" t="n">
        <f aca="false">③仙台以降予測!I30</f>
        <v>524</v>
      </c>
      <c r="H16" s="101" t="n">
        <f aca="false">F16-G16</f>
        <v>1965</v>
      </c>
      <c r="I16" s="35" t="n">
        <f aca="false">③仙台以降予測!J30</f>
        <v>483</v>
      </c>
      <c r="J16" s="101" t="n">
        <f aca="false">H16-I16</f>
        <v>1482</v>
      </c>
      <c r="K16" s="35" t="n">
        <f aca="false">③仙台以降予測!K30</f>
        <v>363</v>
      </c>
      <c r="L16" s="101" t="n">
        <f aca="false">J16-K16</f>
        <v>1119</v>
      </c>
      <c r="M16" s="35" t="n">
        <f aca="false">③仙台以降予測!L30</f>
        <v>2014</v>
      </c>
      <c r="N16" s="101" t="n">
        <f aca="false">L16-M16</f>
        <v>-895</v>
      </c>
      <c r="O16" s="69" t="str">
        <f aca="false">_xlfn.IFS(H16&lt;0,"仙台 Ebeans",J16&lt;0,"神戸阪急",L16&lt;0,"鳥取島根 夢みなとタワー",N16&lt;0,"東京凱旋 東京建物ぴあホール",TRUE(),"—")</f>
        <v>東京凱旋 東京建物ぴあホール</v>
      </c>
      <c r="P16" s="70" t="n">
        <f aca="false">IF(O16="—","",_xlfn.IFS(H16&lt;0,DATE(2026,9,5),J16&lt;0,DATE(2026,12,16),L16&lt;0,DATE(2027,3,15),N16&lt;0,DATE(2027,4,1)))</f>
        <v>46478</v>
      </c>
      <c r="Q16" s="35" t="n">
        <f aca="false">MAX(0,-N16)</f>
        <v>895</v>
      </c>
      <c r="R16" s="35" t="n">
        <f aca="false">IF(Q16&gt;0,ROUNDUP(Q16*(1+前提・入力!$B$34),0),0)</f>
        <v>985</v>
      </c>
      <c r="S16" s="70" t="n">
        <f aca="false">IF(P16="","",IF(NOT(ISNUMBER(D16)),"再生産不可",P16-E16-前提・入力!$B$37))</f>
        <v>46434</v>
      </c>
      <c r="T16" s="71" t="n">
        <f aca="false">IF(OR(S16="",S16="再生産不可"),"",S16-前提・入力!$B$38)</f>
        <v>174</v>
      </c>
      <c r="U16" s="72" t="str">
        <f aca="false">IF(O16="","—",IF(S16="再生産不可","×再生産不可",_xlfn.IFS(T16&lt;0,"★期限超過",T16&lt;=30,"★至急(30日以内)",T16&lt;=90,"要着手(90日以内)",TRUE(),"余裕あり")))</f>
        <v>余裕あり</v>
      </c>
      <c r="V16" s="72"/>
    </row>
    <row r="17" customFormat="false" ht="15" hidden="false" customHeight="false" outlineLevel="0" collapsed="false">
      <c r="A17" s="32" t="n">
        <v>2</v>
      </c>
      <c r="B17" s="32" t="s">
        <v>288</v>
      </c>
      <c r="C17" s="33" t="s">
        <v>289</v>
      </c>
      <c r="D17" s="32" t="n">
        <v>1</v>
      </c>
      <c r="E17" s="32" t="n">
        <f aca="false">IF(ISNUMBER(D17),ROUND(D17*30,0),"－")</f>
        <v>30</v>
      </c>
      <c r="F17" s="35" t="n">
        <f aca="false">③仙台以降予測!V31</f>
        <v>4170</v>
      </c>
      <c r="G17" s="35" t="n">
        <f aca="false">③仙台以降予測!I31</f>
        <v>591</v>
      </c>
      <c r="H17" s="101" t="n">
        <f aca="false">F17-G17</f>
        <v>3579</v>
      </c>
      <c r="I17" s="35" t="n">
        <f aca="false">③仙台以降予測!J31</f>
        <v>545</v>
      </c>
      <c r="J17" s="101" t="n">
        <f aca="false">H17-I17</f>
        <v>3034</v>
      </c>
      <c r="K17" s="35" t="n">
        <f aca="false">③仙台以降予測!K31</f>
        <v>409</v>
      </c>
      <c r="L17" s="101" t="n">
        <f aca="false">J17-K17</f>
        <v>2625</v>
      </c>
      <c r="M17" s="35" t="n">
        <f aca="false">③仙台以降予測!L31</f>
        <v>2273</v>
      </c>
      <c r="N17" s="101" t="n">
        <f aca="false">L17-M17</f>
        <v>352</v>
      </c>
      <c r="O17" s="69" t="str">
        <f aca="false">_xlfn.IFS(H17&lt;0,"仙台 Ebeans",J17&lt;0,"神戸阪急",L17&lt;0,"鳥取島根 夢みなとタワー",N17&lt;0,"東京凱旋 東京建物ぴあホール",TRUE(),"—")</f>
        <v>—</v>
      </c>
      <c r="P17" s="70" t="str">
        <f aca="false">IF(O17="—","",_xlfn.IFS(H17&lt;0,DATE(2026,9,5),J17&lt;0,DATE(2026,12,16),L17&lt;0,DATE(2027,3,15),N17&lt;0,DATE(2027,4,1)))</f>
        <v/>
      </c>
      <c r="Q17" s="35" t="n">
        <f aca="false">MAX(0,-N17)</f>
        <v>0</v>
      </c>
      <c r="R17" s="35" t="n">
        <f aca="false">IF(Q17&gt;0,ROUNDUP(Q17*(1+前提・入力!$B$34),0),0)</f>
        <v>0</v>
      </c>
      <c r="S17" s="70" t="str">
        <f aca="false">IF(P17="","",IF(NOT(ISNUMBER(D17)),"再生産不可",P17-E17-前提・入力!$B$37))</f>
        <v/>
      </c>
      <c r="T17" s="71" t="str">
        <f aca="false">IF(OR(S17="",S17="再生産不可"),"",S17-前提・入力!$B$38)</f>
        <v/>
      </c>
      <c r="U17" s="72" t="str">
        <f aca="false">IF(O17="","—",IF(S17="再生産不可","×再生産不可",_xlfn.IFS(T17&lt;0,"★期限超過",T17&lt;=30,"★至急(30日以内)",T17&lt;=90,"要着手(90日以内)",TRUE(),"余裕あり")))</f>
        <v>余裕あり</v>
      </c>
      <c r="V17" s="72"/>
    </row>
    <row r="18" customFormat="false" ht="15" hidden="false" customHeight="false" outlineLevel="0" collapsed="false">
      <c r="A18" s="32" t="n">
        <v>3</v>
      </c>
      <c r="B18" s="32" t="s">
        <v>290</v>
      </c>
      <c r="C18" s="33" t="s">
        <v>291</v>
      </c>
      <c r="D18" s="32" t="n">
        <v>1</v>
      </c>
      <c r="E18" s="32" t="n">
        <f aca="false">IF(ISNUMBER(D18),ROUND(D18*30,0),"－")</f>
        <v>30</v>
      </c>
      <c r="F18" s="35" t="n">
        <f aca="false">③仙台以降予測!V32</f>
        <v>1857</v>
      </c>
      <c r="G18" s="35" t="n">
        <f aca="false">③仙台以降予測!I32</f>
        <v>200</v>
      </c>
      <c r="H18" s="101" t="n">
        <f aca="false">F18-G18</f>
        <v>1657</v>
      </c>
      <c r="I18" s="35" t="n">
        <f aca="false">③仙台以降予測!J32</f>
        <v>184</v>
      </c>
      <c r="J18" s="101" t="n">
        <f aca="false">H18-I18</f>
        <v>1473</v>
      </c>
      <c r="K18" s="35" t="n">
        <f aca="false">③仙台以降予測!K32</f>
        <v>138</v>
      </c>
      <c r="L18" s="101" t="n">
        <f aca="false">J18-K18</f>
        <v>1335</v>
      </c>
      <c r="M18" s="35" t="n">
        <f aca="false">③仙台以降予測!L32</f>
        <v>769</v>
      </c>
      <c r="N18" s="101" t="n">
        <f aca="false">L18-M18</f>
        <v>566</v>
      </c>
      <c r="O18" s="69" t="str">
        <f aca="false">_xlfn.IFS(H18&lt;0,"仙台 Ebeans",J18&lt;0,"神戸阪急",L18&lt;0,"鳥取島根 夢みなとタワー",N18&lt;0,"東京凱旋 東京建物ぴあホール",TRUE(),"—")</f>
        <v>—</v>
      </c>
      <c r="P18" s="70" t="str">
        <f aca="false">IF(O18="—","",_xlfn.IFS(H18&lt;0,DATE(2026,9,5),J18&lt;0,DATE(2026,12,16),L18&lt;0,DATE(2027,3,15),N18&lt;0,DATE(2027,4,1)))</f>
        <v/>
      </c>
      <c r="Q18" s="35" t="n">
        <f aca="false">MAX(0,-N18)</f>
        <v>0</v>
      </c>
      <c r="R18" s="35" t="n">
        <f aca="false">IF(Q18&gt;0,ROUNDUP(Q18*(1+前提・入力!$B$34),0),0)</f>
        <v>0</v>
      </c>
      <c r="S18" s="70" t="str">
        <f aca="false">IF(P18="","",IF(NOT(ISNUMBER(D18)),"再生産不可",P18-E18-前提・入力!$B$37))</f>
        <v/>
      </c>
      <c r="T18" s="71" t="str">
        <f aca="false">IF(OR(S18="",S18="再生産不可"),"",S18-前提・入力!$B$38)</f>
        <v/>
      </c>
      <c r="U18" s="72" t="str">
        <f aca="false">IF(O18="","—",IF(S18="再生産不可","×再生産不可",_xlfn.IFS(T18&lt;0,"★期限超過",T18&lt;=30,"★至急(30日以内)",T18&lt;=90,"要着手(90日以内)",TRUE(),"余裕あり")))</f>
        <v>余裕あり</v>
      </c>
      <c r="V18" s="72"/>
    </row>
    <row r="19" customFormat="false" ht="15" hidden="false" customHeight="false" outlineLevel="0" collapsed="false">
      <c r="A19" s="32" t="n">
        <v>4</v>
      </c>
      <c r="B19" s="32" t="s">
        <v>292</v>
      </c>
      <c r="C19" s="33" t="s">
        <v>293</v>
      </c>
      <c r="D19" s="32" t="n">
        <v>1</v>
      </c>
      <c r="E19" s="32" t="n">
        <f aca="false">IF(ISNUMBER(D19),ROUND(D19*30,0),"－")</f>
        <v>30</v>
      </c>
      <c r="F19" s="35" t="n">
        <f aca="false">③仙台以降予測!V33</f>
        <v>3153</v>
      </c>
      <c r="G19" s="35" t="n">
        <f aca="false">③仙台以降予測!I33</f>
        <v>246</v>
      </c>
      <c r="H19" s="101" t="n">
        <f aca="false">F19-G19</f>
        <v>2907</v>
      </c>
      <c r="I19" s="35" t="n">
        <f aca="false">③仙台以降予測!J33</f>
        <v>227</v>
      </c>
      <c r="J19" s="101" t="n">
        <f aca="false">H19-I19</f>
        <v>2680</v>
      </c>
      <c r="K19" s="35" t="n">
        <f aca="false">③仙台以降予測!K33</f>
        <v>171</v>
      </c>
      <c r="L19" s="101" t="n">
        <f aca="false">J19-K19</f>
        <v>2509</v>
      </c>
      <c r="M19" s="35" t="n">
        <f aca="false">③仙台以降予測!L33</f>
        <v>947</v>
      </c>
      <c r="N19" s="101" t="n">
        <f aca="false">L19-M19</f>
        <v>1562</v>
      </c>
      <c r="O19" s="69" t="str">
        <f aca="false">_xlfn.IFS(H19&lt;0,"仙台 Ebeans",J19&lt;0,"神戸阪急",L19&lt;0,"鳥取島根 夢みなとタワー",N19&lt;0,"東京凱旋 東京建物ぴあホール",TRUE(),"—")</f>
        <v>—</v>
      </c>
      <c r="P19" s="70" t="str">
        <f aca="false">IF(O19="—","",_xlfn.IFS(H19&lt;0,DATE(2026,9,5),J19&lt;0,DATE(2026,12,16),L19&lt;0,DATE(2027,3,15),N19&lt;0,DATE(2027,4,1)))</f>
        <v/>
      </c>
      <c r="Q19" s="35" t="n">
        <f aca="false">MAX(0,-N19)</f>
        <v>0</v>
      </c>
      <c r="R19" s="35" t="n">
        <f aca="false">IF(Q19&gt;0,ROUNDUP(Q19*(1+前提・入力!$B$34),0),0)</f>
        <v>0</v>
      </c>
      <c r="S19" s="70" t="str">
        <f aca="false">IF(P19="","",IF(NOT(ISNUMBER(D19)),"再生産不可",P19-E19-前提・入力!$B$37))</f>
        <v/>
      </c>
      <c r="T19" s="71" t="str">
        <f aca="false">IF(OR(S19="",S19="再生産不可"),"",S19-前提・入力!$B$38)</f>
        <v/>
      </c>
      <c r="U19" s="72" t="str">
        <f aca="false">IF(O19="","—",IF(S19="再生産不可","×再生産不可",_xlfn.IFS(T19&lt;0,"★期限超過",T19&lt;=30,"★至急(30日以内)",T19&lt;=90,"要着手(90日以内)",TRUE(),"余裕あり")))</f>
        <v>余裕あり</v>
      </c>
      <c r="V19" s="72"/>
    </row>
    <row r="20" customFormat="false" ht="15" hidden="false" customHeight="false" outlineLevel="0" collapsed="false">
      <c r="A20" s="32" t="n">
        <v>5</v>
      </c>
      <c r="B20" s="32" t="s">
        <v>294</v>
      </c>
      <c r="C20" s="33" t="s">
        <v>295</v>
      </c>
      <c r="D20" s="32" t="n">
        <v>1</v>
      </c>
      <c r="E20" s="32" t="n">
        <f aca="false">IF(ISNUMBER(D20),ROUND(D20*30,0),"－")</f>
        <v>30</v>
      </c>
      <c r="F20" s="35" t="n">
        <f aca="false">③仙台以降予測!V34</f>
        <v>39392</v>
      </c>
      <c r="G20" s="35" t="n">
        <f aca="false">③仙台以降予測!I34</f>
        <v>491</v>
      </c>
      <c r="H20" s="101" t="n">
        <f aca="false">F20-G20</f>
        <v>38901</v>
      </c>
      <c r="I20" s="35" t="n">
        <f aca="false">③仙台以降予測!J34</f>
        <v>453</v>
      </c>
      <c r="J20" s="101" t="n">
        <f aca="false">H20-I20</f>
        <v>38448</v>
      </c>
      <c r="K20" s="35" t="n">
        <f aca="false">③仙台以降予測!K34</f>
        <v>340</v>
      </c>
      <c r="L20" s="101" t="n">
        <f aca="false">J20-K20</f>
        <v>38108</v>
      </c>
      <c r="M20" s="35" t="n">
        <f aca="false">③仙台以降予測!L34</f>
        <v>1889</v>
      </c>
      <c r="N20" s="101" t="n">
        <f aca="false">L20-M20</f>
        <v>36219</v>
      </c>
      <c r="O20" s="69" t="str">
        <f aca="false">_xlfn.IFS(H20&lt;0,"仙台 Ebeans",J20&lt;0,"神戸阪急",L20&lt;0,"鳥取島根 夢みなとタワー",N20&lt;0,"東京凱旋 東京建物ぴあホール",TRUE(),"—")</f>
        <v>—</v>
      </c>
      <c r="P20" s="70" t="str">
        <f aca="false">IF(O20="—","",_xlfn.IFS(H20&lt;0,DATE(2026,9,5),J20&lt;0,DATE(2026,12,16),L20&lt;0,DATE(2027,3,15),N20&lt;0,DATE(2027,4,1)))</f>
        <v/>
      </c>
      <c r="Q20" s="35" t="n">
        <f aca="false">MAX(0,-N20)</f>
        <v>0</v>
      </c>
      <c r="R20" s="35" t="n">
        <f aca="false">IF(Q20&gt;0,ROUNDUP(Q20*(1+前提・入力!$B$34),0),0)</f>
        <v>0</v>
      </c>
      <c r="S20" s="70" t="str">
        <f aca="false">IF(P20="","",IF(NOT(ISNUMBER(D20)),"再生産不可",P20-E20-前提・入力!$B$37))</f>
        <v/>
      </c>
      <c r="T20" s="71" t="str">
        <f aca="false">IF(OR(S20="",S20="再生産不可"),"",S20-前提・入力!$B$38)</f>
        <v/>
      </c>
      <c r="U20" s="72" t="str">
        <f aca="false">IF(O20="","—",IF(S20="再生産不可","×再生産不可",_xlfn.IFS(T20&lt;0,"★期限超過",T20&lt;=30,"★至急(30日以内)",T20&lt;=90,"要着手(90日以内)",TRUE(),"余裕あり")))</f>
        <v>余裕あり</v>
      </c>
      <c r="V20" s="72"/>
    </row>
    <row r="21" customFormat="false" ht="15" hidden="false" customHeight="false" outlineLevel="0" collapsed="false">
      <c r="A21" s="32" t="n">
        <v>6</v>
      </c>
      <c r="B21" s="32" t="s">
        <v>296</v>
      </c>
      <c r="C21" s="33" t="s">
        <v>297</v>
      </c>
      <c r="D21" s="32" t="n">
        <v>1</v>
      </c>
      <c r="E21" s="32" t="n">
        <f aca="false">IF(ISNUMBER(D21),ROUND(D21*30,0),"－")</f>
        <v>30</v>
      </c>
      <c r="F21" s="35" t="n">
        <f aca="false">③仙台以降予測!V35</f>
        <v>50228</v>
      </c>
      <c r="G21" s="35" t="n">
        <f aca="false">③仙台以降予測!I35</f>
        <v>1082</v>
      </c>
      <c r="H21" s="101" t="n">
        <f aca="false">F21-G21</f>
        <v>49146</v>
      </c>
      <c r="I21" s="35" t="n">
        <f aca="false">③仙台以降予測!J35</f>
        <v>999</v>
      </c>
      <c r="J21" s="101" t="n">
        <f aca="false">H21-I21</f>
        <v>48147</v>
      </c>
      <c r="K21" s="35" t="n">
        <f aca="false">③仙台以降予測!K35</f>
        <v>749</v>
      </c>
      <c r="L21" s="101" t="n">
        <f aca="false">J21-K21</f>
        <v>47398</v>
      </c>
      <c r="M21" s="35" t="n">
        <f aca="false">③仙台以降予測!L35</f>
        <v>4161</v>
      </c>
      <c r="N21" s="101" t="n">
        <f aca="false">L21-M21</f>
        <v>43237</v>
      </c>
      <c r="O21" s="69" t="str">
        <f aca="false">_xlfn.IFS(H21&lt;0,"仙台 Ebeans",J21&lt;0,"神戸阪急",L21&lt;0,"鳥取島根 夢みなとタワー",N21&lt;0,"東京凱旋 東京建物ぴあホール",TRUE(),"—")</f>
        <v>—</v>
      </c>
      <c r="P21" s="70" t="str">
        <f aca="false">IF(O21="—","",_xlfn.IFS(H21&lt;0,DATE(2026,9,5),J21&lt;0,DATE(2026,12,16),L21&lt;0,DATE(2027,3,15),N21&lt;0,DATE(2027,4,1)))</f>
        <v/>
      </c>
      <c r="Q21" s="35" t="n">
        <f aca="false">MAX(0,-N21)</f>
        <v>0</v>
      </c>
      <c r="R21" s="35" t="n">
        <f aca="false">IF(Q21&gt;0,ROUNDUP(Q21*(1+前提・入力!$B$34),0),0)</f>
        <v>0</v>
      </c>
      <c r="S21" s="70" t="str">
        <f aca="false">IF(P21="","",IF(NOT(ISNUMBER(D21)),"再生産不可",P21-E21-前提・入力!$B$37))</f>
        <v/>
      </c>
      <c r="T21" s="71" t="str">
        <f aca="false">IF(OR(S21="",S21="再生産不可"),"",S21-前提・入力!$B$38)</f>
        <v/>
      </c>
      <c r="U21" s="72" t="str">
        <f aca="false">IF(O21="","—",IF(S21="再生産不可","×再生産不可",_xlfn.IFS(T21&lt;0,"★期限超過",T21&lt;=30,"★至急(30日以内)",T21&lt;=90,"要着手(90日以内)",TRUE(),"余裕あり")))</f>
        <v>余裕あり</v>
      </c>
      <c r="V21" s="72"/>
    </row>
    <row r="22" customFormat="false" ht="15" hidden="false" customHeight="false" outlineLevel="0" collapsed="false">
      <c r="A22" s="32" t="n">
        <v>7</v>
      </c>
      <c r="B22" s="32" t="s">
        <v>298</v>
      </c>
      <c r="C22" s="33" t="s">
        <v>299</v>
      </c>
      <c r="D22" s="32" t="n">
        <v>1</v>
      </c>
      <c r="E22" s="32" t="n">
        <f aca="false">IF(ISNUMBER(D22),ROUND(D22*30,0),"－")</f>
        <v>30</v>
      </c>
      <c r="F22" s="35" t="n">
        <f aca="false">③仙台以降予測!V36</f>
        <v>4249</v>
      </c>
      <c r="G22" s="35" t="n">
        <f aca="false">③仙台以降予測!I36</f>
        <v>253</v>
      </c>
      <c r="H22" s="101" t="n">
        <f aca="false">F22-G22</f>
        <v>3996</v>
      </c>
      <c r="I22" s="35" t="n">
        <f aca="false">③仙台以降予測!J36</f>
        <v>234</v>
      </c>
      <c r="J22" s="101" t="n">
        <f aca="false">H22-I22</f>
        <v>3762</v>
      </c>
      <c r="K22" s="35" t="n">
        <f aca="false">③仙台以降予測!K36</f>
        <v>175</v>
      </c>
      <c r="L22" s="101" t="n">
        <f aca="false">J22-K22</f>
        <v>3587</v>
      </c>
      <c r="M22" s="35" t="n">
        <f aca="false">③仙台以降予測!L36</f>
        <v>973</v>
      </c>
      <c r="N22" s="101" t="n">
        <f aca="false">L22-M22</f>
        <v>2614</v>
      </c>
      <c r="O22" s="69" t="str">
        <f aca="false">_xlfn.IFS(H22&lt;0,"仙台 Ebeans",J22&lt;0,"神戸阪急",L22&lt;0,"鳥取島根 夢みなとタワー",N22&lt;0,"東京凱旋 東京建物ぴあホール",TRUE(),"—")</f>
        <v>—</v>
      </c>
      <c r="P22" s="70" t="str">
        <f aca="false">IF(O22="—","",_xlfn.IFS(H22&lt;0,DATE(2026,9,5),J22&lt;0,DATE(2026,12,16),L22&lt;0,DATE(2027,3,15),N22&lt;0,DATE(2027,4,1)))</f>
        <v/>
      </c>
      <c r="Q22" s="35" t="n">
        <f aca="false">MAX(0,-N22)</f>
        <v>0</v>
      </c>
      <c r="R22" s="35" t="n">
        <f aca="false">IF(Q22&gt;0,ROUNDUP(Q22*(1+前提・入力!$B$34),0),0)</f>
        <v>0</v>
      </c>
      <c r="S22" s="70" t="str">
        <f aca="false">IF(P22="","",IF(NOT(ISNUMBER(D22)),"再生産不可",P22-E22-前提・入力!$B$37))</f>
        <v/>
      </c>
      <c r="T22" s="71" t="str">
        <f aca="false">IF(OR(S22="",S22="再生産不可"),"",S22-前提・入力!$B$38)</f>
        <v/>
      </c>
      <c r="U22" s="72" t="str">
        <f aca="false">IF(O22="","—",IF(S22="再生産不可","×再生産不可",_xlfn.IFS(T22&lt;0,"★期限超過",T22&lt;=30,"★至急(30日以内)",T22&lt;=90,"要着手(90日以内)",TRUE(),"余裕あり")))</f>
        <v>余裕あり</v>
      </c>
      <c r="V22" s="72"/>
    </row>
    <row r="23" customFormat="false" ht="15" hidden="false" customHeight="false" outlineLevel="0" collapsed="false">
      <c r="A23" s="32" t="n">
        <v>8</v>
      </c>
      <c r="B23" s="32" t="s">
        <v>300</v>
      </c>
      <c r="C23" s="33" t="s">
        <v>301</v>
      </c>
      <c r="D23" s="32" t="n">
        <v>1</v>
      </c>
      <c r="E23" s="32" t="n">
        <f aca="false">IF(ISNUMBER(D23),ROUND(D23*30,0),"－")</f>
        <v>30</v>
      </c>
      <c r="F23" s="35" t="n">
        <f aca="false">③仙台以降予測!V37</f>
        <v>8034</v>
      </c>
      <c r="G23" s="35" t="n">
        <f aca="false">③仙台以降予測!I37</f>
        <v>419</v>
      </c>
      <c r="H23" s="101" t="n">
        <f aca="false">F23-G23</f>
        <v>7615</v>
      </c>
      <c r="I23" s="35" t="n">
        <f aca="false">③仙台以降予測!J37</f>
        <v>387</v>
      </c>
      <c r="J23" s="101" t="n">
        <f aca="false">H23-I23</f>
        <v>7228</v>
      </c>
      <c r="K23" s="35" t="n">
        <f aca="false">③仙台以降予測!K37</f>
        <v>290</v>
      </c>
      <c r="L23" s="101" t="n">
        <f aca="false">J23-K23</f>
        <v>6938</v>
      </c>
      <c r="M23" s="35" t="n">
        <f aca="false">③仙台以降予測!L37</f>
        <v>1611</v>
      </c>
      <c r="N23" s="101" t="n">
        <f aca="false">L23-M23</f>
        <v>5327</v>
      </c>
      <c r="O23" s="69" t="str">
        <f aca="false">_xlfn.IFS(H23&lt;0,"仙台 Ebeans",J23&lt;0,"神戸阪急",L23&lt;0,"鳥取島根 夢みなとタワー",N23&lt;0,"東京凱旋 東京建物ぴあホール",TRUE(),"—")</f>
        <v>—</v>
      </c>
      <c r="P23" s="70" t="str">
        <f aca="false">IF(O23="—","",_xlfn.IFS(H23&lt;0,DATE(2026,9,5),J23&lt;0,DATE(2026,12,16),L23&lt;0,DATE(2027,3,15),N23&lt;0,DATE(2027,4,1)))</f>
        <v/>
      </c>
      <c r="Q23" s="35" t="n">
        <f aca="false">MAX(0,-N23)</f>
        <v>0</v>
      </c>
      <c r="R23" s="35" t="n">
        <f aca="false">IF(Q23&gt;0,ROUNDUP(Q23*(1+前提・入力!$B$34),0),0)</f>
        <v>0</v>
      </c>
      <c r="S23" s="70" t="str">
        <f aca="false">IF(P23="","",IF(NOT(ISNUMBER(D23)),"再生産不可",P23-E23-前提・入力!$B$37))</f>
        <v/>
      </c>
      <c r="T23" s="71" t="str">
        <f aca="false">IF(OR(S23="",S23="再生産不可"),"",S23-前提・入力!$B$38)</f>
        <v/>
      </c>
      <c r="U23" s="72" t="str">
        <f aca="false">IF(O23="","—",IF(S23="再生産不可","×再生産不可",_xlfn.IFS(T23&lt;0,"★期限超過",T23&lt;=30,"★至急(30日以内)",T23&lt;=90,"要着手(90日以内)",TRUE(),"余裕あり")))</f>
        <v>余裕あり</v>
      </c>
      <c r="V23" s="72"/>
    </row>
    <row r="24" customFormat="false" ht="15" hidden="false" customHeight="false" outlineLevel="0" collapsed="false">
      <c r="A24" s="32" t="n">
        <v>9</v>
      </c>
      <c r="B24" s="32" t="s">
        <v>302</v>
      </c>
      <c r="C24" s="33" t="s">
        <v>303</v>
      </c>
      <c r="D24" s="32" t="n">
        <v>1</v>
      </c>
      <c r="E24" s="32" t="n">
        <f aca="false">IF(ISNUMBER(D24),ROUND(D24*30,0),"－")</f>
        <v>30</v>
      </c>
      <c r="F24" s="35" t="n">
        <f aca="false">③仙台以降予測!V38</f>
        <v>8547</v>
      </c>
      <c r="G24" s="35" t="n">
        <f aca="false">③仙台以降予測!I38</f>
        <v>133</v>
      </c>
      <c r="H24" s="101" t="n">
        <f aca="false">F24-G24</f>
        <v>8414</v>
      </c>
      <c r="I24" s="35" t="n">
        <f aca="false">③仙台以降予測!J38</f>
        <v>123</v>
      </c>
      <c r="J24" s="101" t="n">
        <f aca="false">H24-I24</f>
        <v>8291</v>
      </c>
      <c r="K24" s="35" t="n">
        <f aca="false">③仙台以降予測!K38</f>
        <v>92</v>
      </c>
      <c r="L24" s="101" t="n">
        <f aca="false">J24-K24</f>
        <v>8199</v>
      </c>
      <c r="M24" s="35" t="n">
        <f aca="false">③仙台以降予測!L38</f>
        <v>512</v>
      </c>
      <c r="N24" s="101" t="n">
        <f aca="false">L24-M24</f>
        <v>7687</v>
      </c>
      <c r="O24" s="69" t="str">
        <f aca="false">_xlfn.IFS(H24&lt;0,"仙台 Ebeans",J24&lt;0,"神戸阪急",L24&lt;0,"鳥取島根 夢みなとタワー",N24&lt;0,"東京凱旋 東京建物ぴあホール",TRUE(),"—")</f>
        <v>—</v>
      </c>
      <c r="P24" s="70" t="str">
        <f aca="false">IF(O24="—","",_xlfn.IFS(H24&lt;0,DATE(2026,9,5),J24&lt;0,DATE(2026,12,16),L24&lt;0,DATE(2027,3,15),N24&lt;0,DATE(2027,4,1)))</f>
        <v/>
      </c>
      <c r="Q24" s="35" t="n">
        <f aca="false">MAX(0,-N24)</f>
        <v>0</v>
      </c>
      <c r="R24" s="35" t="n">
        <f aca="false">IF(Q24&gt;0,ROUNDUP(Q24*(1+前提・入力!$B$34),0),0)</f>
        <v>0</v>
      </c>
      <c r="S24" s="70" t="str">
        <f aca="false">IF(P24="","",IF(NOT(ISNUMBER(D24)),"再生産不可",P24-E24-前提・入力!$B$37))</f>
        <v/>
      </c>
      <c r="T24" s="71" t="str">
        <f aca="false">IF(OR(S24="",S24="再生産不可"),"",S24-前提・入力!$B$38)</f>
        <v/>
      </c>
      <c r="U24" s="72" t="str">
        <f aca="false">IF(O24="","—",IF(S24="再生産不可","×再生産不可",_xlfn.IFS(T24&lt;0,"★期限超過",T24&lt;=30,"★至急(30日以内)",T24&lt;=90,"要着手(90日以内)",TRUE(),"余裕あり")))</f>
        <v>余裕あり</v>
      </c>
      <c r="V24" s="72"/>
    </row>
    <row r="25" customFormat="false" ht="15" hidden="false" customHeight="false" outlineLevel="0" collapsed="false">
      <c r="A25" s="32" t="n">
        <v>10</v>
      </c>
      <c r="B25" s="32" t="s">
        <v>304</v>
      </c>
      <c r="C25" s="33" t="s">
        <v>305</v>
      </c>
      <c r="D25" s="32" t="n">
        <v>1</v>
      </c>
      <c r="E25" s="32" t="n">
        <f aca="false">IF(ISNUMBER(D25),ROUND(D25*30,0),"－")</f>
        <v>30</v>
      </c>
      <c r="F25" s="35" t="n">
        <f aca="false">③仙台以降予測!V39</f>
        <v>4856</v>
      </c>
      <c r="G25" s="35" t="n">
        <f aca="false">③仙台以降予測!I39</f>
        <v>50</v>
      </c>
      <c r="H25" s="101" t="n">
        <f aca="false">F25-G25</f>
        <v>4806</v>
      </c>
      <c r="I25" s="35" t="n">
        <f aca="false">③仙台以降予測!J39</f>
        <v>46</v>
      </c>
      <c r="J25" s="101" t="n">
        <f aca="false">H25-I25</f>
        <v>4760</v>
      </c>
      <c r="K25" s="35" t="n">
        <f aca="false">③仙台以降予測!K39</f>
        <v>35</v>
      </c>
      <c r="L25" s="101" t="n">
        <f aca="false">J25-K25</f>
        <v>4725</v>
      </c>
      <c r="M25" s="35" t="n">
        <f aca="false">③仙台以降予測!L39</f>
        <v>193</v>
      </c>
      <c r="N25" s="101" t="n">
        <f aca="false">L25-M25</f>
        <v>4532</v>
      </c>
      <c r="O25" s="69" t="str">
        <f aca="false">_xlfn.IFS(H25&lt;0,"仙台 Ebeans",J25&lt;0,"神戸阪急",L25&lt;0,"鳥取島根 夢みなとタワー",N25&lt;0,"東京凱旋 東京建物ぴあホール",TRUE(),"—")</f>
        <v>—</v>
      </c>
      <c r="P25" s="70" t="str">
        <f aca="false">IF(O25="—","",_xlfn.IFS(H25&lt;0,DATE(2026,9,5),J25&lt;0,DATE(2026,12,16),L25&lt;0,DATE(2027,3,15),N25&lt;0,DATE(2027,4,1)))</f>
        <v/>
      </c>
      <c r="Q25" s="35" t="n">
        <f aca="false">MAX(0,-N25)</f>
        <v>0</v>
      </c>
      <c r="R25" s="35" t="n">
        <f aca="false">IF(Q25&gt;0,ROUNDUP(Q25*(1+前提・入力!$B$34),0),0)</f>
        <v>0</v>
      </c>
      <c r="S25" s="70" t="str">
        <f aca="false">IF(P25="","",IF(NOT(ISNUMBER(D25)),"再生産不可",P25-E25-前提・入力!$B$37))</f>
        <v/>
      </c>
      <c r="T25" s="71" t="str">
        <f aca="false">IF(OR(S25="",S25="再生産不可"),"",S25-前提・入力!$B$38)</f>
        <v/>
      </c>
      <c r="U25" s="72" t="str">
        <f aca="false">IF(O25="","—",IF(S25="再生産不可","×再生産不可",_xlfn.IFS(T25&lt;0,"★期限超過",T25&lt;=30,"★至急(30日以内)",T25&lt;=90,"要着手(90日以内)",TRUE(),"余裕あり")))</f>
        <v>余裕あり</v>
      </c>
      <c r="V25" s="72"/>
    </row>
    <row r="26" customFormat="false" ht="15" hidden="false" customHeight="false" outlineLevel="0" collapsed="false">
      <c r="A26" s="32" t="n">
        <v>11</v>
      </c>
      <c r="B26" s="32" t="s">
        <v>306</v>
      </c>
      <c r="C26" s="33" t="s">
        <v>307</v>
      </c>
      <c r="D26" s="32" t="n">
        <v>1</v>
      </c>
      <c r="E26" s="32" t="n">
        <f aca="false">IF(ISNUMBER(D26),ROUND(D26*30,0),"－")</f>
        <v>30</v>
      </c>
      <c r="F26" s="35" t="n">
        <f aca="false">③仙台以降予測!V40</f>
        <v>609</v>
      </c>
      <c r="G26" s="35" t="n">
        <f aca="false">③仙台以降予測!I40</f>
        <v>19</v>
      </c>
      <c r="H26" s="101" t="n">
        <f aca="false">F26-G26</f>
        <v>590</v>
      </c>
      <c r="I26" s="35" t="n">
        <f aca="false">③仙台以降予測!J40</f>
        <v>17</v>
      </c>
      <c r="J26" s="101" t="n">
        <f aca="false">H26-I26</f>
        <v>573</v>
      </c>
      <c r="K26" s="35" t="n">
        <f aca="false">③仙台以降予測!K40</f>
        <v>13</v>
      </c>
      <c r="L26" s="101" t="n">
        <f aca="false">J26-K26</f>
        <v>560</v>
      </c>
      <c r="M26" s="35" t="n">
        <f aca="false">③仙台以降予測!L40</f>
        <v>72</v>
      </c>
      <c r="N26" s="101" t="n">
        <f aca="false">L26-M26</f>
        <v>488</v>
      </c>
      <c r="O26" s="69" t="str">
        <f aca="false">_xlfn.IFS(H26&lt;0,"仙台 Ebeans",J26&lt;0,"神戸阪急",L26&lt;0,"鳥取島根 夢みなとタワー",N26&lt;0,"東京凱旋 東京建物ぴあホール",TRUE(),"—")</f>
        <v>—</v>
      </c>
      <c r="P26" s="70" t="str">
        <f aca="false">IF(O26="—","",_xlfn.IFS(H26&lt;0,DATE(2026,9,5),J26&lt;0,DATE(2026,12,16),L26&lt;0,DATE(2027,3,15),N26&lt;0,DATE(2027,4,1)))</f>
        <v/>
      </c>
      <c r="Q26" s="35" t="n">
        <f aca="false">MAX(0,-N26)</f>
        <v>0</v>
      </c>
      <c r="R26" s="35" t="n">
        <f aca="false">IF(Q26&gt;0,ROUNDUP(Q26*(1+前提・入力!$B$34),0),0)</f>
        <v>0</v>
      </c>
      <c r="S26" s="70" t="str">
        <f aca="false">IF(P26="","",IF(NOT(ISNUMBER(D26)),"再生産不可",P26-E26-前提・入力!$B$37))</f>
        <v/>
      </c>
      <c r="T26" s="71" t="str">
        <f aca="false">IF(OR(S26="",S26="再生産不可"),"",S26-前提・入力!$B$38)</f>
        <v/>
      </c>
      <c r="U26" s="72" t="str">
        <f aca="false">IF(O26="","—",IF(S26="再生産不可","×再生産不可",_xlfn.IFS(T26&lt;0,"★期限超過",T26&lt;=30,"★至急(30日以内)",T26&lt;=90,"要着手(90日以内)",TRUE(),"余裕あり")))</f>
        <v>余裕あり</v>
      </c>
      <c r="V26" s="72"/>
    </row>
    <row r="27" customFormat="false" ht="15" hidden="false" customHeight="false" outlineLevel="0" collapsed="false">
      <c r="A27" s="32" t="n">
        <v>12</v>
      </c>
      <c r="B27" s="32" t="s">
        <v>308</v>
      </c>
      <c r="C27" s="33" t="s">
        <v>309</v>
      </c>
      <c r="D27" s="32" t="n">
        <v>1</v>
      </c>
      <c r="E27" s="32" t="n">
        <f aca="false">IF(ISNUMBER(D27),ROUND(D27*30,0),"－")</f>
        <v>30</v>
      </c>
      <c r="F27" s="35" t="n">
        <f aca="false">③仙台以降予測!V41</f>
        <v>891</v>
      </c>
      <c r="G27" s="35" t="n">
        <f aca="false">③仙台以降予測!I41</f>
        <v>39</v>
      </c>
      <c r="H27" s="101" t="n">
        <f aca="false">F27-G27</f>
        <v>852</v>
      </c>
      <c r="I27" s="35" t="n">
        <f aca="false">③仙台以降予測!J41</f>
        <v>36</v>
      </c>
      <c r="J27" s="101" t="n">
        <f aca="false">H27-I27</f>
        <v>816</v>
      </c>
      <c r="K27" s="35" t="n">
        <f aca="false">③仙台以降予測!K41</f>
        <v>27</v>
      </c>
      <c r="L27" s="101" t="n">
        <f aca="false">J27-K27</f>
        <v>789</v>
      </c>
      <c r="M27" s="35" t="n">
        <f aca="false">③仙台以降予測!L41</f>
        <v>149</v>
      </c>
      <c r="N27" s="101" t="n">
        <f aca="false">L27-M27</f>
        <v>640</v>
      </c>
      <c r="O27" s="69" t="str">
        <f aca="false">_xlfn.IFS(H27&lt;0,"仙台 Ebeans",J27&lt;0,"神戸阪急",L27&lt;0,"鳥取島根 夢みなとタワー",N27&lt;0,"東京凱旋 東京建物ぴあホール",TRUE(),"—")</f>
        <v>—</v>
      </c>
      <c r="P27" s="70" t="str">
        <f aca="false">IF(O27="—","",_xlfn.IFS(H27&lt;0,DATE(2026,9,5),J27&lt;0,DATE(2026,12,16),L27&lt;0,DATE(2027,3,15),N27&lt;0,DATE(2027,4,1)))</f>
        <v/>
      </c>
      <c r="Q27" s="35" t="n">
        <f aca="false">MAX(0,-N27)</f>
        <v>0</v>
      </c>
      <c r="R27" s="35" t="n">
        <f aca="false">IF(Q27&gt;0,ROUNDUP(Q27*(1+前提・入力!$B$34),0),0)</f>
        <v>0</v>
      </c>
      <c r="S27" s="70" t="str">
        <f aca="false">IF(P27="","",IF(NOT(ISNUMBER(D27)),"再生産不可",P27-E27-前提・入力!$B$37))</f>
        <v/>
      </c>
      <c r="T27" s="71" t="str">
        <f aca="false">IF(OR(S27="",S27="再生産不可"),"",S27-前提・入力!$B$38)</f>
        <v/>
      </c>
      <c r="U27" s="72" t="str">
        <f aca="false">IF(O27="","—",IF(S27="再生産不可","×再生産不可",_xlfn.IFS(T27&lt;0,"★期限超過",T27&lt;=30,"★至急(30日以内)",T27&lt;=90,"要着手(90日以内)",TRUE(),"余裕あり")))</f>
        <v>余裕あり</v>
      </c>
      <c r="V27" s="72"/>
    </row>
    <row r="28" customFormat="false" ht="15" hidden="false" customHeight="false" outlineLevel="0" collapsed="false">
      <c r="A28" s="32" t="n">
        <v>13</v>
      </c>
      <c r="B28" s="32" t="s">
        <v>310</v>
      </c>
      <c r="C28" s="33" t="s">
        <v>311</v>
      </c>
      <c r="D28" s="32" t="n">
        <v>1</v>
      </c>
      <c r="E28" s="32" t="n">
        <f aca="false">IF(ISNUMBER(D28),ROUND(D28*30,0),"－")</f>
        <v>30</v>
      </c>
      <c r="F28" s="35" t="n">
        <f aca="false">③仙台以降予測!V42</f>
        <v>305</v>
      </c>
      <c r="G28" s="35" t="n">
        <f aca="false">③仙台以降予測!I42</f>
        <v>10</v>
      </c>
      <c r="H28" s="101" t="n">
        <f aca="false">F28-G28</f>
        <v>295</v>
      </c>
      <c r="I28" s="35" t="n">
        <f aca="false">③仙台以降予測!J42</f>
        <v>9</v>
      </c>
      <c r="J28" s="101" t="n">
        <f aca="false">H28-I28</f>
        <v>286</v>
      </c>
      <c r="K28" s="35" t="n">
        <f aca="false">③仙台以降予測!K42</f>
        <v>7</v>
      </c>
      <c r="L28" s="101" t="n">
        <f aca="false">J28-K28</f>
        <v>279</v>
      </c>
      <c r="M28" s="35" t="n">
        <f aca="false">③仙台以降予測!L42</f>
        <v>38</v>
      </c>
      <c r="N28" s="101" t="n">
        <f aca="false">L28-M28</f>
        <v>241</v>
      </c>
      <c r="O28" s="69" t="str">
        <f aca="false">_xlfn.IFS(H28&lt;0,"仙台 Ebeans",J28&lt;0,"神戸阪急",L28&lt;0,"鳥取島根 夢みなとタワー",N28&lt;0,"東京凱旋 東京建物ぴあホール",TRUE(),"—")</f>
        <v>—</v>
      </c>
      <c r="P28" s="70" t="str">
        <f aca="false">IF(O28="—","",_xlfn.IFS(H28&lt;0,DATE(2026,9,5),J28&lt;0,DATE(2026,12,16),L28&lt;0,DATE(2027,3,15),N28&lt;0,DATE(2027,4,1)))</f>
        <v/>
      </c>
      <c r="Q28" s="35" t="n">
        <f aca="false">MAX(0,-N28)</f>
        <v>0</v>
      </c>
      <c r="R28" s="35" t="n">
        <f aca="false">IF(Q28&gt;0,ROUNDUP(Q28*(1+前提・入力!$B$34),0),0)</f>
        <v>0</v>
      </c>
      <c r="S28" s="70" t="str">
        <f aca="false">IF(P28="","",IF(NOT(ISNUMBER(D28)),"再生産不可",P28-E28-前提・入力!$B$37))</f>
        <v/>
      </c>
      <c r="T28" s="71" t="str">
        <f aca="false">IF(OR(S28="",S28="再生産不可"),"",S28-前提・入力!$B$38)</f>
        <v/>
      </c>
      <c r="U28" s="72" t="str">
        <f aca="false">IF(O28="","—",IF(S28="再生産不可","×再生産不可",_xlfn.IFS(T28&lt;0,"★期限超過",T28&lt;=30,"★至急(30日以内)",T28&lt;=90,"要着手(90日以内)",TRUE(),"余裕あり")))</f>
        <v>余裕あり</v>
      </c>
      <c r="V28" s="72"/>
    </row>
    <row r="29" customFormat="false" ht="15" hidden="false" customHeight="false" outlineLevel="0" collapsed="false">
      <c r="A29" s="32" t="n">
        <v>14</v>
      </c>
      <c r="B29" s="32" t="s">
        <v>312</v>
      </c>
      <c r="C29" s="33" t="s">
        <v>313</v>
      </c>
      <c r="D29" s="32" t="n">
        <v>1</v>
      </c>
      <c r="E29" s="32" t="n">
        <f aca="false">IF(ISNUMBER(D29),ROUND(D29*30,0),"－")</f>
        <v>30</v>
      </c>
      <c r="F29" s="35" t="n">
        <f aca="false">③仙台以降予測!V43</f>
        <v>1729</v>
      </c>
      <c r="G29" s="35" t="n">
        <f aca="false">③仙台以降予測!I43</f>
        <v>38</v>
      </c>
      <c r="H29" s="101" t="n">
        <f aca="false">F29-G29</f>
        <v>1691</v>
      </c>
      <c r="I29" s="35" t="n">
        <f aca="false">③仙台以降予測!J43</f>
        <v>35</v>
      </c>
      <c r="J29" s="101" t="n">
        <f aca="false">H29-I29</f>
        <v>1656</v>
      </c>
      <c r="K29" s="35" t="n">
        <f aca="false">③仙台以降予測!K43</f>
        <v>26</v>
      </c>
      <c r="L29" s="101" t="n">
        <f aca="false">J29-K29</f>
        <v>1630</v>
      </c>
      <c r="M29" s="35" t="n">
        <f aca="false">③仙台以降予測!L43</f>
        <v>147</v>
      </c>
      <c r="N29" s="101" t="n">
        <f aca="false">L29-M29</f>
        <v>1483</v>
      </c>
      <c r="O29" s="69" t="str">
        <f aca="false">_xlfn.IFS(H29&lt;0,"仙台 Ebeans",J29&lt;0,"神戸阪急",L29&lt;0,"鳥取島根 夢みなとタワー",N29&lt;0,"東京凱旋 東京建物ぴあホール",TRUE(),"—")</f>
        <v>—</v>
      </c>
      <c r="P29" s="70" t="str">
        <f aca="false">IF(O29="—","",_xlfn.IFS(H29&lt;0,DATE(2026,9,5),J29&lt;0,DATE(2026,12,16),L29&lt;0,DATE(2027,3,15),N29&lt;0,DATE(2027,4,1)))</f>
        <v/>
      </c>
      <c r="Q29" s="35" t="n">
        <f aca="false">MAX(0,-N29)</f>
        <v>0</v>
      </c>
      <c r="R29" s="35" t="n">
        <f aca="false">IF(Q29&gt;0,ROUNDUP(Q29*(1+前提・入力!$B$34),0),0)</f>
        <v>0</v>
      </c>
      <c r="S29" s="70" t="str">
        <f aca="false">IF(P29="","",IF(NOT(ISNUMBER(D29)),"再生産不可",P29-E29-前提・入力!$B$37))</f>
        <v/>
      </c>
      <c r="T29" s="71" t="str">
        <f aca="false">IF(OR(S29="",S29="再生産不可"),"",S29-前提・入力!$B$38)</f>
        <v/>
      </c>
      <c r="U29" s="72" t="str">
        <f aca="false">IF(O29="","—",IF(S29="再生産不可","×再生産不可",_xlfn.IFS(T29&lt;0,"★期限超過",T29&lt;=30,"★至急(30日以内)",T29&lt;=90,"要着手(90日以内)",TRUE(),"余裕あり")))</f>
        <v>余裕あり</v>
      </c>
      <c r="V29" s="72"/>
    </row>
    <row r="30" customFormat="false" ht="15" hidden="false" customHeight="false" outlineLevel="0" collapsed="false">
      <c r="A30" s="32" t="n">
        <v>15</v>
      </c>
      <c r="B30" s="32" t="s">
        <v>314</v>
      </c>
      <c r="C30" s="33" t="s">
        <v>315</v>
      </c>
      <c r="D30" s="32" t="n">
        <v>1</v>
      </c>
      <c r="E30" s="32" t="n">
        <f aca="false">IF(ISNUMBER(D30),ROUND(D30*30,0),"－")</f>
        <v>30</v>
      </c>
      <c r="F30" s="35" t="n">
        <f aca="false">③仙台以降予測!V44</f>
        <v>2054</v>
      </c>
      <c r="G30" s="35" t="n">
        <f aca="false">③仙台以降予測!I44</f>
        <v>50</v>
      </c>
      <c r="H30" s="101" t="n">
        <f aca="false">F30-G30</f>
        <v>2004</v>
      </c>
      <c r="I30" s="35" t="n">
        <f aca="false">③仙台以降予測!J44</f>
        <v>46</v>
      </c>
      <c r="J30" s="101" t="n">
        <f aca="false">H30-I30</f>
        <v>1958</v>
      </c>
      <c r="K30" s="35" t="n">
        <f aca="false">③仙台以降予測!K44</f>
        <v>35</v>
      </c>
      <c r="L30" s="101" t="n">
        <f aca="false">J30-K30</f>
        <v>1923</v>
      </c>
      <c r="M30" s="35" t="n">
        <f aca="false">③仙台以降予測!L44</f>
        <v>193</v>
      </c>
      <c r="N30" s="101" t="n">
        <f aca="false">L30-M30</f>
        <v>1730</v>
      </c>
      <c r="O30" s="69" t="str">
        <f aca="false">_xlfn.IFS(H30&lt;0,"仙台 Ebeans",J30&lt;0,"神戸阪急",L30&lt;0,"鳥取島根 夢みなとタワー",N30&lt;0,"東京凱旋 東京建物ぴあホール",TRUE(),"—")</f>
        <v>—</v>
      </c>
      <c r="P30" s="70" t="str">
        <f aca="false">IF(O30="—","",_xlfn.IFS(H30&lt;0,DATE(2026,9,5),J30&lt;0,DATE(2026,12,16),L30&lt;0,DATE(2027,3,15),N30&lt;0,DATE(2027,4,1)))</f>
        <v/>
      </c>
      <c r="Q30" s="35" t="n">
        <f aca="false">MAX(0,-N30)</f>
        <v>0</v>
      </c>
      <c r="R30" s="35" t="n">
        <f aca="false">IF(Q30&gt;0,ROUNDUP(Q30*(1+前提・入力!$B$34),0),0)</f>
        <v>0</v>
      </c>
      <c r="S30" s="70" t="str">
        <f aca="false">IF(P30="","",IF(NOT(ISNUMBER(D30)),"再生産不可",P30-E30-前提・入力!$B$37))</f>
        <v/>
      </c>
      <c r="T30" s="71" t="str">
        <f aca="false">IF(OR(S30="",S30="再生産不可"),"",S30-前提・入力!$B$38)</f>
        <v/>
      </c>
      <c r="U30" s="72" t="str">
        <f aca="false">IF(O30="","—",IF(S30="再生産不可","×再生産不可",_xlfn.IFS(T30&lt;0,"★期限超過",T30&lt;=30,"★至急(30日以内)",T30&lt;=90,"要着手(90日以内)",TRUE(),"余裕あり")))</f>
        <v>余裕あり</v>
      </c>
      <c r="V30" s="72"/>
    </row>
    <row r="31" customFormat="false" ht="15" hidden="false" customHeight="false" outlineLevel="0" collapsed="false">
      <c r="A31" s="32" t="n">
        <v>16</v>
      </c>
      <c r="B31" s="32" t="s">
        <v>316</v>
      </c>
      <c r="C31" s="33" t="s">
        <v>317</v>
      </c>
      <c r="D31" s="32" t="n">
        <v>1</v>
      </c>
      <c r="E31" s="32" t="n">
        <f aca="false">IF(ISNUMBER(D31),ROUND(D31*30,0),"－")</f>
        <v>30</v>
      </c>
      <c r="F31" s="35" t="n">
        <f aca="false">③仙台以降予測!V45</f>
        <v>744</v>
      </c>
      <c r="G31" s="35" t="n">
        <f aca="false">③仙台以降予測!I45</f>
        <v>17</v>
      </c>
      <c r="H31" s="101" t="n">
        <f aca="false">F31-G31</f>
        <v>727</v>
      </c>
      <c r="I31" s="35" t="n">
        <f aca="false">③仙台以降予測!J45</f>
        <v>16</v>
      </c>
      <c r="J31" s="101" t="n">
        <f aca="false">H31-I31</f>
        <v>711</v>
      </c>
      <c r="K31" s="35" t="n">
        <f aca="false">③仙台以降予測!K45</f>
        <v>12</v>
      </c>
      <c r="L31" s="101" t="n">
        <f aca="false">J31-K31</f>
        <v>699</v>
      </c>
      <c r="M31" s="35" t="n">
        <f aca="false">③仙台以降予測!L45</f>
        <v>67</v>
      </c>
      <c r="N31" s="101" t="n">
        <f aca="false">L31-M31</f>
        <v>632</v>
      </c>
      <c r="O31" s="69" t="str">
        <f aca="false">_xlfn.IFS(H31&lt;0,"仙台 Ebeans",J31&lt;0,"神戸阪急",L31&lt;0,"鳥取島根 夢みなとタワー",N31&lt;0,"東京凱旋 東京建物ぴあホール",TRUE(),"—")</f>
        <v>—</v>
      </c>
      <c r="P31" s="70" t="str">
        <f aca="false">IF(O31="—","",_xlfn.IFS(H31&lt;0,DATE(2026,9,5),J31&lt;0,DATE(2026,12,16),L31&lt;0,DATE(2027,3,15),N31&lt;0,DATE(2027,4,1)))</f>
        <v/>
      </c>
      <c r="Q31" s="35" t="n">
        <f aca="false">MAX(0,-N31)</f>
        <v>0</v>
      </c>
      <c r="R31" s="35" t="n">
        <f aca="false">IF(Q31&gt;0,ROUNDUP(Q31*(1+前提・入力!$B$34),0),0)</f>
        <v>0</v>
      </c>
      <c r="S31" s="70" t="str">
        <f aca="false">IF(P31="","",IF(NOT(ISNUMBER(D31)),"再生産不可",P31-E31-前提・入力!$B$37))</f>
        <v/>
      </c>
      <c r="T31" s="71" t="str">
        <f aca="false">IF(OR(S31="",S31="再生産不可"),"",S31-前提・入力!$B$38)</f>
        <v/>
      </c>
      <c r="U31" s="72" t="str">
        <f aca="false">IF(O31="","—",IF(S31="再生産不可","×再生産不可",_xlfn.IFS(T31&lt;0,"★期限超過",T31&lt;=30,"★至急(30日以内)",T31&lt;=90,"要着手(90日以内)",TRUE(),"余裕あり")))</f>
        <v>余裕あり</v>
      </c>
      <c r="V31" s="72"/>
    </row>
    <row r="32" customFormat="false" ht="15" hidden="false" customHeight="false" outlineLevel="0" collapsed="false">
      <c r="A32" s="32" t="n">
        <v>17</v>
      </c>
      <c r="B32" s="32" t="s">
        <v>318</v>
      </c>
      <c r="C32" s="33" t="s">
        <v>319</v>
      </c>
      <c r="D32" s="32" t="n">
        <v>1</v>
      </c>
      <c r="E32" s="32" t="n">
        <f aca="false">IF(ISNUMBER(D32),ROUND(D32*30,0),"－")</f>
        <v>30</v>
      </c>
      <c r="F32" s="35" t="n">
        <f aca="false">③仙台以降予測!V46</f>
        <v>2380</v>
      </c>
      <c r="G32" s="35" t="n">
        <f aca="false">③仙台以降予測!I46</f>
        <v>92</v>
      </c>
      <c r="H32" s="101" t="n">
        <f aca="false">F32-G32</f>
        <v>2288</v>
      </c>
      <c r="I32" s="35" t="n">
        <f aca="false">③仙台以降予測!J46</f>
        <v>85</v>
      </c>
      <c r="J32" s="101" t="n">
        <f aca="false">H32-I32</f>
        <v>2203</v>
      </c>
      <c r="K32" s="35" t="n">
        <f aca="false">③仙台以降予測!K46</f>
        <v>63</v>
      </c>
      <c r="L32" s="101" t="n">
        <f aca="false">J32-K32</f>
        <v>2140</v>
      </c>
      <c r="M32" s="35" t="n">
        <f aca="false">③仙台以降予測!L46</f>
        <v>352</v>
      </c>
      <c r="N32" s="101" t="n">
        <f aca="false">L32-M32</f>
        <v>1788</v>
      </c>
      <c r="O32" s="69" t="str">
        <f aca="false">_xlfn.IFS(H32&lt;0,"仙台 Ebeans",J32&lt;0,"神戸阪急",L32&lt;0,"鳥取島根 夢みなとタワー",N32&lt;0,"東京凱旋 東京建物ぴあホール",TRUE(),"—")</f>
        <v>—</v>
      </c>
      <c r="P32" s="70" t="str">
        <f aca="false">IF(O32="—","",_xlfn.IFS(H32&lt;0,DATE(2026,9,5),J32&lt;0,DATE(2026,12,16),L32&lt;0,DATE(2027,3,15),N32&lt;0,DATE(2027,4,1)))</f>
        <v/>
      </c>
      <c r="Q32" s="35" t="n">
        <f aca="false">MAX(0,-N32)</f>
        <v>0</v>
      </c>
      <c r="R32" s="35" t="n">
        <f aca="false">IF(Q32&gt;0,ROUNDUP(Q32*(1+前提・入力!$B$34),0),0)</f>
        <v>0</v>
      </c>
      <c r="S32" s="70" t="str">
        <f aca="false">IF(P32="","",IF(NOT(ISNUMBER(D32)),"再生産不可",P32-E32-前提・入力!$B$37))</f>
        <v/>
      </c>
      <c r="T32" s="71" t="str">
        <f aca="false">IF(OR(S32="",S32="再生産不可"),"",S32-前提・入力!$B$38)</f>
        <v/>
      </c>
      <c r="U32" s="72" t="str">
        <f aca="false">IF(O32="","—",IF(S32="再生産不可","×再生産不可",_xlfn.IFS(T32&lt;0,"★期限超過",T32&lt;=30,"★至急(30日以内)",T32&lt;=90,"要着手(90日以内)",TRUE(),"余裕あり")))</f>
        <v>余裕あり</v>
      </c>
      <c r="V32" s="72"/>
    </row>
    <row r="33" customFormat="false" ht="15" hidden="false" customHeight="false" outlineLevel="0" collapsed="false">
      <c r="A33" s="32" t="n">
        <v>18</v>
      </c>
      <c r="B33" s="32" t="s">
        <v>320</v>
      </c>
      <c r="C33" s="33" t="s">
        <v>321</v>
      </c>
      <c r="D33" s="32" t="n">
        <v>1</v>
      </c>
      <c r="E33" s="32" t="n">
        <f aca="false">IF(ISNUMBER(D33),ROUND(D33*30,0),"－")</f>
        <v>30</v>
      </c>
      <c r="F33" s="35" t="n">
        <f aca="false">③仙台以降予測!V47</f>
        <v>9126</v>
      </c>
      <c r="G33" s="35" t="n">
        <f aca="false">③仙台以降予測!I47</f>
        <v>378</v>
      </c>
      <c r="H33" s="101" t="n">
        <f aca="false">F33-G33</f>
        <v>8748</v>
      </c>
      <c r="I33" s="35" t="n">
        <f aca="false">③仙台以降予測!J47</f>
        <v>349</v>
      </c>
      <c r="J33" s="101" t="n">
        <f aca="false">H33-I33</f>
        <v>8399</v>
      </c>
      <c r="K33" s="35" t="n">
        <f aca="false">③仙台以降予測!K47</f>
        <v>262</v>
      </c>
      <c r="L33" s="101" t="n">
        <f aca="false">J33-K33</f>
        <v>8137</v>
      </c>
      <c r="M33" s="35" t="n">
        <f aca="false">③仙台以降予測!L47</f>
        <v>1455</v>
      </c>
      <c r="N33" s="101" t="n">
        <f aca="false">L33-M33</f>
        <v>6682</v>
      </c>
      <c r="O33" s="69" t="str">
        <f aca="false">_xlfn.IFS(H33&lt;0,"仙台 Ebeans",J33&lt;0,"神戸阪急",L33&lt;0,"鳥取島根 夢みなとタワー",N33&lt;0,"東京凱旋 東京建物ぴあホール",TRUE(),"—")</f>
        <v>—</v>
      </c>
      <c r="P33" s="70" t="str">
        <f aca="false">IF(O33="—","",_xlfn.IFS(H33&lt;0,DATE(2026,9,5),J33&lt;0,DATE(2026,12,16),L33&lt;0,DATE(2027,3,15),N33&lt;0,DATE(2027,4,1)))</f>
        <v/>
      </c>
      <c r="Q33" s="35" t="n">
        <f aca="false">MAX(0,-N33)</f>
        <v>0</v>
      </c>
      <c r="R33" s="35" t="n">
        <f aca="false">IF(Q33&gt;0,ROUNDUP(Q33*(1+前提・入力!$B$34),0),0)</f>
        <v>0</v>
      </c>
      <c r="S33" s="70" t="str">
        <f aca="false">IF(P33="","",IF(NOT(ISNUMBER(D33)),"再生産不可",P33-E33-前提・入力!$B$37))</f>
        <v/>
      </c>
      <c r="T33" s="71" t="str">
        <f aca="false">IF(OR(S33="",S33="再生産不可"),"",S33-前提・入力!$B$38)</f>
        <v/>
      </c>
      <c r="U33" s="72" t="str">
        <f aca="false">IF(O33="","—",IF(S33="再生産不可","×再生産不可",_xlfn.IFS(T33&lt;0,"★期限超過",T33&lt;=30,"★至急(30日以内)",T33&lt;=90,"要着手(90日以内)",TRUE(),"余裕あり")))</f>
        <v>余裕あり</v>
      </c>
      <c r="V33" s="72"/>
    </row>
    <row r="34" customFormat="false" ht="15" hidden="false" customHeight="false" outlineLevel="0" collapsed="false">
      <c r="A34" s="32" t="n">
        <v>19</v>
      </c>
      <c r="B34" s="32" t="s">
        <v>322</v>
      </c>
      <c r="C34" s="33" t="s">
        <v>323</v>
      </c>
      <c r="D34" s="32" t="n">
        <v>1</v>
      </c>
      <c r="E34" s="32" t="n">
        <f aca="false">IF(ISNUMBER(D34),ROUND(D34*30,0),"－")</f>
        <v>30</v>
      </c>
      <c r="F34" s="35" t="n">
        <f aca="false">③仙台以降予測!V48</f>
        <v>2214</v>
      </c>
      <c r="G34" s="35" t="n">
        <f aca="false">③仙台以降予測!I48</f>
        <v>16</v>
      </c>
      <c r="H34" s="101" t="n">
        <f aca="false">F34-G34</f>
        <v>2198</v>
      </c>
      <c r="I34" s="35" t="n">
        <f aca="false">③仙台以降予測!J48</f>
        <v>15</v>
      </c>
      <c r="J34" s="101" t="n">
        <f aca="false">H34-I34</f>
        <v>2183</v>
      </c>
      <c r="K34" s="35" t="n">
        <f aca="false">③仙台以降予測!K48</f>
        <v>11</v>
      </c>
      <c r="L34" s="101" t="n">
        <f aca="false">J34-K34</f>
        <v>2172</v>
      </c>
      <c r="M34" s="35" t="n">
        <f aca="false">③仙台以降予測!L48</f>
        <v>61</v>
      </c>
      <c r="N34" s="101" t="n">
        <f aca="false">L34-M34</f>
        <v>2111</v>
      </c>
      <c r="O34" s="69" t="str">
        <f aca="false">_xlfn.IFS(H34&lt;0,"仙台 Ebeans",J34&lt;0,"神戸阪急",L34&lt;0,"鳥取島根 夢みなとタワー",N34&lt;0,"東京凱旋 東京建物ぴあホール",TRUE(),"—")</f>
        <v>—</v>
      </c>
      <c r="P34" s="70" t="str">
        <f aca="false">IF(O34="—","",_xlfn.IFS(H34&lt;0,DATE(2026,9,5),J34&lt;0,DATE(2026,12,16),L34&lt;0,DATE(2027,3,15),N34&lt;0,DATE(2027,4,1)))</f>
        <v/>
      </c>
      <c r="Q34" s="35" t="n">
        <f aca="false">MAX(0,-N34)</f>
        <v>0</v>
      </c>
      <c r="R34" s="35" t="n">
        <f aca="false">IF(Q34&gt;0,ROUNDUP(Q34*(1+前提・入力!$B$34),0),0)</f>
        <v>0</v>
      </c>
      <c r="S34" s="70" t="str">
        <f aca="false">IF(P34="","",IF(NOT(ISNUMBER(D34)),"再生産不可",P34-E34-前提・入力!$B$37))</f>
        <v/>
      </c>
      <c r="T34" s="71" t="str">
        <f aca="false">IF(OR(S34="",S34="再生産不可"),"",S34-前提・入力!$B$38)</f>
        <v/>
      </c>
      <c r="U34" s="72" t="str">
        <f aca="false">IF(O34="","—",IF(S34="再生産不可","×再生産不可",_xlfn.IFS(T34&lt;0,"★期限超過",T34&lt;=30,"★至急(30日以内)",T34&lt;=90,"要着手(90日以内)",TRUE(),"余裕あり")))</f>
        <v>余裕あり</v>
      </c>
      <c r="V34" s="72"/>
    </row>
    <row r="35" customFormat="false" ht="15" hidden="false" customHeight="false" outlineLevel="0" collapsed="false">
      <c r="A35" s="32" t="n">
        <v>20</v>
      </c>
      <c r="B35" s="32" t="s">
        <v>324</v>
      </c>
      <c r="C35" s="33" t="s">
        <v>325</v>
      </c>
      <c r="D35" s="32" t="n">
        <v>1</v>
      </c>
      <c r="E35" s="32" t="n">
        <f aca="false">IF(ISNUMBER(D35),ROUND(D35*30,0),"－")</f>
        <v>30</v>
      </c>
      <c r="F35" s="35" t="n">
        <f aca="false">③仙台以降予測!V49</f>
        <v>276</v>
      </c>
      <c r="G35" s="35" t="n">
        <f aca="false">③仙台以降予測!I49</f>
        <v>16</v>
      </c>
      <c r="H35" s="101" t="n">
        <f aca="false">F35-G35</f>
        <v>260</v>
      </c>
      <c r="I35" s="35" t="n">
        <f aca="false">③仙台以降予測!J49</f>
        <v>15</v>
      </c>
      <c r="J35" s="101" t="n">
        <f aca="false">H35-I35</f>
        <v>245</v>
      </c>
      <c r="K35" s="35" t="n">
        <f aca="false">③仙台以降予測!K49</f>
        <v>11</v>
      </c>
      <c r="L35" s="101" t="n">
        <f aca="false">J35-K35</f>
        <v>234</v>
      </c>
      <c r="M35" s="35" t="n">
        <f aca="false">③仙台以降予測!L49</f>
        <v>62</v>
      </c>
      <c r="N35" s="101" t="n">
        <f aca="false">L35-M35</f>
        <v>172</v>
      </c>
      <c r="O35" s="69" t="str">
        <f aca="false">_xlfn.IFS(H35&lt;0,"仙台 Ebeans",J35&lt;0,"神戸阪急",L35&lt;0,"鳥取島根 夢みなとタワー",N35&lt;0,"東京凱旋 東京建物ぴあホール",TRUE(),"—")</f>
        <v>—</v>
      </c>
      <c r="P35" s="70" t="str">
        <f aca="false">IF(O35="—","",_xlfn.IFS(H35&lt;0,DATE(2026,9,5),J35&lt;0,DATE(2026,12,16),L35&lt;0,DATE(2027,3,15),N35&lt;0,DATE(2027,4,1)))</f>
        <v/>
      </c>
      <c r="Q35" s="35" t="n">
        <f aca="false">MAX(0,-N35)</f>
        <v>0</v>
      </c>
      <c r="R35" s="35" t="n">
        <f aca="false">IF(Q35&gt;0,ROUNDUP(Q35*(1+前提・入力!$B$34),0),0)</f>
        <v>0</v>
      </c>
      <c r="S35" s="70" t="str">
        <f aca="false">IF(P35="","",IF(NOT(ISNUMBER(D35)),"再生産不可",P35-E35-前提・入力!$B$37))</f>
        <v/>
      </c>
      <c r="T35" s="71" t="str">
        <f aca="false">IF(OR(S35="",S35="再生産不可"),"",S35-前提・入力!$B$38)</f>
        <v/>
      </c>
      <c r="U35" s="72" t="str">
        <f aca="false">IF(O35="","—",IF(S35="再生産不可","×再生産不可",_xlfn.IFS(T35&lt;0,"★期限超過",T35&lt;=30,"★至急(30日以内)",T35&lt;=90,"要着手(90日以内)",TRUE(),"余裕あり")))</f>
        <v>余裕あり</v>
      </c>
      <c r="V35" s="72"/>
    </row>
    <row r="36" customFormat="false" ht="15" hidden="false" customHeight="false" outlineLevel="0" collapsed="false">
      <c r="A36" s="32" t="n">
        <v>21</v>
      </c>
      <c r="B36" s="32" t="s">
        <v>326</v>
      </c>
      <c r="C36" s="33" t="s">
        <v>327</v>
      </c>
      <c r="D36" s="32" t="n">
        <v>1</v>
      </c>
      <c r="E36" s="32" t="n">
        <f aca="false">IF(ISNUMBER(D36),ROUND(D36*30,0),"－")</f>
        <v>30</v>
      </c>
      <c r="F36" s="35" t="n">
        <f aca="false">③仙台以降予測!V50</f>
        <v>190</v>
      </c>
      <c r="G36" s="35" t="n">
        <f aca="false">③仙台以降予測!I50</f>
        <v>75</v>
      </c>
      <c r="H36" s="101" t="n">
        <f aca="false">F36-G36</f>
        <v>115</v>
      </c>
      <c r="I36" s="35" t="n">
        <f aca="false">③仙台以降予測!J50</f>
        <v>69</v>
      </c>
      <c r="J36" s="101" t="n">
        <f aca="false">H36-I36</f>
        <v>46</v>
      </c>
      <c r="K36" s="35" t="n">
        <f aca="false">③仙台以降予測!K50</f>
        <v>52</v>
      </c>
      <c r="L36" s="101" t="n">
        <f aca="false">J36-K36</f>
        <v>-6</v>
      </c>
      <c r="M36" s="35" t="n">
        <f aca="false">③仙台以降予測!L50</f>
        <v>288</v>
      </c>
      <c r="N36" s="101" t="n">
        <f aca="false">L36-M36</f>
        <v>-294</v>
      </c>
      <c r="O36" s="69" t="str">
        <f aca="false">_xlfn.IFS(H36&lt;0,"仙台 Ebeans",J36&lt;0,"神戸阪急",L36&lt;0,"鳥取島根 夢みなとタワー",N36&lt;0,"東京凱旋 東京建物ぴあホール",TRUE(),"—")</f>
        <v>鳥取島根 夢みなとタワー</v>
      </c>
      <c r="P36" s="70" t="n">
        <f aca="false">IF(O36="—","",_xlfn.IFS(H36&lt;0,DATE(2026,9,5),J36&lt;0,DATE(2026,12,16),L36&lt;0,DATE(2027,3,15),N36&lt;0,DATE(2027,4,1)))</f>
        <v>46461</v>
      </c>
      <c r="Q36" s="35" t="n">
        <f aca="false">MAX(0,-N36)</f>
        <v>294</v>
      </c>
      <c r="R36" s="35" t="n">
        <f aca="false">IF(Q36&gt;0,ROUNDUP(Q36*(1+前提・入力!$B$34),0),0)</f>
        <v>324</v>
      </c>
      <c r="S36" s="70" t="n">
        <f aca="false">IF(P36="","",IF(NOT(ISNUMBER(D36)),"再生産不可",P36-E36-前提・入力!$B$37))</f>
        <v>46417</v>
      </c>
      <c r="T36" s="71" t="n">
        <f aca="false">IF(OR(S36="",S36="再生産不可"),"",S36-前提・入力!$B$38)</f>
        <v>157</v>
      </c>
      <c r="U36" s="72" t="str">
        <f aca="false">IF(O36="","—",IF(S36="再生産不可","×再生産不可",_xlfn.IFS(T36&lt;0,"★期限超過",T36&lt;=30,"★至急(30日以内)",T36&lt;=90,"要着手(90日以内)",TRUE(),"余裕あり")))</f>
        <v>余裕あり</v>
      </c>
      <c r="V36" s="72"/>
    </row>
    <row r="37" customFormat="false" ht="15" hidden="false" customHeight="false" outlineLevel="0" collapsed="false">
      <c r="A37" s="32" t="n">
        <v>22</v>
      </c>
      <c r="B37" s="32" t="s">
        <v>328</v>
      </c>
      <c r="C37" s="33" t="s">
        <v>329</v>
      </c>
      <c r="D37" s="32" t="n">
        <v>1</v>
      </c>
      <c r="E37" s="32" t="n">
        <f aca="false">IF(ISNUMBER(D37),ROUND(D37*30,0),"－")</f>
        <v>30</v>
      </c>
      <c r="F37" s="35" t="n">
        <f aca="false">③仙台以降予測!V51</f>
        <v>1254</v>
      </c>
      <c r="G37" s="35" t="n">
        <f aca="false">③仙台以降予測!I51</f>
        <v>52</v>
      </c>
      <c r="H37" s="101" t="n">
        <f aca="false">F37-G37</f>
        <v>1202</v>
      </c>
      <c r="I37" s="35" t="n">
        <f aca="false">③仙台以降予測!J51</f>
        <v>48</v>
      </c>
      <c r="J37" s="101" t="n">
        <f aca="false">H37-I37</f>
        <v>1154</v>
      </c>
      <c r="K37" s="35" t="n">
        <f aca="false">③仙台以降予測!K51</f>
        <v>36</v>
      </c>
      <c r="L37" s="101" t="n">
        <f aca="false">J37-K37</f>
        <v>1118</v>
      </c>
      <c r="M37" s="35" t="n">
        <f aca="false">③仙台以降予測!L51</f>
        <v>199</v>
      </c>
      <c r="N37" s="101" t="n">
        <f aca="false">L37-M37</f>
        <v>919</v>
      </c>
      <c r="O37" s="69" t="str">
        <f aca="false">_xlfn.IFS(H37&lt;0,"仙台 Ebeans",J37&lt;0,"神戸阪急",L37&lt;0,"鳥取島根 夢みなとタワー",N37&lt;0,"東京凱旋 東京建物ぴあホール",TRUE(),"—")</f>
        <v>—</v>
      </c>
      <c r="P37" s="70" t="str">
        <f aca="false">IF(O37="—","",_xlfn.IFS(H37&lt;0,DATE(2026,9,5),J37&lt;0,DATE(2026,12,16),L37&lt;0,DATE(2027,3,15),N37&lt;0,DATE(2027,4,1)))</f>
        <v/>
      </c>
      <c r="Q37" s="35" t="n">
        <f aca="false">MAX(0,-N37)</f>
        <v>0</v>
      </c>
      <c r="R37" s="35" t="n">
        <f aca="false">IF(Q37&gt;0,ROUNDUP(Q37*(1+前提・入力!$B$34),0),0)</f>
        <v>0</v>
      </c>
      <c r="S37" s="70" t="str">
        <f aca="false">IF(P37="","",IF(NOT(ISNUMBER(D37)),"再生産不可",P37-E37-前提・入力!$B$37))</f>
        <v/>
      </c>
      <c r="T37" s="71" t="str">
        <f aca="false">IF(OR(S37="",S37="再生産不可"),"",S37-前提・入力!$B$38)</f>
        <v/>
      </c>
      <c r="U37" s="72" t="str">
        <f aca="false">IF(O37="","—",IF(S37="再生産不可","×再生産不可",_xlfn.IFS(T37&lt;0,"★期限超過",T37&lt;=30,"★至急(30日以内)",T37&lt;=90,"要着手(90日以内)",TRUE(),"余裕あり")))</f>
        <v>余裕あり</v>
      </c>
      <c r="V37" s="72"/>
    </row>
    <row r="38" customFormat="false" ht="15" hidden="false" customHeight="false" outlineLevel="0" collapsed="false">
      <c r="A38" s="32" t="n">
        <v>23</v>
      </c>
      <c r="B38" s="32" t="s">
        <v>330</v>
      </c>
      <c r="C38" s="33" t="s">
        <v>331</v>
      </c>
      <c r="D38" s="32" t="n">
        <v>2.5</v>
      </c>
      <c r="E38" s="32" t="n">
        <f aca="false">IF(ISNUMBER(D38),ROUND(D38*30,0),"－")</f>
        <v>75</v>
      </c>
      <c r="F38" s="35" t="n">
        <f aca="false">③仙台以降予測!V52</f>
        <v>48729</v>
      </c>
      <c r="G38" s="35" t="n">
        <f aca="false">③仙台以降予測!I52</f>
        <v>2362</v>
      </c>
      <c r="H38" s="101" t="n">
        <f aca="false">F38-G38</f>
        <v>46367</v>
      </c>
      <c r="I38" s="35" t="n">
        <f aca="false">③仙台以降予測!J52</f>
        <v>2180</v>
      </c>
      <c r="J38" s="101" t="n">
        <f aca="false">H38-I38</f>
        <v>44187</v>
      </c>
      <c r="K38" s="35" t="n">
        <f aca="false">③仙台以降予測!K52</f>
        <v>1635</v>
      </c>
      <c r="L38" s="101" t="n">
        <f aca="false">J38-K38</f>
        <v>42552</v>
      </c>
      <c r="M38" s="35" t="n">
        <f aca="false">③仙台以降予測!L52</f>
        <v>9086</v>
      </c>
      <c r="N38" s="101" t="n">
        <f aca="false">L38-M38</f>
        <v>33466</v>
      </c>
      <c r="O38" s="69" t="str">
        <f aca="false">_xlfn.IFS(H38&lt;0,"仙台 Ebeans",J38&lt;0,"神戸阪急",L38&lt;0,"鳥取島根 夢みなとタワー",N38&lt;0,"東京凱旋 東京建物ぴあホール",TRUE(),"—")</f>
        <v>—</v>
      </c>
      <c r="P38" s="70" t="str">
        <f aca="false">IF(O38="—","",_xlfn.IFS(H38&lt;0,DATE(2026,9,5),J38&lt;0,DATE(2026,12,16),L38&lt;0,DATE(2027,3,15),N38&lt;0,DATE(2027,4,1)))</f>
        <v/>
      </c>
      <c r="Q38" s="35" t="n">
        <f aca="false">MAX(0,-N38)</f>
        <v>0</v>
      </c>
      <c r="R38" s="35" t="n">
        <f aca="false">IF(Q38&gt;0,ROUNDUP(Q38*(1+前提・入力!$B$34),0),0)</f>
        <v>0</v>
      </c>
      <c r="S38" s="70" t="str">
        <f aca="false">IF(P38="","",IF(NOT(ISNUMBER(D38)),"再生産不可",P38-E38-前提・入力!$B$37))</f>
        <v/>
      </c>
      <c r="T38" s="71" t="str">
        <f aca="false">IF(OR(S38="",S38="再生産不可"),"",S38-前提・入力!$B$38)</f>
        <v/>
      </c>
      <c r="U38" s="72" t="str">
        <f aca="false">IF(O38="","—",IF(S38="再生産不可","×再生産不可",_xlfn.IFS(T38&lt;0,"★期限超過",T38&lt;=30,"★至急(30日以内)",T38&lt;=90,"要着手(90日以内)",TRUE(),"余裕あり")))</f>
        <v>余裕あり</v>
      </c>
      <c r="V38" s="72"/>
    </row>
    <row r="39" customFormat="false" ht="15" hidden="false" customHeight="false" outlineLevel="0" collapsed="false">
      <c r="A39" s="32" t="n">
        <v>24</v>
      </c>
      <c r="B39" s="32" t="s">
        <v>332</v>
      </c>
      <c r="C39" s="33" t="s">
        <v>333</v>
      </c>
      <c r="D39" s="32" t="n">
        <v>2.5</v>
      </c>
      <c r="E39" s="32" t="n">
        <f aca="false">IF(ISNUMBER(D39),ROUND(D39*30,0),"－")</f>
        <v>75</v>
      </c>
      <c r="F39" s="35" t="n">
        <f aca="false">③仙台以降予測!V53</f>
        <v>30130</v>
      </c>
      <c r="G39" s="35" t="n">
        <f aca="false">③仙台以降予測!I53</f>
        <v>1453</v>
      </c>
      <c r="H39" s="101" t="n">
        <f aca="false">F39-G39</f>
        <v>28677</v>
      </c>
      <c r="I39" s="35" t="n">
        <f aca="false">③仙台以降予測!J53</f>
        <v>1341</v>
      </c>
      <c r="J39" s="101" t="n">
        <f aca="false">H39-I39</f>
        <v>27336</v>
      </c>
      <c r="K39" s="35" t="n">
        <f aca="false">③仙台以降予測!K53</f>
        <v>1006</v>
      </c>
      <c r="L39" s="101" t="n">
        <f aca="false">J39-K39</f>
        <v>26330</v>
      </c>
      <c r="M39" s="35" t="n">
        <f aca="false">③仙台以降予測!L53</f>
        <v>5588</v>
      </c>
      <c r="N39" s="101" t="n">
        <f aca="false">L39-M39</f>
        <v>20742</v>
      </c>
      <c r="O39" s="69" t="str">
        <f aca="false">_xlfn.IFS(H39&lt;0,"仙台 Ebeans",J39&lt;0,"神戸阪急",L39&lt;0,"鳥取島根 夢みなとタワー",N39&lt;0,"東京凱旋 東京建物ぴあホール",TRUE(),"—")</f>
        <v>—</v>
      </c>
      <c r="P39" s="70" t="str">
        <f aca="false">IF(O39="—","",_xlfn.IFS(H39&lt;0,DATE(2026,9,5),J39&lt;0,DATE(2026,12,16),L39&lt;0,DATE(2027,3,15),N39&lt;0,DATE(2027,4,1)))</f>
        <v/>
      </c>
      <c r="Q39" s="35" t="n">
        <f aca="false">MAX(0,-N39)</f>
        <v>0</v>
      </c>
      <c r="R39" s="35" t="n">
        <f aca="false">IF(Q39&gt;0,ROUNDUP(Q39*(1+前提・入力!$B$34),0),0)</f>
        <v>0</v>
      </c>
      <c r="S39" s="70" t="str">
        <f aca="false">IF(P39="","",IF(NOT(ISNUMBER(D39)),"再生産不可",P39-E39-前提・入力!$B$37))</f>
        <v/>
      </c>
      <c r="T39" s="71" t="str">
        <f aca="false">IF(OR(S39="",S39="再生産不可"),"",S39-前提・入力!$B$38)</f>
        <v/>
      </c>
      <c r="U39" s="72" t="str">
        <f aca="false">IF(O39="","—",IF(S39="再生産不可","×再生産不可",_xlfn.IFS(T39&lt;0,"★期限超過",T39&lt;=30,"★至急(30日以内)",T39&lt;=90,"要着手(90日以内)",TRUE(),"余裕あり")))</f>
        <v>余裕あり</v>
      </c>
      <c r="V39" s="72"/>
    </row>
    <row r="40" customFormat="false" ht="15" hidden="false" customHeight="false" outlineLevel="0" collapsed="false">
      <c r="A40" s="32" t="n">
        <v>25</v>
      </c>
      <c r="B40" s="32" t="s">
        <v>334</v>
      </c>
      <c r="C40" s="33" t="s">
        <v>335</v>
      </c>
      <c r="D40" s="39" t="s">
        <v>858</v>
      </c>
      <c r="E40" s="32" t="str">
        <f aca="false">IF(ISNUMBER(D40),ROUND(D40*30,0),"－")</f>
        <v>－</v>
      </c>
      <c r="F40" s="35" t="n">
        <f aca="false">③仙台以降予測!V54</f>
        <v>3393</v>
      </c>
      <c r="G40" s="35" t="n">
        <f aca="false">③仙台以降予測!I54</f>
        <v>83</v>
      </c>
      <c r="H40" s="101" t="n">
        <f aca="false">F40-G40</f>
        <v>3310</v>
      </c>
      <c r="I40" s="35" t="n">
        <f aca="false">③仙台以降予測!J54</f>
        <v>76</v>
      </c>
      <c r="J40" s="101" t="n">
        <f aca="false">H40-I40</f>
        <v>3234</v>
      </c>
      <c r="K40" s="35" t="n">
        <f aca="false">③仙台以降予測!K54</f>
        <v>57</v>
      </c>
      <c r="L40" s="101" t="n">
        <f aca="false">J40-K40</f>
        <v>3177</v>
      </c>
      <c r="M40" s="35" t="n">
        <f aca="false">③仙台以降予測!L54</f>
        <v>318</v>
      </c>
      <c r="N40" s="101" t="n">
        <f aca="false">L40-M40</f>
        <v>2859</v>
      </c>
      <c r="O40" s="69" t="str">
        <f aca="false">_xlfn.IFS(H40&lt;0,"仙台 Ebeans",J40&lt;0,"神戸阪急",L40&lt;0,"鳥取島根 夢みなとタワー",N40&lt;0,"東京凱旋 東京建物ぴあホール",TRUE(),"—")</f>
        <v>—</v>
      </c>
      <c r="P40" s="70" t="str">
        <f aca="false">IF(O40="—","",_xlfn.IFS(H40&lt;0,DATE(2026,9,5),J40&lt;0,DATE(2026,12,16),L40&lt;0,DATE(2027,3,15),N40&lt;0,DATE(2027,4,1)))</f>
        <v/>
      </c>
      <c r="Q40" s="35" t="n">
        <f aca="false">MAX(0,-N40)</f>
        <v>0</v>
      </c>
      <c r="R40" s="35" t="n">
        <f aca="false">IF(Q40&gt;0,ROUNDUP(Q40*(1+前提・入力!$B$34),0),0)</f>
        <v>0</v>
      </c>
      <c r="S40" s="70" t="str">
        <f aca="false">IF(P40="","",IF(NOT(ISNUMBER(D40)),"再生産不可",P40-E40-前提・入力!$B$37))</f>
        <v/>
      </c>
      <c r="T40" s="71" t="str">
        <f aca="false">IF(OR(S40="",S40="再生産不可"),"",S40-前提・入力!$B$38)</f>
        <v/>
      </c>
      <c r="U40" s="72" t="str">
        <f aca="false">IF(O40="","—",IF(S40="再生産不可","×再生産不可",_xlfn.IFS(T40&lt;0,"★期限超過",T40&lt;=30,"★至急(30日以内)",T40&lt;=90,"要着手(90日以内)",TRUE(),"余裕あり")))</f>
        <v>余裕あり</v>
      </c>
      <c r="V40" s="69" t="s">
        <v>859</v>
      </c>
    </row>
    <row r="41" customFormat="false" ht="15" hidden="false" customHeight="false" outlineLevel="0" collapsed="false">
      <c r="A41" s="32" t="n">
        <v>26</v>
      </c>
      <c r="B41" s="32" t="s">
        <v>336</v>
      </c>
      <c r="C41" s="33" t="s">
        <v>337</v>
      </c>
      <c r="D41" s="32" t="n">
        <v>2.5</v>
      </c>
      <c r="E41" s="32" t="n">
        <f aca="false">IF(ISNUMBER(D41),ROUND(D41*30,0),"－")</f>
        <v>75</v>
      </c>
      <c r="F41" s="35" t="n">
        <f aca="false">③仙台以降予測!V55</f>
        <v>229</v>
      </c>
      <c r="G41" s="35" t="n">
        <f aca="false">③仙台以降予測!I55</f>
        <v>172</v>
      </c>
      <c r="H41" s="101" t="n">
        <f aca="false">F41-G41</f>
        <v>57</v>
      </c>
      <c r="I41" s="35" t="n">
        <f aca="false">③仙台以降予測!J55</f>
        <v>159</v>
      </c>
      <c r="J41" s="101" t="n">
        <f aca="false">H41-I41</f>
        <v>-102</v>
      </c>
      <c r="K41" s="35" t="n">
        <f aca="false">③仙台以降予測!K55</f>
        <v>119</v>
      </c>
      <c r="L41" s="101" t="n">
        <f aca="false">J41-K41</f>
        <v>-221</v>
      </c>
      <c r="M41" s="35" t="n">
        <f aca="false">③仙台以降予測!L55</f>
        <v>662</v>
      </c>
      <c r="N41" s="101" t="n">
        <f aca="false">L41-M41</f>
        <v>-883</v>
      </c>
      <c r="O41" s="69" t="str">
        <f aca="false">_xlfn.IFS(H41&lt;0,"仙台 Ebeans",J41&lt;0,"神戸阪急",L41&lt;0,"鳥取島根 夢みなとタワー",N41&lt;0,"東京凱旋 東京建物ぴあホール",TRUE(),"—")</f>
        <v>神戸阪急</v>
      </c>
      <c r="P41" s="70" t="n">
        <f aca="false">IF(O41="—","",_xlfn.IFS(H41&lt;0,DATE(2026,9,5),J41&lt;0,DATE(2026,12,16),L41&lt;0,DATE(2027,3,15),N41&lt;0,DATE(2027,4,1)))</f>
        <v>46372</v>
      </c>
      <c r="Q41" s="35" t="n">
        <f aca="false">MAX(0,-N41)</f>
        <v>883</v>
      </c>
      <c r="R41" s="35" t="n">
        <f aca="false">IF(Q41&gt;0,ROUNDUP(Q41*(1+前提・入力!$B$34),0),0)</f>
        <v>972</v>
      </c>
      <c r="S41" s="70" t="n">
        <f aca="false">IF(P41="","",IF(NOT(ISNUMBER(D41)),"再生産不可",P41-E41-前提・入力!$B$37))</f>
        <v>46283</v>
      </c>
      <c r="T41" s="71" t="n">
        <f aca="false">IF(OR(S41="",S41="再生産不可"),"",S41-前提・入力!$B$38)</f>
        <v>23</v>
      </c>
      <c r="U41" s="72" t="str">
        <f aca="false">IF(O41="","—",IF(S41="再生産不可","×再生産不可",_xlfn.IFS(T41&lt;0,"★期限超過",T41&lt;=30,"★至急(30日以内)",T41&lt;=90,"要着手(90日以内)",TRUE(),"余裕あり")))</f>
        <v>★至急(30日以内)</v>
      </c>
      <c r="V41" s="72"/>
    </row>
    <row r="42" customFormat="false" ht="15" hidden="false" customHeight="false" outlineLevel="0" collapsed="false">
      <c r="A42" s="32" t="n">
        <v>27</v>
      </c>
      <c r="B42" s="32" t="s">
        <v>338</v>
      </c>
      <c r="C42" s="33" t="s">
        <v>339</v>
      </c>
      <c r="D42" s="32" t="n">
        <v>3</v>
      </c>
      <c r="E42" s="32" t="n">
        <f aca="false">IF(ISNUMBER(D42),ROUND(D42*30,0),"－")</f>
        <v>90</v>
      </c>
      <c r="F42" s="35" t="n">
        <f aca="false">③仙台以降予測!V56</f>
        <v>1131</v>
      </c>
      <c r="G42" s="35" t="n">
        <f aca="false">③仙台以降予測!I56</f>
        <v>43</v>
      </c>
      <c r="H42" s="101" t="n">
        <f aca="false">F42-G42</f>
        <v>1088</v>
      </c>
      <c r="I42" s="35" t="n">
        <f aca="false">③仙台以降予測!J56</f>
        <v>40</v>
      </c>
      <c r="J42" s="101" t="n">
        <f aca="false">H42-I42</f>
        <v>1048</v>
      </c>
      <c r="K42" s="35" t="n">
        <f aca="false">③仙台以降予測!K56</f>
        <v>30</v>
      </c>
      <c r="L42" s="101" t="n">
        <f aca="false">J42-K42</f>
        <v>1018</v>
      </c>
      <c r="M42" s="35" t="n">
        <f aca="false">③仙台以降予測!L56</f>
        <v>167</v>
      </c>
      <c r="N42" s="101" t="n">
        <f aca="false">L42-M42</f>
        <v>851</v>
      </c>
      <c r="O42" s="69" t="str">
        <f aca="false">_xlfn.IFS(H42&lt;0,"仙台 Ebeans",J42&lt;0,"神戸阪急",L42&lt;0,"鳥取島根 夢みなとタワー",N42&lt;0,"東京凱旋 東京建物ぴあホール",TRUE(),"—")</f>
        <v>—</v>
      </c>
      <c r="P42" s="70" t="str">
        <f aca="false">IF(O42="—","",_xlfn.IFS(H42&lt;0,DATE(2026,9,5),J42&lt;0,DATE(2026,12,16),L42&lt;0,DATE(2027,3,15),N42&lt;0,DATE(2027,4,1)))</f>
        <v/>
      </c>
      <c r="Q42" s="35" t="n">
        <f aca="false">MAX(0,-N42)</f>
        <v>0</v>
      </c>
      <c r="R42" s="35" t="n">
        <f aca="false">IF(Q42&gt;0,ROUNDUP(Q42*(1+前提・入力!$B$34),0),0)</f>
        <v>0</v>
      </c>
      <c r="S42" s="70" t="str">
        <f aca="false">IF(P42="","",IF(NOT(ISNUMBER(D42)),"再生産不可",P42-E42-前提・入力!$B$37))</f>
        <v/>
      </c>
      <c r="T42" s="71" t="str">
        <f aca="false">IF(OR(S42="",S42="再生産不可"),"",S42-前提・入力!$B$38)</f>
        <v/>
      </c>
      <c r="U42" s="72" t="str">
        <f aca="false">IF(O42="","—",IF(S42="再生産不可","×再生産不可",_xlfn.IFS(T42&lt;0,"★期限超過",T42&lt;=30,"★至急(30日以内)",T42&lt;=90,"要着手(90日以内)",TRUE(),"余裕あり")))</f>
        <v>余裕あり</v>
      </c>
      <c r="V42" s="72"/>
    </row>
    <row r="43" customFormat="false" ht="73.1" hidden="false" customHeight="false" outlineLevel="0" collapsed="false">
      <c r="A43" s="32" t="n">
        <v>28</v>
      </c>
      <c r="B43" s="32" t="s">
        <v>340</v>
      </c>
      <c r="C43" s="33" t="s">
        <v>341</v>
      </c>
      <c r="D43" s="32" t="n">
        <v>3</v>
      </c>
      <c r="E43" s="32" t="n">
        <f aca="false">IF(ISNUMBER(D43),ROUND(D43*30,0),"－")</f>
        <v>90</v>
      </c>
      <c r="F43" s="35" t="n">
        <f aca="false">③仙台以降予測!V57</f>
        <v>68</v>
      </c>
      <c r="G43" s="35" t="n">
        <f aca="false">③仙台以降予測!I57</f>
        <v>246</v>
      </c>
      <c r="H43" s="101" t="n">
        <f aca="false">F43-G43</f>
        <v>-178</v>
      </c>
      <c r="I43" s="35" t="n">
        <f aca="false">③仙台以降予測!J57</f>
        <v>227</v>
      </c>
      <c r="J43" s="101" t="n">
        <f aca="false">H43-I43</f>
        <v>-405</v>
      </c>
      <c r="K43" s="35" t="n">
        <f aca="false">③仙台以降予測!K57</f>
        <v>170</v>
      </c>
      <c r="L43" s="102" t="n">
        <f aca="false">J43+1200-K43</f>
        <v>625</v>
      </c>
      <c r="M43" s="35" t="n">
        <f aca="false">③仙台以降予測!L57</f>
        <v>946</v>
      </c>
      <c r="N43" s="101" t="n">
        <f aca="false">L43-M43</f>
        <v>-321</v>
      </c>
      <c r="O43" s="69" t="str">
        <f aca="false">_xlfn.IFS(H43&lt;0,"仙台 Ebeans",J43&lt;0,"神戸阪急",L43&lt;0,"鳥取島根 夢みなとタワー",N43&lt;0,"東京凱旋 東京建物ぴあホール",TRUE(),"—")</f>
        <v>仙台 Ebeans</v>
      </c>
      <c r="P43" s="70" t="n">
        <f aca="false">IF(O43="—","",_xlfn.IFS(H43&lt;0,DATE(2026,9,5),J43&lt;0,DATE(2026,12,16),L43&lt;0,DATE(2027,3,15),N43&lt;0,DATE(2027,4,1)))</f>
        <v>46270</v>
      </c>
      <c r="Q43" s="35" t="n">
        <f aca="false">MAX(0,-N43)</f>
        <v>321</v>
      </c>
      <c r="R43" s="35" t="n">
        <f aca="false">IF(Q43&gt;0,ROUNDUP(Q43*(1+前提・入力!$B$34),0),0)</f>
        <v>354</v>
      </c>
      <c r="S43" s="70" t="n">
        <f aca="false">IF(P43="","",IF(NOT(ISNUMBER(D43)),"再生産不可",P43-E43-前提・入力!$B$37))</f>
        <v>46166</v>
      </c>
      <c r="T43" s="71" t="n">
        <f aca="false">IF(OR(S43="",S43="再生産不可"),"",S43-前提・入力!$B$38)</f>
        <v>-94</v>
      </c>
      <c r="U43" s="69" t="s">
        <v>535</v>
      </c>
      <c r="V43" s="69" t="s">
        <v>860</v>
      </c>
    </row>
    <row r="44" customFormat="false" ht="15" hidden="false" customHeight="false" outlineLevel="0" collapsed="false">
      <c r="A44" s="32" t="n">
        <v>29</v>
      </c>
      <c r="B44" s="32" t="s">
        <v>342</v>
      </c>
      <c r="C44" s="33" t="s">
        <v>343</v>
      </c>
      <c r="D44" s="32" t="n">
        <v>3</v>
      </c>
      <c r="E44" s="32" t="n">
        <f aca="false">IF(ISNUMBER(D44),ROUND(D44*30,0),"－")</f>
        <v>90</v>
      </c>
      <c r="F44" s="35" t="n">
        <f aca="false">③仙台以降予測!V58</f>
        <v>177</v>
      </c>
      <c r="G44" s="35" t="n">
        <f aca="false">③仙台以降予測!I58</f>
        <v>163</v>
      </c>
      <c r="H44" s="101" t="n">
        <f aca="false">F44-G44</f>
        <v>14</v>
      </c>
      <c r="I44" s="35" t="n">
        <f aca="false">③仙台以降予測!J58</f>
        <v>150</v>
      </c>
      <c r="J44" s="101" t="n">
        <f aca="false">H44-I44</f>
        <v>-136</v>
      </c>
      <c r="K44" s="35" t="n">
        <f aca="false">③仙台以降予測!K58</f>
        <v>113</v>
      </c>
      <c r="L44" s="101" t="n">
        <f aca="false">J44-K44</f>
        <v>-249</v>
      </c>
      <c r="M44" s="35" t="n">
        <f aca="false">③仙台以降予測!L58</f>
        <v>626</v>
      </c>
      <c r="N44" s="101" t="n">
        <f aca="false">L44-M44</f>
        <v>-875</v>
      </c>
      <c r="O44" s="69" t="str">
        <f aca="false">_xlfn.IFS(H44&lt;0,"仙台 Ebeans",J44&lt;0,"神戸阪急",L44&lt;0,"鳥取島根 夢みなとタワー",N44&lt;0,"東京凱旋 東京建物ぴあホール",TRUE(),"—")</f>
        <v>神戸阪急</v>
      </c>
      <c r="P44" s="70" t="n">
        <f aca="false">IF(O44="—","",_xlfn.IFS(H44&lt;0,DATE(2026,9,5),J44&lt;0,DATE(2026,12,16),L44&lt;0,DATE(2027,3,15),N44&lt;0,DATE(2027,4,1)))</f>
        <v>46372</v>
      </c>
      <c r="Q44" s="35" t="n">
        <f aca="false">MAX(0,-N44)</f>
        <v>875</v>
      </c>
      <c r="R44" s="35" t="n">
        <f aca="false">IF(Q44&gt;0,ROUNDUP(Q44*(1+前提・入力!$B$34),0),0)</f>
        <v>963</v>
      </c>
      <c r="S44" s="70" t="n">
        <f aca="false">IF(P44="","",IF(NOT(ISNUMBER(D44)),"再生産不可",P44-E44-前提・入力!$B$37))</f>
        <v>46268</v>
      </c>
      <c r="T44" s="71" t="n">
        <f aca="false">IF(OR(S44="",S44="再生産不可"),"",S44-前提・入力!$B$38)</f>
        <v>8</v>
      </c>
      <c r="U44" s="72" t="str">
        <f aca="false">IF(O44="","—",IF(S44="再生産不可","×再生産不可",_xlfn.IFS(T44&lt;0,"★期限超過",T44&lt;=30,"★至急(30日以内)",T44&lt;=90,"要着手(90日以内)",TRUE(),"余裕あり")))</f>
        <v>★至急(30日以内)</v>
      </c>
      <c r="V44" s="72"/>
    </row>
    <row r="45" customFormat="false" ht="15" hidden="false" customHeight="false" outlineLevel="0" collapsed="false">
      <c r="A45" s="32" t="n">
        <v>30</v>
      </c>
      <c r="B45" s="32" t="s">
        <v>344</v>
      </c>
      <c r="C45" s="33" t="s">
        <v>345</v>
      </c>
      <c r="D45" s="32" t="n">
        <v>3</v>
      </c>
      <c r="E45" s="32" t="n">
        <f aca="false">IF(ISNUMBER(D45),ROUND(D45*30,0),"－")</f>
        <v>90</v>
      </c>
      <c r="F45" s="35" t="n">
        <f aca="false">③仙台以降予測!V59</f>
        <v>781</v>
      </c>
      <c r="G45" s="35" t="n">
        <f aca="false">③仙台以降予測!I59</f>
        <v>80</v>
      </c>
      <c r="H45" s="101" t="n">
        <f aca="false">F45-G45</f>
        <v>701</v>
      </c>
      <c r="I45" s="35" t="n">
        <f aca="false">③仙台以降予測!J59</f>
        <v>74</v>
      </c>
      <c r="J45" s="101" t="n">
        <f aca="false">H45-I45</f>
        <v>627</v>
      </c>
      <c r="K45" s="35" t="n">
        <f aca="false">③仙台以降予測!K59</f>
        <v>56</v>
      </c>
      <c r="L45" s="101" t="n">
        <f aca="false">J45-K45</f>
        <v>571</v>
      </c>
      <c r="M45" s="35" t="n">
        <f aca="false">③仙台以降予測!L59</f>
        <v>309</v>
      </c>
      <c r="N45" s="101" t="n">
        <f aca="false">L45-M45</f>
        <v>262</v>
      </c>
      <c r="O45" s="69" t="str">
        <f aca="false">_xlfn.IFS(H45&lt;0,"仙台 Ebeans",J45&lt;0,"神戸阪急",L45&lt;0,"鳥取島根 夢みなとタワー",N45&lt;0,"東京凱旋 東京建物ぴあホール",TRUE(),"—")</f>
        <v>—</v>
      </c>
      <c r="P45" s="70" t="str">
        <f aca="false">IF(O45="—","",_xlfn.IFS(H45&lt;0,DATE(2026,9,5),J45&lt;0,DATE(2026,12,16),L45&lt;0,DATE(2027,3,15),N45&lt;0,DATE(2027,4,1)))</f>
        <v/>
      </c>
      <c r="Q45" s="35" t="n">
        <f aca="false">MAX(0,-N45)</f>
        <v>0</v>
      </c>
      <c r="R45" s="35" t="n">
        <f aca="false">IF(Q45&gt;0,ROUNDUP(Q45*(1+前提・入力!$B$34),0),0)</f>
        <v>0</v>
      </c>
      <c r="S45" s="70" t="str">
        <f aca="false">IF(P45="","",IF(NOT(ISNUMBER(D45)),"再生産不可",P45-E45-前提・入力!$B$37))</f>
        <v/>
      </c>
      <c r="T45" s="71" t="str">
        <f aca="false">IF(OR(S45="",S45="再生産不可"),"",S45-前提・入力!$B$38)</f>
        <v/>
      </c>
      <c r="U45" s="72" t="str">
        <f aca="false">IF(O45="","—",IF(S45="再生産不可","×再生産不可",_xlfn.IFS(T45&lt;0,"★期限超過",T45&lt;=30,"★至急(30日以内)",T45&lt;=90,"要着手(90日以内)",TRUE(),"余裕あり")))</f>
        <v>余裕あり</v>
      </c>
      <c r="V45" s="72"/>
    </row>
    <row r="46" customFormat="false" ht="15" hidden="false" customHeight="false" outlineLevel="0" collapsed="false">
      <c r="A46" s="32" t="n">
        <v>31</v>
      </c>
      <c r="B46" s="32" t="s">
        <v>346</v>
      </c>
      <c r="C46" s="33" t="s">
        <v>347</v>
      </c>
      <c r="D46" s="32" t="n">
        <v>1</v>
      </c>
      <c r="E46" s="32" t="n">
        <f aca="false">IF(ISNUMBER(D46),ROUND(D46*30,0),"－")</f>
        <v>30</v>
      </c>
      <c r="F46" s="35" t="n">
        <f aca="false">③仙台以降予測!V60</f>
        <v>765</v>
      </c>
      <c r="G46" s="35" t="n">
        <f aca="false">③仙台以降予測!I60</f>
        <v>111</v>
      </c>
      <c r="H46" s="101" t="n">
        <f aca="false">F46-G46</f>
        <v>654</v>
      </c>
      <c r="I46" s="35" t="n">
        <f aca="false">③仙台以降予測!J60</f>
        <v>102</v>
      </c>
      <c r="J46" s="101" t="n">
        <f aca="false">H46-I46</f>
        <v>552</v>
      </c>
      <c r="K46" s="35" t="n">
        <f aca="false">③仙台以降予測!K60</f>
        <v>77</v>
      </c>
      <c r="L46" s="101" t="n">
        <f aca="false">J46-K46</f>
        <v>475</v>
      </c>
      <c r="M46" s="35" t="n">
        <f aca="false">③仙台以降予測!L60</f>
        <v>425</v>
      </c>
      <c r="N46" s="101" t="n">
        <f aca="false">L46-M46</f>
        <v>50</v>
      </c>
      <c r="O46" s="69" t="str">
        <f aca="false">_xlfn.IFS(H46&lt;0,"仙台 Ebeans",J46&lt;0,"神戸阪急",L46&lt;0,"鳥取島根 夢みなとタワー",N46&lt;0,"東京凱旋 東京建物ぴあホール",TRUE(),"—")</f>
        <v>—</v>
      </c>
      <c r="P46" s="70" t="str">
        <f aca="false">IF(O46="—","",_xlfn.IFS(H46&lt;0,DATE(2026,9,5),J46&lt;0,DATE(2026,12,16),L46&lt;0,DATE(2027,3,15),N46&lt;0,DATE(2027,4,1)))</f>
        <v/>
      </c>
      <c r="Q46" s="35" t="n">
        <f aca="false">MAX(0,-N46)</f>
        <v>0</v>
      </c>
      <c r="R46" s="35" t="n">
        <f aca="false">IF(Q46&gt;0,ROUNDUP(Q46*(1+前提・入力!$B$34),0),0)</f>
        <v>0</v>
      </c>
      <c r="S46" s="70" t="str">
        <f aca="false">IF(P46="","",IF(NOT(ISNUMBER(D46)),"再生産不可",P46-E46-前提・入力!$B$37))</f>
        <v/>
      </c>
      <c r="T46" s="71" t="str">
        <f aca="false">IF(OR(S46="",S46="再生産不可"),"",S46-前提・入力!$B$38)</f>
        <v/>
      </c>
      <c r="U46" s="72" t="str">
        <f aca="false">IF(O46="","—",IF(S46="再生産不可","×再生産不可",_xlfn.IFS(T46&lt;0,"★期限超過",T46&lt;=30,"★至急(30日以内)",T46&lt;=90,"要着手(90日以内)",TRUE(),"余裕あり")))</f>
        <v>余裕あり</v>
      </c>
      <c r="V46" s="72"/>
    </row>
    <row r="47" customFormat="false" ht="15" hidden="false" customHeight="false" outlineLevel="0" collapsed="false">
      <c r="A47" s="32" t="n">
        <v>32</v>
      </c>
      <c r="B47" s="32" t="s">
        <v>348</v>
      </c>
      <c r="C47" s="33" t="s">
        <v>349</v>
      </c>
      <c r="D47" s="32" t="n">
        <v>3</v>
      </c>
      <c r="E47" s="32" t="n">
        <f aca="false">IF(ISNUMBER(D47),ROUND(D47*30,0),"－")</f>
        <v>90</v>
      </c>
      <c r="F47" s="35" t="n">
        <f aca="false">③仙台以降予測!V61</f>
        <v>15</v>
      </c>
      <c r="G47" s="35" t="n">
        <f aca="false">③仙台以降予測!I61</f>
        <v>10</v>
      </c>
      <c r="H47" s="101" t="n">
        <f aca="false">F47-G47</f>
        <v>5</v>
      </c>
      <c r="I47" s="35" t="n">
        <f aca="false">③仙台以降予測!J61</f>
        <v>9</v>
      </c>
      <c r="J47" s="101" t="n">
        <f aca="false">H47-I47</f>
        <v>-4</v>
      </c>
      <c r="K47" s="35" t="n">
        <f aca="false">③仙台以降予測!K61</f>
        <v>7</v>
      </c>
      <c r="L47" s="101" t="n">
        <f aca="false">J47-K47</f>
        <v>-11</v>
      </c>
      <c r="M47" s="35" t="n">
        <f aca="false">③仙台以降予測!L61</f>
        <v>38</v>
      </c>
      <c r="N47" s="101" t="n">
        <f aca="false">L47-M47</f>
        <v>-49</v>
      </c>
      <c r="O47" s="69" t="str">
        <f aca="false">_xlfn.IFS(H47&lt;0,"仙台 Ebeans",J47&lt;0,"神戸阪急",L47&lt;0,"鳥取島根 夢みなとタワー",N47&lt;0,"東京凱旋 東京建物ぴあホール",TRUE(),"—")</f>
        <v>神戸阪急</v>
      </c>
      <c r="P47" s="70" t="n">
        <f aca="false">IF(O47="—","",_xlfn.IFS(H47&lt;0,DATE(2026,9,5),J47&lt;0,DATE(2026,12,16),L47&lt;0,DATE(2027,3,15),N47&lt;0,DATE(2027,4,1)))</f>
        <v>46372</v>
      </c>
      <c r="Q47" s="35" t="n">
        <f aca="false">MAX(0,-N47)</f>
        <v>49</v>
      </c>
      <c r="R47" s="35" t="n">
        <f aca="false">IF(Q47&gt;0,ROUNDUP(Q47*(1+前提・入力!$B$34),0),0)</f>
        <v>54</v>
      </c>
      <c r="S47" s="70" t="n">
        <f aca="false">IF(P47="","",IF(NOT(ISNUMBER(D47)),"再生産不可",P47-E47-前提・入力!$B$37))</f>
        <v>46268</v>
      </c>
      <c r="T47" s="71" t="n">
        <f aca="false">IF(OR(S47="",S47="再生産不可"),"",S47-前提・入力!$B$38)</f>
        <v>8</v>
      </c>
      <c r="U47" s="72" t="str">
        <f aca="false">IF(O47="","—",IF(S47="再生産不可","×再生産不可",_xlfn.IFS(T47&lt;0,"★期限超過",T47&lt;=30,"★至急(30日以内)",T47&lt;=90,"要着手(90日以内)",TRUE(),"余裕あり")))</f>
        <v>★至急(30日以内)</v>
      </c>
      <c r="V47" s="72"/>
    </row>
    <row r="48" customFormat="false" ht="15" hidden="false" customHeight="false" outlineLevel="0" collapsed="false">
      <c r="A48" s="32" t="n">
        <v>33</v>
      </c>
      <c r="B48" s="32" t="s">
        <v>350</v>
      </c>
      <c r="C48" s="33" t="s">
        <v>351</v>
      </c>
      <c r="D48" s="32" t="n">
        <v>3</v>
      </c>
      <c r="E48" s="32" t="n">
        <f aca="false">IF(ISNUMBER(D48),ROUND(D48*30,0),"－")</f>
        <v>90</v>
      </c>
      <c r="F48" s="35" t="n">
        <f aca="false">③仙台以降予測!V62</f>
        <v>98</v>
      </c>
      <c r="G48" s="35" t="n">
        <f aca="false">③仙台以降予測!I62</f>
        <v>6</v>
      </c>
      <c r="H48" s="101" t="n">
        <f aca="false">F48-G48</f>
        <v>92</v>
      </c>
      <c r="I48" s="35" t="n">
        <f aca="false">③仙台以降予測!J62</f>
        <v>6</v>
      </c>
      <c r="J48" s="101" t="n">
        <f aca="false">H48-I48</f>
        <v>86</v>
      </c>
      <c r="K48" s="35" t="n">
        <f aca="false">③仙台以降予測!K62</f>
        <v>4</v>
      </c>
      <c r="L48" s="101" t="n">
        <f aca="false">J48-K48</f>
        <v>82</v>
      </c>
      <c r="M48" s="35" t="n">
        <f aca="false">③仙台以降予測!L62</f>
        <v>24</v>
      </c>
      <c r="N48" s="101" t="n">
        <f aca="false">L48-M48</f>
        <v>58</v>
      </c>
      <c r="O48" s="69" t="str">
        <f aca="false">_xlfn.IFS(H48&lt;0,"仙台 Ebeans",J48&lt;0,"神戸阪急",L48&lt;0,"鳥取島根 夢みなとタワー",N48&lt;0,"東京凱旋 東京建物ぴあホール",TRUE(),"—")</f>
        <v>—</v>
      </c>
      <c r="P48" s="70" t="str">
        <f aca="false">IF(O48="—","",_xlfn.IFS(H48&lt;0,DATE(2026,9,5),J48&lt;0,DATE(2026,12,16),L48&lt;0,DATE(2027,3,15),N48&lt;0,DATE(2027,4,1)))</f>
        <v/>
      </c>
      <c r="Q48" s="35" t="n">
        <f aca="false">MAX(0,-N48)</f>
        <v>0</v>
      </c>
      <c r="R48" s="35" t="n">
        <f aca="false">IF(Q48&gt;0,ROUNDUP(Q48*(1+前提・入力!$B$34),0),0)</f>
        <v>0</v>
      </c>
      <c r="S48" s="70" t="str">
        <f aca="false">IF(P48="","",IF(NOT(ISNUMBER(D48)),"再生産不可",P48-E48-前提・入力!$B$37))</f>
        <v/>
      </c>
      <c r="T48" s="71" t="str">
        <f aca="false">IF(OR(S48="",S48="再生産不可"),"",S48-前提・入力!$B$38)</f>
        <v/>
      </c>
      <c r="U48" s="72" t="str">
        <f aca="false">IF(O48="","—",IF(S48="再生産不可","×再生産不可",_xlfn.IFS(T48&lt;0,"★期限超過",T48&lt;=30,"★至急(30日以内)",T48&lt;=90,"要着手(90日以内)",TRUE(),"余裕あり")))</f>
        <v>余裕あり</v>
      </c>
      <c r="V48" s="72"/>
    </row>
    <row r="49" customFormat="false" ht="15" hidden="false" customHeight="false" outlineLevel="0" collapsed="false">
      <c r="A49" s="32" t="n">
        <v>34</v>
      </c>
      <c r="B49" s="32" t="s">
        <v>352</v>
      </c>
      <c r="C49" s="33" t="s">
        <v>353</v>
      </c>
      <c r="D49" s="32" t="n">
        <v>3</v>
      </c>
      <c r="E49" s="32" t="n">
        <f aca="false">IF(ISNUMBER(D49),ROUND(D49*30,0),"－")</f>
        <v>90</v>
      </c>
      <c r="F49" s="35" t="n">
        <f aca="false">③仙台以降予測!V63</f>
        <v>1</v>
      </c>
      <c r="G49" s="35" t="n">
        <f aca="false">③仙台以降予測!I63</f>
        <v>2</v>
      </c>
      <c r="H49" s="101" t="n">
        <f aca="false">F49-G49</f>
        <v>-1</v>
      </c>
      <c r="I49" s="35" t="n">
        <f aca="false">③仙台以降予測!J63</f>
        <v>2</v>
      </c>
      <c r="J49" s="101" t="n">
        <f aca="false">H49-I49</f>
        <v>-3</v>
      </c>
      <c r="K49" s="35" t="n">
        <f aca="false">③仙台以降予測!K63</f>
        <v>1</v>
      </c>
      <c r="L49" s="101" t="n">
        <f aca="false">J49-K49</f>
        <v>-4</v>
      </c>
      <c r="M49" s="35" t="n">
        <f aca="false">③仙台以降予測!L63</f>
        <v>8</v>
      </c>
      <c r="N49" s="101" t="n">
        <f aca="false">L49-M49</f>
        <v>-12</v>
      </c>
      <c r="O49" s="69" t="str">
        <f aca="false">_xlfn.IFS(H49&lt;0,"仙台 Ebeans",J49&lt;0,"神戸阪急",L49&lt;0,"鳥取島根 夢みなとタワー",N49&lt;0,"東京凱旋 東京建物ぴあホール",TRUE(),"—")</f>
        <v>仙台 Ebeans</v>
      </c>
      <c r="P49" s="70" t="n">
        <f aca="false">IF(O49="—","",_xlfn.IFS(H49&lt;0,DATE(2026,9,5),J49&lt;0,DATE(2026,12,16),L49&lt;0,DATE(2027,3,15),N49&lt;0,DATE(2027,4,1)))</f>
        <v>46270</v>
      </c>
      <c r="Q49" s="35" t="n">
        <f aca="false">MAX(0,-N49)</f>
        <v>12</v>
      </c>
      <c r="R49" s="35" t="n">
        <f aca="false">IF(Q49&gt;0,ROUNDUP(Q49*(1+前提・入力!$B$34),0),0)</f>
        <v>14</v>
      </c>
      <c r="S49" s="70" t="n">
        <f aca="false">IF(P49="","",IF(NOT(ISNUMBER(D49)),"再生産不可",P49-E49-前提・入力!$B$37))</f>
        <v>46166</v>
      </c>
      <c r="T49" s="71" t="n">
        <f aca="false">IF(OR(S49="",S49="再生産不可"),"",S49-前提・入力!$B$38)</f>
        <v>-94</v>
      </c>
      <c r="U49" s="72" t="str">
        <f aca="false">IF(O49="","—",IF(S49="再生産不可","×再生産不可",_xlfn.IFS(T49&lt;0,"★期限超過",T49&lt;=30,"★至急(30日以内)",T49&lt;=90,"要着手(90日以内)",TRUE(),"余裕あり")))</f>
        <v>★期限超過</v>
      </c>
      <c r="V49" s="72"/>
    </row>
    <row r="50" customFormat="false" ht="15" hidden="false" customHeight="false" outlineLevel="0" collapsed="false">
      <c r="A50" s="32" t="n">
        <v>35</v>
      </c>
      <c r="B50" s="32" t="s">
        <v>354</v>
      </c>
      <c r="C50" s="33" t="s">
        <v>355</v>
      </c>
      <c r="D50" s="32" t="n">
        <v>3</v>
      </c>
      <c r="E50" s="32" t="n">
        <f aca="false">IF(ISNUMBER(D50),ROUND(D50*30,0),"－")</f>
        <v>90</v>
      </c>
      <c r="F50" s="35" t="n">
        <f aca="false">③仙台以降予測!V64</f>
        <v>2</v>
      </c>
      <c r="G50" s="35" t="n">
        <f aca="false">③仙台以降予測!I64</f>
        <v>1</v>
      </c>
      <c r="H50" s="101" t="n">
        <f aca="false">F50-G50</f>
        <v>1</v>
      </c>
      <c r="I50" s="35" t="n">
        <f aca="false">③仙台以降予測!J64</f>
        <v>1</v>
      </c>
      <c r="J50" s="101" t="n">
        <f aca="false">H50-I50</f>
        <v>0</v>
      </c>
      <c r="K50" s="35" t="n">
        <f aca="false">③仙台以降予測!K64</f>
        <v>1</v>
      </c>
      <c r="L50" s="101" t="n">
        <f aca="false">J50-K50</f>
        <v>-1</v>
      </c>
      <c r="M50" s="35" t="n">
        <f aca="false">③仙台以降予測!L64</f>
        <v>6</v>
      </c>
      <c r="N50" s="101" t="n">
        <f aca="false">L50-M50</f>
        <v>-7</v>
      </c>
      <c r="O50" s="69" t="str">
        <f aca="false">_xlfn.IFS(H50&lt;0,"仙台 Ebeans",J50&lt;0,"神戸阪急",L50&lt;0,"鳥取島根 夢みなとタワー",N50&lt;0,"東京凱旋 東京建物ぴあホール",TRUE(),"—")</f>
        <v>鳥取島根 夢みなとタワー</v>
      </c>
      <c r="P50" s="70" t="n">
        <f aca="false">IF(O50="—","",_xlfn.IFS(H50&lt;0,DATE(2026,9,5),J50&lt;0,DATE(2026,12,16),L50&lt;0,DATE(2027,3,15),N50&lt;0,DATE(2027,4,1)))</f>
        <v>46461</v>
      </c>
      <c r="Q50" s="35" t="n">
        <f aca="false">MAX(0,-N50)</f>
        <v>7</v>
      </c>
      <c r="R50" s="35" t="n">
        <f aca="false">IF(Q50&gt;0,ROUNDUP(Q50*(1+前提・入力!$B$34),0),0)</f>
        <v>8</v>
      </c>
      <c r="S50" s="70" t="n">
        <f aca="false">IF(P50="","",IF(NOT(ISNUMBER(D50)),"再生産不可",P50-E50-前提・入力!$B$37))</f>
        <v>46357</v>
      </c>
      <c r="T50" s="71" t="n">
        <f aca="false">IF(OR(S50="",S50="再生産不可"),"",S50-前提・入力!$B$38)</f>
        <v>97</v>
      </c>
      <c r="U50" s="72" t="str">
        <f aca="false">IF(O50="","—",IF(S50="再生産不可","×再生産不可",_xlfn.IFS(T50&lt;0,"★期限超過",T50&lt;=30,"★至急(30日以内)",T50&lt;=90,"要着手(90日以内)",TRUE(),"余裕あり")))</f>
        <v>余裕あり</v>
      </c>
      <c r="V50" s="72"/>
    </row>
    <row r="51" customFormat="false" ht="15" hidden="false" customHeight="false" outlineLevel="0" collapsed="false">
      <c r="A51" s="32" t="n">
        <v>36</v>
      </c>
      <c r="B51" s="32" t="s">
        <v>356</v>
      </c>
      <c r="C51" s="33" t="s">
        <v>357</v>
      </c>
      <c r="D51" s="32" t="n">
        <v>3</v>
      </c>
      <c r="E51" s="32" t="n">
        <f aca="false">IF(ISNUMBER(D51),ROUND(D51*30,0),"－")</f>
        <v>90</v>
      </c>
      <c r="F51" s="35" t="n">
        <f aca="false">③仙台以降予測!V65</f>
        <v>2</v>
      </c>
      <c r="G51" s="35" t="n">
        <f aca="false">③仙台以降予測!I65</f>
        <v>1</v>
      </c>
      <c r="H51" s="101" t="n">
        <f aca="false">F51-G51</f>
        <v>1</v>
      </c>
      <c r="I51" s="35" t="n">
        <f aca="false">③仙台以降予測!J65</f>
        <v>1</v>
      </c>
      <c r="J51" s="101" t="n">
        <f aca="false">H51-I51</f>
        <v>0</v>
      </c>
      <c r="K51" s="35" t="n">
        <f aca="false">③仙台以降予測!K65</f>
        <v>1</v>
      </c>
      <c r="L51" s="101" t="n">
        <f aca="false">J51-K51</f>
        <v>-1</v>
      </c>
      <c r="M51" s="35" t="n">
        <f aca="false">③仙台以降予測!L65</f>
        <v>6</v>
      </c>
      <c r="N51" s="101" t="n">
        <f aca="false">L51-M51</f>
        <v>-7</v>
      </c>
      <c r="O51" s="69" t="str">
        <f aca="false">_xlfn.IFS(H51&lt;0,"仙台 Ebeans",J51&lt;0,"神戸阪急",L51&lt;0,"鳥取島根 夢みなとタワー",N51&lt;0,"東京凱旋 東京建物ぴあホール",TRUE(),"—")</f>
        <v>鳥取島根 夢みなとタワー</v>
      </c>
      <c r="P51" s="70" t="n">
        <f aca="false">IF(O51="—","",_xlfn.IFS(H51&lt;0,DATE(2026,9,5),J51&lt;0,DATE(2026,12,16),L51&lt;0,DATE(2027,3,15),N51&lt;0,DATE(2027,4,1)))</f>
        <v>46461</v>
      </c>
      <c r="Q51" s="35" t="n">
        <f aca="false">MAX(0,-N51)</f>
        <v>7</v>
      </c>
      <c r="R51" s="35" t="n">
        <f aca="false">IF(Q51&gt;0,ROUNDUP(Q51*(1+前提・入力!$B$34),0),0)</f>
        <v>8</v>
      </c>
      <c r="S51" s="70" t="n">
        <f aca="false">IF(P51="","",IF(NOT(ISNUMBER(D51)),"再生産不可",P51-E51-前提・入力!$B$37))</f>
        <v>46357</v>
      </c>
      <c r="T51" s="71" t="n">
        <f aca="false">IF(OR(S51="",S51="再生産不可"),"",S51-前提・入力!$B$38)</f>
        <v>97</v>
      </c>
      <c r="U51" s="72" t="str">
        <f aca="false">IF(O51="","—",IF(S51="再生産不可","×再生産不可",_xlfn.IFS(T51&lt;0,"★期限超過",T51&lt;=30,"★至急(30日以内)",T51&lt;=90,"要着手(90日以内)",TRUE(),"余裕あり")))</f>
        <v>余裕あり</v>
      </c>
      <c r="V51" s="72"/>
    </row>
    <row r="52" customFormat="false" ht="15" hidden="false" customHeight="false" outlineLevel="0" collapsed="false">
      <c r="A52" s="32" t="n">
        <v>37</v>
      </c>
      <c r="B52" s="32" t="s">
        <v>358</v>
      </c>
      <c r="C52" s="33" t="s">
        <v>359</v>
      </c>
      <c r="D52" s="32" t="n">
        <v>3</v>
      </c>
      <c r="E52" s="32" t="n">
        <f aca="false">IF(ISNUMBER(D52),ROUND(D52*30,0),"－")</f>
        <v>90</v>
      </c>
      <c r="F52" s="35" t="n">
        <f aca="false">③仙台以降予測!V66</f>
        <v>28</v>
      </c>
      <c r="G52" s="35" t="n">
        <f aca="false">③仙台以降予測!I66</f>
        <v>5</v>
      </c>
      <c r="H52" s="101" t="n">
        <f aca="false">F52-G52</f>
        <v>23</v>
      </c>
      <c r="I52" s="35" t="n">
        <f aca="false">③仙台以降予測!J66</f>
        <v>5</v>
      </c>
      <c r="J52" s="101" t="n">
        <f aca="false">H52-I52</f>
        <v>18</v>
      </c>
      <c r="K52" s="35" t="n">
        <f aca="false">③仙台以降予測!K66</f>
        <v>4</v>
      </c>
      <c r="L52" s="101" t="n">
        <f aca="false">J52-K52</f>
        <v>14</v>
      </c>
      <c r="M52" s="35" t="n">
        <f aca="false">③仙台以降予測!L66</f>
        <v>20</v>
      </c>
      <c r="N52" s="101" t="n">
        <f aca="false">L52-M52</f>
        <v>-6</v>
      </c>
      <c r="O52" s="69" t="str">
        <f aca="false">_xlfn.IFS(H52&lt;0,"仙台 Ebeans",J52&lt;0,"神戸阪急",L52&lt;0,"鳥取島根 夢みなとタワー",N52&lt;0,"東京凱旋 東京建物ぴあホール",TRUE(),"—")</f>
        <v>東京凱旋 東京建物ぴあホール</v>
      </c>
      <c r="P52" s="70" t="n">
        <f aca="false">IF(O52="—","",_xlfn.IFS(H52&lt;0,DATE(2026,9,5),J52&lt;0,DATE(2026,12,16),L52&lt;0,DATE(2027,3,15),N52&lt;0,DATE(2027,4,1)))</f>
        <v>46478</v>
      </c>
      <c r="Q52" s="35" t="n">
        <f aca="false">MAX(0,-N52)</f>
        <v>6</v>
      </c>
      <c r="R52" s="35" t="n">
        <f aca="false">IF(Q52&gt;0,ROUNDUP(Q52*(1+前提・入力!$B$34),0),0)</f>
        <v>7</v>
      </c>
      <c r="S52" s="70" t="n">
        <f aca="false">IF(P52="","",IF(NOT(ISNUMBER(D52)),"再生産不可",P52-E52-前提・入力!$B$37))</f>
        <v>46374</v>
      </c>
      <c r="T52" s="71" t="n">
        <f aca="false">IF(OR(S52="",S52="再生産不可"),"",S52-前提・入力!$B$38)</f>
        <v>114</v>
      </c>
      <c r="U52" s="72" t="str">
        <f aca="false">IF(O52="","—",IF(S52="再生産不可","×再生産不可",_xlfn.IFS(T52&lt;0,"★期限超過",T52&lt;=30,"★至急(30日以内)",T52&lt;=90,"要着手(90日以内)",TRUE(),"余裕あり")))</f>
        <v>余裕あり</v>
      </c>
      <c r="V52" s="72"/>
    </row>
    <row r="53" customFormat="false" ht="15" hidden="false" customHeight="false" outlineLevel="0" collapsed="false">
      <c r="A53" s="32" t="n">
        <v>38</v>
      </c>
      <c r="B53" s="32" t="s">
        <v>360</v>
      </c>
      <c r="C53" s="33" t="s">
        <v>361</v>
      </c>
      <c r="D53" s="32" t="n">
        <v>3</v>
      </c>
      <c r="E53" s="32" t="n">
        <f aca="false">IF(ISNUMBER(D53),ROUND(D53*30,0),"－")</f>
        <v>90</v>
      </c>
      <c r="F53" s="35" t="n">
        <f aca="false">③仙台以降予測!V67</f>
        <v>1</v>
      </c>
      <c r="G53" s="35" t="n">
        <f aca="false">③仙台以降予測!I67</f>
        <v>2</v>
      </c>
      <c r="H53" s="101" t="n">
        <f aca="false">F53-G53</f>
        <v>-1</v>
      </c>
      <c r="I53" s="35" t="n">
        <f aca="false">③仙台以降予測!J67</f>
        <v>2</v>
      </c>
      <c r="J53" s="101" t="n">
        <f aca="false">H53-I53</f>
        <v>-3</v>
      </c>
      <c r="K53" s="35" t="n">
        <f aca="false">③仙台以降予測!K67</f>
        <v>1</v>
      </c>
      <c r="L53" s="101" t="n">
        <f aca="false">J53-K53</f>
        <v>-4</v>
      </c>
      <c r="M53" s="35" t="n">
        <f aca="false">③仙台以降予測!L67</f>
        <v>8</v>
      </c>
      <c r="N53" s="101" t="n">
        <f aca="false">L53-M53</f>
        <v>-12</v>
      </c>
      <c r="O53" s="69" t="str">
        <f aca="false">_xlfn.IFS(H53&lt;0,"仙台 Ebeans",J53&lt;0,"神戸阪急",L53&lt;0,"鳥取島根 夢みなとタワー",N53&lt;0,"東京凱旋 東京建物ぴあホール",TRUE(),"—")</f>
        <v>仙台 Ebeans</v>
      </c>
      <c r="P53" s="70" t="n">
        <f aca="false">IF(O53="—","",_xlfn.IFS(H53&lt;0,DATE(2026,9,5),J53&lt;0,DATE(2026,12,16),L53&lt;0,DATE(2027,3,15),N53&lt;0,DATE(2027,4,1)))</f>
        <v>46270</v>
      </c>
      <c r="Q53" s="35" t="n">
        <f aca="false">MAX(0,-N53)</f>
        <v>12</v>
      </c>
      <c r="R53" s="35" t="n">
        <f aca="false">IF(Q53&gt;0,ROUNDUP(Q53*(1+前提・入力!$B$34),0),0)</f>
        <v>14</v>
      </c>
      <c r="S53" s="70" t="n">
        <f aca="false">IF(P53="","",IF(NOT(ISNUMBER(D53)),"再生産不可",P53-E53-前提・入力!$B$37))</f>
        <v>46166</v>
      </c>
      <c r="T53" s="71" t="n">
        <f aca="false">IF(OR(S53="",S53="再生産不可"),"",S53-前提・入力!$B$38)</f>
        <v>-94</v>
      </c>
      <c r="U53" s="72" t="str">
        <f aca="false">IF(O53="","—",IF(S53="再生産不可","×再生産不可",_xlfn.IFS(T53&lt;0,"★期限超過",T53&lt;=30,"★至急(30日以内)",T53&lt;=90,"要着手(90日以内)",TRUE(),"余裕あり")))</f>
        <v>★期限超過</v>
      </c>
      <c r="V53" s="72"/>
    </row>
    <row r="54" customFormat="false" ht="15" hidden="false" customHeight="false" outlineLevel="0" collapsed="false">
      <c r="A54" s="32" t="n">
        <v>39</v>
      </c>
      <c r="B54" s="32" t="s">
        <v>362</v>
      </c>
      <c r="C54" s="33" t="s">
        <v>363</v>
      </c>
      <c r="D54" s="32" t="n">
        <v>3</v>
      </c>
      <c r="E54" s="32" t="n">
        <f aca="false">IF(ISNUMBER(D54),ROUND(D54*30,0),"－")</f>
        <v>90</v>
      </c>
      <c r="F54" s="35" t="n">
        <f aca="false">③仙台以降予測!V68</f>
        <v>0</v>
      </c>
      <c r="G54" s="35" t="n">
        <f aca="false">③仙台以降予測!I68</f>
        <v>3</v>
      </c>
      <c r="H54" s="101" t="n">
        <f aca="false">F54-G54</f>
        <v>-3</v>
      </c>
      <c r="I54" s="35" t="n">
        <f aca="false">③仙台以降予測!J68</f>
        <v>3</v>
      </c>
      <c r="J54" s="101" t="n">
        <f aca="false">H54-I54</f>
        <v>-6</v>
      </c>
      <c r="K54" s="35" t="n">
        <f aca="false">③仙台以降予測!K68</f>
        <v>2</v>
      </c>
      <c r="L54" s="101" t="n">
        <f aca="false">J54-K54</f>
        <v>-8</v>
      </c>
      <c r="M54" s="35" t="n">
        <f aca="false">③仙台以降予測!L68</f>
        <v>11</v>
      </c>
      <c r="N54" s="101" t="n">
        <f aca="false">L54-M54</f>
        <v>-19</v>
      </c>
      <c r="O54" s="69" t="str">
        <f aca="false">_xlfn.IFS(H54&lt;0,"仙台 Ebeans",J54&lt;0,"神戸阪急",L54&lt;0,"鳥取島根 夢みなとタワー",N54&lt;0,"東京凱旋 東京建物ぴあホール",TRUE(),"—")</f>
        <v>仙台 Ebeans</v>
      </c>
      <c r="P54" s="70" t="n">
        <f aca="false">IF(O54="—","",_xlfn.IFS(H54&lt;0,DATE(2026,9,5),J54&lt;0,DATE(2026,12,16),L54&lt;0,DATE(2027,3,15),N54&lt;0,DATE(2027,4,1)))</f>
        <v>46270</v>
      </c>
      <c r="Q54" s="35" t="n">
        <f aca="false">MAX(0,-N54)</f>
        <v>19</v>
      </c>
      <c r="R54" s="35" t="n">
        <f aca="false">IF(Q54&gt;0,ROUNDUP(Q54*(1+前提・入力!$B$34),0),0)</f>
        <v>21</v>
      </c>
      <c r="S54" s="70" t="n">
        <f aca="false">IF(P54="","",IF(NOT(ISNUMBER(D54)),"再生産不可",P54-E54-前提・入力!$B$37))</f>
        <v>46166</v>
      </c>
      <c r="T54" s="71" t="n">
        <f aca="false">IF(OR(S54="",S54="再生産不可"),"",S54-前提・入力!$B$38)</f>
        <v>-94</v>
      </c>
      <c r="U54" s="72" t="str">
        <f aca="false">IF(O54="","—",IF(S54="再生産不可","×再生産不可",_xlfn.IFS(T54&lt;0,"★期限超過",T54&lt;=30,"★至急(30日以内)",T54&lt;=90,"要着手(90日以内)",TRUE(),"余裕あり")))</f>
        <v>★期限超過</v>
      </c>
      <c r="V54" s="72"/>
    </row>
    <row r="55" customFormat="false" ht="15" hidden="false" customHeight="false" outlineLevel="0" collapsed="false">
      <c r="A55" s="32" t="n">
        <v>40</v>
      </c>
      <c r="B55" s="32" t="s">
        <v>364</v>
      </c>
      <c r="C55" s="33" t="s">
        <v>365</v>
      </c>
      <c r="D55" s="32" t="n">
        <v>3</v>
      </c>
      <c r="E55" s="32" t="n">
        <f aca="false">IF(ISNUMBER(D55),ROUND(D55*30,0),"－")</f>
        <v>90</v>
      </c>
      <c r="F55" s="35" t="n">
        <f aca="false">③仙台以降予測!V69</f>
        <v>3</v>
      </c>
      <c r="G55" s="35" t="n">
        <f aca="false">③仙台以降予測!I69</f>
        <v>1</v>
      </c>
      <c r="H55" s="101" t="n">
        <f aca="false">F55-G55</f>
        <v>2</v>
      </c>
      <c r="I55" s="35" t="n">
        <f aca="false">③仙台以降予測!J69</f>
        <v>1</v>
      </c>
      <c r="J55" s="101" t="n">
        <f aca="false">H55-I55</f>
        <v>1</v>
      </c>
      <c r="K55" s="35" t="n">
        <f aca="false">③仙台以降予測!K69</f>
        <v>1</v>
      </c>
      <c r="L55" s="101" t="n">
        <f aca="false">J55-K55</f>
        <v>0</v>
      </c>
      <c r="M55" s="35" t="n">
        <f aca="false">③仙台以降予測!L69</f>
        <v>4</v>
      </c>
      <c r="N55" s="101" t="n">
        <f aca="false">L55-M55</f>
        <v>-4</v>
      </c>
      <c r="O55" s="69" t="str">
        <f aca="false">_xlfn.IFS(H55&lt;0,"仙台 Ebeans",J55&lt;0,"神戸阪急",L55&lt;0,"鳥取島根 夢みなとタワー",N55&lt;0,"東京凱旋 東京建物ぴあホール",TRUE(),"—")</f>
        <v>東京凱旋 東京建物ぴあホール</v>
      </c>
      <c r="P55" s="70" t="n">
        <f aca="false">IF(O55="—","",_xlfn.IFS(H55&lt;0,DATE(2026,9,5),J55&lt;0,DATE(2026,12,16),L55&lt;0,DATE(2027,3,15),N55&lt;0,DATE(2027,4,1)))</f>
        <v>46478</v>
      </c>
      <c r="Q55" s="35" t="n">
        <f aca="false">MAX(0,-N55)</f>
        <v>4</v>
      </c>
      <c r="R55" s="35" t="n">
        <f aca="false">IF(Q55&gt;0,ROUNDUP(Q55*(1+前提・入力!$B$34),0),0)</f>
        <v>5</v>
      </c>
      <c r="S55" s="70" t="n">
        <f aca="false">IF(P55="","",IF(NOT(ISNUMBER(D55)),"再生産不可",P55-E55-前提・入力!$B$37))</f>
        <v>46374</v>
      </c>
      <c r="T55" s="71" t="n">
        <f aca="false">IF(OR(S55="",S55="再生産不可"),"",S55-前提・入力!$B$38)</f>
        <v>114</v>
      </c>
      <c r="U55" s="72" t="str">
        <f aca="false">IF(O55="","—",IF(S55="再生産不可","×再生産不可",_xlfn.IFS(T55&lt;0,"★期限超過",T55&lt;=30,"★至急(30日以内)",T55&lt;=90,"要着手(90日以内)",TRUE(),"余裕あり")))</f>
        <v>余裕あり</v>
      </c>
      <c r="V55" s="72"/>
    </row>
    <row r="56" customFormat="false" ht="15" hidden="false" customHeight="false" outlineLevel="0" collapsed="false">
      <c r="A56" s="32" t="n">
        <v>41</v>
      </c>
      <c r="B56" s="32" t="s">
        <v>366</v>
      </c>
      <c r="C56" s="33" t="s">
        <v>367</v>
      </c>
      <c r="D56" s="32" t="n">
        <v>3</v>
      </c>
      <c r="E56" s="32" t="n">
        <f aca="false">IF(ISNUMBER(D56),ROUND(D56*30,0),"－")</f>
        <v>90</v>
      </c>
      <c r="F56" s="35" t="n">
        <f aca="false">③仙台以降予測!V70</f>
        <v>74</v>
      </c>
      <c r="G56" s="35" t="n">
        <f aca="false">③仙台以降予測!I70</f>
        <v>0</v>
      </c>
      <c r="H56" s="101" t="n">
        <f aca="false">F56-G56</f>
        <v>74</v>
      </c>
      <c r="I56" s="35" t="n">
        <f aca="false">③仙台以降予測!J70</f>
        <v>0</v>
      </c>
      <c r="J56" s="101" t="n">
        <f aca="false">H56-I56</f>
        <v>74</v>
      </c>
      <c r="K56" s="35" t="n">
        <f aca="false">③仙台以降予測!K70</f>
        <v>0</v>
      </c>
      <c r="L56" s="101" t="n">
        <f aca="false">J56-K56</f>
        <v>74</v>
      </c>
      <c r="M56" s="35" t="n">
        <f aca="false">③仙台以降予測!L70</f>
        <v>0</v>
      </c>
      <c r="N56" s="101" t="n">
        <f aca="false">L56-M56</f>
        <v>74</v>
      </c>
      <c r="O56" s="69" t="str">
        <f aca="false">_xlfn.IFS(H56&lt;0,"仙台 Ebeans",J56&lt;0,"神戸阪急",L56&lt;0,"鳥取島根 夢みなとタワー",N56&lt;0,"東京凱旋 東京建物ぴあホール",TRUE(),"—")</f>
        <v>—</v>
      </c>
      <c r="P56" s="70" t="str">
        <f aca="false">IF(O56="—","",_xlfn.IFS(H56&lt;0,DATE(2026,9,5),J56&lt;0,DATE(2026,12,16),L56&lt;0,DATE(2027,3,15),N56&lt;0,DATE(2027,4,1)))</f>
        <v/>
      </c>
      <c r="Q56" s="35" t="n">
        <f aca="false">MAX(0,-N56)</f>
        <v>0</v>
      </c>
      <c r="R56" s="35" t="n">
        <f aca="false">IF(Q56&gt;0,ROUNDUP(Q56*(1+前提・入力!$B$34),0),0)</f>
        <v>0</v>
      </c>
      <c r="S56" s="70" t="str">
        <f aca="false">IF(P56="","",IF(NOT(ISNUMBER(D56)),"再生産不可",P56-E56-前提・入力!$B$37))</f>
        <v/>
      </c>
      <c r="T56" s="71" t="str">
        <f aca="false">IF(OR(S56="",S56="再生産不可"),"",S56-前提・入力!$B$38)</f>
        <v/>
      </c>
      <c r="U56" s="72" t="str">
        <f aca="false">IF(O56="","—",IF(S56="再生産不可","×再生産不可",_xlfn.IFS(T56&lt;0,"★期限超過",T56&lt;=30,"★至急(30日以内)",T56&lt;=90,"要着手(90日以内)",TRUE(),"余裕あり")))</f>
        <v>余裕あり</v>
      </c>
      <c r="V56" s="72"/>
    </row>
    <row r="57" customFormat="false" ht="15" hidden="false" customHeight="false" outlineLevel="0" collapsed="false">
      <c r="A57" s="32" t="n">
        <v>42</v>
      </c>
      <c r="B57" s="32" t="s">
        <v>368</v>
      </c>
      <c r="C57" s="33" t="s">
        <v>369</v>
      </c>
      <c r="D57" s="32" t="n">
        <v>3</v>
      </c>
      <c r="E57" s="32" t="n">
        <f aca="false">IF(ISNUMBER(D57),ROUND(D57*30,0),"－")</f>
        <v>90</v>
      </c>
      <c r="F57" s="35" t="n">
        <f aca="false">③仙台以降予測!V71</f>
        <v>48</v>
      </c>
      <c r="G57" s="35" t="n">
        <f aca="false">③仙台以降予測!I71</f>
        <v>1</v>
      </c>
      <c r="H57" s="101" t="n">
        <f aca="false">F57-G57</f>
        <v>47</v>
      </c>
      <c r="I57" s="35" t="n">
        <f aca="false">③仙台以降予測!J71</f>
        <v>0</v>
      </c>
      <c r="J57" s="101" t="n">
        <f aca="false">H57-I57</f>
        <v>47</v>
      </c>
      <c r="K57" s="35" t="n">
        <f aca="false">③仙台以降予測!K71</f>
        <v>0</v>
      </c>
      <c r="L57" s="101" t="n">
        <f aca="false">J57-K57</f>
        <v>47</v>
      </c>
      <c r="M57" s="35" t="n">
        <f aca="false">③仙台以降予測!L71</f>
        <v>2</v>
      </c>
      <c r="N57" s="101" t="n">
        <f aca="false">L57-M57</f>
        <v>45</v>
      </c>
      <c r="O57" s="69" t="str">
        <f aca="false">_xlfn.IFS(H57&lt;0,"仙台 Ebeans",J57&lt;0,"神戸阪急",L57&lt;0,"鳥取島根 夢みなとタワー",N57&lt;0,"東京凱旋 東京建物ぴあホール",TRUE(),"—")</f>
        <v>—</v>
      </c>
      <c r="P57" s="70" t="str">
        <f aca="false">IF(O57="—","",_xlfn.IFS(H57&lt;0,DATE(2026,9,5),J57&lt;0,DATE(2026,12,16),L57&lt;0,DATE(2027,3,15),N57&lt;0,DATE(2027,4,1)))</f>
        <v/>
      </c>
      <c r="Q57" s="35" t="n">
        <f aca="false">MAX(0,-N57)</f>
        <v>0</v>
      </c>
      <c r="R57" s="35" t="n">
        <f aca="false">IF(Q57&gt;0,ROUNDUP(Q57*(1+前提・入力!$B$34),0),0)</f>
        <v>0</v>
      </c>
      <c r="S57" s="70" t="str">
        <f aca="false">IF(P57="","",IF(NOT(ISNUMBER(D57)),"再生産不可",P57-E57-前提・入力!$B$37))</f>
        <v/>
      </c>
      <c r="T57" s="71" t="str">
        <f aca="false">IF(OR(S57="",S57="再生産不可"),"",S57-前提・入力!$B$38)</f>
        <v/>
      </c>
      <c r="U57" s="72" t="str">
        <f aca="false">IF(O57="","—",IF(S57="再生産不可","×再生産不可",_xlfn.IFS(T57&lt;0,"★期限超過",T57&lt;=30,"★至急(30日以内)",T57&lt;=90,"要着手(90日以内)",TRUE(),"余裕あり")))</f>
        <v>余裕あり</v>
      </c>
      <c r="V57" s="69" t="s">
        <v>861</v>
      </c>
    </row>
    <row r="58" customFormat="false" ht="15" hidden="false" customHeight="false" outlineLevel="0" collapsed="false">
      <c r="A58" s="40"/>
      <c r="B58" s="40"/>
      <c r="C58" s="41" t="s">
        <v>370</v>
      </c>
      <c r="D58" s="40"/>
      <c r="E58" s="40"/>
      <c r="F58" s="42" t="n">
        <f aca="false">SUM(F16:F57)</f>
        <v>234422</v>
      </c>
      <c r="G58" s="42" t="n">
        <f aca="false">SUM(G16:G57)</f>
        <v>9536</v>
      </c>
      <c r="H58" s="40"/>
      <c r="I58" s="42" t="n">
        <f aca="false">SUM(I16:I57)</f>
        <v>8800</v>
      </c>
      <c r="J58" s="40"/>
      <c r="K58" s="42" t="n">
        <f aca="false">SUM(K16:K57)</f>
        <v>6602</v>
      </c>
      <c r="L58" s="40"/>
      <c r="M58" s="42" t="n">
        <f aca="false">SUM(M16:M57)</f>
        <v>36679</v>
      </c>
      <c r="N58" s="40"/>
      <c r="O58" s="40" t="str">
        <f aca="false">COUNTIF(O16:O57,"&lt;&gt;—")&amp;"品目で欠品"</f>
        <v>13品目で欠品</v>
      </c>
      <c r="P58" s="40"/>
      <c r="Q58" s="42" t="n">
        <f aca="false">SUM(Q16:Q57)</f>
        <v>3384</v>
      </c>
      <c r="R58" s="42" t="n">
        <f aca="false">SUM(R16:R57)</f>
        <v>3729</v>
      </c>
      <c r="S58" s="40"/>
      <c r="T58" s="40"/>
      <c r="U58" s="40"/>
      <c r="V58" s="40"/>
    </row>
    <row r="60" customFormat="false" ht="15" hidden="false" customHeight="false" outlineLevel="0" collapsed="false">
      <c r="A60" s="4" t="s">
        <v>862</v>
      </c>
    </row>
    <row r="61" customFormat="false" ht="33.75" hidden="false" customHeight="true" outlineLevel="0" collapsed="false">
      <c r="A61" s="49" t="s">
        <v>424</v>
      </c>
      <c r="B61" s="49" t="s">
        <v>863</v>
      </c>
      <c r="C61" s="49" t="s">
        <v>864</v>
      </c>
      <c r="D61" s="49" t="s">
        <v>865</v>
      </c>
      <c r="E61" s="49" t="s">
        <v>866</v>
      </c>
      <c r="F61" s="49" t="s">
        <v>867</v>
      </c>
      <c r="G61" s="49" t="s">
        <v>429</v>
      </c>
    </row>
    <row r="62" customFormat="false" ht="15" hidden="false" customHeight="false" outlineLevel="0" collapsed="false">
      <c r="A62" s="50" t="s">
        <v>446</v>
      </c>
      <c r="B62" s="70" t="n">
        <v>46270</v>
      </c>
      <c r="C62" s="70" t="n">
        <f aca="false">B62-30-前提・入力!$B$37</f>
        <v>46226</v>
      </c>
      <c r="D62" s="70" t="n">
        <f aca="false">B62-75-前提・入力!$B$37</f>
        <v>46181</v>
      </c>
      <c r="E62" s="70" t="n">
        <f aca="false">B62-90-前提・入力!$B$37</f>
        <v>46166</v>
      </c>
      <c r="F62" s="71" t="n">
        <f aca="false">E62-前提・入力!$B$38</f>
        <v>-94</v>
      </c>
      <c r="G62" s="33" t="s">
        <v>868</v>
      </c>
    </row>
    <row r="63" customFormat="false" ht="15" hidden="false" customHeight="false" outlineLevel="0" collapsed="false">
      <c r="A63" s="50" t="s">
        <v>384</v>
      </c>
      <c r="B63" s="70" t="n">
        <v>46372</v>
      </c>
      <c r="C63" s="70" t="n">
        <f aca="false">B63-30-前提・入力!$B$37</f>
        <v>46328</v>
      </c>
      <c r="D63" s="70" t="n">
        <f aca="false">B63-75-前提・入力!$B$37</f>
        <v>46283</v>
      </c>
      <c r="E63" s="70" t="n">
        <f aca="false">B63-90-前提・入力!$B$37</f>
        <v>46268</v>
      </c>
      <c r="F63" s="71" t="n">
        <f aca="false">E63-前提・入力!$B$38</f>
        <v>8</v>
      </c>
      <c r="G63" s="33" t="s">
        <v>869</v>
      </c>
    </row>
    <row r="64" customFormat="false" ht="15" hidden="false" customHeight="false" outlineLevel="0" collapsed="false">
      <c r="A64" s="50" t="s">
        <v>385</v>
      </c>
      <c r="B64" s="70" t="n">
        <v>46461</v>
      </c>
      <c r="C64" s="70" t="n">
        <f aca="false">B64-30-前提・入力!$B$37</f>
        <v>46417</v>
      </c>
      <c r="D64" s="70" t="n">
        <f aca="false">B64-75-前提・入力!$B$37</f>
        <v>46372</v>
      </c>
      <c r="E64" s="70" t="n">
        <f aca="false">B64-90-前提・入力!$B$37</f>
        <v>46357</v>
      </c>
      <c r="F64" s="71" t="n">
        <f aca="false">E64-前提・入力!$B$38</f>
        <v>97</v>
      </c>
      <c r="G64" s="33" t="s">
        <v>869</v>
      </c>
    </row>
    <row r="65" customFormat="false" ht="15" hidden="false" customHeight="false" outlineLevel="0" collapsed="false">
      <c r="A65" s="50" t="s">
        <v>386</v>
      </c>
      <c r="B65" s="70" t="n">
        <v>46478</v>
      </c>
      <c r="C65" s="70" t="n">
        <f aca="false">B65-30-前提・入力!$B$37</f>
        <v>46434</v>
      </c>
      <c r="D65" s="70" t="n">
        <f aca="false">B65-75-前提・入力!$B$37</f>
        <v>46389</v>
      </c>
      <c r="E65" s="70" t="n">
        <f aca="false">B65-90-前提・入力!$B$37</f>
        <v>46374</v>
      </c>
      <c r="F65" s="71" t="n">
        <f aca="false">E65-前提・入力!$B$38</f>
        <v>114</v>
      </c>
      <c r="G65" s="33" t="s">
        <v>870</v>
      </c>
    </row>
    <row r="68" customFormat="false" ht="15" hidden="false" customHeight="false" outlineLevel="0" collapsed="false">
      <c r="A68" s="4" t="s">
        <v>871</v>
      </c>
    </row>
    <row r="69" customFormat="false" ht="15" hidden="false" customHeight="false" outlineLevel="0" collapsed="false">
      <c r="A69" s="3" t="s">
        <v>872</v>
      </c>
    </row>
    <row r="70" customFormat="false" ht="42" hidden="false" customHeight="true" outlineLevel="0" collapsed="false">
      <c r="A70" s="63" t="s">
        <v>827</v>
      </c>
      <c r="B70" s="63" t="s">
        <v>873</v>
      </c>
      <c r="C70" s="63" t="s">
        <v>874</v>
      </c>
      <c r="D70" s="63" t="s">
        <v>517</v>
      </c>
      <c r="E70" s="63" t="s">
        <v>875</v>
      </c>
      <c r="F70" s="63" t="s">
        <v>876</v>
      </c>
      <c r="G70" s="63" t="s">
        <v>877</v>
      </c>
      <c r="H70" s="63" t="s">
        <v>878</v>
      </c>
      <c r="I70" s="63" t="s">
        <v>879</v>
      </c>
      <c r="J70" s="63" t="s">
        <v>880</v>
      </c>
      <c r="K70" s="63" t="s">
        <v>881</v>
      </c>
      <c r="L70" s="63" t="s">
        <v>882</v>
      </c>
      <c r="M70" s="63" t="s">
        <v>883</v>
      </c>
      <c r="N70" s="63" t="s">
        <v>884</v>
      </c>
      <c r="O70" s="63" t="s">
        <v>885</v>
      </c>
      <c r="P70" s="63" t="s">
        <v>886</v>
      </c>
    </row>
    <row r="71" customFormat="false" ht="37.3" hidden="false" customHeight="false" outlineLevel="0" collapsed="false">
      <c r="A71" s="103" t="s">
        <v>341</v>
      </c>
      <c r="B71" s="69" t="s">
        <v>887</v>
      </c>
      <c r="C71" s="35" t="n">
        <v>0</v>
      </c>
      <c r="D71" s="35" t="n">
        <v>68</v>
      </c>
      <c r="E71" s="35" t="n">
        <f aca="false">IF(OR(B71="—",C71="—"),"—",MAX(0,D71-C71))</f>
        <v>68</v>
      </c>
      <c r="F71" s="34" t="n">
        <f aca="false">IF(E71="—","—",E71*1800)</f>
        <v>122400</v>
      </c>
      <c r="G71" s="32" t="s">
        <v>888</v>
      </c>
      <c r="H71" s="69" t="s">
        <v>385</v>
      </c>
      <c r="I71" s="35" t="n">
        <v>1116</v>
      </c>
      <c r="J71" s="37" t="n">
        <f aca="false">IFERROR(I71/1200,"")</f>
        <v>0.93</v>
      </c>
      <c r="K71" s="38" t="n">
        <f aca="false">1200-I71</f>
        <v>84</v>
      </c>
      <c r="L71" s="32" t="s">
        <v>531</v>
      </c>
      <c r="M71" s="32" t="s">
        <v>531</v>
      </c>
      <c r="N71" s="37" t="n">
        <v>0.141666666666667</v>
      </c>
      <c r="O71" s="37" t="n">
        <v>0.93</v>
      </c>
      <c r="P71" s="69" t="s">
        <v>889</v>
      </c>
    </row>
    <row r="73" customFormat="false" ht="15" hidden="false" customHeight="false" outlineLevel="0" collapsed="false">
      <c r="A73" s="4" t="s">
        <v>890</v>
      </c>
    </row>
    <row r="74" customFormat="false" ht="15" hidden="false" customHeight="false" outlineLevel="0" collapsed="false">
      <c r="A74" s="5" t="s">
        <v>891</v>
      </c>
      <c r="B74" s="93" t="s">
        <v>892</v>
      </c>
      <c r="C74" s="93"/>
      <c r="D74" s="93"/>
      <c r="E74" s="93"/>
      <c r="F74" s="93"/>
      <c r="G74" s="93"/>
      <c r="H74" s="93"/>
      <c r="I74" s="93"/>
      <c r="J74" s="93"/>
    </row>
    <row r="75" customFormat="false" ht="15" hidden="false" customHeight="false" outlineLevel="0" collapsed="false">
      <c r="A75" s="5" t="s">
        <v>893</v>
      </c>
      <c r="B75" s="93" t="s">
        <v>894</v>
      </c>
      <c r="C75" s="93"/>
      <c r="D75" s="93"/>
      <c r="E75" s="93"/>
      <c r="F75" s="93"/>
      <c r="G75" s="93"/>
      <c r="H75" s="93"/>
      <c r="I75" s="93"/>
      <c r="J75" s="93"/>
    </row>
    <row r="76" customFormat="false" ht="15" hidden="false" customHeight="false" outlineLevel="0" collapsed="false">
      <c r="A76" s="5"/>
      <c r="B76" s="93" t="s">
        <v>895</v>
      </c>
      <c r="C76" s="93"/>
      <c r="D76" s="93"/>
      <c r="E76" s="93"/>
      <c r="F76" s="93"/>
      <c r="G76" s="93"/>
      <c r="H76" s="93"/>
      <c r="I76" s="93"/>
      <c r="J76" s="93"/>
    </row>
    <row r="77" customFormat="false" ht="15" hidden="false" customHeight="false" outlineLevel="0" collapsed="false">
      <c r="A77" s="5" t="s">
        <v>896</v>
      </c>
      <c r="B77" s="93" t="s">
        <v>897</v>
      </c>
      <c r="C77" s="93"/>
      <c r="D77" s="93"/>
      <c r="E77" s="93"/>
      <c r="F77" s="93"/>
      <c r="G77" s="93"/>
      <c r="H77" s="93"/>
      <c r="I77" s="93"/>
      <c r="J77" s="93"/>
    </row>
    <row r="78" customFormat="false" ht="15" hidden="false" customHeight="false" outlineLevel="0" collapsed="false">
      <c r="A78" s="5" t="s">
        <v>898</v>
      </c>
      <c r="B78" s="98" t="s">
        <v>899</v>
      </c>
      <c r="C78" s="98"/>
      <c r="D78" s="98"/>
      <c r="E78" s="98"/>
      <c r="F78" s="98"/>
      <c r="G78" s="98"/>
      <c r="H78" s="98"/>
      <c r="I78" s="98"/>
      <c r="J78" s="98"/>
    </row>
    <row r="79" customFormat="false" ht="15" hidden="false" customHeight="false" outlineLevel="0" collapsed="false">
      <c r="A79" s="5"/>
      <c r="B79" s="93" t="s">
        <v>900</v>
      </c>
      <c r="C79" s="93"/>
      <c r="D79" s="93"/>
      <c r="E79" s="93"/>
      <c r="F79" s="93"/>
      <c r="G79" s="93"/>
      <c r="H79" s="93"/>
      <c r="I79" s="93"/>
      <c r="J79" s="93"/>
    </row>
    <row r="80" customFormat="false" ht="15" hidden="false" customHeight="false" outlineLevel="0" collapsed="false">
      <c r="A80" s="5" t="s">
        <v>98</v>
      </c>
      <c r="B80" s="93" t="s">
        <v>901</v>
      </c>
      <c r="C80" s="93"/>
      <c r="D80" s="93"/>
      <c r="E80" s="93"/>
      <c r="F80" s="93"/>
      <c r="G80" s="93"/>
      <c r="H80" s="93"/>
      <c r="I80" s="93"/>
      <c r="J80" s="93"/>
    </row>
    <row r="81" customFormat="false" ht="15" hidden="false" customHeight="false" outlineLevel="0" collapsed="false">
      <c r="A81" s="5"/>
      <c r="B81" s="93" t="s">
        <v>902</v>
      </c>
      <c r="C81" s="93"/>
      <c r="D81" s="93"/>
      <c r="E81" s="93"/>
      <c r="F81" s="93"/>
      <c r="G81" s="93"/>
      <c r="H81" s="93"/>
      <c r="I81" s="93"/>
      <c r="J81" s="93"/>
    </row>
    <row r="82" customFormat="false" ht="15" hidden="false" customHeight="false" outlineLevel="0" collapsed="false">
      <c r="A82" s="5"/>
      <c r="B82" s="93" t="s">
        <v>903</v>
      </c>
      <c r="C82" s="93"/>
      <c r="D82" s="93"/>
      <c r="E82" s="93"/>
      <c r="F82" s="93"/>
      <c r="G82" s="93"/>
      <c r="H82" s="93"/>
      <c r="I82" s="93"/>
      <c r="J82" s="93"/>
    </row>
    <row r="83" customFormat="false" ht="15" hidden="false" customHeight="false" outlineLevel="0" collapsed="false">
      <c r="A83" s="5" t="s">
        <v>904</v>
      </c>
      <c r="B83" s="93" t="s">
        <v>905</v>
      </c>
      <c r="C83" s="93"/>
      <c r="D83" s="93"/>
      <c r="E83" s="93"/>
      <c r="F83" s="93"/>
      <c r="G83" s="93"/>
      <c r="H83" s="93"/>
      <c r="I83" s="93"/>
      <c r="J83" s="93"/>
    </row>
  </sheetData>
  <mergeCells count="10">
    <mergeCell ref="B74:J74"/>
    <mergeCell ref="B75:J75"/>
    <mergeCell ref="B76:J76"/>
    <mergeCell ref="B77:J77"/>
    <mergeCell ref="B78:J78"/>
    <mergeCell ref="B79:J79"/>
    <mergeCell ref="B80:J80"/>
    <mergeCell ref="B81:J81"/>
    <mergeCell ref="B82:J82"/>
    <mergeCell ref="B83:J83"/>
  </mergeCells>
  <conditionalFormatting sqref="H16:H57">
    <cfRule type="expression" priority="2" aboveAverage="0" equalAverage="0" bottom="0" percent="0" rank="0" text="" dxfId="3">
      <formula>$H16&lt;0</formula>
    </cfRule>
  </conditionalFormatting>
  <conditionalFormatting sqref="J16:J57">
    <cfRule type="expression" priority="3" aboveAverage="0" equalAverage="0" bottom="0" percent="0" rank="0" text="" dxfId="3">
      <formula>$J16&lt;0</formula>
    </cfRule>
  </conditionalFormatting>
  <conditionalFormatting sqref="L16:L57">
    <cfRule type="expression" priority="4" aboveAverage="0" equalAverage="0" bottom="0" percent="0" rank="0" text="" dxfId="3">
      <formula>$L16&lt;0</formula>
    </cfRule>
  </conditionalFormatting>
  <conditionalFormatting sqref="N16:N57">
    <cfRule type="expression" priority="5" aboveAverage="0" equalAverage="0" bottom="0" percent="0" rank="0" text="" dxfId="3">
      <formula>$N16&lt;0</formula>
    </cfRule>
  </conditionalFormatting>
  <conditionalFormatting sqref="O16:O57">
    <cfRule type="expression" priority="6" aboveAverage="0" equalAverage="0" bottom="0" percent="0" rank="0" text="" dxfId="0">
      <formula>$O16&lt;&gt;"—"</formula>
    </cfRule>
  </conditionalFormatting>
  <conditionalFormatting sqref="U16:U57">
    <cfRule type="expression" priority="7" aboveAverage="0" equalAverage="0" bottom="0" percent="0" rank="0" text="" dxfId="3">
      <formula>LEFT($U16,1)="★"</formula>
    </cfRule>
    <cfRule type="expression" priority="8" aboveAverage="0" equalAverage="0" bottom="0" percent="0" rank="0" text="" dxfId="1">
      <formula>$U16="要着手(90日以内)"</formula>
    </cfRule>
    <cfRule type="expression" priority="9" aboveAverage="0" equalAverage="0" bottom="0" percent="0" rank="0" text="" dxfId="2">
      <formula>$U16="余裕あり"</formula>
    </cfRule>
    <cfRule type="expression" priority="10" aboveAverage="0" equalAverage="0" bottom="0" percent="0" rank="0" text="" dxfId="2">
      <formula>LEFT($U16,1)="◎"</formula>
    </cfRule>
  </conditionalFormatting>
  <conditionalFormatting sqref="F62:F65">
    <cfRule type="expression" priority="11" aboveAverage="0" equalAverage="0" bottom="0" percent="0" rank="0" text="" dxfId="3">
      <formula>$F62&lt;0</formula>
    </cfRule>
  </conditionalFormatting>
  <conditionalFormatting sqref="E71">
    <cfRule type="expression" priority="12" aboveAverage="0" equalAverage="0" bottom="0" percent="0" rank="0" text="" dxfId="3">
      <formula>AND(ISNUMBER($E71),$E71&gt;0)</formula>
    </cfRule>
  </conditionalFormatting>
  <conditionalFormatting sqref="K71">
    <cfRule type="expression" priority="13" aboveAverage="0" equalAverage="0" bottom="0" percent="0" rank="0" text="" dxfId="1">
      <formula>AND(ISNUMBER($K71),$K71&gt;0)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906</v>
      </c>
    </row>
    <row r="2" customFormat="false" ht="15" hidden="false" customHeight="false" outlineLevel="0" collapsed="false">
      <c r="A2" s="3" t="s">
        <v>907</v>
      </c>
    </row>
    <row r="3" customFormat="false" ht="15" hidden="false" customHeight="false" outlineLevel="0" collapsed="false">
      <c r="A3" s="3" t="s">
        <v>908</v>
      </c>
    </row>
    <row r="5" customFormat="false" ht="21.75" hidden="false" customHeight="true" outlineLevel="0" collapsed="false">
      <c r="A5" s="73" t="s">
        <v>909</v>
      </c>
      <c r="B5" s="73" t="s">
        <v>910</v>
      </c>
      <c r="C5" s="73" t="s">
        <v>374</v>
      </c>
      <c r="D5" s="73" t="s">
        <v>911</v>
      </c>
      <c r="E5" s="73" t="s">
        <v>912</v>
      </c>
      <c r="F5" s="73" t="s">
        <v>913</v>
      </c>
    </row>
    <row r="6" customFormat="false" ht="18" hidden="false" customHeight="true" outlineLevel="0" collapsed="false">
      <c r="A6" s="104" t="s">
        <v>914</v>
      </c>
      <c r="B6" s="104"/>
      <c r="C6" s="104"/>
      <c r="D6" s="104"/>
      <c r="E6" s="104"/>
      <c r="F6" s="104"/>
    </row>
    <row r="7" customFormat="false" ht="13.5" hidden="false" customHeight="true" outlineLevel="0" collapsed="false">
      <c r="A7" s="105" t="s">
        <v>139</v>
      </c>
      <c r="B7" s="105" t="s">
        <v>915</v>
      </c>
      <c r="C7" s="106" t="s">
        <v>916</v>
      </c>
      <c r="D7" s="105" t="s">
        <v>917</v>
      </c>
      <c r="E7" s="105" t="s">
        <v>918</v>
      </c>
      <c r="F7" s="105" t="s">
        <v>919</v>
      </c>
    </row>
    <row r="8" customFormat="false" ht="27" hidden="false" customHeight="true" outlineLevel="0" collapsed="false">
      <c r="A8" s="105" t="s">
        <v>139</v>
      </c>
      <c r="B8" s="107" t="s">
        <v>920</v>
      </c>
      <c r="C8" s="106" t="s">
        <v>921</v>
      </c>
      <c r="D8" s="107" t="s">
        <v>922</v>
      </c>
      <c r="E8" s="107" t="s">
        <v>923</v>
      </c>
      <c r="F8" s="107" t="s">
        <v>924</v>
      </c>
    </row>
    <row r="9" customFormat="false" ht="18" hidden="false" customHeight="true" outlineLevel="0" collapsed="false">
      <c r="A9" s="104" t="s">
        <v>925</v>
      </c>
      <c r="B9" s="104"/>
      <c r="C9" s="104"/>
      <c r="D9" s="104"/>
      <c r="E9" s="104"/>
      <c r="F9" s="104"/>
    </row>
    <row r="10" customFormat="false" ht="27" hidden="false" customHeight="true" outlineLevel="0" collapsed="false">
      <c r="A10" s="105" t="s">
        <v>141</v>
      </c>
      <c r="B10" s="107" t="s">
        <v>926</v>
      </c>
      <c r="C10" s="106" t="s">
        <v>927</v>
      </c>
      <c r="D10" s="105" t="s">
        <v>928</v>
      </c>
      <c r="E10" s="105" t="s">
        <v>929</v>
      </c>
      <c r="F10" s="107" t="s">
        <v>930</v>
      </c>
    </row>
    <row r="11" customFormat="false" ht="13.5" hidden="false" customHeight="true" outlineLevel="0" collapsed="false">
      <c r="A11" s="105" t="s">
        <v>141</v>
      </c>
      <c r="B11" s="107" t="s">
        <v>931</v>
      </c>
      <c r="C11" s="106" t="s">
        <v>932</v>
      </c>
      <c r="D11" s="107"/>
      <c r="E11" s="107" t="s">
        <v>933</v>
      </c>
      <c r="F11" s="107" t="s">
        <v>934</v>
      </c>
    </row>
    <row r="12" customFormat="false" ht="13.5" hidden="false" customHeight="true" outlineLevel="0" collapsed="false">
      <c r="A12" s="105" t="s">
        <v>141</v>
      </c>
      <c r="B12" s="107" t="s">
        <v>935</v>
      </c>
      <c r="C12" s="106" t="s">
        <v>936</v>
      </c>
      <c r="D12" s="107" t="s">
        <v>937</v>
      </c>
      <c r="E12" s="107" t="s">
        <v>938</v>
      </c>
      <c r="F12" s="105" t="s">
        <v>939</v>
      </c>
    </row>
    <row r="13" customFormat="false" ht="13.5" hidden="false" customHeight="true" outlineLevel="0" collapsed="false">
      <c r="A13" s="105" t="s">
        <v>141</v>
      </c>
      <c r="B13" s="107" t="s">
        <v>940</v>
      </c>
      <c r="C13" s="106" t="s">
        <v>941</v>
      </c>
      <c r="D13" s="107" t="s">
        <v>942</v>
      </c>
      <c r="E13" s="107" t="s">
        <v>943</v>
      </c>
      <c r="F13" s="105" t="s">
        <v>944</v>
      </c>
    </row>
    <row r="14" customFormat="false" ht="67.5" hidden="false" customHeight="true" outlineLevel="0" collapsed="false">
      <c r="A14" s="105" t="s">
        <v>141</v>
      </c>
      <c r="B14" s="107" t="s">
        <v>945</v>
      </c>
      <c r="C14" s="106" t="s">
        <v>946</v>
      </c>
      <c r="D14" s="107" t="s">
        <v>947</v>
      </c>
      <c r="E14" s="107" t="s">
        <v>948</v>
      </c>
      <c r="F14" s="105" t="s">
        <v>949</v>
      </c>
    </row>
    <row r="15" customFormat="false" ht="27" hidden="false" customHeight="true" outlineLevel="0" collapsed="false">
      <c r="A15" s="105" t="s">
        <v>141</v>
      </c>
      <c r="B15" s="107" t="s">
        <v>950</v>
      </c>
      <c r="C15" s="106" t="s">
        <v>471</v>
      </c>
      <c r="D15" s="107" t="s">
        <v>951</v>
      </c>
      <c r="E15" s="107" t="s">
        <v>952</v>
      </c>
      <c r="F15" s="105" t="s">
        <v>953</v>
      </c>
    </row>
    <row r="16" customFormat="false" ht="13.5" hidden="false" customHeight="true" outlineLevel="0" collapsed="false">
      <c r="A16" s="105" t="s">
        <v>141</v>
      </c>
      <c r="B16" s="107" t="s">
        <v>954</v>
      </c>
      <c r="C16" s="106" t="s">
        <v>955</v>
      </c>
      <c r="D16" s="107" t="s">
        <v>956</v>
      </c>
      <c r="E16" s="107" t="s">
        <v>957</v>
      </c>
      <c r="F16" s="105" t="s">
        <v>958</v>
      </c>
    </row>
    <row r="17" customFormat="false" ht="13.5" hidden="false" customHeight="true" outlineLevel="0" collapsed="false">
      <c r="A17" s="105" t="s">
        <v>141</v>
      </c>
      <c r="B17" s="107" t="s">
        <v>959</v>
      </c>
      <c r="C17" s="106" t="s">
        <v>960</v>
      </c>
      <c r="D17" s="107" t="s">
        <v>961</v>
      </c>
      <c r="E17" s="107" t="s">
        <v>962</v>
      </c>
      <c r="F17" s="105" t="s">
        <v>963</v>
      </c>
    </row>
    <row r="18" customFormat="false" ht="40.5" hidden="false" customHeight="true" outlineLevel="0" collapsed="false">
      <c r="A18" s="105" t="s">
        <v>141</v>
      </c>
      <c r="B18" s="107" t="s">
        <v>964</v>
      </c>
      <c r="C18" s="106" t="s">
        <v>965</v>
      </c>
      <c r="D18" s="105" t="s">
        <v>966</v>
      </c>
      <c r="E18" s="107" t="s">
        <v>967</v>
      </c>
      <c r="F18" s="107" t="s">
        <v>968</v>
      </c>
    </row>
    <row r="19" customFormat="false" ht="13.5" hidden="false" customHeight="true" outlineLevel="0" collapsed="false">
      <c r="A19" s="105" t="s">
        <v>141</v>
      </c>
      <c r="B19" s="107" t="s">
        <v>969</v>
      </c>
      <c r="C19" s="106" t="s">
        <v>970</v>
      </c>
      <c r="D19" s="107" t="s">
        <v>971</v>
      </c>
      <c r="E19" s="107" t="s">
        <v>972</v>
      </c>
      <c r="F19" s="107" t="s">
        <v>973</v>
      </c>
    </row>
    <row r="20" customFormat="false" ht="13.5" hidden="false" customHeight="true" outlineLevel="0" collapsed="false">
      <c r="A20" s="105" t="s">
        <v>141</v>
      </c>
      <c r="B20" s="107" t="s">
        <v>974</v>
      </c>
      <c r="C20" s="106" t="s">
        <v>975</v>
      </c>
      <c r="D20" s="107" t="s">
        <v>976</v>
      </c>
      <c r="E20" s="107" t="s">
        <v>977</v>
      </c>
      <c r="F20" s="105" t="s">
        <v>978</v>
      </c>
    </row>
    <row r="21" customFormat="false" ht="13.5" hidden="false" customHeight="true" outlineLevel="0" collapsed="false">
      <c r="A21" s="105" t="s">
        <v>141</v>
      </c>
      <c r="B21" s="107" t="s">
        <v>979</v>
      </c>
      <c r="C21" s="106" t="s">
        <v>980</v>
      </c>
      <c r="D21" s="107" t="s">
        <v>981</v>
      </c>
      <c r="E21" s="107" t="s">
        <v>982</v>
      </c>
      <c r="F21" s="105" t="s">
        <v>983</v>
      </c>
    </row>
    <row r="22" customFormat="false" ht="27" hidden="false" customHeight="true" outlineLevel="0" collapsed="false">
      <c r="A22" s="105" t="s">
        <v>141</v>
      </c>
      <c r="B22" s="107" t="s">
        <v>984</v>
      </c>
      <c r="C22" s="106" t="s">
        <v>985</v>
      </c>
      <c r="D22" s="107" t="s">
        <v>986</v>
      </c>
      <c r="E22" s="105" t="s">
        <v>987</v>
      </c>
      <c r="F22" s="107" t="s">
        <v>988</v>
      </c>
    </row>
    <row r="23" customFormat="false" ht="18" hidden="false" customHeight="true" outlineLevel="0" collapsed="false">
      <c r="A23" s="104" t="s">
        <v>989</v>
      </c>
      <c r="B23" s="104"/>
      <c r="C23" s="104"/>
      <c r="D23" s="104"/>
      <c r="E23" s="104"/>
      <c r="F23" s="104"/>
    </row>
    <row r="24" customFormat="false" ht="27" hidden="false" customHeight="true" outlineLevel="0" collapsed="false">
      <c r="A24" s="105" t="s">
        <v>143</v>
      </c>
      <c r="B24" s="107" t="s">
        <v>990</v>
      </c>
      <c r="C24" s="106" t="s">
        <v>991</v>
      </c>
      <c r="D24" s="107" t="s">
        <v>992</v>
      </c>
      <c r="E24" s="107" t="s">
        <v>993</v>
      </c>
      <c r="F24" s="105" t="s">
        <v>994</v>
      </c>
    </row>
    <row r="25" customFormat="false" ht="27" hidden="false" customHeight="true" outlineLevel="0" collapsed="false">
      <c r="A25" s="105" t="s">
        <v>143</v>
      </c>
      <c r="B25" s="107" t="s">
        <v>995</v>
      </c>
      <c r="C25" s="106" t="s">
        <v>996</v>
      </c>
      <c r="D25" s="107" t="s">
        <v>997</v>
      </c>
      <c r="E25" s="107" t="s">
        <v>998</v>
      </c>
      <c r="F25" s="105" t="s">
        <v>999</v>
      </c>
    </row>
    <row r="26" customFormat="false" ht="27" hidden="false" customHeight="true" outlineLevel="0" collapsed="false">
      <c r="A26" s="105" t="s">
        <v>143</v>
      </c>
      <c r="B26" s="107" t="s">
        <v>1000</v>
      </c>
      <c r="C26" s="108" t="s">
        <v>1001</v>
      </c>
      <c r="D26" s="107" t="s">
        <v>1002</v>
      </c>
      <c r="E26" s="105" t="s">
        <v>1003</v>
      </c>
      <c r="F26" s="107" t="s">
        <v>1004</v>
      </c>
    </row>
    <row r="27" customFormat="false" ht="27" hidden="false" customHeight="true" outlineLevel="0" collapsed="false">
      <c r="A27" s="105" t="s">
        <v>143</v>
      </c>
      <c r="B27" s="107" t="s">
        <v>1005</v>
      </c>
      <c r="C27" s="108" t="s">
        <v>1006</v>
      </c>
      <c r="D27" s="107" t="s">
        <v>1007</v>
      </c>
      <c r="E27" s="105" t="s">
        <v>1008</v>
      </c>
      <c r="F27" s="105" t="s">
        <v>1009</v>
      </c>
    </row>
    <row r="28" customFormat="false" ht="27" hidden="false" customHeight="true" outlineLevel="0" collapsed="false">
      <c r="A28" s="105" t="s">
        <v>143</v>
      </c>
      <c r="B28" s="107" t="s">
        <v>1010</v>
      </c>
      <c r="C28" s="106" t="s">
        <v>1011</v>
      </c>
      <c r="D28" s="107" t="s">
        <v>1012</v>
      </c>
      <c r="E28" s="105" t="s">
        <v>1013</v>
      </c>
      <c r="F28" s="105" t="s">
        <v>1014</v>
      </c>
    </row>
    <row r="29" customFormat="false" ht="27" hidden="false" customHeight="true" outlineLevel="0" collapsed="false">
      <c r="A29" s="105" t="s">
        <v>143</v>
      </c>
      <c r="B29" s="107" t="s">
        <v>1015</v>
      </c>
      <c r="C29" s="108" t="s">
        <v>1016</v>
      </c>
      <c r="D29" s="107" t="s">
        <v>1017</v>
      </c>
      <c r="E29" s="105" t="s">
        <v>1018</v>
      </c>
      <c r="F29" s="105" t="s">
        <v>1019</v>
      </c>
    </row>
    <row r="30" customFormat="false" ht="18" hidden="false" customHeight="true" outlineLevel="0" collapsed="false">
      <c r="A30" s="104" t="s">
        <v>1020</v>
      </c>
      <c r="B30" s="104"/>
      <c r="C30" s="104"/>
      <c r="D30" s="104"/>
      <c r="E30" s="104"/>
      <c r="F30" s="104"/>
    </row>
    <row r="31" customFormat="false" ht="13.5" hidden="false" customHeight="true" outlineLevel="0" collapsed="false">
      <c r="A31" s="105" t="s">
        <v>145</v>
      </c>
      <c r="B31" s="107" t="s">
        <v>1021</v>
      </c>
      <c r="C31" s="106" t="s">
        <v>441</v>
      </c>
      <c r="D31" s="107" t="s">
        <v>1022</v>
      </c>
      <c r="E31" s="107" t="s">
        <v>1023</v>
      </c>
      <c r="F31" s="105" t="s">
        <v>1024</v>
      </c>
    </row>
    <row r="32" customFormat="false" ht="27" hidden="false" customHeight="true" outlineLevel="0" collapsed="false">
      <c r="A32" s="105" t="s">
        <v>145</v>
      </c>
      <c r="B32" s="107" t="s">
        <v>1025</v>
      </c>
      <c r="C32" s="106" t="s">
        <v>442</v>
      </c>
      <c r="D32" s="107" t="s">
        <v>1026</v>
      </c>
      <c r="E32" s="107" t="s">
        <v>1027</v>
      </c>
      <c r="F32" s="107" t="s">
        <v>1028</v>
      </c>
    </row>
    <row r="33" customFormat="false" ht="13.5" hidden="false" customHeight="true" outlineLevel="0" collapsed="false">
      <c r="A33" s="105" t="s">
        <v>145</v>
      </c>
      <c r="B33" s="107" t="s">
        <v>1029</v>
      </c>
      <c r="C33" s="108" t="s">
        <v>1030</v>
      </c>
      <c r="D33" s="107" t="s">
        <v>1031</v>
      </c>
      <c r="E33" s="107" t="s">
        <v>1032</v>
      </c>
      <c r="F33" s="107" t="s">
        <v>1033</v>
      </c>
    </row>
    <row r="34" customFormat="false" ht="27" hidden="false" customHeight="true" outlineLevel="0" collapsed="false">
      <c r="A34" s="105" t="s">
        <v>145</v>
      </c>
      <c r="B34" s="107" t="s">
        <v>1034</v>
      </c>
      <c r="C34" s="108" t="s">
        <v>1035</v>
      </c>
      <c r="D34" s="107" t="s">
        <v>1036</v>
      </c>
      <c r="E34" s="107" t="s">
        <v>1037</v>
      </c>
      <c r="F34" s="107" t="s">
        <v>1038</v>
      </c>
    </row>
    <row r="35" customFormat="false" ht="27" hidden="false" customHeight="true" outlineLevel="0" collapsed="false">
      <c r="A35" s="105" t="s">
        <v>145</v>
      </c>
      <c r="B35" s="107" t="s">
        <v>1039</v>
      </c>
      <c r="C35" s="106" t="s">
        <v>1040</v>
      </c>
      <c r="D35" s="105" t="s">
        <v>1041</v>
      </c>
      <c r="E35" s="105" t="s">
        <v>1042</v>
      </c>
      <c r="F35" s="105" t="s">
        <v>1043</v>
      </c>
    </row>
    <row r="36" customFormat="false" ht="13.5" hidden="false" customHeight="true" outlineLevel="0" collapsed="false">
      <c r="A36" s="105" t="s">
        <v>145</v>
      </c>
      <c r="B36" s="107" t="s">
        <v>931</v>
      </c>
      <c r="C36" s="106" t="s">
        <v>1044</v>
      </c>
      <c r="D36" s="107"/>
      <c r="E36" s="107" t="s">
        <v>1045</v>
      </c>
      <c r="F36" s="105" t="s">
        <v>1046</v>
      </c>
    </row>
    <row r="37" customFormat="false" ht="13.5" hidden="false" customHeight="true" outlineLevel="0" collapsed="false">
      <c r="A37" s="105" t="s">
        <v>145</v>
      </c>
      <c r="B37" s="107" t="s">
        <v>1047</v>
      </c>
      <c r="C37" s="106" t="s">
        <v>1048</v>
      </c>
      <c r="D37" s="107" t="s">
        <v>1049</v>
      </c>
      <c r="E37" s="107" t="s">
        <v>962</v>
      </c>
      <c r="F37" s="105" t="s">
        <v>1050</v>
      </c>
    </row>
    <row r="38" customFormat="false" ht="27" hidden="false" customHeight="true" outlineLevel="0" collapsed="false">
      <c r="A38" s="105" t="s">
        <v>145</v>
      </c>
      <c r="B38" s="107" t="s">
        <v>935</v>
      </c>
      <c r="C38" s="106" t="s">
        <v>1051</v>
      </c>
      <c r="D38" s="107" t="s">
        <v>1052</v>
      </c>
      <c r="E38" s="107" t="s">
        <v>1053</v>
      </c>
      <c r="F38" s="105" t="s">
        <v>1054</v>
      </c>
    </row>
    <row r="39" customFormat="false" ht="27" hidden="false" customHeight="true" outlineLevel="0" collapsed="false">
      <c r="A39" s="105" t="s">
        <v>145</v>
      </c>
      <c r="B39" s="107" t="s">
        <v>1055</v>
      </c>
      <c r="C39" s="106" t="s">
        <v>1056</v>
      </c>
      <c r="D39" s="107" t="s">
        <v>1057</v>
      </c>
      <c r="E39" s="107" t="s">
        <v>1058</v>
      </c>
      <c r="F39" s="105" t="s">
        <v>1059</v>
      </c>
    </row>
    <row r="40" customFormat="false" ht="13.5" hidden="false" customHeight="true" outlineLevel="0" collapsed="false">
      <c r="A40" s="105" t="s">
        <v>145</v>
      </c>
      <c r="B40" s="107" t="s">
        <v>1060</v>
      </c>
      <c r="C40" s="106" t="s">
        <v>1061</v>
      </c>
      <c r="D40" s="107" t="s">
        <v>1062</v>
      </c>
      <c r="E40" s="107" t="s">
        <v>1063</v>
      </c>
      <c r="F40" s="105" t="s">
        <v>1064</v>
      </c>
    </row>
    <row r="41" customFormat="false" ht="27" hidden="false" customHeight="true" outlineLevel="0" collapsed="false">
      <c r="A41" s="105" t="s">
        <v>145</v>
      </c>
      <c r="B41" s="107" t="s">
        <v>1065</v>
      </c>
      <c r="C41" s="106" t="s">
        <v>1066</v>
      </c>
      <c r="D41" s="105" t="s">
        <v>1067</v>
      </c>
      <c r="E41" s="107" t="s">
        <v>1068</v>
      </c>
      <c r="F41" s="105" t="s">
        <v>1069</v>
      </c>
    </row>
    <row r="42" customFormat="false" ht="40.5" hidden="false" customHeight="true" outlineLevel="0" collapsed="false">
      <c r="A42" s="105" t="s">
        <v>145</v>
      </c>
      <c r="B42" s="107" t="s">
        <v>950</v>
      </c>
      <c r="C42" s="106" t="s">
        <v>1070</v>
      </c>
      <c r="D42" s="105" t="s">
        <v>1071</v>
      </c>
      <c r="E42" s="107" t="s">
        <v>1072</v>
      </c>
      <c r="F42" s="105" t="s">
        <v>1073</v>
      </c>
    </row>
    <row r="43" customFormat="false" ht="27" hidden="false" customHeight="true" outlineLevel="0" collapsed="false">
      <c r="A43" s="105" t="s">
        <v>145</v>
      </c>
      <c r="B43" s="107" t="s">
        <v>1074</v>
      </c>
      <c r="C43" s="106" t="s">
        <v>1075</v>
      </c>
      <c r="D43" s="105" t="s">
        <v>1076</v>
      </c>
      <c r="E43" s="107" t="s">
        <v>1077</v>
      </c>
      <c r="F43" s="105" t="s">
        <v>1078</v>
      </c>
    </row>
    <row r="44" customFormat="false" ht="13.5" hidden="false" customHeight="true" outlineLevel="0" collapsed="false">
      <c r="A44" s="105" t="s">
        <v>145</v>
      </c>
      <c r="B44" s="107" t="s">
        <v>931</v>
      </c>
      <c r="C44" s="106" t="s">
        <v>1079</v>
      </c>
      <c r="D44" s="107"/>
      <c r="E44" s="107" t="s">
        <v>1080</v>
      </c>
      <c r="F44" s="105" t="s">
        <v>1081</v>
      </c>
    </row>
    <row r="45" customFormat="false" ht="13.5" hidden="false" customHeight="true" outlineLevel="0" collapsed="false">
      <c r="A45" s="105" t="s">
        <v>145</v>
      </c>
      <c r="B45" s="107" t="s">
        <v>931</v>
      </c>
      <c r="C45" s="106" t="s">
        <v>1082</v>
      </c>
      <c r="D45" s="107"/>
      <c r="E45" s="107" t="s">
        <v>1083</v>
      </c>
      <c r="F45" s="107" t="s">
        <v>1084</v>
      </c>
    </row>
    <row r="46" customFormat="false" ht="13.5" hidden="false" customHeight="true" outlineLevel="0" collapsed="false">
      <c r="A46" s="105" t="s">
        <v>145</v>
      </c>
      <c r="B46" s="107" t="s">
        <v>979</v>
      </c>
      <c r="C46" s="106" t="s">
        <v>1085</v>
      </c>
      <c r="D46" s="107" t="s">
        <v>1086</v>
      </c>
      <c r="E46" s="107" t="s">
        <v>1087</v>
      </c>
      <c r="F46" s="105" t="s">
        <v>1088</v>
      </c>
    </row>
    <row r="47" customFormat="false" ht="27" hidden="false" customHeight="true" outlineLevel="0" collapsed="false">
      <c r="A47" s="105" t="s">
        <v>145</v>
      </c>
      <c r="B47" s="107" t="s">
        <v>984</v>
      </c>
      <c r="C47" s="106" t="s">
        <v>1089</v>
      </c>
      <c r="D47" s="105" t="s">
        <v>1090</v>
      </c>
      <c r="E47" s="105" t="s">
        <v>1091</v>
      </c>
      <c r="F47" s="105" t="s">
        <v>1092</v>
      </c>
    </row>
    <row r="48" customFormat="false" ht="27" hidden="false" customHeight="true" outlineLevel="0" collapsed="false">
      <c r="A48" s="105" t="s">
        <v>145</v>
      </c>
      <c r="B48" s="107" t="s">
        <v>1093</v>
      </c>
      <c r="C48" s="106" t="s">
        <v>1094</v>
      </c>
      <c r="D48" s="107" t="s">
        <v>1095</v>
      </c>
      <c r="E48" s="107" t="s">
        <v>1096</v>
      </c>
      <c r="F48" s="105" t="s">
        <v>1097</v>
      </c>
    </row>
    <row r="49" customFormat="false" ht="13.5" hidden="false" customHeight="true" outlineLevel="0" collapsed="false">
      <c r="A49" s="105" t="s">
        <v>145</v>
      </c>
      <c r="B49" s="107" t="s">
        <v>1098</v>
      </c>
      <c r="C49" s="106" t="s">
        <v>813</v>
      </c>
      <c r="D49" s="107" t="s">
        <v>1099</v>
      </c>
      <c r="E49" s="107" t="s">
        <v>1100</v>
      </c>
      <c r="F49" s="107" t="s">
        <v>1101</v>
      </c>
    </row>
    <row r="50" customFormat="false" ht="27" hidden="false" customHeight="true" outlineLevel="0" collapsed="false">
      <c r="A50" s="105" t="s">
        <v>145</v>
      </c>
      <c r="B50" s="107" t="s">
        <v>1102</v>
      </c>
      <c r="C50" s="106" t="s">
        <v>1103</v>
      </c>
      <c r="D50" s="107" t="s">
        <v>1104</v>
      </c>
      <c r="E50" s="107" t="s">
        <v>1105</v>
      </c>
      <c r="F50" s="107" t="s">
        <v>1106</v>
      </c>
    </row>
    <row r="51" customFormat="false" ht="18" hidden="false" customHeight="true" outlineLevel="0" collapsed="false">
      <c r="A51" s="104" t="s">
        <v>1107</v>
      </c>
      <c r="B51" s="104"/>
      <c r="C51" s="104"/>
      <c r="D51" s="104"/>
      <c r="E51" s="104"/>
      <c r="F51" s="104"/>
    </row>
    <row r="52" customFormat="false" ht="27" hidden="false" customHeight="true" outlineLevel="0" collapsed="false">
      <c r="A52" s="105" t="s">
        <v>147</v>
      </c>
      <c r="B52" s="107" t="s">
        <v>1108</v>
      </c>
      <c r="C52" s="106" t="s">
        <v>1109</v>
      </c>
      <c r="D52" s="107" t="s">
        <v>1110</v>
      </c>
      <c r="E52" s="107" t="s">
        <v>1111</v>
      </c>
      <c r="F52" s="105" t="s">
        <v>1112</v>
      </c>
    </row>
    <row r="53" customFormat="false" ht="13.5" hidden="false" customHeight="true" outlineLevel="0" collapsed="false">
      <c r="A53" s="105" t="s">
        <v>147</v>
      </c>
      <c r="B53" s="107" t="s">
        <v>1113</v>
      </c>
      <c r="C53" s="106" t="s">
        <v>1114</v>
      </c>
      <c r="D53" s="107" t="s">
        <v>1115</v>
      </c>
      <c r="E53" s="107" t="s">
        <v>1116</v>
      </c>
      <c r="F53" s="105" t="s">
        <v>1117</v>
      </c>
    </row>
    <row r="54" customFormat="false" ht="40.5" hidden="false" customHeight="true" outlineLevel="0" collapsed="false">
      <c r="A54" s="105" t="s">
        <v>147</v>
      </c>
      <c r="B54" s="107" t="s">
        <v>1118</v>
      </c>
      <c r="C54" s="106" t="s">
        <v>1119</v>
      </c>
      <c r="D54" s="107" t="s">
        <v>1120</v>
      </c>
      <c r="E54" s="105" t="s">
        <v>1121</v>
      </c>
      <c r="F54" s="105" t="s">
        <v>1122</v>
      </c>
    </row>
    <row r="55" customFormat="false" ht="27" hidden="false" customHeight="true" outlineLevel="0" collapsed="false">
      <c r="A55" s="105" t="s">
        <v>147</v>
      </c>
      <c r="B55" s="107" t="s">
        <v>1123</v>
      </c>
      <c r="C55" s="106" t="s">
        <v>1124</v>
      </c>
      <c r="D55" s="105" t="s">
        <v>1125</v>
      </c>
      <c r="E55" s="107" t="s">
        <v>1126</v>
      </c>
      <c r="F55" s="107"/>
    </row>
    <row r="56" customFormat="false" ht="27" hidden="false" customHeight="true" outlineLevel="0" collapsed="false">
      <c r="A56" s="105" t="s">
        <v>147</v>
      </c>
      <c r="B56" s="107" t="s">
        <v>1127</v>
      </c>
      <c r="C56" s="106" t="s">
        <v>1128</v>
      </c>
      <c r="D56" s="107" t="s">
        <v>1129</v>
      </c>
      <c r="E56" s="107" t="s">
        <v>1130</v>
      </c>
      <c r="F56" s="107"/>
    </row>
    <row r="57" customFormat="false" ht="13.5" hidden="false" customHeight="true" outlineLevel="0" collapsed="false">
      <c r="A57" s="105" t="s">
        <v>147</v>
      </c>
      <c r="B57" s="107" t="s">
        <v>1131</v>
      </c>
      <c r="C57" s="106" t="s">
        <v>1132</v>
      </c>
      <c r="D57" s="107" t="s">
        <v>1133</v>
      </c>
      <c r="E57" s="107" t="s">
        <v>1134</v>
      </c>
      <c r="F57" s="105" t="s">
        <v>1135</v>
      </c>
    </row>
    <row r="58" customFormat="false" ht="27" hidden="false" customHeight="true" outlineLevel="0" collapsed="false">
      <c r="A58" s="105" t="s">
        <v>147</v>
      </c>
      <c r="B58" s="107" t="s">
        <v>1136</v>
      </c>
      <c r="C58" s="106" t="s">
        <v>1137</v>
      </c>
      <c r="D58" s="105" t="s">
        <v>1138</v>
      </c>
      <c r="E58" s="105" t="s">
        <v>1139</v>
      </c>
      <c r="F58" s="105" t="s">
        <v>1140</v>
      </c>
    </row>
    <row r="59" customFormat="false" ht="54" hidden="false" customHeight="true" outlineLevel="0" collapsed="false">
      <c r="A59" s="105" t="s">
        <v>147</v>
      </c>
      <c r="B59" s="107" t="s">
        <v>1141</v>
      </c>
      <c r="C59" s="106" t="s">
        <v>1142</v>
      </c>
      <c r="D59" s="107" t="s">
        <v>1143</v>
      </c>
      <c r="E59" s="105" t="s">
        <v>1144</v>
      </c>
      <c r="F59" s="107" t="s">
        <v>1145</v>
      </c>
    </row>
    <row r="60" customFormat="false" ht="40.5" hidden="false" customHeight="true" outlineLevel="0" collapsed="false">
      <c r="A60" s="105" t="s">
        <v>147</v>
      </c>
      <c r="B60" s="107" t="s">
        <v>1093</v>
      </c>
      <c r="C60" s="106" t="s">
        <v>527</v>
      </c>
      <c r="D60" s="107" t="s">
        <v>1146</v>
      </c>
      <c r="E60" s="107" t="s">
        <v>1147</v>
      </c>
      <c r="F60" s="107" t="s">
        <v>1148</v>
      </c>
    </row>
    <row r="61" customFormat="false" ht="40.5" hidden="false" customHeight="true" outlineLevel="0" collapsed="false">
      <c r="A61" s="105" t="s">
        <v>147</v>
      </c>
      <c r="B61" s="107" t="s">
        <v>1102</v>
      </c>
      <c r="C61" s="106" t="s">
        <v>1149</v>
      </c>
      <c r="D61" s="107" t="s">
        <v>1150</v>
      </c>
      <c r="E61" s="105" t="s">
        <v>1151</v>
      </c>
      <c r="F61" s="105" t="s">
        <v>1152</v>
      </c>
    </row>
    <row r="62" customFormat="false" ht="18" hidden="false" customHeight="true" outlineLevel="0" collapsed="false">
      <c r="A62" s="104" t="s">
        <v>1153</v>
      </c>
      <c r="B62" s="104"/>
      <c r="C62" s="104"/>
      <c r="D62" s="104"/>
      <c r="E62" s="104"/>
      <c r="F62" s="104"/>
    </row>
    <row r="63" customFormat="false" ht="27" hidden="false" customHeight="true" outlineLevel="0" collapsed="false">
      <c r="A63" s="105" t="s">
        <v>149</v>
      </c>
      <c r="B63" s="105" t="s">
        <v>1154</v>
      </c>
      <c r="C63" s="106" t="s">
        <v>1155</v>
      </c>
      <c r="D63" s="107" t="s">
        <v>1156</v>
      </c>
      <c r="E63" s="105" t="s">
        <v>1157</v>
      </c>
      <c r="F63" s="105" t="s">
        <v>1158</v>
      </c>
    </row>
    <row r="64" customFormat="false" ht="27" hidden="false" customHeight="true" outlineLevel="0" collapsed="false">
      <c r="A64" s="105" t="s">
        <v>149</v>
      </c>
      <c r="B64" s="105" t="s">
        <v>1159</v>
      </c>
      <c r="C64" s="106" t="s">
        <v>1160</v>
      </c>
      <c r="D64" s="107" t="s">
        <v>1161</v>
      </c>
      <c r="E64" s="107" t="s">
        <v>1162</v>
      </c>
      <c r="F64" s="105" t="s">
        <v>1163</v>
      </c>
    </row>
    <row r="65" customFormat="false" ht="18" hidden="false" customHeight="true" outlineLevel="0" collapsed="false">
      <c r="A65" s="104" t="s">
        <v>1164</v>
      </c>
      <c r="B65" s="104"/>
      <c r="C65" s="104"/>
      <c r="D65" s="104"/>
      <c r="E65" s="104"/>
      <c r="F65" s="104"/>
    </row>
    <row r="66" customFormat="false" ht="13.5" hidden="false" customHeight="true" outlineLevel="0" collapsed="false">
      <c r="A66" s="105" t="s">
        <v>151</v>
      </c>
      <c r="B66" s="107" t="s">
        <v>1165</v>
      </c>
      <c r="C66" s="106" t="s">
        <v>1166</v>
      </c>
      <c r="D66" s="107" t="s">
        <v>1167</v>
      </c>
      <c r="E66" s="105" t="s">
        <v>1168</v>
      </c>
      <c r="F66" s="105" t="s">
        <v>1169</v>
      </c>
    </row>
    <row r="67" customFormat="false" ht="13.5" hidden="false" customHeight="true" outlineLevel="0" collapsed="false">
      <c r="A67" s="105" t="s">
        <v>151</v>
      </c>
      <c r="B67" s="107" t="s">
        <v>950</v>
      </c>
      <c r="C67" s="106" t="s">
        <v>1170</v>
      </c>
      <c r="D67" s="107" t="s">
        <v>1171</v>
      </c>
      <c r="E67" s="107" t="s">
        <v>1172</v>
      </c>
      <c r="F67" s="105" t="s">
        <v>1173</v>
      </c>
    </row>
    <row r="68" customFormat="false" ht="13.5" hidden="false" customHeight="true" outlineLevel="0" collapsed="false">
      <c r="A68" s="105" t="s">
        <v>151</v>
      </c>
      <c r="B68" s="107" t="s">
        <v>1174</v>
      </c>
      <c r="C68" s="106" t="s">
        <v>1175</v>
      </c>
      <c r="D68" s="105" t="s">
        <v>1176</v>
      </c>
      <c r="E68" s="107" t="s">
        <v>1177</v>
      </c>
      <c r="F68" s="105" t="s">
        <v>1178</v>
      </c>
    </row>
    <row r="69" customFormat="false" ht="13.5" hidden="false" customHeight="true" outlineLevel="0" collapsed="false">
      <c r="A69" s="105" t="s">
        <v>151</v>
      </c>
      <c r="B69" s="107" t="s">
        <v>964</v>
      </c>
      <c r="C69" s="106" t="s">
        <v>586</v>
      </c>
      <c r="D69" s="105" t="s">
        <v>1179</v>
      </c>
      <c r="E69" s="105" t="s">
        <v>1180</v>
      </c>
      <c r="F69" s="107" t="s">
        <v>1181</v>
      </c>
    </row>
    <row r="70" customFormat="false" ht="18" hidden="false" customHeight="true" outlineLevel="0" collapsed="false">
      <c r="A70" s="104" t="s">
        <v>1182</v>
      </c>
      <c r="B70" s="104"/>
      <c r="C70" s="104"/>
      <c r="D70" s="104"/>
      <c r="E70" s="104"/>
      <c r="F70" s="104"/>
    </row>
    <row r="71" customFormat="false" ht="40.5" hidden="false" customHeight="true" outlineLevel="0" collapsed="false">
      <c r="A71" s="105" t="s">
        <v>153</v>
      </c>
      <c r="B71" s="107" t="s">
        <v>1183</v>
      </c>
      <c r="C71" s="108" t="s">
        <v>1184</v>
      </c>
      <c r="D71" s="105" t="s">
        <v>1185</v>
      </c>
      <c r="E71" s="107" t="s">
        <v>1186</v>
      </c>
      <c r="F71" s="105" t="s">
        <v>1187</v>
      </c>
    </row>
    <row r="72" customFormat="false" ht="27" hidden="false" customHeight="true" outlineLevel="0" collapsed="false">
      <c r="A72" s="105" t="s">
        <v>153</v>
      </c>
      <c r="B72" s="105" t="s">
        <v>1188</v>
      </c>
      <c r="C72" s="106" t="s">
        <v>1189</v>
      </c>
      <c r="D72" s="107" t="s">
        <v>1190</v>
      </c>
      <c r="E72" s="107" t="s">
        <v>1191</v>
      </c>
      <c r="F72" s="105" t="s">
        <v>1192</v>
      </c>
    </row>
    <row r="73" customFormat="false" ht="27" hidden="false" customHeight="true" outlineLevel="0" collapsed="false">
      <c r="A73" s="105" t="s">
        <v>153</v>
      </c>
      <c r="B73" s="105" t="s">
        <v>1193</v>
      </c>
      <c r="C73" s="106" t="s">
        <v>1194</v>
      </c>
      <c r="D73" s="105" t="s">
        <v>1195</v>
      </c>
      <c r="E73" s="105" t="s">
        <v>1196</v>
      </c>
      <c r="F73" s="107" t="s">
        <v>1197</v>
      </c>
    </row>
    <row r="74" customFormat="false" ht="13.5" hidden="false" customHeight="true" outlineLevel="0" collapsed="false">
      <c r="A74" s="105" t="s">
        <v>153</v>
      </c>
      <c r="B74" s="105" t="s">
        <v>1198</v>
      </c>
      <c r="C74" s="108" t="s">
        <v>1199</v>
      </c>
      <c r="D74" s="107" t="s">
        <v>1200</v>
      </c>
      <c r="E74" s="105" t="s">
        <v>1201</v>
      </c>
      <c r="F74" s="105" t="s">
        <v>1202</v>
      </c>
    </row>
    <row r="75" customFormat="false" ht="18" hidden="false" customHeight="true" outlineLevel="0" collapsed="false">
      <c r="A75" s="104" t="s">
        <v>1203</v>
      </c>
      <c r="B75" s="104"/>
      <c r="C75" s="104"/>
      <c r="D75" s="104"/>
      <c r="E75" s="104"/>
      <c r="F75" s="104"/>
    </row>
    <row r="76" customFormat="false" ht="27" hidden="false" customHeight="true" outlineLevel="0" collapsed="false">
      <c r="A76" s="105" t="s">
        <v>1204</v>
      </c>
      <c r="B76" s="107" t="s">
        <v>1205</v>
      </c>
      <c r="C76" s="106" t="s">
        <v>1206</v>
      </c>
      <c r="D76" s="105" t="s">
        <v>1207</v>
      </c>
      <c r="E76" s="107" t="s">
        <v>1208</v>
      </c>
      <c r="F76" s="105" t="s">
        <v>1209</v>
      </c>
    </row>
    <row r="77" customFormat="false" ht="27" hidden="false" customHeight="true" outlineLevel="0" collapsed="false">
      <c r="A77" s="105" t="s">
        <v>1204</v>
      </c>
      <c r="B77" s="107" t="s">
        <v>1210</v>
      </c>
      <c r="C77" s="106" t="s">
        <v>1070</v>
      </c>
      <c r="D77" s="105" t="s">
        <v>1211</v>
      </c>
      <c r="E77" s="107" t="s">
        <v>1212</v>
      </c>
      <c r="F77" s="105" t="s">
        <v>1213</v>
      </c>
    </row>
    <row r="78" customFormat="false" ht="13.5" hidden="false" customHeight="true" outlineLevel="0" collapsed="false">
      <c r="A78" s="105" t="s">
        <v>1204</v>
      </c>
      <c r="B78" s="107" t="s">
        <v>1214</v>
      </c>
      <c r="C78" s="106" t="s">
        <v>1215</v>
      </c>
      <c r="D78" s="107" t="s">
        <v>1216</v>
      </c>
      <c r="E78" s="107" t="s">
        <v>1217</v>
      </c>
      <c r="F78" s="107" t="s">
        <v>1218</v>
      </c>
    </row>
    <row r="79" customFormat="false" ht="27" hidden="false" customHeight="true" outlineLevel="0" collapsed="false">
      <c r="A79" s="105" t="s">
        <v>1204</v>
      </c>
      <c r="B79" s="107" t="s">
        <v>1219</v>
      </c>
      <c r="C79" s="106" t="s">
        <v>1220</v>
      </c>
      <c r="D79" s="105" t="s">
        <v>1221</v>
      </c>
      <c r="E79" s="107" t="s">
        <v>1222</v>
      </c>
      <c r="F79" s="107"/>
    </row>
    <row r="80" customFormat="false" ht="27" hidden="false" customHeight="true" outlineLevel="0" collapsed="false">
      <c r="A80" s="105" t="s">
        <v>1204</v>
      </c>
      <c r="B80" s="107" t="s">
        <v>1223</v>
      </c>
      <c r="C80" s="106" t="s">
        <v>1224</v>
      </c>
      <c r="D80" s="107" t="s">
        <v>1225</v>
      </c>
      <c r="E80" s="107" t="s">
        <v>1226</v>
      </c>
      <c r="F80" s="105" t="s">
        <v>1227</v>
      </c>
    </row>
    <row r="81" customFormat="false" ht="27" hidden="false" customHeight="true" outlineLevel="0" collapsed="false">
      <c r="A81" s="105" t="s">
        <v>1204</v>
      </c>
      <c r="B81" s="107" t="s">
        <v>1228</v>
      </c>
      <c r="C81" s="106" t="s">
        <v>1229</v>
      </c>
      <c r="D81" s="107" t="s">
        <v>1230</v>
      </c>
      <c r="E81" s="107" t="s">
        <v>1231</v>
      </c>
      <c r="F81" s="105" t="s">
        <v>1232</v>
      </c>
    </row>
    <row r="82" customFormat="false" ht="27" hidden="false" customHeight="true" outlineLevel="0" collapsed="false">
      <c r="A82" s="105" t="s">
        <v>1204</v>
      </c>
      <c r="B82" s="107" t="s">
        <v>1233</v>
      </c>
      <c r="C82" s="106" t="s">
        <v>1234</v>
      </c>
      <c r="D82" s="105" t="s">
        <v>1235</v>
      </c>
      <c r="E82" s="105" t="s">
        <v>1236</v>
      </c>
      <c r="F82" s="105" t="s">
        <v>1237</v>
      </c>
    </row>
    <row r="83" customFormat="false" ht="27" hidden="false" customHeight="true" outlineLevel="0" collapsed="false">
      <c r="A83" s="105" t="s">
        <v>1204</v>
      </c>
      <c r="B83" s="107" t="s">
        <v>1098</v>
      </c>
      <c r="C83" s="106" t="s">
        <v>685</v>
      </c>
      <c r="D83" s="107" t="s">
        <v>1238</v>
      </c>
      <c r="E83" s="105" t="s">
        <v>1239</v>
      </c>
      <c r="F83" s="105" t="s">
        <v>1240</v>
      </c>
    </row>
    <row r="84" customFormat="false" ht="18" hidden="false" customHeight="true" outlineLevel="0" collapsed="false">
      <c r="A84" s="104" t="s">
        <v>1241</v>
      </c>
      <c r="B84" s="104"/>
      <c r="C84" s="104"/>
      <c r="D84" s="104"/>
      <c r="E84" s="104"/>
      <c r="F84" s="104"/>
    </row>
    <row r="85" customFormat="false" ht="27" hidden="false" customHeight="true" outlineLevel="0" collapsed="false">
      <c r="A85" s="105" t="s">
        <v>1242</v>
      </c>
      <c r="B85" s="105" t="s">
        <v>1243</v>
      </c>
      <c r="C85" s="106" t="s">
        <v>1244</v>
      </c>
      <c r="D85" s="105" t="s">
        <v>1245</v>
      </c>
      <c r="E85" s="105" t="s">
        <v>1246</v>
      </c>
      <c r="F85" s="105" t="s">
        <v>1247</v>
      </c>
    </row>
    <row r="86" customFormat="false" ht="27" hidden="false" customHeight="true" outlineLevel="0" collapsed="false">
      <c r="A86" s="105" t="s">
        <v>1242</v>
      </c>
      <c r="B86" s="105" t="s">
        <v>1154</v>
      </c>
      <c r="C86" s="106" t="s">
        <v>1248</v>
      </c>
      <c r="D86" s="107" t="s">
        <v>1249</v>
      </c>
      <c r="E86" s="105" t="s">
        <v>1250</v>
      </c>
      <c r="F86" s="105" t="s">
        <v>1251</v>
      </c>
    </row>
    <row r="87" customFormat="false" ht="13.5" hidden="false" customHeight="true" outlineLevel="0" collapsed="false">
      <c r="A87" s="105" t="s">
        <v>1242</v>
      </c>
      <c r="B87" s="105" t="s">
        <v>1252</v>
      </c>
      <c r="C87" s="106" t="s">
        <v>1253</v>
      </c>
      <c r="D87" s="107" t="s">
        <v>1254</v>
      </c>
      <c r="E87" s="105" t="s">
        <v>1255</v>
      </c>
      <c r="F87" s="105" t="s">
        <v>1256</v>
      </c>
    </row>
    <row r="88" customFormat="false" ht="27" hidden="false" customHeight="true" outlineLevel="0" collapsed="false">
      <c r="A88" s="105" t="s">
        <v>1242</v>
      </c>
      <c r="B88" s="107" t="s">
        <v>1257</v>
      </c>
      <c r="C88" s="108" t="s">
        <v>1258</v>
      </c>
      <c r="D88" s="107" t="s">
        <v>1259</v>
      </c>
      <c r="E88" s="107" t="s">
        <v>1260</v>
      </c>
      <c r="F88" s="107"/>
    </row>
    <row r="89" customFormat="false" ht="27" hidden="false" customHeight="true" outlineLevel="0" collapsed="false">
      <c r="A89" s="105" t="s">
        <v>1242</v>
      </c>
      <c r="B89" s="107" t="s">
        <v>1261</v>
      </c>
      <c r="C89" s="106" t="s">
        <v>1262</v>
      </c>
      <c r="D89" s="105" t="s">
        <v>1263</v>
      </c>
      <c r="E89" s="107" t="s">
        <v>1264</v>
      </c>
      <c r="F89" s="107"/>
    </row>
    <row r="90" customFormat="false" ht="27" hidden="false" customHeight="true" outlineLevel="0" collapsed="false">
      <c r="A90" s="105" t="s">
        <v>1242</v>
      </c>
      <c r="B90" s="107" t="s">
        <v>1265</v>
      </c>
      <c r="C90" s="106" t="s">
        <v>758</v>
      </c>
      <c r="D90" s="107" t="s">
        <v>1266</v>
      </c>
      <c r="E90" s="105" t="s">
        <v>1267</v>
      </c>
      <c r="F90" s="105" t="s">
        <v>1268</v>
      </c>
    </row>
    <row r="91" customFormat="false" ht="18" hidden="false" customHeight="true" outlineLevel="0" collapsed="false">
      <c r="A91" s="104" t="s">
        <v>1269</v>
      </c>
      <c r="B91" s="104"/>
      <c r="C91" s="104"/>
      <c r="D91" s="104"/>
      <c r="E91" s="104"/>
      <c r="F91" s="104"/>
    </row>
    <row r="92" customFormat="false" ht="27" hidden="false" customHeight="true" outlineLevel="0" collapsed="false">
      <c r="A92" s="105" t="s">
        <v>159</v>
      </c>
      <c r="B92" s="107" t="s">
        <v>1270</v>
      </c>
      <c r="C92" s="106" t="s">
        <v>1271</v>
      </c>
      <c r="D92" s="107" t="s">
        <v>1272</v>
      </c>
      <c r="E92" s="107" t="s">
        <v>1273</v>
      </c>
      <c r="F92" s="107" t="s">
        <v>1274</v>
      </c>
    </row>
    <row r="93" customFormat="false" ht="13.5" hidden="false" customHeight="true" outlineLevel="0" collapsed="false">
      <c r="A93" s="105" t="s">
        <v>159</v>
      </c>
      <c r="B93" s="107" t="s">
        <v>1275</v>
      </c>
      <c r="C93" s="106" t="s">
        <v>1276</v>
      </c>
      <c r="D93" s="107" t="s">
        <v>1277</v>
      </c>
      <c r="E93" s="107" t="s">
        <v>1278</v>
      </c>
      <c r="F93" s="105" t="s">
        <v>1279</v>
      </c>
    </row>
    <row r="94" customFormat="false" ht="13.5" hidden="false" customHeight="true" outlineLevel="0" collapsed="false">
      <c r="A94" s="105" t="s">
        <v>159</v>
      </c>
      <c r="B94" s="105" t="s">
        <v>1280</v>
      </c>
      <c r="C94" s="106" t="s">
        <v>1281</v>
      </c>
      <c r="D94" s="107" t="s">
        <v>1282</v>
      </c>
      <c r="E94" s="107" t="s">
        <v>1283</v>
      </c>
      <c r="F94" s="107"/>
    </row>
    <row r="95" customFormat="false" ht="13.5" hidden="false" customHeight="true" outlineLevel="0" collapsed="false">
      <c r="A95" s="105" t="s">
        <v>159</v>
      </c>
      <c r="B95" s="105" t="s">
        <v>1284</v>
      </c>
      <c r="C95" s="106" t="s">
        <v>1285</v>
      </c>
      <c r="D95" s="107" t="s">
        <v>1286</v>
      </c>
      <c r="E95" s="107" t="s">
        <v>1287</v>
      </c>
      <c r="F95" s="105" t="s">
        <v>1288</v>
      </c>
    </row>
    <row r="96" customFormat="false" ht="18" hidden="false" customHeight="true" outlineLevel="0" collapsed="false">
      <c r="A96" s="104" t="s">
        <v>1289</v>
      </c>
      <c r="B96" s="104"/>
      <c r="C96" s="104"/>
      <c r="D96" s="104"/>
      <c r="E96" s="104"/>
      <c r="F96" s="104"/>
    </row>
    <row r="97" customFormat="false" ht="27" hidden="false" customHeight="true" outlineLevel="0" collapsed="false">
      <c r="A97" s="105" t="s">
        <v>161</v>
      </c>
      <c r="B97" s="107" t="s">
        <v>1275</v>
      </c>
      <c r="C97" s="106" t="s">
        <v>1290</v>
      </c>
      <c r="D97" s="105" t="s">
        <v>1291</v>
      </c>
      <c r="E97" s="107" t="s">
        <v>1292</v>
      </c>
      <c r="F97" s="107" t="s">
        <v>1293</v>
      </c>
    </row>
    <row r="98" customFormat="false" ht="13.5" hidden="false" customHeight="true" outlineLevel="0" collapsed="false">
      <c r="A98" s="105" t="s">
        <v>161</v>
      </c>
      <c r="B98" s="107" t="s">
        <v>1294</v>
      </c>
      <c r="C98" s="106" t="s">
        <v>811</v>
      </c>
      <c r="D98" s="107" t="s">
        <v>1295</v>
      </c>
      <c r="E98" s="107" t="s">
        <v>1296</v>
      </c>
      <c r="F98" s="105" t="s">
        <v>1297</v>
      </c>
    </row>
    <row r="99" customFormat="false" ht="13.5" hidden="false" customHeight="true" outlineLevel="0" collapsed="false">
      <c r="A99" s="105" t="s">
        <v>161</v>
      </c>
      <c r="B99" s="105" t="s">
        <v>1298</v>
      </c>
      <c r="C99" s="106" t="s">
        <v>1056</v>
      </c>
      <c r="D99" s="107" t="s">
        <v>1299</v>
      </c>
      <c r="E99" s="107" t="s">
        <v>1300</v>
      </c>
      <c r="F99" s="107"/>
    </row>
    <row r="100" customFormat="false" ht="27" hidden="false" customHeight="true" outlineLevel="0" collapsed="false">
      <c r="A100" s="105" t="s">
        <v>161</v>
      </c>
      <c r="B100" s="105" t="s">
        <v>1301</v>
      </c>
      <c r="C100" s="106" t="s">
        <v>1302</v>
      </c>
      <c r="D100" s="107" t="s">
        <v>1303</v>
      </c>
      <c r="E100" s="107" t="s">
        <v>1304</v>
      </c>
      <c r="F100" s="105" t="s">
        <v>1305</v>
      </c>
    </row>
    <row r="101" customFormat="false" ht="40.5" hidden="false" customHeight="true" outlineLevel="0" collapsed="false">
      <c r="A101" s="105" t="s">
        <v>161</v>
      </c>
      <c r="B101" s="107" t="s">
        <v>1306</v>
      </c>
      <c r="C101" s="106" t="s">
        <v>1307</v>
      </c>
      <c r="D101" s="107" t="s">
        <v>1308</v>
      </c>
      <c r="E101" s="107" t="s">
        <v>1309</v>
      </c>
      <c r="F101" s="107" t="s">
        <v>1310</v>
      </c>
    </row>
    <row r="102" customFormat="false" ht="27" hidden="false" customHeight="true" outlineLevel="0" collapsed="false">
      <c r="A102" s="105" t="s">
        <v>161</v>
      </c>
      <c r="B102" s="107" t="s">
        <v>1311</v>
      </c>
      <c r="C102" s="106" t="s">
        <v>1312</v>
      </c>
      <c r="D102" s="107" t="s">
        <v>1313</v>
      </c>
      <c r="E102" s="107" t="s">
        <v>1314</v>
      </c>
      <c r="F102" s="105" t="s">
        <v>1315</v>
      </c>
    </row>
    <row r="103" customFormat="false" ht="27" hidden="false" customHeight="true" outlineLevel="0" collapsed="false">
      <c r="A103" s="105" t="s">
        <v>161</v>
      </c>
      <c r="B103" s="107" t="s">
        <v>964</v>
      </c>
      <c r="C103" s="106" t="s">
        <v>524</v>
      </c>
      <c r="D103" s="107" t="s">
        <v>1316</v>
      </c>
      <c r="E103" s="105" t="s">
        <v>1139</v>
      </c>
      <c r="F103" s="105" t="s">
        <v>1317</v>
      </c>
    </row>
    <row r="104" customFormat="false" ht="27" hidden="false" customHeight="true" outlineLevel="0" collapsed="false">
      <c r="A104" s="105" t="s">
        <v>161</v>
      </c>
      <c r="B104" s="107" t="s">
        <v>969</v>
      </c>
      <c r="C104" s="106" t="s">
        <v>1318</v>
      </c>
      <c r="D104" s="107" t="s">
        <v>1319</v>
      </c>
      <c r="E104" s="105" t="s">
        <v>1320</v>
      </c>
      <c r="F104" s="105" t="s">
        <v>1321</v>
      </c>
    </row>
    <row r="105" customFormat="false" ht="40.5" hidden="false" customHeight="true" outlineLevel="0" collapsed="false">
      <c r="A105" s="105" t="s">
        <v>161</v>
      </c>
      <c r="B105" s="107" t="s">
        <v>974</v>
      </c>
      <c r="C105" s="106" t="s">
        <v>857</v>
      </c>
      <c r="D105" s="107" t="s">
        <v>1322</v>
      </c>
      <c r="E105" s="105" t="s">
        <v>1323</v>
      </c>
      <c r="F105" s="105" t="s">
        <v>1324</v>
      </c>
    </row>
    <row r="106" customFormat="false" ht="27" hidden="false" customHeight="true" outlineLevel="0" collapsed="false">
      <c r="A106" s="105" t="s">
        <v>161</v>
      </c>
      <c r="B106" s="105" t="s">
        <v>1325</v>
      </c>
      <c r="C106" s="106" t="s">
        <v>1326</v>
      </c>
      <c r="D106" s="107" t="s">
        <v>1327</v>
      </c>
      <c r="E106" s="105" t="s">
        <v>1328</v>
      </c>
      <c r="F106" s="105" t="s">
        <v>1329</v>
      </c>
    </row>
    <row r="107" customFormat="false" ht="18" hidden="false" customHeight="true" outlineLevel="0" collapsed="false">
      <c r="A107" s="104" t="s">
        <v>1330</v>
      </c>
      <c r="B107" s="104"/>
      <c r="C107" s="104"/>
      <c r="D107" s="104"/>
      <c r="E107" s="104"/>
      <c r="F107" s="104"/>
    </row>
    <row r="108" customFormat="false" ht="40.5" hidden="false" customHeight="true" outlineLevel="0" collapsed="false">
      <c r="A108" s="105" t="s">
        <v>165</v>
      </c>
      <c r="B108" s="105" t="s">
        <v>1331</v>
      </c>
      <c r="C108" s="106" t="s">
        <v>1332</v>
      </c>
      <c r="D108" s="105" t="s">
        <v>1333</v>
      </c>
      <c r="E108" s="105" t="s">
        <v>1334</v>
      </c>
      <c r="F108" s="105" t="s">
        <v>1335</v>
      </c>
    </row>
    <row r="109" customFormat="false" ht="13.5" hidden="false" customHeight="true" outlineLevel="0" collapsed="false">
      <c r="A109" s="105" t="s">
        <v>165</v>
      </c>
      <c r="B109" s="107" t="s">
        <v>1336</v>
      </c>
      <c r="C109" s="106" t="s">
        <v>1337</v>
      </c>
      <c r="D109" s="107" t="s">
        <v>1295</v>
      </c>
      <c r="E109" s="107" t="s">
        <v>1296</v>
      </c>
      <c r="F109" s="105" t="s">
        <v>1338</v>
      </c>
    </row>
    <row r="110" customFormat="false" ht="27" hidden="false" customHeight="true" outlineLevel="0" collapsed="false">
      <c r="A110" s="105" t="s">
        <v>165</v>
      </c>
      <c r="B110" s="105" t="s">
        <v>1339</v>
      </c>
      <c r="C110" s="106" t="s">
        <v>1340</v>
      </c>
      <c r="D110" s="107" t="s">
        <v>1341</v>
      </c>
      <c r="E110" s="107" t="s">
        <v>1342</v>
      </c>
      <c r="F110" s="105" t="s">
        <v>1343</v>
      </c>
    </row>
    <row r="111" customFormat="false" ht="13.5" hidden="false" customHeight="true" outlineLevel="0" collapsed="false">
      <c r="A111" s="105" t="s">
        <v>165</v>
      </c>
      <c r="B111" s="105" t="s">
        <v>1344</v>
      </c>
      <c r="C111" s="106" t="s">
        <v>1345</v>
      </c>
      <c r="D111" s="107" t="s">
        <v>1346</v>
      </c>
      <c r="E111" s="107" t="s">
        <v>1300</v>
      </c>
      <c r="F111" s="105" t="s">
        <v>1347</v>
      </c>
    </row>
    <row r="112" customFormat="false" ht="27" hidden="false" customHeight="true" outlineLevel="0" collapsed="false">
      <c r="A112" s="105" t="s">
        <v>165</v>
      </c>
      <c r="B112" s="105" t="s">
        <v>1348</v>
      </c>
      <c r="C112" s="106" t="s">
        <v>1349</v>
      </c>
      <c r="D112" s="107" t="s">
        <v>1350</v>
      </c>
      <c r="E112" s="107" t="s">
        <v>1351</v>
      </c>
      <c r="F112" s="105" t="s">
        <v>1352</v>
      </c>
    </row>
    <row r="113" customFormat="false" ht="13.5" hidden="false" customHeight="true" outlineLevel="0" collapsed="false">
      <c r="A113" s="105" t="s">
        <v>165</v>
      </c>
      <c r="B113" s="105" t="s">
        <v>1353</v>
      </c>
      <c r="C113" s="106" t="s">
        <v>1354</v>
      </c>
      <c r="D113" s="107" t="s">
        <v>1355</v>
      </c>
      <c r="E113" s="107" t="s">
        <v>1356</v>
      </c>
      <c r="F113" s="105" t="s">
        <v>1357</v>
      </c>
    </row>
    <row r="114" customFormat="false" ht="13.5" hidden="false" customHeight="true" outlineLevel="0" collapsed="false">
      <c r="A114" s="105" t="s">
        <v>165</v>
      </c>
      <c r="B114" s="105" t="s">
        <v>1358</v>
      </c>
      <c r="C114" s="106" t="s">
        <v>1359</v>
      </c>
      <c r="D114" s="107" t="s">
        <v>1360</v>
      </c>
      <c r="E114" s="105" t="s">
        <v>1361</v>
      </c>
      <c r="F114" s="105" t="s">
        <v>1362</v>
      </c>
    </row>
    <row r="115" customFormat="false" ht="18" hidden="false" customHeight="true" outlineLevel="0" collapsed="false">
      <c r="A115" s="104" t="s">
        <v>1363</v>
      </c>
      <c r="B115" s="104"/>
      <c r="C115" s="104"/>
      <c r="D115" s="104"/>
      <c r="E115" s="104"/>
      <c r="F115" s="104"/>
    </row>
    <row r="116" customFormat="false" ht="13.5" hidden="false" customHeight="true" outlineLevel="0" collapsed="false">
      <c r="A116" s="105" t="s">
        <v>1364</v>
      </c>
      <c r="B116" s="107" t="s">
        <v>1365</v>
      </c>
      <c r="C116" s="106" t="s">
        <v>1366</v>
      </c>
      <c r="D116" s="105" t="s">
        <v>1367</v>
      </c>
      <c r="E116" s="107" t="s">
        <v>531</v>
      </c>
      <c r="F116" s="105" t="s">
        <v>1368</v>
      </c>
    </row>
  </sheetData>
  <mergeCells count="14">
    <mergeCell ref="A6:F6"/>
    <mergeCell ref="A9:F9"/>
    <mergeCell ref="A23:F23"/>
    <mergeCell ref="A30:F30"/>
    <mergeCell ref="A51:F51"/>
    <mergeCell ref="A62:F62"/>
    <mergeCell ref="A65:F65"/>
    <mergeCell ref="A70:F70"/>
    <mergeCell ref="A75:F75"/>
    <mergeCell ref="A84:F84"/>
    <mergeCell ref="A91:F91"/>
    <mergeCell ref="A96:F96"/>
    <mergeCell ref="A107:F107"/>
    <mergeCell ref="A115:F11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15" topLeftCell="F16" activePane="bottomRight" state="frozen"/>
      <selection pane="topLeft" activeCell="A1" activeCellId="0" sqref="A1"/>
      <selection pane="topRight" activeCell="F1" activeCellId="0" sqref="F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3"/>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9"/>
    <col collapsed="false" customWidth="true" hidden="false" outlineLevel="0" max="11" min="10" style="0" width="11"/>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6" min="15" style="0" width="11"/>
    <col collapsed="false" customWidth="true" hidden="false" outlineLevel="0" max="17" min="17" style="0" width="10"/>
    <col collapsed="false" customWidth="true" hidden="false" outlineLevel="0" max="18" min="18" style="0" width="12"/>
    <col collapsed="false" customWidth="true" hidden="false" outlineLevel="0" max="19" min="19" style="0" width="9"/>
    <col collapsed="false" customWidth="true" hidden="false" outlineLevel="0" max="21" min="20" style="0" width="11"/>
    <col collapsed="false" customWidth="true" hidden="false" outlineLevel="0" max="22" min="22" style="0" width="10"/>
    <col collapsed="false" customWidth="true" hidden="false" outlineLevel="0" max="23" min="23" style="0" width="12"/>
    <col collapsed="false" customWidth="true" hidden="false" outlineLevel="0" max="24" min="24" style="0" width="9"/>
    <col collapsed="false" customWidth="true" hidden="false" outlineLevel="0" max="25" min="25" style="0" width="11"/>
    <col collapsed="false" customWidth="true" hidden="false" outlineLevel="0" max="26" min="26" style="0" width="12"/>
    <col collapsed="false" customWidth="true" hidden="false" outlineLevel="0" max="27" min="27" style="0" width="11"/>
    <col collapsed="false" customWidth="true" hidden="false" outlineLevel="0" max="28" min="28" style="0" width="15"/>
    <col collapsed="false" customWidth="true" hidden="false" outlineLevel="0" max="29" min="29" style="0" width="46"/>
  </cols>
  <sheetData>
    <row r="1" customFormat="false" ht="18.55" hidden="false" customHeight="false" outlineLevel="0" collapsed="false">
      <c r="A1" s="1" t="s">
        <v>1369</v>
      </c>
    </row>
    <row r="2" customFormat="false" ht="15" hidden="false" customHeight="false" outlineLevel="0" collapsed="false">
      <c r="A2" s="3" t="s">
        <v>1370</v>
      </c>
    </row>
    <row r="3" customFormat="false" ht="15" hidden="false" customHeight="false" outlineLevel="0" collapsed="false">
      <c r="A3" s="3" t="s">
        <v>1371</v>
      </c>
    </row>
    <row r="4" customFormat="false" ht="15" hidden="false" customHeight="false" outlineLevel="0" collapsed="false">
      <c r="A4" s="3" t="s">
        <v>1372</v>
      </c>
    </row>
    <row r="6" customFormat="false" ht="15" hidden="false" customHeight="false" outlineLevel="0" collapsed="false">
      <c r="A6" s="4" t="s">
        <v>1373</v>
      </c>
    </row>
    <row r="7" customFormat="false" ht="33.75" hidden="false" customHeight="true" outlineLevel="0" collapsed="false">
      <c r="A7" s="26" t="s">
        <v>424</v>
      </c>
      <c r="B7" s="26" t="s">
        <v>387</v>
      </c>
      <c r="C7" s="26" t="s">
        <v>440</v>
      </c>
      <c r="D7" s="26" t="s">
        <v>441</v>
      </c>
      <c r="E7" s="26" t="s">
        <v>1374</v>
      </c>
      <c r="F7" s="26" t="s">
        <v>1375</v>
      </c>
      <c r="G7" s="26" t="s">
        <v>1376</v>
      </c>
      <c r="H7" s="26" t="s">
        <v>1377</v>
      </c>
      <c r="I7" s="26" t="s">
        <v>1378</v>
      </c>
      <c r="J7" s="26" t="s">
        <v>1379</v>
      </c>
      <c r="K7" s="26" t="s">
        <v>429</v>
      </c>
    </row>
    <row r="8" customFormat="false" ht="120.85" hidden="false" customHeight="false" outlineLevel="0" collapsed="false">
      <c r="A8" s="50" t="s">
        <v>446</v>
      </c>
      <c r="B8" s="55" t="s">
        <v>447</v>
      </c>
      <c r="C8" s="35" t="n">
        <v>30</v>
      </c>
      <c r="D8" s="37" t="n">
        <v>0.13</v>
      </c>
      <c r="E8" s="35" t="n">
        <v>9536</v>
      </c>
      <c r="F8" s="35" t="n">
        <v>9353</v>
      </c>
      <c r="G8" s="35" t="n">
        <v>183</v>
      </c>
      <c r="H8" s="37" t="n">
        <f aca="false">IFERROR(F8/E8,0)</f>
        <v>0.980809563758389</v>
      </c>
      <c r="I8" s="34" t="n">
        <v>7364800</v>
      </c>
      <c r="J8" s="72" t="s">
        <v>531</v>
      </c>
      <c r="K8" s="69" t="s">
        <v>1380</v>
      </c>
    </row>
    <row r="9" customFormat="false" ht="120.85" hidden="false" customHeight="false" outlineLevel="0" collapsed="false">
      <c r="A9" s="50" t="s">
        <v>384</v>
      </c>
      <c r="B9" s="55" t="s">
        <v>449</v>
      </c>
      <c r="C9" s="35" t="n">
        <v>21</v>
      </c>
      <c r="D9" s="37" t="n">
        <v>0.12</v>
      </c>
      <c r="E9" s="35" t="n">
        <v>8800</v>
      </c>
      <c r="F9" s="35" t="n">
        <v>8324</v>
      </c>
      <c r="G9" s="35" t="n">
        <v>476</v>
      </c>
      <c r="H9" s="37" t="n">
        <f aca="false">IFERROR(F9/E9,0)</f>
        <v>0.945909090909091</v>
      </c>
      <c r="I9" s="34" t="n">
        <v>6173100</v>
      </c>
      <c r="J9" s="72" t="s">
        <v>531</v>
      </c>
      <c r="K9" s="69" t="s">
        <v>1381</v>
      </c>
    </row>
    <row r="10" customFormat="false" ht="132.8" hidden="false" customHeight="false" outlineLevel="0" collapsed="false">
      <c r="A10" s="50" t="s">
        <v>385</v>
      </c>
      <c r="B10" s="55" t="s">
        <v>451</v>
      </c>
      <c r="C10" s="35" t="n">
        <v>21</v>
      </c>
      <c r="D10" s="37" t="n">
        <v>0.09</v>
      </c>
      <c r="E10" s="35" t="n">
        <v>6602</v>
      </c>
      <c r="F10" s="35" t="n">
        <v>6351</v>
      </c>
      <c r="G10" s="35" t="n">
        <v>251</v>
      </c>
      <c r="H10" s="37" t="n">
        <f aca="false">IFERROR(F10/E10,0)</f>
        <v>0.961981217812784</v>
      </c>
      <c r="I10" s="34" t="n">
        <v>4752200</v>
      </c>
      <c r="J10" s="69" t="s">
        <v>1382</v>
      </c>
      <c r="K10" s="69" t="s">
        <v>1383</v>
      </c>
    </row>
    <row r="11" customFormat="false" ht="156.7" hidden="false" customHeight="false" outlineLevel="0" collapsed="false">
      <c r="A11" s="50" t="s">
        <v>386</v>
      </c>
      <c r="B11" s="55" t="s">
        <v>453</v>
      </c>
      <c r="C11" s="35" t="n">
        <v>25</v>
      </c>
      <c r="D11" s="37" t="n">
        <v>0.5</v>
      </c>
      <c r="E11" s="35" t="n">
        <v>36679</v>
      </c>
      <c r="F11" s="35" t="n">
        <v>34121</v>
      </c>
      <c r="G11" s="35" t="n">
        <v>2558</v>
      </c>
      <c r="H11" s="37" t="n">
        <f aca="false">IFERROR(F11/E11,0)</f>
        <v>0.930259821696339</v>
      </c>
      <c r="I11" s="34" t="n">
        <v>25512400</v>
      </c>
      <c r="J11" s="72" t="s">
        <v>531</v>
      </c>
      <c r="K11" s="69" t="s">
        <v>1384</v>
      </c>
    </row>
    <row r="12" customFormat="false" ht="15" hidden="false" customHeight="false" outlineLevel="0" collapsed="false">
      <c r="A12" s="41" t="s">
        <v>455</v>
      </c>
      <c r="B12" s="41"/>
      <c r="C12" s="40"/>
      <c r="D12" s="40"/>
      <c r="E12" s="42" t="n">
        <f aca="false">SUM(E8:E11)</f>
        <v>61617</v>
      </c>
      <c r="F12" s="42" t="n">
        <f aca="false">SUM(F8:F11)</f>
        <v>58149</v>
      </c>
      <c r="G12" s="42" t="n">
        <f aca="false">SUM(G8:G11)</f>
        <v>3468</v>
      </c>
      <c r="H12" s="45" t="n">
        <f aca="false">IFERROR(F12/E12,0)</f>
        <v>0.943716831393934</v>
      </c>
      <c r="I12" s="44" t="n">
        <f aca="false">SUM(I8:I11)</f>
        <v>43802500</v>
      </c>
      <c r="J12" s="92"/>
      <c r="K12" s="92"/>
    </row>
    <row r="14" customFormat="false" ht="15" hidden="false" customHeight="false" outlineLevel="0" collapsed="false">
      <c r="A14" s="4" t="s">
        <v>1385</v>
      </c>
    </row>
    <row r="15" customFormat="false" ht="39.75" hidden="false" customHeight="true" outlineLevel="0" collapsed="false">
      <c r="A15" s="25" t="s">
        <v>263</v>
      </c>
      <c r="B15" s="25" t="s">
        <v>264</v>
      </c>
      <c r="C15" s="26" t="s">
        <v>265</v>
      </c>
      <c r="D15" s="26" t="s">
        <v>508</v>
      </c>
      <c r="E15" s="62" t="s">
        <v>1386</v>
      </c>
      <c r="F15" s="49" t="s">
        <v>1387</v>
      </c>
      <c r="G15" s="49" t="s">
        <v>487</v>
      </c>
      <c r="H15" s="63" t="s">
        <v>1388</v>
      </c>
      <c r="I15" s="64" t="s">
        <v>1389</v>
      </c>
      <c r="J15" s="49" t="s">
        <v>1390</v>
      </c>
      <c r="K15" s="49" t="s">
        <v>1391</v>
      </c>
      <c r="L15" s="49" t="s">
        <v>488</v>
      </c>
      <c r="M15" s="63" t="s">
        <v>1392</v>
      </c>
      <c r="N15" s="64" t="s">
        <v>1393</v>
      </c>
      <c r="O15" s="49" t="s">
        <v>1394</v>
      </c>
      <c r="P15" s="49" t="s">
        <v>1395</v>
      </c>
      <c r="Q15" s="49" t="s">
        <v>489</v>
      </c>
      <c r="R15" s="63" t="s">
        <v>1396</v>
      </c>
      <c r="S15" s="64" t="s">
        <v>1397</v>
      </c>
      <c r="T15" s="49" t="s">
        <v>1398</v>
      </c>
      <c r="U15" s="49" t="s">
        <v>1399</v>
      </c>
      <c r="V15" s="49" t="s">
        <v>490</v>
      </c>
      <c r="W15" s="63" t="s">
        <v>1400</v>
      </c>
      <c r="X15" s="64" t="s">
        <v>1401</v>
      </c>
      <c r="Y15" s="49" t="s">
        <v>1402</v>
      </c>
      <c r="Z15" s="31" t="s">
        <v>1403</v>
      </c>
      <c r="AA15" s="31" t="s">
        <v>1404</v>
      </c>
      <c r="AB15" s="31" t="s">
        <v>1405</v>
      </c>
      <c r="AC15" s="68" t="s">
        <v>429</v>
      </c>
    </row>
    <row r="16" customFormat="false" ht="15" hidden="false" customHeight="false" outlineLevel="0" collapsed="false">
      <c r="A16" s="32" t="n">
        <v>1</v>
      </c>
      <c r="B16" s="32" t="s">
        <v>286</v>
      </c>
      <c r="C16" s="33" t="s">
        <v>287</v>
      </c>
      <c r="D16" s="34" t="n">
        <v>500</v>
      </c>
      <c r="E16" s="35" t="n">
        <f aca="false">③仙台以降予測!V30</f>
        <v>2489</v>
      </c>
      <c r="F16" s="35" t="n">
        <f aca="false">E16</f>
        <v>2489</v>
      </c>
      <c r="G16" s="35" t="n">
        <f aca="false">③仙台以降予測!I30</f>
        <v>524</v>
      </c>
      <c r="H16" s="35" t="n">
        <f aca="false">MAX(0,MIN(G16,F16))</f>
        <v>524</v>
      </c>
      <c r="I16" s="35" t="n">
        <f aca="false">G16-H16</f>
        <v>0</v>
      </c>
      <c r="J16" s="35" t="n">
        <f aca="false">F16-H16</f>
        <v>1965</v>
      </c>
      <c r="K16" s="35" t="n">
        <f aca="false">J16</f>
        <v>1965</v>
      </c>
      <c r="L16" s="35" t="n">
        <f aca="false">③仙台以降予測!J30</f>
        <v>483</v>
      </c>
      <c r="M16" s="35" t="n">
        <f aca="false">MAX(0,MIN(L16,K16))</f>
        <v>483</v>
      </c>
      <c r="N16" s="35" t="n">
        <f aca="false">L16-M16</f>
        <v>0</v>
      </c>
      <c r="O16" s="35" t="n">
        <f aca="false">K16-M16</f>
        <v>1482</v>
      </c>
      <c r="P16" s="35" t="n">
        <f aca="false">O16</f>
        <v>1482</v>
      </c>
      <c r="Q16" s="35" t="n">
        <f aca="false">③仙台以降予測!K30</f>
        <v>363</v>
      </c>
      <c r="R16" s="35" t="n">
        <f aca="false">MAX(0,MIN(Q16,P16))</f>
        <v>363</v>
      </c>
      <c r="S16" s="35" t="n">
        <f aca="false">Q16-R16</f>
        <v>0</v>
      </c>
      <c r="T16" s="35" t="n">
        <f aca="false">P16-R16</f>
        <v>1119</v>
      </c>
      <c r="U16" s="35" t="n">
        <f aca="false">T16</f>
        <v>1119</v>
      </c>
      <c r="V16" s="35" t="n">
        <f aca="false">③仙台以降予測!L30</f>
        <v>2014</v>
      </c>
      <c r="W16" s="35" t="n">
        <f aca="false">MAX(0,MIN(V16,U16))</f>
        <v>1119</v>
      </c>
      <c r="X16" s="35" t="n">
        <f aca="false">V16-W16</f>
        <v>895</v>
      </c>
      <c r="Y16" s="35" t="n">
        <f aca="false">U16-W16</f>
        <v>0</v>
      </c>
      <c r="Z16" s="35" t="n">
        <f aca="false">H16+M16+R16+W16</f>
        <v>2489</v>
      </c>
      <c r="AA16" s="35" t="n">
        <f aca="false">I16+N16+S16+X16</f>
        <v>895</v>
      </c>
      <c r="AB16" s="34" t="n">
        <f aca="false">Z16*D16</f>
        <v>1244500</v>
      </c>
      <c r="AC16" s="69" t="s">
        <v>1406</v>
      </c>
    </row>
    <row r="17" customFormat="false" ht="15" hidden="false" customHeight="false" outlineLevel="0" collapsed="false">
      <c r="A17" s="32" t="n">
        <v>2</v>
      </c>
      <c r="B17" s="32" t="s">
        <v>288</v>
      </c>
      <c r="C17" s="33" t="s">
        <v>289</v>
      </c>
      <c r="D17" s="34" t="n">
        <v>600</v>
      </c>
      <c r="E17" s="35" t="n">
        <f aca="false">③仙台以降予測!V31</f>
        <v>4170</v>
      </c>
      <c r="F17" s="35" t="n">
        <f aca="false">E17</f>
        <v>4170</v>
      </c>
      <c r="G17" s="35" t="n">
        <f aca="false">③仙台以降予測!I31</f>
        <v>591</v>
      </c>
      <c r="H17" s="35" t="n">
        <f aca="false">MAX(0,MIN(G17,F17))</f>
        <v>591</v>
      </c>
      <c r="I17" s="35" t="n">
        <f aca="false">G17-H17</f>
        <v>0</v>
      </c>
      <c r="J17" s="35" t="n">
        <f aca="false">F17-H17</f>
        <v>3579</v>
      </c>
      <c r="K17" s="35" t="n">
        <f aca="false">J17</f>
        <v>3579</v>
      </c>
      <c r="L17" s="35" t="n">
        <f aca="false">③仙台以降予測!J31</f>
        <v>545</v>
      </c>
      <c r="M17" s="35" t="n">
        <f aca="false">MAX(0,MIN(L17,K17))</f>
        <v>545</v>
      </c>
      <c r="N17" s="35" t="n">
        <f aca="false">L17-M17</f>
        <v>0</v>
      </c>
      <c r="O17" s="35" t="n">
        <f aca="false">K17-M17</f>
        <v>3034</v>
      </c>
      <c r="P17" s="35" t="n">
        <f aca="false">O17</f>
        <v>3034</v>
      </c>
      <c r="Q17" s="35" t="n">
        <f aca="false">③仙台以降予測!K31</f>
        <v>409</v>
      </c>
      <c r="R17" s="35" t="n">
        <f aca="false">MAX(0,MIN(Q17,P17))</f>
        <v>409</v>
      </c>
      <c r="S17" s="35" t="n">
        <f aca="false">Q17-R17</f>
        <v>0</v>
      </c>
      <c r="T17" s="35" t="n">
        <f aca="false">P17-R17</f>
        <v>2625</v>
      </c>
      <c r="U17" s="35" t="n">
        <f aca="false">T17</f>
        <v>2625</v>
      </c>
      <c r="V17" s="35" t="n">
        <f aca="false">③仙台以降予測!L31</f>
        <v>2273</v>
      </c>
      <c r="W17" s="35" t="n">
        <f aca="false">MAX(0,MIN(V17,U17))</f>
        <v>2273</v>
      </c>
      <c r="X17" s="35" t="n">
        <f aca="false">V17-W17</f>
        <v>0</v>
      </c>
      <c r="Y17" s="35" t="n">
        <f aca="false">U17-W17</f>
        <v>352</v>
      </c>
      <c r="Z17" s="35" t="n">
        <f aca="false">H17+M17+R17+W17</f>
        <v>3818</v>
      </c>
      <c r="AA17" s="35" t="n">
        <f aca="false">I17+N17+S17+X17</f>
        <v>0</v>
      </c>
      <c r="AB17" s="34" t="n">
        <f aca="false">Z17*D17</f>
        <v>2290800</v>
      </c>
      <c r="AC17" s="72"/>
    </row>
    <row r="18" customFormat="false" ht="15" hidden="false" customHeight="false" outlineLevel="0" collapsed="false">
      <c r="A18" s="32" t="n">
        <v>3</v>
      </c>
      <c r="B18" s="32" t="s">
        <v>290</v>
      </c>
      <c r="C18" s="33" t="s">
        <v>291</v>
      </c>
      <c r="D18" s="34" t="n">
        <v>1000</v>
      </c>
      <c r="E18" s="35" t="n">
        <f aca="false">③仙台以降予測!V32</f>
        <v>1857</v>
      </c>
      <c r="F18" s="35" t="n">
        <f aca="false">E18</f>
        <v>1857</v>
      </c>
      <c r="G18" s="35" t="n">
        <f aca="false">③仙台以降予測!I32</f>
        <v>200</v>
      </c>
      <c r="H18" s="35" t="n">
        <f aca="false">MAX(0,MIN(G18,F18))</f>
        <v>200</v>
      </c>
      <c r="I18" s="35" t="n">
        <f aca="false">G18-H18</f>
        <v>0</v>
      </c>
      <c r="J18" s="35" t="n">
        <f aca="false">F18-H18</f>
        <v>1657</v>
      </c>
      <c r="K18" s="35" t="n">
        <f aca="false">J18</f>
        <v>1657</v>
      </c>
      <c r="L18" s="35" t="n">
        <f aca="false">③仙台以降予測!J32</f>
        <v>184</v>
      </c>
      <c r="M18" s="35" t="n">
        <f aca="false">MAX(0,MIN(L18,K18))</f>
        <v>184</v>
      </c>
      <c r="N18" s="35" t="n">
        <f aca="false">L18-M18</f>
        <v>0</v>
      </c>
      <c r="O18" s="35" t="n">
        <f aca="false">K18-M18</f>
        <v>1473</v>
      </c>
      <c r="P18" s="35" t="n">
        <f aca="false">O18</f>
        <v>1473</v>
      </c>
      <c r="Q18" s="35" t="n">
        <f aca="false">③仙台以降予測!K32</f>
        <v>138</v>
      </c>
      <c r="R18" s="35" t="n">
        <f aca="false">MAX(0,MIN(Q18,P18))</f>
        <v>138</v>
      </c>
      <c r="S18" s="35" t="n">
        <f aca="false">Q18-R18</f>
        <v>0</v>
      </c>
      <c r="T18" s="35" t="n">
        <f aca="false">P18-R18</f>
        <v>1335</v>
      </c>
      <c r="U18" s="35" t="n">
        <f aca="false">T18</f>
        <v>1335</v>
      </c>
      <c r="V18" s="35" t="n">
        <f aca="false">③仙台以降予測!L32</f>
        <v>769</v>
      </c>
      <c r="W18" s="35" t="n">
        <f aca="false">MAX(0,MIN(V18,U18))</f>
        <v>769</v>
      </c>
      <c r="X18" s="35" t="n">
        <f aca="false">V18-W18</f>
        <v>0</v>
      </c>
      <c r="Y18" s="35" t="n">
        <f aca="false">U18-W18</f>
        <v>566</v>
      </c>
      <c r="Z18" s="35" t="n">
        <f aca="false">H18+M18+R18+W18</f>
        <v>1291</v>
      </c>
      <c r="AA18" s="35" t="n">
        <f aca="false">I18+N18+S18+X18</f>
        <v>0</v>
      </c>
      <c r="AB18" s="34" t="n">
        <f aca="false">Z18*D18</f>
        <v>1291000</v>
      </c>
      <c r="AC18" s="72"/>
    </row>
    <row r="19" customFormat="false" ht="15" hidden="false" customHeight="false" outlineLevel="0" collapsed="false">
      <c r="A19" s="32" t="n">
        <v>4</v>
      </c>
      <c r="B19" s="32" t="s">
        <v>292</v>
      </c>
      <c r="C19" s="33" t="s">
        <v>293</v>
      </c>
      <c r="D19" s="34" t="n">
        <v>1800</v>
      </c>
      <c r="E19" s="35" t="n">
        <f aca="false">③仙台以降予測!V33</f>
        <v>3153</v>
      </c>
      <c r="F19" s="35" t="n">
        <f aca="false">E19</f>
        <v>3153</v>
      </c>
      <c r="G19" s="35" t="n">
        <f aca="false">③仙台以降予測!I33</f>
        <v>246</v>
      </c>
      <c r="H19" s="35" t="n">
        <f aca="false">MAX(0,MIN(G19,F19))</f>
        <v>246</v>
      </c>
      <c r="I19" s="35" t="n">
        <f aca="false">G19-H19</f>
        <v>0</v>
      </c>
      <c r="J19" s="35" t="n">
        <f aca="false">F19-H19</f>
        <v>2907</v>
      </c>
      <c r="K19" s="35" t="n">
        <f aca="false">J19</f>
        <v>2907</v>
      </c>
      <c r="L19" s="35" t="n">
        <f aca="false">③仙台以降予測!J33</f>
        <v>227</v>
      </c>
      <c r="M19" s="35" t="n">
        <f aca="false">MAX(0,MIN(L19,K19))</f>
        <v>227</v>
      </c>
      <c r="N19" s="35" t="n">
        <f aca="false">L19-M19</f>
        <v>0</v>
      </c>
      <c r="O19" s="35" t="n">
        <f aca="false">K19-M19</f>
        <v>2680</v>
      </c>
      <c r="P19" s="35" t="n">
        <f aca="false">O19</f>
        <v>2680</v>
      </c>
      <c r="Q19" s="35" t="n">
        <f aca="false">③仙台以降予測!K33</f>
        <v>171</v>
      </c>
      <c r="R19" s="35" t="n">
        <f aca="false">MAX(0,MIN(Q19,P19))</f>
        <v>171</v>
      </c>
      <c r="S19" s="35" t="n">
        <f aca="false">Q19-R19</f>
        <v>0</v>
      </c>
      <c r="T19" s="35" t="n">
        <f aca="false">P19-R19</f>
        <v>2509</v>
      </c>
      <c r="U19" s="35" t="n">
        <f aca="false">T19</f>
        <v>2509</v>
      </c>
      <c r="V19" s="35" t="n">
        <f aca="false">③仙台以降予測!L33</f>
        <v>947</v>
      </c>
      <c r="W19" s="35" t="n">
        <f aca="false">MAX(0,MIN(V19,U19))</f>
        <v>947</v>
      </c>
      <c r="X19" s="35" t="n">
        <f aca="false">V19-W19</f>
        <v>0</v>
      </c>
      <c r="Y19" s="35" t="n">
        <f aca="false">U19-W19</f>
        <v>1562</v>
      </c>
      <c r="Z19" s="35" t="n">
        <f aca="false">H19+M19+R19+W19</f>
        <v>1591</v>
      </c>
      <c r="AA19" s="35" t="n">
        <f aca="false">I19+N19+S19+X19</f>
        <v>0</v>
      </c>
      <c r="AB19" s="34" t="n">
        <f aca="false">Z19*D19</f>
        <v>2863800</v>
      </c>
      <c r="AC19" s="72"/>
    </row>
    <row r="20" customFormat="false" ht="15" hidden="false" customHeight="false" outlineLevel="0" collapsed="false">
      <c r="A20" s="32" t="n">
        <v>5</v>
      </c>
      <c r="B20" s="32" t="s">
        <v>294</v>
      </c>
      <c r="C20" s="33" t="s">
        <v>295</v>
      </c>
      <c r="D20" s="34" t="n">
        <v>600</v>
      </c>
      <c r="E20" s="35" t="n">
        <f aca="false">③仙台以降予測!V34</f>
        <v>39392</v>
      </c>
      <c r="F20" s="35" t="n">
        <f aca="false">E20</f>
        <v>39392</v>
      </c>
      <c r="G20" s="35" t="n">
        <f aca="false">③仙台以降予測!I34</f>
        <v>491</v>
      </c>
      <c r="H20" s="35" t="n">
        <f aca="false">MAX(0,MIN(G20,F20))</f>
        <v>491</v>
      </c>
      <c r="I20" s="35" t="n">
        <f aca="false">G20-H20</f>
        <v>0</v>
      </c>
      <c r="J20" s="35" t="n">
        <f aca="false">F20-H20</f>
        <v>38901</v>
      </c>
      <c r="K20" s="35" t="n">
        <f aca="false">J20</f>
        <v>38901</v>
      </c>
      <c r="L20" s="35" t="n">
        <f aca="false">③仙台以降予測!J34</f>
        <v>453</v>
      </c>
      <c r="M20" s="35" t="n">
        <f aca="false">MAX(0,MIN(L20,K20))</f>
        <v>453</v>
      </c>
      <c r="N20" s="35" t="n">
        <f aca="false">L20-M20</f>
        <v>0</v>
      </c>
      <c r="O20" s="35" t="n">
        <f aca="false">K20-M20</f>
        <v>38448</v>
      </c>
      <c r="P20" s="35" t="n">
        <f aca="false">O20</f>
        <v>38448</v>
      </c>
      <c r="Q20" s="35" t="n">
        <f aca="false">③仙台以降予測!K34</f>
        <v>340</v>
      </c>
      <c r="R20" s="35" t="n">
        <f aca="false">MAX(0,MIN(Q20,P20))</f>
        <v>340</v>
      </c>
      <c r="S20" s="35" t="n">
        <f aca="false">Q20-R20</f>
        <v>0</v>
      </c>
      <c r="T20" s="35" t="n">
        <f aca="false">P20-R20</f>
        <v>38108</v>
      </c>
      <c r="U20" s="35" t="n">
        <f aca="false">T20</f>
        <v>38108</v>
      </c>
      <c r="V20" s="35" t="n">
        <f aca="false">③仙台以降予測!L34</f>
        <v>1889</v>
      </c>
      <c r="W20" s="35" t="n">
        <f aca="false">MAX(0,MIN(V20,U20))</f>
        <v>1889</v>
      </c>
      <c r="X20" s="35" t="n">
        <f aca="false">V20-W20</f>
        <v>0</v>
      </c>
      <c r="Y20" s="35" t="n">
        <f aca="false">U20-W20</f>
        <v>36219</v>
      </c>
      <c r="Z20" s="35" t="n">
        <f aca="false">H20+M20+R20+W20</f>
        <v>3173</v>
      </c>
      <c r="AA20" s="35" t="n">
        <f aca="false">I20+N20+S20+X20</f>
        <v>0</v>
      </c>
      <c r="AB20" s="34" t="n">
        <f aca="false">Z20*D20</f>
        <v>1903800</v>
      </c>
      <c r="AC20" s="72"/>
    </row>
    <row r="21" customFormat="false" ht="15" hidden="false" customHeight="false" outlineLevel="0" collapsed="false">
      <c r="A21" s="32" t="n">
        <v>6</v>
      </c>
      <c r="B21" s="32" t="s">
        <v>296</v>
      </c>
      <c r="C21" s="33" t="s">
        <v>297</v>
      </c>
      <c r="D21" s="34" t="n">
        <v>600</v>
      </c>
      <c r="E21" s="35" t="n">
        <f aca="false">③仙台以降予測!V35</f>
        <v>50228</v>
      </c>
      <c r="F21" s="35" t="n">
        <f aca="false">E21</f>
        <v>50228</v>
      </c>
      <c r="G21" s="35" t="n">
        <f aca="false">③仙台以降予測!I35</f>
        <v>1082</v>
      </c>
      <c r="H21" s="35" t="n">
        <f aca="false">MAX(0,MIN(G21,F21))</f>
        <v>1082</v>
      </c>
      <c r="I21" s="35" t="n">
        <f aca="false">G21-H21</f>
        <v>0</v>
      </c>
      <c r="J21" s="35" t="n">
        <f aca="false">F21-H21</f>
        <v>49146</v>
      </c>
      <c r="K21" s="35" t="n">
        <f aca="false">J21</f>
        <v>49146</v>
      </c>
      <c r="L21" s="35" t="n">
        <f aca="false">③仙台以降予測!J35</f>
        <v>999</v>
      </c>
      <c r="M21" s="35" t="n">
        <f aca="false">MAX(0,MIN(L21,K21))</f>
        <v>999</v>
      </c>
      <c r="N21" s="35" t="n">
        <f aca="false">L21-M21</f>
        <v>0</v>
      </c>
      <c r="O21" s="35" t="n">
        <f aca="false">K21-M21</f>
        <v>48147</v>
      </c>
      <c r="P21" s="35" t="n">
        <f aca="false">O21</f>
        <v>48147</v>
      </c>
      <c r="Q21" s="35" t="n">
        <f aca="false">③仙台以降予測!K35</f>
        <v>749</v>
      </c>
      <c r="R21" s="35" t="n">
        <f aca="false">MAX(0,MIN(Q21,P21))</f>
        <v>749</v>
      </c>
      <c r="S21" s="35" t="n">
        <f aca="false">Q21-R21</f>
        <v>0</v>
      </c>
      <c r="T21" s="35" t="n">
        <f aca="false">P21-R21</f>
        <v>47398</v>
      </c>
      <c r="U21" s="35" t="n">
        <f aca="false">T21</f>
        <v>47398</v>
      </c>
      <c r="V21" s="35" t="n">
        <f aca="false">③仙台以降予測!L35</f>
        <v>4161</v>
      </c>
      <c r="W21" s="35" t="n">
        <f aca="false">MAX(0,MIN(V21,U21))</f>
        <v>4161</v>
      </c>
      <c r="X21" s="35" t="n">
        <f aca="false">V21-W21</f>
        <v>0</v>
      </c>
      <c r="Y21" s="35" t="n">
        <f aca="false">U21-W21</f>
        <v>43237</v>
      </c>
      <c r="Z21" s="35" t="n">
        <f aca="false">H21+M21+R21+W21</f>
        <v>6991</v>
      </c>
      <c r="AA21" s="35" t="n">
        <f aca="false">I21+N21+S21+X21</f>
        <v>0</v>
      </c>
      <c r="AB21" s="34" t="n">
        <f aca="false">Z21*D21</f>
        <v>4194600</v>
      </c>
      <c r="AC21" s="72"/>
    </row>
    <row r="22" customFormat="false" ht="15" hidden="false" customHeight="false" outlineLevel="0" collapsed="false">
      <c r="A22" s="32" t="n">
        <v>7</v>
      </c>
      <c r="B22" s="32" t="s">
        <v>298</v>
      </c>
      <c r="C22" s="33" t="s">
        <v>299</v>
      </c>
      <c r="D22" s="34" t="n">
        <v>600</v>
      </c>
      <c r="E22" s="35" t="n">
        <f aca="false">③仙台以降予測!V36</f>
        <v>4249</v>
      </c>
      <c r="F22" s="35" t="n">
        <f aca="false">E22</f>
        <v>4249</v>
      </c>
      <c r="G22" s="35" t="n">
        <f aca="false">③仙台以降予測!I36</f>
        <v>253</v>
      </c>
      <c r="H22" s="35" t="n">
        <f aca="false">MAX(0,MIN(G22,F22))</f>
        <v>253</v>
      </c>
      <c r="I22" s="35" t="n">
        <f aca="false">G22-H22</f>
        <v>0</v>
      </c>
      <c r="J22" s="35" t="n">
        <f aca="false">F22-H22</f>
        <v>3996</v>
      </c>
      <c r="K22" s="35" t="n">
        <f aca="false">J22</f>
        <v>3996</v>
      </c>
      <c r="L22" s="35" t="n">
        <f aca="false">③仙台以降予測!J36</f>
        <v>234</v>
      </c>
      <c r="M22" s="35" t="n">
        <f aca="false">MAX(0,MIN(L22,K22))</f>
        <v>234</v>
      </c>
      <c r="N22" s="35" t="n">
        <f aca="false">L22-M22</f>
        <v>0</v>
      </c>
      <c r="O22" s="35" t="n">
        <f aca="false">K22-M22</f>
        <v>3762</v>
      </c>
      <c r="P22" s="35" t="n">
        <f aca="false">O22</f>
        <v>3762</v>
      </c>
      <c r="Q22" s="35" t="n">
        <f aca="false">③仙台以降予測!K36</f>
        <v>175</v>
      </c>
      <c r="R22" s="35" t="n">
        <f aca="false">MAX(0,MIN(Q22,P22))</f>
        <v>175</v>
      </c>
      <c r="S22" s="35" t="n">
        <f aca="false">Q22-R22</f>
        <v>0</v>
      </c>
      <c r="T22" s="35" t="n">
        <f aca="false">P22-R22</f>
        <v>3587</v>
      </c>
      <c r="U22" s="35" t="n">
        <f aca="false">T22</f>
        <v>3587</v>
      </c>
      <c r="V22" s="35" t="n">
        <f aca="false">③仙台以降予測!L36</f>
        <v>973</v>
      </c>
      <c r="W22" s="35" t="n">
        <f aca="false">MAX(0,MIN(V22,U22))</f>
        <v>973</v>
      </c>
      <c r="X22" s="35" t="n">
        <f aca="false">V22-W22</f>
        <v>0</v>
      </c>
      <c r="Y22" s="35" t="n">
        <f aca="false">U22-W22</f>
        <v>2614</v>
      </c>
      <c r="Z22" s="35" t="n">
        <f aca="false">H22+M22+R22+W22</f>
        <v>1635</v>
      </c>
      <c r="AA22" s="35" t="n">
        <f aca="false">I22+N22+S22+X22</f>
        <v>0</v>
      </c>
      <c r="AB22" s="34" t="n">
        <f aca="false">Z22*D22</f>
        <v>981000</v>
      </c>
      <c r="AC22" s="72"/>
    </row>
    <row r="23" customFormat="false" ht="15" hidden="false" customHeight="false" outlineLevel="0" collapsed="false">
      <c r="A23" s="32" t="n">
        <v>8</v>
      </c>
      <c r="B23" s="32" t="s">
        <v>300</v>
      </c>
      <c r="C23" s="33" t="s">
        <v>301</v>
      </c>
      <c r="D23" s="34" t="n">
        <v>600</v>
      </c>
      <c r="E23" s="35" t="n">
        <f aca="false">③仙台以降予測!V37</f>
        <v>8034</v>
      </c>
      <c r="F23" s="35" t="n">
        <f aca="false">E23</f>
        <v>8034</v>
      </c>
      <c r="G23" s="35" t="n">
        <f aca="false">③仙台以降予測!I37</f>
        <v>419</v>
      </c>
      <c r="H23" s="35" t="n">
        <f aca="false">MAX(0,MIN(G23,F23))</f>
        <v>419</v>
      </c>
      <c r="I23" s="35" t="n">
        <f aca="false">G23-H23</f>
        <v>0</v>
      </c>
      <c r="J23" s="35" t="n">
        <f aca="false">F23-H23</f>
        <v>7615</v>
      </c>
      <c r="K23" s="35" t="n">
        <f aca="false">J23</f>
        <v>7615</v>
      </c>
      <c r="L23" s="35" t="n">
        <f aca="false">③仙台以降予測!J37</f>
        <v>387</v>
      </c>
      <c r="M23" s="35" t="n">
        <f aca="false">MAX(0,MIN(L23,K23))</f>
        <v>387</v>
      </c>
      <c r="N23" s="35" t="n">
        <f aca="false">L23-M23</f>
        <v>0</v>
      </c>
      <c r="O23" s="35" t="n">
        <f aca="false">K23-M23</f>
        <v>7228</v>
      </c>
      <c r="P23" s="35" t="n">
        <f aca="false">O23</f>
        <v>7228</v>
      </c>
      <c r="Q23" s="35" t="n">
        <f aca="false">③仙台以降予測!K37</f>
        <v>290</v>
      </c>
      <c r="R23" s="35" t="n">
        <f aca="false">MAX(0,MIN(Q23,P23))</f>
        <v>290</v>
      </c>
      <c r="S23" s="35" t="n">
        <f aca="false">Q23-R23</f>
        <v>0</v>
      </c>
      <c r="T23" s="35" t="n">
        <f aca="false">P23-R23</f>
        <v>6938</v>
      </c>
      <c r="U23" s="35" t="n">
        <f aca="false">T23</f>
        <v>6938</v>
      </c>
      <c r="V23" s="35" t="n">
        <f aca="false">③仙台以降予測!L37</f>
        <v>1611</v>
      </c>
      <c r="W23" s="35" t="n">
        <f aca="false">MAX(0,MIN(V23,U23))</f>
        <v>1611</v>
      </c>
      <c r="X23" s="35" t="n">
        <f aca="false">V23-W23</f>
        <v>0</v>
      </c>
      <c r="Y23" s="35" t="n">
        <f aca="false">U23-W23</f>
        <v>5327</v>
      </c>
      <c r="Z23" s="35" t="n">
        <f aca="false">H23+M23+R23+W23</f>
        <v>2707</v>
      </c>
      <c r="AA23" s="35" t="n">
        <f aca="false">I23+N23+S23+X23</f>
        <v>0</v>
      </c>
      <c r="AB23" s="34" t="n">
        <f aca="false">Z23*D23</f>
        <v>1624200</v>
      </c>
      <c r="AC23" s="72"/>
    </row>
    <row r="24" customFormat="false" ht="15" hidden="false" customHeight="false" outlineLevel="0" collapsed="false">
      <c r="A24" s="32" t="n">
        <v>9</v>
      </c>
      <c r="B24" s="32" t="s">
        <v>302</v>
      </c>
      <c r="C24" s="33" t="s">
        <v>303</v>
      </c>
      <c r="D24" s="34" t="n">
        <v>600</v>
      </c>
      <c r="E24" s="35" t="n">
        <f aca="false">③仙台以降予測!V38</f>
        <v>8547</v>
      </c>
      <c r="F24" s="35" t="n">
        <f aca="false">E24</f>
        <v>8547</v>
      </c>
      <c r="G24" s="35" t="n">
        <f aca="false">③仙台以降予測!I38</f>
        <v>133</v>
      </c>
      <c r="H24" s="35" t="n">
        <f aca="false">MAX(0,MIN(G24,F24))</f>
        <v>133</v>
      </c>
      <c r="I24" s="35" t="n">
        <f aca="false">G24-H24</f>
        <v>0</v>
      </c>
      <c r="J24" s="35" t="n">
        <f aca="false">F24-H24</f>
        <v>8414</v>
      </c>
      <c r="K24" s="35" t="n">
        <f aca="false">J24</f>
        <v>8414</v>
      </c>
      <c r="L24" s="35" t="n">
        <f aca="false">③仙台以降予測!J38</f>
        <v>123</v>
      </c>
      <c r="M24" s="35" t="n">
        <f aca="false">MAX(0,MIN(L24,K24))</f>
        <v>123</v>
      </c>
      <c r="N24" s="35" t="n">
        <f aca="false">L24-M24</f>
        <v>0</v>
      </c>
      <c r="O24" s="35" t="n">
        <f aca="false">K24-M24</f>
        <v>8291</v>
      </c>
      <c r="P24" s="35" t="n">
        <f aca="false">O24</f>
        <v>8291</v>
      </c>
      <c r="Q24" s="35" t="n">
        <f aca="false">③仙台以降予測!K38</f>
        <v>92</v>
      </c>
      <c r="R24" s="35" t="n">
        <f aca="false">MAX(0,MIN(Q24,P24))</f>
        <v>92</v>
      </c>
      <c r="S24" s="35" t="n">
        <f aca="false">Q24-R24</f>
        <v>0</v>
      </c>
      <c r="T24" s="35" t="n">
        <f aca="false">P24-R24</f>
        <v>8199</v>
      </c>
      <c r="U24" s="35" t="n">
        <f aca="false">T24</f>
        <v>8199</v>
      </c>
      <c r="V24" s="35" t="n">
        <f aca="false">③仙台以降予測!L38</f>
        <v>512</v>
      </c>
      <c r="W24" s="35" t="n">
        <f aca="false">MAX(0,MIN(V24,U24))</f>
        <v>512</v>
      </c>
      <c r="X24" s="35" t="n">
        <f aca="false">V24-W24</f>
        <v>0</v>
      </c>
      <c r="Y24" s="35" t="n">
        <f aca="false">U24-W24</f>
        <v>7687</v>
      </c>
      <c r="Z24" s="35" t="n">
        <f aca="false">H24+M24+R24+W24</f>
        <v>860</v>
      </c>
      <c r="AA24" s="35" t="n">
        <f aca="false">I24+N24+S24+X24</f>
        <v>0</v>
      </c>
      <c r="AB24" s="34" t="n">
        <f aca="false">Z24*D24</f>
        <v>516000</v>
      </c>
      <c r="AC24" s="72"/>
    </row>
    <row r="25" customFormat="false" ht="15" hidden="false" customHeight="false" outlineLevel="0" collapsed="false">
      <c r="A25" s="32" t="n">
        <v>10</v>
      </c>
      <c r="B25" s="32" t="s">
        <v>304</v>
      </c>
      <c r="C25" s="33" t="s">
        <v>305</v>
      </c>
      <c r="D25" s="34" t="n">
        <v>600</v>
      </c>
      <c r="E25" s="35" t="n">
        <f aca="false">③仙台以降予測!V39</f>
        <v>4856</v>
      </c>
      <c r="F25" s="35" t="n">
        <f aca="false">E25</f>
        <v>4856</v>
      </c>
      <c r="G25" s="35" t="n">
        <f aca="false">③仙台以降予測!I39</f>
        <v>50</v>
      </c>
      <c r="H25" s="35" t="n">
        <f aca="false">MAX(0,MIN(G25,F25))</f>
        <v>50</v>
      </c>
      <c r="I25" s="35" t="n">
        <f aca="false">G25-H25</f>
        <v>0</v>
      </c>
      <c r="J25" s="35" t="n">
        <f aca="false">F25-H25</f>
        <v>4806</v>
      </c>
      <c r="K25" s="35" t="n">
        <f aca="false">J25</f>
        <v>4806</v>
      </c>
      <c r="L25" s="35" t="n">
        <f aca="false">③仙台以降予測!J39</f>
        <v>46</v>
      </c>
      <c r="M25" s="35" t="n">
        <f aca="false">MAX(0,MIN(L25,K25))</f>
        <v>46</v>
      </c>
      <c r="N25" s="35" t="n">
        <f aca="false">L25-M25</f>
        <v>0</v>
      </c>
      <c r="O25" s="35" t="n">
        <f aca="false">K25-M25</f>
        <v>4760</v>
      </c>
      <c r="P25" s="35" t="n">
        <f aca="false">O25</f>
        <v>4760</v>
      </c>
      <c r="Q25" s="35" t="n">
        <f aca="false">③仙台以降予測!K39</f>
        <v>35</v>
      </c>
      <c r="R25" s="35" t="n">
        <f aca="false">MAX(0,MIN(Q25,P25))</f>
        <v>35</v>
      </c>
      <c r="S25" s="35" t="n">
        <f aca="false">Q25-R25</f>
        <v>0</v>
      </c>
      <c r="T25" s="35" t="n">
        <f aca="false">P25-R25</f>
        <v>4725</v>
      </c>
      <c r="U25" s="35" t="n">
        <f aca="false">T25</f>
        <v>4725</v>
      </c>
      <c r="V25" s="35" t="n">
        <f aca="false">③仙台以降予測!L39</f>
        <v>193</v>
      </c>
      <c r="W25" s="35" t="n">
        <f aca="false">MAX(0,MIN(V25,U25))</f>
        <v>193</v>
      </c>
      <c r="X25" s="35" t="n">
        <f aca="false">V25-W25</f>
        <v>0</v>
      </c>
      <c r="Y25" s="35" t="n">
        <f aca="false">U25-W25</f>
        <v>4532</v>
      </c>
      <c r="Z25" s="35" t="n">
        <f aca="false">H25+M25+R25+W25</f>
        <v>324</v>
      </c>
      <c r="AA25" s="35" t="n">
        <f aca="false">I25+N25+S25+X25</f>
        <v>0</v>
      </c>
      <c r="AB25" s="34" t="n">
        <f aca="false">Z25*D25</f>
        <v>194400</v>
      </c>
      <c r="AC25" s="72"/>
    </row>
    <row r="26" customFormat="false" ht="15" hidden="false" customHeight="false" outlineLevel="0" collapsed="false">
      <c r="A26" s="32" t="n">
        <v>11</v>
      </c>
      <c r="B26" s="32" t="s">
        <v>306</v>
      </c>
      <c r="C26" s="33" t="s">
        <v>307</v>
      </c>
      <c r="D26" s="34" t="n">
        <v>600</v>
      </c>
      <c r="E26" s="35" t="n">
        <f aca="false">③仙台以降予測!V40</f>
        <v>609</v>
      </c>
      <c r="F26" s="35" t="n">
        <f aca="false">E26</f>
        <v>609</v>
      </c>
      <c r="G26" s="35" t="n">
        <f aca="false">③仙台以降予測!I40</f>
        <v>19</v>
      </c>
      <c r="H26" s="35" t="n">
        <f aca="false">MAX(0,MIN(G26,F26))</f>
        <v>19</v>
      </c>
      <c r="I26" s="35" t="n">
        <f aca="false">G26-H26</f>
        <v>0</v>
      </c>
      <c r="J26" s="35" t="n">
        <f aca="false">F26-H26</f>
        <v>590</v>
      </c>
      <c r="K26" s="35" t="n">
        <f aca="false">J26</f>
        <v>590</v>
      </c>
      <c r="L26" s="35" t="n">
        <f aca="false">③仙台以降予測!J40</f>
        <v>17</v>
      </c>
      <c r="M26" s="35" t="n">
        <f aca="false">MAX(0,MIN(L26,K26))</f>
        <v>17</v>
      </c>
      <c r="N26" s="35" t="n">
        <f aca="false">L26-M26</f>
        <v>0</v>
      </c>
      <c r="O26" s="35" t="n">
        <f aca="false">K26-M26</f>
        <v>573</v>
      </c>
      <c r="P26" s="35" t="n">
        <f aca="false">O26</f>
        <v>573</v>
      </c>
      <c r="Q26" s="35" t="n">
        <f aca="false">③仙台以降予測!K40</f>
        <v>13</v>
      </c>
      <c r="R26" s="35" t="n">
        <f aca="false">MAX(0,MIN(Q26,P26))</f>
        <v>13</v>
      </c>
      <c r="S26" s="35" t="n">
        <f aca="false">Q26-R26</f>
        <v>0</v>
      </c>
      <c r="T26" s="35" t="n">
        <f aca="false">P26-R26</f>
        <v>560</v>
      </c>
      <c r="U26" s="35" t="n">
        <f aca="false">T26</f>
        <v>560</v>
      </c>
      <c r="V26" s="35" t="n">
        <f aca="false">③仙台以降予測!L40</f>
        <v>72</v>
      </c>
      <c r="W26" s="35" t="n">
        <f aca="false">MAX(0,MIN(V26,U26))</f>
        <v>72</v>
      </c>
      <c r="X26" s="35" t="n">
        <f aca="false">V26-W26</f>
        <v>0</v>
      </c>
      <c r="Y26" s="35" t="n">
        <f aca="false">U26-W26</f>
        <v>488</v>
      </c>
      <c r="Z26" s="35" t="n">
        <f aca="false">H26+M26+R26+W26</f>
        <v>121</v>
      </c>
      <c r="AA26" s="35" t="n">
        <f aca="false">I26+N26+S26+X26</f>
        <v>0</v>
      </c>
      <c r="AB26" s="34" t="n">
        <f aca="false">Z26*D26</f>
        <v>72600</v>
      </c>
      <c r="AC26" s="72"/>
    </row>
    <row r="27" customFormat="false" ht="15" hidden="false" customHeight="false" outlineLevel="0" collapsed="false">
      <c r="A27" s="32" t="n">
        <v>12</v>
      </c>
      <c r="B27" s="32" t="s">
        <v>308</v>
      </c>
      <c r="C27" s="33" t="s">
        <v>309</v>
      </c>
      <c r="D27" s="34" t="n">
        <v>600</v>
      </c>
      <c r="E27" s="35" t="n">
        <f aca="false">③仙台以降予測!V41</f>
        <v>891</v>
      </c>
      <c r="F27" s="35" t="n">
        <f aca="false">E27</f>
        <v>891</v>
      </c>
      <c r="G27" s="35" t="n">
        <f aca="false">③仙台以降予測!I41</f>
        <v>39</v>
      </c>
      <c r="H27" s="35" t="n">
        <f aca="false">MAX(0,MIN(G27,F27))</f>
        <v>39</v>
      </c>
      <c r="I27" s="35" t="n">
        <f aca="false">G27-H27</f>
        <v>0</v>
      </c>
      <c r="J27" s="35" t="n">
        <f aca="false">F27-H27</f>
        <v>852</v>
      </c>
      <c r="K27" s="35" t="n">
        <f aca="false">J27</f>
        <v>852</v>
      </c>
      <c r="L27" s="35" t="n">
        <f aca="false">③仙台以降予測!J41</f>
        <v>36</v>
      </c>
      <c r="M27" s="35" t="n">
        <f aca="false">MAX(0,MIN(L27,K27))</f>
        <v>36</v>
      </c>
      <c r="N27" s="35" t="n">
        <f aca="false">L27-M27</f>
        <v>0</v>
      </c>
      <c r="O27" s="35" t="n">
        <f aca="false">K27-M27</f>
        <v>816</v>
      </c>
      <c r="P27" s="35" t="n">
        <f aca="false">O27</f>
        <v>816</v>
      </c>
      <c r="Q27" s="35" t="n">
        <f aca="false">③仙台以降予測!K41</f>
        <v>27</v>
      </c>
      <c r="R27" s="35" t="n">
        <f aca="false">MAX(0,MIN(Q27,P27))</f>
        <v>27</v>
      </c>
      <c r="S27" s="35" t="n">
        <f aca="false">Q27-R27</f>
        <v>0</v>
      </c>
      <c r="T27" s="35" t="n">
        <f aca="false">P27-R27</f>
        <v>789</v>
      </c>
      <c r="U27" s="35" t="n">
        <f aca="false">T27</f>
        <v>789</v>
      </c>
      <c r="V27" s="35" t="n">
        <f aca="false">③仙台以降予測!L41</f>
        <v>149</v>
      </c>
      <c r="W27" s="35" t="n">
        <f aca="false">MAX(0,MIN(V27,U27))</f>
        <v>149</v>
      </c>
      <c r="X27" s="35" t="n">
        <f aca="false">V27-W27</f>
        <v>0</v>
      </c>
      <c r="Y27" s="35" t="n">
        <f aca="false">U27-W27</f>
        <v>640</v>
      </c>
      <c r="Z27" s="35" t="n">
        <f aca="false">H27+M27+R27+W27</f>
        <v>251</v>
      </c>
      <c r="AA27" s="35" t="n">
        <f aca="false">I27+N27+S27+X27</f>
        <v>0</v>
      </c>
      <c r="AB27" s="34" t="n">
        <f aca="false">Z27*D27</f>
        <v>150600</v>
      </c>
      <c r="AC27" s="72"/>
    </row>
    <row r="28" customFormat="false" ht="15" hidden="false" customHeight="false" outlineLevel="0" collapsed="false">
      <c r="A28" s="32" t="n">
        <v>13</v>
      </c>
      <c r="B28" s="32" t="s">
        <v>310</v>
      </c>
      <c r="C28" s="33" t="s">
        <v>311</v>
      </c>
      <c r="D28" s="34" t="n">
        <v>600</v>
      </c>
      <c r="E28" s="35" t="n">
        <f aca="false">③仙台以降予測!V42</f>
        <v>305</v>
      </c>
      <c r="F28" s="35" t="n">
        <f aca="false">E28</f>
        <v>305</v>
      </c>
      <c r="G28" s="35" t="n">
        <f aca="false">③仙台以降予測!I42</f>
        <v>10</v>
      </c>
      <c r="H28" s="35" t="n">
        <f aca="false">MAX(0,MIN(G28,F28))</f>
        <v>10</v>
      </c>
      <c r="I28" s="35" t="n">
        <f aca="false">G28-H28</f>
        <v>0</v>
      </c>
      <c r="J28" s="35" t="n">
        <f aca="false">F28-H28</f>
        <v>295</v>
      </c>
      <c r="K28" s="35" t="n">
        <f aca="false">J28</f>
        <v>295</v>
      </c>
      <c r="L28" s="35" t="n">
        <f aca="false">③仙台以降予測!J42</f>
        <v>9</v>
      </c>
      <c r="M28" s="35" t="n">
        <f aca="false">MAX(0,MIN(L28,K28))</f>
        <v>9</v>
      </c>
      <c r="N28" s="35" t="n">
        <f aca="false">L28-M28</f>
        <v>0</v>
      </c>
      <c r="O28" s="35" t="n">
        <f aca="false">K28-M28</f>
        <v>286</v>
      </c>
      <c r="P28" s="35" t="n">
        <f aca="false">O28</f>
        <v>286</v>
      </c>
      <c r="Q28" s="35" t="n">
        <f aca="false">③仙台以降予測!K42</f>
        <v>7</v>
      </c>
      <c r="R28" s="35" t="n">
        <f aca="false">MAX(0,MIN(Q28,P28))</f>
        <v>7</v>
      </c>
      <c r="S28" s="35" t="n">
        <f aca="false">Q28-R28</f>
        <v>0</v>
      </c>
      <c r="T28" s="35" t="n">
        <f aca="false">P28-R28</f>
        <v>279</v>
      </c>
      <c r="U28" s="35" t="n">
        <f aca="false">T28</f>
        <v>279</v>
      </c>
      <c r="V28" s="35" t="n">
        <f aca="false">③仙台以降予測!L42</f>
        <v>38</v>
      </c>
      <c r="W28" s="35" t="n">
        <f aca="false">MAX(0,MIN(V28,U28))</f>
        <v>38</v>
      </c>
      <c r="X28" s="35" t="n">
        <f aca="false">V28-W28</f>
        <v>0</v>
      </c>
      <c r="Y28" s="35" t="n">
        <f aca="false">U28-W28</f>
        <v>241</v>
      </c>
      <c r="Z28" s="35" t="n">
        <f aca="false">H28+M28+R28+W28</f>
        <v>64</v>
      </c>
      <c r="AA28" s="35" t="n">
        <f aca="false">I28+N28+S28+X28</f>
        <v>0</v>
      </c>
      <c r="AB28" s="34" t="n">
        <f aca="false">Z28*D28</f>
        <v>38400</v>
      </c>
      <c r="AC28" s="72"/>
    </row>
    <row r="29" customFormat="false" ht="15" hidden="false" customHeight="false" outlineLevel="0" collapsed="false">
      <c r="A29" s="32" t="n">
        <v>14</v>
      </c>
      <c r="B29" s="32" t="s">
        <v>312</v>
      </c>
      <c r="C29" s="33" t="s">
        <v>313</v>
      </c>
      <c r="D29" s="34" t="n">
        <v>600</v>
      </c>
      <c r="E29" s="35" t="n">
        <f aca="false">③仙台以降予測!V43</f>
        <v>1729</v>
      </c>
      <c r="F29" s="35" t="n">
        <f aca="false">E29</f>
        <v>1729</v>
      </c>
      <c r="G29" s="35" t="n">
        <f aca="false">③仙台以降予測!I43</f>
        <v>38</v>
      </c>
      <c r="H29" s="35" t="n">
        <f aca="false">MAX(0,MIN(G29,F29))</f>
        <v>38</v>
      </c>
      <c r="I29" s="35" t="n">
        <f aca="false">G29-H29</f>
        <v>0</v>
      </c>
      <c r="J29" s="35" t="n">
        <f aca="false">F29-H29</f>
        <v>1691</v>
      </c>
      <c r="K29" s="35" t="n">
        <f aca="false">J29</f>
        <v>1691</v>
      </c>
      <c r="L29" s="35" t="n">
        <f aca="false">③仙台以降予測!J43</f>
        <v>35</v>
      </c>
      <c r="M29" s="35" t="n">
        <f aca="false">MAX(0,MIN(L29,K29))</f>
        <v>35</v>
      </c>
      <c r="N29" s="35" t="n">
        <f aca="false">L29-M29</f>
        <v>0</v>
      </c>
      <c r="O29" s="35" t="n">
        <f aca="false">K29-M29</f>
        <v>1656</v>
      </c>
      <c r="P29" s="35" t="n">
        <f aca="false">O29</f>
        <v>1656</v>
      </c>
      <c r="Q29" s="35" t="n">
        <f aca="false">③仙台以降予測!K43</f>
        <v>26</v>
      </c>
      <c r="R29" s="35" t="n">
        <f aca="false">MAX(0,MIN(Q29,P29))</f>
        <v>26</v>
      </c>
      <c r="S29" s="35" t="n">
        <f aca="false">Q29-R29</f>
        <v>0</v>
      </c>
      <c r="T29" s="35" t="n">
        <f aca="false">P29-R29</f>
        <v>1630</v>
      </c>
      <c r="U29" s="35" t="n">
        <f aca="false">T29</f>
        <v>1630</v>
      </c>
      <c r="V29" s="35" t="n">
        <f aca="false">③仙台以降予測!L43</f>
        <v>147</v>
      </c>
      <c r="W29" s="35" t="n">
        <f aca="false">MAX(0,MIN(V29,U29))</f>
        <v>147</v>
      </c>
      <c r="X29" s="35" t="n">
        <f aca="false">V29-W29</f>
        <v>0</v>
      </c>
      <c r="Y29" s="35" t="n">
        <f aca="false">U29-W29</f>
        <v>1483</v>
      </c>
      <c r="Z29" s="35" t="n">
        <f aca="false">H29+M29+R29+W29</f>
        <v>246</v>
      </c>
      <c r="AA29" s="35" t="n">
        <f aca="false">I29+N29+S29+X29</f>
        <v>0</v>
      </c>
      <c r="AB29" s="34" t="n">
        <f aca="false">Z29*D29</f>
        <v>147600</v>
      </c>
      <c r="AC29" s="72"/>
    </row>
    <row r="30" customFormat="false" ht="15" hidden="false" customHeight="false" outlineLevel="0" collapsed="false">
      <c r="A30" s="32" t="n">
        <v>15</v>
      </c>
      <c r="B30" s="32" t="s">
        <v>314</v>
      </c>
      <c r="C30" s="33" t="s">
        <v>315</v>
      </c>
      <c r="D30" s="34" t="n">
        <v>600</v>
      </c>
      <c r="E30" s="35" t="n">
        <f aca="false">③仙台以降予測!V44</f>
        <v>2054</v>
      </c>
      <c r="F30" s="35" t="n">
        <f aca="false">E30</f>
        <v>2054</v>
      </c>
      <c r="G30" s="35" t="n">
        <f aca="false">③仙台以降予測!I44</f>
        <v>50</v>
      </c>
      <c r="H30" s="35" t="n">
        <f aca="false">MAX(0,MIN(G30,F30))</f>
        <v>50</v>
      </c>
      <c r="I30" s="35" t="n">
        <f aca="false">G30-H30</f>
        <v>0</v>
      </c>
      <c r="J30" s="35" t="n">
        <f aca="false">F30-H30</f>
        <v>2004</v>
      </c>
      <c r="K30" s="35" t="n">
        <f aca="false">J30</f>
        <v>2004</v>
      </c>
      <c r="L30" s="35" t="n">
        <f aca="false">③仙台以降予測!J44</f>
        <v>46</v>
      </c>
      <c r="M30" s="35" t="n">
        <f aca="false">MAX(0,MIN(L30,K30))</f>
        <v>46</v>
      </c>
      <c r="N30" s="35" t="n">
        <f aca="false">L30-M30</f>
        <v>0</v>
      </c>
      <c r="O30" s="35" t="n">
        <f aca="false">K30-M30</f>
        <v>1958</v>
      </c>
      <c r="P30" s="35" t="n">
        <f aca="false">O30</f>
        <v>1958</v>
      </c>
      <c r="Q30" s="35" t="n">
        <f aca="false">③仙台以降予測!K44</f>
        <v>35</v>
      </c>
      <c r="R30" s="35" t="n">
        <f aca="false">MAX(0,MIN(Q30,P30))</f>
        <v>35</v>
      </c>
      <c r="S30" s="35" t="n">
        <f aca="false">Q30-R30</f>
        <v>0</v>
      </c>
      <c r="T30" s="35" t="n">
        <f aca="false">P30-R30</f>
        <v>1923</v>
      </c>
      <c r="U30" s="35" t="n">
        <f aca="false">T30</f>
        <v>1923</v>
      </c>
      <c r="V30" s="35" t="n">
        <f aca="false">③仙台以降予測!L44</f>
        <v>193</v>
      </c>
      <c r="W30" s="35" t="n">
        <f aca="false">MAX(0,MIN(V30,U30))</f>
        <v>193</v>
      </c>
      <c r="X30" s="35" t="n">
        <f aca="false">V30-W30</f>
        <v>0</v>
      </c>
      <c r="Y30" s="35" t="n">
        <f aca="false">U30-W30</f>
        <v>1730</v>
      </c>
      <c r="Z30" s="35" t="n">
        <f aca="false">H30+M30+R30+W30</f>
        <v>324</v>
      </c>
      <c r="AA30" s="35" t="n">
        <f aca="false">I30+N30+S30+X30</f>
        <v>0</v>
      </c>
      <c r="AB30" s="34" t="n">
        <f aca="false">Z30*D30</f>
        <v>194400</v>
      </c>
      <c r="AC30" s="72"/>
    </row>
    <row r="31" customFormat="false" ht="15" hidden="false" customHeight="false" outlineLevel="0" collapsed="false">
      <c r="A31" s="32" t="n">
        <v>16</v>
      </c>
      <c r="B31" s="32" t="s">
        <v>316</v>
      </c>
      <c r="C31" s="33" t="s">
        <v>317</v>
      </c>
      <c r="D31" s="34" t="n">
        <v>600</v>
      </c>
      <c r="E31" s="35" t="n">
        <f aca="false">③仙台以降予測!V45</f>
        <v>744</v>
      </c>
      <c r="F31" s="35" t="n">
        <f aca="false">E31</f>
        <v>744</v>
      </c>
      <c r="G31" s="35" t="n">
        <f aca="false">③仙台以降予測!I45</f>
        <v>17</v>
      </c>
      <c r="H31" s="35" t="n">
        <f aca="false">MAX(0,MIN(G31,F31))</f>
        <v>17</v>
      </c>
      <c r="I31" s="35" t="n">
        <f aca="false">G31-H31</f>
        <v>0</v>
      </c>
      <c r="J31" s="35" t="n">
        <f aca="false">F31-H31</f>
        <v>727</v>
      </c>
      <c r="K31" s="35" t="n">
        <f aca="false">J31</f>
        <v>727</v>
      </c>
      <c r="L31" s="35" t="n">
        <f aca="false">③仙台以降予測!J45</f>
        <v>16</v>
      </c>
      <c r="M31" s="35" t="n">
        <f aca="false">MAX(0,MIN(L31,K31))</f>
        <v>16</v>
      </c>
      <c r="N31" s="35" t="n">
        <f aca="false">L31-M31</f>
        <v>0</v>
      </c>
      <c r="O31" s="35" t="n">
        <f aca="false">K31-M31</f>
        <v>711</v>
      </c>
      <c r="P31" s="35" t="n">
        <f aca="false">O31</f>
        <v>711</v>
      </c>
      <c r="Q31" s="35" t="n">
        <f aca="false">③仙台以降予測!K45</f>
        <v>12</v>
      </c>
      <c r="R31" s="35" t="n">
        <f aca="false">MAX(0,MIN(Q31,P31))</f>
        <v>12</v>
      </c>
      <c r="S31" s="35" t="n">
        <f aca="false">Q31-R31</f>
        <v>0</v>
      </c>
      <c r="T31" s="35" t="n">
        <f aca="false">P31-R31</f>
        <v>699</v>
      </c>
      <c r="U31" s="35" t="n">
        <f aca="false">T31</f>
        <v>699</v>
      </c>
      <c r="V31" s="35" t="n">
        <f aca="false">③仙台以降予測!L45</f>
        <v>67</v>
      </c>
      <c r="W31" s="35" t="n">
        <f aca="false">MAX(0,MIN(V31,U31))</f>
        <v>67</v>
      </c>
      <c r="X31" s="35" t="n">
        <f aca="false">V31-W31</f>
        <v>0</v>
      </c>
      <c r="Y31" s="35" t="n">
        <f aca="false">U31-W31</f>
        <v>632</v>
      </c>
      <c r="Z31" s="35" t="n">
        <f aca="false">H31+M31+R31+W31</f>
        <v>112</v>
      </c>
      <c r="AA31" s="35" t="n">
        <f aca="false">I31+N31+S31+X31</f>
        <v>0</v>
      </c>
      <c r="AB31" s="34" t="n">
        <f aca="false">Z31*D31</f>
        <v>67200</v>
      </c>
      <c r="AC31" s="72"/>
    </row>
    <row r="32" customFormat="false" ht="15" hidden="false" customHeight="false" outlineLevel="0" collapsed="false">
      <c r="A32" s="32" t="n">
        <v>17</v>
      </c>
      <c r="B32" s="32" t="s">
        <v>318</v>
      </c>
      <c r="C32" s="33" t="s">
        <v>319</v>
      </c>
      <c r="D32" s="34" t="n">
        <v>600</v>
      </c>
      <c r="E32" s="35" t="n">
        <f aca="false">③仙台以降予測!V46</f>
        <v>2380</v>
      </c>
      <c r="F32" s="35" t="n">
        <f aca="false">E32</f>
        <v>2380</v>
      </c>
      <c r="G32" s="35" t="n">
        <f aca="false">③仙台以降予測!I46</f>
        <v>92</v>
      </c>
      <c r="H32" s="35" t="n">
        <f aca="false">MAX(0,MIN(G32,F32))</f>
        <v>92</v>
      </c>
      <c r="I32" s="35" t="n">
        <f aca="false">G32-H32</f>
        <v>0</v>
      </c>
      <c r="J32" s="35" t="n">
        <f aca="false">F32-H32</f>
        <v>2288</v>
      </c>
      <c r="K32" s="35" t="n">
        <f aca="false">J32</f>
        <v>2288</v>
      </c>
      <c r="L32" s="35" t="n">
        <f aca="false">③仙台以降予測!J46</f>
        <v>85</v>
      </c>
      <c r="M32" s="35" t="n">
        <f aca="false">MAX(0,MIN(L32,K32))</f>
        <v>85</v>
      </c>
      <c r="N32" s="35" t="n">
        <f aca="false">L32-M32</f>
        <v>0</v>
      </c>
      <c r="O32" s="35" t="n">
        <f aca="false">K32-M32</f>
        <v>2203</v>
      </c>
      <c r="P32" s="35" t="n">
        <f aca="false">O32</f>
        <v>2203</v>
      </c>
      <c r="Q32" s="35" t="n">
        <f aca="false">③仙台以降予測!K46</f>
        <v>63</v>
      </c>
      <c r="R32" s="35" t="n">
        <f aca="false">MAX(0,MIN(Q32,P32))</f>
        <v>63</v>
      </c>
      <c r="S32" s="35" t="n">
        <f aca="false">Q32-R32</f>
        <v>0</v>
      </c>
      <c r="T32" s="35" t="n">
        <f aca="false">P32-R32</f>
        <v>2140</v>
      </c>
      <c r="U32" s="35" t="n">
        <f aca="false">T32</f>
        <v>2140</v>
      </c>
      <c r="V32" s="35" t="n">
        <f aca="false">③仙台以降予測!L46</f>
        <v>352</v>
      </c>
      <c r="W32" s="35" t="n">
        <f aca="false">MAX(0,MIN(V32,U32))</f>
        <v>352</v>
      </c>
      <c r="X32" s="35" t="n">
        <f aca="false">V32-W32</f>
        <v>0</v>
      </c>
      <c r="Y32" s="35" t="n">
        <f aca="false">U32-W32</f>
        <v>1788</v>
      </c>
      <c r="Z32" s="35" t="n">
        <f aca="false">H32+M32+R32+W32</f>
        <v>592</v>
      </c>
      <c r="AA32" s="35" t="n">
        <f aca="false">I32+N32+S32+X32</f>
        <v>0</v>
      </c>
      <c r="AB32" s="34" t="n">
        <f aca="false">Z32*D32</f>
        <v>355200</v>
      </c>
      <c r="AC32" s="72"/>
    </row>
    <row r="33" customFormat="false" ht="15" hidden="false" customHeight="false" outlineLevel="0" collapsed="false">
      <c r="A33" s="32" t="n">
        <v>18</v>
      </c>
      <c r="B33" s="32" t="s">
        <v>320</v>
      </c>
      <c r="C33" s="33" t="s">
        <v>321</v>
      </c>
      <c r="D33" s="34" t="n">
        <v>600</v>
      </c>
      <c r="E33" s="35" t="n">
        <f aca="false">③仙台以降予測!V47</f>
        <v>9126</v>
      </c>
      <c r="F33" s="35" t="n">
        <f aca="false">E33</f>
        <v>9126</v>
      </c>
      <c r="G33" s="35" t="n">
        <f aca="false">③仙台以降予測!I47</f>
        <v>378</v>
      </c>
      <c r="H33" s="35" t="n">
        <f aca="false">MAX(0,MIN(G33,F33))</f>
        <v>378</v>
      </c>
      <c r="I33" s="35" t="n">
        <f aca="false">G33-H33</f>
        <v>0</v>
      </c>
      <c r="J33" s="35" t="n">
        <f aca="false">F33-H33</f>
        <v>8748</v>
      </c>
      <c r="K33" s="35" t="n">
        <f aca="false">J33</f>
        <v>8748</v>
      </c>
      <c r="L33" s="35" t="n">
        <f aca="false">③仙台以降予測!J47</f>
        <v>349</v>
      </c>
      <c r="M33" s="35" t="n">
        <f aca="false">MAX(0,MIN(L33,K33))</f>
        <v>349</v>
      </c>
      <c r="N33" s="35" t="n">
        <f aca="false">L33-M33</f>
        <v>0</v>
      </c>
      <c r="O33" s="35" t="n">
        <f aca="false">K33-M33</f>
        <v>8399</v>
      </c>
      <c r="P33" s="35" t="n">
        <f aca="false">O33</f>
        <v>8399</v>
      </c>
      <c r="Q33" s="35" t="n">
        <f aca="false">③仙台以降予測!K47</f>
        <v>262</v>
      </c>
      <c r="R33" s="35" t="n">
        <f aca="false">MAX(0,MIN(Q33,P33))</f>
        <v>262</v>
      </c>
      <c r="S33" s="35" t="n">
        <f aca="false">Q33-R33</f>
        <v>0</v>
      </c>
      <c r="T33" s="35" t="n">
        <f aca="false">P33-R33</f>
        <v>8137</v>
      </c>
      <c r="U33" s="35" t="n">
        <f aca="false">T33</f>
        <v>8137</v>
      </c>
      <c r="V33" s="35" t="n">
        <f aca="false">③仙台以降予測!L47</f>
        <v>1455</v>
      </c>
      <c r="W33" s="35" t="n">
        <f aca="false">MAX(0,MIN(V33,U33))</f>
        <v>1455</v>
      </c>
      <c r="X33" s="35" t="n">
        <f aca="false">V33-W33</f>
        <v>0</v>
      </c>
      <c r="Y33" s="35" t="n">
        <f aca="false">U33-W33</f>
        <v>6682</v>
      </c>
      <c r="Z33" s="35" t="n">
        <f aca="false">H33+M33+R33+W33</f>
        <v>2444</v>
      </c>
      <c r="AA33" s="35" t="n">
        <f aca="false">I33+N33+S33+X33</f>
        <v>0</v>
      </c>
      <c r="AB33" s="34" t="n">
        <f aca="false">Z33*D33</f>
        <v>1466400</v>
      </c>
      <c r="AC33" s="69" t="s">
        <v>1407</v>
      </c>
    </row>
    <row r="34" customFormat="false" ht="15" hidden="false" customHeight="false" outlineLevel="0" collapsed="false">
      <c r="A34" s="32" t="n">
        <v>19</v>
      </c>
      <c r="B34" s="32" t="s">
        <v>322</v>
      </c>
      <c r="C34" s="33" t="s">
        <v>323</v>
      </c>
      <c r="D34" s="34" t="n">
        <v>600</v>
      </c>
      <c r="E34" s="35" t="n">
        <f aca="false">③仙台以降予測!V48</f>
        <v>2214</v>
      </c>
      <c r="F34" s="35" t="n">
        <f aca="false">E34</f>
        <v>2214</v>
      </c>
      <c r="G34" s="35" t="n">
        <f aca="false">③仙台以降予測!I48</f>
        <v>16</v>
      </c>
      <c r="H34" s="35" t="n">
        <f aca="false">MAX(0,MIN(G34,F34))</f>
        <v>16</v>
      </c>
      <c r="I34" s="35" t="n">
        <f aca="false">G34-H34</f>
        <v>0</v>
      </c>
      <c r="J34" s="35" t="n">
        <f aca="false">F34-H34</f>
        <v>2198</v>
      </c>
      <c r="K34" s="35" t="n">
        <f aca="false">J34</f>
        <v>2198</v>
      </c>
      <c r="L34" s="35" t="n">
        <f aca="false">③仙台以降予測!J48</f>
        <v>15</v>
      </c>
      <c r="M34" s="35" t="n">
        <f aca="false">MAX(0,MIN(L34,K34))</f>
        <v>15</v>
      </c>
      <c r="N34" s="35" t="n">
        <f aca="false">L34-M34</f>
        <v>0</v>
      </c>
      <c r="O34" s="35" t="n">
        <f aca="false">K34-M34</f>
        <v>2183</v>
      </c>
      <c r="P34" s="35" t="n">
        <f aca="false">O34</f>
        <v>2183</v>
      </c>
      <c r="Q34" s="35" t="n">
        <f aca="false">③仙台以降予測!K48</f>
        <v>11</v>
      </c>
      <c r="R34" s="35" t="n">
        <f aca="false">MAX(0,MIN(Q34,P34))</f>
        <v>11</v>
      </c>
      <c r="S34" s="35" t="n">
        <f aca="false">Q34-R34</f>
        <v>0</v>
      </c>
      <c r="T34" s="35" t="n">
        <f aca="false">P34-R34</f>
        <v>2172</v>
      </c>
      <c r="U34" s="35" t="n">
        <f aca="false">T34</f>
        <v>2172</v>
      </c>
      <c r="V34" s="35" t="n">
        <f aca="false">③仙台以降予測!L48</f>
        <v>61</v>
      </c>
      <c r="W34" s="35" t="n">
        <f aca="false">MAX(0,MIN(V34,U34))</f>
        <v>61</v>
      </c>
      <c r="X34" s="35" t="n">
        <f aca="false">V34-W34</f>
        <v>0</v>
      </c>
      <c r="Y34" s="35" t="n">
        <f aca="false">U34-W34</f>
        <v>2111</v>
      </c>
      <c r="Z34" s="35" t="n">
        <f aca="false">H34+M34+R34+W34</f>
        <v>103</v>
      </c>
      <c r="AA34" s="35" t="n">
        <f aca="false">I34+N34+S34+X34</f>
        <v>0</v>
      </c>
      <c r="AB34" s="34" t="n">
        <f aca="false">Z34*D34</f>
        <v>61800</v>
      </c>
      <c r="AC34" s="72"/>
    </row>
    <row r="35" customFormat="false" ht="15" hidden="false" customHeight="false" outlineLevel="0" collapsed="false">
      <c r="A35" s="32" t="n">
        <v>20</v>
      </c>
      <c r="B35" s="32" t="s">
        <v>324</v>
      </c>
      <c r="C35" s="33" t="s">
        <v>325</v>
      </c>
      <c r="D35" s="34" t="n">
        <v>600</v>
      </c>
      <c r="E35" s="35" t="n">
        <f aca="false">③仙台以降予測!V49</f>
        <v>276</v>
      </c>
      <c r="F35" s="35" t="n">
        <f aca="false">E35</f>
        <v>276</v>
      </c>
      <c r="G35" s="35" t="n">
        <f aca="false">③仙台以降予測!I49</f>
        <v>16</v>
      </c>
      <c r="H35" s="35" t="n">
        <f aca="false">MAX(0,MIN(G35,F35))</f>
        <v>16</v>
      </c>
      <c r="I35" s="35" t="n">
        <f aca="false">G35-H35</f>
        <v>0</v>
      </c>
      <c r="J35" s="35" t="n">
        <f aca="false">F35-H35</f>
        <v>260</v>
      </c>
      <c r="K35" s="35" t="n">
        <f aca="false">J35</f>
        <v>260</v>
      </c>
      <c r="L35" s="35" t="n">
        <f aca="false">③仙台以降予測!J49</f>
        <v>15</v>
      </c>
      <c r="M35" s="35" t="n">
        <f aca="false">MAX(0,MIN(L35,K35))</f>
        <v>15</v>
      </c>
      <c r="N35" s="35" t="n">
        <f aca="false">L35-M35</f>
        <v>0</v>
      </c>
      <c r="O35" s="35" t="n">
        <f aca="false">K35-M35</f>
        <v>245</v>
      </c>
      <c r="P35" s="35" t="n">
        <f aca="false">O35</f>
        <v>245</v>
      </c>
      <c r="Q35" s="35" t="n">
        <f aca="false">③仙台以降予測!K49</f>
        <v>11</v>
      </c>
      <c r="R35" s="35" t="n">
        <f aca="false">MAX(0,MIN(Q35,P35))</f>
        <v>11</v>
      </c>
      <c r="S35" s="35" t="n">
        <f aca="false">Q35-R35</f>
        <v>0</v>
      </c>
      <c r="T35" s="35" t="n">
        <f aca="false">P35-R35</f>
        <v>234</v>
      </c>
      <c r="U35" s="35" t="n">
        <f aca="false">T35</f>
        <v>234</v>
      </c>
      <c r="V35" s="35" t="n">
        <f aca="false">③仙台以降予測!L49</f>
        <v>62</v>
      </c>
      <c r="W35" s="35" t="n">
        <f aca="false">MAX(0,MIN(V35,U35))</f>
        <v>62</v>
      </c>
      <c r="X35" s="35" t="n">
        <f aca="false">V35-W35</f>
        <v>0</v>
      </c>
      <c r="Y35" s="35" t="n">
        <f aca="false">U35-W35</f>
        <v>172</v>
      </c>
      <c r="Z35" s="35" t="n">
        <f aca="false">H35+M35+R35+W35</f>
        <v>104</v>
      </c>
      <c r="AA35" s="35" t="n">
        <f aca="false">I35+N35+S35+X35</f>
        <v>0</v>
      </c>
      <c r="AB35" s="34" t="n">
        <f aca="false">Z35*D35</f>
        <v>62400</v>
      </c>
      <c r="AC35" s="72"/>
    </row>
    <row r="36" customFormat="false" ht="25.35" hidden="false" customHeight="false" outlineLevel="0" collapsed="false">
      <c r="A36" s="32" t="n">
        <v>21</v>
      </c>
      <c r="B36" s="32" t="s">
        <v>326</v>
      </c>
      <c r="C36" s="33" t="s">
        <v>327</v>
      </c>
      <c r="D36" s="34" t="n">
        <v>600</v>
      </c>
      <c r="E36" s="35" t="n">
        <f aca="false">③仙台以降予測!V50</f>
        <v>190</v>
      </c>
      <c r="F36" s="35" t="n">
        <f aca="false">E36</f>
        <v>190</v>
      </c>
      <c r="G36" s="35" t="n">
        <f aca="false">③仙台以降予測!I50</f>
        <v>75</v>
      </c>
      <c r="H36" s="35" t="n">
        <f aca="false">MAX(0,MIN(G36,F36))</f>
        <v>75</v>
      </c>
      <c r="I36" s="35" t="n">
        <f aca="false">G36-H36</f>
        <v>0</v>
      </c>
      <c r="J36" s="35" t="n">
        <f aca="false">F36-H36</f>
        <v>115</v>
      </c>
      <c r="K36" s="35" t="n">
        <f aca="false">J36</f>
        <v>115</v>
      </c>
      <c r="L36" s="35" t="n">
        <f aca="false">③仙台以降予測!J50</f>
        <v>69</v>
      </c>
      <c r="M36" s="35" t="n">
        <f aca="false">MAX(0,MIN(L36,K36))</f>
        <v>69</v>
      </c>
      <c r="N36" s="35" t="n">
        <f aca="false">L36-M36</f>
        <v>0</v>
      </c>
      <c r="O36" s="35" t="n">
        <f aca="false">K36-M36</f>
        <v>46</v>
      </c>
      <c r="P36" s="35" t="n">
        <f aca="false">O36</f>
        <v>46</v>
      </c>
      <c r="Q36" s="35" t="n">
        <f aca="false">③仙台以降予測!K50</f>
        <v>52</v>
      </c>
      <c r="R36" s="35" t="n">
        <f aca="false">MAX(0,MIN(Q36,P36))</f>
        <v>46</v>
      </c>
      <c r="S36" s="35" t="n">
        <f aca="false">Q36-R36</f>
        <v>6</v>
      </c>
      <c r="T36" s="35" t="n">
        <f aca="false">P36-R36</f>
        <v>0</v>
      </c>
      <c r="U36" s="35" t="n">
        <f aca="false">T36</f>
        <v>0</v>
      </c>
      <c r="V36" s="35" t="n">
        <f aca="false">③仙台以降予測!L50</f>
        <v>288</v>
      </c>
      <c r="W36" s="35" t="n">
        <f aca="false">MAX(0,MIN(V36,U36))</f>
        <v>0</v>
      </c>
      <c r="X36" s="35" t="n">
        <f aca="false">V36-W36</f>
        <v>288</v>
      </c>
      <c r="Y36" s="35" t="n">
        <f aca="false">U36-W36</f>
        <v>0</v>
      </c>
      <c r="Z36" s="35" t="n">
        <f aca="false">H36+M36+R36+W36</f>
        <v>190</v>
      </c>
      <c r="AA36" s="35" t="n">
        <f aca="false">I36+N36+S36+X36</f>
        <v>294</v>
      </c>
      <c r="AB36" s="34" t="n">
        <f aca="false">Z36*D36</f>
        <v>114000</v>
      </c>
      <c r="AC36" s="69" t="s">
        <v>1408</v>
      </c>
    </row>
    <row r="37" customFormat="false" ht="15" hidden="false" customHeight="false" outlineLevel="0" collapsed="false">
      <c r="A37" s="32" t="n">
        <v>22</v>
      </c>
      <c r="B37" s="32" t="s">
        <v>328</v>
      </c>
      <c r="C37" s="33" t="s">
        <v>329</v>
      </c>
      <c r="D37" s="34" t="n">
        <v>600</v>
      </c>
      <c r="E37" s="35" t="n">
        <f aca="false">③仙台以降予測!V51</f>
        <v>1254</v>
      </c>
      <c r="F37" s="35" t="n">
        <f aca="false">E37</f>
        <v>1254</v>
      </c>
      <c r="G37" s="35" t="n">
        <f aca="false">③仙台以降予測!I51</f>
        <v>52</v>
      </c>
      <c r="H37" s="35" t="n">
        <f aca="false">MAX(0,MIN(G37,F37))</f>
        <v>52</v>
      </c>
      <c r="I37" s="35" t="n">
        <f aca="false">G37-H37</f>
        <v>0</v>
      </c>
      <c r="J37" s="35" t="n">
        <f aca="false">F37-H37</f>
        <v>1202</v>
      </c>
      <c r="K37" s="35" t="n">
        <f aca="false">J37</f>
        <v>1202</v>
      </c>
      <c r="L37" s="35" t="n">
        <f aca="false">③仙台以降予測!J51</f>
        <v>48</v>
      </c>
      <c r="M37" s="35" t="n">
        <f aca="false">MAX(0,MIN(L37,K37))</f>
        <v>48</v>
      </c>
      <c r="N37" s="35" t="n">
        <f aca="false">L37-M37</f>
        <v>0</v>
      </c>
      <c r="O37" s="35" t="n">
        <f aca="false">K37-M37</f>
        <v>1154</v>
      </c>
      <c r="P37" s="35" t="n">
        <f aca="false">O37</f>
        <v>1154</v>
      </c>
      <c r="Q37" s="35" t="n">
        <f aca="false">③仙台以降予測!K51</f>
        <v>36</v>
      </c>
      <c r="R37" s="35" t="n">
        <f aca="false">MAX(0,MIN(Q37,P37))</f>
        <v>36</v>
      </c>
      <c r="S37" s="35" t="n">
        <f aca="false">Q37-R37</f>
        <v>0</v>
      </c>
      <c r="T37" s="35" t="n">
        <f aca="false">P37-R37</f>
        <v>1118</v>
      </c>
      <c r="U37" s="35" t="n">
        <f aca="false">T37</f>
        <v>1118</v>
      </c>
      <c r="V37" s="35" t="n">
        <f aca="false">③仙台以降予測!L51</f>
        <v>199</v>
      </c>
      <c r="W37" s="35" t="n">
        <f aca="false">MAX(0,MIN(V37,U37))</f>
        <v>199</v>
      </c>
      <c r="X37" s="35" t="n">
        <f aca="false">V37-W37</f>
        <v>0</v>
      </c>
      <c r="Y37" s="35" t="n">
        <f aca="false">U37-W37</f>
        <v>919</v>
      </c>
      <c r="Z37" s="35" t="n">
        <f aca="false">H37+M37+R37+W37</f>
        <v>335</v>
      </c>
      <c r="AA37" s="35" t="n">
        <f aca="false">I37+N37+S37+X37</f>
        <v>0</v>
      </c>
      <c r="AB37" s="34" t="n">
        <f aca="false">Z37*D37</f>
        <v>201000</v>
      </c>
      <c r="AC37" s="72"/>
    </row>
    <row r="38" customFormat="false" ht="15" hidden="false" customHeight="false" outlineLevel="0" collapsed="false">
      <c r="A38" s="32" t="n">
        <v>23</v>
      </c>
      <c r="B38" s="32" t="s">
        <v>330</v>
      </c>
      <c r="C38" s="33" t="s">
        <v>331</v>
      </c>
      <c r="D38" s="34" t="n">
        <v>600</v>
      </c>
      <c r="E38" s="35" t="n">
        <f aca="false">③仙台以降予測!V52</f>
        <v>48729</v>
      </c>
      <c r="F38" s="35" t="n">
        <f aca="false">E38</f>
        <v>48729</v>
      </c>
      <c r="G38" s="35" t="n">
        <f aca="false">③仙台以降予測!I52</f>
        <v>2362</v>
      </c>
      <c r="H38" s="35" t="n">
        <f aca="false">MAX(0,MIN(G38,F38))</f>
        <v>2362</v>
      </c>
      <c r="I38" s="35" t="n">
        <f aca="false">G38-H38</f>
        <v>0</v>
      </c>
      <c r="J38" s="35" t="n">
        <f aca="false">F38-H38</f>
        <v>46367</v>
      </c>
      <c r="K38" s="35" t="n">
        <f aca="false">J38</f>
        <v>46367</v>
      </c>
      <c r="L38" s="35" t="n">
        <f aca="false">③仙台以降予測!J52</f>
        <v>2180</v>
      </c>
      <c r="M38" s="35" t="n">
        <f aca="false">MAX(0,MIN(L38,K38))</f>
        <v>2180</v>
      </c>
      <c r="N38" s="35" t="n">
        <f aca="false">L38-M38</f>
        <v>0</v>
      </c>
      <c r="O38" s="35" t="n">
        <f aca="false">K38-M38</f>
        <v>44187</v>
      </c>
      <c r="P38" s="35" t="n">
        <f aca="false">O38</f>
        <v>44187</v>
      </c>
      <c r="Q38" s="35" t="n">
        <f aca="false">③仙台以降予測!K52</f>
        <v>1635</v>
      </c>
      <c r="R38" s="35" t="n">
        <f aca="false">MAX(0,MIN(Q38,P38))</f>
        <v>1635</v>
      </c>
      <c r="S38" s="35" t="n">
        <f aca="false">Q38-R38</f>
        <v>0</v>
      </c>
      <c r="T38" s="35" t="n">
        <f aca="false">P38-R38</f>
        <v>42552</v>
      </c>
      <c r="U38" s="35" t="n">
        <f aca="false">T38</f>
        <v>42552</v>
      </c>
      <c r="V38" s="35" t="n">
        <f aca="false">③仙台以降予測!L52</f>
        <v>9086</v>
      </c>
      <c r="W38" s="35" t="n">
        <f aca="false">MAX(0,MIN(V38,U38))</f>
        <v>9086</v>
      </c>
      <c r="X38" s="35" t="n">
        <f aca="false">V38-W38</f>
        <v>0</v>
      </c>
      <c r="Y38" s="35" t="n">
        <f aca="false">U38-W38</f>
        <v>33466</v>
      </c>
      <c r="Z38" s="35" t="n">
        <f aca="false">H38+M38+R38+W38</f>
        <v>15263</v>
      </c>
      <c r="AA38" s="35" t="n">
        <f aca="false">I38+N38+S38+X38</f>
        <v>0</v>
      </c>
      <c r="AB38" s="34" t="n">
        <f aca="false">Z38*D38</f>
        <v>9157800</v>
      </c>
      <c r="AC38" s="72"/>
    </row>
    <row r="39" customFormat="false" ht="15" hidden="false" customHeight="false" outlineLevel="0" collapsed="false">
      <c r="A39" s="32" t="n">
        <v>24</v>
      </c>
      <c r="B39" s="32" t="s">
        <v>332</v>
      </c>
      <c r="C39" s="33" t="s">
        <v>333</v>
      </c>
      <c r="D39" s="34" t="n">
        <v>600</v>
      </c>
      <c r="E39" s="35" t="n">
        <f aca="false">③仙台以降予測!V53</f>
        <v>30130</v>
      </c>
      <c r="F39" s="35" t="n">
        <f aca="false">E39</f>
        <v>30130</v>
      </c>
      <c r="G39" s="35" t="n">
        <f aca="false">③仙台以降予測!I53</f>
        <v>1453</v>
      </c>
      <c r="H39" s="35" t="n">
        <f aca="false">MAX(0,MIN(G39,F39))</f>
        <v>1453</v>
      </c>
      <c r="I39" s="35" t="n">
        <f aca="false">G39-H39</f>
        <v>0</v>
      </c>
      <c r="J39" s="35" t="n">
        <f aca="false">F39-H39</f>
        <v>28677</v>
      </c>
      <c r="K39" s="35" t="n">
        <f aca="false">J39</f>
        <v>28677</v>
      </c>
      <c r="L39" s="35" t="n">
        <f aca="false">③仙台以降予測!J53</f>
        <v>1341</v>
      </c>
      <c r="M39" s="35" t="n">
        <f aca="false">MAX(0,MIN(L39,K39))</f>
        <v>1341</v>
      </c>
      <c r="N39" s="35" t="n">
        <f aca="false">L39-M39</f>
        <v>0</v>
      </c>
      <c r="O39" s="35" t="n">
        <f aca="false">K39-M39</f>
        <v>27336</v>
      </c>
      <c r="P39" s="35" t="n">
        <f aca="false">O39</f>
        <v>27336</v>
      </c>
      <c r="Q39" s="35" t="n">
        <f aca="false">③仙台以降予測!K53</f>
        <v>1006</v>
      </c>
      <c r="R39" s="35" t="n">
        <f aca="false">MAX(0,MIN(Q39,P39))</f>
        <v>1006</v>
      </c>
      <c r="S39" s="35" t="n">
        <f aca="false">Q39-R39</f>
        <v>0</v>
      </c>
      <c r="T39" s="35" t="n">
        <f aca="false">P39-R39</f>
        <v>26330</v>
      </c>
      <c r="U39" s="35" t="n">
        <f aca="false">T39</f>
        <v>26330</v>
      </c>
      <c r="V39" s="35" t="n">
        <f aca="false">③仙台以降予測!L53</f>
        <v>5588</v>
      </c>
      <c r="W39" s="35" t="n">
        <f aca="false">MAX(0,MIN(V39,U39))</f>
        <v>5588</v>
      </c>
      <c r="X39" s="35" t="n">
        <f aca="false">V39-W39</f>
        <v>0</v>
      </c>
      <c r="Y39" s="35" t="n">
        <f aca="false">U39-W39</f>
        <v>20742</v>
      </c>
      <c r="Z39" s="35" t="n">
        <f aca="false">H39+M39+R39+W39</f>
        <v>9388</v>
      </c>
      <c r="AA39" s="35" t="n">
        <f aca="false">I39+N39+S39+X39</f>
        <v>0</v>
      </c>
      <c r="AB39" s="34" t="n">
        <f aca="false">Z39*D39</f>
        <v>5632800</v>
      </c>
      <c r="AC39" s="72"/>
    </row>
    <row r="40" customFormat="false" ht="15" hidden="false" customHeight="false" outlineLevel="0" collapsed="false">
      <c r="A40" s="32" t="n">
        <v>25</v>
      </c>
      <c r="B40" s="32" t="s">
        <v>334</v>
      </c>
      <c r="C40" s="33" t="s">
        <v>335</v>
      </c>
      <c r="D40" s="34" t="n">
        <v>1500</v>
      </c>
      <c r="E40" s="35" t="n">
        <f aca="false">③仙台以降予測!V54</f>
        <v>3393</v>
      </c>
      <c r="F40" s="35" t="n">
        <f aca="false">E40</f>
        <v>3393</v>
      </c>
      <c r="G40" s="35" t="n">
        <f aca="false">③仙台以降予測!I54</f>
        <v>83</v>
      </c>
      <c r="H40" s="35" t="n">
        <f aca="false">MAX(0,MIN(G40,F40))</f>
        <v>83</v>
      </c>
      <c r="I40" s="35" t="n">
        <f aca="false">G40-H40</f>
        <v>0</v>
      </c>
      <c r="J40" s="35" t="n">
        <f aca="false">F40-H40</f>
        <v>3310</v>
      </c>
      <c r="K40" s="35" t="n">
        <f aca="false">J40</f>
        <v>3310</v>
      </c>
      <c r="L40" s="35" t="n">
        <f aca="false">③仙台以降予測!J54</f>
        <v>76</v>
      </c>
      <c r="M40" s="35" t="n">
        <f aca="false">MAX(0,MIN(L40,K40))</f>
        <v>76</v>
      </c>
      <c r="N40" s="35" t="n">
        <f aca="false">L40-M40</f>
        <v>0</v>
      </c>
      <c r="O40" s="35" t="n">
        <f aca="false">K40-M40</f>
        <v>3234</v>
      </c>
      <c r="P40" s="35" t="n">
        <f aca="false">O40</f>
        <v>3234</v>
      </c>
      <c r="Q40" s="35" t="n">
        <f aca="false">③仙台以降予測!K54</f>
        <v>57</v>
      </c>
      <c r="R40" s="35" t="n">
        <f aca="false">MAX(0,MIN(Q40,P40))</f>
        <v>57</v>
      </c>
      <c r="S40" s="35" t="n">
        <f aca="false">Q40-R40</f>
        <v>0</v>
      </c>
      <c r="T40" s="35" t="n">
        <f aca="false">P40-R40</f>
        <v>3177</v>
      </c>
      <c r="U40" s="35" t="n">
        <f aca="false">T40</f>
        <v>3177</v>
      </c>
      <c r="V40" s="35" t="n">
        <f aca="false">③仙台以降予測!L54</f>
        <v>318</v>
      </c>
      <c r="W40" s="35" t="n">
        <f aca="false">MAX(0,MIN(V40,U40))</f>
        <v>318</v>
      </c>
      <c r="X40" s="35" t="n">
        <f aca="false">V40-W40</f>
        <v>0</v>
      </c>
      <c r="Y40" s="35" t="n">
        <f aca="false">U40-W40</f>
        <v>2859</v>
      </c>
      <c r="Z40" s="35" t="n">
        <f aca="false">H40+M40+R40+W40</f>
        <v>534</v>
      </c>
      <c r="AA40" s="35" t="n">
        <f aca="false">I40+N40+S40+X40</f>
        <v>0</v>
      </c>
      <c r="AB40" s="34" t="n">
        <f aca="false">Z40*D40</f>
        <v>801000</v>
      </c>
      <c r="AC40" s="69" t="s">
        <v>1409</v>
      </c>
    </row>
    <row r="41" customFormat="false" ht="25.35" hidden="false" customHeight="false" outlineLevel="0" collapsed="false">
      <c r="A41" s="32" t="n">
        <v>26</v>
      </c>
      <c r="B41" s="32" t="s">
        <v>336</v>
      </c>
      <c r="C41" s="33" t="s">
        <v>337</v>
      </c>
      <c r="D41" s="34" t="n">
        <v>2200</v>
      </c>
      <c r="E41" s="35" t="n">
        <f aca="false">③仙台以降予測!V55</f>
        <v>229</v>
      </c>
      <c r="F41" s="35" t="n">
        <f aca="false">E41</f>
        <v>229</v>
      </c>
      <c r="G41" s="35" t="n">
        <f aca="false">③仙台以降予測!I55</f>
        <v>172</v>
      </c>
      <c r="H41" s="35" t="n">
        <f aca="false">MAX(0,MIN(G41,F41))</f>
        <v>172</v>
      </c>
      <c r="I41" s="35" t="n">
        <f aca="false">G41-H41</f>
        <v>0</v>
      </c>
      <c r="J41" s="35" t="n">
        <f aca="false">F41-H41</f>
        <v>57</v>
      </c>
      <c r="K41" s="35" t="n">
        <f aca="false">J41</f>
        <v>57</v>
      </c>
      <c r="L41" s="35" t="n">
        <f aca="false">③仙台以降予測!J55</f>
        <v>159</v>
      </c>
      <c r="M41" s="35" t="n">
        <f aca="false">MAX(0,MIN(L41,K41))</f>
        <v>57</v>
      </c>
      <c r="N41" s="35" t="n">
        <f aca="false">L41-M41</f>
        <v>102</v>
      </c>
      <c r="O41" s="35" t="n">
        <f aca="false">K41-M41</f>
        <v>0</v>
      </c>
      <c r="P41" s="35" t="n">
        <f aca="false">O41</f>
        <v>0</v>
      </c>
      <c r="Q41" s="35" t="n">
        <f aca="false">③仙台以降予測!K55</f>
        <v>119</v>
      </c>
      <c r="R41" s="35" t="n">
        <f aca="false">MAX(0,MIN(Q41,P41))</f>
        <v>0</v>
      </c>
      <c r="S41" s="35" t="n">
        <f aca="false">Q41-R41</f>
        <v>119</v>
      </c>
      <c r="T41" s="35" t="n">
        <f aca="false">P41-R41</f>
        <v>0</v>
      </c>
      <c r="U41" s="35" t="n">
        <f aca="false">T41</f>
        <v>0</v>
      </c>
      <c r="V41" s="35" t="n">
        <f aca="false">③仙台以降予測!L55</f>
        <v>662</v>
      </c>
      <c r="W41" s="35" t="n">
        <f aca="false">MAX(0,MIN(V41,U41))</f>
        <v>0</v>
      </c>
      <c r="X41" s="35" t="n">
        <f aca="false">V41-W41</f>
        <v>662</v>
      </c>
      <c r="Y41" s="35" t="n">
        <f aca="false">U41-W41</f>
        <v>0</v>
      </c>
      <c r="Z41" s="35" t="n">
        <f aca="false">H41+M41+R41+W41</f>
        <v>229</v>
      </c>
      <c r="AA41" s="35" t="n">
        <f aca="false">I41+N41+S41+X41</f>
        <v>883</v>
      </c>
      <c r="AB41" s="34" t="n">
        <f aca="false">Z41*D41</f>
        <v>503800</v>
      </c>
      <c r="AC41" s="69" t="s">
        <v>1410</v>
      </c>
    </row>
    <row r="42" customFormat="false" ht="15" hidden="false" customHeight="false" outlineLevel="0" collapsed="false">
      <c r="A42" s="32" t="n">
        <v>27</v>
      </c>
      <c r="B42" s="32" t="s">
        <v>338</v>
      </c>
      <c r="C42" s="33" t="s">
        <v>339</v>
      </c>
      <c r="D42" s="34" t="n">
        <v>1100</v>
      </c>
      <c r="E42" s="35" t="n">
        <f aca="false">③仙台以降予測!V56</f>
        <v>1131</v>
      </c>
      <c r="F42" s="35" t="n">
        <f aca="false">E42</f>
        <v>1131</v>
      </c>
      <c r="G42" s="35" t="n">
        <f aca="false">③仙台以降予測!I56</f>
        <v>43</v>
      </c>
      <c r="H42" s="35" t="n">
        <f aca="false">MAX(0,MIN(G42,F42))</f>
        <v>43</v>
      </c>
      <c r="I42" s="35" t="n">
        <f aca="false">G42-H42</f>
        <v>0</v>
      </c>
      <c r="J42" s="35" t="n">
        <f aca="false">F42-H42</f>
        <v>1088</v>
      </c>
      <c r="K42" s="35" t="n">
        <f aca="false">J42</f>
        <v>1088</v>
      </c>
      <c r="L42" s="35" t="n">
        <f aca="false">③仙台以降予測!J56</f>
        <v>40</v>
      </c>
      <c r="M42" s="35" t="n">
        <f aca="false">MAX(0,MIN(L42,K42))</f>
        <v>40</v>
      </c>
      <c r="N42" s="35" t="n">
        <f aca="false">L42-M42</f>
        <v>0</v>
      </c>
      <c r="O42" s="35" t="n">
        <f aca="false">K42-M42</f>
        <v>1048</v>
      </c>
      <c r="P42" s="35" t="n">
        <f aca="false">O42</f>
        <v>1048</v>
      </c>
      <c r="Q42" s="35" t="n">
        <f aca="false">③仙台以降予測!K56</f>
        <v>30</v>
      </c>
      <c r="R42" s="35" t="n">
        <f aca="false">MAX(0,MIN(Q42,P42))</f>
        <v>30</v>
      </c>
      <c r="S42" s="35" t="n">
        <f aca="false">Q42-R42</f>
        <v>0</v>
      </c>
      <c r="T42" s="35" t="n">
        <f aca="false">P42-R42</f>
        <v>1018</v>
      </c>
      <c r="U42" s="35" t="n">
        <f aca="false">T42</f>
        <v>1018</v>
      </c>
      <c r="V42" s="35" t="n">
        <f aca="false">③仙台以降予測!L56</f>
        <v>167</v>
      </c>
      <c r="W42" s="35" t="n">
        <f aca="false">MAX(0,MIN(V42,U42))</f>
        <v>167</v>
      </c>
      <c r="X42" s="35" t="n">
        <f aca="false">V42-W42</f>
        <v>0</v>
      </c>
      <c r="Y42" s="35" t="n">
        <f aca="false">U42-W42</f>
        <v>851</v>
      </c>
      <c r="Z42" s="35" t="n">
        <f aca="false">H42+M42+R42+W42</f>
        <v>280</v>
      </c>
      <c r="AA42" s="35" t="n">
        <f aca="false">I42+N42+S42+X42</f>
        <v>0</v>
      </c>
      <c r="AB42" s="34" t="n">
        <f aca="false">Z42*D42</f>
        <v>308000</v>
      </c>
      <c r="AC42" s="72"/>
    </row>
    <row r="43" customFormat="false" ht="37.3" hidden="false" customHeight="false" outlineLevel="0" collapsed="false">
      <c r="A43" s="32" t="n">
        <v>28</v>
      </c>
      <c r="B43" s="32" t="s">
        <v>340</v>
      </c>
      <c r="C43" s="33" t="s">
        <v>341</v>
      </c>
      <c r="D43" s="34" t="n">
        <v>1800</v>
      </c>
      <c r="E43" s="35" t="n">
        <f aca="false">③仙台以降予測!V57</f>
        <v>68</v>
      </c>
      <c r="F43" s="35" t="n">
        <f aca="false">E43</f>
        <v>68</v>
      </c>
      <c r="G43" s="35" t="n">
        <f aca="false">③仙台以降予測!I57</f>
        <v>246</v>
      </c>
      <c r="H43" s="35" t="n">
        <f aca="false">MAX(0,MIN(G43,F43))</f>
        <v>68</v>
      </c>
      <c r="I43" s="35" t="n">
        <f aca="false">G43-H43</f>
        <v>178</v>
      </c>
      <c r="J43" s="35" t="n">
        <f aca="false">F43-H43</f>
        <v>0</v>
      </c>
      <c r="K43" s="35" t="n">
        <f aca="false">J43</f>
        <v>0</v>
      </c>
      <c r="L43" s="35" t="n">
        <f aca="false">③仙台以降予測!J57</f>
        <v>227</v>
      </c>
      <c r="M43" s="35" t="n">
        <f aca="false">MAX(0,MIN(L43,K43))</f>
        <v>0</v>
      </c>
      <c r="N43" s="35" t="n">
        <f aca="false">L43-M43</f>
        <v>227</v>
      </c>
      <c r="O43" s="35" t="n">
        <f aca="false">K43-M43</f>
        <v>0</v>
      </c>
      <c r="P43" s="35" t="n">
        <f aca="false">O43+1200</f>
        <v>1200</v>
      </c>
      <c r="Q43" s="35" t="n">
        <f aca="false">③仙台以降予測!K57</f>
        <v>170</v>
      </c>
      <c r="R43" s="35" t="n">
        <f aca="false">MAX(0,MIN(Q43,P43))</f>
        <v>170</v>
      </c>
      <c r="S43" s="35" t="n">
        <f aca="false">Q43-R43</f>
        <v>0</v>
      </c>
      <c r="T43" s="35" t="n">
        <f aca="false">P43-R43</f>
        <v>1030</v>
      </c>
      <c r="U43" s="35" t="n">
        <f aca="false">T43</f>
        <v>1030</v>
      </c>
      <c r="V43" s="35" t="n">
        <f aca="false">③仙台以降予測!L57</f>
        <v>946</v>
      </c>
      <c r="W43" s="35" t="n">
        <f aca="false">MAX(0,MIN(V43,U43))</f>
        <v>946</v>
      </c>
      <c r="X43" s="35" t="n">
        <f aca="false">V43-W43</f>
        <v>0</v>
      </c>
      <c r="Y43" s="35" t="n">
        <f aca="false">U43-W43</f>
        <v>84</v>
      </c>
      <c r="Z43" s="35" t="n">
        <f aca="false">H43+M43+R43+W43</f>
        <v>1184</v>
      </c>
      <c r="AA43" s="35" t="n">
        <f aca="false">I43+N43+S43+X43</f>
        <v>405</v>
      </c>
      <c r="AB43" s="34" t="n">
        <f aca="false">Z43*D43</f>
        <v>2131200</v>
      </c>
      <c r="AC43" s="69" t="s">
        <v>1411</v>
      </c>
    </row>
    <row r="44" customFormat="false" ht="25.35" hidden="false" customHeight="false" outlineLevel="0" collapsed="false">
      <c r="A44" s="32" t="n">
        <v>29</v>
      </c>
      <c r="B44" s="32" t="s">
        <v>342</v>
      </c>
      <c r="C44" s="33" t="s">
        <v>343</v>
      </c>
      <c r="D44" s="34" t="n">
        <v>1500</v>
      </c>
      <c r="E44" s="35" t="n">
        <f aca="false">③仙台以降予測!V58</f>
        <v>177</v>
      </c>
      <c r="F44" s="35" t="n">
        <f aca="false">E44</f>
        <v>177</v>
      </c>
      <c r="G44" s="35" t="n">
        <f aca="false">③仙台以降予測!I58</f>
        <v>163</v>
      </c>
      <c r="H44" s="35" t="n">
        <f aca="false">MAX(0,MIN(G44,F44))</f>
        <v>163</v>
      </c>
      <c r="I44" s="35" t="n">
        <f aca="false">G44-H44</f>
        <v>0</v>
      </c>
      <c r="J44" s="35" t="n">
        <f aca="false">F44-H44</f>
        <v>14</v>
      </c>
      <c r="K44" s="35" t="n">
        <f aca="false">J44</f>
        <v>14</v>
      </c>
      <c r="L44" s="35" t="n">
        <f aca="false">③仙台以降予測!J58</f>
        <v>150</v>
      </c>
      <c r="M44" s="35" t="n">
        <f aca="false">MAX(0,MIN(L44,K44))</f>
        <v>14</v>
      </c>
      <c r="N44" s="35" t="n">
        <f aca="false">L44-M44</f>
        <v>136</v>
      </c>
      <c r="O44" s="35" t="n">
        <f aca="false">K44-M44</f>
        <v>0</v>
      </c>
      <c r="P44" s="35" t="n">
        <f aca="false">O44</f>
        <v>0</v>
      </c>
      <c r="Q44" s="35" t="n">
        <f aca="false">③仙台以降予測!K58</f>
        <v>113</v>
      </c>
      <c r="R44" s="35" t="n">
        <f aca="false">MAX(0,MIN(Q44,P44))</f>
        <v>0</v>
      </c>
      <c r="S44" s="35" t="n">
        <f aca="false">Q44-R44</f>
        <v>113</v>
      </c>
      <c r="T44" s="35" t="n">
        <f aca="false">P44-R44</f>
        <v>0</v>
      </c>
      <c r="U44" s="35" t="n">
        <f aca="false">T44</f>
        <v>0</v>
      </c>
      <c r="V44" s="35" t="n">
        <f aca="false">③仙台以降予測!L58</f>
        <v>626</v>
      </c>
      <c r="W44" s="35" t="n">
        <f aca="false">MAX(0,MIN(V44,U44))</f>
        <v>0</v>
      </c>
      <c r="X44" s="35" t="n">
        <f aca="false">V44-W44</f>
        <v>626</v>
      </c>
      <c r="Y44" s="35" t="n">
        <f aca="false">U44-W44</f>
        <v>0</v>
      </c>
      <c r="Z44" s="35" t="n">
        <f aca="false">H44+M44+R44+W44</f>
        <v>177</v>
      </c>
      <c r="AA44" s="35" t="n">
        <f aca="false">I44+N44+S44+X44</f>
        <v>875</v>
      </c>
      <c r="AB44" s="34" t="n">
        <f aca="false">Z44*D44</f>
        <v>265500</v>
      </c>
      <c r="AC44" s="69" t="s">
        <v>1410</v>
      </c>
    </row>
    <row r="45" customFormat="false" ht="15" hidden="false" customHeight="false" outlineLevel="0" collapsed="false">
      <c r="A45" s="32" t="n">
        <v>30</v>
      </c>
      <c r="B45" s="32" t="s">
        <v>344</v>
      </c>
      <c r="C45" s="33" t="s">
        <v>345</v>
      </c>
      <c r="D45" s="34" t="n">
        <v>3300</v>
      </c>
      <c r="E45" s="35" t="n">
        <f aca="false">③仙台以降予測!V59</f>
        <v>781</v>
      </c>
      <c r="F45" s="35" t="n">
        <f aca="false">E45</f>
        <v>781</v>
      </c>
      <c r="G45" s="35" t="n">
        <f aca="false">③仙台以降予測!I59</f>
        <v>80</v>
      </c>
      <c r="H45" s="35" t="n">
        <f aca="false">MAX(0,MIN(G45,F45))</f>
        <v>80</v>
      </c>
      <c r="I45" s="35" t="n">
        <f aca="false">G45-H45</f>
        <v>0</v>
      </c>
      <c r="J45" s="35" t="n">
        <f aca="false">F45-H45</f>
        <v>701</v>
      </c>
      <c r="K45" s="35" t="n">
        <f aca="false">J45</f>
        <v>701</v>
      </c>
      <c r="L45" s="35" t="n">
        <f aca="false">③仙台以降予測!J59</f>
        <v>74</v>
      </c>
      <c r="M45" s="35" t="n">
        <f aca="false">MAX(0,MIN(L45,K45))</f>
        <v>74</v>
      </c>
      <c r="N45" s="35" t="n">
        <f aca="false">L45-M45</f>
        <v>0</v>
      </c>
      <c r="O45" s="35" t="n">
        <f aca="false">K45-M45</f>
        <v>627</v>
      </c>
      <c r="P45" s="35" t="n">
        <f aca="false">O45</f>
        <v>627</v>
      </c>
      <c r="Q45" s="35" t="n">
        <f aca="false">③仙台以降予測!K59</f>
        <v>56</v>
      </c>
      <c r="R45" s="35" t="n">
        <f aca="false">MAX(0,MIN(Q45,P45))</f>
        <v>56</v>
      </c>
      <c r="S45" s="35" t="n">
        <f aca="false">Q45-R45</f>
        <v>0</v>
      </c>
      <c r="T45" s="35" t="n">
        <f aca="false">P45-R45</f>
        <v>571</v>
      </c>
      <c r="U45" s="35" t="n">
        <f aca="false">T45</f>
        <v>571</v>
      </c>
      <c r="V45" s="35" t="n">
        <f aca="false">③仙台以降予測!L59</f>
        <v>309</v>
      </c>
      <c r="W45" s="35" t="n">
        <f aca="false">MAX(0,MIN(V45,U45))</f>
        <v>309</v>
      </c>
      <c r="X45" s="35" t="n">
        <f aca="false">V45-W45</f>
        <v>0</v>
      </c>
      <c r="Y45" s="35" t="n">
        <f aca="false">U45-W45</f>
        <v>262</v>
      </c>
      <c r="Z45" s="35" t="n">
        <f aca="false">H45+M45+R45+W45</f>
        <v>519</v>
      </c>
      <c r="AA45" s="35" t="n">
        <f aca="false">I45+N45+S45+X45</f>
        <v>0</v>
      </c>
      <c r="AB45" s="34" t="n">
        <f aca="false">Z45*D45</f>
        <v>1712700</v>
      </c>
      <c r="AC45" s="72"/>
    </row>
    <row r="46" customFormat="false" ht="15" hidden="false" customHeight="false" outlineLevel="0" collapsed="false">
      <c r="A46" s="32" t="n">
        <v>31</v>
      </c>
      <c r="B46" s="32" t="s">
        <v>346</v>
      </c>
      <c r="C46" s="33" t="s">
        <v>347</v>
      </c>
      <c r="D46" s="34" t="n">
        <v>1300</v>
      </c>
      <c r="E46" s="35" t="n">
        <f aca="false">③仙台以降予測!V60</f>
        <v>765</v>
      </c>
      <c r="F46" s="35" t="n">
        <f aca="false">E46</f>
        <v>765</v>
      </c>
      <c r="G46" s="35" t="n">
        <f aca="false">③仙台以降予測!I60</f>
        <v>111</v>
      </c>
      <c r="H46" s="35" t="n">
        <f aca="false">MAX(0,MIN(G46,F46))</f>
        <v>111</v>
      </c>
      <c r="I46" s="35" t="n">
        <f aca="false">G46-H46</f>
        <v>0</v>
      </c>
      <c r="J46" s="35" t="n">
        <f aca="false">F46-H46</f>
        <v>654</v>
      </c>
      <c r="K46" s="35" t="n">
        <f aca="false">J46</f>
        <v>654</v>
      </c>
      <c r="L46" s="35" t="n">
        <f aca="false">③仙台以降予測!J60</f>
        <v>102</v>
      </c>
      <c r="M46" s="35" t="n">
        <f aca="false">MAX(0,MIN(L46,K46))</f>
        <v>102</v>
      </c>
      <c r="N46" s="35" t="n">
        <f aca="false">L46-M46</f>
        <v>0</v>
      </c>
      <c r="O46" s="35" t="n">
        <f aca="false">K46-M46</f>
        <v>552</v>
      </c>
      <c r="P46" s="35" t="n">
        <f aca="false">O46</f>
        <v>552</v>
      </c>
      <c r="Q46" s="35" t="n">
        <f aca="false">③仙台以降予測!K60</f>
        <v>77</v>
      </c>
      <c r="R46" s="35" t="n">
        <f aca="false">MAX(0,MIN(Q46,P46))</f>
        <v>77</v>
      </c>
      <c r="S46" s="35" t="n">
        <f aca="false">Q46-R46</f>
        <v>0</v>
      </c>
      <c r="T46" s="35" t="n">
        <f aca="false">P46-R46</f>
        <v>475</v>
      </c>
      <c r="U46" s="35" t="n">
        <f aca="false">T46</f>
        <v>475</v>
      </c>
      <c r="V46" s="35" t="n">
        <f aca="false">③仙台以降予測!L60</f>
        <v>425</v>
      </c>
      <c r="W46" s="35" t="n">
        <f aca="false">MAX(0,MIN(V46,U46))</f>
        <v>425</v>
      </c>
      <c r="X46" s="35" t="n">
        <f aca="false">V46-W46</f>
        <v>0</v>
      </c>
      <c r="Y46" s="35" t="n">
        <f aca="false">U46-W46</f>
        <v>50</v>
      </c>
      <c r="Z46" s="35" t="n">
        <f aca="false">H46+M46+R46+W46</f>
        <v>715</v>
      </c>
      <c r="AA46" s="35" t="n">
        <f aca="false">I46+N46+S46+X46</f>
        <v>0</v>
      </c>
      <c r="AB46" s="34" t="n">
        <f aca="false">Z46*D46</f>
        <v>929500</v>
      </c>
      <c r="AC46" s="72"/>
    </row>
    <row r="47" customFormat="false" ht="25.35" hidden="false" customHeight="false" outlineLevel="0" collapsed="false">
      <c r="A47" s="32" t="n">
        <v>32</v>
      </c>
      <c r="B47" s="32" t="s">
        <v>348</v>
      </c>
      <c r="C47" s="33" t="s">
        <v>349</v>
      </c>
      <c r="D47" s="34" t="n">
        <v>8800</v>
      </c>
      <c r="E47" s="35" t="n">
        <f aca="false">③仙台以降予測!V61</f>
        <v>15</v>
      </c>
      <c r="F47" s="35" t="n">
        <f aca="false">E47</f>
        <v>15</v>
      </c>
      <c r="G47" s="35" t="n">
        <f aca="false">③仙台以降予測!I61</f>
        <v>10</v>
      </c>
      <c r="H47" s="35" t="n">
        <f aca="false">MAX(0,MIN(G47,F47))</f>
        <v>10</v>
      </c>
      <c r="I47" s="35" t="n">
        <f aca="false">G47-H47</f>
        <v>0</v>
      </c>
      <c r="J47" s="35" t="n">
        <f aca="false">F47-H47</f>
        <v>5</v>
      </c>
      <c r="K47" s="35" t="n">
        <f aca="false">J47</f>
        <v>5</v>
      </c>
      <c r="L47" s="35" t="n">
        <f aca="false">③仙台以降予測!J61</f>
        <v>9</v>
      </c>
      <c r="M47" s="35" t="n">
        <f aca="false">MAX(0,MIN(L47,K47))</f>
        <v>5</v>
      </c>
      <c r="N47" s="35" t="n">
        <f aca="false">L47-M47</f>
        <v>4</v>
      </c>
      <c r="O47" s="35" t="n">
        <f aca="false">K47-M47</f>
        <v>0</v>
      </c>
      <c r="P47" s="35" t="n">
        <f aca="false">O47</f>
        <v>0</v>
      </c>
      <c r="Q47" s="35" t="n">
        <f aca="false">③仙台以降予測!K61</f>
        <v>7</v>
      </c>
      <c r="R47" s="35" t="n">
        <f aca="false">MAX(0,MIN(Q47,P47))</f>
        <v>0</v>
      </c>
      <c r="S47" s="35" t="n">
        <f aca="false">Q47-R47</f>
        <v>7</v>
      </c>
      <c r="T47" s="35" t="n">
        <f aca="false">P47-R47</f>
        <v>0</v>
      </c>
      <c r="U47" s="35" t="n">
        <f aca="false">T47</f>
        <v>0</v>
      </c>
      <c r="V47" s="35" t="n">
        <f aca="false">③仙台以降予測!L61</f>
        <v>38</v>
      </c>
      <c r="W47" s="35" t="n">
        <f aca="false">MAX(0,MIN(V47,U47))</f>
        <v>0</v>
      </c>
      <c r="X47" s="35" t="n">
        <f aca="false">V47-W47</f>
        <v>38</v>
      </c>
      <c r="Y47" s="35" t="n">
        <f aca="false">U47-W47</f>
        <v>0</v>
      </c>
      <c r="Z47" s="35" t="n">
        <f aca="false">H47+M47+R47+W47</f>
        <v>15</v>
      </c>
      <c r="AA47" s="35" t="n">
        <f aca="false">I47+N47+S47+X47</f>
        <v>49</v>
      </c>
      <c r="AB47" s="34" t="n">
        <f aca="false">Z47*D47</f>
        <v>132000</v>
      </c>
      <c r="AC47" s="69" t="s">
        <v>1410</v>
      </c>
    </row>
    <row r="48" customFormat="false" ht="15" hidden="false" customHeight="false" outlineLevel="0" collapsed="false">
      <c r="A48" s="32" t="n">
        <v>33</v>
      </c>
      <c r="B48" s="32" t="s">
        <v>350</v>
      </c>
      <c r="C48" s="33" t="s">
        <v>351</v>
      </c>
      <c r="D48" s="34" t="n">
        <v>27500</v>
      </c>
      <c r="E48" s="35" t="n">
        <f aca="false">③仙台以降予測!V62</f>
        <v>98</v>
      </c>
      <c r="F48" s="35" t="n">
        <f aca="false">E48</f>
        <v>98</v>
      </c>
      <c r="G48" s="35" t="n">
        <f aca="false">③仙台以降予測!I62</f>
        <v>6</v>
      </c>
      <c r="H48" s="35" t="n">
        <f aca="false">MAX(0,MIN(G48,F48))</f>
        <v>6</v>
      </c>
      <c r="I48" s="35" t="n">
        <f aca="false">G48-H48</f>
        <v>0</v>
      </c>
      <c r="J48" s="35" t="n">
        <f aca="false">F48-H48</f>
        <v>92</v>
      </c>
      <c r="K48" s="35" t="n">
        <f aca="false">J48</f>
        <v>92</v>
      </c>
      <c r="L48" s="35" t="n">
        <f aca="false">③仙台以降予測!J62</f>
        <v>6</v>
      </c>
      <c r="M48" s="35" t="n">
        <f aca="false">MAX(0,MIN(L48,K48))</f>
        <v>6</v>
      </c>
      <c r="N48" s="35" t="n">
        <f aca="false">L48-M48</f>
        <v>0</v>
      </c>
      <c r="O48" s="35" t="n">
        <f aca="false">K48-M48</f>
        <v>86</v>
      </c>
      <c r="P48" s="35" t="n">
        <f aca="false">O48</f>
        <v>86</v>
      </c>
      <c r="Q48" s="35" t="n">
        <f aca="false">③仙台以降予測!K62</f>
        <v>4</v>
      </c>
      <c r="R48" s="35" t="n">
        <f aca="false">MAX(0,MIN(Q48,P48))</f>
        <v>4</v>
      </c>
      <c r="S48" s="35" t="n">
        <f aca="false">Q48-R48</f>
        <v>0</v>
      </c>
      <c r="T48" s="35" t="n">
        <f aca="false">P48-R48</f>
        <v>82</v>
      </c>
      <c r="U48" s="35" t="n">
        <f aca="false">T48</f>
        <v>82</v>
      </c>
      <c r="V48" s="35" t="n">
        <f aca="false">③仙台以降予測!L62</f>
        <v>24</v>
      </c>
      <c r="W48" s="35" t="n">
        <f aca="false">MAX(0,MIN(V48,U48))</f>
        <v>24</v>
      </c>
      <c r="X48" s="35" t="n">
        <f aca="false">V48-W48</f>
        <v>0</v>
      </c>
      <c r="Y48" s="35" t="n">
        <f aca="false">U48-W48</f>
        <v>58</v>
      </c>
      <c r="Z48" s="35" t="n">
        <f aca="false">H48+M48+R48+W48</f>
        <v>40</v>
      </c>
      <c r="AA48" s="35" t="n">
        <f aca="false">I48+N48+S48+X48</f>
        <v>0</v>
      </c>
      <c r="AB48" s="34" t="n">
        <f aca="false">Z48*D48</f>
        <v>1100000</v>
      </c>
      <c r="AC48" s="72"/>
    </row>
    <row r="49" customFormat="false" ht="25.35" hidden="false" customHeight="false" outlineLevel="0" collapsed="false">
      <c r="A49" s="32" t="n">
        <v>34</v>
      </c>
      <c r="B49" s="32" t="s">
        <v>352</v>
      </c>
      <c r="C49" s="33" t="s">
        <v>353</v>
      </c>
      <c r="D49" s="34" t="n">
        <v>27500</v>
      </c>
      <c r="E49" s="35" t="n">
        <f aca="false">③仙台以降予測!V63</f>
        <v>1</v>
      </c>
      <c r="F49" s="35" t="n">
        <f aca="false">E49</f>
        <v>1</v>
      </c>
      <c r="G49" s="35" t="n">
        <f aca="false">③仙台以降予測!I63</f>
        <v>2</v>
      </c>
      <c r="H49" s="35" t="n">
        <f aca="false">MAX(0,MIN(G49,F49))</f>
        <v>1</v>
      </c>
      <c r="I49" s="35" t="n">
        <f aca="false">G49-H49</f>
        <v>1</v>
      </c>
      <c r="J49" s="35" t="n">
        <f aca="false">F49-H49</f>
        <v>0</v>
      </c>
      <c r="K49" s="35" t="n">
        <f aca="false">J49</f>
        <v>0</v>
      </c>
      <c r="L49" s="35" t="n">
        <f aca="false">③仙台以降予測!J63</f>
        <v>2</v>
      </c>
      <c r="M49" s="35" t="n">
        <f aca="false">MAX(0,MIN(L49,K49))</f>
        <v>0</v>
      </c>
      <c r="N49" s="35" t="n">
        <f aca="false">L49-M49</f>
        <v>2</v>
      </c>
      <c r="O49" s="35" t="n">
        <f aca="false">K49-M49</f>
        <v>0</v>
      </c>
      <c r="P49" s="35" t="n">
        <f aca="false">O49</f>
        <v>0</v>
      </c>
      <c r="Q49" s="35" t="n">
        <f aca="false">③仙台以降予測!K63</f>
        <v>1</v>
      </c>
      <c r="R49" s="35" t="n">
        <f aca="false">MAX(0,MIN(Q49,P49))</f>
        <v>0</v>
      </c>
      <c r="S49" s="35" t="n">
        <f aca="false">Q49-R49</f>
        <v>1</v>
      </c>
      <c r="T49" s="35" t="n">
        <f aca="false">P49-R49</f>
        <v>0</v>
      </c>
      <c r="U49" s="35" t="n">
        <f aca="false">T49</f>
        <v>0</v>
      </c>
      <c r="V49" s="35" t="n">
        <f aca="false">③仙台以降予測!L63</f>
        <v>8</v>
      </c>
      <c r="W49" s="35" t="n">
        <f aca="false">MAX(0,MIN(V49,U49))</f>
        <v>0</v>
      </c>
      <c r="X49" s="35" t="n">
        <f aca="false">V49-W49</f>
        <v>8</v>
      </c>
      <c r="Y49" s="35" t="n">
        <f aca="false">U49-W49</f>
        <v>0</v>
      </c>
      <c r="Z49" s="35" t="n">
        <f aca="false">H49+M49+R49+W49</f>
        <v>1</v>
      </c>
      <c r="AA49" s="35" t="n">
        <f aca="false">I49+N49+S49+X49</f>
        <v>12</v>
      </c>
      <c r="AB49" s="34" t="n">
        <f aca="false">Z49*D49</f>
        <v>27500</v>
      </c>
      <c r="AC49" s="69" t="s">
        <v>1412</v>
      </c>
    </row>
    <row r="50" customFormat="false" ht="25.35" hidden="false" customHeight="false" outlineLevel="0" collapsed="false">
      <c r="A50" s="32" t="n">
        <v>35</v>
      </c>
      <c r="B50" s="32" t="s">
        <v>354</v>
      </c>
      <c r="C50" s="33" t="s">
        <v>355</v>
      </c>
      <c r="D50" s="34" t="n">
        <v>27500</v>
      </c>
      <c r="E50" s="35" t="n">
        <f aca="false">③仙台以降予測!V64</f>
        <v>2</v>
      </c>
      <c r="F50" s="35" t="n">
        <f aca="false">E50</f>
        <v>2</v>
      </c>
      <c r="G50" s="35" t="n">
        <f aca="false">③仙台以降予測!I64</f>
        <v>1</v>
      </c>
      <c r="H50" s="35" t="n">
        <f aca="false">MAX(0,MIN(G50,F50))</f>
        <v>1</v>
      </c>
      <c r="I50" s="35" t="n">
        <f aca="false">G50-H50</f>
        <v>0</v>
      </c>
      <c r="J50" s="35" t="n">
        <f aca="false">F50-H50</f>
        <v>1</v>
      </c>
      <c r="K50" s="35" t="n">
        <f aca="false">J50</f>
        <v>1</v>
      </c>
      <c r="L50" s="35" t="n">
        <f aca="false">③仙台以降予測!J64</f>
        <v>1</v>
      </c>
      <c r="M50" s="35" t="n">
        <f aca="false">MAX(0,MIN(L50,K50))</f>
        <v>1</v>
      </c>
      <c r="N50" s="35" t="n">
        <f aca="false">L50-M50</f>
        <v>0</v>
      </c>
      <c r="O50" s="35" t="n">
        <f aca="false">K50-M50</f>
        <v>0</v>
      </c>
      <c r="P50" s="35" t="n">
        <f aca="false">O50</f>
        <v>0</v>
      </c>
      <c r="Q50" s="35" t="n">
        <f aca="false">③仙台以降予測!K64</f>
        <v>1</v>
      </c>
      <c r="R50" s="35" t="n">
        <f aca="false">MAX(0,MIN(Q50,P50))</f>
        <v>0</v>
      </c>
      <c r="S50" s="35" t="n">
        <f aca="false">Q50-R50</f>
        <v>1</v>
      </c>
      <c r="T50" s="35" t="n">
        <f aca="false">P50-R50</f>
        <v>0</v>
      </c>
      <c r="U50" s="35" t="n">
        <f aca="false">T50</f>
        <v>0</v>
      </c>
      <c r="V50" s="35" t="n">
        <f aca="false">③仙台以降予測!L64</f>
        <v>6</v>
      </c>
      <c r="W50" s="35" t="n">
        <f aca="false">MAX(0,MIN(V50,U50))</f>
        <v>0</v>
      </c>
      <c r="X50" s="35" t="n">
        <f aca="false">V50-W50</f>
        <v>6</v>
      </c>
      <c r="Y50" s="35" t="n">
        <f aca="false">U50-W50</f>
        <v>0</v>
      </c>
      <c r="Z50" s="35" t="n">
        <f aca="false">H50+M50+R50+W50</f>
        <v>2</v>
      </c>
      <c r="AA50" s="35" t="n">
        <f aca="false">I50+N50+S50+X50</f>
        <v>7</v>
      </c>
      <c r="AB50" s="34" t="n">
        <f aca="false">Z50*D50</f>
        <v>55000</v>
      </c>
      <c r="AC50" s="69" t="s">
        <v>1408</v>
      </c>
    </row>
    <row r="51" customFormat="false" ht="25.35" hidden="false" customHeight="false" outlineLevel="0" collapsed="false">
      <c r="A51" s="32" t="n">
        <v>36</v>
      </c>
      <c r="B51" s="32" t="s">
        <v>356</v>
      </c>
      <c r="C51" s="33" t="s">
        <v>357</v>
      </c>
      <c r="D51" s="34" t="n">
        <v>27500</v>
      </c>
      <c r="E51" s="35" t="n">
        <f aca="false">③仙台以降予測!V65</f>
        <v>2</v>
      </c>
      <c r="F51" s="35" t="n">
        <f aca="false">E51</f>
        <v>2</v>
      </c>
      <c r="G51" s="35" t="n">
        <f aca="false">③仙台以降予測!I65</f>
        <v>1</v>
      </c>
      <c r="H51" s="35" t="n">
        <f aca="false">MAX(0,MIN(G51,F51))</f>
        <v>1</v>
      </c>
      <c r="I51" s="35" t="n">
        <f aca="false">G51-H51</f>
        <v>0</v>
      </c>
      <c r="J51" s="35" t="n">
        <f aca="false">F51-H51</f>
        <v>1</v>
      </c>
      <c r="K51" s="35" t="n">
        <f aca="false">J51</f>
        <v>1</v>
      </c>
      <c r="L51" s="35" t="n">
        <f aca="false">③仙台以降予測!J65</f>
        <v>1</v>
      </c>
      <c r="M51" s="35" t="n">
        <f aca="false">MAX(0,MIN(L51,K51))</f>
        <v>1</v>
      </c>
      <c r="N51" s="35" t="n">
        <f aca="false">L51-M51</f>
        <v>0</v>
      </c>
      <c r="O51" s="35" t="n">
        <f aca="false">K51-M51</f>
        <v>0</v>
      </c>
      <c r="P51" s="35" t="n">
        <f aca="false">O51</f>
        <v>0</v>
      </c>
      <c r="Q51" s="35" t="n">
        <f aca="false">③仙台以降予測!K65</f>
        <v>1</v>
      </c>
      <c r="R51" s="35" t="n">
        <f aca="false">MAX(0,MIN(Q51,P51))</f>
        <v>0</v>
      </c>
      <c r="S51" s="35" t="n">
        <f aca="false">Q51-R51</f>
        <v>1</v>
      </c>
      <c r="T51" s="35" t="n">
        <f aca="false">P51-R51</f>
        <v>0</v>
      </c>
      <c r="U51" s="35" t="n">
        <f aca="false">T51</f>
        <v>0</v>
      </c>
      <c r="V51" s="35" t="n">
        <f aca="false">③仙台以降予測!L65</f>
        <v>6</v>
      </c>
      <c r="W51" s="35" t="n">
        <f aca="false">MAX(0,MIN(V51,U51))</f>
        <v>0</v>
      </c>
      <c r="X51" s="35" t="n">
        <f aca="false">V51-W51</f>
        <v>6</v>
      </c>
      <c r="Y51" s="35" t="n">
        <f aca="false">U51-W51</f>
        <v>0</v>
      </c>
      <c r="Z51" s="35" t="n">
        <f aca="false">H51+M51+R51+W51</f>
        <v>2</v>
      </c>
      <c r="AA51" s="35" t="n">
        <f aca="false">I51+N51+S51+X51</f>
        <v>7</v>
      </c>
      <c r="AB51" s="34" t="n">
        <f aca="false">Z51*D51</f>
        <v>55000</v>
      </c>
      <c r="AC51" s="69" t="s">
        <v>1408</v>
      </c>
    </row>
    <row r="52" customFormat="false" ht="15" hidden="false" customHeight="false" outlineLevel="0" collapsed="false">
      <c r="A52" s="32" t="n">
        <v>37</v>
      </c>
      <c r="B52" s="32" t="s">
        <v>358</v>
      </c>
      <c r="C52" s="33" t="s">
        <v>359</v>
      </c>
      <c r="D52" s="34" t="n">
        <v>27500</v>
      </c>
      <c r="E52" s="35" t="n">
        <f aca="false">③仙台以降予測!V66</f>
        <v>28</v>
      </c>
      <c r="F52" s="35" t="n">
        <f aca="false">E52</f>
        <v>28</v>
      </c>
      <c r="G52" s="35" t="n">
        <f aca="false">③仙台以降予測!I66</f>
        <v>5</v>
      </c>
      <c r="H52" s="35" t="n">
        <f aca="false">MAX(0,MIN(G52,F52))</f>
        <v>5</v>
      </c>
      <c r="I52" s="35" t="n">
        <f aca="false">G52-H52</f>
        <v>0</v>
      </c>
      <c r="J52" s="35" t="n">
        <f aca="false">F52-H52</f>
        <v>23</v>
      </c>
      <c r="K52" s="35" t="n">
        <f aca="false">J52</f>
        <v>23</v>
      </c>
      <c r="L52" s="35" t="n">
        <f aca="false">③仙台以降予測!J66</f>
        <v>5</v>
      </c>
      <c r="M52" s="35" t="n">
        <f aca="false">MAX(0,MIN(L52,K52))</f>
        <v>5</v>
      </c>
      <c r="N52" s="35" t="n">
        <f aca="false">L52-M52</f>
        <v>0</v>
      </c>
      <c r="O52" s="35" t="n">
        <f aca="false">K52-M52</f>
        <v>18</v>
      </c>
      <c r="P52" s="35" t="n">
        <f aca="false">O52</f>
        <v>18</v>
      </c>
      <c r="Q52" s="35" t="n">
        <f aca="false">③仙台以降予測!K66</f>
        <v>4</v>
      </c>
      <c r="R52" s="35" t="n">
        <f aca="false">MAX(0,MIN(Q52,P52))</f>
        <v>4</v>
      </c>
      <c r="S52" s="35" t="n">
        <f aca="false">Q52-R52</f>
        <v>0</v>
      </c>
      <c r="T52" s="35" t="n">
        <f aca="false">P52-R52</f>
        <v>14</v>
      </c>
      <c r="U52" s="35" t="n">
        <f aca="false">T52</f>
        <v>14</v>
      </c>
      <c r="V52" s="35" t="n">
        <f aca="false">③仙台以降予測!L66</f>
        <v>20</v>
      </c>
      <c r="W52" s="35" t="n">
        <f aca="false">MAX(0,MIN(V52,U52))</f>
        <v>14</v>
      </c>
      <c r="X52" s="35" t="n">
        <f aca="false">V52-W52</f>
        <v>6</v>
      </c>
      <c r="Y52" s="35" t="n">
        <f aca="false">U52-W52</f>
        <v>0</v>
      </c>
      <c r="Z52" s="35" t="n">
        <f aca="false">H52+M52+R52+W52</f>
        <v>28</v>
      </c>
      <c r="AA52" s="35" t="n">
        <f aca="false">I52+N52+S52+X52</f>
        <v>6</v>
      </c>
      <c r="AB52" s="34" t="n">
        <f aca="false">Z52*D52</f>
        <v>770000</v>
      </c>
      <c r="AC52" s="69" t="s">
        <v>1406</v>
      </c>
    </row>
    <row r="53" customFormat="false" ht="25.35" hidden="false" customHeight="false" outlineLevel="0" collapsed="false">
      <c r="A53" s="32" t="n">
        <v>38</v>
      </c>
      <c r="B53" s="32" t="s">
        <v>360</v>
      </c>
      <c r="C53" s="33" t="s">
        <v>361</v>
      </c>
      <c r="D53" s="34" t="n">
        <v>27500</v>
      </c>
      <c r="E53" s="35" t="n">
        <f aca="false">③仙台以降予測!V67</f>
        <v>1</v>
      </c>
      <c r="F53" s="35" t="n">
        <f aca="false">E53</f>
        <v>1</v>
      </c>
      <c r="G53" s="35" t="n">
        <f aca="false">③仙台以降予測!I67</f>
        <v>2</v>
      </c>
      <c r="H53" s="35" t="n">
        <f aca="false">MAX(0,MIN(G53,F53))</f>
        <v>1</v>
      </c>
      <c r="I53" s="35" t="n">
        <f aca="false">G53-H53</f>
        <v>1</v>
      </c>
      <c r="J53" s="35" t="n">
        <f aca="false">F53-H53</f>
        <v>0</v>
      </c>
      <c r="K53" s="35" t="n">
        <f aca="false">J53</f>
        <v>0</v>
      </c>
      <c r="L53" s="35" t="n">
        <f aca="false">③仙台以降予測!J67</f>
        <v>2</v>
      </c>
      <c r="M53" s="35" t="n">
        <f aca="false">MAX(0,MIN(L53,K53))</f>
        <v>0</v>
      </c>
      <c r="N53" s="35" t="n">
        <f aca="false">L53-M53</f>
        <v>2</v>
      </c>
      <c r="O53" s="35" t="n">
        <f aca="false">K53-M53</f>
        <v>0</v>
      </c>
      <c r="P53" s="35" t="n">
        <f aca="false">O53</f>
        <v>0</v>
      </c>
      <c r="Q53" s="35" t="n">
        <f aca="false">③仙台以降予測!K67</f>
        <v>1</v>
      </c>
      <c r="R53" s="35" t="n">
        <f aca="false">MAX(0,MIN(Q53,P53))</f>
        <v>0</v>
      </c>
      <c r="S53" s="35" t="n">
        <f aca="false">Q53-R53</f>
        <v>1</v>
      </c>
      <c r="T53" s="35" t="n">
        <f aca="false">P53-R53</f>
        <v>0</v>
      </c>
      <c r="U53" s="35" t="n">
        <f aca="false">T53</f>
        <v>0</v>
      </c>
      <c r="V53" s="35" t="n">
        <f aca="false">③仙台以降予測!L67</f>
        <v>8</v>
      </c>
      <c r="W53" s="35" t="n">
        <f aca="false">MAX(0,MIN(V53,U53))</f>
        <v>0</v>
      </c>
      <c r="X53" s="35" t="n">
        <f aca="false">V53-W53</f>
        <v>8</v>
      </c>
      <c r="Y53" s="35" t="n">
        <f aca="false">U53-W53</f>
        <v>0</v>
      </c>
      <c r="Z53" s="35" t="n">
        <f aca="false">H53+M53+R53+W53</f>
        <v>1</v>
      </c>
      <c r="AA53" s="35" t="n">
        <f aca="false">I53+N53+S53+X53</f>
        <v>12</v>
      </c>
      <c r="AB53" s="34" t="n">
        <f aca="false">Z53*D53</f>
        <v>27500</v>
      </c>
      <c r="AC53" s="69" t="s">
        <v>1412</v>
      </c>
    </row>
    <row r="54" customFormat="false" ht="25.35" hidden="false" customHeight="false" outlineLevel="0" collapsed="false">
      <c r="A54" s="32" t="n">
        <v>39</v>
      </c>
      <c r="B54" s="32" t="s">
        <v>362</v>
      </c>
      <c r="C54" s="33" t="s">
        <v>363</v>
      </c>
      <c r="D54" s="34" t="n">
        <v>27500</v>
      </c>
      <c r="E54" s="35" t="n">
        <f aca="false">③仙台以降予測!V68</f>
        <v>0</v>
      </c>
      <c r="F54" s="35" t="n">
        <f aca="false">E54</f>
        <v>0</v>
      </c>
      <c r="G54" s="35" t="n">
        <f aca="false">③仙台以降予測!I68</f>
        <v>3</v>
      </c>
      <c r="H54" s="35" t="n">
        <f aca="false">MAX(0,MIN(G54,F54))</f>
        <v>0</v>
      </c>
      <c r="I54" s="35" t="n">
        <f aca="false">G54-H54</f>
        <v>3</v>
      </c>
      <c r="J54" s="35" t="n">
        <f aca="false">F54-H54</f>
        <v>0</v>
      </c>
      <c r="K54" s="35" t="n">
        <f aca="false">J54</f>
        <v>0</v>
      </c>
      <c r="L54" s="35" t="n">
        <f aca="false">③仙台以降予測!J68</f>
        <v>3</v>
      </c>
      <c r="M54" s="35" t="n">
        <f aca="false">MAX(0,MIN(L54,K54))</f>
        <v>0</v>
      </c>
      <c r="N54" s="35" t="n">
        <f aca="false">L54-M54</f>
        <v>3</v>
      </c>
      <c r="O54" s="35" t="n">
        <f aca="false">K54-M54</f>
        <v>0</v>
      </c>
      <c r="P54" s="35" t="n">
        <f aca="false">O54</f>
        <v>0</v>
      </c>
      <c r="Q54" s="35" t="n">
        <f aca="false">③仙台以降予測!K68</f>
        <v>2</v>
      </c>
      <c r="R54" s="35" t="n">
        <f aca="false">MAX(0,MIN(Q54,P54))</f>
        <v>0</v>
      </c>
      <c r="S54" s="35" t="n">
        <f aca="false">Q54-R54</f>
        <v>2</v>
      </c>
      <c r="T54" s="35" t="n">
        <f aca="false">P54-R54</f>
        <v>0</v>
      </c>
      <c r="U54" s="35" t="n">
        <f aca="false">T54</f>
        <v>0</v>
      </c>
      <c r="V54" s="35" t="n">
        <f aca="false">③仙台以降予測!L68</f>
        <v>11</v>
      </c>
      <c r="W54" s="35" t="n">
        <f aca="false">MAX(0,MIN(V54,U54))</f>
        <v>0</v>
      </c>
      <c r="X54" s="35" t="n">
        <f aca="false">V54-W54</f>
        <v>11</v>
      </c>
      <c r="Y54" s="35" t="n">
        <f aca="false">U54-W54</f>
        <v>0</v>
      </c>
      <c r="Z54" s="35" t="n">
        <f aca="false">H54+M54+R54+W54</f>
        <v>0</v>
      </c>
      <c r="AA54" s="35" t="n">
        <f aca="false">I54+N54+S54+X54</f>
        <v>19</v>
      </c>
      <c r="AB54" s="34" t="n">
        <f aca="false">Z54*D54</f>
        <v>0</v>
      </c>
      <c r="AC54" s="69" t="s">
        <v>1412</v>
      </c>
    </row>
    <row r="55" customFormat="false" ht="15" hidden="false" customHeight="false" outlineLevel="0" collapsed="false">
      <c r="A55" s="32" t="n">
        <v>40</v>
      </c>
      <c r="B55" s="32" t="s">
        <v>364</v>
      </c>
      <c r="C55" s="33" t="s">
        <v>365</v>
      </c>
      <c r="D55" s="34" t="n">
        <v>27500</v>
      </c>
      <c r="E55" s="35" t="n">
        <f aca="false">③仙台以降予測!V69</f>
        <v>3</v>
      </c>
      <c r="F55" s="35" t="n">
        <f aca="false">E55</f>
        <v>3</v>
      </c>
      <c r="G55" s="35" t="n">
        <f aca="false">③仙台以降予測!I69</f>
        <v>1</v>
      </c>
      <c r="H55" s="35" t="n">
        <f aca="false">MAX(0,MIN(G55,F55))</f>
        <v>1</v>
      </c>
      <c r="I55" s="35" t="n">
        <f aca="false">G55-H55</f>
        <v>0</v>
      </c>
      <c r="J55" s="35" t="n">
        <f aca="false">F55-H55</f>
        <v>2</v>
      </c>
      <c r="K55" s="35" t="n">
        <f aca="false">J55</f>
        <v>2</v>
      </c>
      <c r="L55" s="35" t="n">
        <f aca="false">③仙台以降予測!J69</f>
        <v>1</v>
      </c>
      <c r="M55" s="35" t="n">
        <f aca="false">MAX(0,MIN(L55,K55))</f>
        <v>1</v>
      </c>
      <c r="N55" s="35" t="n">
        <f aca="false">L55-M55</f>
        <v>0</v>
      </c>
      <c r="O55" s="35" t="n">
        <f aca="false">K55-M55</f>
        <v>1</v>
      </c>
      <c r="P55" s="35" t="n">
        <f aca="false">O55</f>
        <v>1</v>
      </c>
      <c r="Q55" s="35" t="n">
        <f aca="false">③仙台以降予測!K69</f>
        <v>1</v>
      </c>
      <c r="R55" s="35" t="n">
        <f aca="false">MAX(0,MIN(Q55,P55))</f>
        <v>1</v>
      </c>
      <c r="S55" s="35" t="n">
        <f aca="false">Q55-R55</f>
        <v>0</v>
      </c>
      <c r="T55" s="35" t="n">
        <f aca="false">P55-R55</f>
        <v>0</v>
      </c>
      <c r="U55" s="35" t="n">
        <f aca="false">T55</f>
        <v>0</v>
      </c>
      <c r="V55" s="35" t="n">
        <f aca="false">③仙台以降予測!L69</f>
        <v>4</v>
      </c>
      <c r="W55" s="35" t="n">
        <f aca="false">MAX(0,MIN(V55,U55))</f>
        <v>0</v>
      </c>
      <c r="X55" s="35" t="n">
        <f aca="false">V55-W55</f>
        <v>4</v>
      </c>
      <c r="Y55" s="35" t="n">
        <f aca="false">U55-W55</f>
        <v>0</v>
      </c>
      <c r="Z55" s="35" t="n">
        <f aca="false">H55+M55+R55+W55</f>
        <v>3</v>
      </c>
      <c r="AA55" s="35" t="n">
        <f aca="false">I55+N55+S55+X55</f>
        <v>4</v>
      </c>
      <c r="AB55" s="34" t="n">
        <f aca="false">Z55*D55</f>
        <v>82500</v>
      </c>
      <c r="AC55" s="69" t="s">
        <v>1406</v>
      </c>
    </row>
    <row r="56" customFormat="false" ht="15" hidden="false" customHeight="false" outlineLevel="0" collapsed="false">
      <c r="A56" s="32" t="n">
        <v>41</v>
      </c>
      <c r="B56" s="32" t="s">
        <v>366</v>
      </c>
      <c r="C56" s="33" t="s">
        <v>367</v>
      </c>
      <c r="D56" s="34" t="n">
        <v>25000</v>
      </c>
      <c r="E56" s="35" t="n">
        <f aca="false">③仙台以降予測!V70</f>
        <v>74</v>
      </c>
      <c r="F56" s="35" t="n">
        <f aca="false">E56</f>
        <v>74</v>
      </c>
      <c r="G56" s="35" t="n">
        <f aca="false">③仙台以降予測!I70</f>
        <v>0</v>
      </c>
      <c r="H56" s="35" t="n">
        <f aca="false">MAX(0,MIN(G56,F56))</f>
        <v>0</v>
      </c>
      <c r="I56" s="35" t="n">
        <f aca="false">G56-H56</f>
        <v>0</v>
      </c>
      <c r="J56" s="35" t="n">
        <f aca="false">F56-H56</f>
        <v>74</v>
      </c>
      <c r="K56" s="35" t="n">
        <f aca="false">J56</f>
        <v>74</v>
      </c>
      <c r="L56" s="35" t="n">
        <f aca="false">③仙台以降予測!J70</f>
        <v>0</v>
      </c>
      <c r="M56" s="35" t="n">
        <f aca="false">MAX(0,MIN(L56,K56))</f>
        <v>0</v>
      </c>
      <c r="N56" s="35" t="n">
        <f aca="false">L56-M56</f>
        <v>0</v>
      </c>
      <c r="O56" s="35" t="n">
        <f aca="false">K56-M56</f>
        <v>74</v>
      </c>
      <c r="P56" s="35" t="n">
        <f aca="false">O56</f>
        <v>74</v>
      </c>
      <c r="Q56" s="35" t="n">
        <f aca="false">③仙台以降予測!K70</f>
        <v>0</v>
      </c>
      <c r="R56" s="35" t="n">
        <f aca="false">MAX(0,MIN(Q56,P56))</f>
        <v>0</v>
      </c>
      <c r="S56" s="35" t="n">
        <f aca="false">Q56-R56</f>
        <v>0</v>
      </c>
      <c r="T56" s="35" t="n">
        <f aca="false">P56-R56</f>
        <v>74</v>
      </c>
      <c r="U56" s="35" t="n">
        <f aca="false">T56</f>
        <v>74</v>
      </c>
      <c r="V56" s="35" t="n">
        <f aca="false">③仙台以降予測!L70</f>
        <v>0</v>
      </c>
      <c r="W56" s="35" t="n">
        <f aca="false">MAX(0,MIN(V56,U56))</f>
        <v>0</v>
      </c>
      <c r="X56" s="35" t="n">
        <f aca="false">V56-W56</f>
        <v>0</v>
      </c>
      <c r="Y56" s="35" t="n">
        <f aca="false">U56-W56</f>
        <v>74</v>
      </c>
      <c r="Z56" s="35" t="n">
        <f aca="false">H56+M56+R56+W56</f>
        <v>0</v>
      </c>
      <c r="AA56" s="35" t="n">
        <f aca="false">I56+N56+S56+X56</f>
        <v>0</v>
      </c>
      <c r="AB56" s="34" t="n">
        <f aca="false">Z56*D56</f>
        <v>0</v>
      </c>
      <c r="AC56" s="72"/>
    </row>
    <row r="57" customFormat="false" ht="15" hidden="false" customHeight="false" outlineLevel="0" collapsed="false">
      <c r="A57" s="32" t="n">
        <v>42</v>
      </c>
      <c r="B57" s="32" t="s">
        <v>368</v>
      </c>
      <c r="C57" s="33" t="s">
        <v>369</v>
      </c>
      <c r="D57" s="34" t="n">
        <v>25000</v>
      </c>
      <c r="E57" s="35" t="n">
        <f aca="false">③仙台以降予測!V71</f>
        <v>48</v>
      </c>
      <c r="F57" s="35" t="n">
        <f aca="false">E57</f>
        <v>48</v>
      </c>
      <c r="G57" s="35" t="n">
        <f aca="false">③仙台以降予測!I71</f>
        <v>1</v>
      </c>
      <c r="H57" s="35" t="n">
        <f aca="false">MAX(0,MIN(G57,F57))</f>
        <v>1</v>
      </c>
      <c r="I57" s="35" t="n">
        <f aca="false">G57-H57</f>
        <v>0</v>
      </c>
      <c r="J57" s="35" t="n">
        <f aca="false">F57-H57</f>
        <v>47</v>
      </c>
      <c r="K57" s="35" t="n">
        <f aca="false">J57</f>
        <v>47</v>
      </c>
      <c r="L57" s="35" t="n">
        <f aca="false">③仙台以降予測!J71</f>
        <v>0</v>
      </c>
      <c r="M57" s="35" t="n">
        <f aca="false">MAX(0,MIN(L57,K57))</f>
        <v>0</v>
      </c>
      <c r="N57" s="35" t="n">
        <f aca="false">L57-M57</f>
        <v>0</v>
      </c>
      <c r="O57" s="35" t="n">
        <f aca="false">K57-M57</f>
        <v>47</v>
      </c>
      <c r="P57" s="35" t="n">
        <f aca="false">O57</f>
        <v>47</v>
      </c>
      <c r="Q57" s="35" t="n">
        <f aca="false">③仙台以降予測!K71</f>
        <v>0</v>
      </c>
      <c r="R57" s="35" t="n">
        <f aca="false">MAX(0,MIN(Q57,P57))</f>
        <v>0</v>
      </c>
      <c r="S57" s="35" t="n">
        <f aca="false">Q57-R57</f>
        <v>0</v>
      </c>
      <c r="T57" s="35" t="n">
        <f aca="false">P57-R57</f>
        <v>47</v>
      </c>
      <c r="U57" s="35" t="n">
        <f aca="false">T57</f>
        <v>47</v>
      </c>
      <c r="V57" s="35" t="n">
        <f aca="false">③仙台以降予測!L71</f>
        <v>2</v>
      </c>
      <c r="W57" s="35" t="n">
        <f aca="false">MAX(0,MIN(V57,U57))</f>
        <v>2</v>
      </c>
      <c r="X57" s="35" t="n">
        <f aca="false">V57-W57</f>
        <v>0</v>
      </c>
      <c r="Y57" s="35" t="n">
        <f aca="false">U57-W57</f>
        <v>45</v>
      </c>
      <c r="Z57" s="35" t="n">
        <f aca="false">H57+M57+R57+W57</f>
        <v>3</v>
      </c>
      <c r="AA57" s="35" t="n">
        <f aca="false">I57+N57+S57+X57</f>
        <v>0</v>
      </c>
      <c r="AB57" s="34" t="n">
        <f aca="false">Z57*D57</f>
        <v>75000</v>
      </c>
      <c r="AC57" s="72"/>
    </row>
    <row r="58" customFormat="false" ht="15" hidden="false" customHeight="false" outlineLevel="0" collapsed="false">
      <c r="A58" s="40"/>
      <c r="B58" s="40"/>
      <c r="C58" s="41" t="s">
        <v>370</v>
      </c>
      <c r="D58" s="40"/>
      <c r="E58" s="42" t="n">
        <f aca="false">SUM(E16:E57)</f>
        <v>234422</v>
      </c>
      <c r="F58" s="40"/>
      <c r="G58" s="42" t="n">
        <f aca="false">SUM(G16:G57)</f>
        <v>9536</v>
      </c>
      <c r="H58" s="42" t="n">
        <f aca="false">SUM(H16:H57)</f>
        <v>9353</v>
      </c>
      <c r="I58" s="42" t="n">
        <f aca="false">SUM(I16:I57)</f>
        <v>183</v>
      </c>
      <c r="J58" s="40"/>
      <c r="K58" s="40"/>
      <c r="L58" s="42" t="n">
        <f aca="false">SUM(L16:L57)</f>
        <v>8800</v>
      </c>
      <c r="M58" s="42" t="n">
        <f aca="false">SUM(M16:M57)</f>
        <v>8324</v>
      </c>
      <c r="N58" s="42" t="n">
        <f aca="false">SUM(N16:N57)</f>
        <v>476</v>
      </c>
      <c r="O58" s="40"/>
      <c r="P58" s="40"/>
      <c r="Q58" s="42" t="n">
        <f aca="false">SUM(Q16:Q57)</f>
        <v>6602</v>
      </c>
      <c r="R58" s="42" t="n">
        <f aca="false">SUM(R16:R57)</f>
        <v>6351</v>
      </c>
      <c r="S58" s="42" t="n">
        <f aca="false">SUM(S16:S57)</f>
        <v>251</v>
      </c>
      <c r="T58" s="40"/>
      <c r="U58" s="40"/>
      <c r="V58" s="42" t="n">
        <f aca="false">SUM(V16:V57)</f>
        <v>36679</v>
      </c>
      <c r="W58" s="42" t="n">
        <f aca="false">SUM(W16:W57)</f>
        <v>34121</v>
      </c>
      <c r="X58" s="42" t="n">
        <f aca="false">SUM(X16:X57)</f>
        <v>2558</v>
      </c>
      <c r="Y58" s="40"/>
      <c r="Z58" s="42" t="n">
        <f aca="false">SUM(Z16:Z57)</f>
        <v>58149</v>
      </c>
      <c r="AA58" s="42" t="n">
        <f aca="false">SUM(AA16:AA57)</f>
        <v>3468</v>
      </c>
      <c r="AB58" s="44" t="n">
        <f aca="false">SUM(AB16:AB57)</f>
        <v>43802500</v>
      </c>
      <c r="AC58" s="40"/>
    </row>
    <row r="60" customFormat="false" ht="15" hidden="false" customHeight="false" outlineLevel="0" collapsed="false">
      <c r="A60" s="4" t="s">
        <v>1413</v>
      </c>
    </row>
    <row r="61" customFormat="false" ht="15" hidden="false" customHeight="false" outlineLevel="0" collapsed="false">
      <c r="A61" s="5" t="s">
        <v>1414</v>
      </c>
      <c r="B61" s="93" t="s">
        <v>1415</v>
      </c>
      <c r="C61" s="93"/>
      <c r="D61" s="93"/>
      <c r="E61" s="93"/>
      <c r="F61" s="93"/>
      <c r="G61" s="93"/>
      <c r="H61" s="93"/>
      <c r="I61" s="93"/>
      <c r="J61" s="93"/>
    </row>
    <row r="62" customFormat="false" ht="15" hidden="false" customHeight="false" outlineLevel="0" collapsed="false">
      <c r="A62" s="5" t="s">
        <v>1416</v>
      </c>
      <c r="B62" s="93" t="s">
        <v>1417</v>
      </c>
      <c r="C62" s="93"/>
      <c r="D62" s="93"/>
      <c r="E62" s="93"/>
      <c r="F62" s="93"/>
      <c r="G62" s="93"/>
      <c r="H62" s="93"/>
      <c r="I62" s="93"/>
      <c r="J62" s="93"/>
    </row>
    <row r="63" customFormat="false" ht="15" hidden="false" customHeight="false" outlineLevel="0" collapsed="false">
      <c r="A63" s="5" t="s">
        <v>1418</v>
      </c>
      <c r="B63" s="93" t="s">
        <v>1419</v>
      </c>
      <c r="C63" s="93"/>
      <c r="D63" s="93"/>
      <c r="E63" s="93"/>
      <c r="F63" s="93"/>
      <c r="G63" s="93"/>
      <c r="H63" s="93"/>
      <c r="I63" s="93"/>
      <c r="J63" s="93"/>
    </row>
    <row r="64" customFormat="false" ht="15" hidden="false" customHeight="false" outlineLevel="0" collapsed="false">
      <c r="A64" s="5" t="s">
        <v>1420</v>
      </c>
      <c r="B64" s="93" t="s">
        <v>1421</v>
      </c>
      <c r="C64" s="93"/>
      <c r="D64" s="93"/>
      <c r="E64" s="93"/>
      <c r="F64" s="93"/>
      <c r="G64" s="93"/>
      <c r="H64" s="93"/>
      <c r="I64" s="93"/>
      <c r="J64" s="93"/>
    </row>
    <row r="65" customFormat="false" ht="15" hidden="false" customHeight="false" outlineLevel="0" collapsed="false">
      <c r="A65" s="5" t="s">
        <v>1422</v>
      </c>
      <c r="B65" s="93" t="s">
        <v>1423</v>
      </c>
      <c r="C65" s="93"/>
      <c r="D65" s="93"/>
      <c r="E65" s="93"/>
      <c r="F65" s="93"/>
      <c r="G65" s="93"/>
      <c r="H65" s="93"/>
      <c r="I65" s="93"/>
      <c r="J65" s="93"/>
    </row>
  </sheetData>
  <mergeCells count="5">
    <mergeCell ref="B61:J61"/>
    <mergeCell ref="B62:J62"/>
    <mergeCell ref="B63:J63"/>
    <mergeCell ref="B64:J64"/>
    <mergeCell ref="B65:J65"/>
  </mergeCells>
  <conditionalFormatting sqref="G8:G11">
    <cfRule type="expression" priority="2" aboveAverage="0" equalAverage="0" bottom="0" percent="0" rank="0" text="" dxfId="3">
      <formula>$G8&gt;0</formula>
    </cfRule>
  </conditionalFormatting>
  <conditionalFormatting sqref="I16:I57">
    <cfRule type="expression" priority="3" aboveAverage="0" equalAverage="0" bottom="0" percent="0" rank="0" text="" dxfId="3">
      <formula>$I16&gt;0</formula>
    </cfRule>
  </conditionalFormatting>
  <conditionalFormatting sqref="N16:N57">
    <cfRule type="expression" priority="4" aboveAverage="0" equalAverage="0" bottom="0" percent="0" rank="0" text="" dxfId="3">
      <formula>$N16&gt;0</formula>
    </cfRule>
  </conditionalFormatting>
  <conditionalFormatting sqref="S16:S57">
    <cfRule type="expression" priority="5" aboveAverage="0" equalAverage="0" bottom="0" percent="0" rank="0" text="" dxfId="3">
      <formula>$S16&gt;0</formula>
    </cfRule>
  </conditionalFormatting>
  <conditionalFormatting sqref="X16:X57">
    <cfRule type="expression" priority="6" aboveAverage="0" equalAverage="0" bottom="0" percent="0" rank="0" text="" dxfId="3">
      <formula>$X16&gt;0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2026-08-26T15:57:43Z</dcterms:created>
  <dc:creator>openpyxl</dc:creator>
  <dc:description/>
  <dc:language>en-US</dc:language>
  <cp:lastModifiedBy/>
  <dcterms:modified xsi:type="dcterms:W3CDTF">2026-08-26T15:57:44Z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