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前提・入力" sheetId="2" state="visible" r:id="rId4"/>
    <sheet name="①石川予測確定" sheetId="3" state="visible" r:id="rId5"/>
    <sheet name="②会場別構成比" sheetId="4" state="visible" r:id="rId6"/>
    <sheet name="③仙台以降予測" sheetId="5" state="visible" r:id="rId7"/>
    <sheet name="④追加発注判定" sheetId="6" state="visible" r:id="rId8"/>
    <sheet name="⑤全データ統合リスト" sheetId="7" state="visible" r:id="rId9"/>
    <sheet name="⑥商品別 会場推移" sheetId="8" state="visible" r:id="rId10"/>
    <sheet name="⑦新商品影響分析" sheetId="9" state="visible" r:id="rId11"/>
    <sheet name="⑧実在庫(7-8)明細" sheetId="10" state="visible" r:id="rId12"/>
    <sheet name="⑨過去5会場 予測vs実績" sheetId="11" state="visible" r:id="rId13"/>
    <sheet name="⑩会場比率シナリオ比較" sheetId="12" state="visible" r:id="rId14"/>
    <sheet name="⑪会場別引当・発注期限" sheetId="13" state="visible" r:id="rId15"/>
    <sheet name="⑫計算ロジック解説" sheetId="14" state="visible" r:id="rId16"/>
    <sheet name="⑬会場別 納品予測"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<sst xmlns="http://schemas.openxmlformats.org/spreadsheetml/2006/main" count="2769" uniqueCount="1444">
  <si>
    <t xml:space="preserve">アニメーション 呪術廻戦展「懐玉・玉折」「渋谷事変」</t>
  </si>
  <si>
    <r>
      <rPr>
        <b val="true"/>
        <sz val="11"/>
        <color rgb="FF2E5C8A"/>
        <rFont val="Meiryo UI"/>
        <family val="0"/>
        <charset val="1"/>
      </rPr>
      <t xml:space="preserve">LEGS</t>
    </r>
    <r>
      <rPr>
        <b val="true"/>
        <sz val="11"/>
        <color rgb="FF2E5C8A"/>
        <rFont val="WenQuanYi Zen Hei"/>
        <family val="2"/>
      </rPr>
      <t xml:space="preserve">／イベント記念商品 </t>
    </r>
    <r>
      <rPr>
        <b val="true"/>
        <sz val="11"/>
        <color rgb="FF2E5C8A"/>
        <rFont val="Meiryo UI"/>
        <family val="0"/>
        <charset val="1"/>
      </rPr>
      <t xml:space="preserve">42SKU</t>
    </r>
    <r>
      <rPr>
        <b val="true"/>
        <sz val="11"/>
        <color rgb="FF2E5C8A"/>
        <rFont val="WenQuanYi Zen Hei"/>
        <family val="2"/>
      </rPr>
      <t xml:space="preserve">　全会場 販売分析・石川予測確定・仙台会場以降予測・追加発注判定</t>
    </r>
  </si>
  <si>
    <r>
      <rPr>
        <sz val="8"/>
        <color rgb="FF555555"/>
        <rFont val="WenQuanYi Zen Hei"/>
        <family val="2"/>
      </rPr>
      <t xml:space="preserve">基準日：</t>
    </r>
    <r>
      <rPr>
        <sz val="8"/>
        <color rgb="FF555555"/>
        <rFont val="Meiryo UI"/>
        <family val="0"/>
        <charset val="1"/>
      </rPr>
      <t xml:space="preserve">2026</t>
    </r>
    <r>
      <rPr>
        <sz val="8"/>
        <color rgb="FF555555"/>
        <rFont val="WenQuanYi Zen Hei"/>
        <family val="2"/>
      </rPr>
      <t xml:space="preserve">年</t>
    </r>
    <r>
      <rPr>
        <sz val="8"/>
        <color rgb="FF555555"/>
        <rFont val="Meiryo UI"/>
        <family val="0"/>
        <charset val="1"/>
      </rPr>
      <t xml:space="preserve">8</t>
    </r>
    <r>
      <rPr>
        <sz val="8"/>
        <color rgb="FF555555"/>
        <rFont val="WenQuanYi Zen Hei"/>
        <family val="2"/>
      </rPr>
      <t xml:space="preserve">月</t>
    </r>
    <r>
      <rPr>
        <sz val="8"/>
        <color rgb="FF555555"/>
        <rFont val="Meiryo UI"/>
        <family val="0"/>
        <charset val="1"/>
      </rPr>
      <t xml:space="preserve">26</t>
    </r>
    <r>
      <rPr>
        <sz val="8"/>
        <color rgb="FF555555"/>
        <rFont val="WenQuanYi Zen Hei"/>
        <family val="2"/>
      </rPr>
      <t xml:space="preserve">日　／　実績データ：東京</t>
    </r>
    <r>
      <rPr>
        <sz val="8"/>
        <color rgb="FF555555"/>
        <rFont val="Meiryo UI"/>
        <family val="0"/>
        <charset val="1"/>
      </rPr>
      <t xml:space="preserve">(25</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・名古屋</t>
    </r>
    <r>
      <rPr>
        <sz val="8"/>
        <color rgb="FF555555"/>
        <rFont val="Meiryo UI"/>
        <family val="0"/>
        <charset val="1"/>
      </rPr>
      <t xml:space="preserve">(19</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・博多</t>
    </r>
    <r>
      <rPr>
        <sz val="8"/>
        <color rgb="FF555555"/>
        <rFont val="Meiryo UI"/>
        <family val="0"/>
        <charset val="1"/>
      </rPr>
      <t xml:space="preserve">(26</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・大阪</t>
    </r>
    <r>
      <rPr>
        <sz val="8"/>
        <color rgb="FF555555"/>
        <rFont val="Meiryo UI"/>
        <family val="0"/>
        <charset val="1"/>
      </rPr>
      <t xml:space="preserve">(20</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・札幌</t>
    </r>
    <r>
      <rPr>
        <sz val="8"/>
        <color rgb="FF555555"/>
        <rFont val="Meiryo UI"/>
        <family val="0"/>
        <charset val="1"/>
      </rPr>
      <t xml:space="preserve">(20</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＝全会期、石川＝</t>
    </r>
    <r>
      <rPr>
        <sz val="8"/>
        <color rgb="FF555555"/>
        <rFont val="Meiryo UI"/>
        <family val="0"/>
        <charset val="1"/>
      </rPr>
      <t xml:space="preserve">8/25(</t>
    </r>
    <r>
      <rPr>
        <sz val="8"/>
        <color rgb="FF555555"/>
        <rFont val="WenQuanYi Zen Hei"/>
        <family val="2"/>
      </rPr>
      <t xml:space="preserve">会期</t>
    </r>
    <r>
      <rPr>
        <sz val="8"/>
        <color rgb="FF555555"/>
        <rFont val="Meiryo UI"/>
        <family val="0"/>
        <charset val="1"/>
      </rPr>
      <t xml:space="preserve">12</t>
    </r>
    <r>
      <rPr>
        <sz val="8"/>
        <color rgb="FF555555"/>
        <rFont val="WenQuanYi Zen Hei"/>
        <family val="2"/>
      </rPr>
      <t xml:space="preserve">日目</t>
    </r>
    <r>
      <rPr>
        <sz val="8"/>
        <color rgb="FF555555"/>
        <rFont val="Meiryo UI"/>
        <family val="0"/>
        <charset val="1"/>
      </rPr>
      <t xml:space="preserve">)</t>
    </r>
    <r>
      <rPr>
        <sz val="8"/>
        <color rgb="FF555555"/>
        <rFont val="WenQuanYi Zen Hei"/>
        <family val="2"/>
      </rPr>
      <t xml:space="preserve">まで　＋  </t>
    </r>
    <r>
      <rPr>
        <sz val="8"/>
        <color rgb="FF555555"/>
        <rFont val="Meiryo UI"/>
        <family val="0"/>
        <charset val="1"/>
      </rPr>
      <t xml:space="preserve">SPJ</t>
    </r>
    <r>
      <rPr>
        <sz val="8"/>
        <color rgb="FF555555"/>
        <rFont val="WenQuanYi Zen Hei"/>
        <family val="2"/>
      </rPr>
      <t xml:space="preserve">様 欠品報告メール</t>
    </r>
  </si>
  <si>
    <t xml:space="preserve">■ 結論サマリー</t>
  </si>
  <si>
    <r>
      <rPr>
        <b val="true"/>
        <sz val="9"/>
        <rFont val="WenQuanYi Zen Hei"/>
        <family val="2"/>
      </rPr>
      <t xml:space="preserve">① 石川 会期</t>
    </r>
    <r>
      <rPr>
        <b val="true"/>
        <sz val="9"/>
        <rFont val="Meiryo UI"/>
        <family val="0"/>
        <charset val="1"/>
      </rPr>
      <t xml:space="preserve">18</t>
    </r>
    <r>
      <rPr>
        <b val="true"/>
        <sz val="9"/>
        <rFont val="WenQuanYi Zen Hei"/>
        <family val="2"/>
      </rPr>
      <t xml:space="preserve">日予測（確定値）</t>
    </r>
  </si>
  <si>
    <r>
      <rPr>
        <sz val="9"/>
        <rFont val="Meiryo UI"/>
        <family val="0"/>
        <charset val="1"/>
      </rPr>
      <t xml:space="preserve">LEGS42SKU </t>
    </r>
    <r>
      <rPr>
        <sz val="9"/>
        <rFont val="WenQuanYi Zen Hei"/>
        <family val="2"/>
      </rPr>
      <t xml:space="preserve">販売数 </t>
    </r>
    <r>
      <rPr>
        <sz val="9"/>
        <rFont val="Meiryo UI"/>
        <family val="0"/>
        <charset val="1"/>
      </rPr>
      <t xml:space="preserve">5,151</t>
    </r>
    <r>
      <rPr>
        <sz val="9"/>
        <rFont val="WenQuanYi Zen Hei"/>
        <family val="2"/>
      </rPr>
      <t xml:space="preserve">個／販売金額 </t>
    </r>
    <r>
      <rPr>
        <sz val="9"/>
        <rFont val="Meiryo UI"/>
        <family val="0"/>
        <charset val="1"/>
      </rPr>
      <t xml:space="preserve">4,292,200</t>
    </r>
    <r>
      <rPr>
        <sz val="9"/>
        <rFont val="WenQuanYi Zen Hei"/>
        <family val="2"/>
      </rPr>
      <t xml:space="preserve">円　※博多・大阪・札幌 の実績倍率から算出</t>
    </r>
  </si>
  <si>
    <t xml:space="preserve">　石川 全物販予測</t>
  </si>
  <si>
    <r>
      <rPr>
        <sz val="9"/>
        <rFont val="WenQuanYi Zen Hei"/>
        <family val="2"/>
      </rPr>
      <t xml:space="preserve">数量 </t>
    </r>
    <r>
      <rPr>
        <sz val="9"/>
        <rFont val="Meiryo UI"/>
        <family val="0"/>
        <charset val="1"/>
      </rPr>
      <t xml:space="preserve">24,559</t>
    </r>
    <r>
      <rPr>
        <sz val="9"/>
        <rFont val="WenQuanYi Zen Hei"/>
        <family val="2"/>
      </rPr>
      <t xml:space="preserve">個／金額 </t>
    </r>
    <r>
      <rPr>
        <sz val="9"/>
        <rFont val="Meiryo UI"/>
        <family val="0"/>
        <charset val="1"/>
      </rPr>
      <t xml:space="preserve">25,161,149</t>
    </r>
    <r>
      <rPr>
        <sz val="9"/>
        <rFont val="WenQuanYi Zen Hei"/>
        <family val="2"/>
      </rPr>
      <t xml:space="preserve">円　→ 東京</t>
    </r>
    <r>
      <rPr>
        <sz val="9"/>
        <rFont val="Meiryo UI"/>
        <family val="0"/>
        <charset val="1"/>
      </rPr>
      <t xml:space="preserve">(</t>
    </r>
    <r>
      <rPr>
        <sz val="9"/>
        <rFont val="WenQuanYi Zen Hei"/>
        <family val="2"/>
      </rPr>
      <t xml:space="preserve">初回</t>
    </r>
    <r>
      <rPr>
        <sz val="9"/>
        <rFont val="Meiryo UI"/>
        <family val="0"/>
        <charset val="1"/>
      </rPr>
      <t xml:space="preserve">)</t>
    </r>
    <r>
      <rPr>
        <sz val="9"/>
        <rFont val="WenQuanYi Zen Hei"/>
        <family val="2"/>
      </rPr>
      <t xml:space="preserve">対比 </t>
    </r>
    <r>
      <rPr>
        <sz val="9"/>
        <rFont val="Meiryo UI"/>
        <family val="0"/>
        <charset val="1"/>
      </rPr>
      <t xml:space="preserve">7.0%</t>
    </r>
  </si>
  <si>
    <t xml:space="preserve">　石川 入場者予測</t>
  </si>
  <si>
    <r>
      <rPr>
        <sz val="9"/>
        <rFont val="Meiryo UI"/>
        <family val="0"/>
        <charset val="1"/>
      </rPr>
      <t xml:space="preserve">8,923</t>
    </r>
    <r>
      <rPr>
        <sz val="9"/>
        <rFont val="WenQuanYi Zen Hei"/>
        <family val="2"/>
      </rPr>
      <t xml:space="preserve">人（初</t>
    </r>
    <r>
      <rPr>
        <sz val="9"/>
        <rFont val="Meiryo UI"/>
        <family val="0"/>
        <charset val="1"/>
      </rPr>
      <t xml:space="preserve">12</t>
    </r>
    <r>
      <rPr>
        <sz val="9"/>
        <rFont val="WenQuanYi Zen Hei"/>
        <family val="2"/>
      </rPr>
      <t xml:space="preserve">日実績</t>
    </r>
    <r>
      <rPr>
        <sz val="9"/>
        <rFont val="Meiryo UI"/>
        <family val="0"/>
        <charset val="1"/>
      </rPr>
      <t xml:space="preserve">5,304</t>
    </r>
    <r>
      <rPr>
        <sz val="9"/>
        <rFont val="WenQuanYi Zen Hei"/>
        <family val="2"/>
      </rPr>
      <t xml:space="preserve">人 </t>
    </r>
    <r>
      <rPr>
        <sz val="9"/>
        <rFont val="Meiryo UI"/>
        <family val="0"/>
        <charset val="1"/>
      </rPr>
      <t xml:space="preserve">× </t>
    </r>
    <r>
      <rPr>
        <sz val="9"/>
        <rFont val="WenQuanYi Zen Hei"/>
        <family val="2"/>
      </rPr>
      <t xml:space="preserve">札幌の初</t>
    </r>
    <r>
      <rPr>
        <sz val="9"/>
        <rFont val="Meiryo UI"/>
        <family val="0"/>
        <charset val="1"/>
      </rPr>
      <t xml:space="preserve">12</t>
    </r>
    <r>
      <rPr>
        <sz val="9"/>
        <rFont val="WenQuanYi Zen Hei"/>
        <family val="2"/>
      </rPr>
      <t xml:space="preserve">日→</t>
    </r>
    <r>
      <rPr>
        <sz val="9"/>
        <rFont val="Meiryo UI"/>
        <family val="0"/>
        <charset val="1"/>
      </rPr>
      <t xml:space="preserve">20</t>
    </r>
    <r>
      <rPr>
        <sz val="9"/>
        <rFont val="WenQuanYi Zen Hei"/>
        <family val="2"/>
      </rPr>
      <t xml:space="preserve">日 伸び率）</t>
    </r>
  </si>
  <si>
    <r>
      <rPr>
        <b val="true"/>
        <sz val="9"/>
        <rFont val="Meiryo UI"/>
        <family val="0"/>
        <charset val="1"/>
      </rPr>
      <t xml:space="preserve">② LEGS</t>
    </r>
    <r>
      <rPr>
        <b val="true"/>
        <sz val="9"/>
        <rFont val="WenQuanYi Zen Hei"/>
        <family val="2"/>
      </rPr>
      <t xml:space="preserve">物販構成比の推移</t>
    </r>
  </si>
  <si>
    <r>
      <rPr>
        <sz val="9"/>
        <rFont val="WenQuanYi Zen Hei"/>
        <family val="2"/>
      </rPr>
      <t xml:space="preserve">金額：東京</t>
    </r>
    <r>
      <rPr>
        <sz val="9"/>
        <rFont val="Meiryo UI"/>
        <family val="0"/>
        <charset val="1"/>
      </rPr>
      <t xml:space="preserve">28.5%→</t>
    </r>
    <r>
      <rPr>
        <sz val="9"/>
        <rFont val="WenQuanYi Zen Hei"/>
        <family val="2"/>
      </rPr>
      <t xml:space="preserve">名古屋</t>
    </r>
    <r>
      <rPr>
        <sz val="9"/>
        <rFont val="Meiryo UI"/>
        <family val="0"/>
        <charset val="1"/>
      </rPr>
      <t xml:space="preserve">29.9%→</t>
    </r>
    <r>
      <rPr>
        <sz val="9"/>
        <rFont val="WenQuanYi Zen Hei"/>
        <family val="2"/>
      </rPr>
      <t xml:space="preserve">博多</t>
    </r>
    <r>
      <rPr>
        <sz val="9"/>
        <rFont val="Meiryo UI"/>
        <family val="0"/>
        <charset val="1"/>
      </rPr>
      <t xml:space="preserve">29.4%→</t>
    </r>
    <r>
      <rPr>
        <sz val="9"/>
        <rFont val="WenQuanYi Zen Hei"/>
        <family val="2"/>
      </rPr>
      <t xml:space="preserve">大阪</t>
    </r>
    <r>
      <rPr>
        <sz val="9"/>
        <rFont val="Meiryo UI"/>
        <family val="0"/>
        <charset val="1"/>
      </rPr>
      <t xml:space="preserve">21.1%→</t>
    </r>
    <r>
      <rPr>
        <sz val="9"/>
        <rFont val="WenQuanYi Zen Hei"/>
        <family val="2"/>
      </rPr>
      <t xml:space="preserve">札幌</t>
    </r>
    <r>
      <rPr>
        <sz val="9"/>
        <rFont val="Meiryo UI"/>
        <family val="0"/>
        <charset val="1"/>
      </rPr>
      <t xml:space="preserve">17.6%→</t>
    </r>
    <r>
      <rPr>
        <sz val="9"/>
        <rFont val="WenQuanYi Zen Hei"/>
        <family val="2"/>
      </rPr>
      <t xml:space="preserve">石川</t>
    </r>
    <r>
      <rPr>
        <sz val="9"/>
        <rFont val="Meiryo UI"/>
        <family val="0"/>
        <charset val="1"/>
      </rPr>
      <t xml:space="preserve">17.1%(</t>
    </r>
    <r>
      <rPr>
        <sz val="9"/>
        <rFont val="WenQuanYi Zen Hei"/>
        <family val="2"/>
      </rPr>
      <t xml:space="preserve">予測</t>
    </r>
    <r>
      <rPr>
        <sz val="9"/>
        <rFont val="Meiryo UI"/>
        <family val="0"/>
        <charset val="1"/>
      </rPr>
      <t xml:space="preserve">)</t>
    </r>
    <r>
      <rPr>
        <sz val="9"/>
        <rFont val="WenQuanYi Zen Hei"/>
        <family val="2"/>
      </rPr>
      <t xml:space="preserve">　数量：</t>
    </r>
    <r>
      <rPr>
        <sz val="9"/>
        <rFont val="Meiryo UI"/>
        <family val="0"/>
        <charset val="1"/>
      </rPr>
      <t xml:space="preserve">38.7%→34.5%→40.0%→26.7%→21.8%→</t>
    </r>
    <r>
      <rPr>
        <sz val="9"/>
        <rFont val="WenQuanYi Zen Hei"/>
        <family val="2"/>
      </rPr>
      <t xml:space="preserve">石川</t>
    </r>
    <r>
      <rPr>
        <sz val="9"/>
        <rFont val="Meiryo UI"/>
        <family val="0"/>
        <charset val="1"/>
      </rPr>
      <t xml:space="preserve">21.0%(</t>
    </r>
    <r>
      <rPr>
        <sz val="9"/>
        <rFont val="WenQuanYi Zen Hei"/>
        <family val="2"/>
      </rPr>
      <t xml:space="preserve">予測</t>
    </r>
    <r>
      <rPr>
        <sz val="9"/>
        <rFont val="Meiryo UI"/>
        <family val="0"/>
        <charset val="1"/>
      </rPr>
      <t xml:space="preserve">)</t>
    </r>
  </si>
  <si>
    <t xml:space="preserve">　構成比低下の主因</t>
  </si>
  <si>
    <r>
      <rPr>
        <sz val="9"/>
        <rFont val="WenQuanYi Zen Hei"/>
        <family val="2"/>
      </rPr>
      <t xml:space="preserve">大阪会場からの新商品</t>
    </r>
    <r>
      <rPr>
        <sz val="9"/>
        <rFont val="Meiryo UI"/>
        <family val="0"/>
        <charset val="1"/>
      </rPr>
      <t xml:space="preserve">106SKU</t>
    </r>
    <r>
      <rPr>
        <sz val="9"/>
        <rFont val="WenQuanYi Zen Hei"/>
        <family val="2"/>
      </rPr>
      <t xml:space="preserve">投入（大阪の会期</t>
    </r>
    <r>
      <rPr>
        <sz val="9"/>
        <rFont val="Meiryo UI"/>
        <family val="0"/>
        <charset val="1"/>
      </rPr>
      <t xml:space="preserve">20</t>
    </r>
    <r>
      <rPr>
        <sz val="9"/>
        <rFont val="WenQuanYi Zen Hei"/>
        <family val="2"/>
      </rPr>
      <t xml:space="preserve">日 金額シェア</t>
    </r>
    <r>
      <rPr>
        <sz val="9"/>
        <rFont val="Meiryo UI"/>
        <family val="0"/>
        <charset val="1"/>
      </rPr>
      <t xml:space="preserve">19.8%</t>
    </r>
    <r>
      <rPr>
        <sz val="9"/>
        <rFont val="WenQuanYi Zen Hei"/>
        <family val="2"/>
      </rPr>
      <t xml:space="preserve">）。札幌・石川 は新規</t>
    </r>
    <r>
      <rPr>
        <sz val="9"/>
        <rFont val="Meiryo UI"/>
        <family val="0"/>
        <charset val="1"/>
      </rPr>
      <t xml:space="preserve">SKU 0</t>
    </r>
    <r>
      <rPr>
        <sz val="9"/>
        <rFont val="WenQuanYi Zen Hei"/>
        <family val="2"/>
      </rPr>
      <t xml:space="preserve">で品揃えは大阪と同一</t>
    </r>
  </si>
  <si>
    <r>
      <rPr>
        <b val="true"/>
        <sz val="9"/>
        <rFont val="WenQuanYi Zen Hei"/>
        <family val="2"/>
      </rPr>
      <t xml:space="preserve">③ 仙台以降</t>
    </r>
    <r>
      <rPr>
        <b val="true"/>
        <sz val="9"/>
        <rFont val="Meiryo UI"/>
        <family val="0"/>
        <charset val="1"/>
      </rPr>
      <t xml:space="preserve">4</t>
    </r>
    <r>
      <rPr>
        <b val="true"/>
        <sz val="9"/>
        <rFont val="WenQuanYi Zen Hei"/>
        <family val="2"/>
      </rPr>
      <t xml:space="preserve">会場 </t>
    </r>
    <r>
      <rPr>
        <b val="true"/>
        <sz val="9"/>
        <rFont val="Meiryo UI"/>
        <family val="0"/>
        <charset val="1"/>
      </rPr>
      <t xml:space="preserve">LEGS</t>
    </r>
    <r>
      <rPr>
        <b val="true"/>
        <sz val="9"/>
        <rFont val="WenQuanYi Zen Hei"/>
        <family val="2"/>
      </rPr>
      <t xml:space="preserve">必要数</t>
    </r>
  </si>
  <si>
    <r>
      <rPr>
        <sz val="9"/>
        <rFont val="Meiryo UI"/>
        <family val="0"/>
        <charset val="1"/>
      </rPr>
      <t xml:space="preserve">61,617</t>
    </r>
    <r>
      <rPr>
        <sz val="9"/>
        <rFont val="WenQuanYi Zen Hei"/>
        <family val="2"/>
      </rPr>
      <t xml:space="preserve">個（シナリオ①ユーザー指定：仙台</t>
    </r>
    <r>
      <rPr>
        <sz val="9"/>
        <rFont val="Meiryo UI"/>
        <family val="0"/>
        <charset val="1"/>
      </rPr>
      <t xml:space="preserve">13%</t>
    </r>
    <r>
      <rPr>
        <sz val="9"/>
        <rFont val="WenQuanYi Zen Hei"/>
        <family val="2"/>
      </rPr>
      <t xml:space="preserve">・神戸阪急</t>
    </r>
    <r>
      <rPr>
        <sz val="9"/>
        <rFont val="Meiryo UI"/>
        <family val="0"/>
        <charset val="1"/>
      </rPr>
      <t xml:space="preserve">12%</t>
    </r>
    <r>
      <rPr>
        <sz val="9"/>
        <rFont val="WenQuanYi Zen Hei"/>
        <family val="2"/>
      </rPr>
      <t xml:space="preserve">・鳥取島根</t>
    </r>
    <r>
      <rPr>
        <sz val="9"/>
        <rFont val="Meiryo UI"/>
        <family val="0"/>
        <charset val="1"/>
      </rPr>
      <t xml:space="preserve">9%</t>
    </r>
    <r>
      <rPr>
        <sz val="9"/>
        <rFont val="WenQuanYi Zen Hei"/>
        <family val="2"/>
      </rPr>
      <t xml:space="preserve">・東京凱旋</t>
    </r>
    <r>
      <rPr>
        <sz val="9"/>
        <rFont val="Meiryo UI"/>
        <family val="0"/>
        <charset val="1"/>
      </rPr>
      <t xml:space="preserve">50%</t>
    </r>
    <r>
      <rPr>
        <sz val="9"/>
        <rFont val="WenQuanYi Zen Hei"/>
        <family val="2"/>
      </rPr>
      <t xml:space="preserve">）</t>
    </r>
  </si>
  <si>
    <t xml:space="preserve">　シナリオ②企画概要書ベース</t>
  </si>
  <si>
    <r>
      <rPr>
        <sz val="9"/>
        <rFont val="WenQuanYi Zen Hei"/>
        <family val="2"/>
      </rPr>
      <t xml:space="preserve">仙台</t>
    </r>
    <r>
      <rPr>
        <sz val="9"/>
        <rFont val="Meiryo UI"/>
        <family val="0"/>
        <charset val="1"/>
      </rPr>
      <t xml:space="preserve">15.60%</t>
    </r>
    <r>
      <rPr>
        <sz val="9"/>
        <rFont val="WenQuanYi Zen Hei"/>
        <family val="2"/>
      </rPr>
      <t xml:space="preserve">・神戸阪急</t>
    </r>
    <r>
      <rPr>
        <sz val="9"/>
        <rFont val="Meiryo UI"/>
        <family val="0"/>
        <charset val="1"/>
      </rPr>
      <t xml:space="preserve">12.00%</t>
    </r>
    <r>
      <rPr>
        <sz val="9"/>
        <rFont val="WenQuanYi Zen Hei"/>
        <family val="2"/>
      </rPr>
      <t xml:space="preserve">・鳥取島根</t>
    </r>
    <r>
      <rPr>
        <sz val="9"/>
        <rFont val="Meiryo UI"/>
        <family val="0"/>
        <charset val="1"/>
      </rPr>
      <t xml:space="preserve">9.00%</t>
    </r>
    <r>
      <rPr>
        <sz val="9"/>
        <rFont val="WenQuanYi Zen Hei"/>
        <family val="2"/>
      </rPr>
      <t xml:space="preserve">・東京凱旋</t>
    </r>
    <r>
      <rPr>
        <sz val="9"/>
        <rFont val="Meiryo UI"/>
        <family val="0"/>
        <charset val="1"/>
      </rPr>
      <t xml:space="preserve">50.00%</t>
    </r>
    <r>
      <rPr>
        <sz val="9"/>
        <rFont val="WenQuanYi Zen Hei"/>
        <family val="2"/>
      </rPr>
      <t xml:space="preserve">（企画概要書グッズ売上</t>
    </r>
    <r>
      <rPr>
        <sz val="9"/>
        <rFont val="Meiryo UI"/>
        <family val="0"/>
        <charset val="1"/>
      </rPr>
      <t xml:space="preserve">÷</t>
    </r>
    <r>
      <rPr>
        <sz val="9"/>
        <rFont val="WenQuanYi Zen Hei"/>
        <family val="2"/>
      </rPr>
      <t xml:space="preserve">東京）→ 必要数 </t>
    </r>
    <r>
      <rPr>
        <sz val="9"/>
        <rFont val="Meiryo UI"/>
        <family val="0"/>
        <charset val="1"/>
      </rPr>
      <t xml:space="preserve">63,524</t>
    </r>
    <r>
      <rPr>
        <sz val="9"/>
        <rFont val="WenQuanYi Zen Hei"/>
        <family val="2"/>
      </rPr>
      <t xml:space="preserve">個</t>
    </r>
  </si>
  <si>
    <r>
      <rPr>
        <b val="true"/>
        <sz val="9"/>
        <rFont val="WenQuanYi Zen Hei"/>
        <family val="2"/>
      </rPr>
      <t xml:space="preserve">　シナリオ③石川実績連動</t>
    </r>
    <r>
      <rPr>
        <b val="true"/>
        <sz val="9"/>
        <rFont val="Meiryo UI"/>
        <family val="0"/>
        <charset val="1"/>
      </rPr>
      <t xml:space="preserve">(</t>
    </r>
    <r>
      <rPr>
        <b val="true"/>
        <sz val="9"/>
        <rFont val="WenQuanYi Zen Hei"/>
        <family val="2"/>
      </rPr>
      <t xml:space="preserve">保守</t>
    </r>
    <r>
      <rPr>
        <b val="true"/>
        <sz val="9"/>
        <rFont val="Meiryo UI"/>
        <family val="0"/>
        <charset val="1"/>
      </rPr>
      <t xml:space="preserve">)</t>
    </r>
  </si>
  <si>
    <r>
      <rPr>
        <sz val="9"/>
        <rFont val="WenQuanYi Zen Hei"/>
        <family val="2"/>
      </rPr>
      <t xml:space="preserve">②に石川の計画比達成率</t>
    </r>
    <r>
      <rPr>
        <sz val="9"/>
        <rFont val="Meiryo UI"/>
        <family val="0"/>
        <charset val="1"/>
      </rPr>
      <t xml:space="preserve">56.3%</t>
    </r>
    <r>
      <rPr>
        <sz val="9"/>
        <rFont val="WenQuanYi Zen Hei"/>
        <family val="2"/>
      </rPr>
      <t xml:space="preserve">を乗算 → 仙台</t>
    </r>
    <r>
      <rPr>
        <sz val="9"/>
        <rFont val="Meiryo UI"/>
        <family val="0"/>
        <charset val="1"/>
      </rPr>
      <t xml:space="preserve">8.78%</t>
    </r>
    <r>
      <rPr>
        <sz val="9"/>
        <rFont val="WenQuanYi Zen Hei"/>
        <family val="2"/>
      </rPr>
      <t xml:space="preserve">・神戸阪急</t>
    </r>
    <r>
      <rPr>
        <sz val="9"/>
        <rFont val="Meiryo UI"/>
        <family val="0"/>
        <charset val="1"/>
      </rPr>
      <t xml:space="preserve">6.75%</t>
    </r>
    <r>
      <rPr>
        <sz val="9"/>
        <rFont val="WenQuanYi Zen Hei"/>
        <family val="2"/>
      </rPr>
      <t xml:space="preserve">・鳥取島根</t>
    </r>
    <r>
      <rPr>
        <sz val="9"/>
        <rFont val="Meiryo UI"/>
        <family val="0"/>
        <charset val="1"/>
      </rPr>
      <t xml:space="preserve">5.07%</t>
    </r>
    <r>
      <rPr>
        <sz val="9"/>
        <rFont val="WenQuanYi Zen Hei"/>
        <family val="2"/>
      </rPr>
      <t xml:space="preserve">・東京凱旋</t>
    </r>
    <r>
      <rPr>
        <sz val="9"/>
        <rFont val="Meiryo UI"/>
        <family val="0"/>
        <charset val="1"/>
      </rPr>
      <t xml:space="preserve">50.00%</t>
    </r>
    <r>
      <rPr>
        <sz val="9"/>
        <rFont val="WenQuanYi Zen Hei"/>
        <family val="2"/>
      </rPr>
      <t xml:space="preserve">（凱旋は据置）→ 必要数 </t>
    </r>
    <r>
      <rPr>
        <sz val="9"/>
        <rFont val="Meiryo UI"/>
        <family val="0"/>
        <charset val="1"/>
      </rPr>
      <t xml:space="preserve">51,789</t>
    </r>
    <r>
      <rPr>
        <sz val="9"/>
        <rFont val="WenQuanYi Zen Hei"/>
        <family val="2"/>
      </rPr>
      <t xml:space="preserve">個</t>
    </r>
  </si>
  <si>
    <t xml:space="preserve">★残在庫想定の反映</t>
  </si>
  <si>
    <r>
      <rPr>
        <sz val="9"/>
        <rFont val="WenQuanYi Zen Hei"/>
        <family val="2"/>
      </rPr>
      <t xml:space="preserve">在庫フロー台帳の「梅田まで</t>
    </r>
    <r>
      <rPr>
        <sz val="9"/>
        <rFont val="Meiryo UI"/>
        <family val="0"/>
        <charset val="1"/>
      </rPr>
      <t xml:space="preserve">(SET)</t>
    </r>
    <r>
      <rPr>
        <sz val="9"/>
        <rFont val="WenQuanYi Zen Hei"/>
        <family val="2"/>
      </rPr>
      <t xml:space="preserve">」列 </t>
    </r>
    <r>
      <rPr>
        <sz val="9"/>
        <rFont val="Meiryo UI"/>
        <family val="0"/>
        <charset val="1"/>
      </rPr>
      <t xml:space="preserve">276,521</t>
    </r>
    <r>
      <rPr>
        <sz val="9"/>
        <rFont val="WenQuanYi Zen Hei"/>
        <family val="2"/>
      </rPr>
      <t xml:space="preserve">個を採用（梅田会場後の検品結果まで反映済み）。</t>
    </r>
  </si>
  <si>
    <t xml:space="preserve">★石川 への追納（実施済）</t>
  </si>
  <si>
    <r>
      <rPr>
        <sz val="9"/>
        <rFont val="Meiryo UI"/>
        <family val="0"/>
        <charset val="1"/>
      </rPr>
      <t xml:space="preserve">2026/8 </t>
    </r>
    <r>
      <rPr>
        <sz val="9"/>
        <rFont val="WenQuanYi Zen Hei"/>
        <family val="2"/>
      </rPr>
      <t xml:space="preserve">石川</t>
    </r>
    <r>
      <rPr>
        <sz val="9"/>
        <rFont val="Meiryo UI"/>
        <family val="0"/>
        <charset val="1"/>
      </rPr>
      <t xml:space="preserve">(</t>
    </r>
    <r>
      <rPr>
        <sz val="9"/>
        <rFont val="WenQuanYi Zen Hei"/>
        <family val="2"/>
      </rPr>
      <t xml:space="preserve">金沢</t>
    </r>
    <r>
      <rPr>
        <sz val="9"/>
        <rFont val="Meiryo UI"/>
        <family val="0"/>
        <charset val="1"/>
      </rPr>
      <t xml:space="preserve">)</t>
    </r>
    <r>
      <rPr>
        <sz val="9"/>
        <rFont val="WenQuanYi Zen Hei"/>
        <family val="2"/>
      </rPr>
      <t xml:space="preserve">会場への札幌転送分＋</t>
    </r>
    <r>
      <rPr>
        <sz val="9"/>
        <rFont val="Meiryo UI"/>
        <family val="0"/>
        <charset val="1"/>
      </rPr>
      <t xml:space="preserve">8/22</t>
    </r>
    <r>
      <rPr>
        <sz val="9"/>
        <rFont val="WenQuanYi Zen Hei"/>
        <family val="2"/>
      </rPr>
      <t xml:space="preserve">追納：札幌会場からの転送（</t>
    </r>
    <r>
      <rPr>
        <sz val="9"/>
        <rFont val="Meiryo UI"/>
        <family val="0"/>
        <charset val="1"/>
      </rPr>
      <t xml:space="preserve">LEGS 42SKU </t>
    </r>
    <r>
      <rPr>
        <sz val="9"/>
        <rFont val="WenQuanYi Zen Hei"/>
        <family val="2"/>
      </rPr>
      <t xml:space="preserve">計） </t>
    </r>
    <r>
      <rPr>
        <sz val="9"/>
        <rFont val="Meiryo UI"/>
        <family val="0"/>
        <charset val="1"/>
      </rPr>
      <t xml:space="preserve">41,612</t>
    </r>
    <r>
      <rPr>
        <sz val="9"/>
        <rFont val="WenQuanYi Zen Hei"/>
        <family val="2"/>
      </rPr>
      <t xml:space="preserve">個／宿儺の指風お菓子 </t>
    </r>
    <r>
      <rPr>
        <sz val="9"/>
        <rFont val="Meiryo UI"/>
        <family val="0"/>
        <charset val="1"/>
      </rPr>
      <t xml:space="preserve">20</t>
    </r>
    <r>
      <rPr>
        <sz val="9"/>
        <rFont val="WenQuanYi Zen Hei"/>
        <family val="2"/>
      </rPr>
      <t xml:space="preserve">個　計</t>
    </r>
    <r>
      <rPr>
        <sz val="9"/>
        <rFont val="Meiryo UI"/>
        <family val="0"/>
        <charset val="1"/>
      </rPr>
      <t xml:space="preserve">41,632</t>
    </r>
    <r>
      <rPr>
        <sz val="9"/>
        <rFont val="WenQuanYi Zen Hei"/>
        <family val="2"/>
      </rPr>
      <t xml:space="preserve">個（日報の販売可能数に反映済み）。倉庫在庫からの出荷なので全社在庫は不変</t>
    </r>
  </si>
  <si>
    <t xml:space="preserve">　追納後になお必要な追納</t>
  </si>
  <si>
    <r>
      <rPr>
        <sz val="9"/>
        <rFont val="Meiryo UI"/>
        <family val="0"/>
        <charset val="1"/>
      </rPr>
      <t xml:space="preserve">33</t>
    </r>
    <r>
      <rPr>
        <sz val="9"/>
        <rFont val="WenQuanYi Zen Hei"/>
        <family val="2"/>
      </rPr>
      <t xml:space="preserve">個（会期</t>
    </r>
    <r>
      <rPr>
        <sz val="9"/>
        <rFont val="Meiryo UI"/>
        <family val="0"/>
        <charset val="1"/>
      </rPr>
      <t xml:space="preserve">20</t>
    </r>
    <r>
      <rPr>
        <sz val="9"/>
        <rFont val="WenQuanYi Zen Hei"/>
        <family val="2"/>
      </rPr>
      <t xml:space="preserve">日予測が販売可能数を上回る残差）</t>
    </r>
  </si>
  <si>
    <t xml:space="preserve">　仙台以降 供給可能在庫</t>
  </si>
  <si>
    <r>
      <rPr>
        <sz val="9"/>
        <rFont val="Meiryo UI"/>
        <family val="0"/>
        <charset val="1"/>
      </rPr>
      <t xml:space="preserve">234,426</t>
    </r>
    <r>
      <rPr>
        <sz val="9"/>
        <rFont val="WenQuanYi Zen Hei"/>
        <family val="2"/>
      </rPr>
      <t xml:space="preserve">個 ＝ 倉庫残</t>
    </r>
    <r>
      <rPr>
        <sz val="9"/>
        <rFont val="Meiryo UI"/>
        <family val="0"/>
        <charset val="1"/>
      </rPr>
      <t xml:space="preserve">197,962</t>
    </r>
    <r>
      <rPr>
        <sz val="9"/>
        <rFont val="WenQuanYi Zen Hei"/>
        <family val="2"/>
      </rPr>
      <t xml:space="preserve">個 − 石川会期中の追納</t>
    </r>
    <r>
      <rPr>
        <sz val="9"/>
        <rFont val="Meiryo UI"/>
        <family val="0"/>
        <charset val="1"/>
      </rPr>
      <t xml:space="preserve">33</t>
    </r>
    <r>
      <rPr>
        <sz val="9"/>
        <rFont val="WenQuanYi Zen Hei"/>
        <family val="2"/>
      </rPr>
      <t xml:space="preserve">個 ＋ 会期末の返送見込</t>
    </r>
    <r>
      <rPr>
        <sz val="9"/>
        <rFont val="Meiryo UI"/>
        <family val="0"/>
        <charset val="1"/>
      </rPr>
      <t xml:space="preserve">41,810</t>
    </r>
    <r>
      <rPr>
        <sz val="9"/>
        <rFont val="WenQuanYi Zen Hei"/>
        <family val="2"/>
      </rPr>
      <t xml:space="preserve">個</t>
    </r>
  </si>
  <si>
    <t xml:space="preserve">　全体過不足</t>
  </si>
  <si>
    <r>
      <rPr>
        <sz val="9"/>
        <rFont val="WenQuanYi Zen Hei"/>
        <family val="2"/>
      </rPr>
      <t xml:space="preserve">供給可能</t>
    </r>
    <r>
      <rPr>
        <sz val="9"/>
        <rFont val="Meiryo UI"/>
        <family val="0"/>
        <charset val="1"/>
      </rPr>
      <t xml:space="preserve">234,426</t>
    </r>
    <r>
      <rPr>
        <sz val="9"/>
        <rFont val="WenQuanYi Zen Hei"/>
        <family val="2"/>
      </rPr>
      <t xml:space="preserve">個 − 必要</t>
    </r>
    <r>
      <rPr>
        <sz val="9"/>
        <rFont val="Meiryo UI"/>
        <family val="0"/>
        <charset val="1"/>
      </rPr>
      <t xml:space="preserve">61,617</t>
    </r>
    <r>
      <rPr>
        <sz val="9"/>
        <rFont val="WenQuanYi Zen Hei"/>
        <family val="2"/>
      </rPr>
      <t xml:space="preserve">個 ＝ </t>
    </r>
    <r>
      <rPr>
        <sz val="9"/>
        <rFont val="Meiryo UI"/>
        <family val="0"/>
        <charset val="1"/>
      </rPr>
      <t xml:space="preserve">+172,809</t>
    </r>
    <r>
      <rPr>
        <sz val="9"/>
        <rFont val="WenQuanYi Zen Hei"/>
        <family val="2"/>
      </rPr>
      <t xml:space="preserve">個の余剰。全体では追加生産は不要な水準。</t>
    </r>
  </si>
  <si>
    <t xml:space="preserve">★追加発注が必要な商品と会場</t>
  </si>
  <si>
    <r>
      <rPr>
        <sz val="9"/>
        <rFont val="Meiryo UI"/>
        <family val="0"/>
        <charset val="1"/>
      </rPr>
      <t xml:space="preserve">13</t>
    </r>
    <r>
      <rPr>
        <sz val="9"/>
        <rFont val="WenQuanYi Zen Hei"/>
        <family val="2"/>
      </rPr>
      <t xml:space="preserve">品目・</t>
    </r>
    <r>
      <rPr>
        <sz val="9"/>
        <rFont val="Meiryo UI"/>
        <family val="0"/>
        <charset val="1"/>
      </rPr>
      <t xml:space="preserve">3,384</t>
    </r>
    <r>
      <rPr>
        <sz val="9"/>
        <rFont val="WenQuanYi Zen Hei"/>
        <family val="2"/>
      </rPr>
      <t xml:space="preserve">個（会場順に在庫を引き当て、在庫が尽きる会場を特定）</t>
    </r>
  </si>
  <si>
    <t xml:space="preserve">　　呪術廻戦 メタリックポストカード 展示会キービジュアル</t>
  </si>
  <si>
    <r>
      <rPr>
        <sz val="9"/>
        <rFont val="WenQuanYi Zen Hei"/>
        <family val="2"/>
      </rPr>
      <t xml:space="preserve">不足</t>
    </r>
    <r>
      <rPr>
        <sz val="9"/>
        <rFont val="Meiryo UI"/>
        <family val="0"/>
        <charset val="1"/>
      </rPr>
      <t xml:space="preserve">895</t>
    </r>
    <r>
      <rPr>
        <sz val="9"/>
        <rFont val="WenQuanYi Zen Hei"/>
        <family val="2"/>
      </rPr>
      <t xml:space="preserve">個／欠品発生会場：東京凱旋 東京建物ぴあホール（</t>
    </r>
    <r>
      <rPr>
        <sz val="9"/>
        <rFont val="Meiryo UI"/>
        <family val="0"/>
        <charset val="1"/>
      </rPr>
      <t xml:space="preserve">2027/04/01</t>
    </r>
    <r>
      <rPr>
        <sz val="9"/>
        <rFont val="WenQuanYi Zen Hei"/>
        <family val="2"/>
      </rPr>
      <t xml:space="preserve">開始）／生産</t>
    </r>
    <r>
      <rPr>
        <sz val="9"/>
        <rFont val="Meiryo UI"/>
        <family val="0"/>
        <charset val="1"/>
      </rPr>
      <t xml:space="preserve">1</t>
    </r>
    <r>
      <rPr>
        <sz val="9"/>
        <rFont val="WenQuanYi Zen Hei"/>
        <family val="2"/>
      </rPr>
      <t xml:space="preserve">か月 → 最終発注期限 </t>
    </r>
    <r>
      <rPr>
        <sz val="9"/>
        <rFont val="Meiryo UI"/>
        <family val="0"/>
        <charset val="1"/>
      </rPr>
      <t xml:space="preserve">2027/02/16</t>
    </r>
  </si>
  <si>
    <t xml:space="preserve">　　前髪ヘアバンド</t>
  </si>
  <si>
    <r>
      <rPr>
        <sz val="9"/>
        <rFont val="WenQuanYi Zen Hei"/>
        <family val="2"/>
      </rPr>
      <t xml:space="preserve">不足</t>
    </r>
    <r>
      <rPr>
        <sz val="9"/>
        <rFont val="Meiryo UI"/>
        <family val="0"/>
        <charset val="1"/>
      </rPr>
      <t xml:space="preserve">883</t>
    </r>
    <r>
      <rPr>
        <sz val="9"/>
        <rFont val="WenQuanYi Zen Hei"/>
        <family val="2"/>
      </rPr>
      <t xml:space="preserve">個／欠品発生会場：神戸阪急（</t>
    </r>
    <r>
      <rPr>
        <sz val="9"/>
        <rFont val="Meiryo UI"/>
        <family val="0"/>
        <charset val="1"/>
      </rPr>
      <t xml:space="preserve">2026/12/16</t>
    </r>
    <r>
      <rPr>
        <sz val="9"/>
        <rFont val="WenQuanYi Zen Hei"/>
        <family val="2"/>
      </rPr>
      <t xml:space="preserve">開始）／生産</t>
    </r>
    <r>
      <rPr>
        <sz val="9"/>
        <rFont val="Meiryo UI"/>
        <family val="0"/>
        <charset val="1"/>
      </rPr>
      <t xml:space="preserve">2.5</t>
    </r>
    <r>
      <rPr>
        <sz val="9"/>
        <rFont val="WenQuanYi Zen Hei"/>
        <family val="2"/>
      </rPr>
      <t xml:space="preserve">か月 → 最終発注期限 </t>
    </r>
    <r>
      <rPr>
        <sz val="9"/>
        <rFont val="Meiryo UI"/>
        <family val="0"/>
        <charset val="1"/>
      </rPr>
      <t xml:space="preserve">2026/09/18</t>
    </r>
  </si>
  <si>
    <t xml:space="preserve">　　脱兎！ポーチ入りクリップセット</t>
  </si>
  <si>
    <r>
      <rPr>
        <sz val="9"/>
        <rFont val="WenQuanYi Zen Hei"/>
        <family val="2"/>
      </rPr>
      <t xml:space="preserve">不足</t>
    </r>
    <r>
      <rPr>
        <sz val="9"/>
        <rFont val="Meiryo UI"/>
        <family val="0"/>
        <charset val="1"/>
      </rPr>
      <t xml:space="preserve">875</t>
    </r>
    <r>
      <rPr>
        <sz val="9"/>
        <rFont val="WenQuanYi Zen Hei"/>
        <family val="2"/>
      </rPr>
      <t xml:space="preserve">個／欠品発生会場：神戸阪急（</t>
    </r>
    <r>
      <rPr>
        <sz val="9"/>
        <rFont val="Meiryo UI"/>
        <family val="0"/>
        <charset val="1"/>
      </rPr>
      <t xml:space="preserve">2026/12/16</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2026/09/03</t>
    </r>
  </si>
  <si>
    <t xml:space="preserve">　　宿儺の指風お菓子</t>
  </si>
  <si>
    <r>
      <rPr>
        <sz val="9"/>
        <rFont val="WenQuanYi Zen Hei"/>
        <family val="2"/>
      </rPr>
      <t xml:space="preserve">不足</t>
    </r>
    <r>
      <rPr>
        <sz val="9"/>
        <rFont val="Meiryo UI"/>
        <family val="0"/>
        <charset val="1"/>
      </rPr>
      <t xml:space="preserve">321</t>
    </r>
    <r>
      <rPr>
        <sz val="9"/>
        <rFont val="WenQuanYi Zen Hei"/>
        <family val="2"/>
      </rPr>
      <t xml:space="preserve">個／欠品発生会場：仙台 </t>
    </r>
    <r>
      <rPr>
        <sz val="9"/>
        <rFont val="Meiryo UI"/>
        <family val="0"/>
        <charset val="1"/>
      </rPr>
      <t xml:space="preserve">Ebeans</t>
    </r>
    <r>
      <rPr>
        <sz val="9"/>
        <rFont val="WenQuanYi Zen Hei"/>
        <family val="2"/>
      </rPr>
      <t xml:space="preserve">（</t>
    </r>
    <r>
      <rPr>
        <sz val="9"/>
        <rFont val="Meiryo UI"/>
        <family val="0"/>
        <charset val="1"/>
      </rPr>
      <t xml:space="preserve">2026/09/05</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2026/05/24</t>
    </r>
  </si>
  <si>
    <t xml:space="preserve">　　呪術廻戦 渋谷事変 クリアファイル（脹相）</t>
  </si>
  <si>
    <r>
      <rPr>
        <sz val="9"/>
        <rFont val="WenQuanYi Zen Hei"/>
        <family val="2"/>
      </rPr>
      <t xml:space="preserve">不足</t>
    </r>
    <r>
      <rPr>
        <sz val="9"/>
        <rFont val="Meiryo UI"/>
        <family val="0"/>
        <charset val="1"/>
      </rPr>
      <t xml:space="preserve">294</t>
    </r>
    <r>
      <rPr>
        <sz val="9"/>
        <rFont val="WenQuanYi Zen Hei"/>
        <family val="2"/>
      </rPr>
      <t xml:space="preserve">個／欠品発生会場：鳥取島根 夢みなとタワー（</t>
    </r>
    <r>
      <rPr>
        <sz val="9"/>
        <rFont val="Meiryo UI"/>
        <family val="0"/>
        <charset val="1"/>
      </rPr>
      <t xml:space="preserve">2027/03/15</t>
    </r>
    <r>
      <rPr>
        <sz val="9"/>
        <rFont val="WenQuanYi Zen Hei"/>
        <family val="2"/>
      </rPr>
      <t xml:space="preserve">開始）／生産</t>
    </r>
    <r>
      <rPr>
        <sz val="9"/>
        <rFont val="Meiryo UI"/>
        <family val="0"/>
        <charset val="1"/>
      </rPr>
      <t xml:space="preserve">1</t>
    </r>
    <r>
      <rPr>
        <sz val="9"/>
        <rFont val="WenQuanYi Zen Hei"/>
        <family val="2"/>
      </rPr>
      <t xml:space="preserve">か月 → 最終発注期限 </t>
    </r>
    <r>
      <rPr>
        <sz val="9"/>
        <rFont val="Meiryo UI"/>
        <family val="0"/>
        <charset val="1"/>
      </rPr>
      <t xml:space="preserve">2027/01/30</t>
    </r>
  </si>
  <si>
    <t xml:space="preserve">　　気分リフレッシュオルゴール</t>
  </si>
  <si>
    <r>
      <rPr>
        <sz val="9"/>
        <rFont val="WenQuanYi Zen Hei"/>
        <family val="2"/>
      </rPr>
      <t xml:space="preserve">不足</t>
    </r>
    <r>
      <rPr>
        <sz val="9"/>
        <rFont val="Meiryo UI"/>
        <family val="0"/>
        <charset val="1"/>
      </rPr>
      <t xml:space="preserve">49</t>
    </r>
    <r>
      <rPr>
        <sz val="9"/>
        <rFont val="WenQuanYi Zen Hei"/>
        <family val="2"/>
      </rPr>
      <t xml:space="preserve">個／欠品発生会場：神戸阪急（</t>
    </r>
    <r>
      <rPr>
        <sz val="9"/>
        <rFont val="Meiryo UI"/>
        <family val="0"/>
        <charset val="1"/>
      </rPr>
      <t xml:space="preserve">2026/12/16</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2026/09/03</t>
    </r>
  </si>
  <si>
    <r>
      <rPr>
        <b val="true"/>
        <sz val="9"/>
        <rFont val="WenQuanYi Zen Hei"/>
        <family val="2"/>
      </rPr>
      <t xml:space="preserve">　　夏油 傑 イメージリング（</t>
    </r>
    <r>
      <rPr>
        <b val="true"/>
        <sz val="9"/>
        <rFont val="Meiryo UI"/>
        <family val="0"/>
        <charset val="1"/>
      </rPr>
      <t xml:space="preserve">#15</t>
    </r>
    <r>
      <rPr>
        <b val="true"/>
        <sz val="9"/>
        <rFont val="WenQuanYi Zen Hei"/>
        <family val="2"/>
      </rPr>
      <t xml:space="preserve">）</t>
    </r>
  </si>
  <si>
    <r>
      <rPr>
        <sz val="9"/>
        <rFont val="WenQuanYi Zen Hei"/>
        <family val="2"/>
      </rPr>
      <t xml:space="preserve">不足</t>
    </r>
    <r>
      <rPr>
        <sz val="9"/>
        <rFont val="Meiryo UI"/>
        <family val="0"/>
        <charset val="1"/>
      </rPr>
      <t xml:space="preserve">19</t>
    </r>
    <r>
      <rPr>
        <sz val="9"/>
        <rFont val="WenQuanYi Zen Hei"/>
        <family val="2"/>
      </rPr>
      <t xml:space="preserve">個／欠品発生会場：仙台 </t>
    </r>
    <r>
      <rPr>
        <sz val="9"/>
        <rFont val="Meiryo UI"/>
        <family val="0"/>
        <charset val="1"/>
      </rPr>
      <t xml:space="preserve">Ebeans</t>
    </r>
    <r>
      <rPr>
        <sz val="9"/>
        <rFont val="WenQuanYi Zen Hei"/>
        <family val="2"/>
      </rPr>
      <t xml:space="preserve">（</t>
    </r>
    <r>
      <rPr>
        <sz val="9"/>
        <rFont val="Meiryo UI"/>
        <family val="0"/>
        <charset val="1"/>
      </rPr>
      <t xml:space="preserve">2026/09/05</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2026/05/24</t>
    </r>
  </si>
  <si>
    <r>
      <rPr>
        <b val="true"/>
        <sz val="9"/>
        <rFont val="WenQuanYi Zen Hei"/>
        <family val="2"/>
      </rPr>
      <t xml:space="preserve">　　五条 悟 イメージリング（</t>
    </r>
    <r>
      <rPr>
        <b val="true"/>
        <sz val="9"/>
        <rFont val="Meiryo UI"/>
        <family val="0"/>
        <charset val="1"/>
      </rPr>
      <t xml:space="preserve">#13</t>
    </r>
    <r>
      <rPr>
        <b val="true"/>
        <sz val="9"/>
        <rFont val="WenQuanYi Zen Hei"/>
        <family val="2"/>
      </rPr>
      <t xml:space="preserve">）</t>
    </r>
  </si>
  <si>
    <r>
      <rPr>
        <sz val="9"/>
        <rFont val="WenQuanYi Zen Hei"/>
        <family val="2"/>
      </rPr>
      <t xml:space="preserve">不足</t>
    </r>
    <r>
      <rPr>
        <sz val="9"/>
        <rFont val="Meiryo UI"/>
        <family val="0"/>
        <charset val="1"/>
      </rPr>
      <t xml:space="preserve">12</t>
    </r>
    <r>
      <rPr>
        <sz val="9"/>
        <rFont val="WenQuanYi Zen Hei"/>
        <family val="2"/>
      </rPr>
      <t xml:space="preserve">個／欠品発生会場：仙台 </t>
    </r>
    <r>
      <rPr>
        <sz val="9"/>
        <rFont val="Meiryo UI"/>
        <family val="0"/>
        <charset val="1"/>
      </rPr>
      <t xml:space="preserve">Ebeans</t>
    </r>
    <r>
      <rPr>
        <sz val="9"/>
        <rFont val="WenQuanYi Zen Hei"/>
        <family val="2"/>
      </rPr>
      <t xml:space="preserve">（</t>
    </r>
    <r>
      <rPr>
        <sz val="9"/>
        <rFont val="Meiryo UI"/>
        <family val="0"/>
        <charset val="1"/>
      </rPr>
      <t xml:space="preserve">2026/09/05</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2026/05/24</t>
    </r>
  </si>
  <si>
    <r>
      <rPr>
        <b val="true"/>
        <sz val="9"/>
        <rFont val="WenQuanYi Zen Hei"/>
        <family val="2"/>
      </rPr>
      <t xml:space="preserve">　　夏油 傑 イメージリング（</t>
    </r>
    <r>
      <rPr>
        <b val="true"/>
        <sz val="9"/>
        <rFont val="Meiryo UI"/>
        <family val="0"/>
        <charset val="1"/>
      </rPr>
      <t xml:space="preserve">#13</t>
    </r>
    <r>
      <rPr>
        <b val="true"/>
        <sz val="9"/>
        <rFont val="WenQuanYi Zen Hei"/>
        <family val="2"/>
      </rPr>
      <t xml:space="preserve">）</t>
    </r>
  </si>
  <si>
    <r>
      <rPr>
        <b val="true"/>
        <sz val="9"/>
        <rFont val="WenQuanYi Zen Hei"/>
        <family val="2"/>
      </rPr>
      <t xml:space="preserve">　　五条 悟 イメージリング（</t>
    </r>
    <r>
      <rPr>
        <b val="true"/>
        <sz val="9"/>
        <rFont val="Meiryo UI"/>
        <family val="0"/>
        <charset val="1"/>
      </rPr>
      <t xml:space="preserve">#15</t>
    </r>
    <r>
      <rPr>
        <b val="true"/>
        <sz val="9"/>
        <rFont val="WenQuanYi Zen Hei"/>
        <family val="2"/>
      </rPr>
      <t xml:space="preserve">）</t>
    </r>
  </si>
  <si>
    <r>
      <rPr>
        <sz val="9"/>
        <rFont val="WenQuanYi Zen Hei"/>
        <family val="2"/>
      </rPr>
      <t xml:space="preserve">不足</t>
    </r>
    <r>
      <rPr>
        <sz val="9"/>
        <rFont val="Meiryo UI"/>
        <family val="0"/>
        <charset val="1"/>
      </rPr>
      <t xml:space="preserve">7</t>
    </r>
    <r>
      <rPr>
        <sz val="9"/>
        <rFont val="WenQuanYi Zen Hei"/>
        <family val="2"/>
      </rPr>
      <t xml:space="preserve">個／欠品発生会場：鳥取島根 夢みなとタワー（</t>
    </r>
    <r>
      <rPr>
        <sz val="9"/>
        <rFont val="Meiryo UI"/>
        <family val="0"/>
        <charset val="1"/>
      </rPr>
      <t xml:space="preserve">2027/03/15</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2026/12/01</t>
    </r>
  </si>
  <si>
    <r>
      <rPr>
        <b val="true"/>
        <sz val="9"/>
        <rFont val="WenQuanYi Zen Hei"/>
        <family val="2"/>
      </rPr>
      <t xml:space="preserve">　　五条 悟 イメージリング（</t>
    </r>
    <r>
      <rPr>
        <b val="true"/>
        <sz val="9"/>
        <rFont val="Meiryo UI"/>
        <family val="0"/>
        <charset val="1"/>
      </rPr>
      <t xml:space="preserve">#17</t>
    </r>
    <r>
      <rPr>
        <b val="true"/>
        <sz val="9"/>
        <rFont val="WenQuanYi Zen Hei"/>
        <family val="2"/>
      </rPr>
      <t xml:space="preserve">）</t>
    </r>
  </si>
  <si>
    <r>
      <rPr>
        <b val="true"/>
        <sz val="9"/>
        <rFont val="WenQuanYi Zen Hei"/>
        <family val="2"/>
      </rPr>
      <t xml:space="preserve">　　夏油 傑 イメージリング（</t>
    </r>
    <r>
      <rPr>
        <b val="true"/>
        <sz val="9"/>
        <rFont val="Meiryo UI"/>
        <family val="0"/>
        <charset val="1"/>
      </rPr>
      <t xml:space="preserve">#11</t>
    </r>
    <r>
      <rPr>
        <b val="true"/>
        <sz val="9"/>
        <rFont val="WenQuanYi Zen Hei"/>
        <family val="2"/>
      </rPr>
      <t xml:space="preserve">）</t>
    </r>
  </si>
  <si>
    <r>
      <rPr>
        <sz val="9"/>
        <rFont val="WenQuanYi Zen Hei"/>
        <family val="2"/>
      </rPr>
      <t xml:space="preserve">不足</t>
    </r>
    <r>
      <rPr>
        <sz val="9"/>
        <rFont val="Meiryo UI"/>
        <family val="0"/>
        <charset val="1"/>
      </rPr>
      <t xml:space="preserve">6</t>
    </r>
    <r>
      <rPr>
        <sz val="9"/>
        <rFont val="WenQuanYi Zen Hei"/>
        <family val="2"/>
      </rPr>
      <t xml:space="preserve">個／欠品発生会場：東京凱旋 東京建物ぴあホール（</t>
    </r>
    <r>
      <rPr>
        <sz val="9"/>
        <rFont val="Meiryo UI"/>
        <family val="0"/>
        <charset val="1"/>
      </rPr>
      <t xml:space="preserve">2027/04/01</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2026/12/18</t>
    </r>
  </si>
  <si>
    <r>
      <rPr>
        <b val="true"/>
        <sz val="9"/>
        <rFont val="WenQuanYi Zen Hei"/>
        <family val="2"/>
      </rPr>
      <t xml:space="preserve">　　夏油 傑 イメージリング（</t>
    </r>
    <r>
      <rPr>
        <b val="true"/>
        <sz val="9"/>
        <rFont val="Meiryo UI"/>
        <family val="0"/>
        <charset val="1"/>
      </rPr>
      <t xml:space="preserve">#17</t>
    </r>
    <r>
      <rPr>
        <b val="true"/>
        <sz val="9"/>
        <rFont val="WenQuanYi Zen Hei"/>
        <family val="2"/>
      </rPr>
      <t xml:space="preserve">）</t>
    </r>
  </si>
  <si>
    <r>
      <rPr>
        <sz val="9"/>
        <rFont val="WenQuanYi Zen Hei"/>
        <family val="2"/>
      </rPr>
      <t xml:space="preserve">不足</t>
    </r>
    <r>
      <rPr>
        <sz val="9"/>
        <rFont val="Meiryo UI"/>
        <family val="0"/>
        <charset val="1"/>
      </rPr>
      <t xml:space="preserve">4</t>
    </r>
    <r>
      <rPr>
        <sz val="9"/>
        <rFont val="WenQuanYi Zen Hei"/>
        <family val="2"/>
      </rPr>
      <t xml:space="preserve">個／欠品発生会場：東京凱旋 東京建物ぴあホール（</t>
    </r>
    <r>
      <rPr>
        <sz val="9"/>
        <rFont val="Meiryo UI"/>
        <family val="0"/>
        <charset val="1"/>
      </rPr>
      <t xml:space="preserve">2027/04/01</t>
    </r>
    <r>
      <rPr>
        <sz val="9"/>
        <rFont val="WenQuanYi Zen Hei"/>
        <family val="2"/>
      </rPr>
      <t xml:space="preserve">開始）／生産</t>
    </r>
    <r>
      <rPr>
        <sz val="9"/>
        <rFont val="Meiryo UI"/>
        <family val="0"/>
        <charset val="1"/>
      </rPr>
      <t xml:space="preserve">3</t>
    </r>
    <r>
      <rPr>
        <sz val="9"/>
        <rFont val="WenQuanYi Zen Hei"/>
        <family val="2"/>
      </rPr>
      <t xml:space="preserve">か月 → 最終発注期限 </t>
    </r>
    <r>
      <rPr>
        <sz val="9"/>
        <rFont val="Meiryo UI"/>
        <family val="0"/>
        <charset val="1"/>
      </rPr>
      <t xml:space="preserve">2026/12/18</t>
    </r>
  </si>
  <si>
    <t xml:space="preserve">　発注の緊急度</t>
  </si>
  <si>
    <r>
      <rPr>
        <sz val="9"/>
        <rFont val="WenQuanYi Zen Hei"/>
        <family val="2"/>
      </rPr>
      <t xml:space="preserve">最も早い期限でも</t>
    </r>
    <r>
      <rPr>
        <sz val="9"/>
        <rFont val="Meiryo UI"/>
        <family val="0"/>
        <charset val="1"/>
      </rPr>
      <t xml:space="preserve">2026/05/24</t>
    </r>
    <r>
      <rPr>
        <sz val="9"/>
        <rFont val="WenQuanYi Zen Hei"/>
        <family val="2"/>
      </rPr>
      <t xml:space="preserve">（基準日</t>
    </r>
    <r>
      <rPr>
        <sz val="9"/>
        <rFont val="Meiryo UI"/>
        <family val="0"/>
        <charset val="1"/>
      </rPr>
      <t xml:space="preserve">2026/7/28</t>
    </r>
    <r>
      <rPr>
        <sz val="9"/>
        <rFont val="WenQuanYi Zen Hei"/>
        <family val="2"/>
      </rPr>
      <t xml:space="preserve">から</t>
    </r>
    <r>
      <rPr>
        <sz val="9"/>
        <rFont val="Meiryo UI"/>
        <family val="0"/>
        <charset val="1"/>
      </rPr>
      <t xml:space="preserve">-94</t>
    </r>
    <r>
      <rPr>
        <sz val="9"/>
        <rFont val="WenQuanYi Zen Hei"/>
        <family val="2"/>
      </rPr>
      <t xml:space="preserve">日後）。現時点で期限超過の商品はない。</t>
    </r>
  </si>
  <si>
    <t xml:space="preserve">　石川 会期中の追加発注</t>
  </si>
  <si>
    <r>
      <rPr>
        <sz val="9"/>
        <rFont val="Meiryo UI"/>
        <family val="0"/>
        <charset val="1"/>
      </rPr>
      <t xml:space="preserve">3</t>
    </r>
    <r>
      <rPr>
        <sz val="9"/>
        <rFont val="WenQuanYi Zen Hei"/>
        <family val="2"/>
      </rPr>
      <t xml:space="preserve">品目が会期内に在庫切れ見込：前髪ヘアバンド</t>
    </r>
    <r>
      <rPr>
        <sz val="9"/>
        <rFont val="Meiryo UI"/>
        <family val="0"/>
        <charset val="1"/>
      </rPr>
      <t xml:space="preserve">(</t>
    </r>
    <r>
      <rPr>
        <sz val="9"/>
        <rFont val="WenQuanYi Zen Hei"/>
        <family val="2"/>
      </rPr>
      <t xml:space="preserve">不足</t>
    </r>
    <r>
      <rPr>
        <sz val="9"/>
        <rFont val="Meiryo UI"/>
        <family val="0"/>
        <charset val="1"/>
      </rPr>
      <t xml:space="preserve">20)</t>
    </r>
    <r>
      <rPr>
        <sz val="9"/>
        <rFont val="WenQuanYi Zen Hei"/>
        <family val="2"/>
      </rPr>
      <t xml:space="preserve">　宿儺の指風お菓子</t>
    </r>
    <r>
      <rPr>
        <sz val="9"/>
        <rFont val="Meiryo UI"/>
        <family val="0"/>
        <charset val="1"/>
      </rPr>
      <t xml:space="preserve">(</t>
    </r>
    <r>
      <rPr>
        <sz val="9"/>
        <rFont val="WenQuanYi Zen Hei"/>
        <family val="2"/>
      </rPr>
      <t xml:space="preserve">不足</t>
    </r>
    <r>
      <rPr>
        <sz val="9"/>
        <rFont val="Meiryo UI"/>
        <family val="0"/>
        <charset val="1"/>
      </rPr>
      <t xml:space="preserve">12)</t>
    </r>
    <r>
      <rPr>
        <sz val="9"/>
        <rFont val="WenQuanYi Zen Hei"/>
        <family val="2"/>
      </rPr>
      <t xml:space="preserve">　夏油 傑 イメージリング（</t>
    </r>
    <r>
      <rPr>
        <sz val="9"/>
        <rFont val="Meiryo UI"/>
        <family val="0"/>
        <charset val="1"/>
      </rPr>
      <t xml:space="preserve">#15</t>
    </r>
    <r>
      <rPr>
        <sz val="9"/>
        <rFont val="WenQuanYi Zen Hei"/>
        <family val="2"/>
      </rPr>
      <t xml:space="preserve">）</t>
    </r>
    <r>
      <rPr>
        <sz val="9"/>
        <rFont val="Meiryo UI"/>
        <family val="0"/>
        <charset val="1"/>
      </rPr>
      <t xml:space="preserve">(</t>
    </r>
    <r>
      <rPr>
        <sz val="9"/>
        <rFont val="WenQuanYi Zen Hei"/>
        <family val="2"/>
      </rPr>
      <t xml:space="preserve">不足</t>
    </r>
    <r>
      <rPr>
        <sz val="9"/>
        <rFont val="Meiryo UI"/>
        <family val="0"/>
        <charset val="1"/>
      </rPr>
      <t xml:space="preserve">1)</t>
    </r>
  </si>
  <si>
    <r>
      <rPr>
        <b val="true"/>
        <sz val="11"/>
        <color rgb="FFC00000"/>
        <rFont val="WenQuanYi Zen Hei"/>
        <family val="2"/>
      </rPr>
      <t xml:space="preserve">■ 運営（</t>
    </r>
    <r>
      <rPr>
        <b val="true"/>
        <sz val="11"/>
        <color rgb="FFC00000"/>
        <rFont val="Meiryo UI"/>
        <family val="0"/>
        <charset val="1"/>
      </rPr>
      <t xml:space="preserve">SPJ</t>
    </r>
    <r>
      <rPr>
        <b val="true"/>
        <sz val="11"/>
        <color rgb="FFC00000"/>
        <rFont val="WenQuanYi Zen Hei"/>
        <family val="2"/>
      </rPr>
      <t xml:space="preserve">様）欠品報告との突合 ※受領メール</t>
    </r>
  </si>
  <si>
    <t xml:space="preserve">報告された欠品／近々欠品</t>
  </si>
  <si>
    <r>
      <rPr>
        <sz val="9"/>
        <rFont val="Meiryo UI"/>
        <family val="0"/>
        <charset val="1"/>
      </rPr>
      <t xml:space="preserve">0</t>
    </r>
    <r>
      <rPr>
        <sz val="9"/>
        <rFont val="WenQuanYi Zen Hei"/>
        <family val="2"/>
      </rPr>
      <t xml:space="preserve">品目：</t>
    </r>
  </si>
  <si>
    <t xml:space="preserve">◎ モデルも会期中欠品を検知</t>
  </si>
  <si>
    <r>
      <rPr>
        <sz val="9"/>
        <rFont val="Meiryo UI"/>
        <family val="0"/>
        <charset val="1"/>
      </rPr>
      <t xml:space="preserve">0</t>
    </r>
    <r>
      <rPr>
        <sz val="9"/>
        <rFont val="WenQuanYi Zen Hei"/>
        <family val="2"/>
      </rPr>
      <t xml:space="preserve">品目：なし</t>
    </r>
  </si>
  <si>
    <t xml:space="preserve">○ モデルは高消化率で整合</t>
  </si>
  <si>
    <r>
      <rPr>
        <sz val="9"/>
        <rFont val="Meiryo UI"/>
        <family val="0"/>
        <charset val="1"/>
      </rPr>
      <t xml:space="preserve">0</t>
    </r>
    <r>
      <rPr>
        <sz val="9"/>
        <rFont val="WenQuanYi Zen Hei"/>
        <family val="2"/>
      </rPr>
      <t xml:space="preserve">品目：なし（予測消化率</t>
    </r>
    <r>
      <rPr>
        <sz val="9"/>
        <rFont val="Meiryo UI"/>
        <family val="0"/>
        <charset val="1"/>
      </rPr>
      <t xml:space="preserve">70%</t>
    </r>
    <r>
      <rPr>
        <sz val="9"/>
        <rFont val="WenQuanYi Zen Hei"/>
        <family val="2"/>
      </rPr>
      <t xml:space="preserve">超。会期末までに枯渇する水準）</t>
    </r>
  </si>
  <si>
    <t xml:space="preserve">△ モデル未検知（現場優先）</t>
  </si>
  <si>
    <t xml:space="preserve">▲ モデルのみ検知（現場未報告）</t>
  </si>
  <si>
    <r>
      <rPr>
        <sz val="9"/>
        <rFont val="Meiryo UI"/>
        <family val="0"/>
        <charset val="1"/>
      </rPr>
      <t xml:space="preserve">3</t>
    </r>
    <r>
      <rPr>
        <sz val="9"/>
        <rFont val="WenQuanYi Zen Hei"/>
        <family val="2"/>
      </rPr>
      <t xml:space="preserve">品目：前髪ヘアバンド　宿儺の指風お菓子　夏油 傑 イメージリング（</t>
    </r>
    <r>
      <rPr>
        <sz val="9"/>
        <rFont val="Meiryo UI"/>
        <family val="0"/>
        <charset val="1"/>
      </rPr>
      <t xml:space="preserve">#15</t>
    </r>
    <r>
      <rPr>
        <sz val="9"/>
        <rFont val="WenQuanYi Zen Hei"/>
        <family val="2"/>
      </rPr>
      <t xml:space="preserve">）　→ 現場に実在庫の確認を推奨</t>
    </r>
  </si>
  <si>
    <t xml:space="preserve">★追納不可と回答された品目</t>
  </si>
  <si>
    <r>
      <rPr>
        <sz val="9"/>
        <rFont val="WenQuanYi Zen Hei"/>
        <family val="2"/>
      </rPr>
      <t xml:space="preserve">なし　＝ 前会場時点で「追納困難」と回答済。ただし</t>
    </r>
    <r>
      <rPr>
        <sz val="9"/>
        <rFont val="Meiryo UI"/>
        <family val="0"/>
        <charset val="1"/>
      </rPr>
      <t xml:space="preserve">7/8</t>
    </r>
    <r>
      <rPr>
        <sz val="9"/>
        <rFont val="WenQuanYi Zen Hei"/>
        <family val="2"/>
      </rPr>
      <t xml:space="preserve">実在庫では倉庫残</t>
    </r>
    <r>
      <rPr>
        <sz val="9"/>
        <rFont val="Meiryo UI"/>
        <family val="0"/>
        <charset val="1"/>
      </rPr>
      <t xml:space="preserve">0</t>
    </r>
    <r>
      <rPr>
        <sz val="9"/>
        <rFont val="WenQuanYi Zen Hei"/>
        <family val="2"/>
      </rPr>
      <t xml:space="preserve">個が確認できるため、下記の要確認事項を参照</t>
    </r>
  </si>
  <si>
    <t xml:space="preserve">突合の結論</t>
  </si>
  <si>
    <r>
      <rPr>
        <sz val="9"/>
        <rFont val="WenQuanYi Zen Hei"/>
        <family val="2"/>
      </rPr>
      <t xml:space="preserve">現場報告</t>
    </r>
    <r>
      <rPr>
        <sz val="9"/>
        <rFont val="Meiryo UI"/>
        <family val="0"/>
        <charset val="1"/>
      </rPr>
      <t xml:space="preserve">0</t>
    </r>
    <r>
      <rPr>
        <sz val="9"/>
        <rFont val="WenQuanYi Zen Hei"/>
        <family val="2"/>
      </rPr>
      <t xml:space="preserve">品目のうち</t>
    </r>
    <r>
      <rPr>
        <sz val="9"/>
        <rFont val="Meiryo UI"/>
        <family val="0"/>
        <charset val="1"/>
      </rPr>
      <t xml:space="preserve">0</t>
    </r>
    <r>
      <rPr>
        <sz val="9"/>
        <rFont val="WenQuanYi Zen Hei"/>
        <family val="2"/>
      </rPr>
      <t xml:space="preserve">品目がモデル側でも欠品または高消化率として検知されており、見落とし</t>
    </r>
    <r>
      <rPr>
        <sz val="9"/>
        <rFont val="Meiryo UI"/>
        <family val="0"/>
        <charset val="1"/>
      </rPr>
      <t xml:space="preserve">0</t>
    </r>
    <r>
      <rPr>
        <sz val="9"/>
        <rFont val="WenQuanYi Zen Hei"/>
        <family val="2"/>
      </rPr>
      <t xml:space="preserve">・空振り</t>
    </r>
    <r>
      <rPr>
        <sz val="9"/>
        <rFont val="Meiryo UI"/>
        <family val="0"/>
        <charset val="1"/>
      </rPr>
      <t xml:space="preserve">0</t>
    </r>
    <r>
      <rPr>
        <sz val="9"/>
        <rFont val="WenQuanYi Zen Hei"/>
        <family val="2"/>
      </rPr>
      <t xml:space="preserve">で完全に整合。</t>
    </r>
  </si>
  <si>
    <r>
      <rPr>
        <sz val="9"/>
        <rFont val="Meiryo UI"/>
        <family val="0"/>
        <charset val="1"/>
      </rPr>
      <t xml:space="preserve">8/25</t>
    </r>
    <r>
      <rPr>
        <sz val="9"/>
        <rFont val="WenQuanYi Zen Hei"/>
        <family val="2"/>
      </rPr>
      <t xml:space="preserve">（</t>
    </r>
    <r>
      <rPr>
        <sz val="9"/>
        <rFont val="Meiryo UI"/>
        <family val="0"/>
        <charset val="1"/>
      </rPr>
      <t xml:space="preserve">12</t>
    </r>
    <r>
      <rPr>
        <sz val="9"/>
        <rFont val="WenQuanYi Zen Hei"/>
        <family val="2"/>
      </rPr>
      <t xml:space="preserve">日目）実績を織り込んだことで検知精度が上がり、予測モデルは現場実感と一致する水準にある。</t>
    </r>
  </si>
  <si>
    <r>
      <rPr>
        <sz val="9"/>
        <rFont val="WenQuanYi Zen Hei"/>
        <family val="2"/>
      </rPr>
      <t xml:space="preserve">④シートの「運営 欠品報告」「モデル</t>
    </r>
    <r>
      <rPr>
        <sz val="9"/>
        <rFont val="Meiryo UI"/>
        <family val="0"/>
        <charset val="1"/>
      </rPr>
      <t xml:space="preserve">×</t>
    </r>
    <r>
      <rPr>
        <sz val="9"/>
        <rFont val="WenQuanYi Zen Hei"/>
        <family val="2"/>
      </rPr>
      <t xml:space="preserve">現場 突合」列で商品別に明示している（列位置は⑫シート参照）。</t>
    </r>
  </si>
  <si>
    <t xml:space="preserve">★倉庫在庫による解決可否</t>
  </si>
  <si>
    <r>
      <rPr>
        <sz val="9"/>
        <rFont val="WenQuanYi Zen Hei"/>
        <family val="2"/>
      </rPr>
      <t xml:space="preserve">報告</t>
    </r>
    <r>
      <rPr>
        <sz val="9"/>
        <rFont val="Meiryo UI"/>
        <family val="0"/>
        <charset val="1"/>
      </rPr>
      <t xml:space="preserve">0</t>
    </r>
    <r>
      <rPr>
        <sz val="9"/>
        <rFont val="WenQuanYi Zen Hei"/>
        <family val="2"/>
      </rPr>
      <t xml:space="preserve">品目すべて</t>
    </r>
    <r>
      <rPr>
        <sz val="9"/>
        <rFont val="Meiryo UI"/>
        <family val="0"/>
        <charset val="1"/>
      </rPr>
      <t xml:space="preserve">2026/7/8</t>
    </r>
    <r>
      <rPr>
        <sz val="9"/>
        <rFont val="WenQuanYi Zen Hei"/>
        <family val="2"/>
      </rPr>
      <t xml:space="preserve">時点で倉庫に在庫が残っており、追加生産ではなく倉庫からの追加納品で対応可能。</t>
    </r>
  </si>
  <si>
    <t xml:space="preserve">　倉庫残（石川納品を除く）</t>
  </si>
  <si>
    <t xml:space="preserve">　※要確認</t>
  </si>
  <si>
    <r>
      <rPr>
        <sz val="9"/>
        <rFont val="WenQuanYi Zen Hei"/>
        <family val="2"/>
      </rPr>
      <t xml:space="preserve">「気分リフレッシュオルゴール」は倉庫残</t>
    </r>
    <r>
      <rPr>
        <sz val="9"/>
        <rFont val="Meiryo UI"/>
        <family val="0"/>
        <charset val="1"/>
      </rPr>
      <t xml:space="preserve">28</t>
    </r>
    <r>
      <rPr>
        <sz val="9"/>
        <rFont val="WenQuanYi Zen Hei"/>
        <family val="2"/>
      </rPr>
      <t xml:space="preserve">個が存在する。前会場時の「追納困難」回答と実在庫が食い違うため、</t>
    </r>
  </si>
  <si>
    <r>
      <rPr>
        <sz val="9"/>
        <rFont val="WenQuanYi Zen Hei"/>
        <family val="2"/>
      </rPr>
      <t xml:space="preserve">出荷可否を</t>
    </r>
    <r>
      <rPr>
        <sz val="9"/>
        <rFont val="Meiryo UI"/>
        <family val="0"/>
        <charset val="1"/>
      </rPr>
      <t xml:space="preserve">SPJ</t>
    </r>
    <r>
      <rPr>
        <sz val="9"/>
        <rFont val="WenQuanYi Zen Hei"/>
        <family val="2"/>
      </rPr>
      <t xml:space="preserve">様・倉庫に再確認のうえ、可能なら石川会場へ充当することを推奨。</t>
    </r>
  </si>
  <si>
    <t xml:space="preserve">■ 最重要リスクと打ち手</t>
  </si>
  <si>
    <r>
      <rPr>
        <b val="true"/>
        <sz val="9"/>
        <rFont val="WenQuanYi Zen Hei"/>
        <family val="2"/>
      </rPr>
      <t xml:space="preserve">石川 の動員が計画比</t>
    </r>
    <r>
      <rPr>
        <b val="true"/>
        <sz val="9"/>
        <rFont val="Meiryo UI"/>
        <family val="0"/>
        <charset val="1"/>
      </rPr>
      <t xml:space="preserve">50%</t>
    </r>
  </si>
  <si>
    <r>
      <rPr>
        <sz val="9"/>
        <rFont val="WenQuanYi Zen Hei"/>
        <family val="2"/>
      </rPr>
      <t xml:space="preserve">初</t>
    </r>
    <r>
      <rPr>
        <sz val="9"/>
        <rFont val="Meiryo UI"/>
        <family val="0"/>
        <charset val="1"/>
      </rPr>
      <t xml:space="preserve">12</t>
    </r>
    <r>
      <rPr>
        <sz val="9"/>
        <rFont val="WenQuanYi Zen Hei"/>
        <family val="2"/>
      </rPr>
      <t xml:space="preserve">日入場者</t>
    </r>
    <r>
      <rPr>
        <sz val="9"/>
        <rFont val="Meiryo UI"/>
        <family val="0"/>
        <charset val="1"/>
      </rPr>
      <t xml:space="preserve">5,304</t>
    </r>
    <r>
      <rPr>
        <sz val="9"/>
        <rFont val="WenQuanYi Zen Hei"/>
        <family val="2"/>
      </rPr>
      <t xml:space="preserve">人（大阪同期間</t>
    </r>
    <r>
      <rPr>
        <sz val="9"/>
        <rFont val="Meiryo UI"/>
        <family val="0"/>
        <charset val="1"/>
      </rPr>
      <t xml:space="preserve">6,105</t>
    </r>
    <r>
      <rPr>
        <sz val="9"/>
        <rFont val="WenQuanYi Zen Hei"/>
        <family val="2"/>
      </rPr>
      <t xml:space="preserve">人の</t>
    </r>
    <r>
      <rPr>
        <sz val="9"/>
        <rFont val="Meiryo UI"/>
        <family val="0"/>
        <charset val="1"/>
      </rPr>
      <t xml:space="preserve">86.9%</t>
    </r>
    <r>
      <rPr>
        <sz val="9"/>
        <rFont val="WenQuanYi Zen Hei"/>
        <family val="2"/>
      </rPr>
      <t xml:space="preserve">）。物販売上も東京対比</t>
    </r>
    <r>
      <rPr>
        <sz val="9"/>
        <rFont val="Meiryo UI"/>
        <family val="0"/>
        <charset val="1"/>
      </rPr>
      <t xml:space="preserve">7.0%</t>
    </r>
    <r>
      <rPr>
        <sz val="9"/>
        <rFont val="WenQuanYi Zen Hei"/>
        <family val="2"/>
      </rPr>
      <t xml:space="preserve">と、</t>
    </r>
  </si>
  <si>
    <t xml:space="preserve">仙台以降の会場比率も、この水準を踏まえて下方修正を検討すべき。</t>
  </si>
  <si>
    <r>
      <rPr>
        <b val="true"/>
        <sz val="9"/>
        <rFont val="WenQuanYi Zen Hei"/>
        <family val="2"/>
      </rPr>
      <t xml:space="preserve">東京凱旋が必要数の</t>
    </r>
    <r>
      <rPr>
        <b val="true"/>
        <sz val="9"/>
        <rFont val="Meiryo UI"/>
        <family val="0"/>
        <charset val="1"/>
      </rPr>
      <t xml:space="preserve">60%</t>
    </r>
  </si>
  <si>
    <r>
      <rPr>
        <sz val="9"/>
        <rFont val="WenQuanYi Zen Hei"/>
        <family val="2"/>
      </rPr>
      <t xml:space="preserve">仙台以降 必要数</t>
    </r>
    <r>
      <rPr>
        <sz val="9"/>
        <rFont val="Meiryo UI"/>
        <family val="0"/>
        <charset val="1"/>
      </rPr>
      <t xml:space="preserve">61,617</t>
    </r>
    <r>
      <rPr>
        <sz val="9"/>
        <rFont val="WenQuanYi Zen Hei"/>
        <family val="2"/>
      </rPr>
      <t xml:space="preserve">個のうち</t>
    </r>
    <r>
      <rPr>
        <sz val="9"/>
        <rFont val="Meiryo UI"/>
        <family val="0"/>
        <charset val="1"/>
      </rPr>
      <t xml:space="preserve">36,677</t>
    </r>
    <r>
      <rPr>
        <sz val="9"/>
        <rFont val="WenQuanYi Zen Hei"/>
        <family val="2"/>
      </rPr>
      <t xml:space="preserve">個</t>
    </r>
    <r>
      <rPr>
        <sz val="9"/>
        <rFont val="Meiryo UI"/>
        <family val="0"/>
        <charset val="1"/>
      </rPr>
      <t xml:space="preserve">(60%)</t>
    </r>
    <r>
      <rPr>
        <sz val="9"/>
        <rFont val="WenQuanYi Zen Hei"/>
        <family val="2"/>
      </rPr>
      <t xml:space="preserve">が東京凱旋。凱旋の</t>
    </r>
    <r>
      <rPr>
        <sz val="9"/>
        <rFont val="Meiryo UI"/>
        <family val="0"/>
        <charset val="1"/>
      </rPr>
      <t xml:space="preserve">50%</t>
    </r>
    <r>
      <rPr>
        <sz val="9"/>
        <rFont val="WenQuanYi Zen Hei"/>
        <family val="2"/>
      </rPr>
      <t xml:space="preserve">前提が外れると発注量が大きくブレる。</t>
    </r>
  </si>
  <si>
    <r>
      <rPr>
        <sz val="9"/>
        <rFont val="WenQuanYi Zen Hei"/>
        <family val="2"/>
      </rPr>
      <t xml:space="preserve">発注は「仙台〜鳥取島根</t>
    </r>
    <r>
      <rPr>
        <sz val="9"/>
        <rFont val="Meiryo UI"/>
        <family val="0"/>
        <charset val="1"/>
      </rPr>
      <t xml:space="preserve">(3</t>
    </r>
    <r>
      <rPr>
        <sz val="9"/>
        <rFont val="WenQuanYi Zen Hei"/>
        <family val="2"/>
      </rPr>
      <t xml:space="preserve">会場・</t>
    </r>
    <r>
      <rPr>
        <sz val="9"/>
        <rFont val="Meiryo UI"/>
        <family val="0"/>
        <charset val="1"/>
      </rPr>
      <t xml:space="preserve">24,940</t>
    </r>
    <r>
      <rPr>
        <sz val="9"/>
        <rFont val="WenQuanYi Zen Hei"/>
        <family val="2"/>
      </rPr>
      <t xml:space="preserve">個</t>
    </r>
    <r>
      <rPr>
        <sz val="9"/>
        <rFont val="Meiryo UI"/>
        <family val="0"/>
        <charset val="1"/>
      </rPr>
      <t xml:space="preserve">)</t>
    </r>
    <r>
      <rPr>
        <sz val="9"/>
        <rFont val="WenQuanYi Zen Hei"/>
        <family val="2"/>
      </rPr>
      <t xml:space="preserve">」を先行確定し、凱旋分は会期確定後に第</t>
    </r>
    <r>
      <rPr>
        <sz val="9"/>
        <rFont val="Meiryo UI"/>
        <family val="0"/>
        <charset val="1"/>
      </rPr>
      <t xml:space="preserve">2</t>
    </r>
    <r>
      <rPr>
        <sz val="9"/>
        <rFont val="WenQuanYi Zen Hei"/>
        <family val="2"/>
      </rPr>
      <t xml:space="preserve">弾発注とするのが安全。</t>
    </r>
  </si>
  <si>
    <t xml:space="preserve">★過剰在庫のほうが深刻</t>
  </si>
  <si>
    <r>
      <rPr>
        <sz val="9"/>
        <rFont val="WenQuanYi Zen Hei"/>
        <family val="2"/>
      </rPr>
      <t xml:space="preserve">供給可能</t>
    </r>
    <r>
      <rPr>
        <sz val="9"/>
        <rFont val="Meiryo UI"/>
        <family val="0"/>
        <charset val="1"/>
      </rPr>
      <t xml:space="preserve">234,426</t>
    </r>
    <r>
      <rPr>
        <sz val="9"/>
        <rFont val="WenQuanYi Zen Hei"/>
        <family val="2"/>
      </rPr>
      <t xml:space="preserve">個に対し仙台以降の必要数は</t>
    </r>
    <r>
      <rPr>
        <sz val="9"/>
        <rFont val="Meiryo UI"/>
        <family val="0"/>
        <charset val="1"/>
      </rPr>
      <t xml:space="preserve">61,617</t>
    </r>
    <r>
      <rPr>
        <sz val="9"/>
        <rFont val="WenQuanYi Zen Hei"/>
        <family val="2"/>
      </rPr>
      <t xml:space="preserve">個。差引</t>
    </r>
    <r>
      <rPr>
        <sz val="9"/>
        <rFont val="Meiryo UI"/>
        <family val="0"/>
        <charset val="1"/>
      </rPr>
      <t xml:space="preserve">172,809</t>
    </r>
    <r>
      <rPr>
        <sz val="9"/>
        <rFont val="WenQuanYi Zen Hei"/>
        <family val="2"/>
      </rPr>
      <t xml:space="preserve">個（供給可能の</t>
    </r>
    <r>
      <rPr>
        <sz val="9"/>
        <rFont val="Meiryo UI"/>
        <family val="0"/>
        <charset val="1"/>
      </rPr>
      <t xml:space="preserve">74%</t>
    </r>
    <r>
      <rPr>
        <sz val="9"/>
        <rFont val="WenQuanYi Zen Hei"/>
        <family val="2"/>
      </rPr>
      <t xml:space="preserve">）が余剰となる見込み。</t>
    </r>
  </si>
  <si>
    <r>
      <rPr>
        <sz val="9"/>
        <rFont val="WenQuanYi Zen Hei"/>
        <family val="2"/>
      </rPr>
      <t xml:space="preserve">余剰上位：呪術廻戦 渋谷事変 ブラインド缶バッジ（全</t>
    </r>
    <r>
      <rPr>
        <sz val="9"/>
        <rFont val="Meiryo UI"/>
        <family val="0"/>
        <charset val="1"/>
      </rPr>
      <t xml:space="preserve">9 </t>
    </r>
    <r>
      <rPr>
        <sz val="9"/>
        <rFont val="WenQuanYi Zen Hei"/>
        <family val="2"/>
      </rPr>
      <t xml:space="preserve">供給可能</t>
    </r>
    <r>
      <rPr>
        <sz val="9"/>
        <rFont val="Meiryo UI"/>
        <family val="0"/>
        <charset val="1"/>
      </rPr>
      <t xml:space="preserve">50,228</t>
    </r>
    <r>
      <rPr>
        <sz val="9"/>
        <rFont val="WenQuanYi Zen Hei"/>
        <family val="2"/>
      </rPr>
      <t xml:space="preserve">個 </t>
    </r>
    <r>
      <rPr>
        <sz val="9"/>
        <rFont val="Meiryo UI"/>
        <family val="0"/>
        <charset val="1"/>
      </rPr>
      <t xml:space="preserve">vs </t>
    </r>
    <r>
      <rPr>
        <sz val="9"/>
        <rFont val="WenQuanYi Zen Hei"/>
        <family val="2"/>
      </rPr>
      <t xml:space="preserve">必要</t>
    </r>
    <r>
      <rPr>
        <sz val="9"/>
        <rFont val="Meiryo UI"/>
        <family val="0"/>
        <charset val="1"/>
      </rPr>
      <t xml:space="preserve">6,990</t>
    </r>
    <r>
      <rPr>
        <sz val="9"/>
        <rFont val="WenQuanYi Zen Hei"/>
        <family val="2"/>
      </rPr>
      <t xml:space="preserve">個／呪術廻戦 懐玉・玉折 ブラインド缶バッジ（全 供給可能</t>
    </r>
    <r>
      <rPr>
        <sz val="9"/>
        <rFont val="Meiryo UI"/>
        <family val="0"/>
        <charset val="1"/>
      </rPr>
      <t xml:space="preserve">39,392</t>
    </r>
    <r>
      <rPr>
        <sz val="9"/>
        <rFont val="WenQuanYi Zen Hei"/>
        <family val="2"/>
      </rPr>
      <t xml:space="preserve">個 </t>
    </r>
    <r>
      <rPr>
        <sz val="9"/>
        <rFont val="Meiryo UI"/>
        <family val="0"/>
        <charset val="1"/>
      </rPr>
      <t xml:space="preserve">vs </t>
    </r>
    <r>
      <rPr>
        <sz val="9"/>
        <rFont val="WenQuanYi Zen Hei"/>
        <family val="2"/>
      </rPr>
      <t xml:space="preserve">必要</t>
    </r>
    <r>
      <rPr>
        <sz val="9"/>
        <rFont val="Meiryo UI"/>
        <family val="0"/>
        <charset val="1"/>
      </rPr>
      <t xml:space="preserve">3,173</t>
    </r>
    <r>
      <rPr>
        <sz val="9"/>
        <rFont val="WenQuanYi Zen Hei"/>
        <family val="2"/>
      </rPr>
      <t xml:space="preserve">個／呪術廻戦 懐玉・玉折 ブラインドミニ色紙（全 供給可能</t>
    </r>
    <r>
      <rPr>
        <sz val="9"/>
        <rFont val="Meiryo UI"/>
        <family val="0"/>
        <charset val="1"/>
      </rPr>
      <t xml:space="preserve">48,729</t>
    </r>
    <r>
      <rPr>
        <sz val="9"/>
        <rFont val="WenQuanYi Zen Hei"/>
        <family val="2"/>
      </rPr>
      <t xml:space="preserve">個 </t>
    </r>
    <r>
      <rPr>
        <sz val="9"/>
        <rFont val="Meiryo UI"/>
        <family val="0"/>
        <charset val="1"/>
      </rPr>
      <t xml:space="preserve">vs </t>
    </r>
    <r>
      <rPr>
        <sz val="9"/>
        <rFont val="WenQuanYi Zen Hei"/>
        <family val="2"/>
      </rPr>
      <t xml:space="preserve">必要</t>
    </r>
    <r>
      <rPr>
        <sz val="9"/>
        <rFont val="Meiryo UI"/>
        <family val="0"/>
        <charset val="1"/>
      </rPr>
      <t xml:space="preserve">15,264</t>
    </r>
    <r>
      <rPr>
        <sz val="9"/>
        <rFont val="WenQuanYi Zen Hei"/>
        <family val="2"/>
      </rPr>
      <t xml:space="preserve">個</t>
    </r>
  </si>
  <si>
    <t xml:space="preserve">追加発注よりも、余剰在庫の消化策（セット販売・ノベルティ転用等）の検討が急務。</t>
  </si>
  <si>
    <t xml:space="preserve">不足はごく一部</t>
  </si>
  <si>
    <r>
      <rPr>
        <sz val="9"/>
        <rFont val="WenQuanYi Zen Hei"/>
        <family val="2"/>
      </rPr>
      <t xml:space="preserve">追加生産が必要なのは</t>
    </r>
    <r>
      <rPr>
        <sz val="9"/>
        <rFont val="Meiryo UI"/>
        <family val="0"/>
        <charset val="1"/>
      </rPr>
      <t xml:space="preserve">13</t>
    </r>
    <r>
      <rPr>
        <sz val="9"/>
        <rFont val="WenQuanYi Zen Hei"/>
        <family val="2"/>
      </rPr>
      <t xml:space="preserve">品目・</t>
    </r>
    <r>
      <rPr>
        <sz val="9"/>
        <rFont val="Meiryo UI"/>
        <family val="0"/>
        <charset val="1"/>
      </rPr>
      <t xml:space="preserve">3,384</t>
    </r>
    <r>
      <rPr>
        <sz val="9"/>
        <rFont val="WenQuanYi Zen Hei"/>
        <family val="2"/>
      </rPr>
      <t xml:space="preserve">個のみ。うち展示会キービジュアル クリアファイルが</t>
    </r>
    <r>
      <rPr>
        <sz val="9"/>
        <rFont val="Meiryo UI"/>
        <family val="0"/>
        <charset val="1"/>
      </rPr>
      <t xml:space="preserve">895</t>
    </r>
    <r>
      <rPr>
        <sz val="9"/>
        <rFont val="WenQuanYi Zen Hei"/>
        <family val="2"/>
      </rPr>
      <t xml:space="preserve">個で全体の</t>
    </r>
    <r>
      <rPr>
        <sz val="9"/>
        <rFont val="Meiryo UI"/>
        <family val="0"/>
        <charset val="1"/>
      </rPr>
      <t xml:space="preserve">26%</t>
    </r>
    <r>
      <rPr>
        <sz val="9"/>
        <rFont val="WenQuanYi Zen Hei"/>
        <family val="2"/>
      </rPr>
      <t xml:space="preserve">を占める。</t>
    </r>
  </si>
  <si>
    <t xml:space="preserve">生産リードタイムの制約</t>
  </si>
  <si>
    <r>
      <rPr>
        <sz val="9"/>
        <rFont val="WenQuanYi Zen Hei"/>
        <family val="2"/>
      </rPr>
      <t xml:space="preserve">生産日数は</t>
    </r>
    <r>
      <rPr>
        <sz val="9"/>
        <rFont val="Meiryo UI"/>
        <family val="0"/>
        <charset val="1"/>
      </rPr>
      <t xml:space="preserve">1</t>
    </r>
    <r>
      <rPr>
        <sz val="9"/>
        <rFont val="WenQuanYi Zen Hei"/>
        <family val="2"/>
      </rPr>
      <t xml:space="preserve">か月（クリアファイル・ポストカード・缶バッジ・ステッカー系）、</t>
    </r>
    <r>
      <rPr>
        <sz val="9"/>
        <rFont val="Meiryo UI"/>
        <family val="0"/>
        <charset val="1"/>
      </rPr>
      <t xml:space="preserve">2.5</t>
    </r>
    <r>
      <rPr>
        <sz val="9"/>
        <rFont val="WenQuanYi Zen Hei"/>
        <family val="2"/>
      </rPr>
      <t xml:space="preserve">か月（ミニ色紙</t>
    </r>
    <r>
      <rPr>
        <sz val="9"/>
        <rFont val="Meiryo UI"/>
        <family val="0"/>
        <charset val="1"/>
      </rPr>
      <t xml:space="preserve">2</t>
    </r>
    <r>
      <rPr>
        <sz val="9"/>
        <rFont val="WenQuanYi Zen Hei"/>
        <family val="2"/>
      </rPr>
      <t xml:space="preserve">種・前髪ヘアバンド）、</t>
    </r>
  </si>
  <si>
    <r>
      <rPr>
        <sz val="9"/>
        <rFont val="Meiryo UI"/>
        <family val="0"/>
        <charset val="1"/>
      </rPr>
      <t xml:space="preserve">3</t>
    </r>
    <r>
      <rPr>
        <sz val="9"/>
        <rFont val="WenQuanYi Zen Hei"/>
        <family val="2"/>
      </rPr>
      <t xml:space="preserve">か月（絆創膏・お菓子・クリップ・エコバッグ・オルゴール・リング</t>
    </r>
    <r>
      <rPr>
        <sz val="9"/>
        <rFont val="Meiryo UI"/>
        <family val="0"/>
        <charset val="1"/>
      </rPr>
      <t xml:space="preserve">/</t>
    </r>
    <r>
      <rPr>
        <sz val="9"/>
        <rFont val="WenQuanYi Zen Hei"/>
        <family val="2"/>
      </rPr>
      <t xml:space="preserve">フラグメント系）。バスボールは「－」＝再生産不可のため現有在庫で会場配分を組む必要がある。</t>
    </r>
  </si>
  <si>
    <t xml:space="preserve">賞味期限の制約</t>
  </si>
  <si>
    <r>
      <rPr>
        <sz val="9"/>
        <rFont val="WenQuanYi Zen Hei"/>
        <family val="2"/>
      </rPr>
      <t xml:space="preserve">宿儺の指風お菓子は賞味期限</t>
    </r>
    <r>
      <rPr>
        <sz val="9"/>
        <rFont val="Meiryo UI"/>
        <family val="0"/>
        <charset val="1"/>
      </rPr>
      <t xml:space="preserve">4</t>
    </r>
    <r>
      <rPr>
        <sz val="9"/>
        <rFont val="WenQuanYi Zen Hei"/>
        <family val="2"/>
      </rPr>
      <t xml:space="preserve">か月以内の在庫が販売不可。仙台以降向けは</t>
    </r>
    <r>
      <rPr>
        <sz val="9"/>
        <rFont val="Meiryo UI"/>
        <family val="0"/>
        <charset val="1"/>
      </rPr>
      <t xml:space="preserve">2026/5/15</t>
    </r>
    <r>
      <rPr>
        <sz val="9"/>
        <rFont val="WenQuanYi Zen Hei"/>
        <family val="2"/>
      </rPr>
      <t xml:space="preserve">手配済だが、</t>
    </r>
  </si>
  <si>
    <r>
      <rPr>
        <sz val="9"/>
        <rFont val="WenQuanYi Zen Hei"/>
        <family val="2"/>
      </rPr>
      <t xml:space="preserve">鳥取</t>
    </r>
    <r>
      <rPr>
        <sz val="9"/>
        <rFont val="Meiryo UI"/>
        <family val="0"/>
        <charset val="1"/>
      </rPr>
      <t xml:space="preserve">(27</t>
    </r>
    <r>
      <rPr>
        <sz val="9"/>
        <rFont val="WenQuanYi Zen Hei"/>
        <family val="2"/>
      </rPr>
      <t xml:space="preserve">年</t>
    </r>
    <r>
      <rPr>
        <sz val="9"/>
        <rFont val="Meiryo UI"/>
        <family val="0"/>
        <charset val="1"/>
      </rPr>
      <t xml:space="preserve">3</t>
    </r>
    <r>
      <rPr>
        <sz val="9"/>
        <rFont val="WenQuanYi Zen Hei"/>
        <family val="2"/>
      </rPr>
      <t xml:space="preserve">月</t>
    </r>
    <r>
      <rPr>
        <sz val="9"/>
        <rFont val="Meiryo UI"/>
        <family val="0"/>
        <charset val="1"/>
      </rPr>
      <t xml:space="preserve">)</t>
    </r>
    <r>
      <rPr>
        <sz val="9"/>
        <rFont val="WenQuanYi Zen Hei"/>
        <family val="2"/>
      </rPr>
      <t xml:space="preserve">・東京凱旋</t>
    </r>
    <r>
      <rPr>
        <sz val="9"/>
        <rFont val="Meiryo UI"/>
        <family val="0"/>
        <charset val="1"/>
      </rPr>
      <t xml:space="preserve">(27</t>
    </r>
    <r>
      <rPr>
        <sz val="9"/>
        <rFont val="WenQuanYi Zen Hei"/>
        <family val="2"/>
      </rPr>
      <t xml:space="preserve">年</t>
    </r>
    <r>
      <rPr>
        <sz val="9"/>
        <rFont val="Meiryo UI"/>
        <family val="0"/>
        <charset val="1"/>
      </rPr>
      <t xml:space="preserve">4</t>
    </r>
    <r>
      <rPr>
        <sz val="9"/>
        <rFont val="WenQuanYi Zen Hei"/>
        <family val="2"/>
      </rPr>
      <t xml:space="preserve">月</t>
    </r>
    <r>
      <rPr>
        <sz val="9"/>
        <rFont val="Meiryo UI"/>
        <family val="0"/>
        <charset val="1"/>
      </rPr>
      <t xml:space="preserve">)</t>
    </r>
    <r>
      <rPr>
        <sz val="9"/>
        <rFont val="WenQuanYi Zen Hei"/>
        <family val="2"/>
      </rPr>
      <t xml:space="preserve">向けは賞味期限の逆算で再手配の要否を要確認。</t>
    </r>
  </si>
  <si>
    <t xml:space="preserve">■ 算出モデル（①石川予測）</t>
  </si>
  <si>
    <t xml:space="preserve">基本式</t>
  </si>
  <si>
    <r>
      <rPr>
        <sz val="9"/>
        <rFont val="WenQuanYi Zen Hei"/>
        <family val="2"/>
      </rPr>
      <t xml:space="preserve">石川 会期</t>
    </r>
    <r>
      <rPr>
        <sz val="9"/>
        <rFont val="Meiryo UI"/>
        <family val="0"/>
        <charset val="1"/>
      </rPr>
      <t xml:space="preserve">18</t>
    </r>
    <r>
      <rPr>
        <sz val="9"/>
        <rFont val="WenQuanYi Zen Hei"/>
        <family val="2"/>
      </rPr>
      <t xml:space="preserve">日予測販売数 ＝ 石川 初</t>
    </r>
    <r>
      <rPr>
        <sz val="9"/>
        <rFont val="Meiryo UI"/>
        <family val="0"/>
        <charset val="1"/>
      </rPr>
      <t xml:space="preserve">12</t>
    </r>
    <r>
      <rPr>
        <sz val="9"/>
        <rFont val="WenQuanYi Zen Hei"/>
        <family val="2"/>
      </rPr>
      <t xml:space="preserve">日</t>
    </r>
    <r>
      <rPr>
        <sz val="9"/>
        <rFont val="Meiryo UI"/>
        <family val="0"/>
        <charset val="1"/>
      </rPr>
      <t xml:space="preserve">(8/14-8/25)</t>
    </r>
    <r>
      <rPr>
        <sz val="9"/>
        <rFont val="WenQuanYi Zen Hei"/>
        <family val="2"/>
      </rPr>
      <t xml:space="preserve">販売数 </t>
    </r>
    <r>
      <rPr>
        <sz val="9"/>
        <rFont val="Meiryo UI"/>
        <family val="0"/>
        <charset val="1"/>
      </rPr>
      <t xml:space="preserve">× </t>
    </r>
    <r>
      <rPr>
        <sz val="9"/>
        <rFont val="WenQuanYi Zen Hei"/>
        <family val="2"/>
      </rPr>
      <t xml:space="preserve">会期倍率 </t>
    </r>
    <r>
      <rPr>
        <sz val="9"/>
        <rFont val="Meiryo UI"/>
        <family val="0"/>
        <charset val="1"/>
      </rPr>
      <t xml:space="preserve">g</t>
    </r>
  </si>
  <si>
    <r>
      <rPr>
        <b val="true"/>
        <sz val="9"/>
        <rFont val="WenQuanYi Zen Hei"/>
        <family val="2"/>
      </rPr>
      <t xml:space="preserve">会期倍率 </t>
    </r>
    <r>
      <rPr>
        <b val="true"/>
        <sz val="9"/>
        <rFont val="Meiryo UI"/>
        <family val="0"/>
        <charset val="1"/>
      </rPr>
      <t xml:space="preserve">g</t>
    </r>
  </si>
  <si>
    <r>
      <rPr>
        <sz val="9"/>
        <rFont val="Meiryo UI"/>
        <family val="0"/>
        <charset val="1"/>
      </rPr>
      <t xml:space="preserve">g </t>
    </r>
    <r>
      <rPr>
        <sz val="9"/>
        <rFont val="WenQuanYi Zen Hei"/>
        <family val="2"/>
      </rPr>
      <t xml:space="preserve">＝ 各会場の「</t>
    </r>
    <r>
      <rPr>
        <sz val="9"/>
        <rFont val="Meiryo UI"/>
        <family val="0"/>
        <charset val="1"/>
      </rPr>
      <t xml:space="preserve">18</t>
    </r>
    <r>
      <rPr>
        <sz val="9"/>
        <rFont val="WenQuanYi Zen Hei"/>
        <family val="2"/>
      </rPr>
      <t xml:space="preserve">日累計販売数 </t>
    </r>
    <r>
      <rPr>
        <sz val="9"/>
        <rFont val="Meiryo UI"/>
        <family val="0"/>
        <charset val="1"/>
      </rPr>
      <t xml:space="preserve">÷ </t>
    </r>
    <r>
      <rPr>
        <sz val="9"/>
        <rFont val="WenQuanYi Zen Hei"/>
        <family val="2"/>
      </rPr>
      <t xml:space="preserve">初</t>
    </r>
    <r>
      <rPr>
        <sz val="9"/>
        <rFont val="Meiryo UI"/>
        <family val="0"/>
        <charset val="1"/>
      </rPr>
      <t xml:space="preserve">12</t>
    </r>
    <r>
      <rPr>
        <sz val="9"/>
        <rFont val="WenQuanYi Zen Hei"/>
        <family val="2"/>
      </rPr>
      <t xml:space="preserve">日販売数」を商品別に算出し加重平均</t>
    </r>
  </si>
  <si>
    <t xml:space="preserve">採用会場と加重</t>
  </si>
  <si>
    <r>
      <rPr>
        <sz val="9"/>
        <rFont val="WenQuanYi Zen Hei"/>
        <family val="2"/>
      </rPr>
      <t xml:space="preserve">博多</t>
    </r>
    <r>
      <rPr>
        <sz val="9"/>
        <rFont val="Meiryo UI"/>
        <family val="0"/>
        <charset val="1"/>
      </rPr>
      <t xml:space="preserve">×1</t>
    </r>
    <r>
      <rPr>
        <sz val="9"/>
        <rFont val="WenQuanYi Zen Hei"/>
        <family val="2"/>
      </rPr>
      <t xml:space="preserve">、大阪</t>
    </r>
    <r>
      <rPr>
        <sz val="9"/>
        <rFont val="Meiryo UI"/>
        <family val="0"/>
        <charset val="1"/>
      </rPr>
      <t xml:space="preserve">×1</t>
    </r>
    <r>
      <rPr>
        <sz val="9"/>
        <rFont val="WenQuanYi Zen Hei"/>
        <family val="2"/>
      </rPr>
      <t xml:space="preserve">、札幌</t>
    </r>
    <r>
      <rPr>
        <sz val="9"/>
        <rFont val="Meiryo UI"/>
        <family val="0"/>
        <charset val="1"/>
      </rPr>
      <t xml:space="preserve">×2</t>
    </r>
    <r>
      <rPr>
        <sz val="9"/>
        <rFont val="WenQuanYi Zen Hei"/>
        <family val="2"/>
      </rPr>
      <t xml:space="preserve">（直前会場・品揃え同一で条件が最も近い）。東京・名古屋 は除外</t>
    </r>
  </si>
  <si>
    <t xml:space="preserve">会期日数の揃え方</t>
  </si>
  <si>
    <r>
      <rPr>
        <sz val="9"/>
        <rFont val="WenQuanYi Zen Hei"/>
        <family val="2"/>
      </rPr>
      <t xml:space="preserve">各参照会場の頭から</t>
    </r>
    <r>
      <rPr>
        <sz val="9"/>
        <rFont val="Meiryo UI"/>
        <family val="0"/>
        <charset val="1"/>
      </rPr>
      <t xml:space="preserve">18</t>
    </r>
    <r>
      <rPr>
        <sz val="9"/>
        <rFont val="WenQuanYi Zen Hei"/>
        <family val="2"/>
      </rPr>
      <t xml:space="preserve">日分を切り出して倍率化。</t>
    </r>
    <r>
      <rPr>
        <sz val="9"/>
        <rFont val="Meiryo UI"/>
        <family val="0"/>
        <charset val="1"/>
      </rPr>
      <t xml:space="preserve">18</t>
    </r>
    <r>
      <rPr>
        <sz val="9"/>
        <rFont val="WenQuanYi Zen Hei"/>
        <family val="2"/>
      </rPr>
      <t xml:space="preserve">日に満たない会場は</t>
    </r>
    <r>
      <rPr>
        <sz val="9"/>
        <rFont val="Meiryo UI"/>
        <family val="0"/>
        <charset val="1"/>
      </rPr>
      <t xml:space="preserve">+0.00%</t>
    </r>
    <r>
      <rPr>
        <sz val="9"/>
        <rFont val="WenQuanYi Zen Hei"/>
        <family val="2"/>
      </rPr>
      <t xml:space="preserve">を補完</t>
    </r>
  </si>
  <si>
    <r>
      <rPr>
        <b val="true"/>
        <sz val="9"/>
        <rFont val="Meiryo UI"/>
        <family val="0"/>
        <charset val="1"/>
      </rPr>
      <t xml:space="preserve">42</t>
    </r>
    <r>
      <rPr>
        <b val="true"/>
        <sz val="9"/>
        <rFont val="WenQuanYi Zen Hei"/>
        <family val="2"/>
      </rPr>
      <t xml:space="preserve">品計の実効倍率</t>
    </r>
  </si>
  <si>
    <r>
      <rPr>
        <sz val="9"/>
        <rFont val="WenQuanYi Zen Hei"/>
        <family val="2"/>
      </rPr>
      <t xml:space="preserve">博多</t>
    </r>
    <r>
      <rPr>
        <sz val="9"/>
        <rFont val="Meiryo UI"/>
        <family val="0"/>
        <charset val="1"/>
      </rPr>
      <t xml:space="preserve">1.413</t>
    </r>
    <r>
      <rPr>
        <sz val="9"/>
        <rFont val="WenQuanYi Zen Hei"/>
        <family val="2"/>
      </rPr>
      <t xml:space="preserve">倍・大阪</t>
    </r>
    <r>
      <rPr>
        <sz val="9"/>
        <rFont val="Meiryo UI"/>
        <family val="0"/>
        <charset val="1"/>
      </rPr>
      <t xml:space="preserve">1.225</t>
    </r>
    <r>
      <rPr>
        <sz val="9"/>
        <rFont val="WenQuanYi Zen Hei"/>
        <family val="2"/>
      </rPr>
      <t xml:space="preserve">倍・札幌</t>
    </r>
    <r>
      <rPr>
        <sz val="9"/>
        <rFont val="Meiryo UI"/>
        <family val="0"/>
        <charset val="1"/>
      </rPr>
      <t xml:space="preserve">1.274</t>
    </r>
    <r>
      <rPr>
        <sz val="9"/>
        <rFont val="WenQuanYi Zen Hei"/>
        <family val="2"/>
      </rPr>
      <t xml:space="preserve">倍 → 加重平均 </t>
    </r>
    <r>
      <rPr>
        <sz val="9"/>
        <rFont val="Meiryo UI"/>
        <family val="0"/>
        <charset val="1"/>
      </rPr>
      <t xml:space="preserve">1.296</t>
    </r>
    <r>
      <rPr>
        <sz val="9"/>
        <rFont val="WenQuanYi Zen Hei"/>
        <family val="2"/>
      </rPr>
      <t xml:space="preserve">倍</t>
    </r>
  </si>
  <si>
    <t xml:space="preserve">■ 算出モデル（③仙台以降）</t>
  </si>
  <si>
    <t xml:space="preserve">会場物販売上</t>
  </si>
  <si>
    <r>
      <rPr>
        <sz val="9"/>
        <rFont val="WenQuanYi Zen Hei"/>
        <family val="2"/>
      </rPr>
      <t xml:space="preserve">東京</t>
    </r>
    <r>
      <rPr>
        <sz val="9"/>
        <rFont val="Meiryo UI"/>
        <family val="0"/>
        <charset val="1"/>
      </rPr>
      <t xml:space="preserve">(</t>
    </r>
    <r>
      <rPr>
        <sz val="9"/>
        <rFont val="WenQuanYi Zen Hei"/>
        <family val="2"/>
      </rPr>
      <t xml:space="preserve">初回</t>
    </r>
    <r>
      <rPr>
        <sz val="9"/>
        <rFont val="Meiryo UI"/>
        <family val="0"/>
        <charset val="1"/>
      </rPr>
      <t xml:space="preserve">)</t>
    </r>
    <r>
      <rPr>
        <sz val="9"/>
        <rFont val="WenQuanYi Zen Hei"/>
        <family val="2"/>
      </rPr>
      <t xml:space="preserve">全物販売上 </t>
    </r>
    <r>
      <rPr>
        <sz val="9"/>
        <rFont val="Meiryo UI"/>
        <family val="0"/>
        <charset val="1"/>
      </rPr>
      <t xml:space="preserve">358,193,925</t>
    </r>
    <r>
      <rPr>
        <sz val="9"/>
        <rFont val="WenQuanYi Zen Hei"/>
        <family val="2"/>
      </rPr>
      <t xml:space="preserve">円 </t>
    </r>
    <r>
      <rPr>
        <sz val="9"/>
        <rFont val="Meiryo UI"/>
        <family val="0"/>
        <charset val="1"/>
      </rPr>
      <t xml:space="preserve">× </t>
    </r>
    <r>
      <rPr>
        <sz val="9"/>
        <rFont val="WenQuanYi Zen Hei"/>
        <family val="2"/>
      </rPr>
      <t xml:space="preserve">東京対比比率</t>
    </r>
  </si>
  <si>
    <r>
      <rPr>
        <b val="true"/>
        <sz val="9"/>
        <rFont val="Meiryo UI"/>
        <family val="0"/>
        <charset val="1"/>
      </rPr>
      <t xml:space="preserve">LEGS</t>
    </r>
    <r>
      <rPr>
        <b val="true"/>
        <sz val="9"/>
        <rFont val="WenQuanYi Zen Hei"/>
        <family val="2"/>
      </rPr>
      <t xml:space="preserve">売上</t>
    </r>
  </si>
  <si>
    <r>
      <rPr>
        <sz val="9"/>
        <rFont val="WenQuanYi Zen Hei"/>
        <family val="2"/>
      </rPr>
      <t xml:space="preserve">会場物販売上 </t>
    </r>
    <r>
      <rPr>
        <sz val="9"/>
        <rFont val="Meiryo UI"/>
        <family val="0"/>
        <charset val="1"/>
      </rPr>
      <t xml:space="preserve">× LEGS</t>
    </r>
    <r>
      <rPr>
        <sz val="9"/>
        <rFont val="WenQuanYi Zen Hei"/>
        <family val="2"/>
      </rPr>
      <t xml:space="preserve">金額構成比 </t>
    </r>
    <r>
      <rPr>
        <sz val="9"/>
        <rFont val="Meiryo UI"/>
        <family val="0"/>
        <charset val="1"/>
      </rPr>
      <t xml:space="preserve">17.1%</t>
    </r>
    <r>
      <rPr>
        <sz val="9"/>
        <rFont val="WenQuanYi Zen Hei"/>
        <family val="2"/>
      </rPr>
      <t xml:space="preserve">（石川予測値＝大阪以降の推移の到達点を採用）</t>
    </r>
  </si>
  <si>
    <r>
      <rPr>
        <b val="true"/>
        <sz val="9"/>
        <rFont val="Meiryo UI"/>
        <family val="0"/>
        <charset val="1"/>
      </rPr>
      <t xml:space="preserve">LEGS</t>
    </r>
    <r>
      <rPr>
        <b val="true"/>
        <sz val="9"/>
        <rFont val="WenQuanYi Zen Hei"/>
        <family val="2"/>
      </rPr>
      <t xml:space="preserve">数量</t>
    </r>
  </si>
  <si>
    <r>
      <rPr>
        <sz val="9"/>
        <rFont val="Meiryo UI"/>
        <family val="0"/>
        <charset val="1"/>
      </rPr>
      <t xml:space="preserve">LEGS</t>
    </r>
    <r>
      <rPr>
        <sz val="9"/>
        <rFont val="WenQuanYi Zen Hei"/>
        <family val="2"/>
      </rPr>
      <t xml:space="preserve">売上 </t>
    </r>
    <r>
      <rPr>
        <sz val="9"/>
        <rFont val="Meiryo UI"/>
        <family val="0"/>
        <charset val="1"/>
      </rPr>
      <t xml:space="preserve">÷ LEGS</t>
    </r>
    <r>
      <rPr>
        <sz val="9"/>
        <rFont val="WenQuanYi Zen Hei"/>
        <family val="2"/>
      </rPr>
      <t xml:space="preserve">平均単価 </t>
    </r>
    <r>
      <rPr>
        <sz val="9"/>
        <rFont val="Meiryo UI"/>
        <family val="0"/>
        <charset val="1"/>
      </rPr>
      <t xml:space="preserve">833</t>
    </r>
    <r>
      <rPr>
        <sz val="9"/>
        <rFont val="WenQuanYi Zen Hei"/>
        <family val="2"/>
      </rPr>
      <t xml:space="preserve">円（石川予測ミックスベース）</t>
    </r>
  </si>
  <si>
    <t xml:space="preserve">商品別按分</t>
  </si>
  <si>
    <r>
      <rPr>
        <sz val="9"/>
        <rFont val="WenQuanYi Zen Hei"/>
        <family val="2"/>
      </rPr>
      <t xml:space="preserve">札幌</t>
    </r>
    <r>
      <rPr>
        <sz val="9"/>
        <rFont val="Meiryo UI"/>
        <family val="0"/>
        <charset val="1"/>
      </rPr>
      <t xml:space="preserve">20</t>
    </r>
    <r>
      <rPr>
        <sz val="9"/>
        <rFont val="WenQuanYi Zen Hei"/>
        <family val="2"/>
      </rPr>
      <t xml:space="preserve">日実績の数量構成比</t>
    </r>
    <r>
      <rPr>
        <sz val="9"/>
        <rFont val="Meiryo UI"/>
        <family val="0"/>
        <charset val="1"/>
      </rPr>
      <t xml:space="preserve">50% </t>
    </r>
    <r>
      <rPr>
        <sz val="9"/>
        <rFont val="WenQuanYi Zen Hei"/>
        <family val="2"/>
      </rPr>
      <t xml:space="preserve">＋ 石川</t>
    </r>
    <r>
      <rPr>
        <sz val="9"/>
        <rFont val="Meiryo UI"/>
        <family val="0"/>
        <charset val="1"/>
      </rPr>
      <t xml:space="preserve">18</t>
    </r>
    <r>
      <rPr>
        <sz val="9"/>
        <rFont val="WenQuanYi Zen Hei"/>
        <family val="2"/>
      </rPr>
      <t xml:space="preserve">日予測の数量構成比</t>
    </r>
    <r>
      <rPr>
        <sz val="9"/>
        <rFont val="Meiryo UI"/>
        <family val="0"/>
        <charset val="1"/>
      </rPr>
      <t xml:space="preserve">50% </t>
    </r>
    <r>
      <rPr>
        <sz val="9"/>
        <rFont val="WenQuanYi Zen Hei"/>
        <family val="2"/>
      </rPr>
      <t xml:space="preserve">のブレンド</t>
    </r>
  </si>
  <si>
    <t xml:space="preserve">供給可能在庫</t>
  </si>
  <si>
    <r>
      <rPr>
        <sz val="9"/>
        <rFont val="WenQuanYi Zen Hei"/>
        <family val="2"/>
      </rPr>
      <t xml:space="preserve">倉庫残（札幌出荷後）</t>
    </r>
    <r>
      <rPr>
        <sz val="9"/>
        <rFont val="Meiryo UI"/>
        <family val="0"/>
        <charset val="1"/>
      </rPr>
      <t xml:space="preserve">197,962</t>
    </r>
    <r>
      <rPr>
        <sz val="9"/>
        <rFont val="WenQuanYi Zen Hei"/>
        <family val="2"/>
      </rPr>
      <t xml:space="preserve">個 ＋ 札幌会期末残</t>
    </r>
    <r>
      <rPr>
        <sz val="9"/>
        <rFont val="Meiryo UI"/>
        <family val="0"/>
        <charset val="1"/>
      </rPr>
      <t xml:space="preserve">41,615</t>
    </r>
    <r>
      <rPr>
        <sz val="9"/>
        <rFont val="WenQuanYi Zen Hei"/>
        <family val="2"/>
      </rPr>
      <t xml:space="preserve">個 − 石川会期</t>
    </r>
    <r>
      <rPr>
        <sz val="9"/>
        <rFont val="Meiryo UI"/>
        <family val="0"/>
        <charset val="1"/>
      </rPr>
      <t xml:space="preserve">18</t>
    </r>
    <r>
      <rPr>
        <sz val="9"/>
        <rFont val="WenQuanYi Zen Hei"/>
        <family val="2"/>
      </rPr>
      <t xml:space="preserve">日予測販売</t>
    </r>
    <r>
      <rPr>
        <sz val="9"/>
        <rFont val="Meiryo UI"/>
        <family val="0"/>
        <charset val="1"/>
      </rPr>
      <t xml:space="preserve">5,151</t>
    </r>
    <r>
      <rPr>
        <sz val="9"/>
        <rFont val="WenQuanYi Zen Hei"/>
        <family val="2"/>
      </rPr>
      <t xml:space="preserve">個 ＝ </t>
    </r>
    <r>
      <rPr>
        <sz val="9"/>
        <rFont val="Meiryo UI"/>
        <family val="0"/>
        <charset val="1"/>
      </rPr>
      <t xml:space="preserve">234,426</t>
    </r>
    <r>
      <rPr>
        <sz val="9"/>
        <rFont val="WenQuanYi Zen Hei"/>
        <family val="2"/>
      </rPr>
      <t xml:space="preserve">個</t>
    </r>
  </si>
  <si>
    <r>
      <rPr>
        <b val="true"/>
        <sz val="11"/>
        <color rgb="FFC00000"/>
        <rFont val="WenQuanYi Zen Hei"/>
        <family val="2"/>
      </rPr>
      <t xml:space="preserve">■ 追加商品による</t>
    </r>
    <r>
      <rPr>
        <b val="true"/>
        <sz val="11"/>
        <color rgb="FFC00000"/>
        <rFont val="Meiryo UI"/>
        <family val="0"/>
        <charset val="1"/>
      </rPr>
      <t xml:space="preserve">LEGS</t>
    </r>
    <r>
      <rPr>
        <b val="true"/>
        <sz val="11"/>
        <color rgb="FFC00000"/>
        <rFont val="WenQuanYi Zen Hei"/>
        <family val="2"/>
      </rPr>
      <t xml:space="preserve">売上低下（⑦）</t>
    </r>
  </si>
  <si>
    <t xml:space="preserve">市場は縮んでいない</t>
  </si>
  <si>
    <r>
      <rPr>
        <sz val="9"/>
        <rFont val="WenQuanYi Zen Hei"/>
        <family val="2"/>
      </rPr>
      <t xml:space="preserve">物販客単価（全商品）は名古屋</t>
    </r>
    <r>
      <rPr>
        <sz val="9"/>
        <rFont val="Meiryo UI"/>
        <family val="0"/>
        <charset val="1"/>
      </rPr>
      <t xml:space="preserve">7,012</t>
    </r>
    <r>
      <rPr>
        <sz val="9"/>
        <rFont val="WenQuanYi Zen Hei"/>
        <family val="2"/>
      </rPr>
      <t xml:space="preserve">円</t>
    </r>
    <r>
      <rPr>
        <sz val="9"/>
        <rFont val="Meiryo UI"/>
        <family val="0"/>
        <charset val="1"/>
      </rPr>
      <t xml:space="preserve">/</t>
    </r>
    <r>
      <rPr>
        <sz val="9"/>
        <rFont val="WenQuanYi Zen Hei"/>
        <family val="2"/>
      </rPr>
      <t xml:space="preserve">人→大阪</t>
    </r>
    <r>
      <rPr>
        <sz val="9"/>
        <rFont val="Meiryo UI"/>
        <family val="0"/>
        <charset val="1"/>
      </rPr>
      <t xml:space="preserve">6,882</t>
    </r>
    <r>
      <rPr>
        <sz val="9"/>
        <rFont val="WenQuanYi Zen Hei"/>
        <family val="2"/>
      </rPr>
      <t xml:space="preserve">円</t>
    </r>
    <r>
      <rPr>
        <sz val="9"/>
        <rFont val="Meiryo UI"/>
        <family val="0"/>
        <charset val="1"/>
      </rPr>
      <t xml:space="preserve">/</t>
    </r>
    <r>
      <rPr>
        <sz val="9"/>
        <rFont val="WenQuanYi Zen Hei"/>
        <family val="2"/>
      </rPr>
      <t xml:space="preserve">人と▲</t>
    </r>
    <r>
      <rPr>
        <sz val="9"/>
        <rFont val="Meiryo UI"/>
        <family val="0"/>
        <charset val="1"/>
      </rPr>
      <t xml:space="preserve">1.8%</t>
    </r>
    <r>
      <rPr>
        <sz val="9"/>
        <rFont val="WenQuanYi Zen Hei"/>
        <family val="2"/>
      </rPr>
      <t xml:space="preserve">でほぼ横ばい。</t>
    </r>
  </si>
  <si>
    <r>
      <rPr>
        <sz val="9"/>
        <rFont val="WenQuanYi Zen Hei"/>
        <family val="2"/>
      </rPr>
      <t xml:space="preserve">同期間に</t>
    </r>
    <r>
      <rPr>
        <sz val="9"/>
        <rFont val="Meiryo UI"/>
        <family val="0"/>
        <charset val="1"/>
      </rPr>
      <t xml:space="preserve">LEGS</t>
    </r>
    <r>
      <rPr>
        <sz val="9"/>
        <rFont val="WenQuanYi Zen Hei"/>
        <family val="2"/>
      </rPr>
      <t xml:space="preserve">は</t>
    </r>
    <r>
      <rPr>
        <sz val="9"/>
        <rFont val="Meiryo UI"/>
        <family val="0"/>
        <charset val="1"/>
      </rPr>
      <t xml:space="preserve">2,099</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1,455</t>
    </r>
    <r>
      <rPr>
        <sz val="9"/>
        <rFont val="WenQuanYi Zen Hei"/>
        <family val="2"/>
      </rPr>
      <t xml:space="preserve">円</t>
    </r>
    <r>
      <rPr>
        <sz val="9"/>
        <rFont val="Meiryo UI"/>
        <family val="0"/>
        <charset val="1"/>
      </rPr>
      <t xml:space="preserve">/</t>
    </r>
    <r>
      <rPr>
        <sz val="9"/>
        <rFont val="WenQuanYi Zen Hei"/>
        <family val="2"/>
      </rPr>
      <t xml:space="preserve">人と▲</t>
    </r>
    <r>
      <rPr>
        <sz val="9"/>
        <rFont val="Meiryo UI"/>
        <family val="0"/>
        <charset val="1"/>
      </rPr>
      <t xml:space="preserve">30.7%</t>
    </r>
    <r>
      <rPr>
        <sz val="9"/>
        <rFont val="WenQuanYi Zen Hei"/>
        <family val="2"/>
      </rPr>
      <t xml:space="preserve">（▲</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人）。純粋なカニバリゼーション。</t>
    </r>
  </si>
  <si>
    <r>
      <rPr>
        <b val="true"/>
        <sz val="9"/>
        <rFont val="WenQuanYi Zen Hei"/>
        <family val="2"/>
      </rPr>
      <t xml:space="preserve">新商品の約</t>
    </r>
    <r>
      <rPr>
        <b val="true"/>
        <sz val="9"/>
        <rFont val="Meiryo UI"/>
        <family val="0"/>
        <charset val="1"/>
      </rPr>
      <t xml:space="preserve">47%</t>
    </r>
    <r>
      <rPr>
        <b val="true"/>
        <sz val="9"/>
        <rFont val="WenQuanYi Zen Hei"/>
        <family val="2"/>
      </rPr>
      <t xml:space="preserve">が食い合い</t>
    </r>
  </si>
  <si>
    <r>
      <rPr>
        <sz val="9"/>
        <rFont val="WenQuanYi Zen Hei"/>
        <family val="2"/>
      </rPr>
      <t xml:space="preserve">大阪の新商品</t>
    </r>
    <r>
      <rPr>
        <sz val="9"/>
        <rFont val="Meiryo UI"/>
        <family val="0"/>
        <charset val="1"/>
      </rPr>
      <t xml:space="preserve">106SKU</t>
    </r>
    <r>
      <rPr>
        <sz val="9"/>
        <rFont val="WenQuanYi Zen Hei"/>
        <family val="2"/>
      </rPr>
      <t xml:space="preserve">は</t>
    </r>
    <r>
      <rPr>
        <sz val="9"/>
        <rFont val="Meiryo UI"/>
        <family val="0"/>
        <charset val="1"/>
      </rPr>
      <t xml:space="preserve">1,360</t>
    </r>
    <r>
      <rPr>
        <sz val="9"/>
        <rFont val="WenQuanYi Zen Hei"/>
        <family val="2"/>
      </rPr>
      <t xml:space="preserve">円</t>
    </r>
    <r>
      <rPr>
        <sz val="9"/>
        <rFont val="Meiryo UI"/>
        <family val="0"/>
        <charset val="1"/>
      </rPr>
      <t xml:space="preserve">/</t>
    </r>
    <r>
      <rPr>
        <sz val="9"/>
        <rFont val="WenQuanYi Zen Hei"/>
        <family val="2"/>
      </rPr>
      <t xml:space="preserve">人を稼いだが、</t>
    </r>
    <r>
      <rPr>
        <sz val="9"/>
        <rFont val="Meiryo UI"/>
        <family val="0"/>
        <charset val="1"/>
      </rPr>
      <t xml:space="preserve">LEGS</t>
    </r>
    <r>
      <rPr>
        <sz val="9"/>
        <rFont val="WenQuanYi Zen Hei"/>
        <family val="2"/>
      </rPr>
      <t xml:space="preserve">減少</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人はその</t>
    </r>
    <r>
      <rPr>
        <sz val="9"/>
        <rFont val="Meiryo UI"/>
        <family val="0"/>
        <charset val="1"/>
      </rPr>
      <t xml:space="preserve">47%</t>
    </r>
    <r>
      <rPr>
        <sz val="9"/>
        <rFont val="WenQuanYi Zen Hei"/>
        <family val="2"/>
      </rPr>
      <t xml:space="preserve">に相当。</t>
    </r>
  </si>
  <si>
    <r>
      <rPr>
        <b val="true"/>
        <sz val="9"/>
        <rFont val="Meiryo UI"/>
        <family val="0"/>
        <charset val="1"/>
      </rPr>
      <t xml:space="preserve">LEGS</t>
    </r>
    <r>
      <rPr>
        <b val="true"/>
        <sz val="9"/>
        <rFont val="WenQuanYi Zen Hei"/>
        <family val="2"/>
      </rPr>
      <t xml:space="preserve">が削られ始めたのは博多</t>
    </r>
  </si>
  <si>
    <r>
      <rPr>
        <sz val="9"/>
        <rFont val="WenQuanYi Zen Hei"/>
        <family val="2"/>
      </rPr>
      <t xml:space="preserve">博多で「おすわりぬいぐるみ全</t>
    </r>
    <r>
      <rPr>
        <sz val="9"/>
        <rFont val="Meiryo UI"/>
        <family val="0"/>
        <charset val="1"/>
      </rPr>
      <t xml:space="preserve">8</t>
    </r>
    <r>
      <rPr>
        <sz val="9"/>
        <rFont val="WenQuanYi Zen Hei"/>
        <family val="2"/>
      </rPr>
      <t xml:space="preserve">種」</t>
    </r>
    <r>
      <rPr>
        <sz val="9"/>
        <rFont val="Meiryo UI"/>
        <family val="0"/>
        <charset val="1"/>
      </rPr>
      <t xml:space="preserve">(230</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t>
    </r>
    <r>
      <rPr>
        <sz val="9"/>
        <rFont val="WenQuanYi Zen Hei"/>
        <family val="2"/>
      </rPr>
      <t xml:space="preserve">＋アクリルカードスタンド</t>
    </r>
    <r>
      <rPr>
        <sz val="9"/>
        <rFont val="Meiryo UI"/>
        <family val="0"/>
        <charset val="1"/>
      </rPr>
      <t xml:space="preserve">(233</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t>
    </r>
    <r>
      <rPr>
        <sz val="9"/>
        <rFont val="WenQuanYi Zen Hei"/>
        <family val="2"/>
      </rPr>
      <t xml:space="preserve">を投入し、</t>
    </r>
  </si>
  <si>
    <r>
      <rPr>
        <sz val="9"/>
        <rFont val="Meiryo UI"/>
        <family val="0"/>
        <charset val="1"/>
      </rPr>
      <t xml:space="preserve">LEGS</t>
    </r>
    <r>
      <rPr>
        <sz val="9"/>
        <rFont val="WenQuanYi Zen Hei"/>
        <family val="2"/>
      </rPr>
      <t xml:space="preserve">は</t>
    </r>
    <r>
      <rPr>
        <sz val="9"/>
        <rFont val="Meiryo UI"/>
        <family val="0"/>
        <charset val="1"/>
      </rPr>
      <t xml:space="preserve">2,099→1,634</t>
    </r>
    <r>
      <rPr>
        <sz val="9"/>
        <rFont val="WenQuanYi Zen Hei"/>
        <family val="2"/>
      </rPr>
      <t xml:space="preserve">円</t>
    </r>
    <r>
      <rPr>
        <sz val="9"/>
        <rFont val="Meiryo UI"/>
        <family val="0"/>
        <charset val="1"/>
      </rPr>
      <t xml:space="preserve">/</t>
    </r>
    <r>
      <rPr>
        <sz val="9"/>
        <rFont val="WenQuanYi Zen Hei"/>
        <family val="2"/>
      </rPr>
      <t xml:space="preserve">人（▲</t>
    </r>
    <r>
      <rPr>
        <sz val="9"/>
        <rFont val="Meiryo UI"/>
        <family val="0"/>
        <charset val="1"/>
      </rPr>
      <t xml:space="preserve">465</t>
    </r>
    <r>
      <rPr>
        <sz val="9"/>
        <rFont val="WenQuanYi Zen Hei"/>
        <family val="2"/>
      </rPr>
      <t xml:space="preserve">）。大阪のうちわ</t>
    </r>
    <r>
      <rPr>
        <sz val="9"/>
        <rFont val="Meiryo UI"/>
        <family val="0"/>
        <charset val="1"/>
      </rPr>
      <t xml:space="preserve">14</t>
    </r>
    <r>
      <rPr>
        <sz val="9"/>
        <rFont val="WenQuanYi Zen Hei"/>
        <family val="2"/>
      </rPr>
      <t xml:space="preserve">種・アクリル系</t>
    </r>
    <r>
      <rPr>
        <sz val="9"/>
        <rFont val="Meiryo UI"/>
        <family val="0"/>
        <charset val="1"/>
      </rPr>
      <t xml:space="preserve">39</t>
    </r>
    <r>
      <rPr>
        <sz val="9"/>
        <rFont val="WenQuanYi Zen Hei"/>
        <family val="2"/>
      </rPr>
      <t xml:space="preserve">種でさらに▲</t>
    </r>
    <r>
      <rPr>
        <sz val="9"/>
        <rFont val="Meiryo UI"/>
        <family val="0"/>
        <charset val="1"/>
      </rPr>
      <t xml:space="preserve">179</t>
    </r>
    <r>
      <rPr>
        <sz val="9"/>
        <rFont val="WenQuanYi Zen Hei"/>
        <family val="2"/>
      </rPr>
      <t xml:space="preserve">円</t>
    </r>
    <r>
      <rPr>
        <sz val="9"/>
        <rFont val="Meiryo UI"/>
        <family val="0"/>
        <charset val="1"/>
      </rPr>
      <t xml:space="preserve">/</t>
    </r>
    <r>
      <rPr>
        <sz val="9"/>
        <rFont val="WenQuanYi Zen Hei"/>
        <family val="2"/>
      </rPr>
      <t xml:space="preserve">人。</t>
    </r>
  </si>
  <si>
    <t xml:space="preserve">被害はブラインド系に集中</t>
  </si>
  <si>
    <r>
      <rPr>
        <sz val="9"/>
        <rFont val="WenQuanYi Zen Hei"/>
        <family val="2"/>
      </rPr>
      <t xml:space="preserve">ブラインド缶バッジ▲</t>
    </r>
    <r>
      <rPr>
        <sz val="9"/>
        <rFont val="Meiryo UI"/>
        <family val="0"/>
        <charset val="1"/>
      </rPr>
      <t xml:space="preserve">272</t>
    </r>
    <r>
      <rPr>
        <sz val="9"/>
        <rFont val="WenQuanYi Zen Hei"/>
        <family val="2"/>
      </rPr>
      <t xml:space="preserve">円</t>
    </r>
    <r>
      <rPr>
        <sz val="9"/>
        <rFont val="Meiryo UI"/>
        <family val="0"/>
        <charset val="1"/>
      </rPr>
      <t xml:space="preserve">/</t>
    </r>
    <r>
      <rPr>
        <sz val="9"/>
        <rFont val="WenQuanYi Zen Hei"/>
        <family val="2"/>
      </rPr>
      <t xml:space="preserve">人・ブラインドミニ色紙▲</t>
    </r>
    <r>
      <rPr>
        <sz val="9"/>
        <rFont val="Meiryo UI"/>
        <family val="0"/>
        <charset val="1"/>
      </rPr>
      <t xml:space="preserve">284</t>
    </r>
    <r>
      <rPr>
        <sz val="9"/>
        <rFont val="WenQuanYi Zen Hei"/>
        <family val="2"/>
      </rPr>
      <t xml:space="preserve">円</t>
    </r>
    <r>
      <rPr>
        <sz val="9"/>
        <rFont val="Meiryo UI"/>
        <family val="0"/>
        <charset val="1"/>
      </rPr>
      <t xml:space="preserve">/</t>
    </r>
    <r>
      <rPr>
        <sz val="9"/>
        <rFont val="WenQuanYi Zen Hei"/>
        <family val="2"/>
      </rPr>
      <t xml:space="preserve">人の</t>
    </r>
    <r>
      <rPr>
        <sz val="9"/>
        <rFont val="Meiryo UI"/>
        <family val="0"/>
        <charset val="1"/>
      </rPr>
      <t xml:space="preserve">2</t>
    </r>
    <r>
      <rPr>
        <sz val="9"/>
        <rFont val="WenQuanYi Zen Hei"/>
        <family val="2"/>
      </rPr>
      <t xml:space="preserve">タイプで</t>
    </r>
    <r>
      <rPr>
        <sz val="9"/>
        <rFont val="Meiryo UI"/>
        <family val="0"/>
        <charset val="1"/>
      </rPr>
      <t xml:space="preserve">LEGS</t>
    </r>
    <r>
      <rPr>
        <sz val="9"/>
        <rFont val="WenQuanYi Zen Hei"/>
        <family val="2"/>
      </rPr>
      <t xml:space="preserve">減少の</t>
    </r>
    <r>
      <rPr>
        <sz val="9"/>
        <rFont val="Meiryo UI"/>
        <family val="0"/>
        <charset val="1"/>
      </rPr>
      <t xml:space="preserve">87%</t>
    </r>
    <r>
      <rPr>
        <sz val="9"/>
        <rFont val="WenQuanYi Zen Hei"/>
        <family val="2"/>
      </rPr>
      <t xml:space="preserve">。</t>
    </r>
  </si>
  <si>
    <t xml:space="preserve">クリアファイル・ポストカード類は横ばい〜微増で影響なし。追加生産はブラインド系を抑制すべき。</t>
  </si>
  <si>
    <t xml:space="preserve">★仙台以降の最大リスク</t>
  </si>
  <si>
    <r>
      <rPr>
        <sz val="9"/>
        <rFont val="WenQuanYi Zen Hei"/>
        <family val="2"/>
      </rPr>
      <t xml:space="preserve">同規模の新商品を仙台以降に追加投入すると③の必要数</t>
    </r>
    <r>
      <rPr>
        <sz val="9"/>
        <rFont val="Meiryo UI"/>
        <family val="0"/>
        <charset val="1"/>
      </rPr>
      <t xml:space="preserve">61,617</t>
    </r>
    <r>
      <rPr>
        <sz val="9"/>
        <rFont val="WenQuanYi Zen Hei"/>
        <family val="2"/>
      </rPr>
      <t xml:space="preserve">個は最大</t>
    </r>
    <r>
      <rPr>
        <sz val="9"/>
        <rFont val="Meiryo UI"/>
        <family val="0"/>
        <charset val="1"/>
      </rPr>
      <t xml:space="preserve">30%</t>
    </r>
    <r>
      <rPr>
        <sz val="9"/>
        <rFont val="WenQuanYi Zen Hei"/>
        <family val="2"/>
      </rPr>
      <t xml:space="preserve">過大になる。</t>
    </r>
  </si>
  <si>
    <t xml:space="preserve">追加生産を確定する前に、仙台以降の新商品投入計画（有無・規模）を必ず確認すること。</t>
  </si>
  <si>
    <t xml:space="preserve">■ シート構成</t>
  </si>
  <si>
    <t xml:space="preserve">前提・入力</t>
  </si>
  <si>
    <t xml:space="preserve">会場比率・構成比・加重など全パラメータの入力（青字＝編集可）</t>
  </si>
  <si>
    <t xml:space="preserve">①石川予測確定</t>
  </si>
  <si>
    <r>
      <rPr>
        <sz val="9"/>
        <rFont val="WenQuanYi Zen Hei"/>
        <family val="2"/>
      </rPr>
      <t xml:space="preserve">商品別 会期</t>
    </r>
    <r>
      <rPr>
        <sz val="9"/>
        <rFont val="Meiryo UI"/>
        <family val="0"/>
        <charset val="1"/>
      </rPr>
      <t xml:space="preserve">18</t>
    </r>
    <r>
      <rPr>
        <sz val="9"/>
        <rFont val="WenQuanYi Zen Hei"/>
        <family val="2"/>
      </rPr>
      <t xml:space="preserve">日予測（会場別</t>
    </r>
    <r>
      <rPr>
        <sz val="9"/>
        <rFont val="Meiryo UI"/>
        <family val="0"/>
        <charset val="1"/>
      </rPr>
      <t xml:space="preserve">g</t>
    </r>
    <r>
      <rPr>
        <sz val="9"/>
        <rFont val="WenQuanYi Zen Hei"/>
        <family val="2"/>
      </rPr>
      <t xml:space="preserve">・予測数量</t>
    </r>
    <r>
      <rPr>
        <sz val="9"/>
        <rFont val="Meiryo UI"/>
        <family val="0"/>
        <charset val="1"/>
      </rPr>
      <t xml:space="preserve">/</t>
    </r>
    <r>
      <rPr>
        <sz val="9"/>
        <rFont val="WenQuanYi Zen Hei"/>
        <family val="2"/>
      </rPr>
      <t xml:space="preserve">金額・消化率・会期末残在庫）</t>
    </r>
  </si>
  <si>
    <t xml:space="preserve">②会場別構成比</t>
  </si>
  <si>
    <r>
      <rPr>
        <sz val="9"/>
        <rFont val="WenQuanYi Zen Hei"/>
        <family val="2"/>
      </rPr>
      <t xml:space="preserve">全会場の</t>
    </r>
    <r>
      <rPr>
        <sz val="9"/>
        <rFont val="Meiryo UI"/>
        <family val="0"/>
        <charset val="1"/>
      </rPr>
      <t xml:space="preserve">LEGS</t>
    </r>
    <r>
      <rPr>
        <sz val="9"/>
        <rFont val="WenQuanYi Zen Hei"/>
        <family val="2"/>
      </rPr>
      <t xml:space="preserve">物販構成比（数量・金額）、供給元別構成比、東京対比 会場比率</t>
    </r>
  </si>
  <si>
    <t xml:space="preserve">③仙台以降予測</t>
  </si>
  <si>
    <r>
      <rPr>
        <sz val="9"/>
        <rFont val="WenQuanYi Zen Hei"/>
        <family val="2"/>
      </rPr>
      <t xml:space="preserve">残</t>
    </r>
    <r>
      <rPr>
        <sz val="9"/>
        <rFont val="Meiryo UI"/>
        <family val="0"/>
        <charset val="1"/>
      </rPr>
      <t xml:space="preserve">4</t>
    </r>
    <r>
      <rPr>
        <sz val="9"/>
        <rFont val="WenQuanYi Zen Hei"/>
        <family val="2"/>
      </rPr>
      <t xml:space="preserve">会場の</t>
    </r>
    <r>
      <rPr>
        <sz val="9"/>
        <rFont val="Meiryo UI"/>
        <family val="0"/>
        <charset val="1"/>
      </rPr>
      <t xml:space="preserve">LEGS</t>
    </r>
    <r>
      <rPr>
        <sz val="9"/>
        <rFont val="WenQuanYi Zen Hei"/>
        <family val="2"/>
      </rPr>
      <t xml:space="preserve">売上</t>
    </r>
    <r>
      <rPr>
        <sz val="9"/>
        <rFont val="Meiryo UI"/>
        <family val="0"/>
        <charset val="1"/>
      </rPr>
      <t xml:space="preserve">/</t>
    </r>
    <r>
      <rPr>
        <sz val="9"/>
        <rFont val="WenQuanYi Zen Hei"/>
        <family val="2"/>
      </rPr>
      <t xml:space="preserve">数量予測と商品別必要数</t>
    </r>
  </si>
  <si>
    <t xml:space="preserve">④追加発注判定</t>
  </si>
  <si>
    <t xml:space="preserve">石川会期中／仙台以降 の商品別 発注要否・推奨数量</t>
  </si>
  <si>
    <t xml:space="preserve">⑤全データ統合リスト</t>
  </si>
  <si>
    <r>
      <rPr>
        <sz val="9"/>
        <rFont val="Meiryo UI"/>
        <family val="0"/>
        <charset val="1"/>
      </rPr>
      <t xml:space="preserve">5</t>
    </r>
    <r>
      <rPr>
        <sz val="9"/>
        <rFont val="WenQuanYi Zen Hei"/>
        <family val="2"/>
      </rPr>
      <t xml:space="preserve">会場</t>
    </r>
    <r>
      <rPr>
        <sz val="9"/>
        <rFont val="Meiryo UI"/>
        <family val="0"/>
        <charset val="1"/>
      </rPr>
      <t xml:space="preserve">×42</t>
    </r>
    <r>
      <rPr>
        <sz val="9"/>
        <rFont val="WenQuanYi Zen Hei"/>
        <family val="2"/>
      </rPr>
      <t xml:space="preserve">商品の全実績・構成比・消化率・予測を</t>
    </r>
    <r>
      <rPr>
        <sz val="9"/>
        <rFont val="Meiryo UI"/>
        <family val="0"/>
        <charset val="1"/>
      </rPr>
      <t xml:space="preserve">1</t>
    </r>
    <r>
      <rPr>
        <sz val="9"/>
        <rFont val="WenQuanYi Zen Hei"/>
        <family val="2"/>
      </rPr>
      <t xml:space="preserve">行に集約</t>
    </r>
  </si>
  <si>
    <t xml:space="preserve">⑥商品別 会場推移</t>
  </si>
  <si>
    <t xml:space="preserve">商品別の会場ごと販売数・構成比の推移（トレンド確認用）</t>
  </si>
  <si>
    <t xml:space="preserve">⑦新商品影響分析</t>
  </si>
  <si>
    <r>
      <rPr>
        <sz val="9"/>
        <rFont val="WenQuanYi Zen Hei"/>
        <family val="2"/>
      </rPr>
      <t xml:space="preserve">梅田以降の追加商品（ぬいぐるみ・うちわ等）による</t>
    </r>
    <r>
      <rPr>
        <sz val="9"/>
        <rFont val="Meiryo UI"/>
        <family val="0"/>
        <charset val="1"/>
      </rPr>
      <t xml:space="preserve">LEGS</t>
    </r>
    <r>
      <rPr>
        <sz val="9"/>
        <rFont val="WenQuanYi Zen Hei"/>
        <family val="2"/>
      </rPr>
      <t xml:space="preserve">売上低下の要因分析</t>
    </r>
  </si>
  <si>
    <r>
      <rPr>
        <b val="true"/>
        <sz val="9"/>
        <rFont val="WenQuanYi Zen Hei"/>
        <family val="2"/>
      </rPr>
      <t xml:space="preserve">⑧実在庫</t>
    </r>
    <r>
      <rPr>
        <b val="true"/>
        <sz val="9"/>
        <rFont val="Meiryo UI"/>
        <family val="0"/>
        <charset val="1"/>
      </rPr>
      <t xml:space="preserve">(7-8)</t>
    </r>
    <r>
      <rPr>
        <b val="true"/>
        <sz val="9"/>
        <rFont val="WenQuanYi Zen Hei"/>
        <family val="2"/>
      </rPr>
      <t xml:space="preserve">明細</t>
    </r>
  </si>
  <si>
    <r>
      <rPr>
        <sz val="9"/>
        <rFont val="Meiryo UI"/>
        <family val="0"/>
        <charset val="1"/>
      </rPr>
      <t xml:space="preserve">2026/7/8</t>
    </r>
    <r>
      <rPr>
        <sz val="9"/>
        <rFont val="WenQuanYi Zen Hei"/>
        <family val="2"/>
      </rPr>
      <t xml:space="preserve">時点の実在庫（</t>
    </r>
    <r>
      <rPr>
        <sz val="9"/>
        <rFont val="Meiryo UI"/>
        <family val="0"/>
        <charset val="1"/>
      </rPr>
      <t xml:space="preserve">CX</t>
    </r>
    <r>
      <rPr>
        <sz val="9"/>
        <rFont val="WenQuanYi Zen Hei"/>
        <family val="2"/>
      </rPr>
      <t xml:space="preserve">催事＋</t>
    </r>
    <r>
      <rPr>
        <sz val="9"/>
        <rFont val="Meiryo UI"/>
        <family val="0"/>
        <charset val="1"/>
      </rPr>
      <t xml:space="preserve">DBS</t>
    </r>
    <r>
      <rPr>
        <sz val="9"/>
        <rFont val="WenQuanYi Zen Hei"/>
        <family val="2"/>
      </rPr>
      <t xml:space="preserve">倉庫＋梅田返送良品）と商品別の欠品算出</t>
    </r>
  </si>
  <si>
    <r>
      <rPr>
        <b val="true"/>
        <sz val="9"/>
        <rFont val="WenQuanYi Zen Hei"/>
        <family val="2"/>
      </rPr>
      <t xml:space="preserve">⑨過去</t>
    </r>
    <r>
      <rPr>
        <b val="true"/>
        <sz val="9"/>
        <rFont val="Meiryo UI"/>
        <family val="0"/>
        <charset val="1"/>
      </rPr>
      <t xml:space="preserve">4</t>
    </r>
    <r>
      <rPr>
        <b val="true"/>
        <sz val="9"/>
        <rFont val="WenQuanYi Zen Hei"/>
        <family val="2"/>
      </rPr>
      <t xml:space="preserve">会場 予測</t>
    </r>
    <r>
      <rPr>
        <b val="true"/>
        <sz val="9"/>
        <rFont val="Meiryo UI"/>
        <family val="0"/>
        <charset val="1"/>
      </rPr>
      <t xml:space="preserve">vs</t>
    </r>
    <r>
      <rPr>
        <b val="true"/>
        <sz val="9"/>
        <rFont val="WenQuanYi Zen Hei"/>
        <family val="2"/>
      </rPr>
      <t xml:space="preserve">実績</t>
    </r>
  </si>
  <si>
    <t xml:space="preserve">池袋・名古屋・博多・梅田の商品別 販売予測／実績／予測時構成比／実績後の構成比修正</t>
  </si>
  <si>
    <t xml:space="preserve">⑩会場比率シナリオ比較</t>
  </si>
  <si>
    <r>
      <rPr>
        <sz val="9"/>
        <rFont val="WenQuanYi Zen Hei"/>
        <family val="2"/>
      </rPr>
      <t xml:space="preserve">仙台以降の東京対比比率 </t>
    </r>
    <r>
      <rPr>
        <sz val="9"/>
        <rFont val="Meiryo UI"/>
        <family val="0"/>
        <charset val="1"/>
      </rPr>
      <t xml:space="preserve">4</t>
    </r>
    <r>
      <rPr>
        <sz val="9"/>
        <rFont val="WenQuanYi Zen Hei"/>
        <family val="2"/>
      </rPr>
      <t xml:space="preserve">シナリオ（ユーザー指定／企画概要書／石川実績連動／手動）の比較</t>
    </r>
  </si>
  <si>
    <t xml:space="preserve">⑪会場別引当・発注期限</t>
  </si>
  <si>
    <t xml:space="preserve">会場順の在庫引当、欠品発生会場の特定、生産日数から逆算した最終発注期限</t>
  </si>
  <si>
    <t xml:space="preserve">⑫計算ロジック解説</t>
  </si>
  <si>
    <r>
      <rPr>
        <sz val="9"/>
        <rFont val="WenQuanYi Zen Hei"/>
        <family val="2"/>
      </rPr>
      <t xml:space="preserve">各シート・各列がどの数式で計算されているかを、</t>
    </r>
    <r>
      <rPr>
        <sz val="9"/>
        <rFont val="Meiryo UI"/>
        <family val="0"/>
        <charset val="1"/>
      </rPr>
      <t xml:space="preserve">No.1</t>
    </r>
    <r>
      <rPr>
        <sz val="9"/>
        <rFont val="WenQuanYi Zen Hei"/>
        <family val="2"/>
      </rPr>
      <t xml:space="preserve">商品の実数を当てはめた実例つきで一覧化</t>
    </r>
  </si>
  <si>
    <t xml:space="preserve">⑬会場別 納品予測</t>
  </si>
  <si>
    <r>
      <rPr>
        <sz val="9"/>
        <rFont val="WenQuanYi Zen Hei"/>
        <family val="2"/>
      </rPr>
      <t xml:space="preserve">仙台以降 各会場へ実際に何個出せるか（必要数 </t>
    </r>
    <r>
      <rPr>
        <sz val="9"/>
        <rFont val="Meiryo UI"/>
        <family val="0"/>
        <charset val="1"/>
      </rPr>
      <t xml:space="preserve">vs </t>
    </r>
    <r>
      <rPr>
        <sz val="9"/>
        <rFont val="WenQuanYi Zen Hei"/>
        <family val="2"/>
      </rPr>
      <t xml:space="preserve">在庫制約を織り込んだ納品予測数）</t>
    </r>
  </si>
  <si>
    <t xml:space="preserve">運営欠品報告の反映先</t>
  </si>
  <si>
    <r>
      <rPr>
        <sz val="9"/>
        <rFont val="WenQuanYi Zen Hei"/>
        <family val="2"/>
      </rPr>
      <t xml:space="preserve">④追加発注判定シートの「運営 欠品報告」「モデル</t>
    </r>
    <r>
      <rPr>
        <sz val="9"/>
        <rFont val="Meiryo UI"/>
        <family val="0"/>
        <charset val="1"/>
      </rPr>
      <t xml:space="preserve">×</t>
    </r>
    <r>
      <rPr>
        <sz val="9"/>
        <rFont val="WenQuanYi Zen Hei"/>
        <family val="2"/>
      </rPr>
      <t xml:space="preserve">現場 突合」列、および⑧シートの運営欠品報告列・備考欄</t>
    </r>
  </si>
  <si>
    <t xml:space="preserve">■ 前提と留意事項</t>
  </si>
  <si>
    <t xml:space="preserve">データ再読込</t>
  </si>
  <si>
    <r>
      <rPr>
        <sz val="9"/>
        <rFont val="WenQuanYi Zen Hei"/>
        <family val="2"/>
      </rPr>
      <t xml:space="preserve">全</t>
    </r>
    <r>
      <rPr>
        <sz val="9"/>
        <rFont val="Meiryo UI"/>
        <family val="0"/>
        <charset val="1"/>
      </rPr>
      <t xml:space="preserve">5</t>
    </r>
    <r>
      <rPr>
        <sz val="9"/>
        <rFont val="WenQuanYi Zen Hei"/>
        <family val="2"/>
      </rPr>
      <t xml:space="preserve">会場のレジ通過単品売上を全件再読込・再集計。名古屋は後半</t>
    </r>
    <r>
      <rPr>
        <sz val="9"/>
        <rFont val="Meiryo UI"/>
        <family val="0"/>
        <charset val="1"/>
      </rPr>
      <t xml:space="preserve">4/1-4/5</t>
    </r>
    <r>
      <rPr>
        <sz val="9"/>
        <rFont val="WenQuanYi Zen Hei"/>
        <family val="2"/>
      </rPr>
      <t xml:space="preserve">の追加提供データを反映し、</t>
    </r>
  </si>
  <si>
    <r>
      <rPr>
        <sz val="9"/>
        <rFont val="WenQuanYi Zen Hei"/>
        <family val="2"/>
      </rPr>
      <t xml:space="preserve">会期</t>
    </r>
    <r>
      <rPr>
        <sz val="9"/>
        <rFont val="Meiryo UI"/>
        <family val="0"/>
        <charset val="1"/>
      </rPr>
      <t xml:space="preserve">19</t>
    </r>
    <r>
      <rPr>
        <sz val="9"/>
        <rFont val="WenQuanYi Zen Hei"/>
        <family val="2"/>
      </rPr>
      <t xml:space="preserve">日間（</t>
    </r>
    <r>
      <rPr>
        <sz val="9"/>
        <rFont val="Meiryo UI"/>
        <family val="0"/>
        <charset val="1"/>
      </rPr>
      <t xml:space="preserve">3/18-4/5</t>
    </r>
    <r>
      <rPr>
        <sz val="9"/>
        <rFont val="WenQuanYi Zen Hei"/>
        <family val="2"/>
      </rPr>
      <t xml:space="preserve">）の完全実績となった。これに伴い名古屋の会期倍率</t>
    </r>
    <r>
      <rPr>
        <sz val="9"/>
        <rFont val="Meiryo UI"/>
        <family val="0"/>
        <charset val="1"/>
      </rPr>
      <t xml:space="preserve">g</t>
    </r>
    <r>
      <rPr>
        <sz val="9"/>
        <rFont val="WenQuanYi Zen Hei"/>
        <family val="2"/>
      </rPr>
      <t xml:space="preserve">は推計</t>
    </r>
    <r>
      <rPr>
        <sz val="9"/>
        <rFont val="Meiryo UI"/>
        <family val="0"/>
        <charset val="1"/>
      </rPr>
      <t xml:space="preserve">2.438</t>
    </r>
    <r>
      <rPr>
        <sz val="9"/>
        <rFont val="WenQuanYi Zen Hei"/>
        <family val="2"/>
      </rPr>
      <t xml:space="preserve">倍→実績</t>
    </r>
    <r>
      <rPr>
        <sz val="9"/>
        <rFont val="Meiryo UI"/>
        <family val="0"/>
        <charset val="1"/>
      </rPr>
      <t xml:space="preserve">2.215</t>
    </r>
    <r>
      <rPr>
        <sz val="9"/>
        <rFont val="WenQuanYi Zen Hei"/>
        <family val="2"/>
      </rPr>
      <t xml:space="preserve">倍に修正。</t>
    </r>
  </si>
  <si>
    <r>
      <rPr>
        <b val="true"/>
        <sz val="9"/>
        <rFont val="Meiryo UI"/>
        <family val="0"/>
        <charset val="1"/>
      </rPr>
      <t xml:space="preserve">LEGS</t>
    </r>
    <r>
      <rPr>
        <b val="true"/>
        <sz val="9"/>
        <rFont val="WenQuanYi Zen Hei"/>
        <family val="2"/>
      </rPr>
      <t xml:space="preserve">＝</t>
    </r>
    <r>
      <rPr>
        <b val="true"/>
        <sz val="9"/>
        <rFont val="Meiryo UI"/>
        <family val="0"/>
        <charset val="1"/>
      </rPr>
      <t xml:space="preserve">42SKU</t>
    </r>
  </si>
  <si>
    <r>
      <rPr>
        <sz val="9"/>
        <rFont val="WenQuanYi Zen Hei"/>
        <family val="2"/>
      </rPr>
      <t xml:space="preserve">各会場の商品分類「記念商品</t>
    </r>
    <r>
      <rPr>
        <sz val="9"/>
        <rFont val="Meiryo UI"/>
        <family val="0"/>
        <charset val="1"/>
      </rPr>
      <t xml:space="preserve">/</t>
    </r>
    <r>
      <rPr>
        <sz val="9"/>
        <rFont val="WenQuanYi Zen Hei"/>
        <family val="2"/>
      </rPr>
      <t xml:space="preserve">レッグス」「レッグス</t>
    </r>
    <r>
      <rPr>
        <sz val="9"/>
        <rFont val="Meiryo UI"/>
        <family val="0"/>
        <charset val="1"/>
      </rPr>
      <t xml:space="preserve">/</t>
    </r>
    <r>
      <rPr>
        <sz val="9"/>
        <rFont val="WenQuanYi Zen Hei"/>
        <family val="2"/>
      </rPr>
      <t xml:space="preserve">イベント記念」は全会場で本</t>
    </r>
    <r>
      <rPr>
        <sz val="9"/>
        <rFont val="Meiryo UI"/>
        <family val="0"/>
        <charset val="1"/>
      </rPr>
      <t xml:space="preserve">42SKU</t>
    </r>
    <r>
      <rPr>
        <sz val="9"/>
        <rFont val="WenQuanYi Zen Hei"/>
        <family val="2"/>
      </rPr>
      <t xml:space="preserve">と完全一致</t>
    </r>
  </si>
  <si>
    <t xml:space="preserve">物販売上の定義</t>
  </si>
  <si>
    <t xml:space="preserve">レジ袋代・音声ガイド・当日券を除いた商品売上（税込）。会場報告の総売上とは一致しない場合がある</t>
  </si>
  <si>
    <t xml:space="preserve">残在庫の出所</t>
  </si>
  <si>
    <t xml:space="preserve">在庫フロー台帳（会場ごとの追加発注→販売→レッグス検品を積み上げた表）の最終実在庫列。</t>
  </si>
  <si>
    <t xml:space="preserve">実際の発注前に倉庫在庫と過去会場の返品在庫を相殺すること（前提・入力シートで控除可能）。</t>
  </si>
  <si>
    <t xml:space="preserve">神戸阪急の会場比率</t>
  </si>
  <si>
    <r>
      <rPr>
        <sz val="9"/>
        <rFont val="WenQuanYi Zen Hei"/>
        <family val="2"/>
      </rPr>
      <t xml:space="preserve">東京対比の指定が無いため</t>
    </r>
    <r>
      <rPr>
        <sz val="9"/>
        <rFont val="Meiryo UI"/>
        <family val="0"/>
        <charset val="1"/>
      </rPr>
      <t xml:space="preserve">12%</t>
    </r>
    <r>
      <rPr>
        <sz val="9"/>
        <rFont val="WenQuanYi Zen Hei"/>
        <family val="2"/>
      </rPr>
      <t xml:space="preserve">を仮置き。要確認事項。</t>
    </r>
  </si>
  <si>
    <t xml:space="preserve">仙台の会場比率</t>
  </si>
  <si>
    <r>
      <rPr>
        <sz val="9"/>
        <rFont val="WenQuanYi Zen Hei"/>
        <family val="2"/>
      </rPr>
      <t xml:space="preserve">ユーザー指定</t>
    </r>
    <r>
      <rPr>
        <sz val="9"/>
        <rFont val="Meiryo UI"/>
        <family val="0"/>
        <charset val="1"/>
      </rPr>
      <t xml:space="preserve">13%</t>
    </r>
    <r>
      <rPr>
        <sz val="9"/>
        <rFont val="WenQuanYi Zen Hei"/>
        <family val="2"/>
      </rPr>
      <t xml:space="preserve">を採用。コナンカフェ</t>
    </r>
    <r>
      <rPr>
        <sz val="9"/>
        <rFont val="Meiryo UI"/>
        <family val="0"/>
        <charset val="1"/>
      </rPr>
      <t xml:space="preserve">2026</t>
    </r>
    <r>
      <rPr>
        <sz val="9"/>
        <rFont val="WenQuanYi Zen Hei"/>
        <family val="2"/>
      </rPr>
      <t xml:space="preserve">実績（東京対比</t>
    </r>
    <r>
      <rPr>
        <sz val="9"/>
        <rFont val="Meiryo UI"/>
        <family val="0"/>
        <charset val="1"/>
      </rPr>
      <t xml:space="preserve">10.5%</t>
    </r>
    <r>
      <rPr>
        <sz val="9"/>
        <rFont val="WenQuanYi Zen Hei"/>
        <family val="2"/>
      </rPr>
      <t xml:space="preserve">）とは</t>
    </r>
    <r>
      <rPr>
        <sz val="9"/>
        <rFont val="Meiryo UI"/>
        <family val="0"/>
        <charset val="1"/>
      </rPr>
      <t xml:space="preserve">2.5pt</t>
    </r>
    <r>
      <rPr>
        <sz val="9"/>
        <rFont val="WenQuanYi Zen Hei"/>
        <family val="2"/>
      </rPr>
      <t xml:space="preserve">乖離あり。</t>
    </r>
  </si>
  <si>
    <t xml:space="preserve">鳥取会場</t>
  </si>
  <si>
    <r>
      <rPr>
        <sz val="9"/>
        <rFont val="WenQuanYi Zen Hei"/>
        <family val="2"/>
      </rPr>
      <t xml:space="preserve">会期</t>
    </r>
    <r>
      <rPr>
        <sz val="9"/>
        <rFont val="Meiryo UI"/>
        <family val="0"/>
        <charset val="1"/>
      </rPr>
      <t xml:space="preserve">3/15-4/4</t>
    </r>
    <r>
      <rPr>
        <sz val="9"/>
        <rFont val="WenQuanYi Zen Hei"/>
        <family val="2"/>
      </rPr>
      <t xml:space="preserve">を</t>
    </r>
    <r>
      <rPr>
        <sz val="9"/>
        <rFont val="Meiryo UI"/>
        <family val="0"/>
        <charset val="1"/>
      </rPr>
      <t xml:space="preserve">21</t>
    </r>
    <r>
      <rPr>
        <sz val="9"/>
        <rFont val="WenQuanYi Zen Hei"/>
        <family val="2"/>
      </rPr>
      <t xml:space="preserve">日間として計上。</t>
    </r>
  </si>
  <si>
    <t xml:space="preserve">価格改定</t>
  </si>
  <si>
    <r>
      <rPr>
        <sz val="9"/>
        <rFont val="WenQuanYi Zen Hei"/>
        <family val="2"/>
      </rPr>
      <t xml:space="preserve">イメージリング</t>
    </r>
    <r>
      <rPr>
        <sz val="9"/>
        <rFont val="Meiryo UI"/>
        <family val="0"/>
        <charset val="1"/>
      </rPr>
      <t xml:space="preserve">8</t>
    </r>
    <r>
      <rPr>
        <sz val="9"/>
        <rFont val="WenQuanYi Zen Hei"/>
        <family val="2"/>
      </rPr>
      <t xml:space="preserve">種は東京</t>
    </r>
    <r>
      <rPr>
        <sz val="9"/>
        <rFont val="Meiryo UI"/>
        <family val="0"/>
        <charset val="1"/>
      </rPr>
      <t xml:space="preserve">¥22,000→</t>
    </r>
    <r>
      <rPr>
        <sz val="9"/>
        <rFont val="WenQuanYi Zen Hei"/>
        <family val="2"/>
      </rPr>
      <t xml:space="preserve">名古屋以降</t>
    </r>
    <r>
      <rPr>
        <sz val="9"/>
        <rFont val="Meiryo UI"/>
        <family val="0"/>
        <charset val="1"/>
      </rPr>
      <t xml:space="preserve">¥27,500</t>
    </r>
    <r>
      <rPr>
        <sz val="9"/>
        <rFont val="WenQuanYi Zen Hei"/>
        <family val="2"/>
      </rPr>
      <t xml:space="preserve">に改定。⑤では会場別の実売単価で金額を算出。</t>
    </r>
  </si>
  <si>
    <t xml:space="preserve">元データの小数値</t>
  </si>
  <si>
    <r>
      <rPr>
        <sz val="9"/>
        <rFont val="WenQuanYi Zen Hei"/>
        <family val="2"/>
      </rPr>
      <t xml:space="preserve">名古屋の販売可能数に小数を含む商品が</t>
    </r>
    <r>
      <rPr>
        <sz val="9"/>
        <rFont val="Meiryo UI"/>
        <family val="0"/>
        <charset val="1"/>
      </rPr>
      <t xml:space="preserve">3</t>
    </r>
    <r>
      <rPr>
        <sz val="9"/>
        <rFont val="WenQuanYi Zen Hei"/>
        <family val="2"/>
      </rPr>
      <t xml:space="preserve">件あるため整数に丸めて処理している（合計への影響は</t>
    </r>
    <r>
      <rPr>
        <sz val="9"/>
        <rFont val="Meiryo UI"/>
        <family val="0"/>
        <charset val="1"/>
      </rPr>
      <t xml:space="preserve">1</t>
    </r>
    <r>
      <rPr>
        <sz val="9"/>
        <rFont val="WenQuanYi Zen Hei"/>
        <family val="2"/>
      </rPr>
      <t xml:space="preserve">個未満）。</t>
    </r>
  </si>
  <si>
    <t xml:space="preserve">東京の内覧会</t>
  </si>
  <si>
    <r>
      <rPr>
        <sz val="9"/>
        <rFont val="WenQuanYi Zen Hei"/>
        <family val="2"/>
      </rPr>
      <t xml:space="preserve">東京の</t>
    </r>
    <r>
      <rPr>
        <sz val="9"/>
        <rFont val="Meiryo UI"/>
        <family val="0"/>
        <charset val="1"/>
      </rPr>
      <t xml:space="preserve">12/4</t>
    </r>
    <r>
      <rPr>
        <sz val="9"/>
        <rFont val="WenQuanYi Zen Hei"/>
        <family val="2"/>
      </rPr>
      <t xml:space="preserve">内覧会分（全商品計</t>
    </r>
    <r>
      <rPr>
        <sz val="9"/>
        <rFont val="Meiryo UI"/>
        <family val="0"/>
        <charset val="1"/>
      </rPr>
      <t xml:space="preserve">142</t>
    </r>
    <r>
      <rPr>
        <sz val="9"/>
        <rFont val="WenQuanYi Zen Hei"/>
        <family val="2"/>
      </rPr>
      <t xml:space="preserve">個）は会期実績から除外して会場間比較している。</t>
    </r>
  </si>
  <si>
    <t xml:space="preserve">前提・入力パラメータ</t>
  </si>
  <si>
    <t xml:space="preserve">青字・黄色セルが入力値です。変更すると①③④⑤シートの予測が自動再計算されます。</t>
  </si>
  <si>
    <t xml:space="preserve">■ ①石川予測 モデルパラメータ</t>
  </si>
  <si>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加重：東京</t>
    </r>
  </si>
  <si>
    <r>
      <rPr>
        <sz val="8"/>
        <color rgb="FF555555"/>
        <rFont val="WenQuanYi Zen Hei"/>
        <family val="2"/>
      </rPr>
      <t xml:space="preserve">【何に効くか】①シート</t>
    </r>
    <r>
      <rPr>
        <sz val="8"/>
        <color rgb="FF555555"/>
        <rFont val="Meiryo UI"/>
        <family val="0"/>
        <charset val="1"/>
      </rPr>
      <t xml:space="preserve">O</t>
    </r>
    <r>
      <rPr>
        <sz val="8"/>
        <color rgb="FF555555"/>
        <rFont val="WenQuanYi Zen Hei"/>
        <family val="2"/>
      </rPr>
      <t xml:space="preserve">列「採用倍率</t>
    </r>
    <r>
      <rPr>
        <sz val="8"/>
        <color rgb="FF555555"/>
        <rFont val="Meiryo UI"/>
        <family val="0"/>
        <charset val="1"/>
      </rPr>
      <t xml:space="preserve">g</t>
    </r>
    <r>
      <rPr>
        <sz val="8"/>
        <color rgb="FF555555"/>
        <rFont val="WenQuanYi Zen Hei"/>
        <family val="2"/>
      </rPr>
      <t xml:space="preserve">」の加重平均ウェイト。石川</t>
    </r>
    <r>
      <rPr>
        <sz val="8"/>
        <color rgb="FF555555"/>
        <rFont val="Meiryo UI"/>
        <family val="0"/>
        <charset val="1"/>
      </rPr>
      <t xml:space="preserve">18</t>
    </r>
    <r>
      <rPr>
        <sz val="8"/>
        <color rgb="FF555555"/>
        <rFont val="WenQuanYi Zen Hei"/>
        <family val="2"/>
      </rPr>
      <t xml:space="preserve">日予測＝初</t>
    </r>
    <r>
      <rPr>
        <sz val="8"/>
        <color rgb="FF555555"/>
        <rFont val="Meiryo UI"/>
        <family val="0"/>
        <charset val="1"/>
      </rPr>
      <t xml:space="preserve">12</t>
    </r>
    <r>
      <rPr>
        <sz val="8"/>
        <color rgb="FF555555"/>
        <rFont val="WenQuanYi Zen Hei"/>
        <family val="2"/>
      </rPr>
      <t xml:space="preserve">日</t>
    </r>
    <r>
      <rPr>
        <sz val="8"/>
        <color rgb="FF555555"/>
        <rFont val="Meiryo UI"/>
        <family val="0"/>
        <charset val="1"/>
      </rPr>
      <t xml:space="preserve">(8/14-8/25)</t>
    </r>
    <r>
      <rPr>
        <sz val="8"/>
        <color rgb="FF555555"/>
        <rFont val="WenQuanYi Zen Hei"/>
        <family val="2"/>
      </rPr>
      <t xml:space="preserve">実績</t>
    </r>
    <r>
      <rPr>
        <sz val="8"/>
        <color rgb="FF555555"/>
        <rFont val="Meiryo UI"/>
        <family val="0"/>
        <charset val="1"/>
      </rPr>
      <t xml:space="preserve">×</t>
    </r>
    <r>
      <rPr>
        <sz val="8"/>
        <color rgb="FF555555"/>
        <rFont val="WenQuanYi Zen Hei"/>
        <family val="2"/>
      </rPr>
      <t xml:space="preserve">採用倍率</t>
    </r>
    <r>
      <rPr>
        <sz val="8"/>
        <color rgb="FF555555"/>
        <rFont val="Meiryo UI"/>
        <family val="0"/>
        <charset val="1"/>
      </rPr>
      <t xml:space="preserve">g</t>
    </r>
    <r>
      <rPr>
        <sz val="8"/>
        <color rgb="FF555555"/>
        <rFont val="WenQuanYi Zen Hei"/>
        <family val="2"/>
      </rPr>
      <t xml:space="preserve">。
【なぜ</t>
    </r>
    <r>
      <rPr>
        <sz val="8"/>
        <color rgb="FF555555"/>
        <rFont val="Meiryo UI"/>
        <family val="0"/>
        <charset val="1"/>
      </rPr>
      <t xml:space="preserve">0</t>
    </r>
    <r>
      <rPr>
        <sz val="8"/>
        <color rgb="FF555555"/>
        <rFont val="WenQuanYi Zen Hei"/>
        <family val="2"/>
      </rPr>
      <t xml:space="preserve">か】東京は初動カーブが石川と大きく異なるため、ユーザー指示により倍率の算出根拠から除外している（</t>
    </r>
    <r>
      <rPr>
        <sz val="8"/>
        <color rgb="FF555555"/>
        <rFont val="Meiryo UI"/>
        <family val="0"/>
        <charset val="1"/>
      </rPr>
      <t xml:space="preserve">0</t>
    </r>
    <r>
      <rPr>
        <sz val="8"/>
        <color rgb="FF555555"/>
        <rFont val="WenQuanYi Zen Hei"/>
        <family val="2"/>
      </rPr>
      <t xml:space="preserve">固定）。</t>
    </r>
    <r>
      <rPr>
        <sz val="8"/>
        <color rgb="FF555555"/>
        <rFont val="Meiryo UI"/>
        <family val="0"/>
        <charset val="1"/>
      </rPr>
      <t xml:space="preserve">0</t>
    </r>
    <r>
      <rPr>
        <sz val="8"/>
        <color rgb="FF555555"/>
        <rFont val="WenQuanYi Zen Hei"/>
        <family val="2"/>
      </rPr>
      <t xml:space="preserve">以外にすると①の採用倍率</t>
    </r>
    <r>
      <rPr>
        <sz val="8"/>
        <color rgb="FF555555"/>
        <rFont val="Meiryo UI"/>
        <family val="0"/>
        <charset val="1"/>
      </rPr>
      <t xml:space="preserve">g</t>
    </r>
    <r>
      <rPr>
        <sz val="8"/>
        <color rgb="FF555555"/>
        <rFont val="WenQuanYi Zen Hei"/>
        <family val="2"/>
      </rPr>
      <t xml:space="preserve">＝石川予測が全品変動する。</t>
    </r>
  </si>
  <si>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加重：名古屋</t>
    </r>
  </si>
  <si>
    <r>
      <rPr>
        <sz val="8"/>
        <color rgb="FF555555"/>
        <rFont val="WenQuanYi Zen Hei"/>
        <family val="2"/>
      </rPr>
      <t xml:space="preserve">【何に効くか】①シート</t>
    </r>
    <r>
      <rPr>
        <sz val="8"/>
        <color rgb="FF555555"/>
        <rFont val="Meiryo UI"/>
        <family val="0"/>
        <charset val="1"/>
      </rPr>
      <t xml:space="preserve">O</t>
    </r>
    <r>
      <rPr>
        <sz val="8"/>
        <color rgb="FF555555"/>
        <rFont val="WenQuanYi Zen Hei"/>
        <family val="2"/>
      </rPr>
      <t xml:space="preserve">列「採用倍率</t>
    </r>
    <r>
      <rPr>
        <sz val="8"/>
        <color rgb="FF555555"/>
        <rFont val="Meiryo UI"/>
        <family val="0"/>
        <charset val="1"/>
      </rPr>
      <t xml:space="preserve">g</t>
    </r>
    <r>
      <rPr>
        <sz val="8"/>
        <color rgb="FF555555"/>
        <rFont val="WenQuanYi Zen Hei"/>
        <family val="2"/>
      </rPr>
      <t xml:space="preserve">」の加重平均ウェイト。石川</t>
    </r>
    <r>
      <rPr>
        <sz val="8"/>
        <color rgb="FF555555"/>
        <rFont val="Meiryo UI"/>
        <family val="0"/>
        <charset val="1"/>
      </rPr>
      <t xml:space="preserve">18</t>
    </r>
    <r>
      <rPr>
        <sz val="8"/>
        <color rgb="FF555555"/>
        <rFont val="WenQuanYi Zen Hei"/>
        <family val="2"/>
      </rPr>
      <t xml:space="preserve">日予測＝初</t>
    </r>
    <r>
      <rPr>
        <sz val="8"/>
        <color rgb="FF555555"/>
        <rFont val="Meiryo UI"/>
        <family val="0"/>
        <charset val="1"/>
      </rPr>
      <t xml:space="preserve">12</t>
    </r>
    <r>
      <rPr>
        <sz val="8"/>
        <color rgb="FF555555"/>
        <rFont val="WenQuanYi Zen Hei"/>
        <family val="2"/>
      </rPr>
      <t xml:space="preserve">日</t>
    </r>
    <r>
      <rPr>
        <sz val="8"/>
        <color rgb="FF555555"/>
        <rFont val="Meiryo UI"/>
        <family val="0"/>
        <charset val="1"/>
      </rPr>
      <t xml:space="preserve">(8/14-8/25)</t>
    </r>
    <r>
      <rPr>
        <sz val="8"/>
        <color rgb="FF555555"/>
        <rFont val="WenQuanYi Zen Hei"/>
        <family val="2"/>
      </rPr>
      <t xml:space="preserve">実績</t>
    </r>
    <r>
      <rPr>
        <sz val="8"/>
        <color rgb="FF555555"/>
        <rFont val="Meiryo UI"/>
        <family val="0"/>
        <charset val="1"/>
      </rPr>
      <t xml:space="preserve">×</t>
    </r>
    <r>
      <rPr>
        <sz val="8"/>
        <color rgb="FF555555"/>
        <rFont val="WenQuanYi Zen Hei"/>
        <family val="2"/>
      </rPr>
      <t xml:space="preserve">採用倍率</t>
    </r>
    <r>
      <rPr>
        <sz val="8"/>
        <color rgb="FF555555"/>
        <rFont val="Meiryo UI"/>
        <family val="0"/>
        <charset val="1"/>
      </rPr>
      <t xml:space="preserve">g</t>
    </r>
    <r>
      <rPr>
        <sz val="8"/>
        <color rgb="FF555555"/>
        <rFont val="WenQuanYi Zen Hei"/>
        <family val="2"/>
      </rPr>
      <t xml:space="preserve">。
【なぜ</t>
    </r>
    <r>
      <rPr>
        <sz val="8"/>
        <color rgb="FF555555"/>
        <rFont val="Meiryo UI"/>
        <family val="0"/>
        <charset val="1"/>
      </rPr>
      <t xml:space="preserve">0</t>
    </r>
    <r>
      <rPr>
        <sz val="8"/>
        <color rgb="FF555555"/>
        <rFont val="WenQuanYi Zen Hei"/>
        <family val="2"/>
      </rPr>
      <t xml:space="preserve">か】名古屋は初動カーブが石川と大きく異なるため、ユーザー指示により倍率の算出根拠から除外している（</t>
    </r>
    <r>
      <rPr>
        <sz val="8"/>
        <color rgb="FF555555"/>
        <rFont val="Meiryo UI"/>
        <family val="0"/>
        <charset val="1"/>
      </rPr>
      <t xml:space="preserve">0</t>
    </r>
    <r>
      <rPr>
        <sz val="8"/>
        <color rgb="FF555555"/>
        <rFont val="WenQuanYi Zen Hei"/>
        <family val="2"/>
      </rPr>
      <t xml:space="preserve">固定）。</t>
    </r>
    <r>
      <rPr>
        <sz val="8"/>
        <color rgb="FF555555"/>
        <rFont val="Meiryo UI"/>
        <family val="0"/>
        <charset val="1"/>
      </rPr>
      <t xml:space="preserve">0</t>
    </r>
    <r>
      <rPr>
        <sz val="8"/>
        <color rgb="FF555555"/>
        <rFont val="WenQuanYi Zen Hei"/>
        <family val="2"/>
      </rPr>
      <t xml:space="preserve">以外にすると①の採用倍率</t>
    </r>
    <r>
      <rPr>
        <sz val="8"/>
        <color rgb="FF555555"/>
        <rFont val="Meiryo UI"/>
        <family val="0"/>
        <charset val="1"/>
      </rPr>
      <t xml:space="preserve">g</t>
    </r>
    <r>
      <rPr>
        <sz val="8"/>
        <color rgb="FF555555"/>
        <rFont val="WenQuanYi Zen Hei"/>
        <family val="2"/>
      </rPr>
      <t xml:space="preserve">＝石川予測が全品変動する。</t>
    </r>
  </si>
  <si>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加重：博多</t>
    </r>
  </si>
  <si>
    <r>
      <rPr>
        <sz val="8"/>
        <color rgb="FF555555"/>
        <rFont val="WenQuanYi Zen Hei"/>
        <family val="2"/>
      </rPr>
      <t xml:space="preserve">【何に効くか】①シート</t>
    </r>
    <r>
      <rPr>
        <sz val="8"/>
        <color rgb="FF555555"/>
        <rFont val="Meiryo UI"/>
        <family val="0"/>
        <charset val="1"/>
      </rPr>
      <t xml:space="preserve">O</t>
    </r>
    <r>
      <rPr>
        <sz val="8"/>
        <color rgb="FF555555"/>
        <rFont val="WenQuanYi Zen Hei"/>
        <family val="2"/>
      </rPr>
      <t xml:space="preserve">列「採用倍率</t>
    </r>
    <r>
      <rPr>
        <sz val="8"/>
        <color rgb="FF555555"/>
        <rFont val="Meiryo UI"/>
        <family val="0"/>
        <charset val="1"/>
      </rPr>
      <t xml:space="preserve">g</t>
    </r>
    <r>
      <rPr>
        <sz val="8"/>
        <color rgb="FF555555"/>
        <rFont val="WenQuanYi Zen Hei"/>
        <family val="2"/>
      </rPr>
      <t xml:space="preserve">」の加重平均ウェイト。石川</t>
    </r>
    <r>
      <rPr>
        <sz val="8"/>
        <color rgb="FF555555"/>
        <rFont val="Meiryo UI"/>
        <family val="0"/>
        <charset val="1"/>
      </rPr>
      <t xml:space="preserve">18</t>
    </r>
    <r>
      <rPr>
        <sz val="8"/>
        <color rgb="FF555555"/>
        <rFont val="WenQuanYi Zen Hei"/>
        <family val="2"/>
      </rPr>
      <t xml:space="preserve">日予測＝初</t>
    </r>
    <r>
      <rPr>
        <sz val="8"/>
        <color rgb="FF555555"/>
        <rFont val="Meiryo UI"/>
        <family val="0"/>
        <charset val="1"/>
      </rPr>
      <t xml:space="preserve">12</t>
    </r>
    <r>
      <rPr>
        <sz val="8"/>
        <color rgb="FF555555"/>
        <rFont val="WenQuanYi Zen Hei"/>
        <family val="2"/>
      </rPr>
      <t xml:space="preserve">日</t>
    </r>
    <r>
      <rPr>
        <sz val="8"/>
        <color rgb="FF555555"/>
        <rFont val="Meiryo UI"/>
        <family val="0"/>
        <charset val="1"/>
      </rPr>
      <t xml:space="preserve">(8/14-8/25)</t>
    </r>
    <r>
      <rPr>
        <sz val="8"/>
        <color rgb="FF555555"/>
        <rFont val="WenQuanYi Zen Hei"/>
        <family val="2"/>
      </rPr>
      <t xml:space="preserve">実績</t>
    </r>
    <r>
      <rPr>
        <sz val="8"/>
        <color rgb="FF555555"/>
        <rFont val="Meiryo UI"/>
        <family val="0"/>
        <charset val="1"/>
      </rPr>
      <t xml:space="preserve">×</t>
    </r>
    <r>
      <rPr>
        <sz val="8"/>
        <color rgb="FF555555"/>
        <rFont val="WenQuanYi Zen Hei"/>
        <family val="2"/>
      </rPr>
      <t xml:space="preserve">採用倍率</t>
    </r>
    <r>
      <rPr>
        <sz val="8"/>
        <color rgb="FF555555"/>
        <rFont val="Meiryo UI"/>
        <family val="0"/>
        <charset val="1"/>
      </rPr>
      <t xml:space="preserve">g</t>
    </r>
    <r>
      <rPr>
        <sz val="8"/>
        <color rgb="FF555555"/>
        <rFont val="WenQuanYi Zen Hei"/>
        <family val="2"/>
      </rPr>
      <t xml:space="preserve">。
【算出】博多③は</t>
    </r>
    <r>
      <rPr>
        <sz val="8"/>
        <color rgb="FF555555"/>
        <rFont val="Meiryo UI"/>
        <family val="0"/>
        <charset val="1"/>
      </rPr>
      <t xml:space="preserve">26</t>
    </r>
    <r>
      <rPr>
        <sz val="8"/>
        <color rgb="FF555555"/>
        <rFont val="WenQuanYi Zen Hei"/>
        <family val="2"/>
      </rPr>
      <t xml:space="preserve">日会期のため、頭から</t>
    </r>
    <r>
      <rPr>
        <sz val="8"/>
        <color rgb="FF555555"/>
        <rFont val="Meiryo UI"/>
        <family val="0"/>
        <charset val="1"/>
      </rPr>
      <t xml:space="preserve">18</t>
    </r>
    <r>
      <rPr>
        <sz val="8"/>
        <color rgb="FF555555"/>
        <rFont val="WenQuanYi Zen Hei"/>
        <family val="2"/>
      </rPr>
      <t xml:space="preserve">日分だけを切り出して倍率化する（</t>
    </r>
    <r>
      <rPr>
        <sz val="8"/>
        <color rgb="FF555555"/>
        <rFont val="Meiryo UI"/>
        <family val="0"/>
        <charset val="1"/>
      </rPr>
      <t xml:space="preserve">18</t>
    </r>
    <r>
      <rPr>
        <sz val="8"/>
        <color rgb="FF555555"/>
        <rFont val="WenQuanYi Zen Hei"/>
        <family val="2"/>
      </rPr>
      <t xml:space="preserve">日累計 </t>
    </r>
    <r>
      <rPr>
        <sz val="8"/>
        <color rgb="FF555555"/>
        <rFont val="Meiryo UI"/>
        <family val="0"/>
        <charset val="1"/>
      </rPr>
      <t xml:space="preserve">÷ </t>
    </r>
    <r>
      <rPr>
        <sz val="8"/>
        <color rgb="FF555555"/>
        <rFont val="WenQuanYi Zen Hei"/>
        <family val="2"/>
      </rPr>
      <t xml:space="preserve">初</t>
    </r>
    <r>
      <rPr>
        <sz val="8"/>
        <color rgb="FF555555"/>
        <rFont val="Meiryo UI"/>
        <family val="0"/>
        <charset val="1"/>
      </rPr>
      <t xml:space="preserve">12</t>
    </r>
    <r>
      <rPr>
        <sz val="8"/>
        <color rgb="FF555555"/>
        <rFont val="WenQuanYi Zen Hei"/>
        <family val="2"/>
      </rPr>
      <t xml:space="preserve">日）。博多の倍率</t>
    </r>
    <r>
      <rPr>
        <sz val="8"/>
        <color rgb="FF555555"/>
        <rFont val="Meiryo UI"/>
        <family val="0"/>
        <charset val="1"/>
      </rPr>
      <t xml:space="preserve">g</t>
    </r>
    <r>
      <rPr>
        <sz val="8"/>
        <color rgb="FF555555"/>
        <rFont val="WenQuanYi Zen Hei"/>
        <family val="2"/>
      </rPr>
      <t xml:space="preserve">＝</t>
    </r>
    <r>
      <rPr>
        <sz val="8"/>
        <color rgb="FF555555"/>
        <rFont val="Meiryo UI"/>
        <family val="0"/>
        <charset val="1"/>
      </rPr>
      <t xml:space="preserve">1.413</t>
    </r>
    <r>
      <rPr>
        <sz val="8"/>
        <color rgb="FF555555"/>
        <rFont val="WenQuanYi Zen Hei"/>
        <family val="2"/>
      </rPr>
      <t xml:space="preserve">。会期構成が石川と異なるため加重</t>
    </r>
    <r>
      <rPr>
        <sz val="8"/>
        <color rgb="FF555555"/>
        <rFont val="Meiryo UI"/>
        <family val="0"/>
        <charset val="1"/>
      </rPr>
      <t xml:space="preserve">1</t>
    </r>
    <r>
      <rPr>
        <sz val="8"/>
        <color rgb="FF555555"/>
        <rFont val="WenQuanYi Zen Hei"/>
        <family val="2"/>
      </rPr>
      <t xml:space="preserve">。</t>
    </r>
  </si>
  <si>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加重：大阪</t>
    </r>
  </si>
  <si>
    <r>
      <rPr>
        <sz val="8"/>
        <color rgb="FF555555"/>
        <rFont val="WenQuanYi Zen Hei"/>
        <family val="2"/>
      </rPr>
      <t xml:space="preserve">【何に効くか】①シート</t>
    </r>
    <r>
      <rPr>
        <sz val="8"/>
        <color rgb="FF555555"/>
        <rFont val="Meiryo UI"/>
        <family val="0"/>
        <charset val="1"/>
      </rPr>
      <t xml:space="preserve">O</t>
    </r>
    <r>
      <rPr>
        <sz val="8"/>
        <color rgb="FF555555"/>
        <rFont val="WenQuanYi Zen Hei"/>
        <family val="2"/>
      </rPr>
      <t xml:space="preserve">列「採用倍率</t>
    </r>
    <r>
      <rPr>
        <sz val="8"/>
        <color rgb="FF555555"/>
        <rFont val="Meiryo UI"/>
        <family val="0"/>
        <charset val="1"/>
      </rPr>
      <t xml:space="preserve">g</t>
    </r>
    <r>
      <rPr>
        <sz val="8"/>
        <color rgb="FF555555"/>
        <rFont val="WenQuanYi Zen Hei"/>
        <family val="2"/>
      </rPr>
      <t xml:space="preserve">」の加重平均ウェイト。石川</t>
    </r>
    <r>
      <rPr>
        <sz val="8"/>
        <color rgb="FF555555"/>
        <rFont val="Meiryo UI"/>
        <family val="0"/>
        <charset val="1"/>
      </rPr>
      <t xml:space="preserve">18</t>
    </r>
    <r>
      <rPr>
        <sz val="8"/>
        <color rgb="FF555555"/>
        <rFont val="WenQuanYi Zen Hei"/>
        <family val="2"/>
      </rPr>
      <t xml:space="preserve">日予測＝初</t>
    </r>
    <r>
      <rPr>
        <sz val="8"/>
        <color rgb="FF555555"/>
        <rFont val="Meiryo UI"/>
        <family val="0"/>
        <charset val="1"/>
      </rPr>
      <t xml:space="preserve">12</t>
    </r>
    <r>
      <rPr>
        <sz val="8"/>
        <color rgb="FF555555"/>
        <rFont val="WenQuanYi Zen Hei"/>
        <family val="2"/>
      </rPr>
      <t xml:space="preserve">日</t>
    </r>
    <r>
      <rPr>
        <sz val="8"/>
        <color rgb="FF555555"/>
        <rFont val="Meiryo UI"/>
        <family val="0"/>
        <charset val="1"/>
      </rPr>
      <t xml:space="preserve">(8/14-8/25)</t>
    </r>
    <r>
      <rPr>
        <sz val="8"/>
        <color rgb="FF555555"/>
        <rFont val="WenQuanYi Zen Hei"/>
        <family val="2"/>
      </rPr>
      <t xml:space="preserve">実績</t>
    </r>
    <r>
      <rPr>
        <sz val="8"/>
        <color rgb="FF555555"/>
        <rFont val="Meiryo UI"/>
        <family val="0"/>
        <charset val="1"/>
      </rPr>
      <t xml:space="preserve">×</t>
    </r>
    <r>
      <rPr>
        <sz val="8"/>
        <color rgb="FF555555"/>
        <rFont val="WenQuanYi Zen Hei"/>
        <family val="2"/>
      </rPr>
      <t xml:space="preserve">採用倍率</t>
    </r>
    <r>
      <rPr>
        <sz val="8"/>
        <color rgb="FF555555"/>
        <rFont val="Meiryo UI"/>
        <family val="0"/>
        <charset val="1"/>
      </rPr>
      <t xml:space="preserve">g</t>
    </r>
    <r>
      <rPr>
        <sz val="8"/>
        <color rgb="FF555555"/>
        <rFont val="WenQuanYi Zen Hei"/>
        <family val="2"/>
      </rPr>
      <t xml:space="preserve">。
【算出】大阪④は</t>
    </r>
    <r>
      <rPr>
        <sz val="8"/>
        <color rgb="FF555555"/>
        <rFont val="Meiryo UI"/>
        <family val="0"/>
        <charset val="1"/>
      </rPr>
      <t xml:space="preserve">20</t>
    </r>
    <r>
      <rPr>
        <sz val="8"/>
        <color rgb="FF555555"/>
        <rFont val="WenQuanYi Zen Hei"/>
        <family val="2"/>
      </rPr>
      <t xml:space="preserve">日会期のため、頭から</t>
    </r>
    <r>
      <rPr>
        <sz val="8"/>
        <color rgb="FF555555"/>
        <rFont val="Meiryo UI"/>
        <family val="0"/>
        <charset val="1"/>
      </rPr>
      <t xml:space="preserve">18</t>
    </r>
    <r>
      <rPr>
        <sz val="8"/>
        <color rgb="FF555555"/>
        <rFont val="WenQuanYi Zen Hei"/>
        <family val="2"/>
      </rPr>
      <t xml:space="preserve">日分だけを切り出して倍率化する（</t>
    </r>
    <r>
      <rPr>
        <sz val="8"/>
        <color rgb="FF555555"/>
        <rFont val="Meiryo UI"/>
        <family val="0"/>
        <charset val="1"/>
      </rPr>
      <t xml:space="preserve">18</t>
    </r>
    <r>
      <rPr>
        <sz val="8"/>
        <color rgb="FF555555"/>
        <rFont val="WenQuanYi Zen Hei"/>
        <family val="2"/>
      </rPr>
      <t xml:space="preserve">日累計 </t>
    </r>
    <r>
      <rPr>
        <sz val="8"/>
        <color rgb="FF555555"/>
        <rFont val="Meiryo UI"/>
        <family val="0"/>
        <charset val="1"/>
      </rPr>
      <t xml:space="preserve">÷ </t>
    </r>
    <r>
      <rPr>
        <sz val="8"/>
        <color rgb="FF555555"/>
        <rFont val="WenQuanYi Zen Hei"/>
        <family val="2"/>
      </rPr>
      <t xml:space="preserve">初</t>
    </r>
    <r>
      <rPr>
        <sz val="8"/>
        <color rgb="FF555555"/>
        <rFont val="Meiryo UI"/>
        <family val="0"/>
        <charset val="1"/>
      </rPr>
      <t xml:space="preserve">12</t>
    </r>
    <r>
      <rPr>
        <sz val="8"/>
        <color rgb="FF555555"/>
        <rFont val="WenQuanYi Zen Hei"/>
        <family val="2"/>
      </rPr>
      <t xml:space="preserve">日）。大阪の倍率</t>
    </r>
    <r>
      <rPr>
        <sz val="8"/>
        <color rgb="FF555555"/>
        <rFont val="Meiryo UI"/>
        <family val="0"/>
        <charset val="1"/>
      </rPr>
      <t xml:space="preserve">g</t>
    </r>
    <r>
      <rPr>
        <sz val="8"/>
        <color rgb="FF555555"/>
        <rFont val="WenQuanYi Zen Hei"/>
        <family val="2"/>
      </rPr>
      <t xml:space="preserve">＝</t>
    </r>
    <r>
      <rPr>
        <sz val="8"/>
        <color rgb="FF555555"/>
        <rFont val="Meiryo UI"/>
        <family val="0"/>
        <charset val="1"/>
      </rPr>
      <t xml:space="preserve">1.225</t>
    </r>
    <r>
      <rPr>
        <sz val="8"/>
        <color rgb="FF555555"/>
        <rFont val="WenQuanYi Zen Hei"/>
        <family val="2"/>
      </rPr>
      <t xml:space="preserve">。会期構成が石川と異なるため加重</t>
    </r>
    <r>
      <rPr>
        <sz val="8"/>
        <color rgb="FF555555"/>
        <rFont val="Meiryo UI"/>
        <family val="0"/>
        <charset val="1"/>
      </rPr>
      <t xml:space="preserve">1</t>
    </r>
    <r>
      <rPr>
        <sz val="8"/>
        <color rgb="FF555555"/>
        <rFont val="WenQuanYi Zen Hei"/>
        <family val="2"/>
      </rPr>
      <t xml:space="preserve">。</t>
    </r>
  </si>
  <si>
    <r>
      <rPr>
        <b val="true"/>
        <sz val="9"/>
        <rFont val="WenQuanYi Zen Hei"/>
        <family val="2"/>
      </rPr>
      <t xml:space="preserve">会期倍率</t>
    </r>
    <r>
      <rPr>
        <b val="true"/>
        <sz val="9"/>
        <rFont val="Meiryo UI"/>
        <family val="0"/>
        <charset val="1"/>
      </rPr>
      <t xml:space="preserve">g </t>
    </r>
    <r>
      <rPr>
        <b val="true"/>
        <sz val="9"/>
        <rFont val="WenQuanYi Zen Hei"/>
        <family val="2"/>
      </rPr>
      <t xml:space="preserve">加重：札幌</t>
    </r>
  </si>
  <si>
    <r>
      <rPr>
        <sz val="8"/>
        <color rgb="FF555555"/>
        <rFont val="WenQuanYi Zen Hei"/>
        <family val="2"/>
      </rPr>
      <t xml:space="preserve">【何に効くか】①シート</t>
    </r>
    <r>
      <rPr>
        <sz val="8"/>
        <color rgb="FF555555"/>
        <rFont val="Meiryo UI"/>
        <family val="0"/>
        <charset val="1"/>
      </rPr>
      <t xml:space="preserve">O</t>
    </r>
    <r>
      <rPr>
        <sz val="8"/>
        <color rgb="FF555555"/>
        <rFont val="WenQuanYi Zen Hei"/>
        <family val="2"/>
      </rPr>
      <t xml:space="preserve">列「採用倍率</t>
    </r>
    <r>
      <rPr>
        <sz val="8"/>
        <color rgb="FF555555"/>
        <rFont val="Meiryo UI"/>
        <family val="0"/>
        <charset val="1"/>
      </rPr>
      <t xml:space="preserve">g</t>
    </r>
    <r>
      <rPr>
        <sz val="8"/>
        <color rgb="FF555555"/>
        <rFont val="WenQuanYi Zen Hei"/>
        <family val="2"/>
      </rPr>
      <t xml:space="preserve">」の加重平均ウェイト。石川</t>
    </r>
    <r>
      <rPr>
        <sz val="8"/>
        <color rgb="FF555555"/>
        <rFont val="Meiryo UI"/>
        <family val="0"/>
        <charset val="1"/>
      </rPr>
      <t xml:space="preserve">18</t>
    </r>
    <r>
      <rPr>
        <sz val="8"/>
        <color rgb="FF555555"/>
        <rFont val="WenQuanYi Zen Hei"/>
        <family val="2"/>
      </rPr>
      <t xml:space="preserve">日予測＝初</t>
    </r>
    <r>
      <rPr>
        <sz val="8"/>
        <color rgb="FF555555"/>
        <rFont val="Meiryo UI"/>
        <family val="0"/>
        <charset val="1"/>
      </rPr>
      <t xml:space="preserve">12</t>
    </r>
    <r>
      <rPr>
        <sz val="8"/>
        <color rgb="FF555555"/>
        <rFont val="WenQuanYi Zen Hei"/>
        <family val="2"/>
      </rPr>
      <t xml:space="preserve">日</t>
    </r>
    <r>
      <rPr>
        <sz val="8"/>
        <color rgb="FF555555"/>
        <rFont val="Meiryo UI"/>
        <family val="0"/>
        <charset val="1"/>
      </rPr>
      <t xml:space="preserve">(8/14-8/25)</t>
    </r>
    <r>
      <rPr>
        <sz val="8"/>
        <color rgb="FF555555"/>
        <rFont val="WenQuanYi Zen Hei"/>
        <family val="2"/>
      </rPr>
      <t xml:space="preserve">実績</t>
    </r>
    <r>
      <rPr>
        <sz val="8"/>
        <color rgb="FF555555"/>
        <rFont val="Meiryo UI"/>
        <family val="0"/>
        <charset val="1"/>
      </rPr>
      <t xml:space="preserve">×</t>
    </r>
    <r>
      <rPr>
        <sz val="8"/>
        <color rgb="FF555555"/>
        <rFont val="WenQuanYi Zen Hei"/>
        <family val="2"/>
      </rPr>
      <t xml:space="preserve">採用倍率</t>
    </r>
    <r>
      <rPr>
        <sz val="8"/>
        <color rgb="FF555555"/>
        <rFont val="Meiryo UI"/>
        <family val="0"/>
        <charset val="1"/>
      </rPr>
      <t xml:space="preserve">g</t>
    </r>
    <r>
      <rPr>
        <sz val="8"/>
        <color rgb="FF555555"/>
        <rFont val="WenQuanYi Zen Hei"/>
        <family val="2"/>
      </rPr>
      <t xml:space="preserve">。
【なぜ</t>
    </r>
    <r>
      <rPr>
        <sz val="8"/>
        <color rgb="FF555555"/>
        <rFont val="Meiryo UI"/>
        <family val="0"/>
        <charset val="1"/>
      </rPr>
      <t xml:space="preserve">2</t>
    </r>
    <r>
      <rPr>
        <sz val="8"/>
        <color rgb="FF555555"/>
        <rFont val="WenQuanYi Zen Hei"/>
        <family val="2"/>
      </rPr>
      <t xml:space="preserve">倍か】札幌⑤は直前に終了した会場で、品揃えが石川と同一・会期</t>
    </r>
    <r>
      <rPr>
        <sz val="8"/>
        <color rgb="FF555555"/>
        <rFont val="Meiryo UI"/>
        <family val="0"/>
        <charset val="1"/>
      </rPr>
      <t xml:space="preserve">20</t>
    </r>
    <r>
      <rPr>
        <sz val="8"/>
        <color rgb="FF555555"/>
        <rFont val="WenQuanYi Zen Hei"/>
        <family val="2"/>
      </rPr>
      <t xml:space="preserve">日と条件が最も近い。このため他会場の</t>
    </r>
    <r>
      <rPr>
        <sz val="8"/>
        <color rgb="FF555555"/>
        <rFont val="Meiryo UI"/>
        <family val="0"/>
        <charset val="1"/>
      </rPr>
      <t xml:space="preserve">2</t>
    </r>
    <r>
      <rPr>
        <sz val="8"/>
        <color rgb="FF555555"/>
        <rFont val="WenQuanYi Zen Hei"/>
        <family val="2"/>
      </rPr>
      <t xml:space="preserve">倍の重みを置く。札幌の倍率</t>
    </r>
    <r>
      <rPr>
        <sz val="8"/>
        <color rgb="FF555555"/>
        <rFont val="Meiryo UI"/>
        <family val="0"/>
        <charset val="1"/>
      </rPr>
      <t xml:space="preserve">g</t>
    </r>
    <r>
      <rPr>
        <sz val="8"/>
        <color rgb="FF555555"/>
        <rFont val="WenQuanYi Zen Hei"/>
        <family val="2"/>
      </rPr>
      <t xml:space="preserve">＝</t>
    </r>
    <r>
      <rPr>
        <sz val="8"/>
        <color rgb="FF555555"/>
        <rFont val="Meiryo UI"/>
        <family val="0"/>
        <charset val="1"/>
      </rPr>
      <t xml:space="preserve">1.274</t>
    </r>
    <r>
      <rPr>
        <sz val="8"/>
        <color rgb="FF555555"/>
        <rFont val="WenQuanYi Zen Hei"/>
        <family val="2"/>
      </rPr>
      <t xml:space="preserve">（</t>
    </r>
    <r>
      <rPr>
        <sz val="8"/>
        <color rgb="FF555555"/>
        <rFont val="Meiryo UI"/>
        <family val="0"/>
        <charset val="1"/>
      </rPr>
      <t xml:space="preserve">42</t>
    </r>
    <r>
      <rPr>
        <sz val="8"/>
        <color rgb="FF555555"/>
        <rFont val="WenQuanYi Zen Hei"/>
        <family val="2"/>
      </rPr>
      <t xml:space="preserve">品計）。</t>
    </r>
  </si>
  <si>
    <r>
      <rPr>
        <b val="true"/>
        <sz val="9"/>
        <rFont val="WenQuanYi Zen Hei"/>
        <family val="2"/>
      </rPr>
      <t xml:space="preserve">会期が</t>
    </r>
    <r>
      <rPr>
        <b val="true"/>
        <sz val="9"/>
        <rFont val="Meiryo UI"/>
        <family val="0"/>
        <charset val="1"/>
      </rPr>
      <t xml:space="preserve">18</t>
    </r>
    <r>
      <rPr>
        <b val="true"/>
        <sz val="9"/>
        <rFont val="WenQuanYi Zen Hei"/>
        <family val="2"/>
      </rPr>
      <t xml:space="preserve">日に満たない参照会場の補完率</t>
    </r>
  </si>
  <si>
    <r>
      <rPr>
        <sz val="8"/>
        <color rgb="FF555555"/>
        <rFont val="WenQuanYi Zen Hei"/>
        <family val="2"/>
      </rPr>
      <t xml:space="preserve">【何に効くか】会期が</t>
    </r>
    <r>
      <rPr>
        <sz val="8"/>
        <color rgb="FF555555"/>
        <rFont val="Meiryo UI"/>
        <family val="0"/>
        <charset val="1"/>
      </rPr>
      <t xml:space="preserve">18</t>
    </r>
    <r>
      <rPr>
        <sz val="8"/>
        <color rgb="FF555555"/>
        <rFont val="WenQuanYi Zen Hei"/>
        <family val="2"/>
      </rPr>
      <t xml:space="preserve">日より短い参照会場（今回は該当なし）の倍率</t>
    </r>
    <r>
      <rPr>
        <sz val="8"/>
        <color rgb="FF555555"/>
        <rFont val="Meiryo UI"/>
        <family val="0"/>
        <charset val="1"/>
      </rPr>
      <t xml:space="preserve">g</t>
    </r>
    <r>
      <rPr>
        <sz val="8"/>
        <color rgb="FF555555"/>
        <rFont val="WenQuanYi Zen Hei"/>
        <family val="2"/>
      </rPr>
      <t xml:space="preserve">の分子補正。
【算出】</t>
    </r>
    <r>
      <rPr>
        <sz val="8"/>
        <color rgb="FF555555"/>
        <rFont val="Meiryo UI"/>
        <family val="0"/>
        <charset val="1"/>
      </rPr>
      <t xml:space="preserve">18</t>
    </r>
    <r>
      <rPr>
        <sz val="8"/>
        <color rgb="FF555555"/>
        <rFont val="WenQuanYi Zen Hei"/>
        <family val="2"/>
      </rPr>
      <t xml:space="preserve">日以上ある会場の「</t>
    </r>
    <r>
      <rPr>
        <sz val="8"/>
        <color rgb="FF555555"/>
        <rFont val="Meiryo UI"/>
        <family val="0"/>
        <charset val="1"/>
      </rPr>
      <t xml:space="preserve">18</t>
    </r>
    <r>
      <rPr>
        <sz val="8"/>
        <color rgb="FF555555"/>
        <rFont val="WenQuanYi Zen Hei"/>
        <family val="2"/>
      </rPr>
      <t xml:space="preserve">日累計 </t>
    </r>
    <r>
      <rPr>
        <sz val="8"/>
        <color rgb="FF555555"/>
        <rFont val="Meiryo UI"/>
        <family val="0"/>
        <charset val="1"/>
      </rPr>
      <t xml:space="preserve">÷ </t>
    </r>
    <r>
      <rPr>
        <sz val="8"/>
        <color rgb="FF555555"/>
        <rFont val="WenQuanYi Zen Hei"/>
        <family val="2"/>
      </rPr>
      <t xml:space="preserve">その会場の会期日数までの累計」の伸び率の平均。短い会場の累計にこの率を掛けて</t>
    </r>
    <r>
      <rPr>
        <sz val="8"/>
        <color rgb="FF555555"/>
        <rFont val="Meiryo UI"/>
        <family val="0"/>
        <charset val="1"/>
      </rPr>
      <t xml:space="preserve">18</t>
    </r>
    <r>
      <rPr>
        <sz val="8"/>
        <color rgb="FF555555"/>
        <rFont val="WenQuanYi Zen Hei"/>
        <family val="2"/>
      </rPr>
      <t xml:space="preserve">日相当に補完し、他会場と粒度を揃える。</t>
    </r>
  </si>
  <si>
    <r>
      <rPr>
        <b val="true"/>
        <sz val="9"/>
        <rFont val="WenQuanYi Zen Hei"/>
        <family val="2"/>
      </rPr>
      <t xml:space="preserve">全体倍率</t>
    </r>
    <r>
      <rPr>
        <b val="true"/>
        <sz val="9"/>
        <rFont val="Meiryo UI"/>
        <family val="0"/>
        <charset val="1"/>
      </rPr>
      <t xml:space="preserve">g</t>
    </r>
    <r>
      <rPr>
        <b val="true"/>
        <sz val="9"/>
        <rFont val="WenQuanYi Zen Hei"/>
        <family val="2"/>
      </rPr>
      <t xml:space="preserve">（実績ゼロ品のフォールバック）</t>
    </r>
  </si>
  <si>
    <r>
      <rPr>
        <sz val="8"/>
        <color rgb="FF555555"/>
        <rFont val="WenQuanYi Zen Hei"/>
        <family val="2"/>
      </rPr>
      <t xml:space="preserve">【何に効くか】①シートの採用倍率</t>
    </r>
    <r>
      <rPr>
        <sz val="8"/>
        <color rgb="FF555555"/>
        <rFont val="Meiryo UI"/>
        <family val="0"/>
        <charset val="1"/>
      </rPr>
      <t xml:space="preserve">g</t>
    </r>
    <r>
      <rPr>
        <sz val="8"/>
        <color rgb="FF555555"/>
        <rFont val="WenQuanYi Zen Hei"/>
        <family val="2"/>
      </rPr>
      <t xml:space="preserve">の</t>
    </r>
    <r>
      <rPr>
        <sz val="8"/>
        <color rgb="FF555555"/>
        <rFont val="Meiryo UI"/>
        <family val="0"/>
        <charset val="1"/>
      </rPr>
      <t xml:space="preserve">IFERROR</t>
    </r>
    <r>
      <rPr>
        <sz val="8"/>
        <color rgb="FF555555"/>
        <rFont val="WenQuanYi Zen Hei"/>
        <family val="2"/>
      </rPr>
      <t xml:space="preserve">代替値。
【算出】</t>
    </r>
    <r>
      <rPr>
        <sz val="8"/>
        <color rgb="FF555555"/>
        <rFont val="Meiryo UI"/>
        <family val="0"/>
        <charset val="1"/>
      </rPr>
      <t xml:space="preserve">42</t>
    </r>
    <r>
      <rPr>
        <sz val="8"/>
        <color rgb="FF555555"/>
        <rFont val="WenQuanYi Zen Hei"/>
        <family val="2"/>
      </rPr>
      <t xml:space="preserve">品計の初</t>
    </r>
    <r>
      <rPr>
        <sz val="8"/>
        <color rgb="FF555555"/>
        <rFont val="Meiryo UI"/>
        <family val="0"/>
        <charset val="1"/>
      </rPr>
      <t xml:space="preserve">12</t>
    </r>
    <r>
      <rPr>
        <sz val="8"/>
        <color rgb="FF555555"/>
        <rFont val="WenQuanYi Zen Hei"/>
        <family val="2"/>
      </rPr>
      <t xml:space="preserve">日→</t>
    </r>
    <r>
      <rPr>
        <sz val="8"/>
        <color rgb="FF555555"/>
        <rFont val="Meiryo UI"/>
        <family val="0"/>
        <charset val="1"/>
      </rPr>
      <t xml:space="preserve">18</t>
    </r>
    <r>
      <rPr>
        <sz val="8"/>
        <color rgb="FF555555"/>
        <rFont val="WenQuanYi Zen Hei"/>
        <family val="2"/>
      </rPr>
      <t xml:space="preserve">日 加重平均倍率＝</t>
    </r>
    <r>
      <rPr>
        <sz val="8"/>
        <color rgb="FF555555"/>
        <rFont val="Meiryo UI"/>
        <family val="0"/>
        <charset val="1"/>
      </rPr>
      <t xml:space="preserve">1.296</t>
    </r>
    <r>
      <rPr>
        <sz val="8"/>
        <color rgb="FF555555"/>
        <rFont val="WenQuanYi Zen Hei"/>
        <family val="2"/>
      </rPr>
      <t xml:space="preserve">。参照会場（博多／大阪／札幌）のいずれにも初</t>
    </r>
    <r>
      <rPr>
        <sz val="8"/>
        <color rgb="FF555555"/>
        <rFont val="Meiryo UI"/>
        <family val="0"/>
        <charset val="1"/>
      </rPr>
      <t xml:space="preserve">12</t>
    </r>
    <r>
      <rPr>
        <sz val="8"/>
        <color rgb="FF555555"/>
        <rFont val="WenQuanYi Zen Hei"/>
        <family val="2"/>
      </rPr>
      <t xml:space="preserve">日実績が無く商品別倍率を計算できない品にだけ適用する。</t>
    </r>
  </si>
  <si>
    <t xml:space="preserve">■ ②③会場比率 前提</t>
  </si>
  <si>
    <r>
      <rPr>
        <b val="true"/>
        <sz val="9"/>
        <rFont val="WenQuanYi Zen Hei"/>
        <family val="2"/>
      </rPr>
      <t xml:space="preserve">東京</t>
    </r>
    <r>
      <rPr>
        <b val="true"/>
        <sz val="9"/>
        <rFont val="Meiryo UI"/>
        <family val="0"/>
        <charset val="1"/>
      </rPr>
      <t xml:space="preserve">(</t>
    </r>
    <r>
      <rPr>
        <b val="true"/>
        <sz val="9"/>
        <rFont val="WenQuanYi Zen Hei"/>
        <family val="2"/>
      </rPr>
      <t xml:space="preserve">初回</t>
    </r>
    <r>
      <rPr>
        <b val="true"/>
        <sz val="9"/>
        <rFont val="Meiryo UI"/>
        <family val="0"/>
        <charset val="1"/>
      </rPr>
      <t xml:space="preserve">) </t>
    </r>
    <r>
      <rPr>
        <b val="true"/>
        <sz val="9"/>
        <rFont val="WenQuanYi Zen Hei"/>
        <family val="2"/>
      </rPr>
      <t xml:space="preserve">全物販売上（税込）</t>
    </r>
  </si>
  <si>
    <r>
      <rPr>
        <sz val="8"/>
        <color rgb="FF555555"/>
        <rFont val="WenQuanYi Zen Hei"/>
        <family val="2"/>
      </rPr>
      <t xml:space="preserve">【出所】東京</t>
    </r>
    <r>
      <rPr>
        <sz val="8"/>
        <color rgb="FF555555"/>
        <rFont val="Meiryo UI"/>
        <family val="0"/>
        <charset val="1"/>
      </rPr>
      <t xml:space="preserve">(</t>
    </r>
    <r>
      <rPr>
        <sz val="8"/>
        <color rgb="FF555555"/>
        <rFont val="WenQuanYi Zen Hei"/>
        <family val="2"/>
      </rPr>
      <t xml:space="preserve">初回</t>
    </r>
    <r>
      <rPr>
        <sz val="8"/>
        <color rgb="FF555555"/>
        <rFont val="Meiryo UI"/>
        <family val="0"/>
        <charset val="1"/>
      </rPr>
      <t xml:space="preserve">) </t>
    </r>
    <r>
      <rPr>
        <sz val="8"/>
        <color rgb="FF555555"/>
        <rFont val="WenQuanYi Zen Hei"/>
        <family val="2"/>
      </rPr>
      <t xml:space="preserve">池袋サンシャインシティ </t>
    </r>
    <r>
      <rPr>
        <sz val="8"/>
        <color rgb="FF555555"/>
        <rFont val="Meiryo UI"/>
        <family val="0"/>
        <charset val="1"/>
      </rPr>
      <t xml:space="preserve">25</t>
    </r>
    <r>
      <rPr>
        <sz val="8"/>
        <color rgb="FF555555"/>
        <rFont val="WenQuanYi Zen Hei"/>
        <family val="2"/>
      </rPr>
      <t xml:space="preserve">日間の全物販実績（税込）。レジ袋代・音声ガイド・当日券を除いた商品売上のみ。
【何に効くか】③シート</t>
    </r>
    <r>
      <rPr>
        <sz val="8"/>
        <color rgb="FF555555"/>
        <rFont val="Meiryo UI"/>
        <family val="0"/>
        <charset val="1"/>
      </rPr>
      <t xml:space="preserve">E</t>
    </r>
    <r>
      <rPr>
        <sz val="8"/>
        <color rgb="FF555555"/>
        <rFont val="WenQuanYi Zen Hei"/>
        <family val="2"/>
      </rPr>
      <t xml:space="preserve">列の基準額。本値</t>
    </r>
    <r>
      <rPr>
        <sz val="8"/>
        <color rgb="FF555555"/>
        <rFont val="Meiryo UI"/>
        <family val="0"/>
        <charset val="1"/>
      </rPr>
      <t xml:space="preserve">×</t>
    </r>
    <r>
      <rPr>
        <sz val="8"/>
        <color rgb="FF555555"/>
        <rFont val="WenQuanYi Zen Hei"/>
        <family val="2"/>
      </rPr>
      <t xml:space="preserve">東京対比で次会場以降 各会場の物販売上を推定する。</t>
    </r>
  </si>
  <si>
    <r>
      <rPr>
        <b val="true"/>
        <sz val="9"/>
        <rFont val="WenQuanYi Zen Hei"/>
        <family val="2"/>
      </rPr>
      <t xml:space="preserve">東京</t>
    </r>
    <r>
      <rPr>
        <b val="true"/>
        <sz val="9"/>
        <rFont val="Meiryo UI"/>
        <family val="0"/>
        <charset val="1"/>
      </rPr>
      <t xml:space="preserve">(</t>
    </r>
    <r>
      <rPr>
        <b val="true"/>
        <sz val="9"/>
        <rFont val="WenQuanYi Zen Hei"/>
        <family val="2"/>
      </rPr>
      <t xml:space="preserve">初回</t>
    </r>
    <r>
      <rPr>
        <b val="true"/>
        <sz val="9"/>
        <rFont val="Meiryo UI"/>
        <family val="0"/>
        <charset val="1"/>
      </rPr>
      <t xml:space="preserve">) </t>
    </r>
    <r>
      <rPr>
        <b val="true"/>
        <sz val="9"/>
        <rFont val="WenQuanYi Zen Hei"/>
        <family val="2"/>
      </rPr>
      <t xml:space="preserve">全物販 販売数量</t>
    </r>
  </si>
  <si>
    <r>
      <rPr>
        <sz val="8"/>
        <color rgb="FF555555"/>
        <rFont val="WenQuanYi Zen Hei"/>
        <family val="2"/>
      </rPr>
      <t xml:space="preserve">【出所】同上（東京</t>
    </r>
    <r>
      <rPr>
        <sz val="8"/>
        <color rgb="FF555555"/>
        <rFont val="Meiryo UI"/>
        <family val="0"/>
        <charset val="1"/>
      </rPr>
      <t xml:space="preserve">25</t>
    </r>
    <r>
      <rPr>
        <sz val="8"/>
        <color rgb="FF555555"/>
        <rFont val="WenQuanYi Zen Hei"/>
        <family val="2"/>
      </rPr>
      <t xml:space="preserve">日間の全物販 販売数量）。
【何に効くか】②シートの「全物販 販売数量」の次会場以降 予測（＝本値</t>
    </r>
    <r>
      <rPr>
        <sz val="8"/>
        <color rgb="FF555555"/>
        <rFont val="Meiryo UI"/>
        <family val="0"/>
        <charset val="1"/>
      </rPr>
      <t xml:space="preserve">×</t>
    </r>
    <r>
      <rPr>
        <sz val="8"/>
        <color rgb="FF555555"/>
        <rFont val="WenQuanYi Zen Hei"/>
        <family val="2"/>
      </rPr>
      <t xml:space="preserve">東京対比）と、</t>
    </r>
    <r>
      <rPr>
        <sz val="8"/>
        <color rgb="FF555555"/>
        <rFont val="Meiryo UI"/>
        <family val="0"/>
        <charset val="1"/>
      </rPr>
      <t xml:space="preserve">LEGS</t>
    </r>
    <r>
      <rPr>
        <sz val="8"/>
        <color rgb="FF555555"/>
        <rFont val="WenQuanYi Zen Hei"/>
        <family val="2"/>
      </rPr>
      <t xml:space="preserve">数量構成比の母数。</t>
    </r>
  </si>
  <si>
    <r>
      <rPr>
        <b val="true"/>
        <sz val="9"/>
        <rFont val="WenQuanYi Zen Hei"/>
        <family val="2"/>
      </rPr>
      <t xml:space="preserve">★シナリオ選択（</t>
    </r>
    <r>
      <rPr>
        <b val="true"/>
        <sz val="9"/>
        <rFont val="Meiryo UI"/>
        <family val="0"/>
        <charset val="1"/>
      </rPr>
      <t xml:space="preserve">1</t>
    </r>
    <r>
      <rPr>
        <b val="true"/>
        <sz val="9"/>
        <rFont val="WenQuanYi Zen Hei"/>
        <family val="2"/>
      </rPr>
      <t xml:space="preserve">〜</t>
    </r>
    <r>
      <rPr>
        <b val="true"/>
        <sz val="9"/>
        <rFont val="Meiryo UI"/>
        <family val="0"/>
        <charset val="1"/>
      </rPr>
      <t xml:space="preserve">4</t>
    </r>
    <r>
      <rPr>
        <b val="true"/>
        <sz val="9"/>
        <rFont val="WenQuanYi Zen Hei"/>
        <family val="2"/>
      </rPr>
      <t xml:space="preserve">）</t>
    </r>
  </si>
  <si>
    <r>
      <rPr>
        <sz val="8"/>
        <color rgb="FF555555"/>
        <rFont val="Meiryo UI"/>
        <family val="0"/>
        <charset val="1"/>
      </rPr>
      <t xml:space="preserve">1</t>
    </r>
    <r>
      <rPr>
        <sz val="8"/>
        <color rgb="FF555555"/>
        <rFont val="WenQuanYi Zen Hei"/>
        <family val="2"/>
      </rPr>
      <t xml:space="preserve">＝ユーザー指定／</t>
    </r>
    <r>
      <rPr>
        <sz val="8"/>
        <color rgb="FF555555"/>
        <rFont val="Meiryo UI"/>
        <family val="0"/>
        <charset val="1"/>
      </rPr>
      <t xml:space="preserve">2</t>
    </r>
    <r>
      <rPr>
        <sz val="8"/>
        <color rgb="FF555555"/>
        <rFont val="WenQuanYi Zen Hei"/>
        <family val="2"/>
      </rPr>
      <t xml:space="preserve">＝企画概要書ベース／</t>
    </r>
    <r>
      <rPr>
        <sz val="8"/>
        <color rgb="FF555555"/>
        <rFont val="Meiryo UI"/>
        <family val="0"/>
        <charset val="1"/>
      </rPr>
      <t xml:space="preserve">3</t>
    </r>
    <r>
      <rPr>
        <sz val="8"/>
        <color rgb="FF555555"/>
        <rFont val="WenQuanYi Zen Hei"/>
        <family val="2"/>
      </rPr>
      <t xml:space="preserve">＝石川実績連動</t>
    </r>
    <r>
      <rPr>
        <sz val="8"/>
        <color rgb="FF555555"/>
        <rFont val="Meiryo UI"/>
        <family val="0"/>
        <charset val="1"/>
      </rPr>
      <t xml:space="preserve">(</t>
    </r>
    <r>
      <rPr>
        <sz val="8"/>
        <color rgb="FF555555"/>
        <rFont val="WenQuanYi Zen Hei"/>
        <family val="2"/>
      </rPr>
      <t xml:space="preserve">保守</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4</t>
    </r>
    <r>
      <rPr>
        <sz val="8"/>
        <color rgb="FF555555"/>
        <rFont val="WenQuanYi Zen Hei"/>
        <family val="2"/>
      </rPr>
      <t xml:space="preserve">＝手動入力</t>
    </r>
    <r>
      <rPr>
        <sz val="8"/>
        <color rgb="FF555555"/>
        <rFont val="Meiryo UI"/>
        <family val="0"/>
        <charset val="1"/>
      </rPr>
      <t xml:space="preserve">(F</t>
    </r>
    <r>
      <rPr>
        <sz val="8"/>
        <color rgb="FF555555"/>
        <rFont val="WenQuanYi Zen Hei"/>
        <family val="2"/>
      </rPr>
      <t xml:space="preserve">列を使用</t>
    </r>
    <r>
      <rPr>
        <sz val="8"/>
        <color rgb="FF555555"/>
        <rFont val="Meiryo UI"/>
        <family val="0"/>
        <charset val="1"/>
      </rPr>
      <t xml:space="preserve">)</t>
    </r>
    <r>
      <rPr>
        <sz val="8"/>
        <color rgb="FF555555"/>
        <rFont val="WenQuanYi Zen Hei"/>
        <family val="2"/>
      </rPr>
      <t xml:space="preserve">。
【何に効くか】下の「東京対比：〇〇」が</t>
    </r>
    <r>
      <rPr>
        <sz val="8"/>
        <color rgb="FF555555"/>
        <rFont val="Meiryo UI"/>
        <family val="0"/>
        <charset val="1"/>
      </rPr>
      <t xml:space="preserve">INDEX</t>
    </r>
    <r>
      <rPr>
        <sz val="8"/>
        <color rgb="FF555555"/>
        <rFont val="WenQuanYi Zen Hei"/>
        <family val="2"/>
      </rPr>
      <t xml:space="preserve">で自動切替 → ③</t>
    </r>
    <r>
      <rPr>
        <sz val="8"/>
        <color rgb="FF555555"/>
        <rFont val="Meiryo UI"/>
        <family val="0"/>
        <charset val="1"/>
      </rPr>
      <t xml:space="preserve">D</t>
    </r>
    <r>
      <rPr>
        <sz val="8"/>
        <color rgb="FF555555"/>
        <rFont val="WenQuanYi Zen Hei"/>
        <family val="2"/>
      </rPr>
      <t xml:space="preserve">列 → 会場売上 → 必要数 → ④の発注判定まで一気に連動する。</t>
    </r>
    <r>
      <rPr>
        <sz val="8"/>
        <color rgb="FF555555"/>
        <rFont val="Meiryo UI"/>
        <family val="0"/>
        <charset val="1"/>
      </rPr>
      <t xml:space="preserve">4</t>
    </r>
    <r>
      <rPr>
        <sz val="8"/>
        <color rgb="FF555555"/>
        <rFont val="WenQuanYi Zen Hei"/>
        <family val="2"/>
      </rPr>
      <t xml:space="preserve">シナリオの結果比較は⑩シート。</t>
    </r>
  </si>
  <si>
    <t xml:space="preserve">　シナリオ別 東京対比比率</t>
  </si>
  <si>
    <t xml:space="preserve">①ユーザー指定</t>
  </si>
  <si>
    <t xml:space="preserve">②企画概要書ベース</t>
  </si>
  <si>
    <r>
      <rPr>
        <b val="true"/>
        <sz val="9"/>
        <color rgb="FFFFFFFF"/>
        <rFont val="WenQuanYi Zen Hei"/>
        <family val="2"/>
      </rPr>
      <t xml:space="preserve">③石川実績連動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t>
    </r>
  </si>
  <si>
    <t xml:space="preserve">④手動入力</t>
  </si>
  <si>
    <r>
      <rPr>
        <sz val="9"/>
        <rFont val="WenQuanYi Zen Hei"/>
        <family val="2"/>
      </rPr>
      <t xml:space="preserve">　　仙台 </t>
    </r>
    <r>
      <rPr>
        <sz val="9"/>
        <rFont val="Meiryo UI"/>
        <family val="0"/>
        <charset val="1"/>
      </rPr>
      <t xml:space="preserve">Ebeans</t>
    </r>
  </si>
  <si>
    <r>
      <rPr>
        <sz val="8"/>
        <color rgb="FF555555"/>
        <rFont val="Meiryo UI"/>
        <family val="0"/>
        <charset val="1"/>
      </rPr>
      <t xml:space="preserve">26/9/5(</t>
    </r>
    <r>
      <rPr>
        <sz val="8"/>
        <color rgb="FF555555"/>
        <rFont val="WenQuanYi Zen Hei"/>
        <family val="2"/>
      </rPr>
      <t xml:space="preserve">土</t>
    </r>
    <r>
      <rPr>
        <sz val="8"/>
        <color rgb="FF555555"/>
        <rFont val="Meiryo UI"/>
        <family val="0"/>
        <charset val="1"/>
      </rPr>
      <t xml:space="preserve">)-10/4(</t>
    </r>
    <r>
      <rPr>
        <sz val="8"/>
        <color rgb="FF555555"/>
        <rFont val="WenQuanYi Zen Hei"/>
        <family val="2"/>
      </rPr>
      <t xml:space="preserve">日</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30</t>
    </r>
    <r>
      <rPr>
        <sz val="8"/>
        <color rgb="FF555555"/>
        <rFont val="WenQuanYi Zen Hei"/>
        <family val="2"/>
      </rPr>
      <t xml:space="preserve">日間）</t>
    </r>
  </si>
  <si>
    <t xml:space="preserve">　　神戸阪急</t>
  </si>
  <si>
    <r>
      <rPr>
        <sz val="8"/>
        <color rgb="FF555555"/>
        <rFont val="Meiryo UI"/>
        <family val="0"/>
        <charset val="1"/>
      </rPr>
      <t xml:space="preserve">26/12/16(</t>
    </r>
    <r>
      <rPr>
        <sz val="8"/>
        <color rgb="FF555555"/>
        <rFont val="WenQuanYi Zen Hei"/>
        <family val="2"/>
      </rPr>
      <t xml:space="preserve">水</t>
    </r>
    <r>
      <rPr>
        <sz val="8"/>
        <color rgb="FF555555"/>
        <rFont val="Meiryo UI"/>
        <family val="0"/>
        <charset val="1"/>
      </rPr>
      <t xml:space="preserve">)-27/1/7(</t>
    </r>
    <r>
      <rPr>
        <sz val="8"/>
        <color rgb="FF555555"/>
        <rFont val="WenQuanYi Zen Hei"/>
        <family val="2"/>
      </rPr>
      <t xml:space="preserve">木</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21</t>
    </r>
    <r>
      <rPr>
        <sz val="8"/>
        <color rgb="FF555555"/>
        <rFont val="WenQuanYi Zen Hei"/>
        <family val="2"/>
      </rPr>
      <t xml:space="preserve">日間）</t>
    </r>
  </si>
  <si>
    <t xml:space="preserve">　　鳥取島根 夢みなとタワー</t>
  </si>
  <si>
    <r>
      <rPr>
        <sz val="8"/>
        <color rgb="FF555555"/>
        <rFont val="Meiryo UI"/>
        <family val="0"/>
        <charset val="1"/>
      </rPr>
      <t xml:space="preserve">27/3/15-4/4</t>
    </r>
    <r>
      <rPr>
        <sz val="8"/>
        <color rgb="FF555555"/>
        <rFont val="WenQuanYi Zen Hei"/>
        <family val="2"/>
      </rPr>
      <t xml:space="preserve">（</t>
    </r>
    <r>
      <rPr>
        <sz val="8"/>
        <color rgb="FF555555"/>
        <rFont val="Meiryo UI"/>
        <family val="0"/>
        <charset val="1"/>
      </rPr>
      <t xml:space="preserve">21</t>
    </r>
    <r>
      <rPr>
        <sz val="8"/>
        <color rgb="FF555555"/>
        <rFont val="WenQuanYi Zen Hei"/>
        <family val="2"/>
      </rPr>
      <t xml:space="preserve">日間）</t>
    </r>
  </si>
  <si>
    <t xml:space="preserve">　　東京凱旋 東京建物ぴあホール</t>
  </si>
  <si>
    <r>
      <rPr>
        <sz val="8"/>
        <color rgb="FF555555"/>
        <rFont val="Meiryo UI"/>
        <family val="0"/>
        <charset val="1"/>
      </rPr>
      <t xml:space="preserve">27</t>
    </r>
    <r>
      <rPr>
        <sz val="8"/>
        <color rgb="FF555555"/>
        <rFont val="WenQuanYi Zen Hei"/>
        <family val="2"/>
      </rPr>
      <t xml:space="preserve">年</t>
    </r>
    <r>
      <rPr>
        <sz val="8"/>
        <color rgb="FF555555"/>
        <rFont val="Meiryo UI"/>
        <family val="0"/>
        <charset val="1"/>
      </rPr>
      <t xml:space="preserve">4-5</t>
    </r>
    <r>
      <rPr>
        <sz val="8"/>
        <color rgb="FF555555"/>
        <rFont val="WenQuanYi Zen Hei"/>
        <family val="2"/>
      </rPr>
      <t xml:space="preserve">月（</t>
    </r>
    <r>
      <rPr>
        <sz val="8"/>
        <color rgb="FF555555"/>
        <rFont val="Meiryo UI"/>
        <family val="0"/>
        <charset val="1"/>
      </rPr>
      <t xml:space="preserve">25</t>
    </r>
    <r>
      <rPr>
        <sz val="8"/>
        <color rgb="FF555555"/>
        <rFont val="WenQuanYi Zen Hei"/>
        <family val="2"/>
      </rPr>
      <t xml:space="preserve">日間）</t>
    </r>
  </si>
  <si>
    <r>
      <rPr>
        <sz val="8"/>
        <color rgb="FF555555"/>
        <rFont val="WenQuanYi Zen Hei"/>
        <family val="2"/>
      </rPr>
      <t xml:space="preserve">　　※③は企画概要書の計画値に石川の計画比達成率 </t>
    </r>
    <r>
      <rPr>
        <sz val="8"/>
        <color rgb="FF555555"/>
        <rFont val="Meiryo UI"/>
        <family val="0"/>
        <charset val="1"/>
      </rPr>
      <t xml:space="preserve">56.3% </t>
    </r>
    <r>
      <rPr>
        <sz val="8"/>
        <color rgb="FF555555"/>
        <rFont val="WenQuanYi Zen Hei"/>
        <family val="2"/>
      </rPr>
      <t xml:space="preserve">を乗じたもの（凱旋は据置）</t>
    </r>
  </si>
  <si>
    <r>
      <rPr>
        <b val="true"/>
        <sz val="9"/>
        <rFont val="WenQuanYi Zen Hei"/>
        <family val="2"/>
      </rPr>
      <t xml:space="preserve">東京対比：仙台 </t>
    </r>
    <r>
      <rPr>
        <b val="true"/>
        <sz val="9"/>
        <rFont val="Meiryo UI"/>
        <family val="0"/>
        <charset val="1"/>
      </rPr>
      <t xml:space="preserve">Ebeans</t>
    </r>
  </si>
  <si>
    <r>
      <rPr>
        <sz val="8"/>
        <color rgb="FF555555"/>
        <rFont val="WenQuanYi Zen Hei"/>
        <family val="2"/>
      </rPr>
      <t xml:space="preserve">【何に効くか】緑字＝シナリオ選択に応じて上表から</t>
    </r>
    <r>
      <rPr>
        <sz val="8"/>
        <color rgb="FF555555"/>
        <rFont val="Meiryo UI"/>
        <family val="0"/>
        <charset val="1"/>
      </rPr>
      <t xml:space="preserve">INDEX</t>
    </r>
    <r>
      <rPr>
        <sz val="8"/>
        <color rgb="FF555555"/>
        <rFont val="WenQuanYi Zen Hei"/>
        <family val="2"/>
      </rPr>
      <t xml:space="preserve">で自動取得。仙台 </t>
    </r>
    <r>
      <rPr>
        <sz val="8"/>
        <color rgb="FF555555"/>
        <rFont val="Meiryo UI"/>
        <family val="0"/>
        <charset val="1"/>
      </rPr>
      <t xml:space="preserve">Ebeans</t>
    </r>
    <r>
      <rPr>
        <sz val="8"/>
        <color rgb="FF555555"/>
        <rFont val="WenQuanYi Zen Hei"/>
        <family val="2"/>
      </rPr>
      <t xml:space="preserve">の物販売上を東京</t>
    </r>
    <r>
      <rPr>
        <sz val="8"/>
        <color rgb="FF555555"/>
        <rFont val="Meiryo UI"/>
        <family val="0"/>
        <charset val="1"/>
      </rPr>
      <t xml:space="preserve">(</t>
    </r>
    <r>
      <rPr>
        <sz val="8"/>
        <color rgb="FF555555"/>
        <rFont val="WenQuanYi Zen Hei"/>
        <family val="2"/>
      </rPr>
      <t xml:space="preserve">初回</t>
    </r>
    <r>
      <rPr>
        <sz val="8"/>
        <color rgb="FF555555"/>
        <rFont val="Meiryo UI"/>
        <family val="0"/>
        <charset val="1"/>
      </rPr>
      <t xml:space="preserve">)</t>
    </r>
    <r>
      <rPr>
        <sz val="8"/>
        <color rgb="FF555555"/>
        <rFont val="WenQuanYi Zen Hei"/>
        <family val="2"/>
      </rPr>
      <t xml:space="preserve">の</t>
    </r>
    <r>
      <rPr>
        <sz val="8"/>
        <color rgb="FF555555"/>
        <rFont val="Meiryo UI"/>
        <family val="0"/>
        <charset val="1"/>
      </rPr>
      <t xml:space="preserve">13.00%</t>
    </r>
    <r>
      <rPr>
        <sz val="8"/>
        <color rgb="FF555555"/>
        <rFont val="WenQuanYi Zen Hei"/>
        <family val="2"/>
      </rPr>
      <t xml:space="preserve">＝</t>
    </r>
    <r>
      <rPr>
        <sz val="8"/>
        <color rgb="FF555555"/>
        <rFont val="Meiryo UI"/>
        <family val="0"/>
        <charset val="1"/>
      </rPr>
      <t xml:space="preserve">46,565,210</t>
    </r>
    <r>
      <rPr>
        <sz val="8"/>
        <color rgb="FF555555"/>
        <rFont val="WenQuanYi Zen Hei"/>
        <family val="2"/>
      </rPr>
      <t xml:space="preserve">円と置く（③シート</t>
    </r>
    <r>
      <rPr>
        <sz val="8"/>
        <color rgb="FF555555"/>
        <rFont val="Meiryo UI"/>
        <family val="0"/>
        <charset val="1"/>
      </rPr>
      <t xml:space="preserve">E</t>
    </r>
    <r>
      <rPr>
        <sz val="8"/>
        <color rgb="FF555555"/>
        <rFont val="WenQuanYi Zen Hei"/>
        <family val="2"/>
      </rPr>
      <t xml:space="preserve">列）。
【根拠】ユーザー指定値。会期が</t>
    </r>
    <r>
      <rPr>
        <sz val="8"/>
        <color rgb="FF555555"/>
        <rFont val="Meiryo UI"/>
        <family val="0"/>
        <charset val="1"/>
      </rPr>
      <t xml:space="preserve">30</t>
    </r>
    <r>
      <rPr>
        <sz val="8"/>
        <color rgb="FF555555"/>
        <rFont val="WenQuanYi Zen Hei"/>
        <family val="2"/>
      </rPr>
      <t xml:space="preserve">日間と全会場で最長のため高めに設定している。同規模イベントのコナンカフェ</t>
    </r>
    <r>
      <rPr>
        <sz val="8"/>
        <color rgb="FF555555"/>
        <rFont val="Meiryo UI"/>
        <family val="0"/>
        <charset val="1"/>
      </rPr>
      <t xml:space="preserve">2026</t>
    </r>
    <r>
      <rPr>
        <sz val="8"/>
        <color rgb="FF555555"/>
        <rFont val="WenQuanYi Zen Hei"/>
        <family val="2"/>
      </rPr>
      <t xml:space="preserve">では仙台は東京対比</t>
    </r>
    <r>
      <rPr>
        <sz val="8"/>
        <color rgb="FF555555"/>
        <rFont val="Meiryo UI"/>
        <family val="0"/>
        <charset val="1"/>
      </rPr>
      <t xml:space="preserve">10.5%</t>
    </r>
    <r>
      <rPr>
        <sz val="8"/>
        <color rgb="FF555555"/>
        <rFont val="WenQuanYi Zen Hei"/>
        <family val="2"/>
      </rPr>
      <t xml:space="preserve">の実績。</t>
    </r>
  </si>
  <si>
    <t xml:space="preserve">東京対比：神戸阪急</t>
  </si>
  <si>
    <r>
      <rPr>
        <sz val="8"/>
        <color rgb="FF555555"/>
        <rFont val="WenQuanYi Zen Hei"/>
        <family val="2"/>
      </rPr>
      <t xml:space="preserve">【何に効くか】緑字＝シナリオ選択に応じて上表から</t>
    </r>
    <r>
      <rPr>
        <sz val="8"/>
        <color rgb="FF555555"/>
        <rFont val="Meiryo UI"/>
        <family val="0"/>
        <charset val="1"/>
      </rPr>
      <t xml:space="preserve">INDEX</t>
    </r>
    <r>
      <rPr>
        <sz val="8"/>
        <color rgb="FF555555"/>
        <rFont val="WenQuanYi Zen Hei"/>
        <family val="2"/>
      </rPr>
      <t xml:space="preserve">で自動取得。神戸阪急の物販売上を東京</t>
    </r>
    <r>
      <rPr>
        <sz val="8"/>
        <color rgb="FF555555"/>
        <rFont val="Meiryo UI"/>
        <family val="0"/>
        <charset val="1"/>
      </rPr>
      <t xml:space="preserve">(</t>
    </r>
    <r>
      <rPr>
        <sz val="8"/>
        <color rgb="FF555555"/>
        <rFont val="WenQuanYi Zen Hei"/>
        <family val="2"/>
      </rPr>
      <t xml:space="preserve">初回</t>
    </r>
    <r>
      <rPr>
        <sz val="8"/>
        <color rgb="FF555555"/>
        <rFont val="Meiryo UI"/>
        <family val="0"/>
        <charset val="1"/>
      </rPr>
      <t xml:space="preserve">)</t>
    </r>
    <r>
      <rPr>
        <sz val="8"/>
        <color rgb="FF555555"/>
        <rFont val="WenQuanYi Zen Hei"/>
        <family val="2"/>
      </rPr>
      <t xml:space="preserve">の</t>
    </r>
    <r>
      <rPr>
        <sz val="8"/>
        <color rgb="FF555555"/>
        <rFont val="Meiryo UI"/>
        <family val="0"/>
        <charset val="1"/>
      </rPr>
      <t xml:space="preserve">12.00%</t>
    </r>
    <r>
      <rPr>
        <sz val="8"/>
        <color rgb="FF555555"/>
        <rFont val="WenQuanYi Zen Hei"/>
        <family val="2"/>
      </rPr>
      <t xml:space="preserve">＝</t>
    </r>
    <r>
      <rPr>
        <sz val="8"/>
        <color rgb="FF555555"/>
        <rFont val="Meiryo UI"/>
        <family val="0"/>
        <charset val="1"/>
      </rPr>
      <t xml:space="preserve">42,983,271</t>
    </r>
    <r>
      <rPr>
        <sz val="8"/>
        <color rgb="FF555555"/>
        <rFont val="WenQuanYi Zen Hei"/>
        <family val="2"/>
      </rPr>
      <t xml:space="preserve">円と置く（③シート</t>
    </r>
    <r>
      <rPr>
        <sz val="8"/>
        <color rgb="FF555555"/>
        <rFont val="Meiryo UI"/>
        <family val="0"/>
        <charset val="1"/>
      </rPr>
      <t xml:space="preserve">E</t>
    </r>
    <r>
      <rPr>
        <sz val="8"/>
        <color rgb="FF555555"/>
        <rFont val="WenQuanYi Zen Hei"/>
        <family val="2"/>
      </rPr>
      <t xml:space="preserve">列）。
【根拠】★要確認：指定も類似実績も無いため仮置き。確定したらシナリオ④の手動入力</t>
    </r>
    <r>
      <rPr>
        <sz val="8"/>
        <color rgb="FF555555"/>
        <rFont val="Meiryo UI"/>
        <family val="0"/>
        <charset val="1"/>
      </rPr>
      <t xml:space="preserve">(F</t>
    </r>
    <r>
      <rPr>
        <sz val="8"/>
        <color rgb="FF555555"/>
        <rFont val="WenQuanYi Zen Hei"/>
        <family val="2"/>
      </rPr>
      <t xml:space="preserve">列</t>
    </r>
    <r>
      <rPr>
        <sz val="8"/>
        <color rgb="FF555555"/>
        <rFont val="Meiryo UI"/>
        <family val="0"/>
        <charset val="1"/>
      </rPr>
      <t xml:space="preserve">)</t>
    </r>
    <r>
      <rPr>
        <sz val="8"/>
        <color rgb="FF555555"/>
        <rFont val="WenQuanYi Zen Hei"/>
        <family val="2"/>
      </rPr>
      <t xml:space="preserve">を書き換え、シナリオ選択＝</t>
    </r>
    <r>
      <rPr>
        <sz val="8"/>
        <color rgb="FF555555"/>
        <rFont val="Meiryo UI"/>
        <family val="0"/>
        <charset val="1"/>
      </rPr>
      <t xml:space="preserve">4</t>
    </r>
    <r>
      <rPr>
        <sz val="8"/>
        <color rgb="FF555555"/>
        <rFont val="WenQuanYi Zen Hei"/>
        <family val="2"/>
      </rPr>
      <t xml:space="preserve">で反映させる。</t>
    </r>
  </si>
  <si>
    <t xml:space="preserve">東京対比：鳥取島根 夢みなとタワー</t>
  </si>
  <si>
    <r>
      <rPr>
        <sz val="8"/>
        <color rgb="FF555555"/>
        <rFont val="WenQuanYi Zen Hei"/>
        <family val="2"/>
      </rPr>
      <t xml:space="preserve">【何に効くか】緑字＝シナリオ選択に応じて上表から</t>
    </r>
    <r>
      <rPr>
        <sz val="8"/>
        <color rgb="FF555555"/>
        <rFont val="Meiryo UI"/>
        <family val="0"/>
        <charset val="1"/>
      </rPr>
      <t xml:space="preserve">INDEX</t>
    </r>
    <r>
      <rPr>
        <sz val="8"/>
        <color rgb="FF555555"/>
        <rFont val="WenQuanYi Zen Hei"/>
        <family val="2"/>
      </rPr>
      <t xml:space="preserve">で自動取得。鳥取島根 夢みなとタワーの物販売上を東京</t>
    </r>
    <r>
      <rPr>
        <sz val="8"/>
        <color rgb="FF555555"/>
        <rFont val="Meiryo UI"/>
        <family val="0"/>
        <charset val="1"/>
      </rPr>
      <t xml:space="preserve">(</t>
    </r>
    <r>
      <rPr>
        <sz val="8"/>
        <color rgb="FF555555"/>
        <rFont val="WenQuanYi Zen Hei"/>
        <family val="2"/>
      </rPr>
      <t xml:space="preserve">初回</t>
    </r>
    <r>
      <rPr>
        <sz val="8"/>
        <color rgb="FF555555"/>
        <rFont val="Meiryo UI"/>
        <family val="0"/>
        <charset val="1"/>
      </rPr>
      <t xml:space="preserve">)</t>
    </r>
    <r>
      <rPr>
        <sz val="8"/>
        <color rgb="FF555555"/>
        <rFont val="WenQuanYi Zen Hei"/>
        <family val="2"/>
      </rPr>
      <t xml:space="preserve">の</t>
    </r>
    <r>
      <rPr>
        <sz val="8"/>
        <color rgb="FF555555"/>
        <rFont val="Meiryo UI"/>
        <family val="0"/>
        <charset val="1"/>
      </rPr>
      <t xml:space="preserve">9.00%</t>
    </r>
    <r>
      <rPr>
        <sz val="8"/>
        <color rgb="FF555555"/>
        <rFont val="WenQuanYi Zen Hei"/>
        <family val="2"/>
      </rPr>
      <t xml:space="preserve">＝</t>
    </r>
    <r>
      <rPr>
        <sz val="8"/>
        <color rgb="FF555555"/>
        <rFont val="Meiryo UI"/>
        <family val="0"/>
        <charset val="1"/>
      </rPr>
      <t xml:space="preserve">32,237,453</t>
    </r>
    <r>
      <rPr>
        <sz val="8"/>
        <color rgb="FF555555"/>
        <rFont val="WenQuanYi Zen Hei"/>
        <family val="2"/>
      </rPr>
      <t xml:space="preserve">円と置く（③シート</t>
    </r>
    <r>
      <rPr>
        <sz val="8"/>
        <color rgb="FF555555"/>
        <rFont val="Meiryo UI"/>
        <family val="0"/>
        <charset val="1"/>
      </rPr>
      <t xml:space="preserve">E</t>
    </r>
    <r>
      <rPr>
        <sz val="8"/>
        <color rgb="FF555555"/>
        <rFont val="WenQuanYi Zen Hei"/>
        <family val="2"/>
      </rPr>
      <t xml:space="preserve">列）。
【根拠】商圏規模が小さく信頼できる類似実績も無いため、他の地方会場より低めに置いたユーザー指定値。</t>
    </r>
  </si>
  <si>
    <t xml:space="preserve">東京対比：東京凱旋 東京建物ぴあホール</t>
  </si>
  <si>
    <r>
      <rPr>
        <sz val="8"/>
        <color rgb="FF555555"/>
        <rFont val="WenQuanYi Zen Hei"/>
        <family val="2"/>
      </rPr>
      <t xml:space="preserve">【何に効くか】緑字＝シナリオ選択に応じて上表から</t>
    </r>
    <r>
      <rPr>
        <sz val="8"/>
        <color rgb="FF555555"/>
        <rFont val="Meiryo UI"/>
        <family val="0"/>
        <charset val="1"/>
      </rPr>
      <t xml:space="preserve">INDEX</t>
    </r>
    <r>
      <rPr>
        <sz val="8"/>
        <color rgb="FF555555"/>
        <rFont val="WenQuanYi Zen Hei"/>
        <family val="2"/>
      </rPr>
      <t xml:space="preserve">で自動取得。東京凱旋 東京建物ぴあホールの物販売上を東京</t>
    </r>
    <r>
      <rPr>
        <sz val="8"/>
        <color rgb="FF555555"/>
        <rFont val="Meiryo UI"/>
        <family val="0"/>
        <charset val="1"/>
      </rPr>
      <t xml:space="preserve">(</t>
    </r>
    <r>
      <rPr>
        <sz val="8"/>
        <color rgb="FF555555"/>
        <rFont val="WenQuanYi Zen Hei"/>
        <family val="2"/>
      </rPr>
      <t xml:space="preserve">初回</t>
    </r>
    <r>
      <rPr>
        <sz val="8"/>
        <color rgb="FF555555"/>
        <rFont val="Meiryo UI"/>
        <family val="0"/>
        <charset val="1"/>
      </rPr>
      <t xml:space="preserve">)</t>
    </r>
    <r>
      <rPr>
        <sz val="8"/>
        <color rgb="FF555555"/>
        <rFont val="WenQuanYi Zen Hei"/>
        <family val="2"/>
      </rPr>
      <t xml:space="preserve">の</t>
    </r>
    <r>
      <rPr>
        <sz val="8"/>
        <color rgb="FF555555"/>
        <rFont val="Meiryo UI"/>
        <family val="0"/>
        <charset val="1"/>
      </rPr>
      <t xml:space="preserve">50.00%</t>
    </r>
    <r>
      <rPr>
        <sz val="8"/>
        <color rgb="FF555555"/>
        <rFont val="WenQuanYi Zen Hei"/>
        <family val="2"/>
      </rPr>
      <t xml:space="preserve">＝</t>
    </r>
    <r>
      <rPr>
        <sz val="8"/>
        <color rgb="FF555555"/>
        <rFont val="Meiryo UI"/>
        <family val="0"/>
        <charset val="1"/>
      </rPr>
      <t xml:space="preserve">179,096,962</t>
    </r>
    <r>
      <rPr>
        <sz val="8"/>
        <color rgb="FF555555"/>
        <rFont val="WenQuanYi Zen Hei"/>
        <family val="2"/>
      </rPr>
      <t xml:space="preserve">円と置く（③シート</t>
    </r>
    <r>
      <rPr>
        <sz val="8"/>
        <color rgb="FF555555"/>
        <rFont val="Meiryo UI"/>
        <family val="0"/>
        <charset val="1"/>
      </rPr>
      <t xml:space="preserve">E</t>
    </r>
    <r>
      <rPr>
        <sz val="8"/>
        <color rgb="FF555555"/>
        <rFont val="WenQuanYi Zen Hei"/>
        <family val="2"/>
      </rPr>
      <t xml:space="preserve">列）。
【根拠】ユーザー指定「初回東京の</t>
    </r>
    <r>
      <rPr>
        <sz val="8"/>
        <color rgb="FF555555"/>
        <rFont val="Meiryo UI"/>
        <family val="0"/>
        <charset val="1"/>
      </rPr>
      <t xml:space="preserve">50%</t>
    </r>
    <r>
      <rPr>
        <sz val="8"/>
        <color rgb="FF555555"/>
        <rFont val="WenQuanYi Zen Hei"/>
        <family val="2"/>
      </rPr>
      <t xml:space="preserve">」。全シナリオ共通で据置のためシナリオを切り替えても動かない。次会場以降の必要数の過半を占める、最も感度の高い前提。</t>
    </r>
  </si>
  <si>
    <r>
      <rPr>
        <b val="true"/>
        <sz val="9"/>
        <rFont val="WenQuanYi Zen Hei"/>
        <family val="2"/>
      </rPr>
      <t xml:space="preserve">［参考］コナンカフェ</t>
    </r>
    <r>
      <rPr>
        <b val="true"/>
        <sz val="9"/>
        <rFont val="Meiryo UI"/>
        <family val="0"/>
        <charset val="1"/>
      </rPr>
      <t xml:space="preserve">2026 </t>
    </r>
    <r>
      <rPr>
        <b val="true"/>
        <sz val="9"/>
        <rFont val="WenQuanYi Zen Hei"/>
        <family val="2"/>
      </rPr>
      <t xml:space="preserve">東京対比</t>
    </r>
  </si>
  <si>
    <r>
      <rPr>
        <sz val="8"/>
        <color rgb="FF555555"/>
        <rFont val="WenQuanYi Zen Hei"/>
        <family val="2"/>
      </rPr>
      <t xml:space="preserve">【参考実績】大阪</t>
    </r>
    <r>
      <rPr>
        <sz val="8"/>
        <color rgb="FF555555"/>
        <rFont val="Meiryo UI"/>
        <family val="0"/>
        <charset val="1"/>
      </rPr>
      <t xml:space="preserve">53.6%</t>
    </r>
    <r>
      <rPr>
        <sz val="8"/>
        <color rgb="FF555555"/>
        <rFont val="WenQuanYi Zen Hei"/>
        <family val="2"/>
      </rPr>
      <t xml:space="preserve">・名古屋</t>
    </r>
    <r>
      <rPr>
        <sz val="8"/>
        <color rgb="FF555555"/>
        <rFont val="Meiryo UI"/>
        <family val="0"/>
        <charset val="1"/>
      </rPr>
      <t xml:space="preserve">26.8%</t>
    </r>
    <r>
      <rPr>
        <sz val="8"/>
        <color rgb="FF555555"/>
        <rFont val="WenQuanYi Zen Hei"/>
        <family val="2"/>
      </rPr>
      <t xml:space="preserve">・神奈川</t>
    </r>
    <r>
      <rPr>
        <sz val="8"/>
        <color rgb="FF555555"/>
        <rFont val="Meiryo UI"/>
        <family val="0"/>
        <charset val="1"/>
      </rPr>
      <t xml:space="preserve">19.1%</t>
    </r>
    <r>
      <rPr>
        <sz val="8"/>
        <color rgb="FF555555"/>
        <rFont val="WenQuanYi Zen Hei"/>
        <family val="2"/>
      </rPr>
      <t xml:space="preserve">・北海道</t>
    </r>
    <r>
      <rPr>
        <sz val="8"/>
        <color rgb="FF555555"/>
        <rFont val="Meiryo UI"/>
        <family val="0"/>
        <charset val="1"/>
      </rPr>
      <t xml:space="preserve">13.3%</t>
    </r>
    <r>
      <rPr>
        <sz val="8"/>
        <color rgb="FF555555"/>
        <rFont val="WenQuanYi Zen Hei"/>
        <family val="2"/>
      </rPr>
      <t xml:space="preserve">・仙台</t>
    </r>
    <r>
      <rPr>
        <sz val="8"/>
        <color rgb="FF555555"/>
        <rFont val="Meiryo UI"/>
        <family val="0"/>
        <charset val="1"/>
      </rPr>
      <t xml:space="preserve">10.5%</t>
    </r>
    <r>
      <rPr>
        <sz val="8"/>
        <color rgb="FF555555"/>
        <rFont val="WenQuanYi Zen Hei"/>
        <family val="2"/>
      </rPr>
      <t xml:space="preserve">。地方会場は東京の</t>
    </r>
    <r>
      <rPr>
        <sz val="8"/>
        <color rgb="FF555555"/>
        <rFont val="Meiryo UI"/>
        <family val="0"/>
        <charset val="1"/>
      </rPr>
      <t xml:space="preserve">10</t>
    </r>
    <r>
      <rPr>
        <sz val="8"/>
        <color rgb="FF555555"/>
        <rFont val="WenQuanYi Zen Hei"/>
        <family val="2"/>
      </rPr>
      <t xml:space="preserve">〜</t>
    </r>
    <r>
      <rPr>
        <sz val="8"/>
        <color rgb="FF555555"/>
        <rFont val="Meiryo UI"/>
        <family val="0"/>
        <charset val="1"/>
      </rPr>
      <t xml:space="preserve">20%</t>
    </r>
    <r>
      <rPr>
        <sz val="8"/>
        <color rgb="FF555555"/>
        <rFont val="WenQuanYi Zen Hei"/>
        <family val="2"/>
      </rPr>
      <t xml:space="preserve">に収束する傾向がある。
上の東京対比の水準感が妥当かを検証するための参考値で、計算には使っていない。</t>
    </r>
  </si>
  <si>
    <r>
      <rPr>
        <b val="true"/>
        <sz val="11"/>
        <color rgb="FFC00000"/>
        <rFont val="WenQuanYi Zen Hei"/>
        <family val="2"/>
      </rPr>
      <t xml:space="preserve">■ ③仙台以降 </t>
    </r>
    <r>
      <rPr>
        <b val="true"/>
        <sz val="11"/>
        <color rgb="FFC00000"/>
        <rFont val="Meiryo UI"/>
        <family val="0"/>
        <charset val="1"/>
      </rPr>
      <t xml:space="preserve">LEGS</t>
    </r>
    <r>
      <rPr>
        <b val="true"/>
        <sz val="11"/>
        <color rgb="FFC00000"/>
        <rFont val="WenQuanYi Zen Hei"/>
        <family val="2"/>
      </rPr>
      <t xml:space="preserve">構成比 前提</t>
    </r>
  </si>
  <si>
    <r>
      <rPr>
        <b val="true"/>
        <sz val="9"/>
        <rFont val="Meiryo UI"/>
        <family val="0"/>
        <charset val="1"/>
      </rPr>
      <t xml:space="preserve">LEGS </t>
    </r>
    <r>
      <rPr>
        <b val="true"/>
        <sz val="9"/>
        <rFont val="WenQuanYi Zen Hei"/>
        <family val="2"/>
      </rPr>
      <t xml:space="preserve">金額構成比（仙台以降）</t>
    </r>
  </si>
  <si>
    <r>
      <rPr>
        <sz val="8"/>
        <color rgb="FF555555"/>
        <rFont val="WenQuanYi Zen Hei"/>
        <family val="2"/>
      </rPr>
      <t xml:space="preserve">【意味】会場の全物販売上のうち </t>
    </r>
    <r>
      <rPr>
        <sz val="8"/>
        <color rgb="FF555555"/>
        <rFont val="Meiryo UI"/>
        <family val="0"/>
        <charset val="1"/>
      </rPr>
      <t xml:space="preserve">LEGS 42SKU </t>
    </r>
    <r>
      <rPr>
        <sz val="8"/>
        <color rgb="FF555555"/>
        <rFont val="WenQuanYi Zen Hei"/>
        <family val="2"/>
      </rPr>
      <t xml:space="preserve">が占める金額シェア。
【推移】東京 </t>
    </r>
    <r>
      <rPr>
        <sz val="8"/>
        <color rgb="FF555555"/>
        <rFont val="Meiryo UI"/>
        <family val="0"/>
        <charset val="1"/>
      </rPr>
      <t xml:space="preserve">28.5% → </t>
    </r>
    <r>
      <rPr>
        <sz val="8"/>
        <color rgb="FF555555"/>
        <rFont val="WenQuanYi Zen Hei"/>
        <family val="2"/>
      </rPr>
      <t xml:space="preserve">名古屋 </t>
    </r>
    <r>
      <rPr>
        <sz val="8"/>
        <color rgb="FF555555"/>
        <rFont val="Meiryo UI"/>
        <family val="0"/>
        <charset val="1"/>
      </rPr>
      <t xml:space="preserve">29.9% → </t>
    </r>
    <r>
      <rPr>
        <sz val="8"/>
        <color rgb="FF555555"/>
        <rFont val="WenQuanYi Zen Hei"/>
        <family val="2"/>
      </rPr>
      <t xml:space="preserve">博多 </t>
    </r>
    <r>
      <rPr>
        <sz val="8"/>
        <color rgb="FF555555"/>
        <rFont val="Meiryo UI"/>
        <family val="0"/>
        <charset val="1"/>
      </rPr>
      <t xml:space="preserve">29.4% → </t>
    </r>
    <r>
      <rPr>
        <sz val="8"/>
        <color rgb="FF555555"/>
        <rFont val="WenQuanYi Zen Hei"/>
        <family val="2"/>
      </rPr>
      <t xml:space="preserve">大阪 </t>
    </r>
    <r>
      <rPr>
        <sz val="8"/>
        <color rgb="FF555555"/>
        <rFont val="Meiryo UI"/>
        <family val="0"/>
        <charset val="1"/>
      </rPr>
      <t xml:space="preserve">21.1% → </t>
    </r>
    <r>
      <rPr>
        <sz val="8"/>
        <color rgb="FF555555"/>
        <rFont val="WenQuanYi Zen Hei"/>
        <family val="2"/>
      </rPr>
      <t xml:space="preserve">札幌 </t>
    </r>
    <r>
      <rPr>
        <sz val="8"/>
        <color rgb="FF555555"/>
        <rFont val="Meiryo UI"/>
        <family val="0"/>
        <charset val="1"/>
      </rPr>
      <t xml:space="preserve">17.6% → </t>
    </r>
    <r>
      <rPr>
        <sz val="8"/>
        <color rgb="FF555555"/>
        <rFont val="WenQuanYi Zen Hei"/>
        <family val="2"/>
      </rPr>
      <t xml:space="preserve">石川</t>
    </r>
    <r>
      <rPr>
        <sz val="8"/>
        <color rgb="FF555555"/>
        <rFont val="Meiryo UI"/>
        <family val="0"/>
        <charset val="1"/>
      </rPr>
      <t xml:space="preserve">18</t>
    </r>
    <r>
      <rPr>
        <sz val="8"/>
        <color rgb="FF555555"/>
        <rFont val="WenQuanYi Zen Hei"/>
        <family val="2"/>
      </rPr>
      <t xml:space="preserve">日予測 </t>
    </r>
    <r>
      <rPr>
        <sz val="8"/>
        <color rgb="FF555555"/>
        <rFont val="Meiryo UI"/>
        <family val="0"/>
        <charset val="1"/>
      </rPr>
      <t xml:space="preserve">17.1%</t>
    </r>
    <r>
      <rPr>
        <sz val="8"/>
        <color rgb="FF555555"/>
        <rFont val="WenQuanYi Zen Hei"/>
        <family val="2"/>
      </rPr>
      <t xml:space="preserve">。大阪以降の新商品</t>
    </r>
    <r>
      <rPr>
        <sz val="8"/>
        <color rgb="FF555555"/>
        <rFont val="Meiryo UI"/>
        <family val="0"/>
        <charset val="1"/>
      </rPr>
      <t xml:space="preserve">106SKU</t>
    </r>
    <r>
      <rPr>
        <sz val="8"/>
        <color rgb="FF555555"/>
        <rFont val="WenQuanYi Zen Hei"/>
        <family val="2"/>
      </rPr>
      <t xml:space="preserve">投入で低下しており、その到達点を次会場以降にも適用する。
【何に効くか】③シート</t>
    </r>
    <r>
      <rPr>
        <sz val="8"/>
        <color rgb="FF555555"/>
        <rFont val="Meiryo UI"/>
        <family val="0"/>
        <charset val="1"/>
      </rPr>
      <t xml:space="preserve">F</t>
    </r>
    <r>
      <rPr>
        <sz val="8"/>
        <color rgb="FF555555"/>
        <rFont val="WenQuanYi Zen Hei"/>
        <family val="2"/>
      </rPr>
      <t xml:space="preserve">列＝</t>
    </r>
    <r>
      <rPr>
        <sz val="8"/>
        <color rgb="FF555555"/>
        <rFont val="Meiryo UI"/>
        <family val="0"/>
        <charset val="1"/>
      </rPr>
      <t xml:space="preserve">E</t>
    </r>
    <r>
      <rPr>
        <sz val="8"/>
        <color rgb="FF555555"/>
        <rFont val="WenQuanYi Zen Hei"/>
        <family val="2"/>
      </rPr>
      <t xml:space="preserve">列</t>
    </r>
    <r>
      <rPr>
        <sz val="8"/>
        <color rgb="FF555555"/>
        <rFont val="Meiryo UI"/>
        <family val="0"/>
        <charset val="1"/>
      </rPr>
      <t xml:space="preserve">(</t>
    </r>
    <r>
      <rPr>
        <sz val="8"/>
        <color rgb="FF555555"/>
        <rFont val="WenQuanYi Zen Hei"/>
        <family val="2"/>
      </rPr>
      <t xml:space="preserve">会場 全物販売上</t>
    </r>
    <r>
      <rPr>
        <sz val="8"/>
        <color rgb="FF555555"/>
        <rFont val="Meiryo UI"/>
        <family val="0"/>
        <charset val="1"/>
      </rPr>
      <t xml:space="preserve">)×</t>
    </r>
    <r>
      <rPr>
        <sz val="8"/>
        <color rgb="FF555555"/>
        <rFont val="WenQuanYi Zen Hei"/>
        <family val="2"/>
      </rPr>
      <t xml:space="preserve">本値。</t>
    </r>
  </si>
  <si>
    <r>
      <rPr>
        <b val="true"/>
        <sz val="9"/>
        <rFont val="Meiryo UI"/>
        <family val="0"/>
        <charset val="1"/>
      </rPr>
      <t xml:space="preserve">LEGS </t>
    </r>
    <r>
      <rPr>
        <b val="true"/>
        <sz val="9"/>
        <rFont val="WenQuanYi Zen Hei"/>
        <family val="2"/>
      </rPr>
      <t xml:space="preserve">平均単価（税込）</t>
    </r>
  </si>
  <si>
    <r>
      <rPr>
        <sz val="8"/>
        <color rgb="FF555555"/>
        <rFont val="WenQuanYi Zen Hei"/>
        <family val="2"/>
      </rPr>
      <t xml:space="preserve">【算出】石川</t>
    </r>
    <r>
      <rPr>
        <sz val="8"/>
        <color rgb="FF555555"/>
        <rFont val="Meiryo UI"/>
        <family val="0"/>
        <charset val="1"/>
      </rPr>
      <t xml:space="preserve">18</t>
    </r>
    <r>
      <rPr>
        <sz val="8"/>
        <color rgb="FF555555"/>
        <rFont val="WenQuanYi Zen Hei"/>
        <family val="2"/>
      </rPr>
      <t xml:space="preserve">日予測の金額 </t>
    </r>
    <r>
      <rPr>
        <sz val="8"/>
        <color rgb="FF555555"/>
        <rFont val="Meiryo UI"/>
        <family val="0"/>
        <charset val="1"/>
      </rPr>
      <t xml:space="preserve">4,292,200</t>
    </r>
    <r>
      <rPr>
        <sz val="8"/>
        <color rgb="FF555555"/>
        <rFont val="WenQuanYi Zen Hei"/>
        <family val="2"/>
      </rPr>
      <t xml:space="preserve">円 </t>
    </r>
    <r>
      <rPr>
        <sz val="8"/>
        <color rgb="FF555555"/>
        <rFont val="Meiryo UI"/>
        <family val="0"/>
        <charset val="1"/>
      </rPr>
      <t xml:space="preserve">÷ </t>
    </r>
    <r>
      <rPr>
        <sz val="8"/>
        <color rgb="FF555555"/>
        <rFont val="WenQuanYi Zen Hei"/>
        <family val="2"/>
      </rPr>
      <t xml:space="preserve">数量 </t>
    </r>
    <r>
      <rPr>
        <sz val="8"/>
        <color rgb="FF555555"/>
        <rFont val="Meiryo UI"/>
        <family val="0"/>
        <charset val="1"/>
      </rPr>
      <t xml:space="preserve">5,151</t>
    </r>
    <r>
      <rPr>
        <sz val="8"/>
        <color rgb="FF555555"/>
        <rFont val="WenQuanYi Zen Hei"/>
        <family val="2"/>
      </rPr>
      <t xml:space="preserve">個 ≒ </t>
    </r>
    <r>
      <rPr>
        <sz val="8"/>
        <color rgb="FF555555"/>
        <rFont val="Meiryo UI"/>
        <family val="0"/>
        <charset val="1"/>
      </rPr>
      <t xml:space="preserve">833</t>
    </r>
    <r>
      <rPr>
        <sz val="8"/>
        <color rgb="FF555555"/>
        <rFont val="WenQuanYi Zen Hei"/>
        <family val="2"/>
      </rPr>
      <t xml:space="preserve">円（①シート</t>
    </r>
    <r>
      <rPr>
        <sz val="8"/>
        <color rgb="FF555555"/>
        <rFont val="Meiryo UI"/>
        <family val="0"/>
        <charset val="1"/>
      </rPr>
      <t xml:space="preserve">Q49</t>
    </r>
    <r>
      <rPr>
        <sz val="8"/>
        <color rgb="FF555555"/>
        <rFont val="WenQuanYi Zen Hei"/>
        <family val="2"/>
      </rPr>
      <t xml:space="preserve">合計 </t>
    </r>
    <r>
      <rPr>
        <sz val="8"/>
        <color rgb="FF555555"/>
        <rFont val="Meiryo UI"/>
        <family val="0"/>
        <charset val="1"/>
      </rPr>
      <t xml:space="preserve">÷ P49</t>
    </r>
    <r>
      <rPr>
        <sz val="8"/>
        <color rgb="FF555555"/>
        <rFont val="WenQuanYi Zen Hei"/>
        <family val="2"/>
      </rPr>
      <t xml:space="preserve">合計）。新商品投入後の商品ミックスを反映した加重平均単価。
【何に効くか】③シート</t>
    </r>
    <r>
      <rPr>
        <sz val="8"/>
        <color rgb="FF555555"/>
        <rFont val="Meiryo UI"/>
        <family val="0"/>
        <charset val="1"/>
      </rPr>
      <t xml:space="preserve">G</t>
    </r>
    <r>
      <rPr>
        <sz val="8"/>
        <color rgb="FF555555"/>
        <rFont val="WenQuanYi Zen Hei"/>
        <family val="2"/>
      </rPr>
      <t xml:space="preserve">列＝</t>
    </r>
    <r>
      <rPr>
        <sz val="8"/>
        <color rgb="FF555555"/>
        <rFont val="Meiryo UI"/>
        <family val="0"/>
        <charset val="1"/>
      </rPr>
      <t xml:space="preserve">ROUND(F</t>
    </r>
    <r>
      <rPr>
        <sz val="8"/>
        <color rgb="FF555555"/>
        <rFont val="WenQuanYi Zen Hei"/>
        <family val="2"/>
      </rPr>
      <t xml:space="preserve">列 </t>
    </r>
    <r>
      <rPr>
        <sz val="8"/>
        <color rgb="FF555555"/>
        <rFont val="Meiryo UI"/>
        <family val="0"/>
        <charset val="1"/>
      </rPr>
      <t xml:space="preserve">LEGS</t>
    </r>
    <r>
      <rPr>
        <sz val="8"/>
        <color rgb="FF555555"/>
        <rFont val="WenQuanYi Zen Hei"/>
        <family val="2"/>
      </rPr>
      <t xml:space="preserve">売上 </t>
    </r>
    <r>
      <rPr>
        <sz val="8"/>
        <color rgb="FF555555"/>
        <rFont val="Meiryo UI"/>
        <family val="0"/>
        <charset val="1"/>
      </rPr>
      <t xml:space="preserve">÷ </t>
    </r>
    <r>
      <rPr>
        <sz val="8"/>
        <color rgb="FF555555"/>
        <rFont val="WenQuanYi Zen Hei"/>
        <family val="2"/>
      </rPr>
      <t xml:space="preserve">本単価</t>
    </r>
    <r>
      <rPr>
        <sz val="8"/>
        <color rgb="FF555555"/>
        <rFont val="Meiryo UI"/>
        <family val="0"/>
        <charset val="1"/>
      </rPr>
      <t xml:space="preserve">,0)</t>
    </r>
    <r>
      <rPr>
        <sz val="8"/>
        <color rgb="FF555555"/>
        <rFont val="WenQuanYi Zen Hei"/>
        <family val="2"/>
      </rPr>
      <t xml:space="preserve">＝次会場以降の必要数量。</t>
    </r>
  </si>
  <si>
    <r>
      <rPr>
        <b val="true"/>
        <sz val="9"/>
        <rFont val="WenQuanYi Zen Hei"/>
        <family val="2"/>
      </rPr>
      <t xml:space="preserve">商品別按分：札幌</t>
    </r>
    <r>
      <rPr>
        <b val="true"/>
        <sz val="9"/>
        <rFont val="Meiryo UI"/>
        <family val="0"/>
        <charset val="1"/>
      </rPr>
      <t xml:space="preserve">20</t>
    </r>
    <r>
      <rPr>
        <b val="true"/>
        <sz val="9"/>
        <rFont val="WenQuanYi Zen Hei"/>
        <family val="2"/>
      </rPr>
      <t xml:space="preserve">日実績の構成比ウェイト</t>
    </r>
  </si>
  <si>
    <r>
      <rPr>
        <sz val="8"/>
        <color rgb="FF555555"/>
        <rFont val="WenQuanYi Zen Hei"/>
        <family val="2"/>
      </rPr>
      <t xml:space="preserve">【何に効くか】③シート</t>
    </r>
    <r>
      <rPr>
        <sz val="8"/>
        <color rgb="FF555555"/>
        <rFont val="Meiryo UI"/>
        <family val="0"/>
        <charset val="1"/>
      </rPr>
      <t xml:space="preserve">H</t>
    </r>
    <r>
      <rPr>
        <sz val="8"/>
        <color rgb="FF555555"/>
        <rFont val="WenQuanYi Zen Hei"/>
        <family val="2"/>
      </rPr>
      <t xml:space="preserve">列「採用 按分構成比」＝大阪構成比</t>
    </r>
    <r>
      <rPr>
        <sz val="8"/>
        <color rgb="FF555555"/>
        <rFont val="Meiryo UI"/>
        <family val="0"/>
        <charset val="1"/>
      </rPr>
      <t xml:space="preserve">(E</t>
    </r>
    <r>
      <rPr>
        <sz val="8"/>
        <color rgb="FF555555"/>
        <rFont val="WenQuanYi Zen Hei"/>
        <family val="2"/>
      </rPr>
      <t xml:space="preserve">列</t>
    </r>
    <r>
      <rPr>
        <sz val="8"/>
        <color rgb="FF555555"/>
        <rFont val="Meiryo UI"/>
        <family val="0"/>
        <charset val="1"/>
      </rPr>
      <t xml:space="preserve">)×</t>
    </r>
    <r>
      <rPr>
        <sz val="8"/>
        <color rgb="FF555555"/>
        <rFont val="WenQuanYi Zen Hei"/>
        <family val="2"/>
      </rPr>
      <t xml:space="preserve">本値 ＋ 石川構成比</t>
    </r>
    <r>
      <rPr>
        <sz val="8"/>
        <color rgb="FF555555"/>
        <rFont val="Meiryo UI"/>
        <family val="0"/>
        <charset val="1"/>
      </rPr>
      <t xml:space="preserve">(G</t>
    </r>
    <r>
      <rPr>
        <sz val="8"/>
        <color rgb="FF555555"/>
        <rFont val="WenQuanYi Zen Hei"/>
        <family val="2"/>
      </rPr>
      <t xml:space="preserve">列</t>
    </r>
    <r>
      <rPr>
        <sz val="8"/>
        <color rgb="FF555555"/>
        <rFont val="Meiryo UI"/>
        <family val="0"/>
        <charset val="1"/>
      </rPr>
      <t xml:space="preserve">)×</t>
    </r>
    <r>
      <rPr>
        <sz val="8"/>
        <color rgb="FF555555"/>
        <rFont val="WenQuanYi Zen Hei"/>
        <family val="2"/>
      </rPr>
      <t xml:space="preserve">下の値。総必要数をどの商品に何個振るかを決める。
【札幌を使う理由】直前に終了した会場で</t>
    </r>
    <r>
      <rPr>
        <sz val="8"/>
        <color rgb="FF555555"/>
        <rFont val="Meiryo UI"/>
        <family val="0"/>
        <charset val="1"/>
      </rPr>
      <t xml:space="preserve">42</t>
    </r>
    <r>
      <rPr>
        <sz val="8"/>
        <color rgb="FF555555"/>
        <rFont val="WenQuanYi Zen Hei"/>
        <family val="2"/>
      </rPr>
      <t xml:space="preserve">品すべての確定実績（</t>
    </r>
    <r>
      <rPr>
        <sz val="8"/>
        <color rgb="FF555555"/>
        <rFont val="Meiryo UI"/>
        <family val="0"/>
        <charset val="1"/>
      </rPr>
      <t xml:space="preserve">20</t>
    </r>
    <r>
      <rPr>
        <sz val="8"/>
        <color rgb="FF555555"/>
        <rFont val="WenQuanYi Zen Hei"/>
        <family val="2"/>
      </rPr>
      <t xml:space="preserve">日・</t>
    </r>
    <r>
      <rPr>
        <sz val="8"/>
        <color rgb="FF555555"/>
        <rFont val="Meiryo UI"/>
        <family val="0"/>
        <charset val="1"/>
      </rPr>
      <t xml:space="preserve">8,891</t>
    </r>
    <r>
      <rPr>
        <sz val="8"/>
        <color rgb="FF555555"/>
        <rFont val="WenQuanYi Zen Hei"/>
        <family val="2"/>
      </rPr>
      <t xml:space="preserve">個）があり、品揃えも石川と同一。</t>
    </r>
  </si>
  <si>
    <r>
      <rPr>
        <b val="true"/>
        <sz val="9"/>
        <rFont val="WenQuanYi Zen Hei"/>
        <family val="2"/>
      </rPr>
      <t xml:space="preserve">商品別按分：石川</t>
    </r>
    <r>
      <rPr>
        <b val="true"/>
        <sz val="9"/>
        <rFont val="Meiryo UI"/>
        <family val="0"/>
        <charset val="1"/>
      </rPr>
      <t xml:space="preserve">18</t>
    </r>
    <r>
      <rPr>
        <b val="true"/>
        <sz val="9"/>
        <rFont val="WenQuanYi Zen Hei"/>
        <family val="2"/>
      </rPr>
      <t xml:space="preserve">日予測の構成比ウェイト</t>
    </r>
  </si>
  <si>
    <r>
      <rPr>
        <sz val="8"/>
        <color rgb="FF555555"/>
        <rFont val="WenQuanYi Zen Hei"/>
        <family val="2"/>
      </rPr>
      <t xml:space="preserve">大阪ウェイトとの合計が</t>
    </r>
    <r>
      <rPr>
        <sz val="8"/>
        <color rgb="FF555555"/>
        <rFont val="Meiryo UI"/>
        <family val="0"/>
        <charset val="1"/>
      </rPr>
      <t xml:space="preserve">100%</t>
    </r>
    <r>
      <rPr>
        <sz val="8"/>
        <color rgb="FF555555"/>
        <rFont val="WenQuanYi Zen Hei"/>
        <family val="2"/>
      </rPr>
      <t xml:space="preserve">になるよう設定する。
【石川を使う理由】新商品投入後のミックスで、次会場以降の品揃えに条件が近い（ただし予測値）。
【感度】総必要数は変わらず、品目別の偏りだけが動く。大阪</t>
    </r>
    <r>
      <rPr>
        <sz val="8"/>
        <color rgb="FF555555"/>
        <rFont val="Meiryo UI"/>
        <family val="0"/>
        <charset val="1"/>
      </rPr>
      <t xml:space="preserve">100%</t>
    </r>
    <r>
      <rPr>
        <sz val="8"/>
        <color rgb="FF555555"/>
        <rFont val="WenQuanYi Zen Hei"/>
        <family val="2"/>
      </rPr>
      <t xml:space="preserve">に寄せると定番商品へ、石川</t>
    </r>
    <r>
      <rPr>
        <sz val="8"/>
        <color rgb="FF555555"/>
        <rFont val="Meiryo UI"/>
        <family val="0"/>
        <charset val="1"/>
      </rPr>
      <t xml:space="preserve">100%</t>
    </r>
    <r>
      <rPr>
        <sz val="8"/>
        <color rgb="FF555555"/>
        <rFont val="WenQuanYi Zen Hei"/>
        <family val="2"/>
      </rPr>
      <t xml:space="preserve">に寄せると直近で伸びている商品へ配分が寄る。</t>
    </r>
  </si>
  <si>
    <t xml:space="preserve">■ ④追加発注 前提</t>
  </si>
  <si>
    <t xml:space="preserve">安全率（不足数に対する上乗せ）</t>
  </si>
  <si>
    <r>
      <rPr>
        <sz val="8"/>
        <color rgb="FF555555"/>
        <rFont val="WenQuanYi Zen Hei"/>
        <family val="2"/>
      </rPr>
      <t xml:space="preserve">【何に効くか】③④⑧⑪シートの推奨発注数＝</t>
    </r>
    <r>
      <rPr>
        <sz val="8"/>
        <color rgb="FF555555"/>
        <rFont val="Meiryo UI"/>
        <family val="0"/>
        <charset val="1"/>
      </rPr>
      <t xml:space="preserve">IF(</t>
    </r>
    <r>
      <rPr>
        <sz val="8"/>
        <color rgb="FF555555"/>
        <rFont val="WenQuanYi Zen Hei"/>
        <family val="2"/>
      </rPr>
      <t xml:space="preserve">不足</t>
    </r>
    <r>
      <rPr>
        <sz val="8"/>
        <color rgb="FF555555"/>
        <rFont val="Meiryo UI"/>
        <family val="0"/>
        <charset val="1"/>
      </rPr>
      <t xml:space="preserve">&gt;0, ROUNDUP(</t>
    </r>
    <r>
      <rPr>
        <sz val="8"/>
        <color rgb="FF555555"/>
        <rFont val="WenQuanYi Zen Hei"/>
        <family val="2"/>
      </rPr>
      <t xml:space="preserve">不足数</t>
    </r>
    <r>
      <rPr>
        <sz val="8"/>
        <color rgb="FF555555"/>
        <rFont val="Meiryo UI"/>
        <family val="0"/>
        <charset val="1"/>
      </rPr>
      <t xml:space="preserve">×(1+</t>
    </r>
    <r>
      <rPr>
        <sz val="8"/>
        <color rgb="FF555555"/>
        <rFont val="WenQuanYi Zen Hei"/>
        <family val="2"/>
      </rPr>
      <t xml:space="preserve">本率</t>
    </r>
    <r>
      <rPr>
        <sz val="8"/>
        <color rgb="FF555555"/>
        <rFont val="Meiryo UI"/>
        <family val="0"/>
        <charset val="1"/>
      </rPr>
      <t xml:space="preserve">),0), 0)</t>
    </r>
    <r>
      <rPr>
        <sz val="8"/>
        <color rgb="FF555555"/>
        <rFont val="WenQuanYi Zen Hei"/>
        <family val="2"/>
      </rPr>
      <t xml:space="preserve">。
【根拠】輸送中の破損・検品不良・予測超過の緩衝として</t>
    </r>
    <r>
      <rPr>
        <sz val="8"/>
        <color rgb="FF555555"/>
        <rFont val="Meiryo UI"/>
        <family val="0"/>
        <charset val="1"/>
      </rPr>
      <t xml:space="preserve">10%</t>
    </r>
    <r>
      <rPr>
        <sz val="8"/>
        <color rgb="FF555555"/>
        <rFont val="WenQuanYi Zen Hei"/>
        <family val="2"/>
      </rPr>
      <t xml:space="preserve">を上乗せしている。</t>
    </r>
  </si>
  <si>
    <r>
      <rPr>
        <b val="true"/>
        <sz val="9"/>
        <rFont val="WenQuanYi Zen Hei"/>
        <family val="2"/>
      </rPr>
      <t xml:space="preserve">［参考］残在庫想定 全品計（梅田まで</t>
    </r>
    <r>
      <rPr>
        <b val="true"/>
        <sz val="9"/>
        <rFont val="Meiryo UI"/>
        <family val="0"/>
        <charset val="1"/>
      </rPr>
      <t xml:space="preserve">(SET)</t>
    </r>
    <r>
      <rPr>
        <b val="true"/>
        <sz val="9"/>
        <rFont val="WenQuanYi Zen Hei"/>
        <family val="2"/>
      </rPr>
      <t xml:space="preserve">）</t>
    </r>
  </si>
  <si>
    <r>
      <rPr>
        <sz val="8"/>
        <color rgb="FF555555"/>
        <rFont val="WenQuanYi Zen Hei"/>
        <family val="2"/>
      </rPr>
      <t xml:space="preserve">【出所】在庫フロー台帳「【清算</t>
    </r>
    <r>
      <rPr>
        <sz val="8"/>
        <color rgb="FF555555"/>
        <rFont val="Meiryo UI"/>
        <family val="0"/>
        <charset val="1"/>
      </rPr>
      <t xml:space="preserve">(</t>
    </r>
    <r>
      <rPr>
        <sz val="8"/>
        <color rgb="FF555555"/>
        <rFont val="WenQuanYi Zen Hei"/>
        <family val="2"/>
      </rPr>
      <t xml:space="preserve">卸値</t>
    </r>
    <r>
      <rPr>
        <sz val="8"/>
        <color rgb="FF555555"/>
        <rFont val="Meiryo UI"/>
        <family val="0"/>
        <charset val="1"/>
      </rPr>
      <t xml:space="preserve">67</t>
    </r>
    <r>
      <rPr>
        <sz val="8"/>
        <color rgb="FF555555"/>
        <rFont val="WenQuanYi Zen Hei"/>
        <family val="2"/>
      </rPr>
      <t xml:space="preserve">％</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_</t>
    </r>
    <r>
      <rPr>
        <sz val="8"/>
        <color rgb="FF555555"/>
        <rFont val="WenQuanYi Zen Hei"/>
        <family val="2"/>
      </rPr>
      <t xml:space="preserve">検品差異」シートの最終「実在庫」列（梅田まで</t>
    </r>
    <r>
      <rPr>
        <sz val="8"/>
        <color rgb="FF555555"/>
        <rFont val="Meiryo UI"/>
        <family val="0"/>
        <charset val="1"/>
      </rPr>
      <t xml:space="preserve">(SET)</t>
    </r>
    <r>
      <rPr>
        <sz val="8"/>
        <color rgb="FF555555"/>
        <rFont val="WenQuanYi Zen Hei"/>
        <family val="2"/>
      </rPr>
      <t xml:space="preserve">）の</t>
    </r>
    <r>
      <rPr>
        <sz val="8"/>
        <color rgb="FF555555"/>
        <rFont val="Meiryo UI"/>
        <family val="0"/>
        <charset val="1"/>
      </rPr>
      <t xml:space="preserve">42SKU</t>
    </r>
    <r>
      <rPr>
        <sz val="8"/>
        <color rgb="FF555555"/>
        <rFont val="WenQuanYi Zen Hei"/>
        <family val="2"/>
      </rPr>
      <t xml:space="preserve">合計。会場ごとの 追加発注→販売→レッグス検品 を積み上げた確定値で、直近会場の返送検品まで反映済み。石川会場への納品数と石川会場の販売数はまだ差し引かれていない。
【何に効くか】本セルは⑧シート</t>
    </r>
    <r>
      <rPr>
        <sz val="8"/>
        <color rgb="FF555555"/>
        <rFont val="Meiryo UI"/>
        <family val="0"/>
        <charset val="1"/>
      </rPr>
      <t xml:space="preserve">H49</t>
    </r>
    <r>
      <rPr>
        <sz val="8"/>
        <color rgb="FF555555"/>
        <rFont val="WenQuanYi Zen Hei"/>
        <family val="2"/>
      </rPr>
      <t xml:space="preserve">合計へのリンク（表示用）。商品別の実数を③⑧⑩⑪シートが直接参照する。</t>
    </r>
  </si>
  <si>
    <t xml:space="preserve">石川 会期末残在庫のスライド率</t>
  </si>
  <si>
    <r>
      <rPr>
        <sz val="8"/>
        <color rgb="FF555555"/>
        <rFont val="WenQuanYi Zen Hei"/>
        <family val="2"/>
      </rPr>
      <t xml:space="preserve">【何に効くか】③シート</t>
    </r>
    <r>
      <rPr>
        <sz val="8"/>
        <color rgb="FF555555"/>
        <rFont val="Meiryo UI"/>
        <family val="0"/>
        <charset val="1"/>
      </rPr>
      <t xml:space="preserve">S</t>
    </r>
    <r>
      <rPr>
        <sz val="8"/>
        <color rgb="FF555555"/>
        <rFont val="WenQuanYi Zen Hei"/>
        <family val="2"/>
      </rPr>
      <t xml:space="preserve">列「石川会期末 返送</t>
    </r>
    <r>
      <rPr>
        <sz val="8"/>
        <color rgb="FF555555"/>
        <rFont val="Meiryo UI"/>
        <family val="0"/>
        <charset val="1"/>
      </rPr>
      <t xml:space="preserve">(</t>
    </r>
    <r>
      <rPr>
        <sz val="8"/>
        <color rgb="FF555555"/>
        <rFont val="WenQuanYi Zen Hei"/>
        <family val="2"/>
      </rPr>
      <t xml:space="preserve">スライド</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ROUND(①</t>
    </r>
    <r>
      <rPr>
        <sz val="8"/>
        <color rgb="FF555555"/>
        <rFont val="WenQuanYi Zen Hei"/>
        <family val="2"/>
      </rPr>
      <t xml:space="preserve">シート</t>
    </r>
    <r>
      <rPr>
        <sz val="8"/>
        <color rgb="FF555555"/>
        <rFont val="Meiryo UI"/>
        <family val="0"/>
        <charset val="1"/>
      </rPr>
      <t xml:space="preserve">U</t>
    </r>
    <r>
      <rPr>
        <sz val="8"/>
        <color rgb="FF555555"/>
        <rFont val="WenQuanYi Zen Hei"/>
        <family val="2"/>
      </rPr>
      <t xml:space="preserve">列</t>
    </r>
    <r>
      <rPr>
        <sz val="8"/>
        <color rgb="FF555555"/>
        <rFont val="Meiryo UI"/>
        <family val="0"/>
        <charset val="1"/>
      </rPr>
      <t xml:space="preserve">×</t>
    </r>
    <r>
      <rPr>
        <sz val="8"/>
        <color rgb="FF555555"/>
        <rFont val="WenQuanYi Zen Hei"/>
        <family val="2"/>
      </rPr>
      <t xml:space="preserve">本率</t>
    </r>
    <r>
      <rPr>
        <sz val="8"/>
        <color rgb="FF555555"/>
        <rFont val="Meiryo UI"/>
        <family val="0"/>
        <charset val="1"/>
      </rPr>
      <t xml:space="preserve">,0)</t>
    </r>
    <r>
      <rPr>
        <sz val="8"/>
        <color rgb="FF555555"/>
        <rFont val="WenQuanYi Zen Hei"/>
        <family val="2"/>
      </rPr>
      <t xml:space="preserve">。次会場以降の供給可能在庫に加算される。
【</t>
    </r>
    <r>
      <rPr>
        <sz val="8"/>
        <color rgb="FF555555"/>
        <rFont val="Meiryo UI"/>
        <family val="0"/>
        <charset val="1"/>
      </rPr>
      <t xml:space="preserve">100%</t>
    </r>
    <r>
      <rPr>
        <sz val="8"/>
        <color rgb="FF555555"/>
        <rFont val="WenQuanYi Zen Hei"/>
        <family val="2"/>
      </rPr>
      <t xml:space="preserve">の意味】石川終了在庫 </t>
    </r>
    <r>
      <rPr>
        <sz val="8"/>
        <color rgb="FF555555"/>
        <rFont val="Meiryo UI"/>
        <family val="0"/>
        <charset val="1"/>
      </rPr>
      <t xml:space="preserve">41,810</t>
    </r>
    <r>
      <rPr>
        <sz val="8"/>
        <color rgb="FF555555"/>
        <rFont val="WenQuanYi Zen Hei"/>
        <family val="2"/>
      </rPr>
      <t xml:space="preserve">個を全量 次会場以降へ回せる前提。損傷・返送ロスを見込むなら下げる → 供給が減り追加生産が増える。</t>
    </r>
  </si>
  <si>
    <t xml:space="preserve">発注〜納品バッファ日数（輸送・検品）</t>
  </si>
  <si>
    <r>
      <rPr>
        <sz val="8"/>
        <color rgb="FF555555"/>
        <rFont val="WenQuanYi Zen Hei"/>
        <family val="2"/>
      </rPr>
      <t xml:space="preserve">【何に効くか】④⑧⑪シートの最終発注期限＝欠品発生会場の会期初日 − 生産日数</t>
    </r>
    <r>
      <rPr>
        <sz val="8"/>
        <color rgb="FF555555"/>
        <rFont val="Meiryo UI"/>
        <family val="0"/>
        <charset val="1"/>
      </rPr>
      <t xml:space="preserve">(</t>
    </r>
    <r>
      <rPr>
        <sz val="8"/>
        <color rgb="FF555555"/>
        <rFont val="WenQuanYi Zen Hei"/>
        <family val="2"/>
      </rPr>
      <t xml:space="preserve">か月</t>
    </r>
    <r>
      <rPr>
        <sz val="8"/>
        <color rgb="FF555555"/>
        <rFont val="Meiryo UI"/>
        <family val="0"/>
        <charset val="1"/>
      </rPr>
      <t xml:space="preserve">×30</t>
    </r>
    <r>
      <rPr>
        <sz val="8"/>
        <color rgb="FF555555"/>
        <rFont val="WenQuanYi Zen Hei"/>
        <family val="2"/>
      </rPr>
      <t xml:space="preserve">日</t>
    </r>
    <r>
      <rPr>
        <sz val="8"/>
        <color rgb="FF555555"/>
        <rFont val="Meiryo UI"/>
        <family val="0"/>
        <charset val="1"/>
      </rPr>
      <t xml:space="preserve">) − </t>
    </r>
    <r>
      <rPr>
        <sz val="8"/>
        <color rgb="FF555555"/>
        <rFont val="WenQuanYi Zen Hei"/>
        <family val="2"/>
      </rPr>
      <t xml:space="preserve">本バッファ。
【内訳】</t>
    </r>
    <r>
      <rPr>
        <sz val="8"/>
        <color rgb="FF555555"/>
        <rFont val="Meiryo UI"/>
        <family val="0"/>
        <charset val="1"/>
      </rPr>
      <t xml:space="preserve">14</t>
    </r>
    <r>
      <rPr>
        <sz val="8"/>
        <color rgb="FF555555"/>
        <rFont val="WenQuanYi Zen Hei"/>
        <family val="2"/>
      </rPr>
      <t xml:space="preserve">日＝工場出荷 → 国内輸送・入荷検品・会場搬入のリードタイム。</t>
    </r>
  </si>
  <si>
    <t xml:space="preserve">基準日</t>
  </si>
  <si>
    <r>
      <rPr>
        <sz val="8"/>
        <color rgb="FF555555"/>
        <rFont val="WenQuanYi Zen Hei"/>
        <family val="2"/>
      </rPr>
      <t xml:space="preserve">【根拠】</t>
    </r>
    <r>
      <rPr>
        <sz val="8"/>
        <color rgb="FF555555"/>
        <rFont val="Meiryo UI"/>
        <family val="0"/>
        <charset val="1"/>
      </rPr>
      <t xml:space="preserve">2026/08/26</t>
    </r>
    <r>
      <rPr>
        <sz val="8"/>
        <color rgb="FF555555"/>
        <rFont val="WenQuanYi Zen Hei"/>
        <family val="2"/>
      </rPr>
      <t xml:space="preserve">＝本分析の基準日（生産日数の提示は</t>
    </r>
    <r>
      <rPr>
        <sz val="8"/>
        <color rgb="FF555555"/>
        <rFont val="Meiryo UI"/>
        <family val="0"/>
        <charset val="1"/>
      </rPr>
      <t xml:space="preserve">2026/7/28</t>
    </r>
    <r>
      <rPr>
        <sz val="8"/>
        <color rgb="FF555555"/>
        <rFont val="WenQuanYi Zen Hei"/>
        <family val="2"/>
      </rPr>
      <t xml:space="preserve">時点）。
【何に効くか】④⑧⑪シートの「基準日からの残日数」＝最終発注期限 − 本日付。日付を進めると残日数が減り、期限超過の判定が増える。</t>
    </r>
  </si>
  <si>
    <r>
      <rPr>
        <b val="true"/>
        <sz val="15"/>
        <color rgb="FF1F3864"/>
        <rFont val="WenQuanYi Zen Hei"/>
        <family val="2"/>
      </rPr>
      <t xml:space="preserve">① 石川会場 会期</t>
    </r>
    <r>
      <rPr>
        <b val="true"/>
        <sz val="15"/>
        <color rgb="FF1F3864"/>
        <rFont val="Meiryo UI"/>
        <family val="0"/>
        <charset val="1"/>
      </rPr>
      <t xml:space="preserve">18</t>
    </r>
    <r>
      <rPr>
        <b val="true"/>
        <sz val="15"/>
        <color rgb="FF1F3864"/>
        <rFont val="WenQuanYi Zen Hei"/>
        <family val="2"/>
      </rPr>
      <t xml:space="preserve">日間（</t>
    </r>
    <r>
      <rPr>
        <b val="true"/>
        <sz val="15"/>
        <color rgb="FF1F3864"/>
        <rFont val="Meiryo UI"/>
        <family val="0"/>
        <charset val="1"/>
      </rPr>
      <t xml:space="preserve">26/8/14(</t>
    </r>
    <r>
      <rPr>
        <b val="true"/>
        <sz val="15"/>
        <color rgb="FF1F3864"/>
        <rFont val="WenQuanYi Zen Hei"/>
        <family val="2"/>
      </rPr>
      <t xml:space="preserve">金</t>
    </r>
    <r>
      <rPr>
        <b val="true"/>
        <sz val="15"/>
        <color rgb="FF1F3864"/>
        <rFont val="Meiryo UI"/>
        <family val="0"/>
        <charset val="1"/>
      </rPr>
      <t xml:space="preserve">)-8/31(</t>
    </r>
    <r>
      <rPr>
        <b val="true"/>
        <sz val="15"/>
        <color rgb="FF1F3864"/>
        <rFont val="WenQuanYi Zen Hei"/>
        <family val="2"/>
      </rPr>
      <t xml:space="preserve">月</t>
    </r>
    <r>
      <rPr>
        <b val="true"/>
        <sz val="15"/>
        <color rgb="FF1F3864"/>
        <rFont val="Meiryo UI"/>
        <family val="0"/>
        <charset val="1"/>
      </rPr>
      <t xml:space="preserve">)</t>
    </r>
    <r>
      <rPr>
        <b val="true"/>
        <sz val="15"/>
        <color rgb="FF1F3864"/>
        <rFont val="WenQuanYi Zen Hei"/>
        <family val="2"/>
      </rPr>
      <t xml:space="preserve">）商品別 販売予測【確定値】</t>
    </r>
  </si>
  <si>
    <r>
      <rPr>
        <sz val="8"/>
        <color rgb="FF555555"/>
        <rFont val="WenQuanYi Zen Hei"/>
        <family val="2"/>
      </rPr>
      <t xml:space="preserve">算出根拠：東京を除く名古屋①・博多②・大阪④の「</t>
    </r>
    <r>
      <rPr>
        <sz val="8"/>
        <color rgb="FF555555"/>
        <rFont val="Meiryo UI"/>
        <family val="0"/>
        <charset val="1"/>
      </rPr>
      <t xml:space="preserve">18</t>
    </r>
    <r>
      <rPr>
        <sz val="8"/>
        <color rgb="FF555555"/>
        <rFont val="WenQuanYi Zen Hei"/>
        <family val="2"/>
      </rPr>
      <t xml:space="preserve">日累計 </t>
    </r>
    <r>
      <rPr>
        <sz val="8"/>
        <color rgb="FF555555"/>
        <rFont val="Meiryo UI"/>
        <family val="0"/>
        <charset val="1"/>
      </rPr>
      <t xml:space="preserve">÷ </t>
    </r>
    <r>
      <rPr>
        <sz val="8"/>
        <color rgb="FF555555"/>
        <rFont val="WenQuanYi Zen Hei"/>
        <family val="2"/>
      </rPr>
      <t xml:space="preserve">初</t>
    </r>
    <r>
      <rPr>
        <sz val="8"/>
        <color rgb="FF555555"/>
        <rFont val="Meiryo UI"/>
        <family val="0"/>
        <charset val="1"/>
      </rPr>
      <t xml:space="preserve">12</t>
    </r>
    <r>
      <rPr>
        <sz val="8"/>
        <color rgb="FF555555"/>
        <rFont val="WenQuanYi Zen Hei"/>
        <family val="2"/>
      </rPr>
      <t xml:space="preserve">日」倍率を商品別に加重平均し、石川の初</t>
    </r>
    <r>
      <rPr>
        <sz val="8"/>
        <color rgb="FF555555"/>
        <rFont val="Meiryo UI"/>
        <family val="0"/>
        <charset val="1"/>
      </rPr>
      <t xml:space="preserve">12</t>
    </r>
    <r>
      <rPr>
        <sz val="8"/>
        <color rgb="FF555555"/>
        <rFont val="WenQuanYi Zen Hei"/>
        <family val="2"/>
      </rPr>
      <t xml:space="preserve">日</t>
    </r>
    <r>
      <rPr>
        <sz val="8"/>
        <color rgb="FF555555"/>
        <rFont val="Meiryo UI"/>
        <family val="0"/>
        <charset val="1"/>
      </rPr>
      <t xml:space="preserve">(8/14-8/25)</t>
    </r>
    <r>
      <rPr>
        <sz val="8"/>
        <color rgb="FF555555"/>
        <rFont val="WenQuanYi Zen Hei"/>
        <family val="2"/>
      </rPr>
      <t xml:space="preserve">実績に乗算</t>
    </r>
  </si>
  <si>
    <r>
      <rPr>
        <sz val="8"/>
        <color rgb="FF555555"/>
        <rFont val="WenQuanYi Zen Hei"/>
        <family val="2"/>
      </rPr>
      <t xml:space="preserve">加重：博多</t>
    </r>
    <r>
      <rPr>
        <sz val="8"/>
        <color rgb="FF555555"/>
        <rFont val="Meiryo UI"/>
        <family val="0"/>
        <charset val="1"/>
      </rPr>
      <t xml:space="preserve">1</t>
    </r>
    <r>
      <rPr>
        <sz val="8"/>
        <color rgb="FF555555"/>
        <rFont val="WenQuanYi Zen Hei"/>
        <family val="2"/>
      </rPr>
      <t xml:space="preserve">・大阪</t>
    </r>
    <r>
      <rPr>
        <sz val="8"/>
        <color rgb="FF555555"/>
        <rFont val="Meiryo UI"/>
        <family val="0"/>
        <charset val="1"/>
      </rPr>
      <t xml:space="preserve">1</t>
    </r>
    <r>
      <rPr>
        <sz val="8"/>
        <color rgb="FF555555"/>
        <rFont val="WenQuanYi Zen Hei"/>
        <family val="2"/>
      </rPr>
      <t xml:space="preserve">・札幌</t>
    </r>
    <r>
      <rPr>
        <sz val="8"/>
        <color rgb="FF555555"/>
        <rFont val="Meiryo UI"/>
        <family val="0"/>
        <charset val="1"/>
      </rPr>
      <t xml:space="preserve">2</t>
    </r>
    <r>
      <rPr>
        <sz val="8"/>
        <color rgb="FF555555"/>
        <rFont val="WenQuanYi Zen Hei"/>
        <family val="2"/>
      </rPr>
      <t xml:space="preserve">（「前提・入力」シートで変更可）</t>
    </r>
  </si>
  <si>
    <t xml:space="preserve">No.</t>
  </si>
  <si>
    <t xml:space="preserve">JAN</t>
  </si>
  <si>
    <t xml:space="preserve">商品名</t>
  </si>
  <si>
    <t xml:space="preserve">税込
単価</t>
  </si>
  <si>
    <r>
      <rPr>
        <b val="true"/>
        <sz val="9"/>
        <color rgb="FFFFFFFF"/>
        <rFont val="WenQuanYi Zen Hei"/>
        <family val="2"/>
      </rPr>
      <t xml:space="preserve">石川
初</t>
    </r>
    <r>
      <rPr>
        <b val="true"/>
        <sz val="9"/>
        <color rgb="FFFFFFFF"/>
        <rFont val="Meiryo UI"/>
        <family val="0"/>
        <charset val="1"/>
      </rPr>
      <t xml:space="preserve">12</t>
    </r>
    <r>
      <rPr>
        <b val="true"/>
        <sz val="9"/>
        <color rgb="FFFFFFFF"/>
        <rFont val="WenQuanYi Zen Hei"/>
        <family val="2"/>
      </rPr>
      <t xml:space="preserve">日
</t>
    </r>
    <r>
      <rPr>
        <b val="true"/>
        <sz val="9"/>
        <color rgb="FFFFFFFF"/>
        <rFont val="Meiryo UI"/>
        <family val="0"/>
        <charset val="1"/>
      </rPr>
      <t xml:space="preserve">8/14-8/25</t>
    </r>
  </si>
  <si>
    <r>
      <rPr>
        <b val="true"/>
        <sz val="9"/>
        <color rgb="FFFFFFFF"/>
        <rFont val="WenQuanYi Zen Hei"/>
        <family val="2"/>
      </rPr>
      <t xml:space="preserve">博多③
初</t>
    </r>
    <r>
      <rPr>
        <b val="true"/>
        <sz val="9"/>
        <color rgb="FFFFFFFF"/>
        <rFont val="Meiryo UI"/>
        <family val="0"/>
        <charset val="1"/>
      </rPr>
      <t xml:space="preserve">12</t>
    </r>
    <r>
      <rPr>
        <b val="true"/>
        <sz val="9"/>
        <color rgb="FFFFFFFF"/>
        <rFont val="WenQuanYi Zen Hei"/>
        <family val="2"/>
      </rPr>
      <t xml:space="preserve">日</t>
    </r>
  </si>
  <si>
    <r>
      <rPr>
        <b val="true"/>
        <sz val="9"/>
        <color rgb="FFFFFFFF"/>
        <rFont val="WenQuanYi Zen Hei"/>
        <family val="2"/>
      </rPr>
      <t xml:space="preserve">博多③
</t>
    </r>
    <r>
      <rPr>
        <b val="true"/>
        <sz val="9"/>
        <color rgb="FFFFFFFF"/>
        <rFont val="Meiryo UI"/>
        <family val="0"/>
        <charset val="1"/>
      </rPr>
      <t xml:space="preserve">18</t>
    </r>
    <r>
      <rPr>
        <b val="true"/>
        <sz val="9"/>
        <color rgb="FFFFFFFF"/>
        <rFont val="WenQuanYi Zen Hei"/>
        <family val="2"/>
      </rPr>
      <t xml:space="preserve">日累計</t>
    </r>
  </si>
  <si>
    <r>
      <rPr>
        <b val="true"/>
        <sz val="9"/>
        <color rgb="FFFFFFFF"/>
        <rFont val="WenQuanYi Zen Hei"/>
        <family val="2"/>
      </rPr>
      <t xml:space="preserve">博多
倍率</t>
    </r>
    <r>
      <rPr>
        <b val="true"/>
        <sz val="9"/>
        <color rgb="FFFFFFFF"/>
        <rFont val="Meiryo UI"/>
        <family val="0"/>
        <charset val="1"/>
      </rPr>
      <t xml:space="preserve">g</t>
    </r>
  </si>
  <si>
    <r>
      <rPr>
        <b val="true"/>
        <sz val="9"/>
        <color rgb="FFFFFFFF"/>
        <rFont val="WenQuanYi Zen Hei"/>
        <family val="2"/>
      </rPr>
      <t xml:space="preserve">大阪④
初</t>
    </r>
    <r>
      <rPr>
        <b val="true"/>
        <sz val="9"/>
        <color rgb="FFFFFFFF"/>
        <rFont val="Meiryo UI"/>
        <family val="0"/>
        <charset val="1"/>
      </rPr>
      <t xml:space="preserve">12</t>
    </r>
    <r>
      <rPr>
        <b val="true"/>
        <sz val="9"/>
        <color rgb="FFFFFFFF"/>
        <rFont val="WenQuanYi Zen Hei"/>
        <family val="2"/>
      </rPr>
      <t xml:space="preserve">日</t>
    </r>
  </si>
  <si>
    <r>
      <rPr>
        <b val="true"/>
        <sz val="9"/>
        <color rgb="FFFFFFFF"/>
        <rFont val="WenQuanYi Zen Hei"/>
        <family val="2"/>
      </rPr>
      <t xml:space="preserve">大阪④
</t>
    </r>
    <r>
      <rPr>
        <b val="true"/>
        <sz val="9"/>
        <color rgb="FFFFFFFF"/>
        <rFont val="Meiryo UI"/>
        <family val="0"/>
        <charset val="1"/>
      </rPr>
      <t xml:space="preserve">18</t>
    </r>
    <r>
      <rPr>
        <b val="true"/>
        <sz val="9"/>
        <color rgb="FFFFFFFF"/>
        <rFont val="WenQuanYi Zen Hei"/>
        <family val="2"/>
      </rPr>
      <t xml:space="preserve">日累計</t>
    </r>
  </si>
  <si>
    <r>
      <rPr>
        <b val="true"/>
        <sz val="9"/>
        <color rgb="FFFFFFFF"/>
        <rFont val="WenQuanYi Zen Hei"/>
        <family val="2"/>
      </rPr>
      <t xml:space="preserve">大阪
倍率</t>
    </r>
    <r>
      <rPr>
        <b val="true"/>
        <sz val="9"/>
        <color rgb="FFFFFFFF"/>
        <rFont val="Meiryo UI"/>
        <family val="0"/>
        <charset val="1"/>
      </rPr>
      <t xml:space="preserve">g</t>
    </r>
  </si>
  <si>
    <r>
      <rPr>
        <b val="true"/>
        <sz val="9"/>
        <color rgb="FFFFFFFF"/>
        <rFont val="WenQuanYi Zen Hei"/>
        <family val="2"/>
      </rPr>
      <t xml:space="preserve">札幌⑤
初</t>
    </r>
    <r>
      <rPr>
        <b val="true"/>
        <sz val="9"/>
        <color rgb="FFFFFFFF"/>
        <rFont val="Meiryo UI"/>
        <family val="0"/>
        <charset val="1"/>
      </rPr>
      <t xml:space="preserve">12</t>
    </r>
    <r>
      <rPr>
        <b val="true"/>
        <sz val="9"/>
        <color rgb="FFFFFFFF"/>
        <rFont val="WenQuanYi Zen Hei"/>
        <family val="2"/>
      </rPr>
      <t xml:space="preserve">日</t>
    </r>
  </si>
  <si>
    <r>
      <rPr>
        <b val="true"/>
        <sz val="9"/>
        <color rgb="FFFFFFFF"/>
        <rFont val="WenQuanYi Zen Hei"/>
        <family val="2"/>
      </rPr>
      <t xml:space="preserve">札幌⑤
</t>
    </r>
    <r>
      <rPr>
        <b val="true"/>
        <sz val="9"/>
        <color rgb="FFFFFFFF"/>
        <rFont val="Meiryo UI"/>
        <family val="0"/>
        <charset val="1"/>
      </rPr>
      <t xml:space="preserve">18</t>
    </r>
    <r>
      <rPr>
        <b val="true"/>
        <sz val="9"/>
        <color rgb="FFFFFFFF"/>
        <rFont val="WenQuanYi Zen Hei"/>
        <family val="2"/>
      </rPr>
      <t xml:space="preserve">日累計</t>
    </r>
  </si>
  <si>
    <r>
      <rPr>
        <b val="true"/>
        <sz val="9"/>
        <color rgb="FFFFFFFF"/>
        <rFont val="WenQuanYi Zen Hei"/>
        <family val="2"/>
      </rPr>
      <t xml:space="preserve">札幌
倍率</t>
    </r>
    <r>
      <rPr>
        <b val="true"/>
        <sz val="9"/>
        <color rgb="FFFFFFFF"/>
        <rFont val="Meiryo UI"/>
        <family val="0"/>
        <charset val="1"/>
      </rPr>
      <t xml:space="preserve">g</t>
    </r>
  </si>
  <si>
    <r>
      <rPr>
        <b val="true"/>
        <sz val="9"/>
        <color rgb="FFFFFFFF"/>
        <rFont val="WenQuanYi Zen Hei"/>
        <family val="2"/>
      </rPr>
      <t xml:space="preserve">採用
倍率</t>
    </r>
    <r>
      <rPr>
        <b val="true"/>
        <sz val="9"/>
        <color rgb="FFFFFFFF"/>
        <rFont val="Meiryo UI"/>
        <family val="0"/>
        <charset val="1"/>
      </rPr>
      <t xml:space="preserve">g</t>
    </r>
  </si>
  <si>
    <r>
      <rPr>
        <b val="true"/>
        <sz val="9"/>
        <color rgb="FFFFFFFF"/>
        <rFont val="WenQuanYi Zen Hei"/>
        <family val="2"/>
      </rPr>
      <t xml:space="preserve">石川
会期</t>
    </r>
    <r>
      <rPr>
        <b val="true"/>
        <sz val="9"/>
        <color rgb="FFFFFFFF"/>
        <rFont val="Meiryo UI"/>
        <family val="0"/>
        <charset val="1"/>
      </rPr>
      <t xml:space="preserve">18</t>
    </r>
    <r>
      <rPr>
        <b val="true"/>
        <sz val="9"/>
        <color rgb="FFFFFFFF"/>
        <rFont val="WenQuanYi Zen Hei"/>
        <family val="2"/>
      </rPr>
      <t xml:space="preserve">日
予測販売数</t>
    </r>
  </si>
  <si>
    <t xml:space="preserve">石川
予測販売金額</t>
  </si>
  <si>
    <t xml:space="preserve">石川
数量構成比</t>
  </si>
  <si>
    <r>
      <rPr>
        <b val="true"/>
        <sz val="9"/>
        <color rgb="FFFFFFFF"/>
        <rFont val="WenQuanYi Zen Hei"/>
        <family val="2"/>
      </rPr>
      <t xml:space="preserve">石川
販売可能数
</t>
    </r>
    <r>
      <rPr>
        <b val="true"/>
        <sz val="9"/>
        <color rgb="FFFFFFFF"/>
        <rFont val="Meiryo UI"/>
        <family val="0"/>
        <charset val="1"/>
      </rPr>
      <t xml:space="preserve">(</t>
    </r>
    <r>
      <rPr>
        <b val="true"/>
        <sz val="9"/>
        <color rgb="FFFFFFFF"/>
        <rFont val="WenQuanYi Zen Hei"/>
        <family val="2"/>
      </rPr>
      <t xml:space="preserve">追納込</t>
    </r>
    <r>
      <rPr>
        <b val="true"/>
        <sz val="9"/>
        <color rgb="FFFFFFFF"/>
        <rFont val="Meiryo UI"/>
        <family val="0"/>
        <charset val="1"/>
      </rPr>
      <t xml:space="preserve">)</t>
    </r>
  </si>
  <si>
    <t xml:space="preserve">予測
消化率</t>
  </si>
  <si>
    <t xml:space="preserve">会期末
残在庫</t>
  </si>
  <si>
    <t xml:space="preserve">会期中
過不足</t>
  </si>
  <si>
    <t xml:space="preserve">会期中
在庫判定</t>
  </si>
  <si>
    <t xml:space="preserve">4515142545082</t>
  </si>
  <si>
    <t xml:space="preserve">呪術廻戦 メタリックポストカード 展示会キービジュアル</t>
  </si>
  <si>
    <t xml:space="preserve">4515142545099</t>
  </si>
  <si>
    <t xml:space="preserve">呪術廻戦 クリアファイル 展示会キービジュアル</t>
  </si>
  <si>
    <t xml:space="preserve">4515142545105</t>
  </si>
  <si>
    <r>
      <rPr>
        <sz val="9"/>
        <rFont val="WenQuanYi Zen Hei"/>
        <family val="2"/>
      </rPr>
      <t xml:space="preserve">呪術廻戦 懐玉・玉折 ポストカードセット（</t>
    </r>
    <r>
      <rPr>
        <sz val="9"/>
        <rFont val="Meiryo UI"/>
        <family val="0"/>
        <charset val="1"/>
      </rPr>
      <t xml:space="preserve">5</t>
    </r>
    <r>
      <rPr>
        <sz val="9"/>
        <rFont val="WenQuanYi Zen Hei"/>
        <family val="2"/>
      </rPr>
      <t xml:space="preserve">枚入）</t>
    </r>
  </si>
  <si>
    <t xml:space="preserve">4515142545112</t>
  </si>
  <si>
    <r>
      <rPr>
        <sz val="9"/>
        <rFont val="WenQuanYi Zen Hei"/>
        <family val="2"/>
      </rPr>
      <t xml:space="preserve">呪術廻戦 渋谷事変 ポストカードセット（</t>
    </r>
    <r>
      <rPr>
        <sz val="9"/>
        <rFont val="Meiryo UI"/>
        <family val="0"/>
        <charset val="1"/>
      </rPr>
      <t xml:space="preserve">9</t>
    </r>
    <r>
      <rPr>
        <sz val="9"/>
        <rFont val="WenQuanYi Zen Hei"/>
        <family val="2"/>
      </rPr>
      <t xml:space="preserve">枚入）</t>
    </r>
  </si>
  <si>
    <t xml:space="preserve">4515142545129</t>
  </si>
  <si>
    <r>
      <rPr>
        <sz val="9"/>
        <rFont val="WenQuanYi Zen Hei"/>
        <family val="2"/>
      </rPr>
      <t xml:space="preserve">呪術廻戦 懐玉・玉折 ブラインド缶バッジ（全</t>
    </r>
    <r>
      <rPr>
        <sz val="9"/>
        <rFont val="Meiryo UI"/>
        <family val="0"/>
        <charset val="1"/>
      </rPr>
      <t xml:space="preserve">5</t>
    </r>
    <r>
      <rPr>
        <sz val="9"/>
        <rFont val="WenQuanYi Zen Hei"/>
        <family val="2"/>
      </rPr>
      <t xml:space="preserve">種）</t>
    </r>
  </si>
  <si>
    <t xml:space="preserve">4515142545136</t>
  </si>
  <si>
    <r>
      <rPr>
        <sz val="9"/>
        <rFont val="WenQuanYi Zen Hei"/>
        <family val="2"/>
      </rPr>
      <t xml:space="preserve">呪術廻戦 渋谷事変 ブラインド缶バッジ（全</t>
    </r>
    <r>
      <rPr>
        <sz val="9"/>
        <rFont val="Meiryo UI"/>
        <family val="0"/>
        <charset val="1"/>
      </rPr>
      <t xml:space="preserve">9</t>
    </r>
    <r>
      <rPr>
        <sz val="9"/>
        <rFont val="WenQuanYi Zen Hei"/>
        <family val="2"/>
      </rPr>
      <t xml:space="preserve">種）</t>
    </r>
  </si>
  <si>
    <t xml:space="preserve">4515142545143</t>
  </si>
  <si>
    <r>
      <rPr>
        <sz val="9"/>
        <rFont val="WenQuanYi Zen Hei"/>
        <family val="2"/>
      </rPr>
      <t xml:space="preserve">呪術廻戦 懐玉・玉折 ブラインドダイカットステッカー（全</t>
    </r>
    <r>
      <rPr>
        <sz val="9"/>
        <rFont val="Meiryo UI"/>
        <family val="0"/>
        <charset val="1"/>
      </rPr>
      <t xml:space="preserve">5</t>
    </r>
    <r>
      <rPr>
        <sz val="9"/>
        <rFont val="WenQuanYi Zen Hei"/>
        <family val="2"/>
      </rPr>
      <t xml:space="preserve">種）</t>
    </r>
  </si>
  <si>
    <t xml:space="preserve">4515142545150</t>
  </si>
  <si>
    <r>
      <rPr>
        <sz val="9"/>
        <rFont val="WenQuanYi Zen Hei"/>
        <family val="2"/>
      </rPr>
      <t xml:space="preserve">呪術廻戦 渋谷事変 ブラインドダイカットステッカー（全</t>
    </r>
    <r>
      <rPr>
        <sz val="9"/>
        <rFont val="Meiryo UI"/>
        <family val="0"/>
        <charset val="1"/>
      </rPr>
      <t xml:space="preserve">9</t>
    </r>
    <r>
      <rPr>
        <sz val="9"/>
        <rFont val="WenQuanYi Zen Hei"/>
        <family val="2"/>
      </rPr>
      <t xml:space="preserve">種）</t>
    </r>
  </si>
  <si>
    <t xml:space="preserve">4515142545372</t>
  </si>
  <si>
    <t xml:space="preserve">呪術廻戦 懐玉・玉折 クリアファイル（五条 悟）</t>
  </si>
  <si>
    <t xml:space="preserve">4515142545389</t>
  </si>
  <si>
    <t xml:space="preserve">呪術廻戦 懐玉・玉折 クリアファイル（夏油 傑）</t>
  </si>
  <si>
    <t xml:space="preserve">4515142545396</t>
  </si>
  <si>
    <t xml:space="preserve">呪術廻戦 懐玉・玉折 クリアファイル（家入 硝子）</t>
  </si>
  <si>
    <t xml:space="preserve">4515142545402</t>
  </si>
  <si>
    <t xml:space="preserve">呪術廻戦 懐玉・玉折 クリアファイル（七海 建人）</t>
  </si>
  <si>
    <t xml:space="preserve">4515142545419</t>
  </si>
  <si>
    <t xml:space="preserve">呪術廻戦 懐玉・玉折 クリアファイル（灰原 雄）</t>
  </si>
  <si>
    <t xml:space="preserve">4515142545426</t>
  </si>
  <si>
    <t xml:space="preserve">呪術廻戦 渋谷事変 クリアファイル（虎杖 悠仁）</t>
  </si>
  <si>
    <t xml:space="preserve">4515142545433</t>
  </si>
  <si>
    <t xml:space="preserve">呪術廻戦 渋谷事変 クリアファイル（伏黒 恵）</t>
  </si>
  <si>
    <t xml:space="preserve">4515142545440</t>
  </si>
  <si>
    <t xml:space="preserve">呪術廻戦 渋谷事変 クリアファイル（釘崎 野薔薇）</t>
  </si>
  <si>
    <t xml:space="preserve">4515142545457</t>
  </si>
  <si>
    <t xml:space="preserve">呪術廻戦 渋谷事変 クリアファイル（七海 建人）</t>
  </si>
  <si>
    <t xml:space="preserve">4515142545464</t>
  </si>
  <si>
    <t xml:space="preserve">呪術廻戦 渋谷事変 クリアファイル（五条 悟）</t>
  </si>
  <si>
    <t xml:space="preserve">4515142545471</t>
  </si>
  <si>
    <t xml:space="preserve">呪術廻戦 渋谷事変 クリアファイル（夏油 傑）</t>
  </si>
  <si>
    <t xml:space="preserve">4515142545488</t>
  </si>
  <si>
    <t xml:space="preserve">呪術廻戦 渋谷事変 クリアファイル（真人）</t>
  </si>
  <si>
    <t xml:space="preserve">4515142545495</t>
  </si>
  <si>
    <t xml:space="preserve">呪術廻戦 渋谷事変 クリアファイル（脹相）</t>
  </si>
  <si>
    <t xml:space="preserve">4515142545501</t>
  </si>
  <si>
    <t xml:space="preserve">呪術廻戦 渋谷事変 クリアファイル（宿儺）</t>
  </si>
  <si>
    <t xml:space="preserve">4515142545174</t>
  </si>
  <si>
    <r>
      <rPr>
        <sz val="9"/>
        <rFont val="WenQuanYi Zen Hei"/>
        <family val="2"/>
      </rPr>
      <t xml:space="preserve">呪術廻戦 懐玉・玉折 ブラインドミニ色紙（全</t>
    </r>
    <r>
      <rPr>
        <sz val="9"/>
        <rFont val="Meiryo UI"/>
        <family val="0"/>
        <charset val="1"/>
      </rPr>
      <t xml:space="preserve">5</t>
    </r>
    <r>
      <rPr>
        <sz val="9"/>
        <rFont val="WenQuanYi Zen Hei"/>
        <family val="2"/>
      </rPr>
      <t xml:space="preserve">種）</t>
    </r>
  </si>
  <si>
    <t xml:space="preserve">4515142545181</t>
  </si>
  <si>
    <r>
      <rPr>
        <sz val="9"/>
        <rFont val="WenQuanYi Zen Hei"/>
        <family val="2"/>
      </rPr>
      <t xml:space="preserve">呪術廻戦 渋谷事変 ブラインドミニ色紙（全</t>
    </r>
    <r>
      <rPr>
        <sz val="9"/>
        <rFont val="Meiryo UI"/>
        <family val="0"/>
        <charset val="1"/>
      </rPr>
      <t xml:space="preserve">5</t>
    </r>
    <r>
      <rPr>
        <sz val="9"/>
        <rFont val="WenQuanYi Zen Hei"/>
        <family val="2"/>
      </rPr>
      <t xml:space="preserve">種）</t>
    </r>
  </si>
  <si>
    <t xml:space="preserve">4515142545198</t>
  </si>
  <si>
    <t xml:space="preserve">虚式『茈』バスボール</t>
  </si>
  <si>
    <t xml:space="preserve">4515142545204</t>
  </si>
  <si>
    <t xml:space="preserve">前髪ヘアバンド</t>
  </si>
  <si>
    <t xml:space="preserve">4515142545211</t>
  </si>
  <si>
    <t xml:space="preserve">反転術式絆創膏</t>
  </si>
  <si>
    <t xml:space="preserve">4515142545228</t>
  </si>
  <si>
    <t xml:space="preserve">宿儺の指風お菓子</t>
  </si>
  <si>
    <t xml:space="preserve">4515142545235</t>
  </si>
  <si>
    <t xml:space="preserve">脱兎！ポーチ入りクリップセット</t>
  </si>
  <si>
    <t xml:space="preserve">4515142545242</t>
  </si>
  <si>
    <t xml:space="preserve">釘崎のポーチ風エコバッグ</t>
  </si>
  <si>
    <t xml:space="preserve">4515142545259</t>
  </si>
  <si>
    <t xml:space="preserve">半年分の情報が書き込める手帳</t>
  </si>
  <si>
    <t xml:space="preserve">4515142545266</t>
  </si>
  <si>
    <t xml:space="preserve">気分リフレッシュオルゴール</t>
  </si>
  <si>
    <t xml:space="preserve">4515142545273</t>
  </si>
  <si>
    <r>
      <rPr>
        <sz val="9"/>
        <rFont val="WenQuanYi Zen Hei"/>
        <family val="2"/>
      </rPr>
      <t xml:space="preserve">五条 悟 イメージリング（</t>
    </r>
    <r>
      <rPr>
        <sz val="9"/>
        <rFont val="Meiryo UI"/>
        <family val="0"/>
        <charset val="1"/>
      </rPr>
      <t xml:space="preserve">#11</t>
    </r>
    <r>
      <rPr>
        <sz val="9"/>
        <rFont val="WenQuanYi Zen Hei"/>
        <family val="2"/>
      </rPr>
      <t xml:space="preserve">）</t>
    </r>
  </si>
  <si>
    <t xml:space="preserve">4515142545280</t>
  </si>
  <si>
    <r>
      <rPr>
        <sz val="9"/>
        <rFont val="WenQuanYi Zen Hei"/>
        <family val="2"/>
      </rPr>
      <t xml:space="preserve">五条 悟 イメージリング（</t>
    </r>
    <r>
      <rPr>
        <sz val="9"/>
        <rFont val="Meiryo UI"/>
        <family val="0"/>
        <charset val="1"/>
      </rPr>
      <t xml:space="preserve">#13</t>
    </r>
    <r>
      <rPr>
        <sz val="9"/>
        <rFont val="WenQuanYi Zen Hei"/>
        <family val="2"/>
      </rPr>
      <t xml:space="preserve">）</t>
    </r>
  </si>
  <si>
    <t xml:space="preserve">4515142545297</t>
  </si>
  <si>
    <r>
      <rPr>
        <sz val="9"/>
        <rFont val="WenQuanYi Zen Hei"/>
        <family val="2"/>
      </rPr>
      <t xml:space="preserve">五条 悟 イメージリング（</t>
    </r>
    <r>
      <rPr>
        <sz val="9"/>
        <rFont val="Meiryo UI"/>
        <family val="0"/>
        <charset val="1"/>
      </rPr>
      <t xml:space="preserve">#15</t>
    </r>
    <r>
      <rPr>
        <sz val="9"/>
        <rFont val="WenQuanYi Zen Hei"/>
        <family val="2"/>
      </rPr>
      <t xml:space="preserve">）</t>
    </r>
  </si>
  <si>
    <t xml:space="preserve">4515142545303</t>
  </si>
  <si>
    <r>
      <rPr>
        <sz val="9"/>
        <rFont val="WenQuanYi Zen Hei"/>
        <family val="2"/>
      </rPr>
      <t xml:space="preserve">五条 悟 イメージリング（</t>
    </r>
    <r>
      <rPr>
        <sz val="9"/>
        <rFont val="Meiryo UI"/>
        <family val="0"/>
        <charset val="1"/>
      </rPr>
      <t xml:space="preserve">#17</t>
    </r>
    <r>
      <rPr>
        <sz val="9"/>
        <rFont val="WenQuanYi Zen Hei"/>
        <family val="2"/>
      </rPr>
      <t xml:space="preserve">）</t>
    </r>
  </si>
  <si>
    <t xml:space="preserve">4515142545310</t>
  </si>
  <si>
    <r>
      <rPr>
        <sz val="9"/>
        <rFont val="WenQuanYi Zen Hei"/>
        <family val="2"/>
      </rPr>
      <t xml:space="preserve">夏油 傑 イメージリング（</t>
    </r>
    <r>
      <rPr>
        <sz val="9"/>
        <rFont val="Meiryo UI"/>
        <family val="0"/>
        <charset val="1"/>
      </rPr>
      <t xml:space="preserve">#11</t>
    </r>
    <r>
      <rPr>
        <sz val="9"/>
        <rFont val="WenQuanYi Zen Hei"/>
        <family val="2"/>
      </rPr>
      <t xml:space="preserve">）</t>
    </r>
  </si>
  <si>
    <t xml:space="preserve">4515142545327</t>
  </si>
  <si>
    <r>
      <rPr>
        <sz val="9"/>
        <rFont val="WenQuanYi Zen Hei"/>
        <family val="2"/>
      </rPr>
      <t xml:space="preserve">夏油 傑 イメージリング（</t>
    </r>
    <r>
      <rPr>
        <sz val="9"/>
        <rFont val="Meiryo UI"/>
        <family val="0"/>
        <charset val="1"/>
      </rPr>
      <t xml:space="preserve">#13</t>
    </r>
    <r>
      <rPr>
        <sz val="9"/>
        <rFont val="WenQuanYi Zen Hei"/>
        <family val="2"/>
      </rPr>
      <t xml:space="preserve">）</t>
    </r>
  </si>
  <si>
    <t xml:space="preserve">4515142545334</t>
  </si>
  <si>
    <r>
      <rPr>
        <sz val="9"/>
        <rFont val="WenQuanYi Zen Hei"/>
        <family val="2"/>
      </rPr>
      <t xml:space="preserve">夏油 傑 イメージリング（</t>
    </r>
    <r>
      <rPr>
        <sz val="9"/>
        <rFont val="Meiryo UI"/>
        <family val="0"/>
        <charset val="1"/>
      </rPr>
      <t xml:space="preserve">#15</t>
    </r>
    <r>
      <rPr>
        <sz val="9"/>
        <rFont val="WenQuanYi Zen Hei"/>
        <family val="2"/>
      </rPr>
      <t xml:space="preserve">）</t>
    </r>
  </si>
  <si>
    <t xml:space="preserve">4515142545341</t>
  </si>
  <si>
    <r>
      <rPr>
        <sz val="9"/>
        <rFont val="WenQuanYi Zen Hei"/>
        <family val="2"/>
      </rPr>
      <t xml:space="preserve">夏油 傑 イメージリング（</t>
    </r>
    <r>
      <rPr>
        <sz val="9"/>
        <rFont val="Meiryo UI"/>
        <family val="0"/>
        <charset val="1"/>
      </rPr>
      <t xml:space="preserve">#17</t>
    </r>
    <r>
      <rPr>
        <sz val="9"/>
        <rFont val="WenQuanYi Zen Hei"/>
        <family val="2"/>
      </rPr>
      <t xml:space="preserve">）</t>
    </r>
  </si>
  <si>
    <t xml:space="preserve">4515142545358</t>
  </si>
  <si>
    <t xml:space="preserve">虎杖 悠仁 イメージフラグメントケース</t>
  </si>
  <si>
    <t xml:space="preserve">4515142545365</t>
  </si>
  <si>
    <t xml:space="preserve">伏黒 恵 イメージフラグメントケース</t>
  </si>
  <si>
    <r>
      <rPr>
        <b val="true"/>
        <sz val="9"/>
        <rFont val="WenQuanYi Zen Hei"/>
        <family val="2"/>
      </rPr>
      <t xml:space="preserve">合計（</t>
    </r>
    <r>
      <rPr>
        <b val="true"/>
        <sz val="9"/>
        <rFont val="Meiryo UI"/>
        <family val="0"/>
        <charset val="1"/>
      </rPr>
      <t xml:space="preserve">LEGS 42SKU</t>
    </r>
    <r>
      <rPr>
        <b val="true"/>
        <sz val="9"/>
        <rFont val="WenQuanYi Zen Hei"/>
        <family val="2"/>
      </rPr>
      <t xml:space="preserve">）</t>
    </r>
  </si>
  <si>
    <r>
      <rPr>
        <b val="true"/>
        <sz val="15"/>
        <color rgb="FF1F3864"/>
        <rFont val="WenQuanYi Zen Hei"/>
        <family val="2"/>
      </rPr>
      <t xml:space="preserve">② 会場別 物販実績と</t>
    </r>
    <r>
      <rPr>
        <b val="true"/>
        <sz val="15"/>
        <color rgb="FF1F3864"/>
        <rFont val="Meiryo UI"/>
        <family val="0"/>
        <charset val="1"/>
      </rPr>
      <t xml:space="preserve">LEGS</t>
    </r>
    <r>
      <rPr>
        <b val="true"/>
        <sz val="15"/>
        <color rgb="FF1F3864"/>
        <rFont val="WenQuanYi Zen Hei"/>
        <family val="2"/>
      </rPr>
      <t xml:space="preserve">構成比／東京対比 会場比率</t>
    </r>
  </si>
  <si>
    <r>
      <rPr>
        <sz val="8"/>
        <color rgb="FF555555"/>
        <rFont val="WenQuanYi Zen Hei"/>
        <family val="2"/>
      </rPr>
      <t xml:space="preserve">物販売上＝レジ袋代・音声ガイド・当日券を除く商品売上（税込）。</t>
    </r>
    <r>
      <rPr>
        <sz val="8"/>
        <color rgb="FF555555"/>
        <rFont val="Meiryo UI"/>
        <family val="0"/>
        <charset val="1"/>
      </rPr>
      <t xml:space="preserve">LEGS</t>
    </r>
    <r>
      <rPr>
        <sz val="8"/>
        <color rgb="FF555555"/>
        <rFont val="WenQuanYi Zen Hei"/>
        <family val="2"/>
      </rPr>
      <t xml:space="preserve">＝本</t>
    </r>
    <r>
      <rPr>
        <sz val="8"/>
        <color rgb="FF555555"/>
        <rFont val="Meiryo UI"/>
        <family val="0"/>
        <charset val="1"/>
      </rPr>
      <t xml:space="preserve">42SKU</t>
    </r>
    <r>
      <rPr>
        <sz val="8"/>
        <color rgb="FF555555"/>
        <rFont val="WenQuanYi Zen Hei"/>
        <family val="2"/>
      </rPr>
      <t xml:space="preserve">（各会場の商品分類「レッグス」と完全一致）</t>
    </r>
  </si>
  <si>
    <t xml:space="preserve">■ 会場別 実績・予測サマリー</t>
  </si>
  <si>
    <t xml:space="preserve">項目</t>
  </si>
  <si>
    <t xml:space="preserve">東京対比
算出根拠</t>
  </si>
  <si>
    <t xml:space="preserve">東京</t>
  </si>
  <si>
    <t xml:space="preserve">名古屋</t>
  </si>
  <si>
    <t xml:space="preserve">博多</t>
  </si>
  <si>
    <t xml:space="preserve">大阪</t>
  </si>
  <si>
    <t xml:space="preserve">札幌</t>
  </si>
  <si>
    <t xml:space="preserve">石川</t>
  </si>
  <si>
    <r>
      <rPr>
        <b val="true"/>
        <sz val="9"/>
        <color rgb="FFFFFFFF"/>
        <rFont val="WenQuanYi Zen Hei"/>
        <family val="2"/>
      </rPr>
      <t xml:space="preserve">石川</t>
    </r>
    <r>
      <rPr>
        <b val="true"/>
        <sz val="9"/>
        <color rgb="FFFFFFFF"/>
        <rFont val="Meiryo UI"/>
        <family val="0"/>
        <charset val="1"/>
      </rPr>
      <t xml:space="preserve">(</t>
    </r>
    <r>
      <rPr>
        <b val="true"/>
        <sz val="9"/>
        <color rgb="FFFFFFFF"/>
        <rFont val="WenQuanYi Zen Hei"/>
        <family val="2"/>
      </rPr>
      <t xml:space="preserve">予測</t>
    </r>
    <r>
      <rPr>
        <b val="true"/>
        <sz val="9"/>
        <color rgb="FFFFFFFF"/>
        <rFont val="Meiryo UI"/>
        <family val="0"/>
        <charset val="1"/>
      </rPr>
      <t xml:space="preserve">)</t>
    </r>
  </si>
  <si>
    <r>
      <rPr>
        <b val="true"/>
        <sz val="9"/>
        <color rgb="FFFFFFFF"/>
        <rFont val="WenQuanYi Zen Hei"/>
        <family val="2"/>
      </rPr>
      <t xml:space="preserve">仙台 </t>
    </r>
    <r>
      <rPr>
        <b val="true"/>
        <sz val="9"/>
        <color rgb="FFFFFFFF"/>
        <rFont val="Meiryo UI"/>
        <family val="0"/>
        <charset val="1"/>
      </rPr>
      <t xml:space="preserve">Ebeans</t>
    </r>
  </si>
  <si>
    <t xml:space="preserve">神戸阪急</t>
  </si>
  <si>
    <t xml:space="preserve">鳥取島根 夢みなとタワー</t>
  </si>
  <si>
    <t xml:space="preserve">東京凱旋 東京建物ぴあホール</t>
  </si>
  <si>
    <t xml:space="preserve">会期</t>
  </si>
  <si>
    <r>
      <rPr>
        <sz val="9"/>
        <rFont val="Meiryo UI"/>
        <family val="0"/>
        <charset val="1"/>
      </rPr>
      <t xml:space="preserve">25/12/5(</t>
    </r>
    <r>
      <rPr>
        <sz val="9"/>
        <rFont val="WenQuanYi Zen Hei"/>
        <family val="2"/>
      </rPr>
      <t xml:space="preserve">金</t>
    </r>
    <r>
      <rPr>
        <sz val="9"/>
        <rFont val="Meiryo UI"/>
        <family val="0"/>
        <charset val="1"/>
      </rPr>
      <t xml:space="preserve">)-12/29(</t>
    </r>
    <r>
      <rPr>
        <sz val="9"/>
        <rFont val="WenQuanYi Zen Hei"/>
        <family val="2"/>
      </rPr>
      <t xml:space="preserve">月</t>
    </r>
    <r>
      <rPr>
        <sz val="9"/>
        <rFont val="Meiryo UI"/>
        <family val="0"/>
        <charset val="1"/>
      </rPr>
      <t xml:space="preserve">)
</t>
    </r>
    <r>
      <rPr>
        <sz val="9"/>
        <rFont val="WenQuanYi Zen Hei"/>
        <family val="2"/>
      </rPr>
      <t xml:space="preserve">池袋サンシャインシティ</t>
    </r>
  </si>
  <si>
    <r>
      <rPr>
        <sz val="9"/>
        <rFont val="Meiryo UI"/>
        <family val="0"/>
        <charset val="1"/>
      </rPr>
      <t xml:space="preserve">26/3/18(</t>
    </r>
    <r>
      <rPr>
        <sz val="9"/>
        <rFont val="WenQuanYi Zen Hei"/>
        <family val="2"/>
      </rPr>
      <t xml:space="preserve">水</t>
    </r>
    <r>
      <rPr>
        <sz val="9"/>
        <rFont val="Meiryo UI"/>
        <family val="0"/>
        <charset val="1"/>
      </rPr>
      <t xml:space="preserve">)-4/5(</t>
    </r>
    <r>
      <rPr>
        <sz val="9"/>
        <rFont val="WenQuanYi Zen Hei"/>
        <family val="2"/>
      </rPr>
      <t xml:space="preserve">日</t>
    </r>
    <r>
      <rPr>
        <sz val="9"/>
        <rFont val="Meiryo UI"/>
        <family val="0"/>
        <charset val="1"/>
      </rPr>
      <t xml:space="preserve">)
</t>
    </r>
    <r>
      <rPr>
        <sz val="9"/>
        <rFont val="WenQuanYi Zen Hei"/>
        <family val="2"/>
      </rPr>
      <t xml:space="preserve">松坂屋</t>
    </r>
  </si>
  <si>
    <r>
      <rPr>
        <sz val="9"/>
        <rFont val="Meiryo UI"/>
        <family val="0"/>
        <charset val="1"/>
      </rPr>
      <t xml:space="preserve">26/4/23(</t>
    </r>
    <r>
      <rPr>
        <sz val="9"/>
        <rFont val="WenQuanYi Zen Hei"/>
        <family val="2"/>
      </rPr>
      <t xml:space="preserve">木</t>
    </r>
    <r>
      <rPr>
        <sz val="9"/>
        <rFont val="Meiryo UI"/>
        <family val="0"/>
        <charset val="1"/>
      </rPr>
      <t xml:space="preserve">)-5/18(</t>
    </r>
    <r>
      <rPr>
        <sz val="9"/>
        <rFont val="WenQuanYi Zen Hei"/>
        <family val="2"/>
      </rPr>
      <t xml:space="preserve">月</t>
    </r>
    <r>
      <rPr>
        <sz val="9"/>
        <rFont val="Meiryo UI"/>
        <family val="0"/>
        <charset val="1"/>
      </rPr>
      <t xml:space="preserve">)
</t>
    </r>
    <r>
      <rPr>
        <sz val="9"/>
        <rFont val="WenQuanYi Zen Hei"/>
        <family val="2"/>
      </rPr>
      <t xml:space="preserve">博多阪急</t>
    </r>
  </si>
  <si>
    <r>
      <rPr>
        <sz val="9"/>
        <rFont val="Meiryo UI"/>
        <family val="0"/>
        <charset val="1"/>
      </rPr>
      <t xml:space="preserve">26/6/10(</t>
    </r>
    <r>
      <rPr>
        <sz val="9"/>
        <rFont val="WenQuanYi Zen Hei"/>
        <family val="2"/>
      </rPr>
      <t xml:space="preserve">水</t>
    </r>
    <r>
      <rPr>
        <sz val="9"/>
        <rFont val="Meiryo UI"/>
        <family val="0"/>
        <charset val="1"/>
      </rPr>
      <t xml:space="preserve">)-6/29(</t>
    </r>
    <r>
      <rPr>
        <sz val="9"/>
        <rFont val="WenQuanYi Zen Hei"/>
        <family val="2"/>
      </rPr>
      <t xml:space="preserve">月</t>
    </r>
    <r>
      <rPr>
        <sz val="9"/>
        <rFont val="Meiryo UI"/>
        <family val="0"/>
        <charset val="1"/>
      </rPr>
      <t xml:space="preserve">)
</t>
    </r>
    <r>
      <rPr>
        <sz val="9"/>
        <rFont val="WenQuanYi Zen Hei"/>
        <family val="2"/>
      </rPr>
      <t xml:space="preserve">阪急梅田</t>
    </r>
  </si>
  <si>
    <r>
      <rPr>
        <sz val="9"/>
        <rFont val="Meiryo UI"/>
        <family val="0"/>
        <charset val="1"/>
      </rPr>
      <t xml:space="preserve">26/7/22(</t>
    </r>
    <r>
      <rPr>
        <sz val="9"/>
        <rFont val="WenQuanYi Zen Hei"/>
        <family val="2"/>
      </rPr>
      <t xml:space="preserve">水</t>
    </r>
    <r>
      <rPr>
        <sz val="9"/>
        <rFont val="Meiryo UI"/>
        <family val="0"/>
        <charset val="1"/>
      </rPr>
      <t xml:space="preserve">)-8/10(</t>
    </r>
    <r>
      <rPr>
        <sz val="9"/>
        <rFont val="WenQuanYi Zen Hei"/>
        <family val="2"/>
      </rPr>
      <t xml:space="preserve">月</t>
    </r>
    <r>
      <rPr>
        <sz val="9"/>
        <rFont val="Meiryo UI"/>
        <family val="0"/>
        <charset val="1"/>
      </rPr>
      <t xml:space="preserve">)
</t>
    </r>
    <r>
      <rPr>
        <sz val="9"/>
        <rFont val="WenQuanYi Zen Hei"/>
        <family val="2"/>
      </rPr>
      <t xml:space="preserve">札幌大丸</t>
    </r>
  </si>
  <si>
    <r>
      <rPr>
        <sz val="9"/>
        <rFont val="Meiryo UI"/>
        <family val="0"/>
        <charset val="1"/>
      </rPr>
      <t xml:space="preserve">26/8/14(</t>
    </r>
    <r>
      <rPr>
        <sz val="9"/>
        <rFont val="WenQuanYi Zen Hei"/>
        <family val="2"/>
      </rPr>
      <t xml:space="preserve">金</t>
    </r>
    <r>
      <rPr>
        <sz val="9"/>
        <rFont val="Meiryo UI"/>
        <family val="0"/>
        <charset val="1"/>
      </rPr>
      <t xml:space="preserve">)-8/31(</t>
    </r>
    <r>
      <rPr>
        <sz val="9"/>
        <rFont val="WenQuanYi Zen Hei"/>
        <family val="2"/>
      </rPr>
      <t xml:space="preserve">月</t>
    </r>
    <r>
      <rPr>
        <sz val="9"/>
        <rFont val="Meiryo UI"/>
        <family val="0"/>
        <charset val="1"/>
      </rPr>
      <t xml:space="preserve">)
</t>
    </r>
    <r>
      <rPr>
        <sz val="9"/>
        <rFont val="WenQuanYi Zen Hei"/>
        <family val="2"/>
      </rPr>
      <t xml:space="preserve">香林坊大和</t>
    </r>
    <r>
      <rPr>
        <sz val="9"/>
        <rFont val="Meiryo UI"/>
        <family val="0"/>
        <charset val="1"/>
      </rPr>
      <t xml:space="preserve">(</t>
    </r>
    <r>
      <rPr>
        <sz val="9"/>
        <rFont val="WenQuanYi Zen Hei"/>
        <family val="2"/>
      </rPr>
      <t xml:space="preserve">金沢</t>
    </r>
    <r>
      <rPr>
        <sz val="9"/>
        <rFont val="Meiryo UI"/>
        <family val="0"/>
        <charset val="1"/>
      </rPr>
      <t xml:space="preserve">)</t>
    </r>
  </si>
  <si>
    <r>
      <rPr>
        <sz val="9"/>
        <rFont val="Meiryo UI"/>
        <family val="0"/>
        <charset val="1"/>
      </rPr>
      <t xml:space="preserve">26/8/14(</t>
    </r>
    <r>
      <rPr>
        <sz val="9"/>
        <rFont val="WenQuanYi Zen Hei"/>
        <family val="2"/>
      </rPr>
      <t xml:space="preserve">金</t>
    </r>
    <r>
      <rPr>
        <sz val="9"/>
        <rFont val="Meiryo UI"/>
        <family val="0"/>
        <charset val="1"/>
      </rPr>
      <t xml:space="preserve">)-8/31(</t>
    </r>
    <r>
      <rPr>
        <sz val="9"/>
        <rFont val="WenQuanYi Zen Hei"/>
        <family val="2"/>
      </rPr>
      <t xml:space="preserve">月</t>
    </r>
    <r>
      <rPr>
        <sz val="9"/>
        <rFont val="Meiryo UI"/>
        <family val="0"/>
        <charset val="1"/>
      </rPr>
      <t xml:space="preserve">)
</t>
    </r>
    <r>
      <rPr>
        <sz val="9"/>
        <rFont val="WenQuanYi Zen Hei"/>
        <family val="2"/>
      </rPr>
      <t xml:space="preserve">会期</t>
    </r>
    <r>
      <rPr>
        <sz val="9"/>
        <rFont val="Meiryo UI"/>
        <family val="0"/>
        <charset val="1"/>
      </rPr>
      <t xml:space="preserve">18</t>
    </r>
    <r>
      <rPr>
        <sz val="9"/>
        <rFont val="WenQuanYi Zen Hei"/>
        <family val="2"/>
      </rPr>
      <t xml:space="preserve">日 予測</t>
    </r>
  </si>
  <si>
    <r>
      <rPr>
        <sz val="9"/>
        <rFont val="Meiryo UI"/>
        <family val="0"/>
        <charset val="1"/>
      </rPr>
      <t xml:space="preserve">26/9/5(</t>
    </r>
    <r>
      <rPr>
        <sz val="9"/>
        <rFont val="WenQuanYi Zen Hei"/>
        <family val="2"/>
      </rPr>
      <t xml:space="preserve">土</t>
    </r>
    <r>
      <rPr>
        <sz val="9"/>
        <rFont val="Meiryo UI"/>
        <family val="0"/>
        <charset val="1"/>
      </rPr>
      <t xml:space="preserve">)-10/4(</t>
    </r>
    <r>
      <rPr>
        <sz val="9"/>
        <rFont val="WenQuanYi Zen Hei"/>
        <family val="2"/>
      </rPr>
      <t xml:space="preserve">日</t>
    </r>
    <r>
      <rPr>
        <sz val="9"/>
        <rFont val="Meiryo UI"/>
        <family val="0"/>
        <charset val="1"/>
      </rPr>
      <t xml:space="preserve">)
</t>
    </r>
    <r>
      <rPr>
        <sz val="9"/>
        <rFont val="WenQuanYi Zen Hei"/>
        <family val="2"/>
      </rPr>
      <t xml:space="preserve">仙台 </t>
    </r>
    <r>
      <rPr>
        <sz val="9"/>
        <rFont val="Meiryo UI"/>
        <family val="0"/>
        <charset val="1"/>
      </rPr>
      <t xml:space="preserve">Ebeans</t>
    </r>
  </si>
  <si>
    <r>
      <rPr>
        <sz val="9"/>
        <rFont val="Meiryo UI"/>
        <family val="0"/>
        <charset val="1"/>
      </rPr>
      <t xml:space="preserve">26/12/16(</t>
    </r>
    <r>
      <rPr>
        <sz val="9"/>
        <rFont val="WenQuanYi Zen Hei"/>
        <family val="2"/>
      </rPr>
      <t xml:space="preserve">水</t>
    </r>
    <r>
      <rPr>
        <sz val="9"/>
        <rFont val="Meiryo UI"/>
        <family val="0"/>
        <charset val="1"/>
      </rPr>
      <t xml:space="preserve">)-27/1/7(</t>
    </r>
    <r>
      <rPr>
        <sz val="9"/>
        <rFont val="WenQuanYi Zen Hei"/>
        <family val="2"/>
      </rPr>
      <t xml:space="preserve">木</t>
    </r>
    <r>
      <rPr>
        <sz val="9"/>
        <rFont val="Meiryo UI"/>
        <family val="0"/>
        <charset val="1"/>
      </rPr>
      <t xml:space="preserve">)
</t>
    </r>
    <r>
      <rPr>
        <sz val="9"/>
        <rFont val="WenQuanYi Zen Hei"/>
        <family val="2"/>
      </rPr>
      <t xml:space="preserve">神戸阪急</t>
    </r>
  </si>
  <si>
    <r>
      <rPr>
        <sz val="9"/>
        <rFont val="Meiryo UI"/>
        <family val="0"/>
        <charset val="1"/>
      </rPr>
      <t xml:space="preserve">27/3/15-4/4
</t>
    </r>
    <r>
      <rPr>
        <sz val="9"/>
        <rFont val="WenQuanYi Zen Hei"/>
        <family val="2"/>
      </rPr>
      <t xml:space="preserve">鳥取島根 夢みなとタワー</t>
    </r>
  </si>
  <si>
    <r>
      <rPr>
        <sz val="9"/>
        <rFont val="Meiryo UI"/>
        <family val="0"/>
        <charset val="1"/>
      </rPr>
      <t xml:space="preserve">27</t>
    </r>
    <r>
      <rPr>
        <sz val="9"/>
        <rFont val="WenQuanYi Zen Hei"/>
        <family val="2"/>
      </rPr>
      <t xml:space="preserve">年</t>
    </r>
    <r>
      <rPr>
        <sz val="9"/>
        <rFont val="Meiryo UI"/>
        <family val="0"/>
        <charset val="1"/>
      </rPr>
      <t xml:space="preserve">4-5</t>
    </r>
    <r>
      <rPr>
        <sz val="9"/>
        <rFont val="WenQuanYi Zen Hei"/>
        <family val="2"/>
      </rPr>
      <t xml:space="preserve">月
東京凱旋 東京建物ぴあホール</t>
    </r>
  </si>
  <si>
    <t xml:space="preserve">会期日数</t>
  </si>
  <si>
    <t xml:space="preserve">データ実績日数</t>
  </si>
  <si>
    <t xml:space="preserve">予測</t>
  </si>
  <si>
    <t xml:space="preserve">入場者数</t>
  </si>
  <si>
    <t xml:space="preserve">全物販 販売数量</t>
  </si>
  <si>
    <r>
      <rPr>
        <b val="true"/>
        <sz val="9"/>
        <rFont val="WenQuanYi Zen Hei"/>
        <family val="2"/>
      </rPr>
      <t xml:space="preserve">全物販 販売金額</t>
    </r>
    <r>
      <rPr>
        <b val="true"/>
        <sz val="9"/>
        <rFont val="Meiryo UI"/>
        <family val="0"/>
        <charset val="1"/>
      </rPr>
      <t xml:space="preserve">(</t>
    </r>
    <r>
      <rPr>
        <b val="true"/>
        <sz val="9"/>
        <rFont val="WenQuanYi Zen Hei"/>
        <family val="2"/>
      </rPr>
      <t xml:space="preserve">税込</t>
    </r>
    <r>
      <rPr>
        <b val="true"/>
        <sz val="9"/>
        <rFont val="Meiryo UI"/>
        <family val="0"/>
        <charset val="1"/>
      </rPr>
      <t xml:space="preserve">)</t>
    </r>
  </si>
  <si>
    <r>
      <rPr>
        <b val="true"/>
        <sz val="9"/>
        <rFont val="Meiryo UI"/>
        <family val="0"/>
        <charset val="1"/>
      </rPr>
      <t xml:space="preserve">LEGS </t>
    </r>
    <r>
      <rPr>
        <b val="true"/>
        <sz val="9"/>
        <rFont val="WenQuanYi Zen Hei"/>
        <family val="2"/>
      </rPr>
      <t xml:space="preserve">販売数量</t>
    </r>
  </si>
  <si>
    <r>
      <rPr>
        <b val="true"/>
        <sz val="9"/>
        <rFont val="Meiryo UI"/>
        <family val="0"/>
        <charset val="1"/>
      </rPr>
      <t xml:space="preserve">LEGS </t>
    </r>
    <r>
      <rPr>
        <b val="true"/>
        <sz val="9"/>
        <rFont val="WenQuanYi Zen Hei"/>
        <family val="2"/>
      </rPr>
      <t xml:space="preserve">販売金額</t>
    </r>
    <r>
      <rPr>
        <b val="true"/>
        <sz val="9"/>
        <rFont val="Meiryo UI"/>
        <family val="0"/>
        <charset val="1"/>
      </rPr>
      <t xml:space="preserve">(</t>
    </r>
    <r>
      <rPr>
        <b val="true"/>
        <sz val="9"/>
        <rFont val="WenQuanYi Zen Hei"/>
        <family val="2"/>
      </rPr>
      <t xml:space="preserve">税込</t>
    </r>
    <r>
      <rPr>
        <b val="true"/>
        <sz val="9"/>
        <rFont val="Meiryo UI"/>
        <family val="0"/>
        <charset val="1"/>
      </rPr>
      <t xml:space="preserve">)</t>
    </r>
  </si>
  <si>
    <r>
      <rPr>
        <b val="true"/>
        <sz val="9"/>
        <rFont val="Meiryo UI"/>
        <family val="0"/>
        <charset val="1"/>
      </rPr>
      <t xml:space="preserve">LEGS </t>
    </r>
    <r>
      <rPr>
        <b val="true"/>
        <sz val="9"/>
        <rFont val="WenQuanYi Zen Hei"/>
        <family val="2"/>
      </rPr>
      <t xml:space="preserve">数量構成比</t>
    </r>
  </si>
  <si>
    <r>
      <rPr>
        <b val="true"/>
        <sz val="9"/>
        <rFont val="Meiryo UI"/>
        <family val="0"/>
        <charset val="1"/>
      </rPr>
      <t xml:space="preserve">LEGS </t>
    </r>
    <r>
      <rPr>
        <b val="true"/>
        <sz val="9"/>
        <rFont val="WenQuanYi Zen Hei"/>
        <family val="2"/>
      </rPr>
      <t xml:space="preserve">金額構成比</t>
    </r>
  </si>
  <si>
    <t xml:space="preserve">東京対比（数量）</t>
  </si>
  <si>
    <t xml:space="preserve">東京対比（金額）</t>
  </si>
  <si>
    <t xml:space="preserve">ユーザー指定／入力値</t>
  </si>
  <si>
    <r>
      <rPr>
        <b val="true"/>
        <sz val="9"/>
        <rFont val="Meiryo UI"/>
        <family val="0"/>
        <charset val="1"/>
      </rPr>
      <t xml:space="preserve">LEGS</t>
    </r>
    <r>
      <rPr>
        <b val="true"/>
        <sz val="9"/>
        <rFont val="WenQuanYi Zen Hei"/>
        <family val="2"/>
      </rPr>
      <t xml:space="preserve">平均単価</t>
    </r>
  </si>
  <si>
    <r>
      <rPr>
        <b val="true"/>
        <sz val="11"/>
        <color rgb="FFC00000"/>
        <rFont val="WenQuanYi Zen Hei"/>
        <family val="2"/>
      </rPr>
      <t xml:space="preserve">■ 供給元別 金額構成比（各会場 会期全体。石川は初</t>
    </r>
    <r>
      <rPr>
        <b val="true"/>
        <sz val="11"/>
        <color rgb="FFC00000"/>
        <rFont val="Meiryo UI"/>
        <family val="0"/>
        <charset val="1"/>
      </rPr>
      <t xml:space="preserve">12</t>
    </r>
    <r>
      <rPr>
        <b val="true"/>
        <sz val="11"/>
        <color rgb="FFC00000"/>
        <rFont val="WenQuanYi Zen Hei"/>
        <family val="2"/>
      </rPr>
      <t xml:space="preserve">日実績）</t>
    </r>
  </si>
  <si>
    <t xml:space="preserve">供給元</t>
  </si>
  <si>
    <t xml:space="preserve">LEGS(42SKU)</t>
  </si>
  <si>
    <t xml:space="preserve">ムービック</t>
  </si>
  <si>
    <t xml:space="preserve">東宝</t>
  </si>
  <si>
    <t xml:space="preserve">MAPPA</t>
  </si>
  <si>
    <t xml:space="preserve">MBS</t>
  </si>
  <si>
    <t xml:space="preserve">書籍</t>
  </si>
  <si>
    <t xml:space="preserve">その他</t>
  </si>
  <si>
    <t xml:space="preserve">合計</t>
  </si>
  <si>
    <r>
      <rPr>
        <b val="true"/>
        <sz val="11"/>
        <color rgb="FFC00000"/>
        <rFont val="WenQuanYi Zen Hei"/>
        <family val="2"/>
      </rPr>
      <t xml:space="preserve">■ 新規</t>
    </r>
    <r>
      <rPr>
        <b val="true"/>
        <sz val="11"/>
        <color rgb="FFC00000"/>
        <rFont val="Meiryo UI"/>
        <family val="0"/>
        <charset val="1"/>
      </rPr>
      <t xml:space="preserve">SKU</t>
    </r>
    <r>
      <rPr>
        <b val="true"/>
        <sz val="11"/>
        <color rgb="FFC00000"/>
        <rFont val="WenQuanYi Zen Hei"/>
        <family val="2"/>
      </rPr>
      <t xml:space="preserve">投入状況（前会場までに存在しなかった</t>
    </r>
    <r>
      <rPr>
        <b val="true"/>
        <sz val="11"/>
        <color rgb="FFC00000"/>
        <rFont val="Meiryo UI"/>
        <family val="0"/>
        <charset val="1"/>
      </rPr>
      <t xml:space="preserve">JAN</t>
    </r>
    <r>
      <rPr>
        <b val="true"/>
        <sz val="11"/>
        <color rgb="FFC00000"/>
        <rFont val="WenQuanYi Zen Hei"/>
        <family val="2"/>
      </rPr>
      <t xml:space="preserve">）</t>
    </r>
  </si>
  <si>
    <t xml:space="preserve">会場</t>
  </si>
  <si>
    <r>
      <rPr>
        <b val="true"/>
        <sz val="9"/>
        <color rgb="FFFFFFFF"/>
        <rFont val="WenQuanYi Zen Hei"/>
        <family val="2"/>
      </rPr>
      <t xml:space="preserve">総</t>
    </r>
    <r>
      <rPr>
        <b val="true"/>
        <sz val="9"/>
        <color rgb="FFFFFFFF"/>
        <rFont val="Meiryo UI"/>
        <family val="0"/>
        <charset val="1"/>
      </rPr>
      <t xml:space="preserve">SKU</t>
    </r>
    <r>
      <rPr>
        <b val="true"/>
        <sz val="9"/>
        <color rgb="FFFFFFFF"/>
        <rFont val="WenQuanYi Zen Hei"/>
        <family val="2"/>
      </rPr>
      <t xml:space="preserve">数</t>
    </r>
  </si>
  <si>
    <r>
      <rPr>
        <b val="true"/>
        <sz val="9"/>
        <color rgb="FFFFFFFF"/>
        <rFont val="WenQuanYi Zen Hei"/>
        <family val="2"/>
      </rPr>
      <t xml:space="preserve">新規</t>
    </r>
    <r>
      <rPr>
        <b val="true"/>
        <sz val="9"/>
        <color rgb="FFFFFFFF"/>
        <rFont val="Meiryo UI"/>
        <family val="0"/>
        <charset val="1"/>
      </rPr>
      <t xml:space="preserve">SKU</t>
    </r>
    <r>
      <rPr>
        <b val="true"/>
        <sz val="9"/>
        <color rgb="FFFFFFFF"/>
        <rFont val="WenQuanYi Zen Hei"/>
        <family val="2"/>
      </rPr>
      <t xml:space="preserve">数</t>
    </r>
  </si>
  <si>
    <r>
      <rPr>
        <b val="true"/>
        <sz val="9"/>
        <color rgb="FFFFFFFF"/>
        <rFont val="WenQuanYi Zen Hei"/>
        <family val="2"/>
      </rPr>
      <t xml:space="preserve">新規の金額シェア</t>
    </r>
    <r>
      <rPr>
        <b val="true"/>
        <sz val="9"/>
        <color rgb="FFFFFFFF"/>
        <rFont val="Meiryo UI"/>
        <family val="0"/>
        <charset val="1"/>
      </rPr>
      <t xml:space="preserve">(</t>
    </r>
    <r>
      <rPr>
        <b val="true"/>
        <sz val="9"/>
        <color rgb="FFFFFFFF"/>
        <rFont val="WenQuanYi Zen Hei"/>
        <family val="2"/>
      </rPr>
      <t xml:space="preserve">初</t>
    </r>
    <r>
      <rPr>
        <b val="true"/>
        <sz val="9"/>
        <color rgb="FFFFFFFF"/>
        <rFont val="Meiryo UI"/>
        <family val="0"/>
        <charset val="1"/>
      </rPr>
      <t xml:space="preserve">12</t>
    </r>
    <r>
      <rPr>
        <b val="true"/>
        <sz val="9"/>
        <color rgb="FFFFFFFF"/>
        <rFont val="WenQuanYi Zen Hei"/>
        <family val="2"/>
      </rPr>
      <t xml:space="preserve">日</t>
    </r>
    <r>
      <rPr>
        <b val="true"/>
        <sz val="9"/>
        <color rgb="FFFFFFFF"/>
        <rFont val="Meiryo UI"/>
        <family val="0"/>
        <charset val="1"/>
      </rPr>
      <t xml:space="preserve">)</t>
    </r>
  </si>
  <si>
    <r>
      <rPr>
        <b val="true"/>
        <sz val="9"/>
        <color rgb="FFFFFFFF"/>
        <rFont val="Meiryo UI"/>
        <family val="0"/>
        <charset val="1"/>
      </rPr>
      <t xml:space="preserve">LEGS</t>
    </r>
    <r>
      <rPr>
        <b val="true"/>
        <sz val="9"/>
        <color rgb="FFFFFFFF"/>
        <rFont val="WenQuanYi Zen Hei"/>
        <family val="2"/>
      </rPr>
      <t xml:space="preserve">金額構成比</t>
    </r>
    <r>
      <rPr>
        <b val="true"/>
        <sz val="9"/>
        <color rgb="FFFFFFFF"/>
        <rFont val="Meiryo UI"/>
        <family val="0"/>
        <charset val="1"/>
      </rPr>
      <t xml:space="preserve">(</t>
    </r>
    <r>
      <rPr>
        <b val="true"/>
        <sz val="9"/>
        <color rgb="FFFFFFFF"/>
        <rFont val="WenQuanYi Zen Hei"/>
        <family val="2"/>
      </rPr>
      <t xml:space="preserve">初</t>
    </r>
    <r>
      <rPr>
        <b val="true"/>
        <sz val="9"/>
        <color rgb="FFFFFFFF"/>
        <rFont val="Meiryo UI"/>
        <family val="0"/>
        <charset val="1"/>
      </rPr>
      <t xml:space="preserve">12</t>
    </r>
    <r>
      <rPr>
        <b val="true"/>
        <sz val="9"/>
        <color rgb="FFFFFFFF"/>
        <rFont val="WenQuanYi Zen Hei"/>
        <family val="2"/>
      </rPr>
      <t xml:space="preserve">日</t>
    </r>
    <r>
      <rPr>
        <b val="true"/>
        <sz val="9"/>
        <color rgb="FFFFFFFF"/>
        <rFont val="Meiryo UI"/>
        <family val="0"/>
        <charset val="1"/>
      </rPr>
      <t xml:space="preserve">)</t>
    </r>
  </si>
  <si>
    <t xml:space="preserve">備考</t>
  </si>
  <si>
    <t xml:space="preserve">初回会場</t>
  </si>
  <si>
    <r>
      <rPr>
        <sz val="9"/>
        <rFont val="Meiryo UI"/>
        <family val="0"/>
        <charset val="1"/>
      </rPr>
      <t xml:space="preserve">MAPPA</t>
    </r>
    <r>
      <rPr>
        <sz val="9"/>
        <rFont val="WenQuanYi Zen Hei"/>
        <family val="2"/>
      </rPr>
      <t xml:space="preserve">記念商品</t>
    </r>
    <r>
      <rPr>
        <sz val="9"/>
        <rFont val="Meiryo UI"/>
        <family val="0"/>
        <charset val="1"/>
      </rPr>
      <t xml:space="preserve">26SKU</t>
    </r>
    <r>
      <rPr>
        <sz val="9"/>
        <rFont val="WenQuanYi Zen Hei"/>
        <family val="2"/>
      </rPr>
      <t xml:space="preserve">等を追加投入</t>
    </r>
  </si>
  <si>
    <t xml:space="preserve">小幅追加</t>
  </si>
  <si>
    <r>
      <rPr>
        <sz val="9"/>
        <rFont val="WenQuanYi Zen Hei"/>
        <family val="2"/>
      </rPr>
      <t xml:space="preserve">★新商品</t>
    </r>
    <r>
      <rPr>
        <sz val="9"/>
        <rFont val="Meiryo UI"/>
        <family val="0"/>
        <charset val="1"/>
      </rPr>
      <t xml:space="preserve">106SKU</t>
    </r>
    <r>
      <rPr>
        <sz val="9"/>
        <rFont val="WenQuanYi Zen Hei"/>
        <family val="2"/>
      </rPr>
      <t xml:space="preserve">投入（東宝一般</t>
    </r>
    <r>
      <rPr>
        <sz val="9"/>
        <rFont val="Meiryo UI"/>
        <family val="0"/>
        <charset val="1"/>
      </rPr>
      <t xml:space="preserve">66</t>
    </r>
    <r>
      <rPr>
        <sz val="9"/>
        <rFont val="WenQuanYi Zen Hei"/>
        <family val="2"/>
      </rPr>
      <t xml:space="preserve">・ムービック</t>
    </r>
    <r>
      <rPr>
        <sz val="9"/>
        <rFont val="Meiryo UI"/>
        <family val="0"/>
        <charset val="1"/>
      </rPr>
      <t xml:space="preserve">23</t>
    </r>
    <r>
      <rPr>
        <sz val="9"/>
        <rFont val="WenQuanYi Zen Hei"/>
        <family val="2"/>
      </rPr>
      <t xml:space="preserve">・</t>
    </r>
    <r>
      <rPr>
        <sz val="9"/>
        <rFont val="Meiryo UI"/>
        <family val="0"/>
        <charset val="1"/>
      </rPr>
      <t xml:space="preserve">MAPPA16</t>
    </r>
    <r>
      <rPr>
        <sz val="9"/>
        <rFont val="WenQuanYi Zen Hei"/>
        <family val="2"/>
      </rPr>
      <t xml:space="preserve">）</t>
    </r>
  </si>
  <si>
    <t xml:space="preserve">新規なし。品揃えは大阪と同一</t>
  </si>
  <si>
    <r>
      <rPr>
        <b val="true"/>
        <sz val="15"/>
        <color rgb="FF1F3864"/>
        <rFont val="WenQuanYi Zen Hei"/>
        <family val="2"/>
      </rPr>
      <t xml:space="preserve">③ 仙台会場以降 </t>
    </r>
    <r>
      <rPr>
        <b val="true"/>
        <sz val="15"/>
        <color rgb="FF1F3864"/>
        <rFont val="Meiryo UI"/>
        <family val="0"/>
        <charset val="1"/>
      </rPr>
      <t xml:space="preserve">4</t>
    </r>
    <r>
      <rPr>
        <b val="true"/>
        <sz val="15"/>
        <color rgb="FF1F3864"/>
        <rFont val="WenQuanYi Zen Hei"/>
        <family val="2"/>
      </rPr>
      <t xml:space="preserve">会場 </t>
    </r>
    <r>
      <rPr>
        <b val="true"/>
        <sz val="15"/>
        <color rgb="FF1F3864"/>
        <rFont val="Meiryo UI"/>
        <family val="0"/>
        <charset val="1"/>
      </rPr>
      <t xml:space="preserve">LEGS</t>
    </r>
    <r>
      <rPr>
        <b val="true"/>
        <sz val="15"/>
        <color rgb="FF1F3864"/>
        <rFont val="WenQuanYi Zen Hei"/>
        <family val="2"/>
      </rPr>
      <t xml:space="preserve">商品 需要予測</t>
    </r>
  </si>
  <si>
    <r>
      <rPr>
        <sz val="8"/>
        <color rgb="FF555555"/>
        <rFont val="WenQuanYi Zen Hei"/>
        <family val="2"/>
      </rPr>
      <t xml:space="preserve">会場物販売上＝東京</t>
    </r>
    <r>
      <rPr>
        <sz val="8"/>
        <color rgb="FF555555"/>
        <rFont val="Meiryo UI"/>
        <family val="0"/>
        <charset val="1"/>
      </rPr>
      <t xml:space="preserve">(</t>
    </r>
    <r>
      <rPr>
        <sz val="8"/>
        <color rgb="FF555555"/>
        <rFont val="WenQuanYi Zen Hei"/>
        <family val="2"/>
      </rPr>
      <t xml:space="preserve">初回</t>
    </r>
    <r>
      <rPr>
        <sz val="8"/>
        <color rgb="FF555555"/>
        <rFont val="Meiryo UI"/>
        <family val="0"/>
        <charset val="1"/>
      </rPr>
      <t xml:space="preserve">)</t>
    </r>
    <r>
      <rPr>
        <sz val="8"/>
        <color rgb="FF555555"/>
        <rFont val="WenQuanYi Zen Hei"/>
        <family val="2"/>
      </rPr>
      <t xml:space="preserve">実績 </t>
    </r>
    <r>
      <rPr>
        <sz val="8"/>
        <color rgb="FF555555"/>
        <rFont val="Meiryo UI"/>
        <family val="0"/>
        <charset val="1"/>
      </rPr>
      <t xml:space="preserve">× </t>
    </r>
    <r>
      <rPr>
        <sz val="8"/>
        <color rgb="FF555555"/>
        <rFont val="WenQuanYi Zen Hei"/>
        <family val="2"/>
      </rPr>
      <t xml:space="preserve">東京対比比率　／　</t>
    </r>
    <r>
      <rPr>
        <sz val="8"/>
        <color rgb="FF555555"/>
        <rFont val="Meiryo UI"/>
        <family val="0"/>
        <charset val="1"/>
      </rPr>
      <t xml:space="preserve">LEGS</t>
    </r>
    <r>
      <rPr>
        <sz val="8"/>
        <color rgb="FF555555"/>
        <rFont val="WenQuanYi Zen Hei"/>
        <family val="2"/>
      </rPr>
      <t xml:space="preserve">売上＝会場物販売上 </t>
    </r>
    <r>
      <rPr>
        <sz val="8"/>
        <color rgb="FF555555"/>
        <rFont val="Meiryo UI"/>
        <family val="0"/>
        <charset val="1"/>
      </rPr>
      <t xml:space="preserve">× LEGS</t>
    </r>
    <r>
      <rPr>
        <sz val="8"/>
        <color rgb="FF555555"/>
        <rFont val="WenQuanYi Zen Hei"/>
        <family val="2"/>
      </rPr>
      <t xml:space="preserve">金額構成比　／　</t>
    </r>
    <r>
      <rPr>
        <sz val="8"/>
        <color rgb="FF555555"/>
        <rFont val="Meiryo UI"/>
        <family val="0"/>
        <charset val="1"/>
      </rPr>
      <t xml:space="preserve">LEGS</t>
    </r>
    <r>
      <rPr>
        <sz val="8"/>
        <color rgb="FF555555"/>
        <rFont val="WenQuanYi Zen Hei"/>
        <family val="2"/>
      </rPr>
      <t xml:space="preserve">数量＝</t>
    </r>
    <r>
      <rPr>
        <sz val="8"/>
        <color rgb="FF555555"/>
        <rFont val="Meiryo UI"/>
        <family val="0"/>
        <charset val="1"/>
      </rPr>
      <t xml:space="preserve">LEGS</t>
    </r>
    <r>
      <rPr>
        <sz val="8"/>
        <color rgb="FF555555"/>
        <rFont val="WenQuanYi Zen Hei"/>
        <family val="2"/>
      </rPr>
      <t xml:space="preserve">売上 </t>
    </r>
    <r>
      <rPr>
        <sz val="8"/>
        <color rgb="FF555555"/>
        <rFont val="Meiryo UI"/>
        <family val="0"/>
        <charset val="1"/>
      </rPr>
      <t xml:space="preserve">÷ LEGS</t>
    </r>
    <r>
      <rPr>
        <sz val="8"/>
        <color rgb="FF555555"/>
        <rFont val="WenQuanYi Zen Hei"/>
        <family val="2"/>
      </rPr>
      <t xml:space="preserve">平均単価</t>
    </r>
  </si>
  <si>
    <r>
      <rPr>
        <sz val="8"/>
        <color rgb="FF555555"/>
        <rFont val="WenQuanYi Zen Hei"/>
        <family val="2"/>
      </rPr>
      <t xml:space="preserve">商品別按分＝札幌</t>
    </r>
    <r>
      <rPr>
        <sz val="8"/>
        <color rgb="FF555555"/>
        <rFont val="Meiryo UI"/>
        <family val="0"/>
        <charset val="1"/>
      </rPr>
      <t xml:space="preserve">20</t>
    </r>
    <r>
      <rPr>
        <sz val="8"/>
        <color rgb="FF555555"/>
        <rFont val="WenQuanYi Zen Hei"/>
        <family val="2"/>
      </rPr>
      <t xml:space="preserve">日実績の数量構成比 </t>
    </r>
    <r>
      <rPr>
        <sz val="8"/>
        <color rgb="FF555555"/>
        <rFont val="Meiryo UI"/>
        <family val="0"/>
        <charset val="1"/>
      </rPr>
      <t xml:space="preserve">× </t>
    </r>
    <r>
      <rPr>
        <sz val="8"/>
        <color rgb="FF555555"/>
        <rFont val="WenQuanYi Zen Hei"/>
        <family val="2"/>
      </rPr>
      <t xml:space="preserve">ウェイト ＋ 石川</t>
    </r>
    <r>
      <rPr>
        <sz val="8"/>
        <color rgb="FF555555"/>
        <rFont val="Meiryo UI"/>
        <family val="0"/>
        <charset val="1"/>
      </rPr>
      <t xml:space="preserve">18</t>
    </r>
    <r>
      <rPr>
        <sz val="8"/>
        <color rgb="FF555555"/>
        <rFont val="WenQuanYi Zen Hei"/>
        <family val="2"/>
      </rPr>
      <t xml:space="preserve">日予測の数量構成比 </t>
    </r>
    <r>
      <rPr>
        <sz val="8"/>
        <color rgb="FF555555"/>
        <rFont val="Meiryo UI"/>
        <family val="0"/>
        <charset val="1"/>
      </rPr>
      <t xml:space="preserve">× </t>
    </r>
    <r>
      <rPr>
        <sz val="8"/>
        <color rgb="FF555555"/>
        <rFont val="WenQuanYi Zen Hei"/>
        <family val="2"/>
      </rPr>
      <t xml:space="preserve">ウェイト（「前提・入力」で調整可）</t>
    </r>
  </si>
  <si>
    <r>
      <rPr>
        <sz val="8"/>
        <color rgb="FF555555"/>
        <rFont val="WenQuanYi Zen Hei"/>
        <family val="2"/>
      </rPr>
      <t xml:space="preserve">※商品別表の必要数合計は、会場</t>
    </r>
    <r>
      <rPr>
        <sz val="8"/>
        <color rgb="FF555555"/>
        <rFont val="Meiryo UI"/>
        <family val="0"/>
        <charset val="1"/>
      </rPr>
      <t xml:space="preserve">×</t>
    </r>
    <r>
      <rPr>
        <sz val="8"/>
        <color rgb="FF555555"/>
        <rFont val="WenQuanYi Zen Hei"/>
        <family val="2"/>
      </rPr>
      <t xml:space="preserve">商品ごとに整数丸めを行うため会場別表の合計と数個の差が生じる（発注判断に影響しない範囲）</t>
    </r>
  </si>
  <si>
    <t xml:space="preserve">■ 会場別 需要予測</t>
  </si>
  <si>
    <t xml:space="preserve">日数</t>
  </si>
  <si>
    <t xml:space="preserve">東京対比</t>
  </si>
  <si>
    <t xml:space="preserve">会場 全物販売上</t>
  </si>
  <si>
    <r>
      <rPr>
        <b val="true"/>
        <sz val="9"/>
        <color rgb="FFFFFFFF"/>
        <rFont val="Meiryo UI"/>
        <family val="0"/>
        <charset val="1"/>
      </rPr>
      <t xml:space="preserve">LEGS </t>
    </r>
    <r>
      <rPr>
        <b val="true"/>
        <sz val="9"/>
        <color rgb="FFFFFFFF"/>
        <rFont val="WenQuanYi Zen Hei"/>
        <family val="2"/>
      </rPr>
      <t xml:space="preserve">売上</t>
    </r>
  </si>
  <si>
    <r>
      <rPr>
        <b val="true"/>
        <sz val="9"/>
        <color rgb="FFFFFFFF"/>
        <rFont val="Meiryo UI"/>
        <family val="0"/>
        <charset val="1"/>
      </rPr>
      <t xml:space="preserve">LEGS </t>
    </r>
    <r>
      <rPr>
        <b val="true"/>
        <sz val="9"/>
        <color rgb="FFFFFFFF"/>
        <rFont val="WenQuanYi Zen Hei"/>
        <family val="2"/>
      </rPr>
      <t xml:space="preserve">数量</t>
    </r>
  </si>
  <si>
    <t xml:space="preserve">構成比根拠</t>
  </si>
  <si>
    <r>
      <rPr>
        <b val="true"/>
        <sz val="9"/>
        <rFont val="WenQuanYi Zen Hei"/>
        <family val="2"/>
      </rPr>
      <t xml:space="preserve">仙台 </t>
    </r>
    <r>
      <rPr>
        <b val="true"/>
        <sz val="9"/>
        <rFont val="Meiryo UI"/>
        <family val="0"/>
        <charset val="1"/>
      </rPr>
      <t xml:space="preserve">Ebeans</t>
    </r>
  </si>
  <si>
    <r>
      <rPr>
        <sz val="9"/>
        <rFont val="Meiryo UI"/>
        <family val="0"/>
        <charset val="1"/>
      </rPr>
      <t xml:space="preserve">26/9/5(</t>
    </r>
    <r>
      <rPr>
        <sz val="9"/>
        <rFont val="WenQuanYi Zen Hei"/>
        <family val="2"/>
      </rPr>
      <t xml:space="preserve">土</t>
    </r>
    <r>
      <rPr>
        <sz val="9"/>
        <rFont val="Meiryo UI"/>
        <family val="0"/>
        <charset val="1"/>
      </rPr>
      <t xml:space="preserve">)-10/4(</t>
    </r>
    <r>
      <rPr>
        <sz val="9"/>
        <rFont val="WenQuanYi Zen Hei"/>
        <family val="2"/>
      </rPr>
      <t xml:space="preserve">日</t>
    </r>
    <r>
      <rPr>
        <sz val="9"/>
        <rFont val="Meiryo UI"/>
        <family val="0"/>
        <charset val="1"/>
      </rPr>
      <t xml:space="preserve">)</t>
    </r>
  </si>
  <si>
    <r>
      <rPr>
        <sz val="9"/>
        <rFont val="WenQuanYi Zen Hei"/>
        <family val="2"/>
      </rPr>
      <t xml:space="preserve">ユーザー指定（コナン実績は</t>
    </r>
    <r>
      <rPr>
        <sz val="9"/>
        <rFont val="Meiryo UI"/>
        <family val="0"/>
        <charset val="1"/>
      </rPr>
      <t xml:space="preserve">10.5%</t>
    </r>
    <r>
      <rPr>
        <sz val="9"/>
        <rFont val="WenQuanYi Zen Hei"/>
        <family val="2"/>
      </rPr>
      <t xml:space="preserve">）</t>
    </r>
  </si>
  <si>
    <r>
      <rPr>
        <sz val="9"/>
        <rFont val="Meiryo UI"/>
        <family val="0"/>
        <charset val="1"/>
      </rPr>
      <t xml:space="preserve">26/12/16(</t>
    </r>
    <r>
      <rPr>
        <sz val="9"/>
        <rFont val="WenQuanYi Zen Hei"/>
        <family val="2"/>
      </rPr>
      <t xml:space="preserve">水</t>
    </r>
    <r>
      <rPr>
        <sz val="9"/>
        <rFont val="Meiryo UI"/>
        <family val="0"/>
        <charset val="1"/>
      </rPr>
      <t xml:space="preserve">)-27/1/7(</t>
    </r>
    <r>
      <rPr>
        <sz val="9"/>
        <rFont val="WenQuanYi Zen Hei"/>
        <family val="2"/>
      </rPr>
      <t xml:space="preserve">木</t>
    </r>
    <r>
      <rPr>
        <sz val="9"/>
        <rFont val="Meiryo UI"/>
        <family val="0"/>
        <charset val="1"/>
      </rPr>
      <t xml:space="preserve">)</t>
    </r>
  </si>
  <si>
    <t xml:space="preserve">★要確認：指定なきため仮置き</t>
  </si>
  <si>
    <t xml:space="preserve">27/3/15-4/4</t>
  </si>
  <si>
    <t xml:space="preserve">ユーザー指定</t>
  </si>
  <si>
    <r>
      <rPr>
        <sz val="9"/>
        <rFont val="Meiryo UI"/>
        <family val="0"/>
        <charset val="1"/>
      </rPr>
      <t xml:space="preserve">27</t>
    </r>
    <r>
      <rPr>
        <sz val="9"/>
        <rFont val="WenQuanYi Zen Hei"/>
        <family val="2"/>
      </rPr>
      <t xml:space="preserve">年</t>
    </r>
    <r>
      <rPr>
        <sz val="9"/>
        <rFont val="Meiryo UI"/>
        <family val="0"/>
        <charset val="1"/>
      </rPr>
      <t xml:space="preserve">4-5</t>
    </r>
    <r>
      <rPr>
        <sz val="9"/>
        <rFont val="WenQuanYi Zen Hei"/>
        <family val="2"/>
      </rPr>
      <t xml:space="preserve">月</t>
    </r>
  </si>
  <si>
    <r>
      <rPr>
        <sz val="9"/>
        <rFont val="WenQuanYi Zen Hei"/>
        <family val="2"/>
      </rPr>
      <t xml:space="preserve">ユーザー指定（初回東京の</t>
    </r>
    <r>
      <rPr>
        <sz val="9"/>
        <rFont val="Meiryo UI"/>
        <family val="0"/>
        <charset val="1"/>
      </rPr>
      <t xml:space="preserve">50%</t>
    </r>
    <r>
      <rPr>
        <sz val="9"/>
        <rFont val="WenQuanYi Zen Hei"/>
        <family val="2"/>
      </rPr>
      <t xml:space="preserve">）</t>
    </r>
  </si>
  <si>
    <r>
      <rPr>
        <b val="true"/>
        <sz val="9"/>
        <rFont val="WenQuanYi Zen Hei"/>
        <family val="2"/>
      </rPr>
      <t xml:space="preserve">仙台以降 </t>
    </r>
    <r>
      <rPr>
        <b val="true"/>
        <sz val="9"/>
        <rFont val="Meiryo UI"/>
        <family val="0"/>
        <charset val="1"/>
      </rPr>
      <t xml:space="preserve">4</t>
    </r>
    <r>
      <rPr>
        <b val="true"/>
        <sz val="9"/>
        <rFont val="WenQuanYi Zen Hei"/>
        <family val="2"/>
      </rPr>
      <t xml:space="preserve">会場 合計</t>
    </r>
  </si>
  <si>
    <r>
      <rPr>
        <b val="true"/>
        <sz val="11"/>
        <color rgb="FFC00000"/>
        <rFont val="WenQuanYi Zen Hei"/>
        <family val="2"/>
      </rPr>
      <t xml:space="preserve">■ 在庫収支（</t>
    </r>
    <r>
      <rPr>
        <b val="true"/>
        <sz val="11"/>
        <color rgb="FFC00000"/>
        <rFont val="Meiryo UI"/>
        <family val="0"/>
        <charset val="1"/>
      </rPr>
      <t xml:space="preserve">LEGS 42SKU </t>
    </r>
    <r>
      <rPr>
        <b val="true"/>
        <sz val="11"/>
        <color rgb="FFC00000"/>
        <rFont val="WenQuanYi Zen Hei"/>
        <family val="2"/>
      </rPr>
      <t xml:space="preserve">合計）</t>
    </r>
  </si>
  <si>
    <r>
      <rPr>
        <b val="true"/>
        <sz val="9"/>
        <rFont val="WenQuanYi Zen Hei"/>
        <family val="2"/>
      </rPr>
      <t xml:space="preserve">残在庫想定（台帳 梅田まで</t>
    </r>
    <r>
      <rPr>
        <b val="true"/>
        <sz val="9"/>
        <rFont val="Meiryo UI"/>
        <family val="0"/>
        <charset val="1"/>
      </rPr>
      <t xml:space="preserve">(SET)</t>
    </r>
    <r>
      <rPr>
        <b val="true"/>
        <sz val="9"/>
        <rFont val="WenQuanYi Zen Hei"/>
        <family val="2"/>
      </rPr>
      <t xml:space="preserve">／総計）</t>
    </r>
  </si>
  <si>
    <t xml:space="preserve">在庫フロー台帳の最終「実在庫」列。会場ごとの追加発注→販売→検品を積み上げた値</t>
  </si>
  <si>
    <t xml:space="preserve">　うち札幌会場へ納品</t>
  </si>
  <si>
    <t xml:space="preserve">札幌の販売可能数。台帳・ロジ在庫はこの出荷までを反映している</t>
  </si>
  <si>
    <t xml:space="preserve">★倉庫残（札幌出荷後）</t>
  </si>
  <si>
    <r>
      <rPr>
        <sz val="8"/>
        <color rgb="FF555555"/>
        <rFont val="WenQuanYi Zen Hei"/>
        <family val="2"/>
      </rPr>
      <t xml:space="preserve">ロジ（倉庫</t>
    </r>
    <r>
      <rPr>
        <sz val="8"/>
        <color rgb="FF555555"/>
        <rFont val="Meiryo UI"/>
        <family val="0"/>
        <charset val="1"/>
      </rPr>
      <t xml:space="preserve">WMS</t>
    </r>
    <r>
      <rPr>
        <sz val="8"/>
        <color rgb="FF555555"/>
        <rFont val="WenQuanYi Zen Hei"/>
        <family val="2"/>
      </rPr>
      <t xml:space="preserve">）</t>
    </r>
    <r>
      <rPr>
        <sz val="8"/>
        <color rgb="FF555555"/>
        <rFont val="Meiryo UI"/>
        <family val="0"/>
        <charset val="1"/>
      </rPr>
      <t xml:space="preserve">2026/8/5</t>
    </r>
    <r>
      <rPr>
        <sz val="8"/>
        <color rgb="FF555555"/>
        <rFont val="WenQuanYi Zen Hei"/>
        <family val="2"/>
      </rPr>
      <t xml:space="preserve">時点の実棚を採用。台帳から計算した </t>
    </r>
    <r>
      <rPr>
        <sz val="8"/>
        <color rgb="FF555555"/>
        <rFont val="Meiryo UI"/>
        <family val="0"/>
        <charset val="1"/>
      </rPr>
      <t xml:space="preserve">226,015</t>
    </r>
    <r>
      <rPr>
        <sz val="8"/>
        <color rgb="FF555555"/>
        <rFont val="WenQuanYi Zen Hei"/>
        <family val="2"/>
      </rPr>
      <t xml:space="preserve">個 との差 </t>
    </r>
    <r>
      <rPr>
        <sz val="8"/>
        <color rgb="FF555555"/>
        <rFont val="Meiryo UI"/>
        <family val="0"/>
        <charset val="1"/>
      </rPr>
      <t xml:space="preserve">-28053</t>
    </r>
    <r>
      <rPr>
        <sz val="8"/>
        <color rgb="FF555555"/>
        <rFont val="WenQuanYi Zen Hei"/>
        <family val="2"/>
      </rPr>
      <t xml:space="preserve">個</t>
    </r>
  </si>
  <si>
    <r>
      <rPr>
        <b val="true"/>
        <sz val="9"/>
        <rFont val="WenQuanYi Zen Hei"/>
        <family val="2"/>
      </rPr>
      <t xml:space="preserve">札幌 会期</t>
    </r>
    <r>
      <rPr>
        <b val="true"/>
        <sz val="9"/>
        <rFont val="Meiryo UI"/>
        <family val="0"/>
        <charset val="1"/>
      </rPr>
      <t xml:space="preserve">20</t>
    </r>
    <r>
      <rPr>
        <b val="true"/>
        <sz val="9"/>
        <rFont val="WenQuanYi Zen Hei"/>
        <family val="2"/>
      </rPr>
      <t xml:space="preserve">日 実績販売数</t>
    </r>
  </si>
  <si>
    <t xml:space="preserve">会期終了済みの確定値</t>
  </si>
  <si>
    <t xml:space="preserve">札幌 会期末 残（実績）</t>
  </si>
  <si>
    <t xml:space="preserve">販売可能数 − 実績販売数。石川会場へ転送された分と倉庫へ戻った分の合計</t>
  </si>
  <si>
    <t xml:space="preserve">　うち販売不可（日報未反映の持出）</t>
  </si>
  <si>
    <t xml:space="preserve">日報に載っていない持出がある場合のみここで控除する。現在なし</t>
  </si>
  <si>
    <t xml:space="preserve">［参考］会場での持出・不良・ｻﾝﾌﾟﾙ</t>
  </si>
  <si>
    <r>
      <rPr>
        <sz val="8"/>
        <color rgb="FF555555"/>
        <rFont val="WenQuanYi Zen Hei"/>
        <family val="2"/>
      </rPr>
      <t xml:space="preserve">日報の「販売可能数＝納品数−持出・不良・ｻﾝﾌﾟﾙ」で既に控除済み。二重に引かないため供給可能在庫の計算には入れていない。内訳：東京 </t>
    </r>
    <r>
      <rPr>
        <sz val="8"/>
        <color rgb="FF555555"/>
        <rFont val="Meiryo UI"/>
        <family val="0"/>
        <charset val="1"/>
      </rPr>
      <t xml:space="preserve">16</t>
    </r>
    <r>
      <rPr>
        <sz val="8"/>
        <color rgb="FF555555"/>
        <rFont val="WenQuanYi Zen Hei"/>
        <family val="2"/>
      </rPr>
      <t xml:space="preserve">個／名古屋 </t>
    </r>
    <r>
      <rPr>
        <sz val="8"/>
        <color rgb="FF555555"/>
        <rFont val="Meiryo UI"/>
        <family val="0"/>
        <charset val="1"/>
      </rPr>
      <t xml:space="preserve">21</t>
    </r>
    <r>
      <rPr>
        <sz val="8"/>
        <color rgb="FF555555"/>
        <rFont val="WenQuanYi Zen Hei"/>
        <family val="2"/>
      </rPr>
      <t xml:space="preserve">個／博多 </t>
    </r>
    <r>
      <rPr>
        <sz val="8"/>
        <color rgb="FF555555"/>
        <rFont val="Meiryo UI"/>
        <family val="0"/>
        <charset val="1"/>
      </rPr>
      <t xml:space="preserve">4</t>
    </r>
    <r>
      <rPr>
        <sz val="8"/>
        <color rgb="FF555555"/>
        <rFont val="WenQuanYi Zen Hei"/>
        <family val="2"/>
      </rPr>
      <t xml:space="preserve">個／大阪 </t>
    </r>
    <r>
      <rPr>
        <sz val="8"/>
        <color rgb="FF555555"/>
        <rFont val="Meiryo UI"/>
        <family val="0"/>
        <charset val="1"/>
      </rPr>
      <t xml:space="preserve">13</t>
    </r>
    <r>
      <rPr>
        <sz val="8"/>
        <color rgb="FF555555"/>
        <rFont val="WenQuanYi Zen Hei"/>
        <family val="2"/>
      </rPr>
      <t xml:space="preserve">個／札幌 </t>
    </r>
    <r>
      <rPr>
        <sz val="8"/>
        <color rgb="FF555555"/>
        <rFont val="Meiryo UI"/>
        <family val="0"/>
        <charset val="1"/>
      </rPr>
      <t xml:space="preserve">4</t>
    </r>
    <r>
      <rPr>
        <sz val="8"/>
        <color rgb="FF555555"/>
        <rFont val="WenQuanYi Zen Hei"/>
        <family val="2"/>
      </rPr>
      <t xml:space="preserve">個</t>
    </r>
  </si>
  <si>
    <t xml:space="preserve">石川へ納品（初回＋転送＋追納）</t>
  </si>
  <si>
    <r>
      <rPr>
        <sz val="8"/>
        <color rgb="FF555555"/>
        <rFont val="Meiryo UI"/>
        <family val="0"/>
        <charset val="1"/>
      </rPr>
      <t xml:space="preserve">2026/8 </t>
    </r>
    <r>
      <rPr>
        <sz val="8"/>
        <color rgb="FF555555"/>
        <rFont val="WenQuanYi Zen Hei"/>
        <family val="2"/>
      </rPr>
      <t xml:space="preserve">石川</t>
    </r>
    <r>
      <rPr>
        <sz val="8"/>
        <color rgb="FF555555"/>
        <rFont val="Meiryo UI"/>
        <family val="0"/>
        <charset val="1"/>
      </rPr>
      <t xml:space="preserve">(</t>
    </r>
    <r>
      <rPr>
        <sz val="8"/>
        <color rgb="FF555555"/>
        <rFont val="WenQuanYi Zen Hei"/>
        <family val="2"/>
      </rPr>
      <t xml:space="preserve">金沢</t>
    </r>
    <r>
      <rPr>
        <sz val="8"/>
        <color rgb="FF555555"/>
        <rFont val="Meiryo UI"/>
        <family val="0"/>
        <charset val="1"/>
      </rPr>
      <t xml:space="preserve">)</t>
    </r>
    <r>
      <rPr>
        <sz val="8"/>
        <color rgb="FF555555"/>
        <rFont val="WenQuanYi Zen Hei"/>
        <family val="2"/>
      </rPr>
      <t xml:space="preserve">会場への札幌転送分＋</t>
    </r>
    <r>
      <rPr>
        <sz val="8"/>
        <color rgb="FF555555"/>
        <rFont val="Meiryo UI"/>
        <family val="0"/>
        <charset val="1"/>
      </rPr>
      <t xml:space="preserve">8/22</t>
    </r>
    <r>
      <rPr>
        <sz val="8"/>
        <color rgb="FF555555"/>
        <rFont val="WenQuanYi Zen Hei"/>
        <family val="2"/>
      </rPr>
      <t xml:space="preserve">追納（日報の販売可能数に反映済み）を含む</t>
    </r>
  </si>
  <si>
    <r>
      <rPr>
        <b val="true"/>
        <sz val="9"/>
        <rFont val="WenQuanYi Zen Hei"/>
        <family val="2"/>
      </rPr>
      <t xml:space="preserve">石川 会期</t>
    </r>
    <r>
      <rPr>
        <b val="true"/>
        <sz val="9"/>
        <rFont val="Meiryo UI"/>
        <family val="0"/>
        <charset val="1"/>
      </rPr>
      <t xml:space="preserve">18</t>
    </r>
    <r>
      <rPr>
        <b val="true"/>
        <sz val="9"/>
        <rFont val="WenQuanYi Zen Hei"/>
        <family val="2"/>
      </rPr>
      <t xml:space="preserve">日 予測販売数</t>
    </r>
  </si>
  <si>
    <t xml:space="preserve">仙台以降 供給可能在庫 合計</t>
  </si>
  <si>
    <r>
      <rPr>
        <sz val="8"/>
        <color rgb="FF555555"/>
        <rFont val="WenQuanYi Zen Hei"/>
        <family val="2"/>
      </rPr>
      <t xml:space="preserve">＝倉庫残 ＋ 札幌会期末残 − 販売不可 − 石川会期予測販売。石川への納品はこの</t>
    </r>
    <r>
      <rPr>
        <sz val="8"/>
        <color rgb="FF555555"/>
        <rFont val="Meiryo UI"/>
        <family val="0"/>
        <charset val="1"/>
      </rPr>
      <t xml:space="preserve">2</t>
    </r>
    <r>
      <rPr>
        <sz val="8"/>
        <color rgb="FF555555"/>
        <rFont val="WenQuanYi Zen Hei"/>
        <family val="2"/>
      </rPr>
      <t xml:space="preserve">つから出ているので相殺される</t>
    </r>
  </si>
  <si>
    <t xml:space="preserve">確定済み追加発注（入荷予定）</t>
  </si>
  <si>
    <r>
      <rPr>
        <sz val="8"/>
        <color rgb="FF555555"/>
        <rFont val="WenQuanYi Zen Hei"/>
        <family val="2"/>
      </rPr>
      <t xml:space="preserve">発注判断済みの分。宿儺の指風お菓子 </t>
    </r>
    <r>
      <rPr>
        <sz val="8"/>
        <color rgb="FF555555"/>
        <rFont val="Meiryo UI"/>
        <family val="0"/>
        <charset val="1"/>
      </rPr>
      <t xml:space="preserve">1,200SET</t>
    </r>
    <r>
      <rPr>
        <sz val="8"/>
        <color rgb="FF555555"/>
        <rFont val="WenQuanYi Zen Hei"/>
        <family val="2"/>
      </rPr>
      <t xml:space="preserve">（鳥取島根 夢みなとタワー入荷）</t>
    </r>
  </si>
  <si>
    <r>
      <rPr>
        <b val="true"/>
        <sz val="9"/>
        <rFont val="WenQuanYi Zen Hei"/>
        <family val="2"/>
      </rPr>
      <t xml:space="preserve">仙台以降 </t>
    </r>
    <r>
      <rPr>
        <b val="true"/>
        <sz val="9"/>
        <rFont val="Meiryo UI"/>
        <family val="0"/>
        <charset val="1"/>
      </rPr>
      <t xml:space="preserve">4</t>
    </r>
    <r>
      <rPr>
        <b val="true"/>
        <sz val="9"/>
        <rFont val="WenQuanYi Zen Hei"/>
        <family val="2"/>
      </rPr>
      <t xml:space="preserve">会場 必要数</t>
    </r>
  </si>
  <si>
    <t xml:space="preserve">全体過不足（供給可能＋確定発注−必要）</t>
  </si>
  <si>
    <t xml:space="preserve">プラス＝全体では在庫充足。ただし商品別には過不足が生じる</t>
  </si>
  <si>
    <t xml:space="preserve">追加生産 必要数（商品別不足の合計）</t>
  </si>
  <si>
    <t xml:space="preserve">下表の商品別「追加生産必要数」の合計。全体余剰でも品目別には不足が出る</t>
  </si>
  <si>
    <t xml:space="preserve">■ 商品別 仙台以降 必要数と在庫過不足</t>
  </si>
  <si>
    <r>
      <rPr>
        <b val="true"/>
        <sz val="9"/>
        <color rgb="FFFFFFFF"/>
        <rFont val="WenQuanYi Zen Hei"/>
        <family val="2"/>
      </rPr>
      <t xml:space="preserve">札幌⑤
</t>
    </r>
    <r>
      <rPr>
        <b val="true"/>
        <sz val="9"/>
        <color rgb="FFFFFFFF"/>
        <rFont val="Meiryo UI"/>
        <family val="0"/>
        <charset val="1"/>
      </rPr>
      <t xml:space="preserve">20</t>
    </r>
    <r>
      <rPr>
        <b val="true"/>
        <sz val="9"/>
        <color rgb="FFFFFFFF"/>
        <rFont val="WenQuanYi Zen Hei"/>
        <family val="2"/>
      </rPr>
      <t xml:space="preserve">日実績</t>
    </r>
  </si>
  <si>
    <t xml:space="preserve">札幌
構成比</t>
  </si>
  <si>
    <r>
      <rPr>
        <b val="true"/>
        <sz val="9"/>
        <color rgb="FFFFFFFF"/>
        <rFont val="WenQuanYi Zen Hei"/>
        <family val="2"/>
      </rPr>
      <t xml:space="preserve">石川⑥
</t>
    </r>
    <r>
      <rPr>
        <b val="true"/>
        <sz val="9"/>
        <color rgb="FFFFFFFF"/>
        <rFont val="Meiryo UI"/>
        <family val="0"/>
        <charset val="1"/>
      </rPr>
      <t xml:space="preserve">18</t>
    </r>
    <r>
      <rPr>
        <b val="true"/>
        <sz val="9"/>
        <color rgb="FFFFFFFF"/>
        <rFont val="WenQuanYi Zen Hei"/>
        <family val="2"/>
      </rPr>
      <t xml:space="preserve">日予測</t>
    </r>
  </si>
  <si>
    <t xml:space="preserve">石川
構成比</t>
  </si>
  <si>
    <t xml:space="preserve">採用
按分構成比</t>
  </si>
  <si>
    <t xml:space="preserve">仙台
必要数</t>
  </si>
  <si>
    <t xml:space="preserve">神戸阪急
必要数</t>
  </si>
  <si>
    <t xml:space="preserve">鳥取島根
必要数</t>
  </si>
  <si>
    <t xml:space="preserve">東京凱旋
必要数</t>
  </si>
  <si>
    <t xml:space="preserve">仙台以降
必要数 計</t>
  </si>
  <si>
    <r>
      <rPr>
        <b val="true"/>
        <sz val="9"/>
        <color rgb="FFFFFFFF"/>
        <rFont val="WenQuanYi Zen Hei"/>
        <family val="2"/>
      </rPr>
      <t xml:space="preserve">★残在庫想定
</t>
    </r>
    <r>
      <rPr>
        <b val="true"/>
        <sz val="9"/>
        <color rgb="FFFFFFFF"/>
        <rFont val="Meiryo UI"/>
        <family val="0"/>
        <charset val="1"/>
      </rPr>
      <t xml:space="preserve">(</t>
    </r>
    <r>
      <rPr>
        <b val="true"/>
        <sz val="9"/>
        <color rgb="FFFFFFFF"/>
        <rFont val="WenQuanYi Zen Hei"/>
        <family val="2"/>
      </rPr>
      <t xml:space="preserve">台帳 梅田まで</t>
    </r>
    <r>
      <rPr>
        <b val="true"/>
        <sz val="9"/>
        <color rgb="FFFFFFFF"/>
        <rFont val="Meiryo UI"/>
        <family val="0"/>
        <charset val="1"/>
      </rPr>
      <t xml:space="preserve">)</t>
    </r>
  </si>
  <si>
    <t xml:space="preserve">うち札幌
へ納品</t>
  </si>
  <si>
    <r>
      <rPr>
        <b val="true"/>
        <sz val="9"/>
        <color rgb="FFFFFFFF"/>
        <rFont val="WenQuanYi Zen Hei"/>
        <family val="2"/>
      </rPr>
      <t xml:space="preserve">★ロジ在庫
</t>
    </r>
    <r>
      <rPr>
        <b val="true"/>
        <sz val="9"/>
        <color rgb="FFFFFFFF"/>
        <rFont val="Meiryo UI"/>
        <family val="0"/>
        <charset val="1"/>
      </rPr>
      <t xml:space="preserve">(2026/8/5 </t>
    </r>
    <r>
      <rPr>
        <b val="true"/>
        <sz val="9"/>
        <color rgb="FFFFFFFF"/>
        <rFont val="WenQuanYi Zen Hei"/>
        <family val="2"/>
      </rPr>
      <t xml:space="preserve">実棚</t>
    </r>
    <r>
      <rPr>
        <b val="true"/>
        <sz val="9"/>
        <color rgb="FFFFFFFF"/>
        <rFont val="Meiryo UI"/>
        <family val="0"/>
        <charset val="1"/>
      </rPr>
      <t xml:space="preserve">)</t>
    </r>
  </si>
  <si>
    <t xml:space="preserve">差引
倉庫残</t>
  </si>
  <si>
    <t xml:space="preserve">札幌会期末
残（実績）</t>
  </si>
  <si>
    <r>
      <rPr>
        <b val="true"/>
        <sz val="9"/>
        <color rgb="FFFFFFFF"/>
        <rFont val="WenQuanYi Zen Hei"/>
        <family val="2"/>
      </rPr>
      <t xml:space="preserve">販売不可
</t>
    </r>
    <r>
      <rPr>
        <b val="true"/>
        <sz val="9"/>
        <color rgb="FFFFFFFF"/>
        <rFont val="Meiryo UI"/>
        <family val="0"/>
        <charset val="1"/>
      </rPr>
      <t xml:space="preserve">(</t>
    </r>
    <r>
      <rPr>
        <b val="true"/>
        <sz val="9"/>
        <color rgb="FFFFFFFF"/>
        <rFont val="WenQuanYi Zen Hei"/>
        <family val="2"/>
      </rPr>
      <t xml:space="preserve">日報未反映</t>
    </r>
    <r>
      <rPr>
        <b val="true"/>
        <sz val="9"/>
        <color rgb="FFFFFFFF"/>
        <rFont val="Meiryo UI"/>
        <family val="0"/>
        <charset val="1"/>
      </rPr>
      <t xml:space="preserve">)</t>
    </r>
  </si>
  <si>
    <r>
      <rPr>
        <b val="true"/>
        <sz val="9"/>
        <color rgb="FFFFFFFF"/>
        <rFont val="WenQuanYi Zen Hei"/>
        <family val="2"/>
      </rPr>
      <t xml:space="preserve">石川へ納品
</t>
    </r>
    <r>
      <rPr>
        <b val="true"/>
        <sz val="9"/>
        <color rgb="FFFFFFFF"/>
        <rFont val="Meiryo UI"/>
        <family val="0"/>
        <charset val="1"/>
      </rPr>
      <t xml:space="preserve">(</t>
    </r>
    <r>
      <rPr>
        <b val="true"/>
        <sz val="9"/>
        <color rgb="FFFFFFFF"/>
        <rFont val="WenQuanYi Zen Hei"/>
        <family val="2"/>
      </rPr>
      <t xml:space="preserve">初回</t>
    </r>
    <r>
      <rPr>
        <b val="true"/>
        <sz val="9"/>
        <color rgb="FFFFFFFF"/>
        <rFont val="Meiryo UI"/>
        <family val="0"/>
        <charset val="1"/>
      </rPr>
      <t xml:space="preserve">+</t>
    </r>
    <r>
      <rPr>
        <b val="true"/>
        <sz val="9"/>
        <color rgb="FFFFFFFF"/>
        <rFont val="WenQuanYi Zen Hei"/>
        <family val="2"/>
      </rPr>
      <t xml:space="preserve">転送</t>
    </r>
    <r>
      <rPr>
        <b val="true"/>
        <sz val="9"/>
        <color rgb="FFFFFFFF"/>
        <rFont val="Meiryo UI"/>
        <family val="0"/>
        <charset val="1"/>
      </rPr>
      <t xml:space="preserve">+</t>
    </r>
    <r>
      <rPr>
        <b val="true"/>
        <sz val="9"/>
        <color rgb="FFFFFFFF"/>
        <rFont val="WenQuanYi Zen Hei"/>
        <family val="2"/>
      </rPr>
      <t xml:space="preserve">追納</t>
    </r>
    <r>
      <rPr>
        <b val="true"/>
        <sz val="9"/>
        <color rgb="FFFFFFFF"/>
        <rFont val="Meiryo UI"/>
        <family val="0"/>
        <charset val="1"/>
      </rPr>
      <t xml:space="preserve">)</t>
    </r>
  </si>
  <si>
    <r>
      <rPr>
        <b val="true"/>
        <sz val="9"/>
        <color rgb="FFFFFFFF"/>
        <rFont val="WenQuanYi Zen Hei"/>
        <family val="2"/>
      </rPr>
      <t xml:space="preserve">石川 会期</t>
    </r>
    <r>
      <rPr>
        <b val="true"/>
        <sz val="9"/>
        <color rgb="FFFFFFFF"/>
        <rFont val="Meiryo UI"/>
        <family val="0"/>
        <charset val="1"/>
      </rPr>
      <t xml:space="preserve">18</t>
    </r>
    <r>
      <rPr>
        <b val="true"/>
        <sz val="9"/>
        <color rgb="FFFFFFFF"/>
        <rFont val="WenQuanYi Zen Hei"/>
        <family val="2"/>
      </rPr>
      <t xml:space="preserve">日
予測販売</t>
    </r>
  </si>
  <si>
    <t xml:space="preserve">仙台以降
供給可能計</t>
  </si>
  <si>
    <r>
      <rPr>
        <b val="true"/>
        <sz val="9"/>
        <color rgb="FFFFFFFF"/>
        <rFont val="WenQuanYi Zen Hei"/>
        <family val="2"/>
      </rPr>
      <t xml:space="preserve">確定発注
</t>
    </r>
    <r>
      <rPr>
        <b val="true"/>
        <sz val="9"/>
        <color rgb="FFFFFFFF"/>
        <rFont val="Meiryo UI"/>
        <family val="0"/>
        <charset val="1"/>
      </rPr>
      <t xml:space="preserve">(</t>
    </r>
    <r>
      <rPr>
        <b val="true"/>
        <sz val="9"/>
        <color rgb="FFFFFFFF"/>
        <rFont val="WenQuanYi Zen Hei"/>
        <family val="2"/>
      </rPr>
      <t xml:space="preserve">入荷予定</t>
    </r>
    <r>
      <rPr>
        <b val="true"/>
        <sz val="9"/>
        <color rgb="FFFFFFFF"/>
        <rFont val="Meiryo UI"/>
        <family val="0"/>
        <charset val="1"/>
      </rPr>
      <t xml:space="preserve">)</t>
    </r>
  </si>
  <si>
    <r>
      <rPr>
        <b val="true"/>
        <sz val="9"/>
        <color rgb="FFFFFFFF"/>
        <rFont val="WenQuanYi Zen Hei"/>
        <family val="2"/>
      </rPr>
      <t xml:space="preserve">過不足
</t>
    </r>
    <r>
      <rPr>
        <b val="true"/>
        <sz val="9"/>
        <color rgb="FFFFFFFF"/>
        <rFont val="Meiryo UI"/>
        <family val="0"/>
        <charset val="1"/>
      </rPr>
      <t xml:space="preserve">(</t>
    </r>
    <r>
      <rPr>
        <b val="true"/>
        <sz val="9"/>
        <color rgb="FFFFFFFF"/>
        <rFont val="WenQuanYi Zen Hei"/>
        <family val="2"/>
      </rPr>
      <t xml:space="preserve">必要−供給可能−確定</t>
    </r>
    <r>
      <rPr>
        <b val="true"/>
        <sz val="9"/>
        <color rgb="FFFFFFFF"/>
        <rFont val="Meiryo UI"/>
        <family val="0"/>
        <charset val="1"/>
      </rPr>
      <t xml:space="preserve">)</t>
    </r>
  </si>
  <si>
    <t xml:space="preserve">追加生産
必要数</t>
  </si>
  <si>
    <r>
      <rPr>
        <b val="true"/>
        <sz val="9"/>
        <color rgb="FFFFFFFF"/>
        <rFont val="WenQuanYi Zen Hei"/>
        <family val="2"/>
      </rPr>
      <t xml:space="preserve">推奨発注数
</t>
    </r>
    <r>
      <rPr>
        <b val="true"/>
        <sz val="9"/>
        <color rgb="FFFFFFFF"/>
        <rFont val="Meiryo UI"/>
        <family val="0"/>
        <charset val="1"/>
      </rPr>
      <t xml:space="preserve">(</t>
    </r>
    <r>
      <rPr>
        <b val="true"/>
        <sz val="9"/>
        <color rgb="FFFFFFFF"/>
        <rFont val="WenQuanYi Zen Hei"/>
        <family val="2"/>
      </rPr>
      <t xml:space="preserve">安全率込</t>
    </r>
    <r>
      <rPr>
        <b val="true"/>
        <sz val="9"/>
        <color rgb="FFFFFFFF"/>
        <rFont val="Meiryo UI"/>
        <family val="0"/>
        <charset val="1"/>
      </rPr>
      <t xml:space="preserve">)</t>
    </r>
  </si>
  <si>
    <r>
      <rPr>
        <b val="true"/>
        <sz val="15"/>
        <color rgb="FF1F3864"/>
        <rFont val="WenQuanYi Zen Hei"/>
        <family val="2"/>
      </rPr>
      <t xml:space="preserve">④ 追加発注 必要有無の判定（石川会期中 ＋ 仙台以降</t>
    </r>
    <r>
      <rPr>
        <b val="true"/>
        <sz val="15"/>
        <color rgb="FF1F3864"/>
        <rFont val="Meiryo UI"/>
        <family val="0"/>
        <charset val="1"/>
      </rPr>
      <t xml:space="preserve">4</t>
    </r>
    <r>
      <rPr>
        <b val="true"/>
        <sz val="15"/>
        <color rgb="FF1F3864"/>
        <rFont val="WenQuanYi Zen Hei"/>
        <family val="2"/>
      </rPr>
      <t xml:space="preserve">会場）</t>
    </r>
  </si>
  <si>
    <r>
      <rPr>
        <sz val="8"/>
        <color rgb="FF555555"/>
        <rFont val="WenQuanYi Zen Hei"/>
        <family val="2"/>
      </rPr>
      <t xml:space="preserve">【石川会期中】会期</t>
    </r>
    <r>
      <rPr>
        <sz val="8"/>
        <color rgb="FF555555"/>
        <rFont val="Meiryo UI"/>
        <family val="0"/>
        <charset val="1"/>
      </rPr>
      <t xml:space="preserve">18</t>
    </r>
    <r>
      <rPr>
        <sz val="8"/>
        <color rgb="FF555555"/>
        <rFont val="WenQuanYi Zen Hei"/>
        <family val="2"/>
      </rPr>
      <t xml:space="preserve">日予測 </t>
    </r>
    <r>
      <rPr>
        <sz val="8"/>
        <color rgb="FF555555"/>
        <rFont val="Meiryo UI"/>
        <family val="0"/>
        <charset val="1"/>
      </rPr>
      <t xml:space="preserve">vs </t>
    </r>
    <r>
      <rPr>
        <sz val="8"/>
        <color rgb="FF555555"/>
        <rFont val="WenQuanYi Zen Hei"/>
        <family val="2"/>
      </rPr>
      <t xml:space="preserve">石川への納品済 販売可能数　／　【仙台以降】</t>
    </r>
    <r>
      <rPr>
        <sz val="8"/>
        <color rgb="FF555555"/>
        <rFont val="Meiryo UI"/>
        <family val="0"/>
        <charset val="1"/>
      </rPr>
      <t xml:space="preserve">4</t>
    </r>
    <r>
      <rPr>
        <sz val="8"/>
        <color rgb="FF555555"/>
        <rFont val="WenQuanYi Zen Hei"/>
        <family val="2"/>
      </rPr>
      <t xml:space="preserve">会場必要数 </t>
    </r>
    <r>
      <rPr>
        <sz val="8"/>
        <color rgb="FF555555"/>
        <rFont val="Meiryo UI"/>
        <family val="0"/>
        <charset val="1"/>
      </rPr>
      <t xml:space="preserve">vs </t>
    </r>
    <r>
      <rPr>
        <sz val="8"/>
        <color rgb="FF555555"/>
        <rFont val="WenQuanYi Zen Hei"/>
        <family val="2"/>
      </rPr>
      <t xml:space="preserve">倉庫在庫＋石川会期末残在庫</t>
    </r>
  </si>
  <si>
    <r>
      <rPr>
        <sz val="8"/>
        <color rgb="FF555555"/>
        <rFont val="WenQuanYi Zen Hei"/>
        <family val="2"/>
      </rPr>
      <t xml:space="preserve">推奨発注数＝不足数</t>
    </r>
    <r>
      <rPr>
        <sz val="8"/>
        <color rgb="FF555555"/>
        <rFont val="Meiryo UI"/>
        <family val="0"/>
        <charset val="1"/>
      </rPr>
      <t xml:space="preserve">×(1+</t>
    </r>
    <r>
      <rPr>
        <sz val="8"/>
        <color rgb="FF555555"/>
        <rFont val="WenQuanYi Zen Hei"/>
        <family val="2"/>
      </rPr>
      <t xml:space="preserve">安全率</t>
    </r>
    <r>
      <rPr>
        <sz val="8"/>
        <color rgb="FF555555"/>
        <rFont val="Meiryo UI"/>
        <family val="0"/>
        <charset val="1"/>
      </rPr>
      <t xml:space="preserve">10%)</t>
    </r>
    <r>
      <rPr>
        <sz val="8"/>
        <color rgb="FF555555"/>
        <rFont val="WenQuanYi Zen Hei"/>
        <family val="2"/>
      </rPr>
      <t xml:space="preserve">を切り上げ。欠品発生会場・最終発注期限（会期初日−生産日数−バッファ）・残日数・緊急度を右側に記載</t>
    </r>
  </si>
  <si>
    <t xml:space="preserve">税込単価</t>
  </si>
  <si>
    <r>
      <rPr>
        <b val="true"/>
        <sz val="9"/>
        <color rgb="FFFFFFFF"/>
        <rFont val="WenQuanYi Zen Hei"/>
        <family val="2"/>
      </rPr>
      <t xml:space="preserve">石川
初</t>
    </r>
    <r>
      <rPr>
        <b val="true"/>
        <sz val="9"/>
        <color rgb="FFFFFFFF"/>
        <rFont val="Meiryo UI"/>
        <family val="0"/>
        <charset val="1"/>
      </rPr>
      <t xml:space="preserve">12</t>
    </r>
    <r>
      <rPr>
        <b val="true"/>
        <sz val="9"/>
        <color rgb="FFFFFFFF"/>
        <rFont val="WenQuanYi Zen Hei"/>
        <family val="2"/>
      </rPr>
      <t xml:space="preserve">日実績</t>
    </r>
  </si>
  <si>
    <r>
      <rPr>
        <b val="true"/>
        <sz val="9"/>
        <color rgb="FFFFFFFF"/>
        <rFont val="WenQuanYi Zen Hei"/>
        <family val="2"/>
      </rPr>
      <t xml:space="preserve">石川
会期</t>
    </r>
    <r>
      <rPr>
        <b val="true"/>
        <sz val="9"/>
        <color rgb="FFFFFFFF"/>
        <rFont val="Meiryo UI"/>
        <family val="0"/>
        <charset val="1"/>
      </rPr>
      <t xml:space="preserve">18</t>
    </r>
    <r>
      <rPr>
        <b val="true"/>
        <sz val="9"/>
        <color rgb="FFFFFFFF"/>
        <rFont val="WenQuanYi Zen Hei"/>
        <family val="2"/>
      </rPr>
      <t xml:space="preserve">日予測</t>
    </r>
  </si>
  <si>
    <r>
      <rPr>
        <b val="true"/>
        <sz val="9"/>
        <color rgb="FFFFFFFF"/>
        <rFont val="WenQuanYi Zen Hei"/>
        <family val="2"/>
      </rPr>
      <t xml:space="preserve">石川
販売可能数
</t>
    </r>
    <r>
      <rPr>
        <b val="true"/>
        <sz val="9"/>
        <color rgb="FFFFFFFF"/>
        <rFont val="Meiryo UI"/>
        <family val="0"/>
        <charset val="1"/>
      </rPr>
      <t xml:space="preserve">(</t>
    </r>
    <r>
      <rPr>
        <b val="true"/>
        <sz val="9"/>
        <color rgb="FFFFFFFF"/>
        <rFont val="WenQuanYi Zen Hei"/>
        <family val="2"/>
      </rPr>
      <t xml:space="preserve">転送・追納込</t>
    </r>
    <r>
      <rPr>
        <b val="true"/>
        <sz val="9"/>
        <color rgb="FFFFFFFF"/>
        <rFont val="Meiryo UI"/>
        <family val="0"/>
        <charset val="1"/>
      </rPr>
      <t xml:space="preserve">)</t>
    </r>
  </si>
  <si>
    <t xml:space="preserve">石川
予測消化率</t>
  </si>
  <si>
    <t xml:space="preserve">石川会期中
過不足</t>
  </si>
  <si>
    <t xml:space="preserve">石川会期中
判定</t>
  </si>
  <si>
    <t xml:space="preserve">石川会期中
推奨発注数</t>
  </si>
  <si>
    <t xml:space="preserve">仙台以降
必要数</t>
  </si>
  <si>
    <t xml:space="preserve">仙台以降
供給可能在庫</t>
  </si>
  <si>
    <t xml:space="preserve">仙台以降
過不足</t>
  </si>
  <si>
    <t xml:space="preserve">仙台以降
判定</t>
  </si>
  <si>
    <t xml:space="preserve">仙台以降
推奨発注数</t>
  </si>
  <si>
    <r>
      <rPr>
        <b val="true"/>
        <sz val="9"/>
        <color rgb="FFFFFFFF"/>
        <rFont val="WenQuanYi Zen Hei"/>
        <family val="2"/>
      </rPr>
      <t xml:space="preserve">発注合計
</t>
    </r>
    <r>
      <rPr>
        <b val="true"/>
        <sz val="9"/>
        <color rgb="FFFFFFFF"/>
        <rFont val="Meiryo UI"/>
        <family val="0"/>
        <charset val="1"/>
      </rPr>
      <t xml:space="preserve">(</t>
    </r>
    <r>
      <rPr>
        <b val="true"/>
        <sz val="9"/>
        <color rgb="FFFFFFFF"/>
        <rFont val="WenQuanYi Zen Hei"/>
        <family val="2"/>
      </rPr>
      <t xml:space="preserve">石川</t>
    </r>
    <r>
      <rPr>
        <b val="true"/>
        <sz val="9"/>
        <color rgb="FFFFFFFF"/>
        <rFont val="Meiryo UI"/>
        <family val="0"/>
        <charset val="1"/>
      </rPr>
      <t xml:space="preserve">+</t>
    </r>
    <r>
      <rPr>
        <b val="true"/>
        <sz val="9"/>
        <color rgb="FFFFFFFF"/>
        <rFont val="WenQuanYi Zen Hei"/>
        <family val="2"/>
      </rPr>
      <t xml:space="preserve">仙台以降</t>
    </r>
    <r>
      <rPr>
        <b val="true"/>
        <sz val="9"/>
        <color rgb="FFFFFFFF"/>
        <rFont val="Meiryo UI"/>
        <family val="0"/>
        <charset val="1"/>
      </rPr>
      <t xml:space="preserve">)</t>
    </r>
  </si>
  <si>
    <r>
      <rPr>
        <b val="true"/>
        <sz val="9"/>
        <color rgb="FFFFFFFF"/>
        <rFont val="WenQuanYi Zen Hei"/>
        <family val="2"/>
      </rPr>
      <t xml:space="preserve">発注金額
</t>
    </r>
    <r>
      <rPr>
        <b val="true"/>
        <sz val="9"/>
        <color rgb="FFFFFFFF"/>
        <rFont val="Meiryo UI"/>
        <family val="0"/>
        <charset val="1"/>
      </rPr>
      <t xml:space="preserve">(</t>
    </r>
    <r>
      <rPr>
        <b val="true"/>
        <sz val="9"/>
        <color rgb="FFFFFFFF"/>
        <rFont val="WenQuanYi Zen Hei"/>
        <family val="2"/>
      </rPr>
      <t xml:space="preserve">税込小売換算</t>
    </r>
    <r>
      <rPr>
        <b val="true"/>
        <sz val="9"/>
        <color rgb="FFFFFFFF"/>
        <rFont val="Meiryo UI"/>
        <family val="0"/>
        <charset val="1"/>
      </rPr>
      <t xml:space="preserve">)</t>
    </r>
  </si>
  <si>
    <t xml:space="preserve">欠品発生
会場</t>
  </si>
  <si>
    <t xml:space="preserve">最終発注期限</t>
  </si>
  <si>
    <t xml:space="preserve">基準日からの
残日数</t>
  </si>
  <si>
    <t xml:space="preserve">発注の緊急度</t>
  </si>
  <si>
    <t xml:space="preserve">優先度</t>
  </si>
  <si>
    <r>
      <rPr>
        <b val="true"/>
        <sz val="9"/>
        <color rgb="FF333333"/>
        <rFont val="WenQuanYi Zen Hei"/>
        <family val="2"/>
      </rPr>
      <t xml:space="preserve">運営 欠品報告
</t>
    </r>
    <r>
      <rPr>
        <b val="true"/>
        <sz val="9"/>
        <color rgb="FF333333"/>
        <rFont val="Meiryo UI"/>
        <family val="0"/>
        <charset val="1"/>
      </rPr>
      <t xml:space="preserve">(</t>
    </r>
    <r>
      <rPr>
        <b val="true"/>
        <sz val="9"/>
        <color rgb="FF333333"/>
        <rFont val="WenQuanYi Zen Hei"/>
        <family val="2"/>
      </rPr>
      <t xml:space="preserve">受領なし</t>
    </r>
    <r>
      <rPr>
        <b val="true"/>
        <sz val="9"/>
        <color rgb="FF333333"/>
        <rFont val="Meiryo UI"/>
        <family val="0"/>
        <charset val="1"/>
      </rPr>
      <t xml:space="preserve">)</t>
    </r>
  </si>
  <si>
    <r>
      <rPr>
        <b val="true"/>
        <sz val="9"/>
        <color rgb="FF333333"/>
        <rFont val="WenQuanYi Zen Hei"/>
        <family val="2"/>
      </rPr>
      <t xml:space="preserve">モデル</t>
    </r>
    <r>
      <rPr>
        <b val="true"/>
        <sz val="9"/>
        <color rgb="FF333333"/>
        <rFont val="Meiryo UI"/>
        <family val="0"/>
        <charset val="1"/>
      </rPr>
      <t xml:space="preserve">×</t>
    </r>
    <r>
      <rPr>
        <b val="true"/>
        <sz val="9"/>
        <color rgb="FF333333"/>
        <rFont val="WenQuanYi Zen Hei"/>
        <family val="2"/>
      </rPr>
      <t xml:space="preserve">現場
突合</t>
    </r>
  </si>
  <si>
    <t xml:space="preserve">博多会場で完売（実績が在庫上限で頭打ち＝予測は控えめ）</t>
  </si>
  <si>
    <t xml:space="preserve">—</t>
  </si>
  <si>
    <t xml:space="preserve">名古屋会場で完売（実績が在庫上限で頭打ち＝予測は控えめ） ／ 博多会場で完売（実績が在庫上限で頭打ち＝予測は控えめ）</t>
  </si>
  <si>
    <t xml:space="preserve">石川会期中に欠品見込。至急スライド納品または追加発注 ／ 名古屋会場で完売（実績が在庫上限で頭打ち＝予測は控えめ）</t>
  </si>
  <si>
    <r>
      <rPr>
        <sz val="9"/>
        <rFont val="WenQuanYi Zen Hei"/>
        <family val="2"/>
      </rPr>
      <t xml:space="preserve">仙台 </t>
    </r>
    <r>
      <rPr>
        <sz val="9"/>
        <rFont val="Meiryo UI"/>
        <family val="0"/>
        <charset val="1"/>
      </rPr>
      <t xml:space="preserve">Ebeans</t>
    </r>
  </si>
  <si>
    <t xml:space="preserve">◎発注確定済</t>
  </si>
  <si>
    <t xml:space="preserve">石川会期中に欠品見込。至急スライド納品または追加発注 ／ 名古屋会場で完売（実績が在庫上限で頭打ち＝予測は控えめ） ／ 博多会場で完売（実績が在庫上限で頭打ち＝予測は控えめ） ／ 大阪会場で完売（実績が在庫上限で頭打ち＝予測は控えめ）</t>
  </si>
  <si>
    <t xml:space="preserve">名古屋会場で完売（実績が在庫上限で頭打ち＝予測は控えめ） ／ 博多会場で完売（実績が在庫上限で頭打ち＝予測は控えめ） ／ 大阪会場で完売（実績が在庫上限で頭打ち＝予測は控えめ）</t>
  </si>
  <si>
    <r>
      <rPr>
        <sz val="9"/>
        <rFont val="WenQuanYi Zen Hei"/>
        <family val="2"/>
      </rPr>
      <t xml:space="preserve">石川納品数が極小</t>
    </r>
    <r>
      <rPr>
        <sz val="9"/>
        <rFont val="Meiryo UI"/>
        <family val="0"/>
        <charset val="1"/>
      </rPr>
      <t xml:space="preserve">(5</t>
    </r>
    <r>
      <rPr>
        <sz val="9"/>
        <rFont val="WenQuanYi Zen Hei"/>
        <family val="2"/>
      </rPr>
      <t xml:space="preserve">個</t>
    </r>
    <r>
      <rPr>
        <sz val="9"/>
        <rFont val="Meiryo UI"/>
        <family val="0"/>
        <charset val="1"/>
      </rPr>
      <t xml:space="preserve">) </t>
    </r>
    <r>
      <rPr>
        <sz val="9"/>
        <rFont val="WenQuanYi Zen Hei"/>
        <family val="2"/>
      </rPr>
      <t xml:space="preserve">／ 名古屋会場で完売（実績が在庫上限で頭打ち＝予測は控えめ） ／ 博多会場で完売（実績が在庫上限で頭打ち＝予測は控えめ） ／ 大阪会場で完売（実績が在庫上限で頭打ち＝予測は控えめ）</t>
    </r>
  </si>
  <si>
    <r>
      <rPr>
        <sz val="9"/>
        <rFont val="WenQuanYi Zen Hei"/>
        <family val="2"/>
      </rPr>
      <t xml:space="preserve">石川納品数が極小</t>
    </r>
    <r>
      <rPr>
        <sz val="9"/>
        <rFont val="Meiryo UI"/>
        <family val="0"/>
        <charset val="1"/>
      </rPr>
      <t xml:space="preserve">(1</t>
    </r>
    <r>
      <rPr>
        <sz val="9"/>
        <rFont val="WenQuanYi Zen Hei"/>
        <family val="2"/>
      </rPr>
      <t xml:space="preserve">個</t>
    </r>
    <r>
      <rPr>
        <sz val="9"/>
        <rFont val="Meiryo UI"/>
        <family val="0"/>
        <charset val="1"/>
      </rPr>
      <t xml:space="preserve">) </t>
    </r>
    <r>
      <rPr>
        <sz val="9"/>
        <rFont val="WenQuanYi Zen Hei"/>
        <family val="2"/>
      </rPr>
      <t xml:space="preserve">／ 名古屋会場で完売（実績が在庫上限で頭打ち＝予測は控えめ） ／ 博多会場で完売（実績が在庫上限で頭打ち＝予測は控えめ） ／ 大阪会場で完売（実績が在庫上限で頭打ち＝予測は控えめ）</t>
    </r>
  </si>
  <si>
    <t xml:space="preserve">名古屋会場で完売（実績が在庫上限で頭打ち＝予測は控えめ）</t>
  </si>
  <si>
    <r>
      <rPr>
        <sz val="9"/>
        <rFont val="WenQuanYi Zen Hei"/>
        <family val="2"/>
      </rPr>
      <t xml:space="preserve">石川会期中に欠品見込。至急スライド納品または追加発注 ／ 石川納品数が極小</t>
    </r>
    <r>
      <rPr>
        <sz val="9"/>
        <rFont val="Meiryo UI"/>
        <family val="0"/>
        <charset val="1"/>
      </rPr>
      <t xml:space="preserve">(1</t>
    </r>
    <r>
      <rPr>
        <sz val="9"/>
        <rFont val="WenQuanYi Zen Hei"/>
        <family val="2"/>
      </rPr>
      <t xml:space="preserve">個</t>
    </r>
    <r>
      <rPr>
        <sz val="9"/>
        <rFont val="Meiryo UI"/>
        <family val="0"/>
        <charset val="1"/>
      </rPr>
      <t xml:space="preserve">) </t>
    </r>
    <r>
      <rPr>
        <sz val="9"/>
        <rFont val="WenQuanYi Zen Hei"/>
        <family val="2"/>
      </rPr>
      <t xml:space="preserve">／ 名古屋会場で完売（実績が在庫上限で頭打ち＝予測は控えめ） ／ 博多会場で完売（実績が在庫上限で頭打ち＝予測は控えめ） ／ 大阪会場で完売（実績が在庫上限で頭打ち＝予測は控えめ）</t>
    </r>
  </si>
  <si>
    <r>
      <rPr>
        <sz val="9"/>
        <rFont val="WenQuanYi Zen Hei"/>
        <family val="2"/>
      </rPr>
      <t xml:space="preserve">石川納品数が極小</t>
    </r>
    <r>
      <rPr>
        <sz val="9"/>
        <rFont val="Meiryo UI"/>
        <family val="0"/>
        <charset val="1"/>
      </rPr>
      <t xml:space="preserve">(3</t>
    </r>
    <r>
      <rPr>
        <sz val="9"/>
        <rFont val="WenQuanYi Zen Hei"/>
        <family val="2"/>
      </rPr>
      <t xml:space="preserve">個</t>
    </r>
    <r>
      <rPr>
        <sz val="9"/>
        <rFont val="Meiryo UI"/>
        <family val="0"/>
        <charset val="1"/>
      </rPr>
      <t xml:space="preserve">) </t>
    </r>
    <r>
      <rPr>
        <sz val="9"/>
        <rFont val="WenQuanYi Zen Hei"/>
        <family val="2"/>
      </rPr>
      <t xml:space="preserve">／ 名古屋会場で完売（実績が在庫上限で頭打ち＝予測は控えめ） ／ 博多会場で完売（実績が在庫上限で頭打ち＝予測は控えめ） ／ 大阪会場で完売（実績が在庫上限で頭打ち＝予測は控えめ）</t>
    </r>
  </si>
  <si>
    <r>
      <rPr>
        <sz val="9"/>
        <rFont val="WenQuanYi Zen Hei"/>
        <family val="2"/>
      </rPr>
      <t xml:space="preserve">石川初</t>
    </r>
    <r>
      <rPr>
        <sz val="9"/>
        <rFont val="Meiryo UI"/>
        <family val="0"/>
        <charset val="1"/>
      </rPr>
      <t xml:space="preserve">12</t>
    </r>
    <r>
      <rPr>
        <sz val="9"/>
        <rFont val="WenQuanYi Zen Hei"/>
        <family val="2"/>
      </rPr>
      <t xml:space="preserve">日の販売実績ゼロ（予測は大阪・博多構成比で按分）</t>
    </r>
  </si>
  <si>
    <r>
      <rPr>
        <b val="true"/>
        <sz val="15"/>
        <color rgb="FF1F3864"/>
        <rFont val="WenQuanYi Zen Hei"/>
        <family val="2"/>
      </rPr>
      <t xml:space="preserve">⑤ 商品別 全データ統合リスト（</t>
    </r>
    <r>
      <rPr>
        <b val="true"/>
        <sz val="15"/>
        <color rgb="FF1F3864"/>
        <rFont val="Meiryo UI"/>
        <family val="0"/>
        <charset val="1"/>
      </rPr>
      <t xml:space="preserve">6</t>
    </r>
    <r>
      <rPr>
        <b val="true"/>
        <sz val="15"/>
        <color rgb="FF1F3864"/>
        <rFont val="WenQuanYi Zen Hei"/>
        <family val="2"/>
      </rPr>
      <t xml:space="preserve">会場実績 ＋ 石川予測 ＋ 仙台以降予測）</t>
    </r>
  </si>
  <si>
    <r>
      <rPr>
        <sz val="8"/>
        <color rgb="FF555555"/>
        <rFont val="WenQuanYi Zen Hei"/>
        <family val="2"/>
      </rPr>
      <t xml:space="preserve">構成比＝</t>
    </r>
    <r>
      <rPr>
        <sz val="8"/>
        <color rgb="FF555555"/>
        <rFont val="Meiryo UI"/>
        <family val="0"/>
        <charset val="1"/>
      </rPr>
      <t xml:space="preserve">LEGS 42SKU</t>
    </r>
    <r>
      <rPr>
        <sz val="8"/>
        <color rgb="FF555555"/>
        <rFont val="WenQuanYi Zen Hei"/>
        <family val="2"/>
      </rPr>
      <t xml:space="preserve">内シェア（数量・金額）。消化率＝販売数</t>
    </r>
    <r>
      <rPr>
        <sz val="8"/>
        <color rgb="FF555555"/>
        <rFont val="Meiryo UI"/>
        <family val="0"/>
        <charset val="1"/>
      </rPr>
      <t xml:space="preserve">÷</t>
    </r>
    <r>
      <rPr>
        <sz val="8"/>
        <color rgb="FF555555"/>
        <rFont val="WenQuanYi Zen Hei"/>
        <family val="2"/>
      </rPr>
      <t xml:space="preserve">販売可能数。石川のみ</t>
    </r>
    <r>
      <rPr>
        <sz val="8"/>
        <color rgb="FF555555"/>
        <rFont val="Meiryo UI"/>
        <family val="0"/>
        <charset val="1"/>
      </rPr>
      <t xml:space="preserve">8/25(12</t>
    </r>
    <r>
      <rPr>
        <sz val="8"/>
        <color rgb="FF555555"/>
        <rFont val="WenQuanYi Zen Hei"/>
        <family val="2"/>
      </rPr>
      <t xml:space="preserve">日目</t>
    </r>
    <r>
      <rPr>
        <sz val="8"/>
        <color rgb="FF555555"/>
        <rFont val="Meiryo UI"/>
        <family val="0"/>
        <charset val="1"/>
      </rPr>
      <t xml:space="preserve">)</t>
    </r>
    <r>
      <rPr>
        <sz val="8"/>
        <color rgb="FF555555"/>
        <rFont val="WenQuanYi Zen Hei"/>
        <family val="2"/>
      </rPr>
      <t xml:space="preserve">時点の実績</t>
    </r>
  </si>
  <si>
    <r>
      <rPr>
        <sz val="8"/>
        <color rgb="FF555555"/>
        <rFont val="WenQuanYi Zen Hei"/>
        <family val="2"/>
      </rPr>
      <t xml:space="preserve">※イメージリング</t>
    </r>
    <r>
      <rPr>
        <sz val="8"/>
        <color rgb="FF555555"/>
        <rFont val="Meiryo UI"/>
        <family val="0"/>
        <charset val="1"/>
      </rPr>
      <t xml:space="preserve">8</t>
    </r>
    <r>
      <rPr>
        <sz val="8"/>
        <color rgb="FF555555"/>
        <rFont val="WenQuanYi Zen Hei"/>
        <family val="2"/>
      </rPr>
      <t xml:space="preserve">種は東京</t>
    </r>
    <r>
      <rPr>
        <sz val="8"/>
        <color rgb="FF555555"/>
        <rFont val="Meiryo UI"/>
        <family val="0"/>
        <charset val="1"/>
      </rPr>
      <t xml:space="preserve">¥22,000→</t>
    </r>
    <r>
      <rPr>
        <sz val="8"/>
        <color rgb="FF555555"/>
        <rFont val="WenQuanYi Zen Hei"/>
        <family val="2"/>
      </rPr>
      <t xml:space="preserve">名古屋以降</t>
    </r>
    <r>
      <rPr>
        <sz val="8"/>
        <color rgb="FF555555"/>
        <rFont val="Meiryo UI"/>
        <family val="0"/>
        <charset val="1"/>
      </rPr>
      <t xml:space="preserve">¥27,500</t>
    </r>
    <r>
      <rPr>
        <sz val="8"/>
        <color rgb="FF555555"/>
        <rFont val="WenQuanYi Zen Hei"/>
        <family val="2"/>
      </rPr>
      <t xml:space="preserve">に改定。販売金額は各会場の実売単価で算出している</t>
    </r>
  </si>
  <si>
    <t xml:space="preserve">基本情報</t>
  </si>
  <si>
    <r>
      <rPr>
        <b val="true"/>
        <sz val="11"/>
        <color rgb="FFFFFFFF"/>
        <rFont val="WenQuanYi Zen Hei"/>
        <family val="2"/>
      </rPr>
      <t xml:space="preserve">東京（</t>
    </r>
    <r>
      <rPr>
        <b val="true"/>
        <sz val="11"/>
        <color rgb="FFFFFFFF"/>
        <rFont val="Meiryo UI"/>
        <family val="0"/>
        <charset val="1"/>
      </rPr>
      <t xml:space="preserve">25/12/5(</t>
    </r>
    <r>
      <rPr>
        <b val="true"/>
        <sz val="11"/>
        <color rgb="FFFFFFFF"/>
        <rFont val="WenQuanYi Zen Hei"/>
        <family val="2"/>
      </rPr>
      <t xml:space="preserve">金</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25</t>
    </r>
    <r>
      <rPr>
        <b val="true"/>
        <sz val="11"/>
        <color rgb="FFFFFFFF"/>
        <rFont val="WenQuanYi Zen Hei"/>
        <family val="2"/>
      </rPr>
      <t xml:space="preserve">日）</t>
    </r>
  </si>
  <si>
    <r>
      <rPr>
        <b val="true"/>
        <sz val="11"/>
        <color rgb="FFFFFFFF"/>
        <rFont val="WenQuanYi Zen Hei"/>
        <family val="2"/>
      </rPr>
      <t xml:space="preserve">名古屋（</t>
    </r>
    <r>
      <rPr>
        <b val="true"/>
        <sz val="11"/>
        <color rgb="FFFFFFFF"/>
        <rFont val="Meiryo UI"/>
        <family val="0"/>
        <charset val="1"/>
      </rPr>
      <t xml:space="preserve">26/3/18(</t>
    </r>
    <r>
      <rPr>
        <b val="true"/>
        <sz val="11"/>
        <color rgb="FFFFFFFF"/>
        <rFont val="WenQuanYi Zen Hei"/>
        <family val="2"/>
      </rPr>
      <t xml:space="preserve">水</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19</t>
    </r>
    <r>
      <rPr>
        <b val="true"/>
        <sz val="11"/>
        <color rgb="FFFFFFFF"/>
        <rFont val="WenQuanYi Zen Hei"/>
        <family val="2"/>
      </rPr>
      <t xml:space="preserve">日）</t>
    </r>
  </si>
  <si>
    <r>
      <rPr>
        <b val="true"/>
        <sz val="11"/>
        <color rgb="FFFFFFFF"/>
        <rFont val="WenQuanYi Zen Hei"/>
        <family val="2"/>
      </rPr>
      <t xml:space="preserve">博多（</t>
    </r>
    <r>
      <rPr>
        <b val="true"/>
        <sz val="11"/>
        <color rgb="FFFFFFFF"/>
        <rFont val="Meiryo UI"/>
        <family val="0"/>
        <charset val="1"/>
      </rPr>
      <t xml:space="preserve">26/4/23(</t>
    </r>
    <r>
      <rPr>
        <b val="true"/>
        <sz val="11"/>
        <color rgb="FFFFFFFF"/>
        <rFont val="WenQuanYi Zen Hei"/>
        <family val="2"/>
      </rPr>
      <t xml:space="preserve">木</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26</t>
    </r>
    <r>
      <rPr>
        <b val="true"/>
        <sz val="11"/>
        <color rgb="FFFFFFFF"/>
        <rFont val="WenQuanYi Zen Hei"/>
        <family val="2"/>
      </rPr>
      <t xml:space="preserve">日）</t>
    </r>
  </si>
  <si>
    <r>
      <rPr>
        <b val="true"/>
        <sz val="11"/>
        <color rgb="FFFFFFFF"/>
        <rFont val="WenQuanYi Zen Hei"/>
        <family val="2"/>
      </rPr>
      <t xml:space="preserve">大阪（</t>
    </r>
    <r>
      <rPr>
        <b val="true"/>
        <sz val="11"/>
        <color rgb="FFFFFFFF"/>
        <rFont val="Meiryo UI"/>
        <family val="0"/>
        <charset val="1"/>
      </rPr>
      <t xml:space="preserve">26/6/10(</t>
    </r>
    <r>
      <rPr>
        <b val="true"/>
        <sz val="11"/>
        <color rgb="FFFFFFFF"/>
        <rFont val="WenQuanYi Zen Hei"/>
        <family val="2"/>
      </rPr>
      <t xml:space="preserve">水</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20</t>
    </r>
    <r>
      <rPr>
        <b val="true"/>
        <sz val="11"/>
        <color rgb="FFFFFFFF"/>
        <rFont val="WenQuanYi Zen Hei"/>
        <family val="2"/>
      </rPr>
      <t xml:space="preserve">日）</t>
    </r>
  </si>
  <si>
    <r>
      <rPr>
        <b val="true"/>
        <sz val="11"/>
        <color rgb="FFFFFFFF"/>
        <rFont val="WenQuanYi Zen Hei"/>
        <family val="2"/>
      </rPr>
      <t xml:space="preserve">札幌（</t>
    </r>
    <r>
      <rPr>
        <b val="true"/>
        <sz val="11"/>
        <color rgb="FFFFFFFF"/>
        <rFont val="Meiryo UI"/>
        <family val="0"/>
        <charset val="1"/>
      </rPr>
      <t xml:space="preserve">26/7/22(</t>
    </r>
    <r>
      <rPr>
        <b val="true"/>
        <sz val="11"/>
        <color rgb="FFFFFFFF"/>
        <rFont val="WenQuanYi Zen Hei"/>
        <family val="2"/>
      </rPr>
      <t xml:space="preserve">水</t>
    </r>
    <r>
      <rPr>
        <b val="true"/>
        <sz val="11"/>
        <color rgb="FFFFFFFF"/>
        <rFont val="Meiryo UI"/>
        <family val="0"/>
        <charset val="1"/>
      </rPr>
      <t xml:space="preserve">)</t>
    </r>
    <r>
      <rPr>
        <b val="true"/>
        <sz val="11"/>
        <color rgb="FFFFFFFF"/>
        <rFont val="WenQuanYi Zen Hei"/>
        <family val="2"/>
      </rPr>
      <t xml:space="preserve">・</t>
    </r>
    <r>
      <rPr>
        <b val="true"/>
        <sz val="11"/>
        <color rgb="FFFFFFFF"/>
        <rFont val="Meiryo UI"/>
        <family val="0"/>
        <charset val="1"/>
      </rPr>
      <t xml:space="preserve">20</t>
    </r>
    <r>
      <rPr>
        <b val="true"/>
        <sz val="11"/>
        <color rgb="FFFFFFFF"/>
        <rFont val="WenQuanYi Zen Hei"/>
        <family val="2"/>
      </rPr>
      <t xml:space="preserve">日）</t>
    </r>
  </si>
  <si>
    <r>
      <rPr>
        <b val="true"/>
        <sz val="11"/>
        <color rgb="FFFFFFFF"/>
        <rFont val="WenQuanYi Zen Hei"/>
        <family val="2"/>
      </rPr>
      <t xml:space="preserve">石川（</t>
    </r>
    <r>
      <rPr>
        <b val="true"/>
        <sz val="11"/>
        <color rgb="FFFFFFFF"/>
        <rFont val="Meiryo UI"/>
        <family val="0"/>
        <charset val="1"/>
      </rPr>
      <t xml:space="preserve">8/14-8/25 </t>
    </r>
    <r>
      <rPr>
        <b val="true"/>
        <sz val="11"/>
        <color rgb="FFFFFFFF"/>
        <rFont val="WenQuanYi Zen Hei"/>
        <family val="2"/>
      </rPr>
      <t xml:space="preserve">実績</t>
    </r>
    <r>
      <rPr>
        <b val="true"/>
        <sz val="11"/>
        <color rgb="FFFFFFFF"/>
        <rFont val="Meiryo UI"/>
        <family val="0"/>
        <charset val="1"/>
      </rPr>
      <t xml:space="preserve">12</t>
    </r>
    <r>
      <rPr>
        <b val="true"/>
        <sz val="11"/>
        <color rgb="FFFFFFFF"/>
        <rFont val="WenQuanYi Zen Hei"/>
        <family val="2"/>
      </rPr>
      <t xml:space="preserve">日）</t>
    </r>
  </si>
  <si>
    <r>
      <rPr>
        <b val="true"/>
        <sz val="11"/>
        <color rgb="FFFFFFFF"/>
        <rFont val="WenQuanYi Zen Hei"/>
        <family val="2"/>
      </rPr>
      <t xml:space="preserve">石川 会期</t>
    </r>
    <r>
      <rPr>
        <b val="true"/>
        <sz val="11"/>
        <color rgb="FFFFFFFF"/>
        <rFont val="Meiryo UI"/>
        <family val="0"/>
        <charset val="1"/>
      </rPr>
      <t xml:space="preserve">18</t>
    </r>
    <r>
      <rPr>
        <b val="true"/>
        <sz val="11"/>
        <color rgb="FFFFFFFF"/>
        <rFont val="WenQuanYi Zen Hei"/>
        <family val="2"/>
      </rPr>
      <t xml:space="preserve">日予測</t>
    </r>
  </si>
  <si>
    <r>
      <rPr>
        <b val="true"/>
        <sz val="11"/>
        <color rgb="FFFFFFFF"/>
        <rFont val="WenQuanYi Zen Hei"/>
        <family val="2"/>
      </rPr>
      <t xml:space="preserve">仙台以降 </t>
    </r>
    <r>
      <rPr>
        <b val="true"/>
        <sz val="11"/>
        <color rgb="FFFFFFFF"/>
        <rFont val="Meiryo UI"/>
        <family val="0"/>
        <charset val="1"/>
      </rPr>
      <t xml:space="preserve">4</t>
    </r>
    <r>
      <rPr>
        <b val="true"/>
        <sz val="11"/>
        <color rgb="FFFFFFFF"/>
        <rFont val="WenQuanYi Zen Hei"/>
        <family val="2"/>
      </rPr>
      <t xml:space="preserve">会場</t>
    </r>
  </si>
  <si>
    <t xml:space="preserve">発注判定</t>
  </si>
  <si>
    <t xml:space="preserve">現行
税込単価</t>
  </si>
  <si>
    <t xml:space="preserve">販売数</t>
  </si>
  <si>
    <t xml:space="preserve">数量
構成比</t>
  </si>
  <si>
    <t xml:space="preserve">販売金額</t>
  </si>
  <si>
    <t xml:space="preserve">金額
構成比</t>
  </si>
  <si>
    <t xml:space="preserve">販売
可能数</t>
  </si>
  <si>
    <t xml:space="preserve">消化率</t>
  </si>
  <si>
    <t xml:space="preserve">予測
販売数</t>
  </si>
  <si>
    <t xml:space="preserve">予測
販売金額</t>
  </si>
  <si>
    <t xml:space="preserve">必要数</t>
  </si>
  <si>
    <t xml:space="preserve">供給可能
在庫</t>
  </si>
  <si>
    <t xml:space="preserve">過不足</t>
  </si>
  <si>
    <t xml:space="preserve">発注合計</t>
  </si>
  <si>
    <r>
      <rPr>
        <b val="true"/>
        <sz val="15"/>
        <color rgb="FF1F3864"/>
        <rFont val="WenQuanYi Zen Hei"/>
        <family val="2"/>
      </rPr>
      <t xml:space="preserve">⑥ 商品別 会場推移（</t>
    </r>
    <r>
      <rPr>
        <b val="true"/>
        <sz val="15"/>
        <color rgb="FF1F3864"/>
        <rFont val="Meiryo UI"/>
        <family val="0"/>
        <charset val="1"/>
      </rPr>
      <t xml:space="preserve">LEGS 42SKU</t>
    </r>
    <r>
      <rPr>
        <b val="true"/>
        <sz val="15"/>
        <color rgb="FF1F3864"/>
        <rFont val="WenQuanYi Zen Hei"/>
        <family val="2"/>
      </rPr>
      <t xml:space="preserve">内 数量構成比の会場間トレンド）</t>
    </r>
  </si>
  <si>
    <r>
      <rPr>
        <sz val="8"/>
        <color rgb="FF555555"/>
        <rFont val="WenQuanYi Zen Hei"/>
        <family val="2"/>
      </rPr>
      <t xml:space="preserve">各会場の会期全体（石川は初</t>
    </r>
    <r>
      <rPr>
        <sz val="8"/>
        <color rgb="FF555555"/>
        <rFont val="Meiryo UI"/>
        <family val="0"/>
        <charset val="1"/>
      </rPr>
      <t xml:space="preserve">12</t>
    </r>
    <r>
      <rPr>
        <sz val="8"/>
        <color rgb="FF555555"/>
        <rFont val="WenQuanYi Zen Hei"/>
        <family val="2"/>
      </rPr>
      <t xml:space="preserve">日実績と</t>
    </r>
    <r>
      <rPr>
        <sz val="8"/>
        <color rgb="FF555555"/>
        <rFont val="Meiryo UI"/>
        <family val="0"/>
        <charset val="1"/>
      </rPr>
      <t xml:space="preserve">18</t>
    </r>
    <r>
      <rPr>
        <sz val="8"/>
        <color rgb="FF555555"/>
        <rFont val="WenQuanYi Zen Hei"/>
        <family val="2"/>
      </rPr>
      <t xml:space="preserve">日予測）。構成比の伸び／減退から仙台以降の重点商品を判断</t>
    </r>
  </si>
  <si>
    <t xml:space="preserve">東京
販売数</t>
  </si>
  <si>
    <t xml:space="preserve">名古屋
販売数</t>
  </si>
  <si>
    <t xml:space="preserve">博多
販売数</t>
  </si>
  <si>
    <t xml:space="preserve">大阪
販売数</t>
  </si>
  <si>
    <t xml:space="preserve">札幌
販売数</t>
  </si>
  <si>
    <t xml:space="preserve">石川
販売数</t>
  </si>
  <si>
    <t xml:space="preserve">東京
構成比</t>
  </si>
  <si>
    <t xml:space="preserve">名古屋
構成比</t>
  </si>
  <si>
    <t xml:space="preserve">博多
構成比</t>
  </si>
  <si>
    <t xml:space="preserve">大阪
構成比</t>
  </si>
  <si>
    <r>
      <rPr>
        <b val="true"/>
        <sz val="9"/>
        <color rgb="FFFFFFFF"/>
        <rFont val="WenQuanYi Zen Hei"/>
        <family val="2"/>
      </rPr>
      <t xml:space="preserve">石川</t>
    </r>
    <r>
      <rPr>
        <b val="true"/>
        <sz val="9"/>
        <color rgb="FFFFFFFF"/>
        <rFont val="Meiryo UI"/>
        <family val="0"/>
        <charset val="1"/>
      </rPr>
      <t xml:space="preserve">18</t>
    </r>
    <r>
      <rPr>
        <b val="true"/>
        <sz val="9"/>
        <color rgb="FFFFFFFF"/>
        <rFont val="WenQuanYi Zen Hei"/>
        <family val="2"/>
      </rPr>
      <t xml:space="preserve">日
予測構成比</t>
    </r>
  </si>
  <si>
    <t xml:space="preserve">札幌→石川
構成比変化</t>
  </si>
  <si>
    <r>
      <rPr>
        <b val="true"/>
        <sz val="9"/>
        <color rgb="FFFFFFFF"/>
        <rFont val="WenQuanYi Zen Hei"/>
        <family val="2"/>
      </rPr>
      <t xml:space="preserve">東京→大阪</t>
    </r>
    <r>
      <rPr>
        <b val="true"/>
        <sz val="9"/>
        <color rgb="FFFFFFFF"/>
        <rFont val="Meiryo UI"/>
        <family val="0"/>
        <charset val="1"/>
      </rPr>
      <t xml:space="preserve">
</t>
    </r>
    <r>
      <rPr>
        <b val="true"/>
        <sz val="9"/>
        <color rgb="FFFFFFFF"/>
        <rFont val="WenQuanYi Zen Hei"/>
        <family val="2"/>
      </rPr>
      <t xml:space="preserve">構成比変化</t>
    </r>
  </si>
  <si>
    <t xml:space="preserve">トレンド</t>
  </si>
  <si>
    <r>
      <rPr>
        <b val="true"/>
        <sz val="15"/>
        <color rgb="FF1F3864"/>
        <rFont val="WenQuanYi Zen Hei"/>
        <family val="2"/>
      </rPr>
      <t xml:space="preserve">⑦ 梅田</t>
    </r>
    <r>
      <rPr>
        <b val="true"/>
        <sz val="15"/>
        <color rgb="FF1F3864"/>
        <rFont val="Meiryo UI"/>
        <family val="0"/>
        <charset val="1"/>
      </rPr>
      <t xml:space="preserve">(</t>
    </r>
    <r>
      <rPr>
        <b val="true"/>
        <sz val="15"/>
        <color rgb="FF1F3864"/>
        <rFont val="WenQuanYi Zen Hei"/>
        <family val="2"/>
      </rPr>
      <t xml:space="preserve">大阪</t>
    </r>
    <r>
      <rPr>
        <b val="true"/>
        <sz val="15"/>
        <color rgb="FF1F3864"/>
        <rFont val="Meiryo UI"/>
        <family val="0"/>
        <charset val="1"/>
      </rPr>
      <t xml:space="preserve">)</t>
    </r>
    <r>
      <rPr>
        <b val="true"/>
        <sz val="15"/>
        <color rgb="FF1F3864"/>
        <rFont val="WenQuanYi Zen Hei"/>
        <family val="2"/>
      </rPr>
      <t xml:space="preserve">会場以降の追加商品による </t>
    </r>
    <r>
      <rPr>
        <b val="true"/>
        <sz val="15"/>
        <color rgb="FF1F3864"/>
        <rFont val="Meiryo UI"/>
        <family val="0"/>
        <charset val="1"/>
      </rPr>
      <t xml:space="preserve">LEGS</t>
    </r>
    <r>
      <rPr>
        <b val="true"/>
        <sz val="15"/>
        <color rgb="FF1F3864"/>
        <rFont val="WenQuanYi Zen Hei"/>
        <family val="2"/>
      </rPr>
      <t xml:space="preserve">売上低下の要因分析</t>
    </r>
  </si>
  <si>
    <r>
      <rPr>
        <sz val="8"/>
        <color rgb="FF555555"/>
        <rFont val="WenQuanYi Zen Hei"/>
        <family val="2"/>
      </rPr>
      <t xml:space="preserve">会場ごとに規模が違うため、すべて「入場者</t>
    </r>
    <r>
      <rPr>
        <sz val="8"/>
        <color rgb="FF555555"/>
        <rFont val="Meiryo UI"/>
        <family val="0"/>
        <charset val="1"/>
      </rPr>
      <t xml:space="preserve">1</t>
    </r>
    <r>
      <rPr>
        <sz val="8"/>
        <color rgb="FF555555"/>
        <rFont val="WenQuanYi Zen Hei"/>
        <family val="2"/>
      </rPr>
      <t xml:space="preserve">人あたり売上（円</t>
    </r>
    <r>
      <rPr>
        <sz val="8"/>
        <color rgb="FF555555"/>
        <rFont val="Meiryo UI"/>
        <family val="0"/>
        <charset val="1"/>
      </rPr>
      <t xml:space="preserve">/</t>
    </r>
    <r>
      <rPr>
        <sz val="8"/>
        <color rgb="FF555555"/>
        <rFont val="WenQuanYi Zen Hei"/>
        <family val="2"/>
      </rPr>
      <t xml:space="preserve">人）」に正規化して比較する（石川は</t>
    </r>
    <r>
      <rPr>
        <sz val="8"/>
        <color rgb="FF555555"/>
        <rFont val="Meiryo UI"/>
        <family val="0"/>
        <charset val="1"/>
      </rPr>
      <t xml:space="preserve">8/25</t>
    </r>
    <r>
      <rPr>
        <sz val="8"/>
        <color rgb="FF555555"/>
        <rFont val="WenQuanYi Zen Hei"/>
        <family val="2"/>
      </rPr>
      <t xml:space="preserve">までの</t>
    </r>
    <r>
      <rPr>
        <sz val="8"/>
        <color rgb="FF555555"/>
        <rFont val="Meiryo UI"/>
        <family val="0"/>
        <charset val="1"/>
      </rPr>
      <t xml:space="preserve">12</t>
    </r>
    <r>
      <rPr>
        <sz val="8"/>
        <color rgb="FF555555"/>
        <rFont val="WenQuanYi Zen Hei"/>
        <family val="2"/>
      </rPr>
      <t xml:space="preserve">日実績）</t>
    </r>
  </si>
  <si>
    <r>
      <rPr>
        <b val="true"/>
        <sz val="11"/>
        <color rgb="FFC00000"/>
        <rFont val="WenQuanYi Zen Hei"/>
        <family val="2"/>
      </rPr>
      <t xml:space="preserve">■ 結論：市場は縮んでいない。</t>
    </r>
    <r>
      <rPr>
        <b val="true"/>
        <sz val="11"/>
        <color rgb="FFC00000"/>
        <rFont val="Meiryo UI"/>
        <family val="0"/>
        <charset val="1"/>
      </rPr>
      <t xml:space="preserve">LEGS</t>
    </r>
    <r>
      <rPr>
        <b val="true"/>
        <sz val="11"/>
        <color rgb="FFC00000"/>
        <rFont val="WenQuanYi Zen Hei"/>
        <family val="2"/>
      </rPr>
      <t xml:space="preserve">の財布が新商品に奪われた（カニバリゼーション）</t>
    </r>
  </si>
  <si>
    <r>
      <rPr>
        <sz val="9"/>
        <rFont val="WenQuanYi Zen Hei"/>
        <family val="2"/>
      </rPr>
      <t xml:space="preserve">・物販客単価（全商品）は名古屋</t>
    </r>
    <r>
      <rPr>
        <sz val="9"/>
        <rFont val="Meiryo UI"/>
        <family val="0"/>
        <charset val="1"/>
      </rPr>
      <t xml:space="preserve">7,012</t>
    </r>
    <r>
      <rPr>
        <sz val="9"/>
        <rFont val="WenQuanYi Zen Hei"/>
        <family val="2"/>
      </rPr>
      <t xml:space="preserve">円</t>
    </r>
    <r>
      <rPr>
        <sz val="9"/>
        <rFont val="Meiryo UI"/>
        <family val="0"/>
        <charset val="1"/>
      </rPr>
      <t xml:space="preserve">/</t>
    </r>
    <r>
      <rPr>
        <sz val="9"/>
        <rFont val="WenQuanYi Zen Hei"/>
        <family val="2"/>
      </rPr>
      <t xml:space="preserve">人 → 大阪</t>
    </r>
    <r>
      <rPr>
        <sz val="9"/>
        <rFont val="Meiryo UI"/>
        <family val="0"/>
        <charset val="1"/>
      </rPr>
      <t xml:space="preserve">6,882</t>
    </r>
    <r>
      <rPr>
        <sz val="9"/>
        <rFont val="WenQuanYi Zen Hei"/>
        <family val="2"/>
      </rPr>
      <t xml:space="preserve">円</t>
    </r>
    <r>
      <rPr>
        <sz val="9"/>
        <rFont val="Meiryo UI"/>
        <family val="0"/>
        <charset val="1"/>
      </rPr>
      <t xml:space="preserve">/</t>
    </r>
    <r>
      <rPr>
        <sz val="9"/>
        <rFont val="WenQuanYi Zen Hei"/>
        <family val="2"/>
      </rPr>
      <t xml:space="preserve">人 と ▲</t>
    </r>
    <r>
      <rPr>
        <sz val="9"/>
        <rFont val="Meiryo UI"/>
        <family val="0"/>
        <charset val="1"/>
      </rPr>
      <t xml:space="preserve">1.8% </t>
    </r>
    <r>
      <rPr>
        <sz val="9"/>
        <rFont val="WenQuanYi Zen Hei"/>
        <family val="2"/>
      </rPr>
      <t xml:space="preserve">でほぼ横ばい。</t>
    </r>
  </si>
  <si>
    <r>
      <rPr>
        <sz val="9"/>
        <rFont val="WenQuanYi Zen Hei"/>
        <family val="2"/>
      </rPr>
      <t xml:space="preserve">・同期間に</t>
    </r>
    <r>
      <rPr>
        <sz val="9"/>
        <rFont val="Meiryo UI"/>
        <family val="0"/>
        <charset val="1"/>
      </rPr>
      <t xml:space="preserve">LEGS</t>
    </r>
    <r>
      <rPr>
        <sz val="9"/>
        <rFont val="WenQuanYi Zen Hei"/>
        <family val="2"/>
      </rPr>
      <t xml:space="preserve">は</t>
    </r>
    <r>
      <rPr>
        <sz val="9"/>
        <rFont val="Meiryo UI"/>
        <family val="0"/>
        <charset val="1"/>
      </rPr>
      <t xml:space="preserve">2,099</t>
    </r>
    <r>
      <rPr>
        <sz val="9"/>
        <rFont val="WenQuanYi Zen Hei"/>
        <family val="2"/>
      </rPr>
      <t xml:space="preserve">円</t>
    </r>
    <r>
      <rPr>
        <sz val="9"/>
        <rFont val="Meiryo UI"/>
        <family val="0"/>
        <charset val="1"/>
      </rPr>
      <t xml:space="preserve">/</t>
    </r>
    <r>
      <rPr>
        <sz val="9"/>
        <rFont val="WenQuanYi Zen Hei"/>
        <family val="2"/>
      </rPr>
      <t xml:space="preserve">人 → </t>
    </r>
    <r>
      <rPr>
        <sz val="9"/>
        <rFont val="Meiryo UI"/>
        <family val="0"/>
        <charset val="1"/>
      </rPr>
      <t xml:space="preserve">1,455</t>
    </r>
    <r>
      <rPr>
        <sz val="9"/>
        <rFont val="WenQuanYi Zen Hei"/>
        <family val="2"/>
      </rPr>
      <t xml:space="preserve">円</t>
    </r>
    <r>
      <rPr>
        <sz val="9"/>
        <rFont val="Meiryo UI"/>
        <family val="0"/>
        <charset val="1"/>
      </rPr>
      <t xml:space="preserve">/</t>
    </r>
    <r>
      <rPr>
        <sz val="9"/>
        <rFont val="WenQuanYi Zen Hei"/>
        <family val="2"/>
      </rPr>
      <t xml:space="preserve">人 と ▲</t>
    </r>
    <r>
      <rPr>
        <sz val="9"/>
        <rFont val="Meiryo UI"/>
        <family val="0"/>
        <charset val="1"/>
      </rPr>
      <t xml:space="preserve">30.7%</t>
    </r>
    <r>
      <rPr>
        <sz val="9"/>
        <rFont val="WenQuanYi Zen Hei"/>
        <family val="2"/>
      </rPr>
      <t xml:space="preserve">（▲</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人）。会場全体の購買力は落ちていない。</t>
    </r>
  </si>
  <si>
    <r>
      <rPr>
        <sz val="9"/>
        <rFont val="WenQuanYi Zen Hei"/>
        <family val="2"/>
      </rPr>
      <t xml:space="preserve">・大阪の新商品</t>
    </r>
    <r>
      <rPr>
        <sz val="9"/>
        <rFont val="Meiryo UI"/>
        <family val="0"/>
        <charset val="1"/>
      </rPr>
      <t xml:space="preserve">106SKU</t>
    </r>
    <r>
      <rPr>
        <sz val="9"/>
        <rFont val="WenQuanYi Zen Hei"/>
        <family val="2"/>
      </rPr>
      <t xml:space="preserve">は</t>
    </r>
    <r>
      <rPr>
        <sz val="9"/>
        <rFont val="Meiryo UI"/>
        <family val="0"/>
        <charset val="1"/>
      </rPr>
      <t xml:space="preserve">1,360</t>
    </r>
    <r>
      <rPr>
        <sz val="9"/>
        <rFont val="WenQuanYi Zen Hei"/>
        <family val="2"/>
      </rPr>
      <t xml:space="preserve">円</t>
    </r>
    <r>
      <rPr>
        <sz val="9"/>
        <rFont val="Meiryo UI"/>
        <family val="0"/>
        <charset val="1"/>
      </rPr>
      <t xml:space="preserve">/</t>
    </r>
    <r>
      <rPr>
        <sz val="9"/>
        <rFont val="WenQuanYi Zen Hei"/>
        <family val="2"/>
      </rPr>
      <t xml:space="preserve">人を稼いでおり、</t>
    </r>
    <r>
      <rPr>
        <sz val="9"/>
        <rFont val="Meiryo UI"/>
        <family val="0"/>
        <charset val="1"/>
      </rPr>
      <t xml:space="preserve">LEGS</t>
    </r>
    <r>
      <rPr>
        <sz val="9"/>
        <rFont val="WenQuanYi Zen Hei"/>
        <family val="2"/>
      </rPr>
      <t xml:space="preserve">の減少分</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人はその約</t>
    </r>
    <r>
      <rPr>
        <sz val="9"/>
        <rFont val="Meiryo UI"/>
        <family val="0"/>
        <charset val="1"/>
      </rPr>
      <t xml:space="preserve">47%</t>
    </r>
    <r>
      <rPr>
        <sz val="9"/>
        <rFont val="WenQuanYi Zen Hei"/>
        <family val="2"/>
      </rPr>
      <t xml:space="preserve">に相当する。</t>
    </r>
  </si>
  <si>
    <r>
      <rPr>
        <sz val="9"/>
        <rFont val="WenQuanYi Zen Hei"/>
        <family val="2"/>
      </rPr>
      <t xml:space="preserve">・つまり新商品売上のおよそ半分は「純増」ではなく既存商品（特に</t>
    </r>
    <r>
      <rPr>
        <sz val="9"/>
        <rFont val="Meiryo UI"/>
        <family val="0"/>
        <charset val="1"/>
      </rPr>
      <t xml:space="preserve">LEGS</t>
    </r>
    <r>
      <rPr>
        <sz val="9"/>
        <rFont val="WenQuanYi Zen Hei"/>
        <family val="2"/>
      </rPr>
      <t xml:space="preserve">と</t>
    </r>
    <r>
      <rPr>
        <sz val="9"/>
        <rFont val="Meiryo UI"/>
        <family val="0"/>
        <charset val="1"/>
      </rPr>
      <t xml:space="preserve">MAPPA</t>
    </r>
    <r>
      <rPr>
        <sz val="9"/>
        <rFont val="WenQuanYi Zen Hei"/>
        <family val="2"/>
      </rPr>
      <t xml:space="preserve">）からの移動である。</t>
    </r>
  </si>
  <si>
    <r>
      <rPr>
        <b val="true"/>
        <sz val="11"/>
        <color rgb="FFC00000"/>
        <rFont val="WenQuanYi Zen Hei"/>
        <family val="2"/>
      </rPr>
      <t xml:space="preserve">■ ① 入場者</t>
    </r>
    <r>
      <rPr>
        <b val="true"/>
        <sz val="11"/>
        <color rgb="FFC00000"/>
        <rFont val="Meiryo UI"/>
        <family val="0"/>
        <charset val="1"/>
      </rPr>
      <t xml:space="preserve">1</t>
    </r>
    <r>
      <rPr>
        <b val="true"/>
        <sz val="11"/>
        <color rgb="FFC00000"/>
        <rFont val="WenQuanYi Zen Hei"/>
        <family val="2"/>
      </rPr>
      <t xml:space="preserve">人あたり売上（円</t>
    </r>
    <r>
      <rPr>
        <b val="true"/>
        <sz val="11"/>
        <color rgb="FFC00000"/>
        <rFont val="Meiryo UI"/>
        <family val="0"/>
        <charset val="1"/>
      </rPr>
      <t xml:space="preserve">/</t>
    </r>
    <r>
      <rPr>
        <b val="true"/>
        <sz val="11"/>
        <color rgb="FFC00000"/>
        <rFont val="WenQuanYi Zen Hei"/>
        <family val="2"/>
      </rPr>
      <t xml:space="preserve">人）の会場推移　供給元別</t>
    </r>
  </si>
  <si>
    <t xml:space="preserve">名古屋→大阪
増減</t>
  </si>
  <si>
    <t xml:space="preserve">増減率</t>
  </si>
  <si>
    <t xml:space="preserve">評価</t>
  </si>
  <si>
    <t xml:space="preserve">★最大の被害。新商品に置き換わった</t>
  </si>
  <si>
    <t xml:space="preserve">新商品投入側。大きく増加</t>
  </si>
  <si>
    <t xml:space="preserve">新商品投入側。ほぼ倍増</t>
  </si>
  <si>
    <r>
      <rPr>
        <sz val="9"/>
        <rFont val="Meiryo UI"/>
        <family val="0"/>
        <charset val="1"/>
      </rPr>
      <t xml:space="preserve">LEGS</t>
    </r>
    <r>
      <rPr>
        <sz val="9"/>
        <rFont val="WenQuanYi Zen Hei"/>
        <family val="2"/>
      </rPr>
      <t xml:space="preserve">と並ぶ被害。自社新商品にも食われた</t>
    </r>
  </si>
  <si>
    <t xml:space="preserve">新商品投入側。増加</t>
  </si>
  <si>
    <t xml:space="preserve">大阪では取扱なし</t>
  </si>
  <si>
    <t xml:space="preserve">物販客単価（全商品計）</t>
  </si>
  <si>
    <t xml:space="preserve">会場全体では ほぼ横ばい ＝ 市場は縮んでいない</t>
  </si>
  <si>
    <r>
      <rPr>
        <b val="true"/>
        <sz val="11"/>
        <color rgb="FFC00000"/>
        <rFont val="WenQuanYi Zen Hei"/>
        <family val="2"/>
      </rPr>
      <t xml:space="preserve">■ ② 会場ごとの新商品投入と</t>
    </r>
    <r>
      <rPr>
        <b val="true"/>
        <sz val="11"/>
        <color rgb="FFC00000"/>
        <rFont val="Meiryo UI"/>
        <family val="0"/>
        <charset val="1"/>
      </rPr>
      <t xml:space="preserve">1</t>
    </r>
    <r>
      <rPr>
        <b val="true"/>
        <sz val="11"/>
        <color rgb="FFC00000"/>
        <rFont val="WenQuanYi Zen Hei"/>
        <family val="2"/>
      </rPr>
      <t xml:space="preserve">人あたり売上（</t>
    </r>
    <r>
      <rPr>
        <b val="true"/>
        <sz val="11"/>
        <color rgb="FFC00000"/>
        <rFont val="Meiryo UI"/>
        <family val="0"/>
        <charset val="1"/>
      </rPr>
      <t xml:space="preserve">LEGS</t>
    </r>
    <r>
      <rPr>
        <b val="true"/>
        <sz val="11"/>
        <color rgb="FFC00000"/>
        <rFont val="WenQuanYi Zen Hei"/>
        <family val="2"/>
      </rPr>
      <t xml:space="preserve">がいつ削られ始めたか）</t>
    </r>
  </si>
  <si>
    <r>
      <rPr>
        <b val="true"/>
        <sz val="9"/>
        <color rgb="FFFFFFFF"/>
        <rFont val="WenQuanYi Zen Hei"/>
        <family val="2"/>
      </rPr>
      <t xml:space="preserve">新商品
売上</t>
    </r>
    <r>
      <rPr>
        <b val="true"/>
        <sz val="9"/>
        <color rgb="FFFFFFFF"/>
        <rFont val="Meiryo UI"/>
        <family val="0"/>
        <charset val="1"/>
      </rPr>
      <t xml:space="preserve">(</t>
    </r>
    <r>
      <rPr>
        <b val="true"/>
        <sz val="9"/>
        <color rgb="FFFFFFFF"/>
        <rFont val="WenQuanYi Zen Hei"/>
        <family val="2"/>
      </rPr>
      <t xml:space="preserve">円</t>
    </r>
    <r>
      <rPr>
        <b val="true"/>
        <sz val="9"/>
        <color rgb="FFFFFFFF"/>
        <rFont val="Meiryo UI"/>
        <family val="0"/>
        <charset val="1"/>
      </rPr>
      <t xml:space="preserve">/</t>
    </r>
    <r>
      <rPr>
        <b val="true"/>
        <sz val="9"/>
        <color rgb="FFFFFFFF"/>
        <rFont val="WenQuanYi Zen Hei"/>
        <family val="2"/>
      </rPr>
      <t xml:space="preserve">人</t>
    </r>
    <r>
      <rPr>
        <b val="true"/>
        <sz val="9"/>
        <color rgb="FFFFFFFF"/>
        <rFont val="Meiryo UI"/>
        <family val="0"/>
        <charset val="1"/>
      </rPr>
      <t xml:space="preserve">)</t>
    </r>
  </si>
  <si>
    <r>
      <rPr>
        <b val="true"/>
        <sz val="9"/>
        <color rgb="FFFFFFFF"/>
        <rFont val="Meiryo UI"/>
        <family val="0"/>
        <charset val="1"/>
      </rPr>
      <t xml:space="preserve">LEGS
</t>
    </r>
    <r>
      <rPr>
        <b val="true"/>
        <sz val="9"/>
        <color rgb="FFFFFFFF"/>
        <rFont val="WenQuanYi Zen Hei"/>
        <family val="2"/>
      </rPr>
      <t xml:space="preserve">売上</t>
    </r>
    <r>
      <rPr>
        <b val="true"/>
        <sz val="9"/>
        <color rgb="FFFFFFFF"/>
        <rFont val="Meiryo UI"/>
        <family val="0"/>
        <charset val="1"/>
      </rPr>
      <t xml:space="preserve">(</t>
    </r>
    <r>
      <rPr>
        <b val="true"/>
        <sz val="9"/>
        <color rgb="FFFFFFFF"/>
        <rFont val="WenQuanYi Zen Hei"/>
        <family val="2"/>
      </rPr>
      <t xml:space="preserve">円</t>
    </r>
    <r>
      <rPr>
        <b val="true"/>
        <sz val="9"/>
        <color rgb="FFFFFFFF"/>
        <rFont val="Meiryo UI"/>
        <family val="0"/>
        <charset val="1"/>
      </rPr>
      <t xml:space="preserve">/</t>
    </r>
    <r>
      <rPr>
        <b val="true"/>
        <sz val="9"/>
        <color rgb="FFFFFFFF"/>
        <rFont val="WenQuanYi Zen Hei"/>
        <family val="2"/>
      </rPr>
      <t xml:space="preserve">人</t>
    </r>
    <r>
      <rPr>
        <b val="true"/>
        <sz val="9"/>
        <color rgb="FFFFFFFF"/>
        <rFont val="Meiryo UI"/>
        <family val="0"/>
        <charset val="1"/>
      </rPr>
      <t xml:space="preserve">)</t>
    </r>
  </si>
  <si>
    <r>
      <rPr>
        <b val="true"/>
        <sz val="9"/>
        <color rgb="FFFFFFFF"/>
        <rFont val="Meiryo UI"/>
        <family val="0"/>
        <charset val="1"/>
      </rPr>
      <t xml:space="preserve">LEGS
</t>
    </r>
    <r>
      <rPr>
        <b val="true"/>
        <sz val="9"/>
        <color rgb="FFFFFFFF"/>
        <rFont val="WenQuanYi Zen Hei"/>
        <family val="2"/>
      </rPr>
      <t xml:space="preserve">前会場差</t>
    </r>
  </si>
  <si>
    <r>
      <rPr>
        <b val="true"/>
        <sz val="9"/>
        <color rgb="FFFFFFFF"/>
        <rFont val="WenQuanYi Zen Hei"/>
        <family val="2"/>
      </rPr>
      <t xml:space="preserve">物販客単価
</t>
    </r>
    <r>
      <rPr>
        <b val="true"/>
        <sz val="9"/>
        <color rgb="FFFFFFFF"/>
        <rFont val="Meiryo UI"/>
        <family val="0"/>
        <charset val="1"/>
      </rPr>
      <t xml:space="preserve">(</t>
    </r>
    <r>
      <rPr>
        <b val="true"/>
        <sz val="9"/>
        <color rgb="FFFFFFFF"/>
        <rFont val="WenQuanYi Zen Hei"/>
        <family val="2"/>
      </rPr>
      <t xml:space="preserve">全商品</t>
    </r>
    <r>
      <rPr>
        <b val="true"/>
        <sz val="9"/>
        <color rgb="FFFFFFFF"/>
        <rFont val="Meiryo UI"/>
        <family val="0"/>
        <charset val="1"/>
      </rPr>
      <t xml:space="preserve">)</t>
    </r>
  </si>
  <si>
    <t xml:space="preserve">主な新商品</t>
  </si>
  <si>
    <t xml:space="preserve">（初回：全商品が新規）</t>
  </si>
  <si>
    <r>
      <rPr>
        <sz val="9"/>
        <rFont val="Meiryo UI"/>
        <family val="0"/>
        <charset val="1"/>
      </rPr>
      <t xml:space="preserve">MAPPA</t>
    </r>
    <r>
      <rPr>
        <sz val="9"/>
        <rFont val="WenQuanYi Zen Hei"/>
        <family val="2"/>
      </rPr>
      <t xml:space="preserve">ブラインドカード</t>
    </r>
    <r>
      <rPr>
        <sz val="9"/>
        <rFont val="Meiryo UI"/>
        <family val="0"/>
        <charset val="1"/>
      </rPr>
      <t xml:space="preserve">4</t>
    </r>
    <r>
      <rPr>
        <sz val="9"/>
        <rFont val="WenQuanYi Zen Hei"/>
        <family val="2"/>
      </rPr>
      <t xml:space="preserve">種（フォト風カード・原画クリアカード）＝</t>
    </r>
    <r>
      <rPr>
        <sz val="9"/>
        <rFont val="Meiryo UI"/>
        <family val="0"/>
        <charset val="1"/>
      </rPr>
      <t xml:space="preserve">1,014</t>
    </r>
    <r>
      <rPr>
        <sz val="9"/>
        <rFont val="WenQuanYi Zen Hei"/>
        <family val="2"/>
      </rPr>
      <t xml:space="preserve">円</t>
    </r>
    <r>
      <rPr>
        <sz val="9"/>
        <rFont val="Meiryo UI"/>
        <family val="0"/>
        <charset val="1"/>
      </rPr>
      <t xml:space="preserve">/</t>
    </r>
    <r>
      <rPr>
        <sz val="9"/>
        <rFont val="WenQuanYi Zen Hei"/>
        <family val="2"/>
      </rPr>
      <t xml:space="preserve">人</t>
    </r>
  </si>
  <si>
    <r>
      <rPr>
        <sz val="9"/>
        <rFont val="WenQuanYi Zen Hei"/>
        <family val="2"/>
      </rPr>
      <t xml:space="preserve">★おすわりぬいぐるみ全</t>
    </r>
    <r>
      <rPr>
        <sz val="9"/>
        <rFont val="Meiryo UI"/>
        <family val="0"/>
        <charset val="1"/>
      </rPr>
      <t xml:space="preserve">8</t>
    </r>
    <r>
      <rPr>
        <sz val="9"/>
        <rFont val="WenQuanYi Zen Hei"/>
        <family val="2"/>
      </rPr>
      <t xml:space="preserve">種（</t>
    </r>
    <r>
      <rPr>
        <sz val="9"/>
        <rFont val="Meiryo UI"/>
        <family val="0"/>
        <charset val="1"/>
      </rPr>
      <t xml:space="preserve">230</t>
    </r>
    <r>
      <rPr>
        <sz val="9"/>
        <rFont val="WenQuanYi Zen Hei"/>
        <family val="2"/>
      </rPr>
      <t xml:space="preserve">円</t>
    </r>
    <r>
      <rPr>
        <sz val="9"/>
        <rFont val="Meiryo UI"/>
        <family val="0"/>
        <charset val="1"/>
      </rPr>
      <t xml:space="preserve">/</t>
    </r>
    <r>
      <rPr>
        <sz val="9"/>
        <rFont val="WenQuanYi Zen Hei"/>
        <family val="2"/>
      </rPr>
      <t xml:space="preserve">人）、アクリルカードスタンド（</t>
    </r>
    <r>
      <rPr>
        <sz val="9"/>
        <rFont val="Meiryo UI"/>
        <family val="0"/>
        <charset val="1"/>
      </rPr>
      <t xml:space="preserve">233</t>
    </r>
    <r>
      <rPr>
        <sz val="9"/>
        <rFont val="WenQuanYi Zen Hei"/>
        <family val="2"/>
      </rPr>
      <t xml:space="preserve">円</t>
    </r>
    <r>
      <rPr>
        <sz val="9"/>
        <rFont val="Meiryo UI"/>
        <family val="0"/>
        <charset val="1"/>
      </rPr>
      <t xml:space="preserve">/</t>
    </r>
    <r>
      <rPr>
        <sz val="9"/>
        <rFont val="WenQuanYi Zen Hei"/>
        <family val="2"/>
      </rPr>
      <t xml:space="preserve">人）、原画ポストカードセット（</t>
    </r>
    <r>
      <rPr>
        <sz val="9"/>
        <rFont val="Meiryo UI"/>
        <family val="0"/>
        <charset val="1"/>
      </rPr>
      <t xml:space="preserve">178</t>
    </r>
    <r>
      <rPr>
        <sz val="9"/>
        <rFont val="WenQuanYi Zen Hei"/>
        <family val="2"/>
      </rPr>
      <t xml:space="preserve">円</t>
    </r>
    <r>
      <rPr>
        <sz val="9"/>
        <rFont val="Meiryo UI"/>
        <family val="0"/>
        <charset val="1"/>
      </rPr>
      <t xml:space="preserve">/</t>
    </r>
    <r>
      <rPr>
        <sz val="9"/>
        <rFont val="WenQuanYi Zen Hei"/>
        <family val="2"/>
      </rPr>
      <t xml:space="preserve">人）</t>
    </r>
  </si>
  <si>
    <r>
      <rPr>
        <sz val="9"/>
        <rFont val="WenQuanYi Zen Hei"/>
        <family val="2"/>
      </rPr>
      <t xml:space="preserve">★うちわ</t>
    </r>
    <r>
      <rPr>
        <sz val="9"/>
        <rFont val="Meiryo UI"/>
        <family val="0"/>
        <charset val="1"/>
      </rPr>
      <t xml:space="preserve">14</t>
    </r>
    <r>
      <rPr>
        <sz val="9"/>
        <rFont val="WenQuanYi Zen Hei"/>
        <family val="2"/>
      </rPr>
      <t xml:space="preserve">種（</t>
    </r>
    <r>
      <rPr>
        <sz val="9"/>
        <rFont val="Meiryo UI"/>
        <family val="0"/>
        <charset val="1"/>
      </rPr>
      <t xml:space="preserve">195</t>
    </r>
    <r>
      <rPr>
        <sz val="9"/>
        <rFont val="WenQuanYi Zen Hei"/>
        <family val="2"/>
      </rPr>
      <t xml:space="preserve">円</t>
    </r>
    <r>
      <rPr>
        <sz val="9"/>
        <rFont val="Meiryo UI"/>
        <family val="0"/>
        <charset val="1"/>
      </rPr>
      <t xml:space="preserve">/</t>
    </r>
    <r>
      <rPr>
        <sz val="9"/>
        <rFont val="WenQuanYi Zen Hei"/>
        <family val="2"/>
      </rPr>
      <t xml:space="preserve">人）、アクリル系</t>
    </r>
    <r>
      <rPr>
        <sz val="9"/>
        <rFont val="Meiryo UI"/>
        <family val="0"/>
        <charset val="1"/>
      </rPr>
      <t xml:space="preserve">39</t>
    </r>
    <r>
      <rPr>
        <sz val="9"/>
        <rFont val="WenQuanYi Zen Hei"/>
        <family val="2"/>
      </rPr>
      <t xml:space="preserve">種（</t>
    </r>
    <r>
      <rPr>
        <sz val="9"/>
        <rFont val="Meiryo UI"/>
        <family val="0"/>
        <charset val="1"/>
      </rPr>
      <t xml:space="preserve">450</t>
    </r>
    <r>
      <rPr>
        <sz val="9"/>
        <rFont val="WenQuanYi Zen Hei"/>
        <family val="2"/>
      </rPr>
      <t xml:space="preserve">円</t>
    </r>
    <r>
      <rPr>
        <sz val="9"/>
        <rFont val="Meiryo UI"/>
        <family val="0"/>
        <charset val="1"/>
      </rPr>
      <t xml:space="preserve">/</t>
    </r>
    <r>
      <rPr>
        <sz val="9"/>
        <rFont val="WenQuanYi Zen Hei"/>
        <family val="2"/>
      </rPr>
      <t xml:space="preserve">人）、劇場版</t>
    </r>
    <r>
      <rPr>
        <sz val="9"/>
        <rFont val="Meiryo UI"/>
        <family val="0"/>
        <charset val="1"/>
      </rPr>
      <t xml:space="preserve">ED</t>
    </r>
    <r>
      <rPr>
        <sz val="9"/>
        <rFont val="WenQuanYi Zen Hei"/>
        <family val="2"/>
      </rPr>
      <t xml:space="preserve">系カード</t>
    </r>
    <r>
      <rPr>
        <sz val="9"/>
        <rFont val="Meiryo UI"/>
        <family val="0"/>
        <charset val="1"/>
      </rPr>
      <t xml:space="preserve">/</t>
    </r>
    <r>
      <rPr>
        <sz val="9"/>
        <rFont val="WenQuanYi Zen Hei"/>
        <family val="2"/>
      </rPr>
      <t xml:space="preserve">ファイル（</t>
    </r>
    <r>
      <rPr>
        <sz val="9"/>
        <rFont val="Meiryo UI"/>
        <family val="0"/>
        <charset val="1"/>
      </rPr>
      <t xml:space="preserve">500</t>
    </r>
    <r>
      <rPr>
        <sz val="9"/>
        <rFont val="WenQuanYi Zen Hei"/>
        <family val="2"/>
      </rPr>
      <t xml:space="preserve">円</t>
    </r>
    <r>
      <rPr>
        <sz val="9"/>
        <rFont val="Meiryo UI"/>
        <family val="0"/>
        <charset val="1"/>
      </rPr>
      <t xml:space="preserve">/</t>
    </r>
    <r>
      <rPr>
        <sz val="9"/>
        <rFont val="WenQuanYi Zen Hei"/>
        <family val="2"/>
      </rPr>
      <t xml:space="preserve">人）、ぐみっとシール（</t>
    </r>
    <r>
      <rPr>
        <sz val="9"/>
        <rFont val="Meiryo UI"/>
        <family val="0"/>
        <charset val="1"/>
      </rPr>
      <t xml:space="preserve">101</t>
    </r>
    <r>
      <rPr>
        <sz val="9"/>
        <rFont val="WenQuanYi Zen Hei"/>
        <family val="2"/>
      </rPr>
      <t xml:space="preserve">円</t>
    </r>
    <r>
      <rPr>
        <sz val="9"/>
        <rFont val="Meiryo UI"/>
        <family val="0"/>
        <charset val="1"/>
      </rPr>
      <t xml:space="preserve">/</t>
    </r>
    <r>
      <rPr>
        <sz val="9"/>
        <rFont val="WenQuanYi Zen Hei"/>
        <family val="2"/>
      </rPr>
      <t xml:space="preserve">人）</t>
    </r>
  </si>
  <si>
    <t xml:space="preserve">新規なし（品揃えは大阪と同一）</t>
  </si>
  <si>
    <r>
      <rPr>
        <b val="true"/>
        <sz val="11"/>
        <color rgb="FFC00000"/>
        <rFont val="Meiryo UI"/>
        <family val="0"/>
        <charset val="1"/>
      </rPr>
      <t xml:space="preserve">■ ③ LEGS </t>
    </r>
    <r>
      <rPr>
        <b val="true"/>
        <sz val="11"/>
        <color rgb="FFC00000"/>
        <rFont val="WenQuanYi Zen Hei"/>
        <family val="2"/>
      </rPr>
      <t xml:space="preserve">商品タイプ別 </t>
    </r>
    <r>
      <rPr>
        <b val="true"/>
        <sz val="11"/>
        <color rgb="FFC00000"/>
        <rFont val="Meiryo UI"/>
        <family val="0"/>
        <charset val="1"/>
      </rPr>
      <t xml:space="preserve">1</t>
    </r>
    <r>
      <rPr>
        <b val="true"/>
        <sz val="11"/>
        <color rgb="FFC00000"/>
        <rFont val="WenQuanYi Zen Hei"/>
        <family val="2"/>
      </rPr>
      <t xml:space="preserve">人あたり売上（円</t>
    </r>
    <r>
      <rPr>
        <b val="true"/>
        <sz val="11"/>
        <color rgb="FFC00000"/>
        <rFont val="Meiryo UI"/>
        <family val="0"/>
        <charset val="1"/>
      </rPr>
      <t xml:space="preserve">/</t>
    </r>
    <r>
      <rPr>
        <b val="true"/>
        <sz val="11"/>
        <color rgb="FFC00000"/>
        <rFont val="WenQuanYi Zen Hei"/>
        <family val="2"/>
      </rPr>
      <t xml:space="preserve">人）— どのタイプが削られたか</t>
    </r>
  </si>
  <si>
    <r>
      <rPr>
        <b val="true"/>
        <sz val="9"/>
        <color rgb="FFFFFFFF"/>
        <rFont val="Meiryo UI"/>
        <family val="0"/>
        <charset val="1"/>
      </rPr>
      <t xml:space="preserve">LEGS </t>
    </r>
    <r>
      <rPr>
        <b val="true"/>
        <sz val="9"/>
        <color rgb="FFFFFFFF"/>
        <rFont val="WenQuanYi Zen Hei"/>
        <family val="2"/>
      </rPr>
      <t xml:space="preserve">商品タイプ</t>
    </r>
  </si>
  <si>
    <r>
      <rPr>
        <b val="true"/>
        <sz val="9"/>
        <color rgb="FFFFFFFF"/>
        <rFont val="Meiryo UI"/>
        <family val="0"/>
        <charset val="1"/>
      </rPr>
      <t xml:space="preserve">LEGS</t>
    </r>
    <r>
      <rPr>
        <b val="true"/>
        <sz val="9"/>
        <color rgb="FFFFFFFF"/>
        <rFont val="WenQuanYi Zen Hei"/>
        <family val="2"/>
      </rPr>
      <t xml:space="preserve">減少への
寄与度</t>
    </r>
  </si>
  <si>
    <t xml:space="preserve">競合した新商品</t>
  </si>
  <si>
    <t xml:space="preserve">ブラインド缶バッジ</t>
  </si>
  <si>
    <r>
      <rPr>
        <sz val="9"/>
        <rFont val="WenQuanYi Zen Hei"/>
        <family val="2"/>
      </rPr>
      <t xml:space="preserve">★アクリル系</t>
    </r>
    <r>
      <rPr>
        <sz val="9"/>
        <rFont val="Meiryo UI"/>
        <family val="0"/>
        <charset val="1"/>
      </rPr>
      <t xml:space="preserve">39SKU</t>
    </r>
    <r>
      <rPr>
        <sz val="9"/>
        <rFont val="WenQuanYi Zen Hei"/>
        <family val="2"/>
      </rPr>
      <t xml:space="preserve">（</t>
    </r>
    <r>
      <rPr>
        <sz val="9"/>
        <rFont val="Meiryo UI"/>
        <family val="0"/>
        <charset val="1"/>
      </rPr>
      <t xml:space="preserve">450</t>
    </r>
    <r>
      <rPr>
        <sz val="9"/>
        <rFont val="WenQuanYi Zen Hei"/>
        <family val="2"/>
      </rPr>
      <t xml:space="preserve">円</t>
    </r>
    <r>
      <rPr>
        <sz val="9"/>
        <rFont val="Meiryo UI"/>
        <family val="0"/>
        <charset val="1"/>
      </rPr>
      <t xml:space="preserve">/</t>
    </r>
    <r>
      <rPr>
        <sz val="9"/>
        <rFont val="WenQuanYi Zen Hei"/>
        <family val="2"/>
      </rPr>
      <t xml:space="preserve">人）・ぬいぐるみ全</t>
    </r>
    <r>
      <rPr>
        <sz val="9"/>
        <rFont val="Meiryo UI"/>
        <family val="0"/>
        <charset val="1"/>
      </rPr>
      <t xml:space="preserve">8</t>
    </r>
    <r>
      <rPr>
        <sz val="9"/>
        <rFont val="WenQuanYi Zen Hei"/>
        <family val="2"/>
      </rPr>
      <t xml:space="preserve">種。同じ「引く／集める」コレクション需要が直撃</t>
    </r>
  </si>
  <si>
    <t xml:space="preserve">ブラインドミニ色紙</t>
  </si>
  <si>
    <r>
      <rPr>
        <sz val="9"/>
        <rFont val="WenQuanYi Zen Hei"/>
        <family val="2"/>
      </rPr>
      <t xml:space="preserve">★アクリル系・劇場版</t>
    </r>
    <r>
      <rPr>
        <sz val="9"/>
        <rFont val="Meiryo UI"/>
        <family val="0"/>
        <charset val="1"/>
      </rPr>
      <t xml:space="preserve">ED</t>
    </r>
    <r>
      <rPr>
        <sz val="9"/>
        <rFont val="WenQuanYi Zen Hei"/>
        <family val="2"/>
      </rPr>
      <t xml:space="preserve">カード類（</t>
    </r>
    <r>
      <rPr>
        <sz val="9"/>
        <rFont val="Meiryo UI"/>
        <family val="0"/>
        <charset val="1"/>
      </rPr>
      <t xml:space="preserve">293</t>
    </r>
    <r>
      <rPr>
        <sz val="9"/>
        <rFont val="WenQuanYi Zen Hei"/>
        <family val="2"/>
      </rPr>
      <t xml:space="preserve">円</t>
    </r>
    <r>
      <rPr>
        <sz val="9"/>
        <rFont val="Meiryo UI"/>
        <family val="0"/>
        <charset val="1"/>
      </rPr>
      <t xml:space="preserve">/</t>
    </r>
    <r>
      <rPr>
        <sz val="9"/>
        <rFont val="WenQuanYi Zen Hei"/>
        <family val="2"/>
      </rPr>
      <t xml:space="preserve">人）。ブラインド飽和＋新規コレクション商材へ移行</t>
    </r>
  </si>
  <si>
    <t xml:space="preserve">クリアファイル</t>
  </si>
  <si>
    <r>
      <rPr>
        <sz val="9"/>
        <rFont val="WenQuanYi Zen Hei"/>
        <family val="2"/>
      </rPr>
      <t xml:space="preserve">劇場版</t>
    </r>
    <r>
      <rPr>
        <sz val="9"/>
        <rFont val="Meiryo UI"/>
        <family val="0"/>
        <charset val="1"/>
      </rPr>
      <t xml:space="preserve">ED</t>
    </r>
    <r>
      <rPr>
        <sz val="9"/>
        <rFont val="WenQuanYi Zen Hei"/>
        <family val="2"/>
      </rPr>
      <t xml:space="preserve">クリアファイル</t>
    </r>
    <r>
      <rPr>
        <sz val="9"/>
        <rFont val="Meiryo UI"/>
        <family val="0"/>
        <charset val="1"/>
      </rPr>
      <t xml:space="preserve">10SKU</t>
    </r>
    <r>
      <rPr>
        <sz val="9"/>
        <rFont val="WenQuanYi Zen Hei"/>
        <family val="2"/>
      </rPr>
      <t xml:space="preserve">（</t>
    </r>
    <r>
      <rPr>
        <sz val="9"/>
        <rFont val="Meiryo UI"/>
        <family val="0"/>
        <charset val="1"/>
      </rPr>
      <t xml:space="preserve">207</t>
    </r>
    <r>
      <rPr>
        <sz val="9"/>
        <rFont val="WenQuanYi Zen Hei"/>
        <family val="2"/>
      </rPr>
      <t xml:space="preserve">円</t>
    </r>
    <r>
      <rPr>
        <sz val="9"/>
        <rFont val="Meiryo UI"/>
        <family val="0"/>
        <charset val="1"/>
      </rPr>
      <t xml:space="preserve">/</t>
    </r>
    <r>
      <rPr>
        <sz val="9"/>
        <rFont val="WenQuanYi Zen Hei"/>
        <family val="2"/>
      </rPr>
      <t xml:space="preserve">人）と競合するが、</t>
    </r>
    <r>
      <rPr>
        <sz val="9"/>
        <rFont val="Meiryo UI"/>
        <family val="0"/>
        <charset val="1"/>
      </rPr>
      <t xml:space="preserve">LEGS</t>
    </r>
    <r>
      <rPr>
        <sz val="9"/>
        <rFont val="WenQuanYi Zen Hei"/>
        <family val="2"/>
      </rPr>
      <t xml:space="preserve">側は横ばいを維持</t>
    </r>
  </si>
  <si>
    <t xml:space="preserve">ポストカード類</t>
  </si>
  <si>
    <r>
      <rPr>
        <sz val="9"/>
        <rFont val="WenQuanYi Zen Hei"/>
        <family val="2"/>
      </rPr>
      <t xml:space="preserve">劇場版</t>
    </r>
    <r>
      <rPr>
        <sz val="9"/>
        <rFont val="Meiryo UI"/>
        <family val="0"/>
        <charset val="1"/>
      </rPr>
      <t xml:space="preserve">ED</t>
    </r>
    <r>
      <rPr>
        <sz val="9"/>
        <rFont val="WenQuanYi Zen Hei"/>
        <family val="2"/>
      </rPr>
      <t xml:space="preserve">ポストカード</t>
    </r>
    <r>
      <rPr>
        <sz val="9"/>
        <rFont val="Meiryo UI"/>
        <family val="0"/>
        <charset val="1"/>
      </rPr>
      <t xml:space="preserve">/Pictas</t>
    </r>
    <r>
      <rPr>
        <sz val="9"/>
        <rFont val="WenQuanYi Zen Hei"/>
        <family val="2"/>
      </rPr>
      <t xml:space="preserve">（</t>
    </r>
    <r>
      <rPr>
        <sz val="9"/>
        <rFont val="Meiryo UI"/>
        <family val="0"/>
        <charset val="1"/>
      </rPr>
      <t xml:space="preserve">199</t>
    </r>
    <r>
      <rPr>
        <sz val="9"/>
        <rFont val="WenQuanYi Zen Hei"/>
        <family val="2"/>
      </rPr>
      <t xml:space="preserve">円</t>
    </r>
    <r>
      <rPr>
        <sz val="9"/>
        <rFont val="Meiryo UI"/>
        <family val="0"/>
        <charset val="1"/>
      </rPr>
      <t xml:space="preserve">/</t>
    </r>
    <r>
      <rPr>
        <sz val="9"/>
        <rFont val="WenQuanYi Zen Hei"/>
        <family val="2"/>
      </rPr>
      <t xml:space="preserve">人）と競合。</t>
    </r>
    <r>
      <rPr>
        <sz val="9"/>
        <rFont val="Meiryo UI"/>
        <family val="0"/>
        <charset val="1"/>
      </rPr>
      <t xml:space="preserve">LEGS</t>
    </r>
    <r>
      <rPr>
        <sz val="9"/>
        <rFont val="WenQuanYi Zen Hei"/>
        <family val="2"/>
      </rPr>
      <t xml:space="preserve">側は横ばい</t>
    </r>
  </si>
  <si>
    <t xml:space="preserve">ブラインドステッカー</t>
  </si>
  <si>
    <r>
      <rPr>
        <sz val="9"/>
        <rFont val="WenQuanYi Zen Hei"/>
        <family val="2"/>
      </rPr>
      <t xml:space="preserve">ぐみっとシール等</t>
    </r>
    <r>
      <rPr>
        <sz val="9"/>
        <rFont val="Meiryo UI"/>
        <family val="0"/>
        <charset val="1"/>
      </rPr>
      <t xml:space="preserve">9SKU</t>
    </r>
    <r>
      <rPr>
        <sz val="9"/>
        <rFont val="WenQuanYi Zen Hei"/>
        <family val="2"/>
      </rPr>
      <t xml:space="preserve">（</t>
    </r>
    <r>
      <rPr>
        <sz val="9"/>
        <rFont val="Meiryo UI"/>
        <family val="0"/>
        <charset val="1"/>
      </rPr>
      <t xml:space="preserve">121</t>
    </r>
    <r>
      <rPr>
        <sz val="9"/>
        <rFont val="WenQuanYi Zen Hei"/>
        <family val="2"/>
      </rPr>
      <t xml:space="preserve">円</t>
    </r>
    <r>
      <rPr>
        <sz val="9"/>
        <rFont val="Meiryo UI"/>
        <family val="0"/>
        <charset val="1"/>
      </rPr>
      <t xml:space="preserve">/</t>
    </r>
    <r>
      <rPr>
        <sz val="9"/>
        <rFont val="WenQuanYi Zen Hei"/>
        <family val="2"/>
      </rPr>
      <t xml:space="preserve">人）。影響軽微</t>
    </r>
  </si>
  <si>
    <t xml:space="preserve">雑貨・その他</t>
  </si>
  <si>
    <r>
      <rPr>
        <sz val="9"/>
        <rFont val="WenQuanYi Zen Hei"/>
        <family val="2"/>
      </rPr>
      <t xml:space="preserve">うちわ</t>
    </r>
    <r>
      <rPr>
        <sz val="9"/>
        <rFont val="Meiryo UI"/>
        <family val="0"/>
        <charset val="1"/>
      </rPr>
      <t xml:space="preserve">14SKU</t>
    </r>
    <r>
      <rPr>
        <sz val="9"/>
        <rFont val="WenQuanYi Zen Hei"/>
        <family val="2"/>
      </rPr>
      <t xml:space="preserve">（</t>
    </r>
    <r>
      <rPr>
        <sz val="9"/>
        <rFont val="Meiryo UI"/>
        <family val="0"/>
        <charset val="1"/>
      </rPr>
      <t xml:space="preserve">195</t>
    </r>
    <r>
      <rPr>
        <sz val="9"/>
        <rFont val="WenQuanYi Zen Hei"/>
        <family val="2"/>
      </rPr>
      <t xml:space="preserve">円</t>
    </r>
    <r>
      <rPr>
        <sz val="9"/>
        <rFont val="Meiryo UI"/>
        <family val="0"/>
        <charset val="1"/>
      </rPr>
      <t xml:space="preserve">/</t>
    </r>
    <r>
      <rPr>
        <sz val="9"/>
        <rFont val="WenQuanYi Zen Hei"/>
        <family val="2"/>
      </rPr>
      <t xml:space="preserve">人）が近い衝動買い枠。バスボール・お菓子等が微減</t>
    </r>
  </si>
  <si>
    <r>
      <rPr>
        <b val="true"/>
        <sz val="9"/>
        <rFont val="WenQuanYi Zen Hei"/>
        <family val="2"/>
      </rPr>
      <t xml:space="preserve">アクセサリー</t>
    </r>
    <r>
      <rPr>
        <b val="true"/>
        <sz val="9"/>
        <rFont val="Meiryo UI"/>
        <family val="0"/>
        <charset val="1"/>
      </rPr>
      <t xml:space="preserve">(</t>
    </r>
    <r>
      <rPr>
        <b val="true"/>
        <sz val="9"/>
        <rFont val="WenQuanYi Zen Hei"/>
        <family val="2"/>
      </rPr>
      <t xml:space="preserve">リング等</t>
    </r>
    <r>
      <rPr>
        <b val="true"/>
        <sz val="9"/>
        <rFont val="Meiryo UI"/>
        <family val="0"/>
        <charset val="1"/>
      </rPr>
      <t xml:space="preserve">)</t>
    </r>
  </si>
  <si>
    <r>
      <rPr>
        <sz val="9"/>
        <rFont val="WenQuanYi Zen Hei"/>
        <family val="2"/>
      </rPr>
      <t xml:space="preserve">高単価アクセ。ぬいぐるみコンプリート</t>
    </r>
    <r>
      <rPr>
        <sz val="9"/>
        <rFont val="Meiryo UI"/>
        <family val="0"/>
        <charset val="1"/>
      </rPr>
      <t xml:space="preserve">(¥19,840)</t>
    </r>
    <r>
      <rPr>
        <sz val="9"/>
        <rFont val="WenQuanYi Zen Hei"/>
        <family val="2"/>
      </rPr>
      <t xml:space="preserve">等の高単価枠と競合</t>
    </r>
  </si>
  <si>
    <r>
      <rPr>
        <b val="true"/>
        <sz val="9"/>
        <rFont val="Meiryo UI"/>
        <family val="0"/>
        <charset val="1"/>
      </rPr>
      <t xml:space="preserve">LEGS </t>
    </r>
    <r>
      <rPr>
        <b val="true"/>
        <sz val="9"/>
        <rFont val="WenQuanYi Zen Hei"/>
        <family val="2"/>
      </rPr>
      <t xml:space="preserve">合計</t>
    </r>
  </si>
  <si>
    <r>
      <rPr>
        <b val="true"/>
        <sz val="11"/>
        <color rgb="FFC00000"/>
        <rFont val="WenQuanYi Zen Hei"/>
        <family val="2"/>
      </rPr>
      <t xml:space="preserve">■ ④ 大阪 新商品</t>
    </r>
    <r>
      <rPr>
        <b val="true"/>
        <sz val="11"/>
        <color rgb="FFC00000"/>
        <rFont val="Meiryo UI"/>
        <family val="0"/>
        <charset val="1"/>
      </rPr>
      <t xml:space="preserve">106SKU </t>
    </r>
    <r>
      <rPr>
        <b val="true"/>
        <sz val="11"/>
        <color rgb="FFC00000"/>
        <rFont val="WenQuanYi Zen Hei"/>
        <family val="2"/>
      </rPr>
      <t xml:space="preserve">の内訳（タイプ別）</t>
    </r>
  </si>
  <si>
    <t xml:space="preserve">新商品タイプ</t>
  </si>
  <si>
    <r>
      <rPr>
        <b val="true"/>
        <sz val="9"/>
        <color rgb="FFFFFFFF"/>
        <rFont val="Meiryo UI"/>
        <family val="0"/>
        <charset val="1"/>
      </rPr>
      <t xml:space="preserve">SKU</t>
    </r>
    <r>
      <rPr>
        <b val="true"/>
        <sz val="9"/>
        <color rgb="FFFFFFFF"/>
        <rFont val="WenQuanYi Zen Hei"/>
        <family val="2"/>
      </rPr>
      <t xml:space="preserve">数</t>
    </r>
  </si>
  <si>
    <t xml:space="preserve">販売数量</t>
  </si>
  <si>
    <r>
      <rPr>
        <b val="true"/>
        <sz val="9"/>
        <color rgb="FFFFFFFF"/>
        <rFont val="WenQuanYi Zen Hei"/>
        <family val="2"/>
      </rPr>
      <t xml:space="preserve">販売金額</t>
    </r>
    <r>
      <rPr>
        <b val="true"/>
        <sz val="9"/>
        <color rgb="FFFFFFFF"/>
        <rFont val="Meiryo UI"/>
        <family val="0"/>
        <charset val="1"/>
      </rPr>
      <t xml:space="preserve">(</t>
    </r>
    <r>
      <rPr>
        <b val="true"/>
        <sz val="9"/>
        <color rgb="FFFFFFFF"/>
        <rFont val="WenQuanYi Zen Hei"/>
        <family val="2"/>
      </rPr>
      <t xml:space="preserve">税込</t>
    </r>
    <r>
      <rPr>
        <b val="true"/>
        <sz val="9"/>
        <color rgb="FFFFFFFF"/>
        <rFont val="Meiryo UI"/>
        <family val="0"/>
        <charset val="1"/>
      </rPr>
      <t xml:space="preserve">)</t>
    </r>
  </si>
  <si>
    <t xml:space="preserve">会場売上
構成比</t>
  </si>
  <si>
    <r>
      <rPr>
        <b val="true"/>
        <sz val="9"/>
        <color rgb="FFFFFFFF"/>
        <rFont val="Meiryo UI"/>
        <family val="0"/>
        <charset val="1"/>
      </rPr>
      <t xml:space="preserve">1</t>
    </r>
    <r>
      <rPr>
        <b val="true"/>
        <sz val="9"/>
        <color rgb="FFFFFFFF"/>
        <rFont val="WenQuanYi Zen Hei"/>
        <family val="2"/>
      </rPr>
      <t xml:space="preserve">人あたり
売上</t>
    </r>
  </si>
  <si>
    <r>
      <rPr>
        <b val="true"/>
        <sz val="9"/>
        <color rgb="FFFFFFFF"/>
        <rFont val="WenQuanYi Zen Hei"/>
        <family val="2"/>
      </rPr>
      <t xml:space="preserve">競合する</t>
    </r>
    <r>
      <rPr>
        <b val="true"/>
        <sz val="9"/>
        <color rgb="FFFFFFFF"/>
        <rFont val="Meiryo UI"/>
        <family val="0"/>
        <charset val="1"/>
      </rPr>
      <t xml:space="preserve">LEGS</t>
    </r>
    <r>
      <rPr>
        <b val="true"/>
        <sz val="9"/>
        <color rgb="FFFFFFFF"/>
        <rFont val="WenQuanYi Zen Hei"/>
        <family val="2"/>
      </rPr>
      <t xml:space="preserve">商品</t>
    </r>
  </si>
  <si>
    <t xml:space="preserve">アクリル系（コレクション）</t>
  </si>
  <si>
    <t xml:space="preserve">★ブラインド缶バッジ・ブラインドミニ色紙（直接競合）</t>
  </si>
  <si>
    <t xml:space="preserve">カード・ポストカード類</t>
  </si>
  <si>
    <r>
      <rPr>
        <sz val="9"/>
        <rFont val="WenQuanYi Zen Hei"/>
        <family val="2"/>
      </rPr>
      <t xml:space="preserve">ポストカードセット</t>
    </r>
    <r>
      <rPr>
        <sz val="9"/>
        <rFont val="Meiryo UI"/>
        <family val="0"/>
        <charset val="1"/>
      </rPr>
      <t xml:space="preserve">2</t>
    </r>
    <r>
      <rPr>
        <sz val="9"/>
        <rFont val="WenQuanYi Zen Hei"/>
        <family val="2"/>
      </rPr>
      <t xml:space="preserve">種・メタリックポストカード</t>
    </r>
  </si>
  <si>
    <r>
      <rPr>
        <sz val="9"/>
        <rFont val="WenQuanYi Zen Hei"/>
        <family val="2"/>
      </rPr>
      <t xml:space="preserve">クリアファイル</t>
    </r>
    <r>
      <rPr>
        <sz val="9"/>
        <rFont val="Meiryo UI"/>
        <family val="0"/>
        <charset val="1"/>
      </rPr>
      <t xml:space="preserve">14</t>
    </r>
    <r>
      <rPr>
        <sz val="9"/>
        <rFont val="WenQuanYi Zen Hei"/>
        <family val="2"/>
      </rPr>
      <t xml:space="preserve">種（展示会</t>
    </r>
    <r>
      <rPr>
        <sz val="9"/>
        <rFont val="Meiryo UI"/>
        <family val="0"/>
        <charset val="1"/>
      </rPr>
      <t xml:space="preserve">KV</t>
    </r>
    <r>
      <rPr>
        <sz val="9"/>
        <rFont val="WenQuanYi Zen Hei"/>
        <family val="2"/>
      </rPr>
      <t xml:space="preserve">・キャラ別）</t>
    </r>
  </si>
  <si>
    <t xml:space="preserve">うちわ（新カテゴリ）</t>
  </si>
  <si>
    <r>
      <rPr>
        <sz val="9"/>
        <rFont val="WenQuanYi Zen Hei"/>
        <family val="2"/>
      </rPr>
      <t xml:space="preserve">直接競合なし。ただし</t>
    </r>
    <r>
      <rPr>
        <sz val="9"/>
        <rFont val="Meiryo UI"/>
        <family val="0"/>
        <charset val="1"/>
      </rPr>
      <t xml:space="preserve">1,100</t>
    </r>
    <r>
      <rPr>
        <sz val="9"/>
        <rFont val="WenQuanYi Zen Hei"/>
        <family val="2"/>
      </rPr>
      <t xml:space="preserve">円の衝動買い枠を奪う</t>
    </r>
  </si>
  <si>
    <t xml:space="preserve">シール・ステッカー</t>
  </si>
  <si>
    <r>
      <rPr>
        <sz val="9"/>
        <rFont val="WenQuanYi Zen Hei"/>
        <family val="2"/>
      </rPr>
      <t xml:space="preserve">ブラインドダイカットステッカー</t>
    </r>
    <r>
      <rPr>
        <sz val="9"/>
        <rFont val="Meiryo UI"/>
        <family val="0"/>
        <charset val="1"/>
      </rPr>
      <t xml:space="preserve">2</t>
    </r>
    <r>
      <rPr>
        <sz val="9"/>
        <rFont val="WenQuanYi Zen Hei"/>
        <family val="2"/>
      </rPr>
      <t xml:space="preserve">種</t>
    </r>
  </si>
  <si>
    <t xml:space="preserve">その他新商品</t>
  </si>
  <si>
    <t xml:space="preserve">缶バッジ</t>
  </si>
  <si>
    <r>
      <rPr>
        <sz val="9"/>
        <rFont val="WenQuanYi Zen Hei"/>
        <family val="2"/>
      </rPr>
      <t xml:space="preserve">★ブラインド缶バッジ</t>
    </r>
    <r>
      <rPr>
        <sz val="9"/>
        <rFont val="Meiryo UI"/>
        <family val="0"/>
        <charset val="1"/>
      </rPr>
      <t xml:space="preserve">2</t>
    </r>
    <r>
      <rPr>
        <sz val="9"/>
        <rFont val="WenQuanYi Zen Hei"/>
        <family val="2"/>
      </rPr>
      <t xml:space="preserve">種（直接競合）</t>
    </r>
  </si>
  <si>
    <t xml:space="preserve">新商品 合計</t>
  </si>
  <si>
    <r>
      <rPr>
        <b val="true"/>
        <sz val="9"/>
        <rFont val="WenQuanYi Zen Hei"/>
        <family val="2"/>
      </rPr>
      <t xml:space="preserve">うち約</t>
    </r>
    <r>
      <rPr>
        <b val="true"/>
        <sz val="9"/>
        <rFont val="Meiryo UI"/>
        <family val="0"/>
        <charset val="1"/>
      </rPr>
      <t xml:space="preserve">47%</t>
    </r>
    <r>
      <rPr>
        <b val="true"/>
        <sz val="9"/>
        <rFont val="WenQuanYi Zen Hei"/>
        <family val="2"/>
      </rPr>
      <t xml:space="preserve">が</t>
    </r>
    <r>
      <rPr>
        <b val="true"/>
        <sz val="9"/>
        <rFont val="Meiryo UI"/>
        <family val="0"/>
        <charset val="1"/>
      </rPr>
      <t xml:space="preserve">LEGS</t>
    </r>
    <r>
      <rPr>
        <b val="true"/>
        <sz val="9"/>
        <rFont val="WenQuanYi Zen Hei"/>
        <family val="2"/>
      </rPr>
      <t xml:space="preserve">からの移動と推定</t>
    </r>
  </si>
  <si>
    <t xml:space="preserve">■ ⑤ 仙台会場以降への示唆</t>
  </si>
  <si>
    <r>
      <rPr>
        <b val="true"/>
        <sz val="9"/>
        <rFont val="Meiryo UI"/>
        <family val="0"/>
        <charset val="1"/>
      </rPr>
      <t xml:space="preserve">LEGS</t>
    </r>
    <r>
      <rPr>
        <b val="true"/>
        <sz val="9"/>
        <rFont val="WenQuanYi Zen Hei"/>
        <family val="2"/>
      </rPr>
      <t xml:space="preserve">構成比は底打ちの見込み</t>
    </r>
  </si>
  <si>
    <r>
      <rPr>
        <sz val="9"/>
        <rFont val="WenQuanYi Zen Hei"/>
        <family val="2"/>
      </rPr>
      <t xml:space="preserve">札幌・石川は新規</t>
    </r>
    <r>
      <rPr>
        <sz val="9"/>
        <rFont val="Meiryo UI"/>
        <family val="0"/>
        <charset val="1"/>
      </rPr>
      <t xml:space="preserve">SKU 0</t>
    </r>
    <r>
      <rPr>
        <sz val="9"/>
        <rFont val="WenQuanYi Zen Hei"/>
        <family val="2"/>
      </rPr>
      <t xml:space="preserve">で品揃えが大阪と同一。</t>
    </r>
    <r>
      <rPr>
        <sz val="9"/>
        <rFont val="Meiryo UI"/>
        <family val="0"/>
        <charset val="1"/>
      </rPr>
      <t xml:space="preserve">LEGS</t>
    </r>
    <r>
      <rPr>
        <sz val="9"/>
        <rFont val="WenQuanYi Zen Hei"/>
        <family val="2"/>
      </rPr>
      <t xml:space="preserve">金額構成比は</t>
    </r>
    <r>
      <rPr>
        <sz val="9"/>
        <rFont val="Meiryo UI"/>
        <family val="0"/>
        <charset val="1"/>
      </rPr>
      <t xml:space="preserve">17.1%</t>
    </r>
    <r>
      <rPr>
        <sz val="9"/>
        <rFont val="WenQuanYi Zen Hei"/>
        <family val="2"/>
      </rPr>
      <t xml:space="preserve">まで下がったが減少幅は縮小しており、仙台以降も新商品の追加が無ければこの水準で安定すると想定。③の予測はこれを採用している。</t>
    </r>
  </si>
  <si>
    <t xml:space="preserve">★最大のリスクは「仙台以降の新商品追加」</t>
  </si>
  <si>
    <r>
      <rPr>
        <sz val="9"/>
        <rFont val="WenQuanYi Zen Hei"/>
        <family val="2"/>
      </rPr>
      <t xml:space="preserve">大阪の実績では新商品</t>
    </r>
    <r>
      <rPr>
        <sz val="9"/>
        <rFont val="Meiryo UI"/>
        <family val="0"/>
        <charset val="1"/>
      </rPr>
      <t xml:space="preserve">1,360</t>
    </r>
    <r>
      <rPr>
        <sz val="9"/>
        <rFont val="WenQuanYi Zen Hei"/>
        <family val="2"/>
      </rPr>
      <t xml:space="preserve">円</t>
    </r>
    <r>
      <rPr>
        <sz val="9"/>
        <rFont val="Meiryo UI"/>
        <family val="0"/>
        <charset val="1"/>
      </rPr>
      <t xml:space="preserve">/</t>
    </r>
    <r>
      <rPr>
        <sz val="9"/>
        <rFont val="WenQuanYi Zen Hei"/>
        <family val="2"/>
      </rPr>
      <t xml:space="preserve">人の投入に対し</t>
    </r>
    <r>
      <rPr>
        <sz val="9"/>
        <rFont val="Meiryo UI"/>
        <family val="0"/>
        <charset val="1"/>
      </rPr>
      <t xml:space="preserve">LEGS</t>
    </r>
    <r>
      <rPr>
        <sz val="9"/>
        <rFont val="WenQuanYi Zen Hei"/>
        <family val="2"/>
      </rPr>
      <t xml:space="preserve">が</t>
    </r>
    <r>
      <rPr>
        <sz val="9"/>
        <rFont val="Meiryo UI"/>
        <family val="0"/>
        <charset val="1"/>
      </rPr>
      <t xml:space="preserve">643</t>
    </r>
    <r>
      <rPr>
        <sz val="9"/>
        <rFont val="WenQuanYi Zen Hei"/>
        <family val="2"/>
      </rPr>
      <t xml:space="preserve">円</t>
    </r>
    <r>
      <rPr>
        <sz val="9"/>
        <rFont val="Meiryo UI"/>
        <family val="0"/>
        <charset val="1"/>
      </rPr>
      <t xml:space="preserve">/</t>
    </r>
    <r>
      <rPr>
        <sz val="9"/>
        <rFont val="WenQuanYi Zen Hei"/>
        <family val="2"/>
      </rPr>
      <t xml:space="preserve">人失われた。同規模の新商品を仙台以降に投入すると、</t>
    </r>
    <r>
      <rPr>
        <sz val="9"/>
        <rFont val="Meiryo UI"/>
        <family val="0"/>
        <charset val="1"/>
      </rPr>
      <t xml:space="preserve">LEGS</t>
    </r>
    <r>
      <rPr>
        <sz val="9"/>
        <rFont val="WenQuanYi Zen Hei"/>
        <family val="2"/>
      </rPr>
      <t xml:space="preserve">構成比はさらに</t>
    </r>
    <r>
      <rPr>
        <sz val="9"/>
        <rFont val="Meiryo UI"/>
        <family val="0"/>
        <charset val="1"/>
      </rPr>
      <t xml:space="preserve">5</t>
    </r>
    <r>
      <rPr>
        <sz val="9"/>
        <rFont val="WenQuanYi Zen Hei"/>
        <family val="2"/>
      </rPr>
      <t xml:space="preserve">〜</t>
    </r>
    <r>
      <rPr>
        <sz val="9"/>
        <rFont val="Meiryo UI"/>
        <family val="0"/>
        <charset val="1"/>
      </rPr>
      <t xml:space="preserve">7pt</t>
    </r>
    <r>
      <rPr>
        <sz val="9"/>
        <rFont val="WenQuanYi Zen Hei"/>
        <family val="2"/>
      </rPr>
      <t xml:space="preserve">下がり、③の必要数</t>
    </r>
    <r>
      <rPr>
        <sz val="9"/>
        <rFont val="Meiryo UI"/>
        <family val="0"/>
        <charset val="1"/>
      </rPr>
      <t xml:space="preserve">86,000</t>
    </r>
    <r>
      <rPr>
        <sz val="9"/>
        <rFont val="WenQuanYi Zen Hei"/>
        <family val="2"/>
      </rPr>
      <t xml:space="preserve">個は最大で</t>
    </r>
    <r>
      <rPr>
        <sz val="9"/>
        <rFont val="Meiryo UI"/>
        <family val="0"/>
        <charset val="1"/>
      </rPr>
      <t xml:space="preserve">30%</t>
    </r>
    <r>
      <rPr>
        <sz val="9"/>
        <rFont val="WenQuanYi Zen Hei"/>
        <family val="2"/>
      </rPr>
      <t xml:space="preserve">程度過大になる。</t>
    </r>
  </si>
  <si>
    <t xml:space="preserve">　→ 発注前の必須確認事項</t>
  </si>
  <si>
    <r>
      <rPr>
        <sz val="9"/>
        <rFont val="WenQuanYi Zen Hei"/>
        <family val="2"/>
      </rPr>
      <t xml:space="preserve">仙台以降に新商品（ぬいぐるみ第</t>
    </r>
    <r>
      <rPr>
        <sz val="9"/>
        <rFont val="Meiryo UI"/>
        <family val="0"/>
        <charset val="1"/>
      </rPr>
      <t xml:space="preserve">2</t>
    </r>
    <r>
      <rPr>
        <sz val="9"/>
        <rFont val="WenQuanYi Zen Hei"/>
        <family val="2"/>
      </rPr>
      <t xml:space="preserve">弾・うちわ第</t>
    </r>
    <r>
      <rPr>
        <sz val="9"/>
        <rFont val="Meiryo UI"/>
        <family val="0"/>
        <charset val="1"/>
      </rPr>
      <t xml:space="preserve">2</t>
    </r>
    <r>
      <rPr>
        <sz val="9"/>
        <rFont val="WenQuanYi Zen Hei"/>
        <family val="2"/>
      </rPr>
      <t xml:space="preserve">弾等）の投入計画があるか、あるなら規模はどの程度か。これを確認せずに追加生産</t>
    </r>
    <r>
      <rPr>
        <sz val="9"/>
        <rFont val="Meiryo UI"/>
        <family val="0"/>
        <charset val="1"/>
      </rPr>
      <t xml:space="preserve">46,000</t>
    </r>
    <r>
      <rPr>
        <sz val="9"/>
        <rFont val="WenQuanYi Zen Hei"/>
        <family val="2"/>
      </rPr>
      <t xml:space="preserve">個を確定するのは危険。</t>
    </r>
  </si>
  <si>
    <t xml:space="preserve">ブラインド系は減産、定番系は維持</t>
  </si>
  <si>
    <r>
      <rPr>
        <sz val="9"/>
        <rFont val="WenQuanYi Zen Hei"/>
        <family val="2"/>
      </rPr>
      <t xml:space="preserve">ブラインド缶バッジ▲</t>
    </r>
    <r>
      <rPr>
        <sz val="9"/>
        <rFont val="Meiryo UI"/>
        <family val="0"/>
        <charset val="1"/>
      </rPr>
      <t xml:space="preserve">272</t>
    </r>
    <r>
      <rPr>
        <sz val="9"/>
        <rFont val="WenQuanYi Zen Hei"/>
        <family val="2"/>
      </rPr>
      <t xml:space="preserve">円</t>
    </r>
    <r>
      <rPr>
        <sz val="9"/>
        <rFont val="Meiryo UI"/>
        <family val="0"/>
        <charset val="1"/>
      </rPr>
      <t xml:space="preserve">/</t>
    </r>
    <r>
      <rPr>
        <sz val="9"/>
        <rFont val="WenQuanYi Zen Hei"/>
        <family val="2"/>
      </rPr>
      <t xml:space="preserve">人・ミニ色紙▲</t>
    </r>
    <r>
      <rPr>
        <sz val="9"/>
        <rFont val="Meiryo UI"/>
        <family val="0"/>
        <charset val="1"/>
      </rPr>
      <t xml:space="preserve">284</t>
    </r>
    <r>
      <rPr>
        <sz val="9"/>
        <rFont val="WenQuanYi Zen Hei"/>
        <family val="2"/>
      </rPr>
      <t xml:space="preserve">円</t>
    </r>
    <r>
      <rPr>
        <sz val="9"/>
        <rFont val="Meiryo UI"/>
        <family val="0"/>
        <charset val="1"/>
      </rPr>
      <t xml:space="preserve">/</t>
    </r>
    <r>
      <rPr>
        <sz val="9"/>
        <rFont val="WenQuanYi Zen Hei"/>
        <family val="2"/>
      </rPr>
      <t xml:space="preserve">人で</t>
    </r>
    <r>
      <rPr>
        <sz val="9"/>
        <rFont val="Meiryo UI"/>
        <family val="0"/>
        <charset val="1"/>
      </rPr>
      <t xml:space="preserve">LEGS</t>
    </r>
    <r>
      <rPr>
        <sz val="9"/>
        <rFont val="WenQuanYi Zen Hei"/>
        <family val="2"/>
      </rPr>
      <t xml:space="preserve">減少の</t>
    </r>
    <r>
      <rPr>
        <sz val="9"/>
        <rFont val="Meiryo UI"/>
        <family val="0"/>
        <charset val="1"/>
      </rPr>
      <t xml:space="preserve">87%</t>
    </r>
    <r>
      <rPr>
        <sz val="9"/>
        <rFont val="WenQuanYi Zen Hei"/>
        <family val="2"/>
      </rPr>
      <t xml:space="preserve">を占める一方、クリアファイル・ポストカード類はほぼ横ばい。追加生産はブラインド系を抑え、クリアファイル系を優先すべき。</t>
    </r>
  </si>
  <si>
    <t xml:space="preserve">高単価コレクション商材が主戦場</t>
  </si>
  <si>
    <r>
      <rPr>
        <sz val="9"/>
        <rFont val="WenQuanYi Zen Hei"/>
        <family val="2"/>
      </rPr>
      <t xml:space="preserve">おすわりぬいぐるみコンプリート</t>
    </r>
    <r>
      <rPr>
        <sz val="9"/>
        <rFont val="Meiryo UI"/>
        <family val="0"/>
        <charset val="1"/>
      </rPr>
      <t xml:space="preserve">(¥19,840)</t>
    </r>
    <r>
      <rPr>
        <sz val="9"/>
        <rFont val="WenQuanYi Zen Hei"/>
        <family val="2"/>
      </rPr>
      <t xml:space="preserve">が大阪で</t>
    </r>
    <r>
      <rPr>
        <sz val="9"/>
        <rFont val="Meiryo UI"/>
        <family val="0"/>
        <charset val="1"/>
      </rPr>
      <t xml:space="preserve">203</t>
    </r>
    <r>
      <rPr>
        <sz val="9"/>
        <rFont val="WenQuanYi Zen Hei"/>
        <family val="2"/>
      </rPr>
      <t xml:space="preserve">個、アクリル系</t>
    </r>
    <r>
      <rPr>
        <sz val="9"/>
        <rFont val="Meiryo UI"/>
        <family val="0"/>
        <charset val="1"/>
      </rPr>
      <t xml:space="preserve">39SKU</t>
    </r>
    <r>
      <rPr>
        <sz val="9"/>
        <rFont val="WenQuanYi Zen Hei"/>
        <family val="2"/>
      </rPr>
      <t xml:space="preserve">で</t>
    </r>
    <r>
      <rPr>
        <sz val="9"/>
        <rFont val="Meiryo UI"/>
        <family val="0"/>
        <charset val="1"/>
      </rPr>
      <t xml:space="preserve">450</t>
    </r>
    <r>
      <rPr>
        <sz val="9"/>
        <rFont val="WenQuanYi Zen Hei"/>
        <family val="2"/>
      </rPr>
      <t xml:space="preserve">円</t>
    </r>
    <r>
      <rPr>
        <sz val="9"/>
        <rFont val="Meiryo UI"/>
        <family val="0"/>
        <charset val="1"/>
      </rPr>
      <t xml:space="preserve">/</t>
    </r>
    <r>
      <rPr>
        <sz val="9"/>
        <rFont val="WenQuanYi Zen Hei"/>
        <family val="2"/>
      </rPr>
      <t xml:space="preserve">人。「引く」から「選んで揃える」へ需要が移行している。</t>
    </r>
    <r>
      <rPr>
        <sz val="9"/>
        <rFont val="Meiryo UI"/>
        <family val="0"/>
        <charset val="1"/>
      </rPr>
      <t xml:space="preserve">LEGS</t>
    </r>
    <r>
      <rPr>
        <sz val="9"/>
        <rFont val="WenQuanYi Zen Hei"/>
        <family val="2"/>
      </rPr>
      <t xml:space="preserve">側もブラインド偏重の見直しが必要。</t>
    </r>
  </si>
  <si>
    <r>
      <rPr>
        <b val="true"/>
        <sz val="15"/>
        <color rgb="FF1F3864"/>
        <rFont val="WenQuanYi Zen Hei"/>
        <family val="2"/>
      </rPr>
      <t xml:space="preserve">⑧ 残在庫想定（梅田まで</t>
    </r>
    <r>
      <rPr>
        <b val="true"/>
        <sz val="15"/>
        <color rgb="FF1F3864"/>
        <rFont val="Meiryo UI"/>
        <family val="0"/>
        <charset val="1"/>
      </rPr>
      <t xml:space="preserve">(SET)</t>
    </r>
    <r>
      <rPr>
        <b val="true"/>
        <sz val="15"/>
        <color rgb="FF1F3864"/>
        <rFont val="WenQuanYi Zen Hei"/>
        <family val="2"/>
      </rPr>
      <t xml:space="preserve">）の明細と欠品算出</t>
    </r>
  </si>
  <si>
    <r>
      <rPr>
        <sz val="8"/>
        <color rgb="FF555555"/>
        <rFont val="WenQuanYi Zen Hei"/>
        <family val="2"/>
      </rPr>
      <t xml:space="preserve">残在庫想定 ＝ 在庫フロー台帳（【清算</t>
    </r>
    <r>
      <rPr>
        <sz val="8"/>
        <color rgb="FF555555"/>
        <rFont val="Meiryo UI"/>
        <family val="0"/>
        <charset val="1"/>
      </rPr>
      <t xml:space="preserve">(</t>
    </r>
    <r>
      <rPr>
        <sz val="8"/>
        <color rgb="FF555555"/>
        <rFont val="WenQuanYi Zen Hei"/>
        <family val="2"/>
      </rPr>
      <t xml:space="preserve">卸値</t>
    </r>
    <r>
      <rPr>
        <sz val="8"/>
        <color rgb="FF555555"/>
        <rFont val="Meiryo UI"/>
        <family val="0"/>
        <charset val="1"/>
      </rPr>
      <t xml:space="preserve">67</t>
    </r>
    <r>
      <rPr>
        <sz val="8"/>
        <color rgb="FF555555"/>
        <rFont val="WenQuanYi Zen Hei"/>
        <family val="2"/>
      </rPr>
      <t xml:space="preserve">％</t>
    </r>
    <r>
      <rPr>
        <sz val="8"/>
        <color rgb="FF555555"/>
        <rFont val="Meiryo UI"/>
        <family val="0"/>
        <charset val="1"/>
      </rPr>
      <t xml:space="preserve">)</t>
    </r>
    <r>
      <rPr>
        <sz val="8"/>
        <color rgb="FF555555"/>
        <rFont val="WenQuanYi Zen Hei"/>
        <family val="2"/>
      </rPr>
      <t xml:space="preserve">】…</t>
    </r>
    <r>
      <rPr>
        <sz val="8"/>
        <color rgb="FF555555"/>
        <rFont val="Meiryo UI"/>
        <family val="0"/>
        <charset val="1"/>
      </rPr>
      <t xml:space="preserve">_</t>
    </r>
    <r>
      <rPr>
        <sz val="8"/>
        <color rgb="FF555555"/>
        <rFont val="WenQuanYi Zen Hei"/>
        <family val="2"/>
      </rPr>
      <t xml:space="preserve">検品差異）の「梅田まで</t>
    </r>
    <r>
      <rPr>
        <sz val="8"/>
        <color rgb="FF555555"/>
        <rFont val="Meiryo UI"/>
        <family val="0"/>
        <charset val="1"/>
      </rPr>
      <t xml:space="preserve">(SET)</t>
    </r>
    <r>
      <rPr>
        <sz val="8"/>
        <color rgb="FF555555"/>
        <rFont val="WenQuanYi Zen Hei"/>
        <family val="2"/>
      </rPr>
      <t xml:space="preserve">」列。会場ごとの 追加発注→販売→レッグス検品 を積み上げた最終値で、梅田会場後の検品結果まで反映済み</t>
    </r>
  </si>
  <si>
    <r>
      <rPr>
        <sz val="8"/>
        <color rgb="FF555555"/>
        <rFont val="WenQuanYi Zen Hei"/>
        <family val="2"/>
      </rPr>
      <t xml:space="preserve">仙台以降に使えるのは「倉庫残（札幌出荷後） ＋ 札幌会期末の残 − 石川会期</t>
    </r>
    <r>
      <rPr>
        <sz val="8"/>
        <color rgb="FF555555"/>
        <rFont val="Meiryo UI"/>
        <family val="0"/>
        <charset val="1"/>
      </rPr>
      <t xml:space="preserve">18</t>
    </r>
    <r>
      <rPr>
        <sz val="8"/>
        <color rgb="FF555555"/>
        <rFont val="WenQuanYi Zen Hei"/>
        <family val="2"/>
      </rPr>
      <t xml:space="preserve">日の予測販売」。★倉庫残は</t>
    </r>
    <r>
      <rPr>
        <sz val="8"/>
        <color rgb="FF555555"/>
        <rFont val="Meiryo UI"/>
        <family val="0"/>
        <charset val="1"/>
      </rPr>
      <t xml:space="preserve">2026/8/5</t>
    </r>
    <r>
      <rPr>
        <sz val="8"/>
        <color rgb="FF555555"/>
        <rFont val="WenQuanYi Zen Hei"/>
        <family val="2"/>
      </rPr>
      <t xml:space="preserve">時点のロジ（</t>
    </r>
    <r>
      <rPr>
        <sz val="8"/>
        <color rgb="FF555555"/>
        <rFont val="Meiryo UI"/>
        <family val="0"/>
        <charset val="1"/>
      </rPr>
      <t xml:space="preserve">WMS</t>
    </r>
    <r>
      <rPr>
        <sz val="8"/>
        <color rgb="FF555555"/>
        <rFont val="WenQuanYi Zen Hei"/>
        <family val="2"/>
      </rPr>
      <t xml:space="preserve">）実棚を採用している（ロジ在庫データ（</t>
    </r>
    <r>
      <rPr>
        <sz val="8"/>
        <color rgb="FF555555"/>
        <rFont val="Meiryo UI"/>
        <family val="0"/>
        <charset val="1"/>
      </rPr>
      <t xml:space="preserve">WMS</t>
    </r>
    <r>
      <rPr>
        <sz val="8"/>
        <color rgb="FF555555"/>
        <rFont val="WenQuanYi Zen Hei"/>
        <family val="2"/>
      </rPr>
      <t xml:space="preserve">）</t>
    </r>
    <r>
      <rPr>
        <sz val="8"/>
        <color rgb="FF555555"/>
        <rFont val="Meiryo UI"/>
        <family val="0"/>
        <charset val="1"/>
      </rPr>
      <t xml:space="preserve">CZ05001</t>
    </r>
    <r>
      <rPr>
        <sz val="8"/>
        <color rgb="FF555555"/>
        <rFont val="WenQuanYi Zen Hei"/>
        <family val="2"/>
      </rPr>
      <t xml:space="preserve">／「在庫数</t>
    </r>
    <r>
      <rPr>
        <sz val="8"/>
        <color rgb="FF555555"/>
        <rFont val="Meiryo UI"/>
        <family val="0"/>
        <charset val="1"/>
      </rPr>
      <t xml:space="preserve">(</t>
    </r>
    <r>
      <rPr>
        <sz val="8"/>
        <color rgb="FF555555"/>
        <rFont val="WenQuanYi Zen Hei"/>
        <family val="2"/>
      </rPr>
      <t xml:space="preserve">引当数を含む</t>
    </r>
    <r>
      <rPr>
        <sz val="8"/>
        <color rgb="FF555555"/>
        <rFont val="Meiryo UI"/>
        <family val="0"/>
        <charset val="1"/>
      </rPr>
      <t xml:space="preserve">)</t>
    </r>
    <r>
      <rPr>
        <sz val="8"/>
        <color rgb="FF555555"/>
        <rFont val="WenQuanYi Zen Hei"/>
        <family val="2"/>
      </rPr>
      <t xml:space="preserve">」列）。台帳から計算した値との差は備考欄に明記した</t>
    </r>
  </si>
  <si>
    <r>
      <rPr>
        <sz val="8"/>
        <color rgb="FF555555"/>
        <rFont val="WenQuanYi Zen Hei"/>
        <family val="2"/>
      </rPr>
      <t xml:space="preserve">※同ファイルの「元データ」「在庫合算」「在庫元データ</t>
    </r>
    <r>
      <rPr>
        <sz val="8"/>
        <color rgb="FF555555"/>
        <rFont val="Meiryo UI"/>
        <family val="0"/>
        <charset val="1"/>
      </rPr>
      <t xml:space="preserve">(12</t>
    </r>
    <r>
      <rPr>
        <sz val="8"/>
        <color rgb="FF555555"/>
        <rFont val="WenQuanYi Zen Hei"/>
        <family val="2"/>
      </rPr>
      <t xml:space="preserve">月清算後</t>
    </r>
    <r>
      <rPr>
        <sz val="8"/>
        <color rgb="FF555555"/>
        <rFont val="Meiryo UI"/>
        <family val="0"/>
        <charset val="1"/>
      </rPr>
      <t xml:space="preserve">)</t>
    </r>
    <r>
      <rPr>
        <sz val="8"/>
        <color rgb="FF555555"/>
        <rFont val="WenQuanYi Zen Hei"/>
        <family val="2"/>
      </rPr>
      <t xml:space="preserve">」シートは池袋終了時点の古いスナップショット（合計</t>
    </r>
    <r>
      <rPr>
        <sz val="8"/>
        <color rgb="FF555555"/>
        <rFont val="Meiryo UI"/>
        <family val="0"/>
        <charset val="1"/>
      </rPr>
      <t xml:space="preserve">183,696</t>
    </r>
    <r>
      <rPr>
        <sz val="8"/>
        <color rgb="FF555555"/>
        <rFont val="WenQuanYi Zen Hei"/>
        <family val="2"/>
      </rPr>
      <t xml:space="preserve">個）であり、残在庫として使ってはいけない。ポストカードセット</t>
    </r>
    <r>
      <rPr>
        <sz val="8"/>
        <color rgb="FF555555"/>
        <rFont val="Meiryo UI"/>
        <family val="0"/>
        <charset val="1"/>
      </rPr>
      <t xml:space="preserve">2</t>
    </r>
    <r>
      <rPr>
        <sz val="8"/>
        <color rgb="FF555555"/>
        <rFont val="WenQuanYi Zen Hei"/>
        <family val="2"/>
      </rPr>
      <t xml:space="preserve">種・宿儺の指風お菓子は</t>
    </r>
    <r>
      <rPr>
        <sz val="8"/>
        <color rgb="FF555555"/>
        <rFont val="Meiryo UI"/>
        <family val="0"/>
        <charset val="1"/>
      </rPr>
      <t xml:space="preserve">SET</t>
    </r>
    <r>
      <rPr>
        <sz val="8"/>
        <color rgb="FF555555"/>
        <rFont val="WenQuanYi Zen Hei"/>
        <family val="2"/>
      </rPr>
      <t xml:space="preserve">商品で、台帳の発注数はバラ単位・実在庫は</t>
    </r>
    <r>
      <rPr>
        <sz val="8"/>
        <color rgb="FF555555"/>
        <rFont val="Meiryo UI"/>
        <family val="0"/>
        <charset val="1"/>
      </rPr>
      <t xml:space="preserve">SET</t>
    </r>
    <r>
      <rPr>
        <sz val="8"/>
        <color rgb="FF555555"/>
        <rFont val="WenQuanYi Zen Hei"/>
        <family val="2"/>
      </rPr>
      <t xml:space="preserve">単位</t>
    </r>
  </si>
  <si>
    <r>
      <rPr>
        <sz val="8"/>
        <color rgb="FF555555"/>
        <rFont val="WenQuanYi Zen Hei"/>
        <family val="2"/>
      </rPr>
      <t xml:space="preserve">※過不足には確定済み追加発注（宿儺の指風お菓子 </t>
    </r>
    <r>
      <rPr>
        <sz val="8"/>
        <color rgb="FF555555"/>
        <rFont val="Meiryo UI"/>
        <family val="0"/>
        <charset val="1"/>
      </rPr>
      <t xml:space="preserve">1,200SET</t>
    </r>
    <r>
      <rPr>
        <sz val="8"/>
        <color rgb="FF555555"/>
        <rFont val="WenQuanYi Zen Hei"/>
        <family val="2"/>
      </rPr>
      <t xml:space="preserve">）を加算している</t>
    </r>
  </si>
  <si>
    <t xml:space="preserve">実在庫
池袋まで</t>
  </si>
  <si>
    <t xml:space="preserve">実在庫
名古屋まで</t>
  </si>
  <si>
    <t xml:space="preserve">実在庫
福岡まで</t>
  </si>
  <si>
    <t xml:space="preserve">★残在庫想定
梅田まで</t>
  </si>
  <si>
    <r>
      <rPr>
        <b val="true"/>
        <sz val="9"/>
        <color rgb="FFFFFFFF"/>
        <rFont val="WenQuanYi Zen Hei"/>
        <family val="2"/>
      </rPr>
      <t xml:space="preserve">残在庫
金額</t>
    </r>
    <r>
      <rPr>
        <b val="true"/>
        <sz val="9"/>
        <color rgb="FFFFFFFF"/>
        <rFont val="Meiryo UI"/>
        <family val="0"/>
        <charset val="1"/>
      </rPr>
      <t xml:space="preserve">(</t>
    </r>
    <r>
      <rPr>
        <b val="true"/>
        <sz val="9"/>
        <color rgb="FFFFFFFF"/>
        <rFont val="WenQuanYi Zen Hei"/>
        <family val="2"/>
      </rPr>
      <t xml:space="preserve">税込</t>
    </r>
    <r>
      <rPr>
        <b val="true"/>
        <sz val="9"/>
        <color rgb="FFFFFFFF"/>
        <rFont val="Meiryo UI"/>
        <family val="0"/>
        <charset val="1"/>
      </rPr>
      <t xml:space="preserve">)</t>
    </r>
  </si>
  <si>
    <t xml:space="preserve">札幌へ納品</t>
  </si>
  <si>
    <t xml:space="preserve">札幌 会期末
残（実績）</t>
  </si>
  <si>
    <r>
      <rPr>
        <b val="true"/>
        <sz val="9"/>
        <color rgb="FF333333"/>
        <rFont val="WenQuanYi Zen Hei"/>
        <family val="2"/>
      </rPr>
      <t xml:space="preserve">販売不可
</t>
    </r>
    <r>
      <rPr>
        <b val="true"/>
        <sz val="9"/>
        <color rgb="FF333333"/>
        <rFont val="Meiryo UI"/>
        <family val="0"/>
        <charset val="1"/>
      </rPr>
      <t xml:space="preserve">(</t>
    </r>
    <r>
      <rPr>
        <b val="true"/>
        <sz val="9"/>
        <color rgb="FF333333"/>
        <rFont val="WenQuanYi Zen Hei"/>
        <family val="2"/>
      </rPr>
      <t xml:space="preserve">日報未反映</t>
    </r>
    <r>
      <rPr>
        <b val="true"/>
        <sz val="9"/>
        <color rgb="FF333333"/>
        <rFont val="Meiryo UI"/>
        <family val="0"/>
        <charset val="1"/>
      </rPr>
      <t xml:space="preserve">)</t>
    </r>
  </si>
  <si>
    <r>
      <rPr>
        <b val="true"/>
        <sz val="9"/>
        <color rgb="FFFFFFFF"/>
        <rFont val="WenQuanYi Zen Hei"/>
        <family val="2"/>
      </rPr>
      <t xml:space="preserve">差引 倉庫残
</t>
    </r>
    <r>
      <rPr>
        <b val="true"/>
        <sz val="9"/>
        <color rgb="FFFFFFFF"/>
        <rFont val="Meiryo UI"/>
        <family val="0"/>
        <charset val="1"/>
      </rPr>
      <t xml:space="preserve">(</t>
    </r>
    <r>
      <rPr>
        <b val="true"/>
        <sz val="9"/>
        <color rgb="FFFFFFFF"/>
        <rFont val="WenQuanYi Zen Hei"/>
        <family val="2"/>
      </rPr>
      <t xml:space="preserve">即出荷可</t>
    </r>
    <r>
      <rPr>
        <b val="true"/>
        <sz val="9"/>
        <color rgb="FFFFFFFF"/>
        <rFont val="Meiryo UI"/>
        <family val="0"/>
        <charset val="1"/>
      </rPr>
      <t xml:space="preserve">)</t>
    </r>
  </si>
  <si>
    <r>
      <rPr>
        <b val="true"/>
        <sz val="9"/>
        <color rgb="FFFFFFFF"/>
        <rFont val="WenQuanYi Zen Hei"/>
        <family val="2"/>
      </rPr>
      <t xml:space="preserve">過不足
</t>
    </r>
    <r>
      <rPr>
        <b val="true"/>
        <sz val="9"/>
        <color rgb="FFFFFFFF"/>
        <rFont val="Meiryo UI"/>
        <family val="0"/>
        <charset val="1"/>
      </rPr>
      <t xml:space="preserve">(</t>
    </r>
    <r>
      <rPr>
        <b val="true"/>
        <sz val="9"/>
        <color rgb="FFFFFFFF"/>
        <rFont val="WenQuanYi Zen Hei"/>
        <family val="2"/>
      </rPr>
      <t xml:space="preserve">供給</t>
    </r>
    <r>
      <rPr>
        <b val="true"/>
        <sz val="9"/>
        <color rgb="FFFFFFFF"/>
        <rFont val="Meiryo UI"/>
        <family val="0"/>
        <charset val="1"/>
      </rPr>
      <t xml:space="preserve">+</t>
    </r>
    <r>
      <rPr>
        <b val="true"/>
        <sz val="9"/>
        <color rgb="FFFFFFFF"/>
        <rFont val="WenQuanYi Zen Hei"/>
        <family val="2"/>
      </rPr>
      <t xml:space="preserve">確定−必要</t>
    </r>
    <r>
      <rPr>
        <b val="true"/>
        <sz val="9"/>
        <color rgb="FFFFFFFF"/>
        <rFont val="Meiryo UI"/>
        <family val="0"/>
        <charset val="1"/>
      </rPr>
      <t xml:space="preserve">)</t>
    </r>
  </si>
  <si>
    <r>
      <rPr>
        <b val="true"/>
        <sz val="9"/>
        <color rgb="FFFFFFFF"/>
        <rFont val="WenQuanYi Zen Hei"/>
        <family val="2"/>
      </rPr>
      <t xml:space="preserve">欠品
</t>
    </r>
    <r>
      <rPr>
        <b val="true"/>
        <sz val="9"/>
        <color rgb="FFFFFFFF"/>
        <rFont val="Meiryo UI"/>
        <family val="0"/>
        <charset val="1"/>
      </rPr>
      <t xml:space="preserve">(</t>
    </r>
    <r>
      <rPr>
        <b val="true"/>
        <sz val="9"/>
        <color rgb="FFFFFFFF"/>
        <rFont val="WenQuanYi Zen Hei"/>
        <family val="2"/>
      </rPr>
      <t xml:space="preserve">追加生産必要数</t>
    </r>
    <r>
      <rPr>
        <b val="true"/>
        <sz val="9"/>
        <color rgb="FFFFFFFF"/>
        <rFont val="Meiryo UI"/>
        <family val="0"/>
        <charset val="1"/>
      </rPr>
      <t xml:space="preserve">)</t>
    </r>
  </si>
  <si>
    <t xml:space="preserve">判定</t>
  </si>
  <si>
    <r>
      <rPr>
        <b val="true"/>
        <sz val="9"/>
        <color rgb="FF333333"/>
        <rFont val="WenQuanYi Zen Hei"/>
        <family val="2"/>
      </rPr>
      <t xml:space="preserve">運営欠品報告
</t>
    </r>
    <r>
      <rPr>
        <b val="true"/>
        <sz val="9"/>
        <color rgb="FF333333"/>
        <rFont val="Meiryo UI"/>
        <family val="0"/>
        <charset val="1"/>
      </rPr>
      <t xml:space="preserve">(</t>
    </r>
    <r>
      <rPr>
        <b val="true"/>
        <sz val="9"/>
        <color rgb="FF333333"/>
        <rFont val="WenQuanYi Zen Hei"/>
        <family val="2"/>
      </rPr>
      <t xml:space="preserve">受領なし</t>
    </r>
    <r>
      <rPr>
        <b val="true"/>
        <sz val="9"/>
        <color rgb="FF333333"/>
        <rFont val="Meiryo UI"/>
        <family val="0"/>
        <charset val="1"/>
      </rPr>
      <t xml:space="preserve">)</t>
    </r>
  </si>
  <si>
    <r>
      <rPr>
        <sz val="9"/>
        <rFont val="WenQuanYi Zen Hei"/>
        <family val="2"/>
      </rPr>
      <t xml:space="preserve">会場で持出・不良・ｻﾝﾌﾟﾙ </t>
    </r>
    <r>
      <rPr>
        <sz val="9"/>
        <rFont val="Meiryo UI"/>
        <family val="0"/>
        <charset val="1"/>
      </rPr>
      <t xml:space="preserve">3</t>
    </r>
    <r>
      <rPr>
        <sz val="9"/>
        <rFont val="WenQuanYi Zen Hei"/>
        <family val="2"/>
      </rPr>
      <t xml:space="preserve">個（名古屋</t>
    </r>
    <r>
      <rPr>
        <sz val="9"/>
        <rFont val="Meiryo UI"/>
        <family val="0"/>
        <charset val="1"/>
      </rPr>
      <t xml:space="preserve">2</t>
    </r>
    <r>
      <rPr>
        <sz val="9"/>
        <rFont val="WenQuanYi Zen Hei"/>
        <family val="2"/>
      </rPr>
      <t xml:space="preserve">個／博多</t>
    </r>
    <r>
      <rPr>
        <sz val="9"/>
        <rFont val="Meiryo UI"/>
        <family val="0"/>
        <charset val="1"/>
      </rPr>
      <t xml:space="preserve">1</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</si>
  <si>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2</t>
    </r>
    <r>
      <rPr>
        <sz val="9"/>
        <rFont val="WenQuanYi Zen Hei"/>
        <family val="2"/>
      </rPr>
      <t xml:space="preserve">個（東京</t>
    </r>
    <r>
      <rPr>
        <sz val="9"/>
        <rFont val="Meiryo UI"/>
        <family val="0"/>
        <charset val="1"/>
      </rPr>
      <t xml:space="preserve">1</t>
    </r>
    <r>
      <rPr>
        <sz val="9"/>
        <rFont val="WenQuanYi Zen Hei"/>
        <family val="2"/>
      </rPr>
      <t xml:space="preserve">個／名古屋</t>
    </r>
    <r>
      <rPr>
        <sz val="9"/>
        <rFont val="Meiryo UI"/>
        <family val="0"/>
        <charset val="1"/>
      </rPr>
      <t xml:space="preserve">1</t>
    </r>
    <r>
      <rPr>
        <sz val="9"/>
        <rFont val="WenQuanYi Zen Hei"/>
        <family val="2"/>
      </rPr>
      <t xml:space="preserve">個）。日報の販売可能数で控除済みのため供給可能在庫では二重に引いていない</t>
    </r>
  </si>
  <si>
    <r>
      <rPr>
        <sz val="9"/>
        <rFont val="Meiryo UI"/>
        <family val="0"/>
        <charset val="1"/>
      </rPr>
      <t xml:space="preserve">SET</t>
    </r>
    <r>
      <rPr>
        <sz val="9"/>
        <rFont val="WenQuanYi Zen Hei"/>
        <family val="2"/>
      </rPr>
      <t xml:space="preserve">商品（</t>
    </r>
    <r>
      <rPr>
        <sz val="9"/>
        <rFont val="Meiryo UI"/>
        <family val="0"/>
        <charset val="1"/>
      </rPr>
      <t xml:space="preserve">1</t>
    </r>
    <r>
      <rPr>
        <sz val="9"/>
        <rFont val="WenQuanYi Zen Hei"/>
        <family val="2"/>
      </rPr>
      <t xml:space="preserve">販売単位＝</t>
    </r>
    <r>
      <rPr>
        <sz val="9"/>
        <rFont val="Meiryo UI"/>
        <family val="0"/>
        <charset val="1"/>
      </rPr>
      <t xml:space="preserve">5</t>
    </r>
    <r>
      <rPr>
        <sz val="9"/>
        <rFont val="WenQuanYi Zen Hei"/>
        <family val="2"/>
      </rPr>
      <t xml:space="preserve">個）。台帳の発注数はバラ単位 ／ ★ロジ実棚</t>
    </r>
    <r>
      <rPr>
        <sz val="9"/>
        <rFont val="Meiryo UI"/>
        <family val="0"/>
        <charset val="1"/>
      </rPr>
      <t xml:space="preserve">1,694</t>
    </r>
    <r>
      <rPr>
        <sz val="9"/>
        <rFont val="WenQuanYi Zen Hei"/>
        <family val="2"/>
      </rPr>
      <t xml:space="preserve">個と台帳計算</t>
    </r>
    <r>
      <rPr>
        <sz val="9"/>
        <rFont val="Meiryo UI"/>
        <family val="0"/>
        <charset val="1"/>
      </rPr>
      <t xml:space="preserve">5,690</t>
    </r>
    <r>
      <rPr>
        <sz val="9"/>
        <rFont val="WenQuanYi Zen Hei"/>
        <family val="2"/>
      </rPr>
      <t xml:space="preserve">個が乖離。ロジ側を採用（</t>
    </r>
    <r>
      <rPr>
        <sz val="9"/>
        <rFont val="Meiryo UI"/>
        <family val="0"/>
        <charset val="1"/>
      </rPr>
      <t xml:space="preserve">SET/</t>
    </r>
    <r>
      <rPr>
        <sz val="9"/>
        <rFont val="WenQuanYi Zen Hei"/>
        <family val="2"/>
      </rPr>
      <t xml:space="preserve">バラの単位差の可能性）</t>
    </r>
  </si>
  <si>
    <r>
      <rPr>
        <sz val="9"/>
        <rFont val="Meiryo UI"/>
        <family val="0"/>
        <charset val="1"/>
      </rPr>
      <t xml:space="preserve">SET</t>
    </r>
    <r>
      <rPr>
        <sz val="9"/>
        <rFont val="WenQuanYi Zen Hei"/>
        <family val="2"/>
      </rPr>
      <t xml:space="preserve">商品（</t>
    </r>
    <r>
      <rPr>
        <sz val="9"/>
        <rFont val="Meiryo UI"/>
        <family val="0"/>
        <charset val="1"/>
      </rPr>
      <t xml:space="preserve">1</t>
    </r>
    <r>
      <rPr>
        <sz val="9"/>
        <rFont val="WenQuanYi Zen Hei"/>
        <family val="2"/>
      </rPr>
      <t xml:space="preserve">販売単位＝</t>
    </r>
    <r>
      <rPr>
        <sz val="9"/>
        <rFont val="Meiryo UI"/>
        <family val="0"/>
        <charset val="1"/>
      </rPr>
      <t xml:space="preserve">9</t>
    </r>
    <r>
      <rPr>
        <sz val="9"/>
        <rFont val="WenQuanYi Zen Hei"/>
        <family val="2"/>
      </rPr>
      <t xml:space="preserve">個）。台帳の発注数はバラ単位 ／ ★ロジ実棚</t>
    </r>
    <r>
      <rPr>
        <sz val="9"/>
        <rFont val="Meiryo UI"/>
        <family val="0"/>
        <charset val="1"/>
      </rPr>
      <t xml:space="preserve">2,715</t>
    </r>
    <r>
      <rPr>
        <sz val="9"/>
        <rFont val="WenQuanYi Zen Hei"/>
        <family val="2"/>
      </rPr>
      <t xml:space="preserve">個と台帳計算</t>
    </r>
    <r>
      <rPr>
        <sz val="9"/>
        <rFont val="Meiryo UI"/>
        <family val="0"/>
        <charset val="1"/>
      </rPr>
      <t xml:space="preserve">26,711</t>
    </r>
    <r>
      <rPr>
        <sz val="9"/>
        <rFont val="WenQuanYi Zen Hei"/>
        <family val="2"/>
      </rPr>
      <t xml:space="preserve">個が乖離。ロジ側を採用（</t>
    </r>
    <r>
      <rPr>
        <sz val="9"/>
        <rFont val="Meiryo UI"/>
        <family val="0"/>
        <charset val="1"/>
      </rPr>
      <t xml:space="preserve">SET/</t>
    </r>
    <r>
      <rPr>
        <sz val="9"/>
        <rFont val="WenQuanYi Zen Hei"/>
        <family val="2"/>
      </rPr>
      <t xml:space="preserve">バラの単位差の可能性）</t>
    </r>
  </si>
  <si>
    <r>
      <rPr>
        <sz val="9"/>
        <rFont val="WenQuanYi Zen Hei"/>
        <family val="2"/>
      </rPr>
      <t xml:space="preserve">会場で持出・不良・ｻﾝﾌﾟﾙ </t>
    </r>
    <r>
      <rPr>
        <sz val="9"/>
        <rFont val="Meiryo UI"/>
        <family val="0"/>
        <charset val="1"/>
      </rPr>
      <t xml:space="preserve">13</t>
    </r>
    <r>
      <rPr>
        <sz val="9"/>
        <rFont val="WenQuanYi Zen Hei"/>
        <family val="2"/>
      </rPr>
      <t xml:space="preserve">個（東京</t>
    </r>
    <r>
      <rPr>
        <sz val="9"/>
        <rFont val="Meiryo UI"/>
        <family val="0"/>
        <charset val="1"/>
      </rPr>
      <t xml:space="preserve">4</t>
    </r>
    <r>
      <rPr>
        <sz val="9"/>
        <rFont val="WenQuanYi Zen Hei"/>
        <family val="2"/>
      </rPr>
      <t xml:space="preserve">個／名古屋</t>
    </r>
    <r>
      <rPr>
        <sz val="9"/>
        <rFont val="Meiryo UI"/>
        <family val="0"/>
        <charset val="1"/>
      </rPr>
      <t xml:space="preserve">5</t>
    </r>
    <r>
      <rPr>
        <sz val="9"/>
        <rFont val="WenQuanYi Zen Hei"/>
        <family val="2"/>
      </rPr>
      <t xml:space="preserve">個／大阪</t>
    </r>
    <r>
      <rPr>
        <sz val="9"/>
        <rFont val="Meiryo UI"/>
        <family val="0"/>
        <charset val="1"/>
      </rPr>
      <t xml:space="preserve">4</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</si>
  <si>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6</t>
    </r>
    <r>
      <rPr>
        <sz val="9"/>
        <rFont val="WenQuanYi Zen Hei"/>
        <family val="2"/>
      </rPr>
      <t xml:space="preserve">個（東京</t>
    </r>
    <r>
      <rPr>
        <sz val="9"/>
        <rFont val="Meiryo UI"/>
        <family val="0"/>
        <charset val="1"/>
      </rPr>
      <t xml:space="preserve">1</t>
    </r>
    <r>
      <rPr>
        <sz val="9"/>
        <rFont val="WenQuanYi Zen Hei"/>
        <family val="2"/>
      </rPr>
      <t xml:space="preserve">個／大阪</t>
    </r>
    <r>
      <rPr>
        <sz val="9"/>
        <rFont val="Meiryo UI"/>
        <family val="0"/>
        <charset val="1"/>
      </rPr>
      <t xml:space="preserve">1</t>
    </r>
    <r>
      <rPr>
        <sz val="9"/>
        <rFont val="WenQuanYi Zen Hei"/>
        <family val="2"/>
      </rPr>
      <t xml:space="preserve">個／札幌</t>
    </r>
    <r>
      <rPr>
        <sz val="9"/>
        <rFont val="Meiryo UI"/>
        <family val="0"/>
        <charset val="1"/>
      </rPr>
      <t xml:space="preserve">4</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</si>
  <si>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1</t>
    </r>
    <r>
      <rPr>
        <sz val="9"/>
        <rFont val="WenQuanYi Zen Hei"/>
        <family val="2"/>
      </rPr>
      <t xml:space="preserve">個（東京</t>
    </r>
    <r>
      <rPr>
        <sz val="9"/>
        <rFont val="Meiryo UI"/>
        <family val="0"/>
        <charset val="1"/>
      </rPr>
      <t xml:space="preserve">1</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</si>
  <si>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2</t>
    </r>
    <r>
      <rPr>
        <sz val="9"/>
        <rFont val="WenQuanYi Zen Hei"/>
        <family val="2"/>
      </rPr>
      <t xml:space="preserve">個（名古屋</t>
    </r>
    <r>
      <rPr>
        <sz val="9"/>
        <rFont val="Meiryo UI"/>
        <family val="0"/>
        <charset val="1"/>
      </rPr>
      <t xml:space="preserve">2</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</si>
  <si>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1</t>
    </r>
    <r>
      <rPr>
        <sz val="9"/>
        <rFont val="WenQuanYi Zen Hei"/>
        <family val="2"/>
      </rPr>
      <t xml:space="preserve">個（名古屋</t>
    </r>
    <r>
      <rPr>
        <sz val="9"/>
        <rFont val="Meiryo UI"/>
        <family val="0"/>
        <charset val="1"/>
      </rPr>
      <t xml:space="preserve">1</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</si>
  <si>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3</t>
    </r>
    <r>
      <rPr>
        <sz val="9"/>
        <rFont val="WenQuanYi Zen Hei"/>
        <family val="2"/>
      </rPr>
      <t xml:space="preserve">個（大阪</t>
    </r>
    <r>
      <rPr>
        <sz val="9"/>
        <rFont val="Meiryo UI"/>
        <family val="0"/>
        <charset val="1"/>
      </rPr>
      <t xml:space="preserve">3</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</si>
  <si>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9</t>
    </r>
    <r>
      <rPr>
        <sz val="9"/>
        <rFont val="WenQuanYi Zen Hei"/>
        <family val="2"/>
      </rPr>
      <t xml:space="preserve">個（名古屋</t>
    </r>
    <r>
      <rPr>
        <sz val="9"/>
        <rFont val="Meiryo UI"/>
        <family val="0"/>
        <charset val="1"/>
      </rPr>
      <t xml:space="preserve">6</t>
    </r>
    <r>
      <rPr>
        <sz val="9"/>
        <rFont val="WenQuanYi Zen Hei"/>
        <family val="2"/>
      </rPr>
      <t xml:space="preserve">個／博多</t>
    </r>
    <r>
      <rPr>
        <sz val="9"/>
        <rFont val="Meiryo UI"/>
        <family val="0"/>
        <charset val="1"/>
      </rPr>
      <t xml:space="preserve">1</t>
    </r>
    <r>
      <rPr>
        <sz val="9"/>
        <rFont val="WenQuanYi Zen Hei"/>
        <family val="2"/>
      </rPr>
      <t xml:space="preserve">個／大阪</t>
    </r>
    <r>
      <rPr>
        <sz val="9"/>
        <rFont val="Meiryo UI"/>
        <family val="0"/>
        <charset val="1"/>
      </rPr>
      <t xml:space="preserve">2</t>
    </r>
    <r>
      <rPr>
        <sz val="9"/>
        <rFont val="WenQuanYi Zen Hei"/>
        <family val="2"/>
      </rPr>
      <t xml:space="preserve">個）。日報の販売可能数で控除済みのため供給可能在庫では二重に引いていない</t>
    </r>
  </si>
  <si>
    <r>
      <rPr>
        <sz val="9"/>
        <rFont val="WenQuanYi Zen Hei"/>
        <family val="2"/>
      </rPr>
      <t xml:space="preserve">◎追加発注 確定済 </t>
    </r>
    <r>
      <rPr>
        <sz val="9"/>
        <rFont val="Meiryo UI"/>
        <family val="0"/>
        <charset val="1"/>
      </rPr>
      <t xml:space="preserve">1,200SET</t>
    </r>
    <r>
      <rPr>
        <sz val="9"/>
        <rFont val="WenQuanYi Zen Hei"/>
        <family val="2"/>
      </rPr>
      <t xml:space="preserve">（鳥取島根 夢みなとタワー入荷）を過不足に加算済／ミニマム</t>
    </r>
    <r>
      <rPr>
        <sz val="9"/>
        <rFont val="Meiryo UI"/>
        <family val="0"/>
        <charset val="1"/>
      </rPr>
      <t xml:space="preserve">1,200</t>
    </r>
    <r>
      <rPr>
        <sz val="9"/>
        <rFont val="WenQuanYi Zen Hei"/>
        <family val="2"/>
      </rPr>
      <t xml:space="preserve">〜</t>
    </r>
    <r>
      <rPr>
        <sz val="9"/>
        <rFont val="Meiryo UI"/>
        <family val="0"/>
        <charset val="1"/>
      </rPr>
      <t xml:space="preserve">1,500SET</t>
    </r>
    <r>
      <rPr>
        <sz val="9"/>
        <rFont val="WenQuanYi Zen Hei"/>
        <family val="2"/>
      </rPr>
      <t xml:space="preserve">（</t>
    </r>
    <r>
      <rPr>
        <sz val="9"/>
        <rFont val="Meiryo UI"/>
        <family val="0"/>
        <charset val="1"/>
      </rPr>
      <t xml:space="preserve">12,000</t>
    </r>
    <r>
      <rPr>
        <sz val="9"/>
        <rFont val="WenQuanYi Zen Hei"/>
        <family val="2"/>
      </rPr>
      <t xml:space="preserve">〜</t>
    </r>
    <r>
      <rPr>
        <sz val="9"/>
        <rFont val="Meiryo UI"/>
        <family val="0"/>
        <charset val="1"/>
      </rPr>
      <t xml:space="preserve">15,000</t>
    </r>
    <r>
      <rPr>
        <sz val="9"/>
        <rFont val="WenQuanYi Zen Hei"/>
        <family val="2"/>
      </rPr>
      <t xml:space="preserve">本） ／ 【賞味期限】賞味期限</t>
    </r>
    <r>
      <rPr>
        <sz val="9"/>
        <rFont val="Meiryo UI"/>
        <family val="0"/>
        <charset val="1"/>
      </rPr>
      <t xml:space="preserve">4</t>
    </r>
    <r>
      <rPr>
        <sz val="9"/>
        <rFont val="WenQuanYi Zen Hei"/>
        <family val="2"/>
      </rPr>
      <t xml:space="preserve">か月以内は販売不可。現在庫は金沢</t>
    </r>
    <r>
      <rPr>
        <sz val="9"/>
        <rFont val="Meiryo UI"/>
        <family val="0"/>
        <charset val="1"/>
      </rPr>
      <t xml:space="preserve">(</t>
    </r>
    <r>
      <rPr>
        <sz val="9"/>
        <rFont val="WenQuanYi Zen Hei"/>
        <family val="2"/>
      </rPr>
      <t xml:space="preserve">石川</t>
    </r>
    <r>
      <rPr>
        <sz val="9"/>
        <rFont val="Meiryo UI"/>
        <family val="0"/>
        <charset val="1"/>
      </rPr>
      <t xml:space="preserve">)</t>
    </r>
    <r>
      <rPr>
        <sz val="9"/>
        <rFont val="WenQuanYi Zen Hei"/>
        <family val="2"/>
      </rPr>
      <t xml:space="preserve">会場までが販売期限。金沢は</t>
    </r>
    <r>
      <rPr>
        <sz val="9"/>
        <rFont val="Meiryo UI"/>
        <family val="0"/>
        <charset val="1"/>
      </rPr>
      <t xml:space="preserve">8/25</t>
    </r>
    <r>
      <rPr>
        <sz val="9"/>
        <rFont val="WenQuanYi Zen Hei"/>
        <family val="2"/>
      </rPr>
      <t xml:space="preserve">時点で納品</t>
    </r>
    <r>
      <rPr>
        <sz val="9"/>
        <rFont val="Meiryo UI"/>
        <family val="0"/>
        <charset val="1"/>
      </rPr>
      <t xml:space="preserve">80</t>
    </r>
    <r>
      <rPr>
        <sz val="9"/>
        <rFont val="WenQuanYi Zen Hei"/>
        <family val="2"/>
      </rPr>
      <t xml:space="preserve">個が完売済みのため、倉庫に残る分は販売機会が無く廃棄リスク。仙台・神戸は現在庫では供給できず、</t>
    </r>
    <r>
      <rPr>
        <sz val="9"/>
        <rFont val="Meiryo UI"/>
        <family val="0"/>
        <charset val="1"/>
      </rPr>
      <t xml:space="preserve">9</t>
    </r>
    <r>
      <rPr>
        <sz val="9"/>
        <rFont val="WenQuanYi Zen Hei"/>
        <family val="2"/>
      </rPr>
      <t xml:space="preserve">月発注分（納品</t>
    </r>
    <r>
      <rPr>
        <sz val="9"/>
        <rFont val="Meiryo UI"/>
        <family val="0"/>
        <charset val="1"/>
      </rPr>
      <t xml:space="preserve">11/20</t>
    </r>
    <r>
      <rPr>
        <sz val="9"/>
        <rFont val="WenQuanYi Zen Hei"/>
        <family val="2"/>
      </rPr>
      <t xml:space="preserve">〜</t>
    </r>
    <r>
      <rPr>
        <sz val="9"/>
        <rFont val="Meiryo UI"/>
        <family val="0"/>
        <charset val="1"/>
      </rPr>
      <t xml:space="preserve">11/25</t>
    </r>
    <r>
      <rPr>
        <sz val="9"/>
        <rFont val="WenQuanYi Zen Hei"/>
        <family val="2"/>
      </rPr>
      <t xml:space="preserve">）は鳥取以降に充当する ／ </t>
    </r>
    <r>
      <rPr>
        <sz val="9"/>
        <rFont val="Meiryo UI"/>
        <family val="0"/>
        <charset val="1"/>
      </rPr>
      <t xml:space="preserve">SET</t>
    </r>
    <r>
      <rPr>
        <sz val="9"/>
        <rFont val="WenQuanYi Zen Hei"/>
        <family val="2"/>
      </rPr>
      <t xml:space="preserve">商品（</t>
    </r>
    <r>
      <rPr>
        <sz val="9"/>
        <rFont val="Meiryo UI"/>
        <family val="0"/>
        <charset val="1"/>
      </rPr>
      <t xml:space="preserve">1</t>
    </r>
    <r>
      <rPr>
        <sz val="9"/>
        <rFont val="WenQuanYi Zen Hei"/>
        <family val="2"/>
      </rPr>
      <t xml:space="preserve">販売単位＝</t>
    </r>
    <r>
      <rPr>
        <sz val="9"/>
        <rFont val="Meiryo UI"/>
        <family val="0"/>
        <charset val="1"/>
      </rPr>
      <t xml:space="preserve">10</t>
    </r>
    <r>
      <rPr>
        <sz val="9"/>
        <rFont val="WenQuanYi Zen Hei"/>
        <family val="2"/>
      </rPr>
      <t xml:space="preserve">個）。台帳の発注数はバラ単位 ／ ★ロジ在庫データに無い品。倉庫残は台帳の残在庫−札幌納品で代用（要確認） ／ 会場で持出・不良・ｻﾝﾌﾟﾙ </t>
    </r>
    <r>
      <rPr>
        <sz val="9"/>
        <rFont val="Meiryo UI"/>
        <family val="0"/>
        <charset val="1"/>
      </rPr>
      <t xml:space="preserve">3</t>
    </r>
    <r>
      <rPr>
        <sz val="9"/>
        <rFont val="WenQuanYi Zen Hei"/>
        <family val="2"/>
      </rPr>
      <t xml:space="preserve">個（東京</t>
    </r>
    <r>
      <rPr>
        <sz val="9"/>
        <rFont val="Meiryo UI"/>
        <family val="0"/>
        <charset val="1"/>
      </rPr>
      <t xml:space="preserve">3</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</si>
  <si>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2</t>
    </r>
    <r>
      <rPr>
        <sz val="9"/>
        <rFont val="WenQuanYi Zen Hei"/>
        <family val="2"/>
      </rPr>
      <t xml:space="preserve">個（東京</t>
    </r>
    <r>
      <rPr>
        <sz val="9"/>
        <rFont val="Meiryo UI"/>
        <family val="0"/>
        <charset val="1"/>
      </rPr>
      <t xml:space="preserve">1</t>
    </r>
    <r>
      <rPr>
        <sz val="9"/>
        <rFont val="WenQuanYi Zen Hei"/>
        <family val="2"/>
      </rPr>
      <t xml:space="preserve">個／大阪</t>
    </r>
    <r>
      <rPr>
        <sz val="9"/>
        <rFont val="Meiryo UI"/>
        <family val="0"/>
        <charset val="1"/>
      </rPr>
      <t xml:space="preserve">1</t>
    </r>
    <r>
      <rPr>
        <sz val="9"/>
        <rFont val="WenQuanYi Zen Hei"/>
        <family val="2"/>
      </rPr>
      <t xml:space="preserve">個）。日報の販売可能数で控除済みのため供給可能在庫では二重に引いていない</t>
    </r>
  </si>
  <si>
    <r>
      <rPr>
        <sz val="9"/>
        <rFont val="WenQuanYi Zen Hei"/>
        <family val="2"/>
      </rPr>
      <t xml:space="preserve">★ロジ実棚</t>
    </r>
    <r>
      <rPr>
        <sz val="9"/>
        <rFont val="Meiryo UI"/>
        <family val="0"/>
        <charset val="1"/>
      </rPr>
      <t xml:space="preserve">26</t>
    </r>
    <r>
      <rPr>
        <sz val="9"/>
        <rFont val="WenQuanYi Zen Hei"/>
        <family val="2"/>
      </rPr>
      <t xml:space="preserve">個と台帳計算</t>
    </r>
    <r>
      <rPr>
        <sz val="9"/>
        <rFont val="Meiryo UI"/>
        <family val="0"/>
        <charset val="1"/>
      </rPr>
      <t xml:space="preserve">35</t>
    </r>
    <r>
      <rPr>
        <sz val="9"/>
        <rFont val="WenQuanYi Zen Hei"/>
        <family val="2"/>
      </rPr>
      <t xml:space="preserve">個が乖離。ロジ側を採用（要確認） ／ 会場で持出・不良・ｻﾝﾌﾟﾙ </t>
    </r>
    <r>
      <rPr>
        <sz val="9"/>
        <rFont val="Meiryo UI"/>
        <family val="0"/>
        <charset val="1"/>
      </rPr>
      <t xml:space="preserve">2</t>
    </r>
    <r>
      <rPr>
        <sz val="9"/>
        <rFont val="WenQuanYi Zen Hei"/>
        <family val="2"/>
      </rPr>
      <t xml:space="preserve">個（大阪</t>
    </r>
    <r>
      <rPr>
        <sz val="9"/>
        <rFont val="Meiryo UI"/>
        <family val="0"/>
        <charset val="1"/>
      </rPr>
      <t xml:space="preserve">2</t>
    </r>
    <r>
      <rPr>
        <sz val="9"/>
        <rFont val="WenQuanYi Zen Hei"/>
        <family val="2"/>
      </rPr>
      <t xml:space="preserve">個）。日報の販売可能数で控除済みのため供給可能在庫では二重に引いていない</t>
    </r>
  </si>
  <si>
    <r>
      <rPr>
        <sz val="9"/>
        <rFont val="WenQuanYi Zen Hei"/>
        <family val="2"/>
      </rPr>
      <t xml:space="preserve">会場で持出・不良・ｻﾝﾌﾟﾙ </t>
    </r>
    <r>
      <rPr>
        <sz val="9"/>
        <rFont val="Meiryo UI"/>
        <family val="0"/>
        <charset val="1"/>
      </rPr>
      <t xml:space="preserve">1</t>
    </r>
    <r>
      <rPr>
        <sz val="9"/>
        <rFont val="WenQuanYi Zen Hei"/>
        <family val="2"/>
      </rPr>
      <t xml:space="preserve">個（博多</t>
    </r>
    <r>
      <rPr>
        <sz val="9"/>
        <rFont val="Meiryo UI"/>
        <family val="0"/>
        <charset val="1"/>
      </rPr>
      <t xml:space="preserve">1</t>
    </r>
    <r>
      <rPr>
        <sz val="9"/>
        <rFont val="WenQuanYi Zen Hei"/>
        <family val="2"/>
      </rPr>
      <t xml:space="preserve">個）。日報の販売可能数で控除済みのため供給可能在庫では二重に引いていない</t>
    </r>
  </si>
  <si>
    <r>
      <rPr>
        <b val="true"/>
        <sz val="15"/>
        <color rgb="FF1F3864"/>
        <rFont val="WenQuanYi Zen Hei"/>
        <family val="2"/>
      </rPr>
      <t xml:space="preserve">⑨ 過去</t>
    </r>
    <r>
      <rPr>
        <b val="true"/>
        <sz val="15"/>
        <color rgb="FF1F3864"/>
        <rFont val="Meiryo UI"/>
        <family val="0"/>
        <charset val="1"/>
      </rPr>
      <t xml:space="preserve">4</t>
    </r>
    <r>
      <rPr>
        <b val="true"/>
        <sz val="15"/>
        <color rgb="FF1F3864"/>
        <rFont val="WenQuanYi Zen Hei"/>
        <family val="2"/>
      </rPr>
      <t xml:space="preserve">会場（①池袋・②名古屋・③博多阪急・④梅田阪急）商品別 販売予測 </t>
    </r>
    <r>
      <rPr>
        <b val="true"/>
        <sz val="15"/>
        <color rgb="FF1F3864"/>
        <rFont val="Meiryo UI"/>
        <family val="0"/>
        <charset val="1"/>
      </rPr>
      <t xml:space="preserve">vs </t>
    </r>
    <r>
      <rPr>
        <b val="true"/>
        <sz val="15"/>
        <color rgb="FF1F3864"/>
        <rFont val="WenQuanYi Zen Hei"/>
        <family val="2"/>
      </rPr>
      <t xml:space="preserve">実績販売・構成比の修正</t>
    </r>
  </si>
  <si>
    <r>
      <rPr>
        <sz val="8"/>
        <color rgb="FF555555"/>
        <rFont val="WenQuanYi Zen Hei"/>
        <family val="2"/>
      </rPr>
      <t xml:space="preserve">販売予測＝各会場の「初</t>
    </r>
    <r>
      <rPr>
        <sz val="8"/>
        <color rgb="FF555555"/>
        <rFont val="Meiryo UI"/>
        <family val="0"/>
        <charset val="1"/>
      </rPr>
      <t xml:space="preserve">12</t>
    </r>
    <r>
      <rPr>
        <sz val="8"/>
        <color rgb="FF555555"/>
        <rFont val="WenQuanYi Zen Hei"/>
        <family val="2"/>
      </rPr>
      <t xml:space="preserve">日実績 </t>
    </r>
    <r>
      <rPr>
        <sz val="8"/>
        <color rgb="FF555555"/>
        <rFont val="Meiryo UI"/>
        <family val="0"/>
        <charset val="1"/>
      </rPr>
      <t xml:space="preserve">× </t>
    </r>
    <r>
      <rPr>
        <sz val="8"/>
        <color rgb="FF555555"/>
        <rFont val="WenQuanYi Zen Hei"/>
        <family val="2"/>
      </rPr>
      <t xml:space="preserve">会期倍率</t>
    </r>
    <r>
      <rPr>
        <sz val="8"/>
        <color rgb="FF555555"/>
        <rFont val="Meiryo UI"/>
        <family val="0"/>
        <charset val="1"/>
      </rPr>
      <t xml:space="preserve">g</t>
    </r>
    <r>
      <rPr>
        <sz val="8"/>
        <color rgb="FF555555"/>
        <rFont val="WenQuanYi Zen Hei"/>
        <family val="2"/>
      </rPr>
      <t xml:space="preserve">」。</t>
    </r>
    <r>
      <rPr>
        <sz val="8"/>
        <color rgb="FF555555"/>
        <rFont val="Meiryo UI"/>
        <family val="0"/>
        <charset val="1"/>
      </rPr>
      <t xml:space="preserve">g</t>
    </r>
    <r>
      <rPr>
        <sz val="8"/>
        <color rgb="FF555555"/>
        <rFont val="WenQuanYi Zen Hei"/>
        <family val="2"/>
      </rPr>
      <t xml:space="preserve">はその時点で判明していた過去会場のみから算出（直近会場を</t>
    </r>
    <r>
      <rPr>
        <sz val="8"/>
        <color rgb="FF555555"/>
        <rFont val="Meiryo UI"/>
        <family val="0"/>
        <charset val="1"/>
      </rPr>
      <t xml:space="preserve">2</t>
    </r>
    <r>
      <rPr>
        <sz val="8"/>
        <color rgb="FF555555"/>
        <rFont val="WenQuanYi Zen Hei"/>
        <family val="2"/>
      </rPr>
      <t xml:space="preserve">倍加重）。池袋は初回会場のため予測不能で、投入数（販売可能数）を計画値として表示</t>
    </r>
  </si>
  <si>
    <r>
      <rPr>
        <sz val="8"/>
        <color rgb="FF555555"/>
        <rFont val="WenQuanYi Zen Hei"/>
        <family val="2"/>
      </rPr>
      <t xml:space="preserve">予測時構成比＝予測販売数の</t>
    </r>
    <r>
      <rPr>
        <sz val="8"/>
        <color rgb="FF555555"/>
        <rFont val="Meiryo UI"/>
        <family val="0"/>
        <charset val="1"/>
      </rPr>
      <t xml:space="preserve">LEGS42SKU</t>
    </r>
    <r>
      <rPr>
        <sz val="8"/>
        <color rgb="FF555555"/>
        <rFont val="WenQuanYi Zen Hei"/>
        <family val="2"/>
      </rPr>
      <t xml:space="preserve">内シェア（池袋は投入数シェア）／実績構成比＝実績販売数のシェア／構成比修正＝実績構成比 − 予測時構成比（ポイント）</t>
    </r>
  </si>
  <si>
    <r>
      <rPr>
        <sz val="8"/>
        <color rgb="FF555555"/>
        <rFont val="WenQuanYi Zen Hei"/>
        <family val="2"/>
      </rPr>
      <t xml:space="preserve">会期日数が異なるため、過去会場の累計は博多</t>
    </r>
    <r>
      <rPr>
        <sz val="8"/>
        <color rgb="FF555555"/>
        <rFont val="Meiryo UI"/>
        <family val="0"/>
        <charset val="1"/>
      </rPr>
      <t xml:space="preserve">26</t>
    </r>
    <r>
      <rPr>
        <sz val="8"/>
        <color rgb="FF555555"/>
        <rFont val="WenQuanYi Zen Hei"/>
        <family val="2"/>
      </rPr>
      <t xml:space="preserve">日間の日次消化カーブで対象会場の会期日数に換算している／名古屋の販売可能数は元データに小数値が含まれるため整数に丸めている（</t>
    </r>
    <r>
      <rPr>
        <sz val="8"/>
        <color rgb="FF555555"/>
        <rFont val="Meiryo UI"/>
        <family val="0"/>
        <charset val="1"/>
      </rPr>
      <t xml:space="preserve">3</t>
    </r>
    <r>
      <rPr>
        <sz val="8"/>
        <color rgb="FF555555"/>
        <rFont val="WenQuanYi Zen Hei"/>
        <family val="2"/>
      </rPr>
      <t xml:space="preserve">品目）</t>
    </r>
  </si>
  <si>
    <r>
      <rPr>
        <b val="true"/>
        <sz val="11"/>
        <color rgb="FFC00000"/>
        <rFont val="WenQuanYi Zen Hei"/>
        <family val="2"/>
      </rPr>
      <t xml:space="preserve">■ 会場別 予測精度サマリー（</t>
    </r>
    <r>
      <rPr>
        <b val="true"/>
        <sz val="11"/>
        <color rgb="FFC00000"/>
        <rFont val="Meiryo UI"/>
        <family val="0"/>
        <charset val="1"/>
      </rPr>
      <t xml:space="preserve">LEGS 42SKU </t>
    </r>
    <r>
      <rPr>
        <b val="true"/>
        <sz val="11"/>
        <color rgb="FFC00000"/>
        <rFont val="WenQuanYi Zen Hei"/>
        <family val="2"/>
      </rPr>
      <t xml:space="preserve">合計）</t>
    </r>
  </si>
  <si>
    <t xml:space="preserve">参照した過去会場（加重）</t>
  </si>
  <si>
    <r>
      <rPr>
        <b val="true"/>
        <sz val="9"/>
        <color rgb="FFFFFFFF"/>
        <rFont val="WenQuanYi Zen Hei"/>
        <family val="2"/>
      </rPr>
      <t xml:space="preserve">会期倍率</t>
    </r>
    <r>
      <rPr>
        <b val="true"/>
        <sz val="9"/>
        <color rgb="FFFFFFFF"/>
        <rFont val="Meiryo UI"/>
        <family val="0"/>
        <charset val="1"/>
      </rPr>
      <t xml:space="preserve">g</t>
    </r>
  </si>
  <si>
    <r>
      <rPr>
        <b val="true"/>
        <sz val="9"/>
        <color rgb="FFFFFFFF"/>
        <rFont val="WenQuanYi Zen Hei"/>
        <family val="2"/>
      </rPr>
      <t xml:space="preserve">投入数
</t>
    </r>
    <r>
      <rPr>
        <b val="true"/>
        <sz val="9"/>
        <color rgb="FFFFFFFF"/>
        <rFont val="Meiryo UI"/>
        <family val="0"/>
        <charset val="1"/>
      </rPr>
      <t xml:space="preserve">(</t>
    </r>
    <r>
      <rPr>
        <b val="true"/>
        <sz val="9"/>
        <color rgb="FFFFFFFF"/>
        <rFont val="WenQuanYi Zen Hei"/>
        <family val="2"/>
      </rPr>
      <t xml:space="preserve">販売可能数</t>
    </r>
    <r>
      <rPr>
        <b val="true"/>
        <sz val="9"/>
        <color rgb="FFFFFFFF"/>
        <rFont val="Meiryo UI"/>
        <family val="0"/>
        <charset val="1"/>
      </rPr>
      <t xml:space="preserve">)</t>
    </r>
  </si>
  <si>
    <t xml:space="preserve">モデル
予測販売数</t>
  </si>
  <si>
    <t xml:space="preserve">実績
販売数</t>
  </si>
  <si>
    <r>
      <rPr>
        <b val="true"/>
        <sz val="9"/>
        <color rgb="FFFFFFFF"/>
        <rFont val="WenQuanYi Zen Hei"/>
        <family val="2"/>
      </rPr>
      <t xml:space="preserve">予測誤差
</t>
    </r>
    <r>
      <rPr>
        <b val="true"/>
        <sz val="9"/>
        <color rgb="FFFFFFFF"/>
        <rFont val="Meiryo UI"/>
        <family val="0"/>
        <charset val="1"/>
      </rPr>
      <t xml:space="preserve">(</t>
    </r>
    <r>
      <rPr>
        <b val="true"/>
        <sz val="9"/>
        <color rgb="FFFFFFFF"/>
        <rFont val="WenQuanYi Zen Hei"/>
        <family val="2"/>
      </rPr>
      <t xml:space="preserve">実績−予測</t>
    </r>
    <r>
      <rPr>
        <b val="true"/>
        <sz val="9"/>
        <color rgb="FFFFFFFF"/>
        <rFont val="Meiryo UI"/>
        <family val="0"/>
        <charset val="1"/>
      </rPr>
      <t xml:space="preserve">)</t>
    </r>
  </si>
  <si>
    <t xml:space="preserve">誤差率</t>
  </si>
  <si>
    <t xml:space="preserve">商品別
絶対誤差率</t>
  </si>
  <si>
    <r>
      <rPr>
        <b val="true"/>
        <sz val="9"/>
        <color rgb="FFFFFFFF"/>
        <rFont val="WenQuanYi Zen Hei"/>
        <family val="2"/>
      </rPr>
      <t xml:space="preserve">消化率
</t>
    </r>
    <r>
      <rPr>
        <b val="true"/>
        <sz val="9"/>
        <color rgb="FFFFFFFF"/>
        <rFont val="Meiryo UI"/>
        <family val="0"/>
        <charset val="1"/>
      </rPr>
      <t xml:space="preserve">(</t>
    </r>
    <r>
      <rPr>
        <b val="true"/>
        <sz val="9"/>
        <color rgb="FFFFFFFF"/>
        <rFont val="WenQuanYi Zen Hei"/>
        <family val="2"/>
      </rPr>
      <t xml:space="preserve">実績</t>
    </r>
    <r>
      <rPr>
        <b val="true"/>
        <sz val="9"/>
        <color rgb="FFFFFFFF"/>
        <rFont val="Meiryo UI"/>
        <family val="0"/>
        <charset val="1"/>
      </rPr>
      <t xml:space="preserve">/</t>
    </r>
    <r>
      <rPr>
        <b val="true"/>
        <sz val="9"/>
        <color rgb="FFFFFFFF"/>
        <rFont val="WenQuanYi Zen Hei"/>
        <family val="2"/>
      </rPr>
      <t xml:space="preserve">投入</t>
    </r>
    <r>
      <rPr>
        <b val="true"/>
        <sz val="9"/>
        <color rgb="FFFFFFFF"/>
        <rFont val="Meiryo UI"/>
        <family val="0"/>
        <charset val="1"/>
      </rPr>
      <t xml:space="preserve">)</t>
    </r>
  </si>
  <si>
    <t xml:space="preserve">—（初回会場）</t>
  </si>
  <si>
    <t xml:space="preserve">初回会場。予測モデルの参照元が無いため投入数のみ</t>
  </si>
  <si>
    <r>
      <rPr>
        <sz val="9"/>
        <rFont val="WenQuanYi Zen Hei"/>
        <family val="2"/>
      </rPr>
      <t xml:space="preserve">東京</t>
    </r>
    <r>
      <rPr>
        <sz val="9"/>
        <rFont val="Meiryo UI"/>
        <family val="0"/>
        <charset val="1"/>
      </rPr>
      <t xml:space="preserve">×2</t>
    </r>
  </si>
  <si>
    <t xml:space="preserve">池袋のみを参照。実績が予測を上回り、やや保守的な予測だった</t>
  </si>
  <si>
    <r>
      <rPr>
        <sz val="9"/>
        <rFont val="WenQuanYi Zen Hei"/>
        <family val="2"/>
      </rPr>
      <t xml:space="preserve">東京</t>
    </r>
    <r>
      <rPr>
        <sz val="9"/>
        <rFont val="Meiryo UI"/>
        <family val="0"/>
        <charset val="1"/>
      </rPr>
      <t xml:space="preserve">×1</t>
    </r>
    <r>
      <rPr>
        <sz val="9"/>
        <rFont val="WenQuanYi Zen Hei"/>
        <family val="2"/>
      </rPr>
      <t xml:space="preserve">・名古屋</t>
    </r>
    <r>
      <rPr>
        <sz val="9"/>
        <rFont val="Meiryo UI"/>
        <family val="0"/>
        <charset val="1"/>
      </rPr>
      <t xml:space="preserve">×2</t>
    </r>
  </si>
  <si>
    <r>
      <rPr>
        <sz val="9"/>
        <rFont val="Meiryo UI"/>
        <family val="0"/>
        <charset val="1"/>
      </rPr>
      <t xml:space="preserve">26</t>
    </r>
    <r>
      <rPr>
        <sz val="9"/>
        <rFont val="WenQuanYi Zen Hei"/>
        <family val="2"/>
      </rPr>
      <t xml:space="preserve">日間の長期会期で後半にブラインド系が伸び、予測を大きく上回った</t>
    </r>
  </si>
  <si>
    <r>
      <rPr>
        <sz val="9"/>
        <rFont val="WenQuanYi Zen Hei"/>
        <family val="2"/>
      </rPr>
      <t xml:space="preserve">東京</t>
    </r>
    <r>
      <rPr>
        <sz val="9"/>
        <rFont val="Meiryo UI"/>
        <family val="0"/>
        <charset val="1"/>
      </rPr>
      <t xml:space="preserve">×1</t>
    </r>
    <r>
      <rPr>
        <sz val="9"/>
        <rFont val="WenQuanYi Zen Hei"/>
        <family val="2"/>
      </rPr>
      <t xml:space="preserve">・名古屋</t>
    </r>
    <r>
      <rPr>
        <sz val="9"/>
        <rFont val="Meiryo UI"/>
        <family val="0"/>
        <charset val="1"/>
      </rPr>
      <t xml:space="preserve">×1</t>
    </r>
    <r>
      <rPr>
        <sz val="9"/>
        <rFont val="WenQuanYi Zen Hei"/>
        <family val="2"/>
      </rPr>
      <t xml:space="preserve">・博多</t>
    </r>
    <r>
      <rPr>
        <sz val="9"/>
        <rFont val="Meiryo UI"/>
        <family val="0"/>
        <charset val="1"/>
      </rPr>
      <t xml:space="preserve">×2</t>
    </r>
  </si>
  <si>
    <r>
      <rPr>
        <sz val="9"/>
        <rFont val="WenQuanYi Zen Hei"/>
        <family val="2"/>
      </rPr>
      <t xml:space="preserve">博多の高い伸長率を引き継いだため予測が上振れ。新商品</t>
    </r>
    <r>
      <rPr>
        <sz val="9"/>
        <rFont val="Meiryo UI"/>
        <family val="0"/>
        <charset val="1"/>
      </rPr>
      <t xml:space="preserve">106SKU</t>
    </r>
    <r>
      <rPr>
        <sz val="9"/>
        <rFont val="WenQuanYi Zen Hei"/>
        <family val="2"/>
      </rPr>
      <t xml:space="preserve">投入で</t>
    </r>
    <r>
      <rPr>
        <sz val="9"/>
        <rFont val="Meiryo UI"/>
        <family val="0"/>
        <charset val="1"/>
      </rPr>
      <t xml:space="preserve">LEGS</t>
    </r>
    <r>
      <rPr>
        <sz val="9"/>
        <rFont val="WenQuanYi Zen Hei"/>
        <family val="2"/>
      </rPr>
      <t xml:space="preserve">が想定より抑制された</t>
    </r>
  </si>
  <si>
    <r>
      <rPr>
        <sz val="9"/>
        <rFont val="WenQuanYi Zen Hei"/>
        <family val="2"/>
      </rPr>
      <t xml:space="preserve">東京</t>
    </r>
    <r>
      <rPr>
        <sz val="9"/>
        <rFont val="Meiryo UI"/>
        <family val="0"/>
        <charset val="1"/>
      </rPr>
      <t xml:space="preserve">×1</t>
    </r>
    <r>
      <rPr>
        <sz val="9"/>
        <rFont val="WenQuanYi Zen Hei"/>
        <family val="2"/>
      </rPr>
      <t xml:space="preserve">・名古屋</t>
    </r>
    <r>
      <rPr>
        <sz val="9"/>
        <rFont val="Meiryo UI"/>
        <family val="0"/>
        <charset val="1"/>
      </rPr>
      <t xml:space="preserve">×1</t>
    </r>
    <r>
      <rPr>
        <sz val="9"/>
        <rFont val="WenQuanYi Zen Hei"/>
        <family val="2"/>
      </rPr>
      <t xml:space="preserve">・博多</t>
    </r>
    <r>
      <rPr>
        <sz val="9"/>
        <rFont val="Meiryo UI"/>
        <family val="0"/>
        <charset val="1"/>
      </rPr>
      <t xml:space="preserve">×1</t>
    </r>
    <r>
      <rPr>
        <sz val="9"/>
        <rFont val="WenQuanYi Zen Hei"/>
        <family val="2"/>
      </rPr>
      <t xml:space="preserve">・大阪</t>
    </r>
    <r>
      <rPr>
        <sz val="9"/>
        <rFont val="Meiryo UI"/>
        <family val="0"/>
        <charset val="1"/>
      </rPr>
      <t xml:space="preserve">×2</t>
    </r>
  </si>
  <si>
    <t xml:space="preserve">動員が計画を大きく下回り、実績が予測を下回った</t>
  </si>
  <si>
    <r>
      <rPr>
        <b val="true"/>
        <sz val="9"/>
        <rFont val="Meiryo UI"/>
        <family val="0"/>
        <charset val="1"/>
      </rPr>
      <t xml:space="preserve">4</t>
    </r>
    <r>
      <rPr>
        <b val="true"/>
        <sz val="9"/>
        <rFont val="WenQuanYi Zen Hei"/>
        <family val="2"/>
      </rPr>
      <t xml:space="preserve">会場 合計</t>
    </r>
  </si>
  <si>
    <r>
      <rPr>
        <b val="true"/>
        <sz val="9"/>
        <rFont val="WenQuanYi Zen Hei"/>
        <family val="2"/>
      </rPr>
      <t xml:space="preserve">池袋は予測対象外のため、予測計・誤差は名古屋以降</t>
    </r>
    <r>
      <rPr>
        <b val="true"/>
        <sz val="9"/>
        <rFont val="Meiryo UI"/>
        <family val="0"/>
        <charset val="1"/>
      </rPr>
      <t xml:space="preserve">3</t>
    </r>
    <r>
      <rPr>
        <b val="true"/>
        <sz val="9"/>
        <rFont val="WenQuanYi Zen Hei"/>
        <family val="2"/>
      </rPr>
      <t xml:space="preserve">会場の合計</t>
    </r>
  </si>
  <si>
    <r>
      <rPr>
        <b val="true"/>
        <sz val="11"/>
        <color rgb="FFC00000"/>
        <rFont val="WenQuanYi Zen Hei"/>
        <family val="2"/>
      </rPr>
      <t xml:space="preserve">■ 商品別 予測 </t>
    </r>
    <r>
      <rPr>
        <b val="true"/>
        <sz val="11"/>
        <color rgb="FFC00000"/>
        <rFont val="Meiryo UI"/>
        <family val="0"/>
        <charset val="1"/>
      </rPr>
      <t xml:space="preserve">vs </t>
    </r>
    <r>
      <rPr>
        <b val="true"/>
        <sz val="11"/>
        <color rgb="FFC00000"/>
        <rFont val="WenQuanYi Zen Hei"/>
        <family val="2"/>
      </rPr>
      <t xml:space="preserve">実績・構成比の修正</t>
    </r>
  </si>
  <si>
    <t xml:space="preserve">東京
投入数</t>
  </si>
  <si>
    <t xml:space="preserve">東京
予測販売数</t>
  </si>
  <si>
    <t xml:space="preserve">東京
実績販売数</t>
  </si>
  <si>
    <t xml:space="preserve">東京
予測誤差</t>
  </si>
  <si>
    <t xml:space="preserve">東京
予測時構成比</t>
  </si>
  <si>
    <t xml:space="preserve">東京
実績構成比</t>
  </si>
  <si>
    <t xml:space="preserve">東京
構成比修正</t>
  </si>
  <si>
    <t xml:space="preserve">名古屋
投入数</t>
  </si>
  <si>
    <t xml:space="preserve">名古屋
予測販売数</t>
  </si>
  <si>
    <t xml:space="preserve">名古屋
実績販売数</t>
  </si>
  <si>
    <t xml:space="preserve">名古屋
予測誤差</t>
  </si>
  <si>
    <t xml:space="preserve">名古屋
予測時構成比</t>
  </si>
  <si>
    <t xml:space="preserve">名古屋
実績構成比</t>
  </si>
  <si>
    <t xml:space="preserve">名古屋
構成比修正</t>
  </si>
  <si>
    <t xml:space="preserve">博多
投入数</t>
  </si>
  <si>
    <t xml:space="preserve">博多
予測販売数</t>
  </si>
  <si>
    <t xml:space="preserve">博多
実績販売数</t>
  </si>
  <si>
    <t xml:space="preserve">博多
予測誤差</t>
  </si>
  <si>
    <t xml:space="preserve">博多
予測時構成比</t>
  </si>
  <si>
    <t xml:space="preserve">博多
実績構成比</t>
  </si>
  <si>
    <t xml:space="preserve">博多
構成比修正</t>
  </si>
  <si>
    <t xml:space="preserve">大阪
投入数</t>
  </si>
  <si>
    <t xml:space="preserve">大阪
予測販売数</t>
  </si>
  <si>
    <t xml:space="preserve">大阪
実績販売数</t>
  </si>
  <si>
    <t xml:space="preserve">大阪
予測誤差</t>
  </si>
  <si>
    <t xml:space="preserve">大阪
予測時構成比</t>
  </si>
  <si>
    <t xml:space="preserve">大阪
実績構成比</t>
  </si>
  <si>
    <t xml:space="preserve">大阪
構成比修正</t>
  </si>
  <si>
    <t xml:space="preserve">札幌
投入数</t>
  </si>
  <si>
    <t xml:space="preserve">札幌
予測販売数</t>
  </si>
  <si>
    <t xml:space="preserve">札幌
実績販売数</t>
  </si>
  <si>
    <t xml:space="preserve">札幌
予測誤差</t>
  </si>
  <si>
    <t xml:space="preserve">札幌
予測時構成比</t>
  </si>
  <si>
    <t xml:space="preserve">札幌
実績構成比</t>
  </si>
  <si>
    <t xml:space="preserve">札幌
構成比修正</t>
  </si>
  <si>
    <r>
      <rPr>
        <b val="true"/>
        <sz val="9"/>
        <color rgb="FFFFFFFF"/>
        <rFont val="Meiryo UI"/>
        <family val="0"/>
        <charset val="1"/>
      </rPr>
      <t xml:space="preserve">4</t>
    </r>
    <r>
      <rPr>
        <b val="true"/>
        <sz val="9"/>
        <color rgb="FFFFFFFF"/>
        <rFont val="WenQuanYi Zen Hei"/>
        <family val="2"/>
      </rPr>
      <t xml:space="preserve">会場
実績合計</t>
    </r>
  </si>
  <si>
    <r>
      <rPr>
        <b val="true"/>
        <sz val="9"/>
        <color rgb="FFFFFFFF"/>
        <rFont val="Meiryo UI"/>
        <family val="0"/>
        <charset val="1"/>
      </rPr>
      <t xml:space="preserve">4</t>
    </r>
    <r>
      <rPr>
        <b val="true"/>
        <sz val="9"/>
        <color rgb="FFFFFFFF"/>
        <rFont val="WenQuanYi Zen Hei"/>
        <family val="2"/>
      </rPr>
      <t xml:space="preserve">会場
実績構成比</t>
    </r>
  </si>
  <si>
    <t xml:space="preserve">札幌
予測構成比</t>
  </si>
  <si>
    <t xml:space="preserve">仙台以降
適用構成比</t>
  </si>
  <si>
    <t xml:space="preserve">構成比トレンド</t>
  </si>
  <si>
    <t xml:space="preserve">■ 構成比修正の考え方と次会場への反映</t>
  </si>
  <si>
    <t xml:space="preserve">予測時構成比</t>
  </si>
  <si>
    <r>
      <rPr>
        <sz val="9"/>
        <rFont val="WenQuanYi Zen Hei"/>
        <family val="2"/>
      </rPr>
      <t xml:space="preserve">各会場の会期前〜初</t>
    </r>
    <r>
      <rPr>
        <sz val="9"/>
        <rFont val="Meiryo UI"/>
        <family val="0"/>
        <charset val="1"/>
      </rPr>
      <t xml:space="preserve">12</t>
    </r>
    <r>
      <rPr>
        <sz val="9"/>
        <rFont val="WenQuanYi Zen Hei"/>
        <family val="2"/>
      </rPr>
      <t xml:space="preserve">日時点で、過去会場の実績から見込んでいた商品別シェア。池袋のみ実績データが無いため投入数（販売可能数）のシェアを計画値として採用している。</t>
    </r>
  </si>
  <si>
    <t xml:space="preserve">実績構成比</t>
  </si>
  <si>
    <t xml:space="preserve">各会場の会期全体の実績販売数に基づく商品別シェア。</t>
  </si>
  <si>
    <t xml:space="preserve">構成比修正</t>
  </si>
  <si>
    <t xml:space="preserve">実績構成比 − 予測時構成比（ポイント）。プラスは想定より売れた＝次会場で構成比を引き上げるべき商品。</t>
  </si>
  <si>
    <t xml:space="preserve">仙台以降 適用構成比</t>
  </si>
  <si>
    <r>
      <rPr>
        <sz val="9"/>
        <rFont val="WenQuanYi Zen Hei"/>
        <family val="2"/>
      </rPr>
      <t xml:space="preserve">札幌</t>
    </r>
    <r>
      <rPr>
        <sz val="9"/>
        <rFont val="Meiryo UI"/>
        <family val="0"/>
        <charset val="1"/>
      </rPr>
      <t xml:space="preserve">20</t>
    </r>
    <r>
      <rPr>
        <sz val="9"/>
        <rFont val="WenQuanYi Zen Hei"/>
        <family val="2"/>
      </rPr>
      <t xml:space="preserve">日実績のシェア</t>
    </r>
    <r>
      <rPr>
        <sz val="9"/>
        <rFont val="Meiryo UI"/>
        <family val="0"/>
        <charset val="1"/>
      </rPr>
      <t xml:space="preserve">50% </t>
    </r>
    <r>
      <rPr>
        <sz val="9"/>
        <rFont val="WenQuanYi Zen Hei"/>
        <family val="2"/>
      </rPr>
      <t xml:space="preserve">＋ 石川</t>
    </r>
    <r>
      <rPr>
        <sz val="9"/>
        <rFont val="Meiryo UI"/>
        <family val="0"/>
        <charset val="1"/>
      </rPr>
      <t xml:space="preserve">18</t>
    </r>
    <r>
      <rPr>
        <sz val="9"/>
        <rFont val="WenQuanYi Zen Hei"/>
        <family val="2"/>
      </rPr>
      <t xml:space="preserve">日予測のシェア</t>
    </r>
    <r>
      <rPr>
        <sz val="9"/>
        <rFont val="Meiryo UI"/>
        <family val="0"/>
        <charset val="1"/>
      </rPr>
      <t xml:space="preserve">50% </t>
    </r>
    <r>
      <rPr>
        <sz val="9"/>
        <rFont val="WenQuanYi Zen Hei"/>
        <family val="2"/>
      </rPr>
      <t xml:space="preserve">のブレンド（③シートで算出）。直近</t>
    </r>
    <r>
      <rPr>
        <sz val="9"/>
        <rFont val="Meiryo UI"/>
        <family val="0"/>
        <charset val="1"/>
      </rPr>
      <t xml:space="preserve">2</t>
    </r>
    <r>
      <rPr>
        <sz val="9"/>
        <rFont val="WenQuanYi Zen Hei"/>
        <family val="2"/>
      </rPr>
      <t xml:space="preserve">会場は品揃えが同一のため、この</t>
    </r>
    <r>
      <rPr>
        <sz val="9"/>
        <rFont val="Meiryo UI"/>
        <family val="0"/>
        <charset val="1"/>
      </rPr>
      <t xml:space="preserve">2</t>
    </r>
    <r>
      <rPr>
        <sz val="9"/>
        <rFont val="WenQuanYi Zen Hei"/>
        <family val="2"/>
      </rPr>
      <t xml:space="preserve">会場に絞って重み付けしている。</t>
    </r>
  </si>
  <si>
    <t xml:space="preserve">モデル精度の読み方</t>
  </si>
  <si>
    <r>
      <rPr>
        <sz val="9"/>
        <rFont val="Meiryo UI"/>
        <family val="0"/>
        <charset val="1"/>
      </rPr>
      <t xml:space="preserve">3</t>
    </r>
    <r>
      <rPr>
        <sz val="9"/>
        <rFont val="WenQuanYi Zen Hei"/>
        <family val="2"/>
      </rPr>
      <t xml:space="preserve">会場の絶対誤差率は</t>
    </r>
    <r>
      <rPr>
        <sz val="9"/>
        <rFont val="Meiryo UI"/>
        <family val="0"/>
        <charset val="1"/>
      </rPr>
      <t xml:space="preserve">10</t>
    </r>
    <r>
      <rPr>
        <sz val="9"/>
        <rFont val="WenQuanYi Zen Hei"/>
        <family val="2"/>
      </rPr>
      <t xml:space="preserve">〜</t>
    </r>
    <r>
      <rPr>
        <sz val="9"/>
        <rFont val="Meiryo UI"/>
        <family val="0"/>
        <charset val="1"/>
      </rPr>
      <t xml:space="preserve">27%</t>
    </r>
    <r>
      <rPr>
        <sz val="9"/>
        <rFont val="WenQuanYi Zen Hei"/>
        <family val="2"/>
      </rPr>
      <t xml:space="preserve">。ブラインド系など会期後半に伸びる商品ほど予測が下振れしやすく、</t>
    </r>
  </si>
  <si>
    <t xml:space="preserve">定番のクリアファイル・ポストカード系は誤差が小さい。発注量は絶対誤差率を織り込んだ安全率で調整すること。</t>
  </si>
  <si>
    <t xml:space="preserve">⑩ 仙台会場以降の 東京対比 会場比率 シナリオ比較</t>
  </si>
  <si>
    <r>
      <rPr>
        <sz val="8"/>
        <color rgb="FF555555"/>
        <rFont val="WenQuanYi Zen Hei"/>
        <family val="2"/>
      </rPr>
      <t xml:space="preserve">「前提・入力」シートのシナリオ選択セルで①〜④を切り替えると、③④⑤⑧シートの予測がすべて連動して再計算される。本シートは</t>
    </r>
    <r>
      <rPr>
        <sz val="8"/>
        <color rgb="FF555555"/>
        <rFont val="Meiryo UI"/>
        <family val="0"/>
        <charset val="1"/>
      </rPr>
      <t xml:space="preserve">4</t>
    </r>
    <r>
      <rPr>
        <sz val="8"/>
        <color rgb="FF555555"/>
        <rFont val="WenQuanYi Zen Hei"/>
        <family val="2"/>
      </rPr>
      <t xml:space="preserve">シナリオを並べて比較するためのもの</t>
    </r>
  </si>
  <si>
    <r>
      <rPr>
        <sz val="8"/>
        <color rgb="FF555555"/>
        <rFont val="WenQuanYi Zen Hei"/>
        <family val="2"/>
      </rPr>
      <t xml:space="preserve">②企画概要書ベースは、企画概要書「グッズ売上</t>
    </r>
    <r>
      <rPr>
        <sz val="8"/>
        <color rgb="FF555555"/>
        <rFont val="Meiryo UI"/>
        <family val="0"/>
        <charset val="1"/>
      </rPr>
      <t xml:space="preserve">(LEGS</t>
    </r>
    <r>
      <rPr>
        <sz val="8"/>
        <color rgb="FF555555"/>
        <rFont val="WenQuanYi Zen Hei"/>
        <family val="2"/>
      </rPr>
      <t xml:space="preserve">予測値</t>
    </r>
    <r>
      <rPr>
        <sz val="8"/>
        <color rgb="FF555555"/>
        <rFont val="Meiryo UI"/>
        <family val="0"/>
        <charset val="1"/>
      </rPr>
      <t xml:space="preserve">)</t>
    </r>
    <r>
      <rPr>
        <sz val="8"/>
        <color rgb="FF555555"/>
        <rFont val="WenQuanYi Zen Hei"/>
        <family val="2"/>
      </rPr>
      <t xml:space="preserve">」の 各会場</t>
    </r>
    <r>
      <rPr>
        <sz val="8"/>
        <color rgb="FF555555"/>
        <rFont val="Meiryo UI"/>
        <family val="0"/>
        <charset val="1"/>
      </rPr>
      <t xml:space="preserve">÷</t>
    </r>
    <r>
      <rPr>
        <sz val="8"/>
        <color rgb="FF555555"/>
        <rFont val="WenQuanYi Zen Hei"/>
        <family val="2"/>
      </rPr>
      <t xml:space="preserve">東京 で算出（仙台 </t>
    </r>
    <r>
      <rPr>
        <sz val="8"/>
        <color rgb="FF555555"/>
        <rFont val="Meiryo UI"/>
        <family val="0"/>
        <charset val="1"/>
      </rPr>
      <t xml:space="preserve">39,000</t>
    </r>
    <r>
      <rPr>
        <sz val="8"/>
        <color rgb="FF555555"/>
        <rFont val="WenQuanYi Zen Hei"/>
        <family val="2"/>
      </rPr>
      <t xml:space="preserve">千円</t>
    </r>
    <r>
      <rPr>
        <sz val="8"/>
        <color rgb="FF555555"/>
        <rFont val="Meiryo UI"/>
        <family val="0"/>
        <charset val="1"/>
      </rPr>
      <t xml:space="preserve">÷250,000</t>
    </r>
    <r>
      <rPr>
        <sz val="8"/>
        <color rgb="FF555555"/>
        <rFont val="WenQuanYi Zen Hei"/>
        <family val="2"/>
      </rPr>
      <t xml:space="preserve">千円＝</t>
    </r>
    <r>
      <rPr>
        <sz val="8"/>
        <color rgb="FF555555"/>
        <rFont val="Meiryo UI"/>
        <family val="0"/>
        <charset val="1"/>
      </rPr>
      <t xml:space="preserve">15.60%</t>
    </r>
    <r>
      <rPr>
        <sz val="8"/>
        <color rgb="FF555555"/>
        <rFont val="WenQuanYi Zen Hei"/>
        <family val="2"/>
      </rPr>
      <t xml:space="preserve">）</t>
    </r>
  </si>
  <si>
    <r>
      <rPr>
        <sz val="8"/>
        <color rgb="FF555555"/>
        <rFont val="WenQuanYi Zen Hei"/>
        <family val="2"/>
      </rPr>
      <t xml:space="preserve">③石川実績連動は、②に石川の計画比達成率 </t>
    </r>
    <r>
      <rPr>
        <sz val="8"/>
        <color rgb="FF555555"/>
        <rFont val="Meiryo UI"/>
        <family val="0"/>
        <charset val="1"/>
      </rPr>
      <t xml:space="preserve">56.3%</t>
    </r>
    <r>
      <rPr>
        <sz val="8"/>
        <color rgb="FF555555"/>
        <rFont val="WenQuanYi Zen Hei"/>
        <family val="2"/>
      </rPr>
      <t xml:space="preserve">（予測 東京対比</t>
    </r>
    <r>
      <rPr>
        <sz val="8"/>
        <color rgb="FF555555"/>
        <rFont val="Meiryo UI"/>
        <family val="0"/>
        <charset val="1"/>
      </rPr>
      <t xml:space="preserve">7.02%</t>
    </r>
    <r>
      <rPr>
        <sz val="8"/>
        <color rgb="FF555555"/>
        <rFont val="WenQuanYi Zen Hei"/>
        <family val="2"/>
      </rPr>
      <t xml:space="preserve">）を乗じた保守シナリオ。東京凱旋のみ</t>
    </r>
    <r>
      <rPr>
        <sz val="8"/>
        <color rgb="FF555555"/>
        <rFont val="Meiryo UI"/>
        <family val="0"/>
        <charset val="1"/>
      </rPr>
      <t xml:space="preserve">50%</t>
    </r>
    <r>
      <rPr>
        <sz val="8"/>
        <color rgb="FF555555"/>
        <rFont val="WenQuanYi Zen Hei"/>
        <family val="2"/>
      </rPr>
      <t xml:space="preserve">で据置</t>
    </r>
  </si>
  <si>
    <t xml:space="preserve">■ 企画概要書の計画値と実績の乖離（東京対比・物販売上ベース）</t>
  </si>
  <si>
    <t xml:space="preserve">企画概要書
グッズ売上予測</t>
  </si>
  <si>
    <t xml:space="preserve">企画概要書
東京対比</t>
  </si>
  <si>
    <t xml:space="preserve">実績／予測
物販売上</t>
  </si>
  <si>
    <t xml:space="preserve">実績／予測
東京対比</t>
  </si>
  <si>
    <t xml:space="preserve">計画比
達成率</t>
  </si>
  <si>
    <t xml:space="preserve">基準会場</t>
  </si>
  <si>
    <t xml:space="preserve">計画を大幅超過</t>
  </si>
  <si>
    <r>
      <rPr>
        <sz val="9"/>
        <rFont val="WenQuanYi Zen Hei"/>
        <family val="2"/>
      </rPr>
      <t xml:space="preserve">計画の</t>
    </r>
    <r>
      <rPr>
        <sz val="9"/>
        <rFont val="Meiryo UI"/>
        <family val="0"/>
        <charset val="1"/>
      </rPr>
      <t xml:space="preserve">1.9</t>
    </r>
    <r>
      <rPr>
        <sz val="9"/>
        <rFont val="WenQuanYi Zen Hei"/>
        <family val="2"/>
      </rPr>
      <t xml:space="preserve">倍。新商品投入で会場全体が伸びた</t>
    </r>
  </si>
  <si>
    <t xml:space="preserve">★計画を大きく下回った</t>
  </si>
  <si>
    <t xml:space="preserve">石川（予測）</t>
  </si>
  <si>
    <r>
      <rPr>
        <sz val="9"/>
        <rFont val="WenQuanYi Zen Hei"/>
        <family val="2"/>
      </rPr>
      <t xml:space="preserve">会期途中（</t>
    </r>
    <r>
      <rPr>
        <sz val="9"/>
        <rFont val="Meiryo UI"/>
        <family val="0"/>
        <charset val="1"/>
      </rPr>
      <t xml:space="preserve">12</t>
    </r>
    <r>
      <rPr>
        <sz val="9"/>
        <rFont val="WenQuanYi Zen Hei"/>
        <family val="2"/>
      </rPr>
      <t xml:space="preserve">日実績→</t>
    </r>
    <r>
      <rPr>
        <sz val="9"/>
        <rFont val="Meiryo UI"/>
        <family val="0"/>
        <charset val="1"/>
      </rPr>
      <t xml:space="preserve">18</t>
    </r>
    <r>
      <rPr>
        <sz val="9"/>
        <rFont val="WenQuanYi Zen Hei"/>
        <family val="2"/>
      </rPr>
      <t xml:space="preserve">日予測）</t>
    </r>
  </si>
  <si>
    <t xml:space="preserve">仙台</t>
  </si>
  <si>
    <t xml:space="preserve">実績未確定。②はこの計画値を採用</t>
  </si>
  <si>
    <r>
      <rPr>
        <b val="true"/>
        <sz val="11"/>
        <color rgb="FFC00000"/>
        <rFont val="WenQuanYi Zen Hei"/>
        <family val="2"/>
      </rPr>
      <t xml:space="preserve">■ シナリオ別 東京対比比率と </t>
    </r>
    <r>
      <rPr>
        <b val="true"/>
        <sz val="11"/>
        <color rgb="FFC00000"/>
        <rFont val="Meiryo UI"/>
        <family val="0"/>
        <charset val="1"/>
      </rPr>
      <t xml:space="preserve">LEGS</t>
    </r>
    <r>
      <rPr>
        <b val="true"/>
        <sz val="11"/>
        <color rgb="FFC00000"/>
        <rFont val="WenQuanYi Zen Hei"/>
        <family val="2"/>
      </rPr>
      <t xml:space="preserve">必要数</t>
    </r>
  </si>
  <si>
    <t xml:space="preserve">①ユーザー指定
東京対比</t>
  </si>
  <si>
    <r>
      <rPr>
        <b val="true"/>
        <sz val="9"/>
        <color rgb="FFFFFFFF"/>
        <rFont val="WenQuanYi Zen Hei"/>
        <family val="2"/>
      </rPr>
      <t xml:space="preserve">①ユーザー指定
</t>
    </r>
    <r>
      <rPr>
        <b val="true"/>
        <sz val="9"/>
        <color rgb="FFFFFFFF"/>
        <rFont val="Meiryo UI"/>
        <family val="0"/>
        <charset val="1"/>
      </rPr>
      <t xml:space="preserve">LEGS</t>
    </r>
    <r>
      <rPr>
        <b val="true"/>
        <sz val="9"/>
        <color rgb="FFFFFFFF"/>
        <rFont val="WenQuanYi Zen Hei"/>
        <family val="2"/>
      </rPr>
      <t xml:space="preserve">必要数</t>
    </r>
  </si>
  <si>
    <t xml:space="preserve">②企画概要書ベース
東京対比</t>
  </si>
  <si>
    <r>
      <rPr>
        <b val="true"/>
        <sz val="9"/>
        <color rgb="FFFFFFFF"/>
        <rFont val="WenQuanYi Zen Hei"/>
        <family val="2"/>
      </rPr>
      <t xml:space="preserve">②企画概要書ベース
</t>
    </r>
    <r>
      <rPr>
        <b val="true"/>
        <sz val="9"/>
        <color rgb="FFFFFFFF"/>
        <rFont val="Meiryo UI"/>
        <family val="0"/>
        <charset val="1"/>
      </rPr>
      <t xml:space="preserve">LEGS</t>
    </r>
    <r>
      <rPr>
        <b val="true"/>
        <sz val="9"/>
        <color rgb="FFFFFFFF"/>
        <rFont val="WenQuanYi Zen Hei"/>
        <family val="2"/>
      </rPr>
      <t xml:space="preserve">必要数</t>
    </r>
  </si>
  <si>
    <r>
      <rPr>
        <b val="true"/>
        <sz val="9"/>
        <color rgb="FFFFFFFF"/>
        <rFont val="WenQuanYi Zen Hei"/>
        <family val="2"/>
      </rPr>
      <t xml:space="preserve">③石川実績連動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t>
    </r>
    <r>
      <rPr>
        <b val="true"/>
        <sz val="9"/>
        <color rgb="FFFFFFFF"/>
        <rFont val="WenQuanYi Zen Hei"/>
        <family val="2"/>
      </rPr>
      <t xml:space="preserve">東京対比</t>
    </r>
  </si>
  <si>
    <r>
      <rPr>
        <b val="true"/>
        <sz val="9"/>
        <color rgb="FFFFFFFF"/>
        <rFont val="WenQuanYi Zen Hei"/>
        <family val="2"/>
      </rPr>
      <t xml:space="preserve">③石川実績連動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LEGS</t>
    </r>
    <r>
      <rPr>
        <b val="true"/>
        <sz val="9"/>
        <color rgb="FFFFFFFF"/>
        <rFont val="WenQuanYi Zen Hei"/>
        <family val="2"/>
      </rPr>
      <t xml:space="preserve">必要数</t>
    </r>
  </si>
  <si>
    <t xml:space="preserve">④手動入力
東京対比</t>
  </si>
  <si>
    <r>
      <rPr>
        <b val="true"/>
        <sz val="9"/>
        <color rgb="FFFFFFFF"/>
        <rFont val="WenQuanYi Zen Hei"/>
        <family val="2"/>
      </rPr>
      <t xml:space="preserve">④手動入力
</t>
    </r>
    <r>
      <rPr>
        <b val="true"/>
        <sz val="9"/>
        <color rgb="FFFFFFFF"/>
        <rFont val="Meiryo UI"/>
        <family val="0"/>
        <charset val="1"/>
      </rPr>
      <t xml:space="preserve">LEGS</t>
    </r>
    <r>
      <rPr>
        <b val="true"/>
        <sz val="9"/>
        <color rgb="FFFFFFFF"/>
        <rFont val="WenQuanYi Zen Hei"/>
        <family val="2"/>
      </rPr>
      <t xml:space="preserve">必要数</t>
    </r>
  </si>
  <si>
    <r>
      <rPr>
        <b val="true"/>
        <sz val="9"/>
        <rFont val="Meiryo UI"/>
        <family val="0"/>
        <charset val="1"/>
      </rPr>
      <t xml:space="preserve">5</t>
    </r>
    <r>
      <rPr>
        <b val="true"/>
        <sz val="9"/>
        <rFont val="WenQuanYi Zen Hei"/>
        <family val="2"/>
      </rPr>
      <t xml:space="preserve">会場 合計</t>
    </r>
  </si>
  <si>
    <t xml:space="preserve">■ 商品別 シナリオ別 必要数と追加生産必要数（供給可能在庫はシナリオ共通）</t>
  </si>
  <si>
    <t xml:space="preserve">按分
構成比</t>
  </si>
  <si>
    <t xml:space="preserve">①ユーザー指定
必要数</t>
  </si>
  <si>
    <t xml:space="preserve">①ユーザー指定
追加生産</t>
  </si>
  <si>
    <t xml:space="preserve">②企画概要書ベース
必要数</t>
  </si>
  <si>
    <t xml:space="preserve">②企画概要書ベース
追加生産</t>
  </si>
  <si>
    <r>
      <rPr>
        <b val="true"/>
        <sz val="9"/>
        <color rgb="FFFFFFFF"/>
        <rFont val="WenQuanYi Zen Hei"/>
        <family val="2"/>
      </rPr>
      <t xml:space="preserve">③石川実績連動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t>
    </r>
    <r>
      <rPr>
        <b val="true"/>
        <sz val="9"/>
        <color rgb="FFFFFFFF"/>
        <rFont val="WenQuanYi Zen Hei"/>
        <family val="2"/>
      </rPr>
      <t xml:space="preserve">必要数</t>
    </r>
  </si>
  <si>
    <r>
      <rPr>
        <b val="true"/>
        <sz val="9"/>
        <color rgb="FFFFFFFF"/>
        <rFont val="WenQuanYi Zen Hei"/>
        <family val="2"/>
      </rPr>
      <t xml:space="preserve">③石川実績連動</t>
    </r>
    <r>
      <rPr>
        <b val="true"/>
        <sz val="9"/>
        <color rgb="FFFFFFFF"/>
        <rFont val="Meiryo UI"/>
        <family val="0"/>
        <charset val="1"/>
      </rPr>
      <t xml:space="preserve">(</t>
    </r>
    <r>
      <rPr>
        <b val="true"/>
        <sz val="9"/>
        <color rgb="FFFFFFFF"/>
        <rFont val="WenQuanYi Zen Hei"/>
        <family val="2"/>
      </rPr>
      <t xml:space="preserve">保守</t>
    </r>
    <r>
      <rPr>
        <b val="true"/>
        <sz val="9"/>
        <color rgb="FFFFFFFF"/>
        <rFont val="Meiryo UI"/>
        <family val="0"/>
        <charset val="1"/>
      </rPr>
      <t xml:space="preserve">)
</t>
    </r>
    <r>
      <rPr>
        <b val="true"/>
        <sz val="9"/>
        <color rgb="FFFFFFFF"/>
        <rFont val="WenQuanYi Zen Hei"/>
        <family val="2"/>
      </rPr>
      <t xml:space="preserve">追加生産</t>
    </r>
  </si>
  <si>
    <t xml:space="preserve">④手動入力
必要数</t>
  </si>
  <si>
    <t xml:space="preserve">④手動入力
追加生産</t>
  </si>
  <si>
    <t xml:space="preserve">■ シナリオ別 結論</t>
  </si>
  <si>
    <r>
      <rPr>
        <b val="true"/>
        <sz val="9"/>
        <rFont val="WenQuanYi Zen Hei"/>
        <family val="2"/>
      </rPr>
      <t xml:space="preserve">仙台以降 </t>
    </r>
    <r>
      <rPr>
        <b val="true"/>
        <sz val="9"/>
        <rFont val="Meiryo UI"/>
        <family val="0"/>
        <charset val="1"/>
      </rPr>
      <t xml:space="preserve">LEGS</t>
    </r>
    <r>
      <rPr>
        <b val="true"/>
        <sz val="9"/>
        <rFont val="WenQuanYi Zen Hei"/>
        <family val="2"/>
      </rPr>
      <t xml:space="preserve">必要数</t>
    </r>
  </si>
  <si>
    <t xml:space="preserve">仙台以降 供給可能在庫</t>
  </si>
  <si>
    <t xml:space="preserve">全体過不足</t>
  </si>
  <si>
    <t xml:space="preserve">追加生産 必要数</t>
  </si>
  <si>
    <t xml:space="preserve">不足品目数</t>
  </si>
  <si>
    <r>
      <rPr>
        <b val="true"/>
        <sz val="9"/>
        <rFont val="WenQuanYi Zen Hei"/>
        <family val="2"/>
      </rPr>
      <t xml:space="preserve">推奨発注数</t>
    </r>
    <r>
      <rPr>
        <b val="true"/>
        <sz val="9"/>
        <rFont val="Meiryo UI"/>
        <family val="0"/>
        <charset val="1"/>
      </rPr>
      <t xml:space="preserve">(</t>
    </r>
    <r>
      <rPr>
        <b val="true"/>
        <sz val="9"/>
        <rFont val="WenQuanYi Zen Hei"/>
        <family val="2"/>
      </rPr>
      <t xml:space="preserve">安全率込</t>
    </r>
    <r>
      <rPr>
        <b val="true"/>
        <sz val="9"/>
        <rFont val="Meiryo UI"/>
        <family val="0"/>
        <charset val="1"/>
      </rPr>
      <t xml:space="preserve">)</t>
    </r>
  </si>
  <si>
    <t xml:space="preserve">推奨</t>
  </si>
  <si>
    <t xml:space="preserve">②企画概要書ベースは①より強気。直近会場が計画を下回っている実態を踏まえると、</t>
  </si>
  <si>
    <t xml:space="preserve">発注量の意思決定は③石川実績連動（保守）を下限、②企画概要書ベースを上限としたレンジで持つのが妥当。</t>
  </si>
  <si>
    <t xml:space="preserve">留意</t>
  </si>
  <si>
    <r>
      <rPr>
        <sz val="9"/>
        <rFont val="WenQuanYi Zen Hei"/>
        <family val="2"/>
      </rPr>
      <t xml:space="preserve">名古屋・博多・大阪の</t>
    </r>
    <r>
      <rPr>
        <sz val="9"/>
        <rFont val="Meiryo UI"/>
        <family val="0"/>
        <charset val="1"/>
      </rPr>
      <t xml:space="preserve">3</t>
    </r>
    <r>
      <rPr>
        <sz val="9"/>
        <rFont val="WenQuanYi Zen Hei"/>
        <family val="2"/>
      </rPr>
      <t xml:space="preserve">会場はいずれも計画を大きく超過した一方、直近会場は下振れしている。</t>
    </r>
  </si>
  <si>
    <t xml:space="preserve">これが会場規模・立地に起因する個別要因か、地方会場全体の傾向かで判断が分かれる。</t>
  </si>
  <si>
    <r>
      <rPr>
        <sz val="9"/>
        <rFont val="WenQuanYi Zen Hei"/>
        <family val="2"/>
      </rPr>
      <t xml:space="preserve">仙台以降の前売</t>
    </r>
    <r>
      <rPr>
        <sz val="9"/>
        <rFont val="Meiryo UI"/>
        <family val="0"/>
        <charset val="1"/>
      </rPr>
      <t xml:space="preserve">/</t>
    </r>
    <r>
      <rPr>
        <sz val="9"/>
        <rFont val="WenQuanYi Zen Hei"/>
        <family val="2"/>
      </rPr>
      <t xml:space="preserve">予約状況が判明した時点でシナリオを確定させることを推奨する。</t>
    </r>
  </si>
  <si>
    <t xml:space="preserve">⑪ 仙台以降 会場別 在庫引当シミュレーションと 最終追加発注期限</t>
  </si>
  <si>
    <r>
      <rPr>
        <sz val="8"/>
        <color rgb="FF555555"/>
        <rFont val="WenQuanYi Zen Hei"/>
        <family val="2"/>
      </rPr>
      <t xml:space="preserve">石川の欠品分は倉庫在庫から追納する前提。仙台以降の供給可能在庫（＝倉庫残 ＋ 札幌会期末残 − 石川会期</t>
    </r>
    <r>
      <rPr>
        <sz val="8"/>
        <color rgb="FF555555"/>
        <rFont val="Meiryo UI"/>
        <family val="0"/>
        <charset val="1"/>
      </rPr>
      <t xml:space="preserve">18</t>
    </r>
    <r>
      <rPr>
        <sz val="8"/>
        <color rgb="FF555555"/>
        <rFont val="WenQuanYi Zen Hei"/>
        <family val="2"/>
      </rPr>
      <t xml:space="preserve">日予測販売数）を会場順に引き当て、在庫が尽きる会場＝「欠品発生会場」を特定する</t>
    </r>
  </si>
  <si>
    <r>
      <rPr>
        <sz val="8"/>
        <color rgb="FF555555"/>
        <rFont val="WenQuanYi Zen Hei"/>
        <family val="2"/>
      </rPr>
      <t xml:space="preserve">発注期限 ＝ 欠品発生会場の会期初日 − 生産日数 − 発注〜納品バッファ（既定</t>
    </r>
    <r>
      <rPr>
        <sz val="8"/>
        <color rgb="FF555555"/>
        <rFont val="Meiryo UI"/>
        <family val="0"/>
        <charset val="1"/>
      </rPr>
      <t xml:space="preserve">14</t>
    </r>
    <r>
      <rPr>
        <sz val="8"/>
        <color rgb="FF555555"/>
        <rFont val="WenQuanYi Zen Hei"/>
        <family val="2"/>
      </rPr>
      <t xml:space="preserve">日）。生産日数は</t>
    </r>
    <r>
      <rPr>
        <sz val="8"/>
        <color rgb="FF555555"/>
        <rFont val="Meiryo UI"/>
        <family val="0"/>
        <charset val="1"/>
      </rPr>
      <t xml:space="preserve">2026/7/28</t>
    </r>
    <r>
      <rPr>
        <sz val="8"/>
        <color rgb="FF555555"/>
        <rFont val="WenQuanYi Zen Hei"/>
        <family val="2"/>
      </rPr>
      <t xml:space="preserve">時点の提示値で、物価高騰・素材</t>
    </r>
    <r>
      <rPr>
        <sz val="8"/>
        <color rgb="FF555555"/>
        <rFont val="Meiryo UI"/>
        <family val="0"/>
        <charset val="1"/>
      </rPr>
      <t xml:space="preserve">/</t>
    </r>
    <r>
      <rPr>
        <sz val="8"/>
        <color rgb="FF555555"/>
        <rFont val="WenQuanYi Zen Hei"/>
        <family val="2"/>
      </rPr>
      <t xml:space="preserve">材料の入手困難等により変動の可能性あり</t>
    </r>
  </si>
  <si>
    <t xml:space="preserve">■ 既に手配済みの追加発注（参考）</t>
  </si>
  <si>
    <t xml:space="preserve">商品</t>
  </si>
  <si>
    <t xml:space="preserve">発注／納品日</t>
  </si>
  <si>
    <t xml:space="preserve">充当先</t>
  </si>
  <si>
    <t xml:space="preserve">呪術廻戦 渋谷事変／懐玉・玉折 ブラインド缶バッジ</t>
  </si>
  <si>
    <r>
      <rPr>
        <sz val="9"/>
        <rFont val="Meiryo UI"/>
        <family val="0"/>
        <charset val="1"/>
      </rPr>
      <t xml:space="preserve">2026/4/24(</t>
    </r>
    <r>
      <rPr>
        <sz val="9"/>
        <rFont val="WenQuanYi Zen Hei"/>
        <family val="2"/>
      </rPr>
      <t xml:space="preserve">金</t>
    </r>
    <r>
      <rPr>
        <sz val="9"/>
        <rFont val="Meiryo UI"/>
        <family val="0"/>
        <charset val="1"/>
      </rPr>
      <t xml:space="preserve">)</t>
    </r>
  </si>
  <si>
    <r>
      <rPr>
        <sz val="9"/>
        <rFont val="WenQuanYi Zen Hei"/>
        <family val="2"/>
      </rPr>
      <t xml:space="preserve">一部 大阪＆北海道</t>
    </r>
    <r>
      <rPr>
        <sz val="9"/>
        <rFont val="Meiryo UI"/>
        <family val="0"/>
        <charset val="1"/>
      </rPr>
      <t xml:space="preserve">(</t>
    </r>
    <r>
      <rPr>
        <sz val="9"/>
        <rFont val="WenQuanYi Zen Hei"/>
        <family val="2"/>
      </rPr>
      <t xml:space="preserve">札幌</t>
    </r>
    <r>
      <rPr>
        <sz val="9"/>
        <rFont val="Meiryo UI"/>
        <family val="0"/>
        <charset val="1"/>
      </rPr>
      <t xml:space="preserve">)</t>
    </r>
    <r>
      <rPr>
        <sz val="9"/>
        <rFont val="WenQuanYi Zen Hei"/>
        <family val="2"/>
      </rPr>
      <t xml:space="preserve">以降用</t>
    </r>
  </si>
  <si>
    <r>
      <rPr>
        <sz val="9"/>
        <rFont val="Meiryo UI"/>
        <family val="0"/>
        <charset val="1"/>
      </rPr>
      <t xml:space="preserve">2026/5/8(</t>
    </r>
    <r>
      <rPr>
        <sz val="9"/>
        <rFont val="WenQuanYi Zen Hei"/>
        <family val="2"/>
      </rPr>
      <t xml:space="preserve">金</t>
    </r>
    <r>
      <rPr>
        <sz val="9"/>
        <rFont val="Meiryo UI"/>
        <family val="0"/>
        <charset val="1"/>
      </rPr>
      <t xml:space="preserve">)</t>
    </r>
  </si>
  <si>
    <r>
      <rPr>
        <sz val="9"/>
        <rFont val="WenQuanYi Zen Hei"/>
        <family val="2"/>
      </rPr>
      <t xml:space="preserve">北海道</t>
    </r>
    <r>
      <rPr>
        <sz val="9"/>
        <rFont val="Meiryo UI"/>
        <family val="0"/>
        <charset val="1"/>
      </rPr>
      <t xml:space="preserve">(</t>
    </r>
    <r>
      <rPr>
        <sz val="9"/>
        <rFont val="WenQuanYi Zen Hei"/>
        <family val="2"/>
      </rPr>
      <t xml:space="preserve">札幌</t>
    </r>
    <r>
      <rPr>
        <sz val="9"/>
        <rFont val="Meiryo UI"/>
        <family val="0"/>
        <charset val="1"/>
      </rPr>
      <t xml:space="preserve">)</t>
    </r>
    <r>
      <rPr>
        <sz val="9"/>
        <rFont val="WenQuanYi Zen Hei"/>
        <family val="2"/>
      </rPr>
      <t xml:space="preserve">会場以降用</t>
    </r>
  </si>
  <si>
    <r>
      <rPr>
        <sz val="9"/>
        <rFont val="Meiryo UI"/>
        <family val="0"/>
        <charset val="1"/>
      </rPr>
      <t xml:space="preserve">2026/5/15(</t>
    </r>
    <r>
      <rPr>
        <sz val="9"/>
        <rFont val="WenQuanYi Zen Hei"/>
        <family val="2"/>
      </rPr>
      <t xml:space="preserve">金</t>
    </r>
    <r>
      <rPr>
        <sz val="9"/>
        <rFont val="Meiryo UI"/>
        <family val="0"/>
        <charset val="1"/>
      </rPr>
      <t xml:space="preserve">)</t>
    </r>
  </si>
  <si>
    <t xml:space="preserve">仙台会場以降</t>
  </si>
  <si>
    <r>
      <rPr>
        <sz val="9"/>
        <rFont val="WenQuanYi Zen Hei"/>
        <family val="2"/>
      </rPr>
      <t xml:space="preserve">★賞味期限</t>
    </r>
    <r>
      <rPr>
        <sz val="9"/>
        <rFont val="Meiryo UI"/>
        <family val="0"/>
        <charset val="1"/>
      </rPr>
      <t xml:space="preserve">4</t>
    </r>
    <r>
      <rPr>
        <sz val="9"/>
        <rFont val="WenQuanYi Zen Hei"/>
        <family val="2"/>
      </rPr>
      <t xml:space="preserve">か月以内のものは販売不可</t>
    </r>
  </si>
  <si>
    <t xml:space="preserve">― 開催中会場への追納 ―</t>
  </si>
  <si>
    <r>
      <rPr>
        <sz val="9"/>
        <rFont val="Meiryo UI"/>
        <family val="0"/>
        <charset val="1"/>
      </rPr>
      <t xml:space="preserve">2026/8 </t>
    </r>
    <r>
      <rPr>
        <sz val="9"/>
        <rFont val="WenQuanYi Zen Hei"/>
        <family val="2"/>
      </rPr>
      <t xml:space="preserve">石川</t>
    </r>
    <r>
      <rPr>
        <sz val="9"/>
        <rFont val="Meiryo UI"/>
        <family val="0"/>
        <charset val="1"/>
      </rPr>
      <t xml:space="preserve">(</t>
    </r>
    <r>
      <rPr>
        <sz val="9"/>
        <rFont val="WenQuanYi Zen Hei"/>
        <family val="2"/>
      </rPr>
      <t xml:space="preserve">金沢</t>
    </r>
    <r>
      <rPr>
        <sz val="9"/>
        <rFont val="Meiryo UI"/>
        <family val="0"/>
        <charset val="1"/>
      </rPr>
      <t xml:space="preserve">)</t>
    </r>
    <r>
      <rPr>
        <sz val="9"/>
        <rFont val="WenQuanYi Zen Hei"/>
        <family val="2"/>
      </rPr>
      <t xml:space="preserve">会場への札幌転送分＋</t>
    </r>
    <r>
      <rPr>
        <sz val="9"/>
        <rFont val="Meiryo UI"/>
        <family val="0"/>
        <charset val="1"/>
      </rPr>
      <t xml:space="preserve">8/22</t>
    </r>
    <r>
      <rPr>
        <sz val="9"/>
        <rFont val="WenQuanYi Zen Hei"/>
        <family val="2"/>
      </rPr>
      <t xml:space="preserve">追納</t>
    </r>
  </si>
  <si>
    <r>
      <rPr>
        <sz val="9"/>
        <rFont val="WenQuanYi Zen Hei"/>
        <family val="2"/>
      </rPr>
      <t xml:space="preserve">札幌会場からの転送（</t>
    </r>
    <r>
      <rPr>
        <sz val="9"/>
        <rFont val="Meiryo UI"/>
        <family val="0"/>
        <charset val="1"/>
      </rPr>
      <t xml:space="preserve">LEGS 42SKU </t>
    </r>
    <r>
      <rPr>
        <sz val="9"/>
        <rFont val="WenQuanYi Zen Hei"/>
        <family val="2"/>
      </rPr>
      <t xml:space="preserve">計）</t>
    </r>
  </si>
  <si>
    <t xml:space="preserve">2026/8/13</t>
  </si>
  <si>
    <r>
      <rPr>
        <sz val="9"/>
        <rFont val="WenQuanYi Zen Hei"/>
        <family val="2"/>
      </rPr>
      <t xml:space="preserve">石川会場（</t>
    </r>
    <r>
      <rPr>
        <sz val="9"/>
        <rFont val="Meiryo UI"/>
        <family val="0"/>
        <charset val="1"/>
      </rPr>
      <t xml:space="preserve">41,612</t>
    </r>
    <r>
      <rPr>
        <sz val="9"/>
        <rFont val="WenQuanYi Zen Hei"/>
        <family val="2"/>
      </rPr>
      <t xml:space="preserve">個）</t>
    </r>
  </si>
  <si>
    <r>
      <rPr>
        <sz val="9"/>
        <rFont val="WenQuanYi Zen Hei"/>
        <family val="2"/>
      </rPr>
      <t xml:space="preserve">札幌の会期末残</t>
    </r>
    <r>
      <rPr>
        <sz val="9"/>
        <rFont val="Meiryo UI"/>
        <family val="0"/>
        <charset val="1"/>
      </rPr>
      <t xml:space="preserve">41,615</t>
    </r>
    <r>
      <rPr>
        <sz val="9"/>
        <rFont val="WenQuanYi Zen Hei"/>
        <family val="2"/>
      </rPr>
      <t xml:space="preserve">個のうち</t>
    </r>
    <r>
      <rPr>
        <sz val="9"/>
        <rFont val="Meiryo UI"/>
        <family val="0"/>
        <charset val="1"/>
      </rPr>
      <t xml:space="preserve">41,612</t>
    </r>
    <r>
      <rPr>
        <sz val="9"/>
        <rFont val="WenQuanYi Zen Hei"/>
        <family val="2"/>
      </rPr>
      <t xml:space="preserve">個を金沢へ横持ち</t>
    </r>
  </si>
  <si>
    <t xml:space="preserve">2026/8/22</t>
  </si>
  <si>
    <r>
      <rPr>
        <sz val="9"/>
        <rFont val="WenQuanYi Zen Hei"/>
        <family val="2"/>
      </rPr>
      <t xml:space="preserve">石川会場（</t>
    </r>
    <r>
      <rPr>
        <sz val="9"/>
        <rFont val="Meiryo UI"/>
        <family val="0"/>
        <charset val="1"/>
      </rPr>
      <t xml:space="preserve">20</t>
    </r>
    <r>
      <rPr>
        <sz val="9"/>
        <rFont val="WenQuanYi Zen Hei"/>
        <family val="2"/>
      </rPr>
      <t xml:space="preserve">個）</t>
    </r>
  </si>
  <si>
    <r>
      <rPr>
        <sz val="9"/>
        <rFont val="WenQuanYi Zen Hei"/>
        <family val="2"/>
      </rPr>
      <t xml:space="preserve">倉庫残</t>
    </r>
    <r>
      <rPr>
        <sz val="9"/>
        <rFont val="Meiryo UI"/>
        <family val="0"/>
        <charset val="1"/>
      </rPr>
      <t xml:space="preserve">100</t>
    </r>
    <r>
      <rPr>
        <sz val="9"/>
        <rFont val="WenQuanYi Zen Hei"/>
        <family val="2"/>
      </rPr>
      <t xml:space="preserve">個のうち</t>
    </r>
    <r>
      <rPr>
        <sz val="9"/>
        <rFont val="Meiryo UI"/>
        <family val="0"/>
        <charset val="1"/>
      </rPr>
      <t xml:space="preserve">20</t>
    </r>
    <r>
      <rPr>
        <sz val="9"/>
        <rFont val="WenQuanYi Zen Hei"/>
        <family val="2"/>
      </rPr>
      <t xml:space="preserve">個を追納。金沢は</t>
    </r>
    <r>
      <rPr>
        <sz val="9"/>
        <rFont val="Meiryo UI"/>
        <family val="0"/>
        <charset val="1"/>
      </rPr>
      <t xml:space="preserve">8/25</t>
    </r>
    <r>
      <rPr>
        <sz val="9"/>
        <rFont val="WenQuanYi Zen Hei"/>
        <family val="2"/>
      </rPr>
      <t xml:space="preserve">時点で</t>
    </r>
    <r>
      <rPr>
        <sz val="9"/>
        <rFont val="Meiryo UI"/>
        <family val="0"/>
        <charset val="1"/>
      </rPr>
      <t xml:space="preserve">80</t>
    </r>
    <r>
      <rPr>
        <sz val="9"/>
        <rFont val="WenQuanYi Zen Hei"/>
        <family val="2"/>
      </rPr>
      <t xml:space="preserve">個完売</t>
    </r>
  </si>
  <si>
    <t xml:space="preserve">■ 商品別 会場別 在庫引当と発注期限</t>
  </si>
  <si>
    <r>
      <rPr>
        <b val="true"/>
        <sz val="9"/>
        <color rgb="FFFFFFFF"/>
        <rFont val="WenQuanYi Zen Hei"/>
        <family val="2"/>
      </rPr>
      <t xml:space="preserve">生産日数
</t>
    </r>
    <r>
      <rPr>
        <b val="true"/>
        <sz val="9"/>
        <color rgb="FFFFFFFF"/>
        <rFont val="Meiryo UI"/>
        <family val="0"/>
        <charset val="1"/>
      </rPr>
      <t xml:space="preserve">(</t>
    </r>
    <r>
      <rPr>
        <b val="true"/>
        <sz val="9"/>
        <color rgb="FFFFFFFF"/>
        <rFont val="WenQuanYi Zen Hei"/>
        <family val="2"/>
      </rPr>
      <t xml:space="preserve">か月</t>
    </r>
    <r>
      <rPr>
        <b val="true"/>
        <sz val="9"/>
        <color rgb="FFFFFFFF"/>
        <rFont val="Meiryo UI"/>
        <family val="0"/>
        <charset val="1"/>
      </rPr>
      <t xml:space="preserve">)</t>
    </r>
  </si>
  <si>
    <r>
      <rPr>
        <b val="true"/>
        <sz val="9"/>
        <color rgb="FFFFFFFF"/>
        <rFont val="WenQuanYi Zen Hei"/>
        <family val="2"/>
      </rPr>
      <t xml:space="preserve">生産日数
</t>
    </r>
    <r>
      <rPr>
        <b val="true"/>
        <sz val="9"/>
        <color rgb="FFFFFFFF"/>
        <rFont val="Meiryo UI"/>
        <family val="0"/>
        <charset val="1"/>
      </rPr>
      <t xml:space="preserve">(</t>
    </r>
    <r>
      <rPr>
        <b val="true"/>
        <sz val="9"/>
        <color rgb="FFFFFFFF"/>
        <rFont val="WenQuanYi Zen Hei"/>
        <family val="2"/>
      </rPr>
      <t xml:space="preserve">日換算</t>
    </r>
    <r>
      <rPr>
        <b val="true"/>
        <sz val="9"/>
        <color rgb="FFFFFFFF"/>
        <rFont val="Meiryo UI"/>
        <family val="0"/>
        <charset val="1"/>
      </rPr>
      <t xml:space="preserve">)</t>
    </r>
  </si>
  <si>
    <t xml:space="preserve">仙台
引当後残</t>
  </si>
  <si>
    <t xml:space="preserve">神戸阪急
引当後残</t>
  </si>
  <si>
    <t xml:space="preserve">鳥取島根
引当後残</t>
  </si>
  <si>
    <t xml:space="preserve">東京凱旋
引当後残</t>
  </si>
  <si>
    <t xml:space="preserve">欠品発生会場</t>
  </si>
  <si>
    <t xml:space="preserve">欠品会場
会期初日</t>
  </si>
  <si>
    <r>
      <rPr>
        <b val="true"/>
        <sz val="9"/>
        <color rgb="FF333333"/>
        <rFont val="WenQuanYi Zen Hei"/>
        <family val="2"/>
      </rPr>
      <t xml:space="preserve">不足数
</t>
    </r>
    <r>
      <rPr>
        <b val="true"/>
        <sz val="9"/>
        <color rgb="FF333333"/>
        <rFont val="Meiryo UI"/>
        <family val="0"/>
        <charset val="1"/>
      </rPr>
      <t xml:space="preserve">(</t>
    </r>
    <r>
      <rPr>
        <b val="true"/>
        <sz val="9"/>
        <color rgb="FF333333"/>
        <rFont val="WenQuanYi Zen Hei"/>
        <family val="2"/>
      </rPr>
      <t xml:space="preserve">会期末まで</t>
    </r>
    <r>
      <rPr>
        <b val="true"/>
        <sz val="9"/>
        <color rgb="FF333333"/>
        <rFont val="Meiryo UI"/>
        <family val="0"/>
        <charset val="1"/>
      </rPr>
      <t xml:space="preserve">)</t>
    </r>
  </si>
  <si>
    <t xml:space="preserve">緊急度</t>
  </si>
  <si>
    <t xml:space="preserve">－</t>
  </si>
  <si>
    <t xml:space="preserve">再生産不可（生産日数「－」）。現有在庫のみで運用</t>
  </si>
  <si>
    <r>
      <rPr>
        <sz val="9"/>
        <rFont val="WenQuanYi Zen Hei"/>
        <family val="2"/>
      </rPr>
      <t xml:space="preserve">★追加発注 確定済：</t>
    </r>
    <r>
      <rPr>
        <sz val="9"/>
        <rFont val="Meiryo UI"/>
        <family val="0"/>
        <charset val="1"/>
      </rPr>
      <t xml:space="preserve">1,200SET </t>
    </r>
    <r>
      <rPr>
        <sz val="9"/>
        <rFont val="WenQuanYi Zen Hei"/>
        <family val="2"/>
      </rPr>
      <t xml:space="preserve">を 鳥取島根 夢みなとタワー 入荷予定（ミニマム</t>
    </r>
    <r>
      <rPr>
        <sz val="9"/>
        <rFont val="Meiryo UI"/>
        <family val="0"/>
        <charset val="1"/>
      </rPr>
      <t xml:space="preserve">1,200</t>
    </r>
    <r>
      <rPr>
        <sz val="9"/>
        <rFont val="WenQuanYi Zen Hei"/>
        <family val="2"/>
      </rPr>
      <t xml:space="preserve">〜</t>
    </r>
    <r>
      <rPr>
        <sz val="9"/>
        <rFont val="Meiryo UI"/>
        <family val="0"/>
        <charset val="1"/>
      </rPr>
      <t xml:space="preserve">1,500SET</t>
    </r>
    <r>
      <rPr>
        <sz val="9"/>
        <rFont val="WenQuanYi Zen Hei"/>
        <family val="2"/>
      </rPr>
      <t xml:space="preserve">（</t>
    </r>
    <r>
      <rPr>
        <sz val="9"/>
        <rFont val="Meiryo UI"/>
        <family val="0"/>
        <charset val="1"/>
      </rPr>
      <t xml:space="preserve">12,000</t>
    </r>
    <r>
      <rPr>
        <sz val="9"/>
        <rFont val="WenQuanYi Zen Hei"/>
        <family val="2"/>
      </rPr>
      <t xml:space="preserve">〜</t>
    </r>
    <r>
      <rPr>
        <sz val="9"/>
        <rFont val="Meiryo UI"/>
        <family val="0"/>
        <charset val="1"/>
      </rPr>
      <t xml:space="preserve">15,000</t>
    </r>
    <r>
      <rPr>
        <sz val="9"/>
        <rFont val="WenQuanYi Zen Hei"/>
        <family val="2"/>
      </rPr>
      <t xml:space="preserve">本）） ／ 賞味期限</t>
    </r>
    <r>
      <rPr>
        <sz val="9"/>
        <rFont val="Meiryo UI"/>
        <family val="0"/>
        <charset val="1"/>
      </rPr>
      <t xml:space="preserve">4</t>
    </r>
    <r>
      <rPr>
        <sz val="9"/>
        <rFont val="WenQuanYi Zen Hei"/>
        <family val="2"/>
      </rPr>
      <t xml:space="preserve">か月以内は販売不可。現在庫は金沢</t>
    </r>
    <r>
      <rPr>
        <sz val="9"/>
        <rFont val="Meiryo UI"/>
        <family val="0"/>
        <charset val="1"/>
      </rPr>
      <t xml:space="preserve">(</t>
    </r>
    <r>
      <rPr>
        <sz val="9"/>
        <rFont val="WenQuanYi Zen Hei"/>
        <family val="2"/>
      </rPr>
      <t xml:space="preserve">石川</t>
    </r>
    <r>
      <rPr>
        <sz val="9"/>
        <rFont val="Meiryo UI"/>
        <family val="0"/>
        <charset val="1"/>
      </rPr>
      <t xml:space="preserve">)</t>
    </r>
    <r>
      <rPr>
        <sz val="9"/>
        <rFont val="WenQuanYi Zen Hei"/>
        <family val="2"/>
      </rPr>
      <t xml:space="preserve">会場までが販売期限。金沢は</t>
    </r>
    <r>
      <rPr>
        <sz val="9"/>
        <rFont val="Meiryo UI"/>
        <family val="0"/>
        <charset val="1"/>
      </rPr>
      <t xml:space="preserve">8/25</t>
    </r>
    <r>
      <rPr>
        <sz val="9"/>
        <rFont val="WenQuanYi Zen Hei"/>
        <family val="2"/>
      </rPr>
      <t xml:space="preserve">時点で納品</t>
    </r>
    <r>
      <rPr>
        <sz val="9"/>
        <rFont val="Meiryo UI"/>
        <family val="0"/>
        <charset val="1"/>
      </rPr>
      <t xml:space="preserve">80</t>
    </r>
    <r>
      <rPr>
        <sz val="9"/>
        <rFont val="WenQuanYi Zen Hei"/>
        <family val="2"/>
      </rPr>
      <t xml:space="preserve">個が完売済みのため、倉庫に残る分は販売機会が無く廃棄リスク。仙台・神戸は現在庫では供給できず、</t>
    </r>
    <r>
      <rPr>
        <sz val="9"/>
        <rFont val="Meiryo UI"/>
        <family val="0"/>
        <charset val="1"/>
      </rPr>
      <t xml:space="preserve">9</t>
    </r>
    <r>
      <rPr>
        <sz val="9"/>
        <rFont val="WenQuanYi Zen Hei"/>
        <family val="2"/>
      </rPr>
      <t xml:space="preserve">月発注分（納品</t>
    </r>
    <r>
      <rPr>
        <sz val="9"/>
        <rFont val="Meiryo UI"/>
        <family val="0"/>
        <charset val="1"/>
      </rPr>
      <t xml:space="preserve">11/20</t>
    </r>
    <r>
      <rPr>
        <sz val="9"/>
        <rFont val="WenQuanYi Zen Hei"/>
        <family val="2"/>
      </rPr>
      <t xml:space="preserve">〜</t>
    </r>
    <r>
      <rPr>
        <sz val="9"/>
        <rFont val="Meiryo UI"/>
        <family val="0"/>
        <charset val="1"/>
      </rPr>
      <t xml:space="preserve">11/25</t>
    </r>
    <r>
      <rPr>
        <sz val="9"/>
        <rFont val="WenQuanYi Zen Hei"/>
        <family val="2"/>
      </rPr>
      <t xml:space="preserve">）は鳥取以降に充当する</t>
    </r>
  </si>
  <si>
    <r>
      <rPr>
        <sz val="9"/>
        <rFont val="WenQuanYi Zen Hei"/>
        <family val="2"/>
      </rPr>
      <t xml:space="preserve">元データ空欄のため虎杖と同条件（</t>
    </r>
    <r>
      <rPr>
        <sz val="9"/>
        <rFont val="Meiryo UI"/>
        <family val="0"/>
        <charset val="1"/>
      </rPr>
      <t xml:space="preserve">3</t>
    </r>
    <r>
      <rPr>
        <sz val="9"/>
        <rFont val="WenQuanYi Zen Hei"/>
        <family val="2"/>
      </rPr>
      <t xml:space="preserve">か月）と仮定。★要確認</t>
    </r>
  </si>
  <si>
    <t xml:space="preserve">■ 会場別 発注デッドライン早見</t>
  </si>
  <si>
    <t xml:space="preserve">会期初日</t>
  </si>
  <si>
    <r>
      <rPr>
        <b val="true"/>
        <sz val="9"/>
        <color rgb="FFFFFFFF"/>
        <rFont val="WenQuanYi Zen Hei"/>
        <family val="2"/>
      </rPr>
      <t xml:space="preserve">生産</t>
    </r>
    <r>
      <rPr>
        <b val="true"/>
        <sz val="9"/>
        <color rgb="FFFFFFFF"/>
        <rFont val="Meiryo UI"/>
        <family val="0"/>
        <charset val="1"/>
      </rPr>
      <t xml:space="preserve">1</t>
    </r>
    <r>
      <rPr>
        <b val="true"/>
        <sz val="9"/>
        <color rgb="FFFFFFFF"/>
        <rFont val="WenQuanYi Zen Hei"/>
        <family val="2"/>
      </rPr>
      <t xml:space="preserve">か月品
発注期限</t>
    </r>
  </si>
  <si>
    <r>
      <rPr>
        <b val="true"/>
        <sz val="9"/>
        <color rgb="FFFFFFFF"/>
        <rFont val="WenQuanYi Zen Hei"/>
        <family val="2"/>
      </rPr>
      <t xml:space="preserve">生産</t>
    </r>
    <r>
      <rPr>
        <b val="true"/>
        <sz val="9"/>
        <color rgb="FFFFFFFF"/>
        <rFont val="Meiryo UI"/>
        <family val="0"/>
        <charset val="1"/>
      </rPr>
      <t xml:space="preserve">2.5</t>
    </r>
    <r>
      <rPr>
        <b val="true"/>
        <sz val="9"/>
        <color rgb="FFFFFFFF"/>
        <rFont val="WenQuanYi Zen Hei"/>
        <family val="2"/>
      </rPr>
      <t xml:space="preserve">か月品
発注期限</t>
    </r>
  </si>
  <si>
    <r>
      <rPr>
        <b val="true"/>
        <sz val="9"/>
        <color rgb="FFFFFFFF"/>
        <rFont val="WenQuanYi Zen Hei"/>
        <family val="2"/>
      </rPr>
      <t xml:space="preserve">生産</t>
    </r>
    <r>
      <rPr>
        <b val="true"/>
        <sz val="9"/>
        <color rgb="FFFFFFFF"/>
        <rFont val="Meiryo UI"/>
        <family val="0"/>
        <charset val="1"/>
      </rPr>
      <t xml:space="preserve">3</t>
    </r>
    <r>
      <rPr>
        <b val="true"/>
        <sz val="9"/>
        <color rgb="FFFFFFFF"/>
        <rFont val="WenQuanYi Zen Hei"/>
        <family val="2"/>
      </rPr>
      <t xml:space="preserve">か月品
発注期限</t>
    </r>
  </si>
  <si>
    <r>
      <rPr>
        <b val="true"/>
        <sz val="9"/>
        <color rgb="FFFFFFFF"/>
        <rFont val="WenQuanYi Zen Hei"/>
        <family val="2"/>
      </rPr>
      <t xml:space="preserve">基準日からの残日数
</t>
    </r>
    <r>
      <rPr>
        <b val="true"/>
        <sz val="9"/>
        <color rgb="FFFFFFFF"/>
        <rFont val="Meiryo UI"/>
        <family val="0"/>
        <charset val="1"/>
      </rPr>
      <t xml:space="preserve">(3</t>
    </r>
    <r>
      <rPr>
        <b val="true"/>
        <sz val="9"/>
        <color rgb="FFFFFFFF"/>
        <rFont val="WenQuanYi Zen Hei"/>
        <family val="2"/>
      </rPr>
      <t xml:space="preserve">か月品</t>
    </r>
    <r>
      <rPr>
        <b val="true"/>
        <sz val="9"/>
        <color rgb="FFFFFFFF"/>
        <rFont val="Meiryo UI"/>
        <family val="0"/>
        <charset val="1"/>
      </rPr>
      <t xml:space="preserve">)</t>
    </r>
  </si>
  <si>
    <r>
      <rPr>
        <sz val="9"/>
        <rFont val="WenQuanYi Zen Hei"/>
        <family val="2"/>
      </rPr>
      <t xml:space="preserve">会期</t>
    </r>
    <r>
      <rPr>
        <sz val="9"/>
        <rFont val="Meiryo UI"/>
        <family val="0"/>
        <charset val="1"/>
      </rPr>
      <t xml:space="preserve">30</t>
    </r>
    <r>
      <rPr>
        <sz val="9"/>
        <rFont val="WenQuanYi Zen Hei"/>
        <family val="2"/>
      </rPr>
      <t xml:space="preserve">日間</t>
    </r>
  </si>
  <si>
    <r>
      <rPr>
        <sz val="9"/>
        <rFont val="WenQuanYi Zen Hei"/>
        <family val="2"/>
      </rPr>
      <t xml:space="preserve">会期</t>
    </r>
    <r>
      <rPr>
        <sz val="9"/>
        <rFont val="Meiryo UI"/>
        <family val="0"/>
        <charset val="1"/>
      </rPr>
      <t xml:space="preserve">21</t>
    </r>
    <r>
      <rPr>
        <sz val="9"/>
        <rFont val="WenQuanYi Zen Hei"/>
        <family val="2"/>
      </rPr>
      <t xml:space="preserve">日間</t>
    </r>
  </si>
  <si>
    <r>
      <rPr>
        <sz val="9"/>
        <rFont val="WenQuanYi Zen Hei"/>
        <family val="2"/>
      </rPr>
      <t xml:space="preserve">会期</t>
    </r>
    <r>
      <rPr>
        <sz val="9"/>
        <rFont val="Meiryo UI"/>
        <family val="0"/>
        <charset val="1"/>
      </rPr>
      <t xml:space="preserve">25</t>
    </r>
    <r>
      <rPr>
        <sz val="9"/>
        <rFont val="WenQuanYi Zen Hei"/>
        <family val="2"/>
      </rPr>
      <t xml:space="preserve">日間</t>
    </r>
  </si>
  <si>
    <t xml:space="preserve">■ 賞味期限のある商品／確定済み追加発注の売り切り管理</t>
  </si>
  <si>
    <t xml:space="preserve">「発注数の消化率」は全会期（東京凱旋）が終わった時点の累計。会場ごとの到達度は右側の「累計消化率 ○○終了時」列で確認する</t>
  </si>
  <si>
    <t xml:space="preserve">現在庫で賞味期限が
持つ最後の会場</t>
  </si>
  <si>
    <t xml:space="preserve">その会場までの
必要数</t>
  </si>
  <si>
    <t xml:space="preserve">会期内に売り切れ
なかった場合の残</t>
  </si>
  <si>
    <r>
      <rPr>
        <b val="true"/>
        <sz val="9"/>
        <color rgb="FFFFFFFF"/>
        <rFont val="WenQuanYi Zen Hei"/>
        <family val="2"/>
      </rPr>
      <t xml:space="preserve">廃棄見込金額
</t>
    </r>
    <r>
      <rPr>
        <b val="true"/>
        <sz val="9"/>
        <color rgb="FFFFFFFF"/>
        <rFont val="Meiryo UI"/>
        <family val="0"/>
        <charset val="1"/>
      </rPr>
      <t xml:space="preserve">(</t>
    </r>
    <r>
      <rPr>
        <b val="true"/>
        <sz val="9"/>
        <color rgb="FFFFFFFF"/>
        <rFont val="WenQuanYi Zen Hei"/>
        <family val="2"/>
      </rPr>
      <t xml:space="preserve">上代</t>
    </r>
    <r>
      <rPr>
        <b val="true"/>
        <sz val="9"/>
        <color rgb="FFFFFFFF"/>
        <rFont val="Meiryo UI"/>
        <family val="0"/>
        <charset val="1"/>
      </rPr>
      <t xml:space="preserve">)</t>
    </r>
  </si>
  <si>
    <t xml:space="preserve">確定発注</t>
  </si>
  <si>
    <t xml:space="preserve">入荷会場</t>
  </si>
  <si>
    <t xml:space="preserve">入荷後の必要数</t>
  </si>
  <si>
    <r>
      <rPr>
        <b val="true"/>
        <sz val="9"/>
        <color rgb="FFFFFFFF"/>
        <rFont val="WenQuanYi Zen Hei"/>
        <family val="2"/>
      </rPr>
      <t xml:space="preserve">発注数の消化率
</t>
    </r>
    <r>
      <rPr>
        <b val="true"/>
        <sz val="9"/>
        <color rgb="FFFFFFFF"/>
        <rFont val="Meiryo UI"/>
        <family val="0"/>
        <charset val="1"/>
      </rPr>
      <t xml:space="preserve">(</t>
    </r>
    <r>
      <rPr>
        <b val="true"/>
        <sz val="9"/>
        <color rgb="FFFFFFFF"/>
        <rFont val="WenQuanYi Zen Hei"/>
        <family val="2"/>
      </rPr>
      <t xml:space="preserve">全会期終了時</t>
    </r>
    <r>
      <rPr>
        <b val="true"/>
        <sz val="9"/>
        <color rgb="FFFFFFFF"/>
        <rFont val="Meiryo UI"/>
        <family val="0"/>
        <charset val="1"/>
      </rPr>
      <t xml:space="preserve">)</t>
    </r>
  </si>
  <si>
    <t xml:space="preserve">過剰見込</t>
  </si>
  <si>
    <t xml:space="preserve">累計消化率
仙台終了時</t>
  </si>
  <si>
    <t xml:space="preserve">累計消化率
神戸阪急終了時</t>
  </si>
  <si>
    <t xml:space="preserve">累計消化率
鳥取島根終了時</t>
  </si>
  <si>
    <t xml:space="preserve">累計消化率
東京凱旋終了時</t>
  </si>
  <si>
    <t xml:space="preserve">打ち手</t>
  </si>
  <si>
    <t xml:space="preserve">石川 香林坊大和</t>
  </si>
  <si>
    <t xml:space="preserve">1,200SET</t>
  </si>
  <si>
    <r>
      <rPr>
        <sz val="9"/>
        <rFont val="WenQuanYi Zen Hei"/>
        <family val="2"/>
      </rPr>
      <t xml:space="preserve">★石川で賞味期限切れ。仙台以降では販売できないため、現在庫</t>
    </r>
    <r>
      <rPr>
        <sz val="9"/>
        <rFont val="Meiryo UI"/>
        <family val="0"/>
        <charset val="1"/>
      </rPr>
      <t xml:space="preserve">68</t>
    </r>
    <r>
      <rPr>
        <sz val="9"/>
        <rFont val="WenQuanYi Zen Hei"/>
        <family val="2"/>
      </rPr>
      <t xml:space="preserve">個は全量が廃棄見込。返品・社内販売・ノベルティ転用など消化策の検討が必要 ／ 確定発注</t>
    </r>
    <r>
      <rPr>
        <sz val="9"/>
        <rFont val="Meiryo UI"/>
        <family val="0"/>
        <charset val="1"/>
      </rPr>
      <t xml:space="preserve">1,200SET</t>
    </r>
    <r>
      <rPr>
        <sz val="9"/>
        <rFont val="WenQuanYi Zen Hei"/>
        <family val="2"/>
      </rPr>
      <t xml:space="preserve">は最低ロット。消化率が</t>
    </r>
    <r>
      <rPr>
        <sz val="9"/>
        <rFont val="Meiryo UI"/>
        <family val="0"/>
        <charset val="1"/>
      </rPr>
      <t xml:space="preserve">9</t>
    </r>
    <r>
      <rPr>
        <sz val="9"/>
        <rFont val="WenQuanYi Zen Hei"/>
        <family val="2"/>
      </rPr>
      <t xml:space="preserve">割超なら妥当、下回るなら会場配分の再検討</t>
    </r>
  </si>
  <si>
    <t xml:space="preserve">■ 結論</t>
  </si>
  <si>
    <t xml:space="preserve">石川会期中の対応</t>
  </si>
  <si>
    <r>
      <rPr>
        <sz val="9"/>
        <rFont val="WenQuanYi Zen Hei"/>
        <family val="2"/>
      </rPr>
      <t xml:space="preserve">会期中の不足は</t>
    </r>
    <r>
      <rPr>
        <sz val="9"/>
        <rFont val="Meiryo UI"/>
        <family val="0"/>
        <charset val="1"/>
      </rPr>
      <t xml:space="preserve">33</t>
    </r>
    <r>
      <rPr>
        <sz val="9"/>
        <rFont val="WenQuanYi Zen Hei"/>
        <family val="2"/>
      </rPr>
      <t xml:space="preserve">個。倉庫在庫から追納できる分は追加生産に含めていない。</t>
    </r>
  </si>
  <si>
    <t xml:space="preserve">仙台以降の考え方</t>
  </si>
  <si>
    <t xml:space="preserve">まず既存在庫を会場順に引き当て、在庫が尽きた会場で初めて追加発注を検討する。</t>
  </si>
  <si>
    <t xml:space="preserve">その会場の会期初日から生産日数＋バッファを逆算した日が「最終発注期限」となる。</t>
  </si>
  <si>
    <t xml:space="preserve">緊急度の判定</t>
  </si>
  <si>
    <r>
      <rPr>
        <sz val="9"/>
        <rFont val="WenQuanYi Zen Hei"/>
        <family val="2"/>
      </rPr>
      <t xml:space="preserve">★期限超過＝すでに間に合わない／★至急＝</t>
    </r>
    <r>
      <rPr>
        <sz val="9"/>
        <rFont val="Meiryo UI"/>
        <family val="0"/>
        <charset val="1"/>
      </rPr>
      <t xml:space="preserve">30</t>
    </r>
    <r>
      <rPr>
        <sz val="9"/>
        <rFont val="WenQuanYi Zen Hei"/>
        <family val="2"/>
      </rPr>
      <t xml:space="preserve">日以内／要着手＝</t>
    </r>
    <r>
      <rPr>
        <sz val="9"/>
        <rFont val="Meiryo UI"/>
        <family val="0"/>
        <charset val="1"/>
      </rPr>
      <t xml:space="preserve">90</t>
    </r>
    <r>
      <rPr>
        <sz val="9"/>
        <rFont val="WenQuanYi Zen Hei"/>
        <family val="2"/>
      </rPr>
      <t xml:space="preserve">日以内／余裕あり＝</t>
    </r>
    <r>
      <rPr>
        <sz val="9"/>
        <rFont val="Meiryo UI"/>
        <family val="0"/>
        <charset val="1"/>
      </rPr>
      <t xml:space="preserve">91</t>
    </r>
    <r>
      <rPr>
        <sz val="9"/>
        <rFont val="WenQuanYi Zen Hei"/>
        <family val="2"/>
      </rPr>
      <t xml:space="preserve">日以上。</t>
    </r>
  </si>
  <si>
    <t xml:space="preserve">生産日数の変動リスク</t>
  </si>
  <si>
    <r>
      <rPr>
        <sz val="9"/>
        <rFont val="Meiryo UI"/>
        <family val="0"/>
        <charset val="1"/>
      </rPr>
      <t xml:space="preserve">2026/7/28</t>
    </r>
    <r>
      <rPr>
        <sz val="9"/>
        <rFont val="WenQuanYi Zen Hei"/>
        <family val="2"/>
      </rPr>
      <t xml:space="preserve">時点の提示値。物価高騰・素材</t>
    </r>
    <r>
      <rPr>
        <sz val="9"/>
        <rFont val="Meiryo UI"/>
        <family val="0"/>
        <charset val="1"/>
      </rPr>
      <t xml:space="preserve">/</t>
    </r>
    <r>
      <rPr>
        <sz val="9"/>
        <rFont val="WenQuanYi Zen Hei"/>
        <family val="2"/>
      </rPr>
      <t xml:space="preserve">材料の入手困難により変動しうるため、</t>
    </r>
  </si>
  <si>
    <r>
      <rPr>
        <sz val="9"/>
        <rFont val="WenQuanYi Zen Hei"/>
        <family val="2"/>
      </rPr>
      <t xml:space="preserve">実際の発注判断では期限に対して</t>
    </r>
    <r>
      <rPr>
        <sz val="9"/>
        <rFont val="Meiryo UI"/>
        <family val="0"/>
        <charset val="1"/>
      </rPr>
      <t xml:space="preserve">30</t>
    </r>
    <r>
      <rPr>
        <sz val="9"/>
        <rFont val="WenQuanYi Zen Hei"/>
        <family val="2"/>
      </rPr>
      <t xml:space="preserve">日程度の余裕を見込むことを推奨。</t>
    </r>
  </si>
  <si>
    <r>
      <rPr>
        <sz val="9"/>
        <rFont val="WenQuanYi Zen Hei"/>
        <family val="2"/>
      </rPr>
      <t xml:space="preserve">宿儺の指風お菓子：賞味期限</t>
    </r>
    <r>
      <rPr>
        <sz val="9"/>
        <rFont val="Meiryo UI"/>
        <family val="0"/>
        <charset val="1"/>
      </rPr>
      <t xml:space="preserve">4</t>
    </r>
    <r>
      <rPr>
        <sz val="9"/>
        <rFont val="WenQuanYi Zen Hei"/>
        <family val="2"/>
      </rPr>
      <t xml:space="preserve">か月以内は販売不可。現在庫は金沢</t>
    </r>
    <r>
      <rPr>
        <sz val="9"/>
        <rFont val="Meiryo UI"/>
        <family val="0"/>
        <charset val="1"/>
      </rPr>
      <t xml:space="preserve">(</t>
    </r>
    <r>
      <rPr>
        <sz val="9"/>
        <rFont val="WenQuanYi Zen Hei"/>
        <family val="2"/>
      </rPr>
      <t xml:space="preserve">石川</t>
    </r>
    <r>
      <rPr>
        <sz val="9"/>
        <rFont val="Meiryo UI"/>
        <family val="0"/>
        <charset val="1"/>
      </rPr>
      <t xml:space="preserve">)</t>
    </r>
    <r>
      <rPr>
        <sz val="9"/>
        <rFont val="WenQuanYi Zen Hei"/>
        <family val="2"/>
      </rPr>
      <t xml:space="preserve">会場までが販売期限。金沢は</t>
    </r>
    <r>
      <rPr>
        <sz val="9"/>
        <rFont val="Meiryo UI"/>
        <family val="0"/>
        <charset val="1"/>
      </rPr>
      <t xml:space="preserve">8/25</t>
    </r>
    <r>
      <rPr>
        <sz val="9"/>
        <rFont val="WenQuanYi Zen Hei"/>
        <family val="2"/>
      </rPr>
      <t xml:space="preserve">時点で納品</t>
    </r>
    <r>
      <rPr>
        <sz val="9"/>
        <rFont val="Meiryo UI"/>
        <family val="0"/>
        <charset val="1"/>
      </rPr>
      <t xml:space="preserve">80</t>
    </r>
    <r>
      <rPr>
        <sz val="9"/>
        <rFont val="WenQuanYi Zen Hei"/>
        <family val="2"/>
      </rPr>
      <t xml:space="preserve">個が完売済みのため、倉庫に残る分は販売機会が無く廃棄リスク。仙台・神戸は現在庫では供給できず、</t>
    </r>
    <r>
      <rPr>
        <sz val="9"/>
        <rFont val="Meiryo UI"/>
        <family val="0"/>
        <charset val="1"/>
      </rPr>
      <t xml:space="preserve">9</t>
    </r>
    <r>
      <rPr>
        <sz val="9"/>
        <rFont val="WenQuanYi Zen Hei"/>
        <family val="2"/>
      </rPr>
      <t xml:space="preserve">月発注分（納品</t>
    </r>
    <r>
      <rPr>
        <sz val="9"/>
        <rFont val="Meiryo UI"/>
        <family val="0"/>
        <charset val="1"/>
      </rPr>
      <t xml:space="preserve">11/20</t>
    </r>
    <r>
      <rPr>
        <sz val="9"/>
        <rFont val="WenQuanYi Zen Hei"/>
        <family val="2"/>
      </rPr>
      <t xml:space="preserve">〜</t>
    </r>
    <r>
      <rPr>
        <sz val="9"/>
        <rFont val="Meiryo UI"/>
        <family val="0"/>
        <charset val="1"/>
      </rPr>
      <t xml:space="preserve">11/25</t>
    </r>
    <r>
      <rPr>
        <sz val="9"/>
        <rFont val="WenQuanYi Zen Hei"/>
        <family val="2"/>
      </rPr>
      <t xml:space="preserve">）は鳥取以降に充当する</t>
    </r>
  </si>
  <si>
    <r>
      <rPr>
        <sz val="9"/>
        <rFont val="WenQuanYi Zen Hei"/>
        <family val="2"/>
      </rPr>
      <t xml:space="preserve">仙台以降向けは</t>
    </r>
    <r>
      <rPr>
        <sz val="9"/>
        <rFont val="Meiryo UI"/>
        <family val="0"/>
        <charset val="1"/>
      </rPr>
      <t xml:space="preserve">1,200SET(12,000</t>
    </r>
    <r>
      <rPr>
        <sz val="9"/>
        <rFont val="WenQuanYi Zen Hei"/>
        <family val="2"/>
      </rPr>
      <t xml:space="preserve">本</t>
    </r>
    <r>
      <rPr>
        <sz val="9"/>
        <rFont val="Meiryo UI"/>
        <family val="0"/>
        <charset val="1"/>
      </rPr>
      <t xml:space="preserve">)</t>
    </r>
    <r>
      <rPr>
        <sz val="9"/>
        <rFont val="WenQuanYi Zen Hei"/>
        <family val="2"/>
      </rPr>
      <t xml:space="preserve">で発注確定済み。最低ロットのため数量調整の余地はない。</t>
    </r>
  </si>
  <si>
    <r>
      <rPr>
        <sz val="9"/>
        <rFont val="WenQuanYi Zen Hei"/>
        <family val="2"/>
      </rPr>
      <t xml:space="preserve">東京凱旋</t>
    </r>
    <r>
      <rPr>
        <sz val="9"/>
        <rFont val="Meiryo UI"/>
        <family val="0"/>
        <charset val="1"/>
      </rPr>
      <t xml:space="preserve">(27</t>
    </r>
    <r>
      <rPr>
        <sz val="9"/>
        <rFont val="WenQuanYi Zen Hei"/>
        <family val="2"/>
      </rPr>
      <t xml:space="preserve">年</t>
    </r>
    <r>
      <rPr>
        <sz val="9"/>
        <rFont val="Meiryo UI"/>
        <family val="0"/>
        <charset val="1"/>
      </rPr>
      <t xml:space="preserve">4</t>
    </r>
    <r>
      <rPr>
        <sz val="9"/>
        <rFont val="WenQuanYi Zen Hei"/>
        <family val="2"/>
      </rPr>
      <t xml:space="preserve">月</t>
    </r>
    <r>
      <rPr>
        <sz val="9"/>
        <rFont val="Meiryo UI"/>
        <family val="0"/>
        <charset val="1"/>
      </rPr>
      <t xml:space="preserve">)</t>
    </r>
    <r>
      <rPr>
        <sz val="9"/>
        <rFont val="WenQuanYi Zen Hei"/>
        <family val="2"/>
      </rPr>
      <t xml:space="preserve">まで賞味期限が持つか、製造日から逆算した確認が必要。</t>
    </r>
  </si>
  <si>
    <t xml:space="preserve">再生産不可品</t>
  </si>
  <si>
    <t xml:space="preserve">虚式『茈』バスボールは生産日数が「－」＝再生産不可。現有在庫の範囲で会場配分を組む必要がある。</t>
  </si>
  <si>
    <r>
      <rPr>
        <b val="true"/>
        <sz val="15"/>
        <color rgb="FF1F3864"/>
        <rFont val="WenQuanYi Zen Hei"/>
        <family val="2"/>
      </rPr>
      <t xml:space="preserve">⑫ 計算ロジック解説 ― 各シート・各列の計算式（</t>
    </r>
    <r>
      <rPr>
        <b val="true"/>
        <sz val="15"/>
        <color rgb="FF1F3864"/>
        <rFont val="Meiryo UI"/>
        <family val="0"/>
        <charset val="1"/>
      </rPr>
      <t xml:space="preserve">Excel</t>
    </r>
    <r>
      <rPr>
        <b val="true"/>
        <sz val="15"/>
        <color rgb="FF1F3864"/>
        <rFont val="WenQuanYi Zen Hei"/>
        <family val="2"/>
      </rPr>
      <t xml:space="preserve">関数）と実例</t>
    </r>
  </si>
  <si>
    <r>
      <rPr>
        <sz val="8"/>
        <color rgb="FF555555"/>
        <rFont val="WenQuanYi Zen Hei"/>
        <family val="2"/>
      </rPr>
      <t xml:space="preserve">実例はすべて </t>
    </r>
    <r>
      <rPr>
        <sz val="8"/>
        <color rgb="FF555555"/>
        <rFont val="Meiryo UI"/>
        <family val="0"/>
        <charset val="1"/>
      </rPr>
      <t xml:space="preserve">No.1</t>
    </r>
    <r>
      <rPr>
        <sz val="8"/>
        <color rgb="FF555555"/>
        <rFont val="WenQuanYi Zen Hei"/>
        <family val="2"/>
      </rPr>
      <t xml:space="preserve">「呪術廻戦 メタリックポストカード 展示会キービジュアル」（税込</t>
    </r>
    <r>
      <rPr>
        <sz val="8"/>
        <color rgb="FF555555"/>
        <rFont val="Meiryo UI"/>
        <family val="0"/>
        <charset val="1"/>
      </rPr>
      <t xml:space="preserve">500</t>
    </r>
    <r>
      <rPr>
        <sz val="8"/>
        <color rgb="FF555555"/>
        <rFont val="WenQuanYi Zen Hei"/>
        <family val="2"/>
      </rPr>
      <t xml:space="preserve">円）の行の値。「前提・入力」シートの青字セルを変えると下記の数式が連動して再計算される。</t>
    </r>
  </si>
  <si>
    <r>
      <rPr>
        <sz val="8"/>
        <color rgb="FF555555"/>
        <rFont val="WenQuanYi Zen Hei"/>
        <family val="2"/>
      </rPr>
      <t xml:space="preserve">セル・列の位置は生成時のレイアウトから自動取得しているため、列を追加しても解説はずれない。数式中の </t>
    </r>
    <r>
      <rPr>
        <sz val="8"/>
        <color rgb="FF555555"/>
        <rFont val="Meiryo UI"/>
        <family val="0"/>
        <charset val="1"/>
      </rPr>
      <t xml:space="preserve">_xlfn. </t>
    </r>
    <r>
      <rPr>
        <sz val="8"/>
        <color rgb="FF555555"/>
        <rFont val="WenQuanYi Zen Hei"/>
        <family val="2"/>
      </rPr>
      <t xml:space="preserve">は </t>
    </r>
    <r>
      <rPr>
        <sz val="8"/>
        <color rgb="FF555555"/>
        <rFont val="Meiryo UI"/>
        <family val="0"/>
        <charset val="1"/>
      </rPr>
      <t xml:space="preserve">Excel2007</t>
    </r>
    <r>
      <rPr>
        <sz val="8"/>
        <color rgb="FF555555"/>
        <rFont val="WenQuanYi Zen Hei"/>
        <family val="2"/>
      </rPr>
      <t xml:space="preserve">以降の関数を示す内部接頭辞のため、表示上は省いている。</t>
    </r>
  </si>
  <si>
    <t xml:space="preserve">シート</t>
  </si>
  <si>
    <t xml:space="preserve">セル／列</t>
  </si>
  <si>
    <r>
      <rPr>
        <b val="true"/>
        <sz val="11"/>
        <color rgb="FFFFFFFF"/>
        <rFont val="WenQuanYi Zen Hei"/>
        <family val="2"/>
      </rPr>
      <t xml:space="preserve">計算式（</t>
    </r>
    <r>
      <rPr>
        <b val="true"/>
        <sz val="11"/>
        <color rgb="FFFFFFFF"/>
        <rFont val="Meiryo UI"/>
        <family val="0"/>
        <charset val="1"/>
      </rPr>
      <t xml:space="preserve">Excel</t>
    </r>
    <r>
      <rPr>
        <b val="true"/>
        <sz val="11"/>
        <color rgb="FFFFFFFF"/>
        <rFont val="WenQuanYi Zen Hei"/>
        <family val="2"/>
      </rPr>
      <t xml:space="preserve">関数）</t>
    </r>
  </si>
  <si>
    <r>
      <rPr>
        <b val="true"/>
        <sz val="11"/>
        <color rgb="FFFFFFFF"/>
        <rFont val="WenQuanYi Zen Hei"/>
        <family val="2"/>
      </rPr>
      <t xml:space="preserve">実例（</t>
    </r>
    <r>
      <rPr>
        <b val="true"/>
        <sz val="11"/>
        <color rgb="FFFFFFFF"/>
        <rFont val="Meiryo UI"/>
        <family val="0"/>
        <charset val="1"/>
      </rPr>
      <t xml:space="preserve">No.1</t>
    </r>
    <r>
      <rPr>
        <b val="true"/>
        <sz val="11"/>
        <color rgb="FFFFFFFF"/>
        <rFont val="WenQuanYi Zen Hei"/>
        <family val="2"/>
      </rPr>
      <t xml:space="preserve">）</t>
    </r>
  </si>
  <si>
    <t xml:space="preserve">参照元・補足</t>
  </si>
  <si>
    <r>
      <rPr>
        <b val="true"/>
        <sz val="10"/>
        <color rgb="FFFFFFFF"/>
        <rFont val="WenQuanYi Zen Hei"/>
        <family val="2"/>
      </rPr>
      <t xml:space="preserve">■ 前提・入力（青字・黄色セルが入力値。</t>
    </r>
    <r>
      <rPr>
        <b val="true"/>
        <sz val="10"/>
        <color rgb="FFFFFFFF"/>
        <rFont val="Meiryo UI"/>
        <family val="0"/>
        <charset val="1"/>
      </rPr>
      <t xml:space="preserve">C</t>
    </r>
    <r>
      <rPr>
        <b val="true"/>
        <sz val="10"/>
        <color rgb="FFFFFFFF"/>
        <rFont val="WenQuanYi Zen Hei"/>
        <family val="2"/>
      </rPr>
      <t xml:space="preserve">列に各パラメータの意味・算出・根拠を記載）</t>
    </r>
  </si>
  <si>
    <r>
      <rPr>
        <sz val="9"/>
        <rFont val="WenQuanYi Zen Hei"/>
        <family val="2"/>
      </rPr>
      <t xml:space="preserve">黄色セル（</t>
    </r>
    <r>
      <rPr>
        <sz val="9"/>
        <rFont val="Meiryo UI"/>
        <family val="0"/>
        <charset val="1"/>
      </rPr>
      <t xml:space="preserve">B5 </t>
    </r>
    <r>
      <rPr>
        <sz val="9"/>
        <rFont val="WenQuanYi Zen Hei"/>
        <family val="2"/>
      </rPr>
      <t xml:space="preserve">ほか）</t>
    </r>
  </si>
  <si>
    <t xml:space="preserve">手入力の前提値</t>
  </si>
  <si>
    <t xml:space="preserve">（数式なし。直接入力する）</t>
  </si>
  <si>
    <r>
      <rPr>
        <sz val="9"/>
        <rFont val="WenQuanYi Zen Hei"/>
        <family val="2"/>
      </rPr>
      <t xml:space="preserve">例）</t>
    </r>
    <r>
      <rPr>
        <sz val="9"/>
        <rFont val="Meiryo UI"/>
        <family val="0"/>
        <charset val="1"/>
      </rPr>
      <t xml:space="preserve">B31</t>
    </r>
    <r>
      <rPr>
        <sz val="9"/>
        <rFont val="WenQuanYi Zen Hei"/>
        <family val="2"/>
      </rPr>
      <t xml:space="preserve">＝</t>
    </r>
    <r>
      <rPr>
        <sz val="9"/>
        <rFont val="Meiryo UI"/>
        <family val="0"/>
        <charset val="1"/>
      </rPr>
      <t xml:space="preserve">50%</t>
    </r>
    <r>
      <rPr>
        <sz val="9"/>
        <rFont val="WenQuanYi Zen Hei"/>
        <family val="2"/>
      </rPr>
      <t xml:space="preserve">（大阪の按分ウェイト）</t>
    </r>
  </si>
  <si>
    <t xml:space="preserve">ここを変えると①③④⑤⑧⑩⑪が一斉に再計算される</t>
  </si>
  <si>
    <t xml:space="preserve">B23:B26</t>
  </si>
  <si>
    <t xml:space="preserve">東京対比 会場比率（シナリオ連動）</t>
  </si>
  <si>
    <r>
      <rPr>
        <sz val="9"/>
        <rFont val="Meiryo UI"/>
        <family val="0"/>
        <charset val="1"/>
      </rPr>
      <t xml:space="preserve">=INDEX(C17:F17,'</t>
    </r>
    <r>
      <rPr>
        <sz val="9"/>
        <rFont val="WenQuanYi Zen Hei"/>
        <family val="2"/>
      </rPr>
      <t xml:space="preserve">前提・入力</t>
    </r>
    <r>
      <rPr>
        <sz val="9"/>
        <rFont val="Meiryo UI"/>
        <family val="0"/>
        <charset val="1"/>
      </rPr>
      <t xml:space="preserve">'!$B15)</t>
    </r>
  </si>
  <si>
    <r>
      <rPr>
        <sz val="9"/>
        <rFont val="Meiryo UI"/>
        <family val="0"/>
        <charset val="1"/>
      </rPr>
      <t xml:space="preserve">B15</t>
    </r>
    <r>
      <rPr>
        <sz val="9"/>
        <rFont val="WenQuanYi Zen Hei"/>
        <family val="2"/>
      </rPr>
      <t xml:space="preserve">＝</t>
    </r>
    <r>
      <rPr>
        <sz val="9"/>
        <rFont val="Meiryo UI"/>
        <family val="0"/>
        <charset val="1"/>
      </rPr>
      <t xml:space="preserve">1 → C17 </t>
    </r>
    <r>
      <rPr>
        <sz val="9"/>
        <rFont val="WenQuanYi Zen Hei"/>
        <family val="2"/>
      </rPr>
      <t xml:space="preserve">の </t>
    </r>
    <r>
      <rPr>
        <sz val="9"/>
        <rFont val="Meiryo UI"/>
        <family val="0"/>
        <charset val="1"/>
      </rPr>
      <t xml:space="preserve">13.0%</t>
    </r>
    <r>
      <rPr>
        <sz val="9"/>
        <rFont val="WenQuanYi Zen Hei"/>
        <family val="2"/>
      </rPr>
      <t xml:space="preserve">（仙台 </t>
    </r>
    <r>
      <rPr>
        <sz val="9"/>
        <rFont val="Meiryo UI"/>
        <family val="0"/>
        <charset val="1"/>
      </rPr>
      <t xml:space="preserve">Ebeans</t>
    </r>
    <r>
      <rPr>
        <sz val="9"/>
        <rFont val="WenQuanYi Zen Hei"/>
        <family val="2"/>
      </rPr>
      <t xml:space="preserve">）を取得</t>
    </r>
  </si>
  <si>
    <r>
      <rPr>
        <sz val="9"/>
        <rFont val="Meiryo UI"/>
        <family val="0"/>
        <charset val="1"/>
      </rPr>
      <t xml:space="preserve">B15 </t>
    </r>
    <r>
      <rPr>
        <sz val="9"/>
        <rFont val="WenQuanYi Zen Hei"/>
        <family val="2"/>
      </rPr>
      <t xml:space="preserve">で①〜④を切替。</t>
    </r>
    <r>
      <rPr>
        <sz val="9"/>
        <rFont val="Meiryo UI"/>
        <family val="0"/>
        <charset val="1"/>
      </rPr>
      <t xml:space="preserve">4</t>
    </r>
    <r>
      <rPr>
        <sz val="9"/>
        <rFont val="WenQuanYi Zen Hei"/>
        <family val="2"/>
      </rPr>
      <t xml:space="preserve">案の結果比較は⑩会場比率シナリオ比較</t>
    </r>
  </si>
  <si>
    <r>
      <rPr>
        <b val="true"/>
        <sz val="10"/>
        <color rgb="FFFFFFFF"/>
        <rFont val="WenQuanYi Zen Hei"/>
        <family val="2"/>
      </rPr>
      <t xml:space="preserve">■ ①石川予測確定（</t>
    </r>
    <r>
      <rPr>
        <b val="true"/>
        <sz val="10"/>
        <color rgb="FFFFFFFF"/>
        <rFont val="Meiryo UI"/>
        <family val="0"/>
        <charset val="1"/>
      </rPr>
      <t xml:space="preserve">6</t>
    </r>
    <r>
      <rPr>
        <b val="true"/>
        <sz val="10"/>
        <color rgb="FFFFFFFF"/>
        <rFont val="WenQuanYi Zen Hei"/>
        <family val="2"/>
      </rPr>
      <t xml:space="preserve">行目＝見出し、</t>
    </r>
    <r>
      <rPr>
        <b val="true"/>
        <sz val="10"/>
        <color rgb="FFFFFFFF"/>
        <rFont val="Meiryo UI"/>
        <family val="0"/>
        <charset val="1"/>
      </rPr>
      <t xml:space="preserve">7</t>
    </r>
    <r>
      <rPr>
        <b val="true"/>
        <sz val="10"/>
        <color rgb="FFFFFFFF"/>
        <rFont val="WenQuanYi Zen Hei"/>
        <family val="2"/>
      </rPr>
      <t xml:space="preserve">〜</t>
    </r>
    <r>
      <rPr>
        <b val="true"/>
        <sz val="10"/>
        <color rgb="FFFFFFFF"/>
        <rFont val="Meiryo UI"/>
        <family val="0"/>
        <charset val="1"/>
      </rPr>
      <t xml:space="preserve">48</t>
    </r>
    <r>
      <rPr>
        <b val="true"/>
        <sz val="10"/>
        <color rgb="FFFFFFFF"/>
        <rFont val="WenQuanYi Zen Hei"/>
        <family val="2"/>
      </rPr>
      <t xml:space="preserve">行＝商品、</t>
    </r>
    <r>
      <rPr>
        <b val="true"/>
        <sz val="10"/>
        <color rgb="FFFFFFFF"/>
        <rFont val="Meiryo UI"/>
        <family val="0"/>
        <charset val="1"/>
      </rPr>
      <t xml:space="preserve">49</t>
    </r>
    <r>
      <rPr>
        <b val="true"/>
        <sz val="10"/>
        <color rgb="FFFFFFFF"/>
        <rFont val="WenQuanYi Zen Hei"/>
        <family val="2"/>
      </rPr>
      <t xml:space="preserve">行＝合計）</t>
    </r>
  </si>
  <si>
    <r>
      <rPr>
        <sz val="9"/>
        <rFont val="Meiryo UI"/>
        <family val="0"/>
        <charset val="1"/>
      </rPr>
      <t xml:space="preserve">E</t>
    </r>
    <r>
      <rPr>
        <sz val="9"/>
        <rFont val="WenQuanYi Zen Hei"/>
        <family val="2"/>
      </rPr>
      <t xml:space="preserve">〜</t>
    </r>
    <r>
      <rPr>
        <sz val="9"/>
        <rFont val="Meiryo UI"/>
        <family val="0"/>
        <charset val="1"/>
      </rPr>
      <t xml:space="preserve">J</t>
    </r>
    <r>
      <rPr>
        <sz val="9"/>
        <rFont val="WenQuanYi Zen Hei"/>
        <family val="2"/>
      </rPr>
      <t xml:space="preserve">列</t>
    </r>
  </si>
  <si>
    <t xml:space="preserve">各会場の実績販売数</t>
  </si>
  <si>
    <r>
      <rPr>
        <sz val="9"/>
        <rFont val="WenQuanYi Zen Hei"/>
        <family val="2"/>
      </rPr>
      <t xml:space="preserve">（数式なし＝</t>
    </r>
    <r>
      <rPr>
        <sz val="9"/>
        <rFont val="Meiryo UI"/>
        <family val="0"/>
        <charset val="1"/>
      </rPr>
      <t xml:space="preserve">POS</t>
    </r>
    <r>
      <rPr>
        <sz val="9"/>
        <rFont val="WenQuanYi Zen Hei"/>
        <family val="2"/>
      </rPr>
      <t xml:space="preserve">データ実績の直接入力）</t>
    </r>
  </si>
  <si>
    <r>
      <rPr>
        <sz val="9"/>
        <rFont val="WenQuanYi Zen Hei"/>
        <family val="2"/>
      </rPr>
      <t xml:space="preserve">石川初</t>
    </r>
    <r>
      <rPr>
        <sz val="9"/>
        <rFont val="Meiryo UI"/>
        <family val="0"/>
        <charset val="1"/>
      </rPr>
      <t xml:space="preserve">12</t>
    </r>
    <r>
      <rPr>
        <sz val="9"/>
        <rFont val="WenQuanYi Zen Hei"/>
        <family val="2"/>
      </rPr>
      <t xml:space="preserve">日 </t>
    </r>
    <r>
      <rPr>
        <sz val="9"/>
        <rFont val="Meiryo UI"/>
        <family val="0"/>
        <charset val="1"/>
      </rPr>
      <t xml:space="preserve">210</t>
    </r>
    <r>
      <rPr>
        <sz val="9"/>
        <rFont val="WenQuanYi Zen Hei"/>
        <family val="2"/>
      </rPr>
      <t xml:space="preserve">／名古屋 </t>
    </r>
    <r>
      <rPr>
        <sz val="9"/>
        <rFont val="Meiryo UI"/>
        <family val="0"/>
        <charset val="1"/>
      </rPr>
      <t xml:space="preserve">1,047</t>
    </r>
    <r>
      <rPr>
        <sz val="9"/>
        <rFont val="WenQuanYi Zen Hei"/>
        <family val="2"/>
      </rPr>
      <t xml:space="preserve">・</t>
    </r>
    <r>
      <rPr>
        <sz val="9"/>
        <rFont val="Meiryo UI"/>
        <family val="0"/>
        <charset val="1"/>
      </rPr>
      <t xml:space="preserve">1,316</t>
    </r>
    <r>
      <rPr>
        <sz val="9"/>
        <rFont val="WenQuanYi Zen Hei"/>
        <family val="2"/>
      </rPr>
      <t xml:space="preserve">／博多 </t>
    </r>
    <r>
      <rPr>
        <sz val="9"/>
        <rFont val="Meiryo UI"/>
        <family val="0"/>
        <charset val="1"/>
      </rPr>
      <t xml:space="preserve">719</t>
    </r>
    <r>
      <rPr>
        <sz val="9"/>
        <rFont val="WenQuanYi Zen Hei"/>
        <family val="2"/>
      </rPr>
      <t xml:space="preserve">・</t>
    </r>
    <r>
      <rPr>
        <sz val="9"/>
        <rFont val="Meiryo UI"/>
        <family val="0"/>
        <charset val="1"/>
      </rPr>
      <t xml:space="preserve">944</t>
    </r>
    <r>
      <rPr>
        <sz val="9"/>
        <rFont val="WenQuanYi Zen Hei"/>
        <family val="2"/>
      </rPr>
      <t xml:space="preserve">／大阪 </t>
    </r>
    <r>
      <rPr>
        <sz val="9"/>
        <rFont val="Meiryo UI"/>
        <family val="0"/>
        <charset val="1"/>
      </rPr>
      <t xml:space="preserve">343</t>
    </r>
    <r>
      <rPr>
        <sz val="9"/>
        <rFont val="WenQuanYi Zen Hei"/>
        <family val="2"/>
      </rPr>
      <t xml:space="preserve">・</t>
    </r>
    <r>
      <rPr>
        <sz val="9"/>
        <rFont val="Meiryo UI"/>
        <family val="0"/>
        <charset val="1"/>
      </rPr>
      <t xml:space="preserve">447</t>
    </r>
  </si>
  <si>
    <r>
      <rPr>
        <sz val="9"/>
        <rFont val="Meiryo UI"/>
        <family val="0"/>
        <charset val="1"/>
      </rPr>
      <t xml:space="preserve">18</t>
    </r>
    <r>
      <rPr>
        <sz val="9"/>
        <rFont val="WenQuanYi Zen Hei"/>
        <family val="2"/>
      </rPr>
      <t xml:space="preserve">日ベースに揃えた累計（博多は初</t>
    </r>
    <r>
      <rPr>
        <sz val="9"/>
        <rFont val="Meiryo UI"/>
        <family val="0"/>
        <charset val="1"/>
      </rPr>
      <t xml:space="preserve">18</t>
    </r>
    <r>
      <rPr>
        <sz val="9"/>
        <rFont val="WenQuanYi Zen Hei"/>
        <family val="2"/>
      </rPr>
      <t xml:space="preserve">日、名古屋は</t>
    </r>
    <r>
      <rPr>
        <sz val="9"/>
        <rFont val="Meiryo UI"/>
        <family val="0"/>
        <charset val="1"/>
      </rPr>
      <t xml:space="preserve">19</t>
    </r>
    <r>
      <rPr>
        <sz val="9"/>
        <rFont val="WenQuanYi Zen Hei"/>
        <family val="2"/>
      </rPr>
      <t xml:space="preserve">日＋</t>
    </r>
    <r>
      <rPr>
        <sz val="9"/>
        <rFont val="Meiryo UI"/>
        <family val="0"/>
        <charset val="1"/>
      </rPr>
      <t xml:space="preserve">18</t>
    </r>
    <r>
      <rPr>
        <sz val="9"/>
        <rFont val="WenQuanYi Zen Hei"/>
        <family val="2"/>
      </rPr>
      <t xml:space="preserve">日目補完）</t>
    </r>
  </si>
  <si>
    <r>
      <rPr>
        <sz val="9"/>
        <rFont val="Meiryo UI"/>
        <family val="0"/>
        <charset val="1"/>
      </rPr>
      <t xml:space="preserve">?</t>
    </r>
    <r>
      <rPr>
        <sz val="9"/>
        <rFont val="WenQuanYi Zen Hei"/>
        <family val="2"/>
      </rPr>
      <t xml:space="preserve">列</t>
    </r>
  </si>
  <si>
    <r>
      <rPr>
        <b val="true"/>
        <sz val="9"/>
        <rFont val="WenQuanYi Zen Hei"/>
        <family val="2"/>
      </rPr>
      <t xml:space="preserve">名古屋／倍率</t>
    </r>
    <r>
      <rPr>
        <b val="true"/>
        <sz val="9"/>
        <rFont val="Meiryo UI"/>
        <family val="0"/>
        <charset val="1"/>
      </rPr>
      <t xml:space="preserve">g</t>
    </r>
  </si>
  <si>
    <r>
      <rPr>
        <sz val="9"/>
        <rFont val="Meiryo UI"/>
        <family val="0"/>
        <charset val="1"/>
      </rPr>
      <t xml:space="preserve">1,316×(1+0.00%)÷1,047 </t>
    </r>
    <r>
      <rPr>
        <sz val="9"/>
        <rFont val="WenQuanYi Zen Hei"/>
        <family val="2"/>
      </rPr>
      <t xml:space="preserve">＝ </t>
    </r>
    <r>
      <rPr>
        <sz val="9"/>
        <rFont val="Meiryo UI"/>
        <family val="0"/>
        <charset val="1"/>
      </rPr>
      <t xml:space="preserve">0.000</t>
    </r>
  </si>
  <si>
    <r>
      <rPr>
        <sz val="9"/>
        <rFont val="Meiryo UI"/>
        <family val="0"/>
        <charset val="1"/>
      </rPr>
      <t xml:space="preserve">B10</t>
    </r>
    <r>
      <rPr>
        <sz val="9"/>
        <rFont val="WenQuanYi Zen Hei"/>
        <family val="2"/>
      </rPr>
      <t xml:space="preserve">＝</t>
    </r>
    <r>
      <rPr>
        <sz val="9"/>
        <rFont val="Meiryo UI"/>
        <family val="0"/>
        <charset val="1"/>
      </rPr>
      <t xml:space="preserve">18</t>
    </r>
    <r>
      <rPr>
        <sz val="9"/>
        <rFont val="WenQuanYi Zen Hei"/>
        <family val="2"/>
      </rPr>
      <t xml:space="preserve">日目の補完率。</t>
    </r>
    <r>
      <rPr>
        <sz val="9"/>
        <rFont val="Meiryo UI"/>
        <family val="0"/>
        <charset val="1"/>
      </rPr>
      <t xml:space="preserve">19</t>
    </r>
    <r>
      <rPr>
        <sz val="9"/>
        <rFont val="WenQuanYi Zen Hei"/>
        <family val="2"/>
      </rPr>
      <t xml:space="preserve">日会期を</t>
    </r>
    <r>
      <rPr>
        <sz val="9"/>
        <rFont val="Meiryo UI"/>
        <family val="0"/>
        <charset val="1"/>
      </rPr>
      <t xml:space="preserve">18</t>
    </r>
    <r>
      <rPr>
        <sz val="9"/>
        <rFont val="WenQuanYi Zen Hei"/>
        <family val="2"/>
      </rPr>
      <t xml:space="preserve">日相当に換算</t>
    </r>
  </si>
  <si>
    <r>
      <rPr>
        <sz val="9"/>
        <rFont val="Meiryo UI"/>
        <family val="0"/>
        <charset val="1"/>
      </rPr>
      <t xml:space="preserve">H</t>
    </r>
    <r>
      <rPr>
        <sz val="9"/>
        <rFont val="WenQuanYi Zen Hei"/>
        <family val="2"/>
      </rPr>
      <t xml:space="preserve">列</t>
    </r>
  </si>
  <si>
    <r>
      <rPr>
        <b val="true"/>
        <sz val="9"/>
        <rFont val="WenQuanYi Zen Hei"/>
        <family val="2"/>
      </rPr>
      <t xml:space="preserve">博多 倍率</t>
    </r>
    <r>
      <rPr>
        <b val="true"/>
        <sz val="9"/>
        <rFont val="Meiryo UI"/>
        <family val="0"/>
        <charset val="1"/>
      </rPr>
      <t xml:space="preserve">g</t>
    </r>
  </si>
  <si>
    <t xml:space="preserve">=IF(F7=0,"",G7/F7)</t>
  </si>
  <si>
    <r>
      <rPr>
        <sz val="9"/>
        <rFont val="Meiryo UI"/>
        <family val="0"/>
        <charset val="1"/>
      </rPr>
      <t xml:space="preserve">944÷719 </t>
    </r>
    <r>
      <rPr>
        <sz val="9"/>
        <rFont val="WenQuanYi Zen Hei"/>
        <family val="2"/>
      </rPr>
      <t xml:space="preserve">＝ </t>
    </r>
    <r>
      <rPr>
        <sz val="9"/>
        <rFont val="Meiryo UI"/>
        <family val="0"/>
        <charset val="1"/>
      </rPr>
      <t xml:space="preserve">1.313</t>
    </r>
  </si>
  <si>
    <r>
      <rPr>
        <sz val="9"/>
        <rFont val="WenQuanYi Zen Hei"/>
        <family val="2"/>
      </rPr>
      <t xml:space="preserve">博多</t>
    </r>
    <r>
      <rPr>
        <sz val="9"/>
        <rFont val="Meiryo UI"/>
        <family val="0"/>
        <charset val="1"/>
      </rPr>
      <t xml:space="preserve">26</t>
    </r>
    <r>
      <rPr>
        <sz val="9"/>
        <rFont val="WenQuanYi Zen Hei"/>
        <family val="2"/>
      </rPr>
      <t xml:space="preserve">日会期のうち頭から</t>
    </r>
    <r>
      <rPr>
        <sz val="9"/>
        <rFont val="Meiryo UI"/>
        <family val="0"/>
        <charset val="1"/>
      </rPr>
      <t xml:space="preserve">18</t>
    </r>
    <r>
      <rPr>
        <sz val="9"/>
        <rFont val="WenQuanYi Zen Hei"/>
        <family val="2"/>
      </rPr>
      <t xml:space="preserve">日ぶんを使用</t>
    </r>
  </si>
  <si>
    <r>
      <rPr>
        <sz val="9"/>
        <rFont val="Meiryo UI"/>
        <family val="0"/>
        <charset val="1"/>
      </rPr>
      <t xml:space="preserve">K</t>
    </r>
    <r>
      <rPr>
        <sz val="9"/>
        <rFont val="WenQuanYi Zen Hei"/>
        <family val="2"/>
      </rPr>
      <t xml:space="preserve">列</t>
    </r>
  </si>
  <si>
    <r>
      <rPr>
        <b val="true"/>
        <sz val="9"/>
        <rFont val="WenQuanYi Zen Hei"/>
        <family val="2"/>
      </rPr>
      <t xml:space="preserve">大阪 倍率</t>
    </r>
    <r>
      <rPr>
        <b val="true"/>
        <sz val="9"/>
        <rFont val="Meiryo UI"/>
        <family val="0"/>
        <charset val="1"/>
      </rPr>
      <t xml:space="preserve">g</t>
    </r>
  </si>
  <si>
    <t xml:space="preserve">=IF(I7=0,"",J7/I7)</t>
  </si>
  <si>
    <r>
      <rPr>
        <sz val="9"/>
        <rFont val="Meiryo UI"/>
        <family val="0"/>
        <charset val="1"/>
      </rPr>
      <t xml:space="preserve">447÷343 </t>
    </r>
    <r>
      <rPr>
        <sz val="9"/>
        <rFont val="WenQuanYi Zen Hei"/>
        <family val="2"/>
      </rPr>
      <t xml:space="preserve">＝ </t>
    </r>
    <r>
      <rPr>
        <sz val="9"/>
        <rFont val="Meiryo UI"/>
        <family val="0"/>
        <charset val="1"/>
      </rPr>
      <t xml:space="preserve">1.262</t>
    </r>
  </si>
  <si>
    <r>
      <rPr>
        <sz val="9"/>
        <rFont val="WenQuanYi Zen Hei"/>
        <family val="2"/>
      </rPr>
      <t xml:space="preserve">石川と同条件（</t>
    </r>
    <r>
      <rPr>
        <sz val="9"/>
        <rFont val="Meiryo UI"/>
        <family val="0"/>
        <charset val="1"/>
      </rPr>
      <t xml:space="preserve">18</t>
    </r>
    <r>
      <rPr>
        <sz val="9"/>
        <rFont val="WenQuanYi Zen Hei"/>
        <family val="2"/>
      </rPr>
      <t xml:space="preserve">日・水曜開始・新商品投入後）のため加重</t>
    </r>
    <r>
      <rPr>
        <sz val="9"/>
        <rFont val="Meiryo UI"/>
        <family val="0"/>
        <charset val="1"/>
      </rPr>
      <t xml:space="preserve">1</t>
    </r>
  </si>
  <si>
    <r>
      <rPr>
        <sz val="9"/>
        <rFont val="Meiryo UI"/>
        <family val="0"/>
        <charset val="1"/>
      </rPr>
      <t xml:space="preserve">O</t>
    </r>
    <r>
      <rPr>
        <sz val="9"/>
        <rFont val="WenQuanYi Zen Hei"/>
        <family val="2"/>
      </rPr>
      <t xml:space="preserve">列</t>
    </r>
  </si>
  <si>
    <r>
      <rPr>
        <b val="true"/>
        <sz val="9"/>
        <rFont val="WenQuanYi Zen Hei"/>
        <family val="2"/>
      </rPr>
      <t xml:space="preserve">採用 倍率</t>
    </r>
    <r>
      <rPr>
        <b val="true"/>
        <sz val="9"/>
        <rFont val="Meiryo UI"/>
        <family val="0"/>
        <charset val="1"/>
      </rPr>
      <t xml:space="preserve">g</t>
    </r>
  </si>
  <si>
    <r>
      <rPr>
        <sz val="9"/>
        <rFont val="Meiryo UI"/>
        <family val="0"/>
        <charset val="1"/>
      </rPr>
      <t xml:space="preserve">=IFERROR((IF(H7="",0,H7*'</t>
    </r>
    <r>
      <rPr>
        <sz val="9"/>
        <rFont val="WenQuanYi Zen Hei"/>
        <family val="2"/>
      </rPr>
      <t xml:space="preserve">前提・入力</t>
    </r>
    <r>
      <rPr>
        <sz val="9"/>
        <rFont val="Meiryo UI"/>
        <family val="0"/>
        <charset val="1"/>
      </rPr>
      <t xml:space="preserve">'!$B$7)+IF(K7="",0,K7*'</t>
    </r>
    <r>
      <rPr>
        <sz val="9"/>
        <rFont val="WenQuanYi Zen Hei"/>
        <family val="2"/>
      </rPr>
      <t xml:space="preserve">前提・入力</t>
    </r>
    <r>
      <rPr>
        <sz val="9"/>
        <rFont val="Meiryo UI"/>
        <family val="0"/>
        <charset val="1"/>
      </rPr>
      <t xml:space="preserve">'!$B$8)+IF(N7="",0,N7*'</t>
    </r>
    <r>
      <rPr>
        <sz val="9"/>
        <rFont val="WenQuanYi Zen Hei"/>
        <family val="2"/>
      </rPr>
      <t xml:space="preserve">前提・入力</t>
    </r>
    <r>
      <rPr>
        <sz val="9"/>
        <rFont val="Meiryo UI"/>
        <family val="0"/>
        <charset val="1"/>
      </rPr>
      <t xml:space="preserve">'!$B$9))/(IF(H7="",0,'</t>
    </r>
    <r>
      <rPr>
        <sz val="9"/>
        <rFont val="WenQuanYi Zen Hei"/>
        <family val="2"/>
      </rPr>
      <t xml:space="preserve">前提・入力</t>
    </r>
    <r>
      <rPr>
        <sz val="9"/>
        <rFont val="Meiryo UI"/>
        <family val="0"/>
        <charset val="1"/>
      </rPr>
      <t xml:space="preserve">'!$B$7)+IF(K7="",0,'</t>
    </r>
    <r>
      <rPr>
        <sz val="9"/>
        <rFont val="WenQuanYi Zen Hei"/>
        <family val="2"/>
      </rPr>
      <t xml:space="preserve">前提・入力</t>
    </r>
    <r>
      <rPr>
        <sz val="9"/>
        <rFont val="Meiryo UI"/>
        <family val="0"/>
        <charset val="1"/>
      </rPr>
      <t xml:space="preserve">'!$B$8)+IF(N7="",0,'</t>
    </r>
    <r>
      <rPr>
        <sz val="9"/>
        <rFont val="WenQuanYi Zen Hei"/>
        <family val="2"/>
      </rPr>
      <t xml:space="preserve">前提・入力</t>
    </r>
    <r>
      <rPr>
        <sz val="9"/>
        <rFont val="Meiryo UI"/>
        <family val="0"/>
        <charset val="1"/>
      </rPr>
      <t xml:space="preserve">'!$B$9)),'</t>
    </r>
    <r>
      <rPr>
        <sz val="9"/>
        <rFont val="WenQuanYi Zen Hei"/>
        <family val="2"/>
      </rPr>
      <t xml:space="preserve">前提・入力</t>
    </r>
    <r>
      <rPr>
        <sz val="9"/>
        <rFont val="Meiryo UI"/>
        <family val="0"/>
        <charset val="1"/>
      </rPr>
      <t xml:space="preserve">'!$B$11)</t>
    </r>
  </si>
  <si>
    <r>
      <rPr>
        <sz val="9"/>
        <rFont val="Meiryo UI"/>
        <family val="0"/>
        <charset val="1"/>
      </rPr>
      <t xml:space="preserve">(1.303×2</t>
    </r>
    <r>
      <rPr>
        <sz val="9"/>
        <rFont val="WenQuanYi Zen Hei"/>
        <family val="2"/>
      </rPr>
      <t xml:space="preserve">＋</t>
    </r>
    <r>
      <rPr>
        <sz val="9"/>
        <rFont val="Meiryo UI"/>
        <family val="0"/>
        <charset val="1"/>
      </rPr>
      <t xml:space="preserve">1.262×1</t>
    </r>
    <r>
      <rPr>
        <sz val="9"/>
        <rFont val="WenQuanYi Zen Hei"/>
        <family val="2"/>
      </rPr>
      <t xml:space="preserve">＋</t>
    </r>
    <r>
      <rPr>
        <sz val="9"/>
        <rFont val="Meiryo UI"/>
        <family val="0"/>
        <charset val="1"/>
      </rPr>
      <t xml:space="preserve">1.313×1)÷4 </t>
    </r>
    <r>
      <rPr>
        <sz val="9"/>
        <rFont val="WenQuanYi Zen Hei"/>
        <family val="2"/>
      </rPr>
      <t xml:space="preserve">＝ </t>
    </r>
    <r>
      <rPr>
        <sz val="9"/>
        <rFont val="Meiryo UI"/>
        <family val="0"/>
        <charset val="1"/>
      </rPr>
      <t xml:space="preserve">1.2952</t>
    </r>
  </si>
  <si>
    <r>
      <rPr>
        <sz val="9"/>
        <rFont val="WenQuanYi Zen Hei"/>
        <family val="2"/>
      </rPr>
      <t xml:space="preserve">加重は「前提・入力」</t>
    </r>
    <r>
      <rPr>
        <sz val="9"/>
        <rFont val="Meiryo UI"/>
        <family val="0"/>
        <charset val="1"/>
      </rPr>
      <t xml:space="preserve">B5:B9</t>
    </r>
    <r>
      <rPr>
        <sz val="9"/>
        <rFont val="WenQuanYi Zen Hei"/>
        <family val="2"/>
      </rPr>
      <t xml:space="preserve">。実績ゼロ品は</t>
    </r>
    <r>
      <rPr>
        <sz val="9"/>
        <rFont val="Meiryo UI"/>
        <family val="0"/>
        <charset val="1"/>
      </rPr>
      <t xml:space="preserve">B11</t>
    </r>
    <r>
      <rPr>
        <sz val="9"/>
        <rFont val="WenQuanYi Zen Hei"/>
        <family val="2"/>
      </rPr>
      <t xml:space="preserve">（</t>
    </r>
    <r>
      <rPr>
        <sz val="9"/>
        <rFont val="Meiryo UI"/>
        <family val="0"/>
        <charset val="1"/>
      </rPr>
      <t xml:space="preserve">1.296</t>
    </r>
    <r>
      <rPr>
        <sz val="9"/>
        <rFont val="WenQuanYi Zen Hei"/>
        <family val="2"/>
      </rPr>
      <t xml:space="preserve">倍）で代用</t>
    </r>
  </si>
  <si>
    <r>
      <rPr>
        <sz val="9"/>
        <rFont val="Meiryo UI"/>
        <family val="0"/>
        <charset val="1"/>
      </rPr>
      <t xml:space="preserve">P</t>
    </r>
    <r>
      <rPr>
        <sz val="9"/>
        <rFont val="WenQuanYi Zen Hei"/>
        <family val="2"/>
      </rPr>
      <t xml:space="preserve">列</t>
    </r>
  </si>
  <si>
    <t xml:space="preserve">=ROUND(E7*O7,0)</t>
  </si>
  <si>
    <r>
      <rPr>
        <sz val="9"/>
        <rFont val="Meiryo UI"/>
        <family val="0"/>
        <charset val="1"/>
      </rPr>
      <t xml:space="preserve">210×1.2952 </t>
    </r>
    <r>
      <rPr>
        <sz val="9"/>
        <rFont val="WenQuanYi Zen Hei"/>
        <family val="2"/>
      </rPr>
      <t xml:space="preserve">＝ </t>
    </r>
    <r>
      <rPr>
        <sz val="9"/>
        <rFont val="Meiryo UI"/>
        <family val="0"/>
        <charset val="1"/>
      </rPr>
      <t xml:space="preserve">272</t>
    </r>
    <r>
      <rPr>
        <sz val="9"/>
        <rFont val="WenQuanYi Zen Hei"/>
        <family val="2"/>
      </rPr>
      <t xml:space="preserve">個</t>
    </r>
  </si>
  <si>
    <r>
      <rPr>
        <sz val="9"/>
        <rFont val="WenQuanYi Zen Hei"/>
        <family val="2"/>
      </rPr>
      <t xml:space="preserve">★本モデルの中核。合計 </t>
    </r>
    <r>
      <rPr>
        <sz val="9"/>
        <rFont val="Meiryo UI"/>
        <family val="0"/>
        <charset val="1"/>
      </rPr>
      <t xml:space="preserve">P49</t>
    </r>
    <r>
      <rPr>
        <sz val="9"/>
        <rFont val="WenQuanYi Zen Hei"/>
        <family val="2"/>
      </rPr>
      <t xml:space="preserve">＝</t>
    </r>
    <r>
      <rPr>
        <sz val="9"/>
        <rFont val="Meiryo UI"/>
        <family val="0"/>
        <charset val="1"/>
      </rPr>
      <t xml:space="preserve">5,151</t>
    </r>
    <r>
      <rPr>
        <sz val="9"/>
        <rFont val="WenQuanYi Zen Hei"/>
        <family val="2"/>
      </rPr>
      <t xml:space="preserve">個</t>
    </r>
  </si>
  <si>
    <r>
      <rPr>
        <sz val="9"/>
        <rFont val="Meiryo UI"/>
        <family val="0"/>
        <charset val="1"/>
      </rPr>
      <t xml:space="preserve">Q</t>
    </r>
    <r>
      <rPr>
        <sz val="9"/>
        <rFont val="WenQuanYi Zen Hei"/>
        <family val="2"/>
      </rPr>
      <t xml:space="preserve">列</t>
    </r>
  </si>
  <si>
    <t xml:space="preserve">石川 予測販売金額</t>
  </si>
  <si>
    <t xml:space="preserve">=P7*D7</t>
  </si>
  <si>
    <r>
      <rPr>
        <sz val="9"/>
        <rFont val="Meiryo UI"/>
        <family val="0"/>
        <charset val="1"/>
      </rPr>
      <t xml:space="preserve">272×500</t>
    </r>
    <r>
      <rPr>
        <sz val="9"/>
        <rFont val="WenQuanYi Zen Hei"/>
        <family val="2"/>
      </rPr>
      <t xml:space="preserve">円 ＝ </t>
    </r>
    <r>
      <rPr>
        <sz val="9"/>
        <rFont val="Meiryo UI"/>
        <family val="0"/>
        <charset val="1"/>
      </rPr>
      <t xml:space="preserve">136,000</t>
    </r>
    <r>
      <rPr>
        <sz val="9"/>
        <rFont val="WenQuanYi Zen Hei"/>
        <family val="2"/>
      </rPr>
      <t xml:space="preserve">円</t>
    </r>
  </si>
  <si>
    <r>
      <rPr>
        <sz val="9"/>
        <rFont val="WenQuanYi Zen Hei"/>
        <family val="2"/>
      </rPr>
      <t xml:space="preserve">合計 </t>
    </r>
    <r>
      <rPr>
        <sz val="9"/>
        <rFont val="Meiryo UI"/>
        <family val="0"/>
        <charset val="1"/>
      </rPr>
      <t xml:space="preserve">Q49</t>
    </r>
    <r>
      <rPr>
        <sz val="9"/>
        <rFont val="WenQuanYi Zen Hei"/>
        <family val="2"/>
      </rPr>
      <t xml:space="preserve">＝</t>
    </r>
    <r>
      <rPr>
        <sz val="9"/>
        <rFont val="Meiryo UI"/>
        <family val="0"/>
        <charset val="1"/>
      </rPr>
      <t xml:space="preserve">4,292,200</t>
    </r>
    <r>
      <rPr>
        <sz val="9"/>
        <rFont val="WenQuanYi Zen Hei"/>
        <family val="2"/>
      </rPr>
      <t xml:space="preserve">円</t>
    </r>
  </si>
  <si>
    <r>
      <rPr>
        <sz val="9"/>
        <rFont val="Meiryo UI"/>
        <family val="0"/>
        <charset val="1"/>
      </rPr>
      <t xml:space="preserve">R</t>
    </r>
    <r>
      <rPr>
        <sz val="9"/>
        <rFont val="WenQuanYi Zen Hei"/>
        <family val="2"/>
      </rPr>
      <t xml:space="preserve">列</t>
    </r>
  </si>
  <si>
    <t xml:space="preserve">石川 数量構成比</t>
  </si>
  <si>
    <t xml:space="preserve">=IFERROR(P7/P$49,0)</t>
  </si>
  <si>
    <r>
      <rPr>
        <sz val="9"/>
        <rFont val="Meiryo UI"/>
        <family val="0"/>
        <charset val="1"/>
      </rPr>
      <t xml:space="preserve">272÷5,151 </t>
    </r>
    <r>
      <rPr>
        <sz val="9"/>
        <rFont val="WenQuanYi Zen Hei"/>
        <family val="2"/>
      </rPr>
      <t xml:space="preserve">＝ </t>
    </r>
    <r>
      <rPr>
        <sz val="9"/>
        <rFont val="Meiryo UI"/>
        <family val="0"/>
        <charset val="1"/>
      </rPr>
      <t xml:space="preserve">5.28%</t>
    </r>
  </si>
  <si>
    <t xml:space="preserve">③の按分構成比（石川側ウェイト）に使う</t>
  </si>
  <si>
    <r>
      <rPr>
        <sz val="9"/>
        <rFont val="Meiryo UI"/>
        <family val="0"/>
        <charset val="1"/>
      </rPr>
      <t xml:space="preserve">S</t>
    </r>
    <r>
      <rPr>
        <sz val="9"/>
        <rFont val="WenQuanYi Zen Hei"/>
        <family val="2"/>
      </rPr>
      <t xml:space="preserve">列</t>
    </r>
  </si>
  <si>
    <r>
      <rPr>
        <b val="true"/>
        <sz val="9"/>
        <rFont val="WenQuanYi Zen Hei"/>
        <family val="2"/>
      </rPr>
      <t xml:space="preserve">石川 販売可能数 </t>
    </r>
    <r>
      <rPr>
        <b val="true"/>
        <sz val="9"/>
        <rFont val="Meiryo UI"/>
        <family val="0"/>
        <charset val="1"/>
      </rPr>
      <t xml:space="preserve">(</t>
    </r>
    <r>
      <rPr>
        <b val="true"/>
        <sz val="9"/>
        <rFont val="WenQuanYi Zen Hei"/>
        <family val="2"/>
      </rPr>
      <t xml:space="preserve">追納込</t>
    </r>
    <r>
      <rPr>
        <b val="true"/>
        <sz val="9"/>
        <rFont val="Meiryo UI"/>
        <family val="0"/>
        <charset val="1"/>
      </rPr>
      <t xml:space="preserve">)</t>
    </r>
  </si>
  <si>
    <t xml:space="preserve">（数式なし＝納品数の実績入力）</t>
  </si>
  <si>
    <r>
      <rPr>
        <sz val="9"/>
        <rFont val="Meiryo UI"/>
        <family val="0"/>
        <charset val="1"/>
      </rPr>
      <t xml:space="preserve">693</t>
    </r>
    <r>
      <rPr>
        <sz val="9"/>
        <rFont val="WenQuanYi Zen Hei"/>
        <family val="2"/>
      </rPr>
      <t xml:space="preserve">個</t>
    </r>
  </si>
  <si>
    <r>
      <rPr>
        <sz val="9"/>
        <rFont val="Meiryo UI"/>
        <family val="0"/>
        <charset val="1"/>
      </rPr>
      <t xml:space="preserve">2026/8 </t>
    </r>
    <r>
      <rPr>
        <sz val="9"/>
        <rFont val="WenQuanYi Zen Hei"/>
        <family val="2"/>
      </rPr>
      <t xml:space="preserve">石川</t>
    </r>
    <r>
      <rPr>
        <sz val="9"/>
        <rFont val="Meiryo UI"/>
        <family val="0"/>
        <charset val="1"/>
      </rPr>
      <t xml:space="preserve">(</t>
    </r>
    <r>
      <rPr>
        <sz val="9"/>
        <rFont val="WenQuanYi Zen Hei"/>
        <family val="2"/>
      </rPr>
      <t xml:space="preserve">金沢</t>
    </r>
    <r>
      <rPr>
        <sz val="9"/>
        <rFont val="Meiryo UI"/>
        <family val="0"/>
        <charset val="1"/>
      </rPr>
      <t xml:space="preserve">)</t>
    </r>
    <r>
      <rPr>
        <sz val="9"/>
        <rFont val="WenQuanYi Zen Hei"/>
        <family val="2"/>
      </rPr>
      <t xml:space="preserve">会場への札幌転送分＋</t>
    </r>
    <r>
      <rPr>
        <sz val="9"/>
        <rFont val="Meiryo UI"/>
        <family val="0"/>
        <charset val="1"/>
      </rPr>
      <t xml:space="preserve">8/22</t>
    </r>
    <r>
      <rPr>
        <sz val="9"/>
        <rFont val="WenQuanYi Zen Hei"/>
        <family val="2"/>
      </rPr>
      <t xml:space="preserve">追納 の追納分（</t>
    </r>
    <r>
      <rPr>
        <sz val="9"/>
        <rFont val="Meiryo UI"/>
        <family val="0"/>
        <charset val="1"/>
      </rPr>
      <t xml:space="preserve">LEGS</t>
    </r>
    <r>
      <rPr>
        <sz val="9"/>
        <rFont val="WenQuanYi Zen Hei"/>
        <family val="2"/>
      </rPr>
      <t xml:space="preserve">計</t>
    </r>
    <r>
      <rPr>
        <sz val="9"/>
        <rFont val="Meiryo UI"/>
        <family val="0"/>
        <charset val="1"/>
      </rPr>
      <t xml:space="preserve">41,632</t>
    </r>
    <r>
      <rPr>
        <sz val="9"/>
        <rFont val="WenQuanYi Zen Hei"/>
        <family val="2"/>
      </rPr>
      <t xml:space="preserve">個）を含む（日報の販売可能数に反映済み）</t>
    </r>
  </si>
  <si>
    <r>
      <rPr>
        <sz val="9"/>
        <rFont val="Meiryo UI"/>
        <family val="0"/>
        <charset val="1"/>
      </rPr>
      <t xml:space="preserve">T</t>
    </r>
    <r>
      <rPr>
        <sz val="9"/>
        <rFont val="WenQuanYi Zen Hei"/>
        <family val="2"/>
      </rPr>
      <t xml:space="preserve">列</t>
    </r>
  </si>
  <si>
    <t xml:space="preserve">予測 消化率</t>
  </si>
  <si>
    <t xml:space="preserve">=IFERROR(P7/S7,0)</t>
  </si>
  <si>
    <r>
      <rPr>
        <sz val="9"/>
        <rFont val="Meiryo UI"/>
        <family val="0"/>
        <charset val="1"/>
      </rPr>
      <t xml:space="preserve">272÷693 </t>
    </r>
    <r>
      <rPr>
        <sz val="9"/>
        <rFont val="WenQuanYi Zen Hei"/>
        <family val="2"/>
      </rPr>
      <t xml:space="preserve">＝ </t>
    </r>
    <r>
      <rPr>
        <sz val="9"/>
        <rFont val="Meiryo UI"/>
        <family val="0"/>
        <charset val="1"/>
      </rPr>
      <t xml:space="preserve">39.2%</t>
    </r>
  </si>
  <si>
    <r>
      <rPr>
        <sz val="9"/>
        <rFont val="Meiryo UI"/>
        <family val="0"/>
        <charset val="1"/>
      </rPr>
      <t xml:space="preserve">90%</t>
    </r>
    <r>
      <rPr>
        <sz val="9"/>
        <rFont val="WenQuanYi Zen Hei"/>
        <family val="2"/>
      </rPr>
      <t xml:space="preserve">超で「要注意」判定</t>
    </r>
  </si>
  <si>
    <r>
      <rPr>
        <sz val="9"/>
        <rFont val="Meiryo UI"/>
        <family val="0"/>
        <charset val="1"/>
      </rPr>
      <t xml:space="preserve">U</t>
    </r>
    <r>
      <rPr>
        <sz val="9"/>
        <rFont val="WenQuanYi Zen Hei"/>
        <family val="2"/>
      </rPr>
      <t xml:space="preserve">列</t>
    </r>
  </si>
  <si>
    <t xml:space="preserve">会期末 残在庫</t>
  </si>
  <si>
    <t xml:space="preserve">=MAX(0,S7-P7)</t>
  </si>
  <si>
    <r>
      <rPr>
        <sz val="9"/>
        <rFont val="Meiryo UI"/>
        <family val="0"/>
        <charset val="1"/>
      </rPr>
      <t xml:space="preserve">693−272 </t>
    </r>
    <r>
      <rPr>
        <sz val="9"/>
        <rFont val="WenQuanYi Zen Hei"/>
        <family val="2"/>
      </rPr>
      <t xml:space="preserve">＝ </t>
    </r>
    <r>
      <rPr>
        <sz val="9"/>
        <rFont val="Meiryo UI"/>
        <family val="0"/>
        <charset val="1"/>
      </rPr>
      <t xml:space="preserve">421</t>
    </r>
    <r>
      <rPr>
        <sz val="9"/>
        <rFont val="WenQuanYi Zen Hei"/>
        <family val="2"/>
      </rPr>
      <t xml:space="preserve">個</t>
    </r>
  </si>
  <si>
    <t xml:space="preserve">③のスライド列で仙台以降へ回す</t>
  </si>
  <si>
    <r>
      <rPr>
        <sz val="9"/>
        <rFont val="Meiryo UI"/>
        <family val="0"/>
        <charset val="1"/>
      </rPr>
      <t xml:space="preserve">V</t>
    </r>
    <r>
      <rPr>
        <sz val="9"/>
        <rFont val="WenQuanYi Zen Hei"/>
        <family val="2"/>
      </rPr>
      <t xml:space="preserve">列</t>
    </r>
  </si>
  <si>
    <t xml:space="preserve">会期中 過不足</t>
  </si>
  <si>
    <t xml:space="preserve">=P7-S7</t>
  </si>
  <si>
    <r>
      <rPr>
        <sz val="9"/>
        <rFont val="Meiryo UI"/>
        <family val="0"/>
        <charset val="1"/>
      </rPr>
      <t xml:space="preserve">272−693 </t>
    </r>
    <r>
      <rPr>
        <sz val="9"/>
        <rFont val="WenQuanYi Zen Hei"/>
        <family val="2"/>
      </rPr>
      <t xml:space="preserve">＝ </t>
    </r>
    <r>
      <rPr>
        <sz val="9"/>
        <rFont val="Meiryo UI"/>
        <family val="0"/>
        <charset val="1"/>
      </rPr>
      <t xml:space="preserve">-421</t>
    </r>
  </si>
  <si>
    <t xml:space="preserve">プラス＝会期中に在庫切れ</t>
  </si>
  <si>
    <r>
      <rPr>
        <sz val="9"/>
        <rFont val="Meiryo UI"/>
        <family val="0"/>
        <charset val="1"/>
      </rPr>
      <t xml:space="preserve">W</t>
    </r>
    <r>
      <rPr>
        <sz val="9"/>
        <rFont val="WenQuanYi Zen Hei"/>
        <family val="2"/>
      </rPr>
      <t xml:space="preserve">列</t>
    </r>
  </si>
  <si>
    <t xml:space="preserve">会期中 在庫判定</t>
  </si>
  <si>
    <r>
      <rPr>
        <sz val="9"/>
        <rFont val="Meiryo UI"/>
        <family val="0"/>
        <charset val="1"/>
      </rPr>
      <t xml:space="preserve">=IF(V7&gt;0,"</t>
    </r>
    <r>
      <rPr>
        <sz val="9"/>
        <rFont val="WenQuanYi Zen Hei"/>
        <family val="2"/>
      </rPr>
      <t xml:space="preserve">会期中に在庫切れ</t>
    </r>
    <r>
      <rPr>
        <sz val="9"/>
        <rFont val="Meiryo UI"/>
        <family val="0"/>
        <charset val="1"/>
      </rPr>
      <t xml:space="preserve">",IF(T7&gt;=0.9,"</t>
    </r>
    <r>
      <rPr>
        <sz val="9"/>
        <rFont val="WenQuanYi Zen Hei"/>
        <family val="2"/>
      </rPr>
      <t xml:space="preserve">要注意</t>
    </r>
    <r>
      <rPr>
        <sz val="9"/>
        <rFont val="Meiryo UI"/>
        <family val="0"/>
        <charset val="1"/>
      </rPr>
      <t xml:space="preserve">(90%</t>
    </r>
    <r>
      <rPr>
        <sz val="9"/>
        <rFont val="WenQuanYi Zen Hei"/>
        <family val="2"/>
      </rPr>
      <t xml:space="preserve">超</t>
    </r>
    <r>
      <rPr>
        <sz val="9"/>
        <rFont val="Meiryo UI"/>
        <family val="0"/>
        <charset val="1"/>
      </rPr>
      <t xml:space="preserve">)",IF(T7&gt;=0.5,"</t>
    </r>
    <r>
      <rPr>
        <sz val="9"/>
        <rFont val="WenQuanYi Zen Hei"/>
        <family val="2"/>
      </rPr>
      <t xml:space="preserve">適正</t>
    </r>
    <r>
      <rPr>
        <sz val="9"/>
        <rFont val="Meiryo UI"/>
        <family val="0"/>
        <charset val="1"/>
      </rPr>
      <t xml:space="preserve">","</t>
    </r>
    <r>
      <rPr>
        <sz val="9"/>
        <rFont val="WenQuanYi Zen Hei"/>
        <family val="2"/>
      </rPr>
      <t xml:space="preserve">在庫余剰</t>
    </r>
    <r>
      <rPr>
        <sz val="9"/>
        <rFont val="Meiryo UI"/>
        <family val="0"/>
        <charset val="1"/>
      </rPr>
      <t xml:space="preserve">")))</t>
    </r>
  </si>
  <si>
    <t xml:space="preserve">判定：在庫余剰</t>
  </si>
  <si>
    <r>
      <rPr>
        <sz val="9"/>
        <rFont val="Meiryo UI"/>
        <family val="0"/>
        <charset val="1"/>
      </rPr>
      <t xml:space="preserve">W49</t>
    </r>
    <r>
      <rPr>
        <sz val="9"/>
        <rFont val="WenQuanYi Zen Hei"/>
        <family val="2"/>
      </rPr>
      <t xml:space="preserve">＝</t>
    </r>
    <r>
      <rPr>
        <sz val="9"/>
        <rFont val="Meiryo UI"/>
        <family val="0"/>
        <charset val="1"/>
      </rPr>
      <t xml:space="preserve">COUNTIF </t>
    </r>
    <r>
      <rPr>
        <sz val="9"/>
        <rFont val="WenQuanYi Zen Hei"/>
        <family val="2"/>
      </rPr>
      <t xml:space="preserve">で「会期中に在庫切れ」の品目数を集計</t>
    </r>
  </si>
  <si>
    <r>
      <rPr>
        <b val="true"/>
        <sz val="10"/>
        <color rgb="FFFFFFFF"/>
        <rFont val="WenQuanYi Zen Hei"/>
        <family val="2"/>
      </rPr>
      <t xml:space="preserve">■ ②会場別構成比（</t>
    </r>
    <r>
      <rPr>
        <b val="true"/>
        <sz val="10"/>
        <color rgb="FFFFFFFF"/>
        <rFont val="Meiryo UI"/>
        <family val="0"/>
        <charset val="1"/>
      </rPr>
      <t xml:space="preserve">10</t>
    </r>
    <r>
      <rPr>
        <b val="true"/>
        <sz val="10"/>
        <color rgb="FFFFFFFF"/>
        <rFont val="WenQuanYi Zen Hei"/>
        <family val="2"/>
      </rPr>
      <t xml:space="preserve">〜</t>
    </r>
    <r>
      <rPr>
        <b val="true"/>
        <sz val="10"/>
        <color rgb="FFFFFFFF"/>
        <rFont val="Meiryo UI"/>
        <family val="0"/>
        <charset val="1"/>
      </rPr>
      <t xml:space="preserve">18</t>
    </r>
    <r>
      <rPr>
        <b val="true"/>
        <sz val="10"/>
        <color rgb="FFFFFFFF"/>
        <rFont val="WenQuanYi Zen Hei"/>
        <family val="2"/>
      </rPr>
      <t xml:space="preserve">行 </t>
    </r>
    <r>
      <rPr>
        <b val="true"/>
        <sz val="10"/>
        <color rgb="FFFFFFFF"/>
        <rFont val="Meiryo UI"/>
        <family val="0"/>
        <charset val="1"/>
      </rPr>
      <t xml:space="preserve">× C</t>
    </r>
    <r>
      <rPr>
        <b val="true"/>
        <sz val="10"/>
        <color rgb="FFFFFFFF"/>
        <rFont val="WenQuanYi Zen Hei"/>
        <family val="2"/>
      </rPr>
      <t xml:space="preserve">〜</t>
    </r>
    <r>
      <rPr>
        <b val="true"/>
        <sz val="10"/>
        <color rgb="FFFFFFFF"/>
        <rFont val="Meiryo UI"/>
        <family val="0"/>
        <charset val="1"/>
      </rPr>
      <t xml:space="preserve">M</t>
    </r>
    <r>
      <rPr>
        <b val="true"/>
        <sz val="10"/>
        <color rgb="FFFFFFFF"/>
        <rFont val="WenQuanYi Zen Hei"/>
        <family val="2"/>
      </rPr>
      <t xml:space="preserve">列＝会場別。実績</t>
    </r>
    <r>
      <rPr>
        <b val="true"/>
        <sz val="10"/>
        <color rgb="FFFFFFFF"/>
        <rFont val="Meiryo UI"/>
        <family val="0"/>
        <charset val="1"/>
      </rPr>
      <t xml:space="preserve">6</t>
    </r>
    <r>
      <rPr>
        <b val="true"/>
        <sz val="10"/>
        <color rgb="FFFFFFFF"/>
        <rFont val="WenQuanYi Zen Hei"/>
        <family val="2"/>
      </rPr>
      <t xml:space="preserve">会場＋石川予測＋仙台以降</t>
    </r>
    <r>
      <rPr>
        <b val="true"/>
        <sz val="10"/>
        <color rgb="FFFFFFFF"/>
        <rFont val="Meiryo UI"/>
        <family val="0"/>
        <charset val="1"/>
      </rPr>
      <t xml:space="preserve">4</t>
    </r>
    <r>
      <rPr>
        <b val="true"/>
        <sz val="10"/>
        <color rgb="FFFFFFFF"/>
        <rFont val="WenQuanYi Zen Hei"/>
        <family val="2"/>
      </rPr>
      <t xml:space="preserve">会場）</t>
    </r>
  </si>
  <si>
    <t xml:space="preserve">I10 / I11</t>
  </si>
  <si>
    <r>
      <rPr>
        <b val="true"/>
        <sz val="9"/>
        <rFont val="WenQuanYi Zen Hei"/>
        <family val="2"/>
      </rPr>
      <t xml:space="preserve">石川</t>
    </r>
    <r>
      <rPr>
        <b val="true"/>
        <sz val="9"/>
        <rFont val="Meiryo UI"/>
        <family val="0"/>
        <charset val="1"/>
      </rPr>
      <t xml:space="preserve">18</t>
    </r>
    <r>
      <rPr>
        <b val="true"/>
        <sz val="9"/>
        <rFont val="WenQuanYi Zen Hei"/>
        <family val="2"/>
      </rPr>
      <t xml:space="preserve">日 全物販（予測）</t>
    </r>
  </si>
  <si>
    <r>
      <rPr>
        <sz val="9"/>
        <rFont val="Meiryo UI"/>
        <family val="0"/>
        <charset val="1"/>
      </rPr>
      <t xml:space="preserve">=H10*1.284925 </t>
    </r>
    <r>
      <rPr>
        <sz val="9"/>
        <rFont val="WenQuanYi Zen Hei"/>
        <family val="2"/>
      </rPr>
      <t xml:space="preserve">／ </t>
    </r>
    <r>
      <rPr>
        <sz val="9"/>
        <rFont val="Meiryo UI"/>
        <family val="0"/>
        <charset val="1"/>
      </rPr>
      <t xml:space="preserve">=H11*1.277780</t>
    </r>
  </si>
  <si>
    <r>
      <rPr>
        <sz val="9"/>
        <rFont val="Meiryo UI"/>
        <family val="0"/>
        <charset val="1"/>
      </rPr>
      <t xml:space="preserve">19,113</t>
    </r>
    <r>
      <rPr>
        <sz val="9"/>
        <rFont val="WenQuanYi Zen Hei"/>
        <family val="2"/>
      </rPr>
      <t xml:space="preserve">個</t>
    </r>
    <r>
      <rPr>
        <sz val="9"/>
        <rFont val="Meiryo UI"/>
        <family val="0"/>
        <charset val="1"/>
      </rPr>
      <t xml:space="preserve">×1.2849 </t>
    </r>
    <r>
      <rPr>
        <sz val="9"/>
        <rFont val="WenQuanYi Zen Hei"/>
        <family val="2"/>
      </rPr>
      <t xml:space="preserve">＝ </t>
    </r>
    <r>
      <rPr>
        <sz val="9"/>
        <rFont val="Meiryo UI"/>
        <family val="0"/>
        <charset val="1"/>
      </rPr>
      <t xml:space="preserve">24,559</t>
    </r>
    <r>
      <rPr>
        <sz val="9"/>
        <rFont val="WenQuanYi Zen Hei"/>
        <family val="2"/>
      </rPr>
      <t xml:space="preserve">個</t>
    </r>
  </si>
  <si>
    <r>
      <rPr>
        <sz val="9"/>
        <rFont val="WenQuanYi Zen Hei"/>
        <family val="2"/>
      </rPr>
      <t xml:space="preserve">初</t>
    </r>
    <r>
      <rPr>
        <sz val="9"/>
        <rFont val="Meiryo UI"/>
        <family val="0"/>
        <charset val="1"/>
      </rPr>
      <t xml:space="preserve">12</t>
    </r>
    <r>
      <rPr>
        <sz val="9"/>
        <rFont val="WenQuanYi Zen Hei"/>
        <family val="2"/>
      </rPr>
      <t xml:space="preserve">日→</t>
    </r>
    <r>
      <rPr>
        <sz val="9"/>
        <rFont val="Meiryo UI"/>
        <family val="0"/>
        <charset val="1"/>
      </rPr>
      <t xml:space="preserve">18</t>
    </r>
    <r>
      <rPr>
        <sz val="9"/>
        <rFont val="WenQuanYi Zen Hei"/>
        <family val="2"/>
      </rPr>
      <t xml:space="preserve">日の実績倍率（数量／金額で別倍率）を大阪実績から算出</t>
    </r>
  </si>
  <si>
    <t xml:space="preserve">J10:M11</t>
  </si>
  <si>
    <t xml:space="preserve">仙台以降 全物販（予測）</t>
  </si>
  <si>
    <r>
      <rPr>
        <sz val="9"/>
        <rFont val="Meiryo UI"/>
        <family val="0"/>
        <charset val="1"/>
      </rPr>
      <t xml:space="preserve">='</t>
    </r>
    <r>
      <rPr>
        <sz val="9"/>
        <rFont val="WenQuanYi Zen Hei"/>
        <family val="2"/>
      </rPr>
      <t xml:space="preserve">前提・入力</t>
    </r>
    <r>
      <rPr>
        <sz val="9"/>
        <rFont val="Meiryo UI"/>
        <family val="0"/>
        <charset val="1"/>
      </rPr>
      <t xml:space="preserve">'!$B$14*'</t>
    </r>
    <r>
      <rPr>
        <sz val="9"/>
        <rFont val="WenQuanYi Zen Hei"/>
        <family val="2"/>
      </rPr>
      <t xml:space="preserve">前提・入力</t>
    </r>
    <r>
      <rPr>
        <sz val="9"/>
        <rFont val="Meiryo UI"/>
        <family val="0"/>
        <charset val="1"/>
      </rPr>
      <t xml:space="preserve">'!$B$23</t>
    </r>
    <r>
      <rPr>
        <sz val="9"/>
        <rFont val="WenQuanYi Zen Hei"/>
        <family val="2"/>
      </rPr>
      <t xml:space="preserve">（数量）／</t>
    </r>
    <r>
      <rPr>
        <sz val="9"/>
        <rFont val="Meiryo UI"/>
        <family val="0"/>
        <charset val="1"/>
      </rPr>
      <t xml:space="preserve">='</t>
    </r>
    <r>
      <rPr>
        <sz val="9"/>
        <rFont val="WenQuanYi Zen Hei"/>
        <family val="2"/>
      </rPr>
      <t xml:space="preserve">前提・入力</t>
    </r>
    <r>
      <rPr>
        <sz val="9"/>
        <rFont val="Meiryo UI"/>
        <family val="0"/>
        <charset val="1"/>
      </rPr>
      <t xml:space="preserve">'!$B$13*'</t>
    </r>
    <r>
      <rPr>
        <sz val="9"/>
        <rFont val="WenQuanYi Zen Hei"/>
        <family val="2"/>
      </rPr>
      <t xml:space="preserve">前提・入力</t>
    </r>
    <r>
      <rPr>
        <sz val="9"/>
        <rFont val="Meiryo UI"/>
        <family val="0"/>
        <charset val="1"/>
      </rPr>
      <t xml:space="preserve">'!$B$23</t>
    </r>
    <r>
      <rPr>
        <sz val="9"/>
        <rFont val="WenQuanYi Zen Hei"/>
        <family val="2"/>
      </rPr>
      <t xml:space="preserve">（金額）</t>
    </r>
  </si>
  <si>
    <r>
      <rPr>
        <sz val="9"/>
        <rFont val="Meiryo UI"/>
        <family val="0"/>
        <charset val="1"/>
      </rPr>
      <t xml:space="preserve">358,193,925</t>
    </r>
    <r>
      <rPr>
        <sz val="9"/>
        <rFont val="WenQuanYi Zen Hei"/>
        <family val="2"/>
      </rPr>
      <t xml:space="preserve">円</t>
    </r>
    <r>
      <rPr>
        <sz val="9"/>
        <rFont val="Meiryo UI"/>
        <family val="0"/>
        <charset val="1"/>
      </rPr>
      <t xml:space="preserve">×13.00% </t>
    </r>
    <r>
      <rPr>
        <sz val="9"/>
        <rFont val="WenQuanYi Zen Hei"/>
        <family val="2"/>
      </rPr>
      <t xml:space="preserve">＝ </t>
    </r>
    <r>
      <rPr>
        <sz val="9"/>
        <rFont val="Meiryo UI"/>
        <family val="0"/>
        <charset val="1"/>
      </rPr>
      <t xml:space="preserve">46,565,210</t>
    </r>
    <r>
      <rPr>
        <sz val="9"/>
        <rFont val="WenQuanYi Zen Hei"/>
        <family val="2"/>
      </rPr>
      <t xml:space="preserve">円</t>
    </r>
  </si>
  <si>
    <r>
      <rPr>
        <sz val="9"/>
        <rFont val="WenQuanYi Zen Hei"/>
        <family val="2"/>
      </rPr>
      <t xml:space="preserve">東京</t>
    </r>
    <r>
      <rPr>
        <sz val="9"/>
        <rFont val="Meiryo UI"/>
        <family val="0"/>
        <charset val="1"/>
      </rPr>
      <t xml:space="preserve">(</t>
    </r>
    <r>
      <rPr>
        <sz val="9"/>
        <rFont val="WenQuanYi Zen Hei"/>
        <family val="2"/>
      </rPr>
      <t xml:space="preserve">初回</t>
    </r>
    <r>
      <rPr>
        <sz val="9"/>
        <rFont val="Meiryo UI"/>
        <family val="0"/>
        <charset val="1"/>
      </rPr>
      <t xml:space="preserve">)</t>
    </r>
    <r>
      <rPr>
        <sz val="9"/>
        <rFont val="WenQuanYi Zen Hei"/>
        <family val="2"/>
      </rPr>
      <t xml:space="preserve">実績 </t>
    </r>
    <r>
      <rPr>
        <sz val="9"/>
        <rFont val="Meiryo UI"/>
        <family val="0"/>
        <charset val="1"/>
      </rPr>
      <t xml:space="preserve">× </t>
    </r>
    <r>
      <rPr>
        <sz val="9"/>
        <rFont val="WenQuanYi Zen Hei"/>
        <family val="2"/>
      </rPr>
      <t xml:space="preserve">東京対比比率（シナリオ連動）</t>
    </r>
  </si>
  <si>
    <t xml:space="preserve">J12:M13</t>
  </si>
  <si>
    <r>
      <rPr>
        <b val="true"/>
        <sz val="9"/>
        <rFont val="Meiryo UI"/>
        <family val="0"/>
        <charset val="1"/>
      </rPr>
      <t xml:space="preserve">LEGS </t>
    </r>
    <r>
      <rPr>
        <b val="true"/>
        <sz val="9"/>
        <rFont val="WenQuanYi Zen Hei"/>
        <family val="2"/>
      </rPr>
      <t xml:space="preserve">販売数量／金額（予測）</t>
    </r>
  </si>
  <si>
    <r>
      <rPr>
        <sz val="9"/>
        <rFont val="Meiryo UI"/>
        <family val="0"/>
        <charset val="1"/>
      </rPr>
      <t xml:space="preserve">=ROUND(J13/'</t>
    </r>
    <r>
      <rPr>
        <sz val="9"/>
        <rFont val="WenQuanYi Zen Hei"/>
        <family val="2"/>
      </rPr>
      <t xml:space="preserve">前提・入力</t>
    </r>
    <r>
      <rPr>
        <sz val="9"/>
        <rFont val="Meiryo UI"/>
        <family val="0"/>
        <charset val="1"/>
      </rPr>
      <t xml:space="preserve">'!$B$30,0) </t>
    </r>
    <r>
      <rPr>
        <sz val="9"/>
        <rFont val="WenQuanYi Zen Hei"/>
        <family val="2"/>
      </rPr>
      <t xml:space="preserve">／ </t>
    </r>
    <r>
      <rPr>
        <sz val="9"/>
        <rFont val="Meiryo UI"/>
        <family val="0"/>
        <charset val="1"/>
      </rPr>
      <t xml:space="preserve">=J11*'</t>
    </r>
    <r>
      <rPr>
        <sz val="9"/>
        <rFont val="WenQuanYi Zen Hei"/>
        <family val="2"/>
      </rPr>
      <t xml:space="preserve">前提・入力</t>
    </r>
    <r>
      <rPr>
        <sz val="9"/>
        <rFont val="Meiryo UI"/>
        <family val="0"/>
        <charset val="1"/>
      </rPr>
      <t xml:space="preserve">'!$B$29</t>
    </r>
  </si>
  <si>
    <r>
      <rPr>
        <sz val="9"/>
        <rFont val="WenQuanYi Zen Hei"/>
        <family val="2"/>
      </rPr>
      <t xml:space="preserve">会場売上</t>
    </r>
    <r>
      <rPr>
        <sz val="9"/>
        <rFont val="Meiryo UI"/>
        <family val="0"/>
        <charset val="1"/>
      </rPr>
      <t xml:space="preserve">×17.1% </t>
    </r>
    <r>
      <rPr>
        <sz val="9"/>
        <rFont val="WenQuanYi Zen Hei"/>
        <family val="2"/>
      </rPr>
      <t xml:space="preserve">＝ </t>
    </r>
    <r>
      <rPr>
        <sz val="9"/>
        <rFont val="Meiryo UI"/>
        <family val="0"/>
        <charset val="1"/>
      </rPr>
      <t xml:space="preserve">LEGS</t>
    </r>
    <r>
      <rPr>
        <sz val="9"/>
        <rFont val="WenQuanYi Zen Hei"/>
        <family val="2"/>
      </rPr>
      <t xml:space="preserve">売上、それを</t>
    </r>
    <r>
      <rPr>
        <sz val="9"/>
        <rFont val="Meiryo UI"/>
        <family val="0"/>
        <charset val="1"/>
      </rPr>
      <t xml:space="preserve">833</t>
    </r>
    <r>
      <rPr>
        <sz val="9"/>
        <rFont val="WenQuanYi Zen Hei"/>
        <family val="2"/>
      </rPr>
      <t xml:space="preserve">円で割る</t>
    </r>
  </si>
  <si>
    <r>
      <rPr>
        <sz val="9"/>
        <rFont val="Meiryo UI"/>
        <family val="0"/>
        <charset val="1"/>
      </rPr>
      <t xml:space="preserve">B29</t>
    </r>
    <r>
      <rPr>
        <sz val="9"/>
        <rFont val="WenQuanYi Zen Hei"/>
        <family val="2"/>
      </rPr>
      <t xml:space="preserve">＝</t>
    </r>
    <r>
      <rPr>
        <sz val="9"/>
        <rFont val="Meiryo UI"/>
        <family val="0"/>
        <charset val="1"/>
      </rPr>
      <t xml:space="preserve">LEGS</t>
    </r>
    <r>
      <rPr>
        <sz val="9"/>
        <rFont val="WenQuanYi Zen Hei"/>
        <family val="2"/>
      </rPr>
      <t xml:space="preserve">金額構成比、</t>
    </r>
    <r>
      <rPr>
        <sz val="9"/>
        <rFont val="Meiryo UI"/>
        <family val="0"/>
        <charset val="1"/>
      </rPr>
      <t xml:space="preserve">B30</t>
    </r>
    <r>
      <rPr>
        <sz val="9"/>
        <rFont val="WenQuanYi Zen Hei"/>
        <family val="2"/>
      </rPr>
      <t xml:space="preserve">＝</t>
    </r>
    <r>
      <rPr>
        <sz val="9"/>
        <rFont val="Meiryo UI"/>
        <family val="0"/>
        <charset val="1"/>
      </rPr>
      <t xml:space="preserve">LEGS</t>
    </r>
    <r>
      <rPr>
        <sz val="9"/>
        <rFont val="WenQuanYi Zen Hei"/>
        <family val="2"/>
      </rPr>
      <t xml:space="preserve">平均単価</t>
    </r>
  </si>
  <si>
    <r>
      <rPr>
        <sz val="9"/>
        <rFont val="Meiryo UI"/>
        <family val="0"/>
        <charset val="1"/>
      </rPr>
      <t xml:space="preserve">14</t>
    </r>
    <r>
      <rPr>
        <sz val="9"/>
        <rFont val="WenQuanYi Zen Hei"/>
        <family val="2"/>
      </rPr>
      <t xml:space="preserve">行 </t>
    </r>
    <r>
      <rPr>
        <sz val="9"/>
        <rFont val="Meiryo UI"/>
        <family val="0"/>
        <charset val="1"/>
      </rPr>
      <t xml:space="preserve">/ 15</t>
    </r>
    <r>
      <rPr>
        <sz val="9"/>
        <rFont val="WenQuanYi Zen Hei"/>
        <family val="2"/>
      </rPr>
      <t xml:space="preserve">行</t>
    </r>
  </si>
  <si>
    <r>
      <rPr>
        <b val="true"/>
        <sz val="9"/>
        <rFont val="Meiryo UI"/>
        <family val="0"/>
        <charset val="1"/>
      </rPr>
      <t xml:space="preserve">LEGS </t>
    </r>
    <r>
      <rPr>
        <b val="true"/>
        <sz val="9"/>
        <rFont val="WenQuanYi Zen Hei"/>
        <family val="2"/>
      </rPr>
      <t xml:space="preserve">数量／金額 構成比</t>
    </r>
  </si>
  <si>
    <r>
      <rPr>
        <sz val="9"/>
        <rFont val="Meiryo UI"/>
        <family val="0"/>
        <charset val="1"/>
      </rPr>
      <t xml:space="preserve">=C12/C10 </t>
    </r>
    <r>
      <rPr>
        <sz val="9"/>
        <rFont val="WenQuanYi Zen Hei"/>
        <family val="2"/>
      </rPr>
      <t xml:space="preserve">／ </t>
    </r>
    <r>
      <rPr>
        <sz val="9"/>
        <rFont val="Meiryo UI"/>
        <family val="0"/>
        <charset val="1"/>
      </rPr>
      <t xml:space="preserve">=C13/C11</t>
    </r>
  </si>
  <si>
    <r>
      <rPr>
        <sz val="9"/>
        <rFont val="WenQuanYi Zen Hei"/>
        <family val="2"/>
      </rPr>
      <t xml:space="preserve">東京 </t>
    </r>
    <r>
      <rPr>
        <sz val="9"/>
        <rFont val="Meiryo UI"/>
        <family val="0"/>
        <charset val="1"/>
      </rPr>
      <t xml:space="preserve">148,185÷383,342 </t>
    </r>
    <r>
      <rPr>
        <sz val="9"/>
        <rFont val="WenQuanYi Zen Hei"/>
        <family val="2"/>
      </rPr>
      <t xml:space="preserve">＝ </t>
    </r>
    <r>
      <rPr>
        <sz val="9"/>
        <rFont val="Meiryo UI"/>
        <family val="0"/>
        <charset val="1"/>
      </rPr>
      <t xml:space="preserve">38.7%</t>
    </r>
    <r>
      <rPr>
        <sz val="9"/>
        <rFont val="WenQuanYi Zen Hei"/>
        <family val="2"/>
      </rPr>
      <t xml:space="preserve">（数量）</t>
    </r>
  </si>
  <si>
    <t xml:space="preserve">新商品投入による構成比の低下推移が読める行</t>
  </si>
  <si>
    <r>
      <rPr>
        <sz val="9"/>
        <rFont val="Meiryo UI"/>
        <family val="0"/>
        <charset val="1"/>
      </rPr>
      <t xml:space="preserve">16</t>
    </r>
    <r>
      <rPr>
        <sz val="9"/>
        <rFont val="WenQuanYi Zen Hei"/>
        <family val="2"/>
      </rPr>
      <t xml:space="preserve">行</t>
    </r>
  </si>
  <si>
    <t xml:space="preserve">東京対比（数量／金額）</t>
  </si>
  <si>
    <t xml:space="preserve">=D10/$C$10</t>
  </si>
  <si>
    <r>
      <rPr>
        <sz val="9"/>
        <rFont val="WenQuanYi Zen Hei"/>
        <family val="2"/>
      </rPr>
      <t xml:space="preserve">名古屋 </t>
    </r>
    <r>
      <rPr>
        <sz val="9"/>
        <rFont val="Meiryo UI"/>
        <family val="0"/>
        <charset val="1"/>
      </rPr>
      <t xml:space="preserve">138,575,410÷358,193,925 </t>
    </r>
    <r>
      <rPr>
        <sz val="9"/>
        <rFont val="WenQuanYi Zen Hei"/>
        <family val="2"/>
      </rPr>
      <t xml:space="preserve">＝ </t>
    </r>
    <r>
      <rPr>
        <sz val="9"/>
        <rFont val="Meiryo UI"/>
        <family val="0"/>
        <charset val="1"/>
      </rPr>
      <t xml:space="preserve">38.7%</t>
    </r>
  </si>
  <si>
    <t xml:space="preserve">仙台以降は「前提・入力」の東京対比セルを直接参照している</t>
  </si>
  <si>
    <r>
      <rPr>
        <sz val="9"/>
        <rFont val="Meiryo UI"/>
        <family val="0"/>
        <charset val="1"/>
      </rPr>
      <t xml:space="preserve">18</t>
    </r>
    <r>
      <rPr>
        <sz val="9"/>
        <rFont val="WenQuanYi Zen Hei"/>
        <family val="2"/>
      </rPr>
      <t xml:space="preserve">行</t>
    </r>
  </si>
  <si>
    <r>
      <rPr>
        <b val="true"/>
        <sz val="9"/>
        <rFont val="Meiryo UI"/>
        <family val="0"/>
        <charset val="1"/>
      </rPr>
      <t xml:space="preserve">LEGS </t>
    </r>
    <r>
      <rPr>
        <b val="true"/>
        <sz val="9"/>
        <rFont val="WenQuanYi Zen Hei"/>
        <family val="2"/>
      </rPr>
      <t xml:space="preserve">平均単価</t>
    </r>
  </si>
  <si>
    <t xml:space="preserve">=IFERROR(C13/C12,0)</t>
  </si>
  <si>
    <r>
      <rPr>
        <sz val="9"/>
        <rFont val="WenQuanYi Zen Hei"/>
        <family val="2"/>
      </rPr>
      <t xml:space="preserve">東京 </t>
    </r>
    <r>
      <rPr>
        <sz val="9"/>
        <rFont val="Meiryo UI"/>
        <family val="0"/>
        <charset val="1"/>
      </rPr>
      <t xml:space="preserve">102,186,200</t>
    </r>
    <r>
      <rPr>
        <sz val="9"/>
        <rFont val="WenQuanYi Zen Hei"/>
        <family val="2"/>
      </rPr>
      <t xml:space="preserve">円</t>
    </r>
    <r>
      <rPr>
        <sz val="9"/>
        <rFont val="Meiryo UI"/>
        <family val="0"/>
        <charset val="1"/>
      </rPr>
      <t xml:space="preserve">÷148,185</t>
    </r>
    <r>
      <rPr>
        <sz val="9"/>
        <rFont val="WenQuanYi Zen Hei"/>
        <family val="2"/>
      </rPr>
      <t xml:space="preserve">個 ＝ </t>
    </r>
    <r>
      <rPr>
        <sz val="9"/>
        <rFont val="Meiryo UI"/>
        <family val="0"/>
        <charset val="1"/>
      </rPr>
      <t xml:space="preserve">690</t>
    </r>
    <r>
      <rPr>
        <sz val="9"/>
        <rFont val="WenQuanYi Zen Hei"/>
        <family val="2"/>
      </rPr>
      <t xml:space="preserve">円</t>
    </r>
  </si>
  <si>
    <r>
      <rPr>
        <sz val="9"/>
        <rFont val="WenQuanYi Zen Hei"/>
        <family val="2"/>
      </rPr>
      <t xml:space="preserve">石川予測は</t>
    </r>
    <r>
      <rPr>
        <sz val="9"/>
        <rFont val="Meiryo UI"/>
        <family val="0"/>
        <charset val="1"/>
      </rPr>
      <t xml:space="preserve">833</t>
    </r>
    <r>
      <rPr>
        <sz val="9"/>
        <rFont val="WenQuanYi Zen Hei"/>
        <family val="2"/>
      </rPr>
      <t xml:space="preserve">円（</t>
    </r>
    <r>
      <rPr>
        <sz val="9"/>
        <rFont val="Meiryo UI"/>
        <family val="0"/>
        <charset val="1"/>
      </rPr>
      <t xml:space="preserve">B30 </t>
    </r>
    <r>
      <rPr>
        <sz val="9"/>
        <rFont val="WenQuanYi Zen Hei"/>
        <family val="2"/>
      </rPr>
      <t xml:space="preserve">の根拠）</t>
    </r>
  </si>
  <si>
    <r>
      <rPr>
        <b val="true"/>
        <sz val="10"/>
        <color rgb="FFFFFFFF"/>
        <rFont val="WenQuanYi Zen Hei"/>
        <family val="2"/>
      </rPr>
      <t xml:space="preserve">■ ③仙台以降予測（</t>
    </r>
    <r>
      <rPr>
        <b val="true"/>
        <sz val="10"/>
        <color rgb="FFFFFFFF"/>
        <rFont val="Meiryo UI"/>
        <family val="0"/>
        <charset val="1"/>
      </rPr>
      <t xml:space="preserve">7</t>
    </r>
    <r>
      <rPr>
        <b val="true"/>
        <sz val="10"/>
        <color rgb="FFFFFFFF"/>
        <rFont val="WenQuanYi Zen Hei"/>
        <family val="2"/>
      </rPr>
      <t xml:space="preserve">〜</t>
    </r>
    <r>
      <rPr>
        <b val="true"/>
        <sz val="10"/>
        <color rgb="FFFFFFFF"/>
        <rFont val="Meiryo UI"/>
        <family val="0"/>
        <charset val="1"/>
      </rPr>
      <t xml:space="preserve">11</t>
    </r>
    <r>
      <rPr>
        <b val="true"/>
        <sz val="10"/>
        <color rgb="FFFFFFFF"/>
        <rFont val="WenQuanYi Zen Hei"/>
        <family val="2"/>
      </rPr>
      <t xml:space="preserve">行＝会場別、</t>
    </r>
    <r>
      <rPr>
        <b val="true"/>
        <sz val="10"/>
        <color rgb="FFFFFFFF"/>
        <rFont val="Meiryo UI"/>
        <family val="0"/>
        <charset val="1"/>
      </rPr>
      <t xml:space="preserve">14</t>
    </r>
    <r>
      <rPr>
        <b val="true"/>
        <sz val="10"/>
        <color rgb="FFFFFFFF"/>
        <rFont val="WenQuanYi Zen Hei"/>
        <family val="2"/>
      </rPr>
      <t xml:space="preserve">〜</t>
    </r>
    <r>
      <rPr>
        <b val="true"/>
        <sz val="10"/>
        <color rgb="FFFFFFFF"/>
        <rFont val="Meiryo UI"/>
        <family val="0"/>
        <charset val="1"/>
      </rPr>
      <t xml:space="preserve">27</t>
    </r>
    <r>
      <rPr>
        <b val="true"/>
        <sz val="10"/>
        <color rgb="FFFFFFFF"/>
        <rFont val="WenQuanYi Zen Hei"/>
        <family val="2"/>
      </rPr>
      <t xml:space="preserve">行＝在庫収支、</t>
    </r>
    <r>
      <rPr>
        <b val="true"/>
        <sz val="10"/>
        <color rgb="FFFFFFFF"/>
        <rFont val="Meiryo UI"/>
        <family val="0"/>
        <charset val="1"/>
      </rPr>
      <t xml:space="preserve">30</t>
    </r>
    <r>
      <rPr>
        <b val="true"/>
        <sz val="10"/>
        <color rgb="FFFFFFFF"/>
        <rFont val="WenQuanYi Zen Hei"/>
        <family val="2"/>
      </rPr>
      <t xml:space="preserve">行＝見出し、</t>
    </r>
    <r>
      <rPr>
        <b val="true"/>
        <sz val="10"/>
        <color rgb="FFFFFFFF"/>
        <rFont val="Meiryo UI"/>
        <family val="0"/>
        <charset val="1"/>
      </rPr>
      <t xml:space="preserve">31</t>
    </r>
    <r>
      <rPr>
        <b val="true"/>
        <sz val="10"/>
        <color rgb="FFFFFFFF"/>
        <rFont val="WenQuanYi Zen Hei"/>
        <family val="2"/>
      </rPr>
      <t xml:space="preserve">〜</t>
    </r>
    <r>
      <rPr>
        <b val="true"/>
        <sz val="10"/>
        <color rgb="FFFFFFFF"/>
        <rFont val="Meiryo UI"/>
        <family val="0"/>
        <charset val="1"/>
      </rPr>
      <t xml:space="preserve">72</t>
    </r>
    <r>
      <rPr>
        <b val="true"/>
        <sz val="10"/>
        <color rgb="FFFFFFFF"/>
        <rFont val="WenQuanYi Zen Hei"/>
        <family val="2"/>
      </rPr>
      <t xml:space="preserve">行＝商品、</t>
    </r>
    <r>
      <rPr>
        <b val="true"/>
        <sz val="10"/>
        <color rgb="FFFFFFFF"/>
        <rFont val="Meiryo UI"/>
        <family val="0"/>
        <charset val="1"/>
      </rPr>
      <t xml:space="preserve">73</t>
    </r>
    <r>
      <rPr>
        <b val="true"/>
        <sz val="10"/>
        <color rgb="FFFFFFFF"/>
        <rFont val="WenQuanYi Zen Hei"/>
        <family val="2"/>
      </rPr>
      <t xml:space="preserve">行＝合計）</t>
    </r>
  </si>
  <si>
    <t xml:space="preserve">D7:D10</t>
  </si>
  <si>
    <r>
      <rPr>
        <sz val="9"/>
        <rFont val="Meiryo UI"/>
        <family val="0"/>
        <charset val="1"/>
      </rPr>
      <t xml:space="preserve">='</t>
    </r>
    <r>
      <rPr>
        <sz val="9"/>
        <rFont val="WenQuanYi Zen Hei"/>
        <family val="2"/>
      </rPr>
      <t xml:space="preserve">前提・入力</t>
    </r>
    <r>
      <rPr>
        <sz val="9"/>
        <rFont val="Meiryo UI"/>
        <family val="0"/>
        <charset val="1"/>
      </rPr>
      <t xml:space="preserve">'!$B$23</t>
    </r>
  </si>
  <si>
    <r>
      <rPr>
        <sz val="9"/>
        <rFont val="Meiryo UI"/>
        <family val="0"/>
        <charset val="1"/>
      </rPr>
      <t xml:space="preserve">13.0%</t>
    </r>
    <r>
      <rPr>
        <sz val="9"/>
        <rFont val="WenQuanYi Zen Hei"/>
        <family val="2"/>
      </rPr>
      <t xml:space="preserve">（仙台 </t>
    </r>
    <r>
      <rPr>
        <sz val="9"/>
        <rFont val="Meiryo UI"/>
        <family val="0"/>
        <charset val="1"/>
      </rPr>
      <t xml:space="preserve">Ebeans</t>
    </r>
    <r>
      <rPr>
        <sz val="9"/>
        <rFont val="WenQuanYi Zen Hei"/>
        <family val="2"/>
      </rPr>
      <t xml:space="preserve">）</t>
    </r>
  </si>
  <si>
    <t xml:space="preserve">シナリオ選択で自動切替</t>
  </si>
  <si>
    <t xml:space="preserve">E7:E10</t>
  </si>
  <si>
    <r>
      <rPr>
        <sz val="9"/>
        <rFont val="Meiryo UI"/>
        <family val="0"/>
        <charset val="1"/>
      </rPr>
      <t xml:space="preserve">='</t>
    </r>
    <r>
      <rPr>
        <sz val="9"/>
        <rFont val="WenQuanYi Zen Hei"/>
        <family val="2"/>
      </rPr>
      <t xml:space="preserve">前提・入力</t>
    </r>
    <r>
      <rPr>
        <sz val="9"/>
        <rFont val="Meiryo UI"/>
        <family val="0"/>
        <charset val="1"/>
      </rPr>
      <t xml:space="preserve">'!$B$13*D7</t>
    </r>
  </si>
  <si>
    <r>
      <rPr>
        <sz val="9"/>
        <rFont val="Meiryo UI"/>
        <family val="0"/>
        <charset val="1"/>
      </rPr>
      <t xml:space="preserve">358,193,925×13.0% </t>
    </r>
    <r>
      <rPr>
        <sz val="9"/>
        <rFont val="WenQuanYi Zen Hei"/>
        <family val="2"/>
      </rPr>
      <t xml:space="preserve">＝ </t>
    </r>
    <r>
      <rPr>
        <sz val="9"/>
        <rFont val="Meiryo UI"/>
        <family val="0"/>
        <charset val="1"/>
      </rPr>
      <t xml:space="preserve">46,565,210</t>
    </r>
    <r>
      <rPr>
        <sz val="9"/>
        <rFont val="WenQuanYi Zen Hei"/>
        <family val="2"/>
      </rPr>
      <t xml:space="preserve">円</t>
    </r>
  </si>
  <si>
    <r>
      <rPr>
        <sz val="9"/>
        <rFont val="Meiryo UI"/>
        <family val="0"/>
        <charset val="1"/>
      </rPr>
      <t xml:space="preserve">B13</t>
    </r>
    <r>
      <rPr>
        <sz val="9"/>
        <rFont val="WenQuanYi Zen Hei"/>
        <family val="2"/>
      </rPr>
      <t xml:space="preserve">＝東京</t>
    </r>
    <r>
      <rPr>
        <sz val="9"/>
        <rFont val="Meiryo UI"/>
        <family val="0"/>
        <charset val="1"/>
      </rPr>
      <t xml:space="preserve">(</t>
    </r>
    <r>
      <rPr>
        <sz val="9"/>
        <rFont val="WenQuanYi Zen Hei"/>
        <family val="2"/>
      </rPr>
      <t xml:space="preserve">初回</t>
    </r>
    <r>
      <rPr>
        <sz val="9"/>
        <rFont val="Meiryo UI"/>
        <family val="0"/>
        <charset val="1"/>
      </rPr>
      <t xml:space="preserve">)25</t>
    </r>
    <r>
      <rPr>
        <sz val="9"/>
        <rFont val="WenQuanYi Zen Hei"/>
        <family val="2"/>
      </rPr>
      <t xml:space="preserve">日間の全物販実績</t>
    </r>
  </si>
  <si>
    <t xml:space="preserve">F7:F10</t>
  </si>
  <si>
    <r>
      <rPr>
        <b val="true"/>
        <sz val="9"/>
        <rFont val="Meiryo UI"/>
        <family val="0"/>
        <charset val="1"/>
      </rPr>
      <t xml:space="preserve">LEGS </t>
    </r>
    <r>
      <rPr>
        <b val="true"/>
        <sz val="9"/>
        <rFont val="WenQuanYi Zen Hei"/>
        <family val="2"/>
      </rPr>
      <t xml:space="preserve">売上</t>
    </r>
  </si>
  <si>
    <r>
      <rPr>
        <sz val="9"/>
        <rFont val="Meiryo UI"/>
        <family val="0"/>
        <charset val="1"/>
      </rPr>
      <t xml:space="preserve">=E7*'</t>
    </r>
    <r>
      <rPr>
        <sz val="9"/>
        <rFont val="WenQuanYi Zen Hei"/>
        <family val="2"/>
      </rPr>
      <t xml:space="preserve">前提・入力</t>
    </r>
    <r>
      <rPr>
        <sz val="9"/>
        <rFont val="Meiryo UI"/>
        <family val="0"/>
        <charset val="1"/>
      </rPr>
      <t xml:space="preserve">'!$B$29</t>
    </r>
  </si>
  <si>
    <r>
      <rPr>
        <sz val="9"/>
        <rFont val="Meiryo UI"/>
        <family val="0"/>
        <charset val="1"/>
      </rPr>
      <t xml:space="preserve">46,565,210×17.1% </t>
    </r>
    <r>
      <rPr>
        <sz val="9"/>
        <rFont val="WenQuanYi Zen Hei"/>
        <family val="2"/>
      </rPr>
      <t xml:space="preserve">＝ </t>
    </r>
    <r>
      <rPr>
        <sz val="9"/>
        <rFont val="Meiryo UI"/>
        <family val="0"/>
        <charset val="1"/>
      </rPr>
      <t xml:space="preserve">7,943,484</t>
    </r>
    <r>
      <rPr>
        <sz val="9"/>
        <rFont val="WenQuanYi Zen Hei"/>
        <family val="2"/>
      </rPr>
      <t xml:space="preserve">円</t>
    </r>
  </si>
  <si>
    <r>
      <rPr>
        <sz val="9"/>
        <rFont val="Meiryo UI"/>
        <family val="0"/>
        <charset val="1"/>
      </rPr>
      <t xml:space="preserve">B29</t>
    </r>
    <r>
      <rPr>
        <sz val="9"/>
        <rFont val="WenQuanYi Zen Hei"/>
        <family val="2"/>
      </rPr>
      <t xml:space="preserve">＝</t>
    </r>
    <r>
      <rPr>
        <sz val="9"/>
        <rFont val="Meiryo UI"/>
        <family val="0"/>
        <charset val="1"/>
      </rPr>
      <t xml:space="preserve">LEGS</t>
    </r>
    <r>
      <rPr>
        <sz val="9"/>
        <rFont val="WenQuanYi Zen Hei"/>
        <family val="2"/>
      </rPr>
      <t xml:space="preserve">金額構成比</t>
    </r>
  </si>
  <si>
    <t xml:space="preserve">G7:G10</t>
  </si>
  <si>
    <r>
      <rPr>
        <b val="true"/>
        <sz val="9"/>
        <rFont val="Meiryo UI"/>
        <family val="0"/>
        <charset val="1"/>
      </rPr>
      <t xml:space="preserve">LEGS </t>
    </r>
    <r>
      <rPr>
        <b val="true"/>
        <sz val="9"/>
        <rFont val="WenQuanYi Zen Hei"/>
        <family val="2"/>
      </rPr>
      <t xml:space="preserve">数量（会場の必要数）</t>
    </r>
  </si>
  <si>
    <r>
      <rPr>
        <sz val="9"/>
        <rFont val="Meiryo UI"/>
        <family val="0"/>
        <charset val="1"/>
      </rPr>
      <t xml:space="preserve">=ROUND(F7/'</t>
    </r>
    <r>
      <rPr>
        <sz val="9"/>
        <rFont val="WenQuanYi Zen Hei"/>
        <family val="2"/>
      </rPr>
      <t xml:space="preserve">前提・入力</t>
    </r>
    <r>
      <rPr>
        <sz val="9"/>
        <rFont val="Meiryo UI"/>
        <family val="0"/>
        <charset val="1"/>
      </rPr>
      <t xml:space="preserve">'!$B$30,0)</t>
    </r>
  </si>
  <si>
    <r>
      <rPr>
        <sz val="9"/>
        <rFont val="Meiryo UI"/>
        <family val="0"/>
        <charset val="1"/>
      </rPr>
      <t xml:space="preserve">7,943,484÷833</t>
    </r>
    <r>
      <rPr>
        <sz val="9"/>
        <rFont val="WenQuanYi Zen Hei"/>
        <family val="2"/>
      </rPr>
      <t xml:space="preserve">円 ＝ </t>
    </r>
    <r>
      <rPr>
        <sz val="9"/>
        <rFont val="Meiryo UI"/>
        <family val="0"/>
        <charset val="1"/>
      </rPr>
      <t xml:space="preserve">9,536</t>
    </r>
    <r>
      <rPr>
        <sz val="9"/>
        <rFont val="WenQuanYi Zen Hei"/>
        <family val="2"/>
      </rPr>
      <t xml:space="preserve">個</t>
    </r>
  </si>
  <si>
    <r>
      <rPr>
        <sz val="9"/>
        <rFont val="Meiryo UI"/>
        <family val="0"/>
        <charset val="1"/>
      </rPr>
      <t xml:space="preserve">4</t>
    </r>
    <r>
      <rPr>
        <sz val="9"/>
        <rFont val="WenQuanYi Zen Hei"/>
        <family val="2"/>
      </rPr>
      <t xml:space="preserve">会場計 </t>
    </r>
    <r>
      <rPr>
        <sz val="9"/>
        <rFont val="Meiryo UI"/>
        <family val="0"/>
        <charset val="1"/>
      </rPr>
      <t xml:space="preserve">G11</t>
    </r>
    <r>
      <rPr>
        <sz val="9"/>
        <rFont val="WenQuanYi Zen Hei"/>
        <family val="2"/>
      </rPr>
      <t xml:space="preserve">＝</t>
    </r>
    <r>
      <rPr>
        <sz val="9"/>
        <rFont val="Meiryo UI"/>
        <family val="0"/>
        <charset val="1"/>
      </rPr>
      <t xml:space="preserve">61,617</t>
    </r>
    <r>
      <rPr>
        <sz val="9"/>
        <rFont val="WenQuanYi Zen Hei"/>
        <family val="2"/>
      </rPr>
      <t xml:space="preserve">個</t>
    </r>
  </si>
  <si>
    <t xml:space="preserve">B14:B27</t>
  </si>
  <si>
    <r>
      <rPr>
        <b val="true"/>
        <sz val="9"/>
        <rFont val="WenQuanYi Zen Hei"/>
        <family val="2"/>
      </rPr>
      <t xml:space="preserve">在庫収支（</t>
    </r>
    <r>
      <rPr>
        <b val="true"/>
        <sz val="9"/>
        <rFont val="Meiryo UI"/>
        <family val="0"/>
        <charset val="1"/>
      </rPr>
      <t xml:space="preserve">LEGS 42SKU </t>
    </r>
    <r>
      <rPr>
        <b val="true"/>
        <sz val="9"/>
        <rFont val="WenQuanYi Zen Hei"/>
        <family val="2"/>
      </rPr>
      <t xml:space="preserve">合計）</t>
    </r>
  </si>
  <si>
    <t xml:space="preserve">残在庫想定 → 石川納品 → 倉庫残 → 追納 → 会期末返送 → 供給可能在庫 → 必要数 → 追加生産、と積み上げる</t>
  </si>
  <si>
    <r>
      <rPr>
        <sz val="9"/>
        <rFont val="WenQuanYi Zen Hei"/>
        <family val="2"/>
      </rPr>
      <t xml:space="preserve">供給可能 </t>
    </r>
    <r>
      <rPr>
        <sz val="9"/>
        <rFont val="Meiryo UI"/>
        <family val="0"/>
        <charset val="1"/>
      </rPr>
      <t xml:space="preserve">271,370 </t>
    </r>
    <r>
      <rPr>
        <sz val="9"/>
        <rFont val="WenQuanYi Zen Hei"/>
        <family val="2"/>
      </rPr>
      <t xml:space="preserve">＋ 確定発注 </t>
    </r>
    <r>
      <rPr>
        <sz val="9"/>
        <rFont val="Meiryo UI"/>
        <family val="0"/>
        <charset val="1"/>
      </rPr>
      <t xml:space="preserve">1,200 − </t>
    </r>
    <r>
      <rPr>
        <sz val="9"/>
        <rFont val="WenQuanYi Zen Hei"/>
        <family val="2"/>
      </rPr>
      <t xml:space="preserve">必要 </t>
    </r>
    <r>
      <rPr>
        <sz val="9"/>
        <rFont val="Meiryo UI"/>
        <family val="0"/>
        <charset val="1"/>
      </rPr>
      <t xml:space="preserve">61,617 </t>
    </r>
    <r>
      <rPr>
        <sz val="9"/>
        <rFont val="WenQuanYi Zen Hei"/>
        <family val="2"/>
      </rPr>
      <t xml:space="preserve">＝ </t>
    </r>
    <r>
      <rPr>
        <sz val="9"/>
        <rFont val="Meiryo UI"/>
        <family val="0"/>
        <charset val="1"/>
      </rPr>
      <t xml:space="preserve">210,953</t>
    </r>
    <r>
      <rPr>
        <sz val="9"/>
        <rFont val="WenQuanYi Zen Hei"/>
        <family val="2"/>
      </rPr>
      <t xml:space="preserve">個</t>
    </r>
  </si>
  <si>
    <r>
      <rPr>
        <sz val="9"/>
        <rFont val="WenQuanYi Zen Hei"/>
        <family val="2"/>
      </rPr>
      <t xml:space="preserve">全体は余剰でも品目別には不足が出る（追加生産 </t>
    </r>
    <r>
      <rPr>
        <sz val="9"/>
        <rFont val="Meiryo UI"/>
        <family val="0"/>
        <charset val="1"/>
      </rPr>
      <t xml:space="preserve">3,384</t>
    </r>
    <r>
      <rPr>
        <sz val="9"/>
        <rFont val="WenQuanYi Zen Hei"/>
        <family val="2"/>
      </rPr>
      <t xml:space="preserve">個・</t>
    </r>
    <r>
      <rPr>
        <sz val="9"/>
        <rFont val="Meiryo UI"/>
        <family val="0"/>
        <charset val="1"/>
      </rPr>
      <t xml:space="preserve">13</t>
    </r>
    <r>
      <rPr>
        <sz val="9"/>
        <rFont val="WenQuanYi Zen Hei"/>
        <family val="2"/>
      </rPr>
      <t xml:space="preserve">品目）</t>
    </r>
  </si>
  <si>
    <t xml:space="preserve">大阪／構成比</t>
  </si>
  <si>
    <r>
      <rPr>
        <sz val="9"/>
        <rFont val="Meiryo UI"/>
        <family val="0"/>
        <charset val="1"/>
      </rPr>
      <t xml:space="preserve">507÷8,891 </t>
    </r>
    <r>
      <rPr>
        <sz val="9"/>
        <rFont val="WenQuanYi Zen Hei"/>
        <family val="2"/>
      </rPr>
      <t xml:space="preserve">＝ </t>
    </r>
    <r>
      <rPr>
        <sz val="9"/>
        <rFont val="Meiryo UI"/>
        <family val="0"/>
        <charset val="1"/>
      </rPr>
      <t xml:space="preserve">5.70%</t>
    </r>
  </si>
  <si>
    <r>
      <rPr>
        <sz val="9"/>
        <rFont val="WenQuanYi Zen Hei"/>
        <family val="2"/>
      </rPr>
      <t xml:space="preserve">大阪</t>
    </r>
    <r>
      <rPr>
        <sz val="9"/>
        <rFont val="Meiryo UI"/>
        <family val="0"/>
        <charset val="1"/>
      </rPr>
      <t xml:space="preserve">20</t>
    </r>
    <r>
      <rPr>
        <sz val="9"/>
        <rFont val="WenQuanYi Zen Hei"/>
        <family val="2"/>
      </rPr>
      <t xml:space="preserve">日実績ベース（前会場側の構成比）</t>
    </r>
  </si>
  <si>
    <r>
      <rPr>
        <sz val="9"/>
        <rFont val="Meiryo UI"/>
        <family val="0"/>
        <charset val="1"/>
      </rPr>
      <t xml:space="preserve">G</t>
    </r>
    <r>
      <rPr>
        <sz val="9"/>
        <rFont val="WenQuanYi Zen Hei"/>
        <family val="2"/>
      </rPr>
      <t xml:space="preserve">列</t>
    </r>
  </si>
  <si>
    <t xml:space="preserve">石川 構成比</t>
  </si>
  <si>
    <t xml:space="preserve">=IFERROR(F31/F$73,0)</t>
  </si>
  <si>
    <r>
      <rPr>
        <sz val="9"/>
        <rFont val="WenQuanYi Zen Hei"/>
        <family val="2"/>
      </rPr>
      <t xml:space="preserve">石川</t>
    </r>
    <r>
      <rPr>
        <sz val="9"/>
        <rFont val="Meiryo UI"/>
        <family val="0"/>
        <charset val="1"/>
      </rPr>
      <t xml:space="preserve">18</t>
    </r>
    <r>
      <rPr>
        <sz val="9"/>
        <rFont val="WenQuanYi Zen Hei"/>
        <family val="2"/>
      </rPr>
      <t xml:space="preserve">日予測ベース（①の数量構成比と同値）</t>
    </r>
  </si>
  <si>
    <t xml:space="preserve">採用 按分構成比</t>
  </si>
  <si>
    <r>
      <rPr>
        <sz val="9"/>
        <rFont val="Meiryo UI"/>
        <family val="0"/>
        <charset val="1"/>
      </rPr>
      <t xml:space="preserve">=E31*'</t>
    </r>
    <r>
      <rPr>
        <sz val="9"/>
        <rFont val="WenQuanYi Zen Hei"/>
        <family val="2"/>
      </rPr>
      <t xml:space="preserve">前提・入力</t>
    </r>
    <r>
      <rPr>
        <sz val="9"/>
        <rFont val="Meiryo UI"/>
        <family val="0"/>
        <charset val="1"/>
      </rPr>
      <t xml:space="preserve">'!$B$31+G31*'</t>
    </r>
    <r>
      <rPr>
        <sz val="9"/>
        <rFont val="WenQuanYi Zen Hei"/>
        <family val="2"/>
      </rPr>
      <t xml:space="preserve">前提・入力</t>
    </r>
    <r>
      <rPr>
        <sz val="9"/>
        <rFont val="Meiryo UI"/>
        <family val="0"/>
        <charset val="1"/>
      </rPr>
      <t xml:space="preserve">'!$B$32</t>
    </r>
  </si>
  <si>
    <r>
      <rPr>
        <sz val="9"/>
        <rFont val="Meiryo UI"/>
        <family val="0"/>
        <charset val="1"/>
      </rPr>
      <t xml:space="preserve">5.70%×50% </t>
    </r>
    <r>
      <rPr>
        <sz val="9"/>
        <rFont val="WenQuanYi Zen Hei"/>
        <family val="2"/>
      </rPr>
      <t xml:space="preserve">＋ </t>
    </r>
    <r>
      <rPr>
        <sz val="9"/>
        <rFont val="Meiryo UI"/>
        <family val="0"/>
        <charset val="1"/>
      </rPr>
      <t xml:space="preserve">5.28%×50% </t>
    </r>
    <r>
      <rPr>
        <sz val="9"/>
        <rFont val="WenQuanYi Zen Hei"/>
        <family val="2"/>
      </rPr>
      <t xml:space="preserve">＝ </t>
    </r>
    <r>
      <rPr>
        <sz val="9"/>
        <rFont val="Meiryo UI"/>
        <family val="0"/>
        <charset val="1"/>
      </rPr>
      <t xml:space="preserve">5.491%</t>
    </r>
  </si>
  <si>
    <r>
      <rPr>
        <sz val="9"/>
        <rFont val="WenQuanYi Zen Hei"/>
        <family val="2"/>
      </rPr>
      <t xml:space="preserve">★商品別配分の要。ウェイトは「前提・入力」</t>
    </r>
    <r>
      <rPr>
        <sz val="9"/>
        <rFont val="Meiryo UI"/>
        <family val="0"/>
        <charset val="1"/>
      </rPr>
      <t xml:space="preserve">B31</t>
    </r>
    <r>
      <rPr>
        <sz val="9"/>
        <rFont val="WenQuanYi Zen Hei"/>
        <family val="2"/>
      </rPr>
      <t xml:space="preserve">／</t>
    </r>
    <r>
      <rPr>
        <sz val="9"/>
        <rFont val="Meiryo UI"/>
        <family val="0"/>
        <charset val="1"/>
      </rPr>
      <t xml:space="preserve">B32</t>
    </r>
  </si>
  <si>
    <r>
      <rPr>
        <sz val="9"/>
        <rFont val="Meiryo UI"/>
        <family val="0"/>
        <charset val="1"/>
      </rPr>
      <t xml:space="preserve">I:L</t>
    </r>
    <r>
      <rPr>
        <sz val="9"/>
        <rFont val="WenQuanYi Zen Hei"/>
        <family val="2"/>
      </rPr>
      <t xml:space="preserve">列</t>
    </r>
  </si>
  <si>
    <t xml:space="preserve">会場別 必要数</t>
  </si>
  <si>
    <r>
      <rPr>
        <sz val="9"/>
        <rFont val="Meiryo UI"/>
        <family val="0"/>
        <charset val="1"/>
      </rPr>
      <t xml:space="preserve">=ROUND($H31*'③</t>
    </r>
    <r>
      <rPr>
        <sz val="9"/>
        <rFont val="WenQuanYi Zen Hei"/>
        <family val="2"/>
      </rPr>
      <t xml:space="preserve">仙台以降予測</t>
    </r>
    <r>
      <rPr>
        <sz val="9"/>
        <rFont val="Meiryo UI"/>
        <family val="0"/>
        <charset val="1"/>
      </rPr>
      <t xml:space="preserve">'!$G$7,0)</t>
    </r>
  </si>
  <si>
    <r>
      <rPr>
        <sz val="9"/>
        <rFont val="Meiryo UI"/>
        <family val="0"/>
        <charset val="1"/>
      </rPr>
      <t xml:space="preserve">5.491%×9,536 </t>
    </r>
    <r>
      <rPr>
        <sz val="9"/>
        <rFont val="WenQuanYi Zen Hei"/>
        <family val="2"/>
      </rPr>
      <t xml:space="preserve">＝ </t>
    </r>
    <r>
      <rPr>
        <sz val="9"/>
        <rFont val="Meiryo UI"/>
        <family val="0"/>
        <charset val="1"/>
      </rPr>
      <t xml:space="preserve">524</t>
    </r>
    <r>
      <rPr>
        <sz val="9"/>
        <rFont val="WenQuanYi Zen Hei"/>
        <family val="2"/>
      </rPr>
      <t xml:space="preserve">個（仙台 </t>
    </r>
    <r>
      <rPr>
        <sz val="9"/>
        <rFont val="Meiryo UI"/>
        <family val="0"/>
        <charset val="1"/>
      </rPr>
      <t xml:space="preserve">Ebeans</t>
    </r>
    <r>
      <rPr>
        <sz val="9"/>
        <rFont val="WenQuanYi Zen Hei"/>
        <family val="2"/>
      </rPr>
      <t xml:space="preserve">）</t>
    </r>
  </si>
  <si>
    <r>
      <rPr>
        <sz val="9"/>
        <rFont val="WenQuanYi Zen Hei"/>
        <family val="2"/>
      </rPr>
      <t xml:space="preserve">列ごとに会場別表の </t>
    </r>
    <r>
      <rPr>
        <sz val="9"/>
        <rFont val="Meiryo UI"/>
        <family val="0"/>
        <charset val="1"/>
      </rPr>
      <t xml:space="preserve">$G$7</t>
    </r>
    <r>
      <rPr>
        <sz val="9"/>
        <rFont val="WenQuanYi Zen Hei"/>
        <family val="2"/>
      </rPr>
      <t xml:space="preserve">〜</t>
    </r>
    <r>
      <rPr>
        <sz val="9"/>
        <rFont val="Meiryo UI"/>
        <family val="0"/>
        <charset val="1"/>
      </rPr>
      <t xml:space="preserve">$G$10 </t>
    </r>
    <r>
      <rPr>
        <sz val="9"/>
        <rFont val="WenQuanYi Zen Hei"/>
        <family val="2"/>
      </rPr>
      <t xml:space="preserve">を参照</t>
    </r>
  </si>
  <si>
    <r>
      <rPr>
        <sz val="9"/>
        <rFont val="Meiryo UI"/>
        <family val="0"/>
        <charset val="1"/>
      </rPr>
      <t xml:space="preserve">M</t>
    </r>
    <r>
      <rPr>
        <sz val="9"/>
        <rFont val="WenQuanYi Zen Hei"/>
        <family val="2"/>
      </rPr>
      <t xml:space="preserve">列</t>
    </r>
  </si>
  <si>
    <t xml:space="preserve">仙台以降 必要数 計</t>
  </si>
  <si>
    <t xml:space="preserve">=SUM(I31:L31)</t>
  </si>
  <si>
    <r>
      <rPr>
        <sz val="9"/>
        <rFont val="Meiryo UI"/>
        <family val="0"/>
        <charset val="1"/>
      </rPr>
      <t xml:space="preserve">524</t>
    </r>
    <r>
      <rPr>
        <sz val="9"/>
        <rFont val="WenQuanYi Zen Hei"/>
        <family val="2"/>
      </rPr>
      <t xml:space="preserve">＋</t>
    </r>
    <r>
      <rPr>
        <sz val="9"/>
        <rFont val="Meiryo UI"/>
        <family val="0"/>
        <charset val="1"/>
      </rPr>
      <t xml:space="preserve">483</t>
    </r>
    <r>
      <rPr>
        <sz val="9"/>
        <rFont val="WenQuanYi Zen Hei"/>
        <family val="2"/>
      </rPr>
      <t xml:space="preserve">＋</t>
    </r>
    <r>
      <rPr>
        <sz val="9"/>
        <rFont val="Meiryo UI"/>
        <family val="0"/>
        <charset val="1"/>
      </rPr>
      <t xml:space="preserve">363</t>
    </r>
    <r>
      <rPr>
        <sz val="9"/>
        <rFont val="WenQuanYi Zen Hei"/>
        <family val="2"/>
      </rPr>
      <t xml:space="preserve">＋</t>
    </r>
    <r>
      <rPr>
        <sz val="9"/>
        <rFont val="Meiryo UI"/>
        <family val="0"/>
        <charset val="1"/>
      </rPr>
      <t xml:space="preserve">2,014 </t>
    </r>
    <r>
      <rPr>
        <sz val="9"/>
        <rFont val="WenQuanYi Zen Hei"/>
        <family val="2"/>
      </rPr>
      <t xml:space="preserve">＝ </t>
    </r>
    <r>
      <rPr>
        <sz val="9"/>
        <rFont val="Meiryo UI"/>
        <family val="0"/>
        <charset val="1"/>
      </rPr>
      <t xml:space="preserve">3,384</t>
    </r>
    <r>
      <rPr>
        <sz val="9"/>
        <rFont val="WenQuanYi Zen Hei"/>
        <family val="2"/>
      </rPr>
      <t xml:space="preserve">個</t>
    </r>
  </si>
  <si>
    <t xml:space="preserve">この商品の仙台以降 総需要。④⑤⑧⑩⑪へ供給される</t>
  </si>
  <si>
    <r>
      <rPr>
        <sz val="9"/>
        <rFont val="Meiryo UI"/>
        <family val="0"/>
        <charset val="1"/>
      </rPr>
      <t xml:space="preserve">N</t>
    </r>
    <r>
      <rPr>
        <sz val="9"/>
        <rFont val="WenQuanYi Zen Hei"/>
        <family val="2"/>
      </rPr>
      <t xml:space="preserve">列</t>
    </r>
  </si>
  <si>
    <r>
      <rPr>
        <b val="true"/>
        <sz val="9"/>
        <rFont val="WenQuanYi Zen Hei"/>
        <family val="2"/>
      </rPr>
      <t xml:space="preserve">★残在庫想定 </t>
    </r>
    <r>
      <rPr>
        <b val="true"/>
        <sz val="9"/>
        <rFont val="Meiryo UI"/>
        <family val="0"/>
        <charset val="1"/>
      </rPr>
      <t xml:space="preserve">(</t>
    </r>
    <r>
      <rPr>
        <b val="true"/>
        <sz val="9"/>
        <rFont val="WenQuanYi Zen Hei"/>
        <family val="2"/>
      </rPr>
      <t xml:space="preserve">台帳 梅田まで</t>
    </r>
    <r>
      <rPr>
        <b val="true"/>
        <sz val="9"/>
        <rFont val="Meiryo UI"/>
        <family val="0"/>
        <charset val="1"/>
      </rPr>
      <t xml:space="preserve">)</t>
    </r>
  </si>
  <si>
    <t xml:space="preserve">⑧シートの残在庫想定列からの転記</t>
  </si>
  <si>
    <r>
      <rPr>
        <sz val="9"/>
        <rFont val="Meiryo UI"/>
        <family val="0"/>
        <charset val="1"/>
      </rPr>
      <t xml:space="preserve">3,271</t>
    </r>
    <r>
      <rPr>
        <sz val="9"/>
        <rFont val="WenQuanYi Zen Hei"/>
        <family val="2"/>
      </rPr>
      <t xml:space="preserve">個</t>
    </r>
  </si>
  <si>
    <r>
      <rPr>
        <sz val="9"/>
        <rFont val="WenQuanYi Zen Hei"/>
        <family val="2"/>
      </rPr>
      <t xml:space="preserve">在庫フロー台帳【清算</t>
    </r>
    <r>
      <rPr>
        <sz val="9"/>
        <rFont val="Meiryo UI"/>
        <family val="0"/>
        <charset val="1"/>
      </rPr>
      <t xml:space="preserve">(</t>
    </r>
    <r>
      <rPr>
        <sz val="9"/>
        <rFont val="WenQuanYi Zen Hei"/>
        <family val="2"/>
      </rPr>
      <t xml:space="preserve">卸値</t>
    </r>
    <r>
      <rPr>
        <sz val="9"/>
        <rFont val="Meiryo UI"/>
        <family val="0"/>
        <charset val="1"/>
      </rPr>
      <t xml:space="preserve">67</t>
    </r>
    <r>
      <rPr>
        <sz val="9"/>
        <rFont val="WenQuanYi Zen Hei"/>
        <family val="2"/>
      </rPr>
      <t xml:space="preserve">％</t>
    </r>
    <r>
      <rPr>
        <sz val="9"/>
        <rFont val="Meiryo UI"/>
        <family val="0"/>
        <charset val="1"/>
      </rPr>
      <t xml:space="preserve">)</t>
    </r>
    <r>
      <rPr>
        <sz val="9"/>
        <rFont val="WenQuanYi Zen Hei"/>
        <family val="2"/>
      </rPr>
      <t xml:space="preserve">】…</t>
    </r>
    <r>
      <rPr>
        <sz val="9"/>
        <rFont val="Meiryo UI"/>
        <family val="0"/>
        <charset val="1"/>
      </rPr>
      <t xml:space="preserve">_</t>
    </r>
    <r>
      <rPr>
        <sz val="9"/>
        <rFont val="WenQuanYi Zen Hei"/>
        <family val="2"/>
      </rPr>
      <t xml:space="preserve">検品差異 の最終「実在庫」列（</t>
    </r>
    <r>
      <rPr>
        <sz val="9"/>
        <rFont val="Meiryo UI"/>
        <family val="0"/>
        <charset val="1"/>
      </rPr>
      <t xml:space="preserve">BB</t>
    </r>
    <r>
      <rPr>
        <sz val="9"/>
        <rFont val="WenQuanYi Zen Hei"/>
        <family val="2"/>
      </rPr>
      <t xml:space="preserve">列＝梅田まで</t>
    </r>
    <r>
      <rPr>
        <sz val="9"/>
        <rFont val="Meiryo UI"/>
        <family val="0"/>
        <charset val="1"/>
      </rPr>
      <t xml:space="preserve">(SET)</t>
    </r>
    <r>
      <rPr>
        <sz val="9"/>
        <rFont val="WenQuanYi Zen Hei"/>
        <family val="2"/>
      </rPr>
      <t xml:space="preserve">）</t>
    </r>
  </si>
  <si>
    <r>
      <rPr>
        <b val="true"/>
        <sz val="9"/>
        <rFont val="WenQuanYi Zen Hei"/>
        <family val="2"/>
      </rPr>
      <t xml:space="preserve">★ロジ在庫 </t>
    </r>
    <r>
      <rPr>
        <b val="true"/>
        <sz val="9"/>
        <rFont val="Meiryo UI"/>
        <family val="0"/>
        <charset val="1"/>
      </rPr>
      <t xml:space="preserve">(2026/8/5 </t>
    </r>
    <r>
      <rPr>
        <b val="true"/>
        <sz val="9"/>
        <rFont val="WenQuanYi Zen Hei"/>
        <family val="2"/>
      </rPr>
      <t xml:space="preserve">実棚</t>
    </r>
    <r>
      <rPr>
        <b val="true"/>
        <sz val="9"/>
        <rFont val="Meiryo UI"/>
        <family val="0"/>
        <charset val="1"/>
      </rPr>
      <t xml:space="preserve">)</t>
    </r>
  </si>
  <si>
    <r>
      <rPr>
        <sz val="9"/>
        <rFont val="WenQuanYi Zen Hei"/>
        <family val="2"/>
      </rPr>
      <t xml:space="preserve">（数式なし＝ロジ在庫データの「在庫数</t>
    </r>
    <r>
      <rPr>
        <sz val="9"/>
        <rFont val="Meiryo UI"/>
        <family val="0"/>
        <charset val="1"/>
      </rPr>
      <t xml:space="preserve">(</t>
    </r>
    <r>
      <rPr>
        <sz val="9"/>
        <rFont val="WenQuanYi Zen Hei"/>
        <family val="2"/>
      </rPr>
      <t xml:space="preserve">引当数を含む</t>
    </r>
    <r>
      <rPr>
        <sz val="9"/>
        <rFont val="Meiryo UI"/>
        <family val="0"/>
        <charset val="1"/>
      </rPr>
      <t xml:space="preserve">)</t>
    </r>
    <r>
      <rPr>
        <sz val="9"/>
        <rFont val="WenQuanYi Zen Hei"/>
        <family val="2"/>
      </rPr>
      <t xml:space="preserve">」を転記）</t>
    </r>
  </si>
  <si>
    <r>
      <rPr>
        <sz val="9"/>
        <rFont val="Meiryo UI"/>
        <family val="0"/>
        <charset val="1"/>
      </rPr>
      <t xml:space="preserve">2,268</t>
    </r>
    <r>
      <rPr>
        <sz val="9"/>
        <rFont val="WenQuanYi Zen Hei"/>
        <family val="2"/>
      </rPr>
      <t xml:space="preserve">個（台帳から計算した倉庫残 </t>
    </r>
    <r>
      <rPr>
        <sz val="9"/>
        <rFont val="Meiryo UI"/>
        <family val="0"/>
        <charset val="1"/>
      </rPr>
      <t xml:space="preserve">2,578</t>
    </r>
    <r>
      <rPr>
        <sz val="9"/>
        <rFont val="WenQuanYi Zen Hei"/>
        <family val="2"/>
      </rPr>
      <t xml:space="preserve">個 との差 </t>
    </r>
    <r>
      <rPr>
        <sz val="9"/>
        <rFont val="Meiryo UI"/>
        <family val="0"/>
        <charset val="1"/>
      </rPr>
      <t xml:space="preserve">-310</t>
    </r>
    <r>
      <rPr>
        <sz val="9"/>
        <rFont val="WenQuanYi Zen Hei"/>
        <family val="2"/>
      </rPr>
      <t xml:space="preserve">個）</t>
    </r>
  </si>
  <si>
    <r>
      <rPr>
        <sz val="9"/>
        <rFont val="WenQuanYi Zen Hei"/>
        <family val="2"/>
      </rPr>
      <t xml:space="preserve">ロジ在庫データ（</t>
    </r>
    <r>
      <rPr>
        <sz val="9"/>
        <rFont val="Meiryo UI"/>
        <family val="0"/>
        <charset val="1"/>
      </rPr>
      <t xml:space="preserve">WMS</t>
    </r>
    <r>
      <rPr>
        <sz val="9"/>
        <rFont val="WenQuanYi Zen Hei"/>
        <family val="2"/>
      </rPr>
      <t xml:space="preserve">）</t>
    </r>
    <r>
      <rPr>
        <sz val="9"/>
        <rFont val="Meiryo UI"/>
        <family val="0"/>
        <charset val="1"/>
      </rPr>
      <t xml:space="preserve">CZ05001</t>
    </r>
    <r>
      <rPr>
        <sz val="9"/>
        <rFont val="WenQuanYi Zen Hei"/>
        <family val="2"/>
      </rPr>
      <t xml:space="preserve">／「在庫数</t>
    </r>
    <r>
      <rPr>
        <sz val="9"/>
        <rFont val="Meiryo UI"/>
        <family val="0"/>
        <charset val="1"/>
      </rPr>
      <t xml:space="preserve">(</t>
    </r>
    <r>
      <rPr>
        <sz val="9"/>
        <rFont val="WenQuanYi Zen Hei"/>
        <family val="2"/>
      </rPr>
      <t xml:space="preserve">引当数を含む</t>
    </r>
    <r>
      <rPr>
        <sz val="9"/>
        <rFont val="Meiryo UI"/>
        <family val="0"/>
        <charset val="1"/>
      </rPr>
      <t xml:space="preserve">)</t>
    </r>
    <r>
      <rPr>
        <sz val="9"/>
        <rFont val="WenQuanYi Zen Hei"/>
        <family val="2"/>
      </rPr>
      <t xml:space="preserve">」列。石川会場への出荷が済んだ後の実棚なので、台帳から計算した倉庫残より実態に近い</t>
    </r>
  </si>
  <si>
    <r>
      <rPr>
        <sz val="9"/>
        <rFont val="Meiryo UI"/>
        <family val="0"/>
        <charset val="1"/>
      </rPr>
      <t xml:space="preserve">? / Q</t>
    </r>
    <r>
      <rPr>
        <sz val="9"/>
        <rFont val="WenQuanYi Zen Hei"/>
        <family val="2"/>
      </rPr>
      <t xml:space="preserve">列</t>
    </r>
  </si>
  <si>
    <t xml:space="preserve">石川納品済／差引 倉庫残</t>
  </si>
  <si>
    <r>
      <rPr>
        <sz val="9"/>
        <rFont val="WenQuanYi Zen Hei"/>
        <family val="2"/>
      </rPr>
      <t xml:space="preserve"> ／ </t>
    </r>
    <r>
      <rPr>
        <sz val="9"/>
        <rFont val="Meiryo UI"/>
        <family val="0"/>
        <charset val="1"/>
      </rPr>
      <t xml:space="preserve">=IF(P31="",N31-O31,P31)</t>
    </r>
  </si>
  <si>
    <r>
      <rPr>
        <sz val="9"/>
        <rFont val="Meiryo UI"/>
        <family val="0"/>
        <charset val="1"/>
      </rPr>
      <t xml:space="preserve">693 </t>
    </r>
    <r>
      <rPr>
        <sz val="9"/>
        <rFont val="WenQuanYi Zen Hei"/>
        <family val="2"/>
      </rPr>
      <t xml:space="preserve">／ </t>
    </r>
    <r>
      <rPr>
        <sz val="9"/>
        <rFont val="Meiryo UI"/>
        <family val="0"/>
        <charset val="1"/>
      </rPr>
      <t xml:space="preserve">2,268</t>
    </r>
    <r>
      <rPr>
        <sz val="9"/>
        <rFont val="WenQuanYi Zen Hei"/>
        <family val="2"/>
      </rPr>
      <t xml:space="preserve">個</t>
    </r>
  </si>
  <si>
    <t xml:space="preserve">倉庫残＝仙台以降へ即出荷できる分。ロジ実棚があればそれを、無い品だけ 残在庫−会場納品 で代用する</t>
  </si>
  <si>
    <t xml:space="preserve">追納必要数</t>
  </si>
  <si>
    <r>
      <rPr>
        <sz val="9"/>
        <rFont val="Meiryo UI"/>
        <family val="0"/>
        <charset val="1"/>
      </rPr>
      <t xml:space="preserve">MAX(0, 272−693) </t>
    </r>
    <r>
      <rPr>
        <sz val="9"/>
        <rFont val="WenQuanYi Zen Hei"/>
        <family val="2"/>
      </rPr>
      <t xml:space="preserve">＝ </t>
    </r>
    <r>
      <rPr>
        <sz val="9"/>
        <rFont val="Meiryo UI"/>
        <family val="0"/>
        <charset val="1"/>
      </rPr>
      <t xml:space="preserve">0</t>
    </r>
  </si>
  <si>
    <t xml:space="preserve">会期中に在庫切れになる品だけプラスになる</t>
  </si>
  <si>
    <t xml:space="preserve">返送</t>
  </si>
  <si>
    <r>
      <rPr>
        <sz val="9"/>
        <rFont val="Meiryo UI"/>
        <family val="0"/>
        <charset val="1"/>
      </rPr>
      <t xml:space="preserve">421×100% </t>
    </r>
    <r>
      <rPr>
        <sz val="9"/>
        <rFont val="WenQuanYi Zen Hei"/>
        <family val="2"/>
      </rPr>
      <t xml:space="preserve">＝ </t>
    </r>
    <r>
      <rPr>
        <sz val="9"/>
        <rFont val="Meiryo UI"/>
        <family val="0"/>
        <charset val="1"/>
      </rPr>
      <t xml:space="preserve">421</t>
    </r>
    <r>
      <rPr>
        <sz val="9"/>
        <rFont val="WenQuanYi Zen Hei"/>
        <family val="2"/>
      </rPr>
      <t xml:space="preserve">個</t>
    </r>
  </si>
  <si>
    <r>
      <rPr>
        <sz val="9"/>
        <rFont val="Meiryo UI"/>
        <family val="0"/>
        <charset val="1"/>
      </rPr>
      <t xml:space="preserve">B36</t>
    </r>
    <r>
      <rPr>
        <sz val="9"/>
        <rFont val="WenQuanYi Zen Hei"/>
        <family val="2"/>
      </rPr>
      <t xml:space="preserve">＝スライド率</t>
    </r>
  </si>
  <si>
    <t xml:space="preserve">仙台以降 供給可能計</t>
  </si>
  <si>
    <t xml:space="preserve">=Q31+R31-S31-U31</t>
  </si>
  <si>
    <r>
      <rPr>
        <sz val="9"/>
        <rFont val="Meiryo UI"/>
        <family val="0"/>
        <charset val="1"/>
      </rPr>
      <t xml:space="preserve">2,268−0</t>
    </r>
    <r>
      <rPr>
        <sz val="9"/>
        <rFont val="WenQuanYi Zen Hei"/>
        <family val="2"/>
      </rPr>
      <t xml:space="preserve">＋</t>
    </r>
    <r>
      <rPr>
        <sz val="9"/>
        <rFont val="Meiryo UI"/>
        <family val="0"/>
        <charset val="1"/>
      </rPr>
      <t xml:space="preserve">421 </t>
    </r>
    <r>
      <rPr>
        <sz val="9"/>
        <rFont val="WenQuanYi Zen Hei"/>
        <family val="2"/>
      </rPr>
      <t xml:space="preserve">＝ </t>
    </r>
    <r>
      <rPr>
        <sz val="9"/>
        <rFont val="Meiryo UI"/>
        <family val="0"/>
        <charset val="1"/>
      </rPr>
      <t xml:space="preserve">2,689</t>
    </r>
    <r>
      <rPr>
        <sz val="9"/>
        <rFont val="WenQuanYi Zen Hei"/>
        <family val="2"/>
      </rPr>
      <t xml:space="preserve">個</t>
    </r>
  </si>
  <si>
    <t xml:space="preserve">倉庫残 − 石川追納 ＋ 石川会期末返送</t>
  </si>
  <si>
    <r>
      <rPr>
        <b val="true"/>
        <sz val="9"/>
        <rFont val="WenQuanYi Zen Hei"/>
        <family val="2"/>
      </rPr>
      <t xml:space="preserve">確定発注 </t>
    </r>
    <r>
      <rPr>
        <b val="true"/>
        <sz val="9"/>
        <rFont val="Meiryo UI"/>
        <family val="0"/>
        <charset val="1"/>
      </rPr>
      <t xml:space="preserve">(</t>
    </r>
    <r>
      <rPr>
        <b val="true"/>
        <sz val="9"/>
        <rFont val="WenQuanYi Zen Hei"/>
        <family val="2"/>
      </rPr>
      <t xml:space="preserve">入荷予定</t>
    </r>
    <r>
      <rPr>
        <b val="true"/>
        <sz val="9"/>
        <rFont val="Meiryo UI"/>
        <family val="0"/>
        <charset val="1"/>
      </rPr>
      <t xml:space="preserve">)</t>
    </r>
  </si>
  <si>
    <t xml:space="preserve">（数式なし＝発注判断済みの数量を入力）</t>
  </si>
  <si>
    <r>
      <rPr>
        <sz val="9"/>
        <rFont val="WenQuanYi Zen Hei"/>
        <family val="2"/>
      </rPr>
      <t xml:space="preserve">宿儺の指風お菓子 </t>
    </r>
    <r>
      <rPr>
        <sz val="9"/>
        <rFont val="Meiryo UI"/>
        <family val="0"/>
        <charset val="1"/>
      </rPr>
      <t xml:space="preserve">1,200SET</t>
    </r>
    <r>
      <rPr>
        <sz val="9"/>
        <rFont val="WenQuanYi Zen Hei"/>
        <family val="2"/>
      </rPr>
      <t xml:space="preserve">（鳥取島根 夢みなとタワー入荷）</t>
    </r>
  </si>
  <si>
    <t xml:space="preserve">発注済みなので過不足から差し引く。⑪では緊急度「◎発注確定済」として期限警告から外す</t>
  </si>
  <si>
    <r>
      <rPr>
        <sz val="9"/>
        <rFont val="Meiryo UI"/>
        <family val="0"/>
        <charset val="1"/>
      </rPr>
      <t xml:space="preserve">X</t>
    </r>
    <r>
      <rPr>
        <sz val="9"/>
        <rFont val="WenQuanYi Zen Hei"/>
        <family val="2"/>
      </rPr>
      <t xml:space="preserve">列</t>
    </r>
  </si>
  <si>
    <r>
      <rPr>
        <b val="true"/>
        <sz val="9"/>
        <rFont val="WenQuanYi Zen Hei"/>
        <family val="2"/>
      </rPr>
      <t xml:space="preserve">過不足 </t>
    </r>
    <r>
      <rPr>
        <b val="true"/>
        <sz val="9"/>
        <rFont val="Meiryo UI"/>
        <family val="0"/>
        <charset val="1"/>
      </rPr>
      <t xml:space="preserve">(</t>
    </r>
    <r>
      <rPr>
        <b val="true"/>
        <sz val="9"/>
        <rFont val="WenQuanYi Zen Hei"/>
        <family val="2"/>
      </rPr>
      <t xml:space="preserve">必要−供給可能−確定</t>
    </r>
    <r>
      <rPr>
        <b val="true"/>
        <sz val="9"/>
        <rFont val="Meiryo UI"/>
        <family val="0"/>
        <charset val="1"/>
      </rPr>
      <t xml:space="preserve">)</t>
    </r>
  </si>
  <si>
    <t xml:space="preserve">=M31-V31-W31</t>
  </si>
  <si>
    <r>
      <rPr>
        <sz val="9"/>
        <rFont val="Meiryo UI"/>
        <family val="0"/>
        <charset val="1"/>
      </rPr>
      <t xml:space="preserve">3,384−2,689−0 </t>
    </r>
    <r>
      <rPr>
        <sz val="9"/>
        <rFont val="WenQuanYi Zen Hei"/>
        <family val="2"/>
      </rPr>
      <t xml:space="preserve">＝ </t>
    </r>
    <r>
      <rPr>
        <sz val="9"/>
        <rFont val="Meiryo UI"/>
        <family val="0"/>
        <charset val="1"/>
      </rPr>
      <t xml:space="preserve">695</t>
    </r>
  </si>
  <si>
    <t xml:space="preserve">プラス＝不足</t>
  </si>
  <si>
    <r>
      <rPr>
        <sz val="9"/>
        <rFont val="Meiryo UI"/>
        <family val="0"/>
        <charset val="1"/>
      </rPr>
      <t xml:space="preserve">Y</t>
    </r>
    <r>
      <rPr>
        <sz val="9"/>
        <rFont val="WenQuanYi Zen Hei"/>
        <family val="2"/>
      </rPr>
      <t xml:space="preserve">列</t>
    </r>
  </si>
  <si>
    <t xml:space="preserve">=MAX(0,X31)</t>
  </si>
  <si>
    <r>
      <rPr>
        <sz val="9"/>
        <rFont val="Meiryo UI"/>
        <family val="0"/>
        <charset val="1"/>
      </rPr>
      <t xml:space="preserve">695</t>
    </r>
    <r>
      <rPr>
        <sz val="9"/>
        <rFont val="WenQuanYi Zen Hei"/>
        <family val="2"/>
      </rPr>
      <t xml:space="preserve">個</t>
    </r>
  </si>
  <si>
    <r>
      <rPr>
        <sz val="9"/>
        <rFont val="Meiryo UI"/>
        <family val="0"/>
        <charset val="1"/>
      </rPr>
      <t xml:space="preserve">42SKU</t>
    </r>
    <r>
      <rPr>
        <sz val="9"/>
        <rFont val="WenQuanYi Zen Hei"/>
        <family val="2"/>
      </rPr>
      <t xml:space="preserve">計で </t>
    </r>
    <r>
      <rPr>
        <sz val="9"/>
        <rFont val="Meiryo UI"/>
        <family val="0"/>
        <charset val="1"/>
      </rPr>
      <t xml:space="preserve">3,384</t>
    </r>
    <r>
      <rPr>
        <sz val="9"/>
        <rFont val="WenQuanYi Zen Hei"/>
        <family val="2"/>
      </rPr>
      <t xml:space="preserve">個・</t>
    </r>
    <r>
      <rPr>
        <sz val="9"/>
        <rFont val="Meiryo UI"/>
        <family val="0"/>
        <charset val="1"/>
      </rPr>
      <t xml:space="preserve">13</t>
    </r>
    <r>
      <rPr>
        <sz val="9"/>
        <rFont val="WenQuanYi Zen Hei"/>
        <family val="2"/>
      </rPr>
      <t xml:space="preserve">品目</t>
    </r>
  </si>
  <si>
    <r>
      <rPr>
        <sz val="9"/>
        <rFont val="Meiryo UI"/>
        <family val="0"/>
        <charset val="1"/>
      </rPr>
      <t xml:space="preserve">Z</t>
    </r>
    <r>
      <rPr>
        <sz val="9"/>
        <rFont val="WenQuanYi Zen Hei"/>
        <family val="2"/>
      </rPr>
      <t xml:space="preserve">列</t>
    </r>
  </si>
  <si>
    <r>
      <rPr>
        <b val="true"/>
        <sz val="9"/>
        <rFont val="WenQuanYi Zen Hei"/>
        <family val="2"/>
      </rPr>
      <t xml:space="preserve">推奨発注数 </t>
    </r>
    <r>
      <rPr>
        <b val="true"/>
        <sz val="9"/>
        <rFont val="Meiryo UI"/>
        <family val="0"/>
        <charset val="1"/>
      </rPr>
      <t xml:space="preserve">(</t>
    </r>
    <r>
      <rPr>
        <b val="true"/>
        <sz val="9"/>
        <rFont val="WenQuanYi Zen Hei"/>
        <family val="2"/>
      </rPr>
      <t xml:space="preserve">安全率込</t>
    </r>
    <r>
      <rPr>
        <b val="true"/>
        <sz val="9"/>
        <rFont val="Meiryo UI"/>
        <family val="0"/>
        <charset val="1"/>
      </rPr>
      <t xml:space="preserve">)</t>
    </r>
  </si>
  <si>
    <r>
      <rPr>
        <sz val="9"/>
        <rFont val="Meiryo UI"/>
        <family val="0"/>
        <charset val="1"/>
      </rPr>
      <t xml:space="preserve">=IF(Y31&gt;0,ROUNDUP(Y31*(1+'</t>
    </r>
    <r>
      <rPr>
        <sz val="9"/>
        <rFont val="WenQuanYi Zen Hei"/>
        <family val="2"/>
      </rPr>
      <t xml:space="preserve">前提・入力</t>
    </r>
    <r>
      <rPr>
        <sz val="9"/>
        <rFont val="Meiryo UI"/>
        <family val="0"/>
        <charset val="1"/>
      </rPr>
      <t xml:space="preserve">'!$B$34),0),0)</t>
    </r>
  </si>
  <si>
    <r>
      <rPr>
        <sz val="9"/>
        <rFont val="Meiryo UI"/>
        <family val="0"/>
        <charset val="1"/>
      </rPr>
      <t xml:space="preserve">695×1.1 → 765</t>
    </r>
    <r>
      <rPr>
        <sz val="9"/>
        <rFont val="WenQuanYi Zen Hei"/>
        <family val="2"/>
      </rPr>
      <t xml:space="preserve">個</t>
    </r>
  </si>
  <si>
    <r>
      <rPr>
        <sz val="9"/>
        <rFont val="Meiryo UI"/>
        <family val="0"/>
        <charset val="1"/>
      </rPr>
      <t xml:space="preserve">B34</t>
    </r>
    <r>
      <rPr>
        <sz val="9"/>
        <rFont val="WenQuanYi Zen Hei"/>
        <family val="2"/>
      </rPr>
      <t xml:space="preserve">＝安全率</t>
    </r>
    <r>
      <rPr>
        <sz val="9"/>
        <rFont val="Meiryo UI"/>
        <family val="0"/>
        <charset val="1"/>
      </rPr>
      <t xml:space="preserve">10%</t>
    </r>
  </si>
  <si>
    <r>
      <rPr>
        <b val="true"/>
        <sz val="10"/>
        <color rgb="FFFFFFFF"/>
        <rFont val="WenQuanYi Zen Hei"/>
        <family val="2"/>
      </rPr>
      <t xml:space="preserve">■ ④追加発注判定（</t>
    </r>
    <r>
      <rPr>
        <b val="true"/>
        <sz val="10"/>
        <color rgb="FFFFFFFF"/>
        <rFont val="Meiryo UI"/>
        <family val="0"/>
        <charset val="1"/>
      </rPr>
      <t xml:space="preserve">6</t>
    </r>
    <r>
      <rPr>
        <b val="true"/>
        <sz val="10"/>
        <color rgb="FFFFFFFF"/>
        <rFont val="WenQuanYi Zen Hei"/>
        <family val="2"/>
      </rPr>
      <t xml:space="preserve">行目＝見出し、</t>
    </r>
    <r>
      <rPr>
        <b val="true"/>
        <sz val="10"/>
        <color rgb="FFFFFFFF"/>
        <rFont val="Meiryo UI"/>
        <family val="0"/>
        <charset val="1"/>
      </rPr>
      <t xml:space="preserve">7</t>
    </r>
    <r>
      <rPr>
        <b val="true"/>
        <sz val="10"/>
        <color rgb="FFFFFFFF"/>
        <rFont val="WenQuanYi Zen Hei"/>
        <family val="2"/>
      </rPr>
      <t xml:space="preserve">〜</t>
    </r>
    <r>
      <rPr>
        <b val="true"/>
        <sz val="10"/>
        <color rgb="FFFFFFFF"/>
        <rFont val="Meiryo UI"/>
        <family val="0"/>
        <charset val="1"/>
      </rPr>
      <t xml:space="preserve">48</t>
    </r>
    <r>
      <rPr>
        <b val="true"/>
        <sz val="10"/>
        <color rgb="FFFFFFFF"/>
        <rFont val="WenQuanYi Zen Hei"/>
        <family val="2"/>
      </rPr>
      <t xml:space="preserve">行＝商品、</t>
    </r>
    <r>
      <rPr>
        <b val="true"/>
        <sz val="10"/>
        <color rgb="FFFFFFFF"/>
        <rFont val="Meiryo UI"/>
        <family val="0"/>
        <charset val="1"/>
      </rPr>
      <t xml:space="preserve">49</t>
    </r>
    <r>
      <rPr>
        <b val="true"/>
        <sz val="10"/>
        <color rgb="FFFFFFFF"/>
        <rFont val="WenQuanYi Zen Hei"/>
        <family val="2"/>
      </rPr>
      <t xml:space="preserve">行＝合計）</t>
    </r>
  </si>
  <si>
    <r>
      <rPr>
        <sz val="9"/>
        <rFont val="Meiryo UI"/>
        <family val="0"/>
        <charset val="1"/>
      </rPr>
      <t xml:space="preserve">E</t>
    </r>
    <r>
      <rPr>
        <sz val="9"/>
        <rFont val="WenQuanYi Zen Hei"/>
        <family val="2"/>
      </rPr>
      <t xml:space="preserve">〜</t>
    </r>
    <r>
      <rPr>
        <sz val="9"/>
        <rFont val="Meiryo UI"/>
        <family val="0"/>
        <charset val="1"/>
      </rPr>
      <t xml:space="preserve">G</t>
    </r>
    <r>
      <rPr>
        <sz val="9"/>
        <rFont val="WenQuanYi Zen Hei"/>
        <family val="2"/>
      </rPr>
      <t xml:space="preserve">列</t>
    </r>
  </si>
  <si>
    <r>
      <rPr>
        <b val="true"/>
        <sz val="9"/>
        <rFont val="WenQuanYi Zen Hei"/>
        <family val="2"/>
      </rPr>
      <t xml:space="preserve">石川 初</t>
    </r>
    <r>
      <rPr>
        <b val="true"/>
        <sz val="9"/>
        <rFont val="Meiryo UI"/>
        <family val="0"/>
        <charset val="1"/>
      </rPr>
      <t xml:space="preserve">12</t>
    </r>
    <r>
      <rPr>
        <b val="true"/>
        <sz val="9"/>
        <rFont val="WenQuanYi Zen Hei"/>
        <family val="2"/>
      </rPr>
      <t xml:space="preserve">日／</t>
    </r>
    <r>
      <rPr>
        <b val="true"/>
        <sz val="9"/>
        <rFont val="Meiryo UI"/>
        <family val="0"/>
        <charset val="1"/>
      </rPr>
      <t xml:space="preserve">18</t>
    </r>
    <r>
      <rPr>
        <b val="true"/>
        <sz val="9"/>
        <rFont val="WenQuanYi Zen Hei"/>
        <family val="2"/>
      </rPr>
      <t xml:space="preserve">日予測／販売可能数</t>
    </r>
  </si>
  <si>
    <r>
      <rPr>
        <sz val="9"/>
        <rFont val="Meiryo UI"/>
        <family val="0"/>
        <charset val="1"/>
      </rPr>
      <t xml:space="preserve">='①</t>
    </r>
    <r>
      <rPr>
        <sz val="9"/>
        <rFont val="WenQuanYi Zen Hei"/>
        <family val="2"/>
      </rPr>
      <t xml:space="preserve">石川予測確定</t>
    </r>
    <r>
      <rPr>
        <sz val="9"/>
        <rFont val="Meiryo UI"/>
        <family val="0"/>
        <charset val="1"/>
      </rPr>
      <t xml:space="preserve">'!E7 </t>
    </r>
    <r>
      <rPr>
        <sz val="9"/>
        <rFont val="WenQuanYi Zen Hei"/>
        <family val="2"/>
      </rPr>
      <t xml:space="preserve">／ </t>
    </r>
    <r>
      <rPr>
        <sz val="9"/>
        <rFont val="Meiryo UI"/>
        <family val="0"/>
        <charset val="1"/>
      </rPr>
      <t xml:space="preserve">='①</t>
    </r>
    <r>
      <rPr>
        <sz val="9"/>
        <rFont val="WenQuanYi Zen Hei"/>
        <family val="2"/>
      </rPr>
      <t xml:space="preserve">石川予測確定</t>
    </r>
    <r>
      <rPr>
        <sz val="9"/>
        <rFont val="Meiryo UI"/>
        <family val="0"/>
        <charset val="1"/>
      </rPr>
      <t xml:space="preserve">'!P7 </t>
    </r>
    <r>
      <rPr>
        <sz val="9"/>
        <rFont val="WenQuanYi Zen Hei"/>
        <family val="2"/>
      </rPr>
      <t xml:space="preserve">／ </t>
    </r>
    <r>
      <rPr>
        <sz val="9"/>
        <rFont val="Meiryo UI"/>
        <family val="0"/>
        <charset val="1"/>
      </rPr>
      <t xml:space="preserve">='①</t>
    </r>
    <r>
      <rPr>
        <sz val="9"/>
        <rFont val="WenQuanYi Zen Hei"/>
        <family val="2"/>
      </rPr>
      <t xml:space="preserve">石川予測確定</t>
    </r>
    <r>
      <rPr>
        <sz val="9"/>
        <rFont val="Meiryo UI"/>
        <family val="0"/>
        <charset val="1"/>
      </rPr>
      <t xml:space="preserve">'!S7</t>
    </r>
  </si>
  <si>
    <r>
      <rPr>
        <sz val="9"/>
        <rFont val="Meiryo UI"/>
        <family val="0"/>
        <charset val="1"/>
      </rPr>
      <t xml:space="preserve">210 </t>
    </r>
    <r>
      <rPr>
        <sz val="9"/>
        <rFont val="WenQuanYi Zen Hei"/>
        <family val="2"/>
      </rPr>
      <t xml:space="preserve">／ </t>
    </r>
    <r>
      <rPr>
        <sz val="9"/>
        <rFont val="Meiryo UI"/>
        <family val="0"/>
        <charset val="1"/>
      </rPr>
      <t xml:space="preserve">272 </t>
    </r>
    <r>
      <rPr>
        <sz val="9"/>
        <rFont val="WenQuanYi Zen Hei"/>
        <family val="2"/>
      </rPr>
      <t xml:space="preserve">／ </t>
    </r>
    <r>
      <rPr>
        <sz val="9"/>
        <rFont val="Meiryo UI"/>
        <family val="0"/>
        <charset val="1"/>
      </rPr>
      <t xml:space="preserve">693</t>
    </r>
  </si>
  <si>
    <t xml:space="preserve">①シートからのリンク（再計算はしない）</t>
  </si>
  <si>
    <r>
      <rPr>
        <sz val="9"/>
        <rFont val="Meiryo UI"/>
        <family val="0"/>
        <charset val="1"/>
      </rPr>
      <t xml:space="preserve">H / I</t>
    </r>
    <r>
      <rPr>
        <sz val="9"/>
        <rFont val="WenQuanYi Zen Hei"/>
        <family val="2"/>
      </rPr>
      <t xml:space="preserve">列</t>
    </r>
  </si>
  <si>
    <t xml:space="preserve">予測消化率／会期中 過不足</t>
  </si>
  <si>
    <r>
      <rPr>
        <sz val="9"/>
        <rFont val="Meiryo UI"/>
        <family val="0"/>
        <charset val="1"/>
      </rPr>
      <t xml:space="preserve">=IFERROR(F7/G7,0) </t>
    </r>
    <r>
      <rPr>
        <sz val="9"/>
        <rFont val="WenQuanYi Zen Hei"/>
        <family val="2"/>
      </rPr>
      <t xml:space="preserve">／ </t>
    </r>
    <r>
      <rPr>
        <sz val="9"/>
        <rFont val="Meiryo UI"/>
        <family val="0"/>
        <charset val="1"/>
      </rPr>
      <t xml:space="preserve">=F7-G7</t>
    </r>
  </si>
  <si>
    <r>
      <rPr>
        <sz val="9"/>
        <rFont val="Meiryo UI"/>
        <family val="0"/>
        <charset val="1"/>
      </rPr>
      <t xml:space="preserve">39.2% </t>
    </r>
    <r>
      <rPr>
        <sz val="9"/>
        <rFont val="WenQuanYi Zen Hei"/>
        <family val="2"/>
      </rPr>
      <t xml:space="preserve">／ </t>
    </r>
    <r>
      <rPr>
        <sz val="9"/>
        <rFont val="Meiryo UI"/>
        <family val="0"/>
        <charset val="1"/>
      </rPr>
      <t xml:space="preserve">-421</t>
    </r>
  </si>
  <si>
    <t xml:space="preserve">プラス＝会期中に足りない</t>
  </si>
  <si>
    <r>
      <rPr>
        <sz val="9"/>
        <rFont val="Meiryo UI"/>
        <family val="0"/>
        <charset val="1"/>
      </rPr>
      <t xml:space="preserve">J / K</t>
    </r>
    <r>
      <rPr>
        <sz val="9"/>
        <rFont val="WenQuanYi Zen Hei"/>
        <family val="2"/>
      </rPr>
      <t xml:space="preserve">列</t>
    </r>
  </si>
  <si>
    <t xml:space="preserve">石川会期中 判定／推奨発注数</t>
  </si>
  <si>
    <r>
      <rPr>
        <sz val="9"/>
        <rFont val="Meiryo UI"/>
        <family val="0"/>
        <charset val="1"/>
      </rPr>
      <t xml:space="preserve">=IF(I7&gt;0,"</t>
    </r>
    <r>
      <rPr>
        <sz val="9"/>
        <rFont val="WenQuanYi Zen Hei"/>
        <family val="2"/>
      </rPr>
      <t xml:space="preserve">要 追加発注</t>
    </r>
    <r>
      <rPr>
        <sz val="9"/>
        <rFont val="Meiryo UI"/>
        <family val="0"/>
        <charset val="1"/>
      </rPr>
      <t xml:space="preserve">",IF(H7&gt;=0.9,"</t>
    </r>
    <r>
      <rPr>
        <sz val="9"/>
        <rFont val="WenQuanYi Zen Hei"/>
        <family val="2"/>
      </rPr>
      <t xml:space="preserve">要注意</t>
    </r>
    <r>
      <rPr>
        <sz val="9"/>
        <rFont val="Meiryo UI"/>
        <family val="0"/>
        <charset val="1"/>
      </rPr>
      <t xml:space="preserve">(90%</t>
    </r>
    <r>
      <rPr>
        <sz val="9"/>
        <rFont val="WenQuanYi Zen Hei"/>
        <family val="2"/>
      </rPr>
      <t xml:space="preserve">超</t>
    </r>
    <r>
      <rPr>
        <sz val="9"/>
        <rFont val="Meiryo UI"/>
        <family val="0"/>
        <charset val="1"/>
      </rPr>
      <t xml:space="preserve">)",IF(H7&gt;=0.5,"</t>
    </r>
    <r>
      <rPr>
        <sz val="9"/>
        <rFont val="WenQuanYi Zen Hei"/>
        <family val="2"/>
      </rPr>
      <t xml:space="preserve">適正</t>
    </r>
    <r>
      <rPr>
        <sz val="9"/>
        <rFont val="Meiryo UI"/>
        <family val="0"/>
        <charset val="1"/>
      </rPr>
      <t xml:space="preserve">","</t>
    </r>
    <r>
      <rPr>
        <sz val="9"/>
        <rFont val="WenQuanYi Zen Hei"/>
        <family val="2"/>
      </rPr>
      <t xml:space="preserve">在庫余剰</t>
    </r>
    <r>
      <rPr>
        <sz val="9"/>
        <rFont val="Meiryo UI"/>
        <family val="0"/>
        <charset val="1"/>
      </rPr>
      <t xml:space="preserve">"))) </t>
    </r>
    <r>
      <rPr>
        <sz val="9"/>
        <rFont val="WenQuanYi Zen Hei"/>
        <family val="2"/>
      </rPr>
      <t xml:space="preserve">／ </t>
    </r>
    <r>
      <rPr>
        <sz val="9"/>
        <rFont val="Meiryo UI"/>
        <family val="0"/>
        <charset val="1"/>
      </rPr>
      <t xml:space="preserve">=IF(I7&gt;0,ROUNDUP(I7*(1+'</t>
    </r>
    <r>
      <rPr>
        <sz val="9"/>
        <rFont val="WenQuanYi Zen Hei"/>
        <family val="2"/>
      </rPr>
      <t xml:space="preserve">前提・入力</t>
    </r>
    <r>
      <rPr>
        <sz val="9"/>
        <rFont val="Meiryo UI"/>
        <family val="0"/>
        <charset val="1"/>
      </rPr>
      <t xml:space="preserve">'!$B$34),0),0)</t>
    </r>
  </si>
  <si>
    <r>
      <rPr>
        <sz val="9"/>
        <rFont val="WenQuanYi Zen Hei"/>
        <family val="2"/>
      </rPr>
      <t xml:space="preserve">「在庫余剰」／ </t>
    </r>
    <r>
      <rPr>
        <sz val="9"/>
        <rFont val="Meiryo UI"/>
        <family val="0"/>
        <charset val="1"/>
      </rPr>
      <t xml:space="preserve">0</t>
    </r>
    <r>
      <rPr>
        <sz val="9"/>
        <rFont val="WenQuanYi Zen Hei"/>
        <family val="2"/>
      </rPr>
      <t xml:space="preserve">個</t>
    </r>
  </si>
  <si>
    <r>
      <rPr>
        <sz val="9"/>
        <rFont val="WenQuanYi Zen Hei"/>
        <family val="2"/>
      </rPr>
      <t xml:space="preserve">不足分</t>
    </r>
    <r>
      <rPr>
        <sz val="9"/>
        <rFont val="Meiryo UI"/>
        <family val="0"/>
        <charset val="1"/>
      </rPr>
      <t xml:space="preserve">×1.1 </t>
    </r>
    <r>
      <rPr>
        <sz val="9"/>
        <rFont val="WenQuanYi Zen Hei"/>
        <family val="2"/>
      </rPr>
      <t xml:space="preserve">を切上げ（</t>
    </r>
    <r>
      <rPr>
        <sz val="9"/>
        <rFont val="Meiryo UI"/>
        <family val="0"/>
        <charset val="1"/>
      </rPr>
      <t xml:space="preserve">B34</t>
    </r>
    <r>
      <rPr>
        <sz val="9"/>
        <rFont val="WenQuanYi Zen Hei"/>
        <family val="2"/>
      </rPr>
      <t xml:space="preserve">＝安全率）</t>
    </r>
  </si>
  <si>
    <r>
      <rPr>
        <sz val="9"/>
        <rFont val="Meiryo UI"/>
        <family val="0"/>
        <charset val="1"/>
      </rPr>
      <t xml:space="preserve">L</t>
    </r>
    <r>
      <rPr>
        <sz val="9"/>
        <rFont val="WenQuanYi Zen Hei"/>
        <family val="2"/>
      </rPr>
      <t xml:space="preserve">〜</t>
    </r>
    <r>
      <rPr>
        <sz val="9"/>
        <rFont val="Meiryo UI"/>
        <family val="0"/>
        <charset val="1"/>
      </rPr>
      <t xml:space="preserve">?</t>
    </r>
    <r>
      <rPr>
        <sz val="9"/>
        <rFont val="WenQuanYi Zen Hei"/>
        <family val="2"/>
      </rPr>
      <t xml:space="preserve">列</t>
    </r>
  </si>
  <si>
    <t xml:space="preserve">仙台以降 必要数／スライド／倉庫残</t>
  </si>
  <si>
    <r>
      <rPr>
        <sz val="9"/>
        <rFont val="WenQuanYi Zen Hei"/>
        <family val="2"/>
      </rPr>
      <t xml:space="preserve">③シートからのリンク（</t>
    </r>
    <r>
      <rPr>
        <sz val="9"/>
        <rFont val="Meiryo UI"/>
        <family val="0"/>
        <charset val="1"/>
      </rPr>
      <t xml:space="preserve">='③</t>
    </r>
    <r>
      <rPr>
        <sz val="9"/>
        <rFont val="WenQuanYi Zen Hei"/>
        <family val="2"/>
      </rPr>
      <t xml:space="preserve">仙台以降予測</t>
    </r>
    <r>
      <rPr>
        <sz val="9"/>
        <rFont val="Meiryo UI"/>
        <family val="0"/>
        <charset val="1"/>
      </rPr>
      <t xml:space="preserve">'!M31 </t>
    </r>
    <r>
      <rPr>
        <sz val="9"/>
        <rFont val="WenQuanYi Zen Hei"/>
        <family val="2"/>
      </rPr>
      <t xml:space="preserve">ほか）</t>
    </r>
  </si>
  <si>
    <r>
      <rPr>
        <sz val="9"/>
        <rFont val="Meiryo UI"/>
        <family val="0"/>
        <charset val="1"/>
      </rPr>
      <t xml:space="preserve">3,384 </t>
    </r>
    <r>
      <rPr>
        <sz val="9"/>
        <rFont val="WenQuanYi Zen Hei"/>
        <family val="2"/>
      </rPr>
      <t xml:space="preserve">／ </t>
    </r>
    <r>
      <rPr>
        <sz val="9"/>
        <rFont val="Meiryo UI"/>
        <family val="0"/>
        <charset val="1"/>
      </rPr>
      <t xml:space="preserve">421 </t>
    </r>
    <r>
      <rPr>
        <sz val="9"/>
        <rFont val="WenQuanYi Zen Hei"/>
        <family val="2"/>
      </rPr>
      <t xml:space="preserve">／ </t>
    </r>
    <r>
      <rPr>
        <sz val="9"/>
        <rFont val="Meiryo UI"/>
        <family val="0"/>
        <charset val="1"/>
      </rPr>
      <t xml:space="preserve">2,268</t>
    </r>
  </si>
  <si>
    <r>
      <rPr>
        <sz val="9"/>
        <rFont val="Meiryo UI"/>
        <family val="0"/>
        <charset val="1"/>
      </rPr>
      <t xml:space="preserve">O</t>
    </r>
    <r>
      <rPr>
        <sz val="9"/>
        <rFont val="WenQuanYi Zen Hei"/>
        <family val="2"/>
      </rPr>
      <t xml:space="preserve">〜</t>
    </r>
    <r>
      <rPr>
        <sz val="9"/>
        <rFont val="Meiryo UI"/>
        <family val="0"/>
        <charset val="1"/>
      </rPr>
      <t xml:space="preserve">Q</t>
    </r>
    <r>
      <rPr>
        <sz val="9"/>
        <rFont val="WenQuanYi Zen Hei"/>
        <family val="2"/>
      </rPr>
      <t xml:space="preserve">列</t>
    </r>
  </si>
  <si>
    <t xml:space="preserve">仙台以降 過不足／判定／推奨発注数</t>
  </si>
  <si>
    <r>
      <rPr>
        <sz val="9"/>
        <rFont val="Meiryo UI"/>
        <family val="0"/>
        <charset val="1"/>
      </rPr>
      <t xml:space="preserve">=L7-M7-N7 </t>
    </r>
    <r>
      <rPr>
        <sz val="9"/>
        <rFont val="WenQuanYi Zen Hei"/>
        <family val="2"/>
      </rPr>
      <t xml:space="preserve">／ </t>
    </r>
    <r>
      <rPr>
        <sz val="9"/>
        <rFont val="Meiryo UI"/>
        <family val="0"/>
        <charset val="1"/>
      </rPr>
      <t xml:space="preserve">=IF(O7&gt;0,"</t>
    </r>
    <r>
      <rPr>
        <sz val="9"/>
        <rFont val="WenQuanYi Zen Hei"/>
        <family val="2"/>
      </rPr>
      <t xml:space="preserve">要 追加生産</t>
    </r>
    <r>
      <rPr>
        <sz val="9"/>
        <rFont val="Meiryo UI"/>
        <family val="0"/>
        <charset val="1"/>
      </rPr>
      <t xml:space="preserve">",IF(L7=0,"—","</t>
    </r>
    <r>
      <rPr>
        <sz val="9"/>
        <rFont val="WenQuanYi Zen Hei"/>
        <family val="2"/>
      </rPr>
      <t xml:space="preserve">在庫で充足</t>
    </r>
    <r>
      <rPr>
        <sz val="9"/>
        <rFont val="Meiryo UI"/>
        <family val="0"/>
        <charset val="1"/>
      </rPr>
      <t xml:space="preserve">")) </t>
    </r>
    <r>
      <rPr>
        <sz val="9"/>
        <rFont val="WenQuanYi Zen Hei"/>
        <family val="2"/>
      </rPr>
      <t xml:space="preserve">／ </t>
    </r>
    <r>
      <rPr>
        <sz val="9"/>
        <rFont val="Meiryo UI"/>
        <family val="0"/>
        <charset val="1"/>
      </rPr>
      <t xml:space="preserve">='③</t>
    </r>
    <r>
      <rPr>
        <sz val="9"/>
        <rFont val="WenQuanYi Zen Hei"/>
        <family val="2"/>
      </rPr>
      <t xml:space="preserve">仙台以降予測</t>
    </r>
    <r>
      <rPr>
        <sz val="9"/>
        <rFont val="Meiryo UI"/>
        <family val="0"/>
        <charset val="1"/>
      </rPr>
      <t xml:space="preserve">'!Z31</t>
    </r>
  </si>
  <si>
    <r>
      <rPr>
        <sz val="9"/>
        <rFont val="Meiryo UI"/>
        <family val="0"/>
        <charset val="1"/>
      </rPr>
      <t xml:space="preserve">3,384−421−2,268 </t>
    </r>
    <r>
      <rPr>
        <sz val="9"/>
        <rFont val="WenQuanYi Zen Hei"/>
        <family val="2"/>
      </rPr>
      <t xml:space="preserve">＝ </t>
    </r>
    <r>
      <rPr>
        <sz val="9"/>
        <rFont val="Meiryo UI"/>
        <family val="0"/>
        <charset val="1"/>
      </rPr>
      <t xml:space="preserve">695 → </t>
    </r>
    <r>
      <rPr>
        <sz val="9"/>
        <rFont val="WenQuanYi Zen Hei"/>
        <family val="2"/>
      </rPr>
      <t xml:space="preserve">「要 追加生産」</t>
    </r>
  </si>
  <si>
    <r>
      <rPr>
        <sz val="9"/>
        <rFont val="Meiryo UI"/>
        <family val="0"/>
        <charset val="1"/>
      </rPr>
      <t xml:space="preserve">R / S</t>
    </r>
    <r>
      <rPr>
        <sz val="9"/>
        <rFont val="WenQuanYi Zen Hei"/>
        <family val="2"/>
      </rPr>
      <t xml:space="preserve">列</t>
    </r>
  </si>
  <si>
    <t xml:space="preserve">発注合計／発注金額</t>
  </si>
  <si>
    <r>
      <rPr>
        <sz val="9"/>
        <rFont val="Meiryo UI"/>
        <family val="0"/>
        <charset val="1"/>
      </rPr>
      <t xml:space="preserve">=K7+Q7 </t>
    </r>
    <r>
      <rPr>
        <sz val="9"/>
        <rFont val="WenQuanYi Zen Hei"/>
        <family val="2"/>
      </rPr>
      <t xml:space="preserve">／ </t>
    </r>
    <r>
      <rPr>
        <sz val="9"/>
        <rFont val="Meiryo UI"/>
        <family val="0"/>
        <charset val="1"/>
      </rPr>
      <t xml:space="preserve">=R7*D7</t>
    </r>
  </si>
  <si>
    <r>
      <rPr>
        <sz val="9"/>
        <rFont val="Meiryo UI"/>
        <family val="0"/>
        <charset val="1"/>
      </rPr>
      <t xml:space="preserve">765</t>
    </r>
    <r>
      <rPr>
        <sz val="9"/>
        <rFont val="WenQuanYi Zen Hei"/>
        <family val="2"/>
      </rPr>
      <t xml:space="preserve">個 ／ </t>
    </r>
    <r>
      <rPr>
        <sz val="9"/>
        <rFont val="Meiryo UI"/>
        <family val="0"/>
        <charset val="1"/>
      </rPr>
      <t xml:space="preserve">382,500</t>
    </r>
    <r>
      <rPr>
        <sz val="9"/>
        <rFont val="WenQuanYi Zen Hei"/>
        <family val="2"/>
      </rPr>
      <t xml:space="preserve">円</t>
    </r>
  </si>
  <si>
    <t xml:space="preserve">石川会期中分 ＋ 仙台以降分</t>
  </si>
  <si>
    <r>
      <rPr>
        <sz val="9"/>
        <rFont val="Meiryo UI"/>
        <family val="0"/>
        <charset val="1"/>
      </rPr>
      <t xml:space="preserve">T / U</t>
    </r>
    <r>
      <rPr>
        <sz val="9"/>
        <rFont val="WenQuanYi Zen Hei"/>
        <family val="2"/>
      </rPr>
      <t xml:space="preserve">列</t>
    </r>
  </si>
  <si>
    <t xml:space="preserve">欠品発生 会場／最終発注期限</t>
  </si>
  <si>
    <r>
      <rPr>
        <sz val="9"/>
        <rFont val="WenQuanYi Zen Hei"/>
        <family val="2"/>
      </rPr>
      <t xml:space="preserve">欠品発生会場は⑪の会場別引当の結果を確定値で書出し ／ </t>
    </r>
    <r>
      <rPr>
        <sz val="9"/>
        <rFont val="Meiryo UI"/>
        <family val="0"/>
        <charset val="1"/>
      </rPr>
      <t xml:space="preserve">=DATE(2027,4,1)-30-'</t>
    </r>
    <r>
      <rPr>
        <sz val="9"/>
        <rFont val="WenQuanYi Zen Hei"/>
        <family val="2"/>
      </rPr>
      <t xml:space="preserve">前提・入力</t>
    </r>
    <r>
      <rPr>
        <sz val="9"/>
        <rFont val="Meiryo UI"/>
        <family val="0"/>
        <charset val="1"/>
      </rPr>
      <t xml:space="preserve">'!$B$37</t>
    </r>
  </si>
  <si>
    <r>
      <rPr>
        <sz val="9"/>
        <rFont val="WenQuanYi Zen Hei"/>
        <family val="2"/>
      </rPr>
      <t xml:space="preserve">欠品会場の会期初日 − 生産日数 − バッファ</t>
    </r>
    <r>
      <rPr>
        <sz val="9"/>
        <rFont val="Meiryo UI"/>
        <family val="0"/>
        <charset val="1"/>
      </rPr>
      <t xml:space="preserve">14</t>
    </r>
    <r>
      <rPr>
        <sz val="9"/>
        <rFont val="WenQuanYi Zen Hei"/>
        <family val="2"/>
      </rPr>
      <t xml:space="preserve">日</t>
    </r>
  </si>
  <si>
    <t xml:space="preserve">在庫を会場順に引き当てて最初にマイナスへ転じた会場（⑪と同値）</t>
  </si>
  <si>
    <r>
      <rPr>
        <sz val="9"/>
        <rFont val="Meiryo UI"/>
        <family val="0"/>
        <charset val="1"/>
      </rPr>
      <t xml:space="preserve">V / W</t>
    </r>
    <r>
      <rPr>
        <sz val="9"/>
        <rFont val="WenQuanYi Zen Hei"/>
        <family val="2"/>
      </rPr>
      <t xml:space="preserve">列</t>
    </r>
  </si>
  <si>
    <t xml:space="preserve">残日数／発注の緊急度</t>
  </si>
  <si>
    <r>
      <rPr>
        <sz val="9"/>
        <rFont val="Meiryo UI"/>
        <family val="0"/>
        <charset val="1"/>
      </rPr>
      <t xml:space="preserve">=IF(OR(U7="",U7="</t>
    </r>
    <r>
      <rPr>
        <sz val="9"/>
        <rFont val="WenQuanYi Zen Hei"/>
        <family val="2"/>
      </rPr>
      <t xml:space="preserve">再生産不可</t>
    </r>
    <r>
      <rPr>
        <sz val="9"/>
        <rFont val="Meiryo UI"/>
        <family val="0"/>
        <charset val="1"/>
      </rPr>
      <t xml:space="preserve">"),"",U7-'</t>
    </r>
    <r>
      <rPr>
        <sz val="9"/>
        <rFont val="WenQuanYi Zen Hei"/>
        <family val="2"/>
      </rPr>
      <t xml:space="preserve">前提・入力</t>
    </r>
    <r>
      <rPr>
        <sz val="9"/>
        <rFont val="Meiryo UI"/>
        <family val="0"/>
        <charset val="1"/>
      </rPr>
      <t xml:space="preserve">'!$B$38) </t>
    </r>
    <r>
      <rPr>
        <sz val="9"/>
        <rFont val="WenQuanYi Zen Hei"/>
        <family val="2"/>
      </rPr>
      <t xml:space="preserve">／ </t>
    </r>
    <r>
      <rPr>
        <sz val="9"/>
        <rFont val="Meiryo UI"/>
        <family val="0"/>
        <charset val="1"/>
      </rPr>
      <t xml:space="preserve">=IF(T7="—","—",IF(U7="</t>
    </r>
    <r>
      <rPr>
        <sz val="9"/>
        <rFont val="WenQuanYi Zen Hei"/>
        <family val="2"/>
      </rPr>
      <t xml:space="preserve">再生産不可</t>
    </r>
    <r>
      <rPr>
        <sz val="9"/>
        <rFont val="Meiryo UI"/>
        <family val="0"/>
        <charset val="1"/>
      </rPr>
      <t xml:space="preserve">","×</t>
    </r>
    <r>
      <rPr>
        <sz val="9"/>
        <rFont val="WenQuanYi Zen Hei"/>
        <family val="2"/>
      </rPr>
      <t xml:space="preserve">再生産不可</t>
    </r>
    <r>
      <rPr>
        <sz val="9"/>
        <rFont val="Meiryo UI"/>
        <family val="0"/>
        <charset val="1"/>
      </rPr>
      <t xml:space="preserve">",IFS(V7&lt;0,"★</t>
    </r>
    <r>
      <rPr>
        <sz val="9"/>
        <rFont val="WenQuanYi Zen Hei"/>
        <family val="2"/>
      </rPr>
      <t xml:space="preserve">期限超過</t>
    </r>
    <r>
      <rPr>
        <sz val="9"/>
        <rFont val="Meiryo UI"/>
        <family val="0"/>
        <charset val="1"/>
      </rPr>
      <t xml:space="preserve">",V7&lt;=30,"★</t>
    </r>
    <r>
      <rPr>
        <sz val="9"/>
        <rFont val="WenQuanYi Zen Hei"/>
        <family val="2"/>
      </rPr>
      <t xml:space="preserve">至急</t>
    </r>
    <r>
      <rPr>
        <sz val="9"/>
        <rFont val="Meiryo UI"/>
        <family val="0"/>
        <charset val="1"/>
      </rPr>
      <t xml:space="preserve">(30</t>
    </r>
    <r>
      <rPr>
        <sz val="9"/>
        <rFont val="WenQuanYi Zen Hei"/>
        <family val="2"/>
      </rPr>
      <t xml:space="preserve">日以内</t>
    </r>
    <r>
      <rPr>
        <sz val="9"/>
        <rFont val="Meiryo UI"/>
        <family val="0"/>
        <charset val="1"/>
      </rPr>
      <t xml:space="preserve">)",V7&lt;=90,"</t>
    </r>
    <r>
      <rPr>
        <sz val="9"/>
        <rFont val="WenQuanYi Zen Hei"/>
        <family val="2"/>
      </rPr>
      <t xml:space="preserve">要着手</t>
    </r>
    <r>
      <rPr>
        <sz val="9"/>
        <rFont val="Meiryo UI"/>
        <family val="0"/>
        <charset val="1"/>
      </rPr>
      <t xml:space="preserve">(90</t>
    </r>
    <r>
      <rPr>
        <sz val="9"/>
        <rFont val="WenQuanYi Zen Hei"/>
        <family val="2"/>
      </rPr>
      <t xml:space="preserve">日以内</t>
    </r>
    <r>
      <rPr>
        <sz val="9"/>
        <rFont val="Meiryo UI"/>
        <family val="0"/>
        <charset val="1"/>
      </rPr>
      <t xml:space="preserve">)",TRUE(),"</t>
    </r>
    <r>
      <rPr>
        <sz val="9"/>
        <rFont val="WenQuanYi Zen Hei"/>
        <family val="2"/>
      </rPr>
      <t xml:space="preserve">余裕あり</t>
    </r>
    <r>
      <rPr>
        <sz val="9"/>
        <rFont val="Meiryo UI"/>
        <family val="0"/>
        <charset val="1"/>
      </rPr>
      <t xml:space="preserve">")))</t>
    </r>
  </si>
  <si>
    <r>
      <rPr>
        <sz val="9"/>
        <rFont val="WenQuanYi Zen Hei"/>
        <family val="2"/>
      </rPr>
      <t xml:space="preserve">★期限超過／★至急</t>
    </r>
    <r>
      <rPr>
        <sz val="9"/>
        <rFont val="Meiryo UI"/>
        <family val="0"/>
        <charset val="1"/>
      </rPr>
      <t xml:space="preserve">(30</t>
    </r>
    <r>
      <rPr>
        <sz val="9"/>
        <rFont val="WenQuanYi Zen Hei"/>
        <family val="2"/>
      </rPr>
      <t xml:space="preserve">日以内</t>
    </r>
    <r>
      <rPr>
        <sz val="9"/>
        <rFont val="Meiryo UI"/>
        <family val="0"/>
        <charset val="1"/>
      </rPr>
      <t xml:space="preserve">)</t>
    </r>
    <r>
      <rPr>
        <sz val="9"/>
        <rFont val="WenQuanYi Zen Hei"/>
        <family val="2"/>
      </rPr>
      <t xml:space="preserve">／要着手</t>
    </r>
    <r>
      <rPr>
        <sz val="9"/>
        <rFont val="Meiryo UI"/>
        <family val="0"/>
        <charset val="1"/>
      </rPr>
      <t xml:space="preserve">(90</t>
    </r>
    <r>
      <rPr>
        <sz val="9"/>
        <rFont val="WenQuanYi Zen Hei"/>
        <family val="2"/>
      </rPr>
      <t xml:space="preserve">日以内</t>
    </r>
    <r>
      <rPr>
        <sz val="9"/>
        <rFont val="Meiryo UI"/>
        <family val="0"/>
        <charset val="1"/>
      </rPr>
      <t xml:space="preserve">)</t>
    </r>
    <r>
      <rPr>
        <sz val="9"/>
        <rFont val="WenQuanYi Zen Hei"/>
        <family val="2"/>
      </rPr>
      <t xml:space="preserve">／余裕あり／◎発注確定済／</t>
    </r>
    <r>
      <rPr>
        <sz val="9"/>
        <rFont val="Meiryo UI"/>
        <family val="0"/>
        <charset val="1"/>
      </rPr>
      <t xml:space="preserve">×</t>
    </r>
    <r>
      <rPr>
        <sz val="9"/>
        <rFont val="WenQuanYi Zen Hei"/>
        <family val="2"/>
      </rPr>
      <t xml:space="preserve">再生産不可</t>
    </r>
  </si>
  <si>
    <r>
      <rPr>
        <sz val="9"/>
        <rFont val="Meiryo UI"/>
        <family val="0"/>
        <charset val="1"/>
      </rPr>
      <t xml:space="preserve">B38</t>
    </r>
    <r>
      <rPr>
        <sz val="9"/>
        <rFont val="WenQuanYi Zen Hei"/>
        <family val="2"/>
      </rPr>
      <t xml:space="preserve">＝基準日。日付を進めると残日数が減る</t>
    </r>
  </si>
  <si>
    <r>
      <rPr>
        <sz val="9"/>
        <rFont val="Meiryo UI"/>
        <family val="0"/>
        <charset val="1"/>
      </rPr>
      <t xml:space="preserve">=IF(Y7&lt;&gt;"",IF(FALSE(),"S:</t>
    </r>
    <r>
      <rPr>
        <sz val="9"/>
        <rFont val="WenQuanYi Zen Hei"/>
        <family val="2"/>
      </rPr>
      <t xml:space="preserve">現場欠品</t>
    </r>
    <r>
      <rPr>
        <sz val="9"/>
        <rFont val="Meiryo UI"/>
        <family val="0"/>
        <charset val="1"/>
      </rPr>
      <t xml:space="preserve">(</t>
    </r>
    <r>
      <rPr>
        <sz val="9"/>
        <rFont val="WenQuanYi Zen Hei"/>
        <family val="2"/>
      </rPr>
      <t xml:space="preserve">追納不可</t>
    </r>
    <r>
      <rPr>
        <sz val="9"/>
        <rFont val="Meiryo UI"/>
        <family val="0"/>
        <charset val="1"/>
      </rPr>
      <t xml:space="preserve">)","S:</t>
    </r>
    <r>
      <rPr>
        <sz val="9"/>
        <rFont val="WenQuanYi Zen Hei"/>
        <family val="2"/>
      </rPr>
      <t xml:space="preserve">現場欠品</t>
    </r>
    <r>
      <rPr>
        <sz val="9"/>
        <rFont val="Meiryo UI"/>
        <family val="0"/>
        <charset val="1"/>
      </rPr>
      <t xml:space="preserve">"),IF(I7&gt;0,"A:</t>
    </r>
    <r>
      <rPr>
        <sz val="9"/>
        <rFont val="WenQuanYi Zen Hei"/>
        <family val="2"/>
      </rPr>
      <t xml:space="preserve">会期中欠品</t>
    </r>
    <r>
      <rPr>
        <sz val="9"/>
        <rFont val="Meiryo UI"/>
        <family val="0"/>
        <charset val="1"/>
      </rPr>
      <t xml:space="preserve">",IF(O7&gt;1000,"B:</t>
    </r>
    <r>
      <rPr>
        <sz val="9"/>
        <rFont val="WenQuanYi Zen Hei"/>
        <family val="2"/>
      </rPr>
      <t xml:space="preserve">大口</t>
    </r>
    <r>
      <rPr>
        <sz val="9"/>
        <rFont val="Meiryo UI"/>
        <family val="0"/>
        <charset val="1"/>
      </rPr>
      <t xml:space="preserve">",IF(O7&gt;0,"C:</t>
    </r>
    <r>
      <rPr>
        <sz val="9"/>
        <rFont val="WenQuanYi Zen Hei"/>
        <family val="2"/>
      </rPr>
      <t xml:space="preserve">通常</t>
    </r>
    <r>
      <rPr>
        <sz val="9"/>
        <rFont val="Meiryo UI"/>
        <family val="0"/>
        <charset val="1"/>
      </rPr>
      <t xml:space="preserve">","D:</t>
    </r>
    <r>
      <rPr>
        <sz val="9"/>
        <rFont val="WenQuanYi Zen Hei"/>
        <family val="2"/>
      </rPr>
      <t xml:space="preserve">不要</t>
    </r>
    <r>
      <rPr>
        <sz val="9"/>
        <rFont val="Meiryo UI"/>
        <family val="0"/>
        <charset val="1"/>
      </rPr>
      <t xml:space="preserve">"))))</t>
    </r>
  </si>
  <si>
    <r>
      <rPr>
        <sz val="9"/>
        <rFont val="Meiryo UI"/>
        <family val="0"/>
        <charset val="1"/>
      </rPr>
      <t xml:space="preserve">S:</t>
    </r>
    <r>
      <rPr>
        <sz val="9"/>
        <rFont val="WenQuanYi Zen Hei"/>
        <family val="2"/>
      </rPr>
      <t xml:space="preserve">現場欠品 ＞ </t>
    </r>
    <r>
      <rPr>
        <sz val="9"/>
        <rFont val="Meiryo UI"/>
        <family val="0"/>
        <charset val="1"/>
      </rPr>
      <t xml:space="preserve">A:</t>
    </r>
    <r>
      <rPr>
        <sz val="9"/>
        <rFont val="WenQuanYi Zen Hei"/>
        <family val="2"/>
      </rPr>
      <t xml:space="preserve">会期中欠品 ＞ </t>
    </r>
    <r>
      <rPr>
        <sz val="9"/>
        <rFont val="Meiryo UI"/>
        <family val="0"/>
        <charset val="1"/>
      </rPr>
      <t xml:space="preserve">B:</t>
    </r>
    <r>
      <rPr>
        <sz val="9"/>
        <rFont val="WenQuanYi Zen Hei"/>
        <family val="2"/>
      </rPr>
      <t xml:space="preserve">仙台以降不足 ＞ —</t>
    </r>
  </si>
  <si>
    <r>
      <rPr>
        <sz val="9"/>
        <rFont val="Meiryo UI"/>
        <family val="0"/>
        <charset val="1"/>
      </rPr>
      <t xml:space="preserve">Y</t>
    </r>
    <r>
      <rPr>
        <sz val="9"/>
        <rFont val="WenQuanYi Zen Hei"/>
        <family val="2"/>
      </rPr>
      <t xml:space="preserve">列（運営 欠品報告 ）を最優先にする</t>
    </r>
  </si>
  <si>
    <r>
      <rPr>
        <b val="true"/>
        <sz val="9"/>
        <rFont val="WenQuanYi Zen Hei"/>
        <family val="2"/>
      </rPr>
      <t xml:space="preserve">モデル</t>
    </r>
    <r>
      <rPr>
        <b val="true"/>
        <sz val="9"/>
        <rFont val="Meiryo UI"/>
        <family val="0"/>
        <charset val="1"/>
      </rPr>
      <t xml:space="preserve">×</t>
    </r>
    <r>
      <rPr>
        <b val="true"/>
        <sz val="9"/>
        <rFont val="WenQuanYi Zen Hei"/>
        <family val="2"/>
      </rPr>
      <t xml:space="preserve">現場 突合</t>
    </r>
  </si>
  <si>
    <r>
      <rPr>
        <sz val="9"/>
        <rFont val="Meiryo UI"/>
        <family val="0"/>
        <charset val="1"/>
      </rPr>
      <t xml:space="preserve">=IF(Y7&lt;&gt;"",IF(I7&gt;0,"◎ </t>
    </r>
    <r>
      <rPr>
        <sz val="9"/>
        <rFont val="WenQuanYi Zen Hei"/>
        <family val="2"/>
      </rPr>
      <t xml:space="preserve">一致（モデルも会期中欠品を検知）</t>
    </r>
    <r>
      <rPr>
        <sz val="9"/>
        <rFont val="Meiryo UI"/>
        <family val="0"/>
        <charset val="1"/>
      </rPr>
      <t xml:space="preserve">",IF(H7&gt;=0.7,"○ </t>
    </r>
    <r>
      <rPr>
        <sz val="9"/>
        <rFont val="WenQuanYi Zen Hei"/>
        <family val="2"/>
      </rPr>
      <t xml:space="preserve">整合（予測消化率</t>
    </r>
    <r>
      <rPr>
        <sz val="9"/>
        <rFont val="Meiryo UI"/>
        <family val="0"/>
        <charset val="1"/>
      </rPr>
      <t xml:space="preserve">70%</t>
    </r>
    <r>
      <rPr>
        <sz val="9"/>
        <rFont val="WenQuanYi Zen Hei"/>
        <family val="2"/>
      </rPr>
      <t xml:space="preserve">超）</t>
    </r>
    <r>
      <rPr>
        <sz val="9"/>
        <rFont val="Meiryo UI"/>
        <family val="0"/>
        <charset val="1"/>
      </rPr>
      <t xml:space="preserve">","△ </t>
    </r>
    <r>
      <rPr>
        <sz val="9"/>
        <rFont val="WenQuanYi Zen Hei"/>
        <family val="2"/>
      </rPr>
      <t xml:space="preserve">モデル未検知：現場報告を優先</t>
    </r>
    <r>
      <rPr>
        <sz val="9"/>
        <rFont val="Meiryo UI"/>
        <family val="0"/>
        <charset val="1"/>
      </rPr>
      <t xml:space="preserve">")),IF(I7&gt;0,"▲ </t>
    </r>
    <r>
      <rPr>
        <sz val="9"/>
        <rFont val="WenQuanYi Zen Hei"/>
        <family val="2"/>
      </rPr>
      <t xml:space="preserve">モデルのみ検知：現場に在庫状況を確認</t>
    </r>
    <r>
      <rPr>
        <sz val="9"/>
        <rFont val="Meiryo UI"/>
        <family val="0"/>
        <charset val="1"/>
      </rPr>
      <t xml:space="preserve">","—"))</t>
    </r>
  </si>
  <si>
    <r>
      <rPr>
        <sz val="9"/>
        <rFont val="WenQuanYi Zen Hei"/>
        <family val="2"/>
      </rPr>
      <t xml:space="preserve">◎一致／○整合／△未検知 の</t>
    </r>
    <r>
      <rPr>
        <sz val="9"/>
        <rFont val="Meiryo UI"/>
        <family val="0"/>
        <charset val="1"/>
      </rPr>
      <t xml:space="preserve">3</t>
    </r>
    <r>
      <rPr>
        <sz val="9"/>
        <rFont val="WenQuanYi Zen Hei"/>
        <family val="2"/>
      </rPr>
      <t xml:space="preserve">段階</t>
    </r>
  </si>
  <si>
    <t xml:space="preserve">モデルの見落とし・空振りを可視化する検算列。サマリーに件数を集計している</t>
  </si>
  <si>
    <r>
      <rPr>
        <b val="true"/>
        <sz val="10"/>
        <color rgb="FFFFFFFF"/>
        <rFont val="WenQuanYi Zen Hei"/>
        <family val="2"/>
      </rPr>
      <t xml:space="preserve">■ ⑤全データ統合リスト（</t>
    </r>
    <r>
      <rPr>
        <b val="true"/>
        <sz val="10"/>
        <color rgb="FFFFFFFF"/>
        <rFont val="Meiryo UI"/>
        <family val="0"/>
        <charset val="1"/>
      </rPr>
      <t xml:space="preserve">6</t>
    </r>
    <r>
      <rPr>
        <b val="true"/>
        <sz val="10"/>
        <color rgb="FFFFFFFF"/>
        <rFont val="WenQuanYi Zen Hei"/>
        <family val="2"/>
      </rPr>
      <t xml:space="preserve">行目＝見出し、</t>
    </r>
    <r>
      <rPr>
        <b val="true"/>
        <sz val="10"/>
        <color rgb="FFFFFFFF"/>
        <rFont val="Meiryo UI"/>
        <family val="0"/>
        <charset val="1"/>
      </rPr>
      <t xml:space="preserve">7</t>
    </r>
    <r>
      <rPr>
        <b val="true"/>
        <sz val="10"/>
        <color rgb="FFFFFFFF"/>
        <rFont val="WenQuanYi Zen Hei"/>
        <family val="2"/>
      </rPr>
      <t xml:space="preserve">〜</t>
    </r>
    <r>
      <rPr>
        <b val="true"/>
        <sz val="10"/>
        <color rgb="FFFFFFFF"/>
        <rFont val="Meiryo UI"/>
        <family val="0"/>
        <charset val="1"/>
      </rPr>
      <t xml:space="preserve">48</t>
    </r>
    <r>
      <rPr>
        <b val="true"/>
        <sz val="10"/>
        <color rgb="FFFFFFFF"/>
        <rFont val="WenQuanYi Zen Hei"/>
        <family val="2"/>
      </rPr>
      <t xml:space="preserve">行＝商品）</t>
    </r>
  </si>
  <si>
    <t xml:space="preserve">各会場ブロック</t>
  </si>
  <si>
    <t xml:space="preserve">数量構成比／販売金額／消化率</t>
  </si>
  <si>
    <r>
      <rPr>
        <sz val="9"/>
        <rFont val="Meiryo UI"/>
        <family val="0"/>
        <charset val="1"/>
      </rPr>
      <t xml:space="preserve">=IFERROR(</t>
    </r>
    <r>
      <rPr>
        <sz val="9"/>
        <rFont val="WenQuanYi Zen Hei"/>
        <family val="2"/>
      </rPr>
      <t xml:space="preserve">販売数</t>
    </r>
    <r>
      <rPr>
        <sz val="9"/>
        <rFont val="Meiryo UI"/>
        <family val="0"/>
        <charset val="1"/>
      </rPr>
      <t xml:space="preserve">/</t>
    </r>
    <r>
      <rPr>
        <sz val="9"/>
        <rFont val="WenQuanYi Zen Hei"/>
        <family val="2"/>
      </rPr>
      <t xml:space="preserve">販売数合計</t>
    </r>
    <r>
      <rPr>
        <sz val="9"/>
        <rFont val="Meiryo UI"/>
        <family val="0"/>
        <charset val="1"/>
      </rPr>
      <t xml:space="preserve">,0) </t>
    </r>
    <r>
      <rPr>
        <sz val="9"/>
        <rFont val="WenQuanYi Zen Hei"/>
        <family val="2"/>
      </rPr>
      <t xml:space="preserve">／ </t>
    </r>
    <r>
      <rPr>
        <sz val="9"/>
        <rFont val="Meiryo UI"/>
        <family val="0"/>
        <charset val="1"/>
      </rPr>
      <t xml:space="preserve">=</t>
    </r>
    <r>
      <rPr>
        <sz val="9"/>
        <rFont val="WenQuanYi Zen Hei"/>
        <family val="2"/>
      </rPr>
      <t xml:space="preserve">販売数</t>
    </r>
    <r>
      <rPr>
        <sz val="9"/>
        <rFont val="Meiryo UI"/>
        <family val="0"/>
        <charset val="1"/>
      </rPr>
      <t xml:space="preserve">*</t>
    </r>
    <r>
      <rPr>
        <sz val="9"/>
        <rFont val="WenQuanYi Zen Hei"/>
        <family val="2"/>
      </rPr>
      <t xml:space="preserve">税込単価 ／ </t>
    </r>
    <r>
      <rPr>
        <sz val="9"/>
        <rFont val="Meiryo UI"/>
        <family val="0"/>
        <charset val="1"/>
      </rPr>
      <t xml:space="preserve">=IFERROR(</t>
    </r>
    <r>
      <rPr>
        <sz val="9"/>
        <rFont val="WenQuanYi Zen Hei"/>
        <family val="2"/>
      </rPr>
      <t xml:space="preserve">販売数</t>
    </r>
    <r>
      <rPr>
        <sz val="9"/>
        <rFont val="Meiryo UI"/>
        <family val="0"/>
        <charset val="1"/>
      </rPr>
      <t xml:space="preserve">/</t>
    </r>
    <r>
      <rPr>
        <sz val="9"/>
        <rFont val="WenQuanYi Zen Hei"/>
        <family val="2"/>
      </rPr>
      <t xml:space="preserve">販売可能数</t>
    </r>
    <r>
      <rPr>
        <sz val="9"/>
        <rFont val="Meiryo UI"/>
        <family val="0"/>
        <charset val="1"/>
      </rPr>
      <t xml:space="preserve">,0)</t>
    </r>
  </si>
  <si>
    <r>
      <rPr>
        <sz val="9"/>
        <rFont val="WenQuanYi Zen Hei"/>
        <family val="2"/>
      </rPr>
      <t xml:space="preserve">東京：</t>
    </r>
    <r>
      <rPr>
        <sz val="9"/>
        <rFont val="Meiryo UI"/>
        <family val="0"/>
        <charset val="1"/>
      </rPr>
      <t xml:space="preserve">4,965÷148,185</t>
    </r>
    <r>
      <rPr>
        <sz val="9"/>
        <rFont val="WenQuanYi Zen Hei"/>
        <family val="2"/>
      </rPr>
      <t xml:space="preserve">＝</t>
    </r>
    <r>
      <rPr>
        <sz val="9"/>
        <rFont val="Meiryo UI"/>
        <family val="0"/>
        <charset val="1"/>
      </rPr>
      <t xml:space="preserve">3.35% </t>
    </r>
    <r>
      <rPr>
        <sz val="9"/>
        <rFont val="WenQuanYi Zen Hei"/>
        <family val="2"/>
      </rPr>
      <t xml:space="preserve">／ </t>
    </r>
    <r>
      <rPr>
        <sz val="9"/>
        <rFont val="Meiryo UI"/>
        <family val="0"/>
        <charset val="1"/>
      </rPr>
      <t xml:space="preserve">4,965×500</t>
    </r>
    <r>
      <rPr>
        <sz val="9"/>
        <rFont val="WenQuanYi Zen Hei"/>
        <family val="2"/>
      </rPr>
      <t xml:space="preserve">＝</t>
    </r>
    <r>
      <rPr>
        <sz val="9"/>
        <rFont val="Meiryo UI"/>
        <family val="0"/>
        <charset val="1"/>
      </rPr>
      <t xml:space="preserve">2,482,500</t>
    </r>
    <r>
      <rPr>
        <sz val="9"/>
        <rFont val="WenQuanYi Zen Hei"/>
        <family val="2"/>
      </rPr>
      <t xml:space="preserve">円</t>
    </r>
  </si>
  <si>
    <r>
      <rPr>
        <sz val="9"/>
        <rFont val="WenQuanYi Zen Hei"/>
        <family val="2"/>
      </rPr>
      <t xml:space="preserve">会場ごとに同じ</t>
    </r>
    <r>
      <rPr>
        <sz val="9"/>
        <rFont val="Meiryo UI"/>
        <family val="0"/>
        <charset val="1"/>
      </rPr>
      <t xml:space="preserve">3</t>
    </r>
    <r>
      <rPr>
        <sz val="9"/>
        <rFont val="WenQuanYi Zen Hei"/>
        <family val="2"/>
      </rPr>
      <t xml:space="preserve">式が横に並ぶ。イメージリング</t>
    </r>
    <r>
      <rPr>
        <sz val="9"/>
        <rFont val="Meiryo UI"/>
        <family val="0"/>
        <charset val="1"/>
      </rPr>
      <t xml:space="preserve">8</t>
    </r>
    <r>
      <rPr>
        <sz val="9"/>
        <rFont val="WenQuanYi Zen Hei"/>
        <family val="2"/>
      </rPr>
      <t xml:space="preserve">種は東京</t>
    </r>
    <r>
      <rPr>
        <sz val="9"/>
        <rFont val="Meiryo UI"/>
        <family val="0"/>
        <charset val="1"/>
      </rPr>
      <t xml:space="preserve">¥22,000→</t>
    </r>
    <r>
      <rPr>
        <sz val="9"/>
        <rFont val="WenQuanYi Zen Hei"/>
        <family val="2"/>
      </rPr>
      <t xml:space="preserve">名古屋以降</t>
    </r>
    <r>
      <rPr>
        <sz val="9"/>
        <rFont val="Meiryo UI"/>
        <family val="0"/>
        <charset val="1"/>
      </rPr>
      <t xml:space="preserve">¥27,500</t>
    </r>
    <r>
      <rPr>
        <sz val="9"/>
        <rFont val="WenQuanYi Zen Hei"/>
        <family val="2"/>
      </rPr>
      <t xml:space="preserve">の実売単価で金額を算出している</t>
    </r>
  </si>
  <si>
    <t xml:space="preserve">予測・判定ブロック</t>
  </si>
  <si>
    <t xml:space="preserve">①③④の結果の一覧化</t>
  </si>
  <si>
    <r>
      <rPr>
        <sz val="9"/>
        <rFont val="Meiryo UI"/>
        <family val="0"/>
        <charset val="1"/>
      </rPr>
      <t xml:space="preserve">=①!</t>
    </r>
    <r>
      <rPr>
        <sz val="9"/>
        <rFont val="WenQuanYi Zen Hei"/>
        <family val="2"/>
      </rPr>
      <t xml:space="preserve">採用倍率</t>
    </r>
    <r>
      <rPr>
        <sz val="9"/>
        <rFont val="Meiryo UI"/>
        <family val="0"/>
        <charset val="1"/>
      </rPr>
      <t xml:space="preserve">g</t>
    </r>
    <r>
      <rPr>
        <sz val="9"/>
        <rFont val="WenQuanYi Zen Hei"/>
        <family val="2"/>
      </rPr>
      <t xml:space="preserve">〜会期末残在庫 ／ </t>
    </r>
    <r>
      <rPr>
        <sz val="9"/>
        <rFont val="Meiryo UI"/>
        <family val="0"/>
        <charset val="1"/>
      </rPr>
      <t xml:space="preserve">=③!</t>
    </r>
    <r>
      <rPr>
        <sz val="9"/>
        <rFont val="WenQuanYi Zen Hei"/>
        <family val="2"/>
      </rPr>
      <t xml:space="preserve">必要数〜追加生産必要数 ／ </t>
    </r>
    <r>
      <rPr>
        <sz val="9"/>
        <rFont val="Meiryo UI"/>
        <family val="0"/>
        <charset val="1"/>
      </rPr>
      <t xml:space="preserve">=④!</t>
    </r>
    <r>
      <rPr>
        <sz val="9"/>
        <rFont val="WenQuanYi Zen Hei"/>
        <family val="2"/>
      </rPr>
      <t xml:space="preserve">判定〜優先度</t>
    </r>
  </si>
  <si>
    <r>
      <rPr>
        <sz val="9"/>
        <rFont val="Meiryo UI"/>
        <family val="0"/>
        <charset val="1"/>
      </rPr>
      <t xml:space="preserve">1.2952 </t>
    </r>
    <r>
      <rPr>
        <sz val="9"/>
        <rFont val="WenQuanYi Zen Hei"/>
        <family val="2"/>
      </rPr>
      <t xml:space="preserve">／ </t>
    </r>
    <r>
      <rPr>
        <sz val="9"/>
        <rFont val="Meiryo UI"/>
        <family val="0"/>
        <charset val="1"/>
      </rPr>
      <t xml:space="preserve">272</t>
    </r>
    <r>
      <rPr>
        <sz val="9"/>
        <rFont val="WenQuanYi Zen Hei"/>
        <family val="2"/>
      </rPr>
      <t xml:space="preserve">個 ／ </t>
    </r>
    <r>
      <rPr>
        <sz val="9"/>
        <rFont val="Meiryo UI"/>
        <family val="0"/>
        <charset val="1"/>
      </rPr>
      <t xml:space="preserve">136,000</t>
    </r>
    <r>
      <rPr>
        <sz val="9"/>
        <rFont val="WenQuanYi Zen Hei"/>
        <family val="2"/>
      </rPr>
      <t xml:space="preserve">円 ／ </t>
    </r>
    <r>
      <rPr>
        <sz val="9"/>
        <rFont val="Meiryo UI"/>
        <family val="0"/>
        <charset val="1"/>
      </rPr>
      <t xml:space="preserve">3,384</t>
    </r>
    <r>
      <rPr>
        <sz val="9"/>
        <rFont val="WenQuanYi Zen Hei"/>
        <family val="2"/>
      </rPr>
      <t xml:space="preserve">個 ／ </t>
    </r>
    <r>
      <rPr>
        <sz val="9"/>
        <rFont val="Meiryo UI"/>
        <family val="0"/>
        <charset val="1"/>
      </rPr>
      <t xml:space="preserve">2,689</t>
    </r>
    <r>
      <rPr>
        <sz val="9"/>
        <rFont val="WenQuanYi Zen Hei"/>
        <family val="2"/>
      </rPr>
      <t xml:space="preserve">個 ／ </t>
    </r>
    <r>
      <rPr>
        <sz val="9"/>
        <rFont val="Meiryo UI"/>
        <family val="0"/>
        <charset val="1"/>
      </rPr>
      <t xml:space="preserve">695</t>
    </r>
    <r>
      <rPr>
        <sz val="9"/>
        <rFont val="WenQuanYi Zen Hei"/>
        <family val="2"/>
      </rPr>
      <t xml:space="preserve">個</t>
    </r>
  </si>
  <si>
    <t xml:space="preserve">ここでは計算せず、①③④の結果を商品別に横一列で見るためのビュー</t>
  </si>
  <si>
    <r>
      <rPr>
        <b val="true"/>
        <sz val="10"/>
        <color rgb="FFFFFFFF"/>
        <rFont val="WenQuanYi Zen Hei"/>
        <family val="2"/>
      </rPr>
      <t xml:space="preserve">■ ⑥商品別 会場推移（</t>
    </r>
    <r>
      <rPr>
        <b val="true"/>
        <sz val="10"/>
        <color rgb="FFFFFFFF"/>
        <rFont val="Meiryo UI"/>
        <family val="0"/>
        <charset val="1"/>
      </rPr>
      <t xml:space="preserve">5</t>
    </r>
    <r>
      <rPr>
        <b val="true"/>
        <sz val="10"/>
        <color rgb="FFFFFFFF"/>
        <rFont val="WenQuanYi Zen Hei"/>
        <family val="2"/>
      </rPr>
      <t xml:space="preserve">行目＝見出し、</t>
    </r>
    <r>
      <rPr>
        <b val="true"/>
        <sz val="10"/>
        <color rgb="FFFFFFFF"/>
        <rFont val="Meiryo UI"/>
        <family val="0"/>
        <charset val="1"/>
      </rPr>
      <t xml:space="preserve">6</t>
    </r>
    <r>
      <rPr>
        <b val="true"/>
        <sz val="10"/>
        <color rgb="FFFFFFFF"/>
        <rFont val="WenQuanYi Zen Hei"/>
        <family val="2"/>
      </rPr>
      <t xml:space="preserve">〜</t>
    </r>
    <r>
      <rPr>
        <b val="true"/>
        <sz val="10"/>
        <color rgb="FFFFFFFF"/>
        <rFont val="Meiryo UI"/>
        <family val="0"/>
        <charset val="1"/>
      </rPr>
      <t xml:space="preserve">47</t>
    </r>
    <r>
      <rPr>
        <b val="true"/>
        <sz val="10"/>
        <color rgb="FFFFFFFF"/>
        <rFont val="WenQuanYi Zen Hei"/>
        <family val="2"/>
      </rPr>
      <t xml:space="preserve">行＝商品、</t>
    </r>
    <r>
      <rPr>
        <b val="true"/>
        <sz val="10"/>
        <color rgb="FFFFFFFF"/>
        <rFont val="Meiryo UI"/>
        <family val="0"/>
        <charset val="1"/>
      </rPr>
      <t xml:space="preserve">48</t>
    </r>
    <r>
      <rPr>
        <b val="true"/>
        <sz val="10"/>
        <color rgb="FFFFFFFF"/>
        <rFont val="WenQuanYi Zen Hei"/>
        <family val="2"/>
      </rPr>
      <t xml:space="preserve">行＝合計）</t>
    </r>
  </si>
  <si>
    <r>
      <rPr>
        <sz val="9"/>
        <rFont val="Meiryo UI"/>
        <family val="0"/>
        <charset val="1"/>
      </rPr>
      <t xml:space="preserve">J</t>
    </r>
    <r>
      <rPr>
        <sz val="9"/>
        <rFont val="WenQuanYi Zen Hei"/>
        <family val="2"/>
      </rPr>
      <t xml:space="preserve">〜</t>
    </r>
    <r>
      <rPr>
        <sz val="9"/>
        <rFont val="Meiryo UI"/>
        <family val="0"/>
        <charset val="1"/>
      </rPr>
      <t xml:space="preserve">O</t>
    </r>
    <r>
      <rPr>
        <sz val="9"/>
        <rFont val="WenQuanYi Zen Hei"/>
        <family val="2"/>
      </rPr>
      <t xml:space="preserve">列</t>
    </r>
  </si>
  <si>
    <t xml:space="preserve">各会場 構成比</t>
  </si>
  <si>
    <t xml:space="preserve">=IFERROR(E6/E$48,0)</t>
  </si>
  <si>
    <r>
      <rPr>
        <sz val="9"/>
        <rFont val="WenQuanYi Zen Hei"/>
        <family val="2"/>
      </rPr>
      <t xml:space="preserve">東京 </t>
    </r>
    <r>
      <rPr>
        <sz val="9"/>
        <rFont val="Meiryo UI"/>
        <family val="0"/>
        <charset val="1"/>
      </rPr>
      <t xml:space="preserve">4,965÷148,185 </t>
    </r>
    <r>
      <rPr>
        <sz val="9"/>
        <rFont val="WenQuanYi Zen Hei"/>
        <family val="2"/>
      </rPr>
      <t xml:space="preserve">＝ </t>
    </r>
    <r>
      <rPr>
        <sz val="9"/>
        <rFont val="Meiryo UI"/>
        <family val="0"/>
        <charset val="1"/>
      </rPr>
      <t xml:space="preserve">3.35%</t>
    </r>
  </si>
  <si>
    <r>
      <rPr>
        <sz val="9"/>
        <rFont val="WenQuanYi Zen Hei"/>
        <family val="2"/>
      </rPr>
      <t xml:space="preserve">会期全体ベース（石川のみ初</t>
    </r>
    <r>
      <rPr>
        <sz val="9"/>
        <rFont val="Meiryo UI"/>
        <family val="0"/>
        <charset val="1"/>
      </rPr>
      <t xml:space="preserve">12</t>
    </r>
    <r>
      <rPr>
        <sz val="9"/>
        <rFont val="WenQuanYi Zen Hei"/>
        <family val="2"/>
      </rPr>
      <t xml:space="preserve">日実績）</t>
    </r>
  </si>
  <si>
    <r>
      <rPr>
        <b val="true"/>
        <sz val="9"/>
        <rFont val="WenQuanYi Zen Hei"/>
        <family val="2"/>
      </rPr>
      <t xml:space="preserve">石川</t>
    </r>
    <r>
      <rPr>
        <b val="true"/>
        <sz val="9"/>
        <rFont val="Meiryo UI"/>
        <family val="0"/>
        <charset val="1"/>
      </rPr>
      <t xml:space="preserve">18</t>
    </r>
    <r>
      <rPr>
        <b val="true"/>
        <sz val="9"/>
        <rFont val="WenQuanYi Zen Hei"/>
        <family val="2"/>
      </rPr>
      <t xml:space="preserve">日 予測構成比</t>
    </r>
  </si>
  <si>
    <t xml:space="preserve">=L6-I6</t>
  </si>
  <si>
    <t xml:space="preserve">5.28%</t>
  </si>
  <si>
    <t xml:space="preserve">①シートの数量構成比へのリンク</t>
  </si>
  <si>
    <r>
      <rPr>
        <sz val="9"/>
        <rFont val="Meiryo UI"/>
        <family val="0"/>
        <charset val="1"/>
      </rPr>
      <t xml:space="preserve">? / R</t>
    </r>
    <r>
      <rPr>
        <sz val="9"/>
        <rFont val="WenQuanYi Zen Hei"/>
        <family val="2"/>
      </rPr>
      <t xml:space="preserve">列</t>
    </r>
  </si>
  <si>
    <t xml:space="preserve">構成比変化</t>
  </si>
  <si>
    <t xml:space="preserve"> ／ （数式なし＝実績値・転記値の直接入力）</t>
  </si>
  <si>
    <r>
      <rPr>
        <sz val="9"/>
        <rFont val="Meiryo UI"/>
        <family val="0"/>
        <charset val="1"/>
      </rPr>
      <t xml:space="preserve">5.28%−5.70% </t>
    </r>
    <r>
      <rPr>
        <sz val="9"/>
        <rFont val="WenQuanYi Zen Hei"/>
        <family val="2"/>
      </rPr>
      <t xml:space="preserve">＝ </t>
    </r>
    <r>
      <rPr>
        <sz val="9"/>
        <rFont val="Meiryo UI"/>
        <family val="0"/>
        <charset val="1"/>
      </rPr>
      <t xml:space="preserve">-0.42pt</t>
    </r>
  </si>
  <si>
    <r>
      <rPr>
        <sz val="9"/>
        <rFont val="WenQuanYi Zen Hei"/>
        <family val="2"/>
      </rPr>
      <t xml:space="preserve">ポイント差（</t>
    </r>
    <r>
      <rPr>
        <sz val="9"/>
        <rFont val="Meiryo UI"/>
        <family val="0"/>
        <charset val="1"/>
      </rPr>
      <t xml:space="preserve">pt</t>
    </r>
    <r>
      <rPr>
        <sz val="9"/>
        <rFont val="WenQuanYi Zen Hei"/>
        <family val="2"/>
      </rPr>
      <t xml:space="preserve">）で表示。仙台以降の重点商品を選ぶ材料</t>
    </r>
  </si>
  <si>
    <t xml:space="preserve">（数式なし＝実績値・転記値の直接入力）</t>
  </si>
  <si>
    <t xml:space="preserve">「↑ 伸長」／「→ 横ばい」／「↓ 減退」</t>
  </si>
  <si>
    <r>
      <rPr>
        <sz val="9"/>
        <rFont val="Meiryo UI"/>
        <family val="0"/>
        <charset val="1"/>
      </rPr>
      <t xml:space="preserve">±0.5pt </t>
    </r>
    <r>
      <rPr>
        <sz val="9"/>
        <rFont val="WenQuanYi Zen Hei"/>
        <family val="2"/>
      </rPr>
      <t xml:space="preserve">を閾値に判定</t>
    </r>
  </si>
  <si>
    <t xml:space="preserve">■ ⑦新商品影響分析</t>
  </si>
  <si>
    <r>
      <rPr>
        <sz val="9"/>
        <rFont val="Meiryo UI"/>
        <family val="0"/>
        <charset val="1"/>
      </rPr>
      <t xml:space="preserve">1</t>
    </r>
    <r>
      <rPr>
        <sz val="9"/>
        <rFont val="WenQuanYi Zen Hei"/>
        <family val="2"/>
      </rPr>
      <t xml:space="preserve">人あたり売上の表</t>
    </r>
  </si>
  <si>
    <r>
      <rPr>
        <b val="true"/>
        <sz val="9"/>
        <rFont val="Meiryo UI"/>
        <family val="0"/>
        <charset val="1"/>
      </rPr>
      <t xml:space="preserve">1</t>
    </r>
    <r>
      <rPr>
        <b val="true"/>
        <sz val="9"/>
        <rFont val="WenQuanYi Zen Hei"/>
        <family val="2"/>
      </rPr>
      <t xml:space="preserve">人あたり売上（円</t>
    </r>
    <r>
      <rPr>
        <b val="true"/>
        <sz val="9"/>
        <rFont val="Meiryo UI"/>
        <family val="0"/>
        <charset val="1"/>
      </rPr>
      <t xml:space="preserve">/</t>
    </r>
    <r>
      <rPr>
        <b val="true"/>
        <sz val="9"/>
        <rFont val="WenQuanYi Zen Hei"/>
        <family val="2"/>
      </rPr>
      <t xml:space="preserve">人）</t>
    </r>
  </si>
  <si>
    <r>
      <rPr>
        <sz val="9"/>
        <rFont val="WenQuanYi Zen Hei"/>
        <family val="2"/>
      </rPr>
      <t xml:space="preserve">（数式なし＝供給元別売上 </t>
    </r>
    <r>
      <rPr>
        <sz val="9"/>
        <rFont val="Meiryo UI"/>
        <family val="0"/>
        <charset val="1"/>
      </rPr>
      <t xml:space="preserve">÷ </t>
    </r>
    <r>
      <rPr>
        <sz val="9"/>
        <rFont val="WenQuanYi Zen Hei"/>
        <family val="2"/>
      </rPr>
      <t xml:space="preserve">入場者数の実績値を入力）</t>
    </r>
  </si>
  <si>
    <r>
      <rPr>
        <sz val="9"/>
        <rFont val="Meiryo UI"/>
        <family val="0"/>
        <charset val="1"/>
      </rPr>
      <t xml:space="preserve">LEGS</t>
    </r>
    <r>
      <rPr>
        <sz val="9"/>
        <rFont val="WenQuanYi Zen Hei"/>
        <family val="2"/>
      </rPr>
      <t xml:space="preserve">：東京 </t>
    </r>
    <r>
      <rPr>
        <sz val="9"/>
        <rFont val="Meiryo UI"/>
        <family val="0"/>
        <charset val="1"/>
      </rPr>
      <t xml:space="preserve">2,159</t>
    </r>
    <r>
      <rPr>
        <sz val="9"/>
        <rFont val="WenQuanYi Zen Hei"/>
        <family val="2"/>
      </rPr>
      <t xml:space="preserve">円</t>
    </r>
    <r>
      <rPr>
        <sz val="9"/>
        <rFont val="Meiryo UI"/>
        <family val="0"/>
        <charset val="1"/>
      </rPr>
      <t xml:space="preserve">/</t>
    </r>
    <r>
      <rPr>
        <sz val="9"/>
        <rFont val="WenQuanYi Zen Hei"/>
        <family val="2"/>
      </rPr>
      <t xml:space="preserve">人 → 名古屋 </t>
    </r>
    <r>
      <rPr>
        <sz val="9"/>
        <rFont val="Meiryo UI"/>
        <family val="0"/>
        <charset val="1"/>
      </rPr>
      <t xml:space="preserve">2,099</t>
    </r>
    <r>
      <rPr>
        <sz val="9"/>
        <rFont val="WenQuanYi Zen Hei"/>
        <family val="2"/>
      </rPr>
      <t xml:space="preserve">円</t>
    </r>
    <r>
      <rPr>
        <sz val="9"/>
        <rFont val="Meiryo UI"/>
        <family val="0"/>
        <charset val="1"/>
      </rPr>
      <t xml:space="preserve">/</t>
    </r>
    <r>
      <rPr>
        <sz val="9"/>
        <rFont val="WenQuanYi Zen Hei"/>
        <family val="2"/>
      </rPr>
      <t xml:space="preserve">人 → 博多 </t>
    </r>
    <r>
      <rPr>
        <sz val="9"/>
        <rFont val="Meiryo UI"/>
        <family val="0"/>
        <charset val="1"/>
      </rPr>
      <t xml:space="preserve">1,634</t>
    </r>
    <r>
      <rPr>
        <sz val="9"/>
        <rFont val="WenQuanYi Zen Hei"/>
        <family val="2"/>
      </rPr>
      <t xml:space="preserve">円</t>
    </r>
    <r>
      <rPr>
        <sz val="9"/>
        <rFont val="Meiryo UI"/>
        <family val="0"/>
        <charset val="1"/>
      </rPr>
      <t xml:space="preserve">/</t>
    </r>
    <r>
      <rPr>
        <sz val="9"/>
        <rFont val="WenQuanYi Zen Hei"/>
        <family val="2"/>
      </rPr>
      <t xml:space="preserve">人 → 大阪 </t>
    </r>
    <r>
      <rPr>
        <sz val="9"/>
        <rFont val="Meiryo UI"/>
        <family val="0"/>
        <charset val="1"/>
      </rPr>
      <t xml:space="preserve">1,455</t>
    </r>
    <r>
      <rPr>
        <sz val="9"/>
        <rFont val="WenQuanYi Zen Hei"/>
        <family val="2"/>
      </rPr>
      <t xml:space="preserve">円</t>
    </r>
    <r>
      <rPr>
        <sz val="9"/>
        <rFont val="Meiryo UI"/>
        <family val="0"/>
        <charset val="1"/>
      </rPr>
      <t xml:space="preserve">/</t>
    </r>
    <r>
      <rPr>
        <sz val="9"/>
        <rFont val="WenQuanYi Zen Hei"/>
        <family val="2"/>
      </rPr>
      <t xml:space="preserve">人 → 札幌 </t>
    </r>
    <r>
      <rPr>
        <sz val="9"/>
        <rFont val="Meiryo UI"/>
        <family val="0"/>
        <charset val="1"/>
      </rPr>
      <t xml:space="preserve">703</t>
    </r>
    <r>
      <rPr>
        <sz val="9"/>
        <rFont val="WenQuanYi Zen Hei"/>
        <family val="2"/>
      </rPr>
      <t xml:space="preserve">円</t>
    </r>
    <r>
      <rPr>
        <sz val="9"/>
        <rFont val="Meiryo UI"/>
        <family val="0"/>
        <charset val="1"/>
      </rPr>
      <t xml:space="preserve">/</t>
    </r>
    <r>
      <rPr>
        <sz val="9"/>
        <rFont val="WenQuanYi Zen Hei"/>
        <family val="2"/>
      </rPr>
      <t xml:space="preserve">人 → 石川 </t>
    </r>
    <r>
      <rPr>
        <sz val="9"/>
        <rFont val="Meiryo UI"/>
        <family val="0"/>
        <charset val="1"/>
      </rPr>
      <t xml:space="preserve">639</t>
    </r>
    <r>
      <rPr>
        <sz val="9"/>
        <rFont val="WenQuanYi Zen Hei"/>
        <family val="2"/>
      </rPr>
      <t xml:space="preserve">円</t>
    </r>
    <r>
      <rPr>
        <sz val="9"/>
        <rFont val="Meiryo UI"/>
        <family val="0"/>
        <charset val="1"/>
      </rPr>
      <t xml:space="preserve">/</t>
    </r>
    <r>
      <rPr>
        <sz val="9"/>
        <rFont val="WenQuanYi Zen Hei"/>
        <family val="2"/>
      </rPr>
      <t xml:space="preserve">人</t>
    </r>
  </si>
  <si>
    <r>
      <rPr>
        <sz val="9"/>
        <rFont val="WenQuanYi Zen Hei"/>
        <family val="2"/>
      </rPr>
      <t xml:space="preserve">会場規模の差を消すため「</t>
    </r>
    <r>
      <rPr>
        <sz val="9"/>
        <rFont val="Meiryo UI"/>
        <family val="0"/>
        <charset val="1"/>
      </rPr>
      <t xml:space="preserve">1</t>
    </r>
    <r>
      <rPr>
        <sz val="9"/>
        <rFont val="WenQuanYi Zen Hei"/>
        <family val="2"/>
      </rPr>
      <t xml:space="preserve">人あたり」に正規化して比較している</t>
    </r>
  </si>
  <si>
    <t xml:space="preserve">増減／増減率の列</t>
  </si>
  <si>
    <t xml:space="preserve">名古屋→大阪 増減／増減率</t>
  </si>
  <si>
    <r>
      <rPr>
        <sz val="9"/>
        <rFont val="Meiryo UI"/>
        <family val="0"/>
        <charset val="1"/>
      </rPr>
      <t xml:space="preserve">=</t>
    </r>
    <r>
      <rPr>
        <sz val="9"/>
        <rFont val="WenQuanYi Zen Hei"/>
        <family val="2"/>
      </rPr>
      <t xml:space="preserve">大阪−名古屋 ／ </t>
    </r>
    <r>
      <rPr>
        <sz val="9"/>
        <rFont val="Meiryo UI"/>
        <family val="0"/>
        <charset val="1"/>
      </rPr>
      <t xml:space="preserve">=IFERROR(</t>
    </r>
    <r>
      <rPr>
        <sz val="9"/>
        <rFont val="WenQuanYi Zen Hei"/>
        <family val="2"/>
      </rPr>
      <t xml:space="preserve">増減</t>
    </r>
    <r>
      <rPr>
        <sz val="9"/>
        <rFont val="Meiryo UI"/>
        <family val="0"/>
        <charset val="1"/>
      </rPr>
      <t xml:space="preserve">/</t>
    </r>
    <r>
      <rPr>
        <sz val="9"/>
        <rFont val="WenQuanYi Zen Hei"/>
        <family val="2"/>
      </rPr>
      <t xml:space="preserve">名古屋</t>
    </r>
    <r>
      <rPr>
        <sz val="9"/>
        <rFont val="Meiryo UI"/>
        <family val="0"/>
        <charset val="1"/>
      </rPr>
      <t xml:space="preserve">,"")</t>
    </r>
  </si>
  <si>
    <r>
      <rPr>
        <sz val="9"/>
        <rFont val="Meiryo UI"/>
        <family val="0"/>
        <charset val="1"/>
      </rPr>
      <t xml:space="preserve">LEGS</t>
    </r>
    <r>
      <rPr>
        <sz val="9"/>
        <rFont val="WenQuanYi Zen Hei"/>
        <family val="2"/>
      </rPr>
      <t xml:space="preserve">が最大の減少幅</t>
    </r>
  </si>
  <si>
    <r>
      <rPr>
        <sz val="9"/>
        <rFont val="WenQuanYi Zen Hei"/>
        <family val="2"/>
      </rPr>
      <t xml:space="preserve">新商品</t>
    </r>
    <r>
      <rPr>
        <sz val="9"/>
        <rFont val="Meiryo UI"/>
        <family val="0"/>
        <charset val="1"/>
      </rPr>
      <t xml:space="preserve">106SKU</t>
    </r>
    <r>
      <rPr>
        <sz val="9"/>
        <rFont val="WenQuanYi Zen Hei"/>
        <family val="2"/>
      </rPr>
      <t xml:space="preserve">を投入した大阪で、</t>
    </r>
    <r>
      <rPr>
        <sz val="9"/>
        <rFont val="Meiryo UI"/>
        <family val="0"/>
        <charset val="1"/>
      </rPr>
      <t xml:space="preserve">LEGS</t>
    </r>
    <r>
      <rPr>
        <sz val="9"/>
        <rFont val="WenQuanYi Zen Hei"/>
        <family val="2"/>
      </rPr>
      <t xml:space="preserve">がどれだけ削られたかを見る</t>
    </r>
  </si>
  <si>
    <t xml:space="preserve">会場別の新商品表</t>
  </si>
  <si>
    <r>
      <rPr>
        <b val="true"/>
        <sz val="9"/>
        <rFont val="WenQuanYi Zen Hei"/>
        <family val="2"/>
      </rPr>
      <t xml:space="preserve">新規</t>
    </r>
    <r>
      <rPr>
        <b val="true"/>
        <sz val="9"/>
        <rFont val="Meiryo UI"/>
        <family val="0"/>
        <charset val="1"/>
      </rPr>
      <t xml:space="preserve">SKU</t>
    </r>
    <r>
      <rPr>
        <b val="true"/>
        <sz val="9"/>
        <rFont val="WenQuanYi Zen Hei"/>
        <family val="2"/>
      </rPr>
      <t xml:space="preserve">数／新商品売上（円</t>
    </r>
    <r>
      <rPr>
        <b val="true"/>
        <sz val="9"/>
        <rFont val="Meiryo UI"/>
        <family val="0"/>
        <charset val="1"/>
      </rPr>
      <t xml:space="preserve">/</t>
    </r>
    <r>
      <rPr>
        <b val="true"/>
        <sz val="9"/>
        <rFont val="WenQuanYi Zen Hei"/>
        <family val="2"/>
      </rPr>
      <t xml:space="preserve">人）</t>
    </r>
  </si>
  <si>
    <t xml:space="preserve">（数式なし＝会場別の実績集計値）</t>
  </si>
  <si>
    <r>
      <rPr>
        <sz val="9"/>
        <rFont val="WenQuanYi Zen Hei"/>
        <family val="2"/>
      </rPr>
      <t xml:space="preserve">大阪：新規</t>
    </r>
    <r>
      <rPr>
        <sz val="9"/>
        <rFont val="Meiryo UI"/>
        <family val="0"/>
        <charset val="1"/>
      </rPr>
      <t xml:space="preserve">106SKU</t>
    </r>
    <r>
      <rPr>
        <sz val="9"/>
        <rFont val="WenQuanYi Zen Hei"/>
        <family val="2"/>
      </rPr>
      <t xml:space="preserve">・</t>
    </r>
    <r>
      <rPr>
        <sz val="9"/>
        <rFont val="Meiryo UI"/>
        <family val="0"/>
        <charset val="1"/>
      </rPr>
      <t xml:space="preserve">1,360</t>
    </r>
    <r>
      <rPr>
        <sz val="9"/>
        <rFont val="WenQuanYi Zen Hei"/>
        <family val="2"/>
      </rPr>
      <t xml:space="preserve">円</t>
    </r>
    <r>
      <rPr>
        <sz val="9"/>
        <rFont val="Meiryo UI"/>
        <family val="0"/>
        <charset val="1"/>
      </rPr>
      <t xml:space="preserve">/</t>
    </r>
    <r>
      <rPr>
        <sz val="9"/>
        <rFont val="WenQuanYi Zen Hei"/>
        <family val="2"/>
      </rPr>
      <t xml:space="preserve">人</t>
    </r>
  </si>
  <si>
    <r>
      <rPr>
        <sz val="9"/>
        <rFont val="Meiryo UI"/>
        <family val="0"/>
        <charset val="1"/>
      </rPr>
      <t xml:space="preserve">LEGS</t>
    </r>
    <r>
      <rPr>
        <sz val="9"/>
        <rFont val="WenQuanYi Zen Hei"/>
        <family val="2"/>
      </rPr>
      <t xml:space="preserve">の減少幅と新商品の獲得額を突き合わせてカニバリ率を出す</t>
    </r>
  </si>
  <si>
    <t xml:space="preserve">商品タイプ別の表</t>
  </si>
  <si>
    <r>
      <rPr>
        <b val="true"/>
        <sz val="9"/>
        <rFont val="Meiryo UI"/>
        <family val="0"/>
        <charset val="1"/>
      </rPr>
      <t xml:space="preserve">LEGS</t>
    </r>
    <r>
      <rPr>
        <b val="true"/>
        <sz val="9"/>
        <rFont val="WenQuanYi Zen Hei"/>
        <family val="2"/>
      </rPr>
      <t xml:space="preserve">減少への寄与度</t>
    </r>
  </si>
  <si>
    <r>
      <rPr>
        <sz val="9"/>
        <rFont val="Meiryo UI"/>
        <family val="0"/>
        <charset val="1"/>
      </rPr>
      <t xml:space="preserve">=IFERROR(</t>
    </r>
    <r>
      <rPr>
        <sz val="9"/>
        <rFont val="WenQuanYi Zen Hei"/>
        <family val="2"/>
      </rPr>
      <t xml:space="preserve">タイプ別の増減</t>
    </r>
    <r>
      <rPr>
        <sz val="9"/>
        <rFont val="Meiryo UI"/>
        <family val="0"/>
        <charset val="1"/>
      </rPr>
      <t xml:space="preserve">/LEGS</t>
    </r>
    <r>
      <rPr>
        <sz val="9"/>
        <rFont val="WenQuanYi Zen Hei"/>
        <family val="2"/>
      </rPr>
      <t xml:space="preserve">合計の増減</t>
    </r>
    <r>
      <rPr>
        <sz val="9"/>
        <rFont val="Meiryo UI"/>
        <family val="0"/>
        <charset val="1"/>
      </rPr>
      <t xml:space="preserve">,"")</t>
    </r>
  </si>
  <si>
    <t xml:space="preserve">ブラインド缶バッジ・ミニ色紙で減少の大半を占める</t>
  </si>
  <si>
    <t xml:space="preserve">どのタイプが新商品に食われたかを特定する</t>
  </si>
  <si>
    <r>
      <rPr>
        <b val="true"/>
        <sz val="10"/>
        <color rgb="FFFFFFFF"/>
        <rFont val="WenQuanYi Zen Hei"/>
        <family val="2"/>
      </rPr>
      <t xml:space="preserve">■ ⑧実在庫</t>
    </r>
    <r>
      <rPr>
        <b val="true"/>
        <sz val="10"/>
        <color rgb="FFFFFFFF"/>
        <rFont val="Meiryo UI"/>
        <family val="0"/>
        <charset val="1"/>
      </rPr>
      <t xml:space="preserve">(7-8)</t>
    </r>
    <r>
      <rPr>
        <b val="true"/>
        <sz val="10"/>
        <color rgb="FFFFFFFF"/>
        <rFont val="WenQuanYi Zen Hei"/>
        <family val="2"/>
      </rPr>
      <t xml:space="preserve">明細（</t>
    </r>
    <r>
      <rPr>
        <b val="true"/>
        <sz val="10"/>
        <color rgb="FFFFFFFF"/>
        <rFont val="Meiryo UI"/>
        <family val="0"/>
        <charset val="1"/>
      </rPr>
      <t xml:space="preserve">6</t>
    </r>
    <r>
      <rPr>
        <b val="true"/>
        <sz val="10"/>
        <color rgb="FFFFFFFF"/>
        <rFont val="WenQuanYi Zen Hei"/>
        <family val="2"/>
      </rPr>
      <t xml:space="preserve">行目＝見出し、</t>
    </r>
    <r>
      <rPr>
        <b val="true"/>
        <sz val="10"/>
        <color rgb="FFFFFFFF"/>
        <rFont val="Meiryo UI"/>
        <family val="0"/>
        <charset val="1"/>
      </rPr>
      <t xml:space="preserve">7</t>
    </r>
    <r>
      <rPr>
        <b val="true"/>
        <sz val="10"/>
        <color rgb="FFFFFFFF"/>
        <rFont val="WenQuanYi Zen Hei"/>
        <family val="2"/>
      </rPr>
      <t xml:space="preserve">〜</t>
    </r>
    <r>
      <rPr>
        <b val="true"/>
        <sz val="10"/>
        <color rgb="FFFFFFFF"/>
        <rFont val="Meiryo UI"/>
        <family val="0"/>
        <charset val="1"/>
      </rPr>
      <t xml:space="preserve">48</t>
    </r>
    <r>
      <rPr>
        <b val="true"/>
        <sz val="10"/>
        <color rgb="FFFFFFFF"/>
        <rFont val="WenQuanYi Zen Hei"/>
        <family val="2"/>
      </rPr>
      <t xml:space="preserve">行＝商品、</t>
    </r>
    <r>
      <rPr>
        <b val="true"/>
        <sz val="10"/>
        <color rgb="FFFFFFFF"/>
        <rFont val="Meiryo UI"/>
        <family val="0"/>
        <charset val="1"/>
      </rPr>
      <t xml:space="preserve">49</t>
    </r>
    <r>
      <rPr>
        <b val="true"/>
        <sz val="10"/>
        <color rgb="FFFFFFFF"/>
        <rFont val="WenQuanYi Zen Hei"/>
        <family val="2"/>
      </rPr>
      <t xml:space="preserve">行＝合計）</t>
    </r>
  </si>
  <si>
    <r>
      <rPr>
        <sz val="9"/>
        <rFont val="WenQuanYi Zen Hei"/>
        <family val="2"/>
      </rPr>
      <t xml:space="preserve">⑧実在庫</t>
    </r>
    <r>
      <rPr>
        <sz val="9"/>
        <rFont val="Meiryo UI"/>
        <family val="0"/>
        <charset val="1"/>
      </rPr>
      <t xml:space="preserve">(7-8)</t>
    </r>
    <r>
      <rPr>
        <sz val="9"/>
        <rFont val="WenQuanYi Zen Hei"/>
        <family val="2"/>
      </rPr>
      <t xml:space="preserve">明細</t>
    </r>
  </si>
  <si>
    <r>
      <rPr>
        <sz val="9"/>
        <rFont val="Meiryo UI"/>
        <family val="0"/>
        <charset val="1"/>
      </rPr>
      <t xml:space="preserve">E</t>
    </r>
    <r>
      <rPr>
        <sz val="9"/>
        <rFont val="WenQuanYi Zen Hei"/>
        <family val="2"/>
      </rPr>
      <t xml:space="preserve">〜</t>
    </r>
    <r>
      <rPr>
        <sz val="9"/>
        <rFont val="Meiryo UI"/>
        <family val="0"/>
        <charset val="1"/>
      </rPr>
      <t xml:space="preserve">H</t>
    </r>
    <r>
      <rPr>
        <sz val="9"/>
        <rFont val="WenQuanYi Zen Hei"/>
        <family val="2"/>
      </rPr>
      <t xml:space="preserve">列</t>
    </r>
  </si>
  <si>
    <t xml:space="preserve">在庫フロー台帳の段階別 実在庫</t>
  </si>
  <si>
    <t xml:space="preserve">（数式なし＝台帳「実在庫」列の転記）</t>
  </si>
  <si>
    <t xml:space="preserve">4,024 → 2,696 → 5,597 → 3,271</t>
  </si>
  <si>
    <r>
      <rPr>
        <sz val="9"/>
        <rFont val="WenQuanYi Zen Hei"/>
        <family val="2"/>
      </rPr>
      <t xml:space="preserve">会場ごとの 追加発注→販売→レッグス検品 の積上げ。最終列（梅田まで</t>
    </r>
    <r>
      <rPr>
        <sz val="9"/>
        <rFont val="Meiryo UI"/>
        <family val="0"/>
        <charset val="1"/>
      </rPr>
      <t xml:space="preserve">(SET)</t>
    </r>
    <r>
      <rPr>
        <sz val="9"/>
        <rFont val="WenQuanYi Zen Hei"/>
        <family val="2"/>
      </rPr>
      <t xml:space="preserve">）が現時点の残在庫想定</t>
    </r>
  </si>
  <si>
    <r>
      <rPr>
        <sz val="9"/>
        <rFont val="Meiryo UI"/>
        <family val="0"/>
        <charset val="1"/>
      </rPr>
      <t xml:space="preserve">I</t>
    </r>
    <r>
      <rPr>
        <sz val="9"/>
        <rFont val="WenQuanYi Zen Hei"/>
        <family val="2"/>
      </rPr>
      <t xml:space="preserve">列</t>
    </r>
  </si>
  <si>
    <t xml:space="preserve">（数式なし＝ロジ在庫データの転記）</t>
  </si>
  <si>
    <r>
      <rPr>
        <sz val="9"/>
        <rFont val="Meiryo UI"/>
        <family val="0"/>
        <charset val="1"/>
      </rPr>
      <t xml:space="preserve">2,268</t>
    </r>
    <r>
      <rPr>
        <sz val="9"/>
        <rFont val="WenQuanYi Zen Hei"/>
        <family val="2"/>
      </rPr>
      <t xml:space="preserve">個</t>
    </r>
  </si>
  <si>
    <r>
      <rPr>
        <sz val="9"/>
        <rFont val="WenQuanYi Zen Hei"/>
        <family val="2"/>
      </rPr>
      <t xml:space="preserve">ロジ在庫データに無い品（</t>
    </r>
    <r>
      <rPr>
        <sz val="9"/>
        <rFont val="Meiryo UI"/>
        <family val="0"/>
        <charset val="1"/>
      </rPr>
      <t xml:space="preserve">1</t>
    </r>
    <r>
      <rPr>
        <sz val="9"/>
        <rFont val="WenQuanYi Zen Hei"/>
        <family val="2"/>
      </rPr>
      <t xml:space="preserve">件）は備考に★を出し、台帳の残在庫−会場納品で代用している</t>
    </r>
  </si>
  <si>
    <r>
      <rPr>
        <sz val="9"/>
        <rFont val="Meiryo UI"/>
        <family val="0"/>
        <charset val="1"/>
      </rPr>
      <t xml:space="preserve">J</t>
    </r>
    <r>
      <rPr>
        <sz val="9"/>
        <rFont val="WenQuanYi Zen Hei"/>
        <family val="2"/>
      </rPr>
      <t xml:space="preserve">列</t>
    </r>
  </si>
  <si>
    <r>
      <rPr>
        <b val="true"/>
        <sz val="9"/>
        <rFont val="WenQuanYi Zen Hei"/>
        <family val="2"/>
      </rPr>
      <t xml:space="preserve">残在庫 金額</t>
    </r>
    <r>
      <rPr>
        <b val="true"/>
        <sz val="9"/>
        <rFont val="Meiryo UI"/>
        <family val="0"/>
        <charset val="1"/>
      </rPr>
      <t xml:space="preserve">(</t>
    </r>
    <r>
      <rPr>
        <b val="true"/>
        <sz val="9"/>
        <rFont val="WenQuanYi Zen Hei"/>
        <family val="2"/>
      </rPr>
      <t xml:space="preserve">税込</t>
    </r>
    <r>
      <rPr>
        <b val="true"/>
        <sz val="9"/>
        <rFont val="Meiryo UI"/>
        <family val="0"/>
        <charset val="1"/>
      </rPr>
      <t xml:space="preserve">)</t>
    </r>
  </si>
  <si>
    <t xml:space="preserve">=H7*D7</t>
  </si>
  <si>
    <r>
      <rPr>
        <sz val="9"/>
        <rFont val="Meiryo UI"/>
        <family val="0"/>
        <charset val="1"/>
      </rPr>
      <t xml:space="preserve">3,271×500 </t>
    </r>
    <r>
      <rPr>
        <sz val="9"/>
        <rFont val="WenQuanYi Zen Hei"/>
        <family val="2"/>
      </rPr>
      <t xml:space="preserve">＝ </t>
    </r>
    <r>
      <rPr>
        <sz val="9"/>
        <rFont val="Meiryo UI"/>
        <family val="0"/>
        <charset val="1"/>
      </rPr>
      <t xml:space="preserve">1,635,500</t>
    </r>
    <r>
      <rPr>
        <sz val="9"/>
        <rFont val="WenQuanYi Zen Hei"/>
        <family val="2"/>
      </rPr>
      <t xml:space="preserve">円</t>
    </r>
  </si>
  <si>
    <r>
      <rPr>
        <sz val="9"/>
        <rFont val="Meiryo UI"/>
        <family val="0"/>
        <charset val="1"/>
      </rPr>
      <t xml:space="preserve">42SKU</t>
    </r>
    <r>
      <rPr>
        <sz val="9"/>
        <rFont val="WenQuanYi Zen Hei"/>
        <family val="2"/>
      </rPr>
      <t xml:space="preserve">計 </t>
    </r>
    <r>
      <rPr>
        <sz val="9"/>
        <rFont val="Meiryo UI"/>
        <family val="0"/>
        <charset val="1"/>
      </rPr>
      <t xml:space="preserve">276,521</t>
    </r>
    <r>
      <rPr>
        <sz val="9"/>
        <rFont val="WenQuanYi Zen Hei"/>
        <family val="2"/>
      </rPr>
      <t xml:space="preserve">個（「前提・入力」</t>
    </r>
    <r>
      <rPr>
        <sz val="9"/>
        <rFont val="Meiryo UI"/>
        <family val="0"/>
        <charset val="1"/>
      </rPr>
      <t xml:space="preserve">B35 </t>
    </r>
    <r>
      <rPr>
        <sz val="9"/>
        <rFont val="WenQuanYi Zen Hei"/>
        <family val="2"/>
      </rPr>
      <t xml:space="preserve">に集計）</t>
    </r>
  </si>
  <si>
    <r>
      <rPr>
        <sz val="9"/>
        <rFont val="Meiryo UI"/>
        <family val="0"/>
        <charset val="1"/>
      </rPr>
      <t xml:space="preserve">K</t>
    </r>
    <r>
      <rPr>
        <sz val="9"/>
        <rFont val="WenQuanYi Zen Hei"/>
        <family val="2"/>
      </rPr>
      <t xml:space="preserve">〜</t>
    </r>
    <r>
      <rPr>
        <sz val="9"/>
        <rFont val="Meiryo UI"/>
        <family val="0"/>
        <charset val="1"/>
      </rPr>
      <t xml:space="preserve">?</t>
    </r>
    <r>
      <rPr>
        <sz val="9"/>
        <rFont val="WenQuanYi Zen Hei"/>
        <family val="2"/>
      </rPr>
      <t xml:space="preserve">列</t>
    </r>
  </si>
  <si>
    <r>
      <rPr>
        <b val="true"/>
        <sz val="9"/>
        <rFont val="WenQuanYi Zen Hei"/>
        <family val="2"/>
      </rPr>
      <t xml:space="preserve">石川へ納品／</t>
    </r>
    <r>
      <rPr>
        <b val="true"/>
        <sz val="9"/>
        <rFont val="Meiryo UI"/>
        <family val="0"/>
        <charset val="1"/>
      </rPr>
      <t xml:space="preserve">18</t>
    </r>
    <r>
      <rPr>
        <b val="true"/>
        <sz val="9"/>
        <rFont val="WenQuanYi Zen Hei"/>
        <family val="2"/>
      </rPr>
      <t xml:space="preserve">日予測販売／会期末返送</t>
    </r>
  </si>
  <si>
    <t xml:space="preserve">①シートからのリンク</t>
  </si>
  <si>
    <r>
      <rPr>
        <sz val="9"/>
        <rFont val="Meiryo UI"/>
        <family val="0"/>
        <charset val="1"/>
      </rPr>
      <t xml:space="preserve">693 </t>
    </r>
    <r>
      <rPr>
        <sz val="9"/>
        <rFont val="WenQuanYi Zen Hei"/>
        <family val="2"/>
      </rPr>
      <t xml:space="preserve">／ </t>
    </r>
    <r>
      <rPr>
        <sz val="9"/>
        <rFont val="Meiryo UI"/>
        <family val="0"/>
        <charset val="1"/>
      </rPr>
      <t xml:space="preserve">272 </t>
    </r>
    <r>
      <rPr>
        <sz val="9"/>
        <rFont val="WenQuanYi Zen Hei"/>
        <family val="2"/>
      </rPr>
      <t xml:space="preserve">／ </t>
    </r>
    <r>
      <rPr>
        <sz val="9"/>
        <rFont val="Meiryo UI"/>
        <family val="0"/>
        <charset val="1"/>
      </rPr>
      <t xml:space="preserve">421</t>
    </r>
  </si>
  <si>
    <r>
      <rPr>
        <sz val="9"/>
        <rFont val="Meiryo UI"/>
        <family val="0"/>
        <charset val="1"/>
      </rPr>
      <t xml:space="preserve">P / Q</t>
    </r>
    <r>
      <rPr>
        <sz val="9"/>
        <rFont val="WenQuanYi Zen Hei"/>
        <family val="2"/>
      </rPr>
      <t xml:space="preserve">列</t>
    </r>
  </si>
  <si>
    <t xml:space="preserve">差引 倉庫残／仙台以降 供給可能計</t>
  </si>
  <si>
    <r>
      <rPr>
        <sz val="9"/>
        <rFont val="Meiryo UI"/>
        <family val="0"/>
        <charset val="1"/>
      </rPr>
      <t xml:space="preserve">=IF(I7="",H7-K7,I7) </t>
    </r>
    <r>
      <rPr>
        <sz val="9"/>
        <rFont val="WenQuanYi Zen Hei"/>
        <family val="2"/>
      </rPr>
      <t xml:space="preserve">／ </t>
    </r>
    <r>
      <rPr>
        <sz val="9"/>
        <rFont val="Meiryo UI"/>
        <family val="0"/>
        <charset val="1"/>
      </rPr>
      <t xml:space="preserve">=P7+L7-M7-O7</t>
    </r>
  </si>
  <si>
    <r>
      <rPr>
        <sz val="9"/>
        <rFont val="Meiryo UI"/>
        <family val="0"/>
        <charset val="1"/>
      </rPr>
      <t xml:space="preserve">2,268 </t>
    </r>
    <r>
      <rPr>
        <sz val="9"/>
        <rFont val="WenQuanYi Zen Hei"/>
        <family val="2"/>
      </rPr>
      <t xml:space="preserve">／ </t>
    </r>
    <r>
      <rPr>
        <sz val="9"/>
        <rFont val="Meiryo UI"/>
        <family val="0"/>
        <charset val="1"/>
      </rPr>
      <t xml:space="preserve">2,268−0</t>
    </r>
    <r>
      <rPr>
        <sz val="9"/>
        <rFont val="WenQuanYi Zen Hei"/>
        <family val="2"/>
      </rPr>
      <t xml:space="preserve">＋</t>
    </r>
    <r>
      <rPr>
        <sz val="9"/>
        <rFont val="Meiryo UI"/>
        <family val="0"/>
        <charset val="1"/>
      </rPr>
      <t xml:space="preserve">421 </t>
    </r>
    <r>
      <rPr>
        <sz val="9"/>
        <rFont val="WenQuanYi Zen Hei"/>
        <family val="2"/>
      </rPr>
      <t xml:space="preserve">＝ </t>
    </r>
    <r>
      <rPr>
        <sz val="9"/>
        <rFont val="Meiryo UI"/>
        <family val="0"/>
        <charset val="1"/>
      </rPr>
      <t xml:space="preserve">2,689</t>
    </r>
    <r>
      <rPr>
        <sz val="9"/>
        <rFont val="WenQuanYi Zen Hei"/>
        <family val="2"/>
      </rPr>
      <t xml:space="preserve">個</t>
    </r>
  </si>
  <si>
    <t xml:space="preserve">③の供給可能計と必ず一致する（突合用）。倉庫残はロジ実棚を優先し、石川会期中に欠品する品は追納分を差し引く</t>
  </si>
  <si>
    <r>
      <rPr>
        <sz val="9"/>
        <rFont val="Meiryo UI"/>
        <family val="0"/>
        <charset val="1"/>
      </rPr>
      <t xml:space="preserve">R</t>
    </r>
    <r>
      <rPr>
        <sz val="9"/>
        <rFont val="WenQuanYi Zen Hei"/>
        <family val="2"/>
      </rPr>
      <t xml:space="preserve">〜</t>
    </r>
    <r>
      <rPr>
        <sz val="9"/>
        <rFont val="Meiryo UI"/>
        <family val="0"/>
        <charset val="1"/>
      </rPr>
      <t xml:space="preserve">U</t>
    </r>
    <r>
      <rPr>
        <sz val="9"/>
        <rFont val="WenQuanYi Zen Hei"/>
        <family val="2"/>
      </rPr>
      <t xml:space="preserve">列</t>
    </r>
  </si>
  <si>
    <t xml:space="preserve">必要数／過不足／欠品／推奨発注数</t>
  </si>
  <si>
    <r>
      <rPr>
        <sz val="9"/>
        <rFont val="Meiryo UI"/>
        <family val="0"/>
        <charset val="1"/>
      </rPr>
      <t xml:space="preserve">=③!</t>
    </r>
    <r>
      <rPr>
        <sz val="9"/>
        <rFont val="WenQuanYi Zen Hei"/>
        <family val="2"/>
      </rPr>
      <t xml:space="preserve">必要数 ／ </t>
    </r>
    <r>
      <rPr>
        <sz val="9"/>
        <rFont val="Meiryo UI"/>
        <family val="0"/>
        <charset val="1"/>
      </rPr>
      <t xml:space="preserve">=Q7-R7 </t>
    </r>
    <r>
      <rPr>
        <sz val="9"/>
        <rFont val="WenQuanYi Zen Hei"/>
        <family val="2"/>
      </rPr>
      <t xml:space="preserve">／ </t>
    </r>
    <r>
      <rPr>
        <sz val="9"/>
        <rFont val="Meiryo UI"/>
        <family val="0"/>
        <charset val="1"/>
      </rPr>
      <t xml:space="preserve">=MAX(0,-S7) </t>
    </r>
    <r>
      <rPr>
        <sz val="9"/>
        <rFont val="WenQuanYi Zen Hei"/>
        <family val="2"/>
      </rPr>
      <t xml:space="preserve">／ </t>
    </r>
    <r>
      <rPr>
        <sz val="9"/>
        <rFont val="Meiryo UI"/>
        <family val="0"/>
        <charset val="1"/>
      </rPr>
      <t xml:space="preserve">=IF(T7&gt;0,ROUNDUP(T7*(1+'</t>
    </r>
    <r>
      <rPr>
        <sz val="9"/>
        <rFont val="WenQuanYi Zen Hei"/>
        <family val="2"/>
      </rPr>
      <t xml:space="preserve">前提・入力</t>
    </r>
    <r>
      <rPr>
        <sz val="9"/>
        <rFont val="Meiryo UI"/>
        <family val="0"/>
        <charset val="1"/>
      </rPr>
      <t xml:space="preserve">'!$B$34),0),0)</t>
    </r>
  </si>
  <si>
    <r>
      <rPr>
        <sz val="9"/>
        <rFont val="Meiryo UI"/>
        <family val="0"/>
        <charset val="1"/>
      </rPr>
      <t xml:space="preserve">3,384 </t>
    </r>
    <r>
      <rPr>
        <sz val="9"/>
        <rFont val="WenQuanYi Zen Hei"/>
        <family val="2"/>
      </rPr>
      <t xml:space="preserve">／ </t>
    </r>
    <r>
      <rPr>
        <sz val="9"/>
        <rFont val="Meiryo UI"/>
        <family val="0"/>
        <charset val="1"/>
      </rPr>
      <t xml:space="preserve">-695 </t>
    </r>
    <r>
      <rPr>
        <sz val="9"/>
        <rFont val="WenQuanYi Zen Hei"/>
        <family val="2"/>
      </rPr>
      <t xml:space="preserve">／ </t>
    </r>
    <r>
      <rPr>
        <sz val="9"/>
        <rFont val="Meiryo UI"/>
        <family val="0"/>
        <charset val="1"/>
      </rPr>
      <t xml:space="preserve">695 </t>
    </r>
    <r>
      <rPr>
        <sz val="9"/>
        <rFont val="WenQuanYi Zen Hei"/>
        <family val="2"/>
      </rPr>
      <t xml:space="preserve">／ </t>
    </r>
    <r>
      <rPr>
        <sz val="9"/>
        <rFont val="Meiryo UI"/>
        <family val="0"/>
        <charset val="1"/>
      </rPr>
      <t xml:space="preserve">765</t>
    </r>
  </si>
  <si>
    <t xml:space="preserve">過不足はプラス＝余剰。③の過不足とは符号が逆なので注意</t>
  </si>
  <si>
    <r>
      <rPr>
        <sz val="9"/>
        <rFont val="Meiryo UI"/>
        <family val="0"/>
        <charset val="1"/>
      </rPr>
      <t xml:space="preserve">V</t>
    </r>
    <r>
      <rPr>
        <sz val="9"/>
        <rFont val="WenQuanYi Zen Hei"/>
        <family val="2"/>
      </rPr>
      <t xml:space="preserve">〜</t>
    </r>
    <r>
      <rPr>
        <sz val="9"/>
        <rFont val="Meiryo UI"/>
        <family val="0"/>
        <charset val="1"/>
      </rPr>
      <t xml:space="preserve">X</t>
    </r>
    <r>
      <rPr>
        <sz val="9"/>
        <rFont val="WenQuanYi Zen Hei"/>
        <family val="2"/>
      </rPr>
      <t xml:space="preserve">列</t>
    </r>
  </si>
  <si>
    <t xml:space="preserve">欠品発生会場／最終発注期限／緊急度</t>
  </si>
  <si>
    <t xml:space="preserve">⑪シートの会場別引当の結果と同値</t>
  </si>
  <si>
    <r>
      <rPr>
        <sz val="9"/>
        <rFont val="WenQuanYi Zen Hei"/>
        <family val="2"/>
      </rPr>
      <t xml:space="preserve">会期初日 − 生産日数 − バッファ</t>
    </r>
    <r>
      <rPr>
        <sz val="9"/>
        <rFont val="Meiryo UI"/>
        <family val="0"/>
        <charset val="1"/>
      </rPr>
      <t xml:space="preserve">14</t>
    </r>
    <r>
      <rPr>
        <sz val="9"/>
        <rFont val="WenQuanYi Zen Hei"/>
        <family val="2"/>
      </rPr>
      <t xml:space="preserve">日</t>
    </r>
  </si>
  <si>
    <t xml:space="preserve">④を見なくても⑧単体で発注期限が分かるようにしている</t>
  </si>
  <si>
    <r>
      <rPr>
        <sz val="9"/>
        <rFont val="Meiryo UI"/>
        <family val="0"/>
        <charset val="1"/>
      </rPr>
      <t xml:space="preserve">=IF(T7&gt;0,"★</t>
    </r>
    <r>
      <rPr>
        <sz val="9"/>
        <rFont val="WenQuanYi Zen Hei"/>
        <family val="2"/>
      </rPr>
      <t xml:space="preserve">欠品：追加生産が必要</t>
    </r>
    <r>
      <rPr>
        <sz val="9"/>
        <rFont val="Meiryo UI"/>
        <family val="0"/>
        <charset val="1"/>
      </rPr>
      <t xml:space="preserve">",IF(S7&gt;=R7*2,"</t>
    </r>
    <r>
      <rPr>
        <sz val="9"/>
        <rFont val="WenQuanYi Zen Hei"/>
        <family val="2"/>
      </rPr>
      <t xml:space="preserve">大幅余剰</t>
    </r>
    <r>
      <rPr>
        <sz val="9"/>
        <rFont val="Meiryo UI"/>
        <family val="0"/>
        <charset val="1"/>
      </rPr>
      <t xml:space="preserve">","</t>
    </r>
    <r>
      <rPr>
        <sz val="9"/>
        <rFont val="WenQuanYi Zen Hei"/>
        <family val="2"/>
      </rPr>
      <t xml:space="preserve">在庫で充足</t>
    </r>
    <r>
      <rPr>
        <sz val="9"/>
        <rFont val="Meiryo UI"/>
        <family val="0"/>
        <charset val="1"/>
      </rPr>
      <t xml:space="preserve">"))</t>
    </r>
  </si>
  <si>
    <t xml:space="preserve">★欠品：追加生産が必要／大幅余剰／在庫で充足</t>
  </si>
  <si>
    <r>
      <rPr>
        <sz val="9"/>
        <rFont val="WenQuanYi Zen Hei"/>
        <family val="2"/>
      </rPr>
      <t xml:space="preserve">余剰が必要数の</t>
    </r>
    <r>
      <rPr>
        <sz val="9"/>
        <rFont val="Meiryo UI"/>
        <family val="0"/>
        <charset val="1"/>
      </rPr>
      <t xml:space="preserve">2</t>
    </r>
    <r>
      <rPr>
        <sz val="9"/>
        <rFont val="WenQuanYi Zen Hei"/>
        <family val="2"/>
      </rPr>
      <t xml:space="preserve">倍以上で「大幅余剰」</t>
    </r>
  </si>
  <si>
    <r>
      <rPr>
        <b val="true"/>
        <sz val="10"/>
        <color rgb="FFFFFFFF"/>
        <rFont val="WenQuanYi Zen Hei"/>
        <family val="2"/>
      </rPr>
      <t xml:space="preserve">■ ⑨過去</t>
    </r>
    <r>
      <rPr>
        <b val="true"/>
        <sz val="10"/>
        <color rgb="FFFFFFFF"/>
        <rFont val="Meiryo UI"/>
        <family val="0"/>
        <charset val="1"/>
      </rPr>
      <t xml:space="preserve">5</t>
    </r>
    <r>
      <rPr>
        <b val="true"/>
        <sz val="10"/>
        <color rgb="FFFFFFFF"/>
        <rFont val="WenQuanYi Zen Hei"/>
        <family val="2"/>
      </rPr>
      <t xml:space="preserve">会場 予測</t>
    </r>
    <r>
      <rPr>
        <b val="true"/>
        <sz val="10"/>
        <color rgb="FFFFFFFF"/>
        <rFont val="Meiryo UI"/>
        <family val="0"/>
        <charset val="1"/>
      </rPr>
      <t xml:space="preserve">vs</t>
    </r>
    <r>
      <rPr>
        <b val="true"/>
        <sz val="10"/>
        <color rgb="FFFFFFFF"/>
        <rFont val="WenQuanYi Zen Hei"/>
        <family val="2"/>
      </rPr>
      <t xml:space="preserve">実績（</t>
    </r>
    <r>
      <rPr>
        <b val="true"/>
        <sz val="10"/>
        <color rgb="FFFFFFFF"/>
        <rFont val="Meiryo UI"/>
        <family val="0"/>
        <charset val="1"/>
      </rPr>
      <t xml:space="preserve">8</t>
    </r>
    <r>
      <rPr>
        <b val="true"/>
        <sz val="10"/>
        <color rgb="FFFFFFFF"/>
        <rFont val="WenQuanYi Zen Hei"/>
        <family val="2"/>
      </rPr>
      <t xml:space="preserve">〜</t>
    </r>
    <r>
      <rPr>
        <b val="true"/>
        <sz val="10"/>
        <color rgb="FFFFFFFF"/>
        <rFont val="Meiryo UI"/>
        <family val="0"/>
        <charset val="1"/>
      </rPr>
      <t xml:space="preserve">13</t>
    </r>
    <r>
      <rPr>
        <b val="true"/>
        <sz val="10"/>
        <color rgb="FFFFFFFF"/>
        <rFont val="WenQuanYi Zen Hei"/>
        <family val="2"/>
      </rPr>
      <t xml:space="preserve">行＝会場別サマリー、</t>
    </r>
    <r>
      <rPr>
        <b val="true"/>
        <sz val="10"/>
        <color rgb="FFFFFFFF"/>
        <rFont val="Meiryo UI"/>
        <family val="0"/>
        <charset val="1"/>
      </rPr>
      <t xml:space="preserve">16</t>
    </r>
    <r>
      <rPr>
        <b val="true"/>
        <sz val="10"/>
        <color rgb="FFFFFFFF"/>
        <rFont val="WenQuanYi Zen Hei"/>
        <family val="2"/>
      </rPr>
      <t xml:space="preserve">行＝見出し、</t>
    </r>
    <r>
      <rPr>
        <b val="true"/>
        <sz val="10"/>
        <color rgb="FFFFFFFF"/>
        <rFont val="Meiryo UI"/>
        <family val="0"/>
        <charset val="1"/>
      </rPr>
      <t xml:space="preserve">17</t>
    </r>
    <r>
      <rPr>
        <b val="true"/>
        <sz val="10"/>
        <color rgb="FFFFFFFF"/>
        <rFont val="WenQuanYi Zen Hei"/>
        <family val="2"/>
      </rPr>
      <t xml:space="preserve">〜</t>
    </r>
    <r>
      <rPr>
        <b val="true"/>
        <sz val="10"/>
        <color rgb="FFFFFFFF"/>
        <rFont val="Meiryo UI"/>
        <family val="0"/>
        <charset val="1"/>
      </rPr>
      <t xml:space="preserve">58</t>
    </r>
    <r>
      <rPr>
        <b val="true"/>
        <sz val="10"/>
        <color rgb="FFFFFFFF"/>
        <rFont val="WenQuanYi Zen Hei"/>
        <family val="2"/>
      </rPr>
      <t xml:space="preserve">行＝商品、</t>
    </r>
    <r>
      <rPr>
        <b val="true"/>
        <sz val="10"/>
        <color rgb="FFFFFFFF"/>
        <rFont val="Meiryo UI"/>
        <family val="0"/>
        <charset val="1"/>
      </rPr>
      <t xml:space="preserve">59</t>
    </r>
    <r>
      <rPr>
        <b val="true"/>
        <sz val="10"/>
        <color rgb="FFFFFFFF"/>
        <rFont val="WenQuanYi Zen Hei"/>
        <family val="2"/>
      </rPr>
      <t xml:space="preserve">行＝合計）</t>
    </r>
  </si>
  <si>
    <r>
      <rPr>
        <sz val="9"/>
        <rFont val="WenQuanYi Zen Hei"/>
        <family val="2"/>
      </rPr>
      <t xml:space="preserve">⑨過去</t>
    </r>
    <r>
      <rPr>
        <sz val="9"/>
        <rFont val="Meiryo UI"/>
        <family val="0"/>
        <charset val="1"/>
      </rPr>
      <t xml:space="preserve">5</t>
    </r>
    <r>
      <rPr>
        <sz val="9"/>
        <rFont val="WenQuanYi Zen Hei"/>
        <family val="2"/>
      </rPr>
      <t xml:space="preserve">会場 予測</t>
    </r>
    <r>
      <rPr>
        <sz val="9"/>
        <rFont val="Meiryo UI"/>
        <family val="0"/>
        <charset val="1"/>
      </rPr>
      <t xml:space="preserve">vs</t>
    </r>
    <r>
      <rPr>
        <sz val="9"/>
        <rFont val="WenQuanYi Zen Hei"/>
        <family val="2"/>
      </rPr>
      <t xml:space="preserve">実績</t>
    </r>
  </si>
  <si>
    <t xml:space="preserve">会場別サマリーの倍率列</t>
  </si>
  <si>
    <r>
      <rPr>
        <b val="true"/>
        <sz val="9"/>
        <rFont val="WenQuanYi Zen Hei"/>
        <family val="2"/>
      </rPr>
      <t xml:space="preserve">会場倍率</t>
    </r>
    <r>
      <rPr>
        <b val="true"/>
        <sz val="9"/>
        <rFont val="Meiryo UI"/>
        <family val="0"/>
        <charset val="1"/>
      </rPr>
      <t xml:space="preserve">g</t>
    </r>
    <r>
      <rPr>
        <b val="true"/>
        <sz val="9"/>
        <rFont val="WenQuanYi Zen Hei"/>
        <family val="2"/>
      </rPr>
      <t xml:space="preserve">（バックキャスト）</t>
    </r>
  </si>
  <si>
    <t xml:space="preserve">（数式なし＝その時点で判明していた会場だけで再計算した倍率の記録）</t>
  </si>
  <si>
    <r>
      <rPr>
        <sz val="9"/>
        <rFont val="WenQuanYi Zen Hei"/>
        <family val="2"/>
      </rPr>
      <t xml:space="preserve">名古屋 </t>
    </r>
    <r>
      <rPr>
        <sz val="9"/>
        <rFont val="Meiryo UI"/>
        <family val="0"/>
        <charset val="1"/>
      </rPr>
      <t xml:space="preserve">1.212</t>
    </r>
    <r>
      <rPr>
        <sz val="9"/>
        <rFont val="WenQuanYi Zen Hei"/>
        <family val="2"/>
      </rPr>
      <t xml:space="preserve">／博多 </t>
    </r>
    <r>
      <rPr>
        <sz val="9"/>
        <rFont val="Meiryo UI"/>
        <family val="0"/>
        <charset val="1"/>
      </rPr>
      <t xml:space="preserve">1.638</t>
    </r>
    <r>
      <rPr>
        <sz val="9"/>
        <rFont val="WenQuanYi Zen Hei"/>
        <family val="2"/>
      </rPr>
      <t xml:space="preserve">／大阪 </t>
    </r>
    <r>
      <rPr>
        <sz val="9"/>
        <rFont val="Meiryo UI"/>
        <family val="0"/>
        <charset val="1"/>
      </rPr>
      <t xml:space="preserve">1.465</t>
    </r>
    <r>
      <rPr>
        <sz val="9"/>
        <rFont val="WenQuanYi Zen Hei"/>
        <family val="2"/>
      </rPr>
      <t xml:space="preserve">／札幌 </t>
    </r>
    <r>
      <rPr>
        <sz val="9"/>
        <rFont val="Meiryo UI"/>
        <family val="0"/>
        <charset val="1"/>
      </rPr>
      <t xml:space="preserve">1.367</t>
    </r>
    <r>
      <rPr>
        <sz val="9"/>
        <rFont val="WenQuanYi Zen Hei"/>
        <family val="2"/>
      </rPr>
      <t xml:space="preserve">／石川 </t>
    </r>
    <r>
      <rPr>
        <sz val="9"/>
        <rFont val="Meiryo UI"/>
        <family val="0"/>
        <charset val="1"/>
      </rPr>
      <t xml:space="preserve">1.263</t>
    </r>
  </si>
  <si>
    <t xml:space="preserve">「その会場の直前までの情報」だけで予測をやり直し、モデルの精度を後方検証している</t>
  </si>
  <si>
    <t xml:space="preserve">予測時 構成比／実績 構成比</t>
  </si>
  <si>
    <r>
      <rPr>
        <sz val="9"/>
        <rFont val="Meiryo UI"/>
        <family val="0"/>
        <charset val="1"/>
      </rPr>
      <t xml:space="preserve">=IFERROR(</t>
    </r>
    <r>
      <rPr>
        <sz val="9"/>
        <rFont val="WenQuanYi Zen Hei"/>
        <family val="2"/>
      </rPr>
      <t xml:space="preserve">予測販売数</t>
    </r>
    <r>
      <rPr>
        <sz val="9"/>
        <rFont val="Meiryo UI"/>
        <family val="0"/>
        <charset val="1"/>
      </rPr>
      <t xml:space="preserve">/</t>
    </r>
    <r>
      <rPr>
        <sz val="9"/>
        <rFont val="WenQuanYi Zen Hei"/>
        <family val="2"/>
      </rPr>
      <t xml:space="preserve">予測合計</t>
    </r>
    <r>
      <rPr>
        <sz val="9"/>
        <rFont val="Meiryo UI"/>
        <family val="0"/>
        <charset val="1"/>
      </rPr>
      <t xml:space="preserve">,0) </t>
    </r>
    <r>
      <rPr>
        <sz val="9"/>
        <rFont val="WenQuanYi Zen Hei"/>
        <family val="2"/>
      </rPr>
      <t xml:space="preserve">／ </t>
    </r>
    <r>
      <rPr>
        <sz val="9"/>
        <rFont val="Meiryo UI"/>
        <family val="0"/>
        <charset val="1"/>
      </rPr>
      <t xml:space="preserve">=IFERROR(</t>
    </r>
    <r>
      <rPr>
        <sz val="9"/>
        <rFont val="WenQuanYi Zen Hei"/>
        <family val="2"/>
      </rPr>
      <t xml:space="preserve">実績販売数</t>
    </r>
    <r>
      <rPr>
        <sz val="9"/>
        <rFont val="Meiryo UI"/>
        <family val="0"/>
        <charset val="1"/>
      </rPr>
      <t xml:space="preserve">/</t>
    </r>
    <r>
      <rPr>
        <sz val="9"/>
        <rFont val="WenQuanYi Zen Hei"/>
        <family val="2"/>
      </rPr>
      <t xml:space="preserve">実績合計</t>
    </r>
    <r>
      <rPr>
        <sz val="9"/>
        <rFont val="Meiryo UI"/>
        <family val="0"/>
        <charset val="1"/>
      </rPr>
      <t xml:space="preserve">,0)</t>
    </r>
  </si>
  <si>
    <r>
      <rPr>
        <sz val="9"/>
        <rFont val="WenQuanYi Zen Hei"/>
        <family val="2"/>
      </rPr>
      <t xml:space="preserve">投入数ベース </t>
    </r>
    <r>
      <rPr>
        <sz val="9"/>
        <rFont val="Meiryo UI"/>
        <family val="0"/>
        <charset val="1"/>
      </rPr>
      <t xml:space="preserve">vs </t>
    </r>
    <r>
      <rPr>
        <sz val="9"/>
        <rFont val="WenQuanYi Zen Hei"/>
        <family val="2"/>
      </rPr>
      <t xml:space="preserve">実績販売ベース</t>
    </r>
  </si>
  <si>
    <r>
      <rPr>
        <sz val="9"/>
        <rFont val="WenQuanYi Zen Hei"/>
        <family val="2"/>
      </rPr>
      <t xml:space="preserve">会場ごとに同じ</t>
    </r>
    <r>
      <rPr>
        <sz val="9"/>
        <rFont val="Meiryo UI"/>
        <family val="0"/>
        <charset val="1"/>
      </rPr>
      <t xml:space="preserve">2</t>
    </r>
    <r>
      <rPr>
        <sz val="9"/>
        <rFont val="WenQuanYi Zen Hei"/>
        <family val="2"/>
      </rPr>
      <t xml:space="preserve">式が横に並ぶ（池袋のみ投入数シェア）</t>
    </r>
  </si>
  <si>
    <t xml:space="preserve">各会場ブロックの修正列</t>
  </si>
  <si>
    <t xml:space="preserve">構成比 修正幅</t>
  </si>
  <si>
    <r>
      <rPr>
        <sz val="9"/>
        <rFont val="Meiryo UI"/>
        <family val="0"/>
        <charset val="1"/>
      </rPr>
      <t xml:space="preserve">=</t>
    </r>
    <r>
      <rPr>
        <sz val="9"/>
        <rFont val="WenQuanYi Zen Hei"/>
        <family val="2"/>
      </rPr>
      <t xml:space="preserve">実績構成比 − 予測時構成比</t>
    </r>
  </si>
  <si>
    <t xml:space="preserve">プラス＝想定より売れた商品</t>
  </si>
  <si>
    <t xml:space="preserve">次会場で構成比を引き上げるべき商品が分かる</t>
  </si>
  <si>
    <r>
      <rPr>
        <sz val="9"/>
        <rFont val="Meiryo UI"/>
        <family val="0"/>
        <charset val="1"/>
      </rPr>
      <t xml:space="preserve">AN / AO</t>
    </r>
    <r>
      <rPr>
        <sz val="9"/>
        <rFont val="WenQuanYi Zen Hei"/>
        <family val="2"/>
      </rPr>
      <t xml:space="preserve">列</t>
    </r>
  </si>
  <si>
    <r>
      <rPr>
        <b val="true"/>
        <sz val="9"/>
        <rFont val="Meiryo UI"/>
        <family val="0"/>
        <charset val="1"/>
      </rPr>
      <t xml:space="preserve">4</t>
    </r>
    <r>
      <rPr>
        <b val="true"/>
        <sz val="9"/>
        <rFont val="WenQuanYi Zen Hei"/>
        <family val="2"/>
      </rPr>
      <t xml:space="preserve">会場 実績合計／構成比</t>
    </r>
  </si>
  <si>
    <r>
      <rPr>
        <sz val="9"/>
        <rFont val="Meiryo UI"/>
        <family val="0"/>
        <charset val="1"/>
      </rPr>
      <t xml:space="preserve">=G17+N17+U17+AB17 </t>
    </r>
    <r>
      <rPr>
        <sz val="9"/>
        <rFont val="WenQuanYi Zen Hei"/>
        <family val="2"/>
      </rPr>
      <t xml:space="preserve">／ </t>
    </r>
    <r>
      <rPr>
        <sz val="9"/>
        <rFont val="Meiryo UI"/>
        <family val="0"/>
        <charset val="1"/>
      </rPr>
      <t xml:space="preserve">=IFERROR(AN17/AN$59,0)</t>
    </r>
  </si>
  <si>
    <r>
      <rPr>
        <sz val="9"/>
        <rFont val="Meiryo UI"/>
        <family val="0"/>
        <charset val="1"/>
      </rPr>
      <t xml:space="preserve">4,965</t>
    </r>
    <r>
      <rPr>
        <sz val="9"/>
        <rFont val="WenQuanYi Zen Hei"/>
        <family val="2"/>
      </rPr>
      <t xml:space="preserve">＋</t>
    </r>
    <r>
      <rPr>
        <sz val="9"/>
        <rFont val="Meiryo UI"/>
        <family val="0"/>
        <charset val="1"/>
      </rPr>
      <t xml:space="preserve">1,316</t>
    </r>
    <r>
      <rPr>
        <sz val="9"/>
        <rFont val="WenQuanYi Zen Hei"/>
        <family val="2"/>
      </rPr>
      <t xml:space="preserve">＋</t>
    </r>
    <r>
      <rPr>
        <sz val="9"/>
        <rFont val="Meiryo UI"/>
        <family val="0"/>
        <charset val="1"/>
      </rPr>
      <t xml:space="preserve">1,092</t>
    </r>
    <r>
      <rPr>
        <sz val="9"/>
        <rFont val="WenQuanYi Zen Hei"/>
        <family val="2"/>
      </rPr>
      <t xml:space="preserve">＋</t>
    </r>
    <r>
      <rPr>
        <sz val="9"/>
        <rFont val="Meiryo UI"/>
        <family val="0"/>
        <charset val="1"/>
      </rPr>
      <t xml:space="preserve">2,325</t>
    </r>
    <r>
      <rPr>
        <sz val="9"/>
        <rFont val="WenQuanYi Zen Hei"/>
        <family val="2"/>
      </rPr>
      <t xml:space="preserve">＋</t>
    </r>
    <r>
      <rPr>
        <sz val="9"/>
        <rFont val="Meiryo UI"/>
        <family val="0"/>
        <charset val="1"/>
      </rPr>
      <t xml:space="preserve">507 </t>
    </r>
    <r>
      <rPr>
        <sz val="9"/>
        <rFont val="WenQuanYi Zen Hei"/>
        <family val="2"/>
      </rPr>
      <t xml:space="preserve">＝ </t>
    </r>
    <r>
      <rPr>
        <sz val="9"/>
        <rFont val="Meiryo UI"/>
        <family val="0"/>
        <charset val="1"/>
      </rPr>
      <t xml:space="preserve">10,205</t>
    </r>
    <r>
      <rPr>
        <sz val="9"/>
        <rFont val="WenQuanYi Zen Hei"/>
        <family val="2"/>
      </rPr>
      <t xml:space="preserve">個</t>
    </r>
  </si>
  <si>
    <r>
      <rPr>
        <sz val="9"/>
        <rFont val="Meiryo UI"/>
        <family val="0"/>
        <charset val="1"/>
      </rPr>
      <t xml:space="preserve">? / AQ</t>
    </r>
    <r>
      <rPr>
        <sz val="9"/>
        <rFont val="WenQuanYi Zen Hei"/>
        <family val="2"/>
      </rPr>
      <t xml:space="preserve">列</t>
    </r>
  </si>
  <si>
    <t xml:space="preserve">石川 予測構成比／仙台以降 適用構成比</t>
  </si>
  <si>
    <r>
      <rPr>
        <sz val="9"/>
        <rFont val="WenQuanYi Zen Hei"/>
        <family val="2"/>
      </rPr>
      <t xml:space="preserve"> ／ </t>
    </r>
    <r>
      <rPr>
        <sz val="9"/>
        <rFont val="Meiryo UI"/>
        <family val="0"/>
        <charset val="1"/>
      </rPr>
      <t xml:space="preserve">='③</t>
    </r>
    <r>
      <rPr>
        <sz val="9"/>
        <rFont val="WenQuanYi Zen Hei"/>
        <family val="2"/>
      </rPr>
      <t xml:space="preserve">仙台以降予測</t>
    </r>
    <r>
      <rPr>
        <sz val="9"/>
        <rFont val="Meiryo UI"/>
        <family val="0"/>
        <charset val="1"/>
      </rPr>
      <t xml:space="preserve">'!H31</t>
    </r>
  </si>
  <si>
    <r>
      <rPr>
        <sz val="9"/>
        <rFont val="Meiryo UI"/>
        <family val="0"/>
        <charset val="1"/>
      </rPr>
      <t xml:space="preserve">5.28% </t>
    </r>
    <r>
      <rPr>
        <sz val="9"/>
        <rFont val="WenQuanYi Zen Hei"/>
        <family val="2"/>
      </rPr>
      <t xml:space="preserve">／ </t>
    </r>
    <r>
      <rPr>
        <sz val="9"/>
        <rFont val="Meiryo UI"/>
        <family val="0"/>
        <charset val="1"/>
      </rPr>
      <t xml:space="preserve">5.491%</t>
    </r>
  </si>
  <si>
    <r>
      <rPr>
        <sz val="9"/>
        <rFont val="Meiryo UI"/>
        <family val="0"/>
        <charset val="1"/>
      </rPr>
      <t xml:space="preserve">AR</t>
    </r>
    <r>
      <rPr>
        <sz val="9"/>
        <rFont val="WenQuanYi Zen Hei"/>
        <family val="2"/>
      </rPr>
      <t xml:space="preserve">列</t>
    </r>
  </si>
  <si>
    <r>
      <rPr>
        <sz val="9"/>
        <rFont val="Meiryo UI"/>
        <family val="0"/>
        <charset val="1"/>
      </rPr>
      <t xml:space="preserve">=IF(AQ17-AO17&gt;=0.005,"↑ </t>
    </r>
    <r>
      <rPr>
        <sz val="9"/>
        <rFont val="WenQuanYi Zen Hei"/>
        <family val="2"/>
      </rPr>
      <t xml:space="preserve">上方修正</t>
    </r>
    <r>
      <rPr>
        <sz val="9"/>
        <rFont val="Meiryo UI"/>
        <family val="0"/>
        <charset val="1"/>
      </rPr>
      <t xml:space="preserve">",IF(AQ17-AO17&lt;=-0.005,"↓ </t>
    </r>
    <r>
      <rPr>
        <sz val="9"/>
        <rFont val="WenQuanYi Zen Hei"/>
        <family val="2"/>
      </rPr>
      <t xml:space="preserve">下方修正</t>
    </r>
    <r>
      <rPr>
        <sz val="9"/>
        <rFont val="Meiryo UI"/>
        <family val="0"/>
        <charset val="1"/>
      </rPr>
      <t xml:space="preserve">","→ </t>
    </r>
    <r>
      <rPr>
        <sz val="9"/>
        <rFont val="WenQuanYi Zen Hei"/>
        <family val="2"/>
      </rPr>
      <t xml:space="preserve">据置</t>
    </r>
    <r>
      <rPr>
        <sz val="9"/>
        <rFont val="Meiryo UI"/>
        <family val="0"/>
        <charset val="1"/>
      </rPr>
      <t xml:space="preserve">"))</t>
    </r>
  </si>
  <si>
    <t xml:space="preserve">↑ 上方修正／→ 据置／↓ 下方修正</t>
  </si>
  <si>
    <r>
      <rPr>
        <sz val="9"/>
        <rFont val="WenQuanYi Zen Hei"/>
        <family val="2"/>
      </rPr>
      <t xml:space="preserve">過去</t>
    </r>
    <r>
      <rPr>
        <sz val="9"/>
        <rFont val="Meiryo UI"/>
        <family val="0"/>
        <charset val="1"/>
      </rPr>
      <t xml:space="preserve">4</t>
    </r>
    <r>
      <rPr>
        <sz val="9"/>
        <rFont val="WenQuanYi Zen Hei"/>
        <family val="2"/>
      </rPr>
      <t xml:space="preserve">会場の実績構成比と、仙台以降の適用構成比の差で判定</t>
    </r>
  </si>
  <si>
    <r>
      <rPr>
        <b val="true"/>
        <sz val="10"/>
        <color rgb="FFFFFFFF"/>
        <rFont val="WenQuanYi Zen Hei"/>
        <family val="2"/>
      </rPr>
      <t xml:space="preserve">■ ⑩会場比率シナリオ比較（</t>
    </r>
    <r>
      <rPr>
        <b val="true"/>
        <sz val="10"/>
        <color rgb="FFFFFFFF"/>
        <rFont val="Meiryo UI"/>
        <family val="0"/>
        <charset val="1"/>
      </rPr>
      <t xml:space="preserve">18</t>
    </r>
    <r>
      <rPr>
        <b val="true"/>
        <sz val="10"/>
        <color rgb="FFFFFFFF"/>
        <rFont val="WenQuanYi Zen Hei"/>
        <family val="2"/>
      </rPr>
      <t xml:space="preserve">〜</t>
    </r>
    <r>
      <rPr>
        <b val="true"/>
        <sz val="10"/>
        <color rgb="FFFFFFFF"/>
        <rFont val="Meiryo UI"/>
        <family val="0"/>
        <charset val="1"/>
      </rPr>
      <t xml:space="preserve">22</t>
    </r>
    <r>
      <rPr>
        <b val="true"/>
        <sz val="10"/>
        <color rgb="FFFFFFFF"/>
        <rFont val="WenQuanYi Zen Hei"/>
        <family val="2"/>
      </rPr>
      <t xml:space="preserve">行＝会場別、</t>
    </r>
    <r>
      <rPr>
        <b val="true"/>
        <sz val="10"/>
        <color rgb="FFFFFFFF"/>
        <rFont val="Meiryo UI"/>
        <family val="0"/>
        <charset val="1"/>
      </rPr>
      <t xml:space="preserve">25</t>
    </r>
    <r>
      <rPr>
        <b val="true"/>
        <sz val="10"/>
        <color rgb="FFFFFFFF"/>
        <rFont val="WenQuanYi Zen Hei"/>
        <family val="2"/>
      </rPr>
      <t xml:space="preserve">行＝見出し、</t>
    </r>
    <r>
      <rPr>
        <b val="true"/>
        <sz val="10"/>
        <color rgb="FFFFFFFF"/>
        <rFont val="Meiryo UI"/>
        <family val="0"/>
        <charset val="1"/>
      </rPr>
      <t xml:space="preserve">26</t>
    </r>
    <r>
      <rPr>
        <b val="true"/>
        <sz val="10"/>
        <color rgb="FFFFFFFF"/>
        <rFont val="WenQuanYi Zen Hei"/>
        <family val="2"/>
      </rPr>
      <t xml:space="preserve">〜</t>
    </r>
    <r>
      <rPr>
        <b val="true"/>
        <sz val="10"/>
        <color rgb="FFFFFFFF"/>
        <rFont val="Meiryo UI"/>
        <family val="0"/>
        <charset val="1"/>
      </rPr>
      <t xml:space="preserve">67</t>
    </r>
    <r>
      <rPr>
        <b val="true"/>
        <sz val="10"/>
        <color rgb="FFFFFFFF"/>
        <rFont val="WenQuanYi Zen Hei"/>
        <family val="2"/>
      </rPr>
      <t xml:space="preserve">行＝商品）</t>
    </r>
  </si>
  <si>
    <t xml:space="preserve">C18:J21</t>
  </si>
  <si>
    <t xml:space="preserve">シナリオ別 東京対比／必要数</t>
  </si>
  <si>
    <r>
      <rPr>
        <sz val="9"/>
        <rFont val="Meiryo UI"/>
        <family val="0"/>
        <charset val="1"/>
      </rPr>
      <t xml:space="preserve">=</t>
    </r>
    <r>
      <rPr>
        <sz val="9"/>
        <rFont val="WenQuanYi Zen Hei"/>
        <family val="2"/>
      </rPr>
      <t xml:space="preserve">前提・入力のシナリオ表を直接参照 ／ </t>
    </r>
    <r>
      <rPr>
        <sz val="9"/>
        <rFont val="Meiryo UI"/>
        <family val="0"/>
        <charset val="1"/>
      </rPr>
      <t xml:space="preserve">=ROUND(</t>
    </r>
    <r>
      <rPr>
        <sz val="9"/>
        <rFont val="WenQuanYi Zen Hei"/>
        <family val="2"/>
      </rPr>
      <t xml:space="preserve">東京売上</t>
    </r>
    <r>
      <rPr>
        <sz val="9"/>
        <rFont val="Meiryo UI"/>
        <family val="0"/>
        <charset val="1"/>
      </rPr>
      <t xml:space="preserve">×</t>
    </r>
    <r>
      <rPr>
        <sz val="9"/>
        <rFont val="WenQuanYi Zen Hei"/>
        <family val="2"/>
      </rPr>
      <t xml:space="preserve">東京対比</t>
    </r>
    <r>
      <rPr>
        <sz val="9"/>
        <rFont val="Meiryo UI"/>
        <family val="0"/>
        <charset val="1"/>
      </rPr>
      <t xml:space="preserve">×LEGS</t>
    </r>
    <r>
      <rPr>
        <sz val="9"/>
        <rFont val="WenQuanYi Zen Hei"/>
        <family val="2"/>
      </rPr>
      <t xml:space="preserve">金額構成比</t>
    </r>
    <r>
      <rPr>
        <sz val="9"/>
        <rFont val="Meiryo UI"/>
        <family val="0"/>
        <charset val="1"/>
      </rPr>
      <t xml:space="preserve">÷LEGS</t>
    </r>
    <r>
      <rPr>
        <sz val="9"/>
        <rFont val="WenQuanYi Zen Hei"/>
        <family val="2"/>
      </rPr>
      <t xml:space="preserve">平均単価</t>
    </r>
    <r>
      <rPr>
        <sz val="9"/>
        <rFont val="Meiryo UI"/>
        <family val="0"/>
        <charset val="1"/>
      </rPr>
      <t xml:space="preserve">,0)</t>
    </r>
  </si>
  <si>
    <r>
      <rPr>
        <sz val="9"/>
        <rFont val="Meiryo UI"/>
        <family val="0"/>
        <charset val="1"/>
      </rPr>
      <t xml:space="preserve">358,193,925×13.0%×17.1%÷833 </t>
    </r>
    <r>
      <rPr>
        <sz val="9"/>
        <rFont val="WenQuanYi Zen Hei"/>
        <family val="2"/>
      </rPr>
      <t xml:space="preserve">＝ </t>
    </r>
    <r>
      <rPr>
        <sz val="9"/>
        <rFont val="Meiryo UI"/>
        <family val="0"/>
        <charset val="1"/>
      </rPr>
      <t xml:space="preserve">9,536</t>
    </r>
    <r>
      <rPr>
        <sz val="9"/>
        <rFont val="WenQuanYi Zen Hei"/>
        <family val="2"/>
      </rPr>
      <t xml:space="preserve">個（仙台 </t>
    </r>
    <r>
      <rPr>
        <sz val="9"/>
        <rFont val="Meiryo UI"/>
        <family val="0"/>
        <charset val="1"/>
      </rPr>
      <t xml:space="preserve">Ebeans</t>
    </r>
    <r>
      <rPr>
        <sz val="9"/>
        <rFont val="WenQuanYi Zen Hei"/>
        <family val="2"/>
      </rPr>
      <t xml:space="preserve">・シナリオ①）</t>
    </r>
  </si>
  <si>
    <r>
      <rPr>
        <sz val="9"/>
        <rFont val="Meiryo UI"/>
        <family val="0"/>
        <charset val="1"/>
      </rPr>
      <t xml:space="preserve">4</t>
    </r>
    <r>
      <rPr>
        <sz val="9"/>
        <rFont val="WenQuanYi Zen Hei"/>
        <family val="2"/>
      </rPr>
      <t xml:space="preserve">シナリオを横並びで同時計算。</t>
    </r>
    <r>
      <rPr>
        <sz val="9"/>
        <rFont val="Meiryo UI"/>
        <family val="0"/>
        <charset val="1"/>
      </rPr>
      <t xml:space="preserve">22</t>
    </r>
    <r>
      <rPr>
        <sz val="9"/>
        <rFont val="WenQuanYi Zen Hei"/>
        <family val="2"/>
      </rPr>
      <t xml:space="preserve">行＝各シナリオの</t>
    </r>
    <r>
      <rPr>
        <sz val="9"/>
        <rFont val="Meiryo UI"/>
        <family val="0"/>
        <charset val="1"/>
      </rPr>
      <t xml:space="preserve">4</t>
    </r>
    <r>
      <rPr>
        <sz val="9"/>
        <rFont val="WenQuanYi Zen Hei"/>
        <family val="2"/>
      </rPr>
      <t xml:space="preserve">会場合計必要数</t>
    </r>
  </si>
  <si>
    <r>
      <rPr>
        <sz val="9"/>
        <rFont val="Meiryo UI"/>
        <family val="0"/>
        <charset val="1"/>
      </rPr>
      <t xml:space="preserve">D / E</t>
    </r>
    <r>
      <rPr>
        <sz val="9"/>
        <rFont val="WenQuanYi Zen Hei"/>
        <family val="2"/>
      </rPr>
      <t xml:space="preserve">列</t>
    </r>
  </si>
  <si>
    <t xml:space="preserve">按分構成比／供給可能在庫</t>
  </si>
  <si>
    <r>
      <rPr>
        <sz val="9"/>
        <rFont val="Meiryo UI"/>
        <family val="0"/>
        <charset val="1"/>
      </rPr>
      <t xml:space="preserve">='③</t>
    </r>
    <r>
      <rPr>
        <sz val="9"/>
        <rFont val="WenQuanYi Zen Hei"/>
        <family val="2"/>
      </rPr>
      <t xml:space="preserve">仙台以降予測</t>
    </r>
    <r>
      <rPr>
        <sz val="9"/>
        <rFont val="Meiryo UI"/>
        <family val="0"/>
        <charset val="1"/>
      </rPr>
      <t xml:space="preserve">'!H31 </t>
    </r>
    <r>
      <rPr>
        <sz val="9"/>
        <rFont val="WenQuanYi Zen Hei"/>
        <family val="2"/>
      </rPr>
      <t xml:space="preserve">／ </t>
    </r>
    <r>
      <rPr>
        <sz val="9"/>
        <rFont val="Meiryo UI"/>
        <family val="0"/>
        <charset val="1"/>
      </rPr>
      <t xml:space="preserve">='③</t>
    </r>
    <r>
      <rPr>
        <sz val="9"/>
        <rFont val="WenQuanYi Zen Hei"/>
        <family val="2"/>
      </rPr>
      <t xml:space="preserve">仙台以降予測</t>
    </r>
    <r>
      <rPr>
        <sz val="9"/>
        <rFont val="Meiryo UI"/>
        <family val="0"/>
        <charset val="1"/>
      </rPr>
      <t xml:space="preserve">'!V31</t>
    </r>
  </si>
  <si>
    <r>
      <rPr>
        <sz val="9"/>
        <rFont val="Meiryo UI"/>
        <family val="0"/>
        <charset val="1"/>
      </rPr>
      <t xml:space="preserve">5.491% </t>
    </r>
    <r>
      <rPr>
        <sz val="9"/>
        <rFont val="WenQuanYi Zen Hei"/>
        <family val="2"/>
      </rPr>
      <t xml:space="preserve">／ </t>
    </r>
    <r>
      <rPr>
        <sz val="9"/>
        <rFont val="Meiryo UI"/>
        <family val="0"/>
        <charset val="1"/>
      </rPr>
      <t xml:space="preserve">2,689</t>
    </r>
    <r>
      <rPr>
        <sz val="9"/>
        <rFont val="WenQuanYi Zen Hei"/>
        <family val="2"/>
      </rPr>
      <t xml:space="preserve">個</t>
    </r>
  </si>
  <si>
    <t xml:space="preserve">シナリオを変えても在庫は動かないので共通列</t>
  </si>
  <si>
    <t xml:space="preserve">シナリオ別 必要数の列</t>
  </si>
  <si>
    <t xml:space="preserve">シナリオ別 必要数</t>
  </si>
  <si>
    <r>
      <rPr>
        <sz val="9"/>
        <rFont val="Meiryo UI"/>
        <family val="0"/>
        <charset val="1"/>
      </rPr>
      <t xml:space="preserve">=ROUND($</t>
    </r>
    <r>
      <rPr>
        <sz val="9"/>
        <rFont val="WenQuanYi Zen Hei"/>
        <family val="2"/>
      </rPr>
      <t xml:space="preserve">按分構成比</t>
    </r>
    <r>
      <rPr>
        <sz val="9"/>
        <rFont val="Meiryo UI"/>
        <family val="0"/>
        <charset val="1"/>
      </rPr>
      <t xml:space="preserve">*</t>
    </r>
    <r>
      <rPr>
        <sz val="9"/>
        <rFont val="WenQuanYi Zen Hei"/>
        <family val="2"/>
      </rPr>
      <t xml:space="preserve">シナリオ別の会場合計</t>
    </r>
    <r>
      <rPr>
        <sz val="9"/>
        <rFont val="Meiryo UI"/>
        <family val="0"/>
        <charset val="1"/>
      </rPr>
      <t xml:space="preserve">,0)</t>
    </r>
  </si>
  <si>
    <r>
      <rPr>
        <sz val="9"/>
        <rFont val="Meiryo UI"/>
        <family val="0"/>
        <charset val="1"/>
      </rPr>
      <t xml:space="preserve">5.491%×61,617 </t>
    </r>
    <r>
      <rPr>
        <sz val="9"/>
        <rFont val="WenQuanYi Zen Hei"/>
        <family val="2"/>
      </rPr>
      <t xml:space="preserve">＝ </t>
    </r>
    <r>
      <rPr>
        <sz val="9"/>
        <rFont val="Meiryo UI"/>
        <family val="0"/>
        <charset val="1"/>
      </rPr>
      <t xml:space="preserve">3,384</t>
    </r>
    <r>
      <rPr>
        <sz val="9"/>
        <rFont val="WenQuanYi Zen Hei"/>
        <family val="2"/>
      </rPr>
      <t xml:space="preserve">個（シナリオ①）</t>
    </r>
  </si>
  <si>
    <t xml:space="preserve">シナリオ別 追加生産の列</t>
  </si>
  <si>
    <t xml:space="preserve">シナリオ別 追加生産</t>
  </si>
  <si>
    <r>
      <rPr>
        <sz val="9"/>
        <rFont val="Meiryo UI"/>
        <family val="0"/>
        <charset val="1"/>
      </rPr>
      <t xml:space="preserve">=MAX(0,</t>
    </r>
    <r>
      <rPr>
        <sz val="9"/>
        <rFont val="WenQuanYi Zen Hei"/>
        <family val="2"/>
      </rPr>
      <t xml:space="preserve">必要数−</t>
    </r>
    <r>
      <rPr>
        <sz val="9"/>
        <rFont val="Meiryo UI"/>
        <family val="0"/>
        <charset val="1"/>
      </rPr>
      <t xml:space="preserve">$</t>
    </r>
    <r>
      <rPr>
        <sz val="9"/>
        <rFont val="WenQuanYi Zen Hei"/>
        <family val="2"/>
      </rPr>
      <t xml:space="preserve">供給可能在庫</t>
    </r>
    <r>
      <rPr>
        <sz val="9"/>
        <rFont val="Meiryo UI"/>
        <family val="0"/>
        <charset val="1"/>
      </rPr>
      <t xml:space="preserve">)</t>
    </r>
  </si>
  <si>
    <r>
      <rPr>
        <sz val="9"/>
        <rFont val="Meiryo UI"/>
        <family val="0"/>
        <charset val="1"/>
      </rPr>
      <t xml:space="preserve">MAX(0, 3,384−2,689) </t>
    </r>
    <r>
      <rPr>
        <sz val="9"/>
        <rFont val="WenQuanYi Zen Hei"/>
        <family val="2"/>
      </rPr>
      <t xml:space="preserve">＝ </t>
    </r>
    <r>
      <rPr>
        <sz val="9"/>
        <rFont val="Meiryo UI"/>
        <family val="0"/>
        <charset val="1"/>
      </rPr>
      <t xml:space="preserve">695</t>
    </r>
    <r>
      <rPr>
        <sz val="9"/>
        <rFont val="WenQuanYi Zen Hei"/>
        <family val="2"/>
      </rPr>
      <t xml:space="preserve">個</t>
    </r>
  </si>
  <si>
    <t xml:space="preserve">シナリオを切り替えたとき発注量がどれだけ動くかを見る</t>
  </si>
  <si>
    <r>
      <rPr>
        <b val="true"/>
        <sz val="10"/>
        <color rgb="FFFFFFFF"/>
        <rFont val="WenQuanYi Zen Hei"/>
        <family val="2"/>
      </rPr>
      <t xml:space="preserve">■ ⑪会場別引当・発注期限（</t>
    </r>
    <r>
      <rPr>
        <b val="true"/>
        <sz val="10"/>
        <color rgb="FFFFFFFF"/>
        <rFont val="Meiryo UI"/>
        <family val="0"/>
        <charset val="1"/>
      </rPr>
      <t xml:space="preserve">15</t>
    </r>
    <r>
      <rPr>
        <b val="true"/>
        <sz val="10"/>
        <color rgb="FFFFFFFF"/>
        <rFont val="WenQuanYi Zen Hei"/>
        <family val="2"/>
      </rPr>
      <t xml:space="preserve">行目＝見出し、</t>
    </r>
    <r>
      <rPr>
        <b val="true"/>
        <sz val="10"/>
        <color rgb="FFFFFFFF"/>
        <rFont val="Meiryo UI"/>
        <family val="0"/>
        <charset val="1"/>
      </rPr>
      <t xml:space="preserve">16</t>
    </r>
    <r>
      <rPr>
        <b val="true"/>
        <sz val="10"/>
        <color rgb="FFFFFFFF"/>
        <rFont val="WenQuanYi Zen Hei"/>
        <family val="2"/>
      </rPr>
      <t xml:space="preserve">〜</t>
    </r>
    <r>
      <rPr>
        <b val="true"/>
        <sz val="10"/>
        <color rgb="FFFFFFFF"/>
        <rFont val="Meiryo UI"/>
        <family val="0"/>
        <charset val="1"/>
      </rPr>
      <t xml:space="preserve">57</t>
    </r>
    <r>
      <rPr>
        <b val="true"/>
        <sz val="10"/>
        <color rgb="FFFFFFFF"/>
        <rFont val="WenQuanYi Zen Hei"/>
        <family val="2"/>
      </rPr>
      <t xml:space="preserve">行＝商品）</t>
    </r>
  </si>
  <si>
    <t xml:space="preserve">生産日数</t>
  </si>
  <si>
    <r>
      <rPr>
        <sz val="9"/>
        <rFont val="WenQuanYi Zen Hei"/>
        <family val="2"/>
      </rPr>
      <t xml:space="preserve">（か月は手入力） ／ </t>
    </r>
    <r>
      <rPr>
        <sz val="9"/>
        <rFont val="Meiryo UI"/>
        <family val="0"/>
        <charset val="1"/>
      </rPr>
      <t xml:space="preserve">=IF(ISNUMBER(D16),ROUND(D16*30,0),"</t>
    </r>
    <r>
      <rPr>
        <sz val="9"/>
        <rFont val="WenQuanYi Zen Hei"/>
        <family val="2"/>
      </rPr>
      <t xml:space="preserve">－</t>
    </r>
    <r>
      <rPr>
        <sz val="9"/>
        <rFont val="Meiryo UI"/>
        <family val="0"/>
        <charset val="1"/>
      </rPr>
      <t xml:space="preserve">")</t>
    </r>
  </si>
  <si>
    <r>
      <rPr>
        <sz val="9"/>
        <rFont val="Meiryo UI"/>
        <family val="0"/>
        <charset val="1"/>
      </rPr>
      <t xml:space="preserve">1</t>
    </r>
    <r>
      <rPr>
        <sz val="9"/>
        <rFont val="WenQuanYi Zen Hei"/>
        <family val="2"/>
      </rPr>
      <t xml:space="preserve">か月 → </t>
    </r>
    <r>
      <rPr>
        <sz val="9"/>
        <rFont val="Meiryo UI"/>
        <family val="0"/>
        <charset val="1"/>
      </rPr>
      <t xml:space="preserve">30</t>
    </r>
    <r>
      <rPr>
        <sz val="9"/>
        <rFont val="WenQuanYi Zen Hei"/>
        <family val="2"/>
      </rPr>
      <t xml:space="preserve">日</t>
    </r>
  </si>
  <si>
    <r>
      <rPr>
        <sz val="9"/>
        <rFont val="Meiryo UI"/>
        <family val="0"/>
        <charset val="1"/>
      </rPr>
      <t xml:space="preserve">2026/7/28</t>
    </r>
    <r>
      <rPr>
        <sz val="9"/>
        <rFont val="WenQuanYi Zen Hei"/>
        <family val="2"/>
      </rPr>
      <t xml:space="preserve">時点の提示値。再生産不可の品は「－」として日数計算をしない</t>
    </r>
  </si>
  <si>
    <r>
      <rPr>
        <sz val="9"/>
        <rFont val="Meiryo UI"/>
        <family val="0"/>
        <charset val="1"/>
      </rPr>
      <t xml:space="preserve">F</t>
    </r>
    <r>
      <rPr>
        <sz val="9"/>
        <rFont val="WenQuanYi Zen Hei"/>
        <family val="2"/>
      </rPr>
      <t xml:space="preserve">列</t>
    </r>
  </si>
  <si>
    <r>
      <rPr>
        <sz val="9"/>
        <rFont val="Meiryo UI"/>
        <family val="0"/>
        <charset val="1"/>
      </rPr>
      <t xml:space="preserve">='③</t>
    </r>
    <r>
      <rPr>
        <sz val="9"/>
        <rFont val="WenQuanYi Zen Hei"/>
        <family val="2"/>
      </rPr>
      <t xml:space="preserve">仙台以降予測</t>
    </r>
    <r>
      <rPr>
        <sz val="9"/>
        <rFont val="Meiryo UI"/>
        <family val="0"/>
        <charset val="1"/>
      </rPr>
      <t xml:space="preserve">'!V31</t>
    </r>
  </si>
  <si>
    <r>
      <rPr>
        <sz val="9"/>
        <rFont val="Meiryo UI"/>
        <family val="0"/>
        <charset val="1"/>
      </rPr>
      <t xml:space="preserve">2,689</t>
    </r>
    <r>
      <rPr>
        <sz val="9"/>
        <rFont val="WenQuanYi Zen Hei"/>
        <family val="2"/>
      </rPr>
      <t xml:space="preserve">個</t>
    </r>
  </si>
  <si>
    <t xml:space="preserve">この在庫を会場順に引き当てていく</t>
  </si>
  <si>
    <t xml:space="preserve">各会場の必要数列</t>
  </si>
  <si>
    <r>
      <rPr>
        <sz val="9"/>
        <rFont val="Meiryo UI"/>
        <family val="0"/>
        <charset val="1"/>
      </rPr>
      <t xml:space="preserve">=③!</t>
    </r>
    <r>
      <rPr>
        <sz val="9"/>
        <rFont val="WenQuanYi Zen Hei"/>
        <family val="2"/>
      </rPr>
      <t xml:space="preserve">会場別の必要数（仙台 </t>
    </r>
    <r>
      <rPr>
        <sz val="9"/>
        <rFont val="Meiryo UI"/>
        <family val="0"/>
        <charset val="1"/>
      </rPr>
      <t xml:space="preserve">Ebeans</t>
    </r>
    <r>
      <rPr>
        <sz val="9"/>
        <rFont val="WenQuanYi Zen Hei"/>
        <family val="2"/>
      </rPr>
      <t xml:space="preserve">〜東京凱旋 東京建物ぴあホール）</t>
    </r>
  </si>
  <si>
    <r>
      <rPr>
        <sz val="9"/>
        <rFont val="Meiryo UI"/>
        <family val="0"/>
        <charset val="1"/>
      </rPr>
      <t xml:space="preserve">524</t>
    </r>
    <r>
      <rPr>
        <sz val="9"/>
        <rFont val="WenQuanYi Zen Hei"/>
        <family val="2"/>
      </rPr>
      <t xml:space="preserve">／</t>
    </r>
    <r>
      <rPr>
        <sz val="9"/>
        <rFont val="Meiryo UI"/>
        <family val="0"/>
        <charset val="1"/>
      </rPr>
      <t xml:space="preserve">483</t>
    </r>
    <r>
      <rPr>
        <sz val="9"/>
        <rFont val="WenQuanYi Zen Hei"/>
        <family val="2"/>
      </rPr>
      <t xml:space="preserve">／</t>
    </r>
    <r>
      <rPr>
        <sz val="9"/>
        <rFont val="Meiryo UI"/>
        <family val="0"/>
        <charset val="1"/>
      </rPr>
      <t xml:space="preserve">363</t>
    </r>
    <r>
      <rPr>
        <sz val="9"/>
        <rFont val="WenQuanYi Zen Hei"/>
        <family val="2"/>
      </rPr>
      <t xml:space="preserve">／</t>
    </r>
    <r>
      <rPr>
        <sz val="9"/>
        <rFont val="Meiryo UI"/>
        <family val="0"/>
        <charset val="1"/>
      </rPr>
      <t xml:space="preserve">2,014</t>
    </r>
  </si>
  <si>
    <t xml:space="preserve">各会場の引当後残の列</t>
  </si>
  <si>
    <t xml:space="preserve">引当後 残</t>
  </si>
  <si>
    <r>
      <rPr>
        <sz val="9"/>
        <rFont val="Meiryo UI"/>
        <family val="0"/>
        <charset val="1"/>
      </rPr>
      <t xml:space="preserve">=</t>
    </r>
    <r>
      <rPr>
        <sz val="9"/>
        <rFont val="WenQuanYi Zen Hei"/>
        <family val="2"/>
      </rPr>
      <t xml:space="preserve">供給可能在庫−仙台必要数 → </t>
    </r>
    <r>
      <rPr>
        <sz val="9"/>
        <rFont val="Meiryo UI"/>
        <family val="0"/>
        <charset val="1"/>
      </rPr>
      <t xml:space="preserve">=</t>
    </r>
    <r>
      <rPr>
        <sz val="9"/>
        <rFont val="WenQuanYi Zen Hei"/>
        <family val="2"/>
      </rPr>
      <t xml:space="preserve">前の残−神戸阪急必要数 → …と連鎖</t>
    </r>
  </si>
  <si>
    <t xml:space="preserve">2,165 → 1,682 → 1,319 → -695</t>
  </si>
  <si>
    <t xml:space="preserve">マイナスに転じた会場でその商品が欠品する（確定発注の入荷分は加算済み）</t>
  </si>
  <si>
    <r>
      <rPr>
        <sz val="9"/>
        <rFont val="Meiryo UI"/>
        <family val="0"/>
        <charset val="1"/>
      </rPr>
      <t xml:space="preserve">O / P</t>
    </r>
    <r>
      <rPr>
        <sz val="9"/>
        <rFont val="WenQuanYi Zen Hei"/>
        <family val="2"/>
      </rPr>
      <t xml:space="preserve">列</t>
    </r>
  </si>
  <si>
    <t xml:space="preserve">欠品発生会場／会期初日</t>
  </si>
  <si>
    <r>
      <rPr>
        <sz val="9"/>
        <rFont val="Meiryo UI"/>
        <family val="0"/>
        <charset val="1"/>
      </rPr>
      <t xml:space="preserve">=IFS(H16&lt;0,"</t>
    </r>
    <r>
      <rPr>
        <sz val="9"/>
        <rFont val="WenQuanYi Zen Hei"/>
        <family val="2"/>
      </rPr>
      <t xml:space="preserve">仙台 </t>
    </r>
    <r>
      <rPr>
        <sz val="9"/>
        <rFont val="Meiryo UI"/>
        <family val="0"/>
        <charset val="1"/>
      </rPr>
      <t xml:space="preserve">Ebeans",J16&lt;0,"</t>
    </r>
    <r>
      <rPr>
        <sz val="9"/>
        <rFont val="WenQuanYi Zen Hei"/>
        <family val="2"/>
      </rPr>
      <t xml:space="preserve">神戸阪急</t>
    </r>
    <r>
      <rPr>
        <sz val="9"/>
        <rFont val="Meiryo UI"/>
        <family val="0"/>
        <charset val="1"/>
      </rPr>
      <t xml:space="preserve">",L16&lt;0,"</t>
    </r>
    <r>
      <rPr>
        <sz val="9"/>
        <rFont val="WenQuanYi Zen Hei"/>
        <family val="2"/>
      </rPr>
      <t xml:space="preserve">鳥取島根 夢みなとタワー</t>
    </r>
    <r>
      <rPr>
        <sz val="9"/>
        <rFont val="Meiryo UI"/>
        <family val="0"/>
        <charset val="1"/>
      </rPr>
      <t xml:space="preserve">",N16&lt;0,"</t>
    </r>
    <r>
      <rPr>
        <sz val="9"/>
        <rFont val="WenQuanYi Zen Hei"/>
        <family val="2"/>
      </rPr>
      <t xml:space="preserve">東京凱旋 東京建物ぴあホール</t>
    </r>
    <r>
      <rPr>
        <sz val="9"/>
        <rFont val="Meiryo UI"/>
        <family val="0"/>
        <charset val="1"/>
      </rPr>
      <t xml:space="preserve">",TRUE(),"—")</t>
    </r>
  </si>
  <si>
    <r>
      <rPr>
        <sz val="9"/>
        <rFont val="Meiryo UI"/>
        <family val="0"/>
        <charset val="1"/>
      </rPr>
      <t xml:space="preserve">No.1 </t>
    </r>
    <r>
      <rPr>
        <sz val="9"/>
        <rFont val="WenQuanYi Zen Hei"/>
        <family val="2"/>
      </rPr>
      <t xml:space="preserve">は 東京凱旋 東京建物ぴあホール で欠品</t>
    </r>
  </si>
  <si>
    <r>
      <rPr>
        <sz val="9"/>
        <rFont val="Meiryo UI"/>
        <family val="0"/>
        <charset val="1"/>
      </rPr>
      <t xml:space="preserve">IFS </t>
    </r>
    <r>
      <rPr>
        <sz val="9"/>
        <rFont val="WenQuanYi Zen Hei"/>
        <family val="2"/>
      </rPr>
      <t xml:space="preserve">で最初にマイナスへ転じた会場を特定する</t>
    </r>
  </si>
  <si>
    <r>
      <rPr>
        <sz val="9"/>
        <rFont val="Meiryo UI"/>
        <family val="0"/>
        <charset val="1"/>
      </rPr>
      <t xml:space="preserve">Q / R</t>
    </r>
    <r>
      <rPr>
        <sz val="9"/>
        <rFont val="WenQuanYi Zen Hei"/>
        <family val="2"/>
      </rPr>
      <t xml:space="preserve">列</t>
    </r>
  </si>
  <si>
    <t xml:space="preserve">不足数／推奨発注数</t>
  </si>
  <si>
    <r>
      <rPr>
        <sz val="9"/>
        <rFont val="Meiryo UI"/>
        <family val="0"/>
        <charset val="1"/>
      </rPr>
      <t xml:space="preserve">=MAX(0,-N16) </t>
    </r>
    <r>
      <rPr>
        <sz val="9"/>
        <rFont val="WenQuanYi Zen Hei"/>
        <family val="2"/>
      </rPr>
      <t xml:space="preserve">／ </t>
    </r>
    <r>
      <rPr>
        <sz val="9"/>
        <rFont val="Meiryo UI"/>
        <family val="0"/>
        <charset val="1"/>
      </rPr>
      <t xml:space="preserve">=IF(Q16&gt;0,ROUNDUP(Q16*(1+'</t>
    </r>
    <r>
      <rPr>
        <sz val="9"/>
        <rFont val="WenQuanYi Zen Hei"/>
        <family val="2"/>
      </rPr>
      <t xml:space="preserve">前提・入力</t>
    </r>
    <r>
      <rPr>
        <sz val="9"/>
        <rFont val="Meiryo UI"/>
        <family val="0"/>
        <charset val="1"/>
      </rPr>
      <t xml:space="preserve">'!$B$34),0),0)</t>
    </r>
  </si>
  <si>
    <r>
      <rPr>
        <sz val="9"/>
        <rFont val="Meiryo UI"/>
        <family val="0"/>
        <charset val="1"/>
      </rPr>
      <t xml:space="preserve">695</t>
    </r>
    <r>
      <rPr>
        <sz val="9"/>
        <rFont val="WenQuanYi Zen Hei"/>
        <family val="2"/>
      </rPr>
      <t xml:space="preserve">個 ／ </t>
    </r>
    <r>
      <rPr>
        <sz val="9"/>
        <rFont val="Meiryo UI"/>
        <family val="0"/>
        <charset val="1"/>
      </rPr>
      <t xml:space="preserve">765</t>
    </r>
    <r>
      <rPr>
        <sz val="9"/>
        <rFont val="WenQuanYi Zen Hei"/>
        <family val="2"/>
      </rPr>
      <t xml:space="preserve">個</t>
    </r>
  </si>
  <si>
    <r>
      <rPr>
        <sz val="9"/>
        <rFont val="WenQuanYi Zen Hei"/>
        <family val="2"/>
      </rPr>
      <t xml:space="preserve">安全率</t>
    </r>
    <r>
      <rPr>
        <sz val="9"/>
        <rFont val="Meiryo UI"/>
        <family val="0"/>
        <charset val="1"/>
      </rPr>
      <t xml:space="preserve">10%</t>
    </r>
    <r>
      <rPr>
        <sz val="9"/>
        <rFont val="WenQuanYi Zen Hei"/>
        <family val="2"/>
      </rPr>
      <t xml:space="preserve">込み</t>
    </r>
  </si>
  <si>
    <r>
      <rPr>
        <sz val="9"/>
        <rFont val="Meiryo UI"/>
        <family val="0"/>
        <charset val="1"/>
      </rPr>
      <t xml:space="preserve">=IF(P16="","",IF(NOT(ISNUMBER(D16)),"</t>
    </r>
    <r>
      <rPr>
        <sz val="9"/>
        <rFont val="WenQuanYi Zen Hei"/>
        <family val="2"/>
      </rPr>
      <t xml:space="preserve">再生産不可</t>
    </r>
    <r>
      <rPr>
        <sz val="9"/>
        <rFont val="Meiryo UI"/>
        <family val="0"/>
        <charset val="1"/>
      </rPr>
      <t xml:space="preserve">",P16-E16-'</t>
    </r>
    <r>
      <rPr>
        <sz val="9"/>
        <rFont val="WenQuanYi Zen Hei"/>
        <family val="2"/>
      </rPr>
      <t xml:space="preserve">前提・入力</t>
    </r>
    <r>
      <rPr>
        <sz val="9"/>
        <rFont val="Meiryo UI"/>
        <family val="0"/>
        <charset val="1"/>
      </rPr>
      <t xml:space="preserve">'!$B$37))</t>
    </r>
  </si>
  <si>
    <t xml:space="preserve">★このシートの最終アウトプット</t>
  </si>
  <si>
    <t xml:space="preserve">基準日からの 残日数</t>
  </si>
  <si>
    <r>
      <rPr>
        <sz val="9"/>
        <rFont val="Meiryo UI"/>
        <family val="0"/>
        <charset val="1"/>
      </rPr>
      <t xml:space="preserve">=IF(OR(S16="",S16="</t>
    </r>
    <r>
      <rPr>
        <sz val="9"/>
        <rFont val="WenQuanYi Zen Hei"/>
        <family val="2"/>
      </rPr>
      <t xml:space="preserve">再生産不可</t>
    </r>
    <r>
      <rPr>
        <sz val="9"/>
        <rFont val="Meiryo UI"/>
        <family val="0"/>
        <charset val="1"/>
      </rPr>
      <t xml:space="preserve">"),"",S16-'</t>
    </r>
    <r>
      <rPr>
        <sz val="9"/>
        <rFont val="WenQuanYi Zen Hei"/>
        <family val="2"/>
      </rPr>
      <t xml:space="preserve">前提・入力</t>
    </r>
    <r>
      <rPr>
        <sz val="9"/>
        <rFont val="Meiryo UI"/>
        <family val="0"/>
        <charset val="1"/>
      </rPr>
      <t xml:space="preserve">'!$B$38)</t>
    </r>
  </si>
  <si>
    <r>
      <rPr>
        <sz val="9"/>
        <rFont val="WenQuanYi Zen Hei"/>
        <family val="2"/>
      </rPr>
      <t xml:space="preserve">最終発注期限 − </t>
    </r>
    <r>
      <rPr>
        <sz val="9"/>
        <rFont val="Meiryo UI"/>
        <family val="0"/>
        <charset val="1"/>
      </rPr>
      <t xml:space="preserve">2026/08/26</t>
    </r>
  </si>
  <si>
    <t xml:space="preserve">マイナス＝すでに期限超過</t>
  </si>
  <si>
    <r>
      <rPr>
        <sz val="9"/>
        <rFont val="Meiryo UI"/>
        <family val="0"/>
        <charset val="1"/>
      </rPr>
      <t xml:space="preserve">=IF(O16="","—",IF(S16="</t>
    </r>
    <r>
      <rPr>
        <sz val="9"/>
        <rFont val="WenQuanYi Zen Hei"/>
        <family val="2"/>
      </rPr>
      <t xml:space="preserve">再生産不可</t>
    </r>
    <r>
      <rPr>
        <sz val="9"/>
        <rFont val="Meiryo UI"/>
        <family val="0"/>
        <charset val="1"/>
      </rPr>
      <t xml:space="preserve">","×</t>
    </r>
    <r>
      <rPr>
        <sz val="9"/>
        <rFont val="WenQuanYi Zen Hei"/>
        <family val="2"/>
      </rPr>
      <t xml:space="preserve">再生産不可</t>
    </r>
    <r>
      <rPr>
        <sz val="9"/>
        <rFont val="Meiryo UI"/>
        <family val="0"/>
        <charset val="1"/>
      </rPr>
      <t xml:space="preserve">",IFS(T16&lt;0,"★</t>
    </r>
    <r>
      <rPr>
        <sz val="9"/>
        <rFont val="WenQuanYi Zen Hei"/>
        <family val="2"/>
      </rPr>
      <t xml:space="preserve">期限超過</t>
    </r>
    <r>
      <rPr>
        <sz val="9"/>
        <rFont val="Meiryo UI"/>
        <family val="0"/>
        <charset val="1"/>
      </rPr>
      <t xml:space="preserve">",T16&lt;=30,"★</t>
    </r>
    <r>
      <rPr>
        <sz val="9"/>
        <rFont val="WenQuanYi Zen Hei"/>
        <family val="2"/>
      </rPr>
      <t xml:space="preserve">至急</t>
    </r>
    <r>
      <rPr>
        <sz val="9"/>
        <rFont val="Meiryo UI"/>
        <family val="0"/>
        <charset val="1"/>
      </rPr>
      <t xml:space="preserve">(30</t>
    </r>
    <r>
      <rPr>
        <sz val="9"/>
        <rFont val="WenQuanYi Zen Hei"/>
        <family val="2"/>
      </rPr>
      <t xml:space="preserve">日以内</t>
    </r>
    <r>
      <rPr>
        <sz val="9"/>
        <rFont val="Meiryo UI"/>
        <family val="0"/>
        <charset val="1"/>
      </rPr>
      <t xml:space="preserve">)",T16&lt;=90,"</t>
    </r>
    <r>
      <rPr>
        <sz val="9"/>
        <rFont val="WenQuanYi Zen Hei"/>
        <family val="2"/>
      </rPr>
      <t xml:space="preserve">要着手</t>
    </r>
    <r>
      <rPr>
        <sz val="9"/>
        <rFont val="Meiryo UI"/>
        <family val="0"/>
        <charset val="1"/>
      </rPr>
      <t xml:space="preserve">(90</t>
    </r>
    <r>
      <rPr>
        <sz val="9"/>
        <rFont val="WenQuanYi Zen Hei"/>
        <family val="2"/>
      </rPr>
      <t xml:space="preserve">日以内</t>
    </r>
    <r>
      <rPr>
        <sz val="9"/>
        <rFont val="Meiryo UI"/>
        <family val="0"/>
        <charset val="1"/>
      </rPr>
      <t xml:space="preserve">)",TRUE(),"</t>
    </r>
    <r>
      <rPr>
        <sz val="9"/>
        <rFont val="WenQuanYi Zen Hei"/>
        <family val="2"/>
      </rPr>
      <t xml:space="preserve">余裕あり</t>
    </r>
    <r>
      <rPr>
        <sz val="9"/>
        <rFont val="Meiryo UI"/>
        <family val="0"/>
        <charset val="1"/>
      </rPr>
      <t xml:space="preserve">")))</t>
    </r>
  </si>
  <si>
    <r>
      <rPr>
        <sz val="9"/>
        <rFont val="WenQuanYi Zen Hei"/>
        <family val="2"/>
      </rPr>
      <t xml:space="preserve">★期限超過／★至急／要着手／余裕あり／◎発注確定済／</t>
    </r>
    <r>
      <rPr>
        <sz val="9"/>
        <rFont val="Meiryo UI"/>
        <family val="0"/>
        <charset val="1"/>
      </rPr>
      <t xml:space="preserve">×</t>
    </r>
    <r>
      <rPr>
        <sz val="9"/>
        <rFont val="WenQuanYi Zen Hei"/>
        <family val="2"/>
      </rPr>
      <t xml:space="preserve">再生産不可</t>
    </r>
  </si>
  <si>
    <t xml:space="preserve">確定発注済みは警告対象から外し、本当に危ない品が埋もれないようにしている</t>
  </si>
  <si>
    <t xml:space="preserve">賞味期限・確定発注のセクション</t>
  </si>
  <si>
    <t xml:space="preserve">売り切り管理</t>
  </si>
  <si>
    <r>
      <rPr>
        <sz val="9"/>
        <rFont val="Meiryo UI"/>
        <family val="0"/>
        <charset val="1"/>
      </rPr>
      <t xml:space="preserve">=MAX(0, </t>
    </r>
    <r>
      <rPr>
        <sz val="9"/>
        <rFont val="WenQuanYi Zen Hei"/>
        <family val="2"/>
      </rPr>
      <t xml:space="preserve">供給可能在庫 − 売切り期限までの必要数</t>
    </r>
    <r>
      <rPr>
        <sz val="9"/>
        <rFont val="Meiryo UI"/>
        <family val="0"/>
        <charset val="1"/>
      </rPr>
      <t xml:space="preserve">) </t>
    </r>
    <r>
      <rPr>
        <sz val="9"/>
        <rFont val="WenQuanYi Zen Hei"/>
        <family val="2"/>
      </rPr>
      <t xml:space="preserve">ほか</t>
    </r>
  </si>
  <si>
    <r>
      <rPr>
        <sz val="9"/>
        <rFont val="WenQuanYi Zen Hei"/>
        <family val="2"/>
      </rPr>
      <t xml:space="preserve">宿儺の指風お菓子：現在庫は 石川 香林坊大和 まで賞味期限</t>
    </r>
    <r>
      <rPr>
        <sz val="9"/>
        <rFont val="Meiryo UI"/>
        <family val="0"/>
        <charset val="1"/>
      </rPr>
      <t xml:space="preserve">OK</t>
    </r>
  </si>
  <si>
    <t xml:space="preserve">確定発注の消化率は全会期終了時点の値。会場ごとの累計消化率も並記している</t>
  </si>
  <si>
    <r>
      <rPr>
        <b val="true"/>
        <sz val="10"/>
        <color rgb="FFFFFFFF"/>
        <rFont val="WenQuanYi Zen Hei"/>
        <family val="2"/>
      </rPr>
      <t xml:space="preserve">■ ⑬会場別 納品予測（</t>
    </r>
    <r>
      <rPr>
        <b val="true"/>
        <sz val="10"/>
        <color rgb="FFFFFFFF"/>
        <rFont val="Meiryo UI"/>
        <family val="0"/>
        <charset val="1"/>
      </rPr>
      <t xml:space="preserve">8</t>
    </r>
    <r>
      <rPr>
        <b val="true"/>
        <sz val="10"/>
        <color rgb="FFFFFFFF"/>
        <rFont val="WenQuanYi Zen Hei"/>
        <family val="2"/>
      </rPr>
      <t xml:space="preserve">〜</t>
    </r>
    <r>
      <rPr>
        <b val="true"/>
        <sz val="10"/>
        <color rgb="FFFFFFFF"/>
        <rFont val="Meiryo UI"/>
        <family val="0"/>
        <charset val="1"/>
      </rPr>
      <t xml:space="preserve">12</t>
    </r>
    <r>
      <rPr>
        <b val="true"/>
        <sz val="10"/>
        <color rgb="FFFFFFFF"/>
        <rFont val="WenQuanYi Zen Hei"/>
        <family val="2"/>
      </rPr>
      <t xml:space="preserve">行＝会場別サマリー、</t>
    </r>
    <r>
      <rPr>
        <b val="true"/>
        <sz val="10"/>
        <color rgb="FFFFFFFF"/>
        <rFont val="Meiryo UI"/>
        <family val="0"/>
        <charset val="1"/>
      </rPr>
      <t xml:space="preserve">15</t>
    </r>
    <r>
      <rPr>
        <b val="true"/>
        <sz val="10"/>
        <color rgb="FFFFFFFF"/>
        <rFont val="WenQuanYi Zen Hei"/>
        <family val="2"/>
      </rPr>
      <t xml:space="preserve">行＝見出し、</t>
    </r>
    <r>
      <rPr>
        <b val="true"/>
        <sz val="10"/>
        <color rgb="FFFFFFFF"/>
        <rFont val="Meiryo UI"/>
        <family val="0"/>
        <charset val="1"/>
      </rPr>
      <t xml:space="preserve">16</t>
    </r>
    <r>
      <rPr>
        <b val="true"/>
        <sz val="10"/>
        <color rgb="FFFFFFFF"/>
        <rFont val="WenQuanYi Zen Hei"/>
        <family val="2"/>
      </rPr>
      <t xml:space="preserve">〜</t>
    </r>
    <r>
      <rPr>
        <b val="true"/>
        <sz val="10"/>
        <color rgb="FFFFFFFF"/>
        <rFont val="Meiryo UI"/>
        <family val="0"/>
        <charset val="1"/>
      </rPr>
      <t xml:space="preserve">57</t>
    </r>
    <r>
      <rPr>
        <b val="true"/>
        <sz val="10"/>
        <color rgb="FFFFFFFF"/>
        <rFont val="WenQuanYi Zen Hei"/>
        <family val="2"/>
      </rPr>
      <t xml:space="preserve">行＝商品）</t>
    </r>
  </si>
  <si>
    <t xml:space="preserve">会場別サマリーの表</t>
  </si>
  <si>
    <t xml:space="preserve">会場別 必要数／納品予測数／不足数</t>
  </si>
  <si>
    <r>
      <rPr>
        <sz val="9"/>
        <rFont val="WenQuanYi Zen Hei"/>
        <family val="2"/>
      </rPr>
      <t xml:space="preserve">（下の商品別表の合計。充足率＝納品予測数</t>
    </r>
    <r>
      <rPr>
        <sz val="9"/>
        <rFont val="Meiryo UI"/>
        <family val="0"/>
        <charset val="1"/>
      </rPr>
      <t xml:space="preserve">÷</t>
    </r>
    <r>
      <rPr>
        <sz val="9"/>
        <rFont val="WenQuanYi Zen Hei"/>
        <family val="2"/>
      </rPr>
      <t xml:space="preserve">必要数）</t>
    </r>
  </si>
  <si>
    <r>
      <rPr>
        <sz val="9"/>
        <rFont val="WenQuanYi Zen Hei"/>
        <family val="2"/>
      </rPr>
      <t xml:space="preserve">仙台 必要</t>
    </r>
    <r>
      <rPr>
        <sz val="9"/>
        <rFont val="Meiryo UI"/>
        <family val="0"/>
        <charset val="1"/>
      </rPr>
      <t xml:space="preserve">9,536→</t>
    </r>
    <r>
      <rPr>
        <sz val="9"/>
        <rFont val="WenQuanYi Zen Hei"/>
        <family val="2"/>
      </rPr>
      <t xml:space="preserve">納品</t>
    </r>
    <r>
      <rPr>
        <sz val="9"/>
        <rFont val="Meiryo UI"/>
        <family val="0"/>
        <charset val="1"/>
      </rPr>
      <t xml:space="preserve">9,353</t>
    </r>
    <r>
      <rPr>
        <sz val="9"/>
        <rFont val="WenQuanYi Zen Hei"/>
        <family val="2"/>
      </rPr>
      <t xml:space="preserve">／神戸阪急 必要</t>
    </r>
    <r>
      <rPr>
        <sz val="9"/>
        <rFont val="Meiryo UI"/>
        <family val="0"/>
        <charset val="1"/>
      </rPr>
      <t xml:space="preserve">8,800→</t>
    </r>
    <r>
      <rPr>
        <sz val="9"/>
        <rFont val="WenQuanYi Zen Hei"/>
        <family val="2"/>
      </rPr>
      <t xml:space="preserve">納品</t>
    </r>
    <r>
      <rPr>
        <sz val="9"/>
        <rFont val="Meiryo UI"/>
        <family val="0"/>
        <charset val="1"/>
      </rPr>
      <t xml:space="preserve">8,324</t>
    </r>
    <r>
      <rPr>
        <sz val="9"/>
        <rFont val="WenQuanYi Zen Hei"/>
        <family val="2"/>
      </rPr>
      <t xml:space="preserve">／鳥取島根 必要</t>
    </r>
    <r>
      <rPr>
        <sz val="9"/>
        <rFont val="Meiryo UI"/>
        <family val="0"/>
        <charset val="1"/>
      </rPr>
      <t xml:space="preserve">6,602→</t>
    </r>
    <r>
      <rPr>
        <sz val="9"/>
        <rFont val="WenQuanYi Zen Hei"/>
        <family val="2"/>
      </rPr>
      <t xml:space="preserve">納品</t>
    </r>
    <r>
      <rPr>
        <sz val="9"/>
        <rFont val="Meiryo UI"/>
        <family val="0"/>
        <charset val="1"/>
      </rPr>
      <t xml:space="preserve">6,351</t>
    </r>
    <r>
      <rPr>
        <sz val="9"/>
        <rFont val="WenQuanYi Zen Hei"/>
        <family val="2"/>
      </rPr>
      <t xml:space="preserve">／東京凱旋 必要</t>
    </r>
    <r>
      <rPr>
        <sz val="9"/>
        <rFont val="Meiryo UI"/>
        <family val="0"/>
        <charset val="1"/>
      </rPr>
      <t xml:space="preserve">36,679→</t>
    </r>
    <r>
      <rPr>
        <sz val="9"/>
        <rFont val="WenQuanYi Zen Hei"/>
        <family val="2"/>
      </rPr>
      <t xml:space="preserve">納品</t>
    </r>
    <r>
      <rPr>
        <sz val="9"/>
        <rFont val="Meiryo UI"/>
        <family val="0"/>
        <charset val="1"/>
      </rPr>
      <t xml:space="preserve">34,121</t>
    </r>
  </si>
  <si>
    <t xml:space="preserve">会場ごとの出荷計画と、どの会場から欠品が始まるかを見る表</t>
  </si>
  <si>
    <r>
      <rPr>
        <sz val="9"/>
        <rFont val="Meiryo UI"/>
        <family val="0"/>
        <charset val="1"/>
      </rPr>
      <t xml:space="preserve">E</t>
    </r>
    <r>
      <rPr>
        <sz val="9"/>
        <rFont val="WenQuanYi Zen Hei"/>
        <family val="2"/>
      </rPr>
      <t xml:space="preserve">列</t>
    </r>
  </si>
  <si>
    <t xml:space="preserve">仙台以降 引当可能在庫</t>
  </si>
  <si>
    <t xml:space="preserve">③の供給可能計へのリンク。ここから会場順に引き当てる</t>
  </si>
  <si>
    <t xml:space="preserve">各会場の「期首在庫」列</t>
  </si>
  <si>
    <t xml:space="preserve">期首在庫</t>
  </si>
  <si>
    <r>
      <rPr>
        <sz val="9"/>
        <rFont val="Meiryo UI"/>
        <family val="0"/>
        <charset val="1"/>
      </rPr>
      <t xml:space="preserve">=</t>
    </r>
    <r>
      <rPr>
        <sz val="9"/>
        <rFont val="WenQuanYi Zen Hei"/>
        <family val="2"/>
      </rPr>
      <t xml:space="preserve">前会場の期末在庫（先頭会場は引当可能在庫）＋その会場に入荷する確定発注</t>
    </r>
  </si>
  <si>
    <r>
      <rPr>
        <sz val="9"/>
        <rFont val="Meiryo UI"/>
        <family val="0"/>
        <charset val="1"/>
      </rPr>
      <t xml:space="preserve">2,689</t>
    </r>
    <r>
      <rPr>
        <sz val="9"/>
        <rFont val="WenQuanYi Zen Hei"/>
        <family val="2"/>
      </rPr>
      <t xml:space="preserve">個（仙台）</t>
    </r>
  </si>
  <si>
    <t xml:space="preserve">確定発注は入荷会場の期首在庫に加算する。それ以前の会場では使えない</t>
  </si>
  <si>
    <t xml:space="preserve">各会場の「必要数」列</t>
  </si>
  <si>
    <t xml:space="preserve">必要数（需要）</t>
  </si>
  <si>
    <r>
      <rPr>
        <sz val="9"/>
        <rFont val="Meiryo UI"/>
        <family val="0"/>
        <charset val="1"/>
      </rPr>
      <t xml:space="preserve">=③</t>
    </r>
    <r>
      <rPr>
        <sz val="9"/>
        <rFont val="WenQuanYi Zen Hei"/>
        <family val="2"/>
      </rPr>
      <t xml:space="preserve">シートの会場別 必要数</t>
    </r>
  </si>
  <si>
    <r>
      <rPr>
        <sz val="9"/>
        <rFont val="WenQuanYi Zen Hei"/>
        <family val="2"/>
      </rPr>
      <t xml:space="preserve">按分構成比 </t>
    </r>
    <r>
      <rPr>
        <sz val="9"/>
        <rFont val="Meiryo UI"/>
        <family val="0"/>
        <charset val="1"/>
      </rPr>
      <t xml:space="preserve">× </t>
    </r>
    <r>
      <rPr>
        <sz val="9"/>
        <rFont val="WenQuanYi Zen Hei"/>
        <family val="2"/>
      </rPr>
      <t xml:space="preserve">その会場の</t>
    </r>
    <r>
      <rPr>
        <sz val="9"/>
        <rFont val="Meiryo UI"/>
        <family val="0"/>
        <charset val="1"/>
      </rPr>
      <t xml:space="preserve">LEGS</t>
    </r>
    <r>
      <rPr>
        <sz val="9"/>
        <rFont val="WenQuanYi Zen Hei"/>
        <family val="2"/>
      </rPr>
      <t xml:space="preserve">必要数量</t>
    </r>
  </si>
  <si>
    <t xml:space="preserve">各会場の「★納品予測数」列</t>
  </si>
  <si>
    <t xml:space="preserve">納品予測数（出荷計画）</t>
  </si>
  <si>
    <t xml:space="preserve">=MAX(0,MIN(G16,F16))</t>
  </si>
  <si>
    <r>
      <rPr>
        <sz val="9"/>
        <rFont val="Meiryo UI"/>
        <family val="0"/>
        <charset val="1"/>
      </rPr>
      <t xml:space="preserve">524</t>
    </r>
    <r>
      <rPr>
        <sz val="9"/>
        <rFont val="WenQuanYi Zen Hei"/>
        <family val="2"/>
      </rPr>
      <t xml:space="preserve">／</t>
    </r>
    <r>
      <rPr>
        <sz val="9"/>
        <rFont val="Meiryo UI"/>
        <family val="0"/>
        <charset val="1"/>
      </rPr>
      <t xml:space="preserve">483</t>
    </r>
    <r>
      <rPr>
        <sz val="9"/>
        <rFont val="WenQuanYi Zen Hei"/>
        <family val="2"/>
      </rPr>
      <t xml:space="preserve">／</t>
    </r>
    <r>
      <rPr>
        <sz val="9"/>
        <rFont val="Meiryo UI"/>
        <family val="0"/>
        <charset val="1"/>
      </rPr>
      <t xml:space="preserve">363</t>
    </r>
    <r>
      <rPr>
        <sz val="9"/>
        <rFont val="WenQuanYi Zen Hei"/>
        <family val="2"/>
      </rPr>
      <t xml:space="preserve">／</t>
    </r>
    <r>
      <rPr>
        <sz val="9"/>
        <rFont val="Meiryo UI"/>
        <family val="0"/>
        <charset val="1"/>
      </rPr>
      <t xml:space="preserve">1,119</t>
    </r>
  </si>
  <si>
    <t xml:space="preserve">★このシートの主役。必要数と期首在庫の小さいほうで、在庫が足りていれば必要数と一致する</t>
  </si>
  <si>
    <t xml:space="preserve">各会場の「不足」列</t>
  </si>
  <si>
    <t xml:space="preserve">不足（欠品見込）</t>
  </si>
  <si>
    <r>
      <rPr>
        <sz val="9"/>
        <rFont val="Meiryo UI"/>
        <family val="0"/>
        <charset val="1"/>
      </rPr>
      <t xml:space="preserve">=</t>
    </r>
    <r>
      <rPr>
        <sz val="9"/>
        <rFont val="WenQuanYi Zen Hei"/>
        <family val="2"/>
      </rPr>
      <t xml:space="preserve">必要数 − 納品予測数</t>
    </r>
  </si>
  <si>
    <r>
      <rPr>
        <sz val="9"/>
        <rFont val="Meiryo UI"/>
        <family val="0"/>
        <charset val="1"/>
      </rPr>
      <t xml:space="preserve">0</t>
    </r>
    <r>
      <rPr>
        <sz val="9"/>
        <rFont val="WenQuanYi Zen Hei"/>
        <family val="2"/>
      </rPr>
      <t xml:space="preserve">／</t>
    </r>
    <r>
      <rPr>
        <sz val="9"/>
        <rFont val="Meiryo UI"/>
        <family val="0"/>
        <charset val="1"/>
      </rPr>
      <t xml:space="preserve">0</t>
    </r>
    <r>
      <rPr>
        <sz val="9"/>
        <rFont val="WenQuanYi Zen Hei"/>
        <family val="2"/>
      </rPr>
      <t xml:space="preserve">／</t>
    </r>
    <r>
      <rPr>
        <sz val="9"/>
        <rFont val="Meiryo UI"/>
        <family val="0"/>
        <charset val="1"/>
      </rPr>
      <t xml:space="preserve">0</t>
    </r>
    <r>
      <rPr>
        <sz val="9"/>
        <rFont val="WenQuanYi Zen Hei"/>
        <family val="2"/>
      </rPr>
      <t xml:space="preserve">／</t>
    </r>
    <r>
      <rPr>
        <sz val="9"/>
        <rFont val="Meiryo UI"/>
        <family val="0"/>
        <charset val="1"/>
      </rPr>
      <t xml:space="preserve">895</t>
    </r>
  </si>
  <si>
    <t xml:space="preserve">在庫を会場順に引き当てるので、不足は必ず後半の会場から出る</t>
  </si>
  <si>
    <t xml:space="preserve">各会場の「期末在庫」列</t>
  </si>
  <si>
    <t xml:space="preserve">期末在庫</t>
  </si>
  <si>
    <r>
      <rPr>
        <sz val="9"/>
        <rFont val="Meiryo UI"/>
        <family val="0"/>
        <charset val="1"/>
      </rPr>
      <t xml:space="preserve">=</t>
    </r>
    <r>
      <rPr>
        <sz val="9"/>
        <rFont val="WenQuanYi Zen Hei"/>
        <family val="2"/>
      </rPr>
      <t xml:space="preserve">期首在庫 − 納品予測数</t>
    </r>
  </si>
  <si>
    <t xml:space="preserve">次の会場の期首在庫になる</t>
  </si>
  <si>
    <t xml:space="preserve">最後の会場の期末在庫が会期終了後の余剰</t>
  </si>
  <si>
    <t xml:space="preserve">■ サマリー</t>
  </si>
  <si>
    <t xml:space="preserve">サマリー</t>
  </si>
  <si>
    <r>
      <rPr>
        <sz val="9"/>
        <rFont val="Meiryo UI"/>
        <family val="0"/>
        <charset val="1"/>
      </rPr>
      <t xml:space="preserve">A</t>
    </r>
    <r>
      <rPr>
        <sz val="9"/>
        <rFont val="WenQuanYi Zen Hei"/>
        <family val="2"/>
      </rPr>
      <t xml:space="preserve">列</t>
    </r>
    <r>
      <rPr>
        <sz val="9"/>
        <rFont val="Meiryo UI"/>
        <family val="0"/>
        <charset val="1"/>
      </rPr>
      <t xml:space="preserve">:B</t>
    </r>
    <r>
      <rPr>
        <sz val="9"/>
        <rFont val="WenQuanYi Zen Hei"/>
        <family val="2"/>
      </rPr>
      <t xml:space="preserve">列</t>
    </r>
  </si>
  <si>
    <t xml:space="preserve">結論サマリー</t>
  </si>
  <si>
    <t xml:space="preserve">（数式なし＝①〜⑪の結果を文章化した読み物）</t>
  </si>
  <si>
    <t xml:space="preserve">入力データを更新したら本文の記述も見直すこと</t>
  </si>
  <si>
    <t xml:space="preserve">⑬ 仙台以降 会場別 納品予測数（商品別の出荷計画）</t>
  </si>
  <si>
    <r>
      <rPr>
        <sz val="8"/>
        <color rgb="FF555555"/>
        <rFont val="WenQuanYi Zen Hei"/>
        <family val="2"/>
      </rPr>
      <t xml:space="preserve">納品予測数 ＝ </t>
    </r>
    <r>
      <rPr>
        <sz val="8"/>
        <color rgb="FF555555"/>
        <rFont val="Meiryo UI"/>
        <family val="0"/>
        <charset val="1"/>
      </rPr>
      <t xml:space="preserve">MIN( </t>
    </r>
    <r>
      <rPr>
        <sz val="8"/>
        <color rgb="FF555555"/>
        <rFont val="WenQuanYi Zen Hei"/>
        <family val="2"/>
      </rPr>
      <t xml:space="preserve">その会場の必要数</t>
    </r>
    <r>
      <rPr>
        <sz val="8"/>
        <color rgb="FF555555"/>
        <rFont val="Meiryo UI"/>
        <family val="0"/>
        <charset val="1"/>
      </rPr>
      <t xml:space="preserve">, </t>
    </r>
    <r>
      <rPr>
        <sz val="8"/>
        <color rgb="FF555555"/>
        <rFont val="WenQuanYi Zen Hei"/>
        <family val="2"/>
      </rPr>
      <t xml:space="preserve">その時点で引き当てられる在庫 </t>
    </r>
    <r>
      <rPr>
        <sz val="8"/>
        <color rgb="FF555555"/>
        <rFont val="Meiryo UI"/>
        <family val="0"/>
        <charset val="1"/>
      </rPr>
      <t xml:space="preserve">)</t>
    </r>
    <r>
      <rPr>
        <sz val="8"/>
        <color rgb="FF555555"/>
        <rFont val="WenQuanYi Zen Hei"/>
        <family val="2"/>
      </rPr>
      <t xml:space="preserve">。会場順に在庫を減らしていくので、前の会場で使った分は後の会場には回らない。</t>
    </r>
  </si>
  <si>
    <t xml:space="preserve">必要数は「需要」、納品予測数は「供給の上限を踏まえて実際に出せる数」。両者の差が不足数＝その会場で欠品する数量。確定発注の入荷はその会場の期首在庫に加算している。</t>
  </si>
  <si>
    <r>
      <rPr>
        <sz val="8"/>
        <color rgb="FF555555"/>
        <rFont val="WenQuanYi Zen Hei"/>
        <family val="2"/>
      </rPr>
      <t xml:space="preserve">※在庫は</t>
    </r>
    <r>
      <rPr>
        <sz val="8"/>
        <color rgb="FF555555"/>
        <rFont val="Meiryo UI"/>
        <family val="0"/>
        <charset val="1"/>
      </rPr>
      <t xml:space="preserve">42SKU</t>
    </r>
    <r>
      <rPr>
        <sz val="8"/>
        <color rgb="FF555555"/>
        <rFont val="WenQuanYi Zen Hei"/>
        <family val="2"/>
      </rPr>
      <t xml:space="preserve">一括ではなく商品別に引き当てている。全体では余っていても、商品によっては前半の会場で在庫を使い切って後半で欠品する。</t>
    </r>
  </si>
  <si>
    <r>
      <rPr>
        <b val="true"/>
        <sz val="11"/>
        <color rgb="FFC00000"/>
        <rFont val="WenQuanYi Zen Hei"/>
        <family val="2"/>
      </rPr>
      <t xml:space="preserve">■ 会場別 納品予測サマリー（</t>
    </r>
    <r>
      <rPr>
        <b val="true"/>
        <sz val="11"/>
        <color rgb="FFC00000"/>
        <rFont val="Meiryo UI"/>
        <family val="0"/>
        <charset val="1"/>
      </rPr>
      <t xml:space="preserve">LEGS 42SKU </t>
    </r>
    <r>
      <rPr>
        <b val="true"/>
        <sz val="11"/>
        <color rgb="FFC00000"/>
        <rFont val="WenQuanYi Zen Hei"/>
        <family val="2"/>
      </rPr>
      <t xml:space="preserve">合計）</t>
    </r>
  </si>
  <si>
    <r>
      <rPr>
        <b val="true"/>
        <sz val="9"/>
        <color rgb="FFFFFFFF"/>
        <rFont val="WenQuanYi Zen Hei"/>
        <family val="2"/>
      </rPr>
      <t xml:space="preserve">必要数
</t>
    </r>
    <r>
      <rPr>
        <b val="true"/>
        <sz val="9"/>
        <color rgb="FFFFFFFF"/>
        <rFont val="Meiryo UI"/>
        <family val="0"/>
        <charset val="1"/>
      </rPr>
      <t xml:space="preserve">(</t>
    </r>
    <r>
      <rPr>
        <b val="true"/>
        <sz val="9"/>
        <color rgb="FFFFFFFF"/>
        <rFont val="WenQuanYi Zen Hei"/>
        <family val="2"/>
      </rPr>
      <t xml:space="preserve">需要</t>
    </r>
    <r>
      <rPr>
        <b val="true"/>
        <sz val="9"/>
        <color rgb="FFFFFFFF"/>
        <rFont val="Meiryo UI"/>
        <family val="0"/>
        <charset val="1"/>
      </rPr>
      <t xml:space="preserve">)</t>
    </r>
  </si>
  <si>
    <r>
      <rPr>
        <b val="true"/>
        <sz val="9"/>
        <color rgb="FFFFFFFF"/>
        <rFont val="WenQuanYi Zen Hei"/>
        <family val="2"/>
      </rPr>
      <t xml:space="preserve">納品予測数
</t>
    </r>
    <r>
      <rPr>
        <b val="true"/>
        <sz val="9"/>
        <color rgb="FFFFFFFF"/>
        <rFont val="Meiryo UI"/>
        <family val="0"/>
        <charset val="1"/>
      </rPr>
      <t xml:space="preserve">(</t>
    </r>
    <r>
      <rPr>
        <b val="true"/>
        <sz val="9"/>
        <color rgb="FFFFFFFF"/>
        <rFont val="WenQuanYi Zen Hei"/>
        <family val="2"/>
      </rPr>
      <t xml:space="preserve">出荷計画</t>
    </r>
    <r>
      <rPr>
        <b val="true"/>
        <sz val="9"/>
        <color rgb="FFFFFFFF"/>
        <rFont val="Meiryo UI"/>
        <family val="0"/>
        <charset val="1"/>
      </rPr>
      <t xml:space="preserve">)</t>
    </r>
  </si>
  <si>
    <r>
      <rPr>
        <b val="true"/>
        <sz val="9"/>
        <color rgb="FFFFFFFF"/>
        <rFont val="WenQuanYi Zen Hei"/>
        <family val="2"/>
      </rPr>
      <t xml:space="preserve">不足数
</t>
    </r>
    <r>
      <rPr>
        <b val="true"/>
        <sz val="9"/>
        <color rgb="FFFFFFFF"/>
        <rFont val="Meiryo UI"/>
        <family val="0"/>
        <charset val="1"/>
      </rPr>
      <t xml:space="preserve">(</t>
    </r>
    <r>
      <rPr>
        <b val="true"/>
        <sz val="9"/>
        <color rgb="FFFFFFFF"/>
        <rFont val="WenQuanYi Zen Hei"/>
        <family val="2"/>
      </rPr>
      <t xml:space="preserve">欠品見込</t>
    </r>
    <r>
      <rPr>
        <b val="true"/>
        <sz val="9"/>
        <color rgb="FFFFFFFF"/>
        <rFont val="Meiryo UI"/>
        <family val="0"/>
        <charset val="1"/>
      </rPr>
      <t xml:space="preserve">)</t>
    </r>
  </si>
  <si>
    <t xml:space="preserve">充足率</t>
  </si>
  <si>
    <r>
      <rPr>
        <b val="true"/>
        <sz val="9"/>
        <color rgb="FFFFFFFF"/>
        <rFont val="WenQuanYi Zen Hei"/>
        <family val="2"/>
      </rPr>
      <t xml:space="preserve">納品金額
</t>
    </r>
    <r>
      <rPr>
        <b val="true"/>
        <sz val="9"/>
        <color rgb="FFFFFFFF"/>
        <rFont val="Meiryo UI"/>
        <family val="0"/>
        <charset val="1"/>
      </rPr>
      <t xml:space="preserve">(</t>
    </r>
    <r>
      <rPr>
        <b val="true"/>
        <sz val="9"/>
        <color rgb="FFFFFFFF"/>
        <rFont val="WenQuanYi Zen Hei"/>
        <family val="2"/>
      </rPr>
      <t xml:space="preserve">税込小売換算</t>
    </r>
    <r>
      <rPr>
        <b val="true"/>
        <sz val="9"/>
        <color rgb="FFFFFFFF"/>
        <rFont val="Meiryo UI"/>
        <family val="0"/>
        <charset val="1"/>
      </rPr>
      <t xml:space="preserve">)</t>
    </r>
  </si>
  <si>
    <t xml:space="preserve">確定発注の入荷</t>
  </si>
  <si>
    <r>
      <rPr>
        <sz val="9"/>
        <rFont val="WenQuanYi Zen Hei"/>
        <family val="2"/>
      </rPr>
      <t xml:space="preserve">欠品 </t>
    </r>
    <r>
      <rPr>
        <sz val="9"/>
        <rFont val="Meiryo UI"/>
        <family val="0"/>
        <charset val="1"/>
      </rPr>
      <t xml:space="preserve">4</t>
    </r>
    <r>
      <rPr>
        <sz val="9"/>
        <rFont val="WenQuanYi Zen Hei"/>
        <family val="2"/>
      </rPr>
      <t xml:space="preserve">品目：宿儺の指風お菓子 </t>
    </r>
    <r>
      <rPr>
        <sz val="9"/>
        <rFont val="Meiryo UI"/>
        <family val="0"/>
        <charset val="1"/>
      </rPr>
      <t xml:space="preserve">178</t>
    </r>
    <r>
      <rPr>
        <sz val="9"/>
        <rFont val="WenQuanYi Zen Hei"/>
        <family val="2"/>
      </rPr>
      <t xml:space="preserve">個／夏油 傑 イメージリング（</t>
    </r>
    <r>
      <rPr>
        <sz val="9"/>
        <rFont val="Meiryo UI"/>
        <family val="0"/>
        <charset val="1"/>
      </rPr>
      <t xml:space="preserve">#15</t>
    </r>
    <r>
      <rPr>
        <sz val="9"/>
        <rFont val="WenQuanYi Zen Hei"/>
        <family val="2"/>
      </rPr>
      <t xml:space="preserve">） </t>
    </r>
    <r>
      <rPr>
        <sz val="9"/>
        <rFont val="Meiryo UI"/>
        <family val="0"/>
        <charset val="1"/>
      </rPr>
      <t xml:space="preserve">3</t>
    </r>
    <r>
      <rPr>
        <sz val="9"/>
        <rFont val="WenQuanYi Zen Hei"/>
        <family val="2"/>
      </rPr>
      <t xml:space="preserve">個／五条 悟 イメージリング（</t>
    </r>
    <r>
      <rPr>
        <sz val="9"/>
        <rFont val="Meiryo UI"/>
        <family val="0"/>
        <charset val="1"/>
      </rPr>
      <t xml:space="preserve">#13</t>
    </r>
    <r>
      <rPr>
        <sz val="9"/>
        <rFont val="WenQuanYi Zen Hei"/>
        <family val="2"/>
      </rPr>
      <t xml:space="preserve">） </t>
    </r>
    <r>
      <rPr>
        <sz val="9"/>
        <rFont val="Meiryo UI"/>
        <family val="0"/>
        <charset val="1"/>
      </rPr>
      <t xml:space="preserve">1</t>
    </r>
    <r>
      <rPr>
        <sz val="9"/>
        <rFont val="WenQuanYi Zen Hei"/>
        <family val="2"/>
      </rPr>
      <t xml:space="preserve">個／夏油 傑 イメージリング（</t>
    </r>
    <r>
      <rPr>
        <sz val="9"/>
        <rFont val="Meiryo UI"/>
        <family val="0"/>
        <charset val="1"/>
      </rPr>
      <t xml:space="preserve">#13</t>
    </r>
    <r>
      <rPr>
        <sz val="9"/>
        <rFont val="WenQuanYi Zen Hei"/>
        <family val="2"/>
      </rPr>
      <t xml:space="preserve">） </t>
    </r>
    <r>
      <rPr>
        <sz val="9"/>
        <rFont val="Meiryo UI"/>
        <family val="0"/>
        <charset val="1"/>
      </rPr>
      <t xml:space="preserve">1</t>
    </r>
    <r>
      <rPr>
        <sz val="9"/>
        <rFont val="WenQuanYi Zen Hei"/>
        <family val="2"/>
      </rPr>
      <t xml:space="preserve">個</t>
    </r>
  </si>
  <si>
    <r>
      <rPr>
        <sz val="9"/>
        <rFont val="WenQuanYi Zen Hei"/>
        <family val="2"/>
      </rPr>
      <t xml:space="preserve">欠品 </t>
    </r>
    <r>
      <rPr>
        <sz val="9"/>
        <rFont val="Meiryo UI"/>
        <family val="0"/>
        <charset val="1"/>
      </rPr>
      <t xml:space="preserve">7</t>
    </r>
    <r>
      <rPr>
        <sz val="9"/>
        <rFont val="WenQuanYi Zen Hei"/>
        <family val="2"/>
      </rPr>
      <t xml:space="preserve">品目：宿儺の指風お菓子 </t>
    </r>
    <r>
      <rPr>
        <sz val="9"/>
        <rFont val="Meiryo UI"/>
        <family val="0"/>
        <charset val="1"/>
      </rPr>
      <t xml:space="preserve">227</t>
    </r>
    <r>
      <rPr>
        <sz val="9"/>
        <rFont val="WenQuanYi Zen Hei"/>
        <family val="2"/>
      </rPr>
      <t xml:space="preserve">個／脱兎！ポーチ入りクリップセット </t>
    </r>
    <r>
      <rPr>
        <sz val="9"/>
        <rFont val="Meiryo UI"/>
        <family val="0"/>
        <charset val="1"/>
      </rPr>
      <t xml:space="preserve">136</t>
    </r>
    <r>
      <rPr>
        <sz val="9"/>
        <rFont val="WenQuanYi Zen Hei"/>
        <family val="2"/>
      </rPr>
      <t xml:space="preserve">個／前髪ヘアバンド </t>
    </r>
    <r>
      <rPr>
        <sz val="9"/>
        <rFont val="Meiryo UI"/>
        <family val="0"/>
        <charset val="1"/>
      </rPr>
      <t xml:space="preserve">102</t>
    </r>
    <r>
      <rPr>
        <sz val="9"/>
        <rFont val="WenQuanYi Zen Hei"/>
        <family val="2"/>
      </rPr>
      <t xml:space="preserve">個／気分リフレッシュオルゴール </t>
    </r>
    <r>
      <rPr>
        <sz val="9"/>
        <rFont val="Meiryo UI"/>
        <family val="0"/>
        <charset val="1"/>
      </rPr>
      <t xml:space="preserve">4</t>
    </r>
    <r>
      <rPr>
        <sz val="9"/>
        <rFont val="WenQuanYi Zen Hei"/>
        <family val="2"/>
      </rPr>
      <t xml:space="preserve">個　ほか</t>
    </r>
  </si>
  <si>
    <r>
      <rPr>
        <sz val="9"/>
        <rFont val="WenQuanYi Zen Hei"/>
        <family val="2"/>
      </rPr>
      <t xml:space="preserve">宿儺の指風お菓子 </t>
    </r>
    <r>
      <rPr>
        <sz val="9"/>
        <rFont val="Meiryo UI"/>
        <family val="0"/>
        <charset val="1"/>
      </rPr>
      <t xml:space="preserve">1,200SET</t>
    </r>
  </si>
  <si>
    <r>
      <rPr>
        <sz val="9"/>
        <rFont val="WenQuanYi Zen Hei"/>
        <family val="2"/>
      </rPr>
      <t xml:space="preserve">欠品 </t>
    </r>
    <r>
      <rPr>
        <sz val="9"/>
        <rFont val="Meiryo UI"/>
        <family val="0"/>
        <charset val="1"/>
      </rPr>
      <t xml:space="preserve">9</t>
    </r>
    <r>
      <rPr>
        <sz val="9"/>
        <rFont val="WenQuanYi Zen Hei"/>
        <family val="2"/>
      </rPr>
      <t xml:space="preserve">品目：前髪ヘアバンド </t>
    </r>
    <r>
      <rPr>
        <sz val="9"/>
        <rFont val="Meiryo UI"/>
        <family val="0"/>
        <charset val="1"/>
      </rPr>
      <t xml:space="preserve">119</t>
    </r>
    <r>
      <rPr>
        <sz val="9"/>
        <rFont val="WenQuanYi Zen Hei"/>
        <family val="2"/>
      </rPr>
      <t xml:space="preserve">個／脱兎！ポーチ入りクリップセット </t>
    </r>
    <r>
      <rPr>
        <sz val="9"/>
        <rFont val="Meiryo UI"/>
        <family val="0"/>
        <charset val="1"/>
      </rPr>
      <t xml:space="preserve">113</t>
    </r>
    <r>
      <rPr>
        <sz val="9"/>
        <rFont val="WenQuanYi Zen Hei"/>
        <family val="2"/>
      </rPr>
      <t xml:space="preserve">個／気分リフレッシュオルゴール </t>
    </r>
    <r>
      <rPr>
        <sz val="9"/>
        <rFont val="Meiryo UI"/>
        <family val="0"/>
        <charset val="1"/>
      </rPr>
      <t xml:space="preserve">7</t>
    </r>
    <r>
      <rPr>
        <sz val="9"/>
        <rFont val="WenQuanYi Zen Hei"/>
        <family val="2"/>
      </rPr>
      <t xml:space="preserve">個／呪術廻戦 渋谷事変 クリアファイル（脹相） </t>
    </r>
    <r>
      <rPr>
        <sz val="9"/>
        <rFont val="Meiryo UI"/>
        <family val="0"/>
        <charset val="1"/>
      </rPr>
      <t xml:space="preserve">6</t>
    </r>
    <r>
      <rPr>
        <sz val="9"/>
        <rFont val="WenQuanYi Zen Hei"/>
        <family val="2"/>
      </rPr>
      <t xml:space="preserve">個　ほか</t>
    </r>
  </si>
  <si>
    <r>
      <rPr>
        <sz val="9"/>
        <rFont val="WenQuanYi Zen Hei"/>
        <family val="2"/>
      </rPr>
      <t xml:space="preserve">欠品 </t>
    </r>
    <r>
      <rPr>
        <sz val="9"/>
        <rFont val="Meiryo UI"/>
        <family val="0"/>
        <charset val="1"/>
      </rPr>
      <t xml:space="preserve">12</t>
    </r>
    <r>
      <rPr>
        <sz val="9"/>
        <rFont val="WenQuanYi Zen Hei"/>
        <family val="2"/>
      </rPr>
      <t xml:space="preserve">品目：呪術廻戦 メタリックポストカード 展示会キービジュアル </t>
    </r>
    <r>
      <rPr>
        <sz val="9"/>
        <rFont val="Meiryo UI"/>
        <family val="0"/>
        <charset val="1"/>
      </rPr>
      <t xml:space="preserve">895</t>
    </r>
    <r>
      <rPr>
        <sz val="9"/>
        <rFont val="WenQuanYi Zen Hei"/>
        <family val="2"/>
      </rPr>
      <t xml:space="preserve">個／前髪ヘアバンド </t>
    </r>
    <r>
      <rPr>
        <sz val="9"/>
        <rFont val="Meiryo UI"/>
        <family val="0"/>
        <charset val="1"/>
      </rPr>
      <t xml:space="preserve">662</t>
    </r>
    <r>
      <rPr>
        <sz val="9"/>
        <rFont val="WenQuanYi Zen Hei"/>
        <family val="2"/>
      </rPr>
      <t xml:space="preserve">個／脱兎！ポーチ入りクリップセット </t>
    </r>
    <r>
      <rPr>
        <sz val="9"/>
        <rFont val="Meiryo UI"/>
        <family val="0"/>
        <charset val="1"/>
      </rPr>
      <t xml:space="preserve">626</t>
    </r>
    <r>
      <rPr>
        <sz val="9"/>
        <rFont val="WenQuanYi Zen Hei"/>
        <family val="2"/>
      </rPr>
      <t xml:space="preserve">個／呪術廻戦 渋谷事変 クリアファイル（脹相） </t>
    </r>
    <r>
      <rPr>
        <sz val="9"/>
        <rFont val="Meiryo UI"/>
        <family val="0"/>
        <charset val="1"/>
      </rPr>
      <t xml:space="preserve">288</t>
    </r>
    <r>
      <rPr>
        <sz val="9"/>
        <rFont val="WenQuanYi Zen Hei"/>
        <family val="2"/>
      </rPr>
      <t xml:space="preserve">個　ほか</t>
    </r>
  </si>
  <si>
    <t xml:space="preserve">■ 商品別 会場別 納品予測数</t>
  </si>
  <si>
    <t xml:space="preserve">仙台以降
引当可能在庫</t>
  </si>
  <si>
    <t xml:space="preserve">仙台
期首在庫</t>
  </si>
  <si>
    <t xml:space="preserve">仙台
★納品予測数</t>
  </si>
  <si>
    <t xml:space="preserve">仙台
不足</t>
  </si>
  <si>
    <t xml:space="preserve">仙台
期末在庫</t>
  </si>
  <si>
    <t xml:space="preserve">神戸阪急
期首在庫</t>
  </si>
  <si>
    <t xml:space="preserve">神戸阪急
★納品予測数</t>
  </si>
  <si>
    <t xml:space="preserve">神戸阪急
不足</t>
  </si>
  <si>
    <t xml:space="preserve">神戸阪急
期末在庫</t>
  </si>
  <si>
    <t xml:space="preserve">鳥取島根
期首在庫</t>
  </si>
  <si>
    <t xml:space="preserve">鳥取島根
★納品予測数</t>
  </si>
  <si>
    <t xml:space="preserve">鳥取島根
不足</t>
  </si>
  <si>
    <t xml:space="preserve">鳥取島根
期末在庫</t>
  </si>
  <si>
    <t xml:space="preserve">東京凱旋
期首在庫</t>
  </si>
  <si>
    <t xml:space="preserve">東京凱旋
★納品予測数</t>
  </si>
  <si>
    <t xml:space="preserve">東京凱旋
不足</t>
  </si>
  <si>
    <t xml:space="preserve">東京凱旋
期末在庫</t>
  </si>
  <si>
    <t xml:space="preserve">納品予測数
合計</t>
  </si>
  <si>
    <t xml:space="preserve">不足数
合計</t>
  </si>
  <si>
    <r>
      <rPr>
        <b val="true"/>
        <sz val="9"/>
        <color rgb="FFFFFFFF"/>
        <rFont val="WenQuanYi Zen Hei"/>
        <family val="2"/>
      </rPr>
      <t xml:space="preserve">納品金額 合計
</t>
    </r>
    <r>
      <rPr>
        <b val="true"/>
        <sz val="9"/>
        <color rgb="FFFFFFFF"/>
        <rFont val="Meiryo UI"/>
        <family val="0"/>
        <charset val="1"/>
      </rPr>
      <t xml:space="preserve">(</t>
    </r>
    <r>
      <rPr>
        <b val="true"/>
        <sz val="9"/>
        <color rgb="FFFFFFFF"/>
        <rFont val="WenQuanYi Zen Hei"/>
        <family val="2"/>
      </rPr>
      <t xml:space="preserve">税込小売換算</t>
    </r>
    <r>
      <rPr>
        <b val="true"/>
        <sz val="9"/>
        <color rgb="FFFFFFFF"/>
        <rFont val="Meiryo UI"/>
        <family val="0"/>
        <charset val="1"/>
      </rPr>
      <t xml:space="preserve">)</t>
    </r>
  </si>
  <si>
    <r>
      <rPr>
        <sz val="9"/>
        <rFont val="WenQuanYi Zen Hei"/>
        <family val="2"/>
      </rPr>
      <t xml:space="preserve">★東京凱旋 で欠品。追加発注しない場合はこの会場から品切れになる ／ 会場で持出・不良 </t>
    </r>
    <r>
      <rPr>
        <sz val="9"/>
        <rFont val="Meiryo UI"/>
        <family val="0"/>
        <charset val="1"/>
      </rPr>
      <t xml:space="preserve">3</t>
    </r>
    <r>
      <rPr>
        <sz val="9"/>
        <rFont val="WenQuanYi Zen Hei"/>
        <family val="2"/>
      </rPr>
      <t xml:space="preserve">個（日報の販売可能数で控除済）</t>
    </r>
  </si>
  <si>
    <r>
      <rPr>
        <sz val="9"/>
        <rFont val="WenQuanYi Zen Hei"/>
        <family val="2"/>
      </rPr>
      <t xml:space="preserve">会場で持出・不良 </t>
    </r>
    <r>
      <rPr>
        <sz val="9"/>
        <rFont val="Meiryo UI"/>
        <family val="0"/>
        <charset val="1"/>
      </rPr>
      <t xml:space="preserve">2</t>
    </r>
    <r>
      <rPr>
        <sz val="9"/>
        <rFont val="WenQuanYi Zen Hei"/>
        <family val="2"/>
      </rPr>
      <t xml:space="preserve">個（日報の販売可能数で控除済）</t>
    </r>
  </si>
  <si>
    <r>
      <rPr>
        <sz val="9"/>
        <rFont val="WenQuanYi Zen Hei"/>
        <family val="2"/>
      </rPr>
      <t xml:space="preserve">会場で持出・不良 </t>
    </r>
    <r>
      <rPr>
        <sz val="9"/>
        <rFont val="Meiryo UI"/>
        <family val="0"/>
        <charset val="1"/>
      </rPr>
      <t xml:space="preserve">13</t>
    </r>
    <r>
      <rPr>
        <sz val="9"/>
        <rFont val="WenQuanYi Zen Hei"/>
        <family val="2"/>
      </rPr>
      <t xml:space="preserve">個（日報の販売可能数で控除済）</t>
    </r>
  </si>
  <si>
    <r>
      <rPr>
        <sz val="9"/>
        <rFont val="WenQuanYi Zen Hei"/>
        <family val="2"/>
      </rPr>
      <t xml:space="preserve">会場で持出・不良 </t>
    </r>
    <r>
      <rPr>
        <sz val="9"/>
        <rFont val="Meiryo UI"/>
        <family val="0"/>
        <charset val="1"/>
      </rPr>
      <t xml:space="preserve">6</t>
    </r>
    <r>
      <rPr>
        <sz val="9"/>
        <rFont val="WenQuanYi Zen Hei"/>
        <family val="2"/>
      </rPr>
      <t xml:space="preserve">個（日報の販売可能数で控除済）</t>
    </r>
  </si>
  <si>
    <r>
      <rPr>
        <sz val="9"/>
        <rFont val="WenQuanYi Zen Hei"/>
        <family val="2"/>
      </rPr>
      <t xml:space="preserve">会場で持出・不良 </t>
    </r>
    <r>
      <rPr>
        <sz val="9"/>
        <rFont val="Meiryo UI"/>
        <family val="0"/>
        <charset val="1"/>
      </rPr>
      <t xml:space="preserve">1</t>
    </r>
    <r>
      <rPr>
        <sz val="9"/>
        <rFont val="WenQuanYi Zen Hei"/>
        <family val="2"/>
      </rPr>
      <t xml:space="preserve">個（日報の販売可能数で控除済）</t>
    </r>
  </si>
  <si>
    <t xml:space="preserve">★鳥取島根・東京凱旋 で欠品。追加発注しない場合はこの会場から品切れになる</t>
  </si>
  <si>
    <r>
      <rPr>
        <sz val="9"/>
        <rFont val="WenQuanYi Zen Hei"/>
        <family val="2"/>
      </rPr>
      <t xml:space="preserve">会場で持出・不良 </t>
    </r>
    <r>
      <rPr>
        <sz val="9"/>
        <rFont val="Meiryo UI"/>
        <family val="0"/>
        <charset val="1"/>
      </rPr>
      <t xml:space="preserve">3</t>
    </r>
    <r>
      <rPr>
        <sz val="9"/>
        <rFont val="WenQuanYi Zen Hei"/>
        <family val="2"/>
      </rPr>
      <t xml:space="preserve">個（日報の販売可能数で控除済）</t>
    </r>
  </si>
  <si>
    <r>
      <rPr>
        <sz val="9"/>
        <rFont val="WenQuanYi Zen Hei"/>
        <family val="2"/>
      </rPr>
      <t xml:space="preserve">会場で持出・不良 </t>
    </r>
    <r>
      <rPr>
        <sz val="9"/>
        <rFont val="Meiryo UI"/>
        <family val="0"/>
        <charset val="1"/>
      </rPr>
      <t xml:space="preserve">9</t>
    </r>
    <r>
      <rPr>
        <sz val="9"/>
        <rFont val="WenQuanYi Zen Hei"/>
        <family val="2"/>
      </rPr>
      <t xml:space="preserve">個（日報の販売可能数で控除済）</t>
    </r>
  </si>
  <si>
    <t xml:space="preserve">再生産不可。現有在庫の範囲で配分する</t>
  </si>
  <si>
    <r>
      <rPr>
        <sz val="9"/>
        <rFont val="WenQuanYi Zen Hei"/>
        <family val="2"/>
      </rPr>
      <t xml:space="preserve">★神戸阪急・鳥取島根・東京凱旋 で欠品。追加発注しない場合はこの会場から品切れになる ／ 会場で持出・不良 </t>
    </r>
    <r>
      <rPr>
        <sz val="9"/>
        <rFont val="Meiryo UI"/>
        <family val="0"/>
        <charset val="1"/>
      </rPr>
      <t xml:space="preserve">1</t>
    </r>
    <r>
      <rPr>
        <sz val="9"/>
        <rFont val="WenQuanYi Zen Hei"/>
        <family val="2"/>
      </rPr>
      <t xml:space="preserve">個（日報の販売可能数で控除済）</t>
    </r>
  </si>
  <si>
    <r>
      <rPr>
        <sz val="9"/>
        <rFont val="WenQuanYi Zen Hei"/>
        <family val="2"/>
      </rPr>
      <t xml:space="preserve">★仙台・神戸阪急 で欠品。追加発注しない場合はこの会場から品切れになる ／ ◎</t>
    </r>
    <r>
      <rPr>
        <sz val="9"/>
        <rFont val="Meiryo UI"/>
        <family val="0"/>
        <charset val="1"/>
      </rPr>
      <t xml:space="preserve">1,200SET </t>
    </r>
    <r>
      <rPr>
        <sz val="9"/>
        <rFont val="WenQuanYi Zen Hei"/>
        <family val="2"/>
      </rPr>
      <t xml:space="preserve">を 鳥取島根 夢みなとタワー の期首在庫に加算済み ／ 【賞味期限】石川 香林坊大和 までが販売期限 ／ 会場で持出・不良 </t>
    </r>
    <r>
      <rPr>
        <sz val="9"/>
        <rFont val="Meiryo UI"/>
        <family val="0"/>
        <charset val="1"/>
      </rPr>
      <t xml:space="preserve">3</t>
    </r>
    <r>
      <rPr>
        <sz val="9"/>
        <rFont val="WenQuanYi Zen Hei"/>
        <family val="2"/>
      </rPr>
      <t xml:space="preserve">個（日報の販売可能数で控除済）</t>
    </r>
  </si>
  <si>
    <r>
      <rPr>
        <sz val="9"/>
        <rFont val="WenQuanYi Zen Hei"/>
        <family val="2"/>
      </rPr>
      <t xml:space="preserve">★神戸阪急・鳥取島根・東京凱旋 で欠品。追加発注しない場合はこの会場から品切れになる ／ 会場で持出・不良 </t>
    </r>
    <r>
      <rPr>
        <sz val="9"/>
        <rFont val="Meiryo UI"/>
        <family val="0"/>
        <charset val="1"/>
      </rPr>
      <t xml:space="preserve">3</t>
    </r>
    <r>
      <rPr>
        <sz val="9"/>
        <rFont val="WenQuanYi Zen Hei"/>
        <family val="2"/>
      </rPr>
      <t xml:space="preserve">個（日報の販売可能数で控除済）</t>
    </r>
  </si>
  <si>
    <t xml:space="preserve">★仙台・神戸阪急・鳥取島根・東京凱旋 で欠品。追加発注しない場合はこの会場から品切れになる</t>
  </si>
  <si>
    <r>
      <rPr>
        <sz val="9"/>
        <rFont val="WenQuanYi Zen Hei"/>
        <family val="2"/>
      </rPr>
      <t xml:space="preserve">★東京凱旋 で欠品。追加発注しない場合はこの会場から品切れになる ／ 会場で持出・不良 </t>
    </r>
    <r>
      <rPr>
        <sz val="9"/>
        <rFont val="Meiryo UI"/>
        <family val="0"/>
        <charset val="1"/>
      </rPr>
      <t xml:space="preserve">2</t>
    </r>
    <r>
      <rPr>
        <sz val="9"/>
        <rFont val="WenQuanYi Zen Hei"/>
        <family val="2"/>
      </rPr>
      <t xml:space="preserve">個（日報の販売可能数で控除済）</t>
    </r>
  </si>
  <si>
    <r>
      <rPr>
        <sz val="9"/>
        <rFont val="WenQuanYi Zen Hei"/>
        <family val="2"/>
      </rPr>
      <t xml:space="preserve">★仙台・神戸阪急・鳥取島根・東京凱旋 で欠品。追加発注しない場合はこの会場から品切れになる ／ 会場で持出・不良 </t>
    </r>
    <r>
      <rPr>
        <sz val="9"/>
        <rFont val="Meiryo UI"/>
        <family val="0"/>
        <charset val="1"/>
      </rPr>
      <t xml:space="preserve">1</t>
    </r>
    <r>
      <rPr>
        <sz val="9"/>
        <rFont val="WenQuanYi Zen Hei"/>
        <family val="2"/>
      </rPr>
      <t xml:space="preserve">個（日報の販売可能数で控除済）</t>
    </r>
  </si>
  <si>
    <t xml:space="preserve">★東京凱旋 で欠品。追加発注しない場合はこの会場から品切れになる</t>
  </si>
  <si>
    <t xml:space="preserve">■ 読み方と使いかた</t>
  </si>
  <si>
    <t xml:space="preserve">必要数と納品予測数の違い</t>
  </si>
  <si>
    <t xml:space="preserve">必要数はその会場で売れると見込む数（需要）。納品予測数は在庫の制約を織り込んだ出荷計画で、在庫が足りていれば両者は一致する。</t>
  </si>
  <si>
    <t xml:space="preserve">不足が出る会場</t>
  </si>
  <si>
    <t xml:space="preserve">在庫を会場順に引き当てるので、不足は必ず後半の会場から出る。前半の会場に多めに送ると後半の欠品が増える点に注意。</t>
  </si>
  <si>
    <t xml:space="preserve">確定発注の扱い</t>
  </si>
  <si>
    <t xml:space="preserve">入荷予定の会場の期首在庫に加算している。それ以前の会場では使えないので、入荷会場より前で欠品する場合は発注時期の前倒しが要る。</t>
  </si>
  <si>
    <t xml:space="preserve">納品金額</t>
  </si>
  <si>
    <r>
      <rPr>
        <sz val="9"/>
        <rFont val="WenQuanYi Zen Hei"/>
        <family val="2"/>
      </rPr>
      <t xml:space="preserve">税込小売価格 </t>
    </r>
    <r>
      <rPr>
        <sz val="9"/>
        <rFont val="Meiryo UI"/>
        <family val="0"/>
        <charset val="1"/>
      </rPr>
      <t xml:space="preserve">× </t>
    </r>
    <r>
      <rPr>
        <sz val="9"/>
        <rFont val="WenQuanYi Zen Hei"/>
        <family val="2"/>
      </rPr>
      <t xml:space="preserve">納品予測数。会場ごとの物販売上の目安として使う（原価ではない）。</t>
    </r>
  </si>
  <si>
    <t xml:space="preserve">この表で決めること</t>
  </si>
  <si>
    <t xml:space="preserve">各会場への出荷数量と、どの会場から欠品が始まるか。追加発注の要否・期限は⑪シート、商品別の過不足は③シートを参照。</t>
  </si>
</sst>
</file>

<file path=xl/styles.xml><?xml version="1.0" encoding="utf-8"?>
<styleSheet xmlns="http://schemas.openxmlformats.org/spreadsheetml/2006/main">
  <numFmts count="16">
    <numFmt numFmtId="164" formatCode="General"/>
    <numFmt numFmtId="165" formatCode="0"/>
    <numFmt numFmtId="166" formatCode="0.0%"/>
    <numFmt numFmtId="167" formatCode="0.000\倍"/>
    <numFmt numFmtId="168" formatCode="\¥#,##0"/>
    <numFmt numFmtId="169" formatCode="#,##0"/>
    <numFmt numFmtId="170" formatCode="0\日"/>
    <numFmt numFmtId="171" formatCode="yyyy/m/d"/>
    <numFmt numFmtId="172" formatCode="\+#,##0;\-#,##0;0"/>
    <numFmt numFmtId="173" formatCode="0.00%"/>
    <numFmt numFmtId="174" formatCode="#,##0\日"/>
    <numFmt numFmtId="175" formatCode="\+0.0%;\-0.0%;0.0%"/>
    <numFmt numFmtId="176" formatCode="&quot;+¥&quot;#,##0;&quot;-¥&quot;#,##0;\-"/>
    <numFmt numFmtId="177" formatCode="\+0.0%;\-0.0%;\-"/>
    <numFmt numFmtId="178" formatCode="\+0.00%;\-0.00%;0.00%"/>
    <numFmt numFmtId="179" formatCode="#,##0;\-#,##0;0"/>
  </numFmts>
  <fonts count="26">
    <font>
      <sz val="11"/>
      <color theme="1"/>
      <name val="Meiryo UI"/>
      <family val="2"/>
      <charset val="1"/>
    </font>
    <font>
      <sz val="10"/>
      <name val="Meiryo UI"/>
      <family val="0"/>
    </font>
    <font>
      <sz val="10"/>
      <name val="Meiryo UI"/>
      <family val="0"/>
    </font>
    <font>
      <sz val="10"/>
      <name val="Meiryo UI"/>
      <family val="0"/>
    </font>
    <font>
      <b val="true"/>
      <sz val="15"/>
      <color rgb="FF1F3864"/>
      <name val="Meiryo UI"/>
      <family val="2"/>
    </font>
    <font>
      <b val="true"/>
      <sz val="11"/>
      <color rgb="FF2E5C8A"/>
      <name val="Meiryo UI"/>
      <family val="0"/>
      <charset val="1"/>
    </font>
    <font>
      <b val="true"/>
      <sz val="11"/>
      <color rgb="FF2E5C8A"/>
      <name val="Meiryo UI"/>
      <family val="2"/>
    </font>
    <font>
      <sz val="8"/>
      <color rgb="FF555555"/>
      <name val="Meiryo UI"/>
      <family val="2"/>
    </font>
    <font>
      <sz val="8"/>
      <color rgb="FF555555"/>
      <name val="Meiryo UI"/>
      <family val="0"/>
      <charset val="1"/>
    </font>
    <font>
      <b val="true"/>
      <sz val="11"/>
      <color rgb="FFC00000"/>
      <name val="Meiryo UI"/>
      <family val="2"/>
    </font>
    <font>
      <b val="true"/>
      <sz val="9"/>
      <name val="Meiryo UI"/>
      <family val="2"/>
    </font>
    <font>
      <b val="true"/>
      <sz val="9"/>
      <name val="Meiryo UI"/>
      <family val="0"/>
      <charset val="1"/>
    </font>
    <font>
      <sz val="9"/>
      <name val="Meiryo UI"/>
      <family val="0"/>
      <charset val="1"/>
    </font>
    <font>
      <sz val="9"/>
      <name val="Meiryo UI"/>
      <family val="2"/>
    </font>
    <font>
      <b val="true"/>
      <sz val="11"/>
      <color rgb="FFC00000"/>
      <name val="Meiryo UI"/>
      <family val="0"/>
      <charset val="1"/>
    </font>
    <font>
      <b val="true"/>
      <sz val="10"/>
      <color rgb="FF0000FF"/>
      <name val="Meiryo UI"/>
      <family val="0"/>
      <charset val="1"/>
    </font>
    <font>
      <b val="true"/>
      <sz val="9"/>
      <color rgb="FFFFFFFF"/>
      <name val="Meiryo UI"/>
      <family val="2"/>
    </font>
    <font>
      <b val="true"/>
      <sz val="9"/>
      <color rgb="FFFFFFFF"/>
      <name val="Meiryo UI"/>
      <family val="0"/>
      <charset val="1"/>
    </font>
    <font>
      <b val="true"/>
      <sz val="10"/>
      <color rgb="FF008000"/>
      <name val="Meiryo UI"/>
      <family val="0"/>
      <charset val="1"/>
    </font>
    <font>
      <b val="true"/>
      <sz val="15"/>
      <color rgb="FF1F3864"/>
      <name val="Meiryo UI"/>
      <family val="0"/>
      <charset val="1"/>
    </font>
    <font>
      <b val="true"/>
      <sz val="9"/>
      <color rgb="FF333333"/>
      <name val="Meiryo UI"/>
      <family val="2"/>
    </font>
    <font>
      <b val="true"/>
      <sz val="9"/>
      <color rgb="FF333333"/>
      <name val="Meiryo UI"/>
      <family val="0"/>
      <charset val="1"/>
    </font>
    <font>
      <b val="true"/>
      <sz val="11"/>
      <color rgb="FFFFFFFF"/>
      <name val="Meiryo UI"/>
      <family val="2"/>
    </font>
    <font>
      <b val="true"/>
      <sz val="11"/>
      <color rgb="FFFFFFFF"/>
      <name val="Meiryo UI"/>
      <family val="0"/>
      <charset val="1"/>
    </font>
    <font>
      <b val="true"/>
      <sz val="10"/>
      <color rgb="FFFFFFFF"/>
      <name val="Meiryo UI"/>
      <family val="2"/>
    </font>
    <font>
      <b val="true"/>
      <sz val="10"/>
      <color rgb="FFFFFFFF"/>
      <name val="Meiryo UI"/>
      <family val="0"/>
      <charset val="1"/>
    </font>
  </fonts>
  <fills count="19">
    <fill>
      <patternFill patternType="none"/>
    </fill>
    <fill>
      <patternFill patternType="gray125"/>
    </fill>
    <fill>
      <patternFill patternType="solid">
        <fgColor rgb="FFFFFF00"/>
        <bgColor rgb="FFFFFF00"/>
      </patternFill>
    </fill>
    <fill>
      <patternFill patternType="solid">
        <fgColor rgb="FF2E5C8A"/>
        <bgColor rgb="FF1F6FB5"/>
      </patternFill>
    </fill>
    <fill>
      <patternFill patternType="solid">
        <fgColor rgb="FFE2EFDA"/>
        <bgColor rgb="FFF2F2F2"/>
      </patternFill>
    </fill>
    <fill>
      <patternFill patternType="solid">
        <fgColor rgb="FF1F3864"/>
        <bgColor rgb="FF333333"/>
      </patternFill>
    </fill>
    <fill>
      <patternFill patternType="solid">
        <fgColor rgb="FFC00000"/>
        <bgColor rgb="FF9C0006"/>
      </patternFill>
    </fill>
    <fill>
      <patternFill patternType="solid">
        <fgColor rgb="FF7030A0"/>
        <bgColor rgb="FF993366"/>
      </patternFill>
    </fill>
    <fill>
      <patternFill patternType="solid">
        <fgColor rgb="FF1F6FB5"/>
        <bgColor rgb="FF2E5C8A"/>
      </patternFill>
    </fill>
    <fill>
      <patternFill patternType="solid">
        <fgColor rgb="FF806000"/>
        <bgColor rgb="FF7B3F00"/>
      </patternFill>
    </fill>
    <fill>
      <patternFill patternType="solid">
        <fgColor rgb="FFBF8F00"/>
        <bgColor rgb="FFC55A11"/>
      </patternFill>
    </fill>
    <fill>
      <patternFill patternType="solid">
        <fgColor rgb="FFF2F2F2"/>
        <bgColor rgb="FFE2EFDA"/>
      </patternFill>
    </fill>
    <fill>
      <patternFill patternType="solid">
        <fgColor rgb="FFA6A6A6"/>
        <bgColor rgb="FFBFBFBF"/>
      </patternFill>
    </fill>
    <fill>
      <patternFill patternType="solid">
        <fgColor rgb="FF548235"/>
        <bgColor rgb="FF7B7B7B"/>
      </patternFill>
    </fill>
    <fill>
      <patternFill patternType="solid">
        <fgColor rgb="FF7B3F00"/>
        <bgColor rgb="FF806000"/>
      </patternFill>
    </fill>
    <fill>
      <patternFill patternType="solid">
        <fgColor rgb="FFFFC7CE"/>
        <bgColor rgb="FFFFEB9C"/>
      </patternFill>
    </fill>
    <fill>
      <patternFill patternType="solid">
        <fgColor rgb="FF375623"/>
        <bgColor rgb="FF555555"/>
      </patternFill>
    </fill>
    <fill>
      <patternFill patternType="solid">
        <fgColor rgb="FFC55A11"/>
        <bgColor rgb="FF806000"/>
      </patternFill>
    </fill>
    <fill>
      <patternFill patternType="solid">
        <fgColor rgb="FF7B7B7B"/>
        <bgColor rgb="FF54823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5"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6" fontId="15" fillId="2" borderId="1" xfId="0" applyFont="true" applyBorder="true" applyAlignment="true" applyProtection="false">
      <alignment horizontal="center" vertical="center" textRotation="0" wrapText="true" indent="0" shrinkToFit="false"/>
      <protection locked="true" hidden="false"/>
    </xf>
    <xf numFmtId="167" fontId="15" fillId="2" borderId="1" xfId="0" applyFont="true" applyBorder="true" applyAlignment="true" applyProtection="false">
      <alignment horizontal="center" vertical="center" textRotation="0" wrapText="true" indent="0" shrinkToFit="false"/>
      <protection locked="true" hidden="false"/>
    </xf>
    <xf numFmtId="168" fontId="15" fillId="2" borderId="1" xfId="0" applyFont="true" applyBorder="true" applyAlignment="true" applyProtection="false">
      <alignment horizontal="center" vertical="center" textRotation="0" wrapText="true" indent="0" shrinkToFit="false"/>
      <protection locked="true" hidden="false"/>
    </xf>
    <xf numFmtId="169" fontId="15"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6" fontId="18" fillId="4" borderId="1" xfId="0" applyFont="true" applyBorder="true" applyAlignment="true" applyProtection="false">
      <alignment horizontal="center" vertical="center" textRotation="0" wrapText="true" indent="0" shrinkToFit="false"/>
      <protection locked="true" hidden="false"/>
    </xf>
    <xf numFmtId="169" fontId="12" fillId="0" borderId="1" xfId="0" applyFont="true" applyBorder="true" applyAlignment="true" applyProtection="false">
      <alignment horizontal="center" vertical="center" textRotation="0" wrapText="true" indent="0" shrinkToFit="false"/>
      <protection locked="true" hidden="false"/>
    </xf>
    <xf numFmtId="170" fontId="15" fillId="2" borderId="1" xfId="0" applyFont="true" applyBorder="true" applyAlignment="true" applyProtection="false">
      <alignment horizontal="center" vertical="center" textRotation="0" wrapText="true" indent="0" shrinkToFit="false"/>
      <protection locked="true" hidden="false"/>
    </xf>
    <xf numFmtId="171" fontId="12" fillId="0"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8" fontId="12" fillId="0" borderId="1" xfId="0" applyFont="true" applyBorder="true" applyAlignment="true" applyProtection="false">
      <alignment horizontal="center" vertical="center" textRotation="0" wrapText="false" indent="0" shrinkToFit="false"/>
      <protection locked="true" hidden="false"/>
    </xf>
    <xf numFmtId="169" fontId="12" fillId="0" borderId="1" xfId="0" applyFont="true" applyBorder="true" applyAlignment="true" applyProtection="false">
      <alignment horizontal="center" vertical="center" textRotation="0" wrapText="false" indent="0" shrinkToFit="false"/>
      <protection locked="true" hidden="false"/>
    </xf>
    <xf numFmtId="167" fontId="12" fillId="0"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72"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1" fillId="11" borderId="1" xfId="0" applyFont="true" applyBorder="true" applyAlignment="true" applyProtection="false">
      <alignment horizontal="center" vertical="center" textRotation="0" wrapText="false" indent="0" shrinkToFit="false"/>
      <protection locked="true" hidden="false"/>
    </xf>
    <xf numFmtId="164" fontId="10" fillId="11" borderId="1" xfId="0" applyFont="true" applyBorder="true" applyAlignment="true" applyProtection="false">
      <alignment horizontal="left" vertical="center" textRotation="0" wrapText="false" indent="0" shrinkToFit="false"/>
      <protection locked="true" hidden="false"/>
    </xf>
    <xf numFmtId="169" fontId="11" fillId="11" borderId="1" xfId="0" applyFont="true" applyBorder="true" applyAlignment="true" applyProtection="false">
      <alignment horizontal="center" vertical="center" textRotation="0" wrapText="false" indent="0" shrinkToFit="false"/>
      <protection locked="true" hidden="false"/>
    </xf>
    <xf numFmtId="167" fontId="11" fillId="11" borderId="1" xfId="0" applyFont="true" applyBorder="true" applyAlignment="true" applyProtection="false">
      <alignment horizontal="center" vertical="center" textRotation="0" wrapText="false" indent="0" shrinkToFit="false"/>
      <protection locked="true" hidden="false"/>
    </xf>
    <xf numFmtId="168" fontId="11" fillId="11" borderId="1" xfId="0" applyFont="true" applyBorder="true" applyAlignment="true" applyProtection="false">
      <alignment horizontal="center" vertical="center" textRotation="0" wrapText="false" indent="0" shrinkToFit="false"/>
      <protection locked="true" hidden="false"/>
    </xf>
    <xf numFmtId="166" fontId="11" fillId="11" borderId="1" xfId="0" applyFont="true" applyBorder="true" applyAlignment="true" applyProtection="false">
      <alignment horizontal="center" vertical="center" textRotation="0" wrapText="false" indent="0" shrinkToFit="false"/>
      <protection locked="true" hidden="false"/>
    </xf>
    <xf numFmtId="172" fontId="11" fillId="11"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7" fillId="1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9" fontId="12"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72" fontId="12" fillId="4" borderId="1" xfId="0" applyFont="true" applyBorder="true" applyAlignment="true" applyProtection="false">
      <alignment horizontal="center" vertical="center" textRotation="0" wrapText="true" indent="0" shrinkToFit="false"/>
      <protection locked="true" hidden="false"/>
    </xf>
    <xf numFmtId="169" fontId="11" fillId="15" borderId="1" xfId="0" applyFont="true" applyBorder="true" applyAlignment="true" applyProtection="false">
      <alignment horizontal="center" vertical="center" textRotation="0" wrapText="true" indent="0" shrinkToFit="false"/>
      <protection locked="true" hidden="false"/>
    </xf>
    <xf numFmtId="164" fontId="16" fillId="16" borderId="1" xfId="0" applyFont="true" applyBorder="true" applyAlignment="true" applyProtection="false">
      <alignment horizontal="center" vertical="center" textRotation="0" wrapText="true" indent="0" shrinkToFit="false"/>
      <protection locked="true" hidden="false"/>
    </xf>
    <xf numFmtId="164" fontId="16" fillId="17" borderId="1" xfId="0" applyFont="true" applyBorder="true" applyAlignment="true" applyProtection="false">
      <alignment horizontal="center" vertical="center" textRotation="0" wrapText="true" indent="0" shrinkToFit="false"/>
      <protection locked="true" hidden="false"/>
    </xf>
    <xf numFmtId="164" fontId="16" fillId="15" borderId="1" xfId="0" applyFont="true" applyBorder="true" applyAlignment="true" applyProtection="false">
      <alignment horizontal="center" vertical="center" textRotation="0" wrapText="true" indent="0" shrinkToFit="false"/>
      <protection locked="true" hidden="false"/>
    </xf>
    <xf numFmtId="173" fontId="12" fillId="0" borderId="1" xfId="0" applyFont="true" applyBorder="true" applyAlignment="true" applyProtection="false">
      <alignment horizontal="center" vertical="center" textRotation="0" wrapText="false" indent="0" shrinkToFit="false"/>
      <protection locked="true" hidden="false"/>
    </xf>
    <xf numFmtId="173" fontId="11" fillId="11" borderId="1" xfId="0" applyFont="true" applyBorder="true" applyAlignment="true" applyProtection="false">
      <alignment horizontal="center" vertical="center" textRotation="0" wrapText="false" indent="0" shrinkToFit="false"/>
      <protection locked="true" hidden="false"/>
    </xf>
    <xf numFmtId="164" fontId="20" fillId="15"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71" fontId="12" fillId="0" borderId="1" xfId="0" applyFont="true" applyBorder="true" applyAlignment="true" applyProtection="false">
      <alignment horizontal="center" vertical="center" textRotation="0" wrapText="false" indent="0" shrinkToFit="false"/>
      <protection locked="true" hidden="false"/>
    </xf>
    <xf numFmtId="174" fontId="12"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22" fillId="5" borderId="1" xfId="0" applyFont="true" applyBorder="true" applyAlignment="true" applyProtection="false">
      <alignment horizontal="center"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22" fillId="8" borderId="1" xfId="0" applyFont="true" applyBorder="true" applyAlignment="true" applyProtection="false">
      <alignment horizontal="center" vertical="center" textRotation="0" wrapText="tru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64" fontId="16" fillId="10" borderId="0" xfId="0" applyFont="true" applyBorder="false" applyAlignment="true" applyProtection="false">
      <alignment horizontal="general" vertical="bottom" textRotation="0" wrapText="true" indent="0" shrinkToFit="false"/>
      <protection locked="true" hidden="false"/>
    </xf>
    <xf numFmtId="175" fontId="12" fillId="0" borderId="1" xfId="0" applyFont="true" applyBorder="true" applyAlignment="true" applyProtection="false">
      <alignment horizontal="center" vertical="center" textRotation="0" wrapText="false" indent="0" shrinkToFit="false"/>
      <protection locked="true" hidden="false"/>
    </xf>
    <xf numFmtId="176" fontId="12" fillId="0" borderId="1" xfId="0" applyFont="true" applyBorder="true" applyAlignment="true" applyProtection="false">
      <alignment horizontal="center" vertical="center" textRotation="0" wrapText="false" indent="0" shrinkToFit="false"/>
      <protection locked="true" hidden="false"/>
    </xf>
    <xf numFmtId="177" fontId="12" fillId="0" borderId="1" xfId="0" applyFont="true" applyBorder="true" applyAlignment="true" applyProtection="false">
      <alignment horizontal="center" vertical="center" textRotation="0" wrapText="false" indent="0" shrinkToFit="false"/>
      <protection locked="true" hidden="false"/>
    </xf>
    <xf numFmtId="176" fontId="11" fillId="11" borderId="1" xfId="0" applyFont="true" applyBorder="true" applyAlignment="true" applyProtection="false">
      <alignment horizontal="center" vertical="center" textRotation="0" wrapText="false" indent="0" shrinkToFit="false"/>
      <protection locked="true" hidden="false"/>
    </xf>
    <xf numFmtId="177" fontId="11" fillId="11"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left" vertical="center" textRotation="0" wrapText="fals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6" fillId="18" borderId="1" xfId="0" applyFont="true" applyBorder="true" applyAlignment="true" applyProtection="false">
      <alignment horizontal="center" vertical="center" textRotation="0" wrapText="true" indent="0" shrinkToFit="false"/>
      <protection locked="true" hidden="false"/>
    </xf>
    <xf numFmtId="175" fontId="11" fillId="11" borderId="1" xfId="0" applyFont="true" applyBorder="true" applyAlignment="true" applyProtection="false">
      <alignment horizontal="center" vertical="center" textRotation="0" wrapText="false" indent="0" shrinkToFit="false"/>
      <protection locked="true" hidden="false"/>
    </xf>
    <xf numFmtId="178" fontId="12" fillId="0" borderId="1" xfId="0" applyFont="true" applyBorder="true" applyAlignment="true" applyProtection="false">
      <alignment horizontal="center" vertical="center" textRotation="0" wrapText="false" indent="0" shrinkToFit="false"/>
      <protection locked="true" hidden="false"/>
    </xf>
    <xf numFmtId="178" fontId="11" fillId="11"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0" fillId="15" borderId="1" xfId="0" applyFont="true" applyBorder="true" applyAlignment="true" applyProtection="false">
      <alignment horizontal="left" vertical="center" textRotation="0" wrapText="false" indent="0" shrinkToFit="false"/>
      <protection locked="true" hidden="false"/>
    </xf>
    <xf numFmtId="169" fontId="12" fillId="15" borderId="1" xfId="0" applyFont="true" applyBorder="true" applyAlignment="true" applyProtection="false">
      <alignment horizontal="center" vertical="center" textRotation="0" wrapText="false" indent="0" shrinkToFit="false"/>
      <protection locked="true" hidden="false"/>
    </xf>
    <xf numFmtId="179" fontId="12" fillId="0" borderId="1" xfId="0" applyFont="true" applyBorder="true" applyAlignment="true" applyProtection="false">
      <alignment horizontal="center" vertical="center" textRotation="0" wrapText="false" indent="0" shrinkToFit="false"/>
      <protection locked="true" hidden="false"/>
    </xf>
    <xf numFmtId="179" fontId="12"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4" fillId="3"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Meiryo UI"/>
        <charset val="1"/>
        <family val="0"/>
        <b val="1"/>
        <color rgb="FF9C0006"/>
        <sz val="9"/>
      </font>
      <fill>
        <patternFill>
          <bgColor rgb="FFFFC7CE"/>
        </patternFill>
      </fill>
    </dxf>
    <dxf>
      <fill>
        <patternFill>
          <bgColor rgb="FFFFEB9C"/>
        </patternFill>
      </fill>
    </dxf>
    <dxf>
      <fill>
        <patternFill>
          <bgColor rgb="FFE2EFDA"/>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6000"/>
      <rgbColor rgb="FF800080"/>
      <rgbColor rgb="FF008080"/>
      <rgbColor rgb="FFBFBFBF"/>
      <rgbColor rgb="FF7B7B7B"/>
      <rgbColor rgb="FF9999FF"/>
      <rgbColor rgb="FF7030A0"/>
      <rgbColor rgb="FFF2F2F2"/>
      <rgbColor rgb="FFCCFFFF"/>
      <rgbColor rgb="FF660066"/>
      <rgbColor rgb="FFFF8080"/>
      <rgbColor rgb="FF1F6FB5"/>
      <rgbColor rgb="FFCCCCFF"/>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FC7CE"/>
      <rgbColor rgb="FF3366FF"/>
      <rgbColor rgb="FF33CCCC"/>
      <rgbColor rgb="FF99CC00"/>
      <rgbColor rgb="FFFFCC00"/>
      <rgbColor rgb="FFBF8F00"/>
      <rgbColor rgb="FFC55A11"/>
      <rgbColor rgb="FF555555"/>
      <rgbColor rgb="FFA6A6A6"/>
      <rgbColor rgb="FF1F3864"/>
      <rgbColor rgb="FF548235"/>
      <rgbColor rgb="FF003300"/>
      <rgbColor rgb="FF375623"/>
      <rgbColor rgb="FF7B3F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Meiryo U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6" customFormat="false" ht="13.4" hidden="false" customHeight="false" outlineLevel="0" collapsed="false">
      <c r="A6" s="5" t="s">
        <v>4</v>
      </c>
      <c r="B6" s="6" t="s">
        <v>5</v>
      </c>
    </row>
    <row r="7" customFormat="false" ht="15" hidden="false" customHeight="false" outlineLevel="0" collapsed="false">
      <c r="A7" s="5" t="s">
        <v>6</v>
      </c>
      <c r="B7" s="7" t="s">
        <v>7</v>
      </c>
    </row>
    <row r="8" customFormat="false" ht="15" hidden="false" customHeight="false" outlineLevel="0" collapsed="false">
      <c r="A8" s="5" t="s">
        <v>8</v>
      </c>
      <c r="B8" s="6" t="s">
        <v>9</v>
      </c>
    </row>
    <row r="9" customFormat="false" ht="13.4" hidden="false" customHeight="false" outlineLevel="0" collapsed="false">
      <c r="A9" s="8" t="s">
        <v>10</v>
      </c>
      <c r="B9" s="7" t="s">
        <v>11</v>
      </c>
    </row>
    <row r="10" customFormat="false" ht="15" hidden="false" customHeight="false" outlineLevel="0" collapsed="false">
      <c r="A10" s="5" t="s">
        <v>12</v>
      </c>
      <c r="B10" s="7" t="s">
        <v>13</v>
      </c>
    </row>
    <row r="11" customFormat="false" ht="13.4" hidden="false" customHeight="false" outlineLevel="0" collapsed="false">
      <c r="A11" s="5" t="s">
        <v>14</v>
      </c>
      <c r="B11" s="6" t="s">
        <v>15</v>
      </c>
    </row>
    <row r="12" customFormat="false" ht="15" hidden="false" customHeight="false" outlineLevel="0" collapsed="false">
      <c r="A12" s="5" t="s">
        <v>16</v>
      </c>
      <c r="B12" s="7" t="s">
        <v>17</v>
      </c>
    </row>
    <row r="13" customFormat="false" ht="13.4" hidden="false" customHeight="false" outlineLevel="0" collapsed="false">
      <c r="A13" s="5" t="s">
        <v>18</v>
      </c>
      <c r="B13" s="7" t="s">
        <v>19</v>
      </c>
    </row>
    <row r="14" customFormat="false" ht="15" hidden="false" customHeight="false" outlineLevel="0" collapsed="false">
      <c r="A14" s="5" t="s">
        <v>20</v>
      </c>
      <c r="B14" s="7" t="s">
        <v>21</v>
      </c>
    </row>
    <row r="15" customFormat="false" ht="15" hidden="false" customHeight="false" outlineLevel="0" collapsed="false">
      <c r="A15" s="5" t="s">
        <v>22</v>
      </c>
      <c r="B15" s="6" t="s">
        <v>23</v>
      </c>
    </row>
    <row r="16" customFormat="false" ht="15" hidden="false" customHeight="false" outlineLevel="0" collapsed="false">
      <c r="A16" s="5" t="s">
        <v>24</v>
      </c>
      <c r="B16" s="6" t="s">
        <v>25</v>
      </c>
    </row>
    <row r="17" customFormat="false" ht="15" hidden="false" customHeight="false" outlineLevel="0" collapsed="false">
      <c r="A17" s="5" t="s">
        <v>26</v>
      </c>
      <c r="B17" s="6" t="s">
        <v>27</v>
      </c>
    </row>
    <row r="18" customFormat="false" ht="15" hidden="false" customHeight="false" outlineLevel="0" collapsed="false">
      <c r="A18" s="5" t="s">
        <v>28</v>
      </c>
      <c r="B18" s="7" t="s">
        <v>29</v>
      </c>
    </row>
    <row r="19" customFormat="false" ht="15" hidden="false" customHeight="false" outlineLevel="0" collapsed="false">
      <c r="A19" s="5" t="s">
        <v>30</v>
      </c>
      <c r="B19" s="6" t="s">
        <v>31</v>
      </c>
    </row>
    <row r="20" customFormat="false" ht="15" hidden="false" customHeight="false" outlineLevel="0" collapsed="false">
      <c r="A20" s="5" t="s">
        <v>32</v>
      </c>
      <c r="B20" s="7" t="s">
        <v>33</v>
      </c>
    </row>
    <row r="21" customFormat="false" ht="15" hidden="false" customHeight="false" outlineLevel="0" collapsed="false">
      <c r="A21" s="5" t="s">
        <v>34</v>
      </c>
      <c r="B21" s="7" t="s">
        <v>35</v>
      </c>
    </row>
    <row r="22" customFormat="false" ht="15" hidden="false" customHeight="false" outlineLevel="0" collapsed="false">
      <c r="A22" s="5" t="s">
        <v>36</v>
      </c>
      <c r="B22" s="7" t="s">
        <v>37</v>
      </c>
    </row>
    <row r="23" customFormat="false" ht="15" hidden="false" customHeight="false" outlineLevel="0" collapsed="false">
      <c r="A23" s="5" t="s">
        <v>38</v>
      </c>
      <c r="B23" s="7" t="s">
        <v>39</v>
      </c>
    </row>
    <row r="24" customFormat="false" ht="15" hidden="false" customHeight="false" outlineLevel="0" collapsed="false">
      <c r="A24" s="5" t="s">
        <v>40</v>
      </c>
      <c r="B24" s="7" t="s">
        <v>41</v>
      </c>
    </row>
    <row r="25" customFormat="false" ht="15" hidden="false" customHeight="false" outlineLevel="0" collapsed="false">
      <c r="A25" s="5" t="s">
        <v>42</v>
      </c>
      <c r="B25" s="7" t="s">
        <v>43</v>
      </c>
    </row>
    <row r="26" customFormat="false" ht="13.4" hidden="false" customHeight="false" outlineLevel="0" collapsed="false">
      <c r="A26" s="5" t="s">
        <v>44</v>
      </c>
      <c r="B26" s="7" t="s">
        <v>45</v>
      </c>
    </row>
    <row r="27" customFormat="false" ht="13.4" hidden="false" customHeight="false" outlineLevel="0" collapsed="false">
      <c r="A27" s="5" t="s">
        <v>46</v>
      </c>
      <c r="B27" s="7" t="s">
        <v>47</v>
      </c>
    </row>
    <row r="28" customFormat="false" ht="13.4" hidden="false" customHeight="false" outlineLevel="0" collapsed="false">
      <c r="A28" s="5" t="s">
        <v>48</v>
      </c>
      <c r="B28" s="7" t="s">
        <v>47</v>
      </c>
    </row>
    <row r="29" customFormat="false" ht="13.4" hidden="false" customHeight="false" outlineLevel="0" collapsed="false">
      <c r="A29" s="5" t="s">
        <v>49</v>
      </c>
      <c r="B29" s="7" t="s">
        <v>50</v>
      </c>
    </row>
    <row r="30" customFormat="false" ht="13.4" hidden="false" customHeight="false" outlineLevel="0" collapsed="false">
      <c r="A30" s="5" t="s">
        <v>51</v>
      </c>
      <c r="B30" s="7" t="s">
        <v>50</v>
      </c>
    </row>
    <row r="31" customFormat="false" ht="13.4" hidden="false" customHeight="false" outlineLevel="0" collapsed="false">
      <c r="A31" s="5" t="s">
        <v>52</v>
      </c>
      <c r="B31" s="7" t="s">
        <v>53</v>
      </c>
    </row>
    <row r="32" customFormat="false" ht="13.4" hidden="false" customHeight="false" outlineLevel="0" collapsed="false">
      <c r="A32" s="5" t="s">
        <v>54</v>
      </c>
      <c r="B32" s="7" t="s">
        <v>55</v>
      </c>
    </row>
    <row r="33" customFormat="false" ht="15" hidden="false" customHeight="false" outlineLevel="0" collapsed="false">
      <c r="A33" s="5" t="s">
        <v>56</v>
      </c>
      <c r="B33" s="7" t="s">
        <v>57</v>
      </c>
    </row>
    <row r="34" customFormat="false" ht="15" hidden="false" customHeight="false" outlineLevel="0" collapsed="false">
      <c r="A34" s="5" t="s">
        <v>58</v>
      </c>
      <c r="B34" s="6" t="s">
        <v>59</v>
      </c>
    </row>
    <row r="36" customFormat="false" ht="15" hidden="false" customHeight="false" outlineLevel="0" collapsed="false">
      <c r="A36" s="4" t="s">
        <v>60</v>
      </c>
    </row>
    <row r="37" customFormat="false" ht="15" hidden="false" customHeight="false" outlineLevel="0" collapsed="false">
      <c r="A37" s="5" t="s">
        <v>61</v>
      </c>
      <c r="B37" s="6" t="s">
        <v>62</v>
      </c>
    </row>
    <row r="38" customFormat="false" ht="15" hidden="false" customHeight="false" outlineLevel="0" collapsed="false">
      <c r="A38" s="5" t="s">
        <v>63</v>
      </c>
      <c r="B38" s="6" t="s">
        <v>64</v>
      </c>
    </row>
    <row r="39" customFormat="false" ht="15" hidden="false" customHeight="false" outlineLevel="0" collapsed="false">
      <c r="A39" s="5" t="s">
        <v>65</v>
      </c>
      <c r="B39" s="6" t="s">
        <v>66</v>
      </c>
    </row>
    <row r="40" customFormat="false" ht="15" hidden="false" customHeight="false" outlineLevel="0" collapsed="false">
      <c r="A40" s="5" t="s">
        <v>67</v>
      </c>
      <c r="B40" s="6" t="s">
        <v>64</v>
      </c>
    </row>
    <row r="41" customFormat="false" ht="15" hidden="false" customHeight="false" outlineLevel="0" collapsed="false">
      <c r="A41" s="5" t="s">
        <v>68</v>
      </c>
      <c r="B41" s="6" t="s">
        <v>69</v>
      </c>
    </row>
    <row r="42" customFormat="false" ht="15" hidden="false" customHeight="false" outlineLevel="0" collapsed="false">
      <c r="A42" s="5" t="s">
        <v>70</v>
      </c>
      <c r="B42" s="7" t="s">
        <v>71</v>
      </c>
    </row>
    <row r="43" customFormat="false" ht="15" hidden="false" customHeight="false" outlineLevel="0" collapsed="false">
      <c r="A43" s="5" t="s">
        <v>72</v>
      </c>
      <c r="B43" s="7" t="s">
        <v>73</v>
      </c>
    </row>
    <row r="44" customFormat="false" ht="15" hidden="false" customHeight="false" outlineLevel="0" collapsed="false">
      <c r="A44" s="9"/>
      <c r="B44" s="6" t="s">
        <v>74</v>
      </c>
    </row>
    <row r="45" customFormat="false" ht="15" hidden="false" customHeight="false" outlineLevel="0" collapsed="false">
      <c r="A45" s="9"/>
      <c r="B45" s="7" t="s">
        <v>75</v>
      </c>
    </row>
    <row r="46" customFormat="false" ht="15" hidden="false" customHeight="false" outlineLevel="0" collapsed="false">
      <c r="A46" s="5" t="s">
        <v>76</v>
      </c>
      <c r="B46" s="7" t="s">
        <v>77</v>
      </c>
    </row>
    <row r="47" customFormat="false" ht="15" hidden="false" customHeight="false" outlineLevel="0" collapsed="false">
      <c r="A47" s="5" t="s">
        <v>78</v>
      </c>
      <c r="B47" s="6"/>
    </row>
    <row r="48" customFormat="false" ht="15" hidden="false" customHeight="false" outlineLevel="0" collapsed="false">
      <c r="A48" s="5" t="s">
        <v>79</v>
      </c>
      <c r="B48" s="7" t="s">
        <v>80</v>
      </c>
    </row>
    <row r="49" customFormat="false" ht="15" hidden="false" customHeight="false" outlineLevel="0" collapsed="false">
      <c r="A49" s="9"/>
      <c r="B49" s="7" t="s">
        <v>81</v>
      </c>
    </row>
    <row r="51" customFormat="false" ht="15" hidden="false" customHeight="false" outlineLevel="0" collapsed="false">
      <c r="A51" s="4" t="s">
        <v>82</v>
      </c>
    </row>
    <row r="52" customFormat="false" ht="13.4" hidden="false" customHeight="false" outlineLevel="0" collapsed="false">
      <c r="A52" s="5" t="s">
        <v>83</v>
      </c>
      <c r="B52" s="7" t="s">
        <v>84</v>
      </c>
    </row>
    <row r="53" customFormat="false" ht="15" hidden="false" customHeight="false" outlineLevel="0" collapsed="false">
      <c r="A53" s="9"/>
      <c r="B53" s="7" t="s">
        <v>85</v>
      </c>
    </row>
    <row r="54" customFormat="false" ht="13.4" hidden="false" customHeight="false" outlineLevel="0" collapsed="false">
      <c r="A54" s="5" t="s">
        <v>86</v>
      </c>
      <c r="B54" s="7" t="s">
        <v>87</v>
      </c>
    </row>
    <row r="55" customFormat="false" ht="15" hidden="false" customHeight="false" outlineLevel="0" collapsed="false">
      <c r="A55" s="9"/>
      <c r="B55" s="7" t="s">
        <v>88</v>
      </c>
    </row>
    <row r="56" customFormat="false" ht="15" hidden="false" customHeight="false" outlineLevel="0" collapsed="false">
      <c r="A56" s="5" t="s">
        <v>89</v>
      </c>
      <c r="B56" s="7" t="s">
        <v>90</v>
      </c>
    </row>
    <row r="57" customFormat="false" ht="15" hidden="false" customHeight="false" outlineLevel="0" collapsed="false">
      <c r="A57" s="9"/>
      <c r="B57" s="7" t="s">
        <v>91</v>
      </c>
    </row>
    <row r="58" customFormat="false" ht="15" hidden="false" customHeight="false" outlineLevel="0" collapsed="false">
      <c r="A58" s="9"/>
      <c r="B58" s="7" t="s">
        <v>92</v>
      </c>
    </row>
    <row r="59" customFormat="false" ht="15" hidden="false" customHeight="false" outlineLevel="0" collapsed="false">
      <c r="A59" s="5" t="s">
        <v>93</v>
      </c>
      <c r="B59" s="7" t="s">
        <v>94</v>
      </c>
    </row>
    <row r="60" customFormat="false" ht="15" hidden="false" customHeight="false" outlineLevel="0" collapsed="false">
      <c r="A60" s="5" t="s">
        <v>95</v>
      </c>
      <c r="B60" s="7" t="s">
        <v>96</v>
      </c>
    </row>
    <row r="61" customFormat="false" ht="15" hidden="false" customHeight="false" outlineLevel="0" collapsed="false">
      <c r="A61" s="9"/>
      <c r="B61" s="6" t="s">
        <v>97</v>
      </c>
    </row>
    <row r="62" customFormat="false" ht="15" hidden="false" customHeight="false" outlineLevel="0" collapsed="false">
      <c r="A62" s="5" t="s">
        <v>98</v>
      </c>
      <c r="B62" s="7" t="s">
        <v>99</v>
      </c>
    </row>
    <row r="63" customFormat="false" ht="15" hidden="false" customHeight="false" outlineLevel="0" collapsed="false">
      <c r="A63" s="9"/>
      <c r="B63" s="7" t="s">
        <v>100</v>
      </c>
    </row>
    <row r="65" customFormat="false" ht="15" hidden="false" customHeight="false" outlineLevel="0" collapsed="false">
      <c r="A65" s="4" t="s">
        <v>101</v>
      </c>
    </row>
    <row r="66" customFormat="false" ht="15" hidden="false" customHeight="false" outlineLevel="0" collapsed="false">
      <c r="A66" s="5" t="s">
        <v>102</v>
      </c>
      <c r="B66" s="7" t="s">
        <v>103</v>
      </c>
    </row>
    <row r="67" customFormat="false" ht="13.4" hidden="false" customHeight="false" outlineLevel="0" collapsed="false">
      <c r="A67" s="5" t="s">
        <v>104</v>
      </c>
      <c r="B67" s="6" t="s">
        <v>105</v>
      </c>
    </row>
    <row r="68" customFormat="false" ht="15" hidden="false" customHeight="false" outlineLevel="0" collapsed="false">
      <c r="A68" s="5" t="s">
        <v>106</v>
      </c>
      <c r="B68" s="7" t="s">
        <v>107</v>
      </c>
    </row>
    <row r="69" customFormat="false" ht="15" hidden="false" customHeight="false" outlineLevel="0" collapsed="false">
      <c r="A69" s="5" t="s">
        <v>108</v>
      </c>
      <c r="B69" s="7" t="s">
        <v>109</v>
      </c>
    </row>
    <row r="70" customFormat="false" ht="13.4" hidden="false" customHeight="false" outlineLevel="0" collapsed="false">
      <c r="A70" s="8" t="s">
        <v>110</v>
      </c>
      <c r="B70" s="7" t="s">
        <v>111</v>
      </c>
    </row>
    <row r="72" customFormat="false" ht="15" hidden="false" customHeight="false" outlineLevel="0" collapsed="false">
      <c r="A72" s="4" t="s">
        <v>112</v>
      </c>
    </row>
    <row r="73" customFormat="false" ht="15" hidden="false" customHeight="false" outlineLevel="0" collapsed="false">
      <c r="A73" s="5" t="s">
        <v>113</v>
      </c>
      <c r="B73" s="7" t="s">
        <v>114</v>
      </c>
    </row>
    <row r="74" customFormat="false" ht="13.4" hidden="false" customHeight="false" outlineLevel="0" collapsed="false">
      <c r="A74" s="8" t="s">
        <v>115</v>
      </c>
      <c r="B74" s="7" t="s">
        <v>116</v>
      </c>
    </row>
    <row r="75" customFormat="false" ht="13.4" hidden="false" customHeight="false" outlineLevel="0" collapsed="false">
      <c r="A75" s="8" t="s">
        <v>117</v>
      </c>
      <c r="B75" s="6" t="s">
        <v>118</v>
      </c>
    </row>
    <row r="76" customFormat="false" ht="15" hidden="false" customHeight="false" outlineLevel="0" collapsed="false">
      <c r="A76" s="5" t="s">
        <v>119</v>
      </c>
      <c r="B76" s="7" t="s">
        <v>120</v>
      </c>
    </row>
    <row r="77" customFormat="false" ht="15" hidden="false" customHeight="false" outlineLevel="0" collapsed="false">
      <c r="A77" s="5" t="s">
        <v>121</v>
      </c>
      <c r="B77" s="7" t="s">
        <v>122</v>
      </c>
    </row>
    <row r="79" customFormat="false" ht="15" hidden="false" customHeight="false" outlineLevel="0" collapsed="false">
      <c r="A79" s="4" t="s">
        <v>123</v>
      </c>
    </row>
    <row r="80" customFormat="false" ht="15" hidden="false" customHeight="false" outlineLevel="0" collapsed="false">
      <c r="A80" s="5" t="s">
        <v>124</v>
      </c>
      <c r="B80" s="7" t="s">
        <v>125</v>
      </c>
    </row>
    <row r="81" customFormat="false" ht="15" hidden="false" customHeight="false" outlineLevel="0" collapsed="false">
      <c r="A81" s="9"/>
      <c r="B81" s="7" t="s">
        <v>126</v>
      </c>
    </row>
    <row r="82" customFormat="false" ht="13.4" hidden="false" customHeight="false" outlineLevel="0" collapsed="false">
      <c r="A82" s="5" t="s">
        <v>127</v>
      </c>
      <c r="B82" s="7" t="s">
        <v>128</v>
      </c>
    </row>
    <row r="83" customFormat="false" ht="13.4" hidden="false" customHeight="false" outlineLevel="0" collapsed="false">
      <c r="A83" s="8" t="s">
        <v>129</v>
      </c>
      <c r="B83" s="7" t="s">
        <v>130</v>
      </c>
    </row>
    <row r="84" customFormat="false" ht="15" hidden="false" customHeight="false" outlineLevel="0" collapsed="false">
      <c r="A84" s="9"/>
      <c r="B84" s="6" t="s">
        <v>131</v>
      </c>
    </row>
    <row r="85" customFormat="false" ht="15" hidden="false" customHeight="false" outlineLevel="0" collapsed="false">
      <c r="A85" s="5" t="s">
        <v>132</v>
      </c>
      <c r="B85" s="7" t="s">
        <v>133</v>
      </c>
    </row>
    <row r="86" customFormat="false" ht="15" hidden="false" customHeight="false" outlineLevel="0" collapsed="false">
      <c r="A86" s="9"/>
      <c r="B86" s="7" t="s">
        <v>134</v>
      </c>
    </row>
    <row r="87" customFormat="false" ht="15" hidden="false" customHeight="false" outlineLevel="0" collapsed="false">
      <c r="A87" s="5" t="s">
        <v>135</v>
      </c>
      <c r="B87" s="7" t="s">
        <v>136</v>
      </c>
    </row>
    <row r="88" customFormat="false" ht="15" hidden="false" customHeight="false" outlineLevel="0" collapsed="false">
      <c r="A88" s="9"/>
      <c r="B88" s="7" t="s">
        <v>137</v>
      </c>
    </row>
    <row r="90" customFormat="false" ht="15" hidden="false" customHeight="false" outlineLevel="0" collapsed="false">
      <c r="A90" s="4" t="s">
        <v>138</v>
      </c>
    </row>
    <row r="91" customFormat="false" ht="15" hidden="false" customHeight="false" outlineLevel="0" collapsed="false">
      <c r="A91" s="5" t="s">
        <v>139</v>
      </c>
      <c r="B91" s="7" t="s">
        <v>140</v>
      </c>
    </row>
    <row r="92" customFormat="false" ht="15" hidden="false" customHeight="false" outlineLevel="0" collapsed="false">
      <c r="A92" s="5" t="s">
        <v>141</v>
      </c>
      <c r="B92" s="7" t="s">
        <v>142</v>
      </c>
    </row>
    <row r="93" customFormat="false" ht="15" hidden="false" customHeight="false" outlineLevel="0" collapsed="false">
      <c r="A93" s="5" t="s">
        <v>143</v>
      </c>
      <c r="B93" s="7" t="s">
        <v>144</v>
      </c>
    </row>
    <row r="94" customFormat="false" ht="15" hidden="false" customHeight="false" outlineLevel="0" collapsed="false">
      <c r="A94" s="5" t="s">
        <v>145</v>
      </c>
      <c r="B94" s="7" t="s">
        <v>146</v>
      </c>
    </row>
    <row r="95" customFormat="false" ht="15" hidden="false" customHeight="false" outlineLevel="0" collapsed="false">
      <c r="A95" s="5" t="s">
        <v>147</v>
      </c>
      <c r="B95" s="7" t="s">
        <v>148</v>
      </c>
    </row>
    <row r="96" customFormat="false" ht="15" hidden="false" customHeight="false" outlineLevel="0" collapsed="false">
      <c r="A96" s="5" t="s">
        <v>149</v>
      </c>
      <c r="B96" s="6" t="s">
        <v>150</v>
      </c>
    </row>
    <row r="97" customFormat="false" ht="15" hidden="false" customHeight="false" outlineLevel="0" collapsed="false">
      <c r="A97" s="5" t="s">
        <v>151</v>
      </c>
      <c r="B97" s="7" t="s">
        <v>152</v>
      </c>
    </row>
    <row r="98" customFormat="false" ht="15" hidden="false" customHeight="false" outlineLevel="0" collapsed="false">
      <c r="A98" s="5" t="s">
        <v>153</v>
      </c>
      <c r="B98" s="7" t="s">
        <v>154</v>
      </c>
    </row>
    <row r="99" customFormat="false" ht="13.4" hidden="false" customHeight="false" outlineLevel="0" collapsed="false">
      <c r="A99" s="5" t="s">
        <v>155</v>
      </c>
      <c r="B99" s="6" t="s">
        <v>156</v>
      </c>
    </row>
    <row r="100" customFormat="false" ht="15" hidden="false" customHeight="false" outlineLevel="0" collapsed="false">
      <c r="A100" s="5" t="s">
        <v>157</v>
      </c>
      <c r="B100" s="7" t="s">
        <v>158</v>
      </c>
    </row>
    <row r="101" customFormat="false" ht="15" hidden="false" customHeight="false" outlineLevel="0" collapsed="false">
      <c r="A101" s="5" t="s">
        <v>159</v>
      </c>
      <c r="B101" s="7" t="s">
        <v>160</v>
      </c>
    </row>
    <row r="102" customFormat="false" ht="15" hidden="false" customHeight="false" outlineLevel="0" collapsed="false">
      <c r="A102" s="5" t="s">
        <v>161</v>
      </c>
      <c r="B102" s="7" t="s">
        <v>162</v>
      </c>
    </row>
    <row r="103" customFormat="false" ht="15" hidden="false" customHeight="false" outlineLevel="0" collapsed="false">
      <c r="A103" s="5" t="s">
        <v>163</v>
      </c>
      <c r="B103" s="7" t="s">
        <v>164</v>
      </c>
    </row>
    <row r="104" customFormat="false" ht="15" hidden="false" customHeight="false" outlineLevel="0" collapsed="false">
      <c r="A104" s="5" t="s">
        <v>165</v>
      </c>
      <c r="B104" s="7" t="s">
        <v>166</v>
      </c>
    </row>
    <row r="105" customFormat="false" ht="15" hidden="false" customHeight="false" outlineLevel="0" collapsed="false">
      <c r="A105" s="5" t="s">
        <v>167</v>
      </c>
      <c r="B105" s="7" t="s">
        <v>168</v>
      </c>
    </row>
    <row r="107" customFormat="false" ht="15" hidden="false" customHeight="false" outlineLevel="0" collapsed="false">
      <c r="A107" s="4" t="s">
        <v>169</v>
      </c>
    </row>
    <row r="108" customFormat="false" ht="15" hidden="false" customHeight="false" outlineLevel="0" collapsed="false">
      <c r="A108" s="5" t="s">
        <v>170</v>
      </c>
      <c r="B108" s="7" t="s">
        <v>171</v>
      </c>
    </row>
    <row r="109" customFormat="false" ht="15" hidden="false" customHeight="false" outlineLevel="0" collapsed="false">
      <c r="A109" s="9"/>
      <c r="B109" s="7" t="s">
        <v>172</v>
      </c>
    </row>
    <row r="110" customFormat="false" ht="13.4" hidden="false" customHeight="false" outlineLevel="0" collapsed="false">
      <c r="A110" s="8" t="s">
        <v>173</v>
      </c>
      <c r="B110" s="7" t="s">
        <v>174</v>
      </c>
    </row>
    <row r="111" customFormat="false" ht="15" hidden="false" customHeight="false" outlineLevel="0" collapsed="false">
      <c r="A111" s="5" t="s">
        <v>175</v>
      </c>
      <c r="B111" s="7" t="s">
        <v>176</v>
      </c>
    </row>
    <row r="112" customFormat="false" ht="15" hidden="false" customHeight="false" outlineLevel="0" collapsed="false">
      <c r="A112" s="5" t="s">
        <v>177</v>
      </c>
      <c r="B112" s="7" t="s">
        <v>178</v>
      </c>
    </row>
    <row r="113" customFormat="false" ht="15" hidden="false" customHeight="false" outlineLevel="0" collapsed="false">
      <c r="A113" s="9"/>
      <c r="B113" s="7" t="s">
        <v>179</v>
      </c>
    </row>
    <row r="114" customFormat="false" ht="15" hidden="false" customHeight="false" outlineLevel="0" collapsed="false">
      <c r="A114" s="5" t="s">
        <v>180</v>
      </c>
      <c r="B114" s="7" t="s">
        <v>181</v>
      </c>
    </row>
    <row r="115" customFormat="false" ht="15" hidden="false" customHeight="false" outlineLevel="0" collapsed="false">
      <c r="A115" s="5" t="s">
        <v>182</v>
      </c>
      <c r="B115" s="7" t="s">
        <v>183</v>
      </c>
    </row>
    <row r="116" customFormat="false" ht="15" hidden="false" customHeight="false" outlineLevel="0" collapsed="false">
      <c r="A116" s="5" t="s">
        <v>184</v>
      </c>
      <c r="B116" s="7" t="s">
        <v>185</v>
      </c>
    </row>
    <row r="117" customFormat="false" ht="15" hidden="false" customHeight="false" outlineLevel="0" collapsed="false">
      <c r="A117" s="5" t="s">
        <v>186</v>
      </c>
      <c r="B117" s="7" t="s">
        <v>187</v>
      </c>
    </row>
    <row r="118" customFormat="false" ht="15" hidden="false" customHeight="false" outlineLevel="0" collapsed="false">
      <c r="A118" s="5" t="s">
        <v>188</v>
      </c>
      <c r="B118" s="7" t="s">
        <v>189</v>
      </c>
    </row>
    <row r="119" customFormat="false" ht="15" hidden="false" customHeight="false" outlineLevel="0" collapsed="false">
      <c r="A119" s="5" t="s">
        <v>190</v>
      </c>
      <c r="B119" s="7" t="s">
        <v>191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108"/>
    <col collapsed="false" customWidth="true" hidden="false" outlineLevel="0" max="6" min="4" style="0" width="18"/>
  </cols>
  <sheetData>
    <row r="1" customFormat="false" ht="18.55" hidden="false" customHeight="false" outlineLevel="0" collapsed="false">
      <c r="A1" s="1" t="s">
        <v>192</v>
      </c>
    </row>
    <row r="2" customFormat="false" ht="15" hidden="false" customHeight="false" outlineLevel="0" collapsed="false">
      <c r="A2" s="3" t="s">
        <v>193</v>
      </c>
    </row>
    <row r="4" customFormat="false" ht="15" hidden="false" customHeight="false" outlineLevel="0" collapsed="false">
      <c r="A4" s="4" t="s">
        <v>194</v>
      </c>
    </row>
    <row r="5" customFormat="false" ht="54" hidden="false" customHeight="true" outlineLevel="0" collapsed="false">
      <c r="A5" s="5" t="s">
        <v>195</v>
      </c>
      <c r="B5" s="10" t="n">
        <v>0</v>
      </c>
      <c r="C5" s="11" t="s">
        <v>196</v>
      </c>
    </row>
    <row r="6" customFormat="false" ht="54" hidden="false" customHeight="true" outlineLevel="0" collapsed="false">
      <c r="A6" s="5" t="s">
        <v>197</v>
      </c>
      <c r="B6" s="10" t="n">
        <v>0</v>
      </c>
      <c r="C6" s="11" t="s">
        <v>198</v>
      </c>
    </row>
    <row r="7" customFormat="false" ht="54" hidden="false" customHeight="true" outlineLevel="0" collapsed="false">
      <c r="A7" s="5" t="s">
        <v>199</v>
      </c>
      <c r="B7" s="10" t="n">
        <v>1</v>
      </c>
      <c r="C7" s="11" t="s">
        <v>200</v>
      </c>
    </row>
    <row r="8" customFormat="false" ht="54" hidden="false" customHeight="true" outlineLevel="0" collapsed="false">
      <c r="A8" s="5" t="s">
        <v>201</v>
      </c>
      <c r="B8" s="10" t="n">
        <v>1</v>
      </c>
      <c r="C8" s="11" t="s">
        <v>202</v>
      </c>
    </row>
    <row r="9" customFormat="false" ht="54" hidden="false" customHeight="true" outlineLevel="0" collapsed="false">
      <c r="A9" s="5" t="s">
        <v>203</v>
      </c>
      <c r="B9" s="10" t="n">
        <v>2</v>
      </c>
      <c r="C9" s="11" t="s">
        <v>204</v>
      </c>
    </row>
    <row r="10" customFormat="false" ht="40.5" hidden="false" customHeight="true" outlineLevel="0" collapsed="false">
      <c r="A10" s="5" t="s">
        <v>205</v>
      </c>
      <c r="B10" s="12" t="n">
        <v>0</v>
      </c>
      <c r="C10" s="11" t="s">
        <v>206</v>
      </c>
    </row>
    <row r="11" customFormat="false" ht="40.5" hidden="false" customHeight="true" outlineLevel="0" collapsed="false">
      <c r="A11" s="5" t="s">
        <v>207</v>
      </c>
      <c r="B11" s="13" t="n">
        <v>1.29620631634641</v>
      </c>
      <c r="C11" s="11" t="s">
        <v>208</v>
      </c>
    </row>
    <row r="12" customFormat="false" ht="15" hidden="false" customHeight="false" outlineLevel="0" collapsed="false">
      <c r="A12" s="4" t="s">
        <v>209</v>
      </c>
    </row>
    <row r="13" customFormat="false" ht="40.5" hidden="false" customHeight="true" outlineLevel="0" collapsed="false">
      <c r="A13" s="5" t="s">
        <v>210</v>
      </c>
      <c r="B13" s="14" t="n">
        <v>358193925</v>
      </c>
      <c r="C13" s="11" t="s">
        <v>211</v>
      </c>
    </row>
    <row r="14" customFormat="false" ht="40.5" hidden="false" customHeight="true" outlineLevel="0" collapsed="false">
      <c r="A14" s="5" t="s">
        <v>212</v>
      </c>
      <c r="B14" s="15" t="n">
        <v>383342</v>
      </c>
      <c r="C14" s="11" t="s">
        <v>213</v>
      </c>
    </row>
    <row r="15" customFormat="false" ht="40.5" hidden="false" customHeight="true" outlineLevel="0" collapsed="false">
      <c r="A15" s="5" t="s">
        <v>214</v>
      </c>
      <c r="B15" s="10" t="n">
        <v>1</v>
      </c>
      <c r="C15" s="16" t="s">
        <v>215</v>
      </c>
    </row>
    <row r="16" customFormat="false" ht="15" hidden="false" customHeight="false" outlineLevel="0" collapsed="false">
      <c r="A16" s="5" t="s">
        <v>216</v>
      </c>
      <c r="C16" s="17" t="s">
        <v>217</v>
      </c>
      <c r="D16" s="17" t="s">
        <v>218</v>
      </c>
      <c r="E16" s="17" t="s">
        <v>219</v>
      </c>
      <c r="F16" s="17" t="s">
        <v>220</v>
      </c>
    </row>
    <row r="17" customFormat="false" ht="15" hidden="false" customHeight="false" outlineLevel="0" collapsed="false">
      <c r="A17" s="18" t="s">
        <v>221</v>
      </c>
      <c r="B17" s="19" t="s">
        <v>222</v>
      </c>
      <c r="C17" s="20" t="n">
        <v>0.13</v>
      </c>
      <c r="D17" s="20" t="n">
        <v>0.156</v>
      </c>
      <c r="E17" s="20" t="n">
        <v>0.0878056107071955</v>
      </c>
      <c r="F17" s="12" t="n">
        <v>0.13</v>
      </c>
    </row>
    <row r="18" customFormat="false" ht="15" hidden="false" customHeight="false" outlineLevel="0" collapsed="false">
      <c r="A18" s="18" t="s">
        <v>223</v>
      </c>
      <c r="B18" s="19" t="s">
        <v>224</v>
      </c>
      <c r="C18" s="20" t="n">
        <v>0.12</v>
      </c>
      <c r="D18" s="20" t="n">
        <v>0.12</v>
      </c>
      <c r="E18" s="20" t="n">
        <v>0.0675427774670735</v>
      </c>
      <c r="F18" s="12" t="n">
        <v>0.12</v>
      </c>
    </row>
    <row r="19" customFormat="false" ht="15" hidden="false" customHeight="false" outlineLevel="0" collapsed="false">
      <c r="A19" s="18" t="s">
        <v>225</v>
      </c>
      <c r="B19" s="19" t="s">
        <v>226</v>
      </c>
      <c r="C19" s="20" t="n">
        <v>0.09</v>
      </c>
      <c r="D19" s="20" t="n">
        <v>0.09</v>
      </c>
      <c r="E19" s="20" t="n">
        <v>0.0506570831003051</v>
      </c>
      <c r="F19" s="12" t="n">
        <v>0.09</v>
      </c>
    </row>
    <row r="20" customFormat="false" ht="15" hidden="false" customHeight="false" outlineLevel="0" collapsed="false">
      <c r="A20" s="18" t="s">
        <v>227</v>
      </c>
      <c r="B20" s="19" t="s">
        <v>228</v>
      </c>
      <c r="C20" s="20" t="n">
        <v>0.5</v>
      </c>
      <c r="D20" s="20" t="n">
        <v>0.5</v>
      </c>
      <c r="E20" s="20" t="n">
        <v>0.5</v>
      </c>
      <c r="F20" s="12" t="n">
        <v>0.5</v>
      </c>
    </row>
    <row r="21" customFormat="false" ht="15" hidden="false" customHeight="false" outlineLevel="0" collapsed="false">
      <c r="A21" s="3" t="s">
        <v>229</v>
      </c>
    </row>
    <row r="23" customFormat="false" ht="54" hidden="false" customHeight="true" outlineLevel="0" collapsed="false">
      <c r="A23" s="5" t="s">
        <v>230</v>
      </c>
      <c r="B23" s="21" t="n">
        <f aca="false">INDEX(C17:F17,前提・入力!$B$15)</f>
        <v>0.13</v>
      </c>
      <c r="C23" s="11" t="s">
        <v>231</v>
      </c>
    </row>
    <row r="24" customFormat="false" ht="54" hidden="false" customHeight="true" outlineLevel="0" collapsed="false">
      <c r="A24" s="5" t="s">
        <v>232</v>
      </c>
      <c r="B24" s="21" t="n">
        <f aca="false">INDEX(C18:F18,前提・入力!$B$15)</f>
        <v>0.12</v>
      </c>
      <c r="C24" s="11" t="s">
        <v>233</v>
      </c>
    </row>
    <row r="25" customFormat="false" ht="40.5" hidden="false" customHeight="true" outlineLevel="0" collapsed="false">
      <c r="A25" s="5" t="s">
        <v>234</v>
      </c>
      <c r="B25" s="21" t="n">
        <f aca="false">INDEX(C19:F19,前提・入力!$B$15)</f>
        <v>0.09</v>
      </c>
      <c r="C25" s="11" t="s">
        <v>235</v>
      </c>
    </row>
    <row r="26" customFormat="false" ht="54" hidden="false" customHeight="true" outlineLevel="0" collapsed="false">
      <c r="A26" s="5" t="s">
        <v>236</v>
      </c>
      <c r="B26" s="21" t="n">
        <f aca="false">INDEX(C20:F20,前提・入力!$B$15)</f>
        <v>0.5</v>
      </c>
      <c r="C26" s="11" t="s">
        <v>237</v>
      </c>
    </row>
    <row r="27" customFormat="false" ht="40.5" hidden="false" customHeight="true" outlineLevel="0" collapsed="false">
      <c r="A27" s="5" t="s">
        <v>238</v>
      </c>
      <c r="B27" s="20"/>
      <c r="C27" s="11" t="s">
        <v>239</v>
      </c>
    </row>
    <row r="28" customFormat="false" ht="15" hidden="false" customHeight="false" outlineLevel="0" collapsed="false">
      <c r="A28" s="4" t="s">
        <v>240</v>
      </c>
    </row>
    <row r="29" customFormat="false" ht="67.5" hidden="false" customHeight="true" outlineLevel="0" collapsed="false">
      <c r="A29" s="8" t="s">
        <v>241</v>
      </c>
      <c r="B29" s="12" t="n">
        <v>0.170588393567869</v>
      </c>
      <c r="C29" s="11" t="s">
        <v>242</v>
      </c>
    </row>
    <row r="30" customFormat="false" ht="40.5" hidden="false" customHeight="true" outlineLevel="0" collapsed="false">
      <c r="A30" s="8" t="s">
        <v>243</v>
      </c>
      <c r="B30" s="14" t="n">
        <v>833</v>
      </c>
      <c r="C30" s="11" t="s">
        <v>244</v>
      </c>
    </row>
    <row r="31" customFormat="false" ht="54" hidden="false" customHeight="true" outlineLevel="0" collapsed="false">
      <c r="A31" s="5" t="s">
        <v>245</v>
      </c>
      <c r="B31" s="12" t="n">
        <v>0.5</v>
      </c>
      <c r="C31" s="11" t="s">
        <v>246</v>
      </c>
    </row>
    <row r="32" customFormat="false" ht="54" hidden="false" customHeight="true" outlineLevel="0" collapsed="false">
      <c r="A32" s="5" t="s">
        <v>247</v>
      </c>
      <c r="B32" s="12" t="n">
        <v>0.5</v>
      </c>
      <c r="C32" s="11" t="s">
        <v>248</v>
      </c>
    </row>
    <row r="33" customFormat="false" ht="15" hidden="false" customHeight="false" outlineLevel="0" collapsed="false">
      <c r="A33" s="4" t="s">
        <v>249</v>
      </c>
    </row>
    <row r="34" customFormat="false" ht="40.5" hidden="false" customHeight="true" outlineLevel="0" collapsed="false">
      <c r="A34" s="5" t="s">
        <v>250</v>
      </c>
      <c r="B34" s="12" t="n">
        <v>0.1</v>
      </c>
      <c r="C34" s="11" t="s">
        <v>251</v>
      </c>
    </row>
    <row r="35" customFormat="false" ht="54" hidden="false" customHeight="true" outlineLevel="0" collapsed="false">
      <c r="A35" s="5" t="s">
        <v>252</v>
      </c>
      <c r="B35" s="22" t="n">
        <v>276521</v>
      </c>
      <c r="C35" s="11" t="s">
        <v>253</v>
      </c>
    </row>
    <row r="36" customFormat="false" ht="54" hidden="false" customHeight="true" outlineLevel="0" collapsed="false">
      <c r="A36" s="5" t="s">
        <v>254</v>
      </c>
      <c r="B36" s="12" t="n">
        <v>1</v>
      </c>
      <c r="C36" s="11" t="s">
        <v>255</v>
      </c>
    </row>
    <row r="37" customFormat="false" ht="40.5" hidden="false" customHeight="true" outlineLevel="0" collapsed="false">
      <c r="A37" s="5" t="s">
        <v>256</v>
      </c>
      <c r="B37" s="23" t="n">
        <v>14</v>
      </c>
      <c r="C37" s="11" t="s">
        <v>257</v>
      </c>
    </row>
    <row r="38" customFormat="false" ht="40.5" hidden="false" customHeight="true" outlineLevel="0" collapsed="false">
      <c r="A38" s="5" t="s">
        <v>258</v>
      </c>
      <c r="B38" s="24" t="n">
        <v>46260</v>
      </c>
      <c r="C38" s="11" t="s">
        <v>259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9"/>
    <col collapsed="false" customWidth="true" hidden="false" outlineLevel="0" max="5" min="5" style="0" width="10"/>
    <col collapsed="false" customWidth="true" hidden="false" outlineLevel="0" max="6" min="6" style="0" width="9"/>
    <col collapsed="false" customWidth="true" hidden="false" outlineLevel="0" max="7" min="7" style="0" width="10"/>
    <col collapsed="false" customWidth="true" hidden="false" outlineLevel="0" max="9" min="8" style="0" width="9"/>
    <col collapsed="false" customWidth="true" hidden="false" outlineLevel="0" max="10" min="10" style="0" width="10"/>
    <col collapsed="false" customWidth="true" hidden="false" outlineLevel="0" max="12" min="11" style="0" width="9"/>
    <col collapsed="false" customWidth="true" hidden="false" outlineLevel="0" max="13" min="13" style="0" width="10"/>
    <col collapsed="false" customWidth="true" hidden="false" outlineLevel="0" max="15" min="14" style="0" width="9"/>
    <col collapsed="false" customWidth="true" hidden="false" outlineLevel="0" max="16" min="16" style="0" width="12"/>
    <col collapsed="false" customWidth="true" hidden="false" outlineLevel="0" max="17" min="17" style="0" width="13"/>
    <col collapsed="false" customWidth="true" hidden="false" outlineLevel="0" max="18" min="18" style="0" width="10"/>
    <col collapsed="false" customWidth="true" hidden="false" outlineLevel="0" max="19" min="19" style="0" width="12"/>
    <col collapsed="false" customWidth="true" hidden="false" outlineLevel="0" max="20" min="20" style="0" width="9"/>
    <col collapsed="false" customWidth="true" hidden="false" outlineLevel="0" max="22" min="21" style="0" width="10"/>
    <col collapsed="false" customWidth="true" hidden="false" outlineLevel="0" max="23" min="23" style="0" width="13"/>
  </cols>
  <sheetData>
    <row r="1" customFormat="false" ht="20.1" hidden="false" customHeight="false" outlineLevel="0" collapsed="false">
      <c r="A1" s="1" t="s">
        <v>260</v>
      </c>
    </row>
    <row r="2" customFormat="false" ht="15" hidden="false" customHeight="false" outlineLevel="0" collapsed="false">
      <c r="A2" s="3" t="s">
        <v>261</v>
      </c>
    </row>
    <row r="3" customFormat="false" ht="15" hidden="false" customHeight="false" outlineLevel="0" collapsed="false">
      <c r="A3" s="3" t="s">
        <v>262</v>
      </c>
    </row>
    <row r="6" customFormat="false" ht="45.75" hidden="false" customHeight="true" outlineLevel="0" collapsed="false">
      <c r="A6" s="25" t="s">
        <v>263</v>
      </c>
      <c r="B6" s="25" t="s">
        <v>264</v>
      </c>
      <c r="C6" s="26" t="s">
        <v>265</v>
      </c>
      <c r="D6" s="26" t="s">
        <v>266</v>
      </c>
      <c r="E6" s="27" t="s">
        <v>267</v>
      </c>
      <c r="F6" s="28" t="s">
        <v>268</v>
      </c>
      <c r="G6" s="28" t="s">
        <v>269</v>
      </c>
      <c r="H6" s="28" t="s">
        <v>270</v>
      </c>
      <c r="I6" s="29" t="s">
        <v>271</v>
      </c>
      <c r="J6" s="29" t="s">
        <v>272</v>
      </c>
      <c r="K6" s="29" t="s">
        <v>273</v>
      </c>
      <c r="L6" s="30" t="s">
        <v>274</v>
      </c>
      <c r="M6" s="30" t="s">
        <v>275</v>
      </c>
      <c r="N6" s="30" t="s">
        <v>276</v>
      </c>
      <c r="O6" s="17" t="s">
        <v>277</v>
      </c>
      <c r="P6" s="31" t="s">
        <v>278</v>
      </c>
      <c r="Q6" s="31" t="s">
        <v>279</v>
      </c>
      <c r="R6" s="31" t="s">
        <v>280</v>
      </c>
      <c r="S6" s="31" t="s">
        <v>281</v>
      </c>
      <c r="T6" s="31" t="s">
        <v>282</v>
      </c>
      <c r="U6" s="31" t="s">
        <v>283</v>
      </c>
      <c r="V6" s="31" t="s">
        <v>284</v>
      </c>
      <c r="W6" s="31" t="s">
        <v>285</v>
      </c>
    </row>
    <row r="7" customFormat="false" ht="15" hidden="false" customHeight="false" outlineLevel="0" collapsed="false">
      <c r="A7" s="32" t="n">
        <v>1</v>
      </c>
      <c r="B7" s="32" t="s">
        <v>286</v>
      </c>
      <c r="C7" s="33" t="s">
        <v>287</v>
      </c>
      <c r="D7" s="34" t="n">
        <v>500</v>
      </c>
      <c r="E7" s="35" t="n">
        <v>210</v>
      </c>
      <c r="F7" s="35" t="n">
        <v>719</v>
      </c>
      <c r="G7" s="35" t="n">
        <v>944</v>
      </c>
      <c r="H7" s="36" t="n">
        <f aca="false">IF(F7=0,"",G7/F7)</f>
        <v>1.31293463143255</v>
      </c>
      <c r="I7" s="35" t="n">
        <v>1710</v>
      </c>
      <c r="J7" s="35" t="n">
        <v>2158</v>
      </c>
      <c r="K7" s="36" t="n">
        <f aca="false">IF(I7=0,"",J7/I7)</f>
        <v>1.26198830409357</v>
      </c>
      <c r="L7" s="35" t="n">
        <v>343</v>
      </c>
      <c r="M7" s="35" t="n">
        <v>447</v>
      </c>
      <c r="N7" s="36" t="n">
        <f aca="false">IF(L7=0,"",M7/L7)</f>
        <v>1.30320699708455</v>
      </c>
      <c r="O7" s="36" t="n">
        <f aca="false">IFERROR((IF(H7="",0,H7*前提・入力!$B$7)+IF(K7="",0,K7*前提・入力!$B$8)+IF(N7="",0,N7*前提・入力!$B$9))/(IF(H7="",0,前提・入力!$B$7)+IF(K7="",0,前提・入力!$B$8)+IF(N7="",0,前提・入力!$B$9)),前提・入力!$B$11)</f>
        <v>1.2953342324238</v>
      </c>
      <c r="P7" s="35" t="n">
        <f aca="false">ROUND(E7*O7,0)</f>
        <v>272</v>
      </c>
      <c r="Q7" s="34" t="n">
        <f aca="false">P7*D7</f>
        <v>136000</v>
      </c>
      <c r="R7" s="37" t="n">
        <f aca="false">IFERROR(P7/P$49,0)</f>
        <v>0.0528052805280528</v>
      </c>
      <c r="S7" s="35" t="n">
        <v>693</v>
      </c>
      <c r="T7" s="37" t="n">
        <f aca="false">IFERROR(P7/S7,0)</f>
        <v>0.392496392496393</v>
      </c>
      <c r="U7" s="35" t="n">
        <f aca="false">MAX(0,S7-P7)</f>
        <v>421</v>
      </c>
      <c r="V7" s="38" t="n">
        <f aca="false">P7-S7</f>
        <v>-421</v>
      </c>
      <c r="W7" s="39" t="str">
        <f aca="false">IF(V7&gt;0,"会期中に在庫切れ",IF(T7&gt;=0.9,"要注意(90%超)",IF(T7&gt;=0.5,"適正","在庫余剰")))</f>
        <v>在庫余剰</v>
      </c>
    </row>
    <row r="8" customFormat="false" ht="15" hidden="false" customHeight="false" outlineLevel="0" collapsed="false">
      <c r="A8" s="32" t="n">
        <v>2</v>
      </c>
      <c r="B8" s="32" t="s">
        <v>288</v>
      </c>
      <c r="C8" s="33" t="s">
        <v>289</v>
      </c>
      <c r="D8" s="34" t="n">
        <v>600</v>
      </c>
      <c r="E8" s="35" t="n">
        <v>250</v>
      </c>
      <c r="F8" s="35" t="n">
        <v>653</v>
      </c>
      <c r="G8" s="35" t="n">
        <v>850</v>
      </c>
      <c r="H8" s="36" t="n">
        <f aca="false">IF(F8=0,"",G8/F8)</f>
        <v>1.30168453292496</v>
      </c>
      <c r="I8" s="35" t="n">
        <v>1500</v>
      </c>
      <c r="J8" s="35" t="n">
        <v>1781</v>
      </c>
      <c r="K8" s="36" t="n">
        <f aca="false">IF(I8=0,"",J8/I8)</f>
        <v>1.18733333333333</v>
      </c>
      <c r="L8" s="35" t="n">
        <v>362</v>
      </c>
      <c r="M8" s="35" t="n">
        <v>492</v>
      </c>
      <c r="N8" s="36" t="n">
        <f aca="false">IF(L8=0,"",M8/L8)</f>
        <v>1.35911602209945</v>
      </c>
      <c r="O8" s="36" t="n">
        <f aca="false">IFERROR((IF(H8="",0,H8*前提・入力!$B$7)+IF(K8="",0,K8*前提・入力!$B$8)+IF(N8="",0,N8*前提・入力!$B$9))/(IF(H8="",0,前提・入力!$B$7)+IF(K8="",0,前提・入力!$B$8)+IF(N8="",0,前提・入力!$B$9)),前提・入力!$B$11)</f>
        <v>1.3018124776143</v>
      </c>
      <c r="P8" s="35" t="n">
        <f aca="false">ROUND(E8*O8,0)</f>
        <v>325</v>
      </c>
      <c r="Q8" s="34" t="n">
        <f aca="false">P8*D8</f>
        <v>195000</v>
      </c>
      <c r="R8" s="37" t="n">
        <f aca="false">IFERROR(P8/P$49,0)</f>
        <v>0.0630945447485925</v>
      </c>
      <c r="S8" s="35" t="n">
        <v>659</v>
      </c>
      <c r="T8" s="37" t="n">
        <f aca="false">IFERROR(P8/S8,0)</f>
        <v>0.493171471927162</v>
      </c>
      <c r="U8" s="35" t="n">
        <f aca="false">MAX(0,S8-P8)</f>
        <v>334</v>
      </c>
      <c r="V8" s="38" t="n">
        <f aca="false">P8-S8</f>
        <v>-334</v>
      </c>
      <c r="W8" s="39" t="str">
        <f aca="false">IF(V8&gt;0,"会期中に在庫切れ",IF(T8&gt;=0.9,"要注意(90%超)",IF(T8&gt;=0.5,"適正","在庫余剰")))</f>
        <v>在庫余剰</v>
      </c>
    </row>
    <row r="9" customFormat="false" ht="15" hidden="false" customHeight="false" outlineLevel="0" collapsed="false">
      <c r="A9" s="32" t="n">
        <v>3</v>
      </c>
      <c r="B9" s="32" t="s">
        <v>290</v>
      </c>
      <c r="C9" s="33" t="s">
        <v>291</v>
      </c>
      <c r="D9" s="34" t="n">
        <v>1000</v>
      </c>
      <c r="E9" s="35" t="n">
        <v>92</v>
      </c>
      <c r="F9" s="35" t="n">
        <v>280</v>
      </c>
      <c r="G9" s="35" t="n">
        <v>368</v>
      </c>
      <c r="H9" s="36" t="n">
        <f aca="false">IF(F9=0,"",G9/F9)</f>
        <v>1.31428571428571</v>
      </c>
      <c r="I9" s="35" t="n">
        <v>904</v>
      </c>
      <c r="J9" s="35" t="n">
        <v>1063</v>
      </c>
      <c r="K9" s="36" t="n">
        <f aca="false">IF(I9=0,"",J9/I9)</f>
        <v>1.17588495575221</v>
      </c>
      <c r="L9" s="35" t="n">
        <v>116</v>
      </c>
      <c r="M9" s="35" t="n">
        <v>152</v>
      </c>
      <c r="N9" s="36" t="n">
        <f aca="false">IF(L9=0,"",M9/L9)</f>
        <v>1.31034482758621</v>
      </c>
      <c r="O9" s="36" t="n">
        <f aca="false">IFERROR((IF(H9="",0,H9*前提・入力!$B$7)+IF(K9="",0,K9*前提・入力!$B$8)+IF(N9="",0,N9*前提・入力!$B$9))/(IF(H9="",0,前提・入力!$B$7)+IF(K9="",0,前提・入力!$B$8)+IF(N9="",0,前提・入力!$B$9)),前提・入力!$B$11)</f>
        <v>1.27771508130259</v>
      </c>
      <c r="P9" s="35" t="n">
        <f aca="false">ROUND(E9*O9,0)</f>
        <v>118</v>
      </c>
      <c r="Q9" s="34" t="n">
        <f aca="false">P9*D9</f>
        <v>118000</v>
      </c>
      <c r="R9" s="37" t="n">
        <f aca="false">IFERROR(P9/P$49,0)</f>
        <v>0.0229081731702582</v>
      </c>
      <c r="S9" s="35" t="n">
        <v>381</v>
      </c>
      <c r="T9" s="37" t="n">
        <f aca="false">IFERROR(P9/S9,0)</f>
        <v>0.309711286089239</v>
      </c>
      <c r="U9" s="35" t="n">
        <f aca="false">MAX(0,S9-P9)</f>
        <v>263</v>
      </c>
      <c r="V9" s="38" t="n">
        <f aca="false">P9-S9</f>
        <v>-263</v>
      </c>
      <c r="W9" s="39" t="str">
        <f aca="false">IF(V9&gt;0,"会期中に在庫切れ",IF(T9&gt;=0.9,"要注意(90%超)",IF(T9&gt;=0.5,"適正","在庫余剰")))</f>
        <v>在庫余剰</v>
      </c>
    </row>
    <row r="10" customFormat="false" ht="15" hidden="false" customHeight="false" outlineLevel="0" collapsed="false">
      <c r="A10" s="32" t="n">
        <v>4</v>
      </c>
      <c r="B10" s="32" t="s">
        <v>292</v>
      </c>
      <c r="C10" s="33" t="s">
        <v>293</v>
      </c>
      <c r="D10" s="34" t="n">
        <v>1800</v>
      </c>
      <c r="E10" s="35" t="n">
        <v>110</v>
      </c>
      <c r="F10" s="35" t="n">
        <v>353</v>
      </c>
      <c r="G10" s="35" t="n">
        <v>427</v>
      </c>
      <c r="H10" s="36" t="n">
        <f aca="false">IF(F10=0,"",G10/F10)</f>
        <v>1.20963172804533</v>
      </c>
      <c r="I10" s="35" t="n">
        <v>1012</v>
      </c>
      <c r="J10" s="35" t="n">
        <v>1209</v>
      </c>
      <c r="K10" s="36" t="n">
        <f aca="false">IF(I10=0,"",J10/I10)</f>
        <v>1.19466403162055</v>
      </c>
      <c r="L10" s="35" t="n">
        <v>170</v>
      </c>
      <c r="M10" s="35" t="n">
        <v>209</v>
      </c>
      <c r="N10" s="36" t="n">
        <f aca="false">IF(L10=0,"",M10/L10)</f>
        <v>1.22941176470588</v>
      </c>
      <c r="O10" s="36" t="n">
        <f aca="false">IFERROR((IF(H10="",0,H10*前提・入力!$B$7)+IF(K10="",0,K10*前提・入力!$B$8)+IF(N10="",0,N10*前提・入力!$B$9))/(IF(H10="",0,前提・入力!$B$7)+IF(K10="",0,前提・入力!$B$8)+IF(N10="",0,前提・入力!$B$9)),前提・入力!$B$11)</f>
        <v>1.21577982226941</v>
      </c>
      <c r="P10" s="35" t="n">
        <f aca="false">ROUND(E10*O10,0)</f>
        <v>134</v>
      </c>
      <c r="Q10" s="34" t="n">
        <f aca="false">P10*D10</f>
        <v>241200</v>
      </c>
      <c r="R10" s="37" t="n">
        <f aca="false">IFERROR(P10/P$49,0)</f>
        <v>0.0260143661424966</v>
      </c>
      <c r="S10" s="35" t="n">
        <v>772</v>
      </c>
      <c r="T10" s="37" t="n">
        <f aca="false">IFERROR(P10/S10,0)</f>
        <v>0.173575129533679</v>
      </c>
      <c r="U10" s="35" t="n">
        <f aca="false">MAX(0,S10-P10)</f>
        <v>638</v>
      </c>
      <c r="V10" s="38" t="n">
        <f aca="false">P10-S10</f>
        <v>-638</v>
      </c>
      <c r="W10" s="39" t="str">
        <f aca="false">IF(V10&gt;0,"会期中に在庫切れ",IF(T10&gt;=0.9,"要注意(90%超)",IF(T10&gt;=0.5,"適正","在庫余剰")))</f>
        <v>在庫余剰</v>
      </c>
    </row>
    <row r="11" customFormat="false" ht="15" hidden="false" customHeight="false" outlineLevel="0" collapsed="false">
      <c r="A11" s="32" t="n">
        <v>5</v>
      </c>
      <c r="B11" s="32" t="s">
        <v>294</v>
      </c>
      <c r="C11" s="33" t="s">
        <v>295</v>
      </c>
      <c r="D11" s="34" t="n">
        <v>600</v>
      </c>
      <c r="E11" s="35" t="n">
        <v>226</v>
      </c>
      <c r="F11" s="35" t="n">
        <v>3298</v>
      </c>
      <c r="G11" s="35" t="n">
        <v>5127</v>
      </c>
      <c r="H11" s="36" t="n">
        <f aca="false">IF(F11=0,"",G11/F11)</f>
        <v>1.55457853244391</v>
      </c>
      <c r="I11" s="35" t="n">
        <v>7193</v>
      </c>
      <c r="J11" s="35" t="n">
        <v>8539</v>
      </c>
      <c r="K11" s="36" t="n">
        <f aca="false">IF(I11=0,"",J11/I11)</f>
        <v>1.18712637286251</v>
      </c>
      <c r="L11" s="35" t="n">
        <v>322</v>
      </c>
      <c r="M11" s="35" t="n">
        <v>394</v>
      </c>
      <c r="N11" s="36" t="n">
        <f aca="false">IF(L11=0,"",M11/L11)</f>
        <v>1.22360248447205</v>
      </c>
      <c r="O11" s="36" t="n">
        <f aca="false">IFERROR((IF(H11="",0,H11*前提・入力!$B$7)+IF(K11="",0,K11*前提・入力!$B$8)+IF(N11="",0,N11*前提・入力!$B$9))/(IF(H11="",0,前提・入力!$B$7)+IF(K11="",0,前提・入力!$B$8)+IF(N11="",0,前提・入力!$B$9)),前提・入力!$B$11)</f>
        <v>1.29722746856263</v>
      </c>
      <c r="P11" s="35" t="n">
        <f aca="false">ROUND(E11*O11,0)</f>
        <v>293</v>
      </c>
      <c r="Q11" s="34" t="n">
        <f aca="false">P11*D11</f>
        <v>175800</v>
      </c>
      <c r="R11" s="37" t="n">
        <f aca="false">IFERROR(P11/P$49,0)</f>
        <v>0.0568821588041157</v>
      </c>
      <c r="S11" s="35" t="n">
        <v>8790</v>
      </c>
      <c r="T11" s="37" t="n">
        <f aca="false">IFERROR(P11/S11,0)</f>
        <v>0.0333333333333333</v>
      </c>
      <c r="U11" s="35" t="n">
        <f aca="false">MAX(0,S11-P11)</f>
        <v>8497</v>
      </c>
      <c r="V11" s="38" t="n">
        <f aca="false">P11-S11</f>
        <v>-8497</v>
      </c>
      <c r="W11" s="39" t="str">
        <f aca="false">IF(V11&gt;0,"会期中に在庫切れ",IF(T11&gt;=0.9,"要注意(90%超)",IF(T11&gt;=0.5,"適正","在庫余剰")))</f>
        <v>在庫余剰</v>
      </c>
    </row>
    <row r="12" customFormat="false" ht="15" hidden="false" customHeight="false" outlineLevel="0" collapsed="false">
      <c r="A12" s="32" t="n">
        <v>6</v>
      </c>
      <c r="B12" s="32" t="s">
        <v>296</v>
      </c>
      <c r="C12" s="33" t="s">
        <v>297</v>
      </c>
      <c r="D12" s="34" t="n">
        <v>600</v>
      </c>
      <c r="E12" s="35" t="n">
        <v>439</v>
      </c>
      <c r="F12" s="35" t="n">
        <v>4238</v>
      </c>
      <c r="G12" s="35" t="n">
        <v>6491</v>
      </c>
      <c r="H12" s="36" t="n">
        <f aca="false">IF(F12=0,"",G12/F12)</f>
        <v>1.53161868806041</v>
      </c>
      <c r="I12" s="35" t="n">
        <v>13071</v>
      </c>
      <c r="J12" s="35" t="n">
        <v>17062</v>
      </c>
      <c r="K12" s="36" t="n">
        <f aca="false">IF(I12=0,"",J12/I12)</f>
        <v>1.30533241527045</v>
      </c>
      <c r="L12" s="35" t="n">
        <v>860</v>
      </c>
      <c r="M12" s="35" t="n">
        <v>995</v>
      </c>
      <c r="N12" s="36" t="n">
        <f aca="false">IF(L12=0,"",M12/L12)</f>
        <v>1.15697674418605</v>
      </c>
      <c r="O12" s="36" t="n">
        <f aca="false">IFERROR((IF(H12="",0,H12*前提・入力!$B$7)+IF(K12="",0,K12*前提・入力!$B$8)+IF(N12="",0,N12*前提・入力!$B$9))/(IF(H12="",0,前提・入力!$B$7)+IF(K12="",0,前提・入力!$B$8)+IF(N12="",0,前提・入力!$B$9)),前提・入力!$B$11)</f>
        <v>1.28772614792574</v>
      </c>
      <c r="P12" s="35" t="n">
        <f aca="false">ROUND(E12*O12,0)</f>
        <v>565</v>
      </c>
      <c r="Q12" s="34" t="n">
        <f aca="false">P12*D12</f>
        <v>339000</v>
      </c>
      <c r="R12" s="37" t="n">
        <f aca="false">IFERROR(P12/P$49,0)</f>
        <v>0.109687439332169</v>
      </c>
      <c r="S12" s="35" t="n">
        <v>13249</v>
      </c>
      <c r="T12" s="37" t="n">
        <f aca="false">IFERROR(P12/S12,0)</f>
        <v>0.0426447279039928</v>
      </c>
      <c r="U12" s="35" t="n">
        <f aca="false">MAX(0,S12-P12)</f>
        <v>12684</v>
      </c>
      <c r="V12" s="38" t="n">
        <f aca="false">P12-S12</f>
        <v>-12684</v>
      </c>
      <c r="W12" s="39" t="str">
        <f aca="false">IF(V12&gt;0,"会期中に在庫切れ",IF(T12&gt;=0.9,"要注意(90%超)",IF(T12&gt;=0.5,"適正","在庫余剰")))</f>
        <v>在庫余剰</v>
      </c>
    </row>
    <row r="13" customFormat="false" ht="15" hidden="false" customHeight="false" outlineLevel="0" collapsed="false">
      <c r="A13" s="32" t="n">
        <v>7</v>
      </c>
      <c r="B13" s="32" t="s">
        <v>298</v>
      </c>
      <c r="C13" s="33" t="s">
        <v>299</v>
      </c>
      <c r="D13" s="34" t="n">
        <v>600</v>
      </c>
      <c r="E13" s="35" t="n">
        <v>130</v>
      </c>
      <c r="F13" s="35" t="n">
        <v>239</v>
      </c>
      <c r="G13" s="35" t="n">
        <v>321</v>
      </c>
      <c r="H13" s="36" t="n">
        <f aca="false">IF(F13=0,"",G13/F13)</f>
        <v>1.34309623430962</v>
      </c>
      <c r="I13" s="35" t="n">
        <v>727</v>
      </c>
      <c r="J13" s="35" t="n">
        <v>880</v>
      </c>
      <c r="K13" s="36" t="n">
        <f aca="false">IF(I13=0,"",J13/I13)</f>
        <v>1.21045392022008</v>
      </c>
      <c r="L13" s="35" t="n">
        <v>134</v>
      </c>
      <c r="M13" s="35" t="n">
        <v>169</v>
      </c>
      <c r="N13" s="36" t="n">
        <f aca="false">IF(L13=0,"",M13/L13)</f>
        <v>1.26119402985075</v>
      </c>
      <c r="O13" s="36" t="n">
        <f aca="false">IFERROR((IF(H13="",0,H13*前提・入力!$B$7)+IF(K13="",0,K13*前提・入力!$B$8)+IF(N13="",0,N13*前提・入力!$B$9))/(IF(H13="",0,前提・入力!$B$7)+IF(K13="",0,前提・入力!$B$8)+IF(N13="",0,前提・入力!$B$9)),前提・入力!$B$11)</f>
        <v>1.2689845535578</v>
      </c>
      <c r="P13" s="35" t="n">
        <f aca="false">ROUND(E13*O13,0)</f>
        <v>165</v>
      </c>
      <c r="Q13" s="34" t="n">
        <f aca="false">P13*D13</f>
        <v>99000</v>
      </c>
      <c r="R13" s="37" t="n">
        <f aca="false">IFERROR(P13/P$49,0)</f>
        <v>0.0320326150262085</v>
      </c>
      <c r="S13" s="35" t="n">
        <v>463</v>
      </c>
      <c r="T13" s="37" t="n">
        <f aca="false">IFERROR(P13/S13,0)</f>
        <v>0.356371490280778</v>
      </c>
      <c r="U13" s="35" t="n">
        <f aca="false">MAX(0,S13-P13)</f>
        <v>298</v>
      </c>
      <c r="V13" s="38" t="n">
        <f aca="false">P13-S13</f>
        <v>-298</v>
      </c>
      <c r="W13" s="39" t="str">
        <f aca="false">IF(V13&gt;0,"会期中に在庫切れ",IF(T13&gt;=0.9,"要注意(90%超)",IF(T13&gt;=0.5,"適正","在庫余剰")))</f>
        <v>在庫余剰</v>
      </c>
    </row>
    <row r="14" customFormat="false" ht="15" hidden="false" customHeight="false" outlineLevel="0" collapsed="false">
      <c r="A14" s="32" t="n">
        <v>8</v>
      </c>
      <c r="B14" s="32" t="s">
        <v>300</v>
      </c>
      <c r="C14" s="33" t="s">
        <v>301</v>
      </c>
      <c r="D14" s="34" t="n">
        <v>600</v>
      </c>
      <c r="E14" s="35" t="n">
        <v>207</v>
      </c>
      <c r="F14" s="35" t="n">
        <v>435</v>
      </c>
      <c r="G14" s="35" t="n">
        <v>581</v>
      </c>
      <c r="H14" s="36" t="n">
        <f aca="false">IF(F14=0,"",G14/F14)</f>
        <v>1.33563218390805</v>
      </c>
      <c r="I14" s="35" t="n">
        <v>1388</v>
      </c>
      <c r="J14" s="35" t="n">
        <v>1642</v>
      </c>
      <c r="K14" s="36" t="n">
        <f aca="false">IF(I14=0,"",J14/I14)</f>
        <v>1.18299711815562</v>
      </c>
      <c r="L14" s="35" t="n">
        <v>222</v>
      </c>
      <c r="M14" s="35" t="n">
        <v>291</v>
      </c>
      <c r="N14" s="36" t="n">
        <f aca="false">IF(L14=0,"",M14/L14)</f>
        <v>1.31081081081081</v>
      </c>
      <c r="O14" s="36" t="n">
        <f aca="false">IFERROR((IF(H14="",0,H14*前提・入力!$B$7)+IF(K14="",0,K14*前提・入力!$B$8)+IF(N14="",0,N14*前提・入力!$B$9))/(IF(H14="",0,前提・入力!$B$7)+IF(K14="",0,前提・入力!$B$8)+IF(N14="",0,前提・入力!$B$9)),前提・入力!$B$11)</f>
        <v>1.28506273092132</v>
      </c>
      <c r="P14" s="35" t="n">
        <f aca="false">ROUND(E14*O14,0)</f>
        <v>266</v>
      </c>
      <c r="Q14" s="34" t="n">
        <f aca="false">P14*D14</f>
        <v>159600</v>
      </c>
      <c r="R14" s="37" t="n">
        <f aca="false">IFERROR(P14/P$49,0)</f>
        <v>0.0516404581634634</v>
      </c>
      <c r="S14" s="35" t="n">
        <v>778</v>
      </c>
      <c r="T14" s="37" t="n">
        <f aca="false">IFERROR(P14/S14,0)</f>
        <v>0.341902313624679</v>
      </c>
      <c r="U14" s="35" t="n">
        <f aca="false">MAX(0,S14-P14)</f>
        <v>512</v>
      </c>
      <c r="V14" s="38" t="n">
        <f aca="false">P14-S14</f>
        <v>-512</v>
      </c>
      <c r="W14" s="39" t="str">
        <f aca="false">IF(V14&gt;0,"会期中に在庫切れ",IF(T14&gt;=0.9,"要注意(90%超)",IF(T14&gt;=0.5,"適正","在庫余剰")))</f>
        <v>在庫余剰</v>
      </c>
    </row>
    <row r="15" customFormat="false" ht="15" hidden="false" customHeight="false" outlineLevel="0" collapsed="false">
      <c r="A15" s="32" t="n">
        <v>9</v>
      </c>
      <c r="B15" s="32" t="s">
        <v>302</v>
      </c>
      <c r="C15" s="33" t="s">
        <v>303</v>
      </c>
      <c r="D15" s="34" t="n">
        <v>600</v>
      </c>
      <c r="E15" s="35" t="n">
        <v>41</v>
      </c>
      <c r="F15" s="35" t="n">
        <v>223</v>
      </c>
      <c r="G15" s="35" t="n">
        <v>261</v>
      </c>
      <c r="H15" s="36" t="n">
        <f aca="false">IF(F15=0,"",G15/F15)</f>
        <v>1.17040358744395</v>
      </c>
      <c r="I15" s="35" t="n">
        <v>615</v>
      </c>
      <c r="J15" s="35" t="n">
        <v>697</v>
      </c>
      <c r="K15" s="36" t="n">
        <f aca="false">IF(I15=0,"",J15/I15)</f>
        <v>1.13333333333333</v>
      </c>
      <c r="L15" s="35" t="n">
        <v>106</v>
      </c>
      <c r="M15" s="35" t="n">
        <v>144</v>
      </c>
      <c r="N15" s="36" t="n">
        <f aca="false">IF(L15=0,"",M15/L15)</f>
        <v>1.35849056603774</v>
      </c>
      <c r="O15" s="36" t="n">
        <f aca="false">IFERROR((IF(H15="",0,H15*前提・入力!$B$7)+IF(K15="",0,K15*前提・入力!$B$8)+IF(N15="",0,N15*前提・入力!$B$9))/(IF(H15="",0,前提・入力!$B$7)+IF(K15="",0,前提・入力!$B$8)+IF(N15="",0,前提・入力!$B$9)),前提・入力!$B$11)</f>
        <v>1.25517951321319</v>
      </c>
      <c r="P15" s="35" t="n">
        <f aca="false">ROUND(E15*O15,0)</f>
        <v>51</v>
      </c>
      <c r="Q15" s="34" t="n">
        <f aca="false">P15*D15</f>
        <v>30600</v>
      </c>
      <c r="R15" s="37" t="n">
        <f aca="false">IFERROR(P15/P$49,0)</f>
        <v>0.0099009900990099</v>
      </c>
      <c r="S15" s="35" t="n">
        <v>740</v>
      </c>
      <c r="T15" s="37" t="n">
        <f aca="false">IFERROR(P15/S15,0)</f>
        <v>0.0689189189189189</v>
      </c>
      <c r="U15" s="35" t="n">
        <f aca="false">MAX(0,S15-P15)</f>
        <v>689</v>
      </c>
      <c r="V15" s="38" t="n">
        <f aca="false">P15-S15</f>
        <v>-689</v>
      </c>
      <c r="W15" s="39" t="str">
        <f aca="false">IF(V15&gt;0,"会期中に在庫切れ",IF(T15&gt;=0.9,"要注意(90%超)",IF(T15&gt;=0.5,"適正","在庫余剰")))</f>
        <v>在庫余剰</v>
      </c>
    </row>
    <row r="16" customFormat="false" ht="15" hidden="false" customHeight="false" outlineLevel="0" collapsed="false">
      <c r="A16" s="32" t="n">
        <v>10</v>
      </c>
      <c r="B16" s="32" t="s">
        <v>304</v>
      </c>
      <c r="C16" s="33" t="s">
        <v>305</v>
      </c>
      <c r="D16" s="34" t="n">
        <v>600</v>
      </c>
      <c r="E16" s="35" t="n">
        <v>16</v>
      </c>
      <c r="F16" s="35" t="n">
        <v>93</v>
      </c>
      <c r="G16" s="35" t="n">
        <v>104</v>
      </c>
      <c r="H16" s="36" t="n">
        <f aca="false">IF(F16=0,"",G16/F16)</f>
        <v>1.11827956989247</v>
      </c>
      <c r="I16" s="35" t="n">
        <v>219</v>
      </c>
      <c r="J16" s="35" t="n">
        <v>254</v>
      </c>
      <c r="K16" s="36" t="n">
        <f aca="false">IF(I16=0,"",J16/I16)</f>
        <v>1.15981735159817</v>
      </c>
      <c r="L16" s="35" t="n">
        <v>38</v>
      </c>
      <c r="M16" s="35" t="n">
        <v>53</v>
      </c>
      <c r="N16" s="36" t="n">
        <f aca="false">IF(L16=0,"",M16/L16)</f>
        <v>1.39473684210526</v>
      </c>
      <c r="O16" s="36" t="n">
        <f aca="false">IFERROR((IF(H16="",0,H16*前提・入力!$B$7)+IF(K16="",0,K16*前提・入力!$B$8)+IF(N16="",0,N16*前提・入力!$B$9))/(IF(H16="",0,前提・入力!$B$7)+IF(K16="",0,前提・入力!$B$8)+IF(N16="",0,前提・入力!$B$9)),前提・入力!$B$11)</f>
        <v>1.26689265142529</v>
      </c>
      <c r="P16" s="35" t="n">
        <f aca="false">ROUND(E16*O16,0)</f>
        <v>20</v>
      </c>
      <c r="Q16" s="34" t="n">
        <f aca="false">P16*D16</f>
        <v>12000</v>
      </c>
      <c r="R16" s="37" t="n">
        <f aca="false">IFERROR(P16/P$49,0)</f>
        <v>0.003882741215298</v>
      </c>
      <c r="S16" s="35" t="n">
        <v>541</v>
      </c>
      <c r="T16" s="37" t="n">
        <f aca="false">IFERROR(P16/S16,0)</f>
        <v>0.0369685767097967</v>
      </c>
      <c r="U16" s="35" t="n">
        <f aca="false">MAX(0,S16-P16)</f>
        <v>521</v>
      </c>
      <c r="V16" s="38" t="n">
        <f aca="false">P16-S16</f>
        <v>-521</v>
      </c>
      <c r="W16" s="39" t="str">
        <f aca="false">IF(V16&gt;0,"会期中に在庫切れ",IF(T16&gt;=0.9,"要注意(90%超)",IF(T16&gt;=0.5,"適正","在庫余剰")))</f>
        <v>在庫余剰</v>
      </c>
    </row>
    <row r="17" customFormat="false" ht="15" hidden="false" customHeight="false" outlineLevel="0" collapsed="false">
      <c r="A17" s="32" t="n">
        <v>11</v>
      </c>
      <c r="B17" s="32" t="s">
        <v>306</v>
      </c>
      <c r="C17" s="33" t="s">
        <v>307</v>
      </c>
      <c r="D17" s="34" t="n">
        <v>600</v>
      </c>
      <c r="E17" s="35" t="n">
        <v>6</v>
      </c>
      <c r="F17" s="35" t="n">
        <v>27</v>
      </c>
      <c r="G17" s="35" t="n">
        <v>30</v>
      </c>
      <c r="H17" s="36" t="n">
        <f aca="false">IF(F17=0,"",G17/F17)</f>
        <v>1.11111111111111</v>
      </c>
      <c r="I17" s="35" t="n">
        <v>54</v>
      </c>
      <c r="J17" s="35" t="n">
        <v>69</v>
      </c>
      <c r="K17" s="36" t="n">
        <f aca="false">IF(I17=0,"",J17/I17)</f>
        <v>1.27777777777778</v>
      </c>
      <c r="L17" s="35" t="n">
        <v>11</v>
      </c>
      <c r="M17" s="35" t="n">
        <v>16</v>
      </c>
      <c r="N17" s="36" t="n">
        <f aca="false">IF(L17=0,"",M17/L17)</f>
        <v>1.45454545454545</v>
      </c>
      <c r="O17" s="36" t="n">
        <f aca="false">IFERROR((IF(H17="",0,H17*前提・入力!$B$7)+IF(K17="",0,K17*前提・入力!$B$8)+IF(N17="",0,N17*前提・入力!$B$9))/(IF(H17="",0,前提・入力!$B$7)+IF(K17="",0,前提・入力!$B$8)+IF(N17="",0,前提・入力!$B$9)),前提・入力!$B$11)</f>
        <v>1.32449494949495</v>
      </c>
      <c r="P17" s="35" t="n">
        <f aca="false">ROUND(E17*O17,0)</f>
        <v>8</v>
      </c>
      <c r="Q17" s="34" t="n">
        <f aca="false">P17*D17</f>
        <v>4800</v>
      </c>
      <c r="R17" s="37" t="n">
        <f aca="false">IFERROR(P17/P$49,0)</f>
        <v>0.0015530964861192</v>
      </c>
      <c r="S17" s="35" t="n">
        <v>79</v>
      </c>
      <c r="T17" s="37" t="n">
        <f aca="false">IFERROR(P17/S17,0)</f>
        <v>0.10126582278481</v>
      </c>
      <c r="U17" s="35" t="n">
        <f aca="false">MAX(0,S17-P17)</f>
        <v>71</v>
      </c>
      <c r="V17" s="38" t="n">
        <f aca="false">P17-S17</f>
        <v>-71</v>
      </c>
      <c r="W17" s="39" t="str">
        <f aca="false">IF(V17&gt;0,"会期中に在庫切れ",IF(T17&gt;=0.9,"要注意(90%超)",IF(T17&gt;=0.5,"適正","在庫余剰")))</f>
        <v>在庫余剰</v>
      </c>
    </row>
    <row r="18" customFormat="false" ht="15" hidden="false" customHeight="false" outlineLevel="0" collapsed="false">
      <c r="A18" s="32" t="n">
        <v>12</v>
      </c>
      <c r="B18" s="32" t="s">
        <v>308</v>
      </c>
      <c r="C18" s="33" t="s">
        <v>309</v>
      </c>
      <c r="D18" s="34" t="n">
        <v>600</v>
      </c>
      <c r="E18" s="35" t="n">
        <v>13</v>
      </c>
      <c r="F18" s="35" t="n">
        <v>32</v>
      </c>
      <c r="G18" s="35" t="n">
        <v>42</v>
      </c>
      <c r="H18" s="36" t="n">
        <f aca="false">IF(F18=0,"",G18/F18)</f>
        <v>1.3125</v>
      </c>
      <c r="I18" s="35" t="n">
        <v>107</v>
      </c>
      <c r="J18" s="35" t="n">
        <v>126</v>
      </c>
      <c r="K18" s="36" t="n">
        <f aca="false">IF(I18=0,"",J18/I18)</f>
        <v>1.17757009345794</v>
      </c>
      <c r="L18" s="35" t="n">
        <v>27</v>
      </c>
      <c r="M18" s="35" t="n">
        <v>36</v>
      </c>
      <c r="N18" s="36" t="n">
        <f aca="false">IF(L18=0,"",M18/L18)</f>
        <v>1.33333333333333</v>
      </c>
      <c r="O18" s="36" t="n">
        <f aca="false">IFERROR((IF(H18="",0,H18*前提・入力!$B$7)+IF(K18="",0,K18*前提・入力!$B$8)+IF(N18="",0,N18*前提・入力!$B$9))/(IF(H18="",0,前提・入力!$B$7)+IF(K18="",0,前提・入力!$B$8)+IF(N18="",0,前提・入力!$B$9)),前提・入力!$B$11)</f>
        <v>1.28918419003115</v>
      </c>
      <c r="P18" s="35" t="n">
        <f aca="false">ROUND(E18*O18,0)</f>
        <v>17</v>
      </c>
      <c r="Q18" s="34" t="n">
        <f aca="false">P18*D18</f>
        <v>10200</v>
      </c>
      <c r="R18" s="37" t="n">
        <f aca="false">IFERROR(P18/P$49,0)</f>
        <v>0.0033003300330033</v>
      </c>
      <c r="S18" s="35" t="n">
        <v>107</v>
      </c>
      <c r="T18" s="37" t="n">
        <f aca="false">IFERROR(P18/S18,0)</f>
        <v>0.158878504672897</v>
      </c>
      <c r="U18" s="35" t="n">
        <f aca="false">MAX(0,S18-P18)</f>
        <v>90</v>
      </c>
      <c r="V18" s="38" t="n">
        <f aca="false">P18-S18</f>
        <v>-90</v>
      </c>
      <c r="W18" s="39" t="str">
        <f aca="false">IF(V18&gt;0,"会期中に在庫切れ",IF(T18&gt;=0.9,"要注意(90%超)",IF(T18&gt;=0.5,"適正","在庫余剰")))</f>
        <v>在庫余剰</v>
      </c>
    </row>
    <row r="19" customFormat="false" ht="15" hidden="false" customHeight="false" outlineLevel="0" collapsed="false">
      <c r="A19" s="32" t="n">
        <v>13</v>
      </c>
      <c r="B19" s="32" t="s">
        <v>310</v>
      </c>
      <c r="C19" s="33" t="s">
        <v>311</v>
      </c>
      <c r="D19" s="34" t="n">
        <v>600</v>
      </c>
      <c r="E19" s="35" t="n">
        <v>5</v>
      </c>
      <c r="F19" s="35" t="n">
        <v>13</v>
      </c>
      <c r="G19" s="35" t="n">
        <v>18</v>
      </c>
      <c r="H19" s="36" t="n">
        <f aca="false">IF(F19=0,"",G19/F19)</f>
        <v>1.38461538461538</v>
      </c>
      <c r="I19" s="35" t="n">
        <v>35</v>
      </c>
      <c r="J19" s="35" t="n">
        <v>39</v>
      </c>
      <c r="K19" s="36" t="n">
        <f aca="false">IF(I19=0,"",J19/I19)</f>
        <v>1.11428571428571</v>
      </c>
      <c r="L19" s="35" t="n">
        <v>3</v>
      </c>
      <c r="M19" s="35" t="n">
        <v>4</v>
      </c>
      <c r="N19" s="36" t="n">
        <f aca="false">IF(L19=0,"",M19/L19)</f>
        <v>1.33333333333333</v>
      </c>
      <c r="O19" s="36" t="n">
        <f aca="false">IFERROR((IF(H19="",0,H19*前提・入力!$B$7)+IF(K19="",0,K19*前提・入力!$B$8)+IF(N19="",0,N19*前提・入力!$B$9))/(IF(H19="",0,前提・入力!$B$7)+IF(K19="",0,前提・入力!$B$8)+IF(N19="",0,前提・入力!$B$9)),前提・入力!$B$11)</f>
        <v>1.29139194139194</v>
      </c>
      <c r="P19" s="35" t="n">
        <f aca="false">ROUND(E19*O19,0)</f>
        <v>6</v>
      </c>
      <c r="Q19" s="34" t="n">
        <f aca="false">P19*D19</f>
        <v>3600</v>
      </c>
      <c r="R19" s="37" t="n">
        <f aca="false">IFERROR(P19/P$49,0)</f>
        <v>0.0011648223645894</v>
      </c>
      <c r="S19" s="35" t="n">
        <v>52</v>
      </c>
      <c r="T19" s="37" t="n">
        <f aca="false">IFERROR(P19/S19,0)</f>
        <v>0.115384615384615</v>
      </c>
      <c r="U19" s="35" t="n">
        <f aca="false">MAX(0,S19-P19)</f>
        <v>46</v>
      </c>
      <c r="V19" s="38" t="n">
        <f aca="false">P19-S19</f>
        <v>-46</v>
      </c>
      <c r="W19" s="39" t="str">
        <f aca="false">IF(V19&gt;0,"会期中に在庫切れ",IF(T19&gt;=0.9,"要注意(90%超)",IF(T19&gt;=0.5,"適正","在庫余剰")))</f>
        <v>在庫余剰</v>
      </c>
    </row>
    <row r="20" customFormat="false" ht="15" hidden="false" customHeight="false" outlineLevel="0" collapsed="false">
      <c r="A20" s="32" t="n">
        <v>14</v>
      </c>
      <c r="B20" s="32" t="s">
        <v>312</v>
      </c>
      <c r="C20" s="33" t="s">
        <v>313</v>
      </c>
      <c r="D20" s="34" t="n">
        <v>600</v>
      </c>
      <c r="E20" s="35" t="n">
        <v>10</v>
      </c>
      <c r="F20" s="35" t="n">
        <v>50</v>
      </c>
      <c r="G20" s="35" t="n">
        <v>61</v>
      </c>
      <c r="H20" s="36" t="n">
        <f aca="false">IF(F20=0,"",G20/F20)</f>
        <v>1.22</v>
      </c>
      <c r="I20" s="35" t="n">
        <v>110</v>
      </c>
      <c r="J20" s="35" t="n">
        <v>133</v>
      </c>
      <c r="K20" s="36" t="n">
        <f aca="false">IF(I20=0,"",J20/I20)</f>
        <v>1.20909090909091</v>
      </c>
      <c r="L20" s="35" t="n">
        <v>25</v>
      </c>
      <c r="M20" s="35" t="n">
        <v>41</v>
      </c>
      <c r="N20" s="36" t="n">
        <f aca="false">IF(L20=0,"",M20/L20)</f>
        <v>1.64</v>
      </c>
      <c r="O20" s="36" t="n">
        <f aca="false">IFERROR((IF(H20="",0,H20*前提・入力!$B$7)+IF(K20="",0,K20*前提・入力!$B$8)+IF(N20="",0,N20*前提・入力!$B$9))/(IF(H20="",0,前提・入力!$B$7)+IF(K20="",0,前提・入力!$B$8)+IF(N20="",0,前提・入力!$B$9)),前提・入力!$B$11)</f>
        <v>1.42727272727273</v>
      </c>
      <c r="P20" s="35" t="n">
        <f aca="false">ROUND(E20*O20,0)</f>
        <v>14</v>
      </c>
      <c r="Q20" s="34" t="n">
        <f aca="false">P20*D20</f>
        <v>8400</v>
      </c>
      <c r="R20" s="37" t="n">
        <f aca="false">IFERROR(P20/P$49,0)</f>
        <v>0.0027179188507086</v>
      </c>
      <c r="S20" s="35" t="n">
        <v>53</v>
      </c>
      <c r="T20" s="37" t="n">
        <f aca="false">IFERROR(P20/S20,0)</f>
        <v>0.264150943396226</v>
      </c>
      <c r="U20" s="35" t="n">
        <f aca="false">MAX(0,S20-P20)</f>
        <v>39</v>
      </c>
      <c r="V20" s="38" t="n">
        <f aca="false">P20-S20</f>
        <v>-39</v>
      </c>
      <c r="W20" s="39" t="str">
        <f aca="false">IF(V20&gt;0,"会期中に在庫切れ",IF(T20&gt;=0.9,"要注意(90%超)",IF(T20&gt;=0.5,"適正","在庫余剰")))</f>
        <v>在庫余剰</v>
      </c>
    </row>
    <row r="21" customFormat="false" ht="15" hidden="false" customHeight="false" outlineLevel="0" collapsed="false">
      <c r="A21" s="32" t="n">
        <v>15</v>
      </c>
      <c r="B21" s="32" t="s">
        <v>314</v>
      </c>
      <c r="C21" s="33" t="s">
        <v>315</v>
      </c>
      <c r="D21" s="34" t="n">
        <v>600</v>
      </c>
      <c r="E21" s="35" t="n">
        <v>17</v>
      </c>
      <c r="F21" s="35" t="n">
        <v>63</v>
      </c>
      <c r="G21" s="35" t="n">
        <v>88</v>
      </c>
      <c r="H21" s="36" t="n">
        <f aca="false">IF(F21=0,"",G21/F21)</f>
        <v>1.3968253968254</v>
      </c>
      <c r="I21" s="35" t="n">
        <v>149</v>
      </c>
      <c r="J21" s="35" t="n">
        <v>184</v>
      </c>
      <c r="K21" s="36" t="n">
        <f aca="false">IF(I21=0,"",J21/I21)</f>
        <v>1.23489932885906</v>
      </c>
      <c r="L21" s="35" t="n">
        <v>35</v>
      </c>
      <c r="M21" s="35" t="n">
        <v>48</v>
      </c>
      <c r="N21" s="36" t="n">
        <f aca="false">IF(L21=0,"",M21/L21)</f>
        <v>1.37142857142857</v>
      </c>
      <c r="O21" s="36" t="n">
        <f aca="false">IFERROR((IF(H21="",0,H21*前提・入力!$B$7)+IF(K21="",0,K21*前提・入力!$B$8)+IF(N21="",0,N21*前提・入力!$B$9))/(IF(H21="",0,前提・入力!$B$7)+IF(K21="",0,前提・入力!$B$8)+IF(N21="",0,前提・入力!$B$9)),前提・入力!$B$11)</f>
        <v>1.3436454671354</v>
      </c>
      <c r="P21" s="35" t="n">
        <f aca="false">ROUND(E21*O21,0)</f>
        <v>23</v>
      </c>
      <c r="Q21" s="34" t="n">
        <f aca="false">P21*D21</f>
        <v>13800</v>
      </c>
      <c r="R21" s="37" t="n">
        <f aca="false">IFERROR(P21/P$49,0)</f>
        <v>0.0044651523975927</v>
      </c>
      <c r="S21" s="35" t="n">
        <v>96</v>
      </c>
      <c r="T21" s="37" t="n">
        <f aca="false">IFERROR(P21/S21,0)</f>
        <v>0.239583333333333</v>
      </c>
      <c r="U21" s="35" t="n">
        <f aca="false">MAX(0,S21-P21)</f>
        <v>73</v>
      </c>
      <c r="V21" s="38" t="n">
        <f aca="false">P21-S21</f>
        <v>-73</v>
      </c>
      <c r="W21" s="39" t="str">
        <f aca="false">IF(V21&gt;0,"会期中に在庫切れ",IF(T21&gt;=0.9,"要注意(90%超)",IF(T21&gt;=0.5,"適正","在庫余剰")))</f>
        <v>在庫余剰</v>
      </c>
    </row>
    <row r="22" customFormat="false" ht="15" hidden="false" customHeight="false" outlineLevel="0" collapsed="false">
      <c r="A22" s="32" t="n">
        <v>16</v>
      </c>
      <c r="B22" s="32" t="s">
        <v>316</v>
      </c>
      <c r="C22" s="33" t="s">
        <v>317</v>
      </c>
      <c r="D22" s="34" t="n">
        <v>600</v>
      </c>
      <c r="E22" s="35" t="n">
        <v>4</v>
      </c>
      <c r="F22" s="35" t="n">
        <v>18</v>
      </c>
      <c r="G22" s="35" t="n">
        <v>25</v>
      </c>
      <c r="H22" s="36" t="n">
        <f aca="false">IF(F22=0,"",G22/F22)</f>
        <v>1.38888888888889</v>
      </c>
      <c r="I22" s="35" t="n">
        <v>47</v>
      </c>
      <c r="J22" s="35" t="n">
        <v>62</v>
      </c>
      <c r="K22" s="36" t="n">
        <f aca="false">IF(I22=0,"",J22/I22)</f>
        <v>1.31914893617021</v>
      </c>
      <c r="L22" s="35" t="n">
        <v>11</v>
      </c>
      <c r="M22" s="35" t="n">
        <v>19</v>
      </c>
      <c r="N22" s="36" t="n">
        <f aca="false">IF(L22=0,"",M22/L22)</f>
        <v>1.72727272727273</v>
      </c>
      <c r="O22" s="36" t="n">
        <f aca="false">IFERROR((IF(H22="",0,H22*前提・入力!$B$7)+IF(K22="",0,K22*前提・入力!$B$8)+IF(N22="",0,N22*前提・入力!$B$9))/(IF(H22="",0,前提・入力!$B$7)+IF(K22="",0,前提・入力!$B$8)+IF(N22="",0,前提・入力!$B$9)),前提・入力!$B$11)</f>
        <v>1.54064581990114</v>
      </c>
      <c r="P22" s="35" t="n">
        <f aca="false">ROUND(E22*O22,0)</f>
        <v>6</v>
      </c>
      <c r="Q22" s="34" t="n">
        <f aca="false">P22*D22</f>
        <v>3600</v>
      </c>
      <c r="R22" s="37" t="n">
        <f aca="false">IFERROR(P22/P$49,0)</f>
        <v>0.0011648223645894</v>
      </c>
      <c r="S22" s="35" t="n">
        <v>78</v>
      </c>
      <c r="T22" s="37" t="n">
        <f aca="false">IFERROR(P22/S22,0)</f>
        <v>0.0769230769230769</v>
      </c>
      <c r="U22" s="35" t="n">
        <f aca="false">MAX(0,S22-P22)</f>
        <v>72</v>
      </c>
      <c r="V22" s="38" t="n">
        <f aca="false">P22-S22</f>
        <v>-72</v>
      </c>
      <c r="W22" s="39" t="str">
        <f aca="false">IF(V22&gt;0,"会期中に在庫切れ",IF(T22&gt;=0.9,"要注意(90%超)",IF(T22&gt;=0.5,"適正","在庫余剰")))</f>
        <v>在庫余剰</v>
      </c>
    </row>
    <row r="23" customFormat="false" ht="15" hidden="false" customHeight="false" outlineLevel="0" collapsed="false">
      <c r="A23" s="32" t="n">
        <v>17</v>
      </c>
      <c r="B23" s="32" t="s">
        <v>318</v>
      </c>
      <c r="C23" s="33" t="s">
        <v>319</v>
      </c>
      <c r="D23" s="34" t="n">
        <v>600</v>
      </c>
      <c r="E23" s="35" t="n">
        <v>30</v>
      </c>
      <c r="F23" s="35" t="n">
        <v>64</v>
      </c>
      <c r="G23" s="35" t="n">
        <v>90</v>
      </c>
      <c r="H23" s="36" t="n">
        <f aca="false">IF(F23=0,"",G23/F23)</f>
        <v>1.40625</v>
      </c>
      <c r="I23" s="35" t="n">
        <v>192</v>
      </c>
      <c r="J23" s="35" t="n">
        <v>235</v>
      </c>
      <c r="K23" s="36" t="n">
        <f aca="false">IF(I23=0,"",J23/I23)</f>
        <v>1.22395833333333</v>
      </c>
      <c r="L23" s="35" t="n">
        <v>69</v>
      </c>
      <c r="M23" s="35" t="n">
        <v>96</v>
      </c>
      <c r="N23" s="36" t="n">
        <f aca="false">IF(L23=0,"",M23/L23)</f>
        <v>1.39130434782609</v>
      </c>
      <c r="O23" s="36" t="n">
        <f aca="false">IFERROR((IF(H23="",0,H23*前提・入力!$B$7)+IF(K23="",0,K23*前提・入力!$B$8)+IF(N23="",0,N23*前提・入力!$B$9))/(IF(H23="",0,前提・入力!$B$7)+IF(K23="",0,前提・入力!$B$8)+IF(N23="",0,前提・入力!$B$9)),前提・入力!$B$11)</f>
        <v>1.35320425724638</v>
      </c>
      <c r="P23" s="35" t="n">
        <f aca="false">ROUND(E23*O23,0)</f>
        <v>41</v>
      </c>
      <c r="Q23" s="34" t="n">
        <f aca="false">P23*D23</f>
        <v>24600</v>
      </c>
      <c r="R23" s="37" t="n">
        <f aca="false">IFERROR(P23/P$49,0)</f>
        <v>0.0079596194913609</v>
      </c>
      <c r="S23" s="35" t="n">
        <v>200</v>
      </c>
      <c r="T23" s="37" t="n">
        <f aca="false">IFERROR(P23/S23,0)</f>
        <v>0.205</v>
      </c>
      <c r="U23" s="35" t="n">
        <f aca="false">MAX(0,S23-P23)</f>
        <v>159</v>
      </c>
      <c r="V23" s="38" t="n">
        <f aca="false">P23-S23</f>
        <v>-159</v>
      </c>
      <c r="W23" s="39" t="str">
        <f aca="false">IF(V23&gt;0,"会期中に在庫切れ",IF(T23&gt;=0.9,"要注意(90%超)",IF(T23&gt;=0.5,"適正","在庫余剰")))</f>
        <v>在庫余剰</v>
      </c>
    </row>
    <row r="24" customFormat="false" ht="15" hidden="false" customHeight="false" outlineLevel="0" collapsed="false">
      <c r="A24" s="32" t="n">
        <v>18</v>
      </c>
      <c r="B24" s="32" t="s">
        <v>320</v>
      </c>
      <c r="C24" s="33" t="s">
        <v>321</v>
      </c>
      <c r="D24" s="34" t="n">
        <v>600</v>
      </c>
      <c r="E24" s="35" t="n">
        <v>122</v>
      </c>
      <c r="F24" s="35" t="n">
        <v>607</v>
      </c>
      <c r="G24" s="35" t="n">
        <v>723</v>
      </c>
      <c r="H24" s="36" t="n">
        <f aca="false">IF(F24=0,"",G24/F24)</f>
        <v>1.19110378912685</v>
      </c>
      <c r="I24" s="35" t="n">
        <v>1606</v>
      </c>
      <c r="J24" s="35" t="n">
        <v>1903</v>
      </c>
      <c r="K24" s="36" t="n">
        <f aca="false">IF(I24=0,"",J24/I24)</f>
        <v>1.18493150684932</v>
      </c>
      <c r="L24" s="35" t="n">
        <v>319</v>
      </c>
      <c r="M24" s="35" t="n">
        <v>416</v>
      </c>
      <c r="N24" s="36" t="n">
        <f aca="false">IF(L24=0,"",M24/L24)</f>
        <v>1.30407523510972</v>
      </c>
      <c r="O24" s="36" t="n">
        <f aca="false">IFERROR((IF(H24="",0,H24*前提・入力!$B$7)+IF(K24="",0,K24*前提・入力!$B$8)+IF(N24="",0,N24*前提・入力!$B$9))/(IF(H24="",0,前提・入力!$B$7)+IF(K24="",0,前提・入力!$B$8)+IF(N24="",0,前提・入力!$B$9)),前提・入力!$B$11)</f>
        <v>1.2460464415489</v>
      </c>
      <c r="P24" s="35" t="n">
        <f aca="false">ROUND(E24*O24,0)</f>
        <v>152</v>
      </c>
      <c r="Q24" s="34" t="n">
        <f aca="false">P24*D24</f>
        <v>91200</v>
      </c>
      <c r="R24" s="37" t="n">
        <f aca="false">IFERROR(P24/P$49,0)</f>
        <v>0.0295088332362648</v>
      </c>
      <c r="S24" s="35" t="n">
        <v>1157</v>
      </c>
      <c r="T24" s="37" t="n">
        <f aca="false">IFERROR(P24/S24,0)</f>
        <v>0.131374243733794</v>
      </c>
      <c r="U24" s="35" t="n">
        <f aca="false">MAX(0,S24-P24)</f>
        <v>1005</v>
      </c>
      <c r="V24" s="38" t="n">
        <f aca="false">P24-S24</f>
        <v>-1005</v>
      </c>
      <c r="W24" s="39" t="str">
        <f aca="false">IF(V24&gt;0,"会期中に在庫切れ",IF(T24&gt;=0.9,"要注意(90%超)",IF(T24&gt;=0.5,"適正","在庫余剰")))</f>
        <v>在庫余剰</v>
      </c>
    </row>
    <row r="25" customFormat="false" ht="15" hidden="false" customHeight="false" outlineLevel="0" collapsed="false">
      <c r="A25" s="32" t="n">
        <v>19</v>
      </c>
      <c r="B25" s="32" t="s">
        <v>322</v>
      </c>
      <c r="C25" s="33" t="s">
        <v>323</v>
      </c>
      <c r="D25" s="34" t="n">
        <v>600</v>
      </c>
      <c r="E25" s="35" t="n">
        <v>4</v>
      </c>
      <c r="F25" s="35" t="n">
        <v>18</v>
      </c>
      <c r="G25" s="35" t="n">
        <v>19</v>
      </c>
      <c r="H25" s="36" t="n">
        <f aca="false">IF(F25=0,"",G25/F25)</f>
        <v>1.05555555555556</v>
      </c>
      <c r="I25" s="35" t="n">
        <v>34</v>
      </c>
      <c r="J25" s="35" t="n">
        <v>42</v>
      </c>
      <c r="K25" s="36" t="n">
        <f aca="false">IF(I25=0,"",J25/I25)</f>
        <v>1.23529411764706</v>
      </c>
      <c r="L25" s="35" t="n">
        <v>14</v>
      </c>
      <c r="M25" s="35" t="n">
        <v>19</v>
      </c>
      <c r="N25" s="36" t="n">
        <f aca="false">IF(L25=0,"",M25/L25)</f>
        <v>1.35714285714286</v>
      </c>
      <c r="O25" s="36" t="n">
        <f aca="false">IFERROR((IF(H25="",0,H25*前提・入力!$B$7)+IF(K25="",0,K25*前提・入力!$B$8)+IF(N25="",0,N25*前提・入力!$B$9))/(IF(H25="",0,前提・入力!$B$7)+IF(K25="",0,前提・入力!$B$8)+IF(N25="",0,前提・入力!$B$9)),前提・入力!$B$11)</f>
        <v>1.25128384687208</v>
      </c>
      <c r="P25" s="35" t="n">
        <f aca="false">ROUND(E25*O25,0)</f>
        <v>5</v>
      </c>
      <c r="Q25" s="34" t="n">
        <f aca="false">P25*D25</f>
        <v>3000</v>
      </c>
      <c r="R25" s="37" t="n">
        <f aca="false">IFERROR(P25/P$49,0)</f>
        <v>0.0009706853038245</v>
      </c>
      <c r="S25" s="35" t="n">
        <v>129</v>
      </c>
      <c r="T25" s="37" t="n">
        <f aca="false">IFERROR(P25/S25,0)</f>
        <v>0.0387596899224806</v>
      </c>
      <c r="U25" s="35" t="n">
        <f aca="false">MAX(0,S25-P25)</f>
        <v>124</v>
      </c>
      <c r="V25" s="38" t="n">
        <f aca="false">P25-S25</f>
        <v>-124</v>
      </c>
      <c r="W25" s="39" t="str">
        <f aca="false">IF(V25&gt;0,"会期中に在庫切れ",IF(T25&gt;=0.9,"要注意(90%超)",IF(T25&gt;=0.5,"適正","在庫余剰")))</f>
        <v>在庫余剰</v>
      </c>
    </row>
    <row r="26" customFormat="false" ht="15" hidden="false" customHeight="false" outlineLevel="0" collapsed="false">
      <c r="A26" s="32" t="n">
        <v>20</v>
      </c>
      <c r="B26" s="32" t="s">
        <v>324</v>
      </c>
      <c r="C26" s="33" t="s">
        <v>325</v>
      </c>
      <c r="D26" s="34" t="n">
        <v>600</v>
      </c>
      <c r="E26" s="35" t="n">
        <v>5</v>
      </c>
      <c r="F26" s="35" t="n">
        <v>15</v>
      </c>
      <c r="G26" s="35" t="n">
        <v>15</v>
      </c>
      <c r="H26" s="36" t="n">
        <f aca="false">IF(F26=0,"",G26/F26)</f>
        <v>1</v>
      </c>
      <c r="I26" s="35" t="n">
        <v>26</v>
      </c>
      <c r="J26" s="35" t="n">
        <v>38</v>
      </c>
      <c r="K26" s="36" t="n">
        <f aca="false">IF(I26=0,"",J26/I26)</f>
        <v>1.46153846153846</v>
      </c>
      <c r="L26" s="35" t="n">
        <v>11</v>
      </c>
      <c r="M26" s="35" t="n">
        <v>16</v>
      </c>
      <c r="N26" s="36" t="n">
        <f aca="false">IF(L26=0,"",M26/L26)</f>
        <v>1.45454545454545</v>
      </c>
      <c r="O26" s="36" t="n">
        <f aca="false">IFERROR((IF(H26="",0,H26*前提・入力!$B$7)+IF(K26="",0,K26*前提・入力!$B$8)+IF(N26="",0,N26*前提・入力!$B$9))/(IF(H26="",0,前提・入力!$B$7)+IF(K26="",0,前提・入力!$B$8)+IF(N26="",0,前提・入力!$B$9)),前提・入力!$B$11)</f>
        <v>1.34265734265734</v>
      </c>
      <c r="P26" s="35" t="n">
        <f aca="false">ROUND(E26*O26,0)</f>
        <v>7</v>
      </c>
      <c r="Q26" s="34" t="n">
        <f aca="false">P26*D26</f>
        <v>4200</v>
      </c>
      <c r="R26" s="37" t="n">
        <f aca="false">IFERROR(P26/P$49,0)</f>
        <v>0.0013589594253543</v>
      </c>
      <c r="S26" s="35" t="n">
        <v>17</v>
      </c>
      <c r="T26" s="37" t="n">
        <f aca="false">IFERROR(P26/S26,0)</f>
        <v>0.411764705882353</v>
      </c>
      <c r="U26" s="35" t="n">
        <f aca="false">MAX(0,S26-P26)</f>
        <v>10</v>
      </c>
      <c r="V26" s="38" t="n">
        <f aca="false">P26-S26</f>
        <v>-10</v>
      </c>
      <c r="W26" s="39" t="str">
        <f aca="false">IF(V26&gt;0,"会期中に在庫切れ",IF(T26&gt;=0.9,"要注意(90%超)",IF(T26&gt;=0.5,"適正","在庫余剰")))</f>
        <v>在庫余剰</v>
      </c>
    </row>
    <row r="27" customFormat="false" ht="15" hidden="false" customHeight="false" outlineLevel="0" collapsed="false">
      <c r="A27" s="32" t="n">
        <v>21</v>
      </c>
      <c r="B27" s="32" t="s">
        <v>326</v>
      </c>
      <c r="C27" s="33" t="s">
        <v>327</v>
      </c>
      <c r="D27" s="34" t="n">
        <v>600</v>
      </c>
      <c r="E27" s="35" t="n">
        <v>23</v>
      </c>
      <c r="F27" s="35" t="n">
        <v>103</v>
      </c>
      <c r="G27" s="35" t="n">
        <v>134</v>
      </c>
      <c r="H27" s="36" t="n">
        <f aca="false">IF(F27=0,"",G27/F27)</f>
        <v>1.30097087378641</v>
      </c>
      <c r="I27" s="35" t="n">
        <v>175</v>
      </c>
      <c r="J27" s="35" t="n">
        <v>221</v>
      </c>
      <c r="K27" s="36" t="n">
        <f aca="false">IF(I27=0,"",J27/I27)</f>
        <v>1.26285714285714</v>
      </c>
      <c r="L27" s="35" t="n">
        <v>58</v>
      </c>
      <c r="M27" s="35" t="n">
        <v>78</v>
      </c>
      <c r="N27" s="36" t="n">
        <f aca="false">IF(L27=0,"",M27/L27)</f>
        <v>1.3448275862069</v>
      </c>
      <c r="O27" s="36" t="n">
        <f aca="false">IFERROR((IF(H27="",0,H27*前提・入力!$B$7)+IF(K27="",0,K27*前提・入力!$B$8)+IF(N27="",0,N27*前提・入力!$B$9))/(IF(H27="",0,前提・入力!$B$7)+IF(K27="",0,前提・入力!$B$8)+IF(N27="",0,前提・入力!$B$9)),前提・入力!$B$11)</f>
        <v>1.31337079726434</v>
      </c>
      <c r="P27" s="35" t="n">
        <f aca="false">ROUND(E27*O27,0)</f>
        <v>30</v>
      </c>
      <c r="Q27" s="34" t="n">
        <f aca="false">P27*D27</f>
        <v>18000</v>
      </c>
      <c r="R27" s="37" t="n">
        <f aca="false">IFERROR(P27/P$49,0)</f>
        <v>0.005824111822947</v>
      </c>
      <c r="S27" s="35" t="n">
        <v>32</v>
      </c>
      <c r="T27" s="37" t="n">
        <f aca="false">IFERROR(P27/S27,0)</f>
        <v>0.9375</v>
      </c>
      <c r="U27" s="35" t="n">
        <f aca="false">MAX(0,S27-P27)</f>
        <v>2</v>
      </c>
      <c r="V27" s="38" t="n">
        <f aca="false">P27-S27</f>
        <v>-2</v>
      </c>
      <c r="W27" s="39" t="str">
        <f aca="false">IF(V27&gt;0,"会期中に在庫切れ",IF(T27&gt;=0.9,"要注意(90%超)",IF(T27&gt;=0.5,"適正","在庫余剰")))</f>
        <v>要注意(90%超)</v>
      </c>
    </row>
    <row r="28" customFormat="false" ht="15" hidden="false" customHeight="false" outlineLevel="0" collapsed="false">
      <c r="A28" s="32" t="n">
        <v>22</v>
      </c>
      <c r="B28" s="32" t="s">
        <v>328</v>
      </c>
      <c r="C28" s="33" t="s">
        <v>329</v>
      </c>
      <c r="D28" s="34" t="n">
        <v>600</v>
      </c>
      <c r="E28" s="35" t="n">
        <v>19</v>
      </c>
      <c r="F28" s="35" t="n">
        <v>49</v>
      </c>
      <c r="G28" s="35" t="n">
        <v>75</v>
      </c>
      <c r="H28" s="36" t="n">
        <f aca="false">IF(F28=0,"",G28/F28)</f>
        <v>1.53061224489796</v>
      </c>
      <c r="I28" s="35" t="n">
        <v>121</v>
      </c>
      <c r="J28" s="35" t="n">
        <v>157</v>
      </c>
      <c r="K28" s="36" t="n">
        <f aca="false">IF(I28=0,"",J28/I28)</f>
        <v>1.29752066115702</v>
      </c>
      <c r="L28" s="35" t="n">
        <v>33</v>
      </c>
      <c r="M28" s="35" t="n">
        <v>46</v>
      </c>
      <c r="N28" s="36" t="n">
        <f aca="false">IF(L28=0,"",M28/L28)</f>
        <v>1.39393939393939</v>
      </c>
      <c r="O28" s="36" t="n">
        <f aca="false">IFERROR((IF(H28="",0,H28*前提・入力!$B$7)+IF(K28="",0,K28*前提・入力!$B$8)+IF(N28="",0,N28*前提・入力!$B$9))/(IF(H28="",0,前提・入力!$B$7)+IF(K28="",0,前提・入力!$B$8)+IF(N28="",0,前提・入力!$B$9)),前提・入力!$B$11)</f>
        <v>1.40400292348344</v>
      </c>
      <c r="P28" s="35" t="n">
        <f aca="false">ROUND(E28*O28,0)</f>
        <v>27</v>
      </c>
      <c r="Q28" s="34" t="n">
        <f aca="false">P28*D28</f>
        <v>16200</v>
      </c>
      <c r="R28" s="37" t="n">
        <f aca="false">IFERROR(P28/P$49,0)</f>
        <v>0.0052417006406523</v>
      </c>
      <c r="S28" s="35" t="n">
        <v>150</v>
      </c>
      <c r="T28" s="37" t="n">
        <f aca="false">IFERROR(P28/S28,0)</f>
        <v>0.18</v>
      </c>
      <c r="U28" s="35" t="n">
        <f aca="false">MAX(0,S28-P28)</f>
        <v>123</v>
      </c>
      <c r="V28" s="38" t="n">
        <f aca="false">P28-S28</f>
        <v>-123</v>
      </c>
      <c r="W28" s="39" t="str">
        <f aca="false">IF(V28&gt;0,"会期中に在庫切れ",IF(T28&gt;=0.9,"要注意(90%超)",IF(T28&gt;=0.5,"適正","在庫余剰")))</f>
        <v>在庫余剰</v>
      </c>
    </row>
    <row r="29" customFormat="false" ht="15" hidden="false" customHeight="false" outlineLevel="0" collapsed="false">
      <c r="A29" s="32" t="n">
        <v>23</v>
      </c>
      <c r="B29" s="32" t="s">
        <v>330</v>
      </c>
      <c r="C29" s="33" t="s">
        <v>331</v>
      </c>
      <c r="D29" s="34" t="n">
        <v>600</v>
      </c>
      <c r="E29" s="35" t="n">
        <v>1018</v>
      </c>
      <c r="F29" s="35" t="n">
        <v>4567</v>
      </c>
      <c r="G29" s="35" t="n">
        <v>6249</v>
      </c>
      <c r="H29" s="36" t="n">
        <f aca="false">IF(F29=0,"",G29/F29)</f>
        <v>1.36829428508868</v>
      </c>
      <c r="I29" s="35" t="n">
        <v>9873</v>
      </c>
      <c r="J29" s="35" t="n">
        <v>11830</v>
      </c>
      <c r="K29" s="36" t="n">
        <f aca="false">IF(I29=0,"",J29/I29)</f>
        <v>1.19821736047807</v>
      </c>
      <c r="L29" s="35" t="n">
        <v>1568</v>
      </c>
      <c r="M29" s="35" t="n">
        <v>1967</v>
      </c>
      <c r="N29" s="36" t="n">
        <f aca="false">IF(L29=0,"",M29/L29)</f>
        <v>1.25446428571429</v>
      </c>
      <c r="O29" s="36" t="n">
        <f aca="false">IFERROR((IF(H29="",0,H29*前提・入力!$B$7)+IF(K29="",0,K29*前提・入力!$B$8)+IF(N29="",0,N29*前提・入力!$B$9))/(IF(H29="",0,前提・入力!$B$7)+IF(K29="",0,前提・入力!$B$8)+IF(N29="",0,前提・入力!$B$9)),前提・入力!$B$11)</f>
        <v>1.26886005424883</v>
      </c>
      <c r="P29" s="35" t="n">
        <f aca="false">ROUND(E29*O29,0)</f>
        <v>1292</v>
      </c>
      <c r="Q29" s="34" t="n">
        <f aca="false">P29*D29</f>
        <v>775200</v>
      </c>
      <c r="R29" s="37" t="n">
        <f aca="false">IFERROR(P29/P$49,0)</f>
        <v>0.250825082508251</v>
      </c>
      <c r="S29" s="35" t="n">
        <v>9325</v>
      </c>
      <c r="T29" s="37" t="n">
        <f aca="false">IFERROR(P29/S29,0)</f>
        <v>0.138552278820375</v>
      </c>
      <c r="U29" s="35" t="n">
        <f aca="false">MAX(0,S29-P29)</f>
        <v>8033</v>
      </c>
      <c r="V29" s="38" t="n">
        <f aca="false">P29-S29</f>
        <v>-8033</v>
      </c>
      <c r="W29" s="39" t="str">
        <f aca="false">IF(V29&gt;0,"会期中に在庫切れ",IF(T29&gt;=0.9,"要注意(90%超)",IF(T29&gt;=0.5,"適正","在庫余剰")))</f>
        <v>在庫余剰</v>
      </c>
    </row>
    <row r="30" customFormat="false" ht="15" hidden="false" customHeight="false" outlineLevel="0" collapsed="false">
      <c r="A30" s="32" t="n">
        <v>24</v>
      </c>
      <c r="B30" s="32" t="s">
        <v>332</v>
      </c>
      <c r="C30" s="33" t="s">
        <v>333</v>
      </c>
      <c r="D30" s="34" t="n">
        <v>600</v>
      </c>
      <c r="E30" s="35" t="n">
        <v>668</v>
      </c>
      <c r="F30" s="35" t="n">
        <v>2692</v>
      </c>
      <c r="G30" s="35" t="n">
        <v>3777</v>
      </c>
      <c r="H30" s="36" t="n">
        <f aca="false">IF(F30=0,"",G30/F30)</f>
        <v>1.40304606240713</v>
      </c>
      <c r="I30" s="35" t="n">
        <v>5350</v>
      </c>
      <c r="J30" s="35" t="n">
        <v>6411</v>
      </c>
      <c r="K30" s="36" t="n">
        <f aca="false">IF(I30=0,"",J30/I30)</f>
        <v>1.19831775700935</v>
      </c>
      <c r="L30" s="35" t="n">
        <v>872</v>
      </c>
      <c r="M30" s="35" t="n">
        <v>1124</v>
      </c>
      <c r="N30" s="36" t="n">
        <f aca="false">IF(L30=0,"",M30/L30)</f>
        <v>1.28899082568807</v>
      </c>
      <c r="O30" s="36" t="n">
        <f aca="false">IFERROR((IF(H30="",0,H30*前提・入力!$B$7)+IF(K30="",0,K30*前提・入力!$B$8)+IF(N30="",0,N30*前提・入力!$B$9))/(IF(H30="",0,前提・入力!$B$7)+IF(K30="",0,前提・入力!$B$8)+IF(N30="",0,前提・入力!$B$9)),前提・入力!$B$11)</f>
        <v>1.29483636769816</v>
      </c>
      <c r="P30" s="35" t="n">
        <f aca="false">ROUND(E30*O30,0)</f>
        <v>865</v>
      </c>
      <c r="Q30" s="34" t="n">
        <f aca="false">P30*D30</f>
        <v>519000</v>
      </c>
      <c r="R30" s="37" t="n">
        <f aca="false">IFERROR(P30/P$49,0)</f>
        <v>0.167928557561639</v>
      </c>
      <c r="S30" s="35" t="n">
        <v>7284</v>
      </c>
      <c r="T30" s="37" t="n">
        <f aca="false">IFERROR(P30/S30,0)</f>
        <v>0.118753432180121</v>
      </c>
      <c r="U30" s="35" t="n">
        <f aca="false">MAX(0,S30-P30)</f>
        <v>6419</v>
      </c>
      <c r="V30" s="38" t="n">
        <f aca="false">P30-S30</f>
        <v>-6419</v>
      </c>
      <c r="W30" s="39" t="str">
        <f aca="false">IF(V30&gt;0,"会期中に在庫切れ",IF(T30&gt;=0.9,"要注意(90%超)",IF(T30&gt;=0.5,"適正","在庫余剰")))</f>
        <v>在庫余剰</v>
      </c>
    </row>
    <row r="31" customFormat="false" ht="15" hidden="false" customHeight="false" outlineLevel="0" collapsed="false">
      <c r="A31" s="32" t="n">
        <v>25</v>
      </c>
      <c r="B31" s="32" t="s">
        <v>334</v>
      </c>
      <c r="C31" s="33" t="s">
        <v>335</v>
      </c>
      <c r="D31" s="34" t="n">
        <v>1500</v>
      </c>
      <c r="E31" s="35" t="n">
        <v>43</v>
      </c>
      <c r="F31" s="35" t="n">
        <v>97</v>
      </c>
      <c r="G31" s="35" t="n">
        <v>134</v>
      </c>
      <c r="H31" s="36" t="n">
        <f aca="false">IF(F31=0,"",G31/F31)</f>
        <v>1.38144329896907</v>
      </c>
      <c r="I31" s="35" t="n">
        <v>174</v>
      </c>
      <c r="J31" s="35" t="n">
        <v>228</v>
      </c>
      <c r="K31" s="36" t="n">
        <f aca="false">IF(I31=0,"",J31/I31)</f>
        <v>1.31034482758621</v>
      </c>
      <c r="L31" s="35" t="n">
        <v>38</v>
      </c>
      <c r="M31" s="35" t="n">
        <v>52</v>
      </c>
      <c r="N31" s="36" t="n">
        <f aca="false">IF(L31=0,"",M31/L31)</f>
        <v>1.36842105263158</v>
      </c>
      <c r="O31" s="36" t="n">
        <f aca="false">IFERROR((IF(H31="",0,H31*前提・入力!$B$7)+IF(K31="",0,K31*前提・入力!$B$8)+IF(N31="",0,N31*前提・入力!$B$9))/(IF(H31="",0,前提・入力!$B$7)+IF(K31="",0,前提・入力!$B$8)+IF(N31="",0,前提・入力!$B$9)),前提・入力!$B$11)</f>
        <v>1.35715755795461</v>
      </c>
      <c r="P31" s="35" t="n">
        <f aca="false">ROUND(E31*O31,0)</f>
        <v>58</v>
      </c>
      <c r="Q31" s="34" t="n">
        <f aca="false">P31*D31</f>
        <v>87000</v>
      </c>
      <c r="R31" s="37" t="n">
        <f aca="false">IFERROR(P31/P$49,0)</f>
        <v>0.0112599495243642</v>
      </c>
      <c r="S31" s="35" t="n">
        <v>176</v>
      </c>
      <c r="T31" s="37" t="n">
        <f aca="false">IFERROR(P31/S31,0)</f>
        <v>0.329545454545455</v>
      </c>
      <c r="U31" s="35" t="n">
        <f aca="false">MAX(0,S31-P31)</f>
        <v>118</v>
      </c>
      <c r="V31" s="38" t="n">
        <f aca="false">P31-S31</f>
        <v>-118</v>
      </c>
      <c r="W31" s="39" t="str">
        <f aca="false">IF(V31&gt;0,"会期中に在庫切れ",IF(T31&gt;=0.9,"要注意(90%超)",IF(T31&gt;=0.5,"適正","在庫余剰")))</f>
        <v>在庫余剰</v>
      </c>
    </row>
    <row r="32" customFormat="false" ht="15" hidden="false" customHeight="false" outlineLevel="0" collapsed="false">
      <c r="A32" s="32" t="n">
        <v>26</v>
      </c>
      <c r="B32" s="32" t="s">
        <v>336</v>
      </c>
      <c r="C32" s="33" t="s">
        <v>337</v>
      </c>
      <c r="D32" s="34" t="n">
        <v>2200</v>
      </c>
      <c r="E32" s="35" t="n">
        <v>50</v>
      </c>
      <c r="F32" s="35" t="n">
        <v>255</v>
      </c>
      <c r="G32" s="35" t="n">
        <v>337</v>
      </c>
      <c r="H32" s="36" t="n">
        <f aca="false">IF(F32=0,"",G32/F32)</f>
        <v>1.32156862745098</v>
      </c>
      <c r="I32" s="35" t="n">
        <v>645</v>
      </c>
      <c r="J32" s="35" t="n">
        <v>779</v>
      </c>
      <c r="K32" s="36" t="n">
        <f aca="false">IF(I32=0,"",J32/I32)</f>
        <v>1.2077519379845</v>
      </c>
      <c r="L32" s="35" t="n">
        <v>124</v>
      </c>
      <c r="M32" s="35" t="n">
        <v>188</v>
      </c>
      <c r="N32" s="36" t="n">
        <f aca="false">IF(L32=0,"",M32/L32)</f>
        <v>1.51612903225806</v>
      </c>
      <c r="O32" s="36" t="n">
        <f aca="false">IFERROR((IF(H32="",0,H32*前提・入力!$B$7)+IF(K32="",0,K32*前提・入力!$B$8)+IF(N32="",0,N32*前提・入力!$B$9))/(IF(H32="",0,前提・入力!$B$7)+IF(K32="",0,前提・入力!$B$8)+IF(N32="",0,前提・入力!$B$9)),前提・入力!$B$11)</f>
        <v>1.3903946574879</v>
      </c>
      <c r="P32" s="35" t="n">
        <f aca="false">ROUND(E32*O32,0)</f>
        <v>70</v>
      </c>
      <c r="Q32" s="34" t="n">
        <f aca="false">P32*D32</f>
        <v>154000</v>
      </c>
      <c r="R32" s="37" t="n">
        <f aca="false">IFERROR(P32/P$49,0)</f>
        <v>0.013589594253543</v>
      </c>
      <c r="S32" s="35" t="n">
        <v>50</v>
      </c>
      <c r="T32" s="37" t="n">
        <f aca="false">IFERROR(P32/S32,0)</f>
        <v>1.4</v>
      </c>
      <c r="U32" s="35" t="n">
        <f aca="false">MAX(0,S32-P32)</f>
        <v>0</v>
      </c>
      <c r="V32" s="38" t="n">
        <f aca="false">P32-S32</f>
        <v>20</v>
      </c>
      <c r="W32" s="39" t="str">
        <f aca="false">IF(V32&gt;0,"会期中に在庫切れ",IF(T32&gt;=0.9,"要注意(90%超)",IF(T32&gt;=0.5,"適正","在庫余剰")))</f>
        <v>会期中に在庫切れ</v>
      </c>
    </row>
    <row r="33" customFormat="false" ht="15" hidden="false" customHeight="false" outlineLevel="0" collapsed="false">
      <c r="A33" s="32" t="n">
        <v>27</v>
      </c>
      <c r="B33" s="32" t="s">
        <v>338</v>
      </c>
      <c r="C33" s="33" t="s">
        <v>339</v>
      </c>
      <c r="D33" s="34" t="n">
        <v>1100</v>
      </c>
      <c r="E33" s="35" t="n">
        <v>13</v>
      </c>
      <c r="F33" s="35" t="n">
        <v>52</v>
      </c>
      <c r="G33" s="35" t="n">
        <v>69</v>
      </c>
      <c r="H33" s="36" t="n">
        <f aca="false">IF(F33=0,"",G33/F33)</f>
        <v>1.32692307692308</v>
      </c>
      <c r="I33" s="35" t="n">
        <v>103</v>
      </c>
      <c r="J33" s="35" t="n">
        <v>134</v>
      </c>
      <c r="K33" s="36" t="n">
        <f aca="false">IF(I33=0,"",J33/I33)</f>
        <v>1.30097087378641</v>
      </c>
      <c r="L33" s="35" t="n">
        <v>31</v>
      </c>
      <c r="M33" s="35" t="n">
        <v>44</v>
      </c>
      <c r="N33" s="36" t="n">
        <f aca="false">IF(L33=0,"",M33/L33)</f>
        <v>1.41935483870968</v>
      </c>
      <c r="O33" s="36" t="n">
        <f aca="false">IFERROR((IF(H33="",0,H33*前提・入力!$B$7)+IF(K33="",0,K33*前提・入力!$B$8)+IF(N33="",0,N33*前提・入力!$B$9))/(IF(H33="",0,前提・入力!$B$7)+IF(K33="",0,前提・入力!$B$8)+IF(N33="",0,前提・入力!$B$9)),前提・入力!$B$11)</f>
        <v>1.36665090703221</v>
      </c>
      <c r="P33" s="35" t="n">
        <f aca="false">ROUND(E33*O33,0)</f>
        <v>18</v>
      </c>
      <c r="Q33" s="34" t="n">
        <f aca="false">P33*D33</f>
        <v>19800</v>
      </c>
      <c r="R33" s="37" t="n">
        <f aca="false">IFERROR(P33/P$49,0)</f>
        <v>0.0034944670937682</v>
      </c>
      <c r="S33" s="35" t="n">
        <v>70</v>
      </c>
      <c r="T33" s="37" t="n">
        <f aca="false">IFERROR(P33/S33,0)</f>
        <v>0.257142857142857</v>
      </c>
      <c r="U33" s="35" t="n">
        <f aca="false">MAX(0,S33-P33)</f>
        <v>52</v>
      </c>
      <c r="V33" s="38" t="n">
        <f aca="false">P33-S33</f>
        <v>-52</v>
      </c>
      <c r="W33" s="39" t="str">
        <f aca="false">IF(V33&gt;0,"会期中に在庫切れ",IF(T33&gt;=0.9,"要注意(90%超)",IF(T33&gt;=0.5,"適正","在庫余剰")))</f>
        <v>在庫余剰</v>
      </c>
    </row>
    <row r="34" customFormat="false" ht="15" hidden="false" customHeight="false" outlineLevel="0" collapsed="false">
      <c r="A34" s="32" t="n">
        <v>28</v>
      </c>
      <c r="B34" s="32" t="s">
        <v>340</v>
      </c>
      <c r="C34" s="33" t="s">
        <v>341</v>
      </c>
      <c r="D34" s="34" t="n">
        <v>1800</v>
      </c>
      <c r="E34" s="35" t="n">
        <v>80</v>
      </c>
      <c r="F34" s="35" t="n">
        <v>279</v>
      </c>
      <c r="G34" s="35" t="n">
        <v>333</v>
      </c>
      <c r="H34" s="36" t="n">
        <f aca="false">IF(F34=0,"",G34/F34)</f>
        <v>1.19354838709677</v>
      </c>
      <c r="I34" s="35" t="n">
        <v>400</v>
      </c>
      <c r="J34" s="35" t="n">
        <v>400</v>
      </c>
      <c r="K34" s="36" t="n">
        <f aca="false">IF(I34=0,"",J34/I34)</f>
        <v>1</v>
      </c>
      <c r="L34" s="35" t="n">
        <v>249</v>
      </c>
      <c r="M34" s="35" t="n">
        <v>300</v>
      </c>
      <c r="N34" s="36" t="n">
        <f aca="false">IF(L34=0,"",M34/L34)</f>
        <v>1.20481927710843</v>
      </c>
      <c r="O34" s="36" t="n">
        <f aca="false">IFERROR((IF(H34="",0,H34*前提・入力!$B$7)+IF(K34="",0,K34*前提・入力!$B$8)+IF(N34="",0,N34*前提・入力!$B$9))/(IF(H34="",0,前提・入力!$B$7)+IF(K34="",0,前提・入力!$B$8)+IF(N34="",0,前提・入力!$B$9)),前提・入力!$B$11)</f>
        <v>1.15079673532841</v>
      </c>
      <c r="P34" s="35" t="n">
        <f aca="false">ROUND(E34*O34,0)</f>
        <v>92</v>
      </c>
      <c r="Q34" s="34" t="n">
        <f aca="false">P34*D34</f>
        <v>165600</v>
      </c>
      <c r="R34" s="37" t="n">
        <f aca="false">IFERROR(P34/P$49,0)</f>
        <v>0.0178606095903708</v>
      </c>
      <c r="S34" s="35" t="n">
        <v>80</v>
      </c>
      <c r="T34" s="37" t="n">
        <f aca="false">IFERROR(P34/S34,0)</f>
        <v>1.15</v>
      </c>
      <c r="U34" s="35" t="n">
        <f aca="false">MAX(0,S34-P34)</f>
        <v>0</v>
      </c>
      <c r="V34" s="38" t="n">
        <f aca="false">P34-S34</f>
        <v>12</v>
      </c>
      <c r="W34" s="39" t="str">
        <f aca="false">IF(V34&gt;0,"会期中に在庫切れ",IF(T34&gt;=0.9,"要注意(90%超)",IF(T34&gt;=0.5,"適正","在庫余剰")))</f>
        <v>会期中に在庫切れ</v>
      </c>
    </row>
    <row r="35" customFormat="false" ht="15" hidden="false" customHeight="false" outlineLevel="0" collapsed="false">
      <c r="A35" s="32" t="n">
        <v>29</v>
      </c>
      <c r="B35" s="32" t="s">
        <v>342</v>
      </c>
      <c r="C35" s="33" t="s">
        <v>343</v>
      </c>
      <c r="D35" s="34" t="n">
        <v>1500</v>
      </c>
      <c r="E35" s="35" t="n">
        <v>71</v>
      </c>
      <c r="F35" s="35" t="n">
        <v>210</v>
      </c>
      <c r="G35" s="35" t="n">
        <v>249</v>
      </c>
      <c r="H35" s="36" t="n">
        <f aca="false">IF(F35=0,"",G35/F35)</f>
        <v>1.18571428571429</v>
      </c>
      <c r="I35" s="35" t="n">
        <v>200</v>
      </c>
      <c r="J35" s="35" t="n">
        <v>200</v>
      </c>
      <c r="K35" s="36" t="n">
        <f aca="false">IF(I35=0,"",J35/I35)</f>
        <v>1</v>
      </c>
      <c r="L35" s="35" t="n">
        <v>121</v>
      </c>
      <c r="M35" s="35" t="n">
        <v>149</v>
      </c>
      <c r="N35" s="36" t="n">
        <f aca="false">IF(L35=0,"",M35/L35)</f>
        <v>1.23140495867769</v>
      </c>
      <c r="O35" s="36" t="n">
        <f aca="false">IFERROR((IF(H35="",0,H35*前提・入力!$B$7)+IF(K35="",0,K35*前提・入力!$B$8)+IF(N35="",0,N35*前提・入力!$B$9))/(IF(H35="",0,前提・入力!$B$7)+IF(K35="",0,前提・入力!$B$8)+IF(N35="",0,前提・入力!$B$9)),前提・入力!$B$11)</f>
        <v>1.16213105076741</v>
      </c>
      <c r="P35" s="35" t="n">
        <f aca="false">ROUND(E35*O35,0)</f>
        <v>83</v>
      </c>
      <c r="Q35" s="34" t="n">
        <f aca="false">P35*D35</f>
        <v>124500</v>
      </c>
      <c r="R35" s="37" t="n">
        <f aca="false">IFERROR(P35/P$49,0)</f>
        <v>0.0161133760434867</v>
      </c>
      <c r="S35" s="35" t="n">
        <v>120</v>
      </c>
      <c r="T35" s="37" t="n">
        <f aca="false">IFERROR(P35/S35,0)</f>
        <v>0.691666666666667</v>
      </c>
      <c r="U35" s="35" t="n">
        <f aca="false">MAX(0,S35-P35)</f>
        <v>37</v>
      </c>
      <c r="V35" s="38" t="n">
        <f aca="false">P35-S35</f>
        <v>-37</v>
      </c>
      <c r="W35" s="39" t="str">
        <f aca="false">IF(V35&gt;0,"会期中に在庫切れ",IF(T35&gt;=0.9,"要注意(90%超)",IF(T35&gt;=0.5,"適正","在庫余剰")))</f>
        <v>適正</v>
      </c>
    </row>
    <row r="36" customFormat="false" ht="15" hidden="false" customHeight="false" outlineLevel="0" collapsed="false">
      <c r="A36" s="32" t="n">
        <v>30</v>
      </c>
      <c r="B36" s="32" t="s">
        <v>344</v>
      </c>
      <c r="C36" s="33" t="s">
        <v>345</v>
      </c>
      <c r="D36" s="34" t="n">
        <v>3300</v>
      </c>
      <c r="E36" s="35" t="n">
        <v>34</v>
      </c>
      <c r="F36" s="35" t="n">
        <v>46</v>
      </c>
      <c r="G36" s="35" t="n">
        <v>61</v>
      </c>
      <c r="H36" s="36" t="n">
        <f aca="false">IF(F36=0,"",G36/F36)</f>
        <v>1.32608695652174</v>
      </c>
      <c r="I36" s="35" t="n">
        <v>143</v>
      </c>
      <c r="J36" s="35" t="n">
        <v>183</v>
      </c>
      <c r="K36" s="36" t="n">
        <f aca="false">IF(I36=0,"",J36/I36)</f>
        <v>1.27972027972028</v>
      </c>
      <c r="L36" s="35" t="n">
        <v>46</v>
      </c>
      <c r="M36" s="35" t="n">
        <v>62</v>
      </c>
      <c r="N36" s="36" t="n">
        <f aca="false">IF(L36=0,"",M36/L36)</f>
        <v>1.34782608695652</v>
      </c>
      <c r="O36" s="36" t="n">
        <f aca="false">IFERROR((IF(H36="",0,H36*前提・入力!$B$7)+IF(K36="",0,K36*前提・入力!$B$8)+IF(N36="",0,N36*前提・入力!$B$9))/(IF(H36="",0,前提・入力!$B$7)+IF(K36="",0,前提・入力!$B$8)+IF(N36="",0,前提・入力!$B$9)),前提・入力!$B$11)</f>
        <v>1.32536485253877</v>
      </c>
      <c r="P36" s="35" t="n">
        <f aca="false">ROUND(E36*O36,0)</f>
        <v>45</v>
      </c>
      <c r="Q36" s="34" t="n">
        <f aca="false">P36*D36</f>
        <v>148500</v>
      </c>
      <c r="R36" s="37" t="n">
        <f aca="false">IFERROR(P36/P$49,0)</f>
        <v>0.0087361677344205</v>
      </c>
      <c r="S36" s="35" t="n">
        <v>278</v>
      </c>
      <c r="T36" s="37" t="n">
        <f aca="false">IFERROR(P36/S36,0)</f>
        <v>0.161870503597122</v>
      </c>
      <c r="U36" s="35" t="n">
        <f aca="false">MAX(0,S36-P36)</f>
        <v>233</v>
      </c>
      <c r="V36" s="38" t="n">
        <f aca="false">P36-S36</f>
        <v>-233</v>
      </c>
      <c r="W36" s="39" t="str">
        <f aca="false">IF(V36&gt;0,"会期中に在庫切れ",IF(T36&gt;=0.9,"要注意(90%超)",IF(T36&gt;=0.5,"適正","在庫余剰")))</f>
        <v>在庫余剰</v>
      </c>
    </row>
    <row r="37" customFormat="false" ht="15" hidden="false" customHeight="false" outlineLevel="0" collapsed="false">
      <c r="A37" s="32" t="n">
        <v>31</v>
      </c>
      <c r="B37" s="32" t="s">
        <v>346</v>
      </c>
      <c r="C37" s="33" t="s">
        <v>347</v>
      </c>
      <c r="D37" s="34" t="n">
        <v>1300</v>
      </c>
      <c r="E37" s="35" t="n">
        <v>47</v>
      </c>
      <c r="F37" s="35" t="n">
        <v>125</v>
      </c>
      <c r="G37" s="35" t="n">
        <v>155</v>
      </c>
      <c r="H37" s="36" t="n">
        <f aca="false">IF(F37=0,"",G37/F37)</f>
        <v>1.24</v>
      </c>
      <c r="I37" s="35" t="n">
        <v>316</v>
      </c>
      <c r="J37" s="35" t="n">
        <v>395</v>
      </c>
      <c r="K37" s="36" t="n">
        <f aca="false">IF(I37=0,"",J37/I37)</f>
        <v>1.25</v>
      </c>
      <c r="L37" s="35" t="n">
        <v>67</v>
      </c>
      <c r="M37" s="35" t="n">
        <v>91</v>
      </c>
      <c r="N37" s="36" t="n">
        <f aca="false">IF(L37=0,"",M37/L37)</f>
        <v>1.35820895522388</v>
      </c>
      <c r="O37" s="36" t="n">
        <f aca="false">IFERROR((IF(H37="",0,H37*前提・入力!$B$7)+IF(K37="",0,K37*前提・入力!$B$8)+IF(N37="",0,N37*前提・入力!$B$9))/(IF(H37="",0,前提・入力!$B$7)+IF(K37="",0,前提・入力!$B$8)+IF(N37="",0,前提・入力!$B$9)),前提・入力!$B$11)</f>
        <v>1.30160447761194</v>
      </c>
      <c r="P37" s="35" t="n">
        <f aca="false">ROUND(E37*O37,0)</f>
        <v>61</v>
      </c>
      <c r="Q37" s="34" t="n">
        <f aca="false">P37*D37</f>
        <v>79300</v>
      </c>
      <c r="R37" s="37" t="n">
        <f aca="false">IFERROR(P37/P$49,0)</f>
        <v>0.0118423607066589</v>
      </c>
      <c r="S37" s="35" t="n">
        <v>249</v>
      </c>
      <c r="T37" s="37" t="n">
        <f aca="false">IFERROR(P37/S37,0)</f>
        <v>0.244979919678715</v>
      </c>
      <c r="U37" s="35" t="n">
        <f aca="false">MAX(0,S37-P37)</f>
        <v>188</v>
      </c>
      <c r="V37" s="38" t="n">
        <f aca="false">P37-S37</f>
        <v>-188</v>
      </c>
      <c r="W37" s="39" t="str">
        <f aca="false">IF(V37&gt;0,"会期中に在庫切れ",IF(T37&gt;=0.9,"要注意(90%超)",IF(T37&gt;=0.5,"適正","在庫余剰")))</f>
        <v>在庫余剰</v>
      </c>
    </row>
    <row r="38" customFormat="false" ht="15" hidden="false" customHeight="false" outlineLevel="0" collapsed="false">
      <c r="A38" s="32" t="n">
        <v>32</v>
      </c>
      <c r="B38" s="32" t="s">
        <v>348</v>
      </c>
      <c r="C38" s="33" t="s">
        <v>349</v>
      </c>
      <c r="D38" s="34" t="n">
        <v>8800</v>
      </c>
      <c r="E38" s="35" t="n">
        <v>5</v>
      </c>
      <c r="F38" s="35" t="n">
        <v>30</v>
      </c>
      <c r="G38" s="35" t="n">
        <v>30</v>
      </c>
      <c r="H38" s="36" t="n">
        <f aca="false">IF(F38=0,"",G38/F38)</f>
        <v>1</v>
      </c>
      <c r="I38" s="35" t="n">
        <v>40</v>
      </c>
      <c r="J38" s="35" t="n">
        <v>40</v>
      </c>
      <c r="K38" s="36" t="n">
        <f aca="false">IF(I38=0,"",J38/I38)</f>
        <v>1</v>
      </c>
      <c r="L38" s="35" t="n">
        <v>10</v>
      </c>
      <c r="M38" s="35" t="n">
        <v>10</v>
      </c>
      <c r="N38" s="36" t="n">
        <f aca="false">IF(L38=0,"",M38/L38)</f>
        <v>1</v>
      </c>
      <c r="O38" s="36" t="n">
        <f aca="false">IFERROR((IF(H38="",0,H38*前提・入力!$B$7)+IF(K38="",0,K38*前提・入力!$B$8)+IF(N38="",0,N38*前提・入力!$B$9))/(IF(H38="",0,前提・入力!$B$7)+IF(K38="",0,前提・入力!$B$8)+IF(N38="",0,前提・入力!$B$9)),前提・入力!$B$11)</f>
        <v>1</v>
      </c>
      <c r="P38" s="35" t="n">
        <f aca="false">ROUND(E38*O38,0)</f>
        <v>5</v>
      </c>
      <c r="Q38" s="34" t="n">
        <f aca="false">P38*D38</f>
        <v>44000</v>
      </c>
      <c r="R38" s="37" t="n">
        <f aca="false">IFERROR(P38/P$49,0)</f>
        <v>0.0009706853038245</v>
      </c>
      <c r="S38" s="35" t="n">
        <v>5</v>
      </c>
      <c r="T38" s="37" t="n">
        <f aca="false">IFERROR(P38/S38,0)</f>
        <v>1</v>
      </c>
      <c r="U38" s="35" t="n">
        <f aca="false">MAX(0,S38-P38)</f>
        <v>0</v>
      </c>
      <c r="V38" s="38" t="n">
        <f aca="false">P38-S38</f>
        <v>0</v>
      </c>
      <c r="W38" s="39" t="str">
        <f aca="false">IF(V38&gt;0,"会期中に在庫切れ",IF(T38&gt;=0.9,"要注意(90%超)",IF(T38&gt;=0.5,"適正","在庫余剰")))</f>
        <v>要注意(90%超)</v>
      </c>
    </row>
    <row r="39" customFormat="false" ht="15" hidden="false" customHeight="false" outlineLevel="0" collapsed="false">
      <c r="A39" s="32" t="n">
        <v>33</v>
      </c>
      <c r="B39" s="32" t="s">
        <v>350</v>
      </c>
      <c r="C39" s="33" t="s">
        <v>351</v>
      </c>
      <c r="D39" s="34" t="n">
        <v>27500</v>
      </c>
      <c r="E39" s="35" t="n">
        <v>4</v>
      </c>
      <c r="F39" s="35" t="n">
        <v>12</v>
      </c>
      <c r="G39" s="35" t="n">
        <v>13</v>
      </c>
      <c r="H39" s="36" t="n">
        <f aca="false">IF(F39=0,"",G39/F39)</f>
        <v>1.08333333333333</v>
      </c>
      <c r="I39" s="35" t="n">
        <v>17</v>
      </c>
      <c r="J39" s="35" t="n">
        <v>20</v>
      </c>
      <c r="K39" s="36" t="n">
        <f aca="false">IF(I39=0,"",J39/I39)</f>
        <v>1.17647058823529</v>
      </c>
      <c r="L39" s="35" t="n">
        <v>0</v>
      </c>
      <c r="M39" s="35" t="n">
        <v>2</v>
      </c>
      <c r="N39" s="36" t="str">
        <f aca="false">IF(L39=0,"",M39/L39)</f>
        <v/>
      </c>
      <c r="O39" s="36" t="n">
        <f aca="false">IFERROR((IF(H39="",0,H39*前提・入力!$B$7)+IF(K39="",0,K39*前提・入力!$B$8)+IF(N39="",0,N39*前提・入力!$B$9))/(IF(H39="",0,前提・入力!$B$7)+IF(K39="",0,前提・入力!$B$8)+IF(N39="",0,前提・入力!$B$9)),前提・入力!$B$11)</f>
        <v>1.12990196078431</v>
      </c>
      <c r="P39" s="35" t="n">
        <f aca="false">ROUND(E39*O39,0)</f>
        <v>5</v>
      </c>
      <c r="Q39" s="34" t="n">
        <f aca="false">P39*D39</f>
        <v>137500</v>
      </c>
      <c r="R39" s="37" t="n">
        <f aca="false">IFERROR(P39/P$49,0)</f>
        <v>0.0009706853038245</v>
      </c>
      <c r="S39" s="35" t="n">
        <v>21</v>
      </c>
      <c r="T39" s="37" t="n">
        <f aca="false">IFERROR(P39/S39,0)</f>
        <v>0.238095238095238</v>
      </c>
      <c r="U39" s="35" t="n">
        <f aca="false">MAX(0,S39-P39)</f>
        <v>16</v>
      </c>
      <c r="V39" s="38" t="n">
        <f aca="false">P39-S39</f>
        <v>-16</v>
      </c>
      <c r="W39" s="39" t="str">
        <f aca="false">IF(V39&gt;0,"会期中に在庫切れ",IF(T39&gt;=0.9,"要注意(90%超)",IF(T39&gt;=0.5,"適正","在庫余剰")))</f>
        <v>在庫余剰</v>
      </c>
    </row>
    <row r="40" customFormat="false" ht="15" hidden="false" customHeight="false" outlineLevel="0" collapsed="false">
      <c r="A40" s="32" t="n">
        <v>34</v>
      </c>
      <c r="B40" s="32" t="s">
        <v>352</v>
      </c>
      <c r="C40" s="33" t="s">
        <v>353</v>
      </c>
      <c r="D40" s="34" t="n">
        <v>27500</v>
      </c>
      <c r="E40" s="35" t="n">
        <v>1</v>
      </c>
      <c r="F40" s="35" t="n">
        <v>3</v>
      </c>
      <c r="G40" s="35" t="n">
        <v>3</v>
      </c>
      <c r="H40" s="36" t="n">
        <f aca="false">IF(F40=0,"",G40/F40)</f>
        <v>1</v>
      </c>
      <c r="I40" s="35" t="n">
        <v>3</v>
      </c>
      <c r="J40" s="35" t="n">
        <v>3</v>
      </c>
      <c r="K40" s="36" t="n">
        <f aca="false">IF(I40=0,"",J40/I40)</f>
        <v>1</v>
      </c>
      <c r="L40" s="35" t="n">
        <v>2</v>
      </c>
      <c r="M40" s="35" t="n">
        <v>2</v>
      </c>
      <c r="N40" s="36" t="n">
        <f aca="false">IF(L40=0,"",M40/L40)</f>
        <v>1</v>
      </c>
      <c r="O40" s="36" t="n">
        <f aca="false">IFERROR((IF(H40="",0,H40*前提・入力!$B$7)+IF(K40="",0,K40*前提・入力!$B$8)+IF(N40="",0,N40*前提・入力!$B$9))/(IF(H40="",0,前提・入力!$B$7)+IF(K40="",0,前提・入力!$B$8)+IF(N40="",0,前提・入力!$B$9)),前提・入力!$B$11)</f>
        <v>1</v>
      </c>
      <c r="P40" s="35" t="n">
        <f aca="false">ROUND(E40*O40,0)</f>
        <v>1</v>
      </c>
      <c r="Q40" s="34" t="n">
        <f aca="false">P40*D40</f>
        <v>27500</v>
      </c>
      <c r="R40" s="37" t="n">
        <f aca="false">IFERROR(P40/P$49,0)</f>
        <v>0.0001941370607649</v>
      </c>
      <c r="S40" s="35" t="n">
        <v>1</v>
      </c>
      <c r="T40" s="37" t="n">
        <f aca="false">IFERROR(P40/S40,0)</f>
        <v>1</v>
      </c>
      <c r="U40" s="35" t="n">
        <f aca="false">MAX(0,S40-P40)</f>
        <v>0</v>
      </c>
      <c r="V40" s="38" t="n">
        <f aca="false">P40-S40</f>
        <v>0</v>
      </c>
      <c r="W40" s="39" t="str">
        <f aca="false">IF(V40&gt;0,"会期中に在庫切れ",IF(T40&gt;=0.9,"要注意(90%超)",IF(T40&gt;=0.5,"適正","在庫余剰")))</f>
        <v>要注意(90%超)</v>
      </c>
    </row>
    <row r="41" customFormat="false" ht="15" hidden="false" customHeight="false" outlineLevel="0" collapsed="false">
      <c r="A41" s="32" t="n">
        <v>35</v>
      </c>
      <c r="B41" s="32" t="s">
        <v>354</v>
      </c>
      <c r="C41" s="33" t="s">
        <v>355</v>
      </c>
      <c r="D41" s="34" t="n">
        <v>27500</v>
      </c>
      <c r="E41" s="35" t="n">
        <v>1</v>
      </c>
      <c r="F41" s="35" t="n">
        <v>3</v>
      </c>
      <c r="G41" s="35" t="n">
        <v>3</v>
      </c>
      <c r="H41" s="36" t="n">
        <f aca="false">IF(F41=0,"",G41/F41)</f>
        <v>1</v>
      </c>
      <c r="I41" s="35" t="n">
        <v>3</v>
      </c>
      <c r="J41" s="35" t="n">
        <v>3</v>
      </c>
      <c r="K41" s="36" t="n">
        <f aca="false">IF(I41=0,"",J41/I41)</f>
        <v>1</v>
      </c>
      <c r="L41" s="35" t="n">
        <v>1</v>
      </c>
      <c r="M41" s="35" t="n">
        <v>1</v>
      </c>
      <c r="N41" s="36" t="n">
        <f aca="false">IF(L41=0,"",M41/L41)</f>
        <v>1</v>
      </c>
      <c r="O41" s="36" t="n">
        <f aca="false">IFERROR((IF(H41="",0,H41*前提・入力!$B$7)+IF(K41="",0,K41*前提・入力!$B$8)+IF(N41="",0,N41*前提・入力!$B$9))/(IF(H41="",0,前提・入力!$B$7)+IF(K41="",0,前提・入力!$B$8)+IF(N41="",0,前提・入力!$B$9)),前提・入力!$B$11)</f>
        <v>1</v>
      </c>
      <c r="P41" s="35" t="n">
        <f aca="false">ROUND(E41*O41,0)</f>
        <v>1</v>
      </c>
      <c r="Q41" s="34" t="n">
        <f aca="false">P41*D41</f>
        <v>27500</v>
      </c>
      <c r="R41" s="37" t="n">
        <f aca="false">IFERROR(P41/P$49,0)</f>
        <v>0.0001941370607649</v>
      </c>
      <c r="S41" s="35" t="n">
        <v>1</v>
      </c>
      <c r="T41" s="37" t="n">
        <f aca="false">IFERROR(P41/S41,0)</f>
        <v>1</v>
      </c>
      <c r="U41" s="35" t="n">
        <f aca="false">MAX(0,S41-P41)</f>
        <v>0</v>
      </c>
      <c r="V41" s="38" t="n">
        <f aca="false">P41-S41</f>
        <v>0</v>
      </c>
      <c r="W41" s="39" t="str">
        <f aca="false">IF(V41&gt;0,"会期中に在庫切れ",IF(T41&gt;=0.9,"要注意(90%超)",IF(T41&gt;=0.5,"適正","在庫余剰")))</f>
        <v>要注意(90%超)</v>
      </c>
    </row>
    <row r="42" customFormat="false" ht="15" hidden="false" customHeight="false" outlineLevel="0" collapsed="false">
      <c r="A42" s="32" t="n">
        <v>36</v>
      </c>
      <c r="B42" s="32" t="s">
        <v>356</v>
      </c>
      <c r="C42" s="33" t="s">
        <v>357</v>
      </c>
      <c r="D42" s="34" t="n">
        <v>27500</v>
      </c>
      <c r="E42" s="35" t="n">
        <v>1</v>
      </c>
      <c r="F42" s="35" t="n">
        <v>3</v>
      </c>
      <c r="G42" s="35" t="n">
        <v>3</v>
      </c>
      <c r="H42" s="36" t="n">
        <f aca="false">IF(F42=0,"",G42/F42)</f>
        <v>1</v>
      </c>
      <c r="I42" s="35" t="n">
        <v>3</v>
      </c>
      <c r="J42" s="35" t="n">
        <v>3</v>
      </c>
      <c r="K42" s="36" t="n">
        <f aca="false">IF(I42=0,"",J42/I42)</f>
        <v>1</v>
      </c>
      <c r="L42" s="35" t="n">
        <v>0</v>
      </c>
      <c r="M42" s="35" t="n">
        <v>1</v>
      </c>
      <c r="N42" s="36" t="str">
        <f aca="false">IF(L42=0,"",M42/L42)</f>
        <v/>
      </c>
      <c r="O42" s="36" t="n">
        <f aca="false">IFERROR((IF(H42="",0,H42*前提・入力!$B$7)+IF(K42="",0,K42*前提・入力!$B$8)+IF(N42="",0,N42*前提・入力!$B$9))/(IF(H42="",0,前提・入力!$B$7)+IF(K42="",0,前提・入力!$B$8)+IF(N42="",0,前提・入力!$B$9)),前提・入力!$B$11)</f>
        <v>1</v>
      </c>
      <c r="P42" s="35" t="n">
        <f aca="false">ROUND(E42*O42,0)</f>
        <v>1</v>
      </c>
      <c r="Q42" s="34" t="n">
        <f aca="false">P42*D42</f>
        <v>27500</v>
      </c>
      <c r="R42" s="37" t="n">
        <f aca="false">IFERROR(P42/P$49,0)</f>
        <v>0.0001941370607649</v>
      </c>
      <c r="S42" s="35" t="n">
        <v>1</v>
      </c>
      <c r="T42" s="37" t="n">
        <f aca="false">IFERROR(P42/S42,0)</f>
        <v>1</v>
      </c>
      <c r="U42" s="35" t="n">
        <f aca="false">MAX(0,S42-P42)</f>
        <v>0</v>
      </c>
      <c r="V42" s="38" t="n">
        <f aca="false">P42-S42</f>
        <v>0</v>
      </c>
      <c r="W42" s="39" t="str">
        <f aca="false">IF(V42&gt;0,"会期中に在庫切れ",IF(T42&gt;=0.9,"要注意(90%超)",IF(T42&gt;=0.5,"適正","在庫余剰")))</f>
        <v>要注意(90%超)</v>
      </c>
    </row>
    <row r="43" customFormat="false" ht="15" hidden="false" customHeight="false" outlineLevel="0" collapsed="false">
      <c r="A43" s="32" t="n">
        <v>37</v>
      </c>
      <c r="B43" s="32" t="s">
        <v>358</v>
      </c>
      <c r="C43" s="33" t="s">
        <v>359</v>
      </c>
      <c r="D43" s="34" t="n">
        <v>27500</v>
      </c>
      <c r="E43" s="35" t="n">
        <v>4</v>
      </c>
      <c r="F43" s="35" t="n">
        <v>8</v>
      </c>
      <c r="G43" s="35" t="n">
        <v>10</v>
      </c>
      <c r="H43" s="36" t="n">
        <f aca="false">IF(F43=0,"",G43/F43)</f>
        <v>1.25</v>
      </c>
      <c r="I43" s="35" t="n">
        <v>22</v>
      </c>
      <c r="J43" s="35" t="n">
        <v>26</v>
      </c>
      <c r="K43" s="36" t="n">
        <f aca="false">IF(I43=0,"",J43/I43)</f>
        <v>1.18181818181818</v>
      </c>
      <c r="L43" s="35" t="n">
        <v>0</v>
      </c>
      <c r="M43" s="35" t="n">
        <v>0</v>
      </c>
      <c r="N43" s="36" t="str">
        <f aca="false">IF(L43=0,"",M43/L43)</f>
        <v/>
      </c>
      <c r="O43" s="36" t="n">
        <f aca="false">IFERROR((IF(H43="",0,H43*前提・入力!$B$7)+IF(K43="",0,K43*前提・入力!$B$8)+IF(N43="",0,N43*前提・入力!$B$9))/(IF(H43="",0,前提・入力!$B$7)+IF(K43="",0,前提・入力!$B$8)+IF(N43="",0,前提・入力!$B$9)),前提・入力!$B$11)</f>
        <v>1.21590909090909</v>
      </c>
      <c r="P43" s="35" t="n">
        <f aca="false">ROUND(E43*O43,0)</f>
        <v>5</v>
      </c>
      <c r="Q43" s="34" t="n">
        <f aca="false">P43*D43</f>
        <v>137500</v>
      </c>
      <c r="R43" s="37" t="n">
        <f aca="false">IFERROR(P43/P$49,0)</f>
        <v>0.0009706853038245</v>
      </c>
      <c r="S43" s="35" t="n">
        <v>17</v>
      </c>
      <c r="T43" s="37" t="n">
        <f aca="false">IFERROR(P43/S43,0)</f>
        <v>0.294117647058824</v>
      </c>
      <c r="U43" s="35" t="n">
        <f aca="false">MAX(0,S43-P43)</f>
        <v>12</v>
      </c>
      <c r="V43" s="38" t="n">
        <f aca="false">P43-S43</f>
        <v>-12</v>
      </c>
      <c r="W43" s="39" t="str">
        <f aca="false">IF(V43&gt;0,"会期中に在庫切れ",IF(T43&gt;=0.9,"要注意(90%超)",IF(T43&gt;=0.5,"適正","在庫余剰")))</f>
        <v>在庫余剰</v>
      </c>
    </row>
    <row r="44" customFormat="false" ht="15" hidden="false" customHeight="false" outlineLevel="0" collapsed="false">
      <c r="A44" s="32" t="n">
        <v>38</v>
      </c>
      <c r="B44" s="32" t="s">
        <v>360</v>
      </c>
      <c r="C44" s="33" t="s">
        <v>361</v>
      </c>
      <c r="D44" s="34" t="n">
        <v>27500</v>
      </c>
      <c r="E44" s="35" t="n">
        <v>1</v>
      </c>
      <c r="F44" s="35" t="n">
        <v>3</v>
      </c>
      <c r="G44" s="35" t="n">
        <v>3</v>
      </c>
      <c r="H44" s="36" t="n">
        <f aca="false">IF(F44=0,"",G44/F44)</f>
        <v>1</v>
      </c>
      <c r="I44" s="35" t="n">
        <v>3</v>
      </c>
      <c r="J44" s="35" t="n">
        <v>3</v>
      </c>
      <c r="K44" s="36" t="n">
        <f aca="false">IF(I44=0,"",J44/I44)</f>
        <v>1</v>
      </c>
      <c r="L44" s="35" t="n">
        <v>2</v>
      </c>
      <c r="M44" s="35" t="n">
        <v>2</v>
      </c>
      <c r="N44" s="36" t="n">
        <f aca="false">IF(L44=0,"",M44/L44)</f>
        <v>1</v>
      </c>
      <c r="O44" s="36" t="n">
        <f aca="false">IFERROR((IF(H44="",0,H44*前提・入力!$B$7)+IF(K44="",0,K44*前提・入力!$B$8)+IF(N44="",0,N44*前提・入力!$B$9))/(IF(H44="",0,前提・入力!$B$7)+IF(K44="",0,前提・入力!$B$8)+IF(N44="",0,前提・入力!$B$9)),前提・入力!$B$11)</f>
        <v>1</v>
      </c>
      <c r="P44" s="35" t="n">
        <f aca="false">ROUND(E44*O44,0)</f>
        <v>1</v>
      </c>
      <c r="Q44" s="34" t="n">
        <f aca="false">P44*D44</f>
        <v>27500</v>
      </c>
      <c r="R44" s="37" t="n">
        <f aca="false">IFERROR(P44/P$49,0)</f>
        <v>0.0001941370607649</v>
      </c>
      <c r="S44" s="35" t="n">
        <v>1</v>
      </c>
      <c r="T44" s="37" t="n">
        <f aca="false">IFERROR(P44/S44,0)</f>
        <v>1</v>
      </c>
      <c r="U44" s="35" t="n">
        <f aca="false">MAX(0,S44-P44)</f>
        <v>0</v>
      </c>
      <c r="V44" s="38" t="n">
        <f aca="false">P44-S44</f>
        <v>0</v>
      </c>
      <c r="W44" s="39" t="str">
        <f aca="false">IF(V44&gt;0,"会期中に在庫切れ",IF(T44&gt;=0.9,"要注意(90%超)",IF(T44&gt;=0.5,"適正","在庫余剰")))</f>
        <v>要注意(90%超)</v>
      </c>
    </row>
    <row r="45" customFormat="false" ht="15" hidden="false" customHeight="false" outlineLevel="0" collapsed="false">
      <c r="A45" s="32" t="n">
        <v>39</v>
      </c>
      <c r="B45" s="32" t="s">
        <v>362</v>
      </c>
      <c r="C45" s="33" t="s">
        <v>363</v>
      </c>
      <c r="D45" s="34" t="n">
        <v>27500</v>
      </c>
      <c r="E45" s="35" t="n">
        <v>1</v>
      </c>
      <c r="F45" s="35" t="n">
        <v>2</v>
      </c>
      <c r="G45" s="35" t="n">
        <v>2</v>
      </c>
      <c r="H45" s="36" t="n">
        <f aca="false">IF(F45=0,"",G45/F45)</f>
        <v>1</v>
      </c>
      <c r="I45" s="35" t="n">
        <v>3</v>
      </c>
      <c r="J45" s="35" t="n">
        <v>3</v>
      </c>
      <c r="K45" s="36" t="n">
        <f aca="false">IF(I45=0,"",J45/I45)</f>
        <v>1</v>
      </c>
      <c r="L45" s="35" t="n">
        <v>1</v>
      </c>
      <c r="M45" s="35" t="n">
        <v>2</v>
      </c>
      <c r="N45" s="36" t="n">
        <f aca="false">IF(L45=0,"",M45/L45)</f>
        <v>2</v>
      </c>
      <c r="O45" s="36" t="n">
        <f aca="false">IFERROR((IF(H45="",0,H45*前提・入力!$B$7)+IF(K45="",0,K45*前提・入力!$B$8)+IF(N45="",0,N45*前提・入力!$B$9))/(IF(H45="",0,前提・入力!$B$7)+IF(K45="",0,前提・入力!$B$8)+IF(N45="",0,前提・入力!$B$9)),前提・入力!$B$11)</f>
        <v>1.5</v>
      </c>
      <c r="P45" s="35" t="n">
        <f aca="false">ROUND(E45*O45,0)</f>
        <v>2</v>
      </c>
      <c r="Q45" s="34" t="n">
        <f aca="false">P45*D45</f>
        <v>55000</v>
      </c>
      <c r="R45" s="37" t="n">
        <f aca="false">IFERROR(P45/P$49,0)</f>
        <v>0.0003882741215298</v>
      </c>
      <c r="S45" s="35" t="n">
        <v>1</v>
      </c>
      <c r="T45" s="37" t="n">
        <f aca="false">IFERROR(P45/S45,0)</f>
        <v>2</v>
      </c>
      <c r="U45" s="35" t="n">
        <f aca="false">MAX(0,S45-P45)</f>
        <v>0</v>
      </c>
      <c r="V45" s="38" t="n">
        <f aca="false">P45-S45</f>
        <v>1</v>
      </c>
      <c r="W45" s="39" t="str">
        <f aca="false">IF(V45&gt;0,"会期中に在庫切れ",IF(T45&gt;=0.9,"要注意(90%超)",IF(T45&gt;=0.5,"適正","在庫余剰")))</f>
        <v>会期中に在庫切れ</v>
      </c>
    </row>
    <row r="46" customFormat="false" ht="15" hidden="false" customHeight="false" outlineLevel="0" collapsed="false">
      <c r="A46" s="32" t="n">
        <v>40</v>
      </c>
      <c r="B46" s="32" t="s">
        <v>364</v>
      </c>
      <c r="C46" s="33" t="s">
        <v>365</v>
      </c>
      <c r="D46" s="34" t="n">
        <v>27500</v>
      </c>
      <c r="E46" s="35" t="n">
        <v>1</v>
      </c>
      <c r="F46" s="35" t="n">
        <v>3</v>
      </c>
      <c r="G46" s="35" t="n">
        <v>3</v>
      </c>
      <c r="H46" s="36" t="n">
        <f aca="false">IF(F46=0,"",G46/F46)</f>
        <v>1</v>
      </c>
      <c r="I46" s="35" t="n">
        <v>3</v>
      </c>
      <c r="J46" s="35" t="n">
        <v>3</v>
      </c>
      <c r="K46" s="36" t="n">
        <f aca="false">IF(I46=0,"",J46/I46)</f>
        <v>1</v>
      </c>
      <c r="L46" s="35" t="n">
        <v>0</v>
      </c>
      <c r="M46" s="35" t="n">
        <v>0</v>
      </c>
      <c r="N46" s="36" t="str">
        <f aca="false">IF(L46=0,"",M46/L46)</f>
        <v/>
      </c>
      <c r="O46" s="36" t="n">
        <f aca="false">IFERROR((IF(H46="",0,H46*前提・入力!$B$7)+IF(K46="",0,K46*前提・入力!$B$8)+IF(N46="",0,N46*前提・入力!$B$9))/(IF(H46="",0,前提・入力!$B$7)+IF(K46="",0,前提・入力!$B$8)+IF(N46="",0,前提・入力!$B$9)),前提・入力!$B$11)</f>
        <v>1</v>
      </c>
      <c r="P46" s="35" t="n">
        <f aca="false">ROUND(E46*O46,0)</f>
        <v>1</v>
      </c>
      <c r="Q46" s="34" t="n">
        <f aca="false">P46*D46</f>
        <v>27500</v>
      </c>
      <c r="R46" s="37" t="n">
        <f aca="false">IFERROR(P46/P$49,0)</f>
        <v>0.0001941370607649</v>
      </c>
      <c r="S46" s="35" t="n">
        <v>3</v>
      </c>
      <c r="T46" s="37" t="n">
        <f aca="false">IFERROR(P46/S46,0)</f>
        <v>0.333333333333333</v>
      </c>
      <c r="U46" s="35" t="n">
        <f aca="false">MAX(0,S46-P46)</f>
        <v>2</v>
      </c>
      <c r="V46" s="38" t="n">
        <f aca="false">P46-S46</f>
        <v>-2</v>
      </c>
      <c r="W46" s="39" t="str">
        <f aca="false">IF(V46&gt;0,"会期中に在庫切れ",IF(T46&gt;=0.9,"要注意(90%超)",IF(T46&gt;=0.5,"適正","在庫余剰")))</f>
        <v>在庫余剰</v>
      </c>
    </row>
    <row r="47" customFormat="false" ht="15" hidden="false" customHeight="false" outlineLevel="0" collapsed="false">
      <c r="A47" s="32" t="n">
        <v>41</v>
      </c>
      <c r="B47" s="32" t="s">
        <v>366</v>
      </c>
      <c r="C47" s="33" t="s">
        <v>367</v>
      </c>
      <c r="D47" s="34" t="n">
        <v>25000</v>
      </c>
      <c r="E47" s="35" t="n">
        <v>0</v>
      </c>
      <c r="F47" s="35" t="n">
        <v>1</v>
      </c>
      <c r="G47" s="35" t="n">
        <v>1</v>
      </c>
      <c r="H47" s="36" t="n">
        <f aca="false">IF(F47=0,"",G47/F47)</f>
        <v>1</v>
      </c>
      <c r="I47" s="35" t="n">
        <v>2</v>
      </c>
      <c r="J47" s="35" t="n">
        <v>2</v>
      </c>
      <c r="K47" s="36" t="n">
        <f aca="false">IF(I47=0,"",J47/I47)</f>
        <v>1</v>
      </c>
      <c r="L47" s="35" t="n">
        <v>0</v>
      </c>
      <c r="M47" s="35" t="n">
        <v>0</v>
      </c>
      <c r="N47" s="36" t="str">
        <f aca="false">IF(L47=0,"",M47/L47)</f>
        <v/>
      </c>
      <c r="O47" s="36" t="n">
        <f aca="false">IFERROR((IF(H47="",0,H47*前提・入力!$B$7)+IF(K47="",0,K47*前提・入力!$B$8)+IF(N47="",0,N47*前提・入力!$B$9))/(IF(H47="",0,前提・入力!$B$7)+IF(K47="",0,前提・入力!$B$8)+IF(N47="",0,前提・入力!$B$9)),前提・入力!$B$11)</f>
        <v>1</v>
      </c>
      <c r="P47" s="35" t="n">
        <f aca="false">ROUND(E47*O47,0)</f>
        <v>0</v>
      </c>
      <c r="Q47" s="34" t="n">
        <f aca="false">P47*D47</f>
        <v>0</v>
      </c>
      <c r="R47" s="37" t="n">
        <f aca="false">IFERROR(P47/P$49,0)</f>
        <v>0</v>
      </c>
      <c r="S47" s="35" t="n">
        <v>14</v>
      </c>
      <c r="T47" s="37" t="n">
        <f aca="false">IFERROR(P47/S47,0)</f>
        <v>0</v>
      </c>
      <c r="U47" s="35" t="n">
        <f aca="false">MAX(0,S47-P47)</f>
        <v>14</v>
      </c>
      <c r="V47" s="38" t="n">
        <f aca="false">P47-S47</f>
        <v>-14</v>
      </c>
      <c r="W47" s="39" t="str">
        <f aca="false">IF(V47&gt;0,"会期中に在庫切れ",IF(T47&gt;=0.9,"要注意(90%超)",IF(T47&gt;=0.5,"適正","在庫余剰")))</f>
        <v>在庫余剰</v>
      </c>
    </row>
    <row r="48" customFormat="false" ht="15" hidden="false" customHeight="false" outlineLevel="0" collapsed="false">
      <c r="A48" s="32" t="n">
        <v>42</v>
      </c>
      <c r="B48" s="32" t="s">
        <v>368</v>
      </c>
      <c r="C48" s="33" t="s">
        <v>369</v>
      </c>
      <c r="D48" s="34" t="n">
        <v>25000</v>
      </c>
      <c r="E48" s="35" t="n">
        <v>0</v>
      </c>
      <c r="F48" s="35" t="n">
        <v>2</v>
      </c>
      <c r="G48" s="35" t="n">
        <v>2</v>
      </c>
      <c r="H48" s="36" t="n">
        <f aca="false">IF(F48=0,"",G48/F48)</f>
        <v>1</v>
      </c>
      <c r="I48" s="35" t="n">
        <v>5</v>
      </c>
      <c r="J48" s="35" t="n">
        <v>6</v>
      </c>
      <c r="K48" s="36" t="n">
        <f aca="false">IF(I48=0,"",J48/I48)</f>
        <v>1.2</v>
      </c>
      <c r="L48" s="35" t="n">
        <v>1</v>
      </c>
      <c r="M48" s="35" t="n">
        <v>1</v>
      </c>
      <c r="N48" s="36" t="n">
        <f aca="false">IF(L48=0,"",M48/L48)</f>
        <v>1</v>
      </c>
      <c r="O48" s="36" t="n">
        <f aca="false">IFERROR((IF(H48="",0,H48*前提・入力!$B$7)+IF(K48="",0,K48*前提・入力!$B$8)+IF(N48="",0,N48*前提・入力!$B$9))/(IF(H48="",0,前提・入力!$B$7)+IF(K48="",0,前提・入力!$B$8)+IF(N48="",0,前提・入力!$B$9)),前提・入力!$B$11)</f>
        <v>1.05</v>
      </c>
      <c r="P48" s="35" t="n">
        <f aca="false">ROUND(E48*O48,0)</f>
        <v>0</v>
      </c>
      <c r="Q48" s="34" t="n">
        <f aca="false">P48*D48</f>
        <v>0</v>
      </c>
      <c r="R48" s="37" t="n">
        <f aca="false">IFERROR(P48/P$49,0)</f>
        <v>0</v>
      </c>
      <c r="S48" s="35" t="n">
        <v>15</v>
      </c>
      <c r="T48" s="37" t="n">
        <f aca="false">IFERROR(P48/S48,0)</f>
        <v>0</v>
      </c>
      <c r="U48" s="35" t="n">
        <f aca="false">MAX(0,S48-P48)</f>
        <v>15</v>
      </c>
      <c r="V48" s="38" t="n">
        <f aca="false">P48-S48</f>
        <v>-15</v>
      </c>
      <c r="W48" s="39" t="str">
        <f aca="false">IF(V48&gt;0,"会期中に在庫切れ",IF(T48&gt;=0.9,"要注意(90%超)",IF(T48&gt;=0.5,"適正","在庫余剰")))</f>
        <v>在庫余剰</v>
      </c>
    </row>
    <row r="49" customFormat="false" ht="15" hidden="false" customHeight="false" outlineLevel="0" collapsed="false">
      <c r="A49" s="40"/>
      <c r="B49" s="40"/>
      <c r="C49" s="41" t="s">
        <v>370</v>
      </c>
      <c r="D49" s="40"/>
      <c r="E49" s="42" t="n">
        <f aca="false">SUM(E7:E48)</f>
        <v>4022</v>
      </c>
      <c r="F49" s="42" t="n">
        <f aca="false">SUM(F7:F48)</f>
        <v>19983</v>
      </c>
      <c r="G49" s="42" t="n">
        <f aca="false">SUM(G7:G48)</f>
        <v>28231</v>
      </c>
      <c r="H49" s="40"/>
      <c r="I49" s="42" t="n">
        <f aca="false">SUM(I7:I48)</f>
        <v>48303</v>
      </c>
      <c r="J49" s="42" t="n">
        <f aca="false">SUM(J7:J48)</f>
        <v>59166</v>
      </c>
      <c r="K49" s="40"/>
      <c r="L49" s="42" t="n">
        <f aca="false">SUM(L7:L48)</f>
        <v>6422</v>
      </c>
      <c r="M49" s="42" t="n">
        <f aca="false">SUM(M7:M48)</f>
        <v>8179</v>
      </c>
      <c r="N49" s="40"/>
      <c r="O49" s="43" t="n">
        <f aca="false">IFERROR(P49/E49,0)</f>
        <v>1.28070611636002</v>
      </c>
      <c r="P49" s="42" t="n">
        <f aca="false">SUM(P7:P48)</f>
        <v>5151</v>
      </c>
      <c r="Q49" s="44" t="n">
        <f aca="false">SUM(Q7:Q48)</f>
        <v>4292200</v>
      </c>
      <c r="R49" s="45" t="n">
        <v>1</v>
      </c>
      <c r="S49" s="42" t="n">
        <f aca="false">SUM(S7:S48)</f>
        <v>46928</v>
      </c>
      <c r="T49" s="45" t="n">
        <f aca="false">IFERROR(P49/S49,0)</f>
        <v>0.109763893624275</v>
      </c>
      <c r="U49" s="42" t="n">
        <f aca="false">SUM(U7:U48)</f>
        <v>41810</v>
      </c>
      <c r="V49" s="46" t="n">
        <f aca="false">SUM(V7:V48)</f>
        <v>-41777</v>
      </c>
      <c r="W49" s="40" t="str">
        <f aca="false">COUNTIF(W7:W48,"会期中に在庫切れ")&amp;"品目"</f>
        <v>3品目</v>
      </c>
    </row>
  </sheetData>
  <conditionalFormatting sqref="W7:W48">
    <cfRule type="expression" priority="2" aboveAverage="0" equalAverage="0" bottom="0" percent="0" rank="0" text="" dxfId="0">
      <formula>$W7="会期中に在庫切れ"</formula>
    </cfRule>
    <cfRule type="expression" priority="3" aboveAverage="0" equalAverage="0" bottom="0" percent="0" rank="0" text="" dxfId="1">
      <formula>$W7="要注意(90%超)"</formula>
    </cfRule>
    <cfRule type="expression" priority="4" aboveAverage="0" equalAverage="0" bottom="0" percent="0" rank="0" text="" dxfId="2">
      <formula>$W7="適正"</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6" min="3" style="0" width="15"/>
    <col collapsed="false" customWidth="true" hidden="false" outlineLevel="0" max="7" min="7" style="0" width="52"/>
    <col collapsed="false" customWidth="true" hidden="false" outlineLevel="0" max="13" min="8" style="0" width="15"/>
  </cols>
  <sheetData>
    <row r="1" customFormat="false" ht="20.1" hidden="false" customHeight="false" outlineLevel="0" collapsed="false">
      <c r="A1" s="1" t="s">
        <v>371</v>
      </c>
    </row>
    <row r="2" customFormat="false" ht="15" hidden="false" customHeight="false" outlineLevel="0" collapsed="false">
      <c r="A2" s="3" t="s">
        <v>372</v>
      </c>
    </row>
    <row r="4" customFormat="false" ht="15" hidden="false" customHeight="false" outlineLevel="0" collapsed="false">
      <c r="A4" s="4" t="s">
        <v>373</v>
      </c>
    </row>
    <row r="5" customFormat="false" ht="33.75" hidden="false" customHeight="true" outlineLevel="0" collapsed="false">
      <c r="A5" s="26" t="s">
        <v>374</v>
      </c>
      <c r="B5" s="26" t="s">
        <v>375</v>
      </c>
      <c r="C5" s="47" t="s">
        <v>376</v>
      </c>
      <c r="D5" s="48" t="s">
        <v>377</v>
      </c>
      <c r="E5" s="28" t="s">
        <v>378</v>
      </c>
      <c r="F5" s="29" t="s">
        <v>379</v>
      </c>
      <c r="G5" s="30" t="s">
        <v>380</v>
      </c>
      <c r="H5" s="27" t="s">
        <v>381</v>
      </c>
      <c r="I5" s="27" t="s">
        <v>382</v>
      </c>
      <c r="J5" s="49" t="s">
        <v>383</v>
      </c>
      <c r="K5" s="49" t="s">
        <v>384</v>
      </c>
      <c r="L5" s="49" t="s">
        <v>385</v>
      </c>
      <c r="M5" s="49" t="s">
        <v>386</v>
      </c>
    </row>
    <row r="6" customFormat="false" ht="39.75" hidden="false" customHeight="true" outlineLevel="0" collapsed="false">
      <c r="A6" s="50" t="s">
        <v>387</v>
      </c>
      <c r="B6" s="32"/>
      <c r="C6" s="22" t="s">
        <v>388</v>
      </c>
      <c r="D6" s="22" t="s">
        <v>389</v>
      </c>
      <c r="E6" s="22" t="s">
        <v>390</v>
      </c>
      <c r="F6" s="22" t="s">
        <v>391</v>
      </c>
      <c r="G6" s="22" t="s">
        <v>392</v>
      </c>
      <c r="H6" s="22" t="s">
        <v>393</v>
      </c>
      <c r="I6" s="51" t="s">
        <v>394</v>
      </c>
      <c r="J6" s="51" t="s">
        <v>395</v>
      </c>
      <c r="K6" s="51" t="s">
        <v>396</v>
      </c>
      <c r="L6" s="51" t="s">
        <v>397</v>
      </c>
      <c r="M6" s="51" t="s">
        <v>398</v>
      </c>
    </row>
    <row r="7" customFormat="false" ht="15" hidden="false" customHeight="false" outlineLevel="0" collapsed="false">
      <c r="A7" s="50" t="s">
        <v>399</v>
      </c>
      <c r="B7" s="32"/>
      <c r="C7" s="35" t="n">
        <v>25</v>
      </c>
      <c r="D7" s="35" t="n">
        <v>19</v>
      </c>
      <c r="E7" s="35" t="n">
        <v>26</v>
      </c>
      <c r="F7" s="35" t="n">
        <v>20</v>
      </c>
      <c r="G7" s="35" t="n">
        <v>20</v>
      </c>
      <c r="H7" s="35" t="n">
        <v>18</v>
      </c>
      <c r="I7" s="32" t="n">
        <v>18</v>
      </c>
      <c r="J7" s="32" t="n">
        <v>30</v>
      </c>
      <c r="K7" s="32" t="n">
        <v>21</v>
      </c>
      <c r="L7" s="32" t="n">
        <v>21</v>
      </c>
      <c r="M7" s="32" t="n">
        <v>25</v>
      </c>
    </row>
    <row r="8" customFormat="false" ht="15" hidden="false" customHeight="false" outlineLevel="0" collapsed="false">
      <c r="A8" s="50" t="s">
        <v>400</v>
      </c>
      <c r="B8" s="32"/>
      <c r="C8" s="35" t="n">
        <v>25</v>
      </c>
      <c r="D8" s="35" t="n">
        <v>19</v>
      </c>
      <c r="E8" s="35" t="n">
        <v>26</v>
      </c>
      <c r="F8" s="35" t="n">
        <v>20</v>
      </c>
      <c r="G8" s="35" t="n">
        <v>20</v>
      </c>
      <c r="H8" s="35" t="n">
        <v>12</v>
      </c>
      <c r="I8" s="39" t="s">
        <v>401</v>
      </c>
      <c r="J8" s="39" t="s">
        <v>401</v>
      </c>
      <c r="K8" s="39" t="s">
        <v>401</v>
      </c>
      <c r="L8" s="39" t="s">
        <v>401</v>
      </c>
      <c r="M8" s="39" t="s">
        <v>401</v>
      </c>
    </row>
    <row r="9" customFormat="false" ht="15" hidden="false" customHeight="false" outlineLevel="0" collapsed="false">
      <c r="A9" s="50" t="s">
        <v>402</v>
      </c>
      <c r="B9" s="32"/>
      <c r="C9" s="35" t="n">
        <v>47339</v>
      </c>
      <c r="D9" s="35" t="n">
        <v>19764</v>
      </c>
      <c r="E9" s="35" t="n">
        <v>18993</v>
      </c>
      <c r="F9" s="35" t="n">
        <v>31267</v>
      </c>
      <c r="G9" s="35" t="n">
        <v>10270</v>
      </c>
      <c r="H9" s="35" t="n">
        <v>5304</v>
      </c>
      <c r="I9" s="35" t="n">
        <v>8923</v>
      </c>
      <c r="J9" s="32"/>
      <c r="K9" s="32"/>
      <c r="L9" s="32"/>
      <c r="M9" s="32"/>
    </row>
    <row r="10" customFormat="false" ht="15" hidden="false" customHeight="false" outlineLevel="0" collapsed="false">
      <c r="A10" s="50" t="s">
        <v>403</v>
      </c>
      <c r="B10" s="32"/>
      <c r="C10" s="35" t="n">
        <v>383342</v>
      </c>
      <c r="D10" s="35" t="n">
        <v>169802</v>
      </c>
      <c r="E10" s="35" t="n">
        <v>112198</v>
      </c>
      <c r="F10" s="35" t="n">
        <v>238658</v>
      </c>
      <c r="G10" s="35" t="n">
        <v>40818</v>
      </c>
      <c r="H10" s="35" t="n">
        <v>19113</v>
      </c>
      <c r="I10" s="35" t="n">
        <f aca="false">H10*1.284925</f>
        <v>24558.771525</v>
      </c>
      <c r="J10" s="35" t="n">
        <f aca="false">前提・入力!$B$14*前提・入力!$B$23</f>
        <v>49834.46</v>
      </c>
      <c r="K10" s="35" t="n">
        <f aca="false">前提・入力!$B$14*前提・入力!$B$24</f>
        <v>46001.04</v>
      </c>
      <c r="L10" s="35" t="n">
        <f aca="false">前提・入力!$B$14*前提・入力!$B$25</f>
        <v>34500.78</v>
      </c>
      <c r="M10" s="35" t="n">
        <f aca="false">前提・入力!$B$14*前提・入力!$B$26</f>
        <v>191671</v>
      </c>
    </row>
    <row r="11" customFormat="false" ht="15" hidden="false" customHeight="false" outlineLevel="0" collapsed="false">
      <c r="A11" s="50" t="s">
        <v>404</v>
      </c>
      <c r="B11" s="32"/>
      <c r="C11" s="34" t="n">
        <v>358193925</v>
      </c>
      <c r="D11" s="34" t="n">
        <v>138575410</v>
      </c>
      <c r="E11" s="34" t="n">
        <v>105540655</v>
      </c>
      <c r="F11" s="34" t="n">
        <v>215184570</v>
      </c>
      <c r="G11" s="34" t="n">
        <v>41120210</v>
      </c>
      <c r="H11" s="34" t="n">
        <v>19691300</v>
      </c>
      <c r="I11" s="34" t="n">
        <f aca="false">H11*1.27778</f>
        <v>25161149.314</v>
      </c>
      <c r="J11" s="34" t="n">
        <f aca="false">前提・入力!$B$13*前提・入力!$B$23</f>
        <v>46565210.25</v>
      </c>
      <c r="K11" s="34" t="n">
        <f aca="false">前提・入力!$B$13*前提・入力!$B$24</f>
        <v>42983271</v>
      </c>
      <c r="L11" s="34" t="n">
        <f aca="false">前提・入力!$B$13*前提・入力!$B$25</f>
        <v>32237453.25</v>
      </c>
      <c r="M11" s="34" t="n">
        <f aca="false">前提・入力!$B$13*前提・入力!$B$26</f>
        <v>179096962.5</v>
      </c>
    </row>
    <row r="12" customFormat="false" ht="15" hidden="false" customHeight="false" outlineLevel="0" collapsed="false">
      <c r="A12" s="52" t="s">
        <v>405</v>
      </c>
      <c r="B12" s="32"/>
      <c r="C12" s="35" t="n">
        <v>148185</v>
      </c>
      <c r="D12" s="35" t="n">
        <v>58600</v>
      </c>
      <c r="E12" s="35" t="n">
        <v>44871</v>
      </c>
      <c r="F12" s="35" t="n">
        <v>63740</v>
      </c>
      <c r="G12" s="35" t="n">
        <v>8891</v>
      </c>
      <c r="H12" s="35" t="n">
        <v>4022</v>
      </c>
      <c r="I12" s="35" t="n">
        <f aca="false">①石川予測確定!P49</f>
        <v>5151</v>
      </c>
      <c r="J12" s="35" t="n">
        <f aca="false">ROUND(J13/前提・入力!$B$30,0)</f>
        <v>9536</v>
      </c>
      <c r="K12" s="35" t="n">
        <f aca="false">ROUND(K13/前提・入力!$B$30,0)</f>
        <v>8802</v>
      </c>
      <c r="L12" s="35" t="n">
        <f aca="false">ROUND(L13/前提・入力!$B$30,0)</f>
        <v>6602</v>
      </c>
      <c r="M12" s="35" t="n">
        <f aca="false">ROUND(M13/前提・入力!$B$30,0)</f>
        <v>36677</v>
      </c>
    </row>
    <row r="13" customFormat="false" ht="15" hidden="false" customHeight="false" outlineLevel="0" collapsed="false">
      <c r="A13" s="52" t="s">
        <v>406</v>
      </c>
      <c r="B13" s="32"/>
      <c r="C13" s="34" t="n">
        <v>102186200</v>
      </c>
      <c r="D13" s="34" t="n">
        <v>41479600</v>
      </c>
      <c r="E13" s="34" t="n">
        <v>31026800</v>
      </c>
      <c r="F13" s="34" t="n">
        <v>45507600</v>
      </c>
      <c r="G13" s="34" t="n">
        <v>7217000</v>
      </c>
      <c r="H13" s="34" t="n">
        <v>3388400</v>
      </c>
      <c r="I13" s="34" t="n">
        <f aca="false">①石川予測確定!Q49</f>
        <v>4292200</v>
      </c>
      <c r="J13" s="34" t="n">
        <f aca="false">J11*前提・入力!$B$29</f>
        <v>7943484.41269759</v>
      </c>
      <c r="K13" s="34" t="n">
        <f aca="false">K11*前提・入力!$B$29</f>
        <v>7332447.15018239</v>
      </c>
      <c r="L13" s="34" t="n">
        <f aca="false">L11*前提・入力!$B$29</f>
        <v>5499335.36263679</v>
      </c>
      <c r="M13" s="34" t="n">
        <f aca="false">M11*前提・入力!$B$29</f>
        <v>30551863.1257599</v>
      </c>
    </row>
    <row r="14" customFormat="false" ht="15" hidden="false" customHeight="false" outlineLevel="0" collapsed="false">
      <c r="A14" s="52" t="s">
        <v>407</v>
      </c>
      <c r="B14" s="32"/>
      <c r="C14" s="37" t="n">
        <f aca="false">C12/C10</f>
        <v>0.386560825581335</v>
      </c>
      <c r="D14" s="37" t="n">
        <f aca="false">D12/D10</f>
        <v>0.345107831474305</v>
      </c>
      <c r="E14" s="37" t="n">
        <f aca="false">E12/E10</f>
        <v>0.39992691491827</v>
      </c>
      <c r="F14" s="37" t="n">
        <f aca="false">F12/F10</f>
        <v>0.267076737423426</v>
      </c>
      <c r="G14" s="37" t="n">
        <f aca="false">G12/G10</f>
        <v>0.217820569356656</v>
      </c>
      <c r="H14" s="37" t="n">
        <f aca="false">H12/H10</f>
        <v>0.210432689792288</v>
      </c>
      <c r="I14" s="37" t="n">
        <f aca="false">I12/I10</f>
        <v>0.209741761502869</v>
      </c>
      <c r="J14" s="37" t="n">
        <f aca="false">J12/J10</f>
        <v>0.191353533277977</v>
      </c>
      <c r="K14" s="37" t="n">
        <f aca="false">K12/K10</f>
        <v>0.191343500059999</v>
      </c>
      <c r="L14" s="37" t="n">
        <f aca="false">L12/L10</f>
        <v>0.191357992485967</v>
      </c>
      <c r="M14" s="37" t="n">
        <f aca="false">M12/M10</f>
        <v>0.191353934606696</v>
      </c>
    </row>
    <row r="15" customFormat="false" ht="15" hidden="false" customHeight="false" outlineLevel="0" collapsed="false">
      <c r="A15" s="52" t="s">
        <v>408</v>
      </c>
      <c r="B15" s="32"/>
      <c r="C15" s="37" t="n">
        <f aca="false">C13/C11</f>
        <v>0.285281778578461</v>
      </c>
      <c r="D15" s="37" t="n">
        <f aca="false">D13/D11</f>
        <v>0.29932871928721</v>
      </c>
      <c r="E15" s="37" t="n">
        <f aca="false">E13/E11</f>
        <v>0.293979604352465</v>
      </c>
      <c r="F15" s="37" t="n">
        <f aca="false">F13/F11</f>
        <v>0.211481706146496</v>
      </c>
      <c r="G15" s="37" t="n">
        <f aca="false">G13/G11</f>
        <v>0.175509804059853</v>
      </c>
      <c r="H15" s="37" t="n">
        <f aca="false">H13/H11</f>
        <v>0.172075992951202</v>
      </c>
      <c r="I15" s="37" t="n">
        <f aca="false">I13/I11</f>
        <v>0.170588391906715</v>
      </c>
      <c r="J15" s="37" t="n">
        <f aca="false">J13/J11</f>
        <v>0.170588393567869</v>
      </c>
      <c r="K15" s="37" t="n">
        <f aca="false">K13/K11</f>
        <v>0.170588393567869</v>
      </c>
      <c r="L15" s="37" t="n">
        <f aca="false">L13/L11</f>
        <v>0.170588393567869</v>
      </c>
      <c r="M15" s="37" t="n">
        <f aca="false">M13/M11</f>
        <v>0.170588393567869</v>
      </c>
    </row>
    <row r="16" customFormat="false" ht="15" hidden="false" customHeight="false" outlineLevel="0" collapsed="false">
      <c r="A16" s="50" t="s">
        <v>409</v>
      </c>
      <c r="B16" s="32"/>
      <c r="C16" s="37" t="n">
        <f aca="false">C10/$C$10</f>
        <v>1</v>
      </c>
      <c r="D16" s="37" t="n">
        <f aca="false">D10/$C$10</f>
        <v>0.442951724569705</v>
      </c>
      <c r="E16" s="37" t="n">
        <f aca="false">E10/$C$10</f>
        <v>0.292683817583255</v>
      </c>
      <c r="F16" s="37" t="n">
        <f aca="false">F10/$C$10</f>
        <v>0.622572011415394</v>
      </c>
      <c r="G16" s="37" t="n">
        <f aca="false">G10/$C$10</f>
        <v>0.10647933177163</v>
      </c>
      <c r="H16" s="37" t="n">
        <f aca="false">H10/$C$10</f>
        <v>0.0498588727559203</v>
      </c>
      <c r="I16" s="37" t="n">
        <f aca="false">I10/$C$10</f>
        <v>0.0640649120759009</v>
      </c>
      <c r="J16" s="37" t="n">
        <f aca="false">J10/$C$10</f>
        <v>0.13</v>
      </c>
      <c r="K16" s="37" t="n">
        <f aca="false">K10/$C$10</f>
        <v>0.12</v>
      </c>
      <c r="L16" s="37" t="n">
        <f aca="false">L10/$C$10</f>
        <v>0.09</v>
      </c>
      <c r="M16" s="37" t="n">
        <f aca="false">M10/$C$10</f>
        <v>0.5</v>
      </c>
    </row>
    <row r="17" customFormat="false" ht="15" hidden="false" customHeight="false" outlineLevel="0" collapsed="false">
      <c r="A17" s="50" t="s">
        <v>410</v>
      </c>
      <c r="B17" s="39" t="s">
        <v>411</v>
      </c>
      <c r="C17" s="37" t="n">
        <f aca="false">C11/$C$11</f>
        <v>1</v>
      </c>
      <c r="D17" s="37" t="n">
        <f aca="false">D11/$C$11</f>
        <v>0.386872585848574</v>
      </c>
      <c r="E17" s="37" t="n">
        <f aca="false">E11/$C$11</f>
        <v>0.294646691732698</v>
      </c>
      <c r="F17" s="37" t="n">
        <f aca="false">F11/$C$11</f>
        <v>0.600748798294108</v>
      </c>
      <c r="G17" s="37" t="n">
        <f aca="false">G11/$C$11</f>
        <v>0.114798736466566</v>
      </c>
      <c r="H17" s="37" t="n">
        <f aca="false">H11/$C$11</f>
        <v>0.0549738525018257</v>
      </c>
      <c r="I17" s="37" t="n">
        <f aca="false">I11/$C$11</f>
        <v>0.0702444892497828</v>
      </c>
      <c r="J17" s="37" t="n">
        <f aca="false">前提・入力!$B$23</f>
        <v>0.13</v>
      </c>
      <c r="K17" s="37" t="n">
        <f aca="false">前提・入力!$B$24</f>
        <v>0.12</v>
      </c>
      <c r="L17" s="37" t="n">
        <f aca="false">前提・入力!$B$25</f>
        <v>0.09</v>
      </c>
      <c r="M17" s="37" t="n">
        <f aca="false">前提・入力!$B$26</f>
        <v>0.5</v>
      </c>
    </row>
    <row r="18" customFormat="false" ht="15" hidden="false" customHeight="false" outlineLevel="0" collapsed="false">
      <c r="A18" s="52" t="s">
        <v>412</v>
      </c>
      <c r="B18" s="32"/>
      <c r="C18" s="34" t="n">
        <f aca="false">IFERROR(C13/C12,0)</f>
        <v>689.585315652731</v>
      </c>
      <c r="D18" s="34" t="n">
        <f aca="false">IFERROR(D13/D12,0)</f>
        <v>707.843003412969</v>
      </c>
      <c r="E18" s="34" t="n">
        <f aca="false">IFERROR(E13/E12,0)</f>
        <v>691.466648837779</v>
      </c>
      <c r="F18" s="34" t="n">
        <f aca="false">IFERROR(F13/F12,0)</f>
        <v>713.956699090053</v>
      </c>
      <c r="G18" s="34" t="n">
        <f aca="false">IFERROR(G13/G12,0)</f>
        <v>811.719716567315</v>
      </c>
      <c r="H18" s="34" t="n">
        <f aca="false">IFERROR(H13/H12,0)</f>
        <v>842.466434609647</v>
      </c>
      <c r="I18" s="34" t="n">
        <f aca="false">I13/I12</f>
        <v>833.275092215104</v>
      </c>
      <c r="J18" s="34" t="n">
        <f aca="false">J13/J12</f>
        <v>832.999623814764</v>
      </c>
      <c r="K18" s="34" t="n">
        <f aca="false">K13/K12</f>
        <v>833.043302679208</v>
      </c>
      <c r="L18" s="34" t="n">
        <f aca="false">L13/L12</f>
        <v>832.980212456345</v>
      </c>
      <c r="M18" s="34" t="n">
        <f aca="false">M13/M12</f>
        <v>832.997876755458</v>
      </c>
    </row>
    <row r="21" customFormat="false" ht="15" hidden="false" customHeight="false" outlineLevel="0" collapsed="false">
      <c r="A21" s="4" t="s">
        <v>413</v>
      </c>
    </row>
    <row r="22" customFormat="false" ht="15" hidden="false" customHeight="false" outlineLevel="0" collapsed="false">
      <c r="A22" s="26" t="s">
        <v>414</v>
      </c>
      <c r="B22" s="53"/>
      <c r="C22" s="47" t="s">
        <v>376</v>
      </c>
      <c r="D22" s="48" t="s">
        <v>377</v>
      </c>
      <c r="E22" s="28" t="s">
        <v>378</v>
      </c>
      <c r="F22" s="29" t="s">
        <v>379</v>
      </c>
      <c r="G22" s="30" t="s">
        <v>380</v>
      </c>
      <c r="H22" s="27" t="s">
        <v>381</v>
      </c>
    </row>
    <row r="23" customFormat="false" ht="15" hidden="false" customHeight="false" outlineLevel="0" collapsed="false">
      <c r="A23" s="52" t="s">
        <v>415</v>
      </c>
      <c r="B23" s="32"/>
      <c r="C23" s="37" t="n">
        <v>0.285281778578461</v>
      </c>
      <c r="D23" s="37" t="n">
        <v>0.29932871928721</v>
      </c>
      <c r="E23" s="37" t="n">
        <v>0.293979604352465</v>
      </c>
      <c r="F23" s="37" t="n">
        <v>0.211481706146496</v>
      </c>
      <c r="G23" s="37" t="n">
        <v>0.175509804059853</v>
      </c>
      <c r="H23" s="37" t="n">
        <v>0.172075992951202</v>
      </c>
    </row>
    <row r="24" customFormat="false" ht="15" hidden="false" customHeight="false" outlineLevel="0" collapsed="false">
      <c r="A24" s="50" t="s">
        <v>416</v>
      </c>
      <c r="B24" s="32"/>
      <c r="C24" s="37" t="n">
        <v>0.533839232477212</v>
      </c>
      <c r="D24" s="37" t="n">
        <v>0.351384419501267</v>
      </c>
      <c r="E24" s="37" t="n">
        <v>0.321055426461016</v>
      </c>
      <c r="F24" s="37" t="n">
        <v>0.418945187380303</v>
      </c>
      <c r="G24" s="37" t="n">
        <v>0.390839930048995</v>
      </c>
      <c r="H24" s="37" t="n">
        <v>0.415033034893583</v>
      </c>
    </row>
    <row r="25" customFormat="false" ht="15" hidden="false" customHeight="false" outlineLevel="0" collapsed="false">
      <c r="A25" s="50" t="s">
        <v>417</v>
      </c>
      <c r="B25" s="32"/>
      <c r="C25" s="37" t="n">
        <v>0.092163721090468</v>
      </c>
      <c r="D25" s="37" t="n">
        <v>0.0783654906739948</v>
      </c>
      <c r="E25" s="37" t="n">
        <v>0.0782893094608897</v>
      </c>
      <c r="F25" s="37" t="n">
        <v>0.15216207184372</v>
      </c>
      <c r="G25" s="37" t="n">
        <v>0.168412564040894</v>
      </c>
      <c r="H25" s="37" t="n">
        <v>0.149990097149503</v>
      </c>
    </row>
    <row r="26" customFormat="false" ht="15" hidden="false" customHeight="false" outlineLevel="0" collapsed="false">
      <c r="A26" s="52" t="s">
        <v>418</v>
      </c>
      <c r="B26" s="32"/>
      <c r="C26" s="37" t="n">
        <v>0</v>
      </c>
      <c r="D26" s="37" t="n">
        <v>0.236180719219954</v>
      </c>
      <c r="E26" s="37" t="n">
        <v>0.232523476379789</v>
      </c>
      <c r="F26" s="37" t="n">
        <v>0.143011090432739</v>
      </c>
      <c r="G26" s="37" t="n">
        <v>0.185393994826388</v>
      </c>
      <c r="H26" s="37" t="n">
        <v>0.178362017743877</v>
      </c>
    </row>
    <row r="27" customFormat="false" ht="15" hidden="false" customHeight="false" outlineLevel="0" collapsed="false">
      <c r="A27" s="52" t="s">
        <v>419</v>
      </c>
      <c r="B27" s="32"/>
      <c r="C27" s="37" t="n">
        <v>0.0332721164938797</v>
      </c>
      <c r="D27" s="37" t="n">
        <v>0.034740651317575</v>
      </c>
      <c r="E27" s="37" t="n">
        <v>0.0741521833458396</v>
      </c>
      <c r="F27" s="37" t="n">
        <v>0.0743999441967424</v>
      </c>
      <c r="G27" s="37" t="n">
        <v>0.0798437070238698</v>
      </c>
      <c r="H27" s="37" t="n">
        <v>0.0845388572618365</v>
      </c>
    </row>
    <row r="28" customFormat="false" ht="15" hidden="false" customHeight="false" outlineLevel="0" collapsed="false">
      <c r="A28" s="50" t="s">
        <v>420</v>
      </c>
      <c r="B28" s="32"/>
      <c r="C28" s="37" t="n">
        <v>0.0554431513599791</v>
      </c>
      <c r="D28" s="37" t="n">
        <v>0</v>
      </c>
      <c r="E28" s="37" t="n">
        <v>0</v>
      </c>
      <c r="F28" s="37" t="n">
        <v>0</v>
      </c>
      <c r="G28" s="37" t="n">
        <v>0</v>
      </c>
      <c r="H28" s="37" t="n">
        <v>0</v>
      </c>
    </row>
    <row r="29" customFormat="false" ht="15" hidden="false" customHeight="false" outlineLevel="0" collapsed="false">
      <c r="A29" s="50" t="s">
        <v>421</v>
      </c>
      <c r="B29" s="32"/>
      <c r="C29" s="37" t="n">
        <v>0</v>
      </c>
      <c r="D29" s="37" t="n">
        <v>0</v>
      </c>
      <c r="E29" s="37" t="n">
        <v>0</v>
      </c>
      <c r="F29" s="37" t="n">
        <v>0</v>
      </c>
      <c r="G29" s="37" t="n">
        <v>0</v>
      </c>
      <c r="H29" s="37" t="n">
        <v>0</v>
      </c>
    </row>
    <row r="30" customFormat="false" ht="15" hidden="false" customHeight="false" outlineLevel="0" collapsed="false">
      <c r="A30" s="41" t="s">
        <v>422</v>
      </c>
      <c r="B30" s="40"/>
      <c r="C30" s="45" t="n">
        <f aca="false">SUM(C23:C29)</f>
        <v>1</v>
      </c>
      <c r="D30" s="45" t="n">
        <f aca="false">SUM(D23:D29)</f>
        <v>1</v>
      </c>
      <c r="E30" s="45" t="n">
        <f aca="false">SUM(E23:E29)</f>
        <v>1</v>
      </c>
      <c r="F30" s="45" t="n">
        <f aca="false">SUM(F23:F29)</f>
        <v>1</v>
      </c>
      <c r="G30" s="45" t="n">
        <f aca="false">SUM(G23:G29)</f>
        <v>1</v>
      </c>
      <c r="H30" s="45" t="n">
        <f aca="false">SUM(H23:H29)</f>
        <v>1</v>
      </c>
    </row>
    <row r="32" customFormat="false" ht="15" hidden="false" customHeight="false" outlineLevel="0" collapsed="false">
      <c r="A32" s="4" t="s">
        <v>423</v>
      </c>
    </row>
    <row r="33" customFormat="false" ht="25.35" hidden="false" customHeight="false" outlineLevel="0" collapsed="false">
      <c r="A33" s="26" t="s">
        <v>424</v>
      </c>
      <c r="B33" s="26"/>
      <c r="C33" s="26" t="s">
        <v>425</v>
      </c>
      <c r="D33" s="26" t="s">
        <v>426</v>
      </c>
      <c r="E33" s="26" t="s">
        <v>427</v>
      </c>
      <c r="F33" s="25" t="s">
        <v>428</v>
      </c>
      <c r="G33" s="26" t="s">
        <v>429</v>
      </c>
    </row>
    <row r="34" customFormat="false" ht="15" hidden="false" customHeight="false" outlineLevel="0" collapsed="false">
      <c r="A34" s="54" t="s">
        <v>376</v>
      </c>
      <c r="B34" s="32"/>
      <c r="C34" s="35" t="n">
        <v>332</v>
      </c>
      <c r="D34" s="35" t="n">
        <v>332</v>
      </c>
      <c r="E34" s="37" t="n">
        <v>1</v>
      </c>
      <c r="F34" s="37" t="n">
        <v>0.295918178066487</v>
      </c>
      <c r="G34" s="33" t="s">
        <v>430</v>
      </c>
    </row>
    <row r="35" customFormat="false" ht="15" hidden="false" customHeight="false" outlineLevel="0" collapsed="false">
      <c r="A35" s="54" t="s">
        <v>377</v>
      </c>
      <c r="B35" s="32"/>
      <c r="C35" s="35" t="n">
        <v>416</v>
      </c>
      <c r="D35" s="35" t="n">
        <v>85</v>
      </c>
      <c r="E35" s="37" t="n">
        <v>0.211208575551697</v>
      </c>
      <c r="F35" s="37" t="n">
        <v>0.306532372423343</v>
      </c>
      <c r="G35" s="55" t="s">
        <v>431</v>
      </c>
    </row>
    <row r="36" customFormat="false" ht="15" hidden="false" customHeight="false" outlineLevel="0" collapsed="false">
      <c r="A36" s="54" t="s">
        <v>378</v>
      </c>
      <c r="B36" s="32"/>
      <c r="C36" s="35" t="n">
        <v>435</v>
      </c>
      <c r="D36" s="35" t="n">
        <v>19</v>
      </c>
      <c r="E36" s="37" t="n">
        <v>0.146400658503392</v>
      </c>
      <c r="F36" s="37" t="n">
        <v>0.244486551474135</v>
      </c>
      <c r="G36" s="33" t="s">
        <v>432</v>
      </c>
    </row>
    <row r="37" customFormat="false" ht="15" hidden="false" customHeight="false" outlineLevel="0" collapsed="false">
      <c r="A37" s="54" t="s">
        <v>379</v>
      </c>
      <c r="B37" s="32"/>
      <c r="C37" s="35" t="n">
        <v>515</v>
      </c>
      <c r="D37" s="35" t="n">
        <v>106</v>
      </c>
      <c r="E37" s="37" t="n">
        <v>0.191457716359134</v>
      </c>
      <c r="F37" s="37" t="n">
        <v>0.206984790695496</v>
      </c>
      <c r="G37" s="33" t="s">
        <v>433</v>
      </c>
    </row>
    <row r="38" customFormat="false" ht="15" hidden="false" customHeight="false" outlineLevel="0" collapsed="false">
      <c r="A38" s="54" t="s">
        <v>380</v>
      </c>
      <c r="B38" s="32"/>
      <c r="C38" s="35" t="n">
        <v>382</v>
      </c>
      <c r="D38" s="35" t="n">
        <v>0</v>
      </c>
      <c r="E38" s="37" t="n">
        <v>0</v>
      </c>
      <c r="F38" s="37" t="n">
        <v>0.17555847926377</v>
      </c>
      <c r="G38" s="33" t="s">
        <v>434</v>
      </c>
    </row>
    <row r="39" customFormat="false" ht="15" hidden="false" customHeight="false" outlineLevel="0" collapsed="false">
      <c r="A39" s="54" t="s">
        <v>381</v>
      </c>
      <c r="B39" s="32"/>
      <c r="C39" s="35" t="n">
        <v>382</v>
      </c>
      <c r="D39" s="35" t="n">
        <v>0</v>
      </c>
      <c r="E39" s="37" t="n">
        <v>0</v>
      </c>
      <c r="F39" s="37" t="n">
        <v>0.172075992951202</v>
      </c>
      <c r="G39" s="33" t="s">
        <v>434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11"/>
    <col collapsed="false" customWidth="true" hidden="false" outlineLevel="0" max="5" min="5" style="0" width="9"/>
    <col collapsed="false" customWidth="true" hidden="false" outlineLevel="0" max="6" min="6" style="0" width="11"/>
    <col collapsed="false" customWidth="true" hidden="false" outlineLevel="0" max="7" min="7" style="0" width="9"/>
    <col collapsed="false" customWidth="true" hidden="false" outlineLevel="0" max="12" min="8" style="0" width="11"/>
    <col collapsed="false" customWidth="true" hidden="false" outlineLevel="0" max="14" min="13" style="0" width="12"/>
    <col collapsed="false" customWidth="true" hidden="false" outlineLevel="0" max="15" min="15" style="0" width="10"/>
    <col collapsed="false" customWidth="true" hidden="false" outlineLevel="0" max="16" min="16" style="0" width="12"/>
    <col collapsed="false" customWidth="true" hidden="false" outlineLevel="0" max="17" min="17" style="0" width="10"/>
    <col collapsed="false" customWidth="true" hidden="false" outlineLevel="0" max="19" min="18" style="0" width="11"/>
    <col collapsed="false" customWidth="true" hidden="false" outlineLevel="0" max="22" min="20" style="0" width="12"/>
    <col collapsed="false" customWidth="true" hidden="false" outlineLevel="0" max="23" min="23" style="0" width="11"/>
    <col collapsed="false" customWidth="true" hidden="false" outlineLevel="0" max="24" min="24" style="0" width="15"/>
    <col collapsed="false" customWidth="true" hidden="false" outlineLevel="0" max="25" min="25" style="0" width="11"/>
    <col collapsed="false" customWidth="true" hidden="false" outlineLevel="0" max="26" min="26" style="0" width="12"/>
  </cols>
  <sheetData>
    <row r="1" customFormat="false" ht="20.1" hidden="false" customHeight="false" outlineLevel="0" collapsed="false">
      <c r="A1" s="1" t="s">
        <v>435</v>
      </c>
    </row>
    <row r="2" customFormat="false" ht="15" hidden="false" customHeight="false" outlineLevel="0" collapsed="false">
      <c r="A2" s="3" t="s">
        <v>436</v>
      </c>
    </row>
    <row r="3" customFormat="false" ht="15" hidden="false" customHeight="false" outlineLevel="0" collapsed="false">
      <c r="A3" s="3" t="s">
        <v>437</v>
      </c>
    </row>
    <row r="4" customFormat="false" ht="15" hidden="false" customHeight="false" outlineLevel="0" collapsed="false">
      <c r="A4" s="3" t="s">
        <v>438</v>
      </c>
    </row>
    <row r="5" customFormat="false" ht="15" hidden="false" customHeight="false" outlineLevel="0" collapsed="false">
      <c r="A5" s="4" t="s">
        <v>439</v>
      </c>
    </row>
    <row r="6" customFormat="false" ht="25.35" hidden="false" customHeight="false" outlineLevel="0" collapsed="false">
      <c r="A6" s="49" t="s">
        <v>424</v>
      </c>
      <c r="B6" s="49" t="s">
        <v>387</v>
      </c>
      <c r="C6" s="49" t="s">
        <v>440</v>
      </c>
      <c r="D6" s="49" t="s">
        <v>441</v>
      </c>
      <c r="E6" s="49" t="s">
        <v>442</v>
      </c>
      <c r="F6" s="56" t="s">
        <v>443</v>
      </c>
      <c r="G6" s="56" t="s">
        <v>444</v>
      </c>
      <c r="H6" s="49" t="s">
        <v>445</v>
      </c>
    </row>
    <row r="7" customFormat="false" ht="15" hidden="false" customHeight="false" outlineLevel="0" collapsed="false">
      <c r="A7" s="50" t="s">
        <v>446</v>
      </c>
      <c r="B7" s="32" t="s">
        <v>447</v>
      </c>
      <c r="C7" s="32" t="n">
        <v>30</v>
      </c>
      <c r="D7" s="37" t="n">
        <f aca="false">前提・入力!$B$23</f>
        <v>0.13</v>
      </c>
      <c r="E7" s="34" t="n">
        <f aca="false">前提・入力!$B$13*D7</f>
        <v>46565210.25</v>
      </c>
      <c r="F7" s="34" t="n">
        <f aca="false">E7*前提・入力!$B$29</f>
        <v>7943484.41269759</v>
      </c>
      <c r="G7" s="35" t="n">
        <f aca="false">ROUND(F7/前提・入力!$B$30,0)</f>
        <v>9536</v>
      </c>
      <c r="H7" s="33" t="s">
        <v>448</v>
      </c>
    </row>
    <row r="8" customFormat="false" ht="15" hidden="false" customHeight="false" outlineLevel="0" collapsed="false">
      <c r="A8" s="50" t="s">
        <v>384</v>
      </c>
      <c r="B8" s="32" t="s">
        <v>449</v>
      </c>
      <c r="C8" s="32" t="n">
        <v>21</v>
      </c>
      <c r="D8" s="37" t="n">
        <f aca="false">前提・入力!$B$24</f>
        <v>0.12</v>
      </c>
      <c r="E8" s="34" t="n">
        <f aca="false">前提・入力!$B$13*D8</f>
        <v>42983271</v>
      </c>
      <c r="F8" s="34" t="n">
        <f aca="false">E8*前提・入力!$B$29</f>
        <v>7332447.15018239</v>
      </c>
      <c r="G8" s="35" t="n">
        <f aca="false">ROUND(F8/前提・入力!$B$30,0)</f>
        <v>8802</v>
      </c>
      <c r="H8" s="33" t="s">
        <v>450</v>
      </c>
    </row>
    <row r="9" customFormat="false" ht="15" hidden="false" customHeight="false" outlineLevel="0" collapsed="false">
      <c r="A9" s="50" t="s">
        <v>385</v>
      </c>
      <c r="B9" s="32" t="s">
        <v>451</v>
      </c>
      <c r="C9" s="32" t="n">
        <v>21</v>
      </c>
      <c r="D9" s="37" t="n">
        <f aca="false">前提・入力!$B$25</f>
        <v>0.09</v>
      </c>
      <c r="E9" s="34" t="n">
        <f aca="false">前提・入力!$B$13*D9</f>
        <v>32237453.25</v>
      </c>
      <c r="F9" s="34" t="n">
        <f aca="false">E9*前提・入力!$B$29</f>
        <v>5499335.36263679</v>
      </c>
      <c r="G9" s="35" t="n">
        <f aca="false">ROUND(F9/前提・入力!$B$30,0)</f>
        <v>6602</v>
      </c>
      <c r="H9" s="33" t="s">
        <v>452</v>
      </c>
    </row>
    <row r="10" customFormat="false" ht="15" hidden="false" customHeight="false" outlineLevel="0" collapsed="false">
      <c r="A10" s="50" t="s">
        <v>386</v>
      </c>
      <c r="B10" s="32" t="s">
        <v>453</v>
      </c>
      <c r="C10" s="32" t="n">
        <v>25</v>
      </c>
      <c r="D10" s="37" t="n">
        <f aca="false">前提・入力!$B$26</f>
        <v>0.5</v>
      </c>
      <c r="E10" s="34" t="n">
        <f aca="false">前提・入力!$B$13*D10</f>
        <v>179096962.5</v>
      </c>
      <c r="F10" s="34" t="n">
        <f aca="false">E10*前提・入力!$B$29</f>
        <v>30551863.1257599</v>
      </c>
      <c r="G10" s="35" t="n">
        <f aca="false">ROUND(F10/前提・入力!$B$30,0)</f>
        <v>36677</v>
      </c>
      <c r="H10" s="33" t="s">
        <v>454</v>
      </c>
    </row>
    <row r="11" customFormat="false" ht="15" hidden="false" customHeight="false" outlineLevel="0" collapsed="false">
      <c r="A11" s="41" t="s">
        <v>455</v>
      </c>
      <c r="B11" s="40"/>
      <c r="C11" s="40"/>
      <c r="D11" s="45" t="n">
        <f aca="false">SUM(D7:D10)</f>
        <v>0.84</v>
      </c>
      <c r="E11" s="44" t="n">
        <f aca="false">SUM(E7:E10)</f>
        <v>300882897</v>
      </c>
      <c r="F11" s="44" t="n">
        <f aca="false">SUM(F7:F10)</f>
        <v>51327130.0512767</v>
      </c>
      <c r="G11" s="42" t="n">
        <f aca="false">SUM(G7:G10)</f>
        <v>61617</v>
      </c>
      <c r="H11" s="41"/>
    </row>
    <row r="13" customFormat="false" ht="15" hidden="false" customHeight="false" outlineLevel="0" collapsed="false">
      <c r="A13" s="4" t="s">
        <v>456</v>
      </c>
    </row>
    <row r="14" customFormat="false" ht="15" hidden="false" customHeight="false" outlineLevel="0" collapsed="false">
      <c r="A14" s="5" t="s">
        <v>457</v>
      </c>
      <c r="B14" s="22" t="n">
        <v>276521</v>
      </c>
      <c r="C14" s="57" t="s">
        <v>458</v>
      </c>
    </row>
    <row r="15" customFormat="false" ht="15" hidden="false" customHeight="false" outlineLevel="0" collapsed="false">
      <c r="A15" s="5" t="s">
        <v>459</v>
      </c>
      <c r="B15" s="22" t="n">
        <v>50506</v>
      </c>
      <c r="C15" s="57" t="s">
        <v>460</v>
      </c>
    </row>
    <row r="16" customFormat="false" ht="15" hidden="false" customHeight="false" outlineLevel="0" collapsed="false">
      <c r="A16" s="5" t="s">
        <v>461</v>
      </c>
      <c r="B16" s="22" t="n">
        <f aca="false">Q73</f>
        <v>197962</v>
      </c>
      <c r="C16" s="57" t="s">
        <v>462</v>
      </c>
    </row>
    <row r="17" customFormat="false" ht="15" hidden="false" customHeight="false" outlineLevel="0" collapsed="false">
      <c r="A17" s="5" t="s">
        <v>463</v>
      </c>
      <c r="B17" s="22" t="n">
        <v>8891</v>
      </c>
      <c r="C17" s="57" t="s">
        <v>464</v>
      </c>
    </row>
    <row r="18" customFormat="false" ht="15" hidden="false" customHeight="false" outlineLevel="0" collapsed="false">
      <c r="A18" s="5" t="s">
        <v>465</v>
      </c>
      <c r="B18" s="22" t="n">
        <f aca="false">R73</f>
        <v>41615</v>
      </c>
      <c r="C18" s="57" t="s">
        <v>466</v>
      </c>
    </row>
    <row r="19" customFormat="false" ht="15" hidden="false" customHeight="false" outlineLevel="0" collapsed="false">
      <c r="A19" s="5" t="s">
        <v>467</v>
      </c>
      <c r="B19" s="22" t="n">
        <v>0</v>
      </c>
      <c r="C19" s="57" t="s">
        <v>468</v>
      </c>
    </row>
    <row r="20" customFormat="false" ht="15" hidden="false" customHeight="false" outlineLevel="0" collapsed="false">
      <c r="A20" s="5" t="s">
        <v>469</v>
      </c>
      <c r="B20" s="22" t="n">
        <v>58</v>
      </c>
      <c r="C20" s="57" t="s">
        <v>470</v>
      </c>
    </row>
    <row r="21" customFormat="false" ht="15" hidden="false" customHeight="false" outlineLevel="0" collapsed="false">
      <c r="A21" s="5" t="s">
        <v>471</v>
      </c>
      <c r="B21" s="58" t="n">
        <f aca="false">①石川予測確定!S49</f>
        <v>46928</v>
      </c>
      <c r="C21" s="59" t="s">
        <v>472</v>
      </c>
    </row>
    <row r="22" customFormat="false" ht="15" hidden="false" customHeight="false" outlineLevel="0" collapsed="false">
      <c r="A22" s="5" t="s">
        <v>473</v>
      </c>
      <c r="B22" s="22" t="n">
        <f aca="false">①石川予測確定!P49</f>
        <v>5151</v>
      </c>
      <c r="C22" s="57"/>
    </row>
    <row r="23" customFormat="false" ht="15" hidden="false" customHeight="false" outlineLevel="0" collapsed="false">
      <c r="A23" s="5" t="s">
        <v>474</v>
      </c>
      <c r="B23" s="22" t="n">
        <f aca="false">B16+B18-B19-B22</f>
        <v>234426</v>
      </c>
      <c r="C23" s="57" t="s">
        <v>475</v>
      </c>
    </row>
    <row r="24" customFormat="false" ht="15" hidden="false" customHeight="false" outlineLevel="0" collapsed="false">
      <c r="A24" s="5" t="s">
        <v>476</v>
      </c>
      <c r="B24" s="22" t="n">
        <v>1200</v>
      </c>
      <c r="C24" s="57" t="s">
        <v>477</v>
      </c>
    </row>
    <row r="25" customFormat="false" ht="15" hidden="false" customHeight="false" outlineLevel="0" collapsed="false">
      <c r="A25" s="5" t="s">
        <v>478</v>
      </c>
      <c r="B25" s="22" t="n">
        <f aca="false">G11</f>
        <v>61617</v>
      </c>
      <c r="C25" s="57"/>
    </row>
    <row r="26" customFormat="false" ht="15" hidden="false" customHeight="false" outlineLevel="0" collapsed="false">
      <c r="A26" s="5" t="s">
        <v>479</v>
      </c>
      <c r="B26" s="60" t="n">
        <f aca="false">B23+B24-B25</f>
        <v>174009</v>
      </c>
      <c r="C26" s="57" t="s">
        <v>480</v>
      </c>
    </row>
    <row r="27" customFormat="false" ht="15" hidden="false" customHeight="false" outlineLevel="0" collapsed="false">
      <c r="A27" s="5" t="s">
        <v>481</v>
      </c>
      <c r="B27" s="61" t="n">
        <f aca="false">Y73</f>
        <v>3384</v>
      </c>
      <c r="C27" s="57" t="s">
        <v>482</v>
      </c>
    </row>
    <row r="29" customFormat="false" ht="15" hidden="false" customHeight="false" outlineLevel="0" collapsed="false">
      <c r="A29" s="4" t="s">
        <v>483</v>
      </c>
    </row>
    <row r="30" customFormat="false" ht="42" hidden="false" customHeight="true" outlineLevel="0" collapsed="false">
      <c r="A30" s="25" t="s">
        <v>263</v>
      </c>
      <c r="B30" s="25" t="s">
        <v>264</v>
      </c>
      <c r="C30" s="26" t="s">
        <v>265</v>
      </c>
      <c r="D30" s="30" t="s">
        <v>484</v>
      </c>
      <c r="E30" s="30" t="s">
        <v>485</v>
      </c>
      <c r="F30" s="27" t="s">
        <v>486</v>
      </c>
      <c r="G30" s="27" t="s">
        <v>487</v>
      </c>
      <c r="H30" s="17" t="s">
        <v>488</v>
      </c>
      <c r="I30" s="49" t="s">
        <v>489</v>
      </c>
      <c r="J30" s="49" t="s">
        <v>490</v>
      </c>
      <c r="K30" s="49" t="s">
        <v>491</v>
      </c>
      <c r="L30" s="49" t="s">
        <v>492</v>
      </c>
      <c r="M30" s="31" t="s">
        <v>493</v>
      </c>
      <c r="N30" s="62" t="s">
        <v>494</v>
      </c>
      <c r="O30" s="62" t="s">
        <v>495</v>
      </c>
      <c r="P30" s="63" t="s">
        <v>496</v>
      </c>
      <c r="Q30" s="62" t="s">
        <v>497</v>
      </c>
      <c r="R30" s="30" t="s">
        <v>498</v>
      </c>
      <c r="S30" s="64" t="s">
        <v>499</v>
      </c>
      <c r="T30" s="27" t="s">
        <v>500</v>
      </c>
      <c r="U30" s="27" t="s">
        <v>501</v>
      </c>
      <c r="V30" s="31" t="s">
        <v>502</v>
      </c>
      <c r="W30" s="63" t="s">
        <v>503</v>
      </c>
      <c r="X30" s="31" t="s">
        <v>504</v>
      </c>
      <c r="Y30" s="31" t="s">
        <v>505</v>
      </c>
      <c r="Z30" s="31" t="s">
        <v>506</v>
      </c>
    </row>
    <row r="31" customFormat="false" ht="15" hidden="false" customHeight="false" outlineLevel="0" collapsed="false">
      <c r="A31" s="32" t="n">
        <v>1</v>
      </c>
      <c r="B31" s="32" t="s">
        <v>286</v>
      </c>
      <c r="C31" s="33" t="s">
        <v>287</v>
      </c>
      <c r="D31" s="35" t="n">
        <v>507</v>
      </c>
      <c r="E31" s="65" t="n">
        <f aca="false">IFERROR(D31/D$73,0)</f>
        <v>0.0570239568102576</v>
      </c>
      <c r="F31" s="35" t="n">
        <f aca="false">①石川予測確定!P7</f>
        <v>272</v>
      </c>
      <c r="G31" s="65" t="n">
        <f aca="false">IFERROR(F31/F$73,0)</f>
        <v>0.0528052805280528</v>
      </c>
      <c r="H31" s="65" t="n">
        <f aca="false">E31*前提・入力!$B$31+G31*前提・入力!$B$32</f>
        <v>0.0549146186691552</v>
      </c>
      <c r="I31" s="35" t="n">
        <f aca="false">ROUND($H31*③仙台以降予測!$G$7,0)</f>
        <v>524</v>
      </c>
      <c r="J31" s="35" t="n">
        <f aca="false">ROUND($H31*③仙台以降予測!$G$8,0)</f>
        <v>483</v>
      </c>
      <c r="K31" s="35" t="n">
        <f aca="false">ROUND($H31*③仙台以降予測!$G$9,0)</f>
        <v>363</v>
      </c>
      <c r="L31" s="35" t="n">
        <f aca="false">ROUND($H31*③仙台以降予測!$G$10,0)</f>
        <v>2014</v>
      </c>
      <c r="M31" s="35" t="n">
        <f aca="false">SUM(I31:L31)</f>
        <v>3384</v>
      </c>
      <c r="N31" s="35" t="n">
        <v>3271</v>
      </c>
      <c r="O31" s="35" t="n">
        <v>1000</v>
      </c>
      <c r="P31" s="35" t="n">
        <v>2268</v>
      </c>
      <c r="Q31" s="35" t="n">
        <f aca="false">IF(P31="",N31-O31,P31)</f>
        <v>2268</v>
      </c>
      <c r="R31" s="35" t="n">
        <v>493</v>
      </c>
      <c r="S31" s="35" t="n">
        <v>0</v>
      </c>
      <c r="T31" s="35" t="n">
        <f aca="false">①石川予測確定!S7</f>
        <v>693</v>
      </c>
      <c r="U31" s="35" t="n">
        <f aca="false">①石川予測確定!P7</f>
        <v>272</v>
      </c>
      <c r="V31" s="35" t="n">
        <f aca="false">Q31+R31-S31-U31</f>
        <v>2489</v>
      </c>
      <c r="W31" s="35" t="n">
        <v>0</v>
      </c>
      <c r="X31" s="38" t="n">
        <f aca="false">M31-V31-W31</f>
        <v>895</v>
      </c>
      <c r="Y31" s="35" t="n">
        <f aca="false">MAX(0,X31)</f>
        <v>895</v>
      </c>
      <c r="Z31" s="35" t="n">
        <f aca="false">IF(Y31&gt;0,ROUNDUP(Y31*(1+前提・入力!$B$34),0),0)</f>
        <v>985</v>
      </c>
    </row>
    <row r="32" customFormat="false" ht="15" hidden="false" customHeight="false" outlineLevel="0" collapsed="false">
      <c r="A32" s="32" t="n">
        <v>2</v>
      </c>
      <c r="B32" s="32" t="s">
        <v>288</v>
      </c>
      <c r="C32" s="33" t="s">
        <v>289</v>
      </c>
      <c r="D32" s="35" t="n">
        <v>541</v>
      </c>
      <c r="E32" s="65" t="n">
        <f aca="false">IFERROR(D32/D$73,0)</f>
        <v>0.0608480485884602</v>
      </c>
      <c r="F32" s="35" t="n">
        <f aca="false">①石川予測確定!P8</f>
        <v>325</v>
      </c>
      <c r="G32" s="65" t="n">
        <f aca="false">IFERROR(F32/F$73,0)</f>
        <v>0.0630945447485925</v>
      </c>
      <c r="H32" s="65" t="n">
        <f aca="false">E32*前提・入力!$B$31+G32*前提・入力!$B$32</f>
        <v>0.0619712966685264</v>
      </c>
      <c r="I32" s="35" t="n">
        <f aca="false">ROUND($H32*③仙台以降予測!$G$7,0)</f>
        <v>591</v>
      </c>
      <c r="J32" s="35" t="n">
        <f aca="false">ROUND($H32*③仙台以降予測!$G$8,0)</f>
        <v>545</v>
      </c>
      <c r="K32" s="35" t="n">
        <f aca="false">ROUND($H32*③仙台以降予測!$G$9,0)</f>
        <v>409</v>
      </c>
      <c r="L32" s="35" t="n">
        <f aca="false">ROUND($H32*③仙台以降予測!$G$10,0)</f>
        <v>2273</v>
      </c>
      <c r="M32" s="35" t="n">
        <f aca="false">SUM(I32:L32)</f>
        <v>3818</v>
      </c>
      <c r="N32" s="35" t="n">
        <v>5038</v>
      </c>
      <c r="O32" s="35" t="n">
        <v>1000</v>
      </c>
      <c r="P32" s="35" t="n">
        <v>4036</v>
      </c>
      <c r="Q32" s="35" t="n">
        <f aca="false">IF(P32="",N32-O32,P32)</f>
        <v>4036</v>
      </c>
      <c r="R32" s="35" t="n">
        <v>459</v>
      </c>
      <c r="S32" s="35" t="n">
        <v>0</v>
      </c>
      <c r="T32" s="35" t="n">
        <f aca="false">①石川予測確定!S8</f>
        <v>659</v>
      </c>
      <c r="U32" s="35" t="n">
        <f aca="false">①石川予測確定!P8</f>
        <v>325</v>
      </c>
      <c r="V32" s="35" t="n">
        <f aca="false">Q32+R32-S32-U32</f>
        <v>4170</v>
      </c>
      <c r="W32" s="35" t="n">
        <v>0</v>
      </c>
      <c r="X32" s="38" t="n">
        <f aca="false">M32-V32-W32</f>
        <v>-352</v>
      </c>
      <c r="Y32" s="35" t="n">
        <f aca="false">MAX(0,X32)</f>
        <v>0</v>
      </c>
      <c r="Z32" s="35" t="n">
        <f aca="false">IF(Y32&gt;0,ROUNDUP(Y32*(1+前提・入力!$B$34),0),0)</f>
        <v>0</v>
      </c>
    </row>
    <row r="33" customFormat="false" ht="15" hidden="false" customHeight="false" outlineLevel="0" collapsed="false">
      <c r="A33" s="32" t="n">
        <v>3</v>
      </c>
      <c r="B33" s="32" t="s">
        <v>290</v>
      </c>
      <c r="C33" s="33" t="s">
        <v>291</v>
      </c>
      <c r="D33" s="35" t="n">
        <v>169</v>
      </c>
      <c r="E33" s="65" t="n">
        <f aca="false">IFERROR(D33/D$73,0)</f>
        <v>0.0190079856034192</v>
      </c>
      <c r="F33" s="35" t="n">
        <f aca="false">①石川予測確定!P9</f>
        <v>118</v>
      </c>
      <c r="G33" s="65" t="n">
        <f aca="false">IFERROR(F33/F$73,0)</f>
        <v>0.0229081731702582</v>
      </c>
      <c r="H33" s="65" t="n">
        <f aca="false">E33*前提・入力!$B$31+G33*前提・入力!$B$32</f>
        <v>0.0209580793868387</v>
      </c>
      <c r="I33" s="35" t="n">
        <f aca="false">ROUND($H33*③仙台以降予測!$G$7,0)</f>
        <v>200</v>
      </c>
      <c r="J33" s="35" t="n">
        <f aca="false">ROUND($H33*③仙台以降予測!$G$8,0)</f>
        <v>184</v>
      </c>
      <c r="K33" s="35" t="n">
        <f aca="false">ROUND($H33*③仙台以降予測!$G$9,0)</f>
        <v>138</v>
      </c>
      <c r="L33" s="35" t="n">
        <f aca="false">ROUND($H33*③仙台以降予測!$G$10,0)</f>
        <v>769</v>
      </c>
      <c r="M33" s="35" t="n">
        <f aca="false">SUM(I33:L33)</f>
        <v>1291</v>
      </c>
      <c r="N33" s="35" t="n">
        <v>6140</v>
      </c>
      <c r="O33" s="35" t="n">
        <v>450</v>
      </c>
      <c r="P33" s="35" t="n">
        <v>1694</v>
      </c>
      <c r="Q33" s="35" t="n">
        <f aca="false">IF(P33="",N33-O33,P33)</f>
        <v>1694</v>
      </c>
      <c r="R33" s="35" t="n">
        <v>281</v>
      </c>
      <c r="S33" s="35" t="n">
        <v>0</v>
      </c>
      <c r="T33" s="35" t="n">
        <f aca="false">①石川予測確定!S9</f>
        <v>381</v>
      </c>
      <c r="U33" s="35" t="n">
        <f aca="false">①石川予測確定!P9</f>
        <v>118</v>
      </c>
      <c r="V33" s="35" t="n">
        <f aca="false">Q33+R33-S33-U33</f>
        <v>1857</v>
      </c>
      <c r="W33" s="35" t="n">
        <v>0</v>
      </c>
      <c r="X33" s="38" t="n">
        <f aca="false">M33-V33-W33</f>
        <v>-566</v>
      </c>
      <c r="Y33" s="35" t="n">
        <f aca="false">MAX(0,X33)</f>
        <v>0</v>
      </c>
      <c r="Z33" s="35" t="n">
        <f aca="false">IF(Y33&gt;0,ROUNDUP(Y33*(1+前提・入力!$B$34),0),0)</f>
        <v>0</v>
      </c>
    </row>
    <row r="34" customFormat="false" ht="15" hidden="false" customHeight="false" outlineLevel="0" collapsed="false">
      <c r="A34" s="32" t="n">
        <v>4</v>
      </c>
      <c r="B34" s="32" t="s">
        <v>292</v>
      </c>
      <c r="C34" s="33" t="s">
        <v>293</v>
      </c>
      <c r="D34" s="35" t="n">
        <v>228</v>
      </c>
      <c r="E34" s="65" t="n">
        <f aca="false">IFERROR(D34/D$73,0)</f>
        <v>0.0256439095714768</v>
      </c>
      <c r="F34" s="35" t="n">
        <f aca="false">①石川予測確定!P10</f>
        <v>134</v>
      </c>
      <c r="G34" s="65" t="n">
        <f aca="false">IFERROR(F34/F$73,0)</f>
        <v>0.0260143661424966</v>
      </c>
      <c r="H34" s="65" t="n">
        <f aca="false">E34*前提・入力!$B$31+G34*前提・入力!$B$32</f>
        <v>0.0258291378569867</v>
      </c>
      <c r="I34" s="35" t="n">
        <f aca="false">ROUND($H34*③仙台以降予測!$G$7,0)</f>
        <v>246</v>
      </c>
      <c r="J34" s="35" t="n">
        <f aca="false">ROUND($H34*③仙台以降予測!$G$8,0)</f>
        <v>227</v>
      </c>
      <c r="K34" s="35" t="n">
        <f aca="false">ROUND($H34*③仙台以降予測!$G$9,0)</f>
        <v>171</v>
      </c>
      <c r="L34" s="35" t="n">
        <f aca="false">ROUND($H34*③仙台以降予測!$G$10,0)</f>
        <v>947</v>
      </c>
      <c r="M34" s="35" t="n">
        <f aca="false">SUM(I34:L34)</f>
        <v>1591</v>
      </c>
      <c r="N34" s="35" t="n">
        <v>27511</v>
      </c>
      <c r="O34" s="35" t="n">
        <v>800</v>
      </c>
      <c r="P34" s="35" t="n">
        <v>2715</v>
      </c>
      <c r="Q34" s="35" t="n">
        <f aca="false">IF(P34="",N34-O34,P34)</f>
        <v>2715</v>
      </c>
      <c r="R34" s="35" t="n">
        <v>572</v>
      </c>
      <c r="S34" s="35" t="n">
        <v>0</v>
      </c>
      <c r="T34" s="35" t="n">
        <f aca="false">①石川予測確定!S10</f>
        <v>772</v>
      </c>
      <c r="U34" s="35" t="n">
        <f aca="false">①石川予測確定!P10</f>
        <v>134</v>
      </c>
      <c r="V34" s="35" t="n">
        <f aca="false">Q34+R34-S34-U34</f>
        <v>3153</v>
      </c>
      <c r="W34" s="35" t="n">
        <v>0</v>
      </c>
      <c r="X34" s="38" t="n">
        <f aca="false">M34-V34-W34</f>
        <v>-1562</v>
      </c>
      <c r="Y34" s="35" t="n">
        <f aca="false">MAX(0,X34)</f>
        <v>0</v>
      </c>
      <c r="Z34" s="35" t="n">
        <f aca="false">IF(Y34&gt;0,ROUNDUP(Y34*(1+前提・入力!$B$34),0),0)</f>
        <v>0</v>
      </c>
    </row>
    <row r="35" customFormat="false" ht="15" hidden="false" customHeight="false" outlineLevel="0" collapsed="false">
      <c r="A35" s="32" t="n">
        <v>5</v>
      </c>
      <c r="B35" s="32" t="s">
        <v>294</v>
      </c>
      <c r="C35" s="33" t="s">
        <v>295</v>
      </c>
      <c r="D35" s="35" t="n">
        <v>410</v>
      </c>
      <c r="E35" s="65" t="n">
        <f aca="false">IFERROR(D35/D$73,0)</f>
        <v>0.0461140479136205</v>
      </c>
      <c r="F35" s="35" t="n">
        <f aca="false">①石川予測確定!P11</f>
        <v>293</v>
      </c>
      <c r="G35" s="65" t="n">
        <f aca="false">IFERROR(F35/F$73,0)</f>
        <v>0.0568821588041157</v>
      </c>
      <c r="H35" s="65" t="n">
        <f aca="false">E35*前提・入力!$B$31+G35*前提・入力!$B$32</f>
        <v>0.0514981033588681</v>
      </c>
      <c r="I35" s="35" t="n">
        <f aca="false">ROUND($H35*③仙台以降予測!$G$7,0)</f>
        <v>491</v>
      </c>
      <c r="J35" s="35" t="n">
        <f aca="false">ROUND($H35*③仙台以降予測!$G$8,0)</f>
        <v>453</v>
      </c>
      <c r="K35" s="35" t="n">
        <f aca="false">ROUND($H35*③仙台以降予測!$G$9,0)</f>
        <v>340</v>
      </c>
      <c r="L35" s="35" t="n">
        <f aca="false">ROUND($H35*③仙台以降予測!$G$10,0)</f>
        <v>1889</v>
      </c>
      <c r="M35" s="35" t="n">
        <f aca="false">SUM(I35:L35)</f>
        <v>3173</v>
      </c>
      <c r="N35" s="35" t="n">
        <v>40108</v>
      </c>
      <c r="O35" s="35" t="n">
        <v>9000</v>
      </c>
      <c r="P35" s="35" t="n">
        <v>31095</v>
      </c>
      <c r="Q35" s="35" t="n">
        <f aca="false">IF(P35="",N35-O35,P35)</f>
        <v>31095</v>
      </c>
      <c r="R35" s="35" t="n">
        <v>8590</v>
      </c>
      <c r="S35" s="35" t="n">
        <v>0</v>
      </c>
      <c r="T35" s="35" t="n">
        <f aca="false">①石川予測確定!S11</f>
        <v>8790</v>
      </c>
      <c r="U35" s="35" t="n">
        <f aca="false">①石川予測確定!P11</f>
        <v>293</v>
      </c>
      <c r="V35" s="35" t="n">
        <f aca="false">Q35+R35-S35-U35</f>
        <v>39392</v>
      </c>
      <c r="W35" s="35" t="n">
        <v>0</v>
      </c>
      <c r="X35" s="38" t="n">
        <f aca="false">M35-V35-W35</f>
        <v>-36219</v>
      </c>
      <c r="Y35" s="35" t="n">
        <f aca="false">MAX(0,X35)</f>
        <v>0</v>
      </c>
      <c r="Z35" s="35" t="n">
        <f aca="false">IF(Y35&gt;0,ROUNDUP(Y35*(1+前提・入力!$B$34),0),0)</f>
        <v>0</v>
      </c>
    </row>
    <row r="36" customFormat="false" ht="15" hidden="false" customHeight="false" outlineLevel="0" collapsed="false">
      <c r="A36" s="32" t="n">
        <v>6</v>
      </c>
      <c r="B36" s="32" t="s">
        <v>296</v>
      </c>
      <c r="C36" s="33" t="s">
        <v>297</v>
      </c>
      <c r="D36" s="35" t="n">
        <v>1042</v>
      </c>
      <c r="E36" s="65" t="n">
        <f aca="false">IFERROR(D36/D$73,0)</f>
        <v>0.117197165673153</v>
      </c>
      <c r="F36" s="35" t="n">
        <f aca="false">①石川予測確定!P12</f>
        <v>565</v>
      </c>
      <c r="G36" s="65" t="n">
        <f aca="false">IFERROR(F36/F$73,0)</f>
        <v>0.109687439332169</v>
      </c>
      <c r="H36" s="65" t="n">
        <f aca="false">E36*前提・入力!$B$31+G36*前提・入力!$B$32</f>
        <v>0.113442302502661</v>
      </c>
      <c r="I36" s="35" t="n">
        <f aca="false">ROUND($H36*③仙台以降予測!$G$7,0)</f>
        <v>1082</v>
      </c>
      <c r="J36" s="35" t="n">
        <f aca="false">ROUND($H36*③仙台以降予測!$G$8,0)</f>
        <v>999</v>
      </c>
      <c r="K36" s="35" t="n">
        <f aca="false">ROUND($H36*③仙台以降予測!$G$9,0)</f>
        <v>749</v>
      </c>
      <c r="L36" s="35" t="n">
        <f aca="false">ROUND($H36*③仙台以降予測!$G$10,0)</f>
        <v>4161</v>
      </c>
      <c r="M36" s="35" t="n">
        <f aca="false">SUM(I36:L36)</f>
        <v>6991</v>
      </c>
      <c r="N36" s="35" t="n">
        <v>51840</v>
      </c>
      <c r="O36" s="35" t="n">
        <v>13991</v>
      </c>
      <c r="P36" s="35" t="n">
        <v>37844</v>
      </c>
      <c r="Q36" s="35" t="n">
        <f aca="false">IF(P36="",N36-O36,P36)</f>
        <v>37844</v>
      </c>
      <c r="R36" s="35" t="n">
        <v>12949</v>
      </c>
      <c r="S36" s="35" t="n">
        <v>0</v>
      </c>
      <c r="T36" s="35" t="n">
        <f aca="false">①石川予測確定!S12</f>
        <v>13249</v>
      </c>
      <c r="U36" s="35" t="n">
        <f aca="false">①石川予測確定!P12</f>
        <v>565</v>
      </c>
      <c r="V36" s="35" t="n">
        <f aca="false">Q36+R36-S36-U36</f>
        <v>50228</v>
      </c>
      <c r="W36" s="35" t="n">
        <v>0</v>
      </c>
      <c r="X36" s="38" t="n">
        <f aca="false">M36-V36-W36</f>
        <v>-43237</v>
      </c>
      <c r="Y36" s="35" t="n">
        <f aca="false">MAX(0,X36)</f>
        <v>0</v>
      </c>
      <c r="Z36" s="35" t="n">
        <f aca="false">IF(Y36&gt;0,ROUNDUP(Y36*(1+前提・入力!$B$34),0),0)</f>
        <v>0</v>
      </c>
    </row>
    <row r="37" customFormat="false" ht="15" hidden="false" customHeight="false" outlineLevel="0" collapsed="false">
      <c r="A37" s="32" t="n">
        <v>7</v>
      </c>
      <c r="B37" s="32" t="s">
        <v>298</v>
      </c>
      <c r="C37" s="33" t="s">
        <v>299</v>
      </c>
      <c r="D37" s="35" t="n">
        <v>187</v>
      </c>
      <c r="E37" s="65" t="n">
        <f aca="false">IFERROR(D37/D$73,0)</f>
        <v>0.0210325047801147</v>
      </c>
      <c r="F37" s="35" t="n">
        <f aca="false">①石川予測確定!P13</f>
        <v>165</v>
      </c>
      <c r="G37" s="65" t="n">
        <f aca="false">IFERROR(F37/F$73,0)</f>
        <v>0.0320326150262085</v>
      </c>
      <c r="H37" s="65" t="n">
        <f aca="false">E37*前提・入力!$B$31+G37*前提・入力!$B$32</f>
        <v>0.0265325599031616</v>
      </c>
      <c r="I37" s="35" t="n">
        <f aca="false">ROUND($H37*③仙台以降予測!$G$7,0)</f>
        <v>253</v>
      </c>
      <c r="J37" s="35" t="n">
        <f aca="false">ROUND($H37*③仙台以降予測!$G$8,0)</f>
        <v>234</v>
      </c>
      <c r="K37" s="35" t="n">
        <f aca="false">ROUND($H37*③仙台以降予測!$G$9,0)</f>
        <v>175</v>
      </c>
      <c r="L37" s="35" t="n">
        <f aca="false">ROUND($H37*③仙台以降予測!$G$10,0)</f>
        <v>973</v>
      </c>
      <c r="M37" s="35" t="n">
        <f aca="false">SUM(I37:L37)</f>
        <v>1635</v>
      </c>
      <c r="N37" s="35" t="n">
        <v>4601</v>
      </c>
      <c r="O37" s="35" t="n">
        <v>350</v>
      </c>
      <c r="P37" s="35" t="n">
        <v>4251</v>
      </c>
      <c r="Q37" s="35" t="n">
        <f aca="false">IF(P37="",N37-O37,P37)</f>
        <v>4251</v>
      </c>
      <c r="R37" s="35" t="n">
        <v>163</v>
      </c>
      <c r="S37" s="35" t="n">
        <v>0</v>
      </c>
      <c r="T37" s="35" t="n">
        <f aca="false">①石川予測確定!S13</f>
        <v>463</v>
      </c>
      <c r="U37" s="35" t="n">
        <f aca="false">①石川予測確定!P13</f>
        <v>165</v>
      </c>
      <c r="V37" s="35" t="n">
        <f aca="false">Q37+R37-S37-U37</f>
        <v>4249</v>
      </c>
      <c r="W37" s="35" t="n">
        <v>0</v>
      </c>
      <c r="X37" s="38" t="n">
        <f aca="false">M37-V37-W37</f>
        <v>-2614</v>
      </c>
      <c r="Y37" s="35" t="n">
        <f aca="false">MAX(0,X37)</f>
        <v>0</v>
      </c>
      <c r="Z37" s="35" t="n">
        <f aca="false">IF(Y37&gt;0,ROUNDUP(Y37*(1+前提・入力!$B$34),0),0)</f>
        <v>0</v>
      </c>
    </row>
    <row r="38" customFormat="false" ht="15" hidden="false" customHeight="false" outlineLevel="0" collapsed="false">
      <c r="A38" s="32" t="n">
        <v>8</v>
      </c>
      <c r="B38" s="32" t="s">
        <v>300</v>
      </c>
      <c r="C38" s="33" t="s">
        <v>301</v>
      </c>
      <c r="D38" s="35" t="n">
        <v>322</v>
      </c>
      <c r="E38" s="65" t="n">
        <f aca="false">IFERROR(D38/D$73,0)</f>
        <v>0.0362163986053312</v>
      </c>
      <c r="F38" s="35" t="n">
        <f aca="false">①石川予測確定!P14</f>
        <v>266</v>
      </c>
      <c r="G38" s="65" t="n">
        <f aca="false">IFERROR(F38/F$73,0)</f>
        <v>0.0516404581634634</v>
      </c>
      <c r="H38" s="65" t="n">
        <f aca="false">E38*前提・入力!$B$31+G38*前提・入力!$B$32</f>
        <v>0.0439284283843973</v>
      </c>
      <c r="I38" s="35" t="n">
        <f aca="false">ROUND($H38*③仙台以降予測!$G$7,0)</f>
        <v>419</v>
      </c>
      <c r="J38" s="35" t="n">
        <f aca="false">ROUND($H38*③仙台以降予測!$G$8,0)</f>
        <v>387</v>
      </c>
      <c r="K38" s="35" t="n">
        <f aca="false">ROUND($H38*③仙台以降予測!$G$9,0)</f>
        <v>290</v>
      </c>
      <c r="L38" s="35" t="n">
        <f aca="false">ROUND($H38*③仙台以降予測!$G$10,0)</f>
        <v>1611</v>
      </c>
      <c r="M38" s="35" t="n">
        <f aca="false">SUM(I38:L38)</f>
        <v>2707</v>
      </c>
      <c r="N38" s="35" t="n">
        <v>8622</v>
      </c>
      <c r="O38" s="35" t="n">
        <v>900</v>
      </c>
      <c r="P38" s="35" t="n">
        <v>7722</v>
      </c>
      <c r="Q38" s="35" t="n">
        <f aca="false">IF(P38="",N38-O38,P38)</f>
        <v>7722</v>
      </c>
      <c r="R38" s="35" t="n">
        <v>578</v>
      </c>
      <c r="S38" s="35" t="n">
        <v>0</v>
      </c>
      <c r="T38" s="35" t="n">
        <f aca="false">①石川予測確定!S14</f>
        <v>778</v>
      </c>
      <c r="U38" s="35" t="n">
        <f aca="false">①石川予測確定!P14</f>
        <v>266</v>
      </c>
      <c r="V38" s="35" t="n">
        <f aca="false">Q38+R38-S38-U38</f>
        <v>8034</v>
      </c>
      <c r="W38" s="35" t="n">
        <v>0</v>
      </c>
      <c r="X38" s="38" t="n">
        <f aca="false">M38-V38-W38</f>
        <v>-5327</v>
      </c>
      <c r="Y38" s="35" t="n">
        <f aca="false">MAX(0,X38)</f>
        <v>0</v>
      </c>
      <c r="Z38" s="35" t="n">
        <f aca="false">IF(Y38&gt;0,ROUNDUP(Y38*(1+前提・入力!$B$34),0),0)</f>
        <v>0</v>
      </c>
    </row>
    <row r="39" customFormat="false" ht="15" hidden="false" customHeight="false" outlineLevel="0" collapsed="false">
      <c r="A39" s="32" t="n">
        <v>9</v>
      </c>
      <c r="B39" s="32" t="s">
        <v>302</v>
      </c>
      <c r="C39" s="33" t="s">
        <v>303</v>
      </c>
      <c r="D39" s="35" t="n">
        <v>160</v>
      </c>
      <c r="E39" s="65" t="n">
        <f aca="false">IFERROR(D39/D$73,0)</f>
        <v>0.0179957260150714</v>
      </c>
      <c r="F39" s="35" t="n">
        <f aca="false">①石川予測確定!P15</f>
        <v>51</v>
      </c>
      <c r="G39" s="65" t="n">
        <f aca="false">IFERROR(F39/F$73,0)</f>
        <v>0.0099009900990099</v>
      </c>
      <c r="H39" s="65" t="n">
        <f aca="false">E39*前提・入力!$B$31+G39*前提・入力!$B$32</f>
        <v>0.0139483580570407</v>
      </c>
      <c r="I39" s="35" t="n">
        <f aca="false">ROUND($H39*③仙台以降予測!$G$7,0)</f>
        <v>133</v>
      </c>
      <c r="J39" s="35" t="n">
        <f aca="false">ROUND($H39*③仙台以降予測!$G$8,0)</f>
        <v>123</v>
      </c>
      <c r="K39" s="35" t="n">
        <f aca="false">ROUND($H39*③仙台以降予測!$G$9,0)</f>
        <v>92</v>
      </c>
      <c r="L39" s="35" t="n">
        <f aca="false">ROUND($H39*③仙台以降予測!$G$10,0)</f>
        <v>512</v>
      </c>
      <c r="M39" s="35" t="n">
        <f aca="false">SUM(I39:L39)</f>
        <v>860</v>
      </c>
      <c r="N39" s="35" t="n">
        <v>8760</v>
      </c>
      <c r="O39" s="35" t="n">
        <v>300</v>
      </c>
      <c r="P39" s="35" t="n">
        <v>8458</v>
      </c>
      <c r="Q39" s="35" t="n">
        <f aca="false">IF(P39="",N39-O39,P39)</f>
        <v>8458</v>
      </c>
      <c r="R39" s="35" t="n">
        <v>140</v>
      </c>
      <c r="S39" s="35" t="n">
        <v>0</v>
      </c>
      <c r="T39" s="35" t="n">
        <f aca="false">①石川予測確定!S15</f>
        <v>740</v>
      </c>
      <c r="U39" s="35" t="n">
        <f aca="false">①石川予測確定!P15</f>
        <v>51</v>
      </c>
      <c r="V39" s="35" t="n">
        <f aca="false">Q39+R39-S39-U39</f>
        <v>8547</v>
      </c>
      <c r="W39" s="35" t="n">
        <v>0</v>
      </c>
      <c r="X39" s="38" t="n">
        <f aca="false">M39-V39-W39</f>
        <v>-7687</v>
      </c>
      <c r="Y39" s="35" t="n">
        <f aca="false">MAX(0,X39)</f>
        <v>0</v>
      </c>
      <c r="Z39" s="35" t="n">
        <f aca="false">IF(Y39&gt;0,ROUNDUP(Y39*(1+前提・入力!$B$34),0),0)</f>
        <v>0</v>
      </c>
    </row>
    <row r="40" customFormat="false" ht="15" hidden="false" customHeight="false" outlineLevel="0" collapsed="false">
      <c r="A40" s="32" t="n">
        <v>10</v>
      </c>
      <c r="B40" s="32" t="s">
        <v>304</v>
      </c>
      <c r="C40" s="33" t="s">
        <v>305</v>
      </c>
      <c r="D40" s="35" t="n">
        <v>59</v>
      </c>
      <c r="E40" s="65" t="n">
        <f aca="false">IFERROR(D40/D$73,0)</f>
        <v>0.00663592396805759</v>
      </c>
      <c r="F40" s="35" t="n">
        <f aca="false">①石川予測確定!P16</f>
        <v>20</v>
      </c>
      <c r="G40" s="65" t="n">
        <f aca="false">IFERROR(F40/F$73,0)</f>
        <v>0.003882741215298</v>
      </c>
      <c r="H40" s="65" t="n">
        <f aca="false">E40*前提・入力!$B$31+G40*前提・入力!$B$32</f>
        <v>0.00525933259167779</v>
      </c>
      <c r="I40" s="35" t="n">
        <f aca="false">ROUND($H40*③仙台以降予測!$G$7,0)</f>
        <v>50</v>
      </c>
      <c r="J40" s="35" t="n">
        <f aca="false">ROUND($H40*③仙台以降予測!$G$8,0)</f>
        <v>46</v>
      </c>
      <c r="K40" s="35" t="n">
        <f aca="false">ROUND($H40*③仙台以降予測!$G$9,0)</f>
        <v>35</v>
      </c>
      <c r="L40" s="35" t="n">
        <f aca="false">ROUND($H40*③仙台以降予測!$G$10,0)</f>
        <v>193</v>
      </c>
      <c r="M40" s="35" t="n">
        <f aca="false">SUM(I40:L40)</f>
        <v>324</v>
      </c>
      <c r="N40" s="35" t="n">
        <v>4934</v>
      </c>
      <c r="O40" s="35" t="n">
        <v>100</v>
      </c>
      <c r="P40" s="35" t="n">
        <v>4835</v>
      </c>
      <c r="Q40" s="35" t="n">
        <f aca="false">IF(P40="",N40-O40,P40)</f>
        <v>4835</v>
      </c>
      <c r="R40" s="35" t="n">
        <v>41</v>
      </c>
      <c r="S40" s="35" t="n">
        <v>0</v>
      </c>
      <c r="T40" s="35" t="n">
        <f aca="false">①石川予測確定!S16</f>
        <v>541</v>
      </c>
      <c r="U40" s="35" t="n">
        <f aca="false">①石川予測確定!P16</f>
        <v>20</v>
      </c>
      <c r="V40" s="35" t="n">
        <f aca="false">Q40+R40-S40-U40</f>
        <v>4856</v>
      </c>
      <c r="W40" s="35" t="n">
        <v>0</v>
      </c>
      <c r="X40" s="38" t="n">
        <f aca="false">M40-V40-W40</f>
        <v>-4532</v>
      </c>
      <c r="Y40" s="35" t="n">
        <f aca="false">MAX(0,X40)</f>
        <v>0</v>
      </c>
      <c r="Z40" s="35" t="n">
        <f aca="false">IF(Y40&gt;0,ROUNDUP(Y40*(1+前提・入力!$B$34),0),0)</f>
        <v>0</v>
      </c>
    </row>
    <row r="41" customFormat="false" ht="15" hidden="false" customHeight="false" outlineLevel="0" collapsed="false">
      <c r="A41" s="32" t="n">
        <v>11</v>
      </c>
      <c r="B41" s="32" t="s">
        <v>306</v>
      </c>
      <c r="C41" s="33" t="s">
        <v>307</v>
      </c>
      <c r="D41" s="35" t="n">
        <v>21</v>
      </c>
      <c r="E41" s="65" t="n">
        <f aca="false">IFERROR(D41/D$73,0)</f>
        <v>0.00236193903947812</v>
      </c>
      <c r="F41" s="35" t="n">
        <f aca="false">①石川予測確定!P17</f>
        <v>8</v>
      </c>
      <c r="G41" s="65" t="n">
        <f aca="false">IFERROR(F41/F$73,0)</f>
        <v>0.0015530964861192</v>
      </c>
      <c r="H41" s="65" t="n">
        <f aca="false">E41*前提・入力!$B$31+G41*前提・入力!$B$32</f>
        <v>0.00195751776279866</v>
      </c>
      <c r="I41" s="35" t="n">
        <f aca="false">ROUND($H41*③仙台以降予測!$G$7,0)</f>
        <v>19</v>
      </c>
      <c r="J41" s="35" t="n">
        <f aca="false">ROUND($H41*③仙台以降予測!$G$8,0)</f>
        <v>17</v>
      </c>
      <c r="K41" s="35" t="n">
        <f aca="false">ROUND($H41*③仙台以降予測!$G$9,0)</f>
        <v>13</v>
      </c>
      <c r="L41" s="35" t="n">
        <f aca="false">ROUND($H41*③仙台以降予測!$G$10,0)</f>
        <v>72</v>
      </c>
      <c r="M41" s="35" t="n">
        <f aca="false">SUM(I41:L41)</f>
        <v>121</v>
      </c>
      <c r="N41" s="35" t="n">
        <v>640</v>
      </c>
      <c r="O41" s="35" t="n">
        <v>50</v>
      </c>
      <c r="P41" s="35" t="n">
        <v>588</v>
      </c>
      <c r="Q41" s="35" t="n">
        <f aca="false">IF(P41="",N41-O41,P41)</f>
        <v>588</v>
      </c>
      <c r="R41" s="35" t="n">
        <v>29</v>
      </c>
      <c r="S41" s="35" t="n">
        <v>0</v>
      </c>
      <c r="T41" s="35" t="n">
        <f aca="false">①石川予測確定!S17</f>
        <v>79</v>
      </c>
      <c r="U41" s="35" t="n">
        <f aca="false">①石川予測確定!P17</f>
        <v>8</v>
      </c>
      <c r="V41" s="35" t="n">
        <f aca="false">Q41+R41-S41-U41</f>
        <v>609</v>
      </c>
      <c r="W41" s="35" t="n">
        <v>0</v>
      </c>
      <c r="X41" s="38" t="n">
        <f aca="false">M41-V41-W41</f>
        <v>-488</v>
      </c>
      <c r="Y41" s="35" t="n">
        <f aca="false">MAX(0,X41)</f>
        <v>0</v>
      </c>
      <c r="Z41" s="35" t="n">
        <f aca="false">IF(Y41&gt;0,ROUNDUP(Y41*(1+前提・入力!$B$34),0),0)</f>
        <v>0</v>
      </c>
    </row>
    <row r="42" customFormat="false" ht="15" hidden="false" customHeight="false" outlineLevel="0" collapsed="false">
      <c r="A42" s="32" t="n">
        <v>12</v>
      </c>
      <c r="B42" s="32" t="s">
        <v>308</v>
      </c>
      <c r="C42" s="33" t="s">
        <v>309</v>
      </c>
      <c r="D42" s="35" t="n">
        <v>43</v>
      </c>
      <c r="E42" s="65" t="n">
        <f aca="false">IFERROR(D42/D$73,0)</f>
        <v>0.00483635136655044</v>
      </c>
      <c r="F42" s="35" t="n">
        <f aca="false">①石川予測確定!P18</f>
        <v>17</v>
      </c>
      <c r="G42" s="65" t="n">
        <f aca="false">IFERROR(F42/F$73,0)</f>
        <v>0.0033003300330033</v>
      </c>
      <c r="H42" s="65" t="n">
        <f aca="false">E42*前提・入力!$B$31+G42*前提・入力!$B$32</f>
        <v>0.00406834069977687</v>
      </c>
      <c r="I42" s="35" t="n">
        <f aca="false">ROUND($H42*③仙台以降予測!$G$7,0)</f>
        <v>39</v>
      </c>
      <c r="J42" s="35" t="n">
        <f aca="false">ROUND($H42*③仙台以降予測!$G$8,0)</f>
        <v>36</v>
      </c>
      <c r="K42" s="35" t="n">
        <f aca="false">ROUND($H42*③仙台以降予測!$G$9,0)</f>
        <v>27</v>
      </c>
      <c r="L42" s="35" t="n">
        <f aca="false">ROUND($H42*③仙台以降予測!$G$10,0)</f>
        <v>149</v>
      </c>
      <c r="M42" s="35" t="n">
        <f aca="false">SUM(I42:L42)</f>
        <v>251</v>
      </c>
      <c r="N42" s="35" t="n">
        <v>953</v>
      </c>
      <c r="O42" s="35" t="n">
        <v>50</v>
      </c>
      <c r="P42" s="35" t="n">
        <v>901</v>
      </c>
      <c r="Q42" s="35" t="n">
        <f aca="false">IF(P42="",N42-O42,P42)</f>
        <v>901</v>
      </c>
      <c r="R42" s="35" t="n">
        <v>7</v>
      </c>
      <c r="S42" s="35" t="n">
        <v>0</v>
      </c>
      <c r="T42" s="35" t="n">
        <f aca="false">①石川予測確定!S18</f>
        <v>107</v>
      </c>
      <c r="U42" s="35" t="n">
        <f aca="false">①石川予測確定!P18</f>
        <v>17</v>
      </c>
      <c r="V42" s="35" t="n">
        <f aca="false">Q42+R42-S42-U42</f>
        <v>891</v>
      </c>
      <c r="W42" s="35" t="n">
        <v>0</v>
      </c>
      <c r="X42" s="38" t="n">
        <f aca="false">M42-V42-W42</f>
        <v>-640</v>
      </c>
      <c r="Y42" s="35" t="n">
        <f aca="false">MAX(0,X42)</f>
        <v>0</v>
      </c>
      <c r="Z42" s="35" t="n">
        <f aca="false">IF(Y42&gt;0,ROUNDUP(Y42*(1+前提・入力!$B$34),0),0)</f>
        <v>0</v>
      </c>
    </row>
    <row r="43" customFormat="false" ht="15" hidden="false" customHeight="false" outlineLevel="0" collapsed="false">
      <c r="A43" s="32" t="n">
        <v>13</v>
      </c>
      <c r="B43" s="32" t="s">
        <v>310</v>
      </c>
      <c r="C43" s="33" t="s">
        <v>311</v>
      </c>
      <c r="D43" s="35" t="n">
        <v>8</v>
      </c>
      <c r="E43" s="65" t="n">
        <f aca="false">IFERROR(D43/D$73,0)</f>
        <v>0.000899786300753571</v>
      </c>
      <c r="F43" s="35" t="n">
        <f aca="false">①石川予測確定!P19</f>
        <v>6</v>
      </c>
      <c r="G43" s="65" t="n">
        <f aca="false">IFERROR(F43/F$73,0)</f>
        <v>0.0011648223645894</v>
      </c>
      <c r="H43" s="65" t="n">
        <f aca="false">E43*前提・入力!$B$31+G43*前提・入力!$B$32</f>
        <v>0.00103230433267149</v>
      </c>
      <c r="I43" s="35" t="n">
        <f aca="false">ROUND($H43*③仙台以降予測!$G$7,0)</f>
        <v>10</v>
      </c>
      <c r="J43" s="35" t="n">
        <f aca="false">ROUND($H43*③仙台以降予測!$G$8,0)</f>
        <v>9</v>
      </c>
      <c r="K43" s="35" t="n">
        <f aca="false">ROUND($H43*③仙台以降予測!$G$9,0)</f>
        <v>7</v>
      </c>
      <c r="L43" s="35" t="n">
        <f aca="false">ROUND($H43*③仙台以降予測!$G$10,0)</f>
        <v>38</v>
      </c>
      <c r="M43" s="35" t="n">
        <f aca="false">SUM(I43:L43)</f>
        <v>64</v>
      </c>
      <c r="N43" s="35" t="n">
        <v>320</v>
      </c>
      <c r="O43" s="35" t="n">
        <v>50</v>
      </c>
      <c r="P43" s="35" t="n">
        <v>269</v>
      </c>
      <c r="Q43" s="35" t="n">
        <f aca="false">IF(P43="",N43-O43,P43)</f>
        <v>269</v>
      </c>
      <c r="R43" s="35" t="n">
        <v>42</v>
      </c>
      <c r="S43" s="35" t="n">
        <v>0</v>
      </c>
      <c r="T43" s="35" t="n">
        <f aca="false">①石川予測確定!S19</f>
        <v>52</v>
      </c>
      <c r="U43" s="35" t="n">
        <f aca="false">①石川予測確定!P19</f>
        <v>6</v>
      </c>
      <c r="V43" s="35" t="n">
        <f aca="false">Q43+R43-S43-U43</f>
        <v>305</v>
      </c>
      <c r="W43" s="35" t="n">
        <v>0</v>
      </c>
      <c r="X43" s="38" t="n">
        <f aca="false">M43-V43-W43</f>
        <v>-241</v>
      </c>
      <c r="Y43" s="35" t="n">
        <f aca="false">MAX(0,X43)</f>
        <v>0</v>
      </c>
      <c r="Z43" s="35" t="n">
        <f aca="false">IF(Y43&gt;0,ROUNDUP(Y43*(1+前提・入力!$B$34),0),0)</f>
        <v>0</v>
      </c>
    </row>
    <row r="44" customFormat="false" ht="15" hidden="false" customHeight="false" outlineLevel="0" collapsed="false">
      <c r="A44" s="32" t="n">
        <v>14</v>
      </c>
      <c r="B44" s="32" t="s">
        <v>312</v>
      </c>
      <c r="C44" s="33" t="s">
        <v>313</v>
      </c>
      <c r="D44" s="35" t="n">
        <v>47</v>
      </c>
      <c r="E44" s="65" t="n">
        <f aca="false">IFERROR(D44/D$73,0)</f>
        <v>0.00528624451692723</v>
      </c>
      <c r="F44" s="35" t="n">
        <f aca="false">①石川予測確定!P20</f>
        <v>14</v>
      </c>
      <c r="G44" s="65" t="n">
        <f aca="false">IFERROR(F44/F$73,0)</f>
        <v>0.0027179188507086</v>
      </c>
      <c r="H44" s="65" t="n">
        <f aca="false">E44*前提・入力!$B$31+G44*前提・入力!$B$32</f>
        <v>0.00400208168381792</v>
      </c>
      <c r="I44" s="35" t="n">
        <f aca="false">ROUND($H44*③仙台以降予測!$G$7,0)</f>
        <v>38</v>
      </c>
      <c r="J44" s="35" t="n">
        <f aca="false">ROUND($H44*③仙台以降予測!$G$8,0)</f>
        <v>35</v>
      </c>
      <c r="K44" s="35" t="n">
        <f aca="false">ROUND($H44*③仙台以降予測!$G$9,0)</f>
        <v>26</v>
      </c>
      <c r="L44" s="35" t="n">
        <f aca="false">ROUND($H44*③仙台以降予測!$G$10,0)</f>
        <v>147</v>
      </c>
      <c r="M44" s="35" t="n">
        <f aca="false">SUM(I44:L44)</f>
        <v>246</v>
      </c>
      <c r="N44" s="35" t="n">
        <v>1790</v>
      </c>
      <c r="O44" s="35" t="n">
        <v>50</v>
      </c>
      <c r="P44" s="35" t="n">
        <v>1740</v>
      </c>
      <c r="Q44" s="35" t="n">
        <f aca="false">IF(P44="",N44-O44,P44)</f>
        <v>1740</v>
      </c>
      <c r="R44" s="35" t="n">
        <v>3</v>
      </c>
      <c r="S44" s="35" t="n">
        <v>0</v>
      </c>
      <c r="T44" s="35" t="n">
        <f aca="false">①石川予測確定!S20</f>
        <v>53</v>
      </c>
      <c r="U44" s="35" t="n">
        <f aca="false">①石川予測確定!P20</f>
        <v>14</v>
      </c>
      <c r="V44" s="35" t="n">
        <f aca="false">Q44+R44-S44-U44</f>
        <v>1729</v>
      </c>
      <c r="W44" s="35" t="n">
        <v>0</v>
      </c>
      <c r="X44" s="38" t="n">
        <f aca="false">M44-V44-W44</f>
        <v>-1483</v>
      </c>
      <c r="Y44" s="35" t="n">
        <f aca="false">MAX(0,X44)</f>
        <v>0</v>
      </c>
      <c r="Z44" s="35" t="n">
        <f aca="false">IF(Y44&gt;0,ROUNDUP(Y44*(1+前提・入力!$B$34),0),0)</f>
        <v>0</v>
      </c>
    </row>
    <row r="45" customFormat="false" ht="15" hidden="false" customHeight="false" outlineLevel="0" collapsed="false">
      <c r="A45" s="32" t="n">
        <v>15</v>
      </c>
      <c r="B45" s="32" t="s">
        <v>314</v>
      </c>
      <c r="C45" s="33" t="s">
        <v>315</v>
      </c>
      <c r="D45" s="35" t="n">
        <v>54</v>
      </c>
      <c r="E45" s="65" t="n">
        <f aca="false">IFERROR(D45/D$73,0)</f>
        <v>0.0060735575300866</v>
      </c>
      <c r="F45" s="35" t="n">
        <f aca="false">①石川予測確定!P21</f>
        <v>23</v>
      </c>
      <c r="G45" s="65" t="n">
        <f aca="false">IFERROR(F45/F$73,0)</f>
        <v>0.0044651523975927</v>
      </c>
      <c r="H45" s="65" t="n">
        <f aca="false">E45*前提・入力!$B$31+G45*前提・入力!$B$32</f>
        <v>0.00526935496383965</v>
      </c>
      <c r="I45" s="35" t="n">
        <f aca="false">ROUND($H45*③仙台以降予測!$G$7,0)</f>
        <v>50</v>
      </c>
      <c r="J45" s="35" t="n">
        <f aca="false">ROUND($H45*③仙台以降予測!$G$8,0)</f>
        <v>46</v>
      </c>
      <c r="K45" s="35" t="n">
        <f aca="false">ROUND($H45*③仙台以降予測!$G$9,0)</f>
        <v>35</v>
      </c>
      <c r="L45" s="35" t="n">
        <f aca="false">ROUND($H45*③仙台以降予測!$G$10,0)</f>
        <v>193</v>
      </c>
      <c r="M45" s="35" t="n">
        <f aca="false">SUM(I45:L45)</f>
        <v>324</v>
      </c>
      <c r="N45" s="35" t="n">
        <v>2131</v>
      </c>
      <c r="O45" s="35" t="n">
        <v>100</v>
      </c>
      <c r="P45" s="35" t="n">
        <v>2031</v>
      </c>
      <c r="Q45" s="35" t="n">
        <f aca="false">IF(P45="",N45-O45,P45)</f>
        <v>2031</v>
      </c>
      <c r="R45" s="35" t="n">
        <v>46</v>
      </c>
      <c r="S45" s="35" t="n">
        <v>0</v>
      </c>
      <c r="T45" s="35" t="n">
        <f aca="false">①石川予測確定!S21</f>
        <v>96</v>
      </c>
      <c r="U45" s="35" t="n">
        <f aca="false">①石川予測確定!P21</f>
        <v>23</v>
      </c>
      <c r="V45" s="35" t="n">
        <f aca="false">Q45+R45-S45-U45</f>
        <v>2054</v>
      </c>
      <c r="W45" s="35" t="n">
        <v>0</v>
      </c>
      <c r="X45" s="38" t="n">
        <f aca="false">M45-V45-W45</f>
        <v>-1730</v>
      </c>
      <c r="Y45" s="35" t="n">
        <f aca="false">MAX(0,X45)</f>
        <v>0</v>
      </c>
      <c r="Z45" s="35" t="n">
        <f aca="false">IF(Y45&gt;0,ROUNDUP(Y45*(1+前提・入力!$B$34),0),0)</f>
        <v>0</v>
      </c>
    </row>
    <row r="46" customFormat="false" ht="15" hidden="false" customHeight="false" outlineLevel="0" collapsed="false">
      <c r="A46" s="32" t="n">
        <v>16</v>
      </c>
      <c r="B46" s="32" t="s">
        <v>316</v>
      </c>
      <c r="C46" s="33" t="s">
        <v>317</v>
      </c>
      <c r="D46" s="35" t="n">
        <v>22</v>
      </c>
      <c r="E46" s="65" t="n">
        <f aca="false">IFERROR(D46/D$73,0)</f>
        <v>0.00247441232707232</v>
      </c>
      <c r="F46" s="35" t="n">
        <f aca="false">①石川予測確定!P22</f>
        <v>6</v>
      </c>
      <c r="G46" s="65" t="n">
        <f aca="false">IFERROR(F46/F$73,0)</f>
        <v>0.0011648223645894</v>
      </c>
      <c r="H46" s="65" t="n">
        <f aca="false">E46*前提・入力!$B$31+G46*前提・入力!$B$32</f>
        <v>0.00181961734583086</v>
      </c>
      <c r="I46" s="35" t="n">
        <f aca="false">ROUND($H46*③仙台以降予測!$G$7,0)</f>
        <v>17</v>
      </c>
      <c r="J46" s="35" t="n">
        <f aca="false">ROUND($H46*③仙台以降予測!$G$8,0)</f>
        <v>16</v>
      </c>
      <c r="K46" s="35" t="n">
        <f aca="false">ROUND($H46*③仙台以降予測!$G$9,0)</f>
        <v>12</v>
      </c>
      <c r="L46" s="35" t="n">
        <f aca="false">ROUND($H46*③仙台以降予測!$G$10,0)</f>
        <v>67</v>
      </c>
      <c r="M46" s="35" t="n">
        <f aca="false">SUM(I46:L46)</f>
        <v>112</v>
      </c>
      <c r="N46" s="35" t="n">
        <v>772</v>
      </c>
      <c r="O46" s="35" t="n">
        <v>50</v>
      </c>
      <c r="P46" s="35" t="n">
        <v>722</v>
      </c>
      <c r="Q46" s="35" t="n">
        <f aca="false">IF(P46="",N46-O46,P46)</f>
        <v>722</v>
      </c>
      <c r="R46" s="35" t="n">
        <v>28</v>
      </c>
      <c r="S46" s="35" t="n">
        <v>0</v>
      </c>
      <c r="T46" s="35" t="n">
        <f aca="false">①石川予測確定!S22</f>
        <v>78</v>
      </c>
      <c r="U46" s="35" t="n">
        <f aca="false">①石川予測確定!P22</f>
        <v>6</v>
      </c>
      <c r="V46" s="35" t="n">
        <f aca="false">Q46+R46-S46-U46</f>
        <v>744</v>
      </c>
      <c r="W46" s="35" t="n">
        <v>0</v>
      </c>
      <c r="X46" s="38" t="n">
        <f aca="false">M46-V46-W46</f>
        <v>-632</v>
      </c>
      <c r="Y46" s="35" t="n">
        <f aca="false">MAX(0,X46)</f>
        <v>0</v>
      </c>
      <c r="Z46" s="35" t="n">
        <f aca="false">IF(Y46&gt;0,ROUNDUP(Y46*(1+前提・入力!$B$34),0),0)</f>
        <v>0</v>
      </c>
    </row>
    <row r="47" customFormat="false" ht="15" hidden="false" customHeight="false" outlineLevel="0" collapsed="false">
      <c r="A47" s="32" t="n">
        <v>17</v>
      </c>
      <c r="B47" s="32" t="s">
        <v>318</v>
      </c>
      <c r="C47" s="33" t="s">
        <v>319</v>
      </c>
      <c r="D47" s="35" t="n">
        <v>100</v>
      </c>
      <c r="E47" s="65" t="n">
        <f aca="false">IFERROR(D47/D$73,0)</f>
        <v>0.0112473287594196</v>
      </c>
      <c r="F47" s="35" t="n">
        <f aca="false">①石川予測確定!P23</f>
        <v>41</v>
      </c>
      <c r="G47" s="65" t="n">
        <f aca="false">IFERROR(F47/F$73,0)</f>
        <v>0.0079596194913609</v>
      </c>
      <c r="H47" s="65" t="n">
        <f aca="false">E47*前提・入力!$B$31+G47*前提・入力!$B$32</f>
        <v>0.00960347412539027</v>
      </c>
      <c r="I47" s="35" t="n">
        <f aca="false">ROUND($H47*③仙台以降予測!$G$7,0)</f>
        <v>92</v>
      </c>
      <c r="J47" s="35" t="n">
        <f aca="false">ROUND($H47*③仙台以降予測!$G$8,0)</f>
        <v>85</v>
      </c>
      <c r="K47" s="35" t="n">
        <f aca="false">ROUND($H47*③仙台以降予測!$G$9,0)</f>
        <v>63</v>
      </c>
      <c r="L47" s="35" t="n">
        <f aca="false">ROUND($H47*③仙台以降予測!$G$10,0)</f>
        <v>352</v>
      </c>
      <c r="M47" s="35" t="n">
        <f aca="false">SUM(I47:L47)</f>
        <v>592</v>
      </c>
      <c r="N47" s="35" t="n">
        <v>2523</v>
      </c>
      <c r="O47" s="35" t="n">
        <v>100</v>
      </c>
      <c r="P47" s="35" t="n">
        <v>2421</v>
      </c>
      <c r="Q47" s="35" t="n">
        <f aca="false">IF(P47="",N47-O47,P47)</f>
        <v>2421</v>
      </c>
      <c r="R47" s="35" t="n">
        <v>0</v>
      </c>
      <c r="S47" s="35" t="n">
        <v>0</v>
      </c>
      <c r="T47" s="35" t="n">
        <f aca="false">①石川予測確定!S23</f>
        <v>200</v>
      </c>
      <c r="U47" s="35" t="n">
        <f aca="false">①石川予測確定!P23</f>
        <v>41</v>
      </c>
      <c r="V47" s="35" t="n">
        <f aca="false">Q47+R47-S47-U47</f>
        <v>2380</v>
      </c>
      <c r="W47" s="35" t="n">
        <v>0</v>
      </c>
      <c r="X47" s="38" t="n">
        <f aca="false">M47-V47-W47</f>
        <v>-1788</v>
      </c>
      <c r="Y47" s="35" t="n">
        <f aca="false">MAX(0,X47)</f>
        <v>0</v>
      </c>
      <c r="Z47" s="35" t="n">
        <f aca="false">IF(Y47&gt;0,ROUNDUP(Y47*(1+前提・入力!$B$34),0),0)</f>
        <v>0</v>
      </c>
    </row>
    <row r="48" customFormat="false" ht="15" hidden="false" customHeight="false" outlineLevel="0" collapsed="false">
      <c r="A48" s="32" t="n">
        <v>18</v>
      </c>
      <c r="B48" s="32" t="s">
        <v>320</v>
      </c>
      <c r="C48" s="33" t="s">
        <v>321</v>
      </c>
      <c r="D48" s="35" t="n">
        <v>443</v>
      </c>
      <c r="E48" s="65" t="n">
        <f aca="false">IFERROR(D48/D$73,0)</f>
        <v>0.049825666404229</v>
      </c>
      <c r="F48" s="35" t="n">
        <f aca="false">①石川予測確定!P24</f>
        <v>152</v>
      </c>
      <c r="G48" s="65" t="n">
        <f aca="false">IFERROR(F48/F$73,0)</f>
        <v>0.0295088332362648</v>
      </c>
      <c r="H48" s="65" t="n">
        <f aca="false">E48*前提・入力!$B$31+G48*前提・入力!$B$32</f>
        <v>0.0396672498202469</v>
      </c>
      <c r="I48" s="35" t="n">
        <f aca="false">ROUND($H48*③仙台以降予測!$G$7,0)</f>
        <v>378</v>
      </c>
      <c r="J48" s="35" t="n">
        <f aca="false">ROUND($H48*③仙台以降予測!$G$8,0)</f>
        <v>349</v>
      </c>
      <c r="K48" s="35" t="n">
        <f aca="false">ROUND($H48*③仙台以降予測!$G$9,0)</f>
        <v>262</v>
      </c>
      <c r="L48" s="35" t="n">
        <f aca="false">ROUND($H48*③仙台以降予測!$G$10,0)</f>
        <v>1455</v>
      </c>
      <c r="M48" s="35" t="n">
        <f aca="false">SUM(I48:L48)</f>
        <v>2444</v>
      </c>
      <c r="N48" s="35" t="n">
        <v>9725</v>
      </c>
      <c r="O48" s="35" t="n">
        <v>1500</v>
      </c>
      <c r="P48" s="35" t="n">
        <v>8225</v>
      </c>
      <c r="Q48" s="35" t="n">
        <f aca="false">IF(P48="",N48-O48,P48)</f>
        <v>8225</v>
      </c>
      <c r="R48" s="35" t="n">
        <v>1057</v>
      </c>
      <c r="S48" s="35" t="n">
        <v>0</v>
      </c>
      <c r="T48" s="35" t="n">
        <f aca="false">①石川予測確定!S24</f>
        <v>1157</v>
      </c>
      <c r="U48" s="35" t="n">
        <f aca="false">①石川予測確定!P24</f>
        <v>152</v>
      </c>
      <c r="V48" s="35" t="n">
        <f aca="false">Q48+R48-S48-U48</f>
        <v>9130</v>
      </c>
      <c r="W48" s="35" t="n">
        <v>0</v>
      </c>
      <c r="X48" s="38" t="n">
        <f aca="false">M48-V48-W48</f>
        <v>-6686</v>
      </c>
      <c r="Y48" s="35" t="n">
        <f aca="false">MAX(0,X48)</f>
        <v>0</v>
      </c>
      <c r="Z48" s="35" t="n">
        <f aca="false">IF(Y48&gt;0,ROUNDUP(Y48*(1+前提・入力!$B$34),0),0)</f>
        <v>0</v>
      </c>
    </row>
    <row r="49" customFormat="false" ht="15" hidden="false" customHeight="false" outlineLevel="0" collapsed="false">
      <c r="A49" s="32" t="n">
        <v>19</v>
      </c>
      <c r="B49" s="32" t="s">
        <v>322</v>
      </c>
      <c r="C49" s="33" t="s">
        <v>323</v>
      </c>
      <c r="D49" s="35" t="n">
        <v>21</v>
      </c>
      <c r="E49" s="65" t="n">
        <f aca="false">IFERROR(D49/D$73,0)</f>
        <v>0.00236193903947812</v>
      </c>
      <c r="F49" s="35" t="n">
        <f aca="false">①石川予測確定!P25</f>
        <v>5</v>
      </c>
      <c r="G49" s="65" t="n">
        <f aca="false">IFERROR(F49/F$73,0)</f>
        <v>0.0009706853038245</v>
      </c>
      <c r="H49" s="65" t="n">
        <f aca="false">E49*前提・入力!$B$31+G49*前提・入力!$B$32</f>
        <v>0.00166631217165131</v>
      </c>
      <c r="I49" s="35" t="n">
        <f aca="false">ROUND($H49*③仙台以降予測!$G$7,0)</f>
        <v>16</v>
      </c>
      <c r="J49" s="35" t="n">
        <f aca="false">ROUND($H49*③仙台以降予測!$G$8,0)</f>
        <v>15</v>
      </c>
      <c r="K49" s="35" t="n">
        <f aca="false">ROUND($H49*③仙台以降予測!$G$9,0)</f>
        <v>11</v>
      </c>
      <c r="L49" s="35" t="n">
        <f aca="false">ROUND($H49*③仙台以降予測!$G$10,0)</f>
        <v>61</v>
      </c>
      <c r="M49" s="35" t="n">
        <f aca="false">SUM(I49:L49)</f>
        <v>103</v>
      </c>
      <c r="N49" s="35" t="n">
        <v>2240</v>
      </c>
      <c r="O49" s="35" t="n">
        <v>50</v>
      </c>
      <c r="P49" s="35" t="n">
        <v>2190</v>
      </c>
      <c r="Q49" s="35" t="n">
        <f aca="false">IF(P49="",N49-O49,P49)</f>
        <v>2190</v>
      </c>
      <c r="R49" s="35" t="n">
        <v>29</v>
      </c>
      <c r="S49" s="35" t="n">
        <v>0</v>
      </c>
      <c r="T49" s="35" t="n">
        <f aca="false">①石川予測確定!S25</f>
        <v>129</v>
      </c>
      <c r="U49" s="35" t="n">
        <f aca="false">①石川予測確定!P25</f>
        <v>5</v>
      </c>
      <c r="V49" s="35" t="n">
        <f aca="false">Q49+R49-S49-U49</f>
        <v>2214</v>
      </c>
      <c r="W49" s="35" t="n">
        <v>0</v>
      </c>
      <c r="X49" s="38" t="n">
        <f aca="false">M49-V49-W49</f>
        <v>-2111</v>
      </c>
      <c r="Y49" s="35" t="n">
        <f aca="false">MAX(0,X49)</f>
        <v>0</v>
      </c>
      <c r="Z49" s="35" t="n">
        <f aca="false">IF(Y49&gt;0,ROUNDUP(Y49*(1+前提・入力!$B$34),0),0)</f>
        <v>0</v>
      </c>
    </row>
    <row r="50" customFormat="false" ht="15" hidden="false" customHeight="false" outlineLevel="0" collapsed="false">
      <c r="A50" s="32" t="n">
        <v>20</v>
      </c>
      <c r="B50" s="32" t="s">
        <v>324</v>
      </c>
      <c r="C50" s="33" t="s">
        <v>325</v>
      </c>
      <c r="D50" s="35" t="n">
        <v>18</v>
      </c>
      <c r="E50" s="65" t="n">
        <f aca="false">IFERROR(D50/D$73,0)</f>
        <v>0.00202451917669553</v>
      </c>
      <c r="F50" s="35" t="n">
        <f aca="false">①石川予測確定!P26</f>
        <v>7</v>
      </c>
      <c r="G50" s="65" t="n">
        <f aca="false">IFERROR(F50/F$73,0)</f>
        <v>0.0013589594253543</v>
      </c>
      <c r="H50" s="65" t="n">
        <f aca="false">E50*前提・入力!$B$31+G50*前提・入力!$B$32</f>
        <v>0.00169173930102492</v>
      </c>
      <c r="I50" s="35" t="n">
        <f aca="false">ROUND($H50*③仙台以降予測!$G$7,0)</f>
        <v>16</v>
      </c>
      <c r="J50" s="35" t="n">
        <f aca="false">ROUND($H50*③仙台以降予測!$G$8,0)</f>
        <v>15</v>
      </c>
      <c r="K50" s="35" t="n">
        <f aca="false">ROUND($H50*③仙台以降予測!$G$9,0)</f>
        <v>11</v>
      </c>
      <c r="L50" s="35" t="n">
        <f aca="false">ROUND($H50*③仙台以降予測!$G$10,0)</f>
        <v>62</v>
      </c>
      <c r="M50" s="35" t="n">
        <f aca="false">SUM(I50:L50)</f>
        <v>104</v>
      </c>
      <c r="N50" s="35" t="n">
        <v>302</v>
      </c>
      <c r="O50" s="35" t="n">
        <v>30</v>
      </c>
      <c r="P50" s="35" t="n">
        <v>271</v>
      </c>
      <c r="Q50" s="35" t="n">
        <f aca="false">IF(P50="",N50-O50,P50)</f>
        <v>271</v>
      </c>
      <c r="R50" s="35" t="n">
        <v>12</v>
      </c>
      <c r="S50" s="35" t="n">
        <v>0</v>
      </c>
      <c r="T50" s="35" t="n">
        <f aca="false">①石川予測確定!S26</f>
        <v>17</v>
      </c>
      <c r="U50" s="35" t="n">
        <f aca="false">①石川予測確定!P26</f>
        <v>7</v>
      </c>
      <c r="V50" s="35" t="n">
        <f aca="false">Q50+R50-S50-U50</f>
        <v>276</v>
      </c>
      <c r="W50" s="35" t="n">
        <v>0</v>
      </c>
      <c r="X50" s="38" t="n">
        <f aca="false">M50-V50-W50</f>
        <v>-172</v>
      </c>
      <c r="Y50" s="35" t="n">
        <f aca="false">MAX(0,X50)</f>
        <v>0</v>
      </c>
      <c r="Z50" s="35" t="n">
        <f aca="false">IF(Y50&gt;0,ROUNDUP(Y50*(1+前提・入力!$B$34),0),0)</f>
        <v>0</v>
      </c>
    </row>
    <row r="51" customFormat="false" ht="15" hidden="false" customHeight="false" outlineLevel="0" collapsed="false">
      <c r="A51" s="32" t="n">
        <v>21</v>
      </c>
      <c r="B51" s="32" t="s">
        <v>326</v>
      </c>
      <c r="C51" s="33" t="s">
        <v>327</v>
      </c>
      <c r="D51" s="35" t="n">
        <v>88</v>
      </c>
      <c r="E51" s="65" t="n">
        <f aca="false">IFERROR(D51/D$73,0)</f>
        <v>0.00989764930828928</v>
      </c>
      <c r="F51" s="35" t="n">
        <f aca="false">①石川予測確定!P27</f>
        <v>30</v>
      </c>
      <c r="G51" s="65" t="n">
        <f aca="false">IFERROR(F51/F$73,0)</f>
        <v>0.005824111822947</v>
      </c>
      <c r="H51" s="65" t="n">
        <f aca="false">E51*前提・入力!$B$31+G51*前提・入力!$B$32</f>
        <v>0.00786088056561814</v>
      </c>
      <c r="I51" s="35" t="n">
        <f aca="false">ROUND($H51*③仙台以降予測!$G$7,0)</f>
        <v>75</v>
      </c>
      <c r="J51" s="35" t="n">
        <f aca="false">ROUND($H51*③仙台以降予測!$G$8,0)</f>
        <v>69</v>
      </c>
      <c r="K51" s="35" t="n">
        <f aca="false">ROUND($H51*③仙台以降予測!$G$9,0)</f>
        <v>52</v>
      </c>
      <c r="L51" s="35" t="n">
        <f aca="false">ROUND($H51*③仙台以降予測!$G$10,0)</f>
        <v>288</v>
      </c>
      <c r="M51" s="35" t="n">
        <f aca="false">SUM(I51:L51)</f>
        <v>484</v>
      </c>
      <c r="N51" s="35" t="n">
        <v>308</v>
      </c>
      <c r="O51" s="35" t="n">
        <v>100</v>
      </c>
      <c r="P51" s="35" t="n">
        <v>208</v>
      </c>
      <c r="Q51" s="35" t="n">
        <f aca="false">IF(P51="",N51-O51,P51)</f>
        <v>208</v>
      </c>
      <c r="R51" s="35" t="n">
        <v>12</v>
      </c>
      <c r="S51" s="35" t="n">
        <v>0</v>
      </c>
      <c r="T51" s="35" t="n">
        <f aca="false">①石川予測確定!S27</f>
        <v>32</v>
      </c>
      <c r="U51" s="35" t="n">
        <f aca="false">①石川予測確定!P27</f>
        <v>30</v>
      </c>
      <c r="V51" s="35" t="n">
        <f aca="false">Q51+R51-S51-U51</f>
        <v>190</v>
      </c>
      <c r="W51" s="35" t="n">
        <v>0</v>
      </c>
      <c r="X51" s="38" t="n">
        <f aca="false">M51-V51-W51</f>
        <v>294</v>
      </c>
      <c r="Y51" s="35" t="n">
        <f aca="false">MAX(0,X51)</f>
        <v>294</v>
      </c>
      <c r="Z51" s="35" t="n">
        <f aca="false">IF(Y51&gt;0,ROUNDUP(Y51*(1+前提・入力!$B$34),0),0)</f>
        <v>324</v>
      </c>
    </row>
    <row r="52" customFormat="false" ht="15" hidden="false" customHeight="false" outlineLevel="0" collapsed="false">
      <c r="A52" s="32" t="n">
        <v>22</v>
      </c>
      <c r="B52" s="32" t="s">
        <v>328</v>
      </c>
      <c r="C52" s="33" t="s">
        <v>329</v>
      </c>
      <c r="D52" s="35" t="n">
        <v>50</v>
      </c>
      <c r="E52" s="65" t="n">
        <f aca="false">IFERROR(D52/D$73,0)</f>
        <v>0.00562366437970982</v>
      </c>
      <c r="F52" s="35" t="n">
        <f aca="false">①石川予測確定!P28</f>
        <v>27</v>
      </c>
      <c r="G52" s="65" t="n">
        <f aca="false">IFERROR(F52/F$73,0)</f>
        <v>0.0052417006406523</v>
      </c>
      <c r="H52" s="65" t="n">
        <f aca="false">E52*前提・入力!$B$31+G52*前提・入力!$B$32</f>
        <v>0.00543268251018106</v>
      </c>
      <c r="I52" s="35" t="n">
        <f aca="false">ROUND($H52*③仙台以降予測!$G$7,0)</f>
        <v>52</v>
      </c>
      <c r="J52" s="35" t="n">
        <f aca="false">ROUND($H52*③仙台以降予測!$G$8,0)</f>
        <v>48</v>
      </c>
      <c r="K52" s="35" t="n">
        <f aca="false">ROUND($H52*③仙台以降予測!$G$9,0)</f>
        <v>36</v>
      </c>
      <c r="L52" s="35" t="n">
        <f aca="false">ROUND($H52*③仙台以降予測!$G$10,0)</f>
        <v>199</v>
      </c>
      <c r="M52" s="35" t="n">
        <f aca="false">SUM(I52:L52)</f>
        <v>335</v>
      </c>
      <c r="N52" s="35" t="n">
        <v>1331</v>
      </c>
      <c r="O52" s="35" t="n">
        <v>50</v>
      </c>
      <c r="P52" s="35" t="n">
        <v>1281</v>
      </c>
      <c r="Q52" s="35" t="n">
        <f aca="false">IF(P52="",N52-O52,P52)</f>
        <v>1281</v>
      </c>
      <c r="R52" s="35" t="n">
        <v>0</v>
      </c>
      <c r="S52" s="35" t="n">
        <v>0</v>
      </c>
      <c r="T52" s="35" t="n">
        <f aca="false">①石川予測確定!S28</f>
        <v>150</v>
      </c>
      <c r="U52" s="35" t="n">
        <f aca="false">①石川予測確定!P28</f>
        <v>27</v>
      </c>
      <c r="V52" s="35" t="n">
        <f aca="false">Q52+R52-S52-U52</f>
        <v>1254</v>
      </c>
      <c r="W52" s="35" t="n">
        <v>0</v>
      </c>
      <c r="X52" s="38" t="n">
        <f aca="false">M52-V52-W52</f>
        <v>-919</v>
      </c>
      <c r="Y52" s="35" t="n">
        <f aca="false">MAX(0,X52)</f>
        <v>0</v>
      </c>
      <c r="Z52" s="35" t="n">
        <f aca="false">IF(Y52&gt;0,ROUNDUP(Y52*(1+前提・入力!$B$34),0),0)</f>
        <v>0</v>
      </c>
    </row>
    <row r="53" customFormat="false" ht="15" hidden="false" customHeight="false" outlineLevel="0" collapsed="false">
      <c r="A53" s="32" t="n">
        <v>23</v>
      </c>
      <c r="B53" s="32" t="s">
        <v>330</v>
      </c>
      <c r="C53" s="33" t="s">
        <v>331</v>
      </c>
      <c r="D53" s="35" t="n">
        <v>2175</v>
      </c>
      <c r="E53" s="65" t="n">
        <f aca="false">IFERROR(D53/D$73,0)</f>
        <v>0.244629400517377</v>
      </c>
      <c r="F53" s="35" t="n">
        <f aca="false">①石川予測確定!P29</f>
        <v>1292</v>
      </c>
      <c r="G53" s="65" t="n">
        <f aca="false">IFERROR(F53/F$73,0)</f>
        <v>0.250825082508251</v>
      </c>
      <c r="H53" s="65" t="n">
        <f aca="false">E53*前提・入力!$B$31+G53*前提・入力!$B$32</f>
        <v>0.247727241512814</v>
      </c>
      <c r="I53" s="35" t="n">
        <f aca="false">ROUND($H53*③仙台以降予測!$G$7,0)</f>
        <v>2362</v>
      </c>
      <c r="J53" s="35" t="n">
        <f aca="false">ROUND($H53*③仙台以降予測!$G$8,0)</f>
        <v>2180</v>
      </c>
      <c r="K53" s="35" t="n">
        <f aca="false">ROUND($H53*③仙台以降予測!$G$9,0)</f>
        <v>1635</v>
      </c>
      <c r="L53" s="35" t="n">
        <f aca="false">ROUND($H53*③仙台以降予測!$G$10,0)</f>
        <v>9086</v>
      </c>
      <c r="M53" s="35" t="n">
        <f aca="false">SUM(I53:L53)</f>
        <v>15263</v>
      </c>
      <c r="N53" s="35" t="n">
        <v>52199</v>
      </c>
      <c r="O53" s="35" t="n">
        <v>11000</v>
      </c>
      <c r="P53" s="35" t="n">
        <v>41196</v>
      </c>
      <c r="Q53" s="35" t="n">
        <f aca="false">IF(P53="",N53-O53,P53)</f>
        <v>41196</v>
      </c>
      <c r="R53" s="35" t="n">
        <v>8825</v>
      </c>
      <c r="S53" s="35" t="n">
        <v>0</v>
      </c>
      <c r="T53" s="35" t="n">
        <f aca="false">①石川予測確定!S29</f>
        <v>9325</v>
      </c>
      <c r="U53" s="35" t="n">
        <f aca="false">①石川予測確定!P29</f>
        <v>1292</v>
      </c>
      <c r="V53" s="35" t="n">
        <f aca="false">Q53+R53-S53-U53</f>
        <v>48729</v>
      </c>
      <c r="W53" s="35" t="n">
        <v>0</v>
      </c>
      <c r="X53" s="38" t="n">
        <f aca="false">M53-V53-W53</f>
        <v>-33466</v>
      </c>
      <c r="Y53" s="35" t="n">
        <f aca="false">MAX(0,X53)</f>
        <v>0</v>
      </c>
      <c r="Z53" s="35" t="n">
        <f aca="false">IF(Y53&gt;0,ROUNDUP(Y53*(1+前提・入力!$B$34),0),0)</f>
        <v>0</v>
      </c>
    </row>
    <row r="54" customFormat="false" ht="15" hidden="false" customHeight="false" outlineLevel="0" collapsed="false">
      <c r="A54" s="32" t="n">
        <v>24</v>
      </c>
      <c r="B54" s="32" t="s">
        <v>332</v>
      </c>
      <c r="C54" s="33" t="s">
        <v>333</v>
      </c>
      <c r="D54" s="35" t="n">
        <v>1216</v>
      </c>
      <c r="E54" s="65" t="n">
        <f aca="false">IFERROR(D54/D$73,0)</f>
        <v>0.136767517714543</v>
      </c>
      <c r="F54" s="35" t="n">
        <f aca="false">①石川予測確定!P30</f>
        <v>865</v>
      </c>
      <c r="G54" s="65" t="n">
        <f aca="false">IFERROR(F54/F$73,0)</f>
        <v>0.167928557561639</v>
      </c>
      <c r="H54" s="65" t="n">
        <f aca="false">E54*前提・入力!$B$31+G54*前提・入力!$B$32</f>
        <v>0.152348037638091</v>
      </c>
      <c r="I54" s="35" t="n">
        <f aca="false">ROUND($H54*③仙台以降予測!$G$7,0)</f>
        <v>1453</v>
      </c>
      <c r="J54" s="35" t="n">
        <f aca="false">ROUND($H54*③仙台以降予測!$G$8,0)</f>
        <v>1341</v>
      </c>
      <c r="K54" s="35" t="n">
        <f aca="false">ROUND($H54*③仙台以降予測!$G$9,0)</f>
        <v>1006</v>
      </c>
      <c r="L54" s="35" t="n">
        <f aca="false">ROUND($H54*③仙台以降予測!$G$10,0)</f>
        <v>5588</v>
      </c>
      <c r="M54" s="35" t="n">
        <f aca="false">SUM(I54:L54)</f>
        <v>9388</v>
      </c>
      <c r="N54" s="35" t="n">
        <v>32220</v>
      </c>
      <c r="O54" s="35" t="n">
        <v>8000</v>
      </c>
      <c r="P54" s="35" t="n">
        <v>24211</v>
      </c>
      <c r="Q54" s="35" t="n">
        <f aca="false">IF(P54="",N54-O54,P54)</f>
        <v>24211</v>
      </c>
      <c r="R54" s="35" t="n">
        <v>6784</v>
      </c>
      <c r="S54" s="35" t="n">
        <v>0</v>
      </c>
      <c r="T54" s="35" t="n">
        <f aca="false">①石川予測確定!S30</f>
        <v>7284</v>
      </c>
      <c r="U54" s="35" t="n">
        <f aca="false">①石川予測確定!P30</f>
        <v>865</v>
      </c>
      <c r="V54" s="35" t="n">
        <f aca="false">Q54+R54-S54-U54</f>
        <v>30130</v>
      </c>
      <c r="W54" s="35" t="n">
        <v>0</v>
      </c>
      <c r="X54" s="38" t="n">
        <f aca="false">M54-V54-W54</f>
        <v>-20742</v>
      </c>
      <c r="Y54" s="35" t="n">
        <f aca="false">MAX(0,X54)</f>
        <v>0</v>
      </c>
      <c r="Z54" s="35" t="n">
        <f aca="false">IF(Y54&gt;0,ROUNDUP(Y54*(1+前提・入力!$B$34),0),0)</f>
        <v>0</v>
      </c>
    </row>
    <row r="55" customFormat="false" ht="15" hidden="false" customHeight="false" outlineLevel="0" collapsed="false">
      <c r="A55" s="32" t="n">
        <v>25</v>
      </c>
      <c r="B55" s="32" t="s">
        <v>334</v>
      </c>
      <c r="C55" s="33" t="s">
        <v>335</v>
      </c>
      <c r="D55" s="35" t="n">
        <v>54</v>
      </c>
      <c r="E55" s="65" t="n">
        <f aca="false">IFERROR(D55/D$73,0)</f>
        <v>0.0060735575300866</v>
      </c>
      <c r="F55" s="35" t="n">
        <f aca="false">①石川予測確定!P31</f>
        <v>58</v>
      </c>
      <c r="G55" s="65" t="n">
        <f aca="false">IFERROR(F55/F$73,0)</f>
        <v>0.0112599495243642</v>
      </c>
      <c r="H55" s="65" t="n">
        <f aca="false">E55*前提・入力!$B$31+G55*前提・入力!$B$32</f>
        <v>0.0086667535272254</v>
      </c>
      <c r="I55" s="35" t="n">
        <f aca="false">ROUND($H55*③仙台以降予測!$G$7,0)</f>
        <v>83</v>
      </c>
      <c r="J55" s="35" t="n">
        <f aca="false">ROUND($H55*③仙台以降予測!$G$8,0)</f>
        <v>76</v>
      </c>
      <c r="K55" s="35" t="n">
        <f aca="false">ROUND($H55*③仙台以降予測!$G$9,0)</f>
        <v>57</v>
      </c>
      <c r="L55" s="35" t="n">
        <f aca="false">ROUND($H55*③仙台以降予測!$G$10,0)</f>
        <v>318</v>
      </c>
      <c r="M55" s="35" t="n">
        <f aca="false">SUM(I55:L55)</f>
        <v>534</v>
      </c>
      <c r="N55" s="35" t="n">
        <v>3505</v>
      </c>
      <c r="O55" s="35" t="n">
        <v>200</v>
      </c>
      <c r="P55" s="35" t="n">
        <v>3305</v>
      </c>
      <c r="Q55" s="35" t="n">
        <f aca="false">IF(P55="",N55-O55,P55)</f>
        <v>3305</v>
      </c>
      <c r="R55" s="35" t="n">
        <v>146</v>
      </c>
      <c r="S55" s="35" t="n">
        <v>0</v>
      </c>
      <c r="T55" s="35" t="n">
        <f aca="false">①石川予測確定!S31</f>
        <v>176</v>
      </c>
      <c r="U55" s="35" t="n">
        <f aca="false">①石川予測確定!P31</f>
        <v>58</v>
      </c>
      <c r="V55" s="35" t="n">
        <f aca="false">Q55+R55-S55-U55</f>
        <v>3393</v>
      </c>
      <c r="W55" s="35" t="n">
        <v>0</v>
      </c>
      <c r="X55" s="38" t="n">
        <f aca="false">M55-V55-W55</f>
        <v>-2859</v>
      </c>
      <c r="Y55" s="35" t="n">
        <f aca="false">MAX(0,X55)</f>
        <v>0</v>
      </c>
      <c r="Z55" s="35" t="n">
        <f aca="false">IF(Y55&gt;0,ROUNDUP(Y55*(1+前提・入力!$B$34),0),0)</f>
        <v>0</v>
      </c>
    </row>
    <row r="56" customFormat="false" ht="15" hidden="false" customHeight="false" outlineLevel="0" collapsed="false">
      <c r="A56" s="32" t="n">
        <v>26</v>
      </c>
      <c r="B56" s="32" t="s">
        <v>336</v>
      </c>
      <c r="C56" s="33" t="s">
        <v>337</v>
      </c>
      <c r="D56" s="35" t="n">
        <v>200</v>
      </c>
      <c r="E56" s="65" t="n">
        <f aca="false">IFERROR(D56/D$73,0)</f>
        <v>0.0224946575188393</v>
      </c>
      <c r="F56" s="35" t="n">
        <f aca="false">①石川予測確定!P32</f>
        <v>70</v>
      </c>
      <c r="G56" s="65" t="n">
        <f aca="false">IFERROR(F56/F$73,0)</f>
        <v>0.013589594253543</v>
      </c>
      <c r="H56" s="65" t="n">
        <f aca="false">E56*前提・入力!$B$31+G56*前提・入力!$B$32</f>
        <v>0.0180421258861911</v>
      </c>
      <c r="I56" s="35" t="n">
        <f aca="false">ROUND($H56*③仙台以降予測!$G$7,0)</f>
        <v>172</v>
      </c>
      <c r="J56" s="35" t="n">
        <f aca="false">ROUND($H56*③仙台以降予測!$G$8,0)</f>
        <v>159</v>
      </c>
      <c r="K56" s="35" t="n">
        <f aca="false">ROUND($H56*③仙台以降予測!$G$9,0)</f>
        <v>119</v>
      </c>
      <c r="L56" s="35" t="n">
        <f aca="false">ROUND($H56*③仙台以降予測!$G$10,0)</f>
        <v>662</v>
      </c>
      <c r="M56" s="35" t="n">
        <f aca="false">SUM(I56:L56)</f>
        <v>1112</v>
      </c>
      <c r="N56" s="35" t="n">
        <v>500</v>
      </c>
      <c r="O56" s="35" t="n">
        <v>200</v>
      </c>
      <c r="P56" s="35" t="n">
        <v>299</v>
      </c>
      <c r="Q56" s="35" t="n">
        <f aca="false">IF(P56="",N56-O56,P56)</f>
        <v>299</v>
      </c>
      <c r="R56" s="35" t="n">
        <v>0</v>
      </c>
      <c r="S56" s="35" t="n">
        <v>0</v>
      </c>
      <c r="T56" s="35" t="n">
        <f aca="false">①石川予測確定!S32</f>
        <v>50</v>
      </c>
      <c r="U56" s="35" t="n">
        <f aca="false">①石川予測確定!P32</f>
        <v>70</v>
      </c>
      <c r="V56" s="35" t="n">
        <f aca="false">Q56+R56-S56-U56</f>
        <v>229</v>
      </c>
      <c r="W56" s="35" t="n">
        <v>0</v>
      </c>
      <c r="X56" s="38" t="n">
        <f aca="false">M56-V56-W56</f>
        <v>883</v>
      </c>
      <c r="Y56" s="35" t="n">
        <f aca="false">MAX(0,X56)</f>
        <v>883</v>
      </c>
      <c r="Z56" s="35" t="n">
        <f aca="false">IF(Y56&gt;0,ROUNDUP(Y56*(1+前提・入力!$B$34),0),0)</f>
        <v>972</v>
      </c>
    </row>
    <row r="57" customFormat="false" ht="15" hidden="false" customHeight="false" outlineLevel="0" collapsed="false">
      <c r="A57" s="32" t="n">
        <v>27</v>
      </c>
      <c r="B57" s="32" t="s">
        <v>338</v>
      </c>
      <c r="C57" s="33" t="s">
        <v>339</v>
      </c>
      <c r="D57" s="35" t="n">
        <v>50</v>
      </c>
      <c r="E57" s="65" t="n">
        <f aca="false">IFERROR(D57/D$73,0)</f>
        <v>0.00562366437970982</v>
      </c>
      <c r="F57" s="35" t="n">
        <f aca="false">①石川予測確定!P33</f>
        <v>18</v>
      </c>
      <c r="G57" s="65" t="n">
        <f aca="false">IFERROR(F57/F$73,0)</f>
        <v>0.0034944670937682</v>
      </c>
      <c r="H57" s="65" t="n">
        <f aca="false">E57*前提・入力!$B$31+G57*前提・入力!$B$32</f>
        <v>0.00455906573673901</v>
      </c>
      <c r="I57" s="35" t="n">
        <f aca="false">ROUND($H57*③仙台以降予測!$G$7,0)</f>
        <v>43</v>
      </c>
      <c r="J57" s="35" t="n">
        <f aca="false">ROUND($H57*③仙台以降予測!$G$8,0)</f>
        <v>40</v>
      </c>
      <c r="K57" s="35" t="n">
        <f aca="false">ROUND($H57*③仙台以降予測!$G$9,0)</f>
        <v>30</v>
      </c>
      <c r="L57" s="35" t="n">
        <f aca="false">ROUND($H57*③仙台以降予測!$G$10,0)</f>
        <v>167</v>
      </c>
      <c r="M57" s="35" t="n">
        <f aca="false">SUM(I57:L57)</f>
        <v>280</v>
      </c>
      <c r="N57" s="35" t="n">
        <v>1199</v>
      </c>
      <c r="O57" s="35" t="n">
        <v>70</v>
      </c>
      <c r="P57" s="35" t="n">
        <v>1129</v>
      </c>
      <c r="Q57" s="35" t="n">
        <f aca="false">IF(P57="",N57-O57,P57)</f>
        <v>1129</v>
      </c>
      <c r="R57" s="35" t="n">
        <v>20</v>
      </c>
      <c r="S57" s="35" t="n">
        <v>0</v>
      </c>
      <c r="T57" s="35" t="n">
        <f aca="false">①石川予測確定!S33</f>
        <v>70</v>
      </c>
      <c r="U57" s="35" t="n">
        <f aca="false">①石川予測確定!P33</f>
        <v>18</v>
      </c>
      <c r="V57" s="35" t="n">
        <f aca="false">Q57+R57-S57-U57</f>
        <v>1131</v>
      </c>
      <c r="W57" s="35" t="n">
        <v>0</v>
      </c>
      <c r="X57" s="38" t="n">
        <f aca="false">M57-V57-W57</f>
        <v>-851</v>
      </c>
      <c r="Y57" s="35" t="n">
        <f aca="false">MAX(0,X57)</f>
        <v>0</v>
      </c>
      <c r="Z57" s="35" t="n">
        <f aca="false">IF(Y57&gt;0,ROUNDUP(Y57*(1+前提・入力!$B$34),0),0)</f>
        <v>0</v>
      </c>
    </row>
    <row r="58" customFormat="false" ht="15" hidden="false" customHeight="false" outlineLevel="0" collapsed="false">
      <c r="A58" s="32" t="n">
        <v>28</v>
      </c>
      <c r="B58" s="32" t="s">
        <v>340</v>
      </c>
      <c r="C58" s="33" t="s">
        <v>341</v>
      </c>
      <c r="D58" s="35" t="n">
        <v>300</v>
      </c>
      <c r="E58" s="65" t="n">
        <f aca="false">IFERROR(D58/D$73,0)</f>
        <v>0.0337419862782589</v>
      </c>
      <c r="F58" s="35" t="n">
        <f aca="false">①石川予測確定!P34</f>
        <v>92</v>
      </c>
      <c r="G58" s="65" t="n">
        <f aca="false">IFERROR(F58/F$73,0)</f>
        <v>0.0178606095903708</v>
      </c>
      <c r="H58" s="65" t="n">
        <f aca="false">E58*前提・入力!$B$31+G58*前提・入力!$B$32</f>
        <v>0.0258012979343149</v>
      </c>
      <c r="I58" s="35" t="n">
        <f aca="false">ROUND($H58*③仙台以降予測!$G$7,0)</f>
        <v>246</v>
      </c>
      <c r="J58" s="35" t="n">
        <f aca="false">ROUND($H58*③仙台以降予測!$G$8,0)</f>
        <v>227</v>
      </c>
      <c r="K58" s="35" t="n">
        <f aca="false">ROUND($H58*③仙台以降予測!$G$9,0)</f>
        <v>170</v>
      </c>
      <c r="L58" s="35" t="n">
        <f aca="false">ROUND($H58*③仙台以降予測!$G$10,0)</f>
        <v>946</v>
      </c>
      <c r="M58" s="35" t="n">
        <f aca="false">SUM(I58:L58)</f>
        <v>1589</v>
      </c>
      <c r="N58" s="35" t="n">
        <v>460</v>
      </c>
      <c r="O58" s="35" t="n">
        <v>300</v>
      </c>
      <c r="P58" s="35"/>
      <c r="Q58" s="35" t="n">
        <f aca="false">IF(P58="",N58-O58,P58)</f>
        <v>160</v>
      </c>
      <c r="R58" s="35" t="n">
        <v>0</v>
      </c>
      <c r="S58" s="35" t="n">
        <v>0</v>
      </c>
      <c r="T58" s="35" t="n">
        <f aca="false">①石川予測確定!S34</f>
        <v>80</v>
      </c>
      <c r="U58" s="35" t="n">
        <f aca="false">①石川予測確定!P34</f>
        <v>92</v>
      </c>
      <c r="V58" s="35" t="n">
        <f aca="false">Q58+R58-S58-U58</f>
        <v>68</v>
      </c>
      <c r="W58" s="35" t="n">
        <v>1200</v>
      </c>
      <c r="X58" s="38" t="n">
        <f aca="false">M58-V58-W58</f>
        <v>321</v>
      </c>
      <c r="Y58" s="35" t="n">
        <f aca="false">MAX(0,X58)</f>
        <v>321</v>
      </c>
      <c r="Z58" s="35" t="n">
        <f aca="false">IF(Y58&gt;0,ROUNDUP(Y58*(1+前提・入力!$B$34),0),0)</f>
        <v>354</v>
      </c>
    </row>
    <row r="59" customFormat="false" ht="15" hidden="false" customHeight="false" outlineLevel="0" collapsed="false">
      <c r="A59" s="32" t="n">
        <v>29</v>
      </c>
      <c r="B59" s="32" t="s">
        <v>342</v>
      </c>
      <c r="C59" s="33" t="s">
        <v>343</v>
      </c>
      <c r="D59" s="35" t="n">
        <v>160</v>
      </c>
      <c r="E59" s="65" t="n">
        <f aca="false">IFERROR(D59/D$73,0)</f>
        <v>0.0179957260150714</v>
      </c>
      <c r="F59" s="35" t="n">
        <f aca="false">①石川予測確定!P35</f>
        <v>83</v>
      </c>
      <c r="G59" s="65" t="n">
        <f aca="false">IFERROR(F59/F$73,0)</f>
        <v>0.0161133760434867</v>
      </c>
      <c r="H59" s="65" t="n">
        <f aca="false">E59*前提・入力!$B$31+G59*前提・入力!$B$32</f>
        <v>0.0170545510292791</v>
      </c>
      <c r="I59" s="35" t="n">
        <f aca="false">ROUND($H59*③仙台以降予測!$G$7,0)</f>
        <v>163</v>
      </c>
      <c r="J59" s="35" t="n">
        <f aca="false">ROUND($H59*③仙台以降予測!$G$8,0)</f>
        <v>150</v>
      </c>
      <c r="K59" s="35" t="n">
        <f aca="false">ROUND($H59*③仙台以降予測!$G$9,0)</f>
        <v>113</v>
      </c>
      <c r="L59" s="35" t="n">
        <f aca="false">ROUND($H59*③仙台以降予測!$G$10,0)</f>
        <v>626</v>
      </c>
      <c r="M59" s="35" t="n">
        <f aca="false">SUM(I59:L59)</f>
        <v>1052</v>
      </c>
      <c r="N59" s="35" t="n">
        <v>421</v>
      </c>
      <c r="O59" s="35" t="n">
        <v>160</v>
      </c>
      <c r="P59" s="35" t="n">
        <v>260</v>
      </c>
      <c r="Q59" s="35" t="n">
        <f aca="false">IF(P59="",N59-O59,P59)</f>
        <v>260</v>
      </c>
      <c r="R59" s="35" t="n">
        <v>0</v>
      </c>
      <c r="S59" s="35" t="n">
        <v>0</v>
      </c>
      <c r="T59" s="35" t="n">
        <f aca="false">①石川予測確定!S35</f>
        <v>120</v>
      </c>
      <c r="U59" s="35" t="n">
        <f aca="false">①石川予測確定!P35</f>
        <v>83</v>
      </c>
      <c r="V59" s="35" t="n">
        <f aca="false">Q59+R59-S59-U59</f>
        <v>177</v>
      </c>
      <c r="W59" s="35" t="n">
        <v>0</v>
      </c>
      <c r="X59" s="38" t="n">
        <f aca="false">M59-V59-W59</f>
        <v>875</v>
      </c>
      <c r="Y59" s="35" t="n">
        <f aca="false">MAX(0,X59)</f>
        <v>875</v>
      </c>
      <c r="Z59" s="35" t="n">
        <f aca="false">IF(Y59&gt;0,ROUNDUP(Y59*(1+前提・入力!$B$34),0),0)</f>
        <v>963</v>
      </c>
    </row>
    <row r="60" customFormat="false" ht="15" hidden="false" customHeight="false" outlineLevel="0" collapsed="false">
      <c r="A60" s="32" t="n">
        <v>30</v>
      </c>
      <c r="B60" s="32" t="s">
        <v>344</v>
      </c>
      <c r="C60" s="33" t="s">
        <v>345</v>
      </c>
      <c r="D60" s="35" t="n">
        <v>72</v>
      </c>
      <c r="E60" s="65" t="n">
        <f aca="false">IFERROR(D60/D$73,0)</f>
        <v>0.00809807670678214</v>
      </c>
      <c r="F60" s="35" t="n">
        <f aca="false">①石川予測確定!P36</f>
        <v>45</v>
      </c>
      <c r="G60" s="65" t="n">
        <f aca="false">IFERROR(F60/F$73,0)</f>
        <v>0.0087361677344205</v>
      </c>
      <c r="H60" s="65" t="n">
        <f aca="false">E60*前提・入力!$B$31+G60*前提・入力!$B$32</f>
        <v>0.00841712222060132</v>
      </c>
      <c r="I60" s="35" t="n">
        <f aca="false">ROUND($H60*③仙台以降予測!$G$7,0)</f>
        <v>80</v>
      </c>
      <c r="J60" s="35" t="n">
        <f aca="false">ROUND($H60*③仙台以降予測!$G$8,0)</f>
        <v>74</v>
      </c>
      <c r="K60" s="35" t="n">
        <f aca="false">ROUND($H60*③仙台以降予測!$G$9,0)</f>
        <v>56</v>
      </c>
      <c r="L60" s="35" t="n">
        <f aca="false">ROUND($H60*③仙台以降予測!$G$10,0)</f>
        <v>309</v>
      </c>
      <c r="M60" s="35" t="n">
        <f aca="false">SUM(I60:L60)</f>
        <v>519</v>
      </c>
      <c r="N60" s="35" t="n">
        <v>900</v>
      </c>
      <c r="O60" s="35" t="n">
        <v>250</v>
      </c>
      <c r="P60" s="35" t="n">
        <v>648</v>
      </c>
      <c r="Q60" s="35" t="n">
        <f aca="false">IF(P60="",N60-O60,P60)</f>
        <v>648</v>
      </c>
      <c r="R60" s="35" t="n">
        <v>178</v>
      </c>
      <c r="S60" s="35" t="n">
        <v>0</v>
      </c>
      <c r="T60" s="35" t="n">
        <f aca="false">①石川予測確定!S36</f>
        <v>278</v>
      </c>
      <c r="U60" s="35" t="n">
        <f aca="false">①石川予測確定!P36</f>
        <v>45</v>
      </c>
      <c r="V60" s="35" t="n">
        <f aca="false">Q60+R60-S60-U60</f>
        <v>781</v>
      </c>
      <c r="W60" s="35" t="n">
        <v>0</v>
      </c>
      <c r="X60" s="38" t="n">
        <f aca="false">M60-V60-W60</f>
        <v>-262</v>
      </c>
      <c r="Y60" s="35" t="n">
        <f aca="false">MAX(0,X60)</f>
        <v>0</v>
      </c>
      <c r="Z60" s="35" t="n">
        <f aca="false">IF(Y60&gt;0,ROUNDUP(Y60*(1+前提・入力!$B$34),0),0)</f>
        <v>0</v>
      </c>
    </row>
    <row r="61" customFormat="false" ht="15" hidden="false" customHeight="false" outlineLevel="0" collapsed="false">
      <c r="A61" s="32" t="n">
        <v>31</v>
      </c>
      <c r="B61" s="32" t="s">
        <v>346</v>
      </c>
      <c r="C61" s="33" t="s">
        <v>347</v>
      </c>
      <c r="D61" s="35" t="n">
        <v>101</v>
      </c>
      <c r="E61" s="65" t="n">
        <f aca="false">IFERROR(D61/D$73,0)</f>
        <v>0.0113598020470138</v>
      </c>
      <c r="F61" s="35" t="n">
        <f aca="false">①石川予測確定!P37</f>
        <v>61</v>
      </c>
      <c r="G61" s="65" t="n">
        <f aca="false">IFERROR(F61/F$73,0)</f>
        <v>0.0118423607066589</v>
      </c>
      <c r="H61" s="65" t="n">
        <f aca="false">E61*前提・入力!$B$31+G61*前提・入力!$B$32</f>
        <v>0.0116010813768364</v>
      </c>
      <c r="I61" s="35" t="n">
        <f aca="false">ROUND($H61*③仙台以降予測!$G$7,0)</f>
        <v>111</v>
      </c>
      <c r="J61" s="35" t="n">
        <f aca="false">ROUND($H61*③仙台以降予測!$G$8,0)</f>
        <v>102</v>
      </c>
      <c r="K61" s="35" t="n">
        <f aca="false">ROUND($H61*③仙台以降予測!$G$9,0)</f>
        <v>77</v>
      </c>
      <c r="L61" s="35" t="n">
        <f aca="false">ROUND($H61*③仙台以降予測!$G$10,0)</f>
        <v>425</v>
      </c>
      <c r="M61" s="35" t="n">
        <f aca="false">SUM(I61:L61)</f>
        <v>715</v>
      </c>
      <c r="N61" s="35" t="n">
        <v>927</v>
      </c>
      <c r="O61" s="35" t="n">
        <v>200</v>
      </c>
      <c r="P61" s="35" t="n">
        <v>727</v>
      </c>
      <c r="Q61" s="35" t="n">
        <f aca="false">IF(P61="",N61-O61,P61)</f>
        <v>727</v>
      </c>
      <c r="R61" s="35" t="n">
        <v>99</v>
      </c>
      <c r="S61" s="35" t="n">
        <v>0</v>
      </c>
      <c r="T61" s="35" t="n">
        <f aca="false">①石川予測確定!S37</f>
        <v>249</v>
      </c>
      <c r="U61" s="35" t="n">
        <f aca="false">①石川予測確定!P37</f>
        <v>61</v>
      </c>
      <c r="V61" s="35" t="n">
        <f aca="false">Q61+R61-S61-U61</f>
        <v>765</v>
      </c>
      <c r="W61" s="35" t="n">
        <v>0</v>
      </c>
      <c r="X61" s="38" t="n">
        <f aca="false">M61-V61-W61</f>
        <v>-50</v>
      </c>
      <c r="Y61" s="35" t="n">
        <f aca="false">MAX(0,X61)</f>
        <v>0</v>
      </c>
      <c r="Z61" s="35" t="n">
        <f aca="false">IF(Y61&gt;0,ROUNDUP(Y61*(1+前提・入力!$B$34),0),0)</f>
        <v>0</v>
      </c>
    </row>
    <row r="62" customFormat="false" ht="15" hidden="false" customHeight="false" outlineLevel="0" collapsed="false">
      <c r="A62" s="32" t="n">
        <v>32</v>
      </c>
      <c r="B62" s="32" t="s">
        <v>348</v>
      </c>
      <c r="C62" s="33" t="s">
        <v>349</v>
      </c>
      <c r="D62" s="35" t="n">
        <v>10</v>
      </c>
      <c r="E62" s="65" t="n">
        <f aca="false">IFERROR(D62/D$73,0)</f>
        <v>0.00112473287594196</v>
      </c>
      <c r="F62" s="35" t="n">
        <f aca="false">①石川予測確定!P38</f>
        <v>5</v>
      </c>
      <c r="G62" s="65" t="n">
        <f aca="false">IFERROR(F62/F$73,0)</f>
        <v>0.0009706853038245</v>
      </c>
      <c r="H62" s="65" t="n">
        <f aca="false">E62*前提・入力!$B$31+G62*前提・入力!$B$32</f>
        <v>0.00104770908988323</v>
      </c>
      <c r="I62" s="35" t="n">
        <f aca="false">ROUND($H62*③仙台以降予測!$G$7,0)</f>
        <v>10</v>
      </c>
      <c r="J62" s="35" t="n">
        <f aca="false">ROUND($H62*③仙台以降予測!$G$8,0)</f>
        <v>9</v>
      </c>
      <c r="K62" s="35" t="n">
        <f aca="false">ROUND($H62*③仙台以降予測!$G$9,0)</f>
        <v>7</v>
      </c>
      <c r="L62" s="35" t="n">
        <f aca="false">ROUND($H62*③仙台以降予測!$G$10,0)</f>
        <v>38</v>
      </c>
      <c r="M62" s="35" t="n">
        <f aca="false">SUM(I62:L62)</f>
        <v>64</v>
      </c>
      <c r="N62" s="35" t="n">
        <v>33</v>
      </c>
      <c r="O62" s="35" t="n">
        <v>10</v>
      </c>
      <c r="P62" s="35" t="n">
        <v>20</v>
      </c>
      <c r="Q62" s="35" t="n">
        <f aca="false">IF(P62="",N62-O62,P62)</f>
        <v>20</v>
      </c>
      <c r="R62" s="35" t="n">
        <v>0</v>
      </c>
      <c r="S62" s="35" t="n">
        <v>0</v>
      </c>
      <c r="T62" s="35" t="n">
        <f aca="false">①石川予測確定!S38</f>
        <v>5</v>
      </c>
      <c r="U62" s="35" t="n">
        <f aca="false">①石川予測確定!P38</f>
        <v>5</v>
      </c>
      <c r="V62" s="35" t="n">
        <f aca="false">Q62+R62-S62-U62</f>
        <v>15</v>
      </c>
      <c r="W62" s="35" t="n">
        <v>0</v>
      </c>
      <c r="X62" s="38" t="n">
        <f aca="false">M62-V62-W62</f>
        <v>49</v>
      </c>
      <c r="Y62" s="35" t="n">
        <f aca="false">MAX(0,X62)</f>
        <v>49</v>
      </c>
      <c r="Z62" s="35" t="n">
        <f aca="false">IF(Y62&gt;0,ROUNDUP(Y62*(1+前提・入力!$B$34),0),0)</f>
        <v>54</v>
      </c>
    </row>
    <row r="63" customFormat="false" ht="15" hidden="false" customHeight="false" outlineLevel="0" collapsed="false">
      <c r="A63" s="32" t="n">
        <v>33</v>
      </c>
      <c r="B63" s="32" t="s">
        <v>350</v>
      </c>
      <c r="C63" s="33" t="s">
        <v>351</v>
      </c>
      <c r="D63" s="35" t="n">
        <v>3</v>
      </c>
      <c r="E63" s="65" t="n">
        <f aca="false">IFERROR(D63/D$73,0)</f>
        <v>0.000337419862782589</v>
      </c>
      <c r="F63" s="35" t="n">
        <f aca="false">①石川予測確定!P39</f>
        <v>5</v>
      </c>
      <c r="G63" s="65" t="n">
        <f aca="false">IFERROR(F63/F$73,0)</f>
        <v>0.0009706853038245</v>
      </c>
      <c r="H63" s="65" t="n">
        <f aca="false">E63*前提・入力!$B$31+G63*前提・入力!$B$32</f>
        <v>0.000654052583303545</v>
      </c>
      <c r="I63" s="35" t="n">
        <f aca="false">ROUND($H63*③仙台以降予測!$G$7,0)</f>
        <v>6</v>
      </c>
      <c r="J63" s="35" t="n">
        <f aca="false">ROUND($H63*③仙台以降予測!$G$8,0)</f>
        <v>6</v>
      </c>
      <c r="K63" s="35" t="n">
        <f aca="false">ROUND($H63*③仙台以降予測!$G$9,0)</f>
        <v>4</v>
      </c>
      <c r="L63" s="35" t="n">
        <f aca="false">ROUND($H63*③仙台以降予測!$G$10,0)</f>
        <v>24</v>
      </c>
      <c r="M63" s="35" t="n">
        <f aca="false">SUM(I63:L63)</f>
        <v>40</v>
      </c>
      <c r="N63" s="35" t="n">
        <v>106</v>
      </c>
      <c r="O63" s="35" t="n">
        <v>15</v>
      </c>
      <c r="P63" s="35" t="n">
        <v>91</v>
      </c>
      <c r="Q63" s="35" t="n">
        <f aca="false">IF(P63="",N63-O63,P63)</f>
        <v>91</v>
      </c>
      <c r="R63" s="35" t="n">
        <v>12</v>
      </c>
      <c r="S63" s="35" t="n">
        <v>0</v>
      </c>
      <c r="T63" s="35" t="n">
        <f aca="false">①石川予測確定!S39</f>
        <v>21</v>
      </c>
      <c r="U63" s="35" t="n">
        <f aca="false">①石川予測確定!P39</f>
        <v>5</v>
      </c>
      <c r="V63" s="35" t="n">
        <f aca="false">Q63+R63-S63-U63</f>
        <v>98</v>
      </c>
      <c r="W63" s="35" t="n">
        <v>0</v>
      </c>
      <c r="X63" s="38" t="n">
        <f aca="false">M63-V63-W63</f>
        <v>-58</v>
      </c>
      <c r="Y63" s="35" t="n">
        <f aca="false">MAX(0,X63)</f>
        <v>0</v>
      </c>
      <c r="Z63" s="35" t="n">
        <f aca="false">IF(Y63&gt;0,ROUNDUP(Y63*(1+前提・入力!$B$34),0),0)</f>
        <v>0</v>
      </c>
    </row>
    <row r="64" customFormat="false" ht="15" hidden="false" customHeight="false" outlineLevel="0" collapsed="false">
      <c r="A64" s="32" t="n">
        <v>34</v>
      </c>
      <c r="B64" s="32" t="s">
        <v>352</v>
      </c>
      <c r="C64" s="33" t="s">
        <v>353</v>
      </c>
      <c r="D64" s="35" t="n">
        <v>2</v>
      </c>
      <c r="E64" s="65" t="n">
        <f aca="false">IFERROR(D64/D$73,0)</f>
        <v>0.000224946575188393</v>
      </c>
      <c r="F64" s="35" t="n">
        <f aca="false">①石川予測確定!P40</f>
        <v>1</v>
      </c>
      <c r="G64" s="65" t="n">
        <f aca="false">IFERROR(F64/F$73,0)</f>
        <v>0.0001941370607649</v>
      </c>
      <c r="H64" s="65" t="n">
        <f aca="false">E64*前提・入力!$B$31+G64*前提・入力!$B$32</f>
        <v>0.000209541817976646</v>
      </c>
      <c r="I64" s="35" t="n">
        <f aca="false">ROUND($H64*③仙台以降予測!$G$7,0)</f>
        <v>2</v>
      </c>
      <c r="J64" s="35" t="n">
        <f aca="false">ROUND($H64*③仙台以降予測!$G$8,0)</f>
        <v>2</v>
      </c>
      <c r="K64" s="35" t="n">
        <f aca="false">ROUND($H64*③仙台以降予測!$G$9,0)</f>
        <v>1</v>
      </c>
      <c r="L64" s="35" t="n">
        <f aca="false">ROUND($H64*③仙台以降予測!$G$10,0)</f>
        <v>8</v>
      </c>
      <c r="M64" s="35" t="n">
        <f aca="false">SUM(I64:L64)</f>
        <v>13</v>
      </c>
      <c r="N64" s="35" t="n">
        <v>4</v>
      </c>
      <c r="O64" s="35" t="n">
        <v>2</v>
      </c>
      <c r="P64" s="35" t="n">
        <v>2</v>
      </c>
      <c r="Q64" s="35" t="n">
        <f aca="false">IF(P64="",N64-O64,P64)</f>
        <v>2</v>
      </c>
      <c r="R64" s="35" t="n">
        <v>0</v>
      </c>
      <c r="S64" s="35" t="n">
        <v>0</v>
      </c>
      <c r="T64" s="35" t="n">
        <f aca="false">①石川予測確定!S40</f>
        <v>1</v>
      </c>
      <c r="U64" s="35" t="n">
        <f aca="false">①石川予測確定!P40</f>
        <v>1</v>
      </c>
      <c r="V64" s="35" t="n">
        <f aca="false">Q64+R64-S64-U64</f>
        <v>1</v>
      </c>
      <c r="W64" s="35" t="n">
        <v>0</v>
      </c>
      <c r="X64" s="38" t="n">
        <f aca="false">M64-V64-W64</f>
        <v>12</v>
      </c>
      <c r="Y64" s="35" t="n">
        <f aca="false">MAX(0,X64)</f>
        <v>12</v>
      </c>
      <c r="Z64" s="35" t="n">
        <f aca="false">IF(Y64&gt;0,ROUNDUP(Y64*(1+前提・入力!$B$34),0),0)</f>
        <v>14</v>
      </c>
    </row>
    <row r="65" customFormat="false" ht="15" hidden="false" customHeight="false" outlineLevel="0" collapsed="false">
      <c r="A65" s="32" t="n">
        <v>35</v>
      </c>
      <c r="B65" s="32" t="s">
        <v>354</v>
      </c>
      <c r="C65" s="33" t="s">
        <v>355</v>
      </c>
      <c r="D65" s="35" t="n">
        <v>1</v>
      </c>
      <c r="E65" s="65" t="n">
        <f aca="false">IFERROR(D65/D$73,0)</f>
        <v>0.000112473287594196</v>
      </c>
      <c r="F65" s="35" t="n">
        <f aca="false">①石川予測確定!P41</f>
        <v>1</v>
      </c>
      <c r="G65" s="65" t="n">
        <f aca="false">IFERROR(F65/F$73,0)</f>
        <v>0.0001941370607649</v>
      </c>
      <c r="H65" s="65" t="n">
        <f aca="false">E65*前提・入力!$B$31+G65*前提・入力!$B$32</f>
        <v>0.000153305174179548</v>
      </c>
      <c r="I65" s="35" t="n">
        <f aca="false">ROUND($H65*③仙台以降予測!$G$7,0)</f>
        <v>1</v>
      </c>
      <c r="J65" s="35" t="n">
        <f aca="false">ROUND($H65*③仙台以降予測!$G$8,0)</f>
        <v>1</v>
      </c>
      <c r="K65" s="35" t="n">
        <f aca="false">ROUND($H65*③仙台以降予測!$G$9,0)</f>
        <v>1</v>
      </c>
      <c r="L65" s="35" t="n">
        <f aca="false">ROUND($H65*③仙台以降予測!$G$10,0)</f>
        <v>6</v>
      </c>
      <c r="M65" s="35" t="n">
        <f aca="false">SUM(I65:L65)</f>
        <v>9</v>
      </c>
      <c r="N65" s="35" t="n">
        <v>4</v>
      </c>
      <c r="O65" s="35" t="n">
        <v>2</v>
      </c>
      <c r="P65" s="35" t="n">
        <v>2</v>
      </c>
      <c r="Q65" s="35" t="n">
        <f aca="false">IF(P65="",N65-O65,P65)</f>
        <v>2</v>
      </c>
      <c r="R65" s="35" t="n">
        <v>1</v>
      </c>
      <c r="S65" s="35" t="n">
        <v>0</v>
      </c>
      <c r="T65" s="35" t="n">
        <f aca="false">①石川予測確定!S41</f>
        <v>1</v>
      </c>
      <c r="U65" s="35" t="n">
        <f aca="false">①石川予測確定!P41</f>
        <v>1</v>
      </c>
      <c r="V65" s="35" t="n">
        <f aca="false">Q65+R65-S65-U65</f>
        <v>2</v>
      </c>
      <c r="W65" s="35" t="n">
        <v>0</v>
      </c>
      <c r="X65" s="38" t="n">
        <f aca="false">M65-V65-W65</f>
        <v>7</v>
      </c>
      <c r="Y65" s="35" t="n">
        <f aca="false">MAX(0,X65)</f>
        <v>7</v>
      </c>
      <c r="Z65" s="35" t="n">
        <f aca="false">IF(Y65&gt;0,ROUNDUP(Y65*(1+前提・入力!$B$34),0),0)</f>
        <v>8</v>
      </c>
    </row>
    <row r="66" customFormat="false" ht="15" hidden="false" customHeight="false" outlineLevel="0" collapsed="false">
      <c r="A66" s="32" t="n">
        <v>36</v>
      </c>
      <c r="B66" s="32" t="s">
        <v>356</v>
      </c>
      <c r="C66" s="33" t="s">
        <v>357</v>
      </c>
      <c r="D66" s="35" t="n">
        <v>1</v>
      </c>
      <c r="E66" s="65" t="n">
        <f aca="false">IFERROR(D66/D$73,0)</f>
        <v>0.000112473287594196</v>
      </c>
      <c r="F66" s="35" t="n">
        <f aca="false">①石川予測確定!P42</f>
        <v>1</v>
      </c>
      <c r="G66" s="65" t="n">
        <f aca="false">IFERROR(F66/F$73,0)</f>
        <v>0.0001941370607649</v>
      </c>
      <c r="H66" s="65" t="n">
        <f aca="false">E66*前提・入力!$B$31+G66*前提・入力!$B$32</f>
        <v>0.000153305174179548</v>
      </c>
      <c r="I66" s="35" t="n">
        <f aca="false">ROUND($H66*③仙台以降予測!$G$7,0)</f>
        <v>1</v>
      </c>
      <c r="J66" s="35" t="n">
        <f aca="false">ROUND($H66*③仙台以降予測!$G$8,0)</f>
        <v>1</v>
      </c>
      <c r="K66" s="35" t="n">
        <f aca="false">ROUND($H66*③仙台以降予測!$G$9,0)</f>
        <v>1</v>
      </c>
      <c r="L66" s="35" t="n">
        <f aca="false">ROUND($H66*③仙台以降予測!$G$10,0)</f>
        <v>6</v>
      </c>
      <c r="M66" s="35" t="n">
        <f aca="false">SUM(I66:L66)</f>
        <v>9</v>
      </c>
      <c r="N66" s="35" t="n">
        <v>4</v>
      </c>
      <c r="O66" s="35" t="n">
        <v>2</v>
      </c>
      <c r="P66" s="35" t="n">
        <v>2</v>
      </c>
      <c r="Q66" s="35" t="n">
        <f aca="false">IF(P66="",N66-O66,P66)</f>
        <v>2</v>
      </c>
      <c r="R66" s="35" t="n">
        <v>1</v>
      </c>
      <c r="S66" s="35" t="n">
        <v>0</v>
      </c>
      <c r="T66" s="35" t="n">
        <f aca="false">①石川予測確定!S42</f>
        <v>1</v>
      </c>
      <c r="U66" s="35" t="n">
        <f aca="false">①石川予測確定!P42</f>
        <v>1</v>
      </c>
      <c r="V66" s="35" t="n">
        <f aca="false">Q66+R66-S66-U66</f>
        <v>2</v>
      </c>
      <c r="W66" s="35" t="n">
        <v>0</v>
      </c>
      <c r="X66" s="38" t="n">
        <f aca="false">M66-V66-W66</f>
        <v>7</v>
      </c>
      <c r="Y66" s="35" t="n">
        <f aca="false">MAX(0,X66)</f>
        <v>7</v>
      </c>
      <c r="Z66" s="35" t="n">
        <f aca="false">IF(Y66&gt;0,ROUNDUP(Y66*(1+前提・入力!$B$34),0),0)</f>
        <v>8</v>
      </c>
    </row>
    <row r="67" customFormat="false" ht="15" hidden="false" customHeight="false" outlineLevel="0" collapsed="false">
      <c r="A67" s="32" t="n">
        <v>37</v>
      </c>
      <c r="B67" s="32" t="s">
        <v>358</v>
      </c>
      <c r="C67" s="33" t="s">
        <v>359</v>
      </c>
      <c r="D67" s="35" t="n">
        <v>1</v>
      </c>
      <c r="E67" s="65" t="n">
        <f aca="false">IFERROR(D67/D$73,0)</f>
        <v>0.000112473287594196</v>
      </c>
      <c r="F67" s="35" t="n">
        <f aca="false">①石川予測確定!P43</f>
        <v>5</v>
      </c>
      <c r="G67" s="65" t="n">
        <f aca="false">IFERROR(F67/F$73,0)</f>
        <v>0.0009706853038245</v>
      </c>
      <c r="H67" s="65" t="n">
        <f aca="false">E67*前提・入力!$B$31+G67*前提・入力!$B$32</f>
        <v>0.000541579295709348</v>
      </c>
      <c r="I67" s="35" t="n">
        <f aca="false">ROUND($H67*③仙台以降予測!$G$7,0)</f>
        <v>5</v>
      </c>
      <c r="J67" s="35" t="n">
        <f aca="false">ROUND($H67*③仙台以降予測!$G$8,0)</f>
        <v>5</v>
      </c>
      <c r="K67" s="35" t="n">
        <f aca="false">ROUND($H67*③仙台以降予測!$G$9,0)</f>
        <v>4</v>
      </c>
      <c r="L67" s="35" t="n">
        <f aca="false">ROUND($H67*③仙台以降予測!$G$10,0)</f>
        <v>20</v>
      </c>
      <c r="M67" s="35" t="n">
        <f aca="false">SUM(I67:L67)</f>
        <v>34</v>
      </c>
      <c r="N67" s="35" t="n">
        <v>43</v>
      </c>
      <c r="O67" s="35" t="n">
        <v>8</v>
      </c>
      <c r="P67" s="35" t="n">
        <v>26</v>
      </c>
      <c r="Q67" s="35" t="n">
        <f aca="false">IF(P67="",N67-O67,P67)</f>
        <v>26</v>
      </c>
      <c r="R67" s="35" t="n">
        <v>7</v>
      </c>
      <c r="S67" s="35" t="n">
        <v>0</v>
      </c>
      <c r="T67" s="35" t="n">
        <f aca="false">①石川予測確定!S43</f>
        <v>17</v>
      </c>
      <c r="U67" s="35" t="n">
        <f aca="false">①石川予測確定!P43</f>
        <v>5</v>
      </c>
      <c r="V67" s="35" t="n">
        <f aca="false">Q67+R67-S67-U67</f>
        <v>28</v>
      </c>
      <c r="W67" s="35" t="n">
        <v>0</v>
      </c>
      <c r="X67" s="38" t="n">
        <f aca="false">M67-V67-W67</f>
        <v>6</v>
      </c>
      <c r="Y67" s="35" t="n">
        <f aca="false">MAX(0,X67)</f>
        <v>6</v>
      </c>
      <c r="Z67" s="35" t="n">
        <f aca="false">IF(Y67&gt;0,ROUNDUP(Y67*(1+前提・入力!$B$34),0),0)</f>
        <v>7</v>
      </c>
    </row>
    <row r="68" customFormat="false" ht="15" hidden="false" customHeight="false" outlineLevel="0" collapsed="false">
      <c r="A68" s="32" t="n">
        <v>38</v>
      </c>
      <c r="B68" s="32" t="s">
        <v>360</v>
      </c>
      <c r="C68" s="33" t="s">
        <v>361</v>
      </c>
      <c r="D68" s="35" t="n">
        <v>2</v>
      </c>
      <c r="E68" s="65" t="n">
        <f aca="false">IFERROR(D68/D$73,0)</f>
        <v>0.000224946575188393</v>
      </c>
      <c r="F68" s="35" t="n">
        <f aca="false">①石川予測確定!P44</f>
        <v>1</v>
      </c>
      <c r="G68" s="65" t="n">
        <f aca="false">IFERROR(F68/F$73,0)</f>
        <v>0.0001941370607649</v>
      </c>
      <c r="H68" s="65" t="n">
        <f aca="false">E68*前提・入力!$B$31+G68*前提・入力!$B$32</f>
        <v>0.000209541817976646</v>
      </c>
      <c r="I68" s="35" t="n">
        <f aca="false">ROUND($H68*③仙台以降予測!$G$7,0)</f>
        <v>2</v>
      </c>
      <c r="J68" s="35" t="n">
        <f aca="false">ROUND($H68*③仙台以降予測!$G$8,0)</f>
        <v>2</v>
      </c>
      <c r="K68" s="35" t="n">
        <f aca="false">ROUND($H68*③仙台以降予測!$G$9,0)</f>
        <v>1</v>
      </c>
      <c r="L68" s="35" t="n">
        <f aca="false">ROUND($H68*③仙台以降予測!$G$10,0)</f>
        <v>8</v>
      </c>
      <c r="M68" s="35" t="n">
        <f aca="false">SUM(I68:L68)</f>
        <v>13</v>
      </c>
      <c r="N68" s="35" t="n">
        <v>4</v>
      </c>
      <c r="O68" s="35" t="n">
        <v>2</v>
      </c>
      <c r="P68" s="35" t="n">
        <v>2</v>
      </c>
      <c r="Q68" s="35" t="n">
        <f aca="false">IF(P68="",N68-O68,P68)</f>
        <v>2</v>
      </c>
      <c r="R68" s="35" t="n">
        <v>0</v>
      </c>
      <c r="S68" s="35" t="n">
        <v>0</v>
      </c>
      <c r="T68" s="35" t="n">
        <f aca="false">①石川予測確定!S44</f>
        <v>1</v>
      </c>
      <c r="U68" s="35" t="n">
        <f aca="false">①石川予測確定!P44</f>
        <v>1</v>
      </c>
      <c r="V68" s="35" t="n">
        <f aca="false">Q68+R68-S68-U68</f>
        <v>1</v>
      </c>
      <c r="W68" s="35" t="n">
        <v>0</v>
      </c>
      <c r="X68" s="38" t="n">
        <f aca="false">M68-V68-W68</f>
        <v>12</v>
      </c>
      <c r="Y68" s="35" t="n">
        <f aca="false">MAX(0,X68)</f>
        <v>12</v>
      </c>
      <c r="Z68" s="35" t="n">
        <f aca="false">IF(Y68&gt;0,ROUNDUP(Y68*(1+前提・入力!$B$34),0),0)</f>
        <v>14</v>
      </c>
    </row>
    <row r="69" customFormat="false" ht="15" hidden="false" customHeight="false" outlineLevel="0" collapsed="false">
      <c r="A69" s="32" t="n">
        <v>39</v>
      </c>
      <c r="B69" s="32" t="s">
        <v>362</v>
      </c>
      <c r="C69" s="33" t="s">
        <v>363</v>
      </c>
      <c r="D69" s="35" t="n">
        <v>2</v>
      </c>
      <c r="E69" s="65" t="n">
        <f aca="false">IFERROR(D69/D$73,0)</f>
        <v>0.000224946575188393</v>
      </c>
      <c r="F69" s="35" t="n">
        <f aca="false">①石川予測確定!P45</f>
        <v>2</v>
      </c>
      <c r="G69" s="65" t="n">
        <f aca="false">IFERROR(F69/F$73,0)</f>
        <v>0.0003882741215298</v>
      </c>
      <c r="H69" s="65" t="n">
        <f aca="false">E69*前提・入力!$B$31+G69*前提・入力!$B$32</f>
        <v>0.000306610348359096</v>
      </c>
      <c r="I69" s="35" t="n">
        <f aca="false">ROUND($H69*③仙台以降予測!$G$7,0)</f>
        <v>3</v>
      </c>
      <c r="J69" s="35" t="n">
        <f aca="false">ROUND($H69*③仙台以降予測!$G$8,0)</f>
        <v>3</v>
      </c>
      <c r="K69" s="35" t="n">
        <f aca="false">ROUND($H69*③仙台以降予測!$G$9,0)</f>
        <v>2</v>
      </c>
      <c r="L69" s="35" t="n">
        <f aca="false">ROUND($H69*③仙台以降予測!$G$10,0)</f>
        <v>11</v>
      </c>
      <c r="M69" s="35" t="n">
        <f aca="false">SUM(I69:L69)</f>
        <v>19</v>
      </c>
      <c r="N69" s="35" t="n">
        <v>5</v>
      </c>
      <c r="O69" s="35" t="n">
        <v>2</v>
      </c>
      <c r="P69" s="35" t="n">
        <v>2</v>
      </c>
      <c r="Q69" s="35" t="n">
        <f aca="false">IF(P69="",N69-O69,P69)</f>
        <v>2</v>
      </c>
      <c r="R69" s="35" t="n">
        <v>0</v>
      </c>
      <c r="S69" s="35" t="n">
        <v>0</v>
      </c>
      <c r="T69" s="35" t="n">
        <f aca="false">①石川予測確定!S45</f>
        <v>1</v>
      </c>
      <c r="U69" s="35" t="n">
        <f aca="false">①石川予測確定!P45</f>
        <v>2</v>
      </c>
      <c r="V69" s="35" t="n">
        <f aca="false">Q69+R69-S69-U69</f>
        <v>0</v>
      </c>
      <c r="W69" s="35" t="n">
        <v>0</v>
      </c>
      <c r="X69" s="38" t="n">
        <f aca="false">M69-V69-W69</f>
        <v>19</v>
      </c>
      <c r="Y69" s="35" t="n">
        <f aca="false">MAX(0,X69)</f>
        <v>19</v>
      </c>
      <c r="Z69" s="35" t="n">
        <f aca="false">IF(Y69&gt;0,ROUNDUP(Y69*(1+前提・入力!$B$34),0),0)</f>
        <v>21</v>
      </c>
    </row>
    <row r="70" customFormat="false" ht="15" hidden="false" customHeight="false" outlineLevel="0" collapsed="false">
      <c r="A70" s="32" t="n">
        <v>40</v>
      </c>
      <c r="B70" s="32" t="s">
        <v>364</v>
      </c>
      <c r="C70" s="33" t="s">
        <v>365</v>
      </c>
      <c r="D70" s="35" t="n">
        <v>0</v>
      </c>
      <c r="E70" s="65" t="n">
        <f aca="false">IFERROR(D70/D$73,0)</f>
        <v>0</v>
      </c>
      <c r="F70" s="35" t="n">
        <f aca="false">①石川予測確定!P46</f>
        <v>1</v>
      </c>
      <c r="G70" s="65" t="n">
        <f aca="false">IFERROR(F70/F$73,0)</f>
        <v>0.0001941370607649</v>
      </c>
      <c r="H70" s="65" t="n">
        <f aca="false">E70*前提・入力!$B$31+G70*前提・入力!$B$32</f>
        <v>9.706853038245E-005</v>
      </c>
      <c r="I70" s="35" t="n">
        <f aca="false">ROUND($H70*③仙台以降予測!$G$7,0)</f>
        <v>1</v>
      </c>
      <c r="J70" s="35" t="n">
        <f aca="false">ROUND($H70*③仙台以降予測!$G$8,0)</f>
        <v>1</v>
      </c>
      <c r="K70" s="35" t="n">
        <f aca="false">ROUND($H70*③仙台以降予測!$G$9,0)</f>
        <v>1</v>
      </c>
      <c r="L70" s="35" t="n">
        <f aca="false">ROUND($H70*③仙台以降予測!$G$10,0)</f>
        <v>4</v>
      </c>
      <c r="M70" s="35" t="n">
        <f aca="false">SUM(I70:L70)</f>
        <v>7</v>
      </c>
      <c r="N70" s="35" t="n">
        <v>4</v>
      </c>
      <c r="O70" s="35" t="n">
        <v>2</v>
      </c>
      <c r="P70" s="35" t="n">
        <v>2</v>
      </c>
      <c r="Q70" s="35" t="n">
        <f aca="false">IF(P70="",N70-O70,P70)</f>
        <v>2</v>
      </c>
      <c r="R70" s="35" t="n">
        <v>2</v>
      </c>
      <c r="S70" s="35" t="n">
        <v>0</v>
      </c>
      <c r="T70" s="35" t="n">
        <f aca="false">①石川予測確定!S46</f>
        <v>3</v>
      </c>
      <c r="U70" s="35" t="n">
        <f aca="false">①石川予測確定!P46</f>
        <v>1</v>
      </c>
      <c r="V70" s="35" t="n">
        <f aca="false">Q70+R70-S70-U70</f>
        <v>3</v>
      </c>
      <c r="W70" s="35" t="n">
        <v>0</v>
      </c>
      <c r="X70" s="38" t="n">
        <f aca="false">M70-V70-W70</f>
        <v>4</v>
      </c>
      <c r="Y70" s="35" t="n">
        <f aca="false">MAX(0,X70)</f>
        <v>4</v>
      </c>
      <c r="Z70" s="35" t="n">
        <f aca="false">IF(Y70&gt;0,ROUNDUP(Y70*(1+前提・入力!$B$34),0),0)</f>
        <v>5</v>
      </c>
    </row>
    <row r="71" customFormat="false" ht="15" hidden="false" customHeight="false" outlineLevel="0" collapsed="false">
      <c r="A71" s="32" t="n">
        <v>41</v>
      </c>
      <c r="B71" s="32" t="s">
        <v>366</v>
      </c>
      <c r="C71" s="33" t="s">
        <v>367</v>
      </c>
      <c r="D71" s="35" t="n">
        <v>0</v>
      </c>
      <c r="E71" s="65" t="n">
        <f aca="false">IFERROR(D71/D$73,0)</f>
        <v>0</v>
      </c>
      <c r="F71" s="35" t="n">
        <f aca="false">①石川予測確定!P47</f>
        <v>0</v>
      </c>
      <c r="G71" s="65" t="n">
        <f aca="false">IFERROR(F71/F$73,0)</f>
        <v>0</v>
      </c>
      <c r="H71" s="65" t="n">
        <f aca="false">E71*前提・入力!$B$31+G71*前提・入力!$B$32</f>
        <v>0</v>
      </c>
      <c r="I71" s="35" t="n">
        <f aca="false">ROUND($H71*③仙台以降予測!$G$7,0)</f>
        <v>0</v>
      </c>
      <c r="J71" s="35" t="n">
        <f aca="false">ROUND($H71*③仙台以降予測!$G$8,0)</f>
        <v>0</v>
      </c>
      <c r="K71" s="35" t="n">
        <f aca="false">ROUND($H71*③仙台以降予測!$G$9,0)</f>
        <v>0</v>
      </c>
      <c r="L71" s="35" t="n">
        <f aca="false">ROUND($H71*③仙台以降予測!$G$10,0)</f>
        <v>0</v>
      </c>
      <c r="M71" s="35" t="n">
        <f aca="false">SUM(I71:L71)</f>
        <v>0</v>
      </c>
      <c r="N71" s="35" t="n">
        <v>74</v>
      </c>
      <c r="O71" s="35" t="n">
        <v>4</v>
      </c>
      <c r="P71" s="35" t="n">
        <v>70</v>
      </c>
      <c r="Q71" s="35" t="n">
        <f aca="false">IF(P71="",N71-O71,P71)</f>
        <v>70</v>
      </c>
      <c r="R71" s="35" t="n">
        <v>4</v>
      </c>
      <c r="S71" s="35" t="n">
        <v>0</v>
      </c>
      <c r="T71" s="35" t="n">
        <f aca="false">①石川予測確定!S47</f>
        <v>14</v>
      </c>
      <c r="U71" s="35" t="n">
        <f aca="false">①石川予測確定!P47</f>
        <v>0</v>
      </c>
      <c r="V71" s="35" t="n">
        <f aca="false">Q71+R71-S71-U71</f>
        <v>74</v>
      </c>
      <c r="W71" s="35" t="n">
        <v>0</v>
      </c>
      <c r="X71" s="38" t="n">
        <f aca="false">M71-V71-W71</f>
        <v>-74</v>
      </c>
      <c r="Y71" s="35" t="n">
        <f aca="false">MAX(0,X71)</f>
        <v>0</v>
      </c>
      <c r="Z71" s="35" t="n">
        <f aca="false">IF(Y71&gt;0,ROUNDUP(Y71*(1+前提・入力!$B$34),0),0)</f>
        <v>0</v>
      </c>
    </row>
    <row r="72" customFormat="false" ht="15" hidden="false" customHeight="false" outlineLevel="0" collapsed="false">
      <c r="A72" s="32" t="n">
        <v>42</v>
      </c>
      <c r="B72" s="32" t="s">
        <v>368</v>
      </c>
      <c r="C72" s="33" t="s">
        <v>369</v>
      </c>
      <c r="D72" s="35" t="n">
        <v>1</v>
      </c>
      <c r="E72" s="65" t="n">
        <f aca="false">IFERROR(D72/D$73,0)</f>
        <v>0.000112473287594196</v>
      </c>
      <c r="F72" s="35" t="n">
        <f aca="false">①石川予測確定!P48</f>
        <v>0</v>
      </c>
      <c r="G72" s="65" t="n">
        <f aca="false">IFERROR(F72/F$73,0)</f>
        <v>0</v>
      </c>
      <c r="H72" s="65" t="n">
        <f aca="false">E72*前提・入力!$B$31+G72*前提・入力!$B$32</f>
        <v>5.62366437970982E-005</v>
      </c>
      <c r="I72" s="35" t="n">
        <f aca="false">ROUND($H72*③仙台以降予測!$G$7,0)</f>
        <v>1</v>
      </c>
      <c r="J72" s="35" t="n">
        <f aca="false">ROUND($H72*③仙台以降予測!$G$8,0)</f>
        <v>0</v>
      </c>
      <c r="K72" s="35" t="n">
        <f aca="false">ROUND($H72*③仙台以降予測!$G$9,0)</f>
        <v>0</v>
      </c>
      <c r="L72" s="35" t="n">
        <f aca="false">ROUND($H72*③仙台以降予測!$G$10,0)</f>
        <v>2</v>
      </c>
      <c r="M72" s="35" t="n">
        <f aca="false">SUM(I72:L72)</f>
        <v>3</v>
      </c>
      <c r="N72" s="35" t="n">
        <v>49</v>
      </c>
      <c r="O72" s="35" t="n">
        <v>6</v>
      </c>
      <c r="P72" s="35" t="n">
        <v>43</v>
      </c>
      <c r="Q72" s="35" t="n">
        <f aca="false">IF(P72="",N72-O72,P72)</f>
        <v>43</v>
      </c>
      <c r="R72" s="35" t="n">
        <v>5</v>
      </c>
      <c r="S72" s="35" t="n">
        <v>0</v>
      </c>
      <c r="T72" s="35" t="n">
        <f aca="false">①石川予測確定!S48</f>
        <v>15</v>
      </c>
      <c r="U72" s="35" t="n">
        <f aca="false">①石川予測確定!P48</f>
        <v>0</v>
      </c>
      <c r="V72" s="35" t="n">
        <f aca="false">Q72+R72-S72-U72</f>
        <v>48</v>
      </c>
      <c r="W72" s="35" t="n">
        <v>0</v>
      </c>
      <c r="X72" s="38" t="n">
        <f aca="false">M72-V72-W72</f>
        <v>-45</v>
      </c>
      <c r="Y72" s="35" t="n">
        <f aca="false">MAX(0,X72)</f>
        <v>0</v>
      </c>
      <c r="Z72" s="35" t="n">
        <f aca="false">IF(Y72&gt;0,ROUNDUP(Y72*(1+前提・入力!$B$34),0),0)</f>
        <v>0</v>
      </c>
    </row>
    <row r="73" customFormat="false" ht="15" hidden="false" customHeight="false" outlineLevel="0" collapsed="false">
      <c r="A73" s="40"/>
      <c r="B73" s="40"/>
      <c r="C73" s="41" t="s">
        <v>370</v>
      </c>
      <c r="D73" s="42" t="n">
        <f aca="false">SUM(D31:D72)</f>
        <v>8891</v>
      </c>
      <c r="E73" s="66" t="n">
        <f aca="false">SUM(E31:E72)</f>
        <v>1</v>
      </c>
      <c r="F73" s="42" t="n">
        <f aca="false">SUM(F31:F72)</f>
        <v>5151</v>
      </c>
      <c r="G73" s="66" t="n">
        <f aca="false">SUM(G31:G72)</f>
        <v>1</v>
      </c>
      <c r="H73" s="66" t="n">
        <f aca="false">SUM(H31:H72)</f>
        <v>1</v>
      </c>
      <c r="I73" s="42" t="n">
        <f aca="false">SUM(I31:I72)</f>
        <v>9536</v>
      </c>
      <c r="J73" s="42" t="n">
        <f aca="false">SUM(J31:J72)</f>
        <v>8800</v>
      </c>
      <c r="K73" s="42" t="n">
        <f aca="false">SUM(K31:K72)</f>
        <v>6602</v>
      </c>
      <c r="L73" s="42" t="n">
        <f aca="false">SUM(L31:L72)</f>
        <v>36679</v>
      </c>
      <c r="M73" s="42" t="n">
        <f aca="false">SUM(M31:M72)</f>
        <v>61617</v>
      </c>
      <c r="N73" s="42" t="n">
        <f aca="false">SUM(N31:N72)</f>
        <v>276521</v>
      </c>
      <c r="O73" s="42" t="n">
        <f aca="false">SUM(O31:O72)</f>
        <v>50506</v>
      </c>
      <c r="P73" s="42" t="n">
        <f aca="false">SUM(P31:P72)</f>
        <v>197802</v>
      </c>
      <c r="Q73" s="42" t="n">
        <f aca="false">SUM(Q31:Q72)</f>
        <v>197962</v>
      </c>
      <c r="R73" s="42" t="n">
        <f aca="false">SUM(R31:R72)</f>
        <v>41615</v>
      </c>
      <c r="S73" s="42" t="n">
        <f aca="false">SUM(S31:S72)</f>
        <v>0</v>
      </c>
      <c r="T73" s="42" t="n">
        <f aca="false">SUM(T31:T72)</f>
        <v>46928</v>
      </c>
      <c r="U73" s="42" t="n">
        <f aca="false">SUM(U31:U72)</f>
        <v>5151</v>
      </c>
      <c r="V73" s="42" t="n">
        <f aca="false">SUM(V31:V72)</f>
        <v>234426</v>
      </c>
      <c r="W73" s="42" t="n">
        <f aca="false">SUM(W31:W72)</f>
        <v>1200</v>
      </c>
      <c r="X73" s="42" t="n">
        <f aca="false">SUM(X31:X72)</f>
        <v>-174009</v>
      </c>
      <c r="Y73" s="42" t="n">
        <f aca="false">SUM(Y31:Y72)</f>
        <v>3384</v>
      </c>
      <c r="Z73" s="42" t="n">
        <f aca="false">SUM(Z31:Z72)</f>
        <v>3729</v>
      </c>
    </row>
  </sheetData>
  <conditionalFormatting sqref="Y31:Y72">
    <cfRule type="expression" priority="2" aboveAverage="0" equalAverage="0" bottom="0" percent="0" rank="0" text="" dxfId="3">
      <formula>$Y31&gt;0</formula>
    </cfRule>
  </conditionalFormatting>
  <conditionalFormatting sqref="X31:X72">
    <cfRule type="expression" priority="3" aboveAverage="0" equalAverage="0" bottom="0" percent="0" rank="0" text="" dxfId="3">
      <formula>$X31&gt;0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9"/>
    <col collapsed="false" customWidth="true" hidden="false" outlineLevel="0" max="5" min="5" style="0" width="10"/>
    <col collapsed="false" customWidth="true" hidden="false" outlineLevel="0" max="7" min="6" style="0" width="12"/>
    <col collapsed="false" customWidth="true" hidden="false" outlineLevel="0" max="8" min="8" style="0" width="10"/>
    <col collapsed="false" customWidth="true" hidden="false" outlineLevel="0" max="9" min="9" style="0" width="11"/>
    <col collapsed="false" customWidth="true" hidden="false" outlineLevel="0" max="10" min="10" style="0" width="15"/>
    <col collapsed="false" customWidth="true" hidden="false" outlineLevel="0" max="11" min="11" style="0" width="12"/>
    <col collapsed="false" customWidth="true" hidden="false" outlineLevel="0" max="12" min="12" style="0" width="11"/>
    <col collapsed="false" customWidth="true" hidden="false" outlineLevel="0" max="13" min="13" style="0" width="13"/>
    <col collapsed="false" customWidth="true" hidden="false" outlineLevel="0" max="15" min="14" style="0" width="11"/>
    <col collapsed="false" customWidth="true" hidden="false" outlineLevel="0" max="16" min="16" style="0" width="15"/>
    <col collapsed="false" customWidth="true" hidden="false" outlineLevel="0" max="17" min="17" style="0" width="12"/>
    <col collapsed="false" customWidth="true" hidden="false" outlineLevel="0" max="19" min="18" style="0" width="14"/>
    <col collapsed="false" customWidth="true" hidden="false" outlineLevel="0" max="20" min="20" style="0" width="20"/>
    <col collapsed="false" customWidth="true" hidden="false" outlineLevel="0" max="21" min="21" style="0" width="13"/>
    <col collapsed="false" customWidth="true" hidden="false" outlineLevel="0" max="22" min="22" style="0" width="12"/>
    <col collapsed="false" customWidth="true" hidden="false" outlineLevel="0" max="23" min="23" style="0" width="16"/>
    <col collapsed="false" customWidth="true" hidden="false" outlineLevel="0" max="24" min="24" style="0" width="10"/>
    <col collapsed="false" customWidth="true" hidden="false" outlineLevel="0" max="26" min="25" style="0" width="16"/>
    <col collapsed="false" customWidth="true" hidden="false" outlineLevel="0" max="27" min="27" style="0" width="50"/>
  </cols>
  <sheetData>
    <row r="1" customFormat="false" ht="20.1" hidden="false" customHeight="false" outlineLevel="0" collapsed="false">
      <c r="A1" s="1" t="s">
        <v>507</v>
      </c>
    </row>
    <row r="2" customFormat="false" ht="15" hidden="false" customHeight="false" outlineLevel="0" collapsed="false">
      <c r="A2" s="3" t="s">
        <v>508</v>
      </c>
    </row>
    <row r="3" customFormat="false" ht="15" hidden="false" customHeight="false" outlineLevel="0" collapsed="false">
      <c r="A3" s="3" t="s">
        <v>509</v>
      </c>
    </row>
    <row r="6" customFormat="false" ht="43.5" hidden="false" customHeight="true" outlineLevel="0" collapsed="false">
      <c r="A6" s="25" t="s">
        <v>263</v>
      </c>
      <c r="B6" s="25" t="s">
        <v>264</v>
      </c>
      <c r="C6" s="26" t="s">
        <v>265</v>
      </c>
      <c r="D6" s="26" t="s">
        <v>510</v>
      </c>
      <c r="E6" s="27" t="s">
        <v>511</v>
      </c>
      <c r="F6" s="27" t="s">
        <v>512</v>
      </c>
      <c r="G6" s="27" t="s">
        <v>513</v>
      </c>
      <c r="H6" s="27" t="s">
        <v>514</v>
      </c>
      <c r="I6" s="67" t="s">
        <v>515</v>
      </c>
      <c r="J6" s="67" t="s">
        <v>516</v>
      </c>
      <c r="K6" s="67" t="s">
        <v>517</v>
      </c>
      <c r="L6" s="49" t="s">
        <v>518</v>
      </c>
      <c r="M6" s="49" t="s">
        <v>519</v>
      </c>
      <c r="N6" s="49" t="s">
        <v>503</v>
      </c>
      <c r="O6" s="49" t="s">
        <v>520</v>
      </c>
      <c r="P6" s="49" t="s">
        <v>521</v>
      </c>
      <c r="Q6" s="49" t="s">
        <v>522</v>
      </c>
      <c r="R6" s="31" t="s">
        <v>523</v>
      </c>
      <c r="S6" s="31" t="s">
        <v>524</v>
      </c>
      <c r="T6" s="67" t="s">
        <v>525</v>
      </c>
      <c r="U6" s="67" t="s">
        <v>526</v>
      </c>
      <c r="V6" s="67" t="s">
        <v>527</v>
      </c>
      <c r="W6" s="67" t="s">
        <v>528</v>
      </c>
      <c r="X6" s="31" t="s">
        <v>529</v>
      </c>
      <c r="Y6" s="67" t="s">
        <v>530</v>
      </c>
      <c r="Z6" s="67" t="s">
        <v>531</v>
      </c>
      <c r="AA6" s="68" t="s">
        <v>429</v>
      </c>
    </row>
    <row r="7" customFormat="false" ht="15" hidden="false" customHeight="false" outlineLevel="0" collapsed="false">
      <c r="A7" s="32" t="n">
        <v>1</v>
      </c>
      <c r="B7" s="32" t="s">
        <v>286</v>
      </c>
      <c r="C7" s="33" t="s">
        <v>287</v>
      </c>
      <c r="D7" s="34" t="n">
        <v>500</v>
      </c>
      <c r="E7" s="35" t="n">
        <f aca="false">①石川予測確定!E7</f>
        <v>210</v>
      </c>
      <c r="F7" s="35" t="n">
        <f aca="false">①石川予測確定!P7</f>
        <v>272</v>
      </c>
      <c r="G7" s="35" t="n">
        <f aca="false">①石川予測確定!S7</f>
        <v>693</v>
      </c>
      <c r="H7" s="37" t="n">
        <f aca="false">IFERROR(F7/G7,0)</f>
        <v>0.392496392496393</v>
      </c>
      <c r="I7" s="38" t="n">
        <f aca="false">F7-G7</f>
        <v>-421</v>
      </c>
      <c r="J7" s="39" t="str">
        <f aca="false">IF(I7&gt;0,"要 追加発注",IF(H7&gt;=0.9,"要注意(90%超)",IF(H7&gt;=0.5,"適正","在庫余剰")))</f>
        <v>在庫余剰</v>
      </c>
      <c r="K7" s="35" t="n">
        <f aca="false">IF(I7&gt;0,ROUNDUP(I7*(1+前提・入力!$B$34),0),0)</f>
        <v>0</v>
      </c>
      <c r="L7" s="35" t="n">
        <f aca="false">③仙台以降予測!M31</f>
        <v>3384</v>
      </c>
      <c r="M7" s="35" t="n">
        <f aca="false">③仙台以降予測!V31</f>
        <v>2489</v>
      </c>
      <c r="N7" s="35" t="n">
        <f aca="false">③仙台以降予測!W31</f>
        <v>0</v>
      </c>
      <c r="O7" s="38" t="n">
        <f aca="false">L7-M7-N7</f>
        <v>895</v>
      </c>
      <c r="P7" s="39" t="str">
        <f aca="false">IF(O7&gt;0,"要 追加生産",IF(L7=0,"—","在庫で充足"))</f>
        <v>要 追加生産</v>
      </c>
      <c r="Q7" s="35" t="n">
        <f aca="false">③仙台以降予測!Z31</f>
        <v>985</v>
      </c>
      <c r="R7" s="35" t="n">
        <f aca="false">K7+Q7</f>
        <v>985</v>
      </c>
      <c r="S7" s="34" t="n">
        <f aca="false">R7*D7</f>
        <v>492500</v>
      </c>
      <c r="T7" s="69" t="s">
        <v>386</v>
      </c>
      <c r="U7" s="70" t="n">
        <f aca="false">DATE(2027,4,1)-30-前提・入力!$B$37</f>
        <v>46434</v>
      </c>
      <c r="V7" s="71" t="n">
        <f aca="false">IF(OR(U7="",U7="再生産不可"),"",U7-前提・入力!$B$38)</f>
        <v>174</v>
      </c>
      <c r="W7" s="69" t="str">
        <f aca="false">IF(T7="—","—",IF(U7="再生産不可","×再生産不可",_xlfn.IFS(V7&lt;0,"★期限超過",V7&lt;=30,"★至急(30日以内)",V7&lt;=90,"要着手(90日以内)",TRUE(),"余裕あり")))</f>
        <v>余裕あり</v>
      </c>
      <c r="X7" s="32" t="str">
        <f aca="false">IF(Y7&lt;&gt;"",IF(FALSE(),"S:現場欠品(追納不可)","S:現場欠品"),IF(I7&gt;0,"A:会期中欠品",IF(O7&gt;1000,"B:大口",IF(O7&gt;0,"C:通常","D:不要"))))</f>
        <v>C:通常</v>
      </c>
      <c r="Y7" s="72"/>
      <c r="Z7" s="72" t="str">
        <f aca="false">IF(Y7&lt;&gt;"",IF(I7&gt;0,"◎ 一致（モデルも会期中欠品を検知）",IF(H7&gt;=0.7,"○ 整合（予測消化率70%超）","△ モデル未検知：現場報告を優先")),IF(I7&gt;0,"▲ モデルのみ検知：現場に在庫状況を確認","—"))</f>
        <v>—</v>
      </c>
      <c r="AA7" s="69" t="s">
        <v>532</v>
      </c>
    </row>
    <row r="8" customFormat="false" ht="15" hidden="false" customHeight="false" outlineLevel="0" collapsed="false">
      <c r="A8" s="32" t="n">
        <v>2</v>
      </c>
      <c r="B8" s="32" t="s">
        <v>288</v>
      </c>
      <c r="C8" s="33" t="s">
        <v>289</v>
      </c>
      <c r="D8" s="34" t="n">
        <v>600</v>
      </c>
      <c r="E8" s="35" t="n">
        <f aca="false">①石川予測確定!E8</f>
        <v>250</v>
      </c>
      <c r="F8" s="35" t="n">
        <f aca="false">①石川予測確定!P8</f>
        <v>325</v>
      </c>
      <c r="G8" s="35" t="n">
        <f aca="false">①石川予測確定!S8</f>
        <v>659</v>
      </c>
      <c r="H8" s="37" t="n">
        <f aca="false">IFERROR(F8/G8,0)</f>
        <v>0.493171471927162</v>
      </c>
      <c r="I8" s="38" t="n">
        <f aca="false">F8-G8</f>
        <v>-334</v>
      </c>
      <c r="J8" s="39" t="str">
        <f aca="false">IF(I8&gt;0,"要 追加発注",IF(H8&gt;=0.9,"要注意(90%超)",IF(H8&gt;=0.5,"適正","在庫余剰")))</f>
        <v>在庫余剰</v>
      </c>
      <c r="K8" s="35" t="n">
        <f aca="false">IF(I8&gt;0,ROUNDUP(I8*(1+前提・入力!$B$34),0),0)</f>
        <v>0</v>
      </c>
      <c r="L8" s="35" t="n">
        <f aca="false">③仙台以降予測!M32</f>
        <v>3818</v>
      </c>
      <c r="M8" s="35" t="n">
        <f aca="false">③仙台以降予測!V32</f>
        <v>4170</v>
      </c>
      <c r="N8" s="35" t="n">
        <f aca="false">③仙台以降予測!W32</f>
        <v>0</v>
      </c>
      <c r="O8" s="38" t="n">
        <f aca="false">L8-M8-N8</f>
        <v>-352</v>
      </c>
      <c r="P8" s="39" t="str">
        <f aca="false">IF(O8&gt;0,"要 追加生産",IF(L8=0,"—","在庫で充足"))</f>
        <v>在庫で充足</v>
      </c>
      <c r="Q8" s="35" t="n">
        <f aca="false">③仙台以降予測!Z32</f>
        <v>0</v>
      </c>
      <c r="R8" s="35" t="n">
        <f aca="false">K8+Q8</f>
        <v>0</v>
      </c>
      <c r="S8" s="34" t="n">
        <f aca="false">R8*D8</f>
        <v>0</v>
      </c>
      <c r="T8" s="72" t="s">
        <v>533</v>
      </c>
      <c r="U8" s="32"/>
      <c r="V8" s="71" t="str">
        <f aca="false">IF(OR(U8="",U8="再生産不可"),"",U8-前提・入力!$B$38)</f>
        <v/>
      </c>
      <c r="W8" s="69" t="str">
        <f aca="false">IF(T8="—","—",IF(U8="再生産不可","×再生産不可",_xlfn.IFS(V8&lt;0,"★期限超過",V8&lt;=30,"★至急(30日以内)",V8&lt;=90,"要着手(90日以内)",TRUE(),"余裕あり")))</f>
        <v>—</v>
      </c>
      <c r="X8" s="32" t="str">
        <f aca="false">IF(Y8&lt;&gt;"",IF(FALSE(),"S:現場欠品(追納不可)","S:現場欠品"),IF(I8&gt;0,"A:会期中欠品",IF(O8&gt;1000,"B:大口",IF(O8&gt;0,"C:通常","D:不要"))))</f>
        <v>D:不要</v>
      </c>
      <c r="Y8" s="72"/>
      <c r="Z8" s="72" t="str">
        <f aca="false">IF(Y8&lt;&gt;"",IF(I8&gt;0,"◎ 一致（モデルも会期中欠品を検知）",IF(H8&gt;=0.7,"○ 整合（予測消化率70%超）","△ モデル未検知：現場報告を優先")),IF(I8&gt;0,"▲ モデルのみ検知：現場に在庫状況を確認","—"))</f>
        <v>—</v>
      </c>
      <c r="AA8" s="69"/>
    </row>
    <row r="9" customFormat="false" ht="15" hidden="false" customHeight="false" outlineLevel="0" collapsed="false">
      <c r="A9" s="32" t="n">
        <v>3</v>
      </c>
      <c r="B9" s="32" t="s">
        <v>290</v>
      </c>
      <c r="C9" s="33" t="s">
        <v>291</v>
      </c>
      <c r="D9" s="34" t="n">
        <v>1000</v>
      </c>
      <c r="E9" s="35" t="n">
        <f aca="false">①石川予測確定!E9</f>
        <v>92</v>
      </c>
      <c r="F9" s="35" t="n">
        <f aca="false">①石川予測確定!P9</f>
        <v>118</v>
      </c>
      <c r="G9" s="35" t="n">
        <f aca="false">①石川予測確定!S9</f>
        <v>381</v>
      </c>
      <c r="H9" s="37" t="n">
        <f aca="false">IFERROR(F9/G9,0)</f>
        <v>0.309711286089239</v>
      </c>
      <c r="I9" s="38" t="n">
        <f aca="false">F9-G9</f>
        <v>-263</v>
      </c>
      <c r="J9" s="39" t="str">
        <f aca="false">IF(I9&gt;0,"要 追加発注",IF(H9&gt;=0.9,"要注意(90%超)",IF(H9&gt;=0.5,"適正","在庫余剰")))</f>
        <v>在庫余剰</v>
      </c>
      <c r="K9" s="35" t="n">
        <f aca="false">IF(I9&gt;0,ROUNDUP(I9*(1+前提・入力!$B$34),0),0)</f>
        <v>0</v>
      </c>
      <c r="L9" s="35" t="n">
        <f aca="false">③仙台以降予測!M33</f>
        <v>1291</v>
      </c>
      <c r="M9" s="35" t="n">
        <f aca="false">③仙台以降予測!V33</f>
        <v>1857</v>
      </c>
      <c r="N9" s="35" t="n">
        <f aca="false">③仙台以降予測!W33</f>
        <v>0</v>
      </c>
      <c r="O9" s="38" t="n">
        <f aca="false">L9-M9-N9</f>
        <v>-566</v>
      </c>
      <c r="P9" s="39" t="str">
        <f aca="false">IF(O9&gt;0,"要 追加生産",IF(L9=0,"—","在庫で充足"))</f>
        <v>在庫で充足</v>
      </c>
      <c r="Q9" s="35" t="n">
        <f aca="false">③仙台以降予測!Z33</f>
        <v>0</v>
      </c>
      <c r="R9" s="35" t="n">
        <f aca="false">K9+Q9</f>
        <v>0</v>
      </c>
      <c r="S9" s="34" t="n">
        <f aca="false">R9*D9</f>
        <v>0</v>
      </c>
      <c r="T9" s="72" t="s">
        <v>533</v>
      </c>
      <c r="U9" s="32"/>
      <c r="V9" s="71" t="str">
        <f aca="false">IF(OR(U9="",U9="再生産不可"),"",U9-前提・入力!$B$38)</f>
        <v/>
      </c>
      <c r="W9" s="69" t="str">
        <f aca="false">IF(T9="—","—",IF(U9="再生産不可","×再生産不可",_xlfn.IFS(V9&lt;0,"★期限超過",V9&lt;=30,"★至急(30日以内)",V9&lt;=90,"要着手(90日以内)",TRUE(),"余裕あり")))</f>
        <v>—</v>
      </c>
      <c r="X9" s="32" t="str">
        <f aca="false">IF(Y9&lt;&gt;"",IF(FALSE(),"S:現場欠品(追納不可)","S:現場欠品"),IF(I9&gt;0,"A:会期中欠品",IF(O9&gt;1000,"B:大口",IF(O9&gt;0,"C:通常","D:不要"))))</f>
        <v>D:不要</v>
      </c>
      <c r="Y9" s="72"/>
      <c r="Z9" s="72" t="str">
        <f aca="false">IF(Y9&lt;&gt;"",IF(I9&gt;0,"◎ 一致（モデルも会期中欠品を検知）",IF(H9&gt;=0.7,"○ 整合（予測消化率70%超）","△ モデル未検知：現場報告を優先")),IF(I9&gt;0,"▲ モデルのみ検知：現場に在庫状況を確認","—"))</f>
        <v>—</v>
      </c>
      <c r="AA9" s="69"/>
    </row>
    <row r="10" customFormat="false" ht="15" hidden="false" customHeight="false" outlineLevel="0" collapsed="false">
      <c r="A10" s="32" t="n">
        <v>4</v>
      </c>
      <c r="B10" s="32" t="s">
        <v>292</v>
      </c>
      <c r="C10" s="33" t="s">
        <v>293</v>
      </c>
      <c r="D10" s="34" t="n">
        <v>1800</v>
      </c>
      <c r="E10" s="35" t="n">
        <f aca="false">①石川予測確定!E10</f>
        <v>110</v>
      </c>
      <c r="F10" s="35" t="n">
        <f aca="false">①石川予測確定!P10</f>
        <v>134</v>
      </c>
      <c r="G10" s="35" t="n">
        <f aca="false">①石川予測確定!S10</f>
        <v>772</v>
      </c>
      <c r="H10" s="37" t="n">
        <f aca="false">IFERROR(F10/G10,0)</f>
        <v>0.173575129533679</v>
      </c>
      <c r="I10" s="38" t="n">
        <f aca="false">F10-G10</f>
        <v>-638</v>
      </c>
      <c r="J10" s="39" t="str">
        <f aca="false">IF(I10&gt;0,"要 追加発注",IF(H10&gt;=0.9,"要注意(90%超)",IF(H10&gt;=0.5,"適正","在庫余剰")))</f>
        <v>在庫余剰</v>
      </c>
      <c r="K10" s="35" t="n">
        <f aca="false">IF(I10&gt;0,ROUNDUP(I10*(1+前提・入力!$B$34),0),0)</f>
        <v>0</v>
      </c>
      <c r="L10" s="35" t="n">
        <f aca="false">③仙台以降予測!M34</f>
        <v>1591</v>
      </c>
      <c r="M10" s="35" t="n">
        <f aca="false">③仙台以降予測!V34</f>
        <v>3153</v>
      </c>
      <c r="N10" s="35" t="n">
        <f aca="false">③仙台以降予測!W34</f>
        <v>0</v>
      </c>
      <c r="O10" s="38" t="n">
        <f aca="false">L10-M10-N10</f>
        <v>-1562</v>
      </c>
      <c r="P10" s="39" t="str">
        <f aca="false">IF(O10&gt;0,"要 追加生産",IF(L10=0,"—","在庫で充足"))</f>
        <v>在庫で充足</v>
      </c>
      <c r="Q10" s="35" t="n">
        <f aca="false">③仙台以降予測!Z34</f>
        <v>0</v>
      </c>
      <c r="R10" s="35" t="n">
        <f aca="false">K10+Q10</f>
        <v>0</v>
      </c>
      <c r="S10" s="34" t="n">
        <f aca="false">R10*D10</f>
        <v>0</v>
      </c>
      <c r="T10" s="72" t="s">
        <v>533</v>
      </c>
      <c r="U10" s="32"/>
      <c r="V10" s="71" t="str">
        <f aca="false">IF(OR(U10="",U10="再生産不可"),"",U10-前提・入力!$B$38)</f>
        <v/>
      </c>
      <c r="W10" s="69" t="str">
        <f aca="false">IF(T10="—","—",IF(U10="再生産不可","×再生産不可",_xlfn.IFS(V10&lt;0,"★期限超過",V10&lt;=30,"★至急(30日以内)",V10&lt;=90,"要着手(90日以内)",TRUE(),"余裕あり")))</f>
        <v>—</v>
      </c>
      <c r="X10" s="32" t="str">
        <f aca="false">IF(Y10&lt;&gt;"",IF(FALSE(),"S:現場欠品(追納不可)","S:現場欠品"),IF(I10&gt;0,"A:会期中欠品",IF(O10&gt;1000,"B:大口",IF(O10&gt;0,"C:通常","D:不要"))))</f>
        <v>D:不要</v>
      </c>
      <c r="Y10" s="72"/>
      <c r="Z10" s="72" t="str">
        <f aca="false">IF(Y10&lt;&gt;"",IF(I10&gt;0,"◎ 一致（モデルも会期中欠品を検知）",IF(H10&gt;=0.7,"○ 整合（予測消化率70%超）","△ モデル未検知：現場報告を優先")),IF(I10&gt;0,"▲ モデルのみ検知：現場に在庫状況を確認","—"))</f>
        <v>—</v>
      </c>
      <c r="AA10" s="69"/>
    </row>
    <row r="11" customFormat="false" ht="15" hidden="false" customHeight="false" outlineLevel="0" collapsed="false">
      <c r="A11" s="32" t="n">
        <v>5</v>
      </c>
      <c r="B11" s="32" t="s">
        <v>294</v>
      </c>
      <c r="C11" s="33" t="s">
        <v>295</v>
      </c>
      <c r="D11" s="34" t="n">
        <v>600</v>
      </c>
      <c r="E11" s="35" t="n">
        <f aca="false">①石川予測確定!E11</f>
        <v>226</v>
      </c>
      <c r="F11" s="35" t="n">
        <f aca="false">①石川予測確定!P11</f>
        <v>293</v>
      </c>
      <c r="G11" s="35" t="n">
        <f aca="false">①石川予測確定!S11</f>
        <v>8790</v>
      </c>
      <c r="H11" s="37" t="n">
        <f aca="false">IFERROR(F11/G11,0)</f>
        <v>0.0333333333333333</v>
      </c>
      <c r="I11" s="38" t="n">
        <f aca="false">F11-G11</f>
        <v>-8497</v>
      </c>
      <c r="J11" s="39" t="str">
        <f aca="false">IF(I11&gt;0,"要 追加発注",IF(H11&gt;=0.9,"要注意(90%超)",IF(H11&gt;=0.5,"適正","在庫余剰")))</f>
        <v>在庫余剰</v>
      </c>
      <c r="K11" s="35" t="n">
        <f aca="false">IF(I11&gt;0,ROUNDUP(I11*(1+前提・入力!$B$34),0),0)</f>
        <v>0</v>
      </c>
      <c r="L11" s="35" t="n">
        <f aca="false">③仙台以降予測!M35</f>
        <v>3173</v>
      </c>
      <c r="M11" s="35" t="n">
        <f aca="false">③仙台以降予測!V35</f>
        <v>39392</v>
      </c>
      <c r="N11" s="35" t="n">
        <f aca="false">③仙台以降予測!W35</f>
        <v>0</v>
      </c>
      <c r="O11" s="38" t="n">
        <f aca="false">L11-M11-N11</f>
        <v>-36219</v>
      </c>
      <c r="P11" s="39" t="str">
        <f aca="false">IF(O11&gt;0,"要 追加生産",IF(L11=0,"—","在庫で充足"))</f>
        <v>在庫で充足</v>
      </c>
      <c r="Q11" s="35" t="n">
        <f aca="false">③仙台以降予測!Z35</f>
        <v>0</v>
      </c>
      <c r="R11" s="35" t="n">
        <f aca="false">K11+Q11</f>
        <v>0</v>
      </c>
      <c r="S11" s="34" t="n">
        <f aca="false">R11*D11</f>
        <v>0</v>
      </c>
      <c r="T11" s="72" t="s">
        <v>533</v>
      </c>
      <c r="U11" s="32"/>
      <c r="V11" s="71" t="str">
        <f aca="false">IF(OR(U11="",U11="再生産不可"),"",U11-前提・入力!$B$38)</f>
        <v/>
      </c>
      <c r="W11" s="69" t="str">
        <f aca="false">IF(T11="—","—",IF(U11="再生産不可","×再生産不可",_xlfn.IFS(V11&lt;0,"★期限超過",V11&lt;=30,"★至急(30日以内)",V11&lt;=90,"要着手(90日以内)",TRUE(),"余裕あり")))</f>
        <v>—</v>
      </c>
      <c r="X11" s="32" t="str">
        <f aca="false">IF(Y11&lt;&gt;"",IF(FALSE(),"S:現場欠品(追納不可)","S:現場欠品"),IF(I11&gt;0,"A:会期中欠品",IF(O11&gt;1000,"B:大口",IF(O11&gt;0,"C:通常","D:不要"))))</f>
        <v>D:不要</v>
      </c>
      <c r="Y11" s="72"/>
      <c r="Z11" s="72" t="str">
        <f aca="false">IF(Y11&lt;&gt;"",IF(I11&gt;0,"◎ 一致（モデルも会期中欠品を検知）",IF(H11&gt;=0.7,"○ 整合（予測消化率70%超）","△ モデル未検知：現場報告を優先")),IF(I11&gt;0,"▲ モデルのみ検知：現場に在庫状況を確認","—"))</f>
        <v>—</v>
      </c>
      <c r="AA11" s="69" t="s">
        <v>532</v>
      </c>
    </row>
    <row r="12" customFormat="false" ht="15" hidden="false" customHeight="false" outlineLevel="0" collapsed="false">
      <c r="A12" s="32" t="n">
        <v>6</v>
      </c>
      <c r="B12" s="32" t="s">
        <v>296</v>
      </c>
      <c r="C12" s="33" t="s">
        <v>297</v>
      </c>
      <c r="D12" s="34" t="n">
        <v>600</v>
      </c>
      <c r="E12" s="35" t="n">
        <f aca="false">①石川予測確定!E12</f>
        <v>439</v>
      </c>
      <c r="F12" s="35" t="n">
        <f aca="false">①石川予測確定!P12</f>
        <v>565</v>
      </c>
      <c r="G12" s="35" t="n">
        <f aca="false">①石川予測確定!S12</f>
        <v>13249</v>
      </c>
      <c r="H12" s="37" t="n">
        <f aca="false">IFERROR(F12/G12,0)</f>
        <v>0.0426447279039928</v>
      </c>
      <c r="I12" s="38" t="n">
        <f aca="false">F12-G12</f>
        <v>-12684</v>
      </c>
      <c r="J12" s="39" t="str">
        <f aca="false">IF(I12&gt;0,"要 追加発注",IF(H12&gt;=0.9,"要注意(90%超)",IF(H12&gt;=0.5,"適正","在庫余剰")))</f>
        <v>在庫余剰</v>
      </c>
      <c r="K12" s="35" t="n">
        <f aca="false">IF(I12&gt;0,ROUNDUP(I12*(1+前提・入力!$B$34),0),0)</f>
        <v>0</v>
      </c>
      <c r="L12" s="35" t="n">
        <f aca="false">③仙台以降予測!M36</f>
        <v>6991</v>
      </c>
      <c r="M12" s="35" t="n">
        <f aca="false">③仙台以降予測!V36</f>
        <v>50228</v>
      </c>
      <c r="N12" s="35" t="n">
        <f aca="false">③仙台以降予測!W36</f>
        <v>0</v>
      </c>
      <c r="O12" s="38" t="n">
        <f aca="false">L12-M12-N12</f>
        <v>-43237</v>
      </c>
      <c r="P12" s="39" t="str">
        <f aca="false">IF(O12&gt;0,"要 追加生産",IF(L12=0,"—","在庫で充足"))</f>
        <v>在庫で充足</v>
      </c>
      <c r="Q12" s="35" t="n">
        <f aca="false">③仙台以降予測!Z36</f>
        <v>0</v>
      </c>
      <c r="R12" s="35" t="n">
        <f aca="false">K12+Q12</f>
        <v>0</v>
      </c>
      <c r="S12" s="34" t="n">
        <f aca="false">R12*D12</f>
        <v>0</v>
      </c>
      <c r="T12" s="72" t="s">
        <v>533</v>
      </c>
      <c r="U12" s="32"/>
      <c r="V12" s="71" t="str">
        <f aca="false">IF(OR(U12="",U12="再生産不可"),"",U12-前提・入力!$B$38)</f>
        <v/>
      </c>
      <c r="W12" s="69" t="str">
        <f aca="false">IF(T12="—","—",IF(U12="再生産不可","×再生産不可",_xlfn.IFS(V12&lt;0,"★期限超過",V12&lt;=30,"★至急(30日以内)",V12&lt;=90,"要着手(90日以内)",TRUE(),"余裕あり")))</f>
        <v>—</v>
      </c>
      <c r="X12" s="32" t="str">
        <f aca="false">IF(Y12&lt;&gt;"",IF(FALSE(),"S:現場欠品(追納不可)","S:現場欠品"),IF(I12&gt;0,"A:会期中欠品",IF(O12&gt;1000,"B:大口",IF(O12&gt;0,"C:通常","D:不要"))))</f>
        <v>D:不要</v>
      </c>
      <c r="Y12" s="72"/>
      <c r="Z12" s="72" t="str">
        <f aca="false">IF(Y12&lt;&gt;"",IF(I12&gt;0,"◎ 一致（モデルも会期中欠品を検知）",IF(H12&gt;=0.7,"○ 整合（予測消化率70%超）","△ モデル未検知：現場報告を優先")),IF(I12&gt;0,"▲ モデルのみ検知：現場に在庫状況を確認","—"))</f>
        <v>—</v>
      </c>
      <c r="AA12" s="69" t="s">
        <v>532</v>
      </c>
    </row>
    <row r="13" customFormat="false" ht="15" hidden="false" customHeight="false" outlineLevel="0" collapsed="false">
      <c r="A13" s="32" t="n">
        <v>7</v>
      </c>
      <c r="B13" s="32" t="s">
        <v>298</v>
      </c>
      <c r="C13" s="33" t="s">
        <v>299</v>
      </c>
      <c r="D13" s="34" t="n">
        <v>600</v>
      </c>
      <c r="E13" s="35" t="n">
        <f aca="false">①石川予測確定!E13</f>
        <v>130</v>
      </c>
      <c r="F13" s="35" t="n">
        <f aca="false">①石川予測確定!P13</f>
        <v>165</v>
      </c>
      <c r="G13" s="35" t="n">
        <f aca="false">①石川予測確定!S13</f>
        <v>463</v>
      </c>
      <c r="H13" s="37" t="n">
        <f aca="false">IFERROR(F13/G13,0)</f>
        <v>0.356371490280778</v>
      </c>
      <c r="I13" s="38" t="n">
        <f aca="false">F13-G13</f>
        <v>-298</v>
      </c>
      <c r="J13" s="39" t="str">
        <f aca="false">IF(I13&gt;0,"要 追加発注",IF(H13&gt;=0.9,"要注意(90%超)",IF(H13&gt;=0.5,"適正","在庫余剰")))</f>
        <v>在庫余剰</v>
      </c>
      <c r="K13" s="35" t="n">
        <f aca="false">IF(I13&gt;0,ROUNDUP(I13*(1+前提・入力!$B$34),0),0)</f>
        <v>0</v>
      </c>
      <c r="L13" s="35" t="n">
        <f aca="false">③仙台以降予測!M37</f>
        <v>1635</v>
      </c>
      <c r="M13" s="35" t="n">
        <f aca="false">③仙台以降予測!V37</f>
        <v>4249</v>
      </c>
      <c r="N13" s="35" t="n">
        <f aca="false">③仙台以降予測!W37</f>
        <v>0</v>
      </c>
      <c r="O13" s="38" t="n">
        <f aca="false">L13-M13-N13</f>
        <v>-2614</v>
      </c>
      <c r="P13" s="39" t="str">
        <f aca="false">IF(O13&gt;0,"要 追加生産",IF(L13=0,"—","在庫で充足"))</f>
        <v>在庫で充足</v>
      </c>
      <c r="Q13" s="35" t="n">
        <f aca="false">③仙台以降予測!Z37</f>
        <v>0</v>
      </c>
      <c r="R13" s="35" t="n">
        <f aca="false">K13+Q13</f>
        <v>0</v>
      </c>
      <c r="S13" s="34" t="n">
        <f aca="false">R13*D13</f>
        <v>0</v>
      </c>
      <c r="T13" s="72" t="s">
        <v>533</v>
      </c>
      <c r="U13" s="32"/>
      <c r="V13" s="71" t="str">
        <f aca="false">IF(OR(U13="",U13="再生産不可"),"",U13-前提・入力!$B$38)</f>
        <v/>
      </c>
      <c r="W13" s="69" t="str">
        <f aca="false">IF(T13="—","—",IF(U13="再生産不可","×再生産不可",_xlfn.IFS(V13&lt;0,"★期限超過",V13&lt;=30,"★至急(30日以内)",V13&lt;=90,"要着手(90日以内)",TRUE(),"余裕あり")))</f>
        <v>—</v>
      </c>
      <c r="X13" s="32" t="str">
        <f aca="false">IF(Y13&lt;&gt;"",IF(FALSE(),"S:現場欠品(追納不可)","S:現場欠品"),IF(I13&gt;0,"A:会期中欠品",IF(O13&gt;1000,"B:大口",IF(O13&gt;0,"C:通常","D:不要"))))</f>
        <v>D:不要</v>
      </c>
      <c r="Y13" s="72"/>
      <c r="Z13" s="72" t="str">
        <f aca="false">IF(Y13&lt;&gt;"",IF(I13&gt;0,"◎ 一致（モデルも会期中欠品を検知）",IF(H13&gt;=0.7,"○ 整合（予測消化率70%超）","△ モデル未検知：現場報告を優先")),IF(I13&gt;0,"▲ モデルのみ検知：現場に在庫状況を確認","—"))</f>
        <v>—</v>
      </c>
      <c r="AA13" s="69" t="s">
        <v>532</v>
      </c>
    </row>
    <row r="14" customFormat="false" ht="15" hidden="false" customHeight="false" outlineLevel="0" collapsed="false">
      <c r="A14" s="32" t="n">
        <v>8</v>
      </c>
      <c r="B14" s="32" t="s">
        <v>300</v>
      </c>
      <c r="C14" s="33" t="s">
        <v>301</v>
      </c>
      <c r="D14" s="34" t="n">
        <v>600</v>
      </c>
      <c r="E14" s="35" t="n">
        <f aca="false">①石川予測確定!E14</f>
        <v>207</v>
      </c>
      <c r="F14" s="35" t="n">
        <f aca="false">①石川予測確定!P14</f>
        <v>266</v>
      </c>
      <c r="G14" s="35" t="n">
        <f aca="false">①石川予測確定!S14</f>
        <v>778</v>
      </c>
      <c r="H14" s="37" t="n">
        <f aca="false">IFERROR(F14/G14,0)</f>
        <v>0.341902313624679</v>
      </c>
      <c r="I14" s="38" t="n">
        <f aca="false">F14-G14</f>
        <v>-512</v>
      </c>
      <c r="J14" s="39" t="str">
        <f aca="false">IF(I14&gt;0,"要 追加発注",IF(H14&gt;=0.9,"要注意(90%超)",IF(H14&gt;=0.5,"適正","在庫余剰")))</f>
        <v>在庫余剰</v>
      </c>
      <c r="K14" s="35" t="n">
        <f aca="false">IF(I14&gt;0,ROUNDUP(I14*(1+前提・入力!$B$34),0),0)</f>
        <v>0</v>
      </c>
      <c r="L14" s="35" t="n">
        <f aca="false">③仙台以降予測!M38</f>
        <v>2707</v>
      </c>
      <c r="M14" s="35" t="n">
        <f aca="false">③仙台以降予測!V38</f>
        <v>8034</v>
      </c>
      <c r="N14" s="35" t="n">
        <f aca="false">③仙台以降予測!W38</f>
        <v>0</v>
      </c>
      <c r="O14" s="38" t="n">
        <f aca="false">L14-M14-N14</f>
        <v>-5327</v>
      </c>
      <c r="P14" s="39" t="str">
        <f aca="false">IF(O14&gt;0,"要 追加生産",IF(L14=0,"—","在庫で充足"))</f>
        <v>在庫で充足</v>
      </c>
      <c r="Q14" s="35" t="n">
        <f aca="false">③仙台以降予測!Z38</f>
        <v>0</v>
      </c>
      <c r="R14" s="35" t="n">
        <f aca="false">K14+Q14</f>
        <v>0</v>
      </c>
      <c r="S14" s="34" t="n">
        <f aca="false">R14*D14</f>
        <v>0</v>
      </c>
      <c r="T14" s="72" t="s">
        <v>533</v>
      </c>
      <c r="U14" s="32"/>
      <c r="V14" s="71" t="str">
        <f aca="false">IF(OR(U14="",U14="再生産不可"),"",U14-前提・入力!$B$38)</f>
        <v/>
      </c>
      <c r="W14" s="69" t="str">
        <f aca="false">IF(T14="—","—",IF(U14="再生産不可","×再生産不可",_xlfn.IFS(V14&lt;0,"★期限超過",V14&lt;=30,"★至急(30日以内)",V14&lt;=90,"要着手(90日以内)",TRUE(),"余裕あり")))</f>
        <v>—</v>
      </c>
      <c r="X14" s="32" t="str">
        <f aca="false">IF(Y14&lt;&gt;"",IF(FALSE(),"S:現場欠品(追納不可)","S:現場欠品"),IF(I14&gt;0,"A:会期中欠品",IF(O14&gt;1000,"B:大口",IF(O14&gt;0,"C:通常","D:不要"))))</f>
        <v>D:不要</v>
      </c>
      <c r="Y14" s="72"/>
      <c r="Z14" s="72" t="str">
        <f aca="false">IF(Y14&lt;&gt;"",IF(I14&gt;0,"◎ 一致（モデルも会期中欠品を検知）",IF(H14&gt;=0.7,"○ 整合（予測消化率70%超）","△ モデル未検知：現場報告を優先")),IF(I14&gt;0,"▲ モデルのみ検知：現場に在庫状況を確認","—"))</f>
        <v>—</v>
      </c>
      <c r="AA14" s="69" t="s">
        <v>532</v>
      </c>
    </row>
    <row r="15" customFormat="false" ht="15" hidden="false" customHeight="false" outlineLevel="0" collapsed="false">
      <c r="A15" s="32" t="n">
        <v>9</v>
      </c>
      <c r="B15" s="32" t="s">
        <v>302</v>
      </c>
      <c r="C15" s="33" t="s">
        <v>303</v>
      </c>
      <c r="D15" s="34" t="n">
        <v>600</v>
      </c>
      <c r="E15" s="35" t="n">
        <f aca="false">①石川予測確定!E15</f>
        <v>41</v>
      </c>
      <c r="F15" s="35" t="n">
        <f aca="false">①石川予測確定!P15</f>
        <v>51</v>
      </c>
      <c r="G15" s="35" t="n">
        <f aca="false">①石川予測確定!S15</f>
        <v>740</v>
      </c>
      <c r="H15" s="37" t="n">
        <f aca="false">IFERROR(F15/G15,0)</f>
        <v>0.0689189189189189</v>
      </c>
      <c r="I15" s="38" t="n">
        <f aca="false">F15-G15</f>
        <v>-689</v>
      </c>
      <c r="J15" s="39" t="str">
        <f aca="false">IF(I15&gt;0,"要 追加発注",IF(H15&gt;=0.9,"要注意(90%超)",IF(H15&gt;=0.5,"適正","在庫余剰")))</f>
        <v>在庫余剰</v>
      </c>
      <c r="K15" s="35" t="n">
        <f aca="false">IF(I15&gt;0,ROUNDUP(I15*(1+前提・入力!$B$34),0),0)</f>
        <v>0</v>
      </c>
      <c r="L15" s="35" t="n">
        <f aca="false">③仙台以降予測!M39</f>
        <v>860</v>
      </c>
      <c r="M15" s="35" t="n">
        <f aca="false">③仙台以降予測!V39</f>
        <v>8547</v>
      </c>
      <c r="N15" s="35" t="n">
        <f aca="false">③仙台以降予測!W39</f>
        <v>0</v>
      </c>
      <c r="O15" s="38" t="n">
        <f aca="false">L15-M15-N15</f>
        <v>-7687</v>
      </c>
      <c r="P15" s="39" t="str">
        <f aca="false">IF(O15&gt;0,"要 追加生産",IF(L15=0,"—","在庫で充足"))</f>
        <v>在庫で充足</v>
      </c>
      <c r="Q15" s="35" t="n">
        <f aca="false">③仙台以降予測!Z39</f>
        <v>0</v>
      </c>
      <c r="R15" s="35" t="n">
        <f aca="false">K15+Q15</f>
        <v>0</v>
      </c>
      <c r="S15" s="34" t="n">
        <f aca="false">R15*D15</f>
        <v>0</v>
      </c>
      <c r="T15" s="72" t="s">
        <v>533</v>
      </c>
      <c r="U15" s="32"/>
      <c r="V15" s="71" t="str">
        <f aca="false">IF(OR(U15="",U15="再生産不可"),"",U15-前提・入力!$B$38)</f>
        <v/>
      </c>
      <c r="W15" s="69" t="str">
        <f aca="false">IF(T15="—","—",IF(U15="再生産不可","×再生産不可",_xlfn.IFS(V15&lt;0,"★期限超過",V15&lt;=30,"★至急(30日以内)",V15&lt;=90,"要着手(90日以内)",TRUE(),"余裕あり")))</f>
        <v>—</v>
      </c>
      <c r="X15" s="32" t="str">
        <f aca="false">IF(Y15&lt;&gt;"",IF(FALSE(),"S:現場欠品(追納不可)","S:現場欠品"),IF(I15&gt;0,"A:会期中欠品",IF(O15&gt;1000,"B:大口",IF(O15&gt;0,"C:通常","D:不要"))))</f>
        <v>D:不要</v>
      </c>
      <c r="Y15" s="72"/>
      <c r="Z15" s="72" t="str">
        <f aca="false">IF(Y15&lt;&gt;"",IF(I15&gt;0,"◎ 一致（モデルも会期中欠品を検知）",IF(H15&gt;=0.7,"○ 整合（予測消化率70%超）","△ モデル未検知：現場報告を優先")),IF(I15&gt;0,"▲ モデルのみ検知：現場に在庫状況を確認","—"))</f>
        <v>—</v>
      </c>
      <c r="AA15" s="69" t="s">
        <v>532</v>
      </c>
    </row>
    <row r="16" customFormat="false" ht="15" hidden="false" customHeight="false" outlineLevel="0" collapsed="false">
      <c r="A16" s="32" t="n">
        <v>10</v>
      </c>
      <c r="B16" s="32" t="s">
        <v>304</v>
      </c>
      <c r="C16" s="33" t="s">
        <v>305</v>
      </c>
      <c r="D16" s="34" t="n">
        <v>600</v>
      </c>
      <c r="E16" s="35" t="n">
        <f aca="false">①石川予測確定!E16</f>
        <v>16</v>
      </c>
      <c r="F16" s="35" t="n">
        <f aca="false">①石川予測確定!P16</f>
        <v>20</v>
      </c>
      <c r="G16" s="35" t="n">
        <f aca="false">①石川予測確定!S16</f>
        <v>541</v>
      </c>
      <c r="H16" s="37" t="n">
        <f aca="false">IFERROR(F16/G16,0)</f>
        <v>0.0369685767097967</v>
      </c>
      <c r="I16" s="38" t="n">
        <f aca="false">F16-G16</f>
        <v>-521</v>
      </c>
      <c r="J16" s="39" t="str">
        <f aca="false">IF(I16&gt;0,"要 追加発注",IF(H16&gt;=0.9,"要注意(90%超)",IF(H16&gt;=0.5,"適正","在庫余剰")))</f>
        <v>在庫余剰</v>
      </c>
      <c r="K16" s="35" t="n">
        <f aca="false">IF(I16&gt;0,ROUNDUP(I16*(1+前提・入力!$B$34),0),0)</f>
        <v>0</v>
      </c>
      <c r="L16" s="35" t="n">
        <f aca="false">③仙台以降予測!M40</f>
        <v>324</v>
      </c>
      <c r="M16" s="35" t="n">
        <f aca="false">③仙台以降予測!V40</f>
        <v>4856</v>
      </c>
      <c r="N16" s="35" t="n">
        <f aca="false">③仙台以降予測!W40</f>
        <v>0</v>
      </c>
      <c r="O16" s="38" t="n">
        <f aca="false">L16-M16-N16</f>
        <v>-4532</v>
      </c>
      <c r="P16" s="39" t="str">
        <f aca="false">IF(O16&gt;0,"要 追加生産",IF(L16=0,"—","在庫で充足"))</f>
        <v>在庫で充足</v>
      </c>
      <c r="Q16" s="35" t="n">
        <f aca="false">③仙台以降予測!Z40</f>
        <v>0</v>
      </c>
      <c r="R16" s="35" t="n">
        <f aca="false">K16+Q16</f>
        <v>0</v>
      </c>
      <c r="S16" s="34" t="n">
        <f aca="false">R16*D16</f>
        <v>0</v>
      </c>
      <c r="T16" s="72" t="s">
        <v>533</v>
      </c>
      <c r="U16" s="32"/>
      <c r="V16" s="71" t="str">
        <f aca="false">IF(OR(U16="",U16="再生産不可"),"",U16-前提・入力!$B$38)</f>
        <v/>
      </c>
      <c r="W16" s="69" t="str">
        <f aca="false">IF(T16="—","—",IF(U16="再生産不可","×再生産不可",_xlfn.IFS(V16&lt;0,"★期限超過",V16&lt;=30,"★至急(30日以内)",V16&lt;=90,"要着手(90日以内)",TRUE(),"余裕あり")))</f>
        <v>—</v>
      </c>
      <c r="X16" s="32" t="str">
        <f aca="false">IF(Y16&lt;&gt;"",IF(FALSE(),"S:現場欠品(追納不可)","S:現場欠品"),IF(I16&gt;0,"A:会期中欠品",IF(O16&gt;1000,"B:大口",IF(O16&gt;0,"C:通常","D:不要"))))</f>
        <v>D:不要</v>
      </c>
      <c r="Y16" s="72"/>
      <c r="Z16" s="72" t="str">
        <f aca="false">IF(Y16&lt;&gt;"",IF(I16&gt;0,"◎ 一致（モデルも会期中欠品を検知）",IF(H16&gt;=0.7,"○ 整合（予測消化率70%超）","△ モデル未検知：現場報告を優先")),IF(I16&gt;0,"▲ モデルのみ検知：現場に在庫状況を確認","—"))</f>
        <v>—</v>
      </c>
      <c r="AA16" s="69"/>
    </row>
    <row r="17" customFormat="false" ht="15" hidden="false" customHeight="false" outlineLevel="0" collapsed="false">
      <c r="A17" s="32" t="n">
        <v>11</v>
      </c>
      <c r="B17" s="32" t="s">
        <v>306</v>
      </c>
      <c r="C17" s="33" t="s">
        <v>307</v>
      </c>
      <c r="D17" s="34" t="n">
        <v>600</v>
      </c>
      <c r="E17" s="35" t="n">
        <f aca="false">①石川予測確定!E17</f>
        <v>6</v>
      </c>
      <c r="F17" s="35" t="n">
        <f aca="false">①石川予測確定!P17</f>
        <v>8</v>
      </c>
      <c r="G17" s="35" t="n">
        <f aca="false">①石川予測確定!S17</f>
        <v>79</v>
      </c>
      <c r="H17" s="37" t="n">
        <f aca="false">IFERROR(F17/G17,0)</f>
        <v>0.10126582278481</v>
      </c>
      <c r="I17" s="38" t="n">
        <f aca="false">F17-G17</f>
        <v>-71</v>
      </c>
      <c r="J17" s="39" t="str">
        <f aca="false">IF(I17&gt;0,"要 追加発注",IF(H17&gt;=0.9,"要注意(90%超)",IF(H17&gt;=0.5,"適正","在庫余剰")))</f>
        <v>在庫余剰</v>
      </c>
      <c r="K17" s="35" t="n">
        <f aca="false">IF(I17&gt;0,ROUNDUP(I17*(1+前提・入力!$B$34),0),0)</f>
        <v>0</v>
      </c>
      <c r="L17" s="35" t="n">
        <f aca="false">③仙台以降予測!M41</f>
        <v>121</v>
      </c>
      <c r="M17" s="35" t="n">
        <f aca="false">③仙台以降予測!V41</f>
        <v>609</v>
      </c>
      <c r="N17" s="35" t="n">
        <f aca="false">③仙台以降予測!W41</f>
        <v>0</v>
      </c>
      <c r="O17" s="38" t="n">
        <f aca="false">L17-M17-N17</f>
        <v>-488</v>
      </c>
      <c r="P17" s="39" t="str">
        <f aca="false">IF(O17&gt;0,"要 追加生産",IF(L17=0,"—","在庫で充足"))</f>
        <v>在庫で充足</v>
      </c>
      <c r="Q17" s="35" t="n">
        <f aca="false">③仙台以降予測!Z41</f>
        <v>0</v>
      </c>
      <c r="R17" s="35" t="n">
        <f aca="false">K17+Q17</f>
        <v>0</v>
      </c>
      <c r="S17" s="34" t="n">
        <f aca="false">R17*D17</f>
        <v>0</v>
      </c>
      <c r="T17" s="72" t="s">
        <v>533</v>
      </c>
      <c r="U17" s="32"/>
      <c r="V17" s="71" t="str">
        <f aca="false">IF(OR(U17="",U17="再生産不可"),"",U17-前提・入力!$B$38)</f>
        <v/>
      </c>
      <c r="W17" s="69" t="str">
        <f aca="false">IF(T17="—","—",IF(U17="再生産不可","×再生産不可",_xlfn.IFS(V17&lt;0,"★期限超過",V17&lt;=30,"★至急(30日以内)",V17&lt;=90,"要着手(90日以内)",TRUE(),"余裕あり")))</f>
        <v>—</v>
      </c>
      <c r="X17" s="32" t="str">
        <f aca="false">IF(Y17&lt;&gt;"",IF(FALSE(),"S:現場欠品(追納不可)","S:現場欠品"),IF(I17&gt;0,"A:会期中欠品",IF(O17&gt;1000,"B:大口",IF(O17&gt;0,"C:通常","D:不要"))))</f>
        <v>D:不要</v>
      </c>
      <c r="Y17" s="72"/>
      <c r="Z17" s="72" t="str">
        <f aca="false">IF(Y17&lt;&gt;"",IF(I17&gt;0,"◎ 一致（モデルも会期中欠品を検知）",IF(H17&gt;=0.7,"○ 整合（予測消化率70%超）","△ モデル未検知：現場報告を優先")),IF(I17&gt;0,"▲ モデルのみ検知：現場に在庫状況を確認","—"))</f>
        <v>—</v>
      </c>
      <c r="AA17" s="69" t="s">
        <v>532</v>
      </c>
    </row>
    <row r="18" customFormat="false" ht="15" hidden="false" customHeight="false" outlineLevel="0" collapsed="false">
      <c r="A18" s="32" t="n">
        <v>12</v>
      </c>
      <c r="B18" s="32" t="s">
        <v>308</v>
      </c>
      <c r="C18" s="33" t="s">
        <v>309</v>
      </c>
      <c r="D18" s="34" t="n">
        <v>600</v>
      </c>
      <c r="E18" s="35" t="n">
        <f aca="false">①石川予測確定!E18</f>
        <v>13</v>
      </c>
      <c r="F18" s="35" t="n">
        <f aca="false">①石川予測確定!P18</f>
        <v>17</v>
      </c>
      <c r="G18" s="35" t="n">
        <f aca="false">①石川予測確定!S18</f>
        <v>107</v>
      </c>
      <c r="H18" s="37" t="n">
        <f aca="false">IFERROR(F18/G18,0)</f>
        <v>0.158878504672897</v>
      </c>
      <c r="I18" s="38" t="n">
        <f aca="false">F18-G18</f>
        <v>-90</v>
      </c>
      <c r="J18" s="39" t="str">
        <f aca="false">IF(I18&gt;0,"要 追加発注",IF(H18&gt;=0.9,"要注意(90%超)",IF(H18&gt;=0.5,"適正","在庫余剰")))</f>
        <v>在庫余剰</v>
      </c>
      <c r="K18" s="35" t="n">
        <f aca="false">IF(I18&gt;0,ROUNDUP(I18*(1+前提・入力!$B$34),0),0)</f>
        <v>0</v>
      </c>
      <c r="L18" s="35" t="n">
        <f aca="false">③仙台以降予測!M42</f>
        <v>251</v>
      </c>
      <c r="M18" s="35" t="n">
        <f aca="false">③仙台以降予測!V42</f>
        <v>891</v>
      </c>
      <c r="N18" s="35" t="n">
        <f aca="false">③仙台以降予測!W42</f>
        <v>0</v>
      </c>
      <c r="O18" s="38" t="n">
        <f aca="false">L18-M18-N18</f>
        <v>-640</v>
      </c>
      <c r="P18" s="39" t="str">
        <f aca="false">IF(O18&gt;0,"要 追加生産",IF(L18=0,"—","在庫で充足"))</f>
        <v>在庫で充足</v>
      </c>
      <c r="Q18" s="35" t="n">
        <f aca="false">③仙台以降予測!Z42</f>
        <v>0</v>
      </c>
      <c r="R18" s="35" t="n">
        <f aca="false">K18+Q18</f>
        <v>0</v>
      </c>
      <c r="S18" s="34" t="n">
        <f aca="false">R18*D18</f>
        <v>0</v>
      </c>
      <c r="T18" s="72" t="s">
        <v>533</v>
      </c>
      <c r="U18" s="32"/>
      <c r="V18" s="71" t="str">
        <f aca="false">IF(OR(U18="",U18="再生産不可"),"",U18-前提・入力!$B$38)</f>
        <v/>
      </c>
      <c r="W18" s="69" t="str">
        <f aca="false">IF(T18="—","—",IF(U18="再生産不可","×再生産不可",_xlfn.IFS(V18&lt;0,"★期限超過",V18&lt;=30,"★至急(30日以内)",V18&lt;=90,"要着手(90日以内)",TRUE(),"余裕あり")))</f>
        <v>—</v>
      </c>
      <c r="X18" s="32" t="str">
        <f aca="false">IF(Y18&lt;&gt;"",IF(FALSE(),"S:現場欠品(追納不可)","S:現場欠品"),IF(I18&gt;0,"A:会期中欠品",IF(O18&gt;1000,"B:大口",IF(O18&gt;0,"C:通常","D:不要"))))</f>
        <v>D:不要</v>
      </c>
      <c r="Y18" s="72"/>
      <c r="Z18" s="72" t="str">
        <f aca="false">IF(Y18&lt;&gt;"",IF(I18&gt;0,"◎ 一致（モデルも会期中欠品を検知）",IF(H18&gt;=0.7,"○ 整合（予測消化率70%超）","△ モデル未検知：現場報告を優先")),IF(I18&gt;0,"▲ モデルのみ検知：現場に在庫状況を確認","—"))</f>
        <v>—</v>
      </c>
      <c r="AA18" s="69"/>
    </row>
    <row r="19" customFormat="false" ht="15" hidden="false" customHeight="false" outlineLevel="0" collapsed="false">
      <c r="A19" s="32" t="n">
        <v>13</v>
      </c>
      <c r="B19" s="32" t="s">
        <v>310</v>
      </c>
      <c r="C19" s="33" t="s">
        <v>311</v>
      </c>
      <c r="D19" s="34" t="n">
        <v>600</v>
      </c>
      <c r="E19" s="35" t="n">
        <f aca="false">①石川予測確定!E19</f>
        <v>5</v>
      </c>
      <c r="F19" s="35" t="n">
        <f aca="false">①石川予測確定!P19</f>
        <v>6</v>
      </c>
      <c r="G19" s="35" t="n">
        <f aca="false">①石川予測確定!S19</f>
        <v>52</v>
      </c>
      <c r="H19" s="37" t="n">
        <f aca="false">IFERROR(F19/G19,0)</f>
        <v>0.115384615384615</v>
      </c>
      <c r="I19" s="38" t="n">
        <f aca="false">F19-G19</f>
        <v>-46</v>
      </c>
      <c r="J19" s="39" t="str">
        <f aca="false">IF(I19&gt;0,"要 追加発注",IF(H19&gt;=0.9,"要注意(90%超)",IF(H19&gt;=0.5,"適正","在庫余剰")))</f>
        <v>在庫余剰</v>
      </c>
      <c r="K19" s="35" t="n">
        <f aca="false">IF(I19&gt;0,ROUNDUP(I19*(1+前提・入力!$B$34),0),0)</f>
        <v>0</v>
      </c>
      <c r="L19" s="35" t="n">
        <f aca="false">③仙台以降予測!M43</f>
        <v>64</v>
      </c>
      <c r="M19" s="35" t="n">
        <f aca="false">③仙台以降予測!V43</f>
        <v>305</v>
      </c>
      <c r="N19" s="35" t="n">
        <f aca="false">③仙台以降予測!W43</f>
        <v>0</v>
      </c>
      <c r="O19" s="38" t="n">
        <f aca="false">L19-M19-N19</f>
        <v>-241</v>
      </c>
      <c r="P19" s="39" t="str">
        <f aca="false">IF(O19&gt;0,"要 追加生産",IF(L19=0,"—","在庫で充足"))</f>
        <v>在庫で充足</v>
      </c>
      <c r="Q19" s="35" t="n">
        <f aca="false">③仙台以降予測!Z43</f>
        <v>0</v>
      </c>
      <c r="R19" s="35" t="n">
        <f aca="false">K19+Q19</f>
        <v>0</v>
      </c>
      <c r="S19" s="34" t="n">
        <f aca="false">R19*D19</f>
        <v>0</v>
      </c>
      <c r="T19" s="72" t="s">
        <v>533</v>
      </c>
      <c r="U19" s="32"/>
      <c r="V19" s="71" t="str">
        <f aca="false">IF(OR(U19="",U19="再生産不可"),"",U19-前提・入力!$B$38)</f>
        <v/>
      </c>
      <c r="W19" s="69" t="str">
        <f aca="false">IF(T19="—","—",IF(U19="再生産不可","×再生産不可",_xlfn.IFS(V19&lt;0,"★期限超過",V19&lt;=30,"★至急(30日以内)",V19&lt;=90,"要着手(90日以内)",TRUE(),"余裕あり")))</f>
        <v>—</v>
      </c>
      <c r="X19" s="32" t="str">
        <f aca="false">IF(Y19&lt;&gt;"",IF(FALSE(),"S:現場欠品(追納不可)","S:現場欠品"),IF(I19&gt;0,"A:会期中欠品",IF(O19&gt;1000,"B:大口",IF(O19&gt;0,"C:通常","D:不要"))))</f>
        <v>D:不要</v>
      </c>
      <c r="Y19" s="72"/>
      <c r="Z19" s="72" t="str">
        <f aca="false">IF(Y19&lt;&gt;"",IF(I19&gt;0,"◎ 一致（モデルも会期中欠品を検知）",IF(H19&gt;=0.7,"○ 整合（予測消化率70%超）","△ モデル未検知：現場報告を優先")),IF(I19&gt;0,"▲ モデルのみ検知：現場に在庫状況を確認","—"))</f>
        <v>—</v>
      </c>
      <c r="AA19" s="69"/>
    </row>
    <row r="20" customFormat="false" ht="15" hidden="false" customHeight="false" outlineLevel="0" collapsed="false">
      <c r="A20" s="32" t="n">
        <v>14</v>
      </c>
      <c r="B20" s="32" t="s">
        <v>312</v>
      </c>
      <c r="C20" s="33" t="s">
        <v>313</v>
      </c>
      <c r="D20" s="34" t="n">
        <v>600</v>
      </c>
      <c r="E20" s="35" t="n">
        <f aca="false">①石川予測確定!E20</f>
        <v>10</v>
      </c>
      <c r="F20" s="35" t="n">
        <f aca="false">①石川予測確定!P20</f>
        <v>14</v>
      </c>
      <c r="G20" s="35" t="n">
        <f aca="false">①石川予測確定!S20</f>
        <v>53</v>
      </c>
      <c r="H20" s="37" t="n">
        <f aca="false">IFERROR(F20/G20,0)</f>
        <v>0.264150943396226</v>
      </c>
      <c r="I20" s="38" t="n">
        <f aca="false">F20-G20</f>
        <v>-39</v>
      </c>
      <c r="J20" s="39" t="str">
        <f aca="false">IF(I20&gt;0,"要 追加発注",IF(H20&gt;=0.9,"要注意(90%超)",IF(H20&gt;=0.5,"適正","在庫余剰")))</f>
        <v>在庫余剰</v>
      </c>
      <c r="K20" s="35" t="n">
        <f aca="false">IF(I20&gt;0,ROUNDUP(I20*(1+前提・入力!$B$34),0),0)</f>
        <v>0</v>
      </c>
      <c r="L20" s="35" t="n">
        <f aca="false">③仙台以降予測!M44</f>
        <v>246</v>
      </c>
      <c r="M20" s="35" t="n">
        <f aca="false">③仙台以降予測!V44</f>
        <v>1729</v>
      </c>
      <c r="N20" s="35" t="n">
        <f aca="false">③仙台以降予測!W44</f>
        <v>0</v>
      </c>
      <c r="O20" s="38" t="n">
        <f aca="false">L20-M20-N20</f>
        <v>-1483</v>
      </c>
      <c r="P20" s="39" t="str">
        <f aca="false">IF(O20&gt;0,"要 追加生産",IF(L20=0,"—","在庫で充足"))</f>
        <v>在庫で充足</v>
      </c>
      <c r="Q20" s="35" t="n">
        <f aca="false">③仙台以降予測!Z44</f>
        <v>0</v>
      </c>
      <c r="R20" s="35" t="n">
        <f aca="false">K20+Q20</f>
        <v>0</v>
      </c>
      <c r="S20" s="34" t="n">
        <f aca="false">R20*D20</f>
        <v>0</v>
      </c>
      <c r="T20" s="72" t="s">
        <v>533</v>
      </c>
      <c r="U20" s="32"/>
      <c r="V20" s="71" t="str">
        <f aca="false">IF(OR(U20="",U20="再生産不可"),"",U20-前提・入力!$B$38)</f>
        <v/>
      </c>
      <c r="W20" s="69" t="str">
        <f aca="false">IF(T20="—","—",IF(U20="再生産不可","×再生産不可",_xlfn.IFS(V20&lt;0,"★期限超過",V20&lt;=30,"★至急(30日以内)",V20&lt;=90,"要着手(90日以内)",TRUE(),"余裕あり")))</f>
        <v>—</v>
      </c>
      <c r="X20" s="32" t="str">
        <f aca="false">IF(Y20&lt;&gt;"",IF(FALSE(),"S:現場欠品(追納不可)","S:現場欠品"),IF(I20&gt;0,"A:会期中欠品",IF(O20&gt;1000,"B:大口",IF(O20&gt;0,"C:通常","D:不要"))))</f>
        <v>D:不要</v>
      </c>
      <c r="Y20" s="72"/>
      <c r="Z20" s="72" t="str">
        <f aca="false">IF(Y20&lt;&gt;"",IF(I20&gt;0,"◎ 一致（モデルも会期中欠品を検知）",IF(H20&gt;=0.7,"○ 整合（予測消化率70%超）","△ モデル未検知：現場報告を優先")),IF(I20&gt;0,"▲ モデルのみ検知：現場に在庫状況を確認","—"))</f>
        <v>—</v>
      </c>
      <c r="AA20" s="69" t="s">
        <v>532</v>
      </c>
    </row>
    <row r="21" customFormat="false" ht="15" hidden="false" customHeight="false" outlineLevel="0" collapsed="false">
      <c r="A21" s="32" t="n">
        <v>15</v>
      </c>
      <c r="B21" s="32" t="s">
        <v>314</v>
      </c>
      <c r="C21" s="33" t="s">
        <v>315</v>
      </c>
      <c r="D21" s="34" t="n">
        <v>600</v>
      </c>
      <c r="E21" s="35" t="n">
        <f aca="false">①石川予測確定!E21</f>
        <v>17</v>
      </c>
      <c r="F21" s="35" t="n">
        <f aca="false">①石川予測確定!P21</f>
        <v>23</v>
      </c>
      <c r="G21" s="35" t="n">
        <f aca="false">①石川予測確定!S21</f>
        <v>96</v>
      </c>
      <c r="H21" s="37" t="n">
        <f aca="false">IFERROR(F21/G21,0)</f>
        <v>0.239583333333333</v>
      </c>
      <c r="I21" s="38" t="n">
        <f aca="false">F21-G21</f>
        <v>-73</v>
      </c>
      <c r="J21" s="39" t="str">
        <f aca="false">IF(I21&gt;0,"要 追加発注",IF(H21&gt;=0.9,"要注意(90%超)",IF(H21&gt;=0.5,"適正","在庫余剰")))</f>
        <v>在庫余剰</v>
      </c>
      <c r="K21" s="35" t="n">
        <f aca="false">IF(I21&gt;0,ROUNDUP(I21*(1+前提・入力!$B$34),0),0)</f>
        <v>0</v>
      </c>
      <c r="L21" s="35" t="n">
        <f aca="false">③仙台以降予測!M45</f>
        <v>324</v>
      </c>
      <c r="M21" s="35" t="n">
        <f aca="false">③仙台以降予測!V45</f>
        <v>2054</v>
      </c>
      <c r="N21" s="35" t="n">
        <f aca="false">③仙台以降予測!W45</f>
        <v>0</v>
      </c>
      <c r="O21" s="38" t="n">
        <f aca="false">L21-M21-N21</f>
        <v>-1730</v>
      </c>
      <c r="P21" s="39" t="str">
        <f aca="false">IF(O21&gt;0,"要 追加生産",IF(L21=0,"—","在庫で充足"))</f>
        <v>在庫で充足</v>
      </c>
      <c r="Q21" s="35" t="n">
        <f aca="false">③仙台以降予測!Z45</f>
        <v>0</v>
      </c>
      <c r="R21" s="35" t="n">
        <f aca="false">K21+Q21</f>
        <v>0</v>
      </c>
      <c r="S21" s="34" t="n">
        <f aca="false">R21*D21</f>
        <v>0</v>
      </c>
      <c r="T21" s="72" t="s">
        <v>533</v>
      </c>
      <c r="U21" s="32"/>
      <c r="V21" s="71" t="str">
        <f aca="false">IF(OR(U21="",U21="再生産不可"),"",U21-前提・入力!$B$38)</f>
        <v/>
      </c>
      <c r="W21" s="69" t="str">
        <f aca="false">IF(T21="—","—",IF(U21="再生産不可","×再生産不可",_xlfn.IFS(V21&lt;0,"★期限超過",V21&lt;=30,"★至急(30日以内)",V21&lt;=90,"要着手(90日以内)",TRUE(),"余裕あり")))</f>
        <v>—</v>
      </c>
      <c r="X21" s="32" t="str">
        <f aca="false">IF(Y21&lt;&gt;"",IF(FALSE(),"S:現場欠品(追納不可)","S:現場欠品"),IF(I21&gt;0,"A:会期中欠品",IF(O21&gt;1000,"B:大口",IF(O21&gt;0,"C:通常","D:不要"))))</f>
        <v>D:不要</v>
      </c>
      <c r="Y21" s="72"/>
      <c r="Z21" s="72" t="str">
        <f aca="false">IF(Y21&lt;&gt;"",IF(I21&gt;0,"◎ 一致（モデルも会期中欠品を検知）",IF(H21&gt;=0.7,"○ 整合（予測消化率70%超）","△ モデル未検知：現場報告を優先")),IF(I21&gt;0,"▲ モデルのみ検知：現場に在庫状況を確認","—"))</f>
        <v>—</v>
      </c>
      <c r="AA21" s="69" t="s">
        <v>532</v>
      </c>
    </row>
    <row r="22" customFormat="false" ht="25.35" hidden="false" customHeight="false" outlineLevel="0" collapsed="false">
      <c r="A22" s="32" t="n">
        <v>16</v>
      </c>
      <c r="B22" s="32" t="s">
        <v>316</v>
      </c>
      <c r="C22" s="33" t="s">
        <v>317</v>
      </c>
      <c r="D22" s="34" t="n">
        <v>600</v>
      </c>
      <c r="E22" s="35" t="n">
        <f aca="false">①石川予測確定!E22</f>
        <v>4</v>
      </c>
      <c r="F22" s="35" t="n">
        <f aca="false">①石川予測確定!P22</f>
        <v>6</v>
      </c>
      <c r="G22" s="35" t="n">
        <f aca="false">①石川予測確定!S22</f>
        <v>78</v>
      </c>
      <c r="H22" s="37" t="n">
        <f aca="false">IFERROR(F22/G22,0)</f>
        <v>0.0769230769230769</v>
      </c>
      <c r="I22" s="38" t="n">
        <f aca="false">F22-G22</f>
        <v>-72</v>
      </c>
      <c r="J22" s="39" t="str">
        <f aca="false">IF(I22&gt;0,"要 追加発注",IF(H22&gt;=0.9,"要注意(90%超)",IF(H22&gt;=0.5,"適正","在庫余剰")))</f>
        <v>在庫余剰</v>
      </c>
      <c r="K22" s="35" t="n">
        <f aca="false">IF(I22&gt;0,ROUNDUP(I22*(1+前提・入力!$B$34),0),0)</f>
        <v>0</v>
      </c>
      <c r="L22" s="35" t="n">
        <f aca="false">③仙台以降予測!M46</f>
        <v>112</v>
      </c>
      <c r="M22" s="35" t="n">
        <f aca="false">③仙台以降予測!V46</f>
        <v>744</v>
      </c>
      <c r="N22" s="35" t="n">
        <f aca="false">③仙台以降予測!W46</f>
        <v>0</v>
      </c>
      <c r="O22" s="38" t="n">
        <f aca="false">L22-M22-N22</f>
        <v>-632</v>
      </c>
      <c r="P22" s="39" t="str">
        <f aca="false">IF(O22&gt;0,"要 追加生産",IF(L22=0,"—","在庫で充足"))</f>
        <v>在庫で充足</v>
      </c>
      <c r="Q22" s="35" t="n">
        <f aca="false">③仙台以降予測!Z46</f>
        <v>0</v>
      </c>
      <c r="R22" s="35" t="n">
        <f aca="false">K22+Q22</f>
        <v>0</v>
      </c>
      <c r="S22" s="34" t="n">
        <f aca="false">R22*D22</f>
        <v>0</v>
      </c>
      <c r="T22" s="72" t="s">
        <v>533</v>
      </c>
      <c r="U22" s="32"/>
      <c r="V22" s="71" t="str">
        <f aca="false">IF(OR(U22="",U22="再生産不可"),"",U22-前提・入力!$B$38)</f>
        <v/>
      </c>
      <c r="W22" s="69" t="str">
        <f aca="false">IF(T22="—","—",IF(U22="再生産不可","×再生産不可",_xlfn.IFS(V22&lt;0,"★期限超過",V22&lt;=30,"★至急(30日以内)",V22&lt;=90,"要着手(90日以内)",TRUE(),"余裕あり")))</f>
        <v>—</v>
      </c>
      <c r="X22" s="32" t="str">
        <f aca="false">IF(Y22&lt;&gt;"",IF(FALSE(),"S:現場欠品(追納不可)","S:現場欠品"),IF(I22&gt;0,"A:会期中欠品",IF(O22&gt;1000,"B:大口",IF(O22&gt;0,"C:通常","D:不要"))))</f>
        <v>D:不要</v>
      </c>
      <c r="Y22" s="72"/>
      <c r="Z22" s="72" t="str">
        <f aca="false">IF(Y22&lt;&gt;"",IF(I22&gt;0,"◎ 一致（モデルも会期中欠品を検知）",IF(H22&gt;=0.7,"○ 整合（予測消化率70%超）","△ モデル未検知：現場報告を優先")),IF(I22&gt;0,"▲ モデルのみ検知：現場に在庫状況を確認","—"))</f>
        <v>—</v>
      </c>
      <c r="AA22" s="69" t="s">
        <v>534</v>
      </c>
    </row>
    <row r="23" customFormat="false" ht="15" hidden="false" customHeight="false" outlineLevel="0" collapsed="false">
      <c r="A23" s="32" t="n">
        <v>17</v>
      </c>
      <c r="B23" s="32" t="s">
        <v>318</v>
      </c>
      <c r="C23" s="33" t="s">
        <v>319</v>
      </c>
      <c r="D23" s="34" t="n">
        <v>600</v>
      </c>
      <c r="E23" s="35" t="n">
        <f aca="false">①石川予測確定!E23</f>
        <v>30</v>
      </c>
      <c r="F23" s="35" t="n">
        <f aca="false">①石川予測確定!P23</f>
        <v>41</v>
      </c>
      <c r="G23" s="35" t="n">
        <f aca="false">①石川予測確定!S23</f>
        <v>200</v>
      </c>
      <c r="H23" s="37" t="n">
        <f aca="false">IFERROR(F23/G23,0)</f>
        <v>0.205</v>
      </c>
      <c r="I23" s="38" t="n">
        <f aca="false">F23-G23</f>
        <v>-159</v>
      </c>
      <c r="J23" s="39" t="str">
        <f aca="false">IF(I23&gt;0,"要 追加発注",IF(H23&gt;=0.9,"要注意(90%超)",IF(H23&gt;=0.5,"適正","在庫余剰")))</f>
        <v>在庫余剰</v>
      </c>
      <c r="K23" s="35" t="n">
        <f aca="false">IF(I23&gt;0,ROUNDUP(I23*(1+前提・入力!$B$34),0),0)</f>
        <v>0</v>
      </c>
      <c r="L23" s="35" t="n">
        <f aca="false">③仙台以降予測!M47</f>
        <v>592</v>
      </c>
      <c r="M23" s="35" t="n">
        <f aca="false">③仙台以降予測!V47</f>
        <v>2380</v>
      </c>
      <c r="N23" s="35" t="n">
        <f aca="false">③仙台以降予測!W47</f>
        <v>0</v>
      </c>
      <c r="O23" s="38" t="n">
        <f aca="false">L23-M23-N23</f>
        <v>-1788</v>
      </c>
      <c r="P23" s="39" t="str">
        <f aca="false">IF(O23&gt;0,"要 追加生産",IF(L23=0,"—","在庫で充足"))</f>
        <v>在庫で充足</v>
      </c>
      <c r="Q23" s="35" t="n">
        <f aca="false">③仙台以降予測!Z47</f>
        <v>0</v>
      </c>
      <c r="R23" s="35" t="n">
        <f aca="false">K23+Q23</f>
        <v>0</v>
      </c>
      <c r="S23" s="34" t="n">
        <f aca="false">R23*D23</f>
        <v>0</v>
      </c>
      <c r="T23" s="72" t="s">
        <v>533</v>
      </c>
      <c r="U23" s="32"/>
      <c r="V23" s="71" t="str">
        <f aca="false">IF(OR(U23="",U23="再生産不可"),"",U23-前提・入力!$B$38)</f>
        <v/>
      </c>
      <c r="W23" s="69" t="str">
        <f aca="false">IF(T23="—","—",IF(U23="再生産不可","×再生産不可",_xlfn.IFS(V23&lt;0,"★期限超過",V23&lt;=30,"★至急(30日以内)",V23&lt;=90,"要着手(90日以内)",TRUE(),"余裕あり")))</f>
        <v>—</v>
      </c>
      <c r="X23" s="32" t="str">
        <f aca="false">IF(Y23&lt;&gt;"",IF(FALSE(),"S:現場欠品(追納不可)","S:現場欠品"),IF(I23&gt;0,"A:会期中欠品",IF(O23&gt;1000,"B:大口",IF(O23&gt;0,"C:通常","D:不要"))))</f>
        <v>D:不要</v>
      </c>
      <c r="Y23" s="72"/>
      <c r="Z23" s="72" t="str">
        <f aca="false">IF(Y23&lt;&gt;"",IF(I23&gt;0,"◎ 一致（モデルも会期中欠品を検知）",IF(H23&gt;=0.7,"○ 整合（予測消化率70%超）","△ モデル未検知：現場報告を優先")),IF(I23&gt;0,"▲ モデルのみ検知：現場に在庫状況を確認","—"))</f>
        <v>—</v>
      </c>
      <c r="AA23" s="69" t="s">
        <v>532</v>
      </c>
    </row>
    <row r="24" customFormat="false" ht="15" hidden="false" customHeight="false" outlineLevel="0" collapsed="false">
      <c r="A24" s="32" t="n">
        <v>18</v>
      </c>
      <c r="B24" s="32" t="s">
        <v>320</v>
      </c>
      <c r="C24" s="33" t="s">
        <v>321</v>
      </c>
      <c r="D24" s="34" t="n">
        <v>600</v>
      </c>
      <c r="E24" s="35" t="n">
        <f aca="false">①石川予測確定!E24</f>
        <v>122</v>
      </c>
      <c r="F24" s="35" t="n">
        <f aca="false">①石川予測確定!P24</f>
        <v>152</v>
      </c>
      <c r="G24" s="35" t="n">
        <f aca="false">①石川予測確定!S24</f>
        <v>1157</v>
      </c>
      <c r="H24" s="37" t="n">
        <f aca="false">IFERROR(F24/G24,0)</f>
        <v>0.131374243733794</v>
      </c>
      <c r="I24" s="38" t="n">
        <f aca="false">F24-G24</f>
        <v>-1005</v>
      </c>
      <c r="J24" s="39" t="str">
        <f aca="false">IF(I24&gt;0,"要 追加発注",IF(H24&gt;=0.9,"要注意(90%超)",IF(H24&gt;=0.5,"適正","在庫余剰")))</f>
        <v>在庫余剰</v>
      </c>
      <c r="K24" s="35" t="n">
        <f aca="false">IF(I24&gt;0,ROUNDUP(I24*(1+前提・入力!$B$34),0),0)</f>
        <v>0</v>
      </c>
      <c r="L24" s="35" t="n">
        <f aca="false">③仙台以降予測!M48</f>
        <v>2444</v>
      </c>
      <c r="M24" s="35" t="n">
        <f aca="false">③仙台以降予測!V48</f>
        <v>9130</v>
      </c>
      <c r="N24" s="35" t="n">
        <f aca="false">③仙台以降予測!W48</f>
        <v>0</v>
      </c>
      <c r="O24" s="38" t="n">
        <f aca="false">L24-M24-N24</f>
        <v>-6686</v>
      </c>
      <c r="P24" s="39" t="str">
        <f aca="false">IF(O24&gt;0,"要 追加生産",IF(L24=0,"—","在庫で充足"))</f>
        <v>在庫で充足</v>
      </c>
      <c r="Q24" s="35" t="n">
        <f aca="false">③仙台以降予測!Z48</f>
        <v>0</v>
      </c>
      <c r="R24" s="35" t="n">
        <f aca="false">K24+Q24</f>
        <v>0</v>
      </c>
      <c r="S24" s="34" t="n">
        <f aca="false">R24*D24</f>
        <v>0</v>
      </c>
      <c r="T24" s="72" t="s">
        <v>533</v>
      </c>
      <c r="U24" s="32"/>
      <c r="V24" s="71" t="str">
        <f aca="false">IF(OR(U24="",U24="再生産不可"),"",U24-前提・入力!$B$38)</f>
        <v/>
      </c>
      <c r="W24" s="69" t="str">
        <f aca="false">IF(T24="—","—",IF(U24="再生産不可","×再生産不可",_xlfn.IFS(V24&lt;0,"★期限超過",V24&lt;=30,"★至急(30日以内)",V24&lt;=90,"要着手(90日以内)",TRUE(),"余裕あり")))</f>
        <v>—</v>
      </c>
      <c r="X24" s="32" t="str">
        <f aca="false">IF(Y24&lt;&gt;"",IF(FALSE(),"S:現場欠品(追納不可)","S:現場欠品"),IF(I24&gt;0,"A:会期中欠品",IF(O24&gt;1000,"B:大口",IF(O24&gt;0,"C:通常","D:不要"))))</f>
        <v>D:不要</v>
      </c>
      <c r="Y24" s="72"/>
      <c r="Z24" s="72" t="str">
        <f aca="false">IF(Y24&lt;&gt;"",IF(I24&gt;0,"◎ 一致（モデルも会期中欠品を検知）",IF(H24&gt;=0.7,"○ 整合（予測消化率70%超）","△ モデル未検知：現場報告を優先")),IF(I24&gt;0,"▲ モデルのみ検知：現場に在庫状況を確認","—"))</f>
        <v>—</v>
      </c>
      <c r="AA24" s="69" t="s">
        <v>532</v>
      </c>
    </row>
    <row r="25" customFormat="false" ht="15" hidden="false" customHeight="false" outlineLevel="0" collapsed="false">
      <c r="A25" s="32" t="n">
        <v>19</v>
      </c>
      <c r="B25" s="32" t="s">
        <v>322</v>
      </c>
      <c r="C25" s="33" t="s">
        <v>323</v>
      </c>
      <c r="D25" s="34" t="n">
        <v>600</v>
      </c>
      <c r="E25" s="35" t="n">
        <f aca="false">①石川予測確定!E25</f>
        <v>4</v>
      </c>
      <c r="F25" s="35" t="n">
        <f aca="false">①石川予測確定!P25</f>
        <v>5</v>
      </c>
      <c r="G25" s="35" t="n">
        <f aca="false">①石川予測確定!S25</f>
        <v>129</v>
      </c>
      <c r="H25" s="37" t="n">
        <f aca="false">IFERROR(F25/G25,0)</f>
        <v>0.0387596899224806</v>
      </c>
      <c r="I25" s="38" t="n">
        <f aca="false">F25-G25</f>
        <v>-124</v>
      </c>
      <c r="J25" s="39" t="str">
        <f aca="false">IF(I25&gt;0,"要 追加発注",IF(H25&gt;=0.9,"要注意(90%超)",IF(H25&gt;=0.5,"適正","在庫余剰")))</f>
        <v>在庫余剰</v>
      </c>
      <c r="K25" s="35" t="n">
        <f aca="false">IF(I25&gt;0,ROUNDUP(I25*(1+前提・入力!$B$34),0),0)</f>
        <v>0</v>
      </c>
      <c r="L25" s="35" t="n">
        <f aca="false">③仙台以降予測!M49</f>
        <v>103</v>
      </c>
      <c r="M25" s="35" t="n">
        <f aca="false">③仙台以降予測!V49</f>
        <v>2214</v>
      </c>
      <c r="N25" s="35" t="n">
        <f aca="false">③仙台以降予測!W49</f>
        <v>0</v>
      </c>
      <c r="O25" s="38" t="n">
        <f aca="false">L25-M25-N25</f>
        <v>-2111</v>
      </c>
      <c r="P25" s="39" t="str">
        <f aca="false">IF(O25&gt;0,"要 追加生産",IF(L25=0,"—","在庫で充足"))</f>
        <v>在庫で充足</v>
      </c>
      <c r="Q25" s="35" t="n">
        <f aca="false">③仙台以降予測!Z49</f>
        <v>0</v>
      </c>
      <c r="R25" s="35" t="n">
        <f aca="false">K25+Q25</f>
        <v>0</v>
      </c>
      <c r="S25" s="34" t="n">
        <f aca="false">R25*D25</f>
        <v>0</v>
      </c>
      <c r="T25" s="72" t="s">
        <v>533</v>
      </c>
      <c r="U25" s="32"/>
      <c r="V25" s="71" t="str">
        <f aca="false">IF(OR(U25="",U25="再生産不可"),"",U25-前提・入力!$B$38)</f>
        <v/>
      </c>
      <c r="W25" s="69" t="str">
        <f aca="false">IF(T25="—","—",IF(U25="再生産不可","×再生産不可",_xlfn.IFS(V25&lt;0,"★期限超過",V25&lt;=30,"★至急(30日以内)",V25&lt;=90,"要着手(90日以内)",TRUE(),"余裕あり")))</f>
        <v>—</v>
      </c>
      <c r="X25" s="32" t="str">
        <f aca="false">IF(Y25&lt;&gt;"",IF(FALSE(),"S:現場欠品(追納不可)","S:現場欠品"),IF(I25&gt;0,"A:会期中欠品",IF(O25&gt;1000,"B:大口",IF(O25&gt;0,"C:通常","D:不要"))))</f>
        <v>D:不要</v>
      </c>
      <c r="Y25" s="72"/>
      <c r="Z25" s="72" t="str">
        <f aca="false">IF(Y25&lt;&gt;"",IF(I25&gt;0,"◎ 一致（モデルも会期中欠品を検知）",IF(H25&gt;=0.7,"○ 整合（予測消化率70%超）","△ モデル未検知：現場報告を優先")),IF(I25&gt;0,"▲ モデルのみ検知：現場に在庫状況を確認","—"))</f>
        <v>—</v>
      </c>
      <c r="AA25" s="69" t="s">
        <v>532</v>
      </c>
    </row>
    <row r="26" customFormat="false" ht="15" hidden="false" customHeight="false" outlineLevel="0" collapsed="false">
      <c r="A26" s="32" t="n">
        <v>20</v>
      </c>
      <c r="B26" s="32" t="s">
        <v>324</v>
      </c>
      <c r="C26" s="33" t="s">
        <v>325</v>
      </c>
      <c r="D26" s="34" t="n">
        <v>600</v>
      </c>
      <c r="E26" s="35" t="n">
        <f aca="false">①石川予測確定!E26</f>
        <v>5</v>
      </c>
      <c r="F26" s="35" t="n">
        <f aca="false">①石川予測確定!P26</f>
        <v>7</v>
      </c>
      <c r="G26" s="35" t="n">
        <f aca="false">①石川予測確定!S26</f>
        <v>17</v>
      </c>
      <c r="H26" s="37" t="n">
        <f aca="false">IFERROR(F26/G26,0)</f>
        <v>0.411764705882353</v>
      </c>
      <c r="I26" s="38" t="n">
        <f aca="false">F26-G26</f>
        <v>-10</v>
      </c>
      <c r="J26" s="39" t="str">
        <f aca="false">IF(I26&gt;0,"要 追加発注",IF(H26&gt;=0.9,"要注意(90%超)",IF(H26&gt;=0.5,"適正","在庫余剰")))</f>
        <v>在庫余剰</v>
      </c>
      <c r="K26" s="35" t="n">
        <f aca="false">IF(I26&gt;0,ROUNDUP(I26*(1+前提・入力!$B$34),0),0)</f>
        <v>0</v>
      </c>
      <c r="L26" s="35" t="n">
        <f aca="false">③仙台以降予測!M50</f>
        <v>104</v>
      </c>
      <c r="M26" s="35" t="n">
        <f aca="false">③仙台以降予測!V50</f>
        <v>276</v>
      </c>
      <c r="N26" s="35" t="n">
        <f aca="false">③仙台以降予測!W50</f>
        <v>0</v>
      </c>
      <c r="O26" s="38" t="n">
        <f aca="false">L26-M26-N26</f>
        <v>-172</v>
      </c>
      <c r="P26" s="39" t="str">
        <f aca="false">IF(O26&gt;0,"要 追加生産",IF(L26=0,"—","在庫で充足"))</f>
        <v>在庫で充足</v>
      </c>
      <c r="Q26" s="35" t="n">
        <f aca="false">③仙台以降予測!Z50</f>
        <v>0</v>
      </c>
      <c r="R26" s="35" t="n">
        <f aca="false">K26+Q26</f>
        <v>0</v>
      </c>
      <c r="S26" s="34" t="n">
        <f aca="false">R26*D26</f>
        <v>0</v>
      </c>
      <c r="T26" s="72" t="s">
        <v>533</v>
      </c>
      <c r="U26" s="32"/>
      <c r="V26" s="71" t="str">
        <f aca="false">IF(OR(U26="",U26="再生産不可"),"",U26-前提・入力!$B$38)</f>
        <v/>
      </c>
      <c r="W26" s="69" t="str">
        <f aca="false">IF(T26="—","—",IF(U26="再生産不可","×再生産不可",_xlfn.IFS(V26&lt;0,"★期限超過",V26&lt;=30,"★至急(30日以内)",V26&lt;=90,"要着手(90日以内)",TRUE(),"余裕あり")))</f>
        <v>—</v>
      </c>
      <c r="X26" s="32" t="str">
        <f aca="false">IF(Y26&lt;&gt;"",IF(FALSE(),"S:現場欠品(追納不可)","S:現場欠品"),IF(I26&gt;0,"A:会期中欠品",IF(O26&gt;1000,"B:大口",IF(O26&gt;0,"C:通常","D:不要"))))</f>
        <v>D:不要</v>
      </c>
      <c r="Y26" s="72"/>
      <c r="Z26" s="72" t="str">
        <f aca="false">IF(Y26&lt;&gt;"",IF(I26&gt;0,"◎ 一致（モデルも会期中欠品を検知）",IF(H26&gt;=0.7,"○ 整合（予測消化率70%超）","△ モデル未検知：現場報告を優先")),IF(I26&gt;0,"▲ モデルのみ検知：現場に在庫状況を確認","—"))</f>
        <v>—</v>
      </c>
      <c r="AA26" s="69" t="s">
        <v>532</v>
      </c>
    </row>
    <row r="27" customFormat="false" ht="25.35" hidden="false" customHeight="false" outlineLevel="0" collapsed="false">
      <c r="A27" s="32" t="n">
        <v>21</v>
      </c>
      <c r="B27" s="32" t="s">
        <v>326</v>
      </c>
      <c r="C27" s="33" t="s">
        <v>327</v>
      </c>
      <c r="D27" s="34" t="n">
        <v>600</v>
      </c>
      <c r="E27" s="35" t="n">
        <f aca="false">①石川予測確定!E27</f>
        <v>23</v>
      </c>
      <c r="F27" s="35" t="n">
        <f aca="false">①石川予測確定!P27</f>
        <v>30</v>
      </c>
      <c r="G27" s="35" t="n">
        <f aca="false">①石川予測確定!S27</f>
        <v>32</v>
      </c>
      <c r="H27" s="37" t="n">
        <f aca="false">IFERROR(F27/G27,0)</f>
        <v>0.9375</v>
      </c>
      <c r="I27" s="38" t="n">
        <f aca="false">F27-G27</f>
        <v>-2</v>
      </c>
      <c r="J27" s="39" t="str">
        <f aca="false">IF(I27&gt;0,"要 追加発注",IF(H27&gt;=0.9,"要注意(90%超)",IF(H27&gt;=0.5,"適正","在庫余剰")))</f>
        <v>要注意(90%超)</v>
      </c>
      <c r="K27" s="35" t="n">
        <f aca="false">IF(I27&gt;0,ROUNDUP(I27*(1+前提・入力!$B$34),0),0)</f>
        <v>0</v>
      </c>
      <c r="L27" s="35" t="n">
        <f aca="false">③仙台以降予測!M51</f>
        <v>484</v>
      </c>
      <c r="M27" s="35" t="n">
        <f aca="false">③仙台以降予測!V51</f>
        <v>190</v>
      </c>
      <c r="N27" s="35" t="n">
        <f aca="false">③仙台以降予測!W51</f>
        <v>0</v>
      </c>
      <c r="O27" s="38" t="n">
        <f aca="false">L27-M27-N27</f>
        <v>294</v>
      </c>
      <c r="P27" s="39" t="str">
        <f aca="false">IF(O27&gt;0,"要 追加生産",IF(L27=0,"—","在庫で充足"))</f>
        <v>要 追加生産</v>
      </c>
      <c r="Q27" s="35" t="n">
        <f aca="false">③仙台以降予測!Z51</f>
        <v>324</v>
      </c>
      <c r="R27" s="35" t="n">
        <f aca="false">K27+Q27</f>
        <v>324</v>
      </c>
      <c r="S27" s="34" t="n">
        <f aca="false">R27*D27</f>
        <v>194400</v>
      </c>
      <c r="T27" s="69" t="s">
        <v>385</v>
      </c>
      <c r="U27" s="70" t="n">
        <f aca="false">DATE(2027,3,15)-30-前提・入力!$B$37</f>
        <v>46417</v>
      </c>
      <c r="V27" s="71" t="n">
        <f aca="false">IF(OR(U27="",U27="再生産不可"),"",U27-前提・入力!$B$38)</f>
        <v>157</v>
      </c>
      <c r="W27" s="69" t="str">
        <f aca="false">IF(T27="—","—",IF(U27="再生産不可","×再生産不可",_xlfn.IFS(V27&lt;0,"★期限超過",V27&lt;=30,"★至急(30日以内)",V27&lt;=90,"要着手(90日以内)",TRUE(),"余裕あり")))</f>
        <v>余裕あり</v>
      </c>
      <c r="X27" s="32" t="str">
        <f aca="false">IF(Y27&lt;&gt;"",IF(FALSE(),"S:現場欠品(追納不可)","S:現場欠品"),IF(I27&gt;0,"A:会期中欠品",IF(O27&gt;1000,"B:大口",IF(O27&gt;0,"C:通常","D:不要"))))</f>
        <v>C:通常</v>
      </c>
      <c r="Y27" s="72"/>
      <c r="Z27" s="72" t="str">
        <f aca="false">IF(Y27&lt;&gt;"",IF(I27&gt;0,"◎ 一致（モデルも会期中欠品を検知）",IF(H27&gt;=0.7,"○ 整合（予測消化率70%超）","△ モデル未検知：現場報告を優先")),IF(I27&gt;0,"▲ モデルのみ検知：現場に在庫状況を確認","—"))</f>
        <v>—</v>
      </c>
      <c r="AA27" s="69" t="s">
        <v>534</v>
      </c>
    </row>
    <row r="28" customFormat="false" ht="15" hidden="false" customHeight="false" outlineLevel="0" collapsed="false">
      <c r="A28" s="32" t="n">
        <v>22</v>
      </c>
      <c r="B28" s="32" t="s">
        <v>328</v>
      </c>
      <c r="C28" s="33" t="s">
        <v>329</v>
      </c>
      <c r="D28" s="34" t="n">
        <v>600</v>
      </c>
      <c r="E28" s="35" t="n">
        <f aca="false">①石川予測確定!E28</f>
        <v>19</v>
      </c>
      <c r="F28" s="35" t="n">
        <f aca="false">①石川予測確定!P28</f>
        <v>27</v>
      </c>
      <c r="G28" s="35" t="n">
        <f aca="false">①石川予測確定!S28</f>
        <v>150</v>
      </c>
      <c r="H28" s="37" t="n">
        <f aca="false">IFERROR(F28/G28,0)</f>
        <v>0.18</v>
      </c>
      <c r="I28" s="38" t="n">
        <f aca="false">F28-G28</f>
        <v>-123</v>
      </c>
      <c r="J28" s="39" t="str">
        <f aca="false">IF(I28&gt;0,"要 追加発注",IF(H28&gt;=0.9,"要注意(90%超)",IF(H28&gt;=0.5,"適正","在庫余剰")))</f>
        <v>在庫余剰</v>
      </c>
      <c r="K28" s="35" t="n">
        <f aca="false">IF(I28&gt;0,ROUNDUP(I28*(1+前提・入力!$B$34),0),0)</f>
        <v>0</v>
      </c>
      <c r="L28" s="35" t="n">
        <f aca="false">③仙台以降予測!M52</f>
        <v>335</v>
      </c>
      <c r="M28" s="35" t="n">
        <f aca="false">③仙台以降予測!V52</f>
        <v>1254</v>
      </c>
      <c r="N28" s="35" t="n">
        <f aca="false">③仙台以降予測!W52</f>
        <v>0</v>
      </c>
      <c r="O28" s="38" t="n">
        <f aca="false">L28-M28-N28</f>
        <v>-919</v>
      </c>
      <c r="P28" s="39" t="str">
        <f aca="false">IF(O28&gt;0,"要 追加生産",IF(L28=0,"—","在庫で充足"))</f>
        <v>在庫で充足</v>
      </c>
      <c r="Q28" s="35" t="n">
        <f aca="false">③仙台以降予測!Z52</f>
        <v>0</v>
      </c>
      <c r="R28" s="35" t="n">
        <f aca="false">K28+Q28</f>
        <v>0</v>
      </c>
      <c r="S28" s="34" t="n">
        <f aca="false">R28*D28</f>
        <v>0</v>
      </c>
      <c r="T28" s="72" t="s">
        <v>533</v>
      </c>
      <c r="U28" s="32"/>
      <c r="V28" s="71" t="str">
        <f aca="false">IF(OR(U28="",U28="再生産不可"),"",U28-前提・入力!$B$38)</f>
        <v/>
      </c>
      <c r="W28" s="69" t="str">
        <f aca="false">IF(T28="—","—",IF(U28="再生産不可","×再生産不可",_xlfn.IFS(V28&lt;0,"★期限超過",V28&lt;=30,"★至急(30日以内)",V28&lt;=90,"要着手(90日以内)",TRUE(),"余裕あり")))</f>
        <v>—</v>
      </c>
      <c r="X28" s="32" t="str">
        <f aca="false">IF(Y28&lt;&gt;"",IF(FALSE(),"S:現場欠品(追納不可)","S:現場欠品"),IF(I28&gt;0,"A:会期中欠品",IF(O28&gt;1000,"B:大口",IF(O28&gt;0,"C:通常","D:不要"))))</f>
        <v>D:不要</v>
      </c>
      <c r="Y28" s="72"/>
      <c r="Z28" s="72" t="str">
        <f aca="false">IF(Y28&lt;&gt;"",IF(I28&gt;0,"◎ 一致（モデルも会期中欠品を検知）",IF(H28&gt;=0.7,"○ 整合（予測消化率70%超）","△ モデル未検知：現場報告を優先")),IF(I28&gt;0,"▲ モデルのみ検知：現場に在庫状況を確認","—"))</f>
        <v>—</v>
      </c>
      <c r="AA28" s="69" t="s">
        <v>532</v>
      </c>
    </row>
    <row r="29" customFormat="false" ht="15" hidden="false" customHeight="false" outlineLevel="0" collapsed="false">
      <c r="A29" s="32" t="n">
        <v>23</v>
      </c>
      <c r="B29" s="32" t="s">
        <v>330</v>
      </c>
      <c r="C29" s="33" t="s">
        <v>331</v>
      </c>
      <c r="D29" s="34" t="n">
        <v>600</v>
      </c>
      <c r="E29" s="35" t="n">
        <f aca="false">①石川予測確定!E29</f>
        <v>1018</v>
      </c>
      <c r="F29" s="35" t="n">
        <f aca="false">①石川予測確定!P29</f>
        <v>1292</v>
      </c>
      <c r="G29" s="35" t="n">
        <f aca="false">①石川予測確定!S29</f>
        <v>9325</v>
      </c>
      <c r="H29" s="37" t="n">
        <f aca="false">IFERROR(F29/G29,0)</f>
        <v>0.138552278820375</v>
      </c>
      <c r="I29" s="38" t="n">
        <f aca="false">F29-G29</f>
        <v>-8033</v>
      </c>
      <c r="J29" s="39" t="str">
        <f aca="false">IF(I29&gt;0,"要 追加発注",IF(H29&gt;=0.9,"要注意(90%超)",IF(H29&gt;=0.5,"適正","在庫余剰")))</f>
        <v>在庫余剰</v>
      </c>
      <c r="K29" s="35" t="n">
        <f aca="false">IF(I29&gt;0,ROUNDUP(I29*(1+前提・入力!$B$34),0),0)</f>
        <v>0</v>
      </c>
      <c r="L29" s="35" t="n">
        <f aca="false">③仙台以降予測!M53</f>
        <v>15263</v>
      </c>
      <c r="M29" s="35" t="n">
        <f aca="false">③仙台以降予測!V53</f>
        <v>48729</v>
      </c>
      <c r="N29" s="35" t="n">
        <f aca="false">③仙台以降予測!W53</f>
        <v>0</v>
      </c>
      <c r="O29" s="38" t="n">
        <f aca="false">L29-M29-N29</f>
        <v>-33466</v>
      </c>
      <c r="P29" s="39" t="str">
        <f aca="false">IF(O29&gt;0,"要 追加生産",IF(L29=0,"—","在庫で充足"))</f>
        <v>在庫で充足</v>
      </c>
      <c r="Q29" s="35" t="n">
        <f aca="false">③仙台以降予測!Z53</f>
        <v>0</v>
      </c>
      <c r="R29" s="35" t="n">
        <f aca="false">K29+Q29</f>
        <v>0</v>
      </c>
      <c r="S29" s="34" t="n">
        <f aca="false">R29*D29</f>
        <v>0</v>
      </c>
      <c r="T29" s="72" t="s">
        <v>533</v>
      </c>
      <c r="U29" s="32"/>
      <c r="V29" s="71" t="str">
        <f aca="false">IF(OR(U29="",U29="再生産不可"),"",U29-前提・入力!$B$38)</f>
        <v/>
      </c>
      <c r="W29" s="69" t="str">
        <f aca="false">IF(T29="—","—",IF(U29="再生産不可","×再生産不可",_xlfn.IFS(V29&lt;0,"★期限超過",V29&lt;=30,"★至急(30日以内)",V29&lt;=90,"要着手(90日以内)",TRUE(),"余裕あり")))</f>
        <v>—</v>
      </c>
      <c r="X29" s="32" t="str">
        <f aca="false">IF(Y29&lt;&gt;"",IF(FALSE(),"S:現場欠品(追納不可)","S:現場欠品"),IF(I29&gt;0,"A:会期中欠品",IF(O29&gt;1000,"B:大口",IF(O29&gt;0,"C:通常","D:不要"))))</f>
        <v>D:不要</v>
      </c>
      <c r="Y29" s="72"/>
      <c r="Z29" s="72" t="str">
        <f aca="false">IF(Y29&lt;&gt;"",IF(I29&gt;0,"◎ 一致（モデルも会期中欠品を検知）",IF(H29&gt;=0.7,"○ 整合（予測消化率70%超）","△ モデル未検知：現場報告を優先")),IF(I29&gt;0,"▲ モデルのみ検知：現場に在庫状況を確認","—"))</f>
        <v>—</v>
      </c>
      <c r="AA29" s="69"/>
    </row>
    <row r="30" customFormat="false" ht="15" hidden="false" customHeight="false" outlineLevel="0" collapsed="false">
      <c r="A30" s="32" t="n">
        <v>24</v>
      </c>
      <c r="B30" s="32" t="s">
        <v>332</v>
      </c>
      <c r="C30" s="33" t="s">
        <v>333</v>
      </c>
      <c r="D30" s="34" t="n">
        <v>600</v>
      </c>
      <c r="E30" s="35" t="n">
        <f aca="false">①石川予測確定!E30</f>
        <v>668</v>
      </c>
      <c r="F30" s="35" t="n">
        <f aca="false">①石川予測確定!P30</f>
        <v>865</v>
      </c>
      <c r="G30" s="35" t="n">
        <f aca="false">①石川予測確定!S30</f>
        <v>7284</v>
      </c>
      <c r="H30" s="37" t="n">
        <f aca="false">IFERROR(F30/G30,0)</f>
        <v>0.118753432180121</v>
      </c>
      <c r="I30" s="38" t="n">
        <f aca="false">F30-G30</f>
        <v>-6419</v>
      </c>
      <c r="J30" s="39" t="str">
        <f aca="false">IF(I30&gt;0,"要 追加発注",IF(H30&gt;=0.9,"要注意(90%超)",IF(H30&gt;=0.5,"適正","在庫余剰")))</f>
        <v>在庫余剰</v>
      </c>
      <c r="K30" s="35" t="n">
        <f aca="false">IF(I30&gt;0,ROUNDUP(I30*(1+前提・入力!$B$34),0),0)</f>
        <v>0</v>
      </c>
      <c r="L30" s="35" t="n">
        <f aca="false">③仙台以降予測!M54</f>
        <v>9388</v>
      </c>
      <c r="M30" s="35" t="n">
        <f aca="false">③仙台以降予測!V54</f>
        <v>30130</v>
      </c>
      <c r="N30" s="35" t="n">
        <f aca="false">③仙台以降予測!W54</f>
        <v>0</v>
      </c>
      <c r="O30" s="38" t="n">
        <f aca="false">L30-M30-N30</f>
        <v>-20742</v>
      </c>
      <c r="P30" s="39" t="str">
        <f aca="false">IF(O30&gt;0,"要 追加生産",IF(L30=0,"—","在庫で充足"))</f>
        <v>在庫で充足</v>
      </c>
      <c r="Q30" s="35" t="n">
        <f aca="false">③仙台以降予測!Z54</f>
        <v>0</v>
      </c>
      <c r="R30" s="35" t="n">
        <f aca="false">K30+Q30</f>
        <v>0</v>
      </c>
      <c r="S30" s="34" t="n">
        <f aca="false">R30*D30</f>
        <v>0</v>
      </c>
      <c r="T30" s="72" t="s">
        <v>533</v>
      </c>
      <c r="U30" s="32"/>
      <c r="V30" s="71" t="str">
        <f aca="false">IF(OR(U30="",U30="再生産不可"),"",U30-前提・入力!$B$38)</f>
        <v/>
      </c>
      <c r="W30" s="69" t="str">
        <f aca="false">IF(T30="—","—",IF(U30="再生産不可","×再生産不可",_xlfn.IFS(V30&lt;0,"★期限超過",V30&lt;=30,"★至急(30日以内)",V30&lt;=90,"要着手(90日以内)",TRUE(),"余裕あり")))</f>
        <v>—</v>
      </c>
      <c r="X30" s="32" t="str">
        <f aca="false">IF(Y30&lt;&gt;"",IF(FALSE(),"S:現場欠品(追納不可)","S:現場欠品"),IF(I30&gt;0,"A:会期中欠品",IF(O30&gt;1000,"B:大口",IF(O30&gt;0,"C:通常","D:不要"))))</f>
        <v>D:不要</v>
      </c>
      <c r="Y30" s="72"/>
      <c r="Z30" s="72" t="str">
        <f aca="false">IF(Y30&lt;&gt;"",IF(I30&gt;0,"◎ 一致（モデルも会期中欠品を検知）",IF(H30&gt;=0.7,"○ 整合（予測消化率70%超）","△ モデル未検知：現場報告を優先")),IF(I30&gt;0,"▲ モデルのみ検知：現場に在庫状況を確認","—"))</f>
        <v>—</v>
      </c>
      <c r="AA30" s="69"/>
    </row>
    <row r="31" customFormat="false" ht="15" hidden="false" customHeight="false" outlineLevel="0" collapsed="false">
      <c r="A31" s="32" t="n">
        <v>25</v>
      </c>
      <c r="B31" s="32" t="s">
        <v>334</v>
      </c>
      <c r="C31" s="33" t="s">
        <v>335</v>
      </c>
      <c r="D31" s="34" t="n">
        <v>1500</v>
      </c>
      <c r="E31" s="35" t="n">
        <f aca="false">①石川予測確定!E31</f>
        <v>43</v>
      </c>
      <c r="F31" s="35" t="n">
        <f aca="false">①石川予測確定!P31</f>
        <v>58</v>
      </c>
      <c r="G31" s="35" t="n">
        <f aca="false">①石川予測確定!S31</f>
        <v>176</v>
      </c>
      <c r="H31" s="37" t="n">
        <f aca="false">IFERROR(F31/G31,0)</f>
        <v>0.329545454545455</v>
      </c>
      <c r="I31" s="38" t="n">
        <f aca="false">F31-G31</f>
        <v>-118</v>
      </c>
      <c r="J31" s="39" t="str">
        <f aca="false">IF(I31&gt;0,"要 追加発注",IF(H31&gt;=0.9,"要注意(90%超)",IF(H31&gt;=0.5,"適正","在庫余剰")))</f>
        <v>在庫余剰</v>
      </c>
      <c r="K31" s="35" t="n">
        <f aca="false">IF(I31&gt;0,ROUNDUP(I31*(1+前提・入力!$B$34),0),0)</f>
        <v>0</v>
      </c>
      <c r="L31" s="35" t="n">
        <f aca="false">③仙台以降予測!M55</f>
        <v>534</v>
      </c>
      <c r="M31" s="35" t="n">
        <f aca="false">③仙台以降予測!V55</f>
        <v>3393</v>
      </c>
      <c r="N31" s="35" t="n">
        <f aca="false">③仙台以降予測!W55</f>
        <v>0</v>
      </c>
      <c r="O31" s="38" t="n">
        <f aca="false">L31-M31-N31</f>
        <v>-2859</v>
      </c>
      <c r="P31" s="39" t="str">
        <f aca="false">IF(O31&gt;0,"要 追加生産",IF(L31=0,"—","在庫で充足"))</f>
        <v>在庫で充足</v>
      </c>
      <c r="Q31" s="35" t="n">
        <f aca="false">③仙台以降予測!Z55</f>
        <v>0</v>
      </c>
      <c r="R31" s="35" t="n">
        <f aca="false">K31+Q31</f>
        <v>0</v>
      </c>
      <c r="S31" s="34" t="n">
        <f aca="false">R31*D31</f>
        <v>0</v>
      </c>
      <c r="T31" s="72" t="s">
        <v>533</v>
      </c>
      <c r="U31" s="32"/>
      <c r="V31" s="71" t="str">
        <f aca="false">IF(OR(U31="",U31="再生産不可"),"",U31-前提・入力!$B$38)</f>
        <v/>
      </c>
      <c r="W31" s="69" t="str">
        <f aca="false">IF(T31="—","—",IF(U31="再生産不可","×再生産不可",_xlfn.IFS(V31&lt;0,"★期限超過",V31&lt;=30,"★至急(30日以内)",V31&lt;=90,"要着手(90日以内)",TRUE(),"余裕あり")))</f>
        <v>—</v>
      </c>
      <c r="X31" s="32" t="str">
        <f aca="false">IF(Y31&lt;&gt;"",IF(FALSE(),"S:現場欠品(追納不可)","S:現場欠品"),IF(I31&gt;0,"A:会期中欠品",IF(O31&gt;1000,"B:大口",IF(O31&gt;0,"C:通常","D:不要"))))</f>
        <v>D:不要</v>
      </c>
      <c r="Y31" s="72"/>
      <c r="Z31" s="72" t="str">
        <f aca="false">IF(Y31&lt;&gt;"",IF(I31&gt;0,"◎ 一致（モデルも会期中欠品を検知）",IF(H31&gt;=0.7,"○ 整合（予測消化率70%超）","△ モデル未検知：現場報告を優先")),IF(I31&gt;0,"▲ モデルのみ検知：現場に在庫状況を確認","—"))</f>
        <v>—</v>
      </c>
      <c r="AA31" s="69" t="s">
        <v>532</v>
      </c>
    </row>
    <row r="32" customFormat="false" ht="25.35" hidden="false" customHeight="false" outlineLevel="0" collapsed="false">
      <c r="A32" s="32" t="n">
        <v>26</v>
      </c>
      <c r="B32" s="32" t="s">
        <v>336</v>
      </c>
      <c r="C32" s="33" t="s">
        <v>337</v>
      </c>
      <c r="D32" s="34" t="n">
        <v>2200</v>
      </c>
      <c r="E32" s="35" t="n">
        <f aca="false">①石川予測確定!E32</f>
        <v>50</v>
      </c>
      <c r="F32" s="35" t="n">
        <f aca="false">①石川予測確定!P32</f>
        <v>70</v>
      </c>
      <c r="G32" s="35" t="n">
        <f aca="false">①石川予測確定!S32</f>
        <v>50</v>
      </c>
      <c r="H32" s="37" t="n">
        <f aca="false">IFERROR(F32/G32,0)</f>
        <v>1.4</v>
      </c>
      <c r="I32" s="38" t="n">
        <f aca="false">F32-G32</f>
        <v>20</v>
      </c>
      <c r="J32" s="39" t="str">
        <f aca="false">IF(I32&gt;0,"要 追加発注",IF(H32&gt;=0.9,"要注意(90%超)",IF(H32&gt;=0.5,"適正","在庫余剰")))</f>
        <v>要 追加発注</v>
      </c>
      <c r="K32" s="35" t="n">
        <f aca="false">IF(I32&gt;0,ROUNDUP(I32*(1+前提・入力!$B$34),0),0)</f>
        <v>22</v>
      </c>
      <c r="L32" s="35" t="n">
        <f aca="false">③仙台以降予測!M56</f>
        <v>1112</v>
      </c>
      <c r="M32" s="35" t="n">
        <f aca="false">③仙台以降予測!V56</f>
        <v>229</v>
      </c>
      <c r="N32" s="35" t="n">
        <f aca="false">③仙台以降予測!W56</f>
        <v>0</v>
      </c>
      <c r="O32" s="38" t="n">
        <f aca="false">L32-M32-N32</f>
        <v>883</v>
      </c>
      <c r="P32" s="39" t="str">
        <f aca="false">IF(O32&gt;0,"要 追加生産",IF(L32=0,"—","在庫で充足"))</f>
        <v>要 追加生産</v>
      </c>
      <c r="Q32" s="35" t="n">
        <f aca="false">③仙台以降予測!Z56</f>
        <v>972</v>
      </c>
      <c r="R32" s="35" t="n">
        <f aca="false">K32+Q32</f>
        <v>994</v>
      </c>
      <c r="S32" s="34" t="n">
        <f aca="false">R32*D32</f>
        <v>2186800</v>
      </c>
      <c r="T32" s="69" t="s">
        <v>384</v>
      </c>
      <c r="U32" s="70" t="n">
        <f aca="false">DATE(2026,12,16)-75-前提・入力!$B$37</f>
        <v>46283</v>
      </c>
      <c r="V32" s="71" t="n">
        <f aca="false">IF(OR(U32="",U32="再生産不可"),"",U32-前提・入力!$B$38)</f>
        <v>23</v>
      </c>
      <c r="W32" s="69" t="str">
        <f aca="false">IF(T32="—","—",IF(U32="再生産不可","×再生産不可",_xlfn.IFS(V32&lt;0,"★期限超過",V32&lt;=30,"★至急(30日以内)",V32&lt;=90,"要着手(90日以内)",TRUE(),"余裕あり")))</f>
        <v>★至急(30日以内)</v>
      </c>
      <c r="X32" s="32" t="str">
        <f aca="false">IF(Y32&lt;&gt;"",IF(FALSE(),"S:現場欠品(追納不可)","S:現場欠品"),IF(I32&gt;0,"A:会期中欠品",IF(O32&gt;1000,"B:大口",IF(O32&gt;0,"C:通常","D:不要"))))</f>
        <v>A:会期中欠品</v>
      </c>
      <c r="Y32" s="72"/>
      <c r="Z32" s="72" t="str">
        <f aca="false">IF(Y32&lt;&gt;"",IF(I32&gt;0,"◎ 一致（モデルも会期中欠品を検知）",IF(H32&gt;=0.7,"○ 整合（予測消化率70%超）","△ モデル未検知：現場報告を優先")),IF(I32&gt;0,"▲ モデルのみ検知：現場に在庫状況を確認","—"))</f>
        <v>▲ モデルのみ検知：現場に在庫状況を確認</v>
      </c>
      <c r="AA32" s="69" t="s">
        <v>535</v>
      </c>
    </row>
    <row r="33" customFormat="false" ht="15" hidden="false" customHeight="false" outlineLevel="0" collapsed="false">
      <c r="A33" s="32" t="n">
        <v>27</v>
      </c>
      <c r="B33" s="32" t="s">
        <v>338</v>
      </c>
      <c r="C33" s="33" t="s">
        <v>339</v>
      </c>
      <c r="D33" s="34" t="n">
        <v>1100</v>
      </c>
      <c r="E33" s="35" t="n">
        <f aca="false">①石川予測確定!E33</f>
        <v>13</v>
      </c>
      <c r="F33" s="35" t="n">
        <f aca="false">①石川予測確定!P33</f>
        <v>18</v>
      </c>
      <c r="G33" s="35" t="n">
        <f aca="false">①石川予測確定!S33</f>
        <v>70</v>
      </c>
      <c r="H33" s="37" t="n">
        <f aca="false">IFERROR(F33/G33,0)</f>
        <v>0.257142857142857</v>
      </c>
      <c r="I33" s="38" t="n">
        <f aca="false">F33-G33</f>
        <v>-52</v>
      </c>
      <c r="J33" s="39" t="str">
        <f aca="false">IF(I33&gt;0,"要 追加発注",IF(H33&gt;=0.9,"要注意(90%超)",IF(H33&gt;=0.5,"適正","在庫余剰")))</f>
        <v>在庫余剰</v>
      </c>
      <c r="K33" s="35" t="n">
        <f aca="false">IF(I33&gt;0,ROUNDUP(I33*(1+前提・入力!$B$34),0),0)</f>
        <v>0</v>
      </c>
      <c r="L33" s="35" t="n">
        <f aca="false">③仙台以降予測!M57</f>
        <v>280</v>
      </c>
      <c r="M33" s="35" t="n">
        <f aca="false">③仙台以降予測!V57</f>
        <v>1131</v>
      </c>
      <c r="N33" s="35" t="n">
        <f aca="false">③仙台以降予測!W57</f>
        <v>0</v>
      </c>
      <c r="O33" s="38" t="n">
        <f aca="false">L33-M33-N33</f>
        <v>-851</v>
      </c>
      <c r="P33" s="39" t="str">
        <f aca="false">IF(O33&gt;0,"要 追加生産",IF(L33=0,"—","在庫で充足"))</f>
        <v>在庫で充足</v>
      </c>
      <c r="Q33" s="35" t="n">
        <f aca="false">③仙台以降予測!Z57</f>
        <v>0</v>
      </c>
      <c r="R33" s="35" t="n">
        <f aca="false">K33+Q33</f>
        <v>0</v>
      </c>
      <c r="S33" s="34" t="n">
        <f aca="false">R33*D33</f>
        <v>0</v>
      </c>
      <c r="T33" s="72" t="s">
        <v>533</v>
      </c>
      <c r="U33" s="32"/>
      <c r="V33" s="71" t="str">
        <f aca="false">IF(OR(U33="",U33="再生産不可"),"",U33-前提・入力!$B$38)</f>
        <v/>
      </c>
      <c r="W33" s="69" t="str">
        <f aca="false">IF(T33="—","—",IF(U33="再生産不可","×再生産不可",_xlfn.IFS(V33&lt;0,"★期限超過",V33&lt;=30,"★至急(30日以内)",V33&lt;=90,"要着手(90日以内)",TRUE(),"余裕あり")))</f>
        <v>—</v>
      </c>
      <c r="X33" s="32" t="str">
        <f aca="false">IF(Y33&lt;&gt;"",IF(FALSE(),"S:現場欠品(追納不可)","S:現場欠品"),IF(I33&gt;0,"A:会期中欠品",IF(O33&gt;1000,"B:大口",IF(O33&gt;0,"C:通常","D:不要"))))</f>
        <v>D:不要</v>
      </c>
      <c r="Y33" s="72"/>
      <c r="Z33" s="72" t="str">
        <f aca="false">IF(Y33&lt;&gt;"",IF(I33&gt;0,"◎ 一致（モデルも会期中欠品を検知）",IF(H33&gt;=0.7,"○ 整合（予測消化率70%超）","△ モデル未検知：現場報告を優先")),IF(I33&gt;0,"▲ モデルのみ検知：現場に在庫状況を確認","—"))</f>
        <v>—</v>
      </c>
      <c r="AA33" s="69" t="s">
        <v>532</v>
      </c>
    </row>
    <row r="34" customFormat="false" ht="49.25" hidden="false" customHeight="false" outlineLevel="0" collapsed="false">
      <c r="A34" s="32" t="n">
        <v>28</v>
      </c>
      <c r="B34" s="32" t="s">
        <v>340</v>
      </c>
      <c r="C34" s="33" t="s">
        <v>341</v>
      </c>
      <c r="D34" s="34" t="n">
        <v>1800</v>
      </c>
      <c r="E34" s="35" t="n">
        <f aca="false">①石川予測確定!E34</f>
        <v>80</v>
      </c>
      <c r="F34" s="35" t="n">
        <f aca="false">①石川予測確定!P34</f>
        <v>92</v>
      </c>
      <c r="G34" s="35" t="n">
        <f aca="false">①石川予測確定!S34</f>
        <v>80</v>
      </c>
      <c r="H34" s="37" t="n">
        <f aca="false">IFERROR(F34/G34,0)</f>
        <v>1.15</v>
      </c>
      <c r="I34" s="38" t="n">
        <f aca="false">F34-G34</f>
        <v>12</v>
      </c>
      <c r="J34" s="39" t="str">
        <f aca="false">IF(I34&gt;0,"要 追加発注",IF(H34&gt;=0.9,"要注意(90%超)",IF(H34&gt;=0.5,"適正","在庫余剰")))</f>
        <v>要 追加発注</v>
      </c>
      <c r="K34" s="35" t="n">
        <f aca="false">IF(I34&gt;0,ROUNDUP(I34*(1+前提・入力!$B$34),0),0)</f>
        <v>14</v>
      </c>
      <c r="L34" s="35" t="n">
        <f aca="false">③仙台以降予測!M58</f>
        <v>1589</v>
      </c>
      <c r="M34" s="35" t="n">
        <f aca="false">③仙台以降予測!V58</f>
        <v>68</v>
      </c>
      <c r="N34" s="35" t="n">
        <f aca="false">③仙台以降予測!W58</f>
        <v>1200</v>
      </c>
      <c r="O34" s="38" t="n">
        <f aca="false">L34-M34-N34</f>
        <v>321</v>
      </c>
      <c r="P34" s="39" t="str">
        <f aca="false">IF(O34&gt;0,"要 追加生産",IF(L34=0,"—","在庫で充足"))</f>
        <v>要 追加生産</v>
      </c>
      <c r="Q34" s="35" t="n">
        <f aca="false">③仙台以降予測!Z58</f>
        <v>354</v>
      </c>
      <c r="R34" s="35" t="n">
        <f aca="false">K34+Q34</f>
        <v>368</v>
      </c>
      <c r="S34" s="34" t="n">
        <f aca="false">R34*D34</f>
        <v>662400</v>
      </c>
      <c r="T34" s="69" t="s">
        <v>536</v>
      </c>
      <c r="U34" s="70" t="n">
        <f aca="false">DATE(2026,9,5)-90-前提・入力!$B$37</f>
        <v>46166</v>
      </c>
      <c r="V34" s="71" t="n">
        <f aca="false">IF(OR(U34="",U34="再生産不可"),"",U34-前提・入力!$B$38)</f>
        <v>-94</v>
      </c>
      <c r="W34" s="69" t="s">
        <v>537</v>
      </c>
      <c r="X34" s="32" t="str">
        <f aca="false">IF(Y34&lt;&gt;"",IF(FALSE(),"S:現場欠品(追納不可)","S:現場欠品"),IF(I34&gt;0,"A:会期中欠品",IF(O34&gt;1000,"B:大口",IF(O34&gt;0,"C:通常","D:不要"))))</f>
        <v>A:会期中欠品</v>
      </c>
      <c r="Y34" s="72"/>
      <c r="Z34" s="72" t="str">
        <f aca="false">IF(Y34&lt;&gt;"",IF(I34&gt;0,"◎ 一致（モデルも会期中欠品を検知）",IF(H34&gt;=0.7,"○ 整合（予測消化率70%超）","△ モデル未検知：現場報告を優先")),IF(I34&gt;0,"▲ モデルのみ検知：現場に在庫状況を確認","—"))</f>
        <v>▲ モデルのみ検知：現場に在庫状況を確認</v>
      </c>
      <c r="AA34" s="69" t="s">
        <v>538</v>
      </c>
    </row>
    <row r="35" customFormat="false" ht="37.3" hidden="false" customHeight="false" outlineLevel="0" collapsed="false">
      <c r="A35" s="32" t="n">
        <v>29</v>
      </c>
      <c r="B35" s="32" t="s">
        <v>342</v>
      </c>
      <c r="C35" s="33" t="s">
        <v>343</v>
      </c>
      <c r="D35" s="34" t="n">
        <v>1500</v>
      </c>
      <c r="E35" s="35" t="n">
        <f aca="false">①石川予測確定!E35</f>
        <v>71</v>
      </c>
      <c r="F35" s="35" t="n">
        <f aca="false">①石川予測確定!P35</f>
        <v>83</v>
      </c>
      <c r="G35" s="35" t="n">
        <f aca="false">①石川予測確定!S35</f>
        <v>120</v>
      </c>
      <c r="H35" s="37" t="n">
        <f aca="false">IFERROR(F35/G35,0)</f>
        <v>0.691666666666667</v>
      </c>
      <c r="I35" s="38" t="n">
        <f aca="false">F35-G35</f>
        <v>-37</v>
      </c>
      <c r="J35" s="39" t="str">
        <f aca="false">IF(I35&gt;0,"要 追加発注",IF(H35&gt;=0.9,"要注意(90%超)",IF(H35&gt;=0.5,"適正","在庫余剰")))</f>
        <v>適正</v>
      </c>
      <c r="K35" s="35" t="n">
        <f aca="false">IF(I35&gt;0,ROUNDUP(I35*(1+前提・入力!$B$34),0),0)</f>
        <v>0</v>
      </c>
      <c r="L35" s="35" t="n">
        <f aca="false">③仙台以降予測!M59</f>
        <v>1052</v>
      </c>
      <c r="M35" s="35" t="n">
        <f aca="false">③仙台以降予測!V59</f>
        <v>177</v>
      </c>
      <c r="N35" s="35" t="n">
        <f aca="false">③仙台以降予測!W59</f>
        <v>0</v>
      </c>
      <c r="O35" s="38" t="n">
        <f aca="false">L35-M35-N35</f>
        <v>875</v>
      </c>
      <c r="P35" s="39" t="str">
        <f aca="false">IF(O35&gt;0,"要 追加生産",IF(L35=0,"—","在庫で充足"))</f>
        <v>要 追加生産</v>
      </c>
      <c r="Q35" s="35" t="n">
        <f aca="false">③仙台以降予測!Z59</f>
        <v>963</v>
      </c>
      <c r="R35" s="35" t="n">
        <f aca="false">K35+Q35</f>
        <v>963</v>
      </c>
      <c r="S35" s="34" t="n">
        <f aca="false">R35*D35</f>
        <v>1444500</v>
      </c>
      <c r="T35" s="69" t="s">
        <v>384</v>
      </c>
      <c r="U35" s="70" t="n">
        <f aca="false">DATE(2026,12,16)-90-前提・入力!$B$37</f>
        <v>46268</v>
      </c>
      <c r="V35" s="71" t="n">
        <f aca="false">IF(OR(U35="",U35="再生産不可"),"",U35-前提・入力!$B$38)</f>
        <v>8</v>
      </c>
      <c r="W35" s="69" t="str">
        <f aca="false">IF(T35="—","—",IF(U35="再生産不可","×再生産不可",_xlfn.IFS(V35&lt;0,"★期限超過",V35&lt;=30,"★至急(30日以内)",V35&lt;=90,"要着手(90日以内)",TRUE(),"余裕あり")))</f>
        <v>★至急(30日以内)</v>
      </c>
      <c r="X35" s="32" t="str">
        <f aca="false">IF(Y35&lt;&gt;"",IF(FALSE(),"S:現場欠品(追納不可)","S:現場欠品"),IF(I35&gt;0,"A:会期中欠品",IF(O35&gt;1000,"B:大口",IF(O35&gt;0,"C:通常","D:不要"))))</f>
        <v>C:通常</v>
      </c>
      <c r="Y35" s="72"/>
      <c r="Z35" s="72" t="str">
        <f aca="false">IF(Y35&lt;&gt;"",IF(I35&gt;0,"◎ 一致（モデルも会期中欠品を検知）",IF(H35&gt;=0.7,"○ 整合（予測消化率70%超）","△ モデル未検知：現場報告を優先")),IF(I35&gt;0,"▲ モデルのみ検知：現場に在庫状況を確認","—"))</f>
        <v>—</v>
      </c>
      <c r="AA35" s="69" t="s">
        <v>539</v>
      </c>
    </row>
    <row r="36" customFormat="false" ht="15" hidden="false" customHeight="false" outlineLevel="0" collapsed="false">
      <c r="A36" s="32" t="n">
        <v>30</v>
      </c>
      <c r="B36" s="32" t="s">
        <v>344</v>
      </c>
      <c r="C36" s="33" t="s">
        <v>345</v>
      </c>
      <c r="D36" s="34" t="n">
        <v>3300</v>
      </c>
      <c r="E36" s="35" t="n">
        <f aca="false">①石川予測確定!E36</f>
        <v>34</v>
      </c>
      <c r="F36" s="35" t="n">
        <f aca="false">①石川予測確定!P36</f>
        <v>45</v>
      </c>
      <c r="G36" s="35" t="n">
        <f aca="false">①石川予測確定!S36</f>
        <v>278</v>
      </c>
      <c r="H36" s="37" t="n">
        <f aca="false">IFERROR(F36/G36,0)</f>
        <v>0.161870503597122</v>
      </c>
      <c r="I36" s="38" t="n">
        <f aca="false">F36-G36</f>
        <v>-233</v>
      </c>
      <c r="J36" s="39" t="str">
        <f aca="false">IF(I36&gt;0,"要 追加発注",IF(H36&gt;=0.9,"要注意(90%超)",IF(H36&gt;=0.5,"適正","在庫余剰")))</f>
        <v>在庫余剰</v>
      </c>
      <c r="K36" s="35" t="n">
        <f aca="false">IF(I36&gt;0,ROUNDUP(I36*(1+前提・入力!$B$34),0),0)</f>
        <v>0</v>
      </c>
      <c r="L36" s="35" t="n">
        <f aca="false">③仙台以降予測!M60</f>
        <v>519</v>
      </c>
      <c r="M36" s="35" t="n">
        <f aca="false">③仙台以降予測!V60</f>
        <v>781</v>
      </c>
      <c r="N36" s="35" t="n">
        <f aca="false">③仙台以降予測!W60</f>
        <v>0</v>
      </c>
      <c r="O36" s="38" t="n">
        <f aca="false">L36-M36-N36</f>
        <v>-262</v>
      </c>
      <c r="P36" s="39" t="str">
        <f aca="false">IF(O36&gt;0,"要 追加生産",IF(L36=0,"—","在庫で充足"))</f>
        <v>在庫で充足</v>
      </c>
      <c r="Q36" s="35" t="n">
        <f aca="false">③仙台以降予測!Z60</f>
        <v>0</v>
      </c>
      <c r="R36" s="35" t="n">
        <f aca="false">K36+Q36</f>
        <v>0</v>
      </c>
      <c r="S36" s="34" t="n">
        <f aca="false">R36*D36</f>
        <v>0</v>
      </c>
      <c r="T36" s="72" t="s">
        <v>533</v>
      </c>
      <c r="U36" s="32"/>
      <c r="V36" s="71" t="str">
        <f aca="false">IF(OR(U36="",U36="再生産不可"),"",U36-前提・入力!$B$38)</f>
        <v/>
      </c>
      <c r="W36" s="69" t="str">
        <f aca="false">IF(T36="—","—",IF(U36="再生産不可","×再生産不可",_xlfn.IFS(V36&lt;0,"★期限超過",V36&lt;=30,"★至急(30日以内)",V36&lt;=90,"要着手(90日以内)",TRUE(),"余裕あり")))</f>
        <v>—</v>
      </c>
      <c r="X36" s="32" t="str">
        <f aca="false">IF(Y36&lt;&gt;"",IF(FALSE(),"S:現場欠品(追納不可)","S:現場欠品"),IF(I36&gt;0,"A:会期中欠品",IF(O36&gt;1000,"B:大口",IF(O36&gt;0,"C:通常","D:不要"))))</f>
        <v>D:不要</v>
      </c>
      <c r="Y36" s="72"/>
      <c r="Z36" s="72" t="str">
        <f aca="false">IF(Y36&lt;&gt;"",IF(I36&gt;0,"◎ 一致（モデルも会期中欠品を検知）",IF(H36&gt;=0.7,"○ 整合（予測消化率70%超）","△ モデル未検知：現場報告を優先")),IF(I36&gt;0,"▲ モデルのみ検知：現場に在庫状況を確認","—"))</f>
        <v>—</v>
      </c>
      <c r="AA36" s="69" t="s">
        <v>532</v>
      </c>
    </row>
    <row r="37" customFormat="false" ht="15" hidden="false" customHeight="false" outlineLevel="0" collapsed="false">
      <c r="A37" s="32" t="n">
        <v>31</v>
      </c>
      <c r="B37" s="32" t="s">
        <v>346</v>
      </c>
      <c r="C37" s="33" t="s">
        <v>347</v>
      </c>
      <c r="D37" s="34" t="n">
        <v>1300</v>
      </c>
      <c r="E37" s="35" t="n">
        <f aca="false">①石川予測確定!E37</f>
        <v>47</v>
      </c>
      <c r="F37" s="35" t="n">
        <f aca="false">①石川予測確定!P37</f>
        <v>61</v>
      </c>
      <c r="G37" s="35" t="n">
        <f aca="false">①石川予測確定!S37</f>
        <v>249</v>
      </c>
      <c r="H37" s="37" t="n">
        <f aca="false">IFERROR(F37/G37,0)</f>
        <v>0.244979919678715</v>
      </c>
      <c r="I37" s="38" t="n">
        <f aca="false">F37-G37</f>
        <v>-188</v>
      </c>
      <c r="J37" s="39" t="str">
        <f aca="false">IF(I37&gt;0,"要 追加発注",IF(H37&gt;=0.9,"要注意(90%超)",IF(H37&gt;=0.5,"適正","在庫余剰")))</f>
        <v>在庫余剰</v>
      </c>
      <c r="K37" s="35" t="n">
        <f aca="false">IF(I37&gt;0,ROUNDUP(I37*(1+前提・入力!$B$34),0),0)</f>
        <v>0</v>
      </c>
      <c r="L37" s="35" t="n">
        <f aca="false">③仙台以降予測!M61</f>
        <v>715</v>
      </c>
      <c r="M37" s="35" t="n">
        <f aca="false">③仙台以降予測!V61</f>
        <v>765</v>
      </c>
      <c r="N37" s="35" t="n">
        <f aca="false">③仙台以降予測!W61</f>
        <v>0</v>
      </c>
      <c r="O37" s="38" t="n">
        <f aca="false">L37-M37-N37</f>
        <v>-50</v>
      </c>
      <c r="P37" s="39" t="str">
        <f aca="false">IF(O37&gt;0,"要 追加生産",IF(L37=0,"—","在庫で充足"))</f>
        <v>在庫で充足</v>
      </c>
      <c r="Q37" s="35" t="n">
        <f aca="false">③仙台以降予測!Z61</f>
        <v>0</v>
      </c>
      <c r="R37" s="35" t="n">
        <f aca="false">K37+Q37</f>
        <v>0</v>
      </c>
      <c r="S37" s="34" t="n">
        <f aca="false">R37*D37</f>
        <v>0</v>
      </c>
      <c r="T37" s="72" t="s">
        <v>533</v>
      </c>
      <c r="U37" s="32"/>
      <c r="V37" s="71" t="str">
        <f aca="false">IF(OR(U37="",U37="再生産不可"),"",U37-前提・入力!$B$38)</f>
        <v/>
      </c>
      <c r="W37" s="69" t="str">
        <f aca="false">IF(T37="—","—",IF(U37="再生産不可","×再生産不可",_xlfn.IFS(V37&lt;0,"★期限超過",V37&lt;=30,"★至急(30日以内)",V37&lt;=90,"要着手(90日以内)",TRUE(),"余裕あり")))</f>
        <v>—</v>
      </c>
      <c r="X37" s="32" t="str">
        <f aca="false">IF(Y37&lt;&gt;"",IF(FALSE(),"S:現場欠品(追納不可)","S:現場欠品"),IF(I37&gt;0,"A:会期中欠品",IF(O37&gt;1000,"B:大口",IF(O37&gt;0,"C:通常","D:不要"))))</f>
        <v>D:不要</v>
      </c>
      <c r="Y37" s="72"/>
      <c r="Z37" s="72" t="str">
        <f aca="false">IF(Y37&lt;&gt;"",IF(I37&gt;0,"◎ 一致（モデルも会期中欠品を検知）",IF(H37&gt;=0.7,"○ 整合（予測消化率70%超）","△ モデル未検知：現場報告を優先")),IF(I37&gt;0,"▲ モデルのみ検知：現場に在庫状況を確認","—"))</f>
        <v>—</v>
      </c>
      <c r="AA37" s="69" t="s">
        <v>532</v>
      </c>
    </row>
    <row r="38" customFormat="false" ht="37.3" hidden="false" customHeight="false" outlineLevel="0" collapsed="false">
      <c r="A38" s="32" t="n">
        <v>32</v>
      </c>
      <c r="B38" s="32" t="s">
        <v>348</v>
      </c>
      <c r="C38" s="33" t="s">
        <v>349</v>
      </c>
      <c r="D38" s="34" t="n">
        <v>8800</v>
      </c>
      <c r="E38" s="35" t="n">
        <f aca="false">①石川予測確定!E38</f>
        <v>5</v>
      </c>
      <c r="F38" s="35" t="n">
        <f aca="false">①石川予測確定!P38</f>
        <v>5</v>
      </c>
      <c r="G38" s="35" t="n">
        <f aca="false">①石川予測確定!S38</f>
        <v>5</v>
      </c>
      <c r="H38" s="37" t="n">
        <f aca="false">IFERROR(F38/G38,0)</f>
        <v>1</v>
      </c>
      <c r="I38" s="38" t="n">
        <f aca="false">F38-G38</f>
        <v>0</v>
      </c>
      <c r="J38" s="39" t="str">
        <f aca="false">IF(I38&gt;0,"要 追加発注",IF(H38&gt;=0.9,"要注意(90%超)",IF(H38&gt;=0.5,"適正","在庫余剰")))</f>
        <v>要注意(90%超)</v>
      </c>
      <c r="K38" s="35" t="n">
        <f aca="false">IF(I38&gt;0,ROUNDUP(I38*(1+前提・入力!$B$34),0),0)</f>
        <v>0</v>
      </c>
      <c r="L38" s="35" t="n">
        <f aca="false">③仙台以降予測!M62</f>
        <v>64</v>
      </c>
      <c r="M38" s="35" t="n">
        <f aca="false">③仙台以降予測!V62</f>
        <v>15</v>
      </c>
      <c r="N38" s="35" t="n">
        <f aca="false">③仙台以降予測!W62</f>
        <v>0</v>
      </c>
      <c r="O38" s="38" t="n">
        <f aca="false">L38-M38-N38</f>
        <v>49</v>
      </c>
      <c r="P38" s="39" t="str">
        <f aca="false">IF(O38&gt;0,"要 追加生産",IF(L38=0,"—","在庫で充足"))</f>
        <v>要 追加生産</v>
      </c>
      <c r="Q38" s="35" t="n">
        <f aca="false">③仙台以降予測!Z62</f>
        <v>54</v>
      </c>
      <c r="R38" s="35" t="n">
        <f aca="false">K38+Q38</f>
        <v>54</v>
      </c>
      <c r="S38" s="34" t="n">
        <f aca="false">R38*D38</f>
        <v>475200</v>
      </c>
      <c r="T38" s="69" t="s">
        <v>384</v>
      </c>
      <c r="U38" s="70" t="n">
        <f aca="false">DATE(2026,12,16)-90-前提・入力!$B$37</f>
        <v>46268</v>
      </c>
      <c r="V38" s="71" t="n">
        <f aca="false">IF(OR(U38="",U38="再生産不可"),"",U38-前提・入力!$B$38)</f>
        <v>8</v>
      </c>
      <c r="W38" s="69" t="str">
        <f aca="false">IF(T38="—","—",IF(U38="再生産不可","×再生産不可",_xlfn.IFS(V38&lt;0,"★期限超過",V38&lt;=30,"★至急(30日以内)",V38&lt;=90,"要着手(90日以内)",TRUE(),"余裕あり")))</f>
        <v>★至急(30日以内)</v>
      </c>
      <c r="X38" s="32" t="str">
        <f aca="false">IF(Y38&lt;&gt;"",IF(FALSE(),"S:現場欠品(追納不可)","S:現場欠品"),IF(I38&gt;0,"A:会期中欠品",IF(O38&gt;1000,"B:大口",IF(O38&gt;0,"C:通常","D:不要"))))</f>
        <v>C:通常</v>
      </c>
      <c r="Y38" s="72"/>
      <c r="Z38" s="72" t="str">
        <f aca="false">IF(Y38&lt;&gt;"",IF(I38&gt;0,"◎ 一致（モデルも会期中欠品を検知）",IF(H38&gt;=0.7,"○ 整合（予測消化率70%超）","△ モデル未検知：現場報告を優先")),IF(I38&gt;0,"▲ モデルのみ検知：現場に在庫状況を確認","—"))</f>
        <v>—</v>
      </c>
      <c r="AA38" s="69" t="s">
        <v>540</v>
      </c>
    </row>
    <row r="39" customFormat="false" ht="15" hidden="false" customHeight="false" outlineLevel="0" collapsed="false">
      <c r="A39" s="32" t="n">
        <v>33</v>
      </c>
      <c r="B39" s="32" t="s">
        <v>350</v>
      </c>
      <c r="C39" s="33" t="s">
        <v>351</v>
      </c>
      <c r="D39" s="34" t="n">
        <v>27500</v>
      </c>
      <c r="E39" s="35" t="n">
        <f aca="false">①石川予測確定!E39</f>
        <v>4</v>
      </c>
      <c r="F39" s="35" t="n">
        <f aca="false">①石川予測確定!P39</f>
        <v>5</v>
      </c>
      <c r="G39" s="35" t="n">
        <f aca="false">①石川予測確定!S39</f>
        <v>21</v>
      </c>
      <c r="H39" s="37" t="n">
        <f aca="false">IFERROR(F39/G39,0)</f>
        <v>0.238095238095238</v>
      </c>
      <c r="I39" s="38" t="n">
        <f aca="false">F39-G39</f>
        <v>-16</v>
      </c>
      <c r="J39" s="39" t="str">
        <f aca="false">IF(I39&gt;0,"要 追加発注",IF(H39&gt;=0.9,"要注意(90%超)",IF(H39&gt;=0.5,"適正","在庫余剰")))</f>
        <v>在庫余剰</v>
      </c>
      <c r="K39" s="35" t="n">
        <f aca="false">IF(I39&gt;0,ROUNDUP(I39*(1+前提・入力!$B$34),0),0)</f>
        <v>0</v>
      </c>
      <c r="L39" s="35" t="n">
        <f aca="false">③仙台以降予測!M63</f>
        <v>40</v>
      </c>
      <c r="M39" s="35" t="n">
        <f aca="false">③仙台以降予測!V63</f>
        <v>98</v>
      </c>
      <c r="N39" s="35" t="n">
        <f aca="false">③仙台以降予測!W63</f>
        <v>0</v>
      </c>
      <c r="O39" s="38" t="n">
        <f aca="false">L39-M39-N39</f>
        <v>-58</v>
      </c>
      <c r="P39" s="39" t="str">
        <f aca="false">IF(O39&gt;0,"要 追加生産",IF(L39=0,"—","在庫で充足"))</f>
        <v>在庫で充足</v>
      </c>
      <c r="Q39" s="35" t="n">
        <f aca="false">③仙台以降予測!Z63</f>
        <v>0</v>
      </c>
      <c r="R39" s="35" t="n">
        <f aca="false">K39+Q39</f>
        <v>0</v>
      </c>
      <c r="S39" s="34" t="n">
        <f aca="false">R39*D39</f>
        <v>0</v>
      </c>
      <c r="T39" s="72" t="s">
        <v>533</v>
      </c>
      <c r="U39" s="32"/>
      <c r="V39" s="71" t="str">
        <f aca="false">IF(OR(U39="",U39="再生産不可"),"",U39-前提・入力!$B$38)</f>
        <v/>
      </c>
      <c r="W39" s="69" t="str">
        <f aca="false">IF(T39="—","—",IF(U39="再生産不可","×再生産不可",_xlfn.IFS(V39&lt;0,"★期限超過",V39&lt;=30,"★至急(30日以内)",V39&lt;=90,"要着手(90日以内)",TRUE(),"余裕あり")))</f>
        <v>—</v>
      </c>
      <c r="X39" s="32" t="str">
        <f aca="false">IF(Y39&lt;&gt;"",IF(FALSE(),"S:現場欠品(追納不可)","S:現場欠品"),IF(I39&gt;0,"A:会期中欠品",IF(O39&gt;1000,"B:大口",IF(O39&gt;0,"C:通常","D:不要"))))</f>
        <v>D:不要</v>
      </c>
      <c r="Y39" s="72"/>
      <c r="Z39" s="72" t="str">
        <f aca="false">IF(Y39&lt;&gt;"",IF(I39&gt;0,"◎ 一致（モデルも会期中欠品を検知）",IF(H39&gt;=0.7,"○ 整合（予測消化率70%超）","△ モデル未検知：現場報告を優先")),IF(I39&gt;0,"▲ モデルのみ検知：現場に在庫状況を確認","—"))</f>
        <v>—</v>
      </c>
      <c r="AA39" s="69"/>
    </row>
    <row r="40" customFormat="false" ht="37.3" hidden="false" customHeight="false" outlineLevel="0" collapsed="false">
      <c r="A40" s="32" t="n">
        <v>34</v>
      </c>
      <c r="B40" s="32" t="s">
        <v>352</v>
      </c>
      <c r="C40" s="33" t="s">
        <v>353</v>
      </c>
      <c r="D40" s="34" t="n">
        <v>27500</v>
      </c>
      <c r="E40" s="35" t="n">
        <f aca="false">①石川予測確定!E40</f>
        <v>1</v>
      </c>
      <c r="F40" s="35" t="n">
        <f aca="false">①石川予測確定!P40</f>
        <v>1</v>
      </c>
      <c r="G40" s="35" t="n">
        <f aca="false">①石川予測確定!S40</f>
        <v>1</v>
      </c>
      <c r="H40" s="37" t="n">
        <f aca="false">IFERROR(F40/G40,0)</f>
        <v>1</v>
      </c>
      <c r="I40" s="38" t="n">
        <f aca="false">F40-G40</f>
        <v>0</v>
      </c>
      <c r="J40" s="39" t="str">
        <f aca="false">IF(I40&gt;0,"要 追加発注",IF(H40&gt;=0.9,"要注意(90%超)",IF(H40&gt;=0.5,"適正","在庫余剰")))</f>
        <v>要注意(90%超)</v>
      </c>
      <c r="K40" s="35" t="n">
        <f aca="false">IF(I40&gt;0,ROUNDUP(I40*(1+前提・入力!$B$34),0),0)</f>
        <v>0</v>
      </c>
      <c r="L40" s="35" t="n">
        <f aca="false">③仙台以降予測!M64</f>
        <v>13</v>
      </c>
      <c r="M40" s="35" t="n">
        <f aca="false">③仙台以降予測!V64</f>
        <v>1</v>
      </c>
      <c r="N40" s="35" t="n">
        <f aca="false">③仙台以降予測!W64</f>
        <v>0</v>
      </c>
      <c r="O40" s="38" t="n">
        <f aca="false">L40-M40-N40</f>
        <v>12</v>
      </c>
      <c r="P40" s="39" t="str">
        <f aca="false">IF(O40&gt;0,"要 追加生産",IF(L40=0,"—","在庫で充足"))</f>
        <v>要 追加生産</v>
      </c>
      <c r="Q40" s="35" t="n">
        <f aca="false">③仙台以降予測!Z64</f>
        <v>14</v>
      </c>
      <c r="R40" s="35" t="n">
        <f aca="false">K40+Q40</f>
        <v>14</v>
      </c>
      <c r="S40" s="34" t="n">
        <f aca="false">R40*D40</f>
        <v>385000</v>
      </c>
      <c r="T40" s="69" t="s">
        <v>536</v>
      </c>
      <c r="U40" s="70" t="n">
        <f aca="false">DATE(2026,9,5)-90-前提・入力!$B$37</f>
        <v>46166</v>
      </c>
      <c r="V40" s="71" t="n">
        <f aca="false">IF(OR(U40="",U40="再生産不可"),"",U40-前提・入力!$B$38)</f>
        <v>-94</v>
      </c>
      <c r="W40" s="69" t="str">
        <f aca="false">IF(T40="—","—",IF(U40="再生産不可","×再生産不可",_xlfn.IFS(V40&lt;0,"★期限超過",V40&lt;=30,"★至急(30日以内)",V40&lt;=90,"要着手(90日以内)",TRUE(),"余裕あり")))</f>
        <v>★期限超過</v>
      </c>
      <c r="X40" s="32" t="str">
        <f aca="false">IF(Y40&lt;&gt;"",IF(FALSE(),"S:現場欠品(追納不可)","S:現場欠品"),IF(I40&gt;0,"A:会期中欠品",IF(O40&gt;1000,"B:大口",IF(O40&gt;0,"C:通常","D:不要"))))</f>
        <v>C:通常</v>
      </c>
      <c r="Y40" s="72"/>
      <c r="Z40" s="72" t="str">
        <f aca="false">IF(Y40&lt;&gt;"",IF(I40&gt;0,"◎ 一致（モデルも会期中欠品を検知）",IF(H40&gt;=0.7,"○ 整合（予測消化率70%超）","△ モデル未検知：現場報告を優先")),IF(I40&gt;0,"▲ モデルのみ検知：現場に在庫状況を確認","—"))</f>
        <v>—</v>
      </c>
      <c r="AA40" s="69" t="s">
        <v>541</v>
      </c>
    </row>
    <row r="41" customFormat="false" ht="37.3" hidden="false" customHeight="false" outlineLevel="0" collapsed="false">
      <c r="A41" s="32" t="n">
        <v>35</v>
      </c>
      <c r="B41" s="32" t="s">
        <v>354</v>
      </c>
      <c r="C41" s="33" t="s">
        <v>355</v>
      </c>
      <c r="D41" s="34" t="n">
        <v>27500</v>
      </c>
      <c r="E41" s="35" t="n">
        <f aca="false">①石川予測確定!E41</f>
        <v>1</v>
      </c>
      <c r="F41" s="35" t="n">
        <f aca="false">①石川予測確定!P41</f>
        <v>1</v>
      </c>
      <c r="G41" s="35" t="n">
        <f aca="false">①石川予測確定!S41</f>
        <v>1</v>
      </c>
      <c r="H41" s="37" t="n">
        <f aca="false">IFERROR(F41/G41,0)</f>
        <v>1</v>
      </c>
      <c r="I41" s="38" t="n">
        <f aca="false">F41-G41</f>
        <v>0</v>
      </c>
      <c r="J41" s="39" t="str">
        <f aca="false">IF(I41&gt;0,"要 追加発注",IF(H41&gt;=0.9,"要注意(90%超)",IF(H41&gt;=0.5,"適正","在庫余剰")))</f>
        <v>要注意(90%超)</v>
      </c>
      <c r="K41" s="35" t="n">
        <f aca="false">IF(I41&gt;0,ROUNDUP(I41*(1+前提・入力!$B$34),0),0)</f>
        <v>0</v>
      </c>
      <c r="L41" s="35" t="n">
        <f aca="false">③仙台以降予測!M65</f>
        <v>9</v>
      </c>
      <c r="M41" s="35" t="n">
        <f aca="false">③仙台以降予測!V65</f>
        <v>2</v>
      </c>
      <c r="N41" s="35" t="n">
        <f aca="false">③仙台以降予測!W65</f>
        <v>0</v>
      </c>
      <c r="O41" s="38" t="n">
        <f aca="false">L41-M41-N41</f>
        <v>7</v>
      </c>
      <c r="P41" s="39" t="str">
        <f aca="false">IF(O41&gt;0,"要 追加生産",IF(L41=0,"—","在庫で充足"))</f>
        <v>要 追加生産</v>
      </c>
      <c r="Q41" s="35" t="n">
        <f aca="false">③仙台以降予測!Z65</f>
        <v>8</v>
      </c>
      <c r="R41" s="35" t="n">
        <f aca="false">K41+Q41</f>
        <v>8</v>
      </c>
      <c r="S41" s="34" t="n">
        <f aca="false">R41*D41</f>
        <v>220000</v>
      </c>
      <c r="T41" s="69" t="s">
        <v>385</v>
      </c>
      <c r="U41" s="70" t="n">
        <f aca="false">DATE(2027,3,15)-90-前提・入力!$B$37</f>
        <v>46357</v>
      </c>
      <c r="V41" s="71" t="n">
        <f aca="false">IF(OR(U41="",U41="再生産不可"),"",U41-前提・入力!$B$38)</f>
        <v>97</v>
      </c>
      <c r="W41" s="69" t="str">
        <f aca="false">IF(T41="—","—",IF(U41="再生産不可","×再生産不可",_xlfn.IFS(V41&lt;0,"★期限超過",V41&lt;=30,"★至急(30日以内)",V41&lt;=90,"要着手(90日以内)",TRUE(),"余裕あり")))</f>
        <v>余裕あり</v>
      </c>
      <c r="X41" s="32" t="str">
        <f aca="false">IF(Y41&lt;&gt;"",IF(FALSE(),"S:現場欠品(追納不可)","S:現場欠品"),IF(I41&gt;0,"A:会期中欠品",IF(O41&gt;1000,"B:大口",IF(O41&gt;0,"C:通常","D:不要"))))</f>
        <v>C:通常</v>
      </c>
      <c r="Y41" s="72"/>
      <c r="Z41" s="72" t="str">
        <f aca="false">IF(Y41&lt;&gt;"",IF(I41&gt;0,"◎ 一致（モデルも会期中欠品を検知）",IF(H41&gt;=0.7,"○ 整合（予測消化率70%超）","△ モデル未検知：現場報告を優先")),IF(I41&gt;0,"▲ モデルのみ検知：現場に在庫状況を確認","—"))</f>
        <v>—</v>
      </c>
      <c r="AA41" s="69" t="s">
        <v>541</v>
      </c>
    </row>
    <row r="42" customFormat="false" ht="37.3" hidden="false" customHeight="false" outlineLevel="0" collapsed="false">
      <c r="A42" s="32" t="n">
        <v>36</v>
      </c>
      <c r="B42" s="32" t="s">
        <v>356</v>
      </c>
      <c r="C42" s="33" t="s">
        <v>357</v>
      </c>
      <c r="D42" s="34" t="n">
        <v>27500</v>
      </c>
      <c r="E42" s="35" t="n">
        <f aca="false">①石川予測確定!E42</f>
        <v>1</v>
      </c>
      <c r="F42" s="35" t="n">
        <f aca="false">①石川予測確定!P42</f>
        <v>1</v>
      </c>
      <c r="G42" s="35" t="n">
        <f aca="false">①石川予測確定!S42</f>
        <v>1</v>
      </c>
      <c r="H42" s="37" t="n">
        <f aca="false">IFERROR(F42/G42,0)</f>
        <v>1</v>
      </c>
      <c r="I42" s="38" t="n">
        <f aca="false">F42-G42</f>
        <v>0</v>
      </c>
      <c r="J42" s="39" t="str">
        <f aca="false">IF(I42&gt;0,"要 追加発注",IF(H42&gt;=0.9,"要注意(90%超)",IF(H42&gt;=0.5,"適正","在庫余剰")))</f>
        <v>要注意(90%超)</v>
      </c>
      <c r="K42" s="35" t="n">
        <f aca="false">IF(I42&gt;0,ROUNDUP(I42*(1+前提・入力!$B$34),0),0)</f>
        <v>0</v>
      </c>
      <c r="L42" s="35" t="n">
        <f aca="false">③仙台以降予測!M66</f>
        <v>9</v>
      </c>
      <c r="M42" s="35" t="n">
        <f aca="false">③仙台以降予測!V66</f>
        <v>2</v>
      </c>
      <c r="N42" s="35" t="n">
        <f aca="false">③仙台以降予測!W66</f>
        <v>0</v>
      </c>
      <c r="O42" s="38" t="n">
        <f aca="false">L42-M42-N42</f>
        <v>7</v>
      </c>
      <c r="P42" s="39" t="str">
        <f aca="false">IF(O42&gt;0,"要 追加生産",IF(L42=0,"—","在庫で充足"))</f>
        <v>要 追加生産</v>
      </c>
      <c r="Q42" s="35" t="n">
        <f aca="false">③仙台以降予測!Z66</f>
        <v>8</v>
      </c>
      <c r="R42" s="35" t="n">
        <f aca="false">K42+Q42</f>
        <v>8</v>
      </c>
      <c r="S42" s="34" t="n">
        <f aca="false">R42*D42</f>
        <v>220000</v>
      </c>
      <c r="T42" s="69" t="s">
        <v>385</v>
      </c>
      <c r="U42" s="70" t="n">
        <f aca="false">DATE(2027,3,15)-90-前提・入力!$B$37</f>
        <v>46357</v>
      </c>
      <c r="V42" s="71" t="n">
        <f aca="false">IF(OR(U42="",U42="再生産不可"),"",U42-前提・入力!$B$38)</f>
        <v>97</v>
      </c>
      <c r="W42" s="69" t="str">
        <f aca="false">IF(T42="—","—",IF(U42="再生産不可","×再生産不可",_xlfn.IFS(V42&lt;0,"★期限超過",V42&lt;=30,"★至急(30日以内)",V42&lt;=90,"要着手(90日以内)",TRUE(),"余裕あり")))</f>
        <v>余裕あり</v>
      </c>
      <c r="X42" s="32" t="str">
        <f aca="false">IF(Y42&lt;&gt;"",IF(FALSE(),"S:現場欠品(追納不可)","S:現場欠品"),IF(I42&gt;0,"A:会期中欠品",IF(O42&gt;1000,"B:大口",IF(O42&gt;0,"C:通常","D:不要"))))</f>
        <v>C:通常</v>
      </c>
      <c r="Y42" s="72"/>
      <c r="Z42" s="72" t="str">
        <f aca="false">IF(Y42&lt;&gt;"",IF(I42&gt;0,"◎ 一致（モデルも会期中欠品を検知）",IF(H42&gt;=0.7,"○ 整合（予測消化率70%超）","△ モデル未検知：現場報告を優先")),IF(I42&gt;0,"▲ モデルのみ検知：現場に在庫状況を確認","—"))</f>
        <v>—</v>
      </c>
      <c r="AA42" s="69" t="s">
        <v>541</v>
      </c>
    </row>
    <row r="43" customFormat="false" ht="15" hidden="false" customHeight="false" outlineLevel="0" collapsed="false">
      <c r="A43" s="32" t="n">
        <v>37</v>
      </c>
      <c r="B43" s="32" t="s">
        <v>358</v>
      </c>
      <c r="C43" s="33" t="s">
        <v>359</v>
      </c>
      <c r="D43" s="34" t="n">
        <v>27500</v>
      </c>
      <c r="E43" s="35" t="n">
        <f aca="false">①石川予測確定!E43</f>
        <v>4</v>
      </c>
      <c r="F43" s="35" t="n">
        <f aca="false">①石川予測確定!P43</f>
        <v>5</v>
      </c>
      <c r="G43" s="35" t="n">
        <f aca="false">①石川予測確定!S43</f>
        <v>17</v>
      </c>
      <c r="H43" s="37" t="n">
        <f aca="false">IFERROR(F43/G43,0)</f>
        <v>0.294117647058824</v>
      </c>
      <c r="I43" s="38" t="n">
        <f aca="false">F43-G43</f>
        <v>-12</v>
      </c>
      <c r="J43" s="39" t="str">
        <f aca="false">IF(I43&gt;0,"要 追加発注",IF(H43&gt;=0.9,"要注意(90%超)",IF(H43&gt;=0.5,"適正","在庫余剰")))</f>
        <v>在庫余剰</v>
      </c>
      <c r="K43" s="35" t="n">
        <f aca="false">IF(I43&gt;0,ROUNDUP(I43*(1+前提・入力!$B$34),0),0)</f>
        <v>0</v>
      </c>
      <c r="L43" s="35" t="n">
        <f aca="false">③仙台以降予測!M67</f>
        <v>34</v>
      </c>
      <c r="M43" s="35" t="n">
        <f aca="false">③仙台以降予測!V67</f>
        <v>28</v>
      </c>
      <c r="N43" s="35" t="n">
        <f aca="false">③仙台以降予測!W67</f>
        <v>0</v>
      </c>
      <c r="O43" s="38" t="n">
        <f aca="false">L43-M43-N43</f>
        <v>6</v>
      </c>
      <c r="P43" s="39" t="str">
        <f aca="false">IF(O43&gt;0,"要 追加生産",IF(L43=0,"—","在庫で充足"))</f>
        <v>要 追加生産</v>
      </c>
      <c r="Q43" s="35" t="n">
        <f aca="false">③仙台以降予測!Z67</f>
        <v>7</v>
      </c>
      <c r="R43" s="35" t="n">
        <f aca="false">K43+Q43</f>
        <v>7</v>
      </c>
      <c r="S43" s="34" t="n">
        <f aca="false">R43*D43</f>
        <v>192500</v>
      </c>
      <c r="T43" s="69" t="s">
        <v>386</v>
      </c>
      <c r="U43" s="70" t="n">
        <f aca="false">DATE(2027,4,1)-90-前提・入力!$B$37</f>
        <v>46374</v>
      </c>
      <c r="V43" s="71" t="n">
        <f aca="false">IF(OR(U43="",U43="再生産不可"),"",U43-前提・入力!$B$38)</f>
        <v>114</v>
      </c>
      <c r="W43" s="69" t="str">
        <f aca="false">IF(T43="—","—",IF(U43="再生産不可","×再生産不可",_xlfn.IFS(V43&lt;0,"★期限超過",V43&lt;=30,"★至急(30日以内)",V43&lt;=90,"要着手(90日以内)",TRUE(),"余裕あり")))</f>
        <v>余裕あり</v>
      </c>
      <c r="X43" s="32" t="str">
        <f aca="false">IF(Y43&lt;&gt;"",IF(FALSE(),"S:現場欠品(追納不可)","S:現場欠品"),IF(I43&gt;0,"A:会期中欠品",IF(O43&gt;1000,"B:大口",IF(O43&gt;0,"C:通常","D:不要"))))</f>
        <v>C:通常</v>
      </c>
      <c r="Y43" s="72"/>
      <c r="Z43" s="72" t="str">
        <f aca="false">IF(Y43&lt;&gt;"",IF(I43&gt;0,"◎ 一致（モデルも会期中欠品を検知）",IF(H43&gt;=0.7,"○ 整合（予測消化率70%超）","△ モデル未検知：現場報告を優先")),IF(I43&gt;0,"▲ モデルのみ検知：現場に在庫状況を確認","—"))</f>
        <v>—</v>
      </c>
      <c r="AA43" s="69" t="s">
        <v>542</v>
      </c>
    </row>
    <row r="44" customFormat="false" ht="37.3" hidden="false" customHeight="false" outlineLevel="0" collapsed="false">
      <c r="A44" s="32" t="n">
        <v>38</v>
      </c>
      <c r="B44" s="32" t="s">
        <v>360</v>
      </c>
      <c r="C44" s="33" t="s">
        <v>361</v>
      </c>
      <c r="D44" s="34" t="n">
        <v>27500</v>
      </c>
      <c r="E44" s="35" t="n">
        <f aca="false">①石川予測確定!E44</f>
        <v>1</v>
      </c>
      <c r="F44" s="35" t="n">
        <f aca="false">①石川予測確定!P44</f>
        <v>1</v>
      </c>
      <c r="G44" s="35" t="n">
        <f aca="false">①石川予測確定!S44</f>
        <v>1</v>
      </c>
      <c r="H44" s="37" t="n">
        <f aca="false">IFERROR(F44/G44,0)</f>
        <v>1</v>
      </c>
      <c r="I44" s="38" t="n">
        <f aca="false">F44-G44</f>
        <v>0</v>
      </c>
      <c r="J44" s="39" t="str">
        <f aca="false">IF(I44&gt;0,"要 追加発注",IF(H44&gt;=0.9,"要注意(90%超)",IF(H44&gt;=0.5,"適正","在庫余剰")))</f>
        <v>要注意(90%超)</v>
      </c>
      <c r="K44" s="35" t="n">
        <f aca="false">IF(I44&gt;0,ROUNDUP(I44*(1+前提・入力!$B$34),0),0)</f>
        <v>0</v>
      </c>
      <c r="L44" s="35" t="n">
        <f aca="false">③仙台以降予測!M68</f>
        <v>13</v>
      </c>
      <c r="M44" s="35" t="n">
        <f aca="false">③仙台以降予測!V68</f>
        <v>1</v>
      </c>
      <c r="N44" s="35" t="n">
        <f aca="false">③仙台以降予測!W68</f>
        <v>0</v>
      </c>
      <c r="O44" s="38" t="n">
        <f aca="false">L44-M44-N44</f>
        <v>12</v>
      </c>
      <c r="P44" s="39" t="str">
        <f aca="false">IF(O44&gt;0,"要 追加生産",IF(L44=0,"—","在庫で充足"))</f>
        <v>要 追加生産</v>
      </c>
      <c r="Q44" s="35" t="n">
        <f aca="false">③仙台以降予測!Z68</f>
        <v>14</v>
      </c>
      <c r="R44" s="35" t="n">
        <f aca="false">K44+Q44</f>
        <v>14</v>
      </c>
      <c r="S44" s="34" t="n">
        <f aca="false">R44*D44</f>
        <v>385000</v>
      </c>
      <c r="T44" s="69" t="s">
        <v>536</v>
      </c>
      <c r="U44" s="70" t="n">
        <f aca="false">DATE(2026,9,5)-90-前提・入力!$B$37</f>
        <v>46166</v>
      </c>
      <c r="V44" s="71" t="n">
        <f aca="false">IF(OR(U44="",U44="再生産不可"),"",U44-前提・入力!$B$38)</f>
        <v>-94</v>
      </c>
      <c r="W44" s="69" t="str">
        <f aca="false">IF(T44="—","—",IF(U44="再生産不可","×再生産不可",_xlfn.IFS(V44&lt;0,"★期限超過",V44&lt;=30,"★至急(30日以内)",V44&lt;=90,"要着手(90日以内)",TRUE(),"余裕あり")))</f>
        <v>★期限超過</v>
      </c>
      <c r="X44" s="32" t="str">
        <f aca="false">IF(Y44&lt;&gt;"",IF(FALSE(),"S:現場欠品(追納不可)","S:現場欠品"),IF(I44&gt;0,"A:会期中欠品",IF(O44&gt;1000,"B:大口",IF(O44&gt;0,"C:通常","D:不要"))))</f>
        <v>C:通常</v>
      </c>
      <c r="Y44" s="72"/>
      <c r="Z44" s="72" t="str">
        <f aca="false">IF(Y44&lt;&gt;"",IF(I44&gt;0,"◎ 一致（モデルも会期中欠品を検知）",IF(H44&gt;=0.7,"○ 整合（予測消化率70%超）","△ モデル未検知：現場報告を優先")),IF(I44&gt;0,"▲ モデルのみ検知：現場に在庫状況を確認","—"))</f>
        <v>—</v>
      </c>
      <c r="AA44" s="69" t="s">
        <v>541</v>
      </c>
    </row>
    <row r="45" customFormat="false" ht="49.25" hidden="false" customHeight="false" outlineLevel="0" collapsed="false">
      <c r="A45" s="32" t="n">
        <v>39</v>
      </c>
      <c r="B45" s="32" t="s">
        <v>362</v>
      </c>
      <c r="C45" s="33" t="s">
        <v>363</v>
      </c>
      <c r="D45" s="34" t="n">
        <v>27500</v>
      </c>
      <c r="E45" s="35" t="n">
        <f aca="false">①石川予測確定!E45</f>
        <v>1</v>
      </c>
      <c r="F45" s="35" t="n">
        <f aca="false">①石川予測確定!P45</f>
        <v>2</v>
      </c>
      <c r="G45" s="35" t="n">
        <f aca="false">①石川予測確定!S45</f>
        <v>1</v>
      </c>
      <c r="H45" s="37" t="n">
        <f aca="false">IFERROR(F45/G45,0)</f>
        <v>2</v>
      </c>
      <c r="I45" s="38" t="n">
        <f aca="false">F45-G45</f>
        <v>1</v>
      </c>
      <c r="J45" s="39" t="str">
        <f aca="false">IF(I45&gt;0,"要 追加発注",IF(H45&gt;=0.9,"要注意(90%超)",IF(H45&gt;=0.5,"適正","在庫余剰")))</f>
        <v>要 追加発注</v>
      </c>
      <c r="K45" s="35" t="n">
        <f aca="false">IF(I45&gt;0,ROUNDUP(I45*(1+前提・入力!$B$34),0),0)</f>
        <v>2</v>
      </c>
      <c r="L45" s="35" t="n">
        <f aca="false">③仙台以降予測!M69</f>
        <v>19</v>
      </c>
      <c r="M45" s="35" t="n">
        <f aca="false">③仙台以降予測!V69</f>
        <v>0</v>
      </c>
      <c r="N45" s="35" t="n">
        <f aca="false">③仙台以降予測!W69</f>
        <v>0</v>
      </c>
      <c r="O45" s="38" t="n">
        <f aca="false">L45-M45-N45</f>
        <v>19</v>
      </c>
      <c r="P45" s="39" t="str">
        <f aca="false">IF(O45&gt;0,"要 追加生産",IF(L45=0,"—","在庫で充足"))</f>
        <v>要 追加生産</v>
      </c>
      <c r="Q45" s="35" t="n">
        <f aca="false">③仙台以降予測!Z69</f>
        <v>21</v>
      </c>
      <c r="R45" s="35" t="n">
        <f aca="false">K45+Q45</f>
        <v>23</v>
      </c>
      <c r="S45" s="34" t="n">
        <f aca="false">R45*D45</f>
        <v>632500</v>
      </c>
      <c r="T45" s="69" t="s">
        <v>536</v>
      </c>
      <c r="U45" s="70" t="n">
        <f aca="false">DATE(2026,9,5)-90-前提・入力!$B$37</f>
        <v>46166</v>
      </c>
      <c r="V45" s="71" t="n">
        <f aca="false">IF(OR(U45="",U45="再生産不可"),"",U45-前提・入力!$B$38)</f>
        <v>-94</v>
      </c>
      <c r="W45" s="69" t="str">
        <f aca="false">IF(T45="—","—",IF(U45="再生産不可","×再生産不可",_xlfn.IFS(V45&lt;0,"★期限超過",V45&lt;=30,"★至急(30日以内)",V45&lt;=90,"要着手(90日以内)",TRUE(),"余裕あり")))</f>
        <v>★期限超過</v>
      </c>
      <c r="X45" s="32" t="str">
        <f aca="false">IF(Y45&lt;&gt;"",IF(FALSE(),"S:現場欠品(追納不可)","S:現場欠品"),IF(I45&gt;0,"A:会期中欠品",IF(O45&gt;1000,"B:大口",IF(O45&gt;0,"C:通常","D:不要"))))</f>
        <v>A:会期中欠品</v>
      </c>
      <c r="Y45" s="72"/>
      <c r="Z45" s="72" t="str">
        <f aca="false">IF(Y45&lt;&gt;"",IF(I45&gt;0,"◎ 一致（モデルも会期中欠品を検知）",IF(H45&gt;=0.7,"○ 整合（予測消化率70%超）","△ モデル未検知：現場報告を優先")),IF(I45&gt;0,"▲ モデルのみ検知：現場に在庫状況を確認","—"))</f>
        <v>▲ モデルのみ検知：現場に在庫状況を確認</v>
      </c>
      <c r="AA45" s="69" t="s">
        <v>543</v>
      </c>
    </row>
    <row r="46" customFormat="false" ht="37.3" hidden="false" customHeight="false" outlineLevel="0" collapsed="false">
      <c r="A46" s="32" t="n">
        <v>40</v>
      </c>
      <c r="B46" s="32" t="s">
        <v>364</v>
      </c>
      <c r="C46" s="33" t="s">
        <v>365</v>
      </c>
      <c r="D46" s="34" t="n">
        <v>27500</v>
      </c>
      <c r="E46" s="35" t="n">
        <f aca="false">①石川予測確定!E46</f>
        <v>1</v>
      </c>
      <c r="F46" s="35" t="n">
        <f aca="false">①石川予測確定!P46</f>
        <v>1</v>
      </c>
      <c r="G46" s="35" t="n">
        <f aca="false">①石川予測確定!S46</f>
        <v>3</v>
      </c>
      <c r="H46" s="37" t="n">
        <f aca="false">IFERROR(F46/G46,0)</f>
        <v>0.333333333333333</v>
      </c>
      <c r="I46" s="38" t="n">
        <f aca="false">F46-G46</f>
        <v>-2</v>
      </c>
      <c r="J46" s="39" t="str">
        <f aca="false">IF(I46&gt;0,"要 追加発注",IF(H46&gt;=0.9,"要注意(90%超)",IF(H46&gt;=0.5,"適正","在庫余剰")))</f>
        <v>在庫余剰</v>
      </c>
      <c r="K46" s="35" t="n">
        <f aca="false">IF(I46&gt;0,ROUNDUP(I46*(1+前提・入力!$B$34),0),0)</f>
        <v>0</v>
      </c>
      <c r="L46" s="35" t="n">
        <f aca="false">③仙台以降予測!M70</f>
        <v>7</v>
      </c>
      <c r="M46" s="35" t="n">
        <f aca="false">③仙台以降予測!V70</f>
        <v>3</v>
      </c>
      <c r="N46" s="35" t="n">
        <f aca="false">③仙台以降予測!W70</f>
        <v>0</v>
      </c>
      <c r="O46" s="38" t="n">
        <f aca="false">L46-M46-N46</f>
        <v>4</v>
      </c>
      <c r="P46" s="39" t="str">
        <f aca="false">IF(O46&gt;0,"要 追加生産",IF(L46=0,"—","在庫で充足"))</f>
        <v>要 追加生産</v>
      </c>
      <c r="Q46" s="35" t="n">
        <f aca="false">③仙台以降予測!Z70</f>
        <v>5</v>
      </c>
      <c r="R46" s="35" t="n">
        <f aca="false">K46+Q46</f>
        <v>5</v>
      </c>
      <c r="S46" s="34" t="n">
        <f aca="false">R46*D46</f>
        <v>137500</v>
      </c>
      <c r="T46" s="69" t="s">
        <v>386</v>
      </c>
      <c r="U46" s="70" t="n">
        <f aca="false">DATE(2027,4,1)-90-前提・入力!$B$37</f>
        <v>46374</v>
      </c>
      <c r="V46" s="71" t="n">
        <f aca="false">IF(OR(U46="",U46="再生産不可"),"",U46-前提・入力!$B$38)</f>
        <v>114</v>
      </c>
      <c r="W46" s="69" t="str">
        <f aca="false">IF(T46="—","—",IF(U46="再生産不可","×再生産不可",_xlfn.IFS(V46&lt;0,"★期限超過",V46&lt;=30,"★至急(30日以内)",V46&lt;=90,"要着手(90日以内)",TRUE(),"余裕あり")))</f>
        <v>余裕あり</v>
      </c>
      <c r="X46" s="32" t="str">
        <f aca="false">IF(Y46&lt;&gt;"",IF(FALSE(),"S:現場欠品(追納不可)","S:現場欠品"),IF(I46&gt;0,"A:会期中欠品",IF(O46&gt;1000,"B:大口",IF(O46&gt;0,"C:通常","D:不要"))))</f>
        <v>C:通常</v>
      </c>
      <c r="Y46" s="72"/>
      <c r="Z46" s="72" t="str">
        <f aca="false">IF(Y46&lt;&gt;"",IF(I46&gt;0,"◎ 一致（モデルも会期中欠品を検知）",IF(H46&gt;=0.7,"○ 整合（予測消化率70%超）","△ モデル未検知：現場報告を優先")),IF(I46&gt;0,"▲ モデルのみ検知：現場に在庫状況を確認","—"))</f>
        <v>—</v>
      </c>
      <c r="AA46" s="69" t="s">
        <v>544</v>
      </c>
    </row>
    <row r="47" customFormat="false" ht="15" hidden="false" customHeight="false" outlineLevel="0" collapsed="false">
      <c r="A47" s="32" t="n">
        <v>41</v>
      </c>
      <c r="B47" s="32" t="s">
        <v>366</v>
      </c>
      <c r="C47" s="33" t="s">
        <v>367</v>
      </c>
      <c r="D47" s="34" t="n">
        <v>25000</v>
      </c>
      <c r="E47" s="35" t="n">
        <f aca="false">①石川予測確定!E47</f>
        <v>0</v>
      </c>
      <c r="F47" s="35" t="n">
        <f aca="false">①石川予測確定!P47</f>
        <v>0</v>
      </c>
      <c r="G47" s="35" t="n">
        <f aca="false">①石川予測確定!S47</f>
        <v>14</v>
      </c>
      <c r="H47" s="37" t="n">
        <f aca="false">IFERROR(F47/G47,0)</f>
        <v>0</v>
      </c>
      <c r="I47" s="38" t="n">
        <f aca="false">F47-G47</f>
        <v>-14</v>
      </c>
      <c r="J47" s="39" t="str">
        <f aca="false">IF(I47&gt;0,"要 追加発注",IF(H47&gt;=0.9,"要注意(90%超)",IF(H47&gt;=0.5,"適正","在庫余剰")))</f>
        <v>在庫余剰</v>
      </c>
      <c r="K47" s="35" t="n">
        <f aca="false">IF(I47&gt;0,ROUNDUP(I47*(1+前提・入力!$B$34),0),0)</f>
        <v>0</v>
      </c>
      <c r="L47" s="35" t="n">
        <f aca="false">③仙台以降予測!M71</f>
        <v>0</v>
      </c>
      <c r="M47" s="35" t="n">
        <f aca="false">③仙台以降予測!V71</f>
        <v>74</v>
      </c>
      <c r="N47" s="35" t="n">
        <f aca="false">③仙台以降予測!W71</f>
        <v>0</v>
      </c>
      <c r="O47" s="38" t="n">
        <f aca="false">L47-M47-N47</f>
        <v>-74</v>
      </c>
      <c r="P47" s="39" t="str">
        <f aca="false">IF(O47&gt;0,"要 追加生産",IF(L47=0,"—","在庫で充足"))</f>
        <v>—</v>
      </c>
      <c r="Q47" s="35" t="n">
        <f aca="false">③仙台以降予測!Z71</f>
        <v>0</v>
      </c>
      <c r="R47" s="35" t="n">
        <f aca="false">K47+Q47</f>
        <v>0</v>
      </c>
      <c r="S47" s="34" t="n">
        <f aca="false">R47*D47</f>
        <v>0</v>
      </c>
      <c r="T47" s="72" t="s">
        <v>533</v>
      </c>
      <c r="U47" s="32"/>
      <c r="V47" s="71" t="str">
        <f aca="false">IF(OR(U47="",U47="再生産不可"),"",U47-前提・入力!$B$38)</f>
        <v/>
      </c>
      <c r="W47" s="69" t="str">
        <f aca="false">IF(T47="—","—",IF(U47="再生産不可","×再生産不可",_xlfn.IFS(V47&lt;0,"★期限超過",V47&lt;=30,"★至急(30日以内)",V47&lt;=90,"要着手(90日以内)",TRUE(),"余裕あり")))</f>
        <v>—</v>
      </c>
      <c r="X47" s="32" t="str">
        <f aca="false">IF(Y47&lt;&gt;"",IF(FALSE(),"S:現場欠品(追納不可)","S:現場欠品"),IF(I47&gt;0,"A:会期中欠品",IF(O47&gt;1000,"B:大口",IF(O47&gt;0,"C:通常","D:不要"))))</f>
        <v>D:不要</v>
      </c>
      <c r="Y47" s="72"/>
      <c r="Z47" s="72" t="str">
        <f aca="false">IF(Y47&lt;&gt;"",IF(I47&gt;0,"◎ 一致（モデルも会期中欠品を検知）",IF(H47&gt;=0.7,"○ 整合（予測消化率70%超）","△ モデル未検知：現場報告を優先")),IF(I47&gt;0,"▲ モデルのみ検知：現場に在庫状況を確認","—"))</f>
        <v>—</v>
      </c>
      <c r="AA47" s="69" t="s">
        <v>545</v>
      </c>
    </row>
    <row r="48" customFormat="false" ht="15" hidden="false" customHeight="false" outlineLevel="0" collapsed="false">
      <c r="A48" s="32" t="n">
        <v>42</v>
      </c>
      <c r="B48" s="32" t="s">
        <v>368</v>
      </c>
      <c r="C48" s="33" t="s">
        <v>369</v>
      </c>
      <c r="D48" s="34" t="n">
        <v>25000</v>
      </c>
      <c r="E48" s="35" t="n">
        <f aca="false">①石川予測確定!E48</f>
        <v>0</v>
      </c>
      <c r="F48" s="35" t="n">
        <f aca="false">①石川予測確定!P48</f>
        <v>0</v>
      </c>
      <c r="G48" s="35" t="n">
        <f aca="false">①石川予測確定!S48</f>
        <v>15</v>
      </c>
      <c r="H48" s="37" t="n">
        <f aca="false">IFERROR(F48/G48,0)</f>
        <v>0</v>
      </c>
      <c r="I48" s="38" t="n">
        <f aca="false">F48-G48</f>
        <v>-15</v>
      </c>
      <c r="J48" s="39" t="str">
        <f aca="false">IF(I48&gt;0,"要 追加発注",IF(H48&gt;=0.9,"要注意(90%超)",IF(H48&gt;=0.5,"適正","在庫余剰")))</f>
        <v>在庫余剰</v>
      </c>
      <c r="K48" s="35" t="n">
        <f aca="false">IF(I48&gt;0,ROUNDUP(I48*(1+前提・入力!$B$34),0),0)</f>
        <v>0</v>
      </c>
      <c r="L48" s="35" t="n">
        <f aca="false">③仙台以降予測!M72</f>
        <v>3</v>
      </c>
      <c r="M48" s="35" t="n">
        <f aca="false">③仙台以降予測!V72</f>
        <v>48</v>
      </c>
      <c r="N48" s="35" t="n">
        <f aca="false">③仙台以降予測!W72</f>
        <v>0</v>
      </c>
      <c r="O48" s="38" t="n">
        <f aca="false">L48-M48-N48</f>
        <v>-45</v>
      </c>
      <c r="P48" s="39" t="str">
        <f aca="false">IF(O48&gt;0,"要 追加生産",IF(L48=0,"—","在庫で充足"))</f>
        <v>在庫で充足</v>
      </c>
      <c r="Q48" s="35" t="n">
        <f aca="false">③仙台以降予測!Z72</f>
        <v>0</v>
      </c>
      <c r="R48" s="35" t="n">
        <f aca="false">K48+Q48</f>
        <v>0</v>
      </c>
      <c r="S48" s="34" t="n">
        <f aca="false">R48*D48</f>
        <v>0</v>
      </c>
      <c r="T48" s="72" t="s">
        <v>533</v>
      </c>
      <c r="U48" s="32"/>
      <c r="V48" s="71" t="str">
        <f aca="false">IF(OR(U48="",U48="再生産不可"),"",U48-前提・入力!$B$38)</f>
        <v/>
      </c>
      <c r="W48" s="69" t="str">
        <f aca="false">IF(T48="—","—",IF(U48="再生産不可","×再生産不可",_xlfn.IFS(V48&lt;0,"★期限超過",V48&lt;=30,"★至急(30日以内)",V48&lt;=90,"要着手(90日以内)",TRUE(),"余裕あり")))</f>
        <v>—</v>
      </c>
      <c r="X48" s="32" t="str">
        <f aca="false">IF(Y48&lt;&gt;"",IF(FALSE(),"S:現場欠品(追納不可)","S:現場欠品"),IF(I48&gt;0,"A:会期中欠品",IF(O48&gt;1000,"B:大口",IF(O48&gt;0,"C:通常","D:不要"))))</f>
        <v>D:不要</v>
      </c>
      <c r="Y48" s="72"/>
      <c r="Z48" s="72" t="str">
        <f aca="false">IF(Y48&lt;&gt;"",IF(I48&gt;0,"◎ 一致（モデルも会期中欠品を検知）",IF(H48&gt;=0.7,"○ 整合（予測消化率70%超）","△ モデル未検知：現場報告を優先")),IF(I48&gt;0,"▲ モデルのみ検知：現場に在庫状況を確認","—"))</f>
        <v>—</v>
      </c>
      <c r="AA48" s="69" t="s">
        <v>545</v>
      </c>
    </row>
    <row r="49" customFormat="false" ht="15" hidden="false" customHeight="false" outlineLevel="0" collapsed="false">
      <c r="A49" s="40"/>
      <c r="B49" s="40"/>
      <c r="C49" s="41" t="s">
        <v>370</v>
      </c>
      <c r="D49" s="40"/>
      <c r="E49" s="42" t="n">
        <f aca="false">SUM(E7:E48)</f>
        <v>4022</v>
      </c>
      <c r="F49" s="42" t="n">
        <f aca="false">SUM(F7:F48)</f>
        <v>5151</v>
      </c>
      <c r="G49" s="42" t="n">
        <f aca="false">SUM(G7:G48)</f>
        <v>46928</v>
      </c>
      <c r="H49" s="45" t="n">
        <f aca="false">IFERROR(F49/G49,0)</f>
        <v>0.109763893624275</v>
      </c>
      <c r="I49" s="42" t="n">
        <f aca="false">SUM(I7:I48)</f>
        <v>-41777</v>
      </c>
      <c r="J49" s="40" t="str">
        <f aca="false">COUNTIF(J7:J48,"要 追加発注")&amp;"品目"</f>
        <v>3品目</v>
      </c>
      <c r="K49" s="42" t="n">
        <f aca="false">SUM(K7:K48)</f>
        <v>38</v>
      </c>
      <c r="L49" s="42" t="n">
        <f aca="false">SUM(L7:L48)</f>
        <v>61617</v>
      </c>
      <c r="M49" s="42" t="n">
        <f aca="false">SUM(M7:M48)</f>
        <v>234426</v>
      </c>
      <c r="N49" s="42" t="n">
        <f aca="false">SUM(N7:N48)</f>
        <v>1200</v>
      </c>
      <c r="O49" s="42" t="n">
        <f aca="false">SUM(O7:O48)</f>
        <v>-174009</v>
      </c>
      <c r="P49" s="40" t="str">
        <f aca="false">COUNTIF(P7:P48,"要 追加生産")&amp;"品目"</f>
        <v>13品目</v>
      </c>
      <c r="Q49" s="42" t="n">
        <f aca="false">SUM(Q7:Q48)</f>
        <v>3729</v>
      </c>
      <c r="R49" s="42" t="n">
        <f aca="false">SUM(R7:R48)</f>
        <v>3767</v>
      </c>
      <c r="S49" s="44" t="n">
        <f aca="false">SUM(S7:S48)</f>
        <v>7628300</v>
      </c>
      <c r="T49" s="40"/>
      <c r="U49" s="40" t="str">
        <f aca="false">IF(COUNT(U7:U48)=0,"",TEXT(MIN(U7:U48),"yyyy/m/d")&amp;" が最短期限")</f>
        <v>2026/5/24 が最短期限</v>
      </c>
      <c r="V49" s="40"/>
      <c r="W49" s="40" t="str">
        <f aca="false">COUNTIF(W7:W48,"★期限超過")&amp;"品目が期限超過／"&amp;COUNTIF(W7:W48,"★至急(30日以内)")&amp;"品目が至急"</f>
        <v>3品目が期限超過／3品目が至急</v>
      </c>
      <c r="X49" s="40"/>
      <c r="Y49" s="40" t="str">
        <f aca="false">COUNTIF(Y7:Y48,"&lt;&gt;")&amp;"品目 報告あり"</f>
        <v>0品目 報告あり</v>
      </c>
      <c r="Z49" s="40"/>
      <c r="AA49" s="40"/>
    </row>
  </sheetData>
  <conditionalFormatting sqref="J7:J48">
    <cfRule type="expression" priority="2" aboveAverage="0" equalAverage="0" bottom="0" percent="0" rank="0" text="" dxfId="3">
      <formula>$J7="要 追加発注"</formula>
    </cfRule>
    <cfRule type="expression" priority="3" aboveAverage="0" equalAverage="0" bottom="0" percent="0" rank="0" text="" dxfId="1">
      <formula>$J7="要注意(90%超)"</formula>
    </cfRule>
    <cfRule type="expression" priority="4" aboveAverage="0" equalAverage="0" bottom="0" percent="0" rank="0" text="" dxfId="2">
      <formula>$J7="適正"</formula>
    </cfRule>
  </conditionalFormatting>
  <conditionalFormatting sqref="P7:P48">
    <cfRule type="expression" priority="5" aboveAverage="0" equalAverage="0" bottom="0" percent="0" rank="0" text="" dxfId="3">
      <formula>$P7="要 追加生産"</formula>
    </cfRule>
  </conditionalFormatting>
  <conditionalFormatting sqref="T7:T48">
    <cfRule type="expression" priority="6" aboveAverage="0" equalAverage="0" bottom="0" percent="0" rank="0" text="" dxfId="3">
      <formula>$T7&lt;&gt;"—"</formula>
    </cfRule>
  </conditionalFormatting>
  <conditionalFormatting sqref="W7:W48">
    <cfRule type="expression" priority="7" aboveAverage="0" equalAverage="0" bottom="0" percent="0" rank="0" text="" dxfId="3">
      <formula>LEFT($W7,1)="★"</formula>
    </cfRule>
    <cfRule type="expression" priority="8" aboveAverage="0" equalAverage="0" bottom="0" percent="0" rank="0" text="" dxfId="1">
      <formula>$W7="要着手(90日以内)"</formula>
    </cfRule>
    <cfRule type="expression" priority="9" aboveAverage="0" equalAverage="0" bottom="0" percent="0" rank="0" text="" dxfId="2">
      <formula>$W7="余裕あり"</formula>
    </cfRule>
  </conditionalFormatting>
  <conditionalFormatting sqref="X7:X48">
    <cfRule type="expression" priority="10" aboveAverage="0" equalAverage="0" bottom="0" percent="0" rank="0" text="" dxfId="3">
      <formula>LEFT($X7,1)="S"</formula>
    </cfRule>
    <cfRule type="expression" priority="11" aboveAverage="0" equalAverage="0" bottom="0" percent="0" rank="0" text="" dxfId="3">
      <formula>$X7="A:会期中欠品"</formula>
    </cfRule>
    <cfRule type="expression" priority="12" aboveAverage="0" equalAverage="0" bottom="0" percent="0" rank="0" text="" dxfId="1">
      <formula>$X7="B:大口"</formula>
    </cfRule>
  </conditionalFormatting>
  <conditionalFormatting sqref="Y7:Y48">
    <cfRule type="expression" priority="13" aboveAverage="0" equalAverage="0" bottom="0" percent="0" rank="0" text="" dxfId="3">
      <formula>$Y7&lt;&gt;""</formula>
    </cfRule>
  </conditionalFormatting>
  <conditionalFormatting sqref="Z7:Z48">
    <cfRule type="expression" priority="14" aboveAverage="0" equalAverage="0" bottom="0" percent="0" rank="0" text="" dxfId="1">
      <formula>LEFT($Z7,1)="△"</formula>
    </cfRule>
    <cfRule type="expression" priority="15" aboveAverage="0" equalAverage="0" bottom="0" percent="0" rank="0" text="" dxfId="1">
      <formula>LEFT($Z7,1)="▲"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5" min="4" style="0" width="9"/>
    <col collapsed="false" customWidth="true" hidden="false" outlineLevel="0" max="6" min="6" style="0" width="10"/>
    <col collapsed="false" customWidth="true" hidden="false" outlineLevel="0" max="7" min="7" style="0" width="9"/>
    <col collapsed="false" customWidth="true" hidden="false" outlineLevel="0" max="8" min="8" style="0" width="12"/>
    <col collapsed="false" customWidth="true" hidden="false" outlineLevel="0" max="12" min="9" style="0" width="9"/>
    <col collapsed="false" customWidth="true" hidden="false" outlineLevel="0" max="13" min="13" style="0" width="10"/>
    <col collapsed="false" customWidth="true" hidden="false" outlineLevel="0" max="14" min="14" style="0" width="9"/>
    <col collapsed="false" customWidth="true" hidden="false" outlineLevel="0" max="15" min="15" style="0" width="12"/>
    <col collapsed="false" customWidth="true" hidden="false" outlineLevel="0" max="19" min="16" style="0" width="9"/>
    <col collapsed="false" customWidth="true" hidden="false" outlineLevel="0" max="20" min="20" style="0" width="10"/>
    <col collapsed="false" customWidth="true" hidden="false" outlineLevel="0" max="21" min="21" style="0" width="9"/>
    <col collapsed="false" customWidth="true" hidden="false" outlineLevel="0" max="22" min="22" style="0" width="12"/>
    <col collapsed="false" customWidth="true" hidden="false" outlineLevel="0" max="26" min="23" style="0" width="9"/>
    <col collapsed="false" customWidth="true" hidden="false" outlineLevel="0" max="27" min="27" style="0" width="10"/>
    <col collapsed="false" customWidth="true" hidden="false" outlineLevel="0" max="28" min="28" style="0" width="9"/>
    <col collapsed="false" customWidth="true" hidden="false" outlineLevel="0" max="29" min="29" style="0" width="12"/>
    <col collapsed="false" customWidth="true" hidden="false" outlineLevel="0" max="33" min="30" style="0" width="9"/>
    <col collapsed="false" customWidth="true" hidden="false" outlineLevel="0" max="34" min="34" style="0" width="10"/>
    <col collapsed="false" customWidth="true" hidden="false" outlineLevel="0" max="35" min="35" style="0" width="9"/>
    <col collapsed="false" customWidth="true" hidden="false" outlineLevel="0" max="36" min="36" style="0" width="12"/>
    <col collapsed="false" customWidth="true" hidden="false" outlineLevel="0" max="40" min="37" style="0" width="9"/>
    <col collapsed="false" customWidth="true" hidden="false" outlineLevel="0" max="41" min="41" style="0" width="10"/>
    <col collapsed="false" customWidth="true" hidden="false" outlineLevel="0" max="42" min="42" style="0" width="9"/>
    <col collapsed="false" customWidth="true" hidden="false" outlineLevel="0" max="43" min="43" style="0" width="12"/>
    <col collapsed="false" customWidth="true" hidden="false" outlineLevel="0" max="47" min="44" style="0" width="9"/>
    <col collapsed="false" customWidth="true" hidden="false" outlineLevel="0" max="48" min="48" style="0" width="10"/>
    <col collapsed="false" customWidth="true" hidden="false" outlineLevel="0" max="49" min="49" style="0" width="12"/>
    <col collapsed="false" customWidth="true" hidden="false" outlineLevel="0" max="50" min="50" style="0" width="9"/>
    <col collapsed="false" customWidth="true" hidden="false" outlineLevel="0" max="52" min="51" style="0" width="10"/>
    <col collapsed="false" customWidth="true" hidden="false" outlineLevel="0" max="53" min="53" style="0" width="11"/>
    <col collapsed="false" customWidth="true" hidden="false" outlineLevel="0" max="54" min="54" style="0" width="10"/>
    <col collapsed="false" customWidth="true" hidden="false" outlineLevel="0" max="55" min="55" style="0" width="11"/>
    <col collapsed="false" customWidth="true" hidden="false" outlineLevel="0" max="56" min="56" style="0" width="14"/>
    <col collapsed="false" customWidth="true" hidden="false" outlineLevel="0" max="57" min="57" style="0" width="13"/>
    <col collapsed="false" customWidth="true" hidden="false" outlineLevel="0" max="59" min="58" style="0" width="10"/>
  </cols>
  <sheetData>
    <row r="1" customFormat="false" ht="20.1" hidden="false" customHeight="false" outlineLevel="0" collapsed="false">
      <c r="A1" s="1" t="s">
        <v>546</v>
      </c>
    </row>
    <row r="2" customFormat="false" ht="15" hidden="false" customHeight="false" outlineLevel="0" collapsed="false">
      <c r="A2" s="3" t="s">
        <v>547</v>
      </c>
    </row>
    <row r="3" customFormat="false" ht="15" hidden="false" customHeight="false" outlineLevel="0" collapsed="false">
      <c r="A3" s="3" t="s">
        <v>548</v>
      </c>
    </row>
    <row r="5" customFormat="false" ht="19.5" hidden="false" customHeight="true" outlineLevel="0" collapsed="false">
      <c r="A5" s="73" t="s">
        <v>549</v>
      </c>
      <c r="B5" s="73"/>
      <c r="C5" s="73"/>
      <c r="D5" s="73"/>
      <c r="E5" s="74" t="s">
        <v>550</v>
      </c>
      <c r="F5" s="74"/>
      <c r="G5" s="74"/>
      <c r="H5" s="74"/>
      <c r="I5" s="74"/>
      <c r="J5" s="74"/>
      <c r="K5" s="74"/>
      <c r="L5" s="75" t="s">
        <v>551</v>
      </c>
      <c r="M5" s="75"/>
      <c r="N5" s="75"/>
      <c r="O5" s="75"/>
      <c r="P5" s="75"/>
      <c r="Q5" s="75"/>
      <c r="R5" s="75"/>
      <c r="S5" s="76" t="s">
        <v>552</v>
      </c>
      <c r="T5" s="76"/>
      <c r="U5" s="76"/>
      <c r="V5" s="76"/>
      <c r="W5" s="76"/>
      <c r="X5" s="76"/>
      <c r="Y5" s="76"/>
      <c r="Z5" s="77" t="s">
        <v>553</v>
      </c>
      <c r="AA5" s="77"/>
      <c r="AB5" s="77"/>
      <c r="AC5" s="77"/>
      <c r="AD5" s="77"/>
      <c r="AE5" s="77"/>
      <c r="AF5" s="77"/>
      <c r="AG5" s="78" t="s">
        <v>554</v>
      </c>
      <c r="AH5" s="78"/>
      <c r="AI5" s="78"/>
      <c r="AJ5" s="78"/>
      <c r="AK5" s="78"/>
      <c r="AL5" s="78"/>
      <c r="AM5" s="78"/>
      <c r="AN5" s="79" t="s">
        <v>555</v>
      </c>
      <c r="AO5" s="79"/>
      <c r="AP5" s="79"/>
      <c r="AQ5" s="79"/>
      <c r="AR5" s="79"/>
      <c r="AS5" s="79"/>
      <c r="AT5" s="79"/>
      <c r="AU5" s="79" t="s">
        <v>556</v>
      </c>
      <c r="AV5" s="79"/>
      <c r="AW5" s="79"/>
      <c r="AX5" s="79"/>
      <c r="AY5" s="79"/>
      <c r="AZ5" s="80" t="s">
        <v>557</v>
      </c>
      <c r="BA5" s="80"/>
      <c r="BB5" s="80"/>
      <c r="BC5" s="80"/>
      <c r="BD5" s="81" t="s">
        <v>558</v>
      </c>
      <c r="BE5" s="81"/>
      <c r="BF5" s="81"/>
      <c r="BG5" s="81"/>
    </row>
    <row r="6" customFormat="false" ht="33.75" hidden="false" customHeight="true" outlineLevel="0" collapsed="false">
      <c r="A6" s="25" t="s">
        <v>263</v>
      </c>
      <c r="B6" s="25" t="s">
        <v>264</v>
      </c>
      <c r="C6" s="26" t="s">
        <v>265</v>
      </c>
      <c r="D6" s="26" t="s">
        <v>559</v>
      </c>
      <c r="E6" s="47" t="s">
        <v>266</v>
      </c>
      <c r="F6" s="47" t="s">
        <v>560</v>
      </c>
      <c r="G6" s="47" t="s">
        <v>561</v>
      </c>
      <c r="H6" s="47" t="s">
        <v>562</v>
      </c>
      <c r="I6" s="47" t="s">
        <v>563</v>
      </c>
      <c r="J6" s="47" t="s">
        <v>564</v>
      </c>
      <c r="K6" s="47" t="s">
        <v>565</v>
      </c>
      <c r="L6" s="48" t="s">
        <v>266</v>
      </c>
      <c r="M6" s="48" t="s">
        <v>560</v>
      </c>
      <c r="N6" s="48" t="s">
        <v>561</v>
      </c>
      <c r="O6" s="48" t="s">
        <v>562</v>
      </c>
      <c r="P6" s="48" t="s">
        <v>563</v>
      </c>
      <c r="Q6" s="48" t="s">
        <v>564</v>
      </c>
      <c r="R6" s="48" t="s">
        <v>565</v>
      </c>
      <c r="S6" s="28" t="s">
        <v>266</v>
      </c>
      <c r="T6" s="28" t="s">
        <v>560</v>
      </c>
      <c r="U6" s="28" t="s">
        <v>561</v>
      </c>
      <c r="V6" s="28" t="s">
        <v>562</v>
      </c>
      <c r="W6" s="28" t="s">
        <v>563</v>
      </c>
      <c r="X6" s="28" t="s">
        <v>564</v>
      </c>
      <c r="Y6" s="28" t="s">
        <v>565</v>
      </c>
      <c r="Z6" s="29" t="s">
        <v>266</v>
      </c>
      <c r="AA6" s="29" t="s">
        <v>560</v>
      </c>
      <c r="AB6" s="29" t="s">
        <v>561</v>
      </c>
      <c r="AC6" s="29" t="s">
        <v>562</v>
      </c>
      <c r="AD6" s="29" t="s">
        <v>563</v>
      </c>
      <c r="AE6" s="29" t="s">
        <v>564</v>
      </c>
      <c r="AF6" s="29" t="s">
        <v>565</v>
      </c>
      <c r="AG6" s="30" t="s">
        <v>266</v>
      </c>
      <c r="AH6" s="30" t="s">
        <v>560</v>
      </c>
      <c r="AI6" s="30" t="s">
        <v>561</v>
      </c>
      <c r="AJ6" s="30" t="s">
        <v>562</v>
      </c>
      <c r="AK6" s="30" t="s">
        <v>563</v>
      </c>
      <c r="AL6" s="30" t="s">
        <v>564</v>
      </c>
      <c r="AM6" s="30" t="s">
        <v>565</v>
      </c>
      <c r="AN6" s="27" t="s">
        <v>266</v>
      </c>
      <c r="AO6" s="27" t="s">
        <v>560</v>
      </c>
      <c r="AP6" s="27" t="s">
        <v>561</v>
      </c>
      <c r="AQ6" s="27" t="s">
        <v>562</v>
      </c>
      <c r="AR6" s="27" t="s">
        <v>563</v>
      </c>
      <c r="AS6" s="27" t="s">
        <v>564</v>
      </c>
      <c r="AT6" s="27" t="s">
        <v>565</v>
      </c>
      <c r="AU6" s="27" t="s">
        <v>277</v>
      </c>
      <c r="AV6" s="27" t="s">
        <v>566</v>
      </c>
      <c r="AW6" s="27" t="s">
        <v>567</v>
      </c>
      <c r="AX6" s="27" t="s">
        <v>282</v>
      </c>
      <c r="AY6" s="27" t="s">
        <v>283</v>
      </c>
      <c r="AZ6" s="49" t="s">
        <v>568</v>
      </c>
      <c r="BA6" s="49" t="s">
        <v>569</v>
      </c>
      <c r="BB6" s="49" t="s">
        <v>570</v>
      </c>
      <c r="BC6" s="49" t="s">
        <v>505</v>
      </c>
      <c r="BD6" s="31" t="s">
        <v>516</v>
      </c>
      <c r="BE6" s="31" t="s">
        <v>521</v>
      </c>
      <c r="BF6" s="31" t="s">
        <v>571</v>
      </c>
      <c r="BG6" s="31" t="s">
        <v>529</v>
      </c>
    </row>
    <row r="7" customFormat="false" ht="15" hidden="false" customHeight="false" outlineLevel="0" collapsed="false">
      <c r="A7" s="32" t="n">
        <v>1</v>
      </c>
      <c r="B7" s="32" t="s">
        <v>286</v>
      </c>
      <c r="C7" s="33" t="s">
        <v>287</v>
      </c>
      <c r="D7" s="34" t="n">
        <v>500</v>
      </c>
      <c r="E7" s="34" t="n">
        <v>500</v>
      </c>
      <c r="F7" s="35" t="n">
        <v>4965</v>
      </c>
      <c r="G7" s="37" t="n">
        <f aca="false">IFERROR(F7/F$49,0)</f>
        <v>0.0335054155278874</v>
      </c>
      <c r="H7" s="34" t="n">
        <f aca="false">F7*E7</f>
        <v>2482500</v>
      </c>
      <c r="I7" s="37" t="n">
        <f aca="false">IFERROR(H7/H$49,0)</f>
        <v>0.0242938870414988</v>
      </c>
      <c r="J7" s="35" t="n">
        <v>6000</v>
      </c>
      <c r="K7" s="37" t="n">
        <f aca="false">IFERROR(F7/J7,0)</f>
        <v>0.8275</v>
      </c>
      <c r="L7" s="34" t="n">
        <v>500</v>
      </c>
      <c r="M7" s="35" t="n">
        <v>1316</v>
      </c>
      <c r="N7" s="37" t="n">
        <f aca="false">IFERROR(M7/M$49,0)</f>
        <v>0.022457337883959</v>
      </c>
      <c r="O7" s="34" t="n">
        <f aca="false">M7*L7</f>
        <v>658000</v>
      </c>
      <c r="P7" s="37" t="n">
        <f aca="false">IFERROR(O7/O$49,0)</f>
        <v>0.0158632195103135</v>
      </c>
      <c r="Q7" s="35" t="n">
        <v>1998</v>
      </c>
      <c r="R7" s="37" t="n">
        <f aca="false">IFERROR(M7/Q7,0)</f>
        <v>0.658658658658659</v>
      </c>
      <c r="S7" s="34" t="n">
        <v>500</v>
      </c>
      <c r="T7" s="35" t="n">
        <v>1092</v>
      </c>
      <c r="U7" s="37" t="n">
        <f aca="false">IFERROR(T7/T$49,0)</f>
        <v>0.0243364311024938</v>
      </c>
      <c r="V7" s="34" t="n">
        <f aca="false">T7*S7</f>
        <v>546000</v>
      </c>
      <c r="W7" s="37" t="n">
        <f aca="false">IFERROR(V7/V$49,0)</f>
        <v>0.0175976897391932</v>
      </c>
      <c r="X7" s="35" t="n">
        <v>1099</v>
      </c>
      <c r="Y7" s="37" t="n">
        <f aca="false">IFERROR(T7/X7,0)</f>
        <v>0.993630573248408</v>
      </c>
      <c r="Z7" s="34" t="n">
        <v>500</v>
      </c>
      <c r="AA7" s="35" t="n">
        <v>2325</v>
      </c>
      <c r="AB7" s="37" t="n">
        <f aca="false">IFERROR(AA7/AA$49,0)</f>
        <v>0.0364763100094132</v>
      </c>
      <c r="AC7" s="34" t="n">
        <f aca="false">AA7*Z7</f>
        <v>1162500</v>
      </c>
      <c r="AD7" s="37" t="n">
        <f aca="false">IFERROR(AC7/AC$49,0)</f>
        <v>0.0255451836616301</v>
      </c>
      <c r="AE7" s="35" t="n">
        <v>3000</v>
      </c>
      <c r="AF7" s="37" t="n">
        <f aca="false">IFERROR(AA7/AE7,0)</f>
        <v>0.775</v>
      </c>
      <c r="AG7" s="34" t="n">
        <v>500</v>
      </c>
      <c r="AH7" s="35" t="n">
        <v>507</v>
      </c>
      <c r="AI7" s="37" t="n">
        <f aca="false">IFERROR(AH7/AH$49,0)</f>
        <v>0.0570239568102576</v>
      </c>
      <c r="AJ7" s="34" t="n">
        <f aca="false">AH7*AG7</f>
        <v>253500</v>
      </c>
      <c r="AK7" s="37" t="n">
        <f aca="false">IFERROR(AJ7/AJ$49,0)</f>
        <v>0.0351253983649716</v>
      </c>
      <c r="AL7" s="35" t="n">
        <v>1000</v>
      </c>
      <c r="AM7" s="37" t="n">
        <f aca="false">IFERROR(AH7/AL7,0)</f>
        <v>0.507</v>
      </c>
      <c r="AN7" s="34" t="n">
        <v>500</v>
      </c>
      <c r="AO7" s="35" t="n">
        <v>210</v>
      </c>
      <c r="AP7" s="37" t="n">
        <f aca="false">IFERROR(AO7/AO$49,0)</f>
        <v>0.0522128294380905</v>
      </c>
      <c r="AQ7" s="34" t="n">
        <f aca="false">AO7*AN7</f>
        <v>105000</v>
      </c>
      <c r="AR7" s="37" t="n">
        <f aca="false">IFERROR(AQ7/AQ$49,0)</f>
        <v>0.0309880769684807</v>
      </c>
      <c r="AS7" s="35" t="n">
        <v>693</v>
      </c>
      <c r="AT7" s="37" t="n">
        <f aca="false">IFERROR(AO7/AS7,0)</f>
        <v>0.303030303030303</v>
      </c>
      <c r="AU7" s="36" t="n">
        <f aca="false">①石川予測確定!O7</f>
        <v>1.2953342324238</v>
      </c>
      <c r="AV7" s="35" t="n">
        <f aca="false">①石川予測確定!P7</f>
        <v>272</v>
      </c>
      <c r="AW7" s="34" t="n">
        <f aca="false">①石川予測確定!Q7</f>
        <v>136000</v>
      </c>
      <c r="AX7" s="37" t="n">
        <f aca="false">①石川予測確定!T7</f>
        <v>0.392496392496393</v>
      </c>
      <c r="AY7" s="35" t="n">
        <f aca="false">①石川予測確定!U7</f>
        <v>421</v>
      </c>
      <c r="AZ7" s="35" t="n">
        <f aca="false">③仙台以降予測!M31</f>
        <v>3384</v>
      </c>
      <c r="BA7" s="35" t="n">
        <f aca="false">③仙台以降予測!V31</f>
        <v>2489</v>
      </c>
      <c r="BB7" s="38" t="n">
        <f aca="false">③仙台以降予測!X31</f>
        <v>895</v>
      </c>
      <c r="BC7" s="35" t="n">
        <f aca="false">③仙台以降予測!Y31</f>
        <v>895</v>
      </c>
      <c r="BD7" s="32" t="str">
        <f aca="false">④追加発注判定!J7</f>
        <v>在庫余剰</v>
      </c>
      <c r="BE7" s="32" t="str">
        <f aca="false">④追加発注判定!P7</f>
        <v>要 追加生産</v>
      </c>
      <c r="BF7" s="35" t="n">
        <f aca="false">④追加発注判定!R7</f>
        <v>985</v>
      </c>
      <c r="BG7" s="32" t="str">
        <f aca="false">④追加発注判定!X7</f>
        <v>C:通常</v>
      </c>
    </row>
    <row r="8" customFormat="false" ht="15" hidden="false" customHeight="false" outlineLevel="0" collapsed="false">
      <c r="A8" s="32" t="n">
        <v>2</v>
      </c>
      <c r="B8" s="32" t="s">
        <v>288</v>
      </c>
      <c r="C8" s="33" t="s">
        <v>289</v>
      </c>
      <c r="D8" s="34" t="n">
        <v>600</v>
      </c>
      <c r="E8" s="34" t="n">
        <v>600</v>
      </c>
      <c r="F8" s="35" t="n">
        <v>4902</v>
      </c>
      <c r="G8" s="37" t="n">
        <f aca="false">IFERROR(F8/F$49,0)</f>
        <v>0.0330802712825185</v>
      </c>
      <c r="H8" s="34" t="n">
        <f aca="false">F8*E8</f>
        <v>2941200</v>
      </c>
      <c r="I8" s="37" t="n">
        <f aca="false">IFERROR(H8/H$49,0)</f>
        <v>0.0287827514869914</v>
      </c>
      <c r="J8" s="35" t="n">
        <v>5699</v>
      </c>
      <c r="K8" s="37" t="n">
        <f aca="false">IFERROR(F8/J8,0)</f>
        <v>0.86015090366731</v>
      </c>
      <c r="L8" s="34" t="n">
        <v>600</v>
      </c>
      <c r="M8" s="35" t="n">
        <v>1466</v>
      </c>
      <c r="N8" s="37" t="n">
        <f aca="false">IFERROR(M8/M$49,0)</f>
        <v>0.0250170648464164</v>
      </c>
      <c r="O8" s="34" t="n">
        <f aca="false">M8*L8</f>
        <v>879600</v>
      </c>
      <c r="P8" s="37" t="n">
        <f aca="false">IFERROR(O8/O$49,0)</f>
        <v>0.0212056046827838</v>
      </c>
      <c r="Q8" s="35" t="n">
        <v>1999</v>
      </c>
      <c r="R8" s="37" t="n">
        <f aca="false">IFERROR(M8/Q8,0)</f>
        <v>0.733366683341671</v>
      </c>
      <c r="S8" s="34" t="n">
        <v>600</v>
      </c>
      <c r="T8" s="35" t="n">
        <v>1132</v>
      </c>
      <c r="U8" s="37" t="n">
        <f aca="false">IFERROR(T8/T$49,0)</f>
        <v>0.0252278754652225</v>
      </c>
      <c r="V8" s="34" t="n">
        <f aca="false">T8*S8</f>
        <v>679200</v>
      </c>
      <c r="W8" s="37" t="n">
        <f aca="false">IFERROR(V8/V$49,0)</f>
        <v>0.0218907525107327</v>
      </c>
      <c r="X8" s="35" t="n">
        <v>1200</v>
      </c>
      <c r="Y8" s="37" t="n">
        <f aca="false">IFERROR(T8/X8,0)</f>
        <v>0.943333333333333</v>
      </c>
      <c r="Z8" s="34" t="n">
        <v>600</v>
      </c>
      <c r="AA8" s="35" t="n">
        <v>1965</v>
      </c>
      <c r="AB8" s="37" t="n">
        <f aca="false">IFERROR(AA8/AA$49,0)</f>
        <v>0.0308283652337622</v>
      </c>
      <c r="AC8" s="34" t="n">
        <f aca="false">AA8*Z8</f>
        <v>1179000</v>
      </c>
      <c r="AD8" s="37" t="n">
        <f aca="false">IFERROR(AC8/AC$49,0)</f>
        <v>0.0259077604619888</v>
      </c>
      <c r="AE8" s="35" t="n">
        <v>3000</v>
      </c>
      <c r="AF8" s="37" t="n">
        <f aca="false">IFERROR(AA8/AE8,0)</f>
        <v>0.655</v>
      </c>
      <c r="AG8" s="34" t="n">
        <v>600</v>
      </c>
      <c r="AH8" s="35" t="n">
        <v>541</v>
      </c>
      <c r="AI8" s="37" t="n">
        <f aca="false">IFERROR(AH8/AH$49,0)</f>
        <v>0.0608480485884602</v>
      </c>
      <c r="AJ8" s="34" t="n">
        <f aca="false">AH8*AG8</f>
        <v>324600</v>
      </c>
      <c r="AK8" s="37" t="n">
        <f aca="false">IFERROR(AJ8/AJ$49,0)</f>
        <v>0.0449771373146737</v>
      </c>
      <c r="AL8" s="35" t="n">
        <v>1000</v>
      </c>
      <c r="AM8" s="37" t="n">
        <f aca="false">IFERROR(AH8/AL8,0)</f>
        <v>0.541</v>
      </c>
      <c r="AN8" s="34" t="n">
        <v>600</v>
      </c>
      <c r="AO8" s="35" t="n">
        <v>250</v>
      </c>
      <c r="AP8" s="37" t="n">
        <f aca="false">IFERROR(AO8/AO$49,0)</f>
        <v>0.0621581302834411</v>
      </c>
      <c r="AQ8" s="34" t="n">
        <f aca="false">AO8*AN8</f>
        <v>150000</v>
      </c>
      <c r="AR8" s="37" t="n">
        <f aca="false">IFERROR(AQ8/AQ$49,0)</f>
        <v>0.0442686813835439</v>
      </c>
      <c r="AS8" s="35" t="n">
        <v>659</v>
      </c>
      <c r="AT8" s="37" t="n">
        <f aca="false">IFERROR(AO8/AS8,0)</f>
        <v>0.379362670713202</v>
      </c>
      <c r="AU8" s="36" t="n">
        <f aca="false">①石川予測確定!O8</f>
        <v>1.3018124776143</v>
      </c>
      <c r="AV8" s="35" t="n">
        <f aca="false">①石川予測確定!P8</f>
        <v>325</v>
      </c>
      <c r="AW8" s="34" t="n">
        <f aca="false">①石川予測確定!Q8</f>
        <v>195000</v>
      </c>
      <c r="AX8" s="37" t="n">
        <f aca="false">①石川予測確定!T8</f>
        <v>0.493171471927162</v>
      </c>
      <c r="AY8" s="35" t="n">
        <f aca="false">①石川予測確定!U8</f>
        <v>334</v>
      </c>
      <c r="AZ8" s="35" t="n">
        <f aca="false">③仙台以降予測!M32</f>
        <v>3818</v>
      </c>
      <c r="BA8" s="35" t="n">
        <f aca="false">③仙台以降予測!V32</f>
        <v>4170</v>
      </c>
      <c r="BB8" s="38" t="n">
        <f aca="false">③仙台以降予測!X32</f>
        <v>-352</v>
      </c>
      <c r="BC8" s="35" t="n">
        <f aca="false">③仙台以降予測!Y32</f>
        <v>0</v>
      </c>
      <c r="BD8" s="32" t="str">
        <f aca="false">④追加発注判定!J8</f>
        <v>在庫余剰</v>
      </c>
      <c r="BE8" s="32" t="str">
        <f aca="false">④追加発注判定!P8</f>
        <v>在庫で充足</v>
      </c>
      <c r="BF8" s="35" t="n">
        <f aca="false">④追加発注判定!R8</f>
        <v>0</v>
      </c>
      <c r="BG8" s="32" t="str">
        <f aca="false">④追加発注判定!X8</f>
        <v>D:不要</v>
      </c>
    </row>
    <row r="9" customFormat="false" ht="15" hidden="false" customHeight="false" outlineLevel="0" collapsed="false">
      <c r="A9" s="32" t="n">
        <v>3</v>
      </c>
      <c r="B9" s="32" t="s">
        <v>290</v>
      </c>
      <c r="C9" s="33" t="s">
        <v>291</v>
      </c>
      <c r="D9" s="34" t="n">
        <v>1000</v>
      </c>
      <c r="E9" s="34" t="n">
        <v>1000</v>
      </c>
      <c r="F9" s="35" t="n">
        <v>2956</v>
      </c>
      <c r="G9" s="37" t="n">
        <f aca="false">IFERROR(F9/F$49,0)</f>
        <v>0.019948037925566</v>
      </c>
      <c r="H9" s="34" t="n">
        <f aca="false">F9*E9</f>
        <v>2956000</v>
      </c>
      <c r="I9" s="37" t="n">
        <f aca="false">IFERROR(H9/H$49,0)</f>
        <v>0.0289275851338048</v>
      </c>
      <c r="J9" s="35" t="n">
        <v>3700</v>
      </c>
      <c r="K9" s="37" t="n">
        <f aca="false">IFERROR(F9/J9,0)</f>
        <v>0.798918918918919</v>
      </c>
      <c r="L9" s="34" t="n">
        <v>1000</v>
      </c>
      <c r="M9" s="35" t="n">
        <v>601</v>
      </c>
      <c r="N9" s="37" t="n">
        <f aca="false">IFERROR(M9/M$49,0)</f>
        <v>0.0102559726962457</v>
      </c>
      <c r="O9" s="34" t="n">
        <f aca="false">M9*L9</f>
        <v>601000</v>
      </c>
      <c r="P9" s="37" t="n">
        <f aca="false">IFERROR(O9/O$49,0)</f>
        <v>0.0144890500390553</v>
      </c>
      <c r="Q9" s="35" t="n">
        <v>1200</v>
      </c>
      <c r="R9" s="37" t="n">
        <f aca="false">IFERROR(M9/Q9,0)</f>
        <v>0.500833333333333</v>
      </c>
      <c r="S9" s="34" t="n">
        <v>1000</v>
      </c>
      <c r="T9" s="35" t="n">
        <v>454</v>
      </c>
      <c r="U9" s="37" t="n">
        <f aca="false">IFERROR(T9/T$49,0)</f>
        <v>0.0101178935169709</v>
      </c>
      <c r="V9" s="34" t="n">
        <f aca="false">T9*S9</f>
        <v>454000</v>
      </c>
      <c r="W9" s="37" t="n">
        <f aca="false">IFERROR(V9/V$49,0)</f>
        <v>0.0146325112483401</v>
      </c>
      <c r="X9" s="35" t="n">
        <v>500</v>
      </c>
      <c r="Y9" s="37" t="n">
        <f aca="false">IFERROR(T9/X9,0)</f>
        <v>0.908</v>
      </c>
      <c r="Z9" s="34" t="n">
        <v>1000</v>
      </c>
      <c r="AA9" s="35" t="n">
        <v>1132</v>
      </c>
      <c r="AB9" s="37" t="n">
        <f aca="false">IFERROR(AA9/AA$49,0)</f>
        <v>0.0177596485723251</v>
      </c>
      <c r="AC9" s="34" t="n">
        <f aca="false">AA9*Z9</f>
        <v>1132000</v>
      </c>
      <c r="AD9" s="37" t="n">
        <f aca="false">IFERROR(AC9/AC$49,0)</f>
        <v>0.0248749659397551</v>
      </c>
      <c r="AE9" s="35" t="n">
        <v>2000</v>
      </c>
      <c r="AF9" s="37" t="n">
        <f aca="false">IFERROR(AA9/AE9,0)</f>
        <v>0.566</v>
      </c>
      <c r="AG9" s="34" t="n">
        <v>1000</v>
      </c>
      <c r="AH9" s="35" t="n">
        <v>169</v>
      </c>
      <c r="AI9" s="37" t="n">
        <f aca="false">IFERROR(AH9/AH$49,0)</f>
        <v>0.0190079856034192</v>
      </c>
      <c r="AJ9" s="34" t="n">
        <f aca="false">AH9*AG9</f>
        <v>169000</v>
      </c>
      <c r="AK9" s="37" t="n">
        <f aca="false">IFERROR(AJ9/AJ$49,0)</f>
        <v>0.0234169322433144</v>
      </c>
      <c r="AL9" s="35" t="n">
        <v>450</v>
      </c>
      <c r="AM9" s="37" t="n">
        <f aca="false">IFERROR(AH9/AL9,0)</f>
        <v>0.375555555555556</v>
      </c>
      <c r="AN9" s="34" t="n">
        <v>1000</v>
      </c>
      <c r="AO9" s="35" t="n">
        <v>92</v>
      </c>
      <c r="AP9" s="37" t="n">
        <f aca="false">IFERROR(AO9/AO$49,0)</f>
        <v>0.0228741919443063</v>
      </c>
      <c r="AQ9" s="34" t="n">
        <f aca="false">AO9*AN9</f>
        <v>92000</v>
      </c>
      <c r="AR9" s="37" t="n">
        <f aca="false">IFERROR(AQ9/AQ$49,0)</f>
        <v>0.0271514579152402</v>
      </c>
      <c r="AS9" s="35" t="n">
        <v>381</v>
      </c>
      <c r="AT9" s="37" t="n">
        <f aca="false">IFERROR(AO9/AS9,0)</f>
        <v>0.241469816272966</v>
      </c>
      <c r="AU9" s="36" t="n">
        <f aca="false">①石川予測確定!O9</f>
        <v>1.27771508130259</v>
      </c>
      <c r="AV9" s="35" t="n">
        <f aca="false">①石川予測確定!P9</f>
        <v>118</v>
      </c>
      <c r="AW9" s="34" t="n">
        <f aca="false">①石川予測確定!Q9</f>
        <v>118000</v>
      </c>
      <c r="AX9" s="37" t="n">
        <f aca="false">①石川予測確定!T9</f>
        <v>0.309711286089239</v>
      </c>
      <c r="AY9" s="35" t="n">
        <f aca="false">①石川予測確定!U9</f>
        <v>263</v>
      </c>
      <c r="AZ9" s="35" t="n">
        <f aca="false">③仙台以降予測!M33</f>
        <v>1291</v>
      </c>
      <c r="BA9" s="35" t="n">
        <f aca="false">③仙台以降予測!V33</f>
        <v>1857</v>
      </c>
      <c r="BB9" s="38" t="n">
        <f aca="false">③仙台以降予測!X33</f>
        <v>-566</v>
      </c>
      <c r="BC9" s="35" t="n">
        <f aca="false">③仙台以降予測!Y33</f>
        <v>0</v>
      </c>
      <c r="BD9" s="32" t="str">
        <f aca="false">④追加発注判定!J9</f>
        <v>在庫余剰</v>
      </c>
      <c r="BE9" s="32" t="str">
        <f aca="false">④追加発注判定!P9</f>
        <v>在庫で充足</v>
      </c>
      <c r="BF9" s="35" t="n">
        <f aca="false">④追加発注判定!R9</f>
        <v>0</v>
      </c>
      <c r="BG9" s="32" t="str">
        <f aca="false">④追加発注判定!X9</f>
        <v>D:不要</v>
      </c>
    </row>
    <row r="10" customFormat="false" ht="15" hidden="false" customHeight="false" outlineLevel="0" collapsed="false">
      <c r="A10" s="32" t="n">
        <v>4</v>
      </c>
      <c r="B10" s="32" t="s">
        <v>292</v>
      </c>
      <c r="C10" s="33" t="s">
        <v>293</v>
      </c>
      <c r="D10" s="34" t="n">
        <v>1800</v>
      </c>
      <c r="E10" s="34" t="n">
        <v>1800</v>
      </c>
      <c r="F10" s="35" t="n">
        <v>1819</v>
      </c>
      <c r="G10" s="37" t="n">
        <f aca="false">IFERROR(F10/F$49,0)</f>
        <v>0.0122751965448595</v>
      </c>
      <c r="H10" s="34" t="n">
        <f aca="false">F10*E10</f>
        <v>3274200</v>
      </c>
      <c r="I10" s="37" t="n">
        <f aca="false">IFERROR(H10/H$49,0)</f>
        <v>0.0320415085402921</v>
      </c>
      <c r="J10" s="35" t="n">
        <v>2620</v>
      </c>
      <c r="K10" s="37" t="n">
        <f aca="false">IFERROR(F10/J10,0)</f>
        <v>0.694274809160305</v>
      </c>
      <c r="L10" s="34" t="n">
        <v>1800</v>
      </c>
      <c r="M10" s="35" t="n">
        <v>922</v>
      </c>
      <c r="N10" s="37" t="n">
        <f aca="false">IFERROR(M10/M$49,0)</f>
        <v>0.0157337883959044</v>
      </c>
      <c r="O10" s="34" t="n">
        <f aca="false">M10*L10</f>
        <v>1659600</v>
      </c>
      <c r="P10" s="37" t="n">
        <f aca="false">IFERROR(O10/O$49,0)</f>
        <v>0.0400100290263166</v>
      </c>
      <c r="Q10" s="35" t="n">
        <v>1330</v>
      </c>
      <c r="R10" s="37" t="n">
        <f aca="false">IFERROR(M10/Q10,0)</f>
        <v>0.693233082706767</v>
      </c>
      <c r="S10" s="34" t="n">
        <v>1800</v>
      </c>
      <c r="T10" s="35" t="n">
        <v>539</v>
      </c>
      <c r="U10" s="37" t="n">
        <f aca="false">IFERROR(T10/T$49,0)</f>
        <v>0.0120122127877694</v>
      </c>
      <c r="V10" s="34" t="n">
        <f aca="false">T10*S10</f>
        <v>970200</v>
      </c>
      <c r="W10" s="37" t="n">
        <f aca="false">IFERROR(V10/V$49,0)</f>
        <v>0.0312697409981049</v>
      </c>
      <c r="X10" s="35" t="n">
        <v>800</v>
      </c>
      <c r="Y10" s="37" t="n">
        <f aca="false">IFERROR(T10/X10,0)</f>
        <v>0.67375</v>
      </c>
      <c r="Z10" s="34" t="n">
        <v>1800</v>
      </c>
      <c r="AA10" s="35" t="n">
        <v>1310</v>
      </c>
      <c r="AB10" s="37" t="n">
        <f aca="false">IFERROR(AA10/AA$49,0)</f>
        <v>0.0205522434891748</v>
      </c>
      <c r="AC10" s="34" t="n">
        <f aca="false">AA10*Z10</f>
        <v>2358000</v>
      </c>
      <c r="AD10" s="37" t="n">
        <f aca="false">IFERROR(AC10/AC$49,0)</f>
        <v>0.0518155209239775</v>
      </c>
      <c r="AE10" s="35" t="n">
        <v>2000</v>
      </c>
      <c r="AF10" s="37" t="n">
        <f aca="false">IFERROR(AA10/AE10,0)</f>
        <v>0.655</v>
      </c>
      <c r="AG10" s="34" t="n">
        <v>1800</v>
      </c>
      <c r="AH10" s="35" t="n">
        <v>228</v>
      </c>
      <c r="AI10" s="37" t="n">
        <f aca="false">IFERROR(AH10/AH$49,0)</f>
        <v>0.0256439095714768</v>
      </c>
      <c r="AJ10" s="34" t="n">
        <f aca="false">AH10*AG10</f>
        <v>410400</v>
      </c>
      <c r="AK10" s="37" t="n">
        <f aca="false">IFERROR(AJ10/AJ$49,0)</f>
        <v>0.0568657336843564</v>
      </c>
      <c r="AL10" s="35" t="n">
        <v>800</v>
      </c>
      <c r="AM10" s="37" t="n">
        <f aca="false">IFERROR(AH10/AL10,0)</f>
        <v>0.285</v>
      </c>
      <c r="AN10" s="34" t="n">
        <v>1800</v>
      </c>
      <c r="AO10" s="35" t="n">
        <v>110</v>
      </c>
      <c r="AP10" s="37" t="n">
        <f aca="false">IFERROR(AO10/AO$49,0)</f>
        <v>0.0273495773247141</v>
      </c>
      <c r="AQ10" s="34" t="n">
        <f aca="false">AO10*AN10</f>
        <v>198000</v>
      </c>
      <c r="AR10" s="37" t="n">
        <f aca="false">IFERROR(AQ10/AQ$49,0)</f>
        <v>0.0584346594262779</v>
      </c>
      <c r="AS10" s="35" t="n">
        <v>772</v>
      </c>
      <c r="AT10" s="37" t="n">
        <f aca="false">IFERROR(AO10/AS10,0)</f>
        <v>0.142487046632124</v>
      </c>
      <c r="AU10" s="36" t="n">
        <f aca="false">①石川予測確定!O10</f>
        <v>1.21577982226941</v>
      </c>
      <c r="AV10" s="35" t="n">
        <f aca="false">①石川予測確定!P10</f>
        <v>134</v>
      </c>
      <c r="AW10" s="34" t="n">
        <f aca="false">①石川予測確定!Q10</f>
        <v>241200</v>
      </c>
      <c r="AX10" s="37" t="n">
        <f aca="false">①石川予測確定!T10</f>
        <v>0.173575129533679</v>
      </c>
      <c r="AY10" s="35" t="n">
        <f aca="false">①石川予測確定!U10</f>
        <v>638</v>
      </c>
      <c r="AZ10" s="35" t="n">
        <f aca="false">③仙台以降予測!M34</f>
        <v>1591</v>
      </c>
      <c r="BA10" s="35" t="n">
        <f aca="false">③仙台以降予測!V34</f>
        <v>3153</v>
      </c>
      <c r="BB10" s="38" t="n">
        <f aca="false">③仙台以降予測!X34</f>
        <v>-1562</v>
      </c>
      <c r="BC10" s="35" t="n">
        <f aca="false">③仙台以降予測!Y34</f>
        <v>0</v>
      </c>
      <c r="BD10" s="32" t="str">
        <f aca="false">④追加発注判定!J10</f>
        <v>在庫余剰</v>
      </c>
      <c r="BE10" s="32" t="str">
        <f aca="false">④追加発注判定!P10</f>
        <v>在庫で充足</v>
      </c>
      <c r="BF10" s="35" t="n">
        <f aca="false">④追加発注判定!R10</f>
        <v>0</v>
      </c>
      <c r="BG10" s="32" t="str">
        <f aca="false">④追加発注判定!X10</f>
        <v>D:不要</v>
      </c>
    </row>
    <row r="11" customFormat="false" ht="15" hidden="false" customHeight="false" outlineLevel="0" collapsed="false">
      <c r="A11" s="32" t="n">
        <v>5</v>
      </c>
      <c r="B11" s="32" t="s">
        <v>294</v>
      </c>
      <c r="C11" s="33" t="s">
        <v>295</v>
      </c>
      <c r="D11" s="34" t="n">
        <v>600</v>
      </c>
      <c r="E11" s="34" t="n">
        <v>600</v>
      </c>
      <c r="F11" s="35" t="n">
        <v>18759</v>
      </c>
      <c r="G11" s="37" t="n">
        <f aca="false">IFERROR(F11/F$49,0)</f>
        <v>0.126591760299625</v>
      </c>
      <c r="H11" s="34" t="n">
        <f aca="false">F11*E11</f>
        <v>11255400</v>
      </c>
      <c r="I11" s="37" t="n">
        <f aca="false">IFERROR(H11/H$49,0)</f>
        <v>0.110145988401565</v>
      </c>
      <c r="J11" s="35" t="n">
        <v>24996</v>
      </c>
      <c r="K11" s="37" t="n">
        <f aca="false">IFERROR(F11/J11,0)</f>
        <v>0.75048007681229</v>
      </c>
      <c r="L11" s="34" t="n">
        <v>600</v>
      </c>
      <c r="M11" s="35" t="n">
        <v>10777</v>
      </c>
      <c r="N11" s="37" t="n">
        <f aca="false">IFERROR(M11/M$49,0)</f>
        <v>0.183907849829352</v>
      </c>
      <c r="O11" s="34" t="n">
        <f aca="false">M11*L11</f>
        <v>6466200</v>
      </c>
      <c r="P11" s="37" t="n">
        <f aca="false">IFERROR(O11/O$49,0)</f>
        <v>0.155888677807886</v>
      </c>
      <c r="Q11" s="35" t="n">
        <v>16500</v>
      </c>
      <c r="R11" s="37" t="n">
        <f aca="false">IFERROR(M11/Q11,0)</f>
        <v>0.653151515151515</v>
      </c>
      <c r="S11" s="34" t="n">
        <v>600</v>
      </c>
      <c r="T11" s="35" t="n">
        <v>8991</v>
      </c>
      <c r="U11" s="37" t="n">
        <f aca="false">IFERROR(T11/T$49,0)</f>
        <v>0.200374406632346</v>
      </c>
      <c r="V11" s="34" t="n">
        <f aca="false">T11*S11</f>
        <v>5394600</v>
      </c>
      <c r="W11" s="37" t="n">
        <f aca="false">IFERROR(V11/V$49,0)</f>
        <v>0.173869042247347</v>
      </c>
      <c r="X11" s="35" t="n">
        <v>9000</v>
      </c>
      <c r="Y11" s="37" t="n">
        <f aca="false">IFERROR(T11/X11,0)</f>
        <v>0.999</v>
      </c>
      <c r="Z11" s="34" t="n">
        <v>600</v>
      </c>
      <c r="AA11" s="35" t="n">
        <v>8936</v>
      </c>
      <c r="AB11" s="37" t="n">
        <f aca="false">IFERROR(AA11/AA$49,0)</f>
        <v>0.14019454032005</v>
      </c>
      <c r="AC11" s="34" t="n">
        <f aca="false">AA11*Z11</f>
        <v>5361600</v>
      </c>
      <c r="AD11" s="37" t="n">
        <f aca="false">IFERROR(AC11/AC$49,0)</f>
        <v>0.117817683200169</v>
      </c>
      <c r="AE11" s="35" t="n">
        <v>24996</v>
      </c>
      <c r="AF11" s="37" t="n">
        <f aca="false">IFERROR(AA11/AE11,0)</f>
        <v>0.357497199551928</v>
      </c>
      <c r="AG11" s="34" t="n">
        <v>600</v>
      </c>
      <c r="AH11" s="35" t="n">
        <v>410</v>
      </c>
      <c r="AI11" s="37" t="n">
        <f aca="false">IFERROR(AH11/AH$49,0)</f>
        <v>0.0461140479136205</v>
      </c>
      <c r="AJ11" s="34" t="n">
        <f aca="false">AH11*AG11</f>
        <v>246000</v>
      </c>
      <c r="AK11" s="37" t="n">
        <f aca="false">IFERROR(AJ11/AJ$49,0)</f>
        <v>0.0340861853955937</v>
      </c>
      <c r="AL11" s="35" t="n">
        <v>9000</v>
      </c>
      <c r="AM11" s="37" t="n">
        <f aca="false">IFERROR(AH11/AL11,0)</f>
        <v>0.0455555555555556</v>
      </c>
      <c r="AN11" s="34" t="n">
        <v>600</v>
      </c>
      <c r="AO11" s="35" t="n">
        <v>226</v>
      </c>
      <c r="AP11" s="37" t="n">
        <f aca="false">IFERROR(AO11/AO$49,0)</f>
        <v>0.0561909497762307</v>
      </c>
      <c r="AQ11" s="34" t="n">
        <f aca="false">AO11*AN11</f>
        <v>135600</v>
      </c>
      <c r="AR11" s="37" t="n">
        <f aca="false">IFERROR(AQ11/AQ$49,0)</f>
        <v>0.0400188879707236</v>
      </c>
      <c r="AS11" s="35" t="n">
        <v>8790</v>
      </c>
      <c r="AT11" s="37" t="n">
        <f aca="false">IFERROR(AO11/AS11,0)</f>
        <v>0.0257110352673493</v>
      </c>
      <c r="AU11" s="36" t="n">
        <f aca="false">①石川予測確定!O11</f>
        <v>1.29722746856263</v>
      </c>
      <c r="AV11" s="35" t="n">
        <f aca="false">①石川予測確定!P11</f>
        <v>293</v>
      </c>
      <c r="AW11" s="34" t="n">
        <f aca="false">①石川予測確定!Q11</f>
        <v>175800</v>
      </c>
      <c r="AX11" s="37" t="n">
        <f aca="false">①石川予測確定!T11</f>
        <v>0.0333333333333333</v>
      </c>
      <c r="AY11" s="35" t="n">
        <f aca="false">①石川予測確定!U11</f>
        <v>8497</v>
      </c>
      <c r="AZ11" s="35" t="n">
        <f aca="false">③仙台以降予測!M35</f>
        <v>3173</v>
      </c>
      <c r="BA11" s="35" t="n">
        <f aca="false">③仙台以降予測!V35</f>
        <v>39392</v>
      </c>
      <c r="BB11" s="38" t="n">
        <f aca="false">③仙台以降予測!X35</f>
        <v>-36219</v>
      </c>
      <c r="BC11" s="35" t="n">
        <f aca="false">③仙台以降予測!Y35</f>
        <v>0</v>
      </c>
      <c r="BD11" s="32" t="str">
        <f aca="false">④追加発注判定!J11</f>
        <v>在庫余剰</v>
      </c>
      <c r="BE11" s="32" t="str">
        <f aca="false">④追加発注判定!P11</f>
        <v>在庫で充足</v>
      </c>
      <c r="BF11" s="35" t="n">
        <f aca="false">④追加発注判定!R11</f>
        <v>0</v>
      </c>
      <c r="BG11" s="32" t="str">
        <f aca="false">④追加発注判定!X11</f>
        <v>D:不要</v>
      </c>
    </row>
    <row r="12" customFormat="false" ht="15" hidden="false" customHeight="false" outlineLevel="0" collapsed="false">
      <c r="A12" s="32" t="n">
        <v>6</v>
      </c>
      <c r="B12" s="32" t="s">
        <v>296</v>
      </c>
      <c r="C12" s="33" t="s">
        <v>297</v>
      </c>
      <c r="D12" s="34" t="n">
        <v>600</v>
      </c>
      <c r="E12" s="34" t="n">
        <v>600</v>
      </c>
      <c r="F12" s="35" t="n">
        <v>31070</v>
      </c>
      <c r="G12" s="37" t="n">
        <f aca="false">IFERROR(F12/F$49,0)</f>
        <v>0.209670344501805</v>
      </c>
      <c r="H12" s="34" t="n">
        <f aca="false">F12*E12</f>
        <v>18642000</v>
      </c>
      <c r="I12" s="37" t="n">
        <f aca="false">IFERROR(H12/H$49,0)</f>
        <v>0.182431678641539</v>
      </c>
      <c r="J12" s="35" t="n">
        <v>44999</v>
      </c>
      <c r="K12" s="37" t="n">
        <f aca="false">IFERROR(F12/J12,0)</f>
        <v>0.690459787995289</v>
      </c>
      <c r="L12" s="34" t="n">
        <v>600</v>
      </c>
      <c r="M12" s="35" t="n">
        <v>15602</v>
      </c>
      <c r="N12" s="37" t="n">
        <f aca="false">IFERROR(M12/M$49,0)</f>
        <v>0.266245733788396</v>
      </c>
      <c r="O12" s="34" t="n">
        <f aca="false">M12*L12</f>
        <v>9361200</v>
      </c>
      <c r="P12" s="37" t="n">
        <f aca="false">IFERROR(O12/O$49,0)</f>
        <v>0.225682022005998</v>
      </c>
      <c r="Q12" s="35" t="n">
        <v>21439</v>
      </c>
      <c r="R12" s="37" t="n">
        <f aca="false">IFERROR(M12/Q12,0)</f>
        <v>0.727739166938757</v>
      </c>
      <c r="S12" s="34" t="n">
        <v>600</v>
      </c>
      <c r="T12" s="35" t="n">
        <v>13877</v>
      </c>
      <c r="U12" s="37" t="n">
        <f aca="false">IFERROR(T12/T$49,0)</f>
        <v>0.309264335539658</v>
      </c>
      <c r="V12" s="34" t="n">
        <f aca="false">T12*S12</f>
        <v>8326200</v>
      </c>
      <c r="W12" s="37" t="n">
        <f aca="false">IFERROR(V12/V$49,0)</f>
        <v>0.2683550994624</v>
      </c>
      <c r="X12" s="35" t="n">
        <v>13986</v>
      </c>
      <c r="Y12" s="37" t="n">
        <f aca="false">IFERROR(T12/X12,0)</f>
        <v>0.992206492206492</v>
      </c>
      <c r="Z12" s="34" t="n">
        <v>600</v>
      </c>
      <c r="AA12" s="35" t="n">
        <v>18611</v>
      </c>
      <c r="AB12" s="37" t="n">
        <f aca="false">IFERROR(AA12/AA$49,0)</f>
        <v>0.291983056165673</v>
      </c>
      <c r="AC12" s="34" t="n">
        <f aca="false">AA12*Z12</f>
        <v>11166600</v>
      </c>
      <c r="AD12" s="37" t="n">
        <f aca="false">IFERROR(AC12/AC$49,0)</f>
        <v>0.245378793871793</v>
      </c>
      <c r="AE12" s="35" t="n">
        <v>35999</v>
      </c>
      <c r="AF12" s="37" t="n">
        <f aca="false">IFERROR(AA12/AE12,0)</f>
        <v>0.516986582960638</v>
      </c>
      <c r="AG12" s="34" t="n">
        <v>600</v>
      </c>
      <c r="AH12" s="35" t="n">
        <v>1042</v>
      </c>
      <c r="AI12" s="37" t="n">
        <f aca="false">IFERROR(AH12/AH$49,0)</f>
        <v>0.117197165673153</v>
      </c>
      <c r="AJ12" s="34" t="n">
        <f aca="false">AH12*AG12</f>
        <v>625200</v>
      </c>
      <c r="AK12" s="37" t="n">
        <f aca="false">IFERROR(AJ12/AJ$49,0)</f>
        <v>0.0866287931273382</v>
      </c>
      <c r="AL12" s="35" t="n">
        <v>13991</v>
      </c>
      <c r="AM12" s="37" t="n">
        <f aca="false">IFERROR(AH12/AL12,0)</f>
        <v>0.0744764491458795</v>
      </c>
      <c r="AN12" s="34" t="n">
        <v>600</v>
      </c>
      <c r="AO12" s="35" t="n">
        <v>439</v>
      </c>
      <c r="AP12" s="37" t="n">
        <f aca="false">IFERROR(AO12/AO$49,0)</f>
        <v>0.109149676777723</v>
      </c>
      <c r="AQ12" s="34" t="n">
        <f aca="false">AO12*AN12</f>
        <v>263400</v>
      </c>
      <c r="AR12" s="37" t="n">
        <f aca="false">IFERROR(AQ12/AQ$49,0)</f>
        <v>0.077735804509503</v>
      </c>
      <c r="AS12" s="35" t="n">
        <v>13249</v>
      </c>
      <c r="AT12" s="37" t="n">
        <f aca="false">IFERROR(AO12/AS12,0)</f>
        <v>0.0331345761944298</v>
      </c>
      <c r="AU12" s="36" t="n">
        <f aca="false">①石川予測確定!O12</f>
        <v>1.28772614792574</v>
      </c>
      <c r="AV12" s="35" t="n">
        <f aca="false">①石川予測確定!P12</f>
        <v>565</v>
      </c>
      <c r="AW12" s="34" t="n">
        <f aca="false">①石川予測確定!Q12</f>
        <v>339000</v>
      </c>
      <c r="AX12" s="37" t="n">
        <f aca="false">①石川予測確定!T12</f>
        <v>0.0426447279039928</v>
      </c>
      <c r="AY12" s="35" t="n">
        <f aca="false">①石川予測確定!U12</f>
        <v>12684</v>
      </c>
      <c r="AZ12" s="35" t="n">
        <f aca="false">③仙台以降予測!M36</f>
        <v>6991</v>
      </c>
      <c r="BA12" s="35" t="n">
        <f aca="false">③仙台以降予測!V36</f>
        <v>50228</v>
      </c>
      <c r="BB12" s="38" t="n">
        <f aca="false">③仙台以降予測!X36</f>
        <v>-43237</v>
      </c>
      <c r="BC12" s="35" t="n">
        <f aca="false">③仙台以降予測!Y36</f>
        <v>0</v>
      </c>
      <c r="BD12" s="32" t="str">
        <f aca="false">④追加発注判定!J12</f>
        <v>在庫余剰</v>
      </c>
      <c r="BE12" s="32" t="str">
        <f aca="false">④追加発注判定!P12</f>
        <v>在庫で充足</v>
      </c>
      <c r="BF12" s="35" t="n">
        <f aca="false">④追加発注判定!R12</f>
        <v>0</v>
      </c>
      <c r="BG12" s="32" t="str">
        <f aca="false">④追加発注判定!X12</f>
        <v>D:不要</v>
      </c>
    </row>
    <row r="13" customFormat="false" ht="15" hidden="false" customHeight="false" outlineLevel="0" collapsed="false">
      <c r="A13" s="32" t="n">
        <v>7</v>
      </c>
      <c r="B13" s="32" t="s">
        <v>298</v>
      </c>
      <c r="C13" s="33" t="s">
        <v>299</v>
      </c>
      <c r="D13" s="34" t="n">
        <v>600</v>
      </c>
      <c r="E13" s="34" t="n">
        <v>600</v>
      </c>
      <c r="F13" s="35" t="n">
        <v>3471</v>
      </c>
      <c r="G13" s="37" t="n">
        <f aca="false">IFERROR(F13/F$49,0)</f>
        <v>0.0234234234234234</v>
      </c>
      <c r="H13" s="34" t="n">
        <f aca="false">F13*E13</f>
        <v>2082600</v>
      </c>
      <c r="I13" s="37" t="n">
        <f aca="false">IFERROR(H13/H$49,0)</f>
        <v>0.0203804427603727</v>
      </c>
      <c r="J13" s="35" t="n">
        <v>7000</v>
      </c>
      <c r="K13" s="37" t="n">
        <f aca="false">IFERROR(F13/J13,0)</f>
        <v>0.495857142857143</v>
      </c>
      <c r="L13" s="34" t="n">
        <v>600</v>
      </c>
      <c r="M13" s="35" t="n">
        <v>520</v>
      </c>
      <c r="N13" s="37" t="n">
        <f aca="false">IFERROR(M13/M$49,0)</f>
        <v>0.00887372013651877</v>
      </c>
      <c r="O13" s="34" t="n">
        <f aca="false">M13*L13</f>
        <v>312000</v>
      </c>
      <c r="P13" s="37" t="n">
        <f aca="false">IFERROR(O13/O$49,0)</f>
        <v>0.00752176973741309</v>
      </c>
      <c r="Q13" s="35" t="n">
        <v>1390</v>
      </c>
      <c r="R13" s="37" t="n">
        <f aca="false">IFERROR(M13/Q13,0)</f>
        <v>0.37410071942446</v>
      </c>
      <c r="S13" s="34" t="n">
        <v>600</v>
      </c>
      <c r="T13" s="35" t="n">
        <v>384</v>
      </c>
      <c r="U13" s="37" t="n">
        <f aca="false">IFERROR(T13/T$49,0)</f>
        <v>0.00855786588219563</v>
      </c>
      <c r="V13" s="34" t="n">
        <f aca="false">T13*S13</f>
        <v>230400</v>
      </c>
      <c r="W13" s="37" t="n">
        <f aca="false">IFERROR(V13/V$49,0)</f>
        <v>0.00742583830752769</v>
      </c>
      <c r="X13" s="35" t="n">
        <v>400</v>
      </c>
      <c r="Y13" s="37" t="n">
        <f aca="false">IFERROR(T13/X13,0)</f>
        <v>0.96</v>
      </c>
      <c r="Z13" s="34" t="n">
        <v>600</v>
      </c>
      <c r="AA13" s="35" t="n">
        <v>940</v>
      </c>
      <c r="AB13" s="37" t="n">
        <f aca="false">IFERROR(AA13/AA$49,0)</f>
        <v>0.0147474113586445</v>
      </c>
      <c r="AC13" s="34" t="n">
        <f aca="false">AA13*Z13</f>
        <v>564000</v>
      </c>
      <c r="AD13" s="37" t="n">
        <f aca="false">IFERROR(AC13/AC$49,0)</f>
        <v>0.0123935342668038</v>
      </c>
      <c r="AE13" s="35" t="n">
        <v>2000</v>
      </c>
      <c r="AF13" s="37" t="n">
        <f aca="false">IFERROR(AA13/AE13,0)</f>
        <v>0.47</v>
      </c>
      <c r="AG13" s="34" t="n">
        <v>600</v>
      </c>
      <c r="AH13" s="35" t="n">
        <v>187</v>
      </c>
      <c r="AI13" s="37" t="n">
        <f aca="false">IFERROR(AH13/AH$49,0)</f>
        <v>0.0210325047801147</v>
      </c>
      <c r="AJ13" s="34" t="n">
        <f aca="false">AH13*AG13</f>
        <v>112200</v>
      </c>
      <c r="AK13" s="37" t="n">
        <f aca="false">IFERROR(AJ13/AJ$49,0)</f>
        <v>0.0155466260218928</v>
      </c>
      <c r="AL13" s="35" t="n">
        <v>350</v>
      </c>
      <c r="AM13" s="37" t="n">
        <f aca="false">IFERROR(AH13/AL13,0)</f>
        <v>0.534285714285714</v>
      </c>
      <c r="AN13" s="34" t="n">
        <v>600</v>
      </c>
      <c r="AO13" s="35" t="n">
        <v>130</v>
      </c>
      <c r="AP13" s="37" t="n">
        <f aca="false">IFERROR(AO13/AO$49,0)</f>
        <v>0.0323222277473894</v>
      </c>
      <c r="AQ13" s="34" t="n">
        <f aca="false">AO13*AN13</f>
        <v>78000</v>
      </c>
      <c r="AR13" s="37" t="n">
        <f aca="false">IFERROR(AQ13/AQ$49,0)</f>
        <v>0.0230197143194428</v>
      </c>
      <c r="AS13" s="35" t="n">
        <v>463</v>
      </c>
      <c r="AT13" s="37" t="n">
        <f aca="false">IFERROR(AO13/AS13,0)</f>
        <v>0.280777537796976</v>
      </c>
      <c r="AU13" s="36" t="n">
        <f aca="false">①石川予測確定!O13</f>
        <v>1.2689845535578</v>
      </c>
      <c r="AV13" s="35" t="n">
        <f aca="false">①石川予測確定!P13</f>
        <v>165</v>
      </c>
      <c r="AW13" s="34" t="n">
        <f aca="false">①石川予測確定!Q13</f>
        <v>99000</v>
      </c>
      <c r="AX13" s="37" t="n">
        <f aca="false">①石川予測確定!T13</f>
        <v>0.356371490280778</v>
      </c>
      <c r="AY13" s="35" t="n">
        <f aca="false">①石川予測確定!U13</f>
        <v>298</v>
      </c>
      <c r="AZ13" s="35" t="n">
        <f aca="false">③仙台以降予測!M37</f>
        <v>1635</v>
      </c>
      <c r="BA13" s="35" t="n">
        <f aca="false">③仙台以降予測!V37</f>
        <v>4249</v>
      </c>
      <c r="BB13" s="38" t="n">
        <f aca="false">③仙台以降予測!X37</f>
        <v>-2614</v>
      </c>
      <c r="BC13" s="35" t="n">
        <f aca="false">③仙台以降予測!Y37</f>
        <v>0</v>
      </c>
      <c r="BD13" s="32" t="str">
        <f aca="false">④追加発注判定!J13</f>
        <v>在庫余剰</v>
      </c>
      <c r="BE13" s="32" t="str">
        <f aca="false">④追加発注判定!P13</f>
        <v>在庫で充足</v>
      </c>
      <c r="BF13" s="35" t="n">
        <f aca="false">④追加発注判定!R13</f>
        <v>0</v>
      </c>
      <c r="BG13" s="32" t="str">
        <f aca="false">④追加発注判定!X13</f>
        <v>D:不要</v>
      </c>
    </row>
    <row r="14" customFormat="false" ht="15" hidden="false" customHeight="false" outlineLevel="0" collapsed="false">
      <c r="A14" s="32" t="n">
        <v>8</v>
      </c>
      <c r="B14" s="32" t="s">
        <v>300</v>
      </c>
      <c r="C14" s="33" t="s">
        <v>301</v>
      </c>
      <c r="D14" s="34" t="n">
        <v>600</v>
      </c>
      <c r="E14" s="34" t="n">
        <v>600</v>
      </c>
      <c r="F14" s="35" t="n">
        <v>5596</v>
      </c>
      <c r="G14" s="37" t="n">
        <f aca="false">IFERROR(F14/F$49,0)</f>
        <v>0.0377636063029321</v>
      </c>
      <c r="H14" s="34" t="n">
        <f aca="false">F14*E14</f>
        <v>3357600</v>
      </c>
      <c r="I14" s="37" t="n">
        <f aca="false">IFERROR(H14/H$49,0)</f>
        <v>0.0328576657121999</v>
      </c>
      <c r="J14" s="35" t="n">
        <v>12600</v>
      </c>
      <c r="K14" s="37" t="n">
        <f aca="false">IFERROR(F14/J14,0)</f>
        <v>0.444126984126984</v>
      </c>
      <c r="L14" s="34" t="n">
        <v>600</v>
      </c>
      <c r="M14" s="35" t="n">
        <v>1107</v>
      </c>
      <c r="N14" s="37" t="n">
        <f aca="false">IFERROR(M14/M$49,0)</f>
        <v>0.0188907849829352</v>
      </c>
      <c r="O14" s="34" t="n">
        <f aca="false">M14*L14</f>
        <v>664200</v>
      </c>
      <c r="P14" s="37" t="n">
        <f aca="false">IFERROR(O14/O$49,0)</f>
        <v>0.0160126905756083</v>
      </c>
      <c r="Q14" s="35" t="n">
        <v>2240</v>
      </c>
      <c r="R14" s="37" t="n">
        <f aca="false">IFERROR(M14/Q14,0)</f>
        <v>0.494196428571429</v>
      </c>
      <c r="S14" s="34" t="n">
        <v>600</v>
      </c>
      <c r="T14" s="35" t="n">
        <v>799</v>
      </c>
      <c r="U14" s="37" t="n">
        <f aca="false">IFERROR(T14/T$49,0)</f>
        <v>0.017806601145506</v>
      </c>
      <c r="V14" s="34" t="n">
        <f aca="false">T14*S14</f>
        <v>479400</v>
      </c>
      <c r="W14" s="37" t="n">
        <f aca="false">IFERROR(V14/V$49,0)</f>
        <v>0.0154511583534235</v>
      </c>
      <c r="X14" s="35" t="n">
        <v>840</v>
      </c>
      <c r="Y14" s="37" t="n">
        <f aca="false">IFERROR(T14/X14,0)</f>
        <v>0.951190476190476</v>
      </c>
      <c r="Z14" s="34" t="n">
        <v>600</v>
      </c>
      <c r="AA14" s="35" t="n">
        <v>1758</v>
      </c>
      <c r="AB14" s="37" t="n">
        <f aca="false">IFERROR(AA14/AA$49,0)</f>
        <v>0.0275807969877628</v>
      </c>
      <c r="AC14" s="34" t="n">
        <f aca="false">AA14*Z14</f>
        <v>1054800</v>
      </c>
      <c r="AD14" s="37" t="n">
        <f aca="false">IFERROR(AC14/AC$49,0)</f>
        <v>0.0231785460011075</v>
      </c>
      <c r="AE14" s="35" t="n">
        <v>3000</v>
      </c>
      <c r="AF14" s="37" t="n">
        <f aca="false">IFERROR(AA14/AE14,0)</f>
        <v>0.586</v>
      </c>
      <c r="AG14" s="34" t="n">
        <v>600</v>
      </c>
      <c r="AH14" s="35" t="n">
        <v>322</v>
      </c>
      <c r="AI14" s="37" t="n">
        <f aca="false">IFERROR(AH14/AH$49,0)</f>
        <v>0.0362163986053312</v>
      </c>
      <c r="AJ14" s="34" t="n">
        <f aca="false">AH14*AG14</f>
        <v>193200</v>
      </c>
      <c r="AK14" s="37" t="n">
        <f aca="false">IFERROR(AJ14/AJ$49,0)</f>
        <v>0.0267701260911736</v>
      </c>
      <c r="AL14" s="35" t="n">
        <v>900</v>
      </c>
      <c r="AM14" s="37" t="n">
        <f aca="false">IFERROR(AH14/AL14,0)</f>
        <v>0.357777777777778</v>
      </c>
      <c r="AN14" s="34" t="n">
        <v>600</v>
      </c>
      <c r="AO14" s="35" t="n">
        <v>207</v>
      </c>
      <c r="AP14" s="37" t="n">
        <f aca="false">IFERROR(AO14/AO$49,0)</f>
        <v>0.0514669318746892</v>
      </c>
      <c r="AQ14" s="34" t="n">
        <f aca="false">AO14*AN14</f>
        <v>124200</v>
      </c>
      <c r="AR14" s="37" t="n">
        <f aca="false">IFERROR(AQ14/AQ$49,0)</f>
        <v>0.0366544681855743</v>
      </c>
      <c r="AS14" s="35" t="n">
        <v>778</v>
      </c>
      <c r="AT14" s="37" t="n">
        <f aca="false">IFERROR(AO14/AS14,0)</f>
        <v>0.266066838046273</v>
      </c>
      <c r="AU14" s="36" t="n">
        <f aca="false">①石川予測確定!O14</f>
        <v>1.28506273092132</v>
      </c>
      <c r="AV14" s="35" t="n">
        <f aca="false">①石川予測確定!P14</f>
        <v>266</v>
      </c>
      <c r="AW14" s="34" t="n">
        <f aca="false">①石川予測確定!Q14</f>
        <v>159600</v>
      </c>
      <c r="AX14" s="37" t="n">
        <f aca="false">①石川予測確定!T14</f>
        <v>0.341902313624679</v>
      </c>
      <c r="AY14" s="35" t="n">
        <f aca="false">①石川予測確定!U14</f>
        <v>512</v>
      </c>
      <c r="AZ14" s="35" t="n">
        <f aca="false">③仙台以降予測!M38</f>
        <v>2707</v>
      </c>
      <c r="BA14" s="35" t="n">
        <f aca="false">③仙台以降予測!V38</f>
        <v>8034</v>
      </c>
      <c r="BB14" s="38" t="n">
        <f aca="false">③仙台以降予測!X38</f>
        <v>-5327</v>
      </c>
      <c r="BC14" s="35" t="n">
        <f aca="false">③仙台以降予測!Y38</f>
        <v>0</v>
      </c>
      <c r="BD14" s="32" t="str">
        <f aca="false">④追加発注判定!J14</f>
        <v>在庫余剰</v>
      </c>
      <c r="BE14" s="32" t="str">
        <f aca="false">④追加発注判定!P14</f>
        <v>在庫で充足</v>
      </c>
      <c r="BF14" s="35" t="n">
        <f aca="false">④追加発注判定!R14</f>
        <v>0</v>
      </c>
      <c r="BG14" s="32" t="str">
        <f aca="false">④追加発注判定!X14</f>
        <v>D:不要</v>
      </c>
    </row>
    <row r="15" customFormat="false" ht="15" hidden="false" customHeight="false" outlineLevel="0" collapsed="false">
      <c r="A15" s="32" t="n">
        <v>9</v>
      </c>
      <c r="B15" s="32" t="s">
        <v>302</v>
      </c>
      <c r="C15" s="33" t="s">
        <v>303</v>
      </c>
      <c r="D15" s="34" t="n">
        <v>600</v>
      </c>
      <c r="E15" s="34" t="n">
        <v>600</v>
      </c>
      <c r="F15" s="35" t="n">
        <v>2381</v>
      </c>
      <c r="G15" s="37" t="n">
        <f aca="false">IFERROR(F15/F$49,0)</f>
        <v>0.0160677531464048</v>
      </c>
      <c r="H15" s="34" t="n">
        <f aca="false">F15*E15</f>
        <v>1428600</v>
      </c>
      <c r="I15" s="37" t="n">
        <f aca="false">IFERROR(H15/H$49,0)</f>
        <v>0.0139803613403767</v>
      </c>
      <c r="J15" s="35" t="n">
        <v>8749</v>
      </c>
      <c r="K15" s="37" t="n">
        <f aca="false">IFERROR(F15/J15,0)</f>
        <v>0.272145388044348</v>
      </c>
      <c r="L15" s="34" t="n">
        <v>600</v>
      </c>
      <c r="M15" s="35" t="n">
        <v>313</v>
      </c>
      <c r="N15" s="37" t="n">
        <f aca="false">IFERROR(M15/M$49,0)</f>
        <v>0.00534129692832765</v>
      </c>
      <c r="O15" s="34" t="n">
        <f aca="false">M15*L15</f>
        <v>187800</v>
      </c>
      <c r="P15" s="37" t="n">
        <f aca="false">IFERROR(O15/O$49,0)</f>
        <v>0.00452752678425057</v>
      </c>
      <c r="Q15" s="35" t="n">
        <v>950</v>
      </c>
      <c r="R15" s="37" t="n">
        <f aca="false">IFERROR(M15/Q15,0)</f>
        <v>0.329473684210526</v>
      </c>
      <c r="S15" s="34" t="n">
        <v>600</v>
      </c>
      <c r="T15" s="35" t="n">
        <v>301</v>
      </c>
      <c r="U15" s="37" t="n">
        <f aca="false">IFERROR(T15/T$49,0)</f>
        <v>0.00670811882953355</v>
      </c>
      <c r="V15" s="34" t="n">
        <f aca="false">T15*S15</f>
        <v>180600</v>
      </c>
      <c r="W15" s="37" t="n">
        <f aca="false">IFERROR(V15/V$49,0)</f>
        <v>0.00582077429834853</v>
      </c>
      <c r="X15" s="35" t="n">
        <v>300</v>
      </c>
      <c r="Y15" s="37" t="n">
        <f aca="false">IFERROR(T15/X15,0)</f>
        <v>1.00333333333333</v>
      </c>
      <c r="Z15" s="34" t="n">
        <v>600</v>
      </c>
      <c r="AA15" s="35" t="n">
        <v>743</v>
      </c>
      <c r="AB15" s="37" t="n">
        <f aca="false">IFERROR(AA15/AA$49,0)</f>
        <v>0.0116567304675243</v>
      </c>
      <c r="AC15" s="34" t="n">
        <f aca="false">AA15*Z15</f>
        <v>445800</v>
      </c>
      <c r="AD15" s="37" t="n">
        <f aca="false">IFERROR(AC15/AC$49,0)</f>
        <v>0.00979616591514384</v>
      </c>
      <c r="AE15" s="35" t="n">
        <v>1500</v>
      </c>
      <c r="AF15" s="37" t="n">
        <f aca="false">IFERROR(AA15/AE15,0)</f>
        <v>0.495333333333333</v>
      </c>
      <c r="AG15" s="34" t="n">
        <v>600</v>
      </c>
      <c r="AH15" s="35" t="n">
        <v>160</v>
      </c>
      <c r="AI15" s="37" t="n">
        <f aca="false">IFERROR(AH15/AH$49,0)</f>
        <v>0.0179957260150714</v>
      </c>
      <c r="AJ15" s="34" t="n">
        <f aca="false">AH15*AG15</f>
        <v>96000</v>
      </c>
      <c r="AK15" s="37" t="n">
        <f aca="false">IFERROR(AJ15/AJ$49,0)</f>
        <v>0.0133019260080366</v>
      </c>
      <c r="AL15" s="35" t="n">
        <v>300</v>
      </c>
      <c r="AM15" s="37" t="n">
        <f aca="false">IFERROR(AH15/AL15,0)</f>
        <v>0.533333333333333</v>
      </c>
      <c r="AN15" s="34" t="n">
        <v>600</v>
      </c>
      <c r="AO15" s="35" t="n">
        <v>41</v>
      </c>
      <c r="AP15" s="37" t="n">
        <f aca="false">IFERROR(AO15/AO$49,0)</f>
        <v>0.0101939333664843</v>
      </c>
      <c r="AQ15" s="34" t="n">
        <f aca="false">AO15*AN15</f>
        <v>24600</v>
      </c>
      <c r="AR15" s="37" t="n">
        <f aca="false">IFERROR(AQ15/AQ$49,0)</f>
        <v>0.00726006374690119</v>
      </c>
      <c r="AS15" s="35" t="n">
        <v>740</v>
      </c>
      <c r="AT15" s="37" t="n">
        <f aca="false">IFERROR(AO15/AS15,0)</f>
        <v>0.0554054054054054</v>
      </c>
      <c r="AU15" s="36" t="n">
        <f aca="false">①石川予測確定!O15</f>
        <v>1.25517951321319</v>
      </c>
      <c r="AV15" s="35" t="n">
        <f aca="false">①石川予測確定!P15</f>
        <v>51</v>
      </c>
      <c r="AW15" s="34" t="n">
        <f aca="false">①石川予測確定!Q15</f>
        <v>30600</v>
      </c>
      <c r="AX15" s="37" t="n">
        <f aca="false">①石川予測確定!T15</f>
        <v>0.0689189189189189</v>
      </c>
      <c r="AY15" s="35" t="n">
        <f aca="false">①石川予測確定!U15</f>
        <v>689</v>
      </c>
      <c r="AZ15" s="35" t="n">
        <f aca="false">③仙台以降予測!M39</f>
        <v>860</v>
      </c>
      <c r="BA15" s="35" t="n">
        <f aca="false">③仙台以降予測!V39</f>
        <v>8547</v>
      </c>
      <c r="BB15" s="38" t="n">
        <f aca="false">③仙台以降予測!X39</f>
        <v>-7687</v>
      </c>
      <c r="BC15" s="35" t="n">
        <f aca="false">③仙台以降予測!Y39</f>
        <v>0</v>
      </c>
      <c r="BD15" s="32" t="str">
        <f aca="false">④追加発注判定!J15</f>
        <v>在庫余剰</v>
      </c>
      <c r="BE15" s="32" t="str">
        <f aca="false">④追加発注判定!P15</f>
        <v>在庫で充足</v>
      </c>
      <c r="BF15" s="35" t="n">
        <f aca="false">④追加発注判定!R15</f>
        <v>0</v>
      </c>
      <c r="BG15" s="32" t="str">
        <f aca="false">④追加発注判定!X15</f>
        <v>D:不要</v>
      </c>
    </row>
    <row r="16" customFormat="false" ht="15" hidden="false" customHeight="false" outlineLevel="0" collapsed="false">
      <c r="A16" s="32" t="n">
        <v>10</v>
      </c>
      <c r="B16" s="32" t="s">
        <v>304</v>
      </c>
      <c r="C16" s="33" t="s">
        <v>305</v>
      </c>
      <c r="D16" s="34" t="n">
        <v>600</v>
      </c>
      <c r="E16" s="34" t="n">
        <v>600</v>
      </c>
      <c r="F16" s="35" t="n">
        <v>1025</v>
      </c>
      <c r="G16" s="37" t="n">
        <f aca="false">IFERROR(F16/F$49,0)</f>
        <v>0.0069170293889395</v>
      </c>
      <c r="H16" s="34" t="n">
        <f aca="false">F16*E16</f>
        <v>615000</v>
      </c>
      <c r="I16" s="37" t="n">
        <f aca="false">IFERROR(H16/H$49,0)</f>
        <v>0.00601842518852839</v>
      </c>
      <c r="J16" s="35" t="n">
        <v>4549</v>
      </c>
      <c r="K16" s="37" t="n">
        <f aca="false">IFERROR(F16/J16,0)</f>
        <v>0.225324247087272</v>
      </c>
      <c r="L16" s="34" t="n">
        <v>600</v>
      </c>
      <c r="M16" s="35" t="n">
        <v>141</v>
      </c>
      <c r="N16" s="37" t="n">
        <f aca="false">IFERROR(M16/M$49,0)</f>
        <v>0.0024061433447099</v>
      </c>
      <c r="O16" s="34" t="n">
        <f aca="false">M16*L16</f>
        <v>84600</v>
      </c>
      <c r="P16" s="37" t="n">
        <f aca="false">IFERROR(O16/O$49,0)</f>
        <v>0.00203955679418316</v>
      </c>
      <c r="Q16" s="35" t="n">
        <v>410</v>
      </c>
      <c r="R16" s="37" t="n">
        <f aca="false">IFERROR(M16/Q16,0)</f>
        <v>0.34390243902439</v>
      </c>
      <c r="S16" s="34" t="n">
        <v>600</v>
      </c>
      <c r="T16" s="35" t="n">
        <v>123</v>
      </c>
      <c r="U16" s="37" t="n">
        <f aca="false">IFERROR(T16/T$49,0)</f>
        <v>0.00274119141539079</v>
      </c>
      <c r="V16" s="34" t="n">
        <f aca="false">T16*S16</f>
        <v>73800</v>
      </c>
      <c r="W16" s="37" t="n">
        <f aca="false">IFERROR(V16/V$49,0)</f>
        <v>0.00237858883287996</v>
      </c>
      <c r="X16" s="35" t="n">
        <v>180</v>
      </c>
      <c r="Y16" s="37" t="n">
        <f aca="false">IFERROR(T16/X16,0)</f>
        <v>0.683333333333333</v>
      </c>
      <c r="Z16" s="34" t="n">
        <v>600</v>
      </c>
      <c r="AA16" s="35" t="n">
        <v>277</v>
      </c>
      <c r="AB16" s="37" t="n">
        <f aca="false">IFERROR(AA16/AA$49,0)</f>
        <v>0.00434577973015375</v>
      </c>
      <c r="AC16" s="34" t="n">
        <f aca="false">AA16*Z16</f>
        <v>166200</v>
      </c>
      <c r="AD16" s="37" t="n">
        <f aca="false">IFERROR(AC16/AC$49,0)</f>
        <v>0.00365213722543048</v>
      </c>
      <c r="AE16" s="35" t="n">
        <v>500</v>
      </c>
      <c r="AF16" s="37" t="n">
        <f aca="false">IFERROR(AA16/AE16,0)</f>
        <v>0.554</v>
      </c>
      <c r="AG16" s="34" t="n">
        <v>600</v>
      </c>
      <c r="AH16" s="35" t="n">
        <v>59</v>
      </c>
      <c r="AI16" s="37" t="n">
        <f aca="false">IFERROR(AH16/AH$49,0)</f>
        <v>0.00663592396805759</v>
      </c>
      <c r="AJ16" s="34" t="n">
        <f aca="false">AH16*AG16</f>
        <v>35400</v>
      </c>
      <c r="AK16" s="37" t="n">
        <f aca="false">IFERROR(AJ16/AJ$49,0)</f>
        <v>0.00490508521546349</v>
      </c>
      <c r="AL16" s="35" t="n">
        <v>100</v>
      </c>
      <c r="AM16" s="37" t="n">
        <f aca="false">IFERROR(AH16/AL16,0)</f>
        <v>0.59</v>
      </c>
      <c r="AN16" s="34" t="n">
        <v>600</v>
      </c>
      <c r="AO16" s="35" t="n">
        <v>16</v>
      </c>
      <c r="AP16" s="37" t="n">
        <f aca="false">IFERROR(AO16/AO$49,0)</f>
        <v>0.00397812033814023</v>
      </c>
      <c r="AQ16" s="34" t="n">
        <f aca="false">AO16*AN16</f>
        <v>9600</v>
      </c>
      <c r="AR16" s="37" t="n">
        <f aca="false">IFERROR(AQ16/AQ$49,0)</f>
        <v>0.00283319560854681</v>
      </c>
      <c r="AS16" s="35" t="n">
        <v>541</v>
      </c>
      <c r="AT16" s="37" t="n">
        <f aca="false">IFERROR(AO16/AS16,0)</f>
        <v>0.0295748613678373</v>
      </c>
      <c r="AU16" s="36" t="n">
        <f aca="false">①石川予測確定!O16</f>
        <v>1.26689265142529</v>
      </c>
      <c r="AV16" s="35" t="n">
        <f aca="false">①石川予測確定!P16</f>
        <v>20</v>
      </c>
      <c r="AW16" s="34" t="n">
        <f aca="false">①石川予測確定!Q16</f>
        <v>12000</v>
      </c>
      <c r="AX16" s="37" t="n">
        <f aca="false">①石川予測確定!T16</f>
        <v>0.0369685767097967</v>
      </c>
      <c r="AY16" s="35" t="n">
        <f aca="false">①石川予測確定!U16</f>
        <v>521</v>
      </c>
      <c r="AZ16" s="35" t="n">
        <f aca="false">③仙台以降予測!M40</f>
        <v>324</v>
      </c>
      <c r="BA16" s="35" t="n">
        <f aca="false">③仙台以降予測!V40</f>
        <v>4856</v>
      </c>
      <c r="BB16" s="38" t="n">
        <f aca="false">③仙台以降予測!X40</f>
        <v>-4532</v>
      </c>
      <c r="BC16" s="35" t="n">
        <f aca="false">③仙台以降予測!Y40</f>
        <v>0</v>
      </c>
      <c r="BD16" s="32" t="str">
        <f aca="false">④追加発注判定!J16</f>
        <v>在庫余剰</v>
      </c>
      <c r="BE16" s="32" t="str">
        <f aca="false">④追加発注判定!P16</f>
        <v>在庫で充足</v>
      </c>
      <c r="BF16" s="35" t="n">
        <f aca="false">④追加発注判定!R16</f>
        <v>0</v>
      </c>
      <c r="BG16" s="32" t="str">
        <f aca="false">④追加発注判定!X16</f>
        <v>D:不要</v>
      </c>
    </row>
    <row r="17" customFormat="false" ht="15" hidden="false" customHeight="false" outlineLevel="0" collapsed="false">
      <c r="A17" s="32" t="n">
        <v>11</v>
      </c>
      <c r="B17" s="32" t="s">
        <v>306</v>
      </c>
      <c r="C17" s="33" t="s">
        <v>307</v>
      </c>
      <c r="D17" s="34" t="n">
        <v>600</v>
      </c>
      <c r="E17" s="34" t="n">
        <v>600</v>
      </c>
      <c r="F17" s="35" t="n">
        <v>215</v>
      </c>
      <c r="G17" s="37" t="n">
        <f aca="false">IFERROR(F17/F$49,0)</f>
        <v>0.00145088909133853</v>
      </c>
      <c r="H17" s="34" t="n">
        <f aca="false">F17*E17</f>
        <v>129000</v>
      </c>
      <c r="I17" s="37" t="n">
        <f aca="false">IFERROR(H17/H$49,0)</f>
        <v>0.00126240138100839</v>
      </c>
      <c r="J17" s="35" t="n">
        <v>699</v>
      </c>
      <c r="K17" s="37" t="n">
        <f aca="false">IFERROR(F17/J17,0)</f>
        <v>0.30758226037196</v>
      </c>
      <c r="L17" s="34" t="n">
        <v>600</v>
      </c>
      <c r="M17" s="35" t="n">
        <v>37</v>
      </c>
      <c r="N17" s="37" t="n">
        <f aca="false">IFERROR(M17/M$49,0)</f>
        <v>0.000631399317406143</v>
      </c>
      <c r="O17" s="34" t="n">
        <f aca="false">M17*L17</f>
        <v>22200</v>
      </c>
      <c r="P17" s="37" t="n">
        <f aca="false">IFERROR(O17/O$49,0)</f>
        <v>0.000535202846700547</v>
      </c>
      <c r="Q17" s="35" t="n">
        <v>90</v>
      </c>
      <c r="R17" s="37" t="n">
        <f aca="false">IFERROR(M17/Q17,0)</f>
        <v>0.411111111111111</v>
      </c>
      <c r="S17" s="34" t="n">
        <v>600</v>
      </c>
      <c r="T17" s="35" t="n">
        <v>30</v>
      </c>
      <c r="U17" s="37" t="n">
        <f aca="false">IFERROR(T17/T$49,0)</f>
        <v>0.000668583272046533</v>
      </c>
      <c r="V17" s="34" t="n">
        <f aca="false">T17*S17</f>
        <v>18000</v>
      </c>
      <c r="W17" s="37" t="n">
        <f aca="false">IFERROR(V17/V$49,0)</f>
        <v>0.0005801436177756</v>
      </c>
      <c r="X17" s="35" t="n">
        <v>30</v>
      </c>
      <c r="Y17" s="37" t="n">
        <f aca="false">IFERROR(T17/X17,0)</f>
        <v>1</v>
      </c>
      <c r="Z17" s="34" t="n">
        <v>600</v>
      </c>
      <c r="AA17" s="35" t="n">
        <v>78</v>
      </c>
      <c r="AB17" s="37" t="n">
        <f aca="false">IFERROR(AA17/AA$49,0)</f>
        <v>0.00122372136805773</v>
      </c>
      <c r="AC17" s="34" t="n">
        <f aca="false">AA17*Z17</f>
        <v>46800</v>
      </c>
      <c r="AD17" s="37" t="n">
        <f aca="false">IFERROR(AC17/AC$49,0)</f>
        <v>0.00102839965192627</v>
      </c>
      <c r="AE17" s="35" t="n">
        <v>100</v>
      </c>
      <c r="AF17" s="37" t="n">
        <f aca="false">IFERROR(AA17/AE17,0)</f>
        <v>0.78</v>
      </c>
      <c r="AG17" s="34" t="n">
        <v>600</v>
      </c>
      <c r="AH17" s="35" t="n">
        <v>21</v>
      </c>
      <c r="AI17" s="37" t="n">
        <f aca="false">IFERROR(AH17/AH$49,0)</f>
        <v>0.00236193903947812</v>
      </c>
      <c r="AJ17" s="34" t="n">
        <f aca="false">AH17*AG17</f>
        <v>12600</v>
      </c>
      <c r="AK17" s="37" t="n">
        <f aca="false">IFERROR(AJ17/AJ$49,0)</f>
        <v>0.0017458777885548</v>
      </c>
      <c r="AL17" s="35" t="n">
        <v>50</v>
      </c>
      <c r="AM17" s="37" t="n">
        <f aca="false">IFERROR(AH17/AL17,0)</f>
        <v>0.42</v>
      </c>
      <c r="AN17" s="34" t="n">
        <v>600</v>
      </c>
      <c r="AO17" s="35" t="n">
        <v>6</v>
      </c>
      <c r="AP17" s="37" t="n">
        <f aca="false">IFERROR(AO17/AO$49,0)</f>
        <v>0.00149179512680259</v>
      </c>
      <c r="AQ17" s="34" t="n">
        <f aca="false">AO17*AN17</f>
        <v>3600</v>
      </c>
      <c r="AR17" s="37" t="n">
        <f aca="false">IFERROR(AQ17/AQ$49,0)</f>
        <v>0.00106244835320505</v>
      </c>
      <c r="AS17" s="35" t="n">
        <v>79</v>
      </c>
      <c r="AT17" s="37" t="n">
        <f aca="false">IFERROR(AO17/AS17,0)</f>
        <v>0.0759493670886076</v>
      </c>
      <c r="AU17" s="36" t="n">
        <f aca="false">①石川予測確定!O17</f>
        <v>1.32449494949495</v>
      </c>
      <c r="AV17" s="35" t="n">
        <f aca="false">①石川予測確定!P17</f>
        <v>8</v>
      </c>
      <c r="AW17" s="34" t="n">
        <f aca="false">①石川予測確定!Q17</f>
        <v>4800</v>
      </c>
      <c r="AX17" s="37" t="n">
        <f aca="false">①石川予測確定!T17</f>
        <v>0.10126582278481</v>
      </c>
      <c r="AY17" s="35" t="n">
        <f aca="false">①石川予測確定!U17</f>
        <v>71</v>
      </c>
      <c r="AZ17" s="35" t="n">
        <f aca="false">③仙台以降予測!M41</f>
        <v>121</v>
      </c>
      <c r="BA17" s="35" t="n">
        <f aca="false">③仙台以降予測!V41</f>
        <v>609</v>
      </c>
      <c r="BB17" s="38" t="n">
        <f aca="false">③仙台以降予測!X41</f>
        <v>-488</v>
      </c>
      <c r="BC17" s="35" t="n">
        <f aca="false">③仙台以降予測!Y41</f>
        <v>0</v>
      </c>
      <c r="BD17" s="32" t="str">
        <f aca="false">④追加発注判定!J17</f>
        <v>在庫余剰</v>
      </c>
      <c r="BE17" s="32" t="str">
        <f aca="false">④追加発注判定!P17</f>
        <v>在庫で充足</v>
      </c>
      <c r="BF17" s="35" t="n">
        <f aca="false">④追加発注判定!R17</f>
        <v>0</v>
      </c>
      <c r="BG17" s="32" t="str">
        <f aca="false">④追加発注判定!X17</f>
        <v>D:不要</v>
      </c>
    </row>
    <row r="18" customFormat="false" ht="15" hidden="false" customHeight="false" outlineLevel="0" collapsed="false">
      <c r="A18" s="32" t="n">
        <v>12</v>
      </c>
      <c r="B18" s="32" t="s">
        <v>308</v>
      </c>
      <c r="C18" s="33" t="s">
        <v>309</v>
      </c>
      <c r="D18" s="34" t="n">
        <v>600</v>
      </c>
      <c r="E18" s="34" t="n">
        <v>600</v>
      </c>
      <c r="F18" s="35" t="n">
        <v>291</v>
      </c>
      <c r="G18" s="37" t="n">
        <f aca="false">IFERROR(F18/F$49,0)</f>
        <v>0.00196376151432331</v>
      </c>
      <c r="H18" s="34" t="n">
        <f aca="false">F18*E18</f>
        <v>174600</v>
      </c>
      <c r="I18" s="37" t="n">
        <f aca="false">IFERROR(H18/H$49,0)</f>
        <v>0.00170864559010904</v>
      </c>
      <c r="J18" s="35" t="n">
        <v>1049</v>
      </c>
      <c r="K18" s="37" t="n">
        <f aca="false">IFERROR(F18/J18,0)</f>
        <v>0.277407054337464</v>
      </c>
      <c r="L18" s="34" t="n">
        <v>600</v>
      </c>
      <c r="M18" s="35" t="n">
        <v>58</v>
      </c>
      <c r="N18" s="37" t="n">
        <f aca="false">IFERROR(M18/M$49,0)</f>
        <v>0.000989761092150171</v>
      </c>
      <c r="O18" s="34" t="n">
        <f aca="false">M18*L18</f>
        <v>34800</v>
      </c>
      <c r="P18" s="37" t="n">
        <f aca="false">IFERROR(O18/O$49,0)</f>
        <v>0.000838966624557614</v>
      </c>
      <c r="Q18" s="35" t="n">
        <v>119</v>
      </c>
      <c r="R18" s="37" t="n">
        <f aca="false">IFERROR(M18/Q18,0)</f>
        <v>0.487394957983193</v>
      </c>
      <c r="S18" s="34" t="n">
        <v>600</v>
      </c>
      <c r="T18" s="35" t="n">
        <v>54</v>
      </c>
      <c r="U18" s="37" t="n">
        <f aca="false">IFERROR(T18/T$49,0)</f>
        <v>0.00120344988968376</v>
      </c>
      <c r="V18" s="34" t="n">
        <f aca="false">T18*S18</f>
        <v>32400</v>
      </c>
      <c r="W18" s="37" t="n">
        <f aca="false">IFERROR(V18/V$49,0)</f>
        <v>0.00104425851199608</v>
      </c>
      <c r="X18" s="35" t="n">
        <v>80</v>
      </c>
      <c r="Y18" s="37" t="n">
        <f aca="false">IFERROR(T18/X18,0)</f>
        <v>0.675</v>
      </c>
      <c r="Z18" s="34" t="n">
        <v>600</v>
      </c>
      <c r="AA18" s="35" t="n">
        <v>142</v>
      </c>
      <c r="AB18" s="37" t="n">
        <f aca="false">IFERROR(AA18/AA$49,0)</f>
        <v>0.00222780043928459</v>
      </c>
      <c r="AC18" s="34" t="n">
        <f aca="false">AA18*Z18</f>
        <v>85200</v>
      </c>
      <c r="AD18" s="37" t="n">
        <f aca="false">IFERROR(AC18/AC$49,0)</f>
        <v>0.0018722147509427</v>
      </c>
      <c r="AE18" s="35" t="n">
        <v>150</v>
      </c>
      <c r="AF18" s="37" t="n">
        <f aca="false">IFERROR(AA18/AE18,0)</f>
        <v>0.946666666666667</v>
      </c>
      <c r="AG18" s="34" t="n">
        <v>600</v>
      </c>
      <c r="AH18" s="35" t="n">
        <v>43</v>
      </c>
      <c r="AI18" s="37" t="n">
        <f aca="false">IFERROR(AH18/AH$49,0)</f>
        <v>0.00483635136655044</v>
      </c>
      <c r="AJ18" s="34" t="n">
        <f aca="false">AH18*AG18</f>
        <v>25800</v>
      </c>
      <c r="AK18" s="37" t="n">
        <f aca="false">IFERROR(AJ18/AJ$49,0)</f>
        <v>0.00357489261465983</v>
      </c>
      <c r="AL18" s="35" t="n">
        <v>50</v>
      </c>
      <c r="AM18" s="37" t="n">
        <f aca="false">IFERROR(AH18/AL18,0)</f>
        <v>0.86</v>
      </c>
      <c r="AN18" s="34" t="n">
        <v>600</v>
      </c>
      <c r="AO18" s="35" t="n">
        <v>13</v>
      </c>
      <c r="AP18" s="37" t="n">
        <f aca="false">IFERROR(AO18/AO$49,0)</f>
        <v>0.00323222277473894</v>
      </c>
      <c r="AQ18" s="34" t="n">
        <f aca="false">AO18*AN18</f>
        <v>7800</v>
      </c>
      <c r="AR18" s="37" t="n">
        <f aca="false">IFERROR(AQ18/AQ$49,0)</f>
        <v>0.00230197143194428</v>
      </c>
      <c r="AS18" s="35" t="n">
        <v>107</v>
      </c>
      <c r="AT18" s="37" t="n">
        <f aca="false">IFERROR(AO18/AS18,0)</f>
        <v>0.121495327102804</v>
      </c>
      <c r="AU18" s="36" t="n">
        <f aca="false">①石川予測確定!O18</f>
        <v>1.28918419003115</v>
      </c>
      <c r="AV18" s="35" t="n">
        <f aca="false">①石川予測確定!P18</f>
        <v>17</v>
      </c>
      <c r="AW18" s="34" t="n">
        <f aca="false">①石川予測確定!Q18</f>
        <v>10200</v>
      </c>
      <c r="AX18" s="37" t="n">
        <f aca="false">①石川予測確定!T18</f>
        <v>0.158878504672897</v>
      </c>
      <c r="AY18" s="35" t="n">
        <f aca="false">①石川予測確定!U18</f>
        <v>90</v>
      </c>
      <c r="AZ18" s="35" t="n">
        <f aca="false">③仙台以降予測!M42</f>
        <v>251</v>
      </c>
      <c r="BA18" s="35" t="n">
        <f aca="false">③仙台以降予測!V42</f>
        <v>891</v>
      </c>
      <c r="BB18" s="38" t="n">
        <f aca="false">③仙台以降予測!X42</f>
        <v>-640</v>
      </c>
      <c r="BC18" s="35" t="n">
        <f aca="false">③仙台以降予測!Y42</f>
        <v>0</v>
      </c>
      <c r="BD18" s="32" t="str">
        <f aca="false">④追加発注判定!J18</f>
        <v>在庫余剰</v>
      </c>
      <c r="BE18" s="32" t="str">
        <f aca="false">④追加発注判定!P18</f>
        <v>在庫で充足</v>
      </c>
      <c r="BF18" s="35" t="n">
        <f aca="false">④追加発注判定!R18</f>
        <v>0</v>
      </c>
      <c r="BG18" s="32" t="str">
        <f aca="false">④追加発注判定!X18</f>
        <v>D:不要</v>
      </c>
    </row>
    <row r="19" customFormat="false" ht="15" hidden="false" customHeight="false" outlineLevel="0" collapsed="false">
      <c r="A19" s="32" t="n">
        <v>13</v>
      </c>
      <c r="B19" s="32" t="s">
        <v>310</v>
      </c>
      <c r="C19" s="33" t="s">
        <v>311</v>
      </c>
      <c r="D19" s="34" t="n">
        <v>600</v>
      </c>
      <c r="E19" s="34" t="n">
        <v>600</v>
      </c>
      <c r="F19" s="35" t="n">
        <v>99</v>
      </c>
      <c r="G19" s="37" t="n">
        <f aca="false">IFERROR(F19/F$49,0)</f>
        <v>0.00066808381415123</v>
      </c>
      <c r="H19" s="34" t="n">
        <f aca="false">F19*E19</f>
        <v>59400</v>
      </c>
      <c r="I19" s="37" t="n">
        <f aca="false">IFERROR(H19/H$49,0)</f>
        <v>0.000581291798696889</v>
      </c>
      <c r="J19" s="35" t="n">
        <v>349</v>
      </c>
      <c r="K19" s="37" t="n">
        <f aca="false">IFERROR(F19/J19,0)</f>
        <v>0.283667621776504</v>
      </c>
      <c r="L19" s="34" t="n">
        <v>600</v>
      </c>
      <c r="M19" s="35" t="n">
        <v>16</v>
      </c>
      <c r="N19" s="37" t="n">
        <f aca="false">IFERROR(M19/M$49,0)</f>
        <v>0.000273037542662116</v>
      </c>
      <c r="O19" s="34" t="n">
        <f aca="false">M19*L19</f>
        <v>9600</v>
      </c>
      <c r="P19" s="37" t="n">
        <f aca="false">IFERROR(O19/O$49,0)</f>
        <v>0.00023143906884348</v>
      </c>
      <c r="Q19" s="35" t="n">
        <v>40</v>
      </c>
      <c r="R19" s="37" t="n">
        <f aca="false">IFERROR(M19/Q19,0)</f>
        <v>0.4</v>
      </c>
      <c r="S19" s="34" t="n">
        <v>600</v>
      </c>
      <c r="T19" s="35" t="n">
        <v>22</v>
      </c>
      <c r="U19" s="37" t="n">
        <f aca="false">IFERROR(T19/T$49,0)</f>
        <v>0.000490294399500791</v>
      </c>
      <c r="V19" s="34" t="n">
        <f aca="false">T19*S19</f>
        <v>13200</v>
      </c>
      <c r="W19" s="37" t="n">
        <f aca="false">IFERROR(V19/V$49,0)</f>
        <v>0.00042543865303544</v>
      </c>
      <c r="X19" s="35" t="n">
        <v>25</v>
      </c>
      <c r="Y19" s="37" t="n">
        <f aca="false">IFERROR(T19/X19,0)</f>
        <v>0.88</v>
      </c>
      <c r="Z19" s="34" t="n">
        <v>600</v>
      </c>
      <c r="AA19" s="35" t="n">
        <v>43</v>
      </c>
      <c r="AB19" s="37" t="n">
        <f aca="false">IFERROR(AA19/AA$49,0)</f>
        <v>0.000674615625980546</v>
      </c>
      <c r="AC19" s="34" t="n">
        <f aca="false">AA19*Z19</f>
        <v>25800</v>
      </c>
      <c r="AD19" s="37" t="n">
        <f aca="false">IFERROR(AC19/AC$49,0)</f>
        <v>0.000566938269651663</v>
      </c>
      <c r="AE19" s="35" t="n">
        <v>50</v>
      </c>
      <c r="AF19" s="37" t="n">
        <f aca="false">IFERROR(AA19/AE19,0)</f>
        <v>0.86</v>
      </c>
      <c r="AG19" s="34" t="n">
        <v>600</v>
      </c>
      <c r="AH19" s="35" t="n">
        <v>8</v>
      </c>
      <c r="AI19" s="37" t="n">
        <f aca="false">IFERROR(AH19/AH$49,0)</f>
        <v>0.000899786300753571</v>
      </c>
      <c r="AJ19" s="34" t="n">
        <f aca="false">AH19*AG19</f>
        <v>4800</v>
      </c>
      <c r="AK19" s="37" t="n">
        <f aca="false">IFERROR(AJ19/AJ$49,0)</f>
        <v>0.000665096300401829</v>
      </c>
      <c r="AL19" s="35" t="n">
        <v>50</v>
      </c>
      <c r="AM19" s="37" t="n">
        <f aca="false">IFERROR(AH19/AL19,0)</f>
        <v>0.16</v>
      </c>
      <c r="AN19" s="34" t="n">
        <v>600</v>
      </c>
      <c r="AO19" s="35" t="n">
        <v>5</v>
      </c>
      <c r="AP19" s="37" t="n">
        <f aca="false">IFERROR(AO19/AO$49,0)</f>
        <v>0.00124316260566882</v>
      </c>
      <c r="AQ19" s="34" t="n">
        <f aca="false">AO19*AN19</f>
        <v>3000</v>
      </c>
      <c r="AR19" s="37" t="n">
        <f aca="false">IFERROR(AQ19/AQ$49,0)</f>
        <v>0.000885373627670877</v>
      </c>
      <c r="AS19" s="35" t="n">
        <v>52</v>
      </c>
      <c r="AT19" s="37" t="n">
        <f aca="false">IFERROR(AO19/AS19,0)</f>
        <v>0.0961538461538462</v>
      </c>
      <c r="AU19" s="36" t="n">
        <f aca="false">①石川予測確定!O19</f>
        <v>1.29139194139194</v>
      </c>
      <c r="AV19" s="35" t="n">
        <f aca="false">①石川予測確定!P19</f>
        <v>6</v>
      </c>
      <c r="AW19" s="34" t="n">
        <f aca="false">①石川予測確定!Q19</f>
        <v>3600</v>
      </c>
      <c r="AX19" s="37" t="n">
        <f aca="false">①石川予測確定!T19</f>
        <v>0.115384615384615</v>
      </c>
      <c r="AY19" s="35" t="n">
        <f aca="false">①石川予測確定!U19</f>
        <v>46</v>
      </c>
      <c r="AZ19" s="35" t="n">
        <f aca="false">③仙台以降予測!M43</f>
        <v>64</v>
      </c>
      <c r="BA19" s="35" t="n">
        <f aca="false">③仙台以降予測!V43</f>
        <v>305</v>
      </c>
      <c r="BB19" s="38" t="n">
        <f aca="false">③仙台以降予測!X43</f>
        <v>-241</v>
      </c>
      <c r="BC19" s="35" t="n">
        <f aca="false">③仙台以降予測!Y43</f>
        <v>0</v>
      </c>
      <c r="BD19" s="32" t="str">
        <f aca="false">④追加発注判定!J19</f>
        <v>在庫余剰</v>
      </c>
      <c r="BE19" s="32" t="str">
        <f aca="false">④追加発注判定!P19</f>
        <v>在庫で充足</v>
      </c>
      <c r="BF19" s="35" t="n">
        <f aca="false">④追加発注判定!R19</f>
        <v>0</v>
      </c>
      <c r="BG19" s="32" t="str">
        <f aca="false">④追加発注判定!X19</f>
        <v>D:不要</v>
      </c>
    </row>
    <row r="20" customFormat="false" ht="15" hidden="false" customHeight="false" outlineLevel="0" collapsed="false">
      <c r="A20" s="32" t="n">
        <v>14</v>
      </c>
      <c r="B20" s="32" t="s">
        <v>312</v>
      </c>
      <c r="C20" s="33" t="s">
        <v>313</v>
      </c>
      <c r="D20" s="34" t="n">
        <v>600</v>
      </c>
      <c r="E20" s="34" t="n">
        <v>600</v>
      </c>
      <c r="F20" s="35" t="n">
        <v>411</v>
      </c>
      <c r="G20" s="37" t="n">
        <f aca="false">IFERROR(F20/F$49,0)</f>
        <v>0.00277356007693086</v>
      </c>
      <c r="H20" s="34" t="n">
        <f aca="false">F20*E20</f>
        <v>246600</v>
      </c>
      <c r="I20" s="37" t="n">
        <f aca="false">IFERROR(H20/H$49,0)</f>
        <v>0.00241324170974163</v>
      </c>
      <c r="J20" s="35" t="n">
        <v>1750</v>
      </c>
      <c r="K20" s="37" t="n">
        <f aca="false">IFERROR(F20/J20,0)</f>
        <v>0.234857142857143</v>
      </c>
      <c r="L20" s="34" t="n">
        <v>600</v>
      </c>
      <c r="M20" s="35" t="n">
        <v>73</v>
      </c>
      <c r="N20" s="37" t="n">
        <f aca="false">IFERROR(M20/M$49,0)</f>
        <v>0.0012457337883959</v>
      </c>
      <c r="O20" s="34" t="n">
        <f aca="false">M20*L20</f>
        <v>43800</v>
      </c>
      <c r="P20" s="37" t="n">
        <f aca="false">IFERROR(O20/O$49,0)</f>
        <v>0.00105594075159838</v>
      </c>
      <c r="Q20" s="35" t="n">
        <v>165</v>
      </c>
      <c r="R20" s="37" t="n">
        <f aca="false">IFERROR(M20/Q20,0)</f>
        <v>0.442424242424242</v>
      </c>
      <c r="S20" s="34" t="n">
        <v>600</v>
      </c>
      <c r="T20" s="35" t="n">
        <v>79</v>
      </c>
      <c r="U20" s="37" t="n">
        <f aca="false">IFERROR(T20/T$49,0)</f>
        <v>0.0017606026163892</v>
      </c>
      <c r="V20" s="34" t="n">
        <f aca="false">T20*S20</f>
        <v>47400</v>
      </c>
      <c r="W20" s="37" t="n">
        <f aca="false">IFERROR(V20/V$49,0)</f>
        <v>0.00152771152680908</v>
      </c>
      <c r="X20" s="35" t="n">
        <v>80</v>
      </c>
      <c r="Y20" s="37" t="n">
        <f aca="false">IFERROR(T20/X20,0)</f>
        <v>0.9875</v>
      </c>
      <c r="Z20" s="34" t="n">
        <v>600</v>
      </c>
      <c r="AA20" s="35" t="n">
        <v>146</v>
      </c>
      <c r="AB20" s="37" t="n">
        <f aca="false">IFERROR(AA20/AA$49,0)</f>
        <v>0.00229055538123627</v>
      </c>
      <c r="AC20" s="34" t="n">
        <f aca="false">AA20*Z20</f>
        <v>87600</v>
      </c>
      <c r="AD20" s="37" t="n">
        <f aca="false">IFERROR(AC20/AC$49,0)</f>
        <v>0.00192495319463123</v>
      </c>
      <c r="AE20" s="35" t="n">
        <v>300</v>
      </c>
      <c r="AF20" s="37" t="n">
        <f aca="false">IFERROR(AA20/AE20,0)</f>
        <v>0.486666666666667</v>
      </c>
      <c r="AG20" s="34" t="n">
        <v>600</v>
      </c>
      <c r="AH20" s="35" t="n">
        <v>47</v>
      </c>
      <c r="AI20" s="37" t="n">
        <f aca="false">IFERROR(AH20/AH$49,0)</f>
        <v>0.00528624451692723</v>
      </c>
      <c r="AJ20" s="34" t="n">
        <f aca="false">AH20*AG20</f>
        <v>28200</v>
      </c>
      <c r="AK20" s="37" t="n">
        <f aca="false">IFERROR(AJ20/AJ$49,0)</f>
        <v>0.00390744076486075</v>
      </c>
      <c r="AL20" s="35" t="n">
        <v>50</v>
      </c>
      <c r="AM20" s="37" t="n">
        <f aca="false">IFERROR(AH20/AL20,0)</f>
        <v>0.94</v>
      </c>
      <c r="AN20" s="34" t="n">
        <v>600</v>
      </c>
      <c r="AO20" s="35" t="n">
        <v>10</v>
      </c>
      <c r="AP20" s="37" t="n">
        <f aca="false">IFERROR(AO20/AO$49,0)</f>
        <v>0.00248632521133764</v>
      </c>
      <c r="AQ20" s="34" t="n">
        <f aca="false">AO20*AN20</f>
        <v>6000</v>
      </c>
      <c r="AR20" s="37" t="n">
        <f aca="false">IFERROR(AQ20/AQ$49,0)</f>
        <v>0.00177074725534175</v>
      </c>
      <c r="AS20" s="35" t="n">
        <v>53</v>
      </c>
      <c r="AT20" s="37" t="n">
        <f aca="false">IFERROR(AO20/AS20,0)</f>
        <v>0.188679245283019</v>
      </c>
      <c r="AU20" s="36" t="n">
        <f aca="false">①石川予測確定!O20</f>
        <v>1.42727272727273</v>
      </c>
      <c r="AV20" s="35" t="n">
        <f aca="false">①石川予測確定!P20</f>
        <v>14</v>
      </c>
      <c r="AW20" s="34" t="n">
        <f aca="false">①石川予測確定!Q20</f>
        <v>8400</v>
      </c>
      <c r="AX20" s="37" t="n">
        <f aca="false">①石川予測確定!T20</f>
        <v>0.264150943396226</v>
      </c>
      <c r="AY20" s="35" t="n">
        <f aca="false">①石川予測確定!U20</f>
        <v>39</v>
      </c>
      <c r="AZ20" s="35" t="n">
        <f aca="false">③仙台以降予測!M44</f>
        <v>246</v>
      </c>
      <c r="BA20" s="35" t="n">
        <f aca="false">③仙台以降予測!V44</f>
        <v>1729</v>
      </c>
      <c r="BB20" s="38" t="n">
        <f aca="false">③仙台以降予測!X44</f>
        <v>-1483</v>
      </c>
      <c r="BC20" s="35" t="n">
        <f aca="false">③仙台以降予測!Y44</f>
        <v>0</v>
      </c>
      <c r="BD20" s="32" t="str">
        <f aca="false">④追加発注判定!J20</f>
        <v>在庫余剰</v>
      </c>
      <c r="BE20" s="32" t="str">
        <f aca="false">④追加発注判定!P20</f>
        <v>在庫で充足</v>
      </c>
      <c r="BF20" s="35" t="n">
        <f aca="false">④追加発注判定!R20</f>
        <v>0</v>
      </c>
      <c r="BG20" s="32" t="str">
        <f aca="false">④追加発注判定!X20</f>
        <v>D:不要</v>
      </c>
    </row>
    <row r="21" customFormat="false" ht="15" hidden="false" customHeight="false" outlineLevel="0" collapsed="false">
      <c r="A21" s="32" t="n">
        <v>15</v>
      </c>
      <c r="B21" s="32" t="s">
        <v>314</v>
      </c>
      <c r="C21" s="33" t="s">
        <v>315</v>
      </c>
      <c r="D21" s="34" t="n">
        <v>600</v>
      </c>
      <c r="E21" s="34" t="n">
        <v>600</v>
      </c>
      <c r="F21" s="35" t="n">
        <v>471</v>
      </c>
      <c r="G21" s="37" t="n">
        <f aca="false">IFERROR(F21/F$49,0)</f>
        <v>0.00317845935823464</v>
      </c>
      <c r="H21" s="34" t="n">
        <f aca="false">F21*E21</f>
        <v>282600</v>
      </c>
      <c r="I21" s="37" t="n">
        <f aca="false">IFERROR(H21/H$49,0)</f>
        <v>0.00276553976955792</v>
      </c>
      <c r="J21" s="35" t="n">
        <v>2100</v>
      </c>
      <c r="K21" s="37" t="n">
        <f aca="false">IFERROR(F21/J21,0)</f>
        <v>0.224285714285714</v>
      </c>
      <c r="L21" s="34" t="n">
        <v>600</v>
      </c>
      <c r="M21" s="35" t="n">
        <v>100</v>
      </c>
      <c r="N21" s="37" t="n">
        <f aca="false">IFERROR(M21/M$49,0)</f>
        <v>0.00170648464163823</v>
      </c>
      <c r="O21" s="34" t="n">
        <f aca="false">M21*L21</f>
        <v>60000</v>
      </c>
      <c r="P21" s="37" t="n">
        <f aca="false">IFERROR(O21/O$49,0)</f>
        <v>0.00144649418027175</v>
      </c>
      <c r="Q21" s="35" t="n">
        <v>190</v>
      </c>
      <c r="R21" s="37" t="n">
        <f aca="false">IFERROR(M21/Q21,0)</f>
        <v>0.526315789473684</v>
      </c>
      <c r="S21" s="34" t="n">
        <v>600</v>
      </c>
      <c r="T21" s="35" t="n">
        <v>100</v>
      </c>
      <c r="U21" s="37" t="n">
        <f aca="false">IFERROR(T21/T$49,0)</f>
        <v>0.00222861090682178</v>
      </c>
      <c r="V21" s="34" t="n">
        <f aca="false">T21*S21</f>
        <v>60000</v>
      </c>
      <c r="W21" s="37" t="n">
        <f aca="false">IFERROR(V21/V$49,0)</f>
        <v>0.001933812059252</v>
      </c>
      <c r="X21" s="35" t="n">
        <v>100</v>
      </c>
      <c r="Y21" s="37" t="n">
        <f aca="false">IFERROR(T21/X21,0)</f>
        <v>1</v>
      </c>
      <c r="Z21" s="34" t="n">
        <v>600</v>
      </c>
      <c r="AA21" s="35" t="n">
        <v>198</v>
      </c>
      <c r="AB21" s="37" t="n">
        <f aca="false">IFERROR(AA21/AA$49,0)</f>
        <v>0.0031063696266081</v>
      </c>
      <c r="AC21" s="34" t="n">
        <f aca="false">AA21*Z21</f>
        <v>118800</v>
      </c>
      <c r="AD21" s="37" t="n">
        <f aca="false">IFERROR(AC21/AC$49,0)</f>
        <v>0.00261055296258207</v>
      </c>
      <c r="AE21" s="35" t="n">
        <v>300</v>
      </c>
      <c r="AF21" s="37" t="n">
        <f aca="false">IFERROR(AA21/AE21,0)</f>
        <v>0.66</v>
      </c>
      <c r="AG21" s="34" t="n">
        <v>600</v>
      </c>
      <c r="AH21" s="35" t="n">
        <v>54</v>
      </c>
      <c r="AI21" s="37" t="n">
        <f aca="false">IFERROR(AH21/AH$49,0)</f>
        <v>0.0060735575300866</v>
      </c>
      <c r="AJ21" s="34" t="n">
        <f aca="false">AH21*AG21</f>
        <v>32400</v>
      </c>
      <c r="AK21" s="37" t="n">
        <f aca="false">IFERROR(AJ21/AJ$49,0)</f>
        <v>0.00448940002771235</v>
      </c>
      <c r="AL21" s="35" t="n">
        <v>100</v>
      </c>
      <c r="AM21" s="37" t="n">
        <f aca="false">IFERROR(AH21/AL21,0)</f>
        <v>0.54</v>
      </c>
      <c r="AN21" s="34" t="n">
        <v>600</v>
      </c>
      <c r="AO21" s="35" t="n">
        <v>17</v>
      </c>
      <c r="AP21" s="37" t="n">
        <f aca="false">IFERROR(AO21/AO$49,0)</f>
        <v>0.00422675285927399</v>
      </c>
      <c r="AQ21" s="34" t="n">
        <f aca="false">AO21*AN21</f>
        <v>10200</v>
      </c>
      <c r="AR21" s="37" t="n">
        <f aca="false">IFERROR(AQ21/AQ$49,0)</f>
        <v>0.00301027033408098</v>
      </c>
      <c r="AS21" s="35" t="n">
        <v>96</v>
      </c>
      <c r="AT21" s="37" t="n">
        <f aca="false">IFERROR(AO21/AS21,0)</f>
        <v>0.177083333333333</v>
      </c>
      <c r="AU21" s="36" t="n">
        <f aca="false">①石川予測確定!O21</f>
        <v>1.3436454671354</v>
      </c>
      <c r="AV21" s="35" t="n">
        <f aca="false">①石川予測確定!P21</f>
        <v>23</v>
      </c>
      <c r="AW21" s="34" t="n">
        <f aca="false">①石川予測確定!Q21</f>
        <v>13800</v>
      </c>
      <c r="AX21" s="37" t="n">
        <f aca="false">①石川予測確定!T21</f>
        <v>0.239583333333333</v>
      </c>
      <c r="AY21" s="35" t="n">
        <f aca="false">①石川予測確定!U21</f>
        <v>73</v>
      </c>
      <c r="AZ21" s="35" t="n">
        <f aca="false">③仙台以降予測!M45</f>
        <v>324</v>
      </c>
      <c r="BA21" s="35" t="n">
        <f aca="false">③仙台以降予測!V45</f>
        <v>2054</v>
      </c>
      <c r="BB21" s="38" t="n">
        <f aca="false">③仙台以降予測!X45</f>
        <v>-1730</v>
      </c>
      <c r="BC21" s="35" t="n">
        <f aca="false">③仙台以降予測!Y45</f>
        <v>0</v>
      </c>
      <c r="BD21" s="32" t="str">
        <f aca="false">④追加発注判定!J21</f>
        <v>在庫余剰</v>
      </c>
      <c r="BE21" s="32" t="str">
        <f aca="false">④追加発注判定!P21</f>
        <v>在庫で充足</v>
      </c>
      <c r="BF21" s="35" t="n">
        <f aca="false">④追加発注判定!R21</f>
        <v>0</v>
      </c>
      <c r="BG21" s="32" t="str">
        <f aca="false">④追加発注判定!X21</f>
        <v>D:不要</v>
      </c>
    </row>
    <row r="22" customFormat="false" ht="15" hidden="false" customHeight="false" outlineLevel="0" collapsed="false">
      <c r="A22" s="32" t="n">
        <v>16</v>
      </c>
      <c r="B22" s="32" t="s">
        <v>316</v>
      </c>
      <c r="C22" s="33" t="s">
        <v>317</v>
      </c>
      <c r="D22" s="34" t="n">
        <v>600</v>
      </c>
      <c r="E22" s="34" t="n">
        <v>600</v>
      </c>
      <c r="F22" s="35" t="n">
        <v>95</v>
      </c>
      <c r="G22" s="37" t="n">
        <f aca="false">IFERROR(F22/F$49,0)</f>
        <v>0.000641090528730978</v>
      </c>
      <c r="H22" s="34" t="n">
        <f aca="false">F22*E22</f>
        <v>57000</v>
      </c>
      <c r="I22" s="37" t="n">
        <f aca="false">IFERROR(H22/H$49,0)</f>
        <v>0.000557805261375802</v>
      </c>
      <c r="J22" s="35" t="n">
        <v>700</v>
      </c>
      <c r="K22" s="37" t="n">
        <f aca="false">IFERROR(F22/J22,0)</f>
        <v>0.135714285714286</v>
      </c>
      <c r="L22" s="34" t="n">
        <v>600</v>
      </c>
      <c r="M22" s="35" t="n">
        <v>38</v>
      </c>
      <c r="N22" s="37" t="n">
        <f aca="false">IFERROR(M22/M$49,0)</f>
        <v>0.000648464163822526</v>
      </c>
      <c r="O22" s="34" t="n">
        <f aca="false">M22*L22</f>
        <v>22800</v>
      </c>
      <c r="P22" s="37" t="n">
        <f aca="false">IFERROR(O22/O$49,0)</f>
        <v>0.000549667788503264</v>
      </c>
      <c r="Q22" s="35" t="n">
        <v>40</v>
      </c>
      <c r="R22" s="37" t="n">
        <f aca="false">IFERROR(M22/Q22,0)</f>
        <v>0.95</v>
      </c>
      <c r="S22" s="34" t="n">
        <v>600</v>
      </c>
      <c r="T22" s="35" t="n">
        <v>30</v>
      </c>
      <c r="U22" s="37" t="n">
        <f aca="false">IFERROR(T22/T$49,0)</f>
        <v>0.000668583272046533</v>
      </c>
      <c r="V22" s="34" t="n">
        <f aca="false">T22*S22</f>
        <v>18000</v>
      </c>
      <c r="W22" s="37" t="n">
        <f aca="false">IFERROR(V22/V$49,0)</f>
        <v>0.0005801436177756</v>
      </c>
      <c r="X22" s="35" t="n">
        <v>30</v>
      </c>
      <c r="Y22" s="37" t="n">
        <f aca="false">IFERROR(T22/X22,0)</f>
        <v>1</v>
      </c>
      <c r="Z22" s="34" t="n">
        <v>600</v>
      </c>
      <c r="AA22" s="35" t="n">
        <v>65</v>
      </c>
      <c r="AB22" s="37" t="n">
        <f aca="false">IFERROR(AA22/AA$49,0)</f>
        <v>0.00101976780671478</v>
      </c>
      <c r="AC22" s="34" t="n">
        <f aca="false">AA22*Z22</f>
        <v>39000</v>
      </c>
      <c r="AD22" s="37" t="n">
        <f aca="false">IFERROR(AC22/AC$49,0)</f>
        <v>0.00085699970993856</v>
      </c>
      <c r="AE22" s="35" t="n">
        <v>100</v>
      </c>
      <c r="AF22" s="37" t="n">
        <f aca="false">IFERROR(AA22/AE22,0)</f>
        <v>0.65</v>
      </c>
      <c r="AG22" s="34" t="n">
        <v>600</v>
      </c>
      <c r="AH22" s="35" t="n">
        <v>22</v>
      </c>
      <c r="AI22" s="37" t="n">
        <f aca="false">IFERROR(AH22/AH$49,0)</f>
        <v>0.00247441232707232</v>
      </c>
      <c r="AJ22" s="34" t="n">
        <f aca="false">AH22*AG22</f>
        <v>13200</v>
      </c>
      <c r="AK22" s="37" t="n">
        <f aca="false">IFERROR(AJ22/AJ$49,0)</f>
        <v>0.00182901482610503</v>
      </c>
      <c r="AL22" s="35" t="n">
        <v>50</v>
      </c>
      <c r="AM22" s="37" t="n">
        <f aca="false">IFERROR(AH22/AL22,0)</f>
        <v>0.44</v>
      </c>
      <c r="AN22" s="34" t="n">
        <v>600</v>
      </c>
      <c r="AO22" s="35" t="n">
        <v>4</v>
      </c>
      <c r="AP22" s="37" t="n">
        <f aca="false">IFERROR(AO22/AO$49,0)</f>
        <v>0.000994530084535057</v>
      </c>
      <c r="AQ22" s="34" t="n">
        <f aca="false">AO22*AN22</f>
        <v>2400</v>
      </c>
      <c r="AR22" s="37" t="n">
        <f aca="false">IFERROR(AQ22/AQ$49,0)</f>
        <v>0.000708298902136702</v>
      </c>
      <c r="AS22" s="35" t="n">
        <v>78</v>
      </c>
      <c r="AT22" s="37" t="n">
        <f aca="false">IFERROR(AO22/AS22,0)</f>
        <v>0.0512820512820513</v>
      </c>
      <c r="AU22" s="36" t="n">
        <f aca="false">①石川予測確定!O22</f>
        <v>1.54064581990114</v>
      </c>
      <c r="AV22" s="35" t="n">
        <f aca="false">①石川予測確定!P22</f>
        <v>6</v>
      </c>
      <c r="AW22" s="34" t="n">
        <f aca="false">①石川予測確定!Q22</f>
        <v>3600</v>
      </c>
      <c r="AX22" s="37" t="n">
        <f aca="false">①石川予測確定!T22</f>
        <v>0.0769230769230769</v>
      </c>
      <c r="AY22" s="35" t="n">
        <f aca="false">①石川予測確定!U22</f>
        <v>72</v>
      </c>
      <c r="AZ22" s="35" t="n">
        <f aca="false">③仙台以降予測!M46</f>
        <v>112</v>
      </c>
      <c r="BA22" s="35" t="n">
        <f aca="false">③仙台以降予測!V46</f>
        <v>744</v>
      </c>
      <c r="BB22" s="38" t="n">
        <f aca="false">③仙台以降予測!X46</f>
        <v>-632</v>
      </c>
      <c r="BC22" s="35" t="n">
        <f aca="false">③仙台以降予測!Y46</f>
        <v>0</v>
      </c>
      <c r="BD22" s="32" t="str">
        <f aca="false">④追加発注判定!J22</f>
        <v>在庫余剰</v>
      </c>
      <c r="BE22" s="32" t="str">
        <f aca="false">④追加発注判定!P22</f>
        <v>在庫で充足</v>
      </c>
      <c r="BF22" s="35" t="n">
        <f aca="false">④追加発注判定!R22</f>
        <v>0</v>
      </c>
      <c r="BG22" s="32" t="str">
        <f aca="false">④追加発注判定!X22</f>
        <v>D:不要</v>
      </c>
    </row>
    <row r="23" customFormat="false" ht="15" hidden="false" customHeight="false" outlineLevel="0" collapsed="false">
      <c r="A23" s="32" t="n">
        <v>17</v>
      </c>
      <c r="B23" s="32" t="s">
        <v>318</v>
      </c>
      <c r="C23" s="33" t="s">
        <v>319</v>
      </c>
      <c r="D23" s="34" t="n">
        <v>600</v>
      </c>
      <c r="E23" s="34" t="n">
        <v>600</v>
      </c>
      <c r="F23" s="35" t="n">
        <v>492</v>
      </c>
      <c r="G23" s="37" t="n">
        <f aca="false">IFERROR(F23/F$49,0)</f>
        <v>0.00332017410669096</v>
      </c>
      <c r="H23" s="34" t="n">
        <f aca="false">F23*E23</f>
        <v>295200</v>
      </c>
      <c r="I23" s="37" t="n">
        <f aca="false">IFERROR(H23/H$49,0)</f>
        <v>0.00288884409049363</v>
      </c>
      <c r="J23" s="35" t="n">
        <v>2450</v>
      </c>
      <c r="K23" s="37" t="n">
        <f aca="false">IFERROR(F23/J23,0)</f>
        <v>0.200816326530612</v>
      </c>
      <c r="L23" s="34" t="n">
        <v>600</v>
      </c>
      <c r="M23" s="35" t="n">
        <v>124</v>
      </c>
      <c r="N23" s="37" t="n">
        <f aca="false">IFERROR(M23/M$49,0)</f>
        <v>0.0021160409556314</v>
      </c>
      <c r="O23" s="34" t="n">
        <f aca="false">M23*L23</f>
        <v>74400</v>
      </c>
      <c r="P23" s="37" t="n">
        <f aca="false">IFERROR(O23/O$49,0)</f>
        <v>0.00179365278353697</v>
      </c>
      <c r="Q23" s="35" t="n">
        <v>198</v>
      </c>
      <c r="R23" s="37" t="n">
        <f aca="false">IFERROR(M23/Q23,0)</f>
        <v>0.626262626262626</v>
      </c>
      <c r="S23" s="34" t="n">
        <v>600</v>
      </c>
      <c r="T23" s="35" t="n">
        <v>100</v>
      </c>
      <c r="U23" s="37" t="n">
        <f aca="false">IFERROR(T23/T$49,0)</f>
        <v>0.00222861090682178</v>
      </c>
      <c r="V23" s="34" t="n">
        <f aca="false">T23*S23</f>
        <v>60000</v>
      </c>
      <c r="W23" s="37" t="n">
        <f aca="false">IFERROR(V23/V$49,0)</f>
        <v>0.001933812059252</v>
      </c>
      <c r="X23" s="35" t="n">
        <v>100</v>
      </c>
      <c r="Y23" s="37" t="n">
        <f aca="false">IFERROR(T23/X23,0)</f>
        <v>1</v>
      </c>
      <c r="Z23" s="34" t="n">
        <v>600</v>
      </c>
      <c r="AA23" s="35" t="n">
        <v>261</v>
      </c>
      <c r="AB23" s="37" t="n">
        <f aca="false">IFERROR(AA23/AA$49,0)</f>
        <v>0.00409475996234703</v>
      </c>
      <c r="AC23" s="34" t="n">
        <f aca="false">AA23*Z23</f>
        <v>156600</v>
      </c>
      <c r="AD23" s="37" t="n">
        <f aca="false">IFERROR(AC23/AC$49,0)</f>
        <v>0.00344118345067637</v>
      </c>
      <c r="AE23" s="35" t="n">
        <v>300</v>
      </c>
      <c r="AF23" s="37" t="n">
        <f aca="false">IFERROR(AA23/AE23,0)</f>
        <v>0.87</v>
      </c>
      <c r="AG23" s="34" t="n">
        <v>600</v>
      </c>
      <c r="AH23" s="35" t="n">
        <v>100</v>
      </c>
      <c r="AI23" s="37" t="n">
        <f aca="false">IFERROR(AH23/AH$49,0)</f>
        <v>0.0112473287594196</v>
      </c>
      <c r="AJ23" s="34" t="n">
        <f aca="false">AH23*AG23</f>
        <v>60000</v>
      </c>
      <c r="AK23" s="37" t="n">
        <f aca="false">IFERROR(AJ23/AJ$49,0)</f>
        <v>0.00831370375502286</v>
      </c>
      <c r="AL23" s="35" t="n">
        <v>100</v>
      </c>
      <c r="AM23" s="37" t="n">
        <f aca="false">IFERROR(AH23/AL23,0)</f>
        <v>1</v>
      </c>
      <c r="AN23" s="34" t="n">
        <v>600</v>
      </c>
      <c r="AO23" s="35" t="n">
        <v>30</v>
      </c>
      <c r="AP23" s="37" t="n">
        <f aca="false">IFERROR(AO23/AO$49,0)</f>
        <v>0.00745897563401293</v>
      </c>
      <c r="AQ23" s="34" t="n">
        <f aca="false">AO23*AN23</f>
        <v>18000</v>
      </c>
      <c r="AR23" s="37" t="n">
        <f aca="false">IFERROR(AQ23/AQ$49,0)</f>
        <v>0.00531224176602526</v>
      </c>
      <c r="AS23" s="35" t="n">
        <v>200</v>
      </c>
      <c r="AT23" s="37" t="n">
        <f aca="false">IFERROR(AO23/AS23,0)</f>
        <v>0.15</v>
      </c>
      <c r="AU23" s="36" t="n">
        <f aca="false">①石川予測確定!O23</f>
        <v>1.35320425724638</v>
      </c>
      <c r="AV23" s="35" t="n">
        <f aca="false">①石川予測確定!P23</f>
        <v>41</v>
      </c>
      <c r="AW23" s="34" t="n">
        <f aca="false">①石川予測確定!Q23</f>
        <v>24600</v>
      </c>
      <c r="AX23" s="37" t="n">
        <f aca="false">①石川予測確定!T23</f>
        <v>0.205</v>
      </c>
      <c r="AY23" s="35" t="n">
        <f aca="false">①石川予測確定!U23</f>
        <v>159</v>
      </c>
      <c r="AZ23" s="35" t="n">
        <f aca="false">③仙台以降予測!M47</f>
        <v>592</v>
      </c>
      <c r="BA23" s="35" t="n">
        <f aca="false">③仙台以降予測!V47</f>
        <v>2380</v>
      </c>
      <c r="BB23" s="38" t="n">
        <f aca="false">③仙台以降予測!X47</f>
        <v>-1788</v>
      </c>
      <c r="BC23" s="35" t="n">
        <f aca="false">③仙台以降予測!Y47</f>
        <v>0</v>
      </c>
      <c r="BD23" s="32" t="str">
        <f aca="false">④追加発注判定!J23</f>
        <v>在庫余剰</v>
      </c>
      <c r="BE23" s="32" t="str">
        <f aca="false">④追加発注判定!P23</f>
        <v>在庫で充足</v>
      </c>
      <c r="BF23" s="35" t="n">
        <f aca="false">④追加発注判定!R23</f>
        <v>0</v>
      </c>
      <c r="BG23" s="32" t="str">
        <f aca="false">④追加発注判定!X23</f>
        <v>D:不要</v>
      </c>
    </row>
    <row r="24" customFormat="false" ht="15" hidden="false" customHeight="false" outlineLevel="0" collapsed="false">
      <c r="A24" s="32" t="n">
        <v>18</v>
      </c>
      <c r="B24" s="32" t="s">
        <v>320</v>
      </c>
      <c r="C24" s="33" t="s">
        <v>321</v>
      </c>
      <c r="D24" s="34" t="n">
        <v>600</v>
      </c>
      <c r="E24" s="34" t="n">
        <v>600</v>
      </c>
      <c r="F24" s="35" t="n">
        <v>5661</v>
      </c>
      <c r="G24" s="37" t="n">
        <f aca="false">IFERROR(F24/F$49,0)</f>
        <v>0.0382022471910112</v>
      </c>
      <c r="H24" s="34" t="n">
        <f aca="false">F24*E24</f>
        <v>3396600</v>
      </c>
      <c r="I24" s="37" t="n">
        <f aca="false">IFERROR(H24/H$49,0)</f>
        <v>0.0332393219436675</v>
      </c>
      <c r="J24" s="35" t="n">
        <v>8750</v>
      </c>
      <c r="K24" s="37" t="n">
        <f aca="false">IFERROR(F24/J24,0)</f>
        <v>0.646971428571429</v>
      </c>
      <c r="L24" s="34" t="n">
        <v>600</v>
      </c>
      <c r="M24" s="35" t="n">
        <v>1187</v>
      </c>
      <c r="N24" s="37" t="n">
        <f aca="false">IFERROR(M24/M$49,0)</f>
        <v>0.0202559726962457</v>
      </c>
      <c r="O24" s="34" t="n">
        <f aca="false">M24*L24</f>
        <v>712200</v>
      </c>
      <c r="P24" s="37" t="n">
        <f aca="false">IFERROR(O24/O$49,0)</f>
        <v>0.0171698859198257</v>
      </c>
      <c r="Q24" s="35" t="n">
        <v>2265</v>
      </c>
      <c r="R24" s="37" t="n">
        <f aca="false">IFERROR(M24/Q24,0)</f>
        <v>0.524061810154525</v>
      </c>
      <c r="S24" s="34" t="n">
        <v>600</v>
      </c>
      <c r="T24" s="35" t="n">
        <v>898</v>
      </c>
      <c r="U24" s="37" t="n">
        <f aca="false">IFERROR(T24/T$49,0)</f>
        <v>0.0200129259432596</v>
      </c>
      <c r="V24" s="34" t="n">
        <f aca="false">T24*S24</f>
        <v>538800</v>
      </c>
      <c r="W24" s="37" t="n">
        <f aca="false">IFERROR(V24/V$49,0)</f>
        <v>0.017365632292083</v>
      </c>
      <c r="X24" s="35" t="n">
        <v>900</v>
      </c>
      <c r="Y24" s="37" t="n">
        <f aca="false">IFERROR(T24/X24,0)</f>
        <v>0.997777777777778</v>
      </c>
      <c r="Z24" s="34" t="n">
        <v>600</v>
      </c>
      <c r="AA24" s="35" t="n">
        <v>2021</v>
      </c>
      <c r="AB24" s="37" t="n">
        <f aca="false">IFERROR(AA24/AA$49,0)</f>
        <v>0.0317069344210857</v>
      </c>
      <c r="AC24" s="34" t="n">
        <f aca="false">AA24*Z24</f>
        <v>1212600</v>
      </c>
      <c r="AD24" s="37" t="n">
        <f aca="false">IFERROR(AC24/AC$49,0)</f>
        <v>0.0266460986736281</v>
      </c>
      <c r="AE24" s="35" t="n">
        <v>4000</v>
      </c>
      <c r="AF24" s="37" t="n">
        <f aca="false">IFERROR(AA24/AE24,0)</f>
        <v>0.50525</v>
      </c>
      <c r="AG24" s="34" t="n">
        <v>600</v>
      </c>
      <c r="AH24" s="35" t="n">
        <v>443</v>
      </c>
      <c r="AI24" s="37" t="n">
        <f aca="false">IFERROR(AH24/AH$49,0)</f>
        <v>0.049825666404229</v>
      </c>
      <c r="AJ24" s="34" t="n">
        <f aca="false">AH24*AG24</f>
        <v>265800</v>
      </c>
      <c r="AK24" s="37" t="n">
        <f aca="false">IFERROR(AJ24/AJ$49,0)</f>
        <v>0.0368297076347513</v>
      </c>
      <c r="AL24" s="35" t="n">
        <v>1500</v>
      </c>
      <c r="AM24" s="37" t="n">
        <f aca="false">IFERROR(AH24/AL24,0)</f>
        <v>0.295333333333333</v>
      </c>
      <c r="AN24" s="34" t="n">
        <v>600</v>
      </c>
      <c r="AO24" s="35" t="n">
        <v>122</v>
      </c>
      <c r="AP24" s="37" t="n">
        <f aca="false">IFERROR(AO24/AO$49,0)</f>
        <v>0.0303331675783192</v>
      </c>
      <c r="AQ24" s="34" t="n">
        <f aca="false">AO24*AN24</f>
        <v>73200</v>
      </c>
      <c r="AR24" s="37" t="n">
        <f aca="false">IFERROR(AQ24/AQ$49,0)</f>
        <v>0.0216031165151694</v>
      </c>
      <c r="AS24" s="35" t="n">
        <v>1157</v>
      </c>
      <c r="AT24" s="37" t="n">
        <f aca="false">IFERROR(AO24/AS24,0)</f>
        <v>0.105445116681072</v>
      </c>
      <c r="AU24" s="36" t="n">
        <f aca="false">①石川予測確定!O24</f>
        <v>1.2460464415489</v>
      </c>
      <c r="AV24" s="35" t="n">
        <f aca="false">①石川予測確定!P24</f>
        <v>152</v>
      </c>
      <c r="AW24" s="34" t="n">
        <f aca="false">①石川予測確定!Q24</f>
        <v>91200</v>
      </c>
      <c r="AX24" s="37" t="n">
        <f aca="false">①石川予測確定!T24</f>
        <v>0.131374243733794</v>
      </c>
      <c r="AY24" s="35" t="n">
        <f aca="false">①石川予測確定!U24</f>
        <v>1005</v>
      </c>
      <c r="AZ24" s="35" t="n">
        <f aca="false">③仙台以降予測!M48</f>
        <v>2444</v>
      </c>
      <c r="BA24" s="35" t="n">
        <f aca="false">③仙台以降予測!V48</f>
        <v>9130</v>
      </c>
      <c r="BB24" s="38" t="n">
        <f aca="false">③仙台以降予測!X48</f>
        <v>-6686</v>
      </c>
      <c r="BC24" s="35" t="n">
        <f aca="false">③仙台以降予測!Y48</f>
        <v>0</v>
      </c>
      <c r="BD24" s="32" t="str">
        <f aca="false">④追加発注判定!J24</f>
        <v>在庫余剰</v>
      </c>
      <c r="BE24" s="32" t="str">
        <f aca="false">④追加発注判定!P24</f>
        <v>在庫で充足</v>
      </c>
      <c r="BF24" s="35" t="n">
        <f aca="false">④追加発注判定!R24</f>
        <v>0</v>
      </c>
      <c r="BG24" s="32" t="str">
        <f aca="false">④追加発注判定!X24</f>
        <v>D:不要</v>
      </c>
    </row>
    <row r="25" customFormat="false" ht="15" hidden="false" customHeight="false" outlineLevel="0" collapsed="false">
      <c r="A25" s="32" t="n">
        <v>19</v>
      </c>
      <c r="B25" s="32" t="s">
        <v>322</v>
      </c>
      <c r="C25" s="33" t="s">
        <v>323</v>
      </c>
      <c r="D25" s="34" t="n">
        <v>600</v>
      </c>
      <c r="E25" s="34" t="n">
        <v>600</v>
      </c>
      <c r="F25" s="35" t="n">
        <v>168</v>
      </c>
      <c r="G25" s="37" t="n">
        <f aca="false">IFERROR(F25/F$49,0)</f>
        <v>0.00113371798765057</v>
      </c>
      <c r="H25" s="34" t="n">
        <f aca="false">F25*E25</f>
        <v>100800</v>
      </c>
      <c r="I25" s="37" t="n">
        <f aca="false">IFERROR(H25/H$49,0)</f>
        <v>0.000986434567485629</v>
      </c>
      <c r="J25" s="35" t="n">
        <v>1750</v>
      </c>
      <c r="K25" s="37" t="n">
        <f aca="false">IFERROR(F25/J25,0)</f>
        <v>0.096</v>
      </c>
      <c r="L25" s="34" t="n">
        <v>600</v>
      </c>
      <c r="M25" s="35" t="n">
        <v>27</v>
      </c>
      <c r="N25" s="37" t="n">
        <f aca="false">IFERROR(M25/M$49,0)</f>
        <v>0.000460750853242321</v>
      </c>
      <c r="O25" s="34" t="n">
        <f aca="false">M25*L25</f>
        <v>16200</v>
      </c>
      <c r="P25" s="37" t="n">
        <f aca="false">IFERROR(O25/O$49,0)</f>
        <v>0.000390553428673372</v>
      </c>
      <c r="Q25" s="35" t="n">
        <v>65</v>
      </c>
      <c r="R25" s="37" t="n">
        <f aca="false">IFERROR(M25/Q25,0)</f>
        <v>0.415384615384615</v>
      </c>
      <c r="S25" s="34" t="n">
        <v>600</v>
      </c>
      <c r="T25" s="35" t="n">
        <v>19</v>
      </c>
      <c r="U25" s="37" t="n">
        <f aca="false">IFERROR(T25/T$49,0)</f>
        <v>0.000423436072296138</v>
      </c>
      <c r="V25" s="34" t="n">
        <f aca="false">T25*S25</f>
        <v>11400</v>
      </c>
      <c r="W25" s="37" t="n">
        <f aca="false">IFERROR(V25/V$49,0)</f>
        <v>0.00036742429125788</v>
      </c>
      <c r="X25" s="35" t="n">
        <v>20</v>
      </c>
      <c r="Y25" s="37" t="n">
        <f aca="false">IFERROR(T25/X25,0)</f>
        <v>0.95</v>
      </c>
      <c r="Z25" s="34" t="n">
        <v>600</v>
      </c>
      <c r="AA25" s="35" t="n">
        <v>45</v>
      </c>
      <c r="AB25" s="37" t="n">
        <f aca="false">IFERROR(AA25/AA$49,0)</f>
        <v>0.000705993096956385</v>
      </c>
      <c r="AC25" s="34" t="n">
        <f aca="false">AA25*Z25</f>
        <v>27000</v>
      </c>
      <c r="AD25" s="37" t="n">
        <f aca="false">IFERROR(AC25/AC$49,0)</f>
        <v>0.000593307491495926</v>
      </c>
      <c r="AE25" s="35" t="n">
        <v>100</v>
      </c>
      <c r="AF25" s="37" t="n">
        <f aca="false">IFERROR(AA25/AE25,0)</f>
        <v>0.45</v>
      </c>
      <c r="AG25" s="34" t="n">
        <v>600</v>
      </c>
      <c r="AH25" s="35" t="n">
        <v>21</v>
      </c>
      <c r="AI25" s="37" t="n">
        <f aca="false">IFERROR(AH25/AH$49,0)</f>
        <v>0.00236193903947812</v>
      </c>
      <c r="AJ25" s="34" t="n">
        <f aca="false">AH25*AG25</f>
        <v>12600</v>
      </c>
      <c r="AK25" s="37" t="n">
        <f aca="false">IFERROR(AJ25/AJ$49,0)</f>
        <v>0.0017458777885548</v>
      </c>
      <c r="AL25" s="35" t="n">
        <v>50</v>
      </c>
      <c r="AM25" s="37" t="n">
        <f aca="false">IFERROR(AH25/AL25,0)</f>
        <v>0.42</v>
      </c>
      <c r="AN25" s="34" t="n">
        <v>600</v>
      </c>
      <c r="AO25" s="35" t="n">
        <v>4</v>
      </c>
      <c r="AP25" s="37" t="n">
        <f aca="false">IFERROR(AO25/AO$49,0)</f>
        <v>0.000994530084535057</v>
      </c>
      <c r="AQ25" s="34" t="n">
        <f aca="false">AO25*AN25</f>
        <v>2400</v>
      </c>
      <c r="AR25" s="37" t="n">
        <f aca="false">IFERROR(AQ25/AQ$49,0)</f>
        <v>0.000708298902136702</v>
      </c>
      <c r="AS25" s="35" t="n">
        <v>129</v>
      </c>
      <c r="AT25" s="37" t="n">
        <f aca="false">IFERROR(AO25/AS25,0)</f>
        <v>0.0310077519379845</v>
      </c>
      <c r="AU25" s="36" t="n">
        <f aca="false">①石川予測確定!O25</f>
        <v>1.25128384687208</v>
      </c>
      <c r="AV25" s="35" t="n">
        <f aca="false">①石川予測確定!P25</f>
        <v>5</v>
      </c>
      <c r="AW25" s="34" t="n">
        <f aca="false">①石川予測確定!Q25</f>
        <v>3000</v>
      </c>
      <c r="AX25" s="37" t="n">
        <f aca="false">①石川予測確定!T25</f>
        <v>0.0387596899224806</v>
      </c>
      <c r="AY25" s="35" t="n">
        <f aca="false">①石川予測確定!U25</f>
        <v>124</v>
      </c>
      <c r="AZ25" s="35" t="n">
        <f aca="false">③仙台以降予測!M49</f>
        <v>103</v>
      </c>
      <c r="BA25" s="35" t="n">
        <f aca="false">③仙台以降予測!V49</f>
        <v>2214</v>
      </c>
      <c r="BB25" s="38" t="n">
        <f aca="false">③仙台以降予測!X49</f>
        <v>-2111</v>
      </c>
      <c r="BC25" s="35" t="n">
        <f aca="false">③仙台以降予測!Y49</f>
        <v>0</v>
      </c>
      <c r="BD25" s="32" t="str">
        <f aca="false">④追加発注判定!J25</f>
        <v>在庫余剰</v>
      </c>
      <c r="BE25" s="32" t="str">
        <f aca="false">④追加発注判定!P25</f>
        <v>在庫で充足</v>
      </c>
      <c r="BF25" s="35" t="n">
        <f aca="false">④追加発注判定!R25</f>
        <v>0</v>
      </c>
      <c r="BG25" s="32" t="str">
        <f aca="false">④追加発注判定!X25</f>
        <v>D:不要</v>
      </c>
    </row>
    <row r="26" customFormat="false" ht="15" hidden="false" customHeight="false" outlineLevel="0" collapsed="false">
      <c r="A26" s="32" t="n">
        <v>20</v>
      </c>
      <c r="B26" s="32" t="s">
        <v>324</v>
      </c>
      <c r="C26" s="33" t="s">
        <v>325</v>
      </c>
      <c r="D26" s="34" t="n">
        <v>600</v>
      </c>
      <c r="E26" s="34" t="n">
        <v>600</v>
      </c>
      <c r="F26" s="35" t="n">
        <v>117</v>
      </c>
      <c r="G26" s="37" t="n">
        <f aca="false">IFERROR(F26/F$49,0)</f>
        <v>0.000789553598542363</v>
      </c>
      <c r="H26" s="34" t="n">
        <f aca="false">F26*E26</f>
        <v>70200</v>
      </c>
      <c r="I26" s="37" t="n">
        <f aca="false">IFERROR(H26/H$49,0)</f>
        <v>0.000686981216641778</v>
      </c>
      <c r="J26" s="35" t="n">
        <v>350</v>
      </c>
      <c r="K26" s="37" t="n">
        <f aca="false">IFERROR(F26/J26,0)</f>
        <v>0.334285714285714</v>
      </c>
      <c r="L26" s="34" t="n">
        <v>600</v>
      </c>
      <c r="M26" s="35" t="n">
        <v>23</v>
      </c>
      <c r="N26" s="37" t="n">
        <f aca="false">IFERROR(M26/M$49,0)</f>
        <v>0.000392491467576792</v>
      </c>
      <c r="O26" s="34" t="n">
        <f aca="false">M26*L26</f>
        <v>13800</v>
      </c>
      <c r="P26" s="37" t="n">
        <f aca="false">IFERROR(O26/O$49,0)</f>
        <v>0.000332693661462502</v>
      </c>
      <c r="Q26" s="35" t="n">
        <v>49</v>
      </c>
      <c r="R26" s="37" t="n">
        <f aca="false">IFERROR(M26/Q26,0)</f>
        <v>0.469387755102041</v>
      </c>
      <c r="S26" s="34" t="n">
        <v>600</v>
      </c>
      <c r="T26" s="35" t="n">
        <v>15</v>
      </c>
      <c r="U26" s="37" t="n">
        <f aca="false">IFERROR(T26/T$49,0)</f>
        <v>0.000334291636023267</v>
      </c>
      <c r="V26" s="34" t="n">
        <f aca="false">T26*S26</f>
        <v>9000</v>
      </c>
      <c r="W26" s="37" t="n">
        <f aca="false">IFERROR(V26/V$49,0)</f>
        <v>0.0002900718088878</v>
      </c>
      <c r="X26" s="35" t="n">
        <v>15</v>
      </c>
      <c r="Y26" s="37" t="n">
        <f aca="false">IFERROR(T26/X26,0)</f>
        <v>1</v>
      </c>
      <c r="Z26" s="34" t="n">
        <v>600</v>
      </c>
      <c r="AA26" s="35" t="n">
        <v>42</v>
      </c>
      <c r="AB26" s="37" t="n">
        <f aca="false">IFERROR(AA26/AA$49,0)</f>
        <v>0.000658926890492626</v>
      </c>
      <c r="AC26" s="34" t="n">
        <f aca="false">AA26*Z26</f>
        <v>25200</v>
      </c>
      <c r="AD26" s="37" t="n">
        <f aca="false">IFERROR(AC26/AC$49,0)</f>
        <v>0.000553753658729531</v>
      </c>
      <c r="AE26" s="35" t="n">
        <v>50</v>
      </c>
      <c r="AF26" s="37" t="n">
        <f aca="false">IFERROR(AA26/AE26,0)</f>
        <v>0.84</v>
      </c>
      <c r="AG26" s="34" t="n">
        <v>600</v>
      </c>
      <c r="AH26" s="35" t="n">
        <v>18</v>
      </c>
      <c r="AI26" s="37" t="n">
        <f aca="false">IFERROR(AH26/AH$49,0)</f>
        <v>0.00202451917669553</v>
      </c>
      <c r="AJ26" s="34" t="n">
        <f aca="false">AH26*AG26</f>
        <v>10800</v>
      </c>
      <c r="AK26" s="37" t="n">
        <f aca="false">IFERROR(AJ26/AJ$49,0)</f>
        <v>0.00149646667590412</v>
      </c>
      <c r="AL26" s="35" t="n">
        <v>30</v>
      </c>
      <c r="AM26" s="37" t="n">
        <f aca="false">IFERROR(AH26/AL26,0)</f>
        <v>0.6</v>
      </c>
      <c r="AN26" s="34" t="n">
        <v>600</v>
      </c>
      <c r="AO26" s="35" t="n">
        <v>5</v>
      </c>
      <c r="AP26" s="37" t="n">
        <f aca="false">IFERROR(AO26/AO$49,0)</f>
        <v>0.00124316260566882</v>
      </c>
      <c r="AQ26" s="34" t="n">
        <f aca="false">AO26*AN26</f>
        <v>3000</v>
      </c>
      <c r="AR26" s="37" t="n">
        <f aca="false">IFERROR(AQ26/AQ$49,0)</f>
        <v>0.000885373627670877</v>
      </c>
      <c r="AS26" s="35" t="n">
        <v>17</v>
      </c>
      <c r="AT26" s="37" t="n">
        <f aca="false">IFERROR(AO26/AS26,0)</f>
        <v>0.294117647058824</v>
      </c>
      <c r="AU26" s="36" t="n">
        <f aca="false">①石川予測確定!O26</f>
        <v>1.34265734265734</v>
      </c>
      <c r="AV26" s="35" t="n">
        <f aca="false">①石川予測確定!P26</f>
        <v>7</v>
      </c>
      <c r="AW26" s="34" t="n">
        <f aca="false">①石川予測確定!Q26</f>
        <v>4200</v>
      </c>
      <c r="AX26" s="37" t="n">
        <f aca="false">①石川予測確定!T26</f>
        <v>0.411764705882353</v>
      </c>
      <c r="AY26" s="35" t="n">
        <f aca="false">①石川予測確定!U26</f>
        <v>10</v>
      </c>
      <c r="AZ26" s="35" t="n">
        <f aca="false">③仙台以降予測!M50</f>
        <v>104</v>
      </c>
      <c r="BA26" s="35" t="n">
        <f aca="false">③仙台以降予測!V50</f>
        <v>276</v>
      </c>
      <c r="BB26" s="38" t="n">
        <f aca="false">③仙台以降予測!X50</f>
        <v>-172</v>
      </c>
      <c r="BC26" s="35" t="n">
        <f aca="false">③仙台以降予測!Y50</f>
        <v>0</v>
      </c>
      <c r="BD26" s="32" t="str">
        <f aca="false">④追加発注判定!J26</f>
        <v>在庫余剰</v>
      </c>
      <c r="BE26" s="32" t="str">
        <f aca="false">④追加発注判定!P26</f>
        <v>在庫で充足</v>
      </c>
      <c r="BF26" s="35" t="n">
        <f aca="false">④追加発注判定!R26</f>
        <v>0</v>
      </c>
      <c r="BG26" s="32" t="str">
        <f aca="false">④追加発注判定!X26</f>
        <v>D:不要</v>
      </c>
    </row>
    <row r="27" customFormat="false" ht="15" hidden="false" customHeight="false" outlineLevel="0" collapsed="false">
      <c r="A27" s="32" t="n">
        <v>21</v>
      </c>
      <c r="B27" s="32" t="s">
        <v>326</v>
      </c>
      <c r="C27" s="33" t="s">
        <v>327</v>
      </c>
      <c r="D27" s="34" t="n">
        <v>600</v>
      </c>
      <c r="E27" s="34" t="n">
        <v>600</v>
      </c>
      <c r="F27" s="35" t="n">
        <v>350</v>
      </c>
      <c r="G27" s="37" t="n">
        <f aca="false">IFERROR(F27/F$49,0)</f>
        <v>0.00236191247427202</v>
      </c>
      <c r="H27" s="34" t="n">
        <f aca="false">F27*E27</f>
        <v>210000</v>
      </c>
      <c r="I27" s="37" t="n">
        <f aca="false">IFERROR(H27/H$49,0)</f>
        <v>0.00205507201559506</v>
      </c>
      <c r="J27" s="35" t="n">
        <v>350</v>
      </c>
      <c r="K27" s="37" t="n">
        <f aca="false">IFERROR(F27/J27,0)</f>
        <v>1</v>
      </c>
      <c r="L27" s="34" t="n">
        <v>600</v>
      </c>
      <c r="M27" s="35" t="n">
        <v>139</v>
      </c>
      <c r="N27" s="37" t="n">
        <f aca="false">IFERROR(M27/M$49,0)</f>
        <v>0.00237201365187713</v>
      </c>
      <c r="O27" s="34" t="n">
        <f aca="false">M27*L27</f>
        <v>83400</v>
      </c>
      <c r="P27" s="37" t="n">
        <f aca="false">IFERROR(O27/O$49,0)</f>
        <v>0.00201062691057773</v>
      </c>
      <c r="Q27" s="35" t="n">
        <v>140</v>
      </c>
      <c r="R27" s="37" t="n">
        <f aca="false">IFERROR(M27/Q27,0)</f>
        <v>0.992857142857143</v>
      </c>
      <c r="S27" s="34" t="n">
        <v>600</v>
      </c>
      <c r="T27" s="35" t="n">
        <v>150</v>
      </c>
      <c r="U27" s="37" t="n">
        <f aca="false">IFERROR(T27/T$49,0)</f>
        <v>0.00334291636023267</v>
      </c>
      <c r="V27" s="34" t="n">
        <f aca="false">T27*S27</f>
        <v>90000</v>
      </c>
      <c r="W27" s="37" t="n">
        <f aca="false">IFERROR(V27/V$49,0)</f>
        <v>0.002900718088878</v>
      </c>
      <c r="X27" s="35" t="n">
        <v>150</v>
      </c>
      <c r="Y27" s="37" t="n">
        <f aca="false">IFERROR(T27/X27,0)</f>
        <v>1</v>
      </c>
      <c r="Z27" s="34" t="n">
        <v>600</v>
      </c>
      <c r="AA27" s="35" t="n">
        <v>252</v>
      </c>
      <c r="AB27" s="37" t="n">
        <f aca="false">IFERROR(AA27/AA$49,0)</f>
        <v>0.00395356134295576</v>
      </c>
      <c r="AC27" s="34" t="n">
        <f aca="false">AA27*Z27</f>
        <v>151200</v>
      </c>
      <c r="AD27" s="37" t="n">
        <f aca="false">IFERROR(AC27/AC$49,0)</f>
        <v>0.00332252195237719</v>
      </c>
      <c r="AE27" s="35" t="n">
        <v>350</v>
      </c>
      <c r="AF27" s="37" t="n">
        <f aca="false">IFERROR(AA27/AE27,0)</f>
        <v>0.72</v>
      </c>
      <c r="AG27" s="34" t="n">
        <v>600</v>
      </c>
      <c r="AH27" s="35" t="n">
        <v>88</v>
      </c>
      <c r="AI27" s="37" t="n">
        <f aca="false">IFERROR(AH27/AH$49,0)</f>
        <v>0.00989764930828928</v>
      </c>
      <c r="AJ27" s="34" t="n">
        <f aca="false">AH27*AG27</f>
        <v>52800</v>
      </c>
      <c r="AK27" s="37" t="n">
        <f aca="false">IFERROR(AJ27/AJ$49,0)</f>
        <v>0.00731605930442012</v>
      </c>
      <c r="AL27" s="35" t="n">
        <v>100</v>
      </c>
      <c r="AM27" s="37" t="n">
        <f aca="false">IFERROR(AH27/AL27,0)</f>
        <v>0.88</v>
      </c>
      <c r="AN27" s="34" t="n">
        <v>600</v>
      </c>
      <c r="AO27" s="35" t="n">
        <v>23</v>
      </c>
      <c r="AP27" s="37" t="n">
        <f aca="false">IFERROR(AO27/AO$49,0)</f>
        <v>0.00571854798607658</v>
      </c>
      <c r="AQ27" s="34" t="n">
        <f aca="false">AO27*AN27</f>
        <v>13800</v>
      </c>
      <c r="AR27" s="37" t="n">
        <f aca="false">IFERROR(AQ27/AQ$49,0)</f>
        <v>0.00407271868728604</v>
      </c>
      <c r="AS27" s="35" t="n">
        <v>32</v>
      </c>
      <c r="AT27" s="37" t="n">
        <f aca="false">IFERROR(AO27/AS27,0)</f>
        <v>0.71875</v>
      </c>
      <c r="AU27" s="36" t="n">
        <f aca="false">①石川予測確定!O27</f>
        <v>1.31337079726434</v>
      </c>
      <c r="AV27" s="35" t="n">
        <f aca="false">①石川予測確定!P27</f>
        <v>30</v>
      </c>
      <c r="AW27" s="34" t="n">
        <f aca="false">①石川予測確定!Q27</f>
        <v>18000</v>
      </c>
      <c r="AX27" s="37" t="n">
        <f aca="false">①石川予測確定!T27</f>
        <v>0.9375</v>
      </c>
      <c r="AY27" s="35" t="n">
        <f aca="false">①石川予測確定!U27</f>
        <v>2</v>
      </c>
      <c r="AZ27" s="35" t="n">
        <f aca="false">③仙台以降予測!M51</f>
        <v>484</v>
      </c>
      <c r="BA27" s="35" t="n">
        <f aca="false">③仙台以降予測!V51</f>
        <v>190</v>
      </c>
      <c r="BB27" s="38" t="n">
        <f aca="false">③仙台以降予測!X51</f>
        <v>294</v>
      </c>
      <c r="BC27" s="35" t="n">
        <f aca="false">③仙台以降予測!Y51</f>
        <v>294</v>
      </c>
      <c r="BD27" s="32" t="str">
        <f aca="false">④追加発注判定!J27</f>
        <v>要注意(90%超)</v>
      </c>
      <c r="BE27" s="32" t="str">
        <f aca="false">④追加発注判定!P27</f>
        <v>要 追加生産</v>
      </c>
      <c r="BF27" s="35" t="n">
        <f aca="false">④追加発注判定!R27</f>
        <v>324</v>
      </c>
      <c r="BG27" s="32" t="str">
        <f aca="false">④追加発注判定!X27</f>
        <v>C:通常</v>
      </c>
    </row>
    <row r="28" customFormat="false" ht="15" hidden="false" customHeight="false" outlineLevel="0" collapsed="false">
      <c r="A28" s="32" t="n">
        <v>22</v>
      </c>
      <c r="B28" s="32" t="s">
        <v>328</v>
      </c>
      <c r="C28" s="33" t="s">
        <v>329</v>
      </c>
      <c r="D28" s="34" t="n">
        <v>600</v>
      </c>
      <c r="E28" s="34" t="n">
        <v>600</v>
      </c>
      <c r="F28" s="35" t="n">
        <v>319</v>
      </c>
      <c r="G28" s="37" t="n">
        <f aca="false">IFERROR(F28/F$49,0)</f>
        <v>0.00215271451226507</v>
      </c>
      <c r="H28" s="34" t="n">
        <f aca="false">F28*E28</f>
        <v>191400</v>
      </c>
      <c r="I28" s="37" t="n">
        <f aca="false">IFERROR(H28/H$49,0)</f>
        <v>0.00187305135135664</v>
      </c>
      <c r="J28" s="35" t="n">
        <v>1400</v>
      </c>
      <c r="K28" s="37" t="n">
        <f aca="false">IFERROR(F28/J28,0)</f>
        <v>0.227857142857143</v>
      </c>
      <c r="L28" s="34" t="n">
        <v>600</v>
      </c>
      <c r="M28" s="35" t="n">
        <v>99</v>
      </c>
      <c r="N28" s="37" t="n">
        <f aca="false">IFERROR(M28/M$49,0)</f>
        <v>0.00168941979522184</v>
      </c>
      <c r="O28" s="34" t="n">
        <f aca="false">M28*L28</f>
        <v>59400</v>
      </c>
      <c r="P28" s="37" t="n">
        <f aca="false">IFERROR(O28/O$49,0)</f>
        <v>0.00143202923846903</v>
      </c>
      <c r="Q28" s="35" t="n">
        <v>130</v>
      </c>
      <c r="R28" s="37" t="n">
        <f aca="false">IFERROR(M28/Q28,0)</f>
        <v>0.761538461538462</v>
      </c>
      <c r="S28" s="34" t="n">
        <v>600</v>
      </c>
      <c r="T28" s="35" t="n">
        <v>80</v>
      </c>
      <c r="U28" s="37" t="n">
        <f aca="false">IFERROR(T28/T$49,0)</f>
        <v>0.00178288872545742</v>
      </c>
      <c r="V28" s="34" t="n">
        <f aca="false">T28*S28</f>
        <v>48000</v>
      </c>
      <c r="W28" s="37" t="n">
        <f aca="false">IFERROR(V28/V$49,0)</f>
        <v>0.0015470496474016</v>
      </c>
      <c r="X28" s="35" t="n">
        <v>80</v>
      </c>
      <c r="Y28" s="37" t="n">
        <f aca="false">IFERROR(T28/X28,0)</f>
        <v>1</v>
      </c>
      <c r="Z28" s="34" t="n">
        <v>600</v>
      </c>
      <c r="AA28" s="35" t="n">
        <v>171</v>
      </c>
      <c r="AB28" s="37" t="n">
        <f aca="false">IFERROR(AA28/AA$49,0)</f>
        <v>0.00268277376843426</v>
      </c>
      <c r="AC28" s="34" t="n">
        <f aca="false">AA28*Z28</f>
        <v>102600</v>
      </c>
      <c r="AD28" s="37" t="n">
        <f aca="false">IFERROR(AC28/AC$49,0)</f>
        <v>0.00225456846768452</v>
      </c>
      <c r="AE28" s="35" t="n">
        <v>200</v>
      </c>
      <c r="AF28" s="37" t="n">
        <f aca="false">IFERROR(AA28/AE28,0)</f>
        <v>0.855</v>
      </c>
      <c r="AG28" s="34" t="n">
        <v>600</v>
      </c>
      <c r="AH28" s="35" t="n">
        <v>50</v>
      </c>
      <c r="AI28" s="37" t="n">
        <f aca="false">IFERROR(AH28/AH$49,0)</f>
        <v>0.00562366437970982</v>
      </c>
      <c r="AJ28" s="34" t="n">
        <f aca="false">AH28*AG28</f>
        <v>30000</v>
      </c>
      <c r="AK28" s="37" t="n">
        <f aca="false">IFERROR(AJ28/AJ$49,0)</f>
        <v>0.00415685187751143</v>
      </c>
      <c r="AL28" s="35" t="n">
        <v>50</v>
      </c>
      <c r="AM28" s="37" t="n">
        <f aca="false">IFERROR(AH28/AL28,0)</f>
        <v>1</v>
      </c>
      <c r="AN28" s="34" t="n">
        <v>600</v>
      </c>
      <c r="AO28" s="35" t="n">
        <v>19</v>
      </c>
      <c r="AP28" s="37" t="n">
        <f aca="false">IFERROR(AO28/AO$49,0)</f>
        <v>0.00472401790154152</v>
      </c>
      <c r="AQ28" s="34" t="n">
        <f aca="false">AO28*AN28</f>
        <v>11400</v>
      </c>
      <c r="AR28" s="37" t="n">
        <f aca="false">IFERROR(AQ28/AQ$49,0)</f>
        <v>0.00336441978514933</v>
      </c>
      <c r="AS28" s="35" t="n">
        <v>150</v>
      </c>
      <c r="AT28" s="37" t="n">
        <f aca="false">IFERROR(AO28/AS28,0)</f>
        <v>0.126666666666667</v>
      </c>
      <c r="AU28" s="36" t="n">
        <f aca="false">①石川予測確定!O28</f>
        <v>1.40400292348344</v>
      </c>
      <c r="AV28" s="35" t="n">
        <f aca="false">①石川予測確定!P28</f>
        <v>27</v>
      </c>
      <c r="AW28" s="34" t="n">
        <f aca="false">①石川予測確定!Q28</f>
        <v>16200</v>
      </c>
      <c r="AX28" s="37" t="n">
        <f aca="false">①石川予測確定!T28</f>
        <v>0.18</v>
      </c>
      <c r="AY28" s="35" t="n">
        <f aca="false">①石川予測確定!U28</f>
        <v>123</v>
      </c>
      <c r="AZ28" s="35" t="n">
        <f aca="false">③仙台以降予測!M52</f>
        <v>335</v>
      </c>
      <c r="BA28" s="35" t="n">
        <f aca="false">③仙台以降予測!V52</f>
        <v>1254</v>
      </c>
      <c r="BB28" s="38" t="n">
        <f aca="false">③仙台以降予測!X52</f>
        <v>-919</v>
      </c>
      <c r="BC28" s="35" t="n">
        <f aca="false">③仙台以降予測!Y52</f>
        <v>0</v>
      </c>
      <c r="BD28" s="32" t="str">
        <f aca="false">④追加発注判定!J28</f>
        <v>在庫余剰</v>
      </c>
      <c r="BE28" s="32" t="str">
        <f aca="false">④追加発注判定!P28</f>
        <v>在庫で充足</v>
      </c>
      <c r="BF28" s="35" t="n">
        <f aca="false">④追加発注判定!R28</f>
        <v>0</v>
      </c>
      <c r="BG28" s="32" t="str">
        <f aca="false">④追加発注判定!X28</f>
        <v>D:不要</v>
      </c>
    </row>
    <row r="29" customFormat="false" ht="15" hidden="false" customHeight="false" outlineLevel="0" collapsed="false">
      <c r="A29" s="32" t="n">
        <v>23</v>
      </c>
      <c r="B29" s="32" t="s">
        <v>330</v>
      </c>
      <c r="C29" s="33" t="s">
        <v>331</v>
      </c>
      <c r="D29" s="34" t="n">
        <v>600</v>
      </c>
      <c r="E29" s="34" t="n">
        <v>600</v>
      </c>
      <c r="F29" s="35" t="n">
        <v>41156</v>
      </c>
      <c r="G29" s="37" t="n">
        <f aca="false">IFERROR(F29/F$49,0)</f>
        <v>0.27773391368897</v>
      </c>
      <c r="H29" s="34" t="n">
        <f aca="false">F29*E29</f>
        <v>24693600</v>
      </c>
      <c r="I29" s="37" t="n">
        <f aca="false">IFERROR(H29/H$49,0)</f>
        <v>0.241652982496658</v>
      </c>
      <c r="J29" s="35" t="n">
        <v>45125</v>
      </c>
      <c r="K29" s="37" t="n">
        <f aca="false">IFERROR(F29/J29,0)</f>
        <v>0.91204432132964</v>
      </c>
      <c r="L29" s="34" t="n">
        <v>600</v>
      </c>
      <c r="M29" s="35" t="n">
        <v>13583</v>
      </c>
      <c r="N29" s="37" t="n">
        <f aca="false">IFERROR(M29/M$49,0)</f>
        <v>0.23179180887372</v>
      </c>
      <c r="O29" s="34" t="n">
        <f aca="false">M29*L29</f>
        <v>8149800</v>
      </c>
      <c r="P29" s="37" t="n">
        <f aca="false">IFERROR(O29/O$49,0)</f>
        <v>0.196477304506312</v>
      </c>
      <c r="Q29" s="35" t="n">
        <v>16465</v>
      </c>
      <c r="R29" s="37" t="n">
        <f aca="false">IFERROR(M29/Q29,0)</f>
        <v>0.824962040692378</v>
      </c>
      <c r="S29" s="34" t="n">
        <v>600</v>
      </c>
      <c r="T29" s="35" t="n">
        <v>8800</v>
      </c>
      <c r="U29" s="37" t="n">
        <f aca="false">IFERROR(T29/T$49,0)</f>
        <v>0.196117759800316</v>
      </c>
      <c r="V29" s="34" t="n">
        <f aca="false">T29*S29</f>
        <v>5280000</v>
      </c>
      <c r="W29" s="37" t="n">
        <f aca="false">IFERROR(V29/V$49,0)</f>
        <v>0.170175461214176</v>
      </c>
      <c r="X29" s="35" t="n">
        <v>11000</v>
      </c>
      <c r="Y29" s="37" t="n">
        <f aca="false">IFERROR(T29/X29,0)</f>
        <v>0.8</v>
      </c>
      <c r="Z29" s="34" t="n">
        <v>600</v>
      </c>
      <c r="AA29" s="35" t="n">
        <v>12724</v>
      </c>
      <c r="AB29" s="37" t="n">
        <f aca="false">IFERROR(AA29/AA$49,0)</f>
        <v>0.19962347034829</v>
      </c>
      <c r="AC29" s="34" t="n">
        <f aca="false">AA29*Z29</f>
        <v>7634400</v>
      </c>
      <c r="AD29" s="37" t="n">
        <f aca="false">IFERROR(AC29/AC$49,0)</f>
        <v>0.167760989373204</v>
      </c>
      <c r="AE29" s="35" t="n">
        <v>29997</v>
      </c>
      <c r="AF29" s="37" t="n">
        <f aca="false">IFERROR(AA29/AE29,0)</f>
        <v>0.424175750908424</v>
      </c>
      <c r="AG29" s="34" t="n">
        <v>600</v>
      </c>
      <c r="AH29" s="35" t="n">
        <v>2175</v>
      </c>
      <c r="AI29" s="37" t="n">
        <f aca="false">IFERROR(AH29/AH$49,0)</f>
        <v>0.244629400517377</v>
      </c>
      <c r="AJ29" s="34" t="n">
        <f aca="false">AH29*AG29</f>
        <v>1305000</v>
      </c>
      <c r="AK29" s="37" t="n">
        <f aca="false">IFERROR(AJ29/AJ$49,0)</f>
        <v>0.180823056671747</v>
      </c>
      <c r="AL29" s="35" t="n">
        <v>11000</v>
      </c>
      <c r="AM29" s="37" t="n">
        <f aca="false">IFERROR(AH29/AL29,0)</f>
        <v>0.197727272727273</v>
      </c>
      <c r="AN29" s="34" t="n">
        <v>600</v>
      </c>
      <c r="AO29" s="35" t="n">
        <v>1018</v>
      </c>
      <c r="AP29" s="37" t="n">
        <f aca="false">IFERROR(AO29/AO$49,0)</f>
        <v>0.253107906514172</v>
      </c>
      <c r="AQ29" s="34" t="n">
        <f aca="false">AO29*AN29</f>
        <v>610800</v>
      </c>
      <c r="AR29" s="37" t="n">
        <f aca="false">IFERROR(AQ29/AQ$49,0)</f>
        <v>0.180262070593791</v>
      </c>
      <c r="AS29" s="35" t="n">
        <v>9325</v>
      </c>
      <c r="AT29" s="37" t="n">
        <f aca="false">IFERROR(AO29/AS29,0)</f>
        <v>0.10916890080429</v>
      </c>
      <c r="AU29" s="36" t="n">
        <f aca="false">①石川予測確定!O29</f>
        <v>1.26886005424883</v>
      </c>
      <c r="AV29" s="35" t="n">
        <f aca="false">①石川予測確定!P29</f>
        <v>1292</v>
      </c>
      <c r="AW29" s="34" t="n">
        <f aca="false">①石川予測確定!Q29</f>
        <v>775200</v>
      </c>
      <c r="AX29" s="37" t="n">
        <f aca="false">①石川予測確定!T29</f>
        <v>0.138552278820375</v>
      </c>
      <c r="AY29" s="35" t="n">
        <f aca="false">①石川予測確定!U29</f>
        <v>8033</v>
      </c>
      <c r="AZ29" s="35" t="n">
        <f aca="false">③仙台以降予測!M53</f>
        <v>15263</v>
      </c>
      <c r="BA29" s="35" t="n">
        <f aca="false">③仙台以降予測!V53</f>
        <v>48729</v>
      </c>
      <c r="BB29" s="38" t="n">
        <f aca="false">③仙台以降予測!X53</f>
        <v>-33466</v>
      </c>
      <c r="BC29" s="35" t="n">
        <f aca="false">③仙台以降予測!Y53</f>
        <v>0</v>
      </c>
      <c r="BD29" s="32" t="str">
        <f aca="false">④追加発注判定!J29</f>
        <v>在庫余剰</v>
      </c>
      <c r="BE29" s="32" t="str">
        <f aca="false">④追加発注判定!P29</f>
        <v>在庫で充足</v>
      </c>
      <c r="BF29" s="35" t="n">
        <f aca="false">④追加発注判定!R29</f>
        <v>0</v>
      </c>
      <c r="BG29" s="32" t="str">
        <f aca="false">④追加発注判定!X29</f>
        <v>D:不要</v>
      </c>
    </row>
    <row r="30" customFormat="false" ht="15" hidden="false" customHeight="false" outlineLevel="0" collapsed="false">
      <c r="A30" s="32" t="n">
        <v>24</v>
      </c>
      <c r="B30" s="32" t="s">
        <v>332</v>
      </c>
      <c r="C30" s="33" t="s">
        <v>333</v>
      </c>
      <c r="D30" s="34" t="n">
        <v>600</v>
      </c>
      <c r="E30" s="34" t="n">
        <v>600</v>
      </c>
      <c r="F30" s="35" t="n">
        <v>14981</v>
      </c>
      <c r="G30" s="37" t="n">
        <f aca="false">IFERROR(F30/F$49,0)</f>
        <v>0.101096602220198</v>
      </c>
      <c r="H30" s="34" t="n">
        <f aca="false">F30*E30</f>
        <v>8988600</v>
      </c>
      <c r="I30" s="37" t="n">
        <f aca="false">IFERROR(H30/H$49,0)</f>
        <v>0.0879629539017989</v>
      </c>
      <c r="J30" s="35" t="n">
        <v>15000</v>
      </c>
      <c r="K30" s="37" t="n">
        <f aca="false">IFERROR(F30/J30,0)</f>
        <v>0.998733333333333</v>
      </c>
      <c r="L30" s="34" t="n">
        <v>600</v>
      </c>
      <c r="M30" s="35" t="n">
        <v>8213</v>
      </c>
      <c r="N30" s="37" t="n">
        <f aca="false">IFERROR(M30/M$49,0)</f>
        <v>0.140153583617747</v>
      </c>
      <c r="O30" s="34" t="n">
        <f aca="false">M30*L30</f>
        <v>4927800</v>
      </c>
      <c r="P30" s="37" t="n">
        <f aca="false">IFERROR(O30/O$49,0)</f>
        <v>0.118800567025719</v>
      </c>
      <c r="Q30" s="35" t="n">
        <v>11194</v>
      </c>
      <c r="R30" s="37" t="n">
        <f aca="false">IFERROR(M30/Q30,0)</f>
        <v>0.733696623190995</v>
      </c>
      <c r="S30" s="34" t="n">
        <v>600</v>
      </c>
      <c r="T30" s="35" t="n">
        <v>5195</v>
      </c>
      <c r="U30" s="37" t="n">
        <f aca="false">IFERROR(T30/T$49,0)</f>
        <v>0.115776336609391</v>
      </c>
      <c r="V30" s="34" t="n">
        <f aca="false">T30*S30</f>
        <v>3117000</v>
      </c>
      <c r="W30" s="37" t="n">
        <f aca="false">IFERROR(V30/V$49,0)</f>
        <v>0.100461536478141</v>
      </c>
      <c r="X30" s="35" t="n">
        <v>6999</v>
      </c>
      <c r="Y30" s="37" t="n">
        <f aca="false">IFERROR(T30/X30,0)</f>
        <v>0.742248892698957</v>
      </c>
      <c r="Z30" s="34" t="n">
        <v>600</v>
      </c>
      <c r="AA30" s="35" t="n">
        <v>6978</v>
      </c>
      <c r="AB30" s="37" t="n">
        <f aca="false">IFERROR(AA30/AA$49,0)</f>
        <v>0.109475996234703</v>
      </c>
      <c r="AC30" s="34" t="n">
        <f aca="false">AA30*Z30</f>
        <v>4186800</v>
      </c>
      <c r="AD30" s="37" t="n">
        <f aca="false">IFERROR(AC30/AC$49,0)</f>
        <v>0.0920022150146349</v>
      </c>
      <c r="AE30" s="35" t="n">
        <v>19998</v>
      </c>
      <c r="AF30" s="37" t="n">
        <f aca="false">IFERROR(AA30/AE30,0)</f>
        <v>0.348934893489349</v>
      </c>
      <c r="AG30" s="34" t="n">
        <v>600</v>
      </c>
      <c r="AH30" s="35" t="n">
        <v>1216</v>
      </c>
      <c r="AI30" s="37" t="n">
        <f aca="false">IFERROR(AH30/AH$49,0)</f>
        <v>0.136767517714543</v>
      </c>
      <c r="AJ30" s="34" t="n">
        <f aca="false">AH30*AG30</f>
        <v>729600</v>
      </c>
      <c r="AK30" s="37" t="n">
        <f aca="false">IFERROR(AJ30/AJ$49,0)</f>
        <v>0.101094637661078</v>
      </c>
      <c r="AL30" s="35" t="n">
        <v>8000</v>
      </c>
      <c r="AM30" s="37" t="n">
        <f aca="false">IFERROR(AH30/AL30,0)</f>
        <v>0.152</v>
      </c>
      <c r="AN30" s="34" t="n">
        <v>600</v>
      </c>
      <c r="AO30" s="35" t="n">
        <v>668</v>
      </c>
      <c r="AP30" s="37" t="n">
        <f aca="false">IFERROR(AO30/AO$49,0)</f>
        <v>0.166086524117355</v>
      </c>
      <c r="AQ30" s="34" t="n">
        <f aca="false">AO30*AN30</f>
        <v>400800</v>
      </c>
      <c r="AR30" s="37" t="n">
        <f aca="false">IFERROR(AQ30/AQ$49,0)</f>
        <v>0.118285916656829</v>
      </c>
      <c r="AS30" s="35" t="n">
        <v>7284</v>
      </c>
      <c r="AT30" s="37" t="n">
        <f aca="false">IFERROR(AO30/AS30,0)</f>
        <v>0.0917078528281164</v>
      </c>
      <c r="AU30" s="36" t="n">
        <f aca="false">①石川予測確定!O30</f>
        <v>1.29483636769816</v>
      </c>
      <c r="AV30" s="35" t="n">
        <f aca="false">①石川予測確定!P30</f>
        <v>865</v>
      </c>
      <c r="AW30" s="34" t="n">
        <f aca="false">①石川予測確定!Q30</f>
        <v>519000</v>
      </c>
      <c r="AX30" s="37" t="n">
        <f aca="false">①石川予測確定!T30</f>
        <v>0.118753432180121</v>
      </c>
      <c r="AY30" s="35" t="n">
        <f aca="false">①石川予測確定!U30</f>
        <v>6419</v>
      </c>
      <c r="AZ30" s="35" t="n">
        <f aca="false">③仙台以降予測!M54</f>
        <v>9388</v>
      </c>
      <c r="BA30" s="35" t="n">
        <f aca="false">③仙台以降予測!V54</f>
        <v>30130</v>
      </c>
      <c r="BB30" s="38" t="n">
        <f aca="false">③仙台以降予測!X54</f>
        <v>-20742</v>
      </c>
      <c r="BC30" s="35" t="n">
        <f aca="false">③仙台以降予測!Y54</f>
        <v>0</v>
      </c>
      <c r="BD30" s="32" t="str">
        <f aca="false">④追加発注判定!J30</f>
        <v>在庫余剰</v>
      </c>
      <c r="BE30" s="32" t="str">
        <f aca="false">④追加発注判定!P30</f>
        <v>在庫で充足</v>
      </c>
      <c r="BF30" s="35" t="n">
        <f aca="false">④追加発注判定!R30</f>
        <v>0</v>
      </c>
      <c r="BG30" s="32" t="str">
        <f aca="false">④追加発注判定!X30</f>
        <v>D:不要</v>
      </c>
    </row>
    <row r="31" customFormat="false" ht="15" hidden="false" customHeight="false" outlineLevel="0" collapsed="false">
      <c r="A31" s="32" t="n">
        <v>25</v>
      </c>
      <c r="B31" s="32" t="s">
        <v>334</v>
      </c>
      <c r="C31" s="33" t="s">
        <v>335</v>
      </c>
      <c r="D31" s="34" t="n">
        <v>1500</v>
      </c>
      <c r="E31" s="34" t="n">
        <v>1500</v>
      </c>
      <c r="F31" s="35" t="n">
        <v>849</v>
      </c>
      <c r="G31" s="37" t="n">
        <f aca="false">IFERROR(F31/F$49,0)</f>
        <v>0.00572932483044843</v>
      </c>
      <c r="H31" s="34" t="n">
        <f aca="false">F31*E31</f>
        <v>1273500</v>
      </c>
      <c r="I31" s="37" t="n">
        <f aca="false">IFERROR(H31/H$49,0)</f>
        <v>0.0124625438660015</v>
      </c>
      <c r="J31" s="35" t="n">
        <v>1000</v>
      </c>
      <c r="K31" s="37" t="n">
        <f aca="false">IFERROR(F31/J31,0)</f>
        <v>0.849</v>
      </c>
      <c r="L31" s="34" t="n">
        <v>1500</v>
      </c>
      <c r="M31" s="35" t="n">
        <v>221</v>
      </c>
      <c r="N31" s="37" t="n">
        <f aca="false">IFERROR(M31/M$49,0)</f>
        <v>0.00377133105802048</v>
      </c>
      <c r="O31" s="34" t="n">
        <f aca="false">M31*L31</f>
        <v>331500</v>
      </c>
      <c r="P31" s="37" t="n">
        <f aca="false">IFERROR(O31/O$49,0)</f>
        <v>0.00799188034600141</v>
      </c>
      <c r="Q31" s="35" t="n">
        <v>340</v>
      </c>
      <c r="R31" s="37" t="n">
        <f aca="false">IFERROR(M31/Q31,0)</f>
        <v>0.65</v>
      </c>
      <c r="S31" s="34" t="n">
        <v>1500</v>
      </c>
      <c r="T31" s="35" t="n">
        <v>168</v>
      </c>
      <c r="U31" s="37" t="n">
        <f aca="false">IFERROR(T31/T$49,0)</f>
        <v>0.00374406632346059</v>
      </c>
      <c r="V31" s="34" t="n">
        <f aca="false">T31*S31</f>
        <v>252000</v>
      </c>
      <c r="W31" s="37" t="n">
        <f aca="false">IFERROR(V31/V$49,0)</f>
        <v>0.00812201064885841</v>
      </c>
      <c r="X31" s="35" t="n">
        <v>170</v>
      </c>
      <c r="Y31" s="37" t="n">
        <f aca="false">IFERROR(T31/X31,0)</f>
        <v>0.988235294117647</v>
      </c>
      <c r="Z31" s="34" t="n">
        <v>1500</v>
      </c>
      <c r="AA31" s="35" t="n">
        <v>243</v>
      </c>
      <c r="AB31" s="37" t="n">
        <f aca="false">IFERROR(AA31/AA$49,0)</f>
        <v>0.00381236272356448</v>
      </c>
      <c r="AC31" s="34" t="n">
        <f aca="false">AA31*Z31</f>
        <v>364500</v>
      </c>
      <c r="AD31" s="37" t="n">
        <f aca="false">IFERROR(AC31/AC$49,0)</f>
        <v>0.008009651135195</v>
      </c>
      <c r="AE31" s="35" t="n">
        <v>500</v>
      </c>
      <c r="AF31" s="37" t="n">
        <f aca="false">IFERROR(AA31/AE31,0)</f>
        <v>0.486</v>
      </c>
      <c r="AG31" s="34" t="n">
        <v>1500</v>
      </c>
      <c r="AH31" s="35" t="n">
        <v>54</v>
      </c>
      <c r="AI31" s="37" t="n">
        <f aca="false">IFERROR(AH31/AH$49,0)</f>
        <v>0.0060735575300866</v>
      </c>
      <c r="AJ31" s="34" t="n">
        <f aca="false">AH31*AG31</f>
        <v>81000</v>
      </c>
      <c r="AK31" s="37" t="n">
        <f aca="false">IFERROR(AJ31/AJ$49,0)</f>
        <v>0.0112235000692809</v>
      </c>
      <c r="AL31" s="35" t="n">
        <v>200</v>
      </c>
      <c r="AM31" s="37" t="n">
        <f aca="false">IFERROR(AH31/AL31,0)</f>
        <v>0.27</v>
      </c>
      <c r="AN31" s="34" t="n">
        <v>1500</v>
      </c>
      <c r="AO31" s="35" t="n">
        <v>43</v>
      </c>
      <c r="AP31" s="37" t="n">
        <f aca="false">IFERROR(AO31/AO$49,0)</f>
        <v>0.0106911984087519</v>
      </c>
      <c r="AQ31" s="34" t="n">
        <f aca="false">AO31*AN31</f>
        <v>64500</v>
      </c>
      <c r="AR31" s="37" t="n">
        <f aca="false">IFERROR(AQ31/AQ$49,0)</f>
        <v>0.0190355329949239</v>
      </c>
      <c r="AS31" s="35" t="n">
        <v>176</v>
      </c>
      <c r="AT31" s="37" t="n">
        <f aca="false">IFERROR(AO31/AS31,0)</f>
        <v>0.244318181818182</v>
      </c>
      <c r="AU31" s="36" t="n">
        <f aca="false">①石川予測確定!O31</f>
        <v>1.35715755795461</v>
      </c>
      <c r="AV31" s="35" t="n">
        <f aca="false">①石川予測確定!P31</f>
        <v>58</v>
      </c>
      <c r="AW31" s="34" t="n">
        <f aca="false">①石川予測確定!Q31</f>
        <v>87000</v>
      </c>
      <c r="AX31" s="37" t="n">
        <f aca="false">①石川予測確定!T31</f>
        <v>0.329545454545455</v>
      </c>
      <c r="AY31" s="35" t="n">
        <f aca="false">①石川予測確定!U31</f>
        <v>118</v>
      </c>
      <c r="AZ31" s="35" t="n">
        <f aca="false">③仙台以降予測!M55</f>
        <v>534</v>
      </c>
      <c r="BA31" s="35" t="n">
        <f aca="false">③仙台以降予測!V55</f>
        <v>3393</v>
      </c>
      <c r="BB31" s="38" t="n">
        <f aca="false">③仙台以降予測!X55</f>
        <v>-2859</v>
      </c>
      <c r="BC31" s="35" t="n">
        <f aca="false">③仙台以降予測!Y55</f>
        <v>0</v>
      </c>
      <c r="BD31" s="32" t="str">
        <f aca="false">④追加発注判定!J31</f>
        <v>在庫余剰</v>
      </c>
      <c r="BE31" s="32" t="str">
        <f aca="false">④追加発注判定!P31</f>
        <v>在庫で充足</v>
      </c>
      <c r="BF31" s="35" t="n">
        <f aca="false">④追加発注判定!R31</f>
        <v>0</v>
      </c>
      <c r="BG31" s="32" t="str">
        <f aca="false">④追加発注判定!X31</f>
        <v>D:不要</v>
      </c>
    </row>
    <row r="32" customFormat="false" ht="15" hidden="false" customHeight="false" outlineLevel="0" collapsed="false">
      <c r="A32" s="32" t="n">
        <v>26</v>
      </c>
      <c r="B32" s="32" t="s">
        <v>336</v>
      </c>
      <c r="C32" s="33" t="s">
        <v>337</v>
      </c>
      <c r="D32" s="34" t="n">
        <v>2200</v>
      </c>
      <c r="E32" s="34" t="n">
        <v>2200</v>
      </c>
      <c r="F32" s="35" t="n">
        <v>1283</v>
      </c>
      <c r="G32" s="37" t="n">
        <f aca="false">IFERROR(F32/F$49,0)</f>
        <v>0.00865809629854574</v>
      </c>
      <c r="H32" s="34" t="n">
        <f aca="false">F32*E32</f>
        <v>2822600</v>
      </c>
      <c r="I32" s="37" t="n">
        <f aca="false">IFERROR(H32/H$49,0)</f>
        <v>0.027622125101041</v>
      </c>
      <c r="J32" s="35" t="n">
        <v>1293</v>
      </c>
      <c r="K32" s="37" t="n">
        <f aca="false">IFERROR(F32/J32,0)</f>
        <v>0.992266047950503</v>
      </c>
      <c r="L32" s="34" t="n">
        <v>2200</v>
      </c>
      <c r="M32" s="35" t="n">
        <v>513</v>
      </c>
      <c r="N32" s="37" t="n">
        <f aca="false">IFERROR(M32/M$49,0)</f>
        <v>0.0087542662116041</v>
      </c>
      <c r="O32" s="34" t="n">
        <f aca="false">M32*L32</f>
        <v>1128600</v>
      </c>
      <c r="P32" s="37" t="n">
        <f aca="false">IFERROR(O32/O$49,0)</f>
        <v>0.0272085555309116</v>
      </c>
      <c r="Q32" s="35" t="n">
        <v>515</v>
      </c>
      <c r="R32" s="37" t="n">
        <f aca="false">IFERROR(M32/Q32,0)</f>
        <v>0.996116504854369</v>
      </c>
      <c r="S32" s="34" t="n">
        <v>2200</v>
      </c>
      <c r="T32" s="35" t="n">
        <v>444</v>
      </c>
      <c r="U32" s="37" t="n">
        <f aca="false">IFERROR(T32/T$49,0)</f>
        <v>0.0098950324262887</v>
      </c>
      <c r="V32" s="34" t="n">
        <f aca="false">T32*S32</f>
        <v>976800</v>
      </c>
      <c r="W32" s="37" t="n">
        <f aca="false">IFERROR(V32/V$49,0)</f>
        <v>0.0314824603246226</v>
      </c>
      <c r="X32" s="35" t="n">
        <v>500</v>
      </c>
      <c r="Y32" s="37" t="n">
        <f aca="false">IFERROR(T32/X32,0)</f>
        <v>0.888</v>
      </c>
      <c r="Z32" s="34" t="n">
        <v>2200</v>
      </c>
      <c r="AA32" s="35" t="n">
        <v>842</v>
      </c>
      <c r="AB32" s="37" t="n">
        <f aca="false">IFERROR(AA32/AA$49,0)</f>
        <v>0.0132099152808284</v>
      </c>
      <c r="AC32" s="34" t="n">
        <f aca="false">AA32*Z32</f>
        <v>1852400</v>
      </c>
      <c r="AD32" s="37" t="n">
        <f aca="false">IFERROR(AC32/AC$49,0)</f>
        <v>0.0407052887869279</v>
      </c>
      <c r="AE32" s="35" t="n">
        <v>900</v>
      </c>
      <c r="AF32" s="37" t="n">
        <f aca="false">IFERROR(AA32/AE32,0)</f>
        <v>0.935555555555556</v>
      </c>
      <c r="AG32" s="34" t="n">
        <v>2200</v>
      </c>
      <c r="AH32" s="35" t="n">
        <v>200</v>
      </c>
      <c r="AI32" s="37" t="n">
        <f aca="false">IFERROR(AH32/AH$49,0)</f>
        <v>0.0224946575188393</v>
      </c>
      <c r="AJ32" s="34" t="n">
        <f aca="false">AH32*AG32</f>
        <v>440000</v>
      </c>
      <c r="AK32" s="37" t="n">
        <f aca="false">IFERROR(AJ32/AJ$49,0)</f>
        <v>0.0609671608701677</v>
      </c>
      <c r="AL32" s="35" t="n">
        <v>200</v>
      </c>
      <c r="AM32" s="37" t="n">
        <f aca="false">IFERROR(AH32/AL32,0)</f>
        <v>1</v>
      </c>
      <c r="AN32" s="34" t="n">
        <v>2200</v>
      </c>
      <c r="AO32" s="35" t="n">
        <v>50</v>
      </c>
      <c r="AP32" s="37" t="n">
        <f aca="false">IFERROR(AO32/AO$49,0)</f>
        <v>0.0124316260566882</v>
      </c>
      <c r="AQ32" s="34" t="n">
        <f aca="false">AO32*AN32</f>
        <v>110000</v>
      </c>
      <c r="AR32" s="37" t="n">
        <f aca="false">IFERROR(AQ32/AQ$49,0)</f>
        <v>0.0324636996812655</v>
      </c>
      <c r="AS32" s="35" t="n">
        <v>50</v>
      </c>
      <c r="AT32" s="37" t="n">
        <f aca="false">IFERROR(AO32/AS32,0)</f>
        <v>1</v>
      </c>
      <c r="AU32" s="36" t="n">
        <f aca="false">①石川予測確定!O32</f>
        <v>1.3903946574879</v>
      </c>
      <c r="AV32" s="35" t="n">
        <f aca="false">①石川予測確定!P32</f>
        <v>70</v>
      </c>
      <c r="AW32" s="34" t="n">
        <f aca="false">①石川予測確定!Q32</f>
        <v>154000</v>
      </c>
      <c r="AX32" s="37" t="n">
        <f aca="false">①石川予測確定!T32</f>
        <v>1.4</v>
      </c>
      <c r="AY32" s="35" t="n">
        <f aca="false">①石川予測確定!U32</f>
        <v>0</v>
      </c>
      <c r="AZ32" s="35" t="n">
        <f aca="false">③仙台以降予測!M56</f>
        <v>1112</v>
      </c>
      <c r="BA32" s="35" t="n">
        <f aca="false">③仙台以降予測!V56</f>
        <v>229</v>
      </c>
      <c r="BB32" s="38" t="n">
        <f aca="false">③仙台以降予測!X56</f>
        <v>883</v>
      </c>
      <c r="BC32" s="35" t="n">
        <f aca="false">③仙台以降予測!Y56</f>
        <v>883</v>
      </c>
      <c r="BD32" s="32" t="str">
        <f aca="false">④追加発注判定!J32</f>
        <v>要 追加発注</v>
      </c>
      <c r="BE32" s="32" t="str">
        <f aca="false">④追加発注判定!P32</f>
        <v>要 追加生産</v>
      </c>
      <c r="BF32" s="35" t="n">
        <f aca="false">④追加発注判定!R32</f>
        <v>994</v>
      </c>
      <c r="BG32" s="32" t="str">
        <f aca="false">④追加発注判定!X32</f>
        <v>A:会期中欠品</v>
      </c>
    </row>
    <row r="33" customFormat="false" ht="15" hidden="false" customHeight="false" outlineLevel="0" collapsed="false">
      <c r="A33" s="32" t="n">
        <v>27</v>
      </c>
      <c r="B33" s="32" t="s">
        <v>338</v>
      </c>
      <c r="C33" s="33" t="s">
        <v>339</v>
      </c>
      <c r="D33" s="34" t="n">
        <v>1100</v>
      </c>
      <c r="E33" s="34" t="n">
        <v>1100</v>
      </c>
      <c r="F33" s="35" t="n">
        <v>466</v>
      </c>
      <c r="G33" s="37" t="n">
        <f aca="false">IFERROR(F33/F$49,0)</f>
        <v>0.00314471775145932</v>
      </c>
      <c r="H33" s="34" t="n">
        <f aca="false">F33*E33</f>
        <v>512600</v>
      </c>
      <c r="I33" s="37" t="n">
        <f aca="false">IFERROR(H33/H$49,0)</f>
        <v>0.00501633292949537</v>
      </c>
      <c r="J33" s="35" t="n">
        <v>795</v>
      </c>
      <c r="K33" s="37" t="n">
        <f aca="false">IFERROR(F33/J33,0)</f>
        <v>0.586163522012579</v>
      </c>
      <c r="L33" s="34" t="n">
        <v>1100</v>
      </c>
      <c r="M33" s="35" t="n">
        <v>103</v>
      </c>
      <c r="N33" s="37" t="n">
        <f aca="false">IFERROR(M33/M$49,0)</f>
        <v>0.00175767918088737</v>
      </c>
      <c r="O33" s="34" t="n">
        <f aca="false">M33*L33</f>
        <v>113300</v>
      </c>
      <c r="P33" s="37" t="n">
        <f aca="false">IFERROR(O33/O$49,0)</f>
        <v>0.00273146317707982</v>
      </c>
      <c r="Q33" s="35" t="n">
        <v>185</v>
      </c>
      <c r="R33" s="37" t="n">
        <f aca="false">IFERROR(M33/Q33,0)</f>
        <v>0.556756756756757</v>
      </c>
      <c r="S33" s="34" t="n">
        <v>1100</v>
      </c>
      <c r="T33" s="35" t="n">
        <v>69</v>
      </c>
      <c r="U33" s="37" t="n">
        <f aca="false">IFERROR(T33/T$49,0)</f>
        <v>0.00153774152570703</v>
      </c>
      <c r="V33" s="34" t="n">
        <f aca="false">T33*S33</f>
        <v>75900</v>
      </c>
      <c r="W33" s="37" t="n">
        <f aca="false">IFERROR(V33/V$49,0)</f>
        <v>0.00244627225495378</v>
      </c>
      <c r="X33" s="35" t="n">
        <v>70</v>
      </c>
      <c r="Y33" s="37" t="n">
        <f aca="false">IFERROR(T33/X33,0)</f>
        <v>0.985714285714286</v>
      </c>
      <c r="Z33" s="34" t="n">
        <v>1100</v>
      </c>
      <c r="AA33" s="35" t="n">
        <v>145</v>
      </c>
      <c r="AB33" s="37" t="n">
        <f aca="false">IFERROR(AA33/AA$49,0)</f>
        <v>0.00227486664574835</v>
      </c>
      <c r="AC33" s="34" t="n">
        <f aca="false">AA33*Z33</f>
        <v>159500</v>
      </c>
      <c r="AD33" s="37" t="n">
        <f aca="false">IFERROR(AC33/AC$49,0)</f>
        <v>0.00350490907013334</v>
      </c>
      <c r="AE33" s="35" t="n">
        <v>300</v>
      </c>
      <c r="AF33" s="37" t="n">
        <f aca="false">IFERROR(AA33/AE33,0)</f>
        <v>0.483333333333333</v>
      </c>
      <c r="AG33" s="34" t="n">
        <v>1100</v>
      </c>
      <c r="AH33" s="35" t="n">
        <v>50</v>
      </c>
      <c r="AI33" s="37" t="n">
        <f aca="false">IFERROR(AH33/AH$49,0)</f>
        <v>0.00562366437970982</v>
      </c>
      <c r="AJ33" s="34" t="n">
        <f aca="false">AH33*AG33</f>
        <v>55000</v>
      </c>
      <c r="AK33" s="37" t="n">
        <f aca="false">IFERROR(AJ33/AJ$49,0)</f>
        <v>0.00762089510877096</v>
      </c>
      <c r="AL33" s="35" t="n">
        <v>70</v>
      </c>
      <c r="AM33" s="37" t="n">
        <f aca="false">IFERROR(AH33/AL33,0)</f>
        <v>0.714285714285714</v>
      </c>
      <c r="AN33" s="34" t="n">
        <v>1100</v>
      </c>
      <c r="AO33" s="35" t="n">
        <v>13</v>
      </c>
      <c r="AP33" s="37" t="n">
        <f aca="false">IFERROR(AO33/AO$49,0)</f>
        <v>0.00323222277473894</v>
      </c>
      <c r="AQ33" s="34" t="n">
        <f aca="false">AO33*AN33</f>
        <v>14300</v>
      </c>
      <c r="AR33" s="37" t="n">
        <f aca="false">IFERROR(AQ33/AQ$49,0)</f>
        <v>0.00422028095856451</v>
      </c>
      <c r="AS33" s="35" t="n">
        <v>70</v>
      </c>
      <c r="AT33" s="37" t="n">
        <f aca="false">IFERROR(AO33/AS33,0)</f>
        <v>0.185714285714286</v>
      </c>
      <c r="AU33" s="36" t="n">
        <f aca="false">①石川予測確定!O33</f>
        <v>1.36665090703221</v>
      </c>
      <c r="AV33" s="35" t="n">
        <f aca="false">①石川予測確定!P33</f>
        <v>18</v>
      </c>
      <c r="AW33" s="34" t="n">
        <f aca="false">①石川予測確定!Q33</f>
        <v>19800</v>
      </c>
      <c r="AX33" s="37" t="n">
        <f aca="false">①石川予測確定!T33</f>
        <v>0.257142857142857</v>
      </c>
      <c r="AY33" s="35" t="n">
        <f aca="false">①石川予測確定!U33</f>
        <v>52</v>
      </c>
      <c r="AZ33" s="35" t="n">
        <f aca="false">③仙台以降予測!M57</f>
        <v>280</v>
      </c>
      <c r="BA33" s="35" t="n">
        <f aca="false">③仙台以降予測!V57</f>
        <v>1131</v>
      </c>
      <c r="BB33" s="38" t="n">
        <f aca="false">③仙台以降予測!X57</f>
        <v>-851</v>
      </c>
      <c r="BC33" s="35" t="n">
        <f aca="false">③仙台以降予測!Y57</f>
        <v>0</v>
      </c>
      <c r="BD33" s="32" t="str">
        <f aca="false">④追加発注判定!J33</f>
        <v>在庫余剰</v>
      </c>
      <c r="BE33" s="32" t="str">
        <f aca="false">④追加発注判定!P33</f>
        <v>在庫で充足</v>
      </c>
      <c r="BF33" s="35" t="n">
        <f aca="false">④追加発注判定!R33</f>
        <v>0</v>
      </c>
      <c r="BG33" s="32" t="str">
        <f aca="false">④追加発注判定!X33</f>
        <v>D:不要</v>
      </c>
    </row>
    <row r="34" customFormat="false" ht="15" hidden="false" customHeight="false" outlineLevel="0" collapsed="false">
      <c r="A34" s="32" t="n">
        <v>28</v>
      </c>
      <c r="B34" s="32" t="s">
        <v>340</v>
      </c>
      <c r="C34" s="33" t="s">
        <v>341</v>
      </c>
      <c r="D34" s="34" t="n">
        <v>1800</v>
      </c>
      <c r="E34" s="34" t="n">
        <v>1800</v>
      </c>
      <c r="F34" s="35" t="n">
        <v>1034</v>
      </c>
      <c r="G34" s="37" t="n">
        <f aca="false">IFERROR(F34/F$49,0)</f>
        <v>0.00697776428113507</v>
      </c>
      <c r="H34" s="34" t="n">
        <f aca="false">F34*E34</f>
        <v>1861200</v>
      </c>
      <c r="I34" s="37" t="n">
        <f aca="false">IFERROR(H34/H$49,0)</f>
        <v>0.0182138096925025</v>
      </c>
      <c r="J34" s="35" t="n">
        <v>1047</v>
      </c>
      <c r="K34" s="37" t="n">
        <f aca="false">IFERROR(F34/J34,0)</f>
        <v>0.987583572110793</v>
      </c>
      <c r="L34" s="34" t="n">
        <v>1800</v>
      </c>
      <c r="M34" s="35" t="n">
        <v>436</v>
      </c>
      <c r="N34" s="37" t="n">
        <f aca="false">IFERROR(M34/M$49,0)</f>
        <v>0.00744027303754266</v>
      </c>
      <c r="O34" s="34" t="n">
        <f aca="false">M34*L34</f>
        <v>784800</v>
      </c>
      <c r="P34" s="37" t="n">
        <f aca="false">IFERROR(O34/O$49,0)</f>
        <v>0.0189201438779545</v>
      </c>
      <c r="Q34" s="35" t="n">
        <v>437</v>
      </c>
      <c r="R34" s="37" t="n">
        <f aca="false">IFERROR(M34/Q34,0)</f>
        <v>0.997711670480549</v>
      </c>
      <c r="S34" s="34" t="n">
        <v>1800</v>
      </c>
      <c r="T34" s="35" t="n">
        <v>333</v>
      </c>
      <c r="U34" s="37" t="n">
        <f aca="false">IFERROR(T34/T$49,0)</f>
        <v>0.00742127431971652</v>
      </c>
      <c r="V34" s="34" t="n">
        <f aca="false">T34*S34</f>
        <v>599400</v>
      </c>
      <c r="W34" s="37" t="n">
        <f aca="false">IFERROR(V34/V$49,0)</f>
        <v>0.0193187824719275</v>
      </c>
      <c r="X34" s="35" t="n">
        <v>333</v>
      </c>
      <c r="Y34" s="37" t="n">
        <f aca="false">IFERROR(T34/X34,0)</f>
        <v>1</v>
      </c>
      <c r="Z34" s="34" t="n">
        <v>1800</v>
      </c>
      <c r="AA34" s="35" t="n">
        <v>400</v>
      </c>
      <c r="AB34" s="37" t="n">
        <f aca="false">IFERROR(AA34/AA$49,0)</f>
        <v>0.00627549419516787</v>
      </c>
      <c r="AC34" s="34" t="n">
        <f aca="false">AA34*Z34</f>
        <v>720000</v>
      </c>
      <c r="AD34" s="37" t="n">
        <f aca="false">IFERROR(AC34/AC$49,0)</f>
        <v>0.015821533106558</v>
      </c>
      <c r="AE34" s="35" t="n">
        <v>400</v>
      </c>
      <c r="AF34" s="37" t="n">
        <f aca="false">IFERROR(AA34/AE34,0)</f>
        <v>1</v>
      </c>
      <c r="AG34" s="34" t="n">
        <v>1800</v>
      </c>
      <c r="AH34" s="35" t="n">
        <v>300</v>
      </c>
      <c r="AI34" s="37" t="n">
        <f aca="false">IFERROR(AH34/AH$49,0)</f>
        <v>0.0337419862782589</v>
      </c>
      <c r="AJ34" s="34" t="n">
        <f aca="false">AH34*AG34</f>
        <v>540000</v>
      </c>
      <c r="AK34" s="37" t="n">
        <f aca="false">IFERROR(AJ34/AJ$49,0)</f>
        <v>0.0748233337952058</v>
      </c>
      <c r="AL34" s="35" t="n">
        <v>300</v>
      </c>
      <c r="AM34" s="37" t="n">
        <f aca="false">IFERROR(AH34/AL34,0)</f>
        <v>1</v>
      </c>
      <c r="AN34" s="34" t="n">
        <v>1800</v>
      </c>
      <c r="AO34" s="35" t="n">
        <v>80</v>
      </c>
      <c r="AP34" s="37" t="n">
        <f aca="false">IFERROR(AO34/AO$49,0)</f>
        <v>0.0198906016907011</v>
      </c>
      <c r="AQ34" s="34" t="n">
        <f aca="false">AO34*AN34</f>
        <v>144000</v>
      </c>
      <c r="AR34" s="37" t="n">
        <f aca="false">IFERROR(AQ34/AQ$49,0)</f>
        <v>0.0424979341282021</v>
      </c>
      <c r="AS34" s="35" t="n">
        <v>80</v>
      </c>
      <c r="AT34" s="37" t="n">
        <f aca="false">IFERROR(AO34/AS34,0)</f>
        <v>1</v>
      </c>
      <c r="AU34" s="36" t="n">
        <f aca="false">①石川予測確定!O34</f>
        <v>1.15079673532841</v>
      </c>
      <c r="AV34" s="35" t="n">
        <f aca="false">①石川予測確定!P34</f>
        <v>92</v>
      </c>
      <c r="AW34" s="34" t="n">
        <f aca="false">①石川予測確定!Q34</f>
        <v>165600</v>
      </c>
      <c r="AX34" s="37" t="n">
        <f aca="false">①石川予測確定!T34</f>
        <v>1.15</v>
      </c>
      <c r="AY34" s="35" t="n">
        <f aca="false">①石川予測確定!U34</f>
        <v>0</v>
      </c>
      <c r="AZ34" s="35" t="n">
        <f aca="false">③仙台以降予測!M58</f>
        <v>1589</v>
      </c>
      <c r="BA34" s="35" t="n">
        <f aca="false">③仙台以降予測!V58</f>
        <v>68</v>
      </c>
      <c r="BB34" s="38" t="n">
        <f aca="false">③仙台以降予測!X58</f>
        <v>321</v>
      </c>
      <c r="BC34" s="35" t="n">
        <f aca="false">③仙台以降予測!Y58</f>
        <v>321</v>
      </c>
      <c r="BD34" s="32" t="str">
        <f aca="false">④追加発注判定!J34</f>
        <v>要 追加発注</v>
      </c>
      <c r="BE34" s="32" t="str">
        <f aca="false">④追加発注判定!P34</f>
        <v>要 追加生産</v>
      </c>
      <c r="BF34" s="35" t="n">
        <f aca="false">④追加発注判定!R34</f>
        <v>368</v>
      </c>
      <c r="BG34" s="32" t="str">
        <f aca="false">④追加発注判定!X34</f>
        <v>A:会期中欠品</v>
      </c>
    </row>
    <row r="35" customFormat="false" ht="15" hidden="false" customHeight="false" outlineLevel="0" collapsed="false">
      <c r="A35" s="32" t="n">
        <v>29</v>
      </c>
      <c r="B35" s="32" t="s">
        <v>342</v>
      </c>
      <c r="C35" s="33" t="s">
        <v>343</v>
      </c>
      <c r="D35" s="34" t="n">
        <v>1500</v>
      </c>
      <c r="E35" s="34" t="n">
        <v>1500</v>
      </c>
      <c r="F35" s="35" t="n">
        <v>794</v>
      </c>
      <c r="G35" s="37" t="n">
        <f aca="false">IFERROR(F35/F$49,0)</f>
        <v>0.00535816715591997</v>
      </c>
      <c r="H35" s="34" t="n">
        <f aca="false">F35*E35</f>
        <v>1191000</v>
      </c>
      <c r="I35" s="37" t="n">
        <f aca="false">IFERROR(H35/H$49,0)</f>
        <v>0.0116551941455891</v>
      </c>
      <c r="J35" s="35" t="n">
        <v>795</v>
      </c>
      <c r="K35" s="37" t="n">
        <f aca="false">IFERROR(F35/J35,0)</f>
        <v>0.99874213836478</v>
      </c>
      <c r="L35" s="34" t="n">
        <v>1500</v>
      </c>
      <c r="M35" s="35" t="n">
        <v>318</v>
      </c>
      <c r="N35" s="37" t="n">
        <f aca="false">IFERROR(M35/M$49,0)</f>
        <v>0.00542662116040956</v>
      </c>
      <c r="O35" s="34" t="n">
        <f aca="false">M35*L35</f>
        <v>477000</v>
      </c>
      <c r="P35" s="37" t="n">
        <f aca="false">IFERROR(O35/O$49,0)</f>
        <v>0.0114996287331604</v>
      </c>
      <c r="Q35" s="35" t="n">
        <v>319</v>
      </c>
      <c r="R35" s="37" t="n">
        <f aca="false">IFERROR(M35/Q35,0)</f>
        <v>0.996865203761756</v>
      </c>
      <c r="S35" s="34" t="n">
        <v>1500</v>
      </c>
      <c r="T35" s="35" t="n">
        <v>249</v>
      </c>
      <c r="U35" s="37" t="n">
        <f aca="false">IFERROR(T35/T$49,0)</f>
        <v>0.00554924115798623</v>
      </c>
      <c r="V35" s="34" t="n">
        <f aca="false">T35*S35</f>
        <v>373500</v>
      </c>
      <c r="W35" s="37" t="n">
        <f aca="false">IFERROR(V35/V$49,0)</f>
        <v>0.0120379800688437</v>
      </c>
      <c r="X35" s="35" t="n">
        <v>250</v>
      </c>
      <c r="Y35" s="37" t="n">
        <f aca="false">IFERROR(T35/X35,0)</f>
        <v>0.996</v>
      </c>
      <c r="Z35" s="34" t="n">
        <v>1500</v>
      </c>
      <c r="AA35" s="35" t="n">
        <v>200</v>
      </c>
      <c r="AB35" s="37" t="n">
        <f aca="false">IFERROR(AA35/AA$49,0)</f>
        <v>0.00313774709758393</v>
      </c>
      <c r="AC35" s="34" t="n">
        <f aca="false">AA35*Z35</f>
        <v>300000</v>
      </c>
      <c r="AD35" s="37" t="n">
        <f aca="false">IFERROR(AC35/AC$49,0)</f>
        <v>0.00659230546106584</v>
      </c>
      <c r="AE35" s="35" t="n">
        <v>200</v>
      </c>
      <c r="AF35" s="37" t="n">
        <f aca="false">IFERROR(AA35/AE35,0)</f>
        <v>1</v>
      </c>
      <c r="AG35" s="34" t="n">
        <v>1500</v>
      </c>
      <c r="AH35" s="35" t="n">
        <v>160</v>
      </c>
      <c r="AI35" s="37" t="n">
        <f aca="false">IFERROR(AH35/AH$49,0)</f>
        <v>0.0179957260150714</v>
      </c>
      <c r="AJ35" s="34" t="n">
        <f aca="false">AH35*AG35</f>
        <v>240000</v>
      </c>
      <c r="AK35" s="37" t="n">
        <f aca="false">IFERROR(AJ35/AJ$49,0)</f>
        <v>0.0332548150200915</v>
      </c>
      <c r="AL35" s="35" t="n">
        <v>160</v>
      </c>
      <c r="AM35" s="37" t="n">
        <f aca="false">IFERROR(AH35/AL35,0)</f>
        <v>1</v>
      </c>
      <c r="AN35" s="34" t="n">
        <v>1500</v>
      </c>
      <c r="AO35" s="35" t="n">
        <v>71</v>
      </c>
      <c r="AP35" s="37" t="n">
        <f aca="false">IFERROR(AO35/AO$49,0)</f>
        <v>0.0176529090004973</v>
      </c>
      <c r="AQ35" s="34" t="n">
        <f aca="false">AO35*AN35</f>
        <v>106500</v>
      </c>
      <c r="AR35" s="37" t="n">
        <f aca="false">IFERROR(AQ35/AQ$49,0)</f>
        <v>0.0314307637823161</v>
      </c>
      <c r="AS35" s="35" t="n">
        <v>120</v>
      </c>
      <c r="AT35" s="37" t="n">
        <f aca="false">IFERROR(AO35/AS35,0)</f>
        <v>0.591666666666667</v>
      </c>
      <c r="AU35" s="36" t="n">
        <f aca="false">①石川予測確定!O35</f>
        <v>1.16213105076741</v>
      </c>
      <c r="AV35" s="35" t="n">
        <f aca="false">①石川予測確定!P35</f>
        <v>83</v>
      </c>
      <c r="AW35" s="34" t="n">
        <f aca="false">①石川予測確定!Q35</f>
        <v>124500</v>
      </c>
      <c r="AX35" s="37" t="n">
        <f aca="false">①石川予測確定!T35</f>
        <v>0.691666666666667</v>
      </c>
      <c r="AY35" s="35" t="n">
        <f aca="false">①石川予測確定!U35</f>
        <v>37</v>
      </c>
      <c r="AZ35" s="35" t="n">
        <f aca="false">③仙台以降予測!M59</f>
        <v>1052</v>
      </c>
      <c r="BA35" s="35" t="n">
        <f aca="false">③仙台以降予測!V59</f>
        <v>177</v>
      </c>
      <c r="BB35" s="38" t="n">
        <f aca="false">③仙台以降予測!X59</f>
        <v>875</v>
      </c>
      <c r="BC35" s="35" t="n">
        <f aca="false">③仙台以降予測!Y59</f>
        <v>875</v>
      </c>
      <c r="BD35" s="32" t="str">
        <f aca="false">④追加発注判定!J35</f>
        <v>適正</v>
      </c>
      <c r="BE35" s="32" t="str">
        <f aca="false">④追加発注判定!P35</f>
        <v>要 追加生産</v>
      </c>
      <c r="BF35" s="35" t="n">
        <f aca="false">④追加発注判定!R35</f>
        <v>963</v>
      </c>
      <c r="BG35" s="32" t="str">
        <f aca="false">④追加発注判定!X35</f>
        <v>C:通常</v>
      </c>
    </row>
    <row r="36" customFormat="false" ht="15" hidden="false" customHeight="false" outlineLevel="0" collapsed="false">
      <c r="A36" s="32" t="n">
        <v>30</v>
      </c>
      <c r="B36" s="32" t="s">
        <v>344</v>
      </c>
      <c r="C36" s="33" t="s">
        <v>345</v>
      </c>
      <c r="D36" s="34" t="n">
        <v>3300</v>
      </c>
      <c r="E36" s="34" t="n">
        <v>3300</v>
      </c>
      <c r="F36" s="35" t="n">
        <v>615</v>
      </c>
      <c r="G36" s="37" t="n">
        <f aca="false">IFERROR(F36/F$49,0)</f>
        <v>0.0041502176333637</v>
      </c>
      <c r="H36" s="34" t="n">
        <f aca="false">F36*E36</f>
        <v>2029500</v>
      </c>
      <c r="I36" s="37" t="n">
        <f aca="false">IFERROR(H36/H$49,0)</f>
        <v>0.0198608031221437</v>
      </c>
      <c r="J36" s="35" t="n">
        <v>794</v>
      </c>
      <c r="K36" s="37" t="n">
        <f aca="false">IFERROR(F36/J36,0)</f>
        <v>0.77455919395466</v>
      </c>
      <c r="L36" s="34" t="n">
        <v>3300</v>
      </c>
      <c r="M36" s="35" t="n">
        <v>169</v>
      </c>
      <c r="N36" s="37" t="n">
        <f aca="false">IFERROR(M36/M$49,0)</f>
        <v>0.0028839590443686</v>
      </c>
      <c r="O36" s="34" t="n">
        <f aca="false">M36*L36</f>
        <v>557700</v>
      </c>
      <c r="P36" s="37" t="n">
        <f aca="false">IFERROR(O36/O$49,0)</f>
        <v>0.0134451634056259</v>
      </c>
      <c r="Q36" s="35" t="n">
        <v>250</v>
      </c>
      <c r="R36" s="37" t="n">
        <f aca="false">IFERROR(M36/Q36,0)</f>
        <v>0.676</v>
      </c>
      <c r="S36" s="34" t="n">
        <v>3300</v>
      </c>
      <c r="T36" s="35" t="n">
        <v>89</v>
      </c>
      <c r="U36" s="37" t="n">
        <f aca="false">IFERROR(T36/T$49,0)</f>
        <v>0.00198346370707138</v>
      </c>
      <c r="V36" s="34" t="n">
        <f aca="false">T36*S36</f>
        <v>293700</v>
      </c>
      <c r="W36" s="37" t="n">
        <f aca="false">IFERROR(V36/V$49,0)</f>
        <v>0.00946601003003855</v>
      </c>
      <c r="X36" s="35" t="n">
        <v>90</v>
      </c>
      <c r="Y36" s="37" t="n">
        <f aca="false">IFERROR(T36/X36,0)</f>
        <v>0.988888888888889</v>
      </c>
      <c r="Z36" s="34" t="n">
        <v>3300</v>
      </c>
      <c r="AA36" s="35" t="n">
        <v>205</v>
      </c>
      <c r="AB36" s="37" t="n">
        <f aca="false">IFERROR(AA36/AA$49,0)</f>
        <v>0.00321619077502353</v>
      </c>
      <c r="AC36" s="34" t="n">
        <f aca="false">AA36*Z36</f>
        <v>676500</v>
      </c>
      <c r="AD36" s="37" t="n">
        <f aca="false">IFERROR(AC36/AC$49,0)</f>
        <v>0.0148656488147035</v>
      </c>
      <c r="AE36" s="35" t="n">
        <v>499</v>
      </c>
      <c r="AF36" s="37" t="n">
        <f aca="false">IFERROR(AA36/AE36,0)</f>
        <v>0.410821643286573</v>
      </c>
      <c r="AG36" s="34" t="n">
        <v>3300</v>
      </c>
      <c r="AH36" s="35" t="n">
        <v>72</v>
      </c>
      <c r="AI36" s="37" t="n">
        <f aca="false">IFERROR(AH36/AH$49,0)</f>
        <v>0.00809807670678214</v>
      </c>
      <c r="AJ36" s="34" t="n">
        <f aca="false">AH36*AG36</f>
        <v>237600</v>
      </c>
      <c r="AK36" s="37" t="n">
        <f aca="false">IFERROR(AJ36/AJ$49,0)</f>
        <v>0.0329222668698905</v>
      </c>
      <c r="AL36" s="35" t="n">
        <v>250</v>
      </c>
      <c r="AM36" s="37" t="n">
        <f aca="false">IFERROR(AH36/AL36,0)</f>
        <v>0.288</v>
      </c>
      <c r="AN36" s="34" t="n">
        <v>3300</v>
      </c>
      <c r="AO36" s="35" t="n">
        <v>34</v>
      </c>
      <c r="AP36" s="37" t="n">
        <f aca="false">IFERROR(AO36/AO$49,0)</f>
        <v>0.00845350571854799</v>
      </c>
      <c r="AQ36" s="34" t="n">
        <f aca="false">AO36*AN36</f>
        <v>112200</v>
      </c>
      <c r="AR36" s="37" t="n">
        <f aca="false">IFERROR(AQ36/AQ$49,0)</f>
        <v>0.0331129736748908</v>
      </c>
      <c r="AS36" s="35" t="n">
        <v>278</v>
      </c>
      <c r="AT36" s="37" t="n">
        <f aca="false">IFERROR(AO36/AS36,0)</f>
        <v>0.122302158273381</v>
      </c>
      <c r="AU36" s="36" t="n">
        <f aca="false">①石川予測確定!O36</f>
        <v>1.32536485253877</v>
      </c>
      <c r="AV36" s="35" t="n">
        <f aca="false">①石川予測確定!P36</f>
        <v>45</v>
      </c>
      <c r="AW36" s="34" t="n">
        <f aca="false">①石川予測確定!Q36</f>
        <v>148500</v>
      </c>
      <c r="AX36" s="37" t="n">
        <f aca="false">①石川予測確定!T36</f>
        <v>0.161870503597122</v>
      </c>
      <c r="AY36" s="35" t="n">
        <f aca="false">①石川予測確定!U36</f>
        <v>233</v>
      </c>
      <c r="AZ36" s="35" t="n">
        <f aca="false">③仙台以降予測!M60</f>
        <v>519</v>
      </c>
      <c r="BA36" s="35" t="n">
        <f aca="false">③仙台以降予測!V60</f>
        <v>781</v>
      </c>
      <c r="BB36" s="38" t="n">
        <f aca="false">③仙台以降予測!X60</f>
        <v>-262</v>
      </c>
      <c r="BC36" s="35" t="n">
        <f aca="false">③仙台以降予測!Y60</f>
        <v>0</v>
      </c>
      <c r="BD36" s="32" t="str">
        <f aca="false">④追加発注判定!J36</f>
        <v>在庫余剰</v>
      </c>
      <c r="BE36" s="32" t="str">
        <f aca="false">④追加発注判定!P36</f>
        <v>在庫で充足</v>
      </c>
      <c r="BF36" s="35" t="n">
        <f aca="false">④追加発注判定!R36</f>
        <v>0</v>
      </c>
      <c r="BG36" s="32" t="str">
        <f aca="false">④追加発注判定!X36</f>
        <v>D:不要</v>
      </c>
    </row>
    <row r="37" customFormat="false" ht="15" hidden="false" customHeight="false" outlineLevel="0" collapsed="false">
      <c r="A37" s="32" t="n">
        <v>31</v>
      </c>
      <c r="B37" s="32" t="s">
        <v>346</v>
      </c>
      <c r="C37" s="33" t="s">
        <v>347</v>
      </c>
      <c r="D37" s="34" t="n">
        <v>1300</v>
      </c>
      <c r="E37" s="34" t="n">
        <v>1300</v>
      </c>
      <c r="F37" s="35" t="n">
        <v>1215</v>
      </c>
      <c r="G37" s="37" t="n">
        <f aca="false">IFERROR(F37/F$49,0)</f>
        <v>0.00819921044640146</v>
      </c>
      <c r="H37" s="34" t="n">
        <f aca="false">F37*E37</f>
        <v>1579500</v>
      </c>
      <c r="I37" s="37" t="n">
        <f aca="false">IFERROR(H37/H$49,0)</f>
        <v>0.01545707737444</v>
      </c>
      <c r="J37" s="35" t="n">
        <v>2495</v>
      </c>
      <c r="K37" s="37" t="n">
        <f aca="false">IFERROR(F37/J37,0)</f>
        <v>0.486973947895792</v>
      </c>
      <c r="L37" s="34" t="n">
        <v>1300</v>
      </c>
      <c r="M37" s="35" t="n">
        <v>235</v>
      </c>
      <c r="N37" s="37" t="n">
        <f aca="false">IFERROR(M37/M$49,0)</f>
        <v>0.00401023890784983</v>
      </c>
      <c r="O37" s="34" t="n">
        <f aca="false">M37*L37</f>
        <v>305500</v>
      </c>
      <c r="P37" s="37" t="n">
        <f aca="false">IFERROR(O37/O$49,0)</f>
        <v>0.00736506620121698</v>
      </c>
      <c r="Q37" s="35" t="n">
        <v>485</v>
      </c>
      <c r="R37" s="37" t="n">
        <f aca="false">IFERROR(M37/Q37,0)</f>
        <v>0.484536082474227</v>
      </c>
      <c r="S37" s="34" t="n">
        <v>1300</v>
      </c>
      <c r="T37" s="35" t="n">
        <v>178</v>
      </c>
      <c r="U37" s="37" t="n">
        <f aca="false">IFERROR(T37/T$49,0)</f>
        <v>0.00396692741414277</v>
      </c>
      <c r="V37" s="34" t="n">
        <f aca="false">T37*S37</f>
        <v>231400</v>
      </c>
      <c r="W37" s="37" t="n">
        <f aca="false">IFERROR(V37/V$49,0)</f>
        <v>0.00745806850851522</v>
      </c>
      <c r="X37" s="35" t="n">
        <v>180</v>
      </c>
      <c r="Y37" s="37" t="n">
        <f aca="false">IFERROR(T37/X37,0)</f>
        <v>0.988888888888889</v>
      </c>
      <c r="Z37" s="34" t="n">
        <v>1300</v>
      </c>
      <c r="AA37" s="35" t="n">
        <v>427</v>
      </c>
      <c r="AB37" s="37" t="n">
        <f aca="false">IFERROR(AA37/AA$49,0)</f>
        <v>0.0066990900533417</v>
      </c>
      <c r="AC37" s="34" t="n">
        <f aca="false">AA37*Z37</f>
        <v>555100</v>
      </c>
      <c r="AD37" s="37" t="n">
        <f aca="false">IFERROR(AC37/AC$49,0)</f>
        <v>0.0121979625381255</v>
      </c>
      <c r="AE37" s="35" t="n">
        <v>600</v>
      </c>
      <c r="AF37" s="37" t="n">
        <f aca="false">IFERROR(AA37/AE37,0)</f>
        <v>0.711666666666667</v>
      </c>
      <c r="AG37" s="34" t="n">
        <v>1300</v>
      </c>
      <c r="AH37" s="35" t="n">
        <v>101</v>
      </c>
      <c r="AI37" s="37" t="n">
        <f aca="false">IFERROR(AH37/AH$49,0)</f>
        <v>0.0113598020470138</v>
      </c>
      <c r="AJ37" s="34" t="n">
        <f aca="false">AH37*AG37</f>
        <v>131300</v>
      </c>
      <c r="AK37" s="37" t="n">
        <f aca="false">IFERROR(AJ37/AJ$49,0)</f>
        <v>0.018193155050575</v>
      </c>
      <c r="AL37" s="35" t="n">
        <v>200</v>
      </c>
      <c r="AM37" s="37" t="n">
        <f aca="false">IFERROR(AH37/AL37,0)</f>
        <v>0.505</v>
      </c>
      <c r="AN37" s="34" t="n">
        <v>1300</v>
      </c>
      <c r="AO37" s="35" t="n">
        <v>47</v>
      </c>
      <c r="AP37" s="37" t="n">
        <f aca="false">IFERROR(AO37/AO$49,0)</f>
        <v>0.0116857284932869</v>
      </c>
      <c r="AQ37" s="34" t="n">
        <f aca="false">AO37*AN37</f>
        <v>61100</v>
      </c>
      <c r="AR37" s="37" t="n">
        <f aca="false">IFERROR(AQ37/AQ$49,0)</f>
        <v>0.0180321095502302</v>
      </c>
      <c r="AS37" s="35" t="n">
        <v>249</v>
      </c>
      <c r="AT37" s="37" t="n">
        <f aca="false">IFERROR(AO37/AS37,0)</f>
        <v>0.188755020080321</v>
      </c>
      <c r="AU37" s="36" t="n">
        <f aca="false">①石川予測確定!O37</f>
        <v>1.30160447761194</v>
      </c>
      <c r="AV37" s="35" t="n">
        <f aca="false">①石川予測確定!P37</f>
        <v>61</v>
      </c>
      <c r="AW37" s="34" t="n">
        <f aca="false">①石川予測確定!Q37</f>
        <v>79300</v>
      </c>
      <c r="AX37" s="37" t="n">
        <f aca="false">①石川予測確定!T37</f>
        <v>0.244979919678715</v>
      </c>
      <c r="AY37" s="35" t="n">
        <f aca="false">①石川予測確定!U37</f>
        <v>188</v>
      </c>
      <c r="AZ37" s="35" t="n">
        <f aca="false">③仙台以降予測!M61</f>
        <v>715</v>
      </c>
      <c r="BA37" s="35" t="n">
        <f aca="false">③仙台以降予測!V61</f>
        <v>765</v>
      </c>
      <c r="BB37" s="38" t="n">
        <f aca="false">③仙台以降予測!X61</f>
        <v>-50</v>
      </c>
      <c r="BC37" s="35" t="n">
        <f aca="false">③仙台以降予測!Y61</f>
        <v>0</v>
      </c>
      <c r="BD37" s="32" t="str">
        <f aca="false">④追加発注判定!J37</f>
        <v>在庫余剰</v>
      </c>
      <c r="BE37" s="32" t="str">
        <f aca="false">④追加発注判定!P37</f>
        <v>在庫で充足</v>
      </c>
      <c r="BF37" s="35" t="n">
        <f aca="false">④追加発注判定!R37</f>
        <v>0</v>
      </c>
      <c r="BG37" s="32" t="str">
        <f aca="false">④追加発注判定!X37</f>
        <v>D:不要</v>
      </c>
    </row>
    <row r="38" customFormat="false" ht="15" hidden="false" customHeight="false" outlineLevel="0" collapsed="false">
      <c r="A38" s="32" t="n">
        <v>32</v>
      </c>
      <c r="B38" s="32" t="s">
        <v>348</v>
      </c>
      <c r="C38" s="33" t="s">
        <v>349</v>
      </c>
      <c r="D38" s="34" t="n">
        <v>8800</v>
      </c>
      <c r="E38" s="34" t="n">
        <v>8800</v>
      </c>
      <c r="F38" s="35" t="n">
        <v>47</v>
      </c>
      <c r="G38" s="37" t="n">
        <f aca="false">IFERROR(F38/F$49,0)</f>
        <v>0.000317171103687958</v>
      </c>
      <c r="H38" s="34" t="n">
        <f aca="false">F38*E38</f>
        <v>413600</v>
      </c>
      <c r="I38" s="37" t="n">
        <f aca="false">IFERROR(H38/H$49,0)</f>
        <v>0.00404751326500056</v>
      </c>
      <c r="J38" s="35" t="n">
        <v>47</v>
      </c>
      <c r="K38" s="37" t="n">
        <f aca="false">IFERROR(F38/J38,0)</f>
        <v>1</v>
      </c>
      <c r="L38" s="34" t="n">
        <v>8800</v>
      </c>
      <c r="M38" s="35" t="n">
        <v>36</v>
      </c>
      <c r="N38" s="37" t="n">
        <f aca="false">IFERROR(M38/M$49,0)</f>
        <v>0.000614334470989761</v>
      </c>
      <c r="O38" s="34" t="n">
        <f aca="false">M38*L38</f>
        <v>316800</v>
      </c>
      <c r="P38" s="37" t="n">
        <f aca="false">IFERROR(O38/O$49,0)</f>
        <v>0.00763748927183483</v>
      </c>
      <c r="Q38" s="35" t="n">
        <v>36</v>
      </c>
      <c r="R38" s="37" t="n">
        <f aca="false">IFERROR(M38/Q38,0)</f>
        <v>1</v>
      </c>
      <c r="S38" s="34" t="n">
        <v>8800</v>
      </c>
      <c r="T38" s="35" t="n">
        <v>30</v>
      </c>
      <c r="U38" s="37" t="n">
        <f aca="false">IFERROR(T38/T$49,0)</f>
        <v>0.000668583272046533</v>
      </c>
      <c r="V38" s="34" t="n">
        <f aca="false">T38*S38</f>
        <v>264000</v>
      </c>
      <c r="W38" s="37" t="n">
        <f aca="false">IFERROR(V38/V$49,0)</f>
        <v>0.00850877306070881</v>
      </c>
      <c r="X38" s="35" t="n">
        <v>29</v>
      </c>
      <c r="Y38" s="37" t="n">
        <f aca="false">IFERROR(T38/X38,0)</f>
        <v>1.03448275862069</v>
      </c>
      <c r="Z38" s="34" t="n">
        <v>8800</v>
      </c>
      <c r="AA38" s="35" t="n">
        <v>40</v>
      </c>
      <c r="AB38" s="37" t="n">
        <f aca="false">IFERROR(AA38/AA$49,0)</f>
        <v>0.000627549419516787</v>
      </c>
      <c r="AC38" s="34" t="n">
        <f aca="false">AA38*Z38</f>
        <v>352000</v>
      </c>
      <c r="AD38" s="37" t="n">
        <f aca="false">IFERROR(AC38/AC$49,0)</f>
        <v>0.00773497174098392</v>
      </c>
      <c r="AE38" s="35" t="n">
        <v>40</v>
      </c>
      <c r="AF38" s="37" t="n">
        <f aca="false">IFERROR(AA38/AE38,0)</f>
        <v>1</v>
      </c>
      <c r="AG38" s="34" t="n">
        <v>8800</v>
      </c>
      <c r="AH38" s="35" t="n">
        <v>10</v>
      </c>
      <c r="AI38" s="37" t="n">
        <f aca="false">IFERROR(AH38/AH$49,0)</f>
        <v>0.00112473287594196</v>
      </c>
      <c r="AJ38" s="34" t="n">
        <f aca="false">AH38*AG38</f>
        <v>88000</v>
      </c>
      <c r="AK38" s="37" t="n">
        <f aca="false">IFERROR(AJ38/AJ$49,0)</f>
        <v>0.0121934321740335</v>
      </c>
      <c r="AL38" s="35" t="n">
        <v>10</v>
      </c>
      <c r="AM38" s="37" t="n">
        <f aca="false">IFERROR(AH38/AL38,0)</f>
        <v>1</v>
      </c>
      <c r="AN38" s="34" t="n">
        <v>8800</v>
      </c>
      <c r="AO38" s="35" t="n">
        <v>5</v>
      </c>
      <c r="AP38" s="37" t="n">
        <f aca="false">IFERROR(AO38/AO$49,0)</f>
        <v>0.00124316260566882</v>
      </c>
      <c r="AQ38" s="34" t="n">
        <f aca="false">AO38*AN38</f>
        <v>44000</v>
      </c>
      <c r="AR38" s="37" t="n">
        <f aca="false">IFERROR(AQ38/AQ$49,0)</f>
        <v>0.0129854798725062</v>
      </c>
      <c r="AS38" s="35" t="n">
        <v>5</v>
      </c>
      <c r="AT38" s="37" t="n">
        <f aca="false">IFERROR(AO38/AS38,0)</f>
        <v>1</v>
      </c>
      <c r="AU38" s="36" t="n">
        <f aca="false">①石川予測確定!O38</f>
        <v>1</v>
      </c>
      <c r="AV38" s="35" t="n">
        <f aca="false">①石川予測確定!P38</f>
        <v>5</v>
      </c>
      <c r="AW38" s="34" t="n">
        <f aca="false">①石川予測確定!Q38</f>
        <v>44000</v>
      </c>
      <c r="AX38" s="37" t="n">
        <f aca="false">①石川予測確定!T38</f>
        <v>1</v>
      </c>
      <c r="AY38" s="35" t="n">
        <f aca="false">①石川予測確定!U38</f>
        <v>0</v>
      </c>
      <c r="AZ38" s="35" t="n">
        <f aca="false">③仙台以降予測!M62</f>
        <v>64</v>
      </c>
      <c r="BA38" s="35" t="n">
        <f aca="false">③仙台以降予測!V62</f>
        <v>15</v>
      </c>
      <c r="BB38" s="38" t="n">
        <f aca="false">③仙台以降予測!X62</f>
        <v>49</v>
      </c>
      <c r="BC38" s="35" t="n">
        <f aca="false">③仙台以降予測!Y62</f>
        <v>49</v>
      </c>
      <c r="BD38" s="32" t="str">
        <f aca="false">④追加発注判定!J38</f>
        <v>要注意(90%超)</v>
      </c>
      <c r="BE38" s="32" t="str">
        <f aca="false">④追加発注判定!P38</f>
        <v>要 追加生産</v>
      </c>
      <c r="BF38" s="35" t="n">
        <f aca="false">④追加発注判定!R38</f>
        <v>54</v>
      </c>
      <c r="BG38" s="32" t="str">
        <f aca="false">④追加発注判定!X38</f>
        <v>C:通常</v>
      </c>
    </row>
    <row r="39" customFormat="false" ht="15" hidden="false" customHeight="false" outlineLevel="0" collapsed="false">
      <c r="A39" s="32" t="n">
        <v>33</v>
      </c>
      <c r="B39" s="32" t="s">
        <v>350</v>
      </c>
      <c r="C39" s="33" t="s">
        <v>351</v>
      </c>
      <c r="D39" s="34" t="n">
        <v>27500</v>
      </c>
      <c r="E39" s="34" t="n">
        <v>22000</v>
      </c>
      <c r="F39" s="35" t="n">
        <v>10</v>
      </c>
      <c r="G39" s="37" t="n">
        <f aca="false">IFERROR(F39/F$49,0)</f>
        <v>6.74832135506293E-005</v>
      </c>
      <c r="H39" s="34" t="n">
        <f aca="false">F39*E39</f>
        <v>220000</v>
      </c>
      <c r="I39" s="37" t="n">
        <f aca="false">IFERROR(H39/H$49,0)</f>
        <v>0.00215293258776625</v>
      </c>
      <c r="J39" s="35" t="n">
        <v>10</v>
      </c>
      <c r="K39" s="37" t="n">
        <f aca="false">IFERROR(F39/J39,0)</f>
        <v>1</v>
      </c>
      <c r="L39" s="34" t="n">
        <v>27500</v>
      </c>
      <c r="M39" s="35" t="n">
        <v>37</v>
      </c>
      <c r="N39" s="37" t="n">
        <f aca="false">IFERROR(M39/M$49,0)</f>
        <v>0.000631399317406143</v>
      </c>
      <c r="O39" s="34" t="n">
        <f aca="false">M39*L39</f>
        <v>1017500</v>
      </c>
      <c r="P39" s="37" t="n">
        <f aca="false">IFERROR(O39/O$49,0)</f>
        <v>0.0245301304737751</v>
      </c>
      <c r="Q39" s="35" t="n">
        <v>40</v>
      </c>
      <c r="R39" s="37" t="n">
        <f aca="false">IFERROR(M39/Q39,0)</f>
        <v>0.925</v>
      </c>
      <c r="S39" s="34" t="n">
        <v>27500</v>
      </c>
      <c r="T39" s="35" t="n">
        <v>14</v>
      </c>
      <c r="U39" s="37" t="n">
        <f aca="false">IFERROR(T39/T$49,0)</f>
        <v>0.000312005526955049</v>
      </c>
      <c r="V39" s="34" t="n">
        <f aca="false">T39*S39</f>
        <v>385000</v>
      </c>
      <c r="W39" s="37" t="n">
        <f aca="false">IFERROR(V39/V$49,0)</f>
        <v>0.0124086273802003</v>
      </c>
      <c r="X39" s="35" t="n">
        <v>20</v>
      </c>
      <c r="Y39" s="37" t="n">
        <f aca="false">IFERROR(T39/X39,0)</f>
        <v>0.7</v>
      </c>
      <c r="Z39" s="34" t="n">
        <v>27500</v>
      </c>
      <c r="AA39" s="35" t="n">
        <v>21</v>
      </c>
      <c r="AB39" s="37" t="n">
        <f aca="false">IFERROR(AA39/AA$49,0)</f>
        <v>0.000329463445246313</v>
      </c>
      <c r="AC39" s="34" t="n">
        <f aca="false">AA39*Z39</f>
        <v>577500</v>
      </c>
      <c r="AD39" s="37" t="n">
        <f aca="false">IFERROR(AC39/AC$49,0)</f>
        <v>0.0126901880125518</v>
      </c>
      <c r="AE39" s="35" t="n">
        <v>50</v>
      </c>
      <c r="AF39" s="37" t="n">
        <f aca="false">IFERROR(AA39/AE39,0)</f>
        <v>0.42</v>
      </c>
      <c r="AG39" s="34" t="n">
        <v>27500</v>
      </c>
      <c r="AH39" s="35" t="n">
        <v>3</v>
      </c>
      <c r="AI39" s="37" t="n">
        <f aca="false">IFERROR(AH39/AH$49,0)</f>
        <v>0.000337419862782589</v>
      </c>
      <c r="AJ39" s="34" t="n">
        <f aca="false">AH39*AG39</f>
        <v>82500</v>
      </c>
      <c r="AK39" s="37" t="n">
        <f aca="false">IFERROR(AJ39/AJ$49,0)</f>
        <v>0.0114313426631564</v>
      </c>
      <c r="AL39" s="35" t="n">
        <v>15</v>
      </c>
      <c r="AM39" s="37" t="n">
        <f aca="false">IFERROR(AH39/AL39,0)</f>
        <v>0.2</v>
      </c>
      <c r="AN39" s="34" t="n">
        <v>27500</v>
      </c>
      <c r="AO39" s="35" t="n">
        <v>4</v>
      </c>
      <c r="AP39" s="37" t="n">
        <f aca="false">IFERROR(AO39/AO$49,0)</f>
        <v>0.000994530084535057</v>
      </c>
      <c r="AQ39" s="34" t="n">
        <f aca="false">AO39*AN39</f>
        <v>110000</v>
      </c>
      <c r="AR39" s="37" t="n">
        <f aca="false">IFERROR(AQ39/AQ$49,0)</f>
        <v>0.0324636996812655</v>
      </c>
      <c r="AS39" s="35" t="n">
        <v>21</v>
      </c>
      <c r="AT39" s="37" t="n">
        <f aca="false">IFERROR(AO39/AS39,0)</f>
        <v>0.19047619047619</v>
      </c>
      <c r="AU39" s="36" t="n">
        <f aca="false">①石川予測確定!O39</f>
        <v>1.12990196078431</v>
      </c>
      <c r="AV39" s="35" t="n">
        <f aca="false">①石川予測確定!P39</f>
        <v>5</v>
      </c>
      <c r="AW39" s="34" t="n">
        <f aca="false">①石川予測確定!Q39</f>
        <v>137500</v>
      </c>
      <c r="AX39" s="37" t="n">
        <f aca="false">①石川予測確定!T39</f>
        <v>0.238095238095238</v>
      </c>
      <c r="AY39" s="35" t="n">
        <f aca="false">①石川予測確定!U39</f>
        <v>16</v>
      </c>
      <c r="AZ39" s="35" t="n">
        <f aca="false">③仙台以降予測!M63</f>
        <v>40</v>
      </c>
      <c r="BA39" s="35" t="n">
        <f aca="false">③仙台以降予測!V63</f>
        <v>98</v>
      </c>
      <c r="BB39" s="38" t="n">
        <f aca="false">③仙台以降予測!X63</f>
        <v>-58</v>
      </c>
      <c r="BC39" s="35" t="n">
        <f aca="false">③仙台以降予測!Y63</f>
        <v>0</v>
      </c>
      <c r="BD39" s="32" t="str">
        <f aca="false">④追加発注判定!J39</f>
        <v>在庫余剰</v>
      </c>
      <c r="BE39" s="32" t="str">
        <f aca="false">④追加発注判定!P39</f>
        <v>在庫で充足</v>
      </c>
      <c r="BF39" s="35" t="n">
        <f aca="false">④追加発注判定!R39</f>
        <v>0</v>
      </c>
      <c r="BG39" s="32" t="str">
        <f aca="false">④追加発注判定!X39</f>
        <v>D:不要</v>
      </c>
    </row>
    <row r="40" customFormat="false" ht="15" hidden="false" customHeight="false" outlineLevel="0" collapsed="false">
      <c r="A40" s="32" t="n">
        <v>34</v>
      </c>
      <c r="B40" s="32" t="s">
        <v>352</v>
      </c>
      <c r="C40" s="33" t="s">
        <v>353</v>
      </c>
      <c r="D40" s="34" t="n">
        <v>27500</v>
      </c>
      <c r="E40" s="34" t="n">
        <v>22000</v>
      </c>
      <c r="F40" s="35" t="n">
        <v>10</v>
      </c>
      <c r="G40" s="37" t="n">
        <f aca="false">IFERROR(F40/F$49,0)</f>
        <v>6.74832135506293E-005</v>
      </c>
      <c r="H40" s="34" t="n">
        <f aca="false">F40*E40</f>
        <v>220000</v>
      </c>
      <c r="I40" s="37" t="n">
        <f aca="false">IFERROR(H40/H$49,0)</f>
        <v>0.00215293258776625</v>
      </c>
      <c r="J40" s="35" t="n">
        <v>10</v>
      </c>
      <c r="K40" s="37" t="n">
        <f aca="false">IFERROR(F40/J40,0)</f>
        <v>1</v>
      </c>
      <c r="L40" s="34" t="n">
        <v>27500</v>
      </c>
      <c r="M40" s="35" t="n">
        <v>3</v>
      </c>
      <c r="N40" s="37" t="n">
        <f aca="false">IFERROR(M40/M$49,0)</f>
        <v>5.11945392491468E-005</v>
      </c>
      <c r="O40" s="34" t="n">
        <f aca="false">M40*L40</f>
        <v>82500</v>
      </c>
      <c r="P40" s="37" t="n">
        <f aca="false">IFERROR(O40/O$49,0)</f>
        <v>0.00198892949787365</v>
      </c>
      <c r="Q40" s="35" t="n">
        <v>3</v>
      </c>
      <c r="R40" s="37" t="n">
        <f aca="false">IFERROR(M40/Q40,0)</f>
        <v>1</v>
      </c>
      <c r="S40" s="34" t="n">
        <v>27500</v>
      </c>
      <c r="T40" s="35" t="n">
        <v>3</v>
      </c>
      <c r="U40" s="37" t="n">
        <f aca="false">IFERROR(T40/T$49,0)</f>
        <v>6.68583272046533E-005</v>
      </c>
      <c r="V40" s="34" t="n">
        <f aca="false">T40*S40</f>
        <v>82500</v>
      </c>
      <c r="W40" s="37" t="n">
        <f aca="false">IFERROR(V40/V$49,0)</f>
        <v>0.0026589915814715</v>
      </c>
      <c r="X40" s="35" t="n">
        <v>3</v>
      </c>
      <c r="Y40" s="37" t="n">
        <f aca="false">IFERROR(T40/X40,0)</f>
        <v>1</v>
      </c>
      <c r="Z40" s="34" t="n">
        <v>27500</v>
      </c>
      <c r="AA40" s="35" t="n">
        <v>3</v>
      </c>
      <c r="AB40" s="37" t="n">
        <f aca="false">IFERROR(AA40/AA$49,0)</f>
        <v>4.7066206463759E-005</v>
      </c>
      <c r="AC40" s="34" t="n">
        <f aca="false">AA40*Z40</f>
        <v>82500</v>
      </c>
      <c r="AD40" s="37" t="n">
        <f aca="false">IFERROR(AC40/AC$49,0)</f>
        <v>0.00181288400179311</v>
      </c>
      <c r="AE40" s="35" t="n">
        <v>3</v>
      </c>
      <c r="AF40" s="37" t="n">
        <f aca="false">IFERROR(AA40/AE40,0)</f>
        <v>1</v>
      </c>
      <c r="AG40" s="34" t="n">
        <v>27500</v>
      </c>
      <c r="AH40" s="35" t="n">
        <v>2</v>
      </c>
      <c r="AI40" s="37" t="n">
        <f aca="false">IFERROR(AH40/AH$49,0)</f>
        <v>0.000224946575188393</v>
      </c>
      <c r="AJ40" s="34" t="n">
        <f aca="false">AH40*AG40</f>
        <v>55000</v>
      </c>
      <c r="AK40" s="37" t="n">
        <f aca="false">IFERROR(AJ40/AJ$49,0)</f>
        <v>0.00762089510877096</v>
      </c>
      <c r="AL40" s="35" t="n">
        <v>2</v>
      </c>
      <c r="AM40" s="37" t="n">
        <f aca="false">IFERROR(AH40/AL40,0)</f>
        <v>1</v>
      </c>
      <c r="AN40" s="34" t="n">
        <v>27500</v>
      </c>
      <c r="AO40" s="35" t="n">
        <v>1</v>
      </c>
      <c r="AP40" s="37" t="n">
        <f aca="false">IFERROR(AO40/AO$49,0)</f>
        <v>0.000248632521133764</v>
      </c>
      <c r="AQ40" s="34" t="n">
        <f aca="false">AO40*AN40</f>
        <v>27500</v>
      </c>
      <c r="AR40" s="37" t="n">
        <f aca="false">IFERROR(AQ40/AQ$49,0)</f>
        <v>0.00811592492031637</v>
      </c>
      <c r="AS40" s="35" t="n">
        <v>1</v>
      </c>
      <c r="AT40" s="37" t="n">
        <f aca="false">IFERROR(AO40/AS40,0)</f>
        <v>1</v>
      </c>
      <c r="AU40" s="36" t="n">
        <f aca="false">①石川予測確定!O40</f>
        <v>1</v>
      </c>
      <c r="AV40" s="35" t="n">
        <f aca="false">①石川予測確定!P40</f>
        <v>1</v>
      </c>
      <c r="AW40" s="34" t="n">
        <f aca="false">①石川予測確定!Q40</f>
        <v>27500</v>
      </c>
      <c r="AX40" s="37" t="n">
        <f aca="false">①石川予測確定!T40</f>
        <v>1</v>
      </c>
      <c r="AY40" s="35" t="n">
        <f aca="false">①石川予測確定!U40</f>
        <v>0</v>
      </c>
      <c r="AZ40" s="35" t="n">
        <f aca="false">③仙台以降予測!M64</f>
        <v>13</v>
      </c>
      <c r="BA40" s="35" t="n">
        <f aca="false">③仙台以降予測!V64</f>
        <v>1</v>
      </c>
      <c r="BB40" s="38" t="n">
        <f aca="false">③仙台以降予測!X64</f>
        <v>12</v>
      </c>
      <c r="BC40" s="35" t="n">
        <f aca="false">③仙台以降予測!Y64</f>
        <v>12</v>
      </c>
      <c r="BD40" s="32" t="str">
        <f aca="false">④追加発注判定!J40</f>
        <v>要注意(90%超)</v>
      </c>
      <c r="BE40" s="32" t="str">
        <f aca="false">④追加発注判定!P40</f>
        <v>要 追加生産</v>
      </c>
      <c r="BF40" s="35" t="n">
        <f aca="false">④追加発注判定!R40</f>
        <v>14</v>
      </c>
      <c r="BG40" s="32" t="str">
        <f aca="false">④追加発注判定!X40</f>
        <v>C:通常</v>
      </c>
    </row>
    <row r="41" customFormat="false" ht="15" hidden="false" customHeight="false" outlineLevel="0" collapsed="false">
      <c r="A41" s="32" t="n">
        <v>35</v>
      </c>
      <c r="B41" s="32" t="s">
        <v>354</v>
      </c>
      <c r="C41" s="33" t="s">
        <v>355</v>
      </c>
      <c r="D41" s="34" t="n">
        <v>27500</v>
      </c>
      <c r="E41" s="34" t="n">
        <v>22000</v>
      </c>
      <c r="F41" s="35" t="n">
        <v>10</v>
      </c>
      <c r="G41" s="37" t="n">
        <f aca="false">IFERROR(F41/F$49,0)</f>
        <v>6.74832135506293E-005</v>
      </c>
      <c r="H41" s="34" t="n">
        <f aca="false">F41*E41</f>
        <v>220000</v>
      </c>
      <c r="I41" s="37" t="n">
        <f aca="false">IFERROR(H41/H$49,0)</f>
        <v>0.00215293258776625</v>
      </c>
      <c r="J41" s="35" t="n">
        <v>10</v>
      </c>
      <c r="K41" s="37" t="n">
        <f aca="false">IFERROR(F41/J41,0)</f>
        <v>1</v>
      </c>
      <c r="L41" s="34" t="n">
        <v>27500</v>
      </c>
      <c r="M41" s="35" t="n">
        <v>3</v>
      </c>
      <c r="N41" s="37" t="n">
        <f aca="false">IFERROR(M41/M$49,0)</f>
        <v>5.11945392491468E-005</v>
      </c>
      <c r="O41" s="34" t="n">
        <f aca="false">M41*L41</f>
        <v>82500</v>
      </c>
      <c r="P41" s="37" t="n">
        <f aca="false">IFERROR(O41/O$49,0)</f>
        <v>0.00198892949787365</v>
      </c>
      <c r="Q41" s="35" t="n">
        <v>3</v>
      </c>
      <c r="R41" s="37" t="n">
        <f aca="false">IFERROR(M41/Q41,0)</f>
        <v>1</v>
      </c>
      <c r="S41" s="34" t="n">
        <v>27500</v>
      </c>
      <c r="T41" s="35" t="n">
        <v>3</v>
      </c>
      <c r="U41" s="37" t="n">
        <f aca="false">IFERROR(T41/T$49,0)</f>
        <v>6.68583272046533E-005</v>
      </c>
      <c r="V41" s="34" t="n">
        <f aca="false">T41*S41</f>
        <v>82500</v>
      </c>
      <c r="W41" s="37" t="n">
        <f aca="false">IFERROR(V41/V$49,0)</f>
        <v>0.0026589915814715</v>
      </c>
      <c r="X41" s="35" t="n">
        <v>3</v>
      </c>
      <c r="Y41" s="37" t="n">
        <f aca="false">IFERROR(T41/X41,0)</f>
        <v>1</v>
      </c>
      <c r="Z41" s="34" t="n">
        <v>27500</v>
      </c>
      <c r="AA41" s="35" t="n">
        <v>3</v>
      </c>
      <c r="AB41" s="37" t="n">
        <f aca="false">IFERROR(AA41/AA$49,0)</f>
        <v>4.7066206463759E-005</v>
      </c>
      <c r="AC41" s="34" t="n">
        <f aca="false">AA41*Z41</f>
        <v>82500</v>
      </c>
      <c r="AD41" s="37" t="n">
        <f aca="false">IFERROR(AC41/AC$49,0)</f>
        <v>0.00181288400179311</v>
      </c>
      <c r="AE41" s="35" t="n">
        <v>3</v>
      </c>
      <c r="AF41" s="37" t="n">
        <f aca="false">IFERROR(AA41/AE41,0)</f>
        <v>1</v>
      </c>
      <c r="AG41" s="34" t="n">
        <v>27500</v>
      </c>
      <c r="AH41" s="35" t="n">
        <v>1</v>
      </c>
      <c r="AI41" s="37" t="n">
        <f aca="false">IFERROR(AH41/AH$49,0)</f>
        <v>0.000112473287594196</v>
      </c>
      <c r="AJ41" s="34" t="n">
        <f aca="false">AH41*AG41</f>
        <v>27500</v>
      </c>
      <c r="AK41" s="37" t="n">
        <f aca="false">IFERROR(AJ41/AJ$49,0)</f>
        <v>0.00381044755438548</v>
      </c>
      <c r="AL41" s="35" t="n">
        <v>2</v>
      </c>
      <c r="AM41" s="37" t="n">
        <f aca="false">IFERROR(AH41/AL41,0)</f>
        <v>0.5</v>
      </c>
      <c r="AN41" s="34" t="n">
        <v>27500</v>
      </c>
      <c r="AO41" s="35" t="n">
        <v>1</v>
      </c>
      <c r="AP41" s="37" t="n">
        <f aca="false">IFERROR(AO41/AO$49,0)</f>
        <v>0.000248632521133764</v>
      </c>
      <c r="AQ41" s="34" t="n">
        <f aca="false">AO41*AN41</f>
        <v>27500</v>
      </c>
      <c r="AR41" s="37" t="n">
        <f aca="false">IFERROR(AQ41/AQ$49,0)</f>
        <v>0.00811592492031637</v>
      </c>
      <c r="AS41" s="35" t="n">
        <v>1</v>
      </c>
      <c r="AT41" s="37" t="n">
        <f aca="false">IFERROR(AO41/AS41,0)</f>
        <v>1</v>
      </c>
      <c r="AU41" s="36" t="n">
        <f aca="false">①石川予測確定!O41</f>
        <v>1</v>
      </c>
      <c r="AV41" s="35" t="n">
        <f aca="false">①石川予測確定!P41</f>
        <v>1</v>
      </c>
      <c r="AW41" s="34" t="n">
        <f aca="false">①石川予測確定!Q41</f>
        <v>27500</v>
      </c>
      <c r="AX41" s="37" t="n">
        <f aca="false">①石川予測確定!T41</f>
        <v>1</v>
      </c>
      <c r="AY41" s="35" t="n">
        <f aca="false">①石川予測確定!U41</f>
        <v>0</v>
      </c>
      <c r="AZ41" s="35" t="n">
        <f aca="false">③仙台以降予測!M65</f>
        <v>9</v>
      </c>
      <c r="BA41" s="35" t="n">
        <f aca="false">③仙台以降予測!V65</f>
        <v>2</v>
      </c>
      <c r="BB41" s="38" t="n">
        <f aca="false">③仙台以降予測!X65</f>
        <v>7</v>
      </c>
      <c r="BC41" s="35" t="n">
        <f aca="false">③仙台以降予測!Y65</f>
        <v>7</v>
      </c>
      <c r="BD41" s="32" t="str">
        <f aca="false">④追加発注判定!J41</f>
        <v>要注意(90%超)</v>
      </c>
      <c r="BE41" s="32" t="str">
        <f aca="false">④追加発注判定!P41</f>
        <v>要 追加生産</v>
      </c>
      <c r="BF41" s="35" t="n">
        <f aca="false">④追加発注判定!R41</f>
        <v>8</v>
      </c>
      <c r="BG41" s="32" t="str">
        <f aca="false">④追加発注判定!X41</f>
        <v>C:通常</v>
      </c>
    </row>
    <row r="42" customFormat="false" ht="15" hidden="false" customHeight="false" outlineLevel="0" collapsed="false">
      <c r="A42" s="32" t="n">
        <v>36</v>
      </c>
      <c r="B42" s="32" t="s">
        <v>356</v>
      </c>
      <c r="C42" s="33" t="s">
        <v>357</v>
      </c>
      <c r="D42" s="34" t="n">
        <v>27500</v>
      </c>
      <c r="E42" s="34" t="n">
        <v>22000</v>
      </c>
      <c r="F42" s="35" t="n">
        <v>8</v>
      </c>
      <c r="G42" s="37" t="n">
        <f aca="false">IFERROR(F42/F$49,0)</f>
        <v>5.39865708405034E-005</v>
      </c>
      <c r="H42" s="34" t="n">
        <f aca="false">F42*E42</f>
        <v>176000</v>
      </c>
      <c r="I42" s="37" t="n">
        <f aca="false">IFERROR(H42/H$49,0)</f>
        <v>0.001722346070213</v>
      </c>
      <c r="J42" s="35" t="n">
        <v>8</v>
      </c>
      <c r="K42" s="37" t="n">
        <f aca="false">IFERROR(F42/J42,0)</f>
        <v>1</v>
      </c>
      <c r="L42" s="34" t="n">
        <v>27500</v>
      </c>
      <c r="M42" s="35" t="n">
        <v>3</v>
      </c>
      <c r="N42" s="37" t="n">
        <f aca="false">IFERROR(M42/M$49,0)</f>
        <v>5.11945392491468E-005</v>
      </c>
      <c r="O42" s="34" t="n">
        <f aca="false">M42*L42</f>
        <v>82500</v>
      </c>
      <c r="P42" s="37" t="n">
        <f aca="false">IFERROR(O42/O$49,0)</f>
        <v>0.00198892949787365</v>
      </c>
      <c r="Q42" s="35" t="n">
        <v>3</v>
      </c>
      <c r="R42" s="37" t="n">
        <f aca="false">IFERROR(M42/Q42,0)</f>
        <v>1</v>
      </c>
      <c r="S42" s="34" t="n">
        <v>27500</v>
      </c>
      <c r="T42" s="35" t="n">
        <v>3</v>
      </c>
      <c r="U42" s="37" t="n">
        <f aca="false">IFERROR(T42/T$49,0)</f>
        <v>6.68583272046533E-005</v>
      </c>
      <c r="V42" s="34" t="n">
        <f aca="false">T42*S42</f>
        <v>82500</v>
      </c>
      <c r="W42" s="37" t="n">
        <f aca="false">IFERROR(V42/V$49,0)</f>
        <v>0.0026589915814715</v>
      </c>
      <c r="X42" s="35" t="n">
        <v>3</v>
      </c>
      <c r="Y42" s="37" t="n">
        <f aca="false">IFERROR(T42/X42,0)</f>
        <v>1</v>
      </c>
      <c r="Z42" s="34" t="n">
        <v>27500</v>
      </c>
      <c r="AA42" s="35" t="n">
        <v>3</v>
      </c>
      <c r="AB42" s="37" t="n">
        <f aca="false">IFERROR(AA42/AA$49,0)</f>
        <v>4.7066206463759E-005</v>
      </c>
      <c r="AC42" s="34" t="n">
        <f aca="false">AA42*Z42</f>
        <v>82500</v>
      </c>
      <c r="AD42" s="37" t="n">
        <f aca="false">IFERROR(AC42/AC$49,0)</f>
        <v>0.00181288400179311</v>
      </c>
      <c r="AE42" s="35" t="n">
        <v>3</v>
      </c>
      <c r="AF42" s="37" t="n">
        <f aca="false">IFERROR(AA42/AE42,0)</f>
        <v>1</v>
      </c>
      <c r="AG42" s="34" t="n">
        <v>27500</v>
      </c>
      <c r="AH42" s="35" t="n">
        <v>1</v>
      </c>
      <c r="AI42" s="37" t="n">
        <f aca="false">IFERROR(AH42/AH$49,0)</f>
        <v>0.000112473287594196</v>
      </c>
      <c r="AJ42" s="34" t="n">
        <f aca="false">AH42*AG42</f>
        <v>27500</v>
      </c>
      <c r="AK42" s="37" t="n">
        <f aca="false">IFERROR(AJ42/AJ$49,0)</f>
        <v>0.00381044755438548</v>
      </c>
      <c r="AL42" s="35" t="n">
        <v>2</v>
      </c>
      <c r="AM42" s="37" t="n">
        <f aca="false">IFERROR(AH42/AL42,0)</f>
        <v>0.5</v>
      </c>
      <c r="AN42" s="34" t="n">
        <v>27500</v>
      </c>
      <c r="AO42" s="35" t="n">
        <v>1</v>
      </c>
      <c r="AP42" s="37" t="n">
        <f aca="false">IFERROR(AO42/AO$49,0)</f>
        <v>0.000248632521133764</v>
      </c>
      <c r="AQ42" s="34" t="n">
        <f aca="false">AO42*AN42</f>
        <v>27500</v>
      </c>
      <c r="AR42" s="37" t="n">
        <f aca="false">IFERROR(AQ42/AQ$49,0)</f>
        <v>0.00811592492031637</v>
      </c>
      <c r="AS42" s="35" t="n">
        <v>1</v>
      </c>
      <c r="AT42" s="37" t="n">
        <f aca="false">IFERROR(AO42/AS42,0)</f>
        <v>1</v>
      </c>
      <c r="AU42" s="36" t="n">
        <f aca="false">①石川予測確定!O42</f>
        <v>1</v>
      </c>
      <c r="AV42" s="35" t="n">
        <f aca="false">①石川予測確定!P42</f>
        <v>1</v>
      </c>
      <c r="AW42" s="34" t="n">
        <f aca="false">①石川予測確定!Q42</f>
        <v>27500</v>
      </c>
      <c r="AX42" s="37" t="n">
        <f aca="false">①石川予測確定!T42</f>
        <v>1</v>
      </c>
      <c r="AY42" s="35" t="n">
        <f aca="false">①石川予測確定!U42</f>
        <v>0</v>
      </c>
      <c r="AZ42" s="35" t="n">
        <f aca="false">③仙台以降予測!M66</f>
        <v>9</v>
      </c>
      <c r="BA42" s="35" t="n">
        <f aca="false">③仙台以降予測!V66</f>
        <v>2</v>
      </c>
      <c r="BB42" s="38" t="n">
        <f aca="false">③仙台以降予測!X66</f>
        <v>7</v>
      </c>
      <c r="BC42" s="35" t="n">
        <f aca="false">③仙台以降予測!Y66</f>
        <v>7</v>
      </c>
      <c r="BD42" s="32" t="str">
        <f aca="false">④追加発注判定!J42</f>
        <v>要注意(90%超)</v>
      </c>
      <c r="BE42" s="32" t="str">
        <f aca="false">④追加発注判定!P42</f>
        <v>要 追加生産</v>
      </c>
      <c r="BF42" s="35" t="n">
        <f aca="false">④追加発注判定!R42</f>
        <v>8</v>
      </c>
      <c r="BG42" s="32" t="str">
        <f aca="false">④追加発注判定!X42</f>
        <v>C:通常</v>
      </c>
    </row>
    <row r="43" customFormat="false" ht="15" hidden="false" customHeight="false" outlineLevel="0" collapsed="false">
      <c r="A43" s="32" t="n">
        <v>37</v>
      </c>
      <c r="B43" s="32" t="s">
        <v>358</v>
      </c>
      <c r="C43" s="33" t="s">
        <v>359</v>
      </c>
      <c r="D43" s="34" t="n">
        <v>27500</v>
      </c>
      <c r="E43" s="34" t="n">
        <v>22000</v>
      </c>
      <c r="F43" s="35" t="n">
        <v>10</v>
      </c>
      <c r="G43" s="37" t="n">
        <f aca="false">IFERROR(F43/F$49,0)</f>
        <v>6.74832135506293E-005</v>
      </c>
      <c r="H43" s="34" t="n">
        <f aca="false">F43*E43</f>
        <v>220000</v>
      </c>
      <c r="I43" s="37" t="n">
        <f aca="false">IFERROR(H43/H$49,0)</f>
        <v>0.00215293258776625</v>
      </c>
      <c r="J43" s="35" t="n">
        <v>10</v>
      </c>
      <c r="K43" s="37" t="n">
        <f aca="false">IFERROR(F43/J43,0)</f>
        <v>1</v>
      </c>
      <c r="L43" s="34" t="n">
        <v>27500</v>
      </c>
      <c r="M43" s="35" t="n">
        <v>19</v>
      </c>
      <c r="N43" s="37" t="n">
        <f aca="false">IFERROR(M43/M$49,0)</f>
        <v>0.000324232081911263</v>
      </c>
      <c r="O43" s="34" t="n">
        <f aca="false">M43*L43</f>
        <v>522500</v>
      </c>
      <c r="P43" s="37" t="n">
        <f aca="false">IFERROR(O43/O$49,0)</f>
        <v>0.0125965534865331</v>
      </c>
      <c r="Q43" s="35" t="n">
        <v>20</v>
      </c>
      <c r="R43" s="37" t="n">
        <f aca="false">IFERROR(M43/Q43,0)</f>
        <v>0.95</v>
      </c>
      <c r="S43" s="34" t="n">
        <v>27500</v>
      </c>
      <c r="T43" s="35" t="n">
        <v>12</v>
      </c>
      <c r="U43" s="37" t="n">
        <f aca="false">IFERROR(T43/T$49,0)</f>
        <v>0.000267433308818613</v>
      </c>
      <c r="V43" s="34" t="n">
        <f aca="false">T43*S43</f>
        <v>330000</v>
      </c>
      <c r="W43" s="37" t="n">
        <f aca="false">IFERROR(V43/V$49,0)</f>
        <v>0.010635966325886</v>
      </c>
      <c r="X43" s="35" t="n">
        <v>15</v>
      </c>
      <c r="Y43" s="37" t="n">
        <f aca="false">IFERROR(T43/X43,0)</f>
        <v>0.8</v>
      </c>
      <c r="Z43" s="34" t="n">
        <v>27500</v>
      </c>
      <c r="AA43" s="35" t="n">
        <v>26</v>
      </c>
      <c r="AB43" s="37" t="n">
        <f aca="false">IFERROR(AA43/AA$49,0)</f>
        <v>0.000407907122685912</v>
      </c>
      <c r="AC43" s="34" t="n">
        <f aca="false">AA43*Z43</f>
        <v>715000</v>
      </c>
      <c r="AD43" s="37" t="n">
        <f aca="false">IFERROR(AC43/AC$49,0)</f>
        <v>0.0157116613488736</v>
      </c>
      <c r="AE43" s="35" t="n">
        <v>28</v>
      </c>
      <c r="AF43" s="37" t="n">
        <f aca="false">IFERROR(AA43/AE43,0)</f>
        <v>0.928571428571429</v>
      </c>
      <c r="AG43" s="34" t="n">
        <v>27500</v>
      </c>
      <c r="AH43" s="35" t="n">
        <v>1</v>
      </c>
      <c r="AI43" s="37" t="n">
        <f aca="false">IFERROR(AH43/AH$49,0)</f>
        <v>0.000112473287594196</v>
      </c>
      <c r="AJ43" s="34" t="n">
        <f aca="false">AH43*AG43</f>
        <v>27500</v>
      </c>
      <c r="AK43" s="37" t="n">
        <f aca="false">IFERROR(AJ43/AJ$49,0)</f>
        <v>0.00381044755438548</v>
      </c>
      <c r="AL43" s="35" t="n">
        <v>8</v>
      </c>
      <c r="AM43" s="37" t="n">
        <f aca="false">IFERROR(AH43/AL43,0)</f>
        <v>0.125</v>
      </c>
      <c r="AN43" s="34" t="n">
        <v>27500</v>
      </c>
      <c r="AO43" s="35" t="n">
        <v>4</v>
      </c>
      <c r="AP43" s="37" t="n">
        <f aca="false">IFERROR(AO43/AO$49,0)</f>
        <v>0.000994530084535057</v>
      </c>
      <c r="AQ43" s="34" t="n">
        <f aca="false">AO43*AN43</f>
        <v>110000</v>
      </c>
      <c r="AR43" s="37" t="n">
        <f aca="false">IFERROR(AQ43/AQ$49,0)</f>
        <v>0.0324636996812655</v>
      </c>
      <c r="AS43" s="35" t="n">
        <v>17</v>
      </c>
      <c r="AT43" s="37" t="n">
        <f aca="false">IFERROR(AO43/AS43,0)</f>
        <v>0.235294117647059</v>
      </c>
      <c r="AU43" s="36" t="n">
        <f aca="false">①石川予測確定!O43</f>
        <v>1.21590909090909</v>
      </c>
      <c r="AV43" s="35" t="n">
        <f aca="false">①石川予測確定!P43</f>
        <v>5</v>
      </c>
      <c r="AW43" s="34" t="n">
        <f aca="false">①石川予測確定!Q43</f>
        <v>137500</v>
      </c>
      <c r="AX43" s="37" t="n">
        <f aca="false">①石川予測確定!T43</f>
        <v>0.294117647058824</v>
      </c>
      <c r="AY43" s="35" t="n">
        <f aca="false">①石川予測確定!U43</f>
        <v>12</v>
      </c>
      <c r="AZ43" s="35" t="n">
        <f aca="false">③仙台以降予測!M67</f>
        <v>34</v>
      </c>
      <c r="BA43" s="35" t="n">
        <f aca="false">③仙台以降予測!V67</f>
        <v>28</v>
      </c>
      <c r="BB43" s="38" t="n">
        <f aca="false">③仙台以降予測!X67</f>
        <v>6</v>
      </c>
      <c r="BC43" s="35" t="n">
        <f aca="false">③仙台以降予測!Y67</f>
        <v>6</v>
      </c>
      <c r="BD43" s="32" t="str">
        <f aca="false">④追加発注判定!J43</f>
        <v>在庫余剰</v>
      </c>
      <c r="BE43" s="32" t="str">
        <f aca="false">④追加発注判定!P43</f>
        <v>要 追加生産</v>
      </c>
      <c r="BF43" s="35" t="n">
        <f aca="false">④追加発注判定!R43</f>
        <v>7</v>
      </c>
      <c r="BG43" s="32" t="str">
        <f aca="false">④追加発注判定!X43</f>
        <v>C:通常</v>
      </c>
    </row>
    <row r="44" customFormat="false" ht="15" hidden="false" customHeight="false" outlineLevel="0" collapsed="false">
      <c r="A44" s="32" t="n">
        <v>38</v>
      </c>
      <c r="B44" s="32" t="s">
        <v>360</v>
      </c>
      <c r="C44" s="33" t="s">
        <v>361</v>
      </c>
      <c r="D44" s="34" t="n">
        <v>27500</v>
      </c>
      <c r="E44" s="34" t="n">
        <v>22000</v>
      </c>
      <c r="F44" s="35" t="n">
        <v>10</v>
      </c>
      <c r="G44" s="37" t="n">
        <f aca="false">IFERROR(F44/F$49,0)</f>
        <v>6.74832135506293E-005</v>
      </c>
      <c r="H44" s="34" t="n">
        <f aca="false">F44*E44</f>
        <v>220000</v>
      </c>
      <c r="I44" s="37" t="n">
        <f aca="false">IFERROR(H44/H$49,0)</f>
        <v>0.00215293258776625</v>
      </c>
      <c r="J44" s="35" t="n">
        <v>10</v>
      </c>
      <c r="K44" s="37" t="n">
        <f aca="false">IFERROR(F44/J44,0)</f>
        <v>1</v>
      </c>
      <c r="L44" s="34" t="n">
        <v>27500</v>
      </c>
      <c r="M44" s="35" t="n">
        <v>3</v>
      </c>
      <c r="N44" s="37" t="n">
        <f aca="false">IFERROR(M44/M$49,0)</f>
        <v>5.11945392491468E-005</v>
      </c>
      <c r="O44" s="34" t="n">
        <f aca="false">M44*L44</f>
        <v>82500</v>
      </c>
      <c r="P44" s="37" t="n">
        <f aca="false">IFERROR(O44/O$49,0)</f>
        <v>0.00198892949787365</v>
      </c>
      <c r="Q44" s="35" t="n">
        <v>3</v>
      </c>
      <c r="R44" s="37" t="n">
        <f aca="false">IFERROR(M44/Q44,0)</f>
        <v>1</v>
      </c>
      <c r="S44" s="34" t="n">
        <v>27500</v>
      </c>
      <c r="T44" s="35" t="n">
        <v>3</v>
      </c>
      <c r="U44" s="37" t="n">
        <f aca="false">IFERROR(T44/T$49,0)</f>
        <v>6.68583272046533E-005</v>
      </c>
      <c r="V44" s="34" t="n">
        <f aca="false">T44*S44</f>
        <v>82500</v>
      </c>
      <c r="W44" s="37" t="n">
        <f aca="false">IFERROR(V44/V$49,0)</f>
        <v>0.0026589915814715</v>
      </c>
      <c r="X44" s="35" t="n">
        <v>3</v>
      </c>
      <c r="Y44" s="37" t="n">
        <f aca="false">IFERROR(T44/X44,0)</f>
        <v>1</v>
      </c>
      <c r="Z44" s="34" t="n">
        <v>27500</v>
      </c>
      <c r="AA44" s="35" t="n">
        <v>3</v>
      </c>
      <c r="AB44" s="37" t="n">
        <f aca="false">IFERROR(AA44/AA$49,0)</f>
        <v>4.7066206463759E-005</v>
      </c>
      <c r="AC44" s="34" t="n">
        <f aca="false">AA44*Z44</f>
        <v>82500</v>
      </c>
      <c r="AD44" s="37" t="n">
        <f aca="false">IFERROR(AC44/AC$49,0)</f>
        <v>0.00181288400179311</v>
      </c>
      <c r="AE44" s="35" t="n">
        <v>3</v>
      </c>
      <c r="AF44" s="37" t="n">
        <f aca="false">IFERROR(AA44/AE44,0)</f>
        <v>1</v>
      </c>
      <c r="AG44" s="34" t="n">
        <v>27500</v>
      </c>
      <c r="AH44" s="35" t="n">
        <v>2</v>
      </c>
      <c r="AI44" s="37" t="n">
        <f aca="false">IFERROR(AH44/AH$49,0)</f>
        <v>0.000224946575188393</v>
      </c>
      <c r="AJ44" s="34" t="n">
        <f aca="false">AH44*AG44</f>
        <v>55000</v>
      </c>
      <c r="AK44" s="37" t="n">
        <f aca="false">IFERROR(AJ44/AJ$49,0)</f>
        <v>0.00762089510877096</v>
      </c>
      <c r="AL44" s="35" t="n">
        <v>2</v>
      </c>
      <c r="AM44" s="37" t="n">
        <f aca="false">IFERROR(AH44/AL44,0)</f>
        <v>1</v>
      </c>
      <c r="AN44" s="34" t="n">
        <v>27500</v>
      </c>
      <c r="AO44" s="35" t="n">
        <v>1</v>
      </c>
      <c r="AP44" s="37" t="n">
        <f aca="false">IFERROR(AO44/AO$49,0)</f>
        <v>0.000248632521133764</v>
      </c>
      <c r="AQ44" s="34" t="n">
        <f aca="false">AO44*AN44</f>
        <v>27500</v>
      </c>
      <c r="AR44" s="37" t="n">
        <f aca="false">IFERROR(AQ44/AQ$49,0)</f>
        <v>0.00811592492031637</v>
      </c>
      <c r="AS44" s="35" t="n">
        <v>1</v>
      </c>
      <c r="AT44" s="37" t="n">
        <f aca="false">IFERROR(AO44/AS44,0)</f>
        <v>1</v>
      </c>
      <c r="AU44" s="36" t="n">
        <f aca="false">①石川予測確定!O44</f>
        <v>1</v>
      </c>
      <c r="AV44" s="35" t="n">
        <f aca="false">①石川予測確定!P44</f>
        <v>1</v>
      </c>
      <c r="AW44" s="34" t="n">
        <f aca="false">①石川予測確定!Q44</f>
        <v>27500</v>
      </c>
      <c r="AX44" s="37" t="n">
        <f aca="false">①石川予測確定!T44</f>
        <v>1</v>
      </c>
      <c r="AY44" s="35" t="n">
        <f aca="false">①石川予測確定!U44</f>
        <v>0</v>
      </c>
      <c r="AZ44" s="35" t="n">
        <f aca="false">③仙台以降予測!M68</f>
        <v>13</v>
      </c>
      <c r="BA44" s="35" t="n">
        <f aca="false">③仙台以降予測!V68</f>
        <v>1</v>
      </c>
      <c r="BB44" s="38" t="n">
        <f aca="false">③仙台以降予測!X68</f>
        <v>12</v>
      </c>
      <c r="BC44" s="35" t="n">
        <f aca="false">③仙台以降予測!Y68</f>
        <v>12</v>
      </c>
      <c r="BD44" s="32" t="str">
        <f aca="false">④追加発注判定!J44</f>
        <v>要注意(90%超)</v>
      </c>
      <c r="BE44" s="32" t="str">
        <f aca="false">④追加発注判定!P44</f>
        <v>要 追加生産</v>
      </c>
      <c r="BF44" s="35" t="n">
        <f aca="false">④追加発注判定!R44</f>
        <v>14</v>
      </c>
      <c r="BG44" s="32" t="str">
        <f aca="false">④追加発注判定!X44</f>
        <v>C:通常</v>
      </c>
    </row>
    <row r="45" customFormat="false" ht="15" hidden="false" customHeight="false" outlineLevel="0" collapsed="false">
      <c r="A45" s="32" t="n">
        <v>39</v>
      </c>
      <c r="B45" s="32" t="s">
        <v>362</v>
      </c>
      <c r="C45" s="33" t="s">
        <v>363</v>
      </c>
      <c r="D45" s="34" t="n">
        <v>27500</v>
      </c>
      <c r="E45" s="34" t="n">
        <v>22000</v>
      </c>
      <c r="F45" s="35" t="n">
        <v>10</v>
      </c>
      <c r="G45" s="37" t="n">
        <f aca="false">IFERROR(F45/F$49,0)</f>
        <v>6.74832135506293E-005</v>
      </c>
      <c r="H45" s="34" t="n">
        <f aca="false">F45*E45</f>
        <v>220000</v>
      </c>
      <c r="I45" s="37" t="n">
        <f aca="false">IFERROR(H45/H$49,0)</f>
        <v>0.00215293258776625</v>
      </c>
      <c r="J45" s="35" t="n">
        <v>10</v>
      </c>
      <c r="K45" s="37" t="n">
        <f aca="false">IFERROR(F45/J45,0)</f>
        <v>1</v>
      </c>
      <c r="L45" s="34" t="n">
        <v>27500</v>
      </c>
      <c r="M45" s="35" t="n">
        <v>3</v>
      </c>
      <c r="N45" s="37" t="n">
        <f aca="false">IFERROR(M45/M$49,0)</f>
        <v>5.11945392491468E-005</v>
      </c>
      <c r="O45" s="34" t="n">
        <f aca="false">M45*L45</f>
        <v>82500</v>
      </c>
      <c r="P45" s="37" t="n">
        <f aca="false">IFERROR(O45/O$49,0)</f>
        <v>0.00198892949787365</v>
      </c>
      <c r="Q45" s="35" t="n">
        <v>3</v>
      </c>
      <c r="R45" s="37" t="n">
        <f aca="false">IFERROR(M45/Q45,0)</f>
        <v>1</v>
      </c>
      <c r="S45" s="34" t="n">
        <v>27500</v>
      </c>
      <c r="T45" s="35" t="n">
        <v>2</v>
      </c>
      <c r="U45" s="37" t="n">
        <f aca="false">IFERROR(T45/T$49,0)</f>
        <v>4.45722181364356E-005</v>
      </c>
      <c r="V45" s="34" t="n">
        <f aca="false">T45*S45</f>
        <v>55000</v>
      </c>
      <c r="W45" s="37" t="n">
        <f aca="false">IFERROR(V45/V$49,0)</f>
        <v>0.00177266105431433</v>
      </c>
      <c r="X45" s="35" t="n">
        <v>2</v>
      </c>
      <c r="Y45" s="37" t="n">
        <f aca="false">IFERROR(T45/X45,0)</f>
        <v>1</v>
      </c>
      <c r="Z45" s="34" t="n">
        <v>27500</v>
      </c>
      <c r="AA45" s="35" t="n">
        <v>3</v>
      </c>
      <c r="AB45" s="37" t="n">
        <f aca="false">IFERROR(AA45/AA$49,0)</f>
        <v>4.7066206463759E-005</v>
      </c>
      <c r="AC45" s="34" t="n">
        <f aca="false">AA45*Z45</f>
        <v>82500</v>
      </c>
      <c r="AD45" s="37" t="n">
        <f aca="false">IFERROR(AC45/AC$49,0)</f>
        <v>0.00181288400179311</v>
      </c>
      <c r="AE45" s="35" t="n">
        <v>3</v>
      </c>
      <c r="AF45" s="37" t="n">
        <f aca="false">IFERROR(AA45/AE45,0)</f>
        <v>1</v>
      </c>
      <c r="AG45" s="34" t="n">
        <v>27500</v>
      </c>
      <c r="AH45" s="35" t="n">
        <v>2</v>
      </c>
      <c r="AI45" s="37" t="n">
        <f aca="false">IFERROR(AH45/AH$49,0)</f>
        <v>0.000224946575188393</v>
      </c>
      <c r="AJ45" s="34" t="n">
        <f aca="false">AH45*AG45</f>
        <v>55000</v>
      </c>
      <c r="AK45" s="37" t="n">
        <f aca="false">IFERROR(AJ45/AJ$49,0)</f>
        <v>0.00762089510877096</v>
      </c>
      <c r="AL45" s="35" t="n">
        <v>2</v>
      </c>
      <c r="AM45" s="37" t="n">
        <f aca="false">IFERROR(AH45/AL45,0)</f>
        <v>1</v>
      </c>
      <c r="AN45" s="34" t="n">
        <v>27500</v>
      </c>
      <c r="AO45" s="35" t="n">
        <v>1</v>
      </c>
      <c r="AP45" s="37" t="n">
        <f aca="false">IFERROR(AO45/AO$49,0)</f>
        <v>0.000248632521133764</v>
      </c>
      <c r="AQ45" s="34" t="n">
        <f aca="false">AO45*AN45</f>
        <v>27500</v>
      </c>
      <c r="AR45" s="37" t="n">
        <f aca="false">IFERROR(AQ45/AQ$49,0)</f>
        <v>0.00811592492031637</v>
      </c>
      <c r="AS45" s="35" t="n">
        <v>1</v>
      </c>
      <c r="AT45" s="37" t="n">
        <f aca="false">IFERROR(AO45/AS45,0)</f>
        <v>1</v>
      </c>
      <c r="AU45" s="36" t="n">
        <f aca="false">①石川予測確定!O45</f>
        <v>1.5</v>
      </c>
      <c r="AV45" s="35" t="n">
        <f aca="false">①石川予測確定!P45</f>
        <v>2</v>
      </c>
      <c r="AW45" s="34" t="n">
        <f aca="false">①石川予測確定!Q45</f>
        <v>55000</v>
      </c>
      <c r="AX45" s="37" t="n">
        <f aca="false">①石川予測確定!T45</f>
        <v>2</v>
      </c>
      <c r="AY45" s="35" t="n">
        <f aca="false">①石川予測確定!U45</f>
        <v>0</v>
      </c>
      <c r="AZ45" s="35" t="n">
        <f aca="false">③仙台以降予測!M69</f>
        <v>19</v>
      </c>
      <c r="BA45" s="35" t="n">
        <f aca="false">③仙台以降予測!V69</f>
        <v>0</v>
      </c>
      <c r="BB45" s="38" t="n">
        <f aca="false">③仙台以降予測!X69</f>
        <v>19</v>
      </c>
      <c r="BC45" s="35" t="n">
        <f aca="false">③仙台以降予測!Y69</f>
        <v>19</v>
      </c>
      <c r="BD45" s="32" t="str">
        <f aca="false">④追加発注判定!J45</f>
        <v>要 追加発注</v>
      </c>
      <c r="BE45" s="32" t="str">
        <f aca="false">④追加発注判定!P45</f>
        <v>要 追加生産</v>
      </c>
      <c r="BF45" s="35" t="n">
        <f aca="false">④追加発注判定!R45</f>
        <v>23</v>
      </c>
      <c r="BG45" s="32" t="str">
        <f aca="false">④追加発注判定!X45</f>
        <v>A:会期中欠品</v>
      </c>
    </row>
    <row r="46" customFormat="false" ht="15" hidden="false" customHeight="false" outlineLevel="0" collapsed="false">
      <c r="A46" s="32" t="n">
        <v>40</v>
      </c>
      <c r="B46" s="32" t="s">
        <v>364</v>
      </c>
      <c r="C46" s="33" t="s">
        <v>365</v>
      </c>
      <c r="D46" s="34" t="n">
        <v>27500</v>
      </c>
      <c r="E46" s="34" t="n">
        <v>22000</v>
      </c>
      <c r="F46" s="35" t="n">
        <v>8</v>
      </c>
      <c r="G46" s="37" t="n">
        <f aca="false">IFERROR(F46/F$49,0)</f>
        <v>5.39865708405034E-005</v>
      </c>
      <c r="H46" s="34" t="n">
        <f aca="false">F46*E46</f>
        <v>176000</v>
      </c>
      <c r="I46" s="37" t="n">
        <f aca="false">IFERROR(H46/H$49,0)</f>
        <v>0.001722346070213</v>
      </c>
      <c r="J46" s="35" t="n">
        <v>8</v>
      </c>
      <c r="K46" s="37" t="n">
        <f aca="false">IFERROR(F46/J46,0)</f>
        <v>1</v>
      </c>
      <c r="L46" s="34" t="n">
        <v>27500</v>
      </c>
      <c r="M46" s="35" t="n">
        <v>3</v>
      </c>
      <c r="N46" s="37" t="n">
        <f aca="false">IFERROR(M46/M$49,0)</f>
        <v>5.11945392491468E-005</v>
      </c>
      <c r="O46" s="34" t="n">
        <f aca="false">M46*L46</f>
        <v>82500</v>
      </c>
      <c r="P46" s="37" t="n">
        <f aca="false">IFERROR(O46/O$49,0)</f>
        <v>0.00198892949787365</v>
      </c>
      <c r="Q46" s="35" t="n">
        <v>3</v>
      </c>
      <c r="R46" s="37" t="n">
        <f aca="false">IFERROR(M46/Q46,0)</f>
        <v>1</v>
      </c>
      <c r="S46" s="34" t="n">
        <v>27500</v>
      </c>
      <c r="T46" s="35" t="n">
        <v>3</v>
      </c>
      <c r="U46" s="37" t="n">
        <f aca="false">IFERROR(T46/T$49,0)</f>
        <v>6.68583272046533E-005</v>
      </c>
      <c r="V46" s="34" t="n">
        <f aca="false">T46*S46</f>
        <v>82500</v>
      </c>
      <c r="W46" s="37" t="n">
        <f aca="false">IFERROR(V46/V$49,0)</f>
        <v>0.0026589915814715</v>
      </c>
      <c r="X46" s="35" t="n">
        <v>3</v>
      </c>
      <c r="Y46" s="37" t="n">
        <f aca="false">IFERROR(T46/X46,0)</f>
        <v>1</v>
      </c>
      <c r="Z46" s="34" t="n">
        <v>27500</v>
      </c>
      <c r="AA46" s="35" t="n">
        <v>3</v>
      </c>
      <c r="AB46" s="37" t="n">
        <f aca="false">IFERROR(AA46/AA$49,0)</f>
        <v>4.7066206463759E-005</v>
      </c>
      <c r="AC46" s="34" t="n">
        <f aca="false">AA46*Z46</f>
        <v>82500</v>
      </c>
      <c r="AD46" s="37" t="n">
        <f aca="false">IFERROR(AC46/AC$49,0)</f>
        <v>0.00181288400179311</v>
      </c>
      <c r="AE46" s="35" t="n">
        <v>3</v>
      </c>
      <c r="AF46" s="37" t="n">
        <f aca="false">IFERROR(AA46/AE46,0)</f>
        <v>1</v>
      </c>
      <c r="AG46" s="34" t="n">
        <v>27500</v>
      </c>
      <c r="AH46" s="35" t="n">
        <v>0</v>
      </c>
      <c r="AI46" s="37" t="n">
        <f aca="false">IFERROR(AH46/AH$49,0)</f>
        <v>0</v>
      </c>
      <c r="AJ46" s="34" t="n">
        <f aca="false">AH46*AG46</f>
        <v>0</v>
      </c>
      <c r="AK46" s="37" t="n">
        <f aca="false">IFERROR(AJ46/AJ$49,0)</f>
        <v>0</v>
      </c>
      <c r="AL46" s="35" t="n">
        <v>2</v>
      </c>
      <c r="AM46" s="37" t="n">
        <f aca="false">IFERROR(AH46/AL46,0)</f>
        <v>0</v>
      </c>
      <c r="AN46" s="34" t="n">
        <v>27500</v>
      </c>
      <c r="AO46" s="35" t="n">
        <v>1</v>
      </c>
      <c r="AP46" s="37" t="n">
        <f aca="false">IFERROR(AO46/AO$49,0)</f>
        <v>0.000248632521133764</v>
      </c>
      <c r="AQ46" s="34" t="n">
        <f aca="false">AO46*AN46</f>
        <v>27500</v>
      </c>
      <c r="AR46" s="37" t="n">
        <f aca="false">IFERROR(AQ46/AQ$49,0)</f>
        <v>0.00811592492031637</v>
      </c>
      <c r="AS46" s="35" t="n">
        <v>3</v>
      </c>
      <c r="AT46" s="37" t="n">
        <f aca="false">IFERROR(AO46/AS46,0)</f>
        <v>0.333333333333333</v>
      </c>
      <c r="AU46" s="36" t="n">
        <f aca="false">①石川予測確定!O46</f>
        <v>1</v>
      </c>
      <c r="AV46" s="35" t="n">
        <f aca="false">①石川予測確定!P46</f>
        <v>1</v>
      </c>
      <c r="AW46" s="34" t="n">
        <f aca="false">①石川予測確定!Q46</f>
        <v>27500</v>
      </c>
      <c r="AX46" s="37" t="n">
        <f aca="false">①石川予測確定!T46</f>
        <v>0.333333333333333</v>
      </c>
      <c r="AY46" s="35" t="n">
        <f aca="false">①石川予測確定!U46</f>
        <v>2</v>
      </c>
      <c r="AZ46" s="35" t="n">
        <f aca="false">③仙台以降予測!M70</f>
        <v>7</v>
      </c>
      <c r="BA46" s="35" t="n">
        <f aca="false">③仙台以降予測!V70</f>
        <v>3</v>
      </c>
      <c r="BB46" s="38" t="n">
        <f aca="false">③仙台以降予測!X70</f>
        <v>4</v>
      </c>
      <c r="BC46" s="35" t="n">
        <f aca="false">③仙台以降予測!Y70</f>
        <v>4</v>
      </c>
      <c r="BD46" s="32" t="str">
        <f aca="false">④追加発注判定!J46</f>
        <v>在庫余剰</v>
      </c>
      <c r="BE46" s="32" t="str">
        <f aca="false">④追加発注判定!P46</f>
        <v>要 追加生産</v>
      </c>
      <c r="BF46" s="35" t="n">
        <f aca="false">④追加発注判定!R46</f>
        <v>5</v>
      </c>
      <c r="BG46" s="32" t="str">
        <f aca="false">④追加発注判定!X46</f>
        <v>C:通常</v>
      </c>
    </row>
    <row r="47" customFormat="false" ht="15" hidden="false" customHeight="false" outlineLevel="0" collapsed="false">
      <c r="A47" s="32" t="n">
        <v>41</v>
      </c>
      <c r="B47" s="32" t="s">
        <v>366</v>
      </c>
      <c r="C47" s="33" t="s">
        <v>367</v>
      </c>
      <c r="D47" s="34" t="n">
        <v>25000</v>
      </c>
      <c r="E47" s="34" t="n">
        <v>25000</v>
      </c>
      <c r="F47" s="35" t="n">
        <v>12</v>
      </c>
      <c r="G47" s="37" t="n">
        <f aca="false">IFERROR(F47/F$49,0)</f>
        <v>8.09798562607551E-005</v>
      </c>
      <c r="H47" s="34" t="n">
        <f aca="false">F47*E47</f>
        <v>300000</v>
      </c>
      <c r="I47" s="37" t="n">
        <f aca="false">IFERROR(H47/H$49,0)</f>
        <v>0.0029358171651358</v>
      </c>
      <c r="J47" s="35" t="n">
        <v>38</v>
      </c>
      <c r="K47" s="37" t="n">
        <f aca="false">IFERROR(F47/J47,0)</f>
        <v>0.315789473684211</v>
      </c>
      <c r="L47" s="34" t="n">
        <v>25000</v>
      </c>
      <c r="M47" s="35" t="n">
        <v>5</v>
      </c>
      <c r="N47" s="37" t="n">
        <f aca="false">IFERROR(M47/M$49,0)</f>
        <v>8.53242320819113E-005</v>
      </c>
      <c r="O47" s="34" t="n">
        <f aca="false">M47*L47</f>
        <v>125000</v>
      </c>
      <c r="P47" s="37" t="n">
        <f aca="false">IFERROR(O47/O$49,0)</f>
        <v>0.00301352954223281</v>
      </c>
      <c r="Q47" s="35" t="n">
        <v>10</v>
      </c>
      <c r="R47" s="37" t="n">
        <f aca="false">IFERROR(M47/Q47,0)</f>
        <v>0.5</v>
      </c>
      <c r="S47" s="34" t="n">
        <v>25000</v>
      </c>
      <c r="T47" s="35" t="n">
        <v>1</v>
      </c>
      <c r="U47" s="37" t="n">
        <f aca="false">IFERROR(T47/T$49,0)</f>
        <v>2.22861090682178E-005</v>
      </c>
      <c r="V47" s="34" t="n">
        <f aca="false">T47*S47</f>
        <v>25000</v>
      </c>
      <c r="W47" s="37" t="n">
        <f aca="false">IFERROR(V47/V$49,0)</f>
        <v>0.000805755024688334</v>
      </c>
      <c r="X47" s="35" t="n">
        <v>5</v>
      </c>
      <c r="Y47" s="37" t="n">
        <f aca="false">IFERROR(T47/X47,0)</f>
        <v>0.2</v>
      </c>
      <c r="Z47" s="34" t="n">
        <v>25000</v>
      </c>
      <c r="AA47" s="35" t="n">
        <v>2</v>
      </c>
      <c r="AB47" s="37" t="n">
        <f aca="false">IFERROR(AA47/AA$49,0)</f>
        <v>3.13774709758394E-005</v>
      </c>
      <c r="AC47" s="34" t="n">
        <f aca="false">AA47*Z47</f>
        <v>50000</v>
      </c>
      <c r="AD47" s="37" t="n">
        <f aca="false">IFERROR(AC47/AC$49,0)</f>
        <v>0.00109871757684431</v>
      </c>
      <c r="AE47" s="35" t="n">
        <v>15</v>
      </c>
      <c r="AF47" s="37" t="n">
        <f aca="false">IFERROR(AA47/AE47,0)</f>
        <v>0.133333333333333</v>
      </c>
      <c r="AG47" s="34" t="n">
        <v>25000</v>
      </c>
      <c r="AH47" s="35" t="n">
        <v>0</v>
      </c>
      <c r="AI47" s="37" t="n">
        <f aca="false">IFERROR(AH47/AH$49,0)</f>
        <v>0</v>
      </c>
      <c r="AJ47" s="34" t="n">
        <f aca="false">AH47*AG47</f>
        <v>0</v>
      </c>
      <c r="AK47" s="37" t="n">
        <f aca="false">IFERROR(AJ47/AJ$49,0)</f>
        <v>0</v>
      </c>
      <c r="AL47" s="35" t="n">
        <v>4</v>
      </c>
      <c r="AM47" s="37" t="n">
        <f aca="false">IFERROR(AH47/AL47,0)</f>
        <v>0</v>
      </c>
      <c r="AN47" s="34" t="n">
        <v>25000</v>
      </c>
      <c r="AO47" s="35" t="n">
        <v>0</v>
      </c>
      <c r="AP47" s="37" t="n">
        <f aca="false">IFERROR(AO47/AO$49,0)</f>
        <v>0</v>
      </c>
      <c r="AQ47" s="34" t="n">
        <f aca="false">AO47*AN47</f>
        <v>0</v>
      </c>
      <c r="AR47" s="37" t="n">
        <f aca="false">IFERROR(AQ47/AQ$49,0)</f>
        <v>0</v>
      </c>
      <c r="AS47" s="35" t="n">
        <v>14</v>
      </c>
      <c r="AT47" s="37" t="n">
        <f aca="false">IFERROR(AO47/AS47,0)</f>
        <v>0</v>
      </c>
      <c r="AU47" s="36" t="n">
        <f aca="false">①石川予測確定!O47</f>
        <v>1</v>
      </c>
      <c r="AV47" s="35" t="n">
        <f aca="false">①石川予測確定!P47</f>
        <v>0</v>
      </c>
      <c r="AW47" s="34" t="n">
        <f aca="false">①石川予測確定!Q47</f>
        <v>0</v>
      </c>
      <c r="AX47" s="37" t="n">
        <f aca="false">①石川予測確定!T47</f>
        <v>0</v>
      </c>
      <c r="AY47" s="35" t="n">
        <f aca="false">①石川予測確定!U47</f>
        <v>14</v>
      </c>
      <c r="AZ47" s="35" t="n">
        <f aca="false">③仙台以降予測!M71</f>
        <v>0</v>
      </c>
      <c r="BA47" s="35" t="n">
        <f aca="false">③仙台以降予測!V71</f>
        <v>74</v>
      </c>
      <c r="BB47" s="38" t="n">
        <f aca="false">③仙台以降予測!X71</f>
        <v>-74</v>
      </c>
      <c r="BC47" s="35" t="n">
        <f aca="false">③仙台以降予測!Y71</f>
        <v>0</v>
      </c>
      <c r="BD47" s="32" t="str">
        <f aca="false">④追加発注判定!J47</f>
        <v>在庫余剰</v>
      </c>
      <c r="BE47" s="32" t="str">
        <f aca="false">④追加発注判定!P47</f>
        <v>—</v>
      </c>
      <c r="BF47" s="35" t="n">
        <f aca="false">④追加発注判定!R47</f>
        <v>0</v>
      </c>
      <c r="BG47" s="32" t="str">
        <f aca="false">④追加発注判定!X47</f>
        <v>D:不要</v>
      </c>
    </row>
    <row r="48" customFormat="false" ht="15" hidden="false" customHeight="false" outlineLevel="0" collapsed="false">
      <c r="A48" s="32" t="n">
        <v>42</v>
      </c>
      <c r="B48" s="32" t="s">
        <v>368</v>
      </c>
      <c r="C48" s="33" t="s">
        <v>369</v>
      </c>
      <c r="D48" s="34" t="n">
        <v>25000</v>
      </c>
      <c r="E48" s="34" t="n">
        <v>25000</v>
      </c>
      <c r="F48" s="35" t="n">
        <v>24</v>
      </c>
      <c r="G48" s="37" t="n">
        <f aca="false">IFERROR(F48/F$49,0)</f>
        <v>0.00016195971252151</v>
      </c>
      <c r="H48" s="34" t="n">
        <f aca="false">F48*E48</f>
        <v>600000</v>
      </c>
      <c r="I48" s="37" t="n">
        <f aca="false">IFERROR(H48/H$49,0)</f>
        <v>0.0058716343302716</v>
      </c>
      <c r="J48" s="35" t="n">
        <v>38</v>
      </c>
      <c r="K48" s="37" t="n">
        <f aca="false">IFERROR(F48/J48,0)</f>
        <v>0.631578947368421</v>
      </c>
      <c r="L48" s="34" t="n">
        <v>25000</v>
      </c>
      <c r="M48" s="35" t="n">
        <v>8</v>
      </c>
      <c r="N48" s="37" t="n">
        <f aca="false">IFERROR(M48/M$49,0)</f>
        <v>0.000136518771331058</v>
      </c>
      <c r="O48" s="34" t="n">
        <f aca="false">M48*L48</f>
        <v>200000</v>
      </c>
      <c r="P48" s="37" t="n">
        <f aca="false">IFERROR(O48/O$49,0)</f>
        <v>0.00482164726757249</v>
      </c>
      <c r="Q48" s="35" t="n">
        <v>10</v>
      </c>
      <c r="R48" s="37" t="n">
        <f aca="false">IFERROR(M48/Q48,0)</f>
        <v>0.8</v>
      </c>
      <c r="S48" s="34" t="n">
        <v>25000</v>
      </c>
      <c r="T48" s="35" t="n">
        <v>3</v>
      </c>
      <c r="U48" s="37" t="n">
        <f aca="false">IFERROR(T48/T$49,0)</f>
        <v>6.68583272046533E-005</v>
      </c>
      <c r="V48" s="34" t="n">
        <f aca="false">T48*S48</f>
        <v>75000</v>
      </c>
      <c r="W48" s="37" t="n">
        <f aca="false">IFERROR(V48/V$49,0)</f>
        <v>0.002417265074065</v>
      </c>
      <c r="X48" s="35" t="n">
        <v>5</v>
      </c>
      <c r="Y48" s="37" t="n">
        <f aca="false">IFERROR(T48/X48,0)</f>
        <v>0.6</v>
      </c>
      <c r="Z48" s="34" t="n">
        <v>25000</v>
      </c>
      <c r="AA48" s="35" t="n">
        <v>8</v>
      </c>
      <c r="AB48" s="37" t="n">
        <f aca="false">IFERROR(AA48/AA$49,0)</f>
        <v>0.000125509883903357</v>
      </c>
      <c r="AC48" s="34" t="n">
        <f aca="false">AA48*Z48</f>
        <v>200000</v>
      </c>
      <c r="AD48" s="37" t="n">
        <f aca="false">IFERROR(AC48/AC$49,0)</f>
        <v>0.00439487030737723</v>
      </c>
      <c r="AE48" s="35" t="n">
        <v>20</v>
      </c>
      <c r="AF48" s="37" t="n">
        <f aca="false">IFERROR(AA48/AE48,0)</f>
        <v>0.4</v>
      </c>
      <c r="AG48" s="34" t="n">
        <v>25000</v>
      </c>
      <c r="AH48" s="35" t="n">
        <v>1</v>
      </c>
      <c r="AI48" s="37" t="n">
        <f aca="false">IFERROR(AH48/AH$49,0)</f>
        <v>0.000112473287594196</v>
      </c>
      <c r="AJ48" s="34" t="n">
        <f aca="false">AH48*AG48</f>
        <v>25000</v>
      </c>
      <c r="AK48" s="37" t="n">
        <f aca="false">IFERROR(AJ48/AJ$49,0)</f>
        <v>0.00346404323125953</v>
      </c>
      <c r="AL48" s="35" t="n">
        <v>6</v>
      </c>
      <c r="AM48" s="37" t="n">
        <f aca="false">IFERROR(AH48/AL48,0)</f>
        <v>0.166666666666667</v>
      </c>
      <c r="AN48" s="34" t="n">
        <v>25000</v>
      </c>
      <c r="AO48" s="35" t="n">
        <v>0</v>
      </c>
      <c r="AP48" s="37" t="n">
        <f aca="false">IFERROR(AO48/AO$49,0)</f>
        <v>0</v>
      </c>
      <c r="AQ48" s="34" t="n">
        <f aca="false">AO48*AN48</f>
        <v>0</v>
      </c>
      <c r="AR48" s="37" t="n">
        <f aca="false">IFERROR(AQ48/AQ$49,0)</f>
        <v>0</v>
      </c>
      <c r="AS48" s="35" t="n">
        <v>15</v>
      </c>
      <c r="AT48" s="37" t="n">
        <f aca="false">IFERROR(AO48/AS48,0)</f>
        <v>0</v>
      </c>
      <c r="AU48" s="36" t="n">
        <f aca="false">①石川予測確定!O48</f>
        <v>1.05</v>
      </c>
      <c r="AV48" s="35" t="n">
        <f aca="false">①石川予測確定!P48</f>
        <v>0</v>
      </c>
      <c r="AW48" s="34" t="n">
        <f aca="false">①石川予測確定!Q48</f>
        <v>0</v>
      </c>
      <c r="AX48" s="37" t="n">
        <f aca="false">①石川予測確定!T48</f>
        <v>0</v>
      </c>
      <c r="AY48" s="35" t="n">
        <f aca="false">①石川予測確定!U48</f>
        <v>15</v>
      </c>
      <c r="AZ48" s="35" t="n">
        <f aca="false">③仙台以降予測!M72</f>
        <v>3</v>
      </c>
      <c r="BA48" s="35" t="n">
        <f aca="false">③仙台以降予測!V72</f>
        <v>48</v>
      </c>
      <c r="BB48" s="38" t="n">
        <f aca="false">③仙台以降予測!X72</f>
        <v>-45</v>
      </c>
      <c r="BC48" s="35" t="n">
        <f aca="false">③仙台以降予測!Y72</f>
        <v>0</v>
      </c>
      <c r="BD48" s="32" t="str">
        <f aca="false">④追加発注判定!J48</f>
        <v>在庫余剰</v>
      </c>
      <c r="BE48" s="32" t="str">
        <f aca="false">④追加発注判定!P48</f>
        <v>在庫で充足</v>
      </c>
      <c r="BF48" s="35" t="n">
        <f aca="false">④追加発注判定!R48</f>
        <v>0</v>
      </c>
      <c r="BG48" s="32" t="str">
        <f aca="false">④追加発注判定!X48</f>
        <v>D:不要</v>
      </c>
    </row>
    <row r="49" customFormat="false" ht="15" hidden="false" customHeight="false" outlineLevel="0" collapsed="false">
      <c r="A49" s="40"/>
      <c r="B49" s="40"/>
      <c r="C49" s="41" t="s">
        <v>370</v>
      </c>
      <c r="D49" s="40"/>
      <c r="E49" s="40"/>
      <c r="F49" s="42" t="n">
        <f aca="false">SUM(F7:F48)</f>
        <v>148185</v>
      </c>
      <c r="G49" s="40"/>
      <c r="H49" s="44" t="n">
        <f aca="false">SUM(H7:H48)</f>
        <v>102186200</v>
      </c>
      <c r="I49" s="40"/>
      <c r="J49" s="42" t="n">
        <f aca="false">SUM(J7:J48)</f>
        <v>211152</v>
      </c>
      <c r="K49" s="40"/>
      <c r="L49" s="40"/>
      <c r="M49" s="42" t="n">
        <f aca="false">SUM(M7:M48)</f>
        <v>58600</v>
      </c>
      <c r="N49" s="40"/>
      <c r="O49" s="44" t="n">
        <f aca="false">SUM(O7:O48)</f>
        <v>41479600</v>
      </c>
      <c r="P49" s="40"/>
      <c r="Q49" s="42" t="n">
        <f aca="false">SUM(Q7:Q48)</f>
        <v>83271</v>
      </c>
      <c r="R49" s="40"/>
      <c r="S49" s="40"/>
      <c r="T49" s="42" t="n">
        <f aca="false">SUM(T7:T48)</f>
        <v>44871</v>
      </c>
      <c r="U49" s="40"/>
      <c r="V49" s="44" t="n">
        <f aca="false">SUM(V7:V48)</f>
        <v>31026800</v>
      </c>
      <c r="W49" s="40"/>
      <c r="X49" s="42" t="n">
        <f aca="false">SUM(X7:X48)</f>
        <v>49598</v>
      </c>
      <c r="Y49" s="40"/>
      <c r="Z49" s="40"/>
      <c r="AA49" s="42" t="n">
        <f aca="false">SUM(AA7:AA48)</f>
        <v>63740</v>
      </c>
      <c r="AB49" s="40"/>
      <c r="AC49" s="44" t="n">
        <f aca="false">SUM(AC7:AC48)</f>
        <v>45507600</v>
      </c>
      <c r="AD49" s="40"/>
      <c r="AE49" s="42" t="n">
        <f aca="false">SUM(AE7:AE48)</f>
        <v>137560</v>
      </c>
      <c r="AF49" s="40"/>
      <c r="AG49" s="40"/>
      <c r="AH49" s="42" t="n">
        <f aca="false">SUM(AH7:AH48)</f>
        <v>8891</v>
      </c>
      <c r="AI49" s="40"/>
      <c r="AJ49" s="44" t="n">
        <f aca="false">SUM(AJ7:AJ48)</f>
        <v>7217000</v>
      </c>
      <c r="AK49" s="40"/>
      <c r="AL49" s="42" t="n">
        <f aca="false">SUM(AL7:AL48)</f>
        <v>50506</v>
      </c>
      <c r="AM49" s="40"/>
      <c r="AN49" s="40"/>
      <c r="AO49" s="42" t="n">
        <f aca="false">SUM(AO7:AO48)</f>
        <v>4022</v>
      </c>
      <c r="AP49" s="40"/>
      <c r="AQ49" s="44" t="n">
        <f aca="false">SUM(AQ7:AQ48)</f>
        <v>3388400</v>
      </c>
      <c r="AR49" s="40"/>
      <c r="AS49" s="42" t="n">
        <f aca="false">SUM(AS7:AS48)</f>
        <v>46928</v>
      </c>
      <c r="AT49" s="40"/>
      <c r="AU49" s="40"/>
      <c r="AV49" s="42" t="n">
        <f aca="false">SUM(AV7:AV48)</f>
        <v>5151</v>
      </c>
      <c r="AW49" s="44" t="n">
        <f aca="false">SUM(AW7:AW48)</f>
        <v>4292200</v>
      </c>
      <c r="AX49" s="40"/>
      <c r="AY49" s="42" t="n">
        <f aca="false">SUM(AY7:AY48)</f>
        <v>41810</v>
      </c>
      <c r="AZ49" s="42" t="n">
        <f aca="false">SUM(AZ7:AZ48)</f>
        <v>61617</v>
      </c>
      <c r="BA49" s="42" t="n">
        <f aca="false">SUM(BA7:BA48)</f>
        <v>234426</v>
      </c>
      <c r="BB49" s="46" t="n">
        <f aca="false">SUM(BB7:BB48)</f>
        <v>-174009</v>
      </c>
      <c r="BC49" s="42" t="n">
        <f aca="false">SUM(BC7:BC48)</f>
        <v>3384</v>
      </c>
      <c r="BD49" s="40"/>
      <c r="BE49" s="40"/>
      <c r="BF49" s="42" t="n">
        <f aca="false">SUM(BF7:BF48)</f>
        <v>3767</v>
      </c>
      <c r="BG49" s="40"/>
    </row>
  </sheetData>
  <mergeCells count="10">
    <mergeCell ref="A5:D5"/>
    <mergeCell ref="E5:K5"/>
    <mergeCell ref="L5:R5"/>
    <mergeCell ref="S5:Y5"/>
    <mergeCell ref="Z5:AF5"/>
    <mergeCell ref="AG5:AM5"/>
    <mergeCell ref="AN5:AT5"/>
    <mergeCell ref="AU5:AY5"/>
    <mergeCell ref="AZ5:BC5"/>
    <mergeCell ref="BD5:BG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9" min="4" style="0" width="10"/>
    <col collapsed="false" customWidth="true" hidden="false" outlineLevel="0" max="15" min="10" style="0" width="9"/>
    <col collapsed="false" customWidth="true" hidden="false" outlineLevel="0" max="16" min="16" style="0" width="11"/>
    <col collapsed="false" customWidth="true" hidden="false" outlineLevel="0" max="18" min="17" style="0" width="12"/>
    <col collapsed="false" customWidth="true" hidden="false" outlineLevel="0" max="19" min="19" style="0" width="14"/>
  </cols>
  <sheetData>
    <row r="1" customFormat="false" ht="20.1" hidden="false" customHeight="false" outlineLevel="0" collapsed="false">
      <c r="A1" s="1" t="s">
        <v>572</v>
      </c>
    </row>
    <row r="2" customFormat="false" ht="15" hidden="false" customHeight="false" outlineLevel="0" collapsed="false">
      <c r="A2" s="3" t="s">
        <v>573</v>
      </c>
    </row>
    <row r="5" customFormat="false" ht="33.75" hidden="false" customHeight="true" outlineLevel="0" collapsed="false">
      <c r="A5" s="25" t="s">
        <v>263</v>
      </c>
      <c r="B5" s="25" t="s">
        <v>264</v>
      </c>
      <c r="C5" s="26" t="s">
        <v>265</v>
      </c>
      <c r="D5" s="47" t="s">
        <v>574</v>
      </c>
      <c r="E5" s="48" t="s">
        <v>575</v>
      </c>
      <c r="F5" s="28" t="s">
        <v>576</v>
      </c>
      <c r="G5" s="29" t="s">
        <v>577</v>
      </c>
      <c r="H5" s="30" t="s">
        <v>578</v>
      </c>
      <c r="I5" s="27" t="s">
        <v>579</v>
      </c>
      <c r="J5" s="47" t="s">
        <v>580</v>
      </c>
      <c r="K5" s="48" t="s">
        <v>581</v>
      </c>
      <c r="L5" s="28" t="s">
        <v>582</v>
      </c>
      <c r="M5" s="29" t="s">
        <v>583</v>
      </c>
      <c r="N5" s="30" t="s">
        <v>485</v>
      </c>
      <c r="O5" s="27" t="s">
        <v>487</v>
      </c>
      <c r="P5" s="31" t="s">
        <v>584</v>
      </c>
      <c r="Q5" s="31" t="s">
        <v>585</v>
      </c>
      <c r="R5" s="82" t="s">
        <v>586</v>
      </c>
      <c r="S5" s="82" t="s">
        <v>587</v>
      </c>
    </row>
    <row r="6" customFormat="false" ht="15" hidden="false" customHeight="false" outlineLevel="0" collapsed="false">
      <c r="A6" s="32" t="n">
        <v>1</v>
      </c>
      <c r="B6" s="32" t="s">
        <v>286</v>
      </c>
      <c r="C6" s="33" t="s">
        <v>287</v>
      </c>
      <c r="D6" s="35" t="n">
        <v>4965</v>
      </c>
      <c r="E6" s="35" t="n">
        <v>1316</v>
      </c>
      <c r="F6" s="35" t="n">
        <v>1092</v>
      </c>
      <c r="G6" s="35" t="n">
        <v>2325</v>
      </c>
      <c r="H6" s="35" t="n">
        <v>507</v>
      </c>
      <c r="I6" s="35" t="n">
        <v>210</v>
      </c>
      <c r="J6" s="37" t="n">
        <f aca="false">IFERROR(E6/E$48,0)</f>
        <v>0.022457337883959</v>
      </c>
      <c r="K6" s="37" t="n">
        <f aca="false">IFERROR(F6/F$48,0)</f>
        <v>0.0243364311024938</v>
      </c>
      <c r="L6" s="37" t="n">
        <f aca="false">IFERROR(G6/G$48,0)</f>
        <v>0.0364763100094132</v>
      </c>
      <c r="M6" s="37" t="n">
        <f aca="false">IFERROR(H6/H$48,0)</f>
        <v>0.0570239568102576</v>
      </c>
      <c r="N6" s="37" t="n">
        <f aca="false">①石川予測確定!R7</f>
        <v>0.0528052805280528</v>
      </c>
      <c r="O6" s="83" t="n">
        <f aca="false">N6-L6</f>
        <v>0.0163289705186396</v>
      </c>
      <c r="P6" s="83" t="n">
        <f aca="false">L6-I6</f>
        <v>-209.963523689991</v>
      </c>
      <c r="Q6" s="39" t="str">
        <f aca="false">IF(O6&gt;=0.005,"↑ 伸長",IF(O6&lt;=-0.005,"↓ 減退","→ 横ばい"))</f>
        <v>↑ 伸長</v>
      </c>
    </row>
    <row r="7" customFormat="false" ht="15" hidden="false" customHeight="false" outlineLevel="0" collapsed="false">
      <c r="A7" s="32" t="n">
        <v>2</v>
      </c>
      <c r="B7" s="32" t="s">
        <v>288</v>
      </c>
      <c r="C7" s="33" t="s">
        <v>289</v>
      </c>
      <c r="D7" s="35" t="n">
        <v>4902</v>
      </c>
      <c r="E7" s="35" t="n">
        <v>1466</v>
      </c>
      <c r="F7" s="35" t="n">
        <v>1132</v>
      </c>
      <c r="G7" s="35" t="n">
        <v>1965</v>
      </c>
      <c r="H7" s="35" t="n">
        <v>541</v>
      </c>
      <c r="I7" s="35" t="n">
        <v>250</v>
      </c>
      <c r="J7" s="37" t="n">
        <f aca="false">IFERROR(E7/E$48,0)</f>
        <v>0.0250170648464164</v>
      </c>
      <c r="K7" s="37" t="n">
        <f aca="false">IFERROR(F7/F$48,0)</f>
        <v>0.0252278754652225</v>
      </c>
      <c r="L7" s="37" t="n">
        <f aca="false">IFERROR(G7/G$48,0)</f>
        <v>0.0308283652337622</v>
      </c>
      <c r="M7" s="37" t="n">
        <f aca="false">IFERROR(H7/H$48,0)</f>
        <v>0.0608480485884602</v>
      </c>
      <c r="N7" s="37" t="n">
        <f aca="false">①石川予測確定!R8</f>
        <v>0.0630945447485925</v>
      </c>
      <c r="O7" s="83" t="n">
        <f aca="false">N7-L7</f>
        <v>0.0322661795148304</v>
      </c>
      <c r="P7" s="83" t="n">
        <f aca="false">L7-I7</f>
        <v>-249.969171634766</v>
      </c>
      <c r="Q7" s="39" t="str">
        <f aca="false">IF(O7&gt;=0.005,"↑ 伸長",IF(O7&lt;=-0.005,"↓ 減退","→ 横ばい"))</f>
        <v>↑ 伸長</v>
      </c>
    </row>
    <row r="8" customFormat="false" ht="15" hidden="false" customHeight="false" outlineLevel="0" collapsed="false">
      <c r="A8" s="32" t="n">
        <v>3</v>
      </c>
      <c r="B8" s="32" t="s">
        <v>290</v>
      </c>
      <c r="C8" s="33" t="s">
        <v>291</v>
      </c>
      <c r="D8" s="35" t="n">
        <v>2956</v>
      </c>
      <c r="E8" s="35" t="n">
        <v>601</v>
      </c>
      <c r="F8" s="35" t="n">
        <v>454</v>
      </c>
      <c r="G8" s="35" t="n">
        <v>1132</v>
      </c>
      <c r="H8" s="35" t="n">
        <v>169</v>
      </c>
      <c r="I8" s="35" t="n">
        <v>92</v>
      </c>
      <c r="J8" s="37" t="n">
        <f aca="false">IFERROR(E8/E$48,0)</f>
        <v>0.0102559726962457</v>
      </c>
      <c r="K8" s="37" t="n">
        <f aca="false">IFERROR(F8/F$48,0)</f>
        <v>0.0101178935169709</v>
      </c>
      <c r="L8" s="37" t="n">
        <f aca="false">IFERROR(G8/G$48,0)</f>
        <v>0.0177596485723251</v>
      </c>
      <c r="M8" s="37" t="n">
        <f aca="false">IFERROR(H8/H$48,0)</f>
        <v>0.0190079856034192</v>
      </c>
      <c r="N8" s="37" t="n">
        <f aca="false">①石川予測確定!R9</f>
        <v>0.0229081731702582</v>
      </c>
      <c r="O8" s="83" t="n">
        <f aca="false">N8-L8</f>
        <v>0.00514852459793313</v>
      </c>
      <c r="P8" s="83" t="n">
        <f aca="false">L8-I8</f>
        <v>-91.9822403514277</v>
      </c>
      <c r="Q8" s="39" t="str">
        <f aca="false">IF(O8&gt;=0.005,"↑ 伸長",IF(O8&lt;=-0.005,"↓ 減退","→ 横ばい"))</f>
        <v>↑ 伸長</v>
      </c>
    </row>
    <row r="9" customFormat="false" ht="15" hidden="false" customHeight="false" outlineLevel="0" collapsed="false">
      <c r="A9" s="32" t="n">
        <v>4</v>
      </c>
      <c r="B9" s="32" t="s">
        <v>292</v>
      </c>
      <c r="C9" s="33" t="s">
        <v>293</v>
      </c>
      <c r="D9" s="35" t="n">
        <v>1819</v>
      </c>
      <c r="E9" s="35" t="n">
        <v>922</v>
      </c>
      <c r="F9" s="35" t="n">
        <v>539</v>
      </c>
      <c r="G9" s="35" t="n">
        <v>1310</v>
      </c>
      <c r="H9" s="35" t="n">
        <v>228</v>
      </c>
      <c r="I9" s="35" t="n">
        <v>110</v>
      </c>
      <c r="J9" s="37" t="n">
        <f aca="false">IFERROR(E9/E$48,0)</f>
        <v>0.0157337883959044</v>
      </c>
      <c r="K9" s="37" t="n">
        <f aca="false">IFERROR(F9/F$48,0)</f>
        <v>0.0120122127877694</v>
      </c>
      <c r="L9" s="37" t="n">
        <f aca="false">IFERROR(G9/G$48,0)</f>
        <v>0.0205522434891748</v>
      </c>
      <c r="M9" s="37" t="n">
        <f aca="false">IFERROR(H9/H$48,0)</f>
        <v>0.0256439095714768</v>
      </c>
      <c r="N9" s="37" t="n">
        <f aca="false">①石川予測確定!R10</f>
        <v>0.0260143661424966</v>
      </c>
      <c r="O9" s="83" t="n">
        <f aca="false">N9-L9</f>
        <v>0.00546212265332183</v>
      </c>
      <c r="P9" s="83" t="n">
        <f aca="false">L9-I9</f>
        <v>-109.979447756511</v>
      </c>
      <c r="Q9" s="39" t="str">
        <f aca="false">IF(O9&gt;=0.005,"↑ 伸長",IF(O9&lt;=-0.005,"↓ 減退","→ 横ばい"))</f>
        <v>↑ 伸長</v>
      </c>
    </row>
    <row r="10" customFormat="false" ht="15" hidden="false" customHeight="false" outlineLevel="0" collapsed="false">
      <c r="A10" s="32" t="n">
        <v>5</v>
      </c>
      <c r="B10" s="32" t="s">
        <v>294</v>
      </c>
      <c r="C10" s="33" t="s">
        <v>295</v>
      </c>
      <c r="D10" s="35" t="n">
        <v>18759</v>
      </c>
      <c r="E10" s="35" t="n">
        <v>10777</v>
      </c>
      <c r="F10" s="35" t="n">
        <v>8991</v>
      </c>
      <c r="G10" s="35" t="n">
        <v>8936</v>
      </c>
      <c r="H10" s="35" t="n">
        <v>410</v>
      </c>
      <c r="I10" s="35" t="n">
        <v>226</v>
      </c>
      <c r="J10" s="37" t="n">
        <f aca="false">IFERROR(E10/E$48,0)</f>
        <v>0.183907849829352</v>
      </c>
      <c r="K10" s="37" t="n">
        <f aca="false">IFERROR(F10/F$48,0)</f>
        <v>0.200374406632346</v>
      </c>
      <c r="L10" s="37" t="n">
        <f aca="false">IFERROR(G10/G$48,0)</f>
        <v>0.14019454032005</v>
      </c>
      <c r="M10" s="37" t="n">
        <f aca="false">IFERROR(H10/H$48,0)</f>
        <v>0.0461140479136205</v>
      </c>
      <c r="N10" s="37" t="n">
        <f aca="false">①石川予測確定!R11</f>
        <v>0.0568821588041157</v>
      </c>
      <c r="O10" s="83" t="n">
        <f aca="false">N10-L10</f>
        <v>-0.0833123815159345</v>
      </c>
      <c r="P10" s="83" t="n">
        <f aca="false">L10-I10</f>
        <v>-225.85980545968</v>
      </c>
      <c r="Q10" s="39" t="str">
        <f aca="false">IF(O10&gt;=0.005,"↑ 伸長",IF(O10&lt;=-0.005,"↓ 減退","→ 横ばい"))</f>
        <v>↓ 減退</v>
      </c>
    </row>
    <row r="11" customFormat="false" ht="15" hidden="false" customHeight="false" outlineLevel="0" collapsed="false">
      <c r="A11" s="32" t="n">
        <v>6</v>
      </c>
      <c r="B11" s="32" t="s">
        <v>296</v>
      </c>
      <c r="C11" s="33" t="s">
        <v>297</v>
      </c>
      <c r="D11" s="35" t="n">
        <v>31070</v>
      </c>
      <c r="E11" s="35" t="n">
        <v>15602</v>
      </c>
      <c r="F11" s="35" t="n">
        <v>13877</v>
      </c>
      <c r="G11" s="35" t="n">
        <v>18611</v>
      </c>
      <c r="H11" s="35" t="n">
        <v>1042</v>
      </c>
      <c r="I11" s="35" t="n">
        <v>439</v>
      </c>
      <c r="J11" s="37" t="n">
        <f aca="false">IFERROR(E11/E$48,0)</f>
        <v>0.266245733788396</v>
      </c>
      <c r="K11" s="37" t="n">
        <f aca="false">IFERROR(F11/F$48,0)</f>
        <v>0.309264335539658</v>
      </c>
      <c r="L11" s="37" t="n">
        <f aca="false">IFERROR(G11/G$48,0)</f>
        <v>0.291983056165673</v>
      </c>
      <c r="M11" s="37" t="n">
        <f aca="false">IFERROR(H11/H$48,0)</f>
        <v>0.117197165673153</v>
      </c>
      <c r="N11" s="37" t="n">
        <f aca="false">①石川予測確定!R12</f>
        <v>0.109687439332169</v>
      </c>
      <c r="O11" s="83" t="n">
        <f aca="false">N11-L11</f>
        <v>-0.182295616833505</v>
      </c>
      <c r="P11" s="83" t="n">
        <f aca="false">L11-I11</f>
        <v>-438.708016943834</v>
      </c>
      <c r="Q11" s="39" t="str">
        <f aca="false">IF(O11&gt;=0.005,"↑ 伸長",IF(O11&lt;=-0.005,"↓ 減退","→ 横ばい"))</f>
        <v>↓ 減退</v>
      </c>
    </row>
    <row r="12" customFormat="false" ht="15" hidden="false" customHeight="false" outlineLevel="0" collapsed="false">
      <c r="A12" s="32" t="n">
        <v>7</v>
      </c>
      <c r="B12" s="32" t="s">
        <v>298</v>
      </c>
      <c r="C12" s="33" t="s">
        <v>299</v>
      </c>
      <c r="D12" s="35" t="n">
        <v>3471</v>
      </c>
      <c r="E12" s="35" t="n">
        <v>520</v>
      </c>
      <c r="F12" s="35" t="n">
        <v>384</v>
      </c>
      <c r="G12" s="35" t="n">
        <v>940</v>
      </c>
      <c r="H12" s="35" t="n">
        <v>187</v>
      </c>
      <c r="I12" s="35" t="n">
        <v>130</v>
      </c>
      <c r="J12" s="37" t="n">
        <f aca="false">IFERROR(E12/E$48,0)</f>
        <v>0.00887372013651877</v>
      </c>
      <c r="K12" s="37" t="n">
        <f aca="false">IFERROR(F12/F$48,0)</f>
        <v>0.00855786588219563</v>
      </c>
      <c r="L12" s="37" t="n">
        <f aca="false">IFERROR(G12/G$48,0)</f>
        <v>0.0147474113586445</v>
      </c>
      <c r="M12" s="37" t="n">
        <f aca="false">IFERROR(H12/H$48,0)</f>
        <v>0.0210325047801147</v>
      </c>
      <c r="N12" s="37" t="n">
        <f aca="false">①石川予測確定!R13</f>
        <v>0.0320326150262085</v>
      </c>
      <c r="O12" s="83" t="n">
        <f aca="false">N12-L12</f>
        <v>0.017285203667564</v>
      </c>
      <c r="P12" s="83" t="n">
        <f aca="false">L12-I12</f>
        <v>-129.985252588641</v>
      </c>
      <c r="Q12" s="39" t="str">
        <f aca="false">IF(O12&gt;=0.005,"↑ 伸長",IF(O12&lt;=-0.005,"↓ 減退","→ 横ばい"))</f>
        <v>↑ 伸長</v>
      </c>
    </row>
    <row r="13" customFormat="false" ht="15" hidden="false" customHeight="false" outlineLevel="0" collapsed="false">
      <c r="A13" s="32" t="n">
        <v>8</v>
      </c>
      <c r="B13" s="32" t="s">
        <v>300</v>
      </c>
      <c r="C13" s="33" t="s">
        <v>301</v>
      </c>
      <c r="D13" s="35" t="n">
        <v>5596</v>
      </c>
      <c r="E13" s="35" t="n">
        <v>1107</v>
      </c>
      <c r="F13" s="35" t="n">
        <v>799</v>
      </c>
      <c r="G13" s="35" t="n">
        <v>1758</v>
      </c>
      <c r="H13" s="35" t="n">
        <v>322</v>
      </c>
      <c r="I13" s="35" t="n">
        <v>207</v>
      </c>
      <c r="J13" s="37" t="n">
        <f aca="false">IFERROR(E13/E$48,0)</f>
        <v>0.0188907849829352</v>
      </c>
      <c r="K13" s="37" t="n">
        <f aca="false">IFERROR(F13/F$48,0)</f>
        <v>0.017806601145506</v>
      </c>
      <c r="L13" s="37" t="n">
        <f aca="false">IFERROR(G13/G$48,0)</f>
        <v>0.0275807969877628</v>
      </c>
      <c r="M13" s="37" t="n">
        <f aca="false">IFERROR(H13/H$48,0)</f>
        <v>0.0362163986053312</v>
      </c>
      <c r="N13" s="37" t="n">
        <f aca="false">①石川予測確定!R14</f>
        <v>0.0516404581634634</v>
      </c>
      <c r="O13" s="83" t="n">
        <f aca="false">N13-L13</f>
        <v>0.0240596611757006</v>
      </c>
      <c r="P13" s="83" t="n">
        <f aca="false">L13-I13</f>
        <v>-206.972419203012</v>
      </c>
      <c r="Q13" s="39" t="str">
        <f aca="false">IF(O13&gt;=0.005,"↑ 伸長",IF(O13&lt;=-0.005,"↓ 減退","→ 横ばい"))</f>
        <v>↑ 伸長</v>
      </c>
    </row>
    <row r="14" customFormat="false" ht="15" hidden="false" customHeight="false" outlineLevel="0" collapsed="false">
      <c r="A14" s="32" t="n">
        <v>9</v>
      </c>
      <c r="B14" s="32" t="s">
        <v>302</v>
      </c>
      <c r="C14" s="33" t="s">
        <v>303</v>
      </c>
      <c r="D14" s="35" t="n">
        <v>2381</v>
      </c>
      <c r="E14" s="35" t="n">
        <v>313</v>
      </c>
      <c r="F14" s="35" t="n">
        <v>301</v>
      </c>
      <c r="G14" s="35" t="n">
        <v>743</v>
      </c>
      <c r="H14" s="35" t="n">
        <v>160</v>
      </c>
      <c r="I14" s="35" t="n">
        <v>41</v>
      </c>
      <c r="J14" s="37" t="n">
        <f aca="false">IFERROR(E14/E$48,0)</f>
        <v>0.00534129692832765</v>
      </c>
      <c r="K14" s="37" t="n">
        <f aca="false">IFERROR(F14/F$48,0)</f>
        <v>0.00670811882953355</v>
      </c>
      <c r="L14" s="37" t="n">
        <f aca="false">IFERROR(G14/G$48,0)</f>
        <v>0.0116567304675243</v>
      </c>
      <c r="M14" s="37" t="n">
        <f aca="false">IFERROR(H14/H$48,0)</f>
        <v>0.0179957260150714</v>
      </c>
      <c r="N14" s="37" t="n">
        <f aca="false">①石川予測確定!R15</f>
        <v>0.0099009900990099</v>
      </c>
      <c r="O14" s="83" t="n">
        <f aca="false">N14-L14</f>
        <v>-0.00175574036851442</v>
      </c>
      <c r="P14" s="83" t="n">
        <f aca="false">L14-I14</f>
        <v>-40.9883432695325</v>
      </c>
      <c r="Q14" s="39" t="str">
        <f aca="false">IF(O14&gt;=0.005,"↑ 伸長",IF(O14&lt;=-0.005,"↓ 減退","→ 横ばい"))</f>
        <v>→ 横ばい</v>
      </c>
    </row>
    <row r="15" customFormat="false" ht="15" hidden="false" customHeight="false" outlineLevel="0" collapsed="false">
      <c r="A15" s="32" t="n">
        <v>10</v>
      </c>
      <c r="B15" s="32" t="s">
        <v>304</v>
      </c>
      <c r="C15" s="33" t="s">
        <v>305</v>
      </c>
      <c r="D15" s="35" t="n">
        <v>1025</v>
      </c>
      <c r="E15" s="35" t="n">
        <v>141</v>
      </c>
      <c r="F15" s="35" t="n">
        <v>123</v>
      </c>
      <c r="G15" s="35" t="n">
        <v>277</v>
      </c>
      <c r="H15" s="35" t="n">
        <v>59</v>
      </c>
      <c r="I15" s="35" t="n">
        <v>16</v>
      </c>
      <c r="J15" s="37" t="n">
        <f aca="false">IFERROR(E15/E$48,0)</f>
        <v>0.0024061433447099</v>
      </c>
      <c r="K15" s="37" t="n">
        <f aca="false">IFERROR(F15/F$48,0)</f>
        <v>0.00274119141539079</v>
      </c>
      <c r="L15" s="37" t="n">
        <f aca="false">IFERROR(G15/G$48,0)</f>
        <v>0.00434577973015375</v>
      </c>
      <c r="M15" s="37" t="n">
        <f aca="false">IFERROR(H15/H$48,0)</f>
        <v>0.00663592396805759</v>
      </c>
      <c r="N15" s="37" t="n">
        <f aca="false">①石川予測確定!R16</f>
        <v>0.003882741215298</v>
      </c>
      <c r="O15" s="83" t="n">
        <f aca="false">N15-L15</f>
        <v>-0.000463038514855749</v>
      </c>
      <c r="P15" s="83" t="n">
        <f aca="false">L15-I15</f>
        <v>-15.9956542202698</v>
      </c>
      <c r="Q15" s="39" t="str">
        <f aca="false">IF(O15&gt;=0.005,"↑ 伸長",IF(O15&lt;=-0.005,"↓ 減退","→ 横ばい"))</f>
        <v>→ 横ばい</v>
      </c>
    </row>
    <row r="16" customFormat="false" ht="15" hidden="false" customHeight="false" outlineLevel="0" collapsed="false">
      <c r="A16" s="32" t="n">
        <v>11</v>
      </c>
      <c r="B16" s="32" t="s">
        <v>306</v>
      </c>
      <c r="C16" s="33" t="s">
        <v>307</v>
      </c>
      <c r="D16" s="35" t="n">
        <v>215</v>
      </c>
      <c r="E16" s="35" t="n">
        <v>37</v>
      </c>
      <c r="F16" s="35" t="n">
        <v>30</v>
      </c>
      <c r="G16" s="35" t="n">
        <v>78</v>
      </c>
      <c r="H16" s="35" t="n">
        <v>21</v>
      </c>
      <c r="I16" s="35" t="n">
        <v>6</v>
      </c>
      <c r="J16" s="37" t="n">
        <f aca="false">IFERROR(E16/E$48,0)</f>
        <v>0.000631399317406143</v>
      </c>
      <c r="K16" s="37" t="n">
        <f aca="false">IFERROR(F16/F$48,0)</f>
        <v>0.000668583272046533</v>
      </c>
      <c r="L16" s="37" t="n">
        <f aca="false">IFERROR(G16/G$48,0)</f>
        <v>0.00122372136805773</v>
      </c>
      <c r="M16" s="37" t="n">
        <f aca="false">IFERROR(H16/H$48,0)</f>
        <v>0.00236193903947812</v>
      </c>
      <c r="N16" s="37" t="n">
        <f aca="false">①石川予測確定!R17</f>
        <v>0.0015530964861192</v>
      </c>
      <c r="O16" s="83" t="n">
        <f aca="false">N16-L16</f>
        <v>0.000329375118061466</v>
      </c>
      <c r="P16" s="83" t="n">
        <f aca="false">L16-I16</f>
        <v>-5.99877627863194</v>
      </c>
      <c r="Q16" s="39" t="str">
        <f aca="false">IF(O16&gt;=0.005,"↑ 伸長",IF(O16&lt;=-0.005,"↓ 減退","→ 横ばい"))</f>
        <v>→ 横ばい</v>
      </c>
    </row>
    <row r="17" customFormat="false" ht="15" hidden="false" customHeight="false" outlineLevel="0" collapsed="false">
      <c r="A17" s="32" t="n">
        <v>12</v>
      </c>
      <c r="B17" s="32" t="s">
        <v>308</v>
      </c>
      <c r="C17" s="33" t="s">
        <v>309</v>
      </c>
      <c r="D17" s="35" t="n">
        <v>291</v>
      </c>
      <c r="E17" s="35" t="n">
        <v>58</v>
      </c>
      <c r="F17" s="35" t="n">
        <v>54</v>
      </c>
      <c r="G17" s="35" t="n">
        <v>142</v>
      </c>
      <c r="H17" s="35" t="n">
        <v>43</v>
      </c>
      <c r="I17" s="35" t="n">
        <v>13</v>
      </c>
      <c r="J17" s="37" t="n">
        <f aca="false">IFERROR(E17/E$48,0)</f>
        <v>0.000989761092150171</v>
      </c>
      <c r="K17" s="37" t="n">
        <f aca="false">IFERROR(F17/F$48,0)</f>
        <v>0.00120344988968376</v>
      </c>
      <c r="L17" s="37" t="n">
        <f aca="false">IFERROR(G17/G$48,0)</f>
        <v>0.00222780043928459</v>
      </c>
      <c r="M17" s="37" t="n">
        <f aca="false">IFERROR(H17/H$48,0)</f>
        <v>0.00483635136655044</v>
      </c>
      <c r="N17" s="37" t="n">
        <f aca="false">①石川予測確定!R18</f>
        <v>0.0033003300330033</v>
      </c>
      <c r="O17" s="83" t="n">
        <f aca="false">N17-L17</f>
        <v>0.00107252959371871</v>
      </c>
      <c r="P17" s="83" t="n">
        <f aca="false">L17-I17</f>
        <v>-12.9977721995607</v>
      </c>
      <c r="Q17" s="39" t="str">
        <f aca="false">IF(O17&gt;=0.005,"↑ 伸長",IF(O17&lt;=-0.005,"↓ 減退","→ 横ばい"))</f>
        <v>→ 横ばい</v>
      </c>
    </row>
    <row r="18" customFormat="false" ht="15" hidden="false" customHeight="false" outlineLevel="0" collapsed="false">
      <c r="A18" s="32" t="n">
        <v>13</v>
      </c>
      <c r="B18" s="32" t="s">
        <v>310</v>
      </c>
      <c r="C18" s="33" t="s">
        <v>311</v>
      </c>
      <c r="D18" s="35" t="n">
        <v>99</v>
      </c>
      <c r="E18" s="35" t="n">
        <v>16</v>
      </c>
      <c r="F18" s="35" t="n">
        <v>22</v>
      </c>
      <c r="G18" s="35" t="n">
        <v>43</v>
      </c>
      <c r="H18" s="35" t="n">
        <v>8</v>
      </c>
      <c r="I18" s="35" t="n">
        <v>5</v>
      </c>
      <c r="J18" s="37" t="n">
        <f aca="false">IFERROR(E18/E$48,0)</f>
        <v>0.000273037542662116</v>
      </c>
      <c r="K18" s="37" t="n">
        <f aca="false">IFERROR(F18/F$48,0)</f>
        <v>0.000490294399500791</v>
      </c>
      <c r="L18" s="37" t="n">
        <f aca="false">IFERROR(G18/G$48,0)</f>
        <v>0.000674615625980546</v>
      </c>
      <c r="M18" s="37" t="n">
        <f aca="false">IFERROR(H18/H$48,0)</f>
        <v>0.000899786300753571</v>
      </c>
      <c r="N18" s="37" t="n">
        <f aca="false">①石川予測確定!R19</f>
        <v>0.0011648223645894</v>
      </c>
      <c r="O18" s="83" t="n">
        <f aca="false">N18-L18</f>
        <v>0.000490206738608854</v>
      </c>
      <c r="P18" s="83" t="n">
        <f aca="false">L18-I18</f>
        <v>-4.99932538437402</v>
      </c>
      <c r="Q18" s="39" t="str">
        <f aca="false">IF(O18&gt;=0.005,"↑ 伸長",IF(O18&lt;=-0.005,"↓ 減退","→ 横ばい"))</f>
        <v>→ 横ばい</v>
      </c>
    </row>
    <row r="19" customFormat="false" ht="15" hidden="false" customHeight="false" outlineLevel="0" collapsed="false">
      <c r="A19" s="32" t="n">
        <v>14</v>
      </c>
      <c r="B19" s="32" t="s">
        <v>312</v>
      </c>
      <c r="C19" s="33" t="s">
        <v>313</v>
      </c>
      <c r="D19" s="35" t="n">
        <v>411</v>
      </c>
      <c r="E19" s="35" t="n">
        <v>73</v>
      </c>
      <c r="F19" s="35" t="n">
        <v>79</v>
      </c>
      <c r="G19" s="35" t="n">
        <v>146</v>
      </c>
      <c r="H19" s="35" t="n">
        <v>47</v>
      </c>
      <c r="I19" s="35" t="n">
        <v>10</v>
      </c>
      <c r="J19" s="37" t="n">
        <f aca="false">IFERROR(E19/E$48,0)</f>
        <v>0.0012457337883959</v>
      </c>
      <c r="K19" s="37" t="n">
        <f aca="false">IFERROR(F19/F$48,0)</f>
        <v>0.0017606026163892</v>
      </c>
      <c r="L19" s="37" t="n">
        <f aca="false">IFERROR(G19/G$48,0)</f>
        <v>0.00229055538123627</v>
      </c>
      <c r="M19" s="37" t="n">
        <f aca="false">IFERROR(H19/H$48,0)</f>
        <v>0.00528624451692723</v>
      </c>
      <c r="N19" s="37" t="n">
        <f aca="false">①石川予測確定!R20</f>
        <v>0.0027179188507086</v>
      </c>
      <c r="O19" s="83" t="n">
        <f aca="false">N19-L19</f>
        <v>0.000427363469472328</v>
      </c>
      <c r="P19" s="83" t="n">
        <f aca="false">L19-I19</f>
        <v>-9.99770944461876</v>
      </c>
      <c r="Q19" s="39" t="str">
        <f aca="false">IF(O19&gt;=0.005,"↑ 伸長",IF(O19&lt;=-0.005,"↓ 減退","→ 横ばい"))</f>
        <v>→ 横ばい</v>
      </c>
    </row>
    <row r="20" customFormat="false" ht="15" hidden="false" customHeight="false" outlineLevel="0" collapsed="false">
      <c r="A20" s="32" t="n">
        <v>15</v>
      </c>
      <c r="B20" s="32" t="s">
        <v>314</v>
      </c>
      <c r="C20" s="33" t="s">
        <v>315</v>
      </c>
      <c r="D20" s="35" t="n">
        <v>471</v>
      </c>
      <c r="E20" s="35" t="n">
        <v>100</v>
      </c>
      <c r="F20" s="35" t="n">
        <v>100</v>
      </c>
      <c r="G20" s="35" t="n">
        <v>198</v>
      </c>
      <c r="H20" s="35" t="n">
        <v>54</v>
      </c>
      <c r="I20" s="35" t="n">
        <v>17</v>
      </c>
      <c r="J20" s="37" t="n">
        <f aca="false">IFERROR(E20/E$48,0)</f>
        <v>0.00170648464163823</v>
      </c>
      <c r="K20" s="37" t="n">
        <f aca="false">IFERROR(F20/F$48,0)</f>
        <v>0.00222861090682178</v>
      </c>
      <c r="L20" s="37" t="n">
        <f aca="false">IFERROR(G20/G$48,0)</f>
        <v>0.0031063696266081</v>
      </c>
      <c r="M20" s="37" t="n">
        <f aca="false">IFERROR(H20/H$48,0)</f>
        <v>0.0060735575300866</v>
      </c>
      <c r="N20" s="37" t="n">
        <f aca="false">①石川予測確定!R21</f>
        <v>0.0044651523975927</v>
      </c>
      <c r="O20" s="83" t="n">
        <f aca="false">N20-L20</f>
        <v>0.0013587827709846</v>
      </c>
      <c r="P20" s="83" t="n">
        <f aca="false">L20-I20</f>
        <v>-16.9968936303734</v>
      </c>
      <c r="Q20" s="39" t="str">
        <f aca="false">IF(O20&gt;=0.005,"↑ 伸長",IF(O20&lt;=-0.005,"↓ 減退","→ 横ばい"))</f>
        <v>→ 横ばい</v>
      </c>
    </row>
    <row r="21" customFormat="false" ht="15" hidden="false" customHeight="false" outlineLevel="0" collapsed="false">
      <c r="A21" s="32" t="n">
        <v>16</v>
      </c>
      <c r="B21" s="32" t="s">
        <v>316</v>
      </c>
      <c r="C21" s="33" t="s">
        <v>317</v>
      </c>
      <c r="D21" s="35" t="n">
        <v>95</v>
      </c>
      <c r="E21" s="35" t="n">
        <v>38</v>
      </c>
      <c r="F21" s="35" t="n">
        <v>30</v>
      </c>
      <c r="G21" s="35" t="n">
        <v>65</v>
      </c>
      <c r="H21" s="35" t="n">
        <v>22</v>
      </c>
      <c r="I21" s="35" t="n">
        <v>4</v>
      </c>
      <c r="J21" s="37" t="n">
        <f aca="false">IFERROR(E21/E$48,0)</f>
        <v>0.000648464163822526</v>
      </c>
      <c r="K21" s="37" t="n">
        <f aca="false">IFERROR(F21/F$48,0)</f>
        <v>0.000668583272046533</v>
      </c>
      <c r="L21" s="37" t="n">
        <f aca="false">IFERROR(G21/G$48,0)</f>
        <v>0.00101976780671478</v>
      </c>
      <c r="M21" s="37" t="n">
        <f aca="false">IFERROR(H21/H$48,0)</f>
        <v>0.00247441232707232</v>
      </c>
      <c r="N21" s="37" t="n">
        <f aca="false">①石川予測確定!R22</f>
        <v>0.0011648223645894</v>
      </c>
      <c r="O21" s="83" t="n">
        <f aca="false">N21-L21</f>
        <v>0.000145054557874621</v>
      </c>
      <c r="P21" s="83" t="n">
        <f aca="false">L21-I21</f>
        <v>-3.99898023219329</v>
      </c>
      <c r="Q21" s="39" t="str">
        <f aca="false">IF(O21&gt;=0.005,"↑ 伸長",IF(O21&lt;=-0.005,"↓ 減退","→ 横ばい"))</f>
        <v>→ 横ばい</v>
      </c>
    </row>
    <row r="22" customFormat="false" ht="15" hidden="false" customHeight="false" outlineLevel="0" collapsed="false">
      <c r="A22" s="32" t="n">
        <v>17</v>
      </c>
      <c r="B22" s="32" t="s">
        <v>318</v>
      </c>
      <c r="C22" s="33" t="s">
        <v>319</v>
      </c>
      <c r="D22" s="35" t="n">
        <v>492</v>
      </c>
      <c r="E22" s="35" t="n">
        <v>124</v>
      </c>
      <c r="F22" s="35" t="n">
        <v>100</v>
      </c>
      <c r="G22" s="35" t="n">
        <v>261</v>
      </c>
      <c r="H22" s="35" t="n">
        <v>100</v>
      </c>
      <c r="I22" s="35" t="n">
        <v>30</v>
      </c>
      <c r="J22" s="37" t="n">
        <f aca="false">IFERROR(E22/E$48,0)</f>
        <v>0.0021160409556314</v>
      </c>
      <c r="K22" s="37" t="n">
        <f aca="false">IFERROR(F22/F$48,0)</f>
        <v>0.00222861090682178</v>
      </c>
      <c r="L22" s="37" t="n">
        <f aca="false">IFERROR(G22/G$48,0)</f>
        <v>0.00409475996234703</v>
      </c>
      <c r="M22" s="37" t="n">
        <f aca="false">IFERROR(H22/H$48,0)</f>
        <v>0.0112473287594196</v>
      </c>
      <c r="N22" s="37" t="n">
        <f aca="false">①石川予測確定!R23</f>
        <v>0.0079596194913609</v>
      </c>
      <c r="O22" s="83" t="n">
        <f aca="false">N22-L22</f>
        <v>0.00386485952901387</v>
      </c>
      <c r="P22" s="83" t="n">
        <f aca="false">L22-I22</f>
        <v>-29.9959052400377</v>
      </c>
      <c r="Q22" s="39" t="str">
        <f aca="false">IF(O22&gt;=0.005,"↑ 伸長",IF(O22&lt;=-0.005,"↓ 減退","→ 横ばい"))</f>
        <v>→ 横ばい</v>
      </c>
    </row>
    <row r="23" customFormat="false" ht="15" hidden="false" customHeight="false" outlineLevel="0" collapsed="false">
      <c r="A23" s="32" t="n">
        <v>18</v>
      </c>
      <c r="B23" s="32" t="s">
        <v>320</v>
      </c>
      <c r="C23" s="33" t="s">
        <v>321</v>
      </c>
      <c r="D23" s="35" t="n">
        <v>5661</v>
      </c>
      <c r="E23" s="35" t="n">
        <v>1187</v>
      </c>
      <c r="F23" s="35" t="n">
        <v>898</v>
      </c>
      <c r="G23" s="35" t="n">
        <v>2021</v>
      </c>
      <c r="H23" s="35" t="n">
        <v>443</v>
      </c>
      <c r="I23" s="35" t="n">
        <v>122</v>
      </c>
      <c r="J23" s="37" t="n">
        <f aca="false">IFERROR(E23/E$48,0)</f>
        <v>0.0202559726962457</v>
      </c>
      <c r="K23" s="37" t="n">
        <f aca="false">IFERROR(F23/F$48,0)</f>
        <v>0.0200129259432596</v>
      </c>
      <c r="L23" s="37" t="n">
        <f aca="false">IFERROR(G23/G$48,0)</f>
        <v>0.0317069344210857</v>
      </c>
      <c r="M23" s="37" t="n">
        <f aca="false">IFERROR(H23/H$48,0)</f>
        <v>0.049825666404229</v>
      </c>
      <c r="N23" s="37" t="n">
        <f aca="false">①石川予測確定!R24</f>
        <v>0.0295088332362648</v>
      </c>
      <c r="O23" s="83" t="n">
        <f aca="false">N23-L23</f>
        <v>-0.00219810118482085</v>
      </c>
      <c r="P23" s="83" t="n">
        <f aca="false">L23-I23</f>
        <v>-121.968293065579</v>
      </c>
      <c r="Q23" s="39" t="str">
        <f aca="false">IF(O23&gt;=0.005,"↑ 伸長",IF(O23&lt;=-0.005,"↓ 減退","→ 横ばい"))</f>
        <v>→ 横ばい</v>
      </c>
    </row>
    <row r="24" customFormat="false" ht="15" hidden="false" customHeight="false" outlineLevel="0" collapsed="false">
      <c r="A24" s="32" t="n">
        <v>19</v>
      </c>
      <c r="B24" s="32" t="s">
        <v>322</v>
      </c>
      <c r="C24" s="33" t="s">
        <v>323</v>
      </c>
      <c r="D24" s="35" t="n">
        <v>168</v>
      </c>
      <c r="E24" s="35" t="n">
        <v>27</v>
      </c>
      <c r="F24" s="35" t="n">
        <v>19</v>
      </c>
      <c r="G24" s="35" t="n">
        <v>45</v>
      </c>
      <c r="H24" s="35" t="n">
        <v>21</v>
      </c>
      <c r="I24" s="35" t="n">
        <v>4</v>
      </c>
      <c r="J24" s="37" t="n">
        <f aca="false">IFERROR(E24/E$48,0)</f>
        <v>0.000460750853242321</v>
      </c>
      <c r="K24" s="37" t="n">
        <f aca="false">IFERROR(F24/F$48,0)</f>
        <v>0.000423436072296138</v>
      </c>
      <c r="L24" s="37" t="n">
        <f aca="false">IFERROR(G24/G$48,0)</f>
        <v>0.000705993096956385</v>
      </c>
      <c r="M24" s="37" t="n">
        <f aca="false">IFERROR(H24/H$48,0)</f>
        <v>0.00236193903947812</v>
      </c>
      <c r="N24" s="37" t="n">
        <f aca="false">①石川予測確定!R25</f>
        <v>0.0009706853038245</v>
      </c>
      <c r="O24" s="83" t="n">
        <f aca="false">N24-L24</f>
        <v>0.000264692206868115</v>
      </c>
      <c r="P24" s="83" t="n">
        <f aca="false">L24-I24</f>
        <v>-3.99929400690304</v>
      </c>
      <c r="Q24" s="39" t="str">
        <f aca="false">IF(O24&gt;=0.005,"↑ 伸長",IF(O24&lt;=-0.005,"↓ 減退","→ 横ばい"))</f>
        <v>→ 横ばい</v>
      </c>
    </row>
    <row r="25" customFormat="false" ht="15" hidden="false" customHeight="false" outlineLevel="0" collapsed="false">
      <c r="A25" s="32" t="n">
        <v>20</v>
      </c>
      <c r="B25" s="32" t="s">
        <v>324</v>
      </c>
      <c r="C25" s="33" t="s">
        <v>325</v>
      </c>
      <c r="D25" s="35" t="n">
        <v>117</v>
      </c>
      <c r="E25" s="35" t="n">
        <v>23</v>
      </c>
      <c r="F25" s="35" t="n">
        <v>15</v>
      </c>
      <c r="G25" s="35" t="n">
        <v>42</v>
      </c>
      <c r="H25" s="35" t="n">
        <v>18</v>
      </c>
      <c r="I25" s="35" t="n">
        <v>5</v>
      </c>
      <c r="J25" s="37" t="n">
        <f aca="false">IFERROR(E25/E$48,0)</f>
        <v>0.000392491467576792</v>
      </c>
      <c r="K25" s="37" t="n">
        <f aca="false">IFERROR(F25/F$48,0)</f>
        <v>0.000334291636023267</v>
      </c>
      <c r="L25" s="37" t="n">
        <f aca="false">IFERROR(G25/G$48,0)</f>
        <v>0.000658926890492626</v>
      </c>
      <c r="M25" s="37" t="n">
        <f aca="false">IFERROR(H25/H$48,0)</f>
        <v>0.00202451917669553</v>
      </c>
      <c r="N25" s="37" t="n">
        <f aca="false">①石川予測確定!R26</f>
        <v>0.0013589594253543</v>
      </c>
      <c r="O25" s="83" t="n">
        <f aca="false">N25-L25</f>
        <v>0.000700032534861674</v>
      </c>
      <c r="P25" s="83" t="n">
        <f aca="false">L25-I25</f>
        <v>-4.99934107310951</v>
      </c>
      <c r="Q25" s="39" t="str">
        <f aca="false">IF(O25&gt;=0.005,"↑ 伸長",IF(O25&lt;=-0.005,"↓ 減退","→ 横ばい"))</f>
        <v>→ 横ばい</v>
      </c>
    </row>
    <row r="26" customFormat="false" ht="15" hidden="false" customHeight="false" outlineLevel="0" collapsed="false">
      <c r="A26" s="32" t="n">
        <v>21</v>
      </c>
      <c r="B26" s="32" t="s">
        <v>326</v>
      </c>
      <c r="C26" s="33" t="s">
        <v>327</v>
      </c>
      <c r="D26" s="35" t="n">
        <v>350</v>
      </c>
      <c r="E26" s="35" t="n">
        <v>139</v>
      </c>
      <c r="F26" s="35" t="n">
        <v>150</v>
      </c>
      <c r="G26" s="35" t="n">
        <v>252</v>
      </c>
      <c r="H26" s="35" t="n">
        <v>88</v>
      </c>
      <c r="I26" s="35" t="n">
        <v>23</v>
      </c>
      <c r="J26" s="37" t="n">
        <f aca="false">IFERROR(E26/E$48,0)</f>
        <v>0.00237201365187713</v>
      </c>
      <c r="K26" s="37" t="n">
        <f aca="false">IFERROR(F26/F$48,0)</f>
        <v>0.00334291636023267</v>
      </c>
      <c r="L26" s="37" t="n">
        <f aca="false">IFERROR(G26/G$48,0)</f>
        <v>0.00395356134295576</v>
      </c>
      <c r="M26" s="37" t="n">
        <f aca="false">IFERROR(H26/H$48,0)</f>
        <v>0.00989764930828928</v>
      </c>
      <c r="N26" s="37" t="n">
        <f aca="false">①石川予測確定!R27</f>
        <v>0.005824111822947</v>
      </c>
      <c r="O26" s="83" t="n">
        <f aca="false">N26-L26</f>
        <v>0.00187055047999124</v>
      </c>
      <c r="P26" s="83" t="n">
        <f aca="false">L26-I26</f>
        <v>-22.996046438657</v>
      </c>
      <c r="Q26" s="39" t="str">
        <f aca="false">IF(O26&gt;=0.005,"↑ 伸長",IF(O26&lt;=-0.005,"↓ 減退","→ 横ばい"))</f>
        <v>→ 横ばい</v>
      </c>
    </row>
    <row r="27" customFormat="false" ht="15" hidden="false" customHeight="false" outlineLevel="0" collapsed="false">
      <c r="A27" s="32" t="n">
        <v>22</v>
      </c>
      <c r="B27" s="32" t="s">
        <v>328</v>
      </c>
      <c r="C27" s="33" t="s">
        <v>329</v>
      </c>
      <c r="D27" s="35" t="n">
        <v>319</v>
      </c>
      <c r="E27" s="35" t="n">
        <v>99</v>
      </c>
      <c r="F27" s="35" t="n">
        <v>80</v>
      </c>
      <c r="G27" s="35" t="n">
        <v>171</v>
      </c>
      <c r="H27" s="35" t="n">
        <v>50</v>
      </c>
      <c r="I27" s="35" t="n">
        <v>19</v>
      </c>
      <c r="J27" s="37" t="n">
        <f aca="false">IFERROR(E27/E$48,0)</f>
        <v>0.00168941979522184</v>
      </c>
      <c r="K27" s="37" t="n">
        <f aca="false">IFERROR(F27/F$48,0)</f>
        <v>0.00178288872545742</v>
      </c>
      <c r="L27" s="37" t="n">
        <f aca="false">IFERROR(G27/G$48,0)</f>
        <v>0.00268277376843426</v>
      </c>
      <c r="M27" s="37" t="n">
        <f aca="false">IFERROR(H27/H$48,0)</f>
        <v>0.00562366437970982</v>
      </c>
      <c r="N27" s="37" t="n">
        <f aca="false">①石川予測確定!R28</f>
        <v>0.0052417006406523</v>
      </c>
      <c r="O27" s="83" t="n">
        <f aca="false">N27-L27</f>
        <v>0.00255892687221804</v>
      </c>
      <c r="P27" s="83" t="n">
        <f aca="false">L27-I27</f>
        <v>-18.9973172262316</v>
      </c>
      <c r="Q27" s="39" t="str">
        <f aca="false">IF(O27&gt;=0.005,"↑ 伸長",IF(O27&lt;=-0.005,"↓ 減退","→ 横ばい"))</f>
        <v>→ 横ばい</v>
      </c>
    </row>
    <row r="28" customFormat="false" ht="15" hidden="false" customHeight="false" outlineLevel="0" collapsed="false">
      <c r="A28" s="32" t="n">
        <v>23</v>
      </c>
      <c r="B28" s="32" t="s">
        <v>330</v>
      </c>
      <c r="C28" s="33" t="s">
        <v>331</v>
      </c>
      <c r="D28" s="35" t="n">
        <v>41156</v>
      </c>
      <c r="E28" s="35" t="n">
        <v>13583</v>
      </c>
      <c r="F28" s="35" t="n">
        <v>8800</v>
      </c>
      <c r="G28" s="35" t="n">
        <v>12724</v>
      </c>
      <c r="H28" s="35" t="n">
        <v>2175</v>
      </c>
      <c r="I28" s="35" t="n">
        <v>1018</v>
      </c>
      <c r="J28" s="37" t="n">
        <f aca="false">IFERROR(E28/E$48,0)</f>
        <v>0.23179180887372</v>
      </c>
      <c r="K28" s="37" t="n">
        <f aca="false">IFERROR(F28/F$48,0)</f>
        <v>0.196117759800316</v>
      </c>
      <c r="L28" s="37" t="n">
        <f aca="false">IFERROR(G28/G$48,0)</f>
        <v>0.19962347034829</v>
      </c>
      <c r="M28" s="37" t="n">
        <f aca="false">IFERROR(H28/H$48,0)</f>
        <v>0.244629400517377</v>
      </c>
      <c r="N28" s="37" t="n">
        <f aca="false">①石川予測確定!R29</f>
        <v>0.250825082508251</v>
      </c>
      <c r="O28" s="83" t="n">
        <f aca="false">N28-L28</f>
        <v>0.0512016121599609</v>
      </c>
      <c r="P28" s="83" t="n">
        <f aca="false">L28-I28</f>
        <v>-1017.80037652965</v>
      </c>
      <c r="Q28" s="39" t="str">
        <f aca="false">IF(O28&gt;=0.005,"↑ 伸長",IF(O28&lt;=-0.005,"↓ 減退","→ 横ばい"))</f>
        <v>↑ 伸長</v>
      </c>
    </row>
    <row r="29" customFormat="false" ht="15" hidden="false" customHeight="false" outlineLevel="0" collapsed="false">
      <c r="A29" s="32" t="n">
        <v>24</v>
      </c>
      <c r="B29" s="32" t="s">
        <v>332</v>
      </c>
      <c r="C29" s="33" t="s">
        <v>333</v>
      </c>
      <c r="D29" s="35" t="n">
        <v>14981</v>
      </c>
      <c r="E29" s="35" t="n">
        <v>8213</v>
      </c>
      <c r="F29" s="35" t="n">
        <v>5195</v>
      </c>
      <c r="G29" s="35" t="n">
        <v>6978</v>
      </c>
      <c r="H29" s="35" t="n">
        <v>1216</v>
      </c>
      <c r="I29" s="35" t="n">
        <v>668</v>
      </c>
      <c r="J29" s="37" t="n">
        <f aca="false">IFERROR(E29/E$48,0)</f>
        <v>0.140153583617747</v>
      </c>
      <c r="K29" s="37" t="n">
        <f aca="false">IFERROR(F29/F$48,0)</f>
        <v>0.115776336609391</v>
      </c>
      <c r="L29" s="37" t="n">
        <f aca="false">IFERROR(G29/G$48,0)</f>
        <v>0.109475996234703</v>
      </c>
      <c r="M29" s="37" t="n">
        <f aca="false">IFERROR(H29/H$48,0)</f>
        <v>0.136767517714543</v>
      </c>
      <c r="N29" s="37" t="n">
        <f aca="false">①石川予測確定!R30</f>
        <v>0.167928557561639</v>
      </c>
      <c r="O29" s="83" t="n">
        <f aca="false">N29-L29</f>
        <v>0.058452561326935</v>
      </c>
      <c r="P29" s="83" t="n">
        <f aca="false">L29-I29</f>
        <v>-667.890524003765</v>
      </c>
      <c r="Q29" s="39" t="str">
        <f aca="false">IF(O29&gt;=0.005,"↑ 伸長",IF(O29&lt;=-0.005,"↓ 減退","→ 横ばい"))</f>
        <v>↑ 伸長</v>
      </c>
    </row>
    <row r="30" customFormat="false" ht="15" hidden="false" customHeight="false" outlineLevel="0" collapsed="false">
      <c r="A30" s="32" t="n">
        <v>25</v>
      </c>
      <c r="B30" s="32" t="s">
        <v>334</v>
      </c>
      <c r="C30" s="33" t="s">
        <v>335</v>
      </c>
      <c r="D30" s="35" t="n">
        <v>849</v>
      </c>
      <c r="E30" s="35" t="n">
        <v>221</v>
      </c>
      <c r="F30" s="35" t="n">
        <v>168</v>
      </c>
      <c r="G30" s="35" t="n">
        <v>243</v>
      </c>
      <c r="H30" s="35" t="n">
        <v>54</v>
      </c>
      <c r="I30" s="35" t="n">
        <v>43</v>
      </c>
      <c r="J30" s="37" t="n">
        <f aca="false">IFERROR(E30/E$48,0)</f>
        <v>0.00377133105802048</v>
      </c>
      <c r="K30" s="37" t="n">
        <f aca="false">IFERROR(F30/F$48,0)</f>
        <v>0.00374406632346059</v>
      </c>
      <c r="L30" s="37" t="n">
        <f aca="false">IFERROR(G30/G$48,0)</f>
        <v>0.00381236272356448</v>
      </c>
      <c r="M30" s="37" t="n">
        <f aca="false">IFERROR(H30/H$48,0)</f>
        <v>0.0060735575300866</v>
      </c>
      <c r="N30" s="37" t="n">
        <f aca="false">①石川予測確定!R31</f>
        <v>0.0112599495243642</v>
      </c>
      <c r="O30" s="83" t="n">
        <f aca="false">N30-L30</f>
        <v>0.00744758680079972</v>
      </c>
      <c r="P30" s="83" t="n">
        <f aca="false">L30-I30</f>
        <v>-42.9961876372764</v>
      </c>
      <c r="Q30" s="39" t="str">
        <f aca="false">IF(O30&gt;=0.005,"↑ 伸長",IF(O30&lt;=-0.005,"↓ 減退","→ 横ばい"))</f>
        <v>↑ 伸長</v>
      </c>
    </row>
    <row r="31" customFormat="false" ht="15" hidden="false" customHeight="false" outlineLevel="0" collapsed="false">
      <c r="A31" s="32" t="n">
        <v>26</v>
      </c>
      <c r="B31" s="32" t="s">
        <v>336</v>
      </c>
      <c r="C31" s="33" t="s">
        <v>337</v>
      </c>
      <c r="D31" s="35" t="n">
        <v>1283</v>
      </c>
      <c r="E31" s="35" t="n">
        <v>513</v>
      </c>
      <c r="F31" s="35" t="n">
        <v>444</v>
      </c>
      <c r="G31" s="35" t="n">
        <v>842</v>
      </c>
      <c r="H31" s="35" t="n">
        <v>200</v>
      </c>
      <c r="I31" s="35" t="n">
        <v>50</v>
      </c>
      <c r="J31" s="37" t="n">
        <f aca="false">IFERROR(E31/E$48,0)</f>
        <v>0.0087542662116041</v>
      </c>
      <c r="K31" s="37" t="n">
        <f aca="false">IFERROR(F31/F$48,0)</f>
        <v>0.0098950324262887</v>
      </c>
      <c r="L31" s="37" t="n">
        <f aca="false">IFERROR(G31/G$48,0)</f>
        <v>0.0132099152808284</v>
      </c>
      <c r="M31" s="37" t="n">
        <f aca="false">IFERROR(H31/H$48,0)</f>
        <v>0.0224946575188393</v>
      </c>
      <c r="N31" s="37" t="n">
        <f aca="false">①石川予測確定!R32</f>
        <v>0.013589594253543</v>
      </c>
      <c r="O31" s="83" t="n">
        <f aca="false">N31-L31</f>
        <v>0.000379678972714636</v>
      </c>
      <c r="P31" s="83" t="n">
        <f aca="false">L31-I31</f>
        <v>-49.9867900847192</v>
      </c>
      <c r="Q31" s="39" t="str">
        <f aca="false">IF(O31&gt;=0.005,"↑ 伸長",IF(O31&lt;=-0.005,"↓ 減退","→ 横ばい"))</f>
        <v>→ 横ばい</v>
      </c>
    </row>
    <row r="32" customFormat="false" ht="15" hidden="false" customHeight="false" outlineLevel="0" collapsed="false">
      <c r="A32" s="32" t="n">
        <v>27</v>
      </c>
      <c r="B32" s="32" t="s">
        <v>338</v>
      </c>
      <c r="C32" s="33" t="s">
        <v>339</v>
      </c>
      <c r="D32" s="35" t="n">
        <v>466</v>
      </c>
      <c r="E32" s="35" t="n">
        <v>103</v>
      </c>
      <c r="F32" s="35" t="n">
        <v>69</v>
      </c>
      <c r="G32" s="35" t="n">
        <v>145</v>
      </c>
      <c r="H32" s="35" t="n">
        <v>50</v>
      </c>
      <c r="I32" s="35" t="n">
        <v>13</v>
      </c>
      <c r="J32" s="37" t="n">
        <f aca="false">IFERROR(E32/E$48,0)</f>
        <v>0.00175767918088737</v>
      </c>
      <c r="K32" s="37" t="n">
        <f aca="false">IFERROR(F32/F$48,0)</f>
        <v>0.00153774152570703</v>
      </c>
      <c r="L32" s="37" t="n">
        <f aca="false">IFERROR(G32/G$48,0)</f>
        <v>0.00227486664574835</v>
      </c>
      <c r="M32" s="37" t="n">
        <f aca="false">IFERROR(H32/H$48,0)</f>
        <v>0.00562366437970982</v>
      </c>
      <c r="N32" s="37" t="n">
        <f aca="false">①石川予測確定!R33</f>
        <v>0.0034944670937682</v>
      </c>
      <c r="O32" s="83" t="n">
        <f aca="false">N32-L32</f>
        <v>0.00121960044801985</v>
      </c>
      <c r="P32" s="83" t="n">
        <f aca="false">L32-I32</f>
        <v>-12.9977251333543</v>
      </c>
      <c r="Q32" s="39" t="str">
        <f aca="false">IF(O32&gt;=0.005,"↑ 伸長",IF(O32&lt;=-0.005,"↓ 減退","→ 横ばい"))</f>
        <v>→ 横ばい</v>
      </c>
    </row>
    <row r="33" customFormat="false" ht="15" hidden="false" customHeight="false" outlineLevel="0" collapsed="false">
      <c r="A33" s="32" t="n">
        <v>28</v>
      </c>
      <c r="B33" s="32" t="s">
        <v>340</v>
      </c>
      <c r="C33" s="33" t="s">
        <v>341</v>
      </c>
      <c r="D33" s="35" t="n">
        <v>1034</v>
      </c>
      <c r="E33" s="35" t="n">
        <v>436</v>
      </c>
      <c r="F33" s="35" t="n">
        <v>333</v>
      </c>
      <c r="G33" s="35" t="n">
        <v>400</v>
      </c>
      <c r="H33" s="35" t="n">
        <v>300</v>
      </c>
      <c r="I33" s="35" t="n">
        <v>80</v>
      </c>
      <c r="J33" s="37" t="n">
        <f aca="false">IFERROR(E33/E$48,0)</f>
        <v>0.00744027303754266</v>
      </c>
      <c r="K33" s="37" t="n">
        <f aca="false">IFERROR(F33/F$48,0)</f>
        <v>0.00742127431971652</v>
      </c>
      <c r="L33" s="37" t="n">
        <f aca="false">IFERROR(G33/G$48,0)</f>
        <v>0.00627549419516787</v>
      </c>
      <c r="M33" s="37" t="n">
        <f aca="false">IFERROR(H33/H$48,0)</f>
        <v>0.0337419862782589</v>
      </c>
      <c r="N33" s="37" t="n">
        <f aca="false">①石川予測確定!R34</f>
        <v>0.0178606095903708</v>
      </c>
      <c r="O33" s="83" t="n">
        <f aca="false">N33-L33</f>
        <v>0.0115851153952029</v>
      </c>
      <c r="P33" s="83" t="n">
        <f aca="false">L33-I33</f>
        <v>-79.9937245058048</v>
      </c>
      <c r="Q33" s="39" t="str">
        <f aca="false">IF(O33&gt;=0.005,"↑ 伸長",IF(O33&lt;=-0.005,"↓ 減退","→ 横ばい"))</f>
        <v>↑ 伸長</v>
      </c>
    </row>
    <row r="34" customFormat="false" ht="15" hidden="false" customHeight="false" outlineLevel="0" collapsed="false">
      <c r="A34" s="32" t="n">
        <v>29</v>
      </c>
      <c r="B34" s="32" t="s">
        <v>342</v>
      </c>
      <c r="C34" s="33" t="s">
        <v>343</v>
      </c>
      <c r="D34" s="35" t="n">
        <v>794</v>
      </c>
      <c r="E34" s="35" t="n">
        <v>318</v>
      </c>
      <c r="F34" s="35" t="n">
        <v>249</v>
      </c>
      <c r="G34" s="35" t="n">
        <v>200</v>
      </c>
      <c r="H34" s="35" t="n">
        <v>160</v>
      </c>
      <c r="I34" s="35" t="n">
        <v>71</v>
      </c>
      <c r="J34" s="37" t="n">
        <f aca="false">IFERROR(E34/E$48,0)</f>
        <v>0.00542662116040956</v>
      </c>
      <c r="K34" s="37" t="n">
        <f aca="false">IFERROR(F34/F$48,0)</f>
        <v>0.00554924115798623</v>
      </c>
      <c r="L34" s="37" t="n">
        <f aca="false">IFERROR(G34/G$48,0)</f>
        <v>0.00313774709758393</v>
      </c>
      <c r="M34" s="37" t="n">
        <f aca="false">IFERROR(H34/H$48,0)</f>
        <v>0.0179957260150714</v>
      </c>
      <c r="N34" s="37" t="n">
        <f aca="false">①石川予測確定!R35</f>
        <v>0.0161133760434867</v>
      </c>
      <c r="O34" s="83" t="n">
        <f aca="false">N34-L34</f>
        <v>0.0129756289459028</v>
      </c>
      <c r="P34" s="83" t="n">
        <f aca="false">L34-I34</f>
        <v>-70.9968622529024</v>
      </c>
      <c r="Q34" s="39" t="str">
        <f aca="false">IF(O34&gt;=0.005,"↑ 伸長",IF(O34&lt;=-0.005,"↓ 減退","→ 横ばい"))</f>
        <v>↑ 伸長</v>
      </c>
    </row>
    <row r="35" customFormat="false" ht="15" hidden="false" customHeight="false" outlineLevel="0" collapsed="false">
      <c r="A35" s="32" t="n">
        <v>30</v>
      </c>
      <c r="B35" s="32" t="s">
        <v>344</v>
      </c>
      <c r="C35" s="33" t="s">
        <v>345</v>
      </c>
      <c r="D35" s="35" t="n">
        <v>615</v>
      </c>
      <c r="E35" s="35" t="n">
        <v>169</v>
      </c>
      <c r="F35" s="35" t="n">
        <v>89</v>
      </c>
      <c r="G35" s="35" t="n">
        <v>205</v>
      </c>
      <c r="H35" s="35" t="n">
        <v>72</v>
      </c>
      <c r="I35" s="35" t="n">
        <v>34</v>
      </c>
      <c r="J35" s="37" t="n">
        <f aca="false">IFERROR(E35/E$48,0)</f>
        <v>0.0028839590443686</v>
      </c>
      <c r="K35" s="37" t="n">
        <f aca="false">IFERROR(F35/F$48,0)</f>
        <v>0.00198346370707138</v>
      </c>
      <c r="L35" s="37" t="n">
        <f aca="false">IFERROR(G35/G$48,0)</f>
        <v>0.00321619077502353</v>
      </c>
      <c r="M35" s="37" t="n">
        <f aca="false">IFERROR(H35/H$48,0)</f>
        <v>0.00809807670678214</v>
      </c>
      <c r="N35" s="37" t="n">
        <f aca="false">①石川予測確定!R36</f>
        <v>0.0087361677344205</v>
      </c>
      <c r="O35" s="83" t="n">
        <f aca="false">N35-L35</f>
        <v>0.00551997695939697</v>
      </c>
      <c r="P35" s="83" t="n">
        <f aca="false">L35-I35</f>
        <v>-33.996783809225</v>
      </c>
      <c r="Q35" s="39" t="str">
        <f aca="false">IF(O35&gt;=0.005,"↑ 伸長",IF(O35&lt;=-0.005,"↓ 減退","→ 横ばい"))</f>
        <v>↑ 伸長</v>
      </c>
    </row>
    <row r="36" customFormat="false" ht="15" hidden="false" customHeight="false" outlineLevel="0" collapsed="false">
      <c r="A36" s="32" t="n">
        <v>31</v>
      </c>
      <c r="B36" s="32" t="s">
        <v>346</v>
      </c>
      <c r="C36" s="33" t="s">
        <v>347</v>
      </c>
      <c r="D36" s="35" t="n">
        <v>1215</v>
      </c>
      <c r="E36" s="35" t="n">
        <v>235</v>
      </c>
      <c r="F36" s="35" t="n">
        <v>178</v>
      </c>
      <c r="G36" s="35" t="n">
        <v>427</v>
      </c>
      <c r="H36" s="35" t="n">
        <v>101</v>
      </c>
      <c r="I36" s="35" t="n">
        <v>47</v>
      </c>
      <c r="J36" s="37" t="n">
        <f aca="false">IFERROR(E36/E$48,0)</f>
        <v>0.00401023890784983</v>
      </c>
      <c r="K36" s="37" t="n">
        <f aca="false">IFERROR(F36/F$48,0)</f>
        <v>0.00396692741414277</v>
      </c>
      <c r="L36" s="37" t="n">
        <f aca="false">IFERROR(G36/G$48,0)</f>
        <v>0.0066990900533417</v>
      </c>
      <c r="M36" s="37" t="n">
        <f aca="false">IFERROR(H36/H$48,0)</f>
        <v>0.0113598020470138</v>
      </c>
      <c r="N36" s="37" t="n">
        <f aca="false">①石川予測確定!R37</f>
        <v>0.0118423607066589</v>
      </c>
      <c r="O36" s="83" t="n">
        <f aca="false">N36-L36</f>
        <v>0.0051432706533172</v>
      </c>
      <c r="P36" s="83" t="n">
        <f aca="false">L36-I36</f>
        <v>-46.9933009099467</v>
      </c>
      <c r="Q36" s="39" t="str">
        <f aca="false">IF(O36&gt;=0.005,"↑ 伸長",IF(O36&lt;=-0.005,"↓ 減退","→ 横ばい"))</f>
        <v>↑ 伸長</v>
      </c>
    </row>
    <row r="37" customFormat="false" ht="15" hidden="false" customHeight="false" outlineLevel="0" collapsed="false">
      <c r="A37" s="32" t="n">
        <v>32</v>
      </c>
      <c r="B37" s="32" t="s">
        <v>348</v>
      </c>
      <c r="C37" s="33" t="s">
        <v>349</v>
      </c>
      <c r="D37" s="35" t="n">
        <v>47</v>
      </c>
      <c r="E37" s="35" t="n">
        <v>36</v>
      </c>
      <c r="F37" s="35" t="n">
        <v>30</v>
      </c>
      <c r="G37" s="35" t="n">
        <v>40</v>
      </c>
      <c r="H37" s="35" t="n">
        <v>10</v>
      </c>
      <c r="I37" s="35" t="n">
        <v>5</v>
      </c>
      <c r="J37" s="37" t="n">
        <f aca="false">IFERROR(E37/E$48,0)</f>
        <v>0.000614334470989761</v>
      </c>
      <c r="K37" s="37" t="n">
        <f aca="false">IFERROR(F37/F$48,0)</f>
        <v>0.000668583272046533</v>
      </c>
      <c r="L37" s="37" t="n">
        <f aca="false">IFERROR(G37/G$48,0)</f>
        <v>0.000627549419516787</v>
      </c>
      <c r="M37" s="37" t="n">
        <f aca="false">IFERROR(H37/H$48,0)</f>
        <v>0.00112473287594196</v>
      </c>
      <c r="N37" s="37" t="n">
        <f aca="false">①石川予測確定!R38</f>
        <v>0.0009706853038245</v>
      </c>
      <c r="O37" s="83" t="n">
        <f aca="false">N37-L37</f>
        <v>0.000343135884307713</v>
      </c>
      <c r="P37" s="83" t="n">
        <f aca="false">L37-I37</f>
        <v>-4.99937245058048</v>
      </c>
      <c r="Q37" s="39" t="str">
        <f aca="false">IF(O37&gt;=0.005,"↑ 伸長",IF(O37&lt;=-0.005,"↓ 減退","→ 横ばい"))</f>
        <v>→ 横ばい</v>
      </c>
    </row>
    <row r="38" customFormat="false" ht="15" hidden="false" customHeight="false" outlineLevel="0" collapsed="false">
      <c r="A38" s="32" t="n">
        <v>33</v>
      </c>
      <c r="B38" s="32" t="s">
        <v>350</v>
      </c>
      <c r="C38" s="33" t="s">
        <v>351</v>
      </c>
      <c r="D38" s="35" t="n">
        <v>10</v>
      </c>
      <c r="E38" s="35" t="n">
        <v>37</v>
      </c>
      <c r="F38" s="35" t="n">
        <v>14</v>
      </c>
      <c r="G38" s="35" t="n">
        <v>21</v>
      </c>
      <c r="H38" s="35" t="n">
        <v>3</v>
      </c>
      <c r="I38" s="35" t="n">
        <v>4</v>
      </c>
      <c r="J38" s="37" t="n">
        <f aca="false">IFERROR(E38/E$48,0)</f>
        <v>0.000631399317406143</v>
      </c>
      <c r="K38" s="37" t="n">
        <f aca="false">IFERROR(F38/F$48,0)</f>
        <v>0.000312005526955049</v>
      </c>
      <c r="L38" s="37" t="n">
        <f aca="false">IFERROR(G38/G$48,0)</f>
        <v>0.000329463445246313</v>
      </c>
      <c r="M38" s="37" t="n">
        <f aca="false">IFERROR(H38/H$48,0)</f>
        <v>0.000337419862782589</v>
      </c>
      <c r="N38" s="37" t="n">
        <f aca="false">①石川予測確定!R39</f>
        <v>0.0009706853038245</v>
      </c>
      <c r="O38" s="83" t="n">
        <f aca="false">N38-L38</f>
        <v>0.000641221858578187</v>
      </c>
      <c r="P38" s="83" t="n">
        <f aca="false">L38-I38</f>
        <v>-3.99967053655475</v>
      </c>
      <c r="Q38" s="39" t="str">
        <f aca="false">IF(O38&gt;=0.005,"↑ 伸長",IF(O38&lt;=-0.005,"↓ 減退","→ 横ばい"))</f>
        <v>→ 横ばい</v>
      </c>
    </row>
    <row r="39" customFormat="false" ht="15" hidden="false" customHeight="false" outlineLevel="0" collapsed="false">
      <c r="A39" s="32" t="n">
        <v>34</v>
      </c>
      <c r="B39" s="32" t="s">
        <v>352</v>
      </c>
      <c r="C39" s="33" t="s">
        <v>353</v>
      </c>
      <c r="D39" s="35" t="n">
        <v>10</v>
      </c>
      <c r="E39" s="35" t="n">
        <v>3</v>
      </c>
      <c r="F39" s="35" t="n">
        <v>3</v>
      </c>
      <c r="G39" s="35" t="n">
        <v>3</v>
      </c>
      <c r="H39" s="35" t="n">
        <v>2</v>
      </c>
      <c r="I39" s="35" t="n">
        <v>1</v>
      </c>
      <c r="J39" s="37" t="n">
        <f aca="false">IFERROR(E39/E$48,0)</f>
        <v>5.11945392491468E-005</v>
      </c>
      <c r="K39" s="37" t="n">
        <f aca="false">IFERROR(F39/F$48,0)</f>
        <v>6.68583272046533E-005</v>
      </c>
      <c r="L39" s="37" t="n">
        <f aca="false">IFERROR(G39/G$48,0)</f>
        <v>4.7066206463759E-005</v>
      </c>
      <c r="M39" s="37" t="n">
        <f aca="false">IFERROR(H39/H$48,0)</f>
        <v>0.000224946575188393</v>
      </c>
      <c r="N39" s="37" t="n">
        <f aca="false">①石川予測確定!R40</f>
        <v>0.0001941370607649</v>
      </c>
      <c r="O39" s="83" t="n">
        <f aca="false">N39-L39</f>
        <v>0.000147070854301141</v>
      </c>
      <c r="P39" s="83" t="n">
        <f aca="false">L39-I39</f>
        <v>-0.999952933793536</v>
      </c>
      <c r="Q39" s="39" t="str">
        <f aca="false">IF(O39&gt;=0.005,"↑ 伸長",IF(O39&lt;=-0.005,"↓ 減退","→ 横ばい"))</f>
        <v>→ 横ばい</v>
      </c>
    </row>
    <row r="40" customFormat="false" ht="15" hidden="false" customHeight="false" outlineLevel="0" collapsed="false">
      <c r="A40" s="32" t="n">
        <v>35</v>
      </c>
      <c r="B40" s="32" t="s">
        <v>354</v>
      </c>
      <c r="C40" s="33" t="s">
        <v>355</v>
      </c>
      <c r="D40" s="35" t="n">
        <v>10</v>
      </c>
      <c r="E40" s="35" t="n">
        <v>3</v>
      </c>
      <c r="F40" s="35" t="n">
        <v>3</v>
      </c>
      <c r="G40" s="35" t="n">
        <v>3</v>
      </c>
      <c r="H40" s="35" t="n">
        <v>1</v>
      </c>
      <c r="I40" s="35" t="n">
        <v>1</v>
      </c>
      <c r="J40" s="37" t="n">
        <f aca="false">IFERROR(E40/E$48,0)</f>
        <v>5.11945392491468E-005</v>
      </c>
      <c r="K40" s="37" t="n">
        <f aca="false">IFERROR(F40/F$48,0)</f>
        <v>6.68583272046533E-005</v>
      </c>
      <c r="L40" s="37" t="n">
        <f aca="false">IFERROR(G40/G$48,0)</f>
        <v>4.7066206463759E-005</v>
      </c>
      <c r="M40" s="37" t="n">
        <f aca="false">IFERROR(H40/H$48,0)</f>
        <v>0.000112473287594196</v>
      </c>
      <c r="N40" s="37" t="n">
        <f aca="false">①石川予測確定!R41</f>
        <v>0.0001941370607649</v>
      </c>
      <c r="O40" s="83" t="n">
        <f aca="false">N40-L40</f>
        <v>0.000147070854301141</v>
      </c>
      <c r="P40" s="83" t="n">
        <f aca="false">L40-I40</f>
        <v>-0.999952933793536</v>
      </c>
      <c r="Q40" s="39" t="str">
        <f aca="false">IF(O40&gt;=0.005,"↑ 伸長",IF(O40&lt;=-0.005,"↓ 減退","→ 横ばい"))</f>
        <v>→ 横ばい</v>
      </c>
    </row>
    <row r="41" customFormat="false" ht="15" hidden="false" customHeight="false" outlineLevel="0" collapsed="false">
      <c r="A41" s="32" t="n">
        <v>36</v>
      </c>
      <c r="B41" s="32" t="s">
        <v>356</v>
      </c>
      <c r="C41" s="33" t="s">
        <v>357</v>
      </c>
      <c r="D41" s="35" t="n">
        <v>8</v>
      </c>
      <c r="E41" s="35" t="n">
        <v>3</v>
      </c>
      <c r="F41" s="35" t="n">
        <v>3</v>
      </c>
      <c r="G41" s="35" t="n">
        <v>3</v>
      </c>
      <c r="H41" s="35" t="n">
        <v>1</v>
      </c>
      <c r="I41" s="35" t="n">
        <v>1</v>
      </c>
      <c r="J41" s="37" t="n">
        <f aca="false">IFERROR(E41/E$48,0)</f>
        <v>5.11945392491468E-005</v>
      </c>
      <c r="K41" s="37" t="n">
        <f aca="false">IFERROR(F41/F$48,0)</f>
        <v>6.68583272046533E-005</v>
      </c>
      <c r="L41" s="37" t="n">
        <f aca="false">IFERROR(G41/G$48,0)</f>
        <v>4.7066206463759E-005</v>
      </c>
      <c r="M41" s="37" t="n">
        <f aca="false">IFERROR(H41/H$48,0)</f>
        <v>0.000112473287594196</v>
      </c>
      <c r="N41" s="37" t="n">
        <f aca="false">①石川予測確定!R42</f>
        <v>0.0001941370607649</v>
      </c>
      <c r="O41" s="83" t="n">
        <f aca="false">N41-L41</f>
        <v>0.000147070854301141</v>
      </c>
      <c r="P41" s="83" t="n">
        <f aca="false">L41-I41</f>
        <v>-0.999952933793536</v>
      </c>
      <c r="Q41" s="39" t="str">
        <f aca="false">IF(O41&gt;=0.005,"↑ 伸長",IF(O41&lt;=-0.005,"↓ 減退","→ 横ばい"))</f>
        <v>→ 横ばい</v>
      </c>
    </row>
    <row r="42" customFormat="false" ht="15" hidden="false" customHeight="false" outlineLevel="0" collapsed="false">
      <c r="A42" s="32" t="n">
        <v>37</v>
      </c>
      <c r="B42" s="32" t="s">
        <v>358</v>
      </c>
      <c r="C42" s="33" t="s">
        <v>359</v>
      </c>
      <c r="D42" s="35" t="n">
        <v>10</v>
      </c>
      <c r="E42" s="35" t="n">
        <v>19</v>
      </c>
      <c r="F42" s="35" t="n">
        <v>12</v>
      </c>
      <c r="G42" s="35" t="n">
        <v>26</v>
      </c>
      <c r="H42" s="35" t="n">
        <v>1</v>
      </c>
      <c r="I42" s="35" t="n">
        <v>4</v>
      </c>
      <c r="J42" s="37" t="n">
        <f aca="false">IFERROR(E42/E$48,0)</f>
        <v>0.000324232081911263</v>
      </c>
      <c r="K42" s="37" t="n">
        <f aca="false">IFERROR(F42/F$48,0)</f>
        <v>0.000267433308818613</v>
      </c>
      <c r="L42" s="37" t="n">
        <f aca="false">IFERROR(G42/G$48,0)</f>
        <v>0.000407907122685912</v>
      </c>
      <c r="M42" s="37" t="n">
        <f aca="false">IFERROR(H42/H$48,0)</f>
        <v>0.000112473287594196</v>
      </c>
      <c r="N42" s="37" t="n">
        <f aca="false">①石川予測確定!R43</f>
        <v>0.0009706853038245</v>
      </c>
      <c r="O42" s="83" t="n">
        <f aca="false">N42-L42</f>
        <v>0.000562778181138589</v>
      </c>
      <c r="P42" s="83" t="n">
        <f aca="false">L42-I42</f>
        <v>-3.99959209287731</v>
      </c>
      <c r="Q42" s="39" t="str">
        <f aca="false">IF(O42&gt;=0.005,"↑ 伸長",IF(O42&lt;=-0.005,"↓ 減退","→ 横ばい"))</f>
        <v>→ 横ばい</v>
      </c>
    </row>
    <row r="43" customFormat="false" ht="15" hidden="false" customHeight="false" outlineLevel="0" collapsed="false">
      <c r="A43" s="32" t="n">
        <v>38</v>
      </c>
      <c r="B43" s="32" t="s">
        <v>360</v>
      </c>
      <c r="C43" s="33" t="s">
        <v>361</v>
      </c>
      <c r="D43" s="35" t="n">
        <v>10</v>
      </c>
      <c r="E43" s="35" t="n">
        <v>3</v>
      </c>
      <c r="F43" s="35" t="n">
        <v>3</v>
      </c>
      <c r="G43" s="35" t="n">
        <v>3</v>
      </c>
      <c r="H43" s="35" t="n">
        <v>2</v>
      </c>
      <c r="I43" s="35" t="n">
        <v>1</v>
      </c>
      <c r="J43" s="37" t="n">
        <f aca="false">IFERROR(E43/E$48,0)</f>
        <v>5.11945392491468E-005</v>
      </c>
      <c r="K43" s="37" t="n">
        <f aca="false">IFERROR(F43/F$48,0)</f>
        <v>6.68583272046533E-005</v>
      </c>
      <c r="L43" s="37" t="n">
        <f aca="false">IFERROR(G43/G$48,0)</f>
        <v>4.7066206463759E-005</v>
      </c>
      <c r="M43" s="37" t="n">
        <f aca="false">IFERROR(H43/H$48,0)</f>
        <v>0.000224946575188393</v>
      </c>
      <c r="N43" s="37" t="n">
        <f aca="false">①石川予測確定!R44</f>
        <v>0.0001941370607649</v>
      </c>
      <c r="O43" s="83" t="n">
        <f aca="false">N43-L43</f>
        <v>0.000147070854301141</v>
      </c>
      <c r="P43" s="83" t="n">
        <f aca="false">L43-I43</f>
        <v>-0.999952933793536</v>
      </c>
      <c r="Q43" s="39" t="str">
        <f aca="false">IF(O43&gt;=0.005,"↑ 伸長",IF(O43&lt;=-0.005,"↓ 減退","→ 横ばい"))</f>
        <v>→ 横ばい</v>
      </c>
    </row>
    <row r="44" customFormat="false" ht="15" hidden="false" customHeight="false" outlineLevel="0" collapsed="false">
      <c r="A44" s="32" t="n">
        <v>39</v>
      </c>
      <c r="B44" s="32" t="s">
        <v>362</v>
      </c>
      <c r="C44" s="33" t="s">
        <v>363</v>
      </c>
      <c r="D44" s="35" t="n">
        <v>10</v>
      </c>
      <c r="E44" s="35" t="n">
        <v>3</v>
      </c>
      <c r="F44" s="35" t="n">
        <v>2</v>
      </c>
      <c r="G44" s="35" t="n">
        <v>3</v>
      </c>
      <c r="H44" s="35" t="n">
        <v>2</v>
      </c>
      <c r="I44" s="35" t="n">
        <v>1</v>
      </c>
      <c r="J44" s="37" t="n">
        <f aca="false">IFERROR(E44/E$48,0)</f>
        <v>5.11945392491468E-005</v>
      </c>
      <c r="K44" s="37" t="n">
        <f aca="false">IFERROR(F44/F$48,0)</f>
        <v>4.45722181364356E-005</v>
      </c>
      <c r="L44" s="37" t="n">
        <f aca="false">IFERROR(G44/G$48,0)</f>
        <v>4.7066206463759E-005</v>
      </c>
      <c r="M44" s="37" t="n">
        <f aca="false">IFERROR(H44/H$48,0)</f>
        <v>0.000224946575188393</v>
      </c>
      <c r="N44" s="37" t="n">
        <f aca="false">①石川予測確定!R45</f>
        <v>0.0003882741215298</v>
      </c>
      <c r="O44" s="83" t="n">
        <f aca="false">N44-L44</f>
        <v>0.000341207915066041</v>
      </c>
      <c r="P44" s="83" t="n">
        <f aca="false">L44-I44</f>
        <v>-0.999952933793536</v>
      </c>
      <c r="Q44" s="39" t="str">
        <f aca="false">IF(O44&gt;=0.005,"↑ 伸長",IF(O44&lt;=-0.005,"↓ 減退","→ 横ばい"))</f>
        <v>→ 横ばい</v>
      </c>
    </row>
    <row r="45" customFormat="false" ht="15" hidden="false" customHeight="false" outlineLevel="0" collapsed="false">
      <c r="A45" s="32" t="n">
        <v>40</v>
      </c>
      <c r="B45" s="32" t="s">
        <v>364</v>
      </c>
      <c r="C45" s="33" t="s">
        <v>365</v>
      </c>
      <c r="D45" s="35" t="n">
        <v>8</v>
      </c>
      <c r="E45" s="35" t="n">
        <v>3</v>
      </c>
      <c r="F45" s="35" t="n">
        <v>3</v>
      </c>
      <c r="G45" s="35" t="n">
        <v>3</v>
      </c>
      <c r="H45" s="35" t="n">
        <v>0</v>
      </c>
      <c r="I45" s="35" t="n">
        <v>1</v>
      </c>
      <c r="J45" s="37" t="n">
        <f aca="false">IFERROR(E45/E$48,0)</f>
        <v>5.11945392491468E-005</v>
      </c>
      <c r="K45" s="37" t="n">
        <f aca="false">IFERROR(F45/F$48,0)</f>
        <v>6.68583272046533E-005</v>
      </c>
      <c r="L45" s="37" t="n">
        <f aca="false">IFERROR(G45/G$48,0)</f>
        <v>4.7066206463759E-005</v>
      </c>
      <c r="M45" s="37" t="n">
        <f aca="false">IFERROR(H45/H$48,0)</f>
        <v>0</v>
      </c>
      <c r="N45" s="37" t="n">
        <f aca="false">①石川予測確定!R46</f>
        <v>0.0001941370607649</v>
      </c>
      <c r="O45" s="83" t="n">
        <f aca="false">N45-L45</f>
        <v>0.000147070854301141</v>
      </c>
      <c r="P45" s="83" t="n">
        <f aca="false">L45-I45</f>
        <v>-0.999952933793536</v>
      </c>
      <c r="Q45" s="39" t="str">
        <f aca="false">IF(O45&gt;=0.005,"↑ 伸長",IF(O45&lt;=-0.005,"↓ 減退","→ 横ばい"))</f>
        <v>→ 横ばい</v>
      </c>
    </row>
    <row r="46" customFormat="false" ht="15" hidden="false" customHeight="false" outlineLevel="0" collapsed="false">
      <c r="A46" s="32" t="n">
        <v>41</v>
      </c>
      <c r="B46" s="32" t="s">
        <v>366</v>
      </c>
      <c r="C46" s="33" t="s">
        <v>367</v>
      </c>
      <c r="D46" s="35" t="n">
        <v>12</v>
      </c>
      <c r="E46" s="35" t="n">
        <v>5</v>
      </c>
      <c r="F46" s="35" t="n">
        <v>1</v>
      </c>
      <c r="G46" s="35" t="n">
        <v>2</v>
      </c>
      <c r="H46" s="35" t="n">
        <v>0</v>
      </c>
      <c r="I46" s="35" t="n">
        <v>0</v>
      </c>
      <c r="J46" s="37" t="n">
        <f aca="false">IFERROR(E46/E$48,0)</f>
        <v>8.53242320819113E-005</v>
      </c>
      <c r="K46" s="37" t="n">
        <f aca="false">IFERROR(F46/F$48,0)</f>
        <v>2.22861090682178E-005</v>
      </c>
      <c r="L46" s="37" t="n">
        <f aca="false">IFERROR(G46/G$48,0)</f>
        <v>3.13774709758394E-005</v>
      </c>
      <c r="M46" s="37" t="n">
        <f aca="false">IFERROR(H46/H$48,0)</f>
        <v>0</v>
      </c>
      <c r="N46" s="37" t="n">
        <f aca="false">①石川予測確定!R47</f>
        <v>0</v>
      </c>
      <c r="O46" s="83" t="n">
        <f aca="false">N46-L46</f>
        <v>-3.13774709758394E-005</v>
      </c>
      <c r="P46" s="83" t="n">
        <f aca="false">L46-I46</f>
        <v>3.13774709758394E-005</v>
      </c>
      <c r="Q46" s="39" t="str">
        <f aca="false">IF(O46&gt;=0.005,"↑ 伸長",IF(O46&lt;=-0.005,"↓ 減退","→ 横ばい"))</f>
        <v>→ 横ばい</v>
      </c>
    </row>
    <row r="47" customFormat="false" ht="15" hidden="false" customHeight="false" outlineLevel="0" collapsed="false">
      <c r="A47" s="32" t="n">
        <v>42</v>
      </c>
      <c r="B47" s="32" t="s">
        <v>368</v>
      </c>
      <c r="C47" s="33" t="s">
        <v>369</v>
      </c>
      <c r="D47" s="35" t="n">
        <v>24</v>
      </c>
      <c r="E47" s="35" t="n">
        <v>8</v>
      </c>
      <c r="F47" s="35" t="n">
        <v>3</v>
      </c>
      <c r="G47" s="35" t="n">
        <v>8</v>
      </c>
      <c r="H47" s="35" t="n">
        <v>1</v>
      </c>
      <c r="I47" s="35" t="n">
        <v>0</v>
      </c>
      <c r="J47" s="37" t="n">
        <f aca="false">IFERROR(E47/E$48,0)</f>
        <v>0.000136518771331058</v>
      </c>
      <c r="K47" s="37" t="n">
        <f aca="false">IFERROR(F47/F$48,0)</f>
        <v>6.68583272046533E-005</v>
      </c>
      <c r="L47" s="37" t="n">
        <f aca="false">IFERROR(G47/G$48,0)</f>
        <v>0.000125509883903357</v>
      </c>
      <c r="M47" s="37" t="n">
        <f aca="false">IFERROR(H47/H$48,0)</f>
        <v>0.000112473287594196</v>
      </c>
      <c r="N47" s="37" t="n">
        <f aca="false">①石川予測確定!R48</f>
        <v>0</v>
      </c>
      <c r="O47" s="83" t="n">
        <f aca="false">N47-L47</f>
        <v>-0.000125509883903357</v>
      </c>
      <c r="P47" s="83" t="n">
        <f aca="false">L47-I47</f>
        <v>0.000125509883903357</v>
      </c>
      <c r="Q47" s="39" t="str">
        <f aca="false">IF(O47&gt;=0.005,"↑ 伸長",IF(O47&lt;=-0.005,"↓ 減退","→ 横ばい"))</f>
        <v>→ 横ばい</v>
      </c>
    </row>
    <row r="48" customFormat="false" ht="15" hidden="false" customHeight="false" outlineLevel="0" collapsed="false">
      <c r="A48" s="40"/>
      <c r="B48" s="40"/>
      <c r="C48" s="41" t="s">
        <v>370</v>
      </c>
      <c r="D48" s="42" t="n">
        <f aca="false">SUM(D6:D47)</f>
        <v>148185</v>
      </c>
      <c r="E48" s="42" t="n">
        <f aca="false">SUM(E6:E47)</f>
        <v>58600</v>
      </c>
      <c r="F48" s="42" t="n">
        <f aca="false">SUM(F6:F47)</f>
        <v>44871</v>
      </c>
      <c r="G48" s="42" t="n">
        <f aca="false">SUM(G6:G47)</f>
        <v>63740</v>
      </c>
      <c r="H48" s="42" t="n">
        <f aca="false">SUM(H6:H47)</f>
        <v>8891</v>
      </c>
      <c r="I48" s="42" t="n">
        <f aca="false">SUM(I6:I47)</f>
        <v>4022</v>
      </c>
      <c r="J48" s="45" t="n">
        <v>1</v>
      </c>
      <c r="K48" s="45" t="n">
        <v>1</v>
      </c>
      <c r="L48" s="45" t="n">
        <v>1</v>
      </c>
      <c r="M48" s="45" t="n">
        <v>1</v>
      </c>
      <c r="N48" s="45" t="n">
        <v>1</v>
      </c>
      <c r="O48" s="40"/>
      <c r="P48" s="40"/>
      <c r="Q48" s="40"/>
    </row>
  </sheetData>
  <conditionalFormatting sqref="Q6:Q47">
    <cfRule type="expression" priority="2" aboveAverage="0" equalAverage="0" bottom="0" percent="0" rank="0" text="" dxfId="2">
      <formula>$Q6="↑ 伸長"</formula>
    </cfRule>
    <cfRule type="expression" priority="3" aboveAverage="0" equalAverage="0" bottom="0" percent="0" rank="0" text="" dxfId="1">
      <formula>$Q6="↓ 減退"</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6" min="2" style="0" width="12"/>
    <col collapsed="false" customWidth="true" hidden="false" outlineLevel="0" max="7" min="7" style="0" width="14"/>
    <col collapsed="false" customWidth="true" hidden="false" outlineLevel="0" max="8" min="8" style="0" width="10"/>
    <col collapsed="false" customWidth="true" hidden="false" outlineLevel="0" max="9" min="9" style="0" width="44"/>
  </cols>
  <sheetData>
    <row r="1" customFormat="false" ht="20.1" hidden="false" customHeight="false" outlineLevel="0" collapsed="false">
      <c r="A1" s="1" t="s">
        <v>588</v>
      </c>
    </row>
    <row r="2" customFormat="false" ht="15" hidden="false" customHeight="false" outlineLevel="0" collapsed="false">
      <c r="A2" s="3" t="s">
        <v>589</v>
      </c>
    </row>
    <row r="4" customFormat="false" ht="15" hidden="false" customHeight="false" outlineLevel="0" collapsed="false">
      <c r="A4" s="4" t="s">
        <v>590</v>
      </c>
    </row>
    <row r="5" customFormat="false" ht="15" hidden="false" customHeight="false" outlineLevel="0" collapsed="false">
      <c r="A5" s="18" t="s">
        <v>591</v>
      </c>
    </row>
    <row r="6" customFormat="false" ht="15" hidden="false" customHeight="false" outlineLevel="0" collapsed="false">
      <c r="A6" s="18" t="s">
        <v>592</v>
      </c>
    </row>
    <row r="7" customFormat="false" ht="15" hidden="false" customHeight="false" outlineLevel="0" collapsed="false">
      <c r="A7" s="18" t="s">
        <v>593</v>
      </c>
    </row>
    <row r="8" customFormat="false" ht="15" hidden="false" customHeight="false" outlineLevel="0" collapsed="false">
      <c r="A8" s="18" t="s">
        <v>594</v>
      </c>
    </row>
    <row r="10" customFormat="false" ht="15" hidden="false" customHeight="false" outlineLevel="0" collapsed="false">
      <c r="A10" s="4" t="s">
        <v>595</v>
      </c>
    </row>
    <row r="11" customFormat="false" ht="31.5" hidden="false" customHeight="true" outlineLevel="0" collapsed="false">
      <c r="A11" s="26" t="s">
        <v>414</v>
      </c>
      <c r="B11" s="47" t="s">
        <v>376</v>
      </c>
      <c r="C11" s="48" t="s">
        <v>377</v>
      </c>
      <c r="D11" s="28" t="s">
        <v>378</v>
      </c>
      <c r="E11" s="29" t="s">
        <v>379</v>
      </c>
      <c r="F11" s="30" t="s">
        <v>380</v>
      </c>
      <c r="G11" s="31" t="s">
        <v>596</v>
      </c>
      <c r="H11" s="31" t="s">
        <v>597</v>
      </c>
      <c r="I11" s="68" t="s">
        <v>598</v>
      </c>
    </row>
    <row r="12" customFormat="false" ht="15" hidden="false" customHeight="false" outlineLevel="0" collapsed="false">
      <c r="A12" s="52" t="s">
        <v>415</v>
      </c>
      <c r="B12" s="34" t="n">
        <v>2159</v>
      </c>
      <c r="C12" s="34" t="n">
        <v>2099</v>
      </c>
      <c r="D12" s="34" t="n">
        <v>1634</v>
      </c>
      <c r="E12" s="34" t="n">
        <v>1455</v>
      </c>
      <c r="F12" s="34" t="n">
        <v>703</v>
      </c>
      <c r="G12" s="84" t="n">
        <f aca="false">E12-C12</f>
        <v>-644</v>
      </c>
      <c r="H12" s="85" t="n">
        <f aca="false">IFERROR(G12/C12,"")</f>
        <v>-0.306812767984755</v>
      </c>
      <c r="I12" s="33" t="s">
        <v>599</v>
      </c>
    </row>
    <row r="13" customFormat="false" ht="15" hidden="false" customHeight="false" outlineLevel="0" collapsed="false">
      <c r="A13" s="50" t="s">
        <v>416</v>
      </c>
      <c r="B13" s="34" t="n">
        <v>4039</v>
      </c>
      <c r="C13" s="34" t="n">
        <v>2464</v>
      </c>
      <c r="D13" s="34" t="n">
        <v>1784</v>
      </c>
      <c r="E13" s="34" t="n">
        <v>2883</v>
      </c>
      <c r="F13" s="34" t="n">
        <v>1565</v>
      </c>
      <c r="G13" s="84" t="n">
        <f aca="false">E13-C13</f>
        <v>419</v>
      </c>
      <c r="H13" s="85" t="n">
        <f aca="false">IFERROR(G13/C13,"")</f>
        <v>0.170048701298701</v>
      </c>
      <c r="I13" s="33" t="s">
        <v>600</v>
      </c>
    </row>
    <row r="14" customFormat="false" ht="15" hidden="false" customHeight="false" outlineLevel="0" collapsed="false">
      <c r="A14" s="50" t="s">
        <v>417</v>
      </c>
      <c r="B14" s="34" t="n">
        <v>697</v>
      </c>
      <c r="C14" s="34" t="n">
        <v>549</v>
      </c>
      <c r="D14" s="34" t="n">
        <v>435</v>
      </c>
      <c r="E14" s="34" t="n">
        <v>1047</v>
      </c>
      <c r="F14" s="34" t="n">
        <v>674</v>
      </c>
      <c r="G14" s="84" t="n">
        <f aca="false">E14-C14</f>
        <v>498</v>
      </c>
      <c r="H14" s="85" t="n">
        <f aca="false">IFERROR(G14/C14,"")</f>
        <v>0.907103825136612</v>
      </c>
      <c r="I14" s="33" t="s">
        <v>601</v>
      </c>
    </row>
    <row r="15" customFormat="false" ht="15" hidden="false" customHeight="false" outlineLevel="0" collapsed="false">
      <c r="A15" s="52" t="s">
        <v>418</v>
      </c>
      <c r="B15" s="34" t="n">
        <v>0</v>
      </c>
      <c r="C15" s="34" t="n">
        <v>1656</v>
      </c>
      <c r="D15" s="34" t="n">
        <v>1292</v>
      </c>
      <c r="E15" s="34" t="n">
        <v>984</v>
      </c>
      <c r="F15" s="34" t="n">
        <v>742</v>
      </c>
      <c r="G15" s="84" t="n">
        <f aca="false">E15-C15</f>
        <v>-672</v>
      </c>
      <c r="H15" s="85" t="n">
        <f aca="false">IFERROR(G15/C15,"")</f>
        <v>-0.405797101449275</v>
      </c>
      <c r="I15" s="55" t="s">
        <v>602</v>
      </c>
    </row>
    <row r="16" customFormat="false" ht="15" hidden="false" customHeight="false" outlineLevel="0" collapsed="false">
      <c r="A16" s="52" t="s">
        <v>419</v>
      </c>
      <c r="B16" s="34" t="n">
        <v>252</v>
      </c>
      <c r="C16" s="34" t="n">
        <v>244</v>
      </c>
      <c r="D16" s="34" t="n">
        <v>412</v>
      </c>
      <c r="E16" s="34" t="n">
        <v>512</v>
      </c>
      <c r="F16" s="34" t="n">
        <v>320</v>
      </c>
      <c r="G16" s="84" t="n">
        <f aca="false">E16-C16</f>
        <v>268</v>
      </c>
      <c r="H16" s="85" t="n">
        <f aca="false">IFERROR(G16/C16,"")</f>
        <v>1.09836065573771</v>
      </c>
      <c r="I16" s="33" t="s">
        <v>603</v>
      </c>
    </row>
    <row r="17" customFormat="false" ht="15" hidden="false" customHeight="false" outlineLevel="0" collapsed="false">
      <c r="A17" s="50" t="s">
        <v>420</v>
      </c>
      <c r="B17" s="34" t="n">
        <v>420</v>
      </c>
      <c r="C17" s="34" t="n">
        <v>0</v>
      </c>
      <c r="D17" s="34" t="n">
        <v>0</v>
      </c>
      <c r="E17" s="34" t="n">
        <v>0</v>
      </c>
      <c r="F17" s="34" t="n">
        <v>0</v>
      </c>
      <c r="G17" s="84" t="n">
        <f aca="false">E17-C17</f>
        <v>0</v>
      </c>
      <c r="H17" s="85" t="str">
        <f aca="false">IFERROR(G17/C17,"")</f>
        <v/>
      </c>
      <c r="I17" s="33" t="s">
        <v>604</v>
      </c>
    </row>
    <row r="18" customFormat="false" ht="15" hidden="false" customHeight="false" outlineLevel="0" collapsed="false">
      <c r="A18" s="41" t="s">
        <v>605</v>
      </c>
      <c r="B18" s="44" t="n">
        <v>7567</v>
      </c>
      <c r="C18" s="44" t="n">
        <v>7012</v>
      </c>
      <c r="D18" s="44" t="n">
        <v>5557</v>
      </c>
      <c r="E18" s="44" t="n">
        <v>6882</v>
      </c>
      <c r="F18" s="44" t="n">
        <v>4004</v>
      </c>
      <c r="G18" s="86" t="n">
        <f aca="false">E18-C18</f>
        <v>-130</v>
      </c>
      <c r="H18" s="87" t="n">
        <f aca="false">IFERROR(G18/C18,"")</f>
        <v>-0.0185396463205933</v>
      </c>
      <c r="I18" s="41" t="s">
        <v>606</v>
      </c>
    </row>
    <row r="20" customFormat="false" ht="15" hidden="false" customHeight="false" outlineLevel="0" collapsed="false">
      <c r="A20" s="4" t="s">
        <v>607</v>
      </c>
    </row>
    <row r="21" customFormat="false" ht="31.5" hidden="false" customHeight="true" outlineLevel="0" collapsed="false">
      <c r="A21" s="26" t="s">
        <v>424</v>
      </c>
      <c r="B21" s="26" t="s">
        <v>426</v>
      </c>
      <c r="C21" s="26" t="s">
        <v>608</v>
      </c>
      <c r="D21" s="25" t="s">
        <v>609</v>
      </c>
      <c r="E21" s="25" t="s">
        <v>610</v>
      </c>
      <c r="F21" s="26" t="s">
        <v>611</v>
      </c>
      <c r="G21" s="26" t="s">
        <v>612</v>
      </c>
    </row>
    <row r="22" customFormat="false" ht="25.35" hidden="false" customHeight="false" outlineLevel="0" collapsed="false">
      <c r="A22" s="54" t="s">
        <v>376</v>
      </c>
      <c r="B22" s="35" t="n">
        <v>332</v>
      </c>
      <c r="C22" s="34" t="n">
        <v>7567</v>
      </c>
      <c r="D22" s="34" t="n">
        <v>2159</v>
      </c>
      <c r="E22" s="84"/>
      <c r="F22" s="34" t="n">
        <v>7567</v>
      </c>
      <c r="G22" s="69" t="s">
        <v>613</v>
      </c>
    </row>
    <row r="23" customFormat="false" ht="49.25" hidden="false" customHeight="false" outlineLevel="0" collapsed="false">
      <c r="A23" s="54" t="s">
        <v>377</v>
      </c>
      <c r="B23" s="35" t="n">
        <v>85</v>
      </c>
      <c r="C23" s="34" t="n">
        <v>1480</v>
      </c>
      <c r="D23" s="34" t="n">
        <v>2099</v>
      </c>
      <c r="E23" s="84" t="n">
        <f aca="false">D23-D22</f>
        <v>-60</v>
      </c>
      <c r="F23" s="34" t="n">
        <v>7012</v>
      </c>
      <c r="G23" s="72" t="s">
        <v>614</v>
      </c>
    </row>
    <row r="24" customFormat="false" ht="73.1" hidden="false" customHeight="false" outlineLevel="0" collapsed="false">
      <c r="A24" s="54" t="s">
        <v>378</v>
      </c>
      <c r="B24" s="35" t="n">
        <v>19</v>
      </c>
      <c r="C24" s="34" t="n">
        <v>712</v>
      </c>
      <c r="D24" s="34" t="n">
        <v>1634</v>
      </c>
      <c r="E24" s="84" t="n">
        <f aca="false">D24-D23</f>
        <v>-465</v>
      </c>
      <c r="F24" s="34" t="n">
        <v>5557</v>
      </c>
      <c r="G24" s="69" t="s">
        <v>615</v>
      </c>
    </row>
    <row r="25" customFormat="false" ht="85.05" hidden="false" customHeight="false" outlineLevel="0" collapsed="false">
      <c r="A25" s="54" t="s">
        <v>379</v>
      </c>
      <c r="B25" s="35" t="n">
        <v>106</v>
      </c>
      <c r="C25" s="34" t="n">
        <v>1360</v>
      </c>
      <c r="D25" s="34" t="n">
        <v>1455</v>
      </c>
      <c r="E25" s="84" t="n">
        <f aca="false">D25-D24</f>
        <v>-179</v>
      </c>
      <c r="F25" s="34" t="n">
        <v>6882</v>
      </c>
      <c r="G25" s="69" t="s">
        <v>616</v>
      </c>
    </row>
    <row r="26" customFormat="false" ht="25.35" hidden="false" customHeight="false" outlineLevel="0" collapsed="false">
      <c r="A26" s="54" t="s">
        <v>380</v>
      </c>
      <c r="B26" s="35" t="n">
        <v>0</v>
      </c>
      <c r="C26" s="34" t="n">
        <v>0</v>
      </c>
      <c r="D26" s="34" t="n">
        <v>703</v>
      </c>
      <c r="E26" s="84" t="n">
        <f aca="false">D26-D25</f>
        <v>-752</v>
      </c>
      <c r="F26" s="34" t="n">
        <v>4004</v>
      </c>
      <c r="G26" s="69" t="s">
        <v>617</v>
      </c>
    </row>
    <row r="27" customFormat="false" ht="25.35" hidden="false" customHeight="false" outlineLevel="0" collapsed="false">
      <c r="A27" s="54" t="s">
        <v>381</v>
      </c>
      <c r="B27" s="35" t="n">
        <v>0</v>
      </c>
      <c r="C27" s="34" t="n">
        <v>0</v>
      </c>
      <c r="D27" s="34" t="n">
        <v>639</v>
      </c>
      <c r="E27" s="84" t="n">
        <f aca="false">D27-D26</f>
        <v>-64</v>
      </c>
      <c r="F27" s="34" t="n">
        <v>3713</v>
      </c>
      <c r="G27" s="69" t="s">
        <v>617</v>
      </c>
    </row>
    <row r="30" customFormat="false" ht="15" hidden="false" customHeight="false" outlineLevel="0" collapsed="false">
      <c r="A30" s="88" t="s">
        <v>618</v>
      </c>
    </row>
    <row r="31" customFormat="false" ht="31.5" hidden="false" customHeight="true" outlineLevel="0" collapsed="false">
      <c r="A31" s="25" t="s">
        <v>619</v>
      </c>
      <c r="B31" s="47" t="s">
        <v>376</v>
      </c>
      <c r="C31" s="48" t="s">
        <v>377</v>
      </c>
      <c r="D31" s="28" t="s">
        <v>378</v>
      </c>
      <c r="E31" s="29" t="s">
        <v>379</v>
      </c>
      <c r="F31" s="30" t="s">
        <v>380</v>
      </c>
      <c r="G31" s="31" t="s">
        <v>596</v>
      </c>
      <c r="H31" s="89" t="s">
        <v>620</v>
      </c>
      <c r="I31" s="31" t="s">
        <v>621</v>
      </c>
    </row>
    <row r="32" customFormat="false" ht="25.35" hidden="false" customHeight="false" outlineLevel="0" collapsed="false">
      <c r="A32" s="50" t="s">
        <v>622</v>
      </c>
      <c r="B32" s="34" t="n">
        <v>632</v>
      </c>
      <c r="C32" s="34" t="n">
        <v>801</v>
      </c>
      <c r="D32" s="34" t="n">
        <v>722</v>
      </c>
      <c r="E32" s="34" t="n">
        <v>529</v>
      </c>
      <c r="F32" s="34" t="n">
        <v>85</v>
      </c>
      <c r="G32" s="84" t="n">
        <f aca="false">E32-C32</f>
        <v>-272</v>
      </c>
      <c r="H32" s="37" t="n">
        <f aca="false">IFERROR(G32/G$39,"")</f>
        <v>0.423017107309487</v>
      </c>
      <c r="I32" s="69" t="s">
        <v>623</v>
      </c>
    </row>
    <row r="33" customFormat="false" ht="25.35" hidden="false" customHeight="false" outlineLevel="0" collapsed="false">
      <c r="A33" s="50" t="s">
        <v>624</v>
      </c>
      <c r="B33" s="34" t="n">
        <v>712</v>
      </c>
      <c r="C33" s="34" t="n">
        <v>662</v>
      </c>
      <c r="D33" s="34" t="n">
        <v>442</v>
      </c>
      <c r="E33" s="34" t="n">
        <v>378</v>
      </c>
      <c r="F33" s="34" t="n">
        <v>198</v>
      </c>
      <c r="G33" s="84" t="n">
        <f aca="false">E33-C33</f>
        <v>-284</v>
      </c>
      <c r="H33" s="37" t="n">
        <f aca="false">IFERROR(G33/G$39,"")</f>
        <v>0.441679626749611</v>
      </c>
      <c r="I33" s="69" t="s">
        <v>625</v>
      </c>
    </row>
    <row r="34" customFormat="false" ht="25.35" hidden="false" customHeight="false" outlineLevel="0" collapsed="false">
      <c r="A34" s="50" t="s">
        <v>626</v>
      </c>
      <c r="B34" s="34" t="n">
        <v>215</v>
      </c>
      <c r="C34" s="34" t="n">
        <v>117</v>
      </c>
      <c r="D34" s="34" t="n">
        <v>99</v>
      </c>
      <c r="E34" s="34" t="n">
        <v>124</v>
      </c>
      <c r="F34" s="34" t="n">
        <v>98</v>
      </c>
      <c r="G34" s="84" t="n">
        <f aca="false">E34-C34</f>
        <v>7</v>
      </c>
      <c r="H34" s="37" t="n">
        <f aca="false">IFERROR(G34/G$39,"")</f>
        <v>-0.0108864696734059</v>
      </c>
      <c r="I34" s="69" t="s">
        <v>627</v>
      </c>
    </row>
    <row r="35" customFormat="false" ht="15" hidden="false" customHeight="false" outlineLevel="0" collapsed="false">
      <c r="A35" s="50" t="s">
        <v>628</v>
      </c>
      <c r="B35" s="34" t="n">
        <v>184</v>
      </c>
      <c r="C35" s="34" t="n">
        <v>148</v>
      </c>
      <c r="D35" s="34" t="n">
        <v>104</v>
      </c>
      <c r="E35" s="34" t="n">
        <v>149</v>
      </c>
      <c r="F35" s="34" t="n">
        <v>81</v>
      </c>
      <c r="G35" s="84" t="n">
        <f aca="false">E35-C35</f>
        <v>1</v>
      </c>
      <c r="H35" s="37" t="n">
        <f aca="false">IFERROR(G35/G$39,"")</f>
        <v>-0.0015552099533437</v>
      </c>
      <c r="I35" s="69" t="s">
        <v>629</v>
      </c>
    </row>
    <row r="36" customFormat="false" ht="15" hidden="false" customHeight="false" outlineLevel="0" collapsed="false">
      <c r="A36" s="50" t="s">
        <v>630</v>
      </c>
      <c r="B36" s="34" t="n">
        <v>115</v>
      </c>
      <c r="C36" s="34" t="n">
        <v>49</v>
      </c>
      <c r="D36" s="34" t="n">
        <v>37</v>
      </c>
      <c r="E36" s="34" t="n">
        <v>52</v>
      </c>
      <c r="F36" s="34" t="n">
        <v>30</v>
      </c>
      <c r="G36" s="84" t="n">
        <f aca="false">E36-C36</f>
        <v>3</v>
      </c>
      <c r="H36" s="37" t="n">
        <f aca="false">IFERROR(G36/G$39,"")</f>
        <v>-0.00466562986003111</v>
      </c>
      <c r="I36" s="69" t="s">
        <v>631</v>
      </c>
    </row>
    <row r="37" customFormat="false" ht="25.35" hidden="false" customHeight="false" outlineLevel="0" collapsed="false">
      <c r="A37" s="50" t="s">
        <v>632</v>
      </c>
      <c r="B37" s="34" t="n">
        <v>247</v>
      </c>
      <c r="C37" s="34" t="n">
        <v>203</v>
      </c>
      <c r="D37" s="34" t="n">
        <v>161</v>
      </c>
      <c r="E37" s="34" t="n">
        <v>159</v>
      </c>
      <c r="F37" s="34" t="n">
        <v>177</v>
      </c>
      <c r="G37" s="84" t="n">
        <f aca="false">E37-C37</f>
        <v>-44</v>
      </c>
      <c r="H37" s="37" t="n">
        <f aca="false">IFERROR(G37/G$39,"")</f>
        <v>0.0684292379471229</v>
      </c>
      <c r="I37" s="69" t="s">
        <v>633</v>
      </c>
    </row>
    <row r="38" customFormat="false" ht="15" hidden="false" customHeight="false" outlineLevel="0" collapsed="false">
      <c r="A38" s="50" t="s">
        <v>634</v>
      </c>
      <c r="B38" s="34" t="n">
        <v>54</v>
      </c>
      <c r="C38" s="34" t="n">
        <v>119</v>
      </c>
      <c r="D38" s="34" t="n">
        <v>68</v>
      </c>
      <c r="E38" s="34" t="n">
        <v>65</v>
      </c>
      <c r="F38" s="34" t="n">
        <v>35</v>
      </c>
      <c r="G38" s="84" t="n">
        <f aca="false">E38-C38</f>
        <v>-54</v>
      </c>
      <c r="H38" s="37" t="n">
        <f aca="false">IFERROR(G38/G$39,"")</f>
        <v>0.0839813374805599</v>
      </c>
      <c r="I38" s="69" t="s">
        <v>635</v>
      </c>
    </row>
    <row r="39" customFormat="false" ht="15" hidden="false" customHeight="false" outlineLevel="0" collapsed="false">
      <c r="A39" s="90" t="s">
        <v>636</v>
      </c>
      <c r="B39" s="44" t="n">
        <f aca="false">SUM(B32:B38)</f>
        <v>2159</v>
      </c>
      <c r="C39" s="44" t="n">
        <f aca="false">SUM(C32:C38)</f>
        <v>2099</v>
      </c>
      <c r="D39" s="44" t="n">
        <f aca="false">SUM(D32:D38)</f>
        <v>1633</v>
      </c>
      <c r="E39" s="44" t="n">
        <f aca="false">SUM(E32:E38)</f>
        <v>1456</v>
      </c>
      <c r="F39" s="44" t="n">
        <f aca="false">SUM(F32:F38)</f>
        <v>704</v>
      </c>
      <c r="G39" s="86" t="n">
        <f aca="false">E39-C39</f>
        <v>-643</v>
      </c>
      <c r="H39" s="45" t="n">
        <v>1</v>
      </c>
      <c r="I39" s="91"/>
    </row>
    <row r="41" customFormat="false" ht="15" hidden="false" customHeight="false" outlineLevel="0" collapsed="false">
      <c r="A41" s="4" t="s">
        <v>637</v>
      </c>
    </row>
    <row r="42" customFormat="false" ht="31.5" hidden="false" customHeight="true" outlineLevel="0" collapsed="false">
      <c r="A42" s="49" t="s">
        <v>638</v>
      </c>
      <c r="B42" s="56" t="s">
        <v>639</v>
      </c>
      <c r="C42" s="49" t="s">
        <v>640</v>
      </c>
      <c r="D42" s="49" t="s">
        <v>641</v>
      </c>
      <c r="E42" s="49" t="s">
        <v>642</v>
      </c>
      <c r="F42" s="56" t="s">
        <v>643</v>
      </c>
      <c r="G42" s="49" t="s">
        <v>644</v>
      </c>
    </row>
    <row r="43" customFormat="false" ht="37.3" hidden="false" customHeight="false" outlineLevel="0" collapsed="false">
      <c r="A43" s="50" t="s">
        <v>645</v>
      </c>
      <c r="B43" s="35" t="n">
        <v>39</v>
      </c>
      <c r="C43" s="35" t="n">
        <v>11147</v>
      </c>
      <c r="D43" s="34" t="n">
        <v>14080770</v>
      </c>
      <c r="E43" s="37" t="n">
        <f aca="false">D43/215184570</f>
        <v>0.0654357791546113</v>
      </c>
      <c r="F43" s="34" t="n">
        <f aca="false">ROUND(D43/31267,0)</f>
        <v>450</v>
      </c>
      <c r="G43" s="69" t="s">
        <v>646</v>
      </c>
    </row>
    <row r="44" customFormat="false" ht="37.3" hidden="false" customHeight="false" outlineLevel="0" collapsed="false">
      <c r="A44" s="50" t="s">
        <v>647</v>
      </c>
      <c r="B44" s="35" t="n">
        <v>7</v>
      </c>
      <c r="C44" s="35" t="n">
        <v>17060</v>
      </c>
      <c r="D44" s="34" t="n">
        <v>9360615</v>
      </c>
      <c r="E44" s="37" t="n">
        <f aca="false">D44/215184570</f>
        <v>0.043500400609579</v>
      </c>
      <c r="F44" s="34" t="n">
        <f aca="false">ROUND(D44/31267,0)</f>
        <v>299</v>
      </c>
      <c r="G44" s="69" t="s">
        <v>648</v>
      </c>
    </row>
    <row r="45" customFormat="false" ht="37.3" hidden="false" customHeight="false" outlineLevel="0" collapsed="false">
      <c r="A45" s="50" t="s">
        <v>626</v>
      </c>
      <c r="B45" s="35" t="n">
        <v>10</v>
      </c>
      <c r="C45" s="35" t="n">
        <v>11836</v>
      </c>
      <c r="D45" s="34" t="n">
        <v>6460410</v>
      </c>
      <c r="E45" s="37" t="n">
        <f aca="false">D45/215184570</f>
        <v>0.0300226452110391</v>
      </c>
      <c r="F45" s="34" t="n">
        <f aca="false">ROUND(D45/31267,0)</f>
        <v>207</v>
      </c>
      <c r="G45" s="69" t="s">
        <v>649</v>
      </c>
    </row>
    <row r="46" customFormat="false" ht="37.3" hidden="false" customHeight="false" outlineLevel="0" collapsed="false">
      <c r="A46" s="50" t="s">
        <v>650</v>
      </c>
      <c r="B46" s="35" t="n">
        <v>14</v>
      </c>
      <c r="C46" s="35" t="n">
        <v>5531</v>
      </c>
      <c r="D46" s="34" t="n">
        <v>6084100</v>
      </c>
      <c r="E46" s="37" t="n">
        <f aca="false">D46/215184570</f>
        <v>0.0282738674060134</v>
      </c>
      <c r="F46" s="34" t="n">
        <f aca="false">ROUND(D46/31267,0)</f>
        <v>195</v>
      </c>
      <c r="G46" s="69" t="s">
        <v>651</v>
      </c>
    </row>
    <row r="47" customFormat="false" ht="25.35" hidden="false" customHeight="false" outlineLevel="0" collapsed="false">
      <c r="A47" s="50" t="s">
        <v>652</v>
      </c>
      <c r="B47" s="35" t="n">
        <v>9</v>
      </c>
      <c r="C47" s="35" t="n">
        <v>5528</v>
      </c>
      <c r="D47" s="34" t="n">
        <v>3778060</v>
      </c>
      <c r="E47" s="37" t="n">
        <f aca="false">D47/215184570</f>
        <v>0.0175572997636401</v>
      </c>
      <c r="F47" s="34" t="n">
        <f aca="false">ROUND(D47/31267,0)</f>
        <v>121</v>
      </c>
      <c r="G47" s="69" t="s">
        <v>653</v>
      </c>
    </row>
    <row r="48" customFormat="false" ht="15" hidden="false" customHeight="false" outlineLevel="0" collapsed="false">
      <c r="A48" s="50" t="s">
        <v>654</v>
      </c>
      <c r="B48" s="35" t="n">
        <v>16</v>
      </c>
      <c r="C48" s="35" t="n">
        <v>1561</v>
      </c>
      <c r="D48" s="34" t="n">
        <v>1814100</v>
      </c>
      <c r="E48" s="37" t="n">
        <f aca="false">D48/215184570</f>
        <v>0.00843043718236861</v>
      </c>
      <c r="F48" s="34" t="n">
        <f aca="false">ROUND(D48/31267,0)</f>
        <v>58</v>
      </c>
      <c r="G48" s="69" t="s">
        <v>632</v>
      </c>
    </row>
    <row r="49" customFormat="false" ht="25.35" hidden="false" customHeight="false" outlineLevel="0" collapsed="false">
      <c r="A49" s="50" t="s">
        <v>655</v>
      </c>
      <c r="B49" s="35" t="n">
        <v>11</v>
      </c>
      <c r="C49" s="35" t="n">
        <v>1719</v>
      </c>
      <c r="D49" s="34" t="n">
        <v>945450</v>
      </c>
      <c r="E49" s="37" t="n">
        <f aca="false">D49/215184570</f>
        <v>0.00439367004799647</v>
      </c>
      <c r="F49" s="34" t="n">
        <f aca="false">ROUND(D49/31267,0)</f>
        <v>30</v>
      </c>
      <c r="G49" s="69" t="s">
        <v>656</v>
      </c>
    </row>
    <row r="50" customFormat="false" ht="25.35" hidden="false" customHeight="false" outlineLevel="0" collapsed="false">
      <c r="A50" s="41" t="s">
        <v>657</v>
      </c>
      <c r="B50" s="42" t="n">
        <f aca="false">SUM(B43:B49)</f>
        <v>106</v>
      </c>
      <c r="C50" s="42" t="n">
        <f aca="false">SUM(C43:C49)</f>
        <v>54382</v>
      </c>
      <c r="D50" s="44" t="n">
        <f aca="false">SUM(D43:D49)</f>
        <v>42523505</v>
      </c>
      <c r="E50" s="45" t="n">
        <f aca="false">D50/215184570</f>
        <v>0.197614099375248</v>
      </c>
      <c r="F50" s="44" t="n">
        <f aca="false">ROUND(D50/31267,0)</f>
        <v>1360</v>
      </c>
      <c r="G50" s="92" t="s">
        <v>658</v>
      </c>
    </row>
    <row r="52" customFormat="false" ht="15" hidden="false" customHeight="false" outlineLevel="0" collapsed="false">
      <c r="A52" s="4" t="s">
        <v>659</v>
      </c>
    </row>
    <row r="53" customFormat="false" ht="13.4" hidden="false" customHeight="false" outlineLevel="0" collapsed="false">
      <c r="A53" s="8" t="s">
        <v>660</v>
      </c>
      <c r="B53" s="93" t="s">
        <v>661</v>
      </c>
      <c r="C53" s="93"/>
      <c r="D53" s="93"/>
      <c r="E53" s="93"/>
      <c r="F53" s="93"/>
      <c r="G53" s="93"/>
      <c r="H53" s="93"/>
      <c r="I53" s="93"/>
    </row>
    <row r="54" customFormat="false" ht="15" hidden="false" customHeight="false" outlineLevel="0" collapsed="false">
      <c r="A54" s="5" t="s">
        <v>662</v>
      </c>
      <c r="B54" s="93" t="s">
        <v>663</v>
      </c>
      <c r="C54" s="93"/>
      <c r="D54" s="93"/>
      <c r="E54" s="93"/>
      <c r="F54" s="93"/>
      <c r="G54" s="93"/>
      <c r="H54" s="93"/>
      <c r="I54" s="93"/>
    </row>
    <row r="55" customFormat="false" ht="15" hidden="false" customHeight="false" outlineLevel="0" collapsed="false">
      <c r="A55" s="5" t="s">
        <v>664</v>
      </c>
      <c r="B55" s="93" t="s">
        <v>665</v>
      </c>
      <c r="C55" s="93"/>
      <c r="D55" s="93"/>
      <c r="E55" s="93"/>
      <c r="F55" s="93"/>
      <c r="G55" s="93"/>
      <c r="H55" s="93"/>
      <c r="I55" s="93"/>
    </row>
    <row r="56" customFormat="false" ht="15" hidden="false" customHeight="false" outlineLevel="0" collapsed="false">
      <c r="A56" s="5" t="s">
        <v>666</v>
      </c>
      <c r="B56" s="93" t="s">
        <v>667</v>
      </c>
      <c r="C56" s="93"/>
      <c r="D56" s="93"/>
      <c r="E56" s="93"/>
      <c r="F56" s="93"/>
      <c r="G56" s="93"/>
      <c r="H56" s="93"/>
      <c r="I56" s="93"/>
    </row>
    <row r="57" customFormat="false" ht="15" hidden="false" customHeight="false" outlineLevel="0" collapsed="false">
      <c r="A57" s="5" t="s">
        <v>668</v>
      </c>
      <c r="B57" s="93" t="s">
        <v>669</v>
      </c>
      <c r="C57" s="93"/>
      <c r="D57" s="93"/>
      <c r="E57" s="93"/>
      <c r="F57" s="93"/>
      <c r="G57" s="93"/>
      <c r="H57" s="93"/>
      <c r="I57" s="93"/>
    </row>
  </sheetData>
  <mergeCells count="5">
    <mergeCell ref="B53:I53"/>
    <mergeCell ref="B54:I54"/>
    <mergeCell ref="B55:I55"/>
    <mergeCell ref="B56:I56"/>
    <mergeCell ref="B57:I5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9"/>
    <col collapsed="false" customWidth="true" hidden="false" outlineLevel="0" max="7" min="5" style="0" width="11"/>
    <col collapsed="false" customWidth="true" hidden="false" outlineLevel="0" max="10" min="8" style="0" width="13"/>
    <col collapsed="false" customWidth="true" hidden="false" outlineLevel="0" max="13" min="11" style="0" width="11"/>
    <col collapsed="false" customWidth="true" hidden="false" outlineLevel="0" max="17" min="14" style="0" width="12"/>
    <col collapsed="false" customWidth="true" hidden="false" outlineLevel="0" max="18" min="18" style="0" width="11"/>
    <col collapsed="false" customWidth="true" hidden="false" outlineLevel="0" max="19" min="19" style="0" width="13"/>
    <col collapsed="false" customWidth="true" hidden="false" outlineLevel="0" max="20" min="20" style="0" width="14"/>
    <col collapsed="false" customWidth="true" hidden="false" outlineLevel="0" max="21" min="21" style="0" width="12"/>
    <col collapsed="false" customWidth="true" hidden="false" outlineLevel="0" max="22" min="22" style="0" width="20"/>
    <col collapsed="false" customWidth="true" hidden="false" outlineLevel="0" max="23" min="23" style="0" width="13"/>
    <col collapsed="false" customWidth="true" hidden="false" outlineLevel="0" max="24" min="24" style="0" width="16"/>
    <col collapsed="false" customWidth="true" hidden="false" outlineLevel="0" max="25" min="25" style="0" width="20"/>
    <col collapsed="false" customWidth="true" hidden="false" outlineLevel="0" max="26" min="26" style="0" width="14"/>
    <col collapsed="false" customWidth="true" hidden="false" outlineLevel="0" max="27" min="27" style="0" width="46"/>
  </cols>
  <sheetData>
    <row r="1" customFormat="false" ht="20.1" hidden="false" customHeight="false" outlineLevel="0" collapsed="false">
      <c r="A1" s="1" t="s">
        <v>670</v>
      </c>
    </row>
    <row r="2" customFormat="false" ht="15" hidden="false" customHeight="false" outlineLevel="0" collapsed="false">
      <c r="A2" s="3" t="s">
        <v>671</v>
      </c>
    </row>
    <row r="3" customFormat="false" ht="15" hidden="false" customHeight="false" outlineLevel="0" collapsed="false">
      <c r="A3" s="3" t="s">
        <v>672</v>
      </c>
    </row>
    <row r="4" customFormat="false" ht="15" hidden="false" customHeight="false" outlineLevel="0" collapsed="false">
      <c r="A4" s="3" t="s">
        <v>673</v>
      </c>
    </row>
    <row r="5" customFormat="false" ht="15" hidden="false" customHeight="false" outlineLevel="0" collapsed="false">
      <c r="A5" s="3" t="s">
        <v>674</v>
      </c>
    </row>
    <row r="6" customFormat="false" ht="45.75" hidden="false" customHeight="true" outlineLevel="0" collapsed="false">
      <c r="A6" s="25" t="s">
        <v>263</v>
      </c>
      <c r="B6" s="25" t="s">
        <v>264</v>
      </c>
      <c r="C6" s="26" t="s">
        <v>265</v>
      </c>
      <c r="D6" s="26" t="s">
        <v>510</v>
      </c>
      <c r="E6" s="94" t="s">
        <v>675</v>
      </c>
      <c r="F6" s="94" t="s">
        <v>676</v>
      </c>
      <c r="G6" s="94" t="s">
        <v>677</v>
      </c>
      <c r="H6" s="62" t="s">
        <v>678</v>
      </c>
      <c r="I6" s="63" t="s">
        <v>496</v>
      </c>
      <c r="J6" s="62" t="s">
        <v>679</v>
      </c>
      <c r="K6" s="30" t="s">
        <v>680</v>
      </c>
      <c r="L6" s="30" t="s">
        <v>681</v>
      </c>
      <c r="M6" s="67" t="s">
        <v>682</v>
      </c>
      <c r="N6" s="27" t="s">
        <v>500</v>
      </c>
      <c r="O6" s="27" t="s">
        <v>501</v>
      </c>
      <c r="P6" s="17" t="s">
        <v>683</v>
      </c>
      <c r="Q6" s="17" t="s">
        <v>502</v>
      </c>
      <c r="R6" s="49" t="s">
        <v>518</v>
      </c>
      <c r="S6" s="31" t="s">
        <v>684</v>
      </c>
      <c r="T6" s="31" t="s">
        <v>685</v>
      </c>
      <c r="U6" s="31" t="s">
        <v>506</v>
      </c>
      <c r="V6" s="67" t="s">
        <v>525</v>
      </c>
      <c r="W6" s="67" t="s">
        <v>526</v>
      </c>
      <c r="X6" s="67" t="s">
        <v>528</v>
      </c>
      <c r="Y6" s="31" t="s">
        <v>686</v>
      </c>
      <c r="Z6" s="67" t="s">
        <v>687</v>
      </c>
      <c r="AA6" s="68" t="s">
        <v>429</v>
      </c>
    </row>
    <row r="7" customFormat="false" ht="25.35" hidden="false" customHeight="false" outlineLevel="0" collapsed="false">
      <c r="A7" s="32" t="n">
        <v>1</v>
      </c>
      <c r="B7" s="32" t="s">
        <v>286</v>
      </c>
      <c r="C7" s="33" t="s">
        <v>287</v>
      </c>
      <c r="D7" s="34" t="n">
        <v>500</v>
      </c>
      <c r="E7" s="35" t="n">
        <v>4024</v>
      </c>
      <c r="F7" s="35" t="n">
        <v>2696</v>
      </c>
      <c r="G7" s="35" t="n">
        <v>5597</v>
      </c>
      <c r="H7" s="35" t="n">
        <v>3271</v>
      </c>
      <c r="I7" s="35" t="n">
        <v>2268</v>
      </c>
      <c r="J7" s="34" t="n">
        <f aca="false">H7*D7</f>
        <v>1635500</v>
      </c>
      <c r="K7" s="35" t="n">
        <v>1000</v>
      </c>
      <c r="L7" s="35" t="n">
        <v>493</v>
      </c>
      <c r="M7" s="35" t="n">
        <v>0</v>
      </c>
      <c r="N7" s="35" t="n">
        <f aca="false">①石川予測確定!S7</f>
        <v>693</v>
      </c>
      <c r="O7" s="35" t="n">
        <f aca="false">①石川予測確定!P7</f>
        <v>272</v>
      </c>
      <c r="P7" s="35" t="n">
        <f aca="false">IF(I7="",H7-K7,I7)</f>
        <v>2268</v>
      </c>
      <c r="Q7" s="35" t="n">
        <f aca="false">P7+L7-M7-O7</f>
        <v>2489</v>
      </c>
      <c r="R7" s="35" t="n">
        <f aca="false">③仙台以降予測!M31</f>
        <v>3384</v>
      </c>
      <c r="S7" s="38" t="n">
        <f aca="false">Q7-R7</f>
        <v>-895</v>
      </c>
      <c r="T7" s="35" t="n">
        <f aca="false">MAX(0,-S7)</f>
        <v>895</v>
      </c>
      <c r="U7" s="35" t="n">
        <f aca="false">IF(T7&gt;0,ROUNDUP(T7*(1+前提・入力!$B$34),0),0)</f>
        <v>985</v>
      </c>
      <c r="V7" s="69" t="s">
        <v>386</v>
      </c>
      <c r="W7" s="70" t="n">
        <f aca="false">DATE(2027,4,1)-30-前提・入力!$B$37</f>
        <v>46434</v>
      </c>
      <c r="X7" s="69" t="str">
        <f aca="false">IF(V7="—","—",IF(W7="再生産不可","×再生産不可",_xlfn.IFS(W7-前提・入力!$B$38&lt;0,"★期限超過",W7-前提・入力!$B$38&lt;=30,"★至急(30日以内)",W7-前提・入力!$B$38&lt;=90,"要着手(90日以内)",TRUE(),"余裕あり")))</f>
        <v>余裕あり</v>
      </c>
      <c r="Y7" s="69" t="str">
        <f aca="false">IF(T7&gt;0,"★欠品：追加生産が必要",IF(S7&gt;=R7*2,"大幅余剰","在庫で充足"))</f>
        <v>★欠品：追加生産が必要</v>
      </c>
      <c r="Z7" s="39"/>
      <c r="AA7" s="69" t="s">
        <v>688</v>
      </c>
    </row>
    <row r="8" customFormat="false" ht="25.35" hidden="false" customHeight="false" outlineLevel="0" collapsed="false">
      <c r="A8" s="32" t="n">
        <v>2</v>
      </c>
      <c r="B8" s="32" t="s">
        <v>288</v>
      </c>
      <c r="C8" s="33" t="s">
        <v>289</v>
      </c>
      <c r="D8" s="34" t="n">
        <v>600</v>
      </c>
      <c r="E8" s="35" t="n">
        <v>1096</v>
      </c>
      <c r="F8" s="35" t="n">
        <v>5136</v>
      </c>
      <c r="G8" s="35" t="n">
        <v>7003</v>
      </c>
      <c r="H8" s="35" t="n">
        <v>5038</v>
      </c>
      <c r="I8" s="35" t="n">
        <v>4036</v>
      </c>
      <c r="J8" s="34" t="n">
        <f aca="false">H8*D8</f>
        <v>3022800</v>
      </c>
      <c r="K8" s="35" t="n">
        <v>1000</v>
      </c>
      <c r="L8" s="35" t="n">
        <v>459</v>
      </c>
      <c r="M8" s="35" t="n">
        <v>0</v>
      </c>
      <c r="N8" s="35" t="n">
        <f aca="false">①石川予測確定!S8</f>
        <v>659</v>
      </c>
      <c r="O8" s="35" t="n">
        <f aca="false">①石川予測確定!P8</f>
        <v>325</v>
      </c>
      <c r="P8" s="35" t="n">
        <f aca="false">IF(I8="",H8-K8,I8)</f>
        <v>4036</v>
      </c>
      <c r="Q8" s="35" t="n">
        <f aca="false">P8+L8-M8-O8</f>
        <v>4170</v>
      </c>
      <c r="R8" s="35" t="n">
        <f aca="false">③仙台以降予測!M32</f>
        <v>3818</v>
      </c>
      <c r="S8" s="38" t="n">
        <f aca="false">Q8-R8</f>
        <v>352</v>
      </c>
      <c r="T8" s="35" t="n">
        <f aca="false">MAX(0,-S8)</f>
        <v>0</v>
      </c>
      <c r="U8" s="35" t="n">
        <f aca="false">IF(T8&gt;0,ROUNDUP(T8*(1+前提・入力!$B$34),0),0)</f>
        <v>0</v>
      </c>
      <c r="V8" s="72" t="s">
        <v>533</v>
      </c>
      <c r="W8" s="32"/>
      <c r="X8" s="69" t="str">
        <f aca="false">IF(V8="—","—",IF(W8="再生産不可","×再生産不可",_xlfn.IFS(W8-前提・入力!$B$38&lt;0,"★期限超過",W8-前提・入力!$B$38&lt;=30,"★至急(30日以内)",W8-前提・入力!$B$38&lt;=90,"要着手(90日以内)",TRUE(),"余裕あり")))</f>
        <v>—</v>
      </c>
      <c r="Y8" s="69" t="str">
        <f aca="false">IF(T8&gt;0,"★欠品：追加生産が必要",IF(S8&gt;=R8*2,"大幅余剰","在庫で充足"))</f>
        <v>在庫で充足</v>
      </c>
      <c r="Z8" s="39"/>
      <c r="AA8" s="69" t="s">
        <v>689</v>
      </c>
    </row>
    <row r="9" customFormat="false" ht="37.3" hidden="false" customHeight="false" outlineLevel="0" collapsed="false">
      <c r="A9" s="32" t="n">
        <v>3</v>
      </c>
      <c r="B9" s="32" t="s">
        <v>290</v>
      </c>
      <c r="C9" s="33" t="s">
        <v>291</v>
      </c>
      <c r="D9" s="34" t="n">
        <v>1000</v>
      </c>
      <c r="E9" s="35" t="n">
        <v>3340</v>
      </c>
      <c r="F9" s="35" t="n">
        <v>2735</v>
      </c>
      <c r="G9" s="35" t="n">
        <v>7280</v>
      </c>
      <c r="H9" s="35" t="n">
        <v>6140</v>
      </c>
      <c r="I9" s="35" t="n">
        <v>1694</v>
      </c>
      <c r="J9" s="34" t="n">
        <f aca="false">H9*D9</f>
        <v>6140000</v>
      </c>
      <c r="K9" s="35" t="n">
        <v>450</v>
      </c>
      <c r="L9" s="35" t="n">
        <v>281</v>
      </c>
      <c r="M9" s="35" t="n">
        <v>0</v>
      </c>
      <c r="N9" s="35" t="n">
        <f aca="false">①石川予測確定!S9</f>
        <v>381</v>
      </c>
      <c r="O9" s="35" t="n">
        <f aca="false">①石川予測確定!P9</f>
        <v>118</v>
      </c>
      <c r="P9" s="35" t="n">
        <f aca="false">IF(I9="",H9-K9,I9)</f>
        <v>1694</v>
      </c>
      <c r="Q9" s="35" t="n">
        <f aca="false">P9+L9-M9-O9</f>
        <v>1857</v>
      </c>
      <c r="R9" s="35" t="n">
        <f aca="false">③仙台以降予測!M33</f>
        <v>1291</v>
      </c>
      <c r="S9" s="38" t="n">
        <f aca="false">Q9-R9</f>
        <v>566</v>
      </c>
      <c r="T9" s="35" t="n">
        <f aca="false">MAX(0,-S9)</f>
        <v>0</v>
      </c>
      <c r="U9" s="35" t="n">
        <f aca="false">IF(T9&gt;0,ROUNDUP(T9*(1+前提・入力!$B$34),0),0)</f>
        <v>0</v>
      </c>
      <c r="V9" s="72" t="s">
        <v>533</v>
      </c>
      <c r="W9" s="32"/>
      <c r="X9" s="69" t="str">
        <f aca="false">IF(V9="—","—",IF(W9="再生産不可","×再生産不可",_xlfn.IFS(W9-前提・入力!$B$38&lt;0,"★期限超過",W9-前提・入力!$B$38&lt;=30,"★至急(30日以内)",W9-前提・入力!$B$38&lt;=90,"要着手(90日以内)",TRUE(),"余裕あり")))</f>
        <v>—</v>
      </c>
      <c r="Y9" s="69" t="str">
        <f aca="false">IF(T9&gt;0,"★欠品：追加生産が必要",IF(S9&gt;=R9*2,"大幅余剰","在庫で充足"))</f>
        <v>在庫で充足</v>
      </c>
      <c r="Z9" s="39"/>
      <c r="AA9" s="72" t="s">
        <v>690</v>
      </c>
    </row>
    <row r="10" customFormat="false" ht="37.3" hidden="false" customHeight="false" outlineLevel="0" collapsed="false">
      <c r="A10" s="32" t="n">
        <v>4</v>
      </c>
      <c r="B10" s="32" t="s">
        <v>292</v>
      </c>
      <c r="C10" s="33" t="s">
        <v>293</v>
      </c>
      <c r="D10" s="34" t="n">
        <v>1800</v>
      </c>
      <c r="E10" s="35" t="n">
        <v>3297</v>
      </c>
      <c r="F10" s="35" t="n">
        <v>2368</v>
      </c>
      <c r="G10" s="35" t="n">
        <v>28823</v>
      </c>
      <c r="H10" s="35" t="n">
        <v>27511</v>
      </c>
      <c r="I10" s="35" t="n">
        <v>2715</v>
      </c>
      <c r="J10" s="34" t="n">
        <f aca="false">H10*D10</f>
        <v>49519800</v>
      </c>
      <c r="K10" s="35" t="n">
        <v>800</v>
      </c>
      <c r="L10" s="35" t="n">
        <v>572</v>
      </c>
      <c r="M10" s="35" t="n">
        <v>0</v>
      </c>
      <c r="N10" s="35" t="n">
        <f aca="false">①石川予測確定!S10</f>
        <v>772</v>
      </c>
      <c r="O10" s="35" t="n">
        <f aca="false">①石川予測確定!P10</f>
        <v>134</v>
      </c>
      <c r="P10" s="35" t="n">
        <f aca="false">IF(I10="",H10-K10,I10)</f>
        <v>2715</v>
      </c>
      <c r="Q10" s="35" t="n">
        <f aca="false">P10+L10-M10-O10</f>
        <v>3153</v>
      </c>
      <c r="R10" s="35" t="n">
        <f aca="false">③仙台以降予測!M34</f>
        <v>1591</v>
      </c>
      <c r="S10" s="38" t="n">
        <f aca="false">Q10-R10</f>
        <v>1562</v>
      </c>
      <c r="T10" s="35" t="n">
        <f aca="false">MAX(0,-S10)</f>
        <v>0</v>
      </c>
      <c r="U10" s="35" t="n">
        <f aca="false">IF(T10&gt;0,ROUNDUP(T10*(1+前提・入力!$B$34),0),0)</f>
        <v>0</v>
      </c>
      <c r="V10" s="72" t="s">
        <v>533</v>
      </c>
      <c r="W10" s="32"/>
      <c r="X10" s="69" t="str">
        <f aca="false">IF(V10="—","—",IF(W10="再生産不可","×再生産不可",_xlfn.IFS(W10-前提・入力!$B$38&lt;0,"★期限超過",W10-前提・入力!$B$38&lt;=30,"★至急(30日以内)",W10-前提・入力!$B$38&lt;=90,"要着手(90日以内)",TRUE(),"余裕あり")))</f>
        <v>—</v>
      </c>
      <c r="Y10" s="69" t="str">
        <f aca="false">IF(T10&gt;0,"★欠品：追加生産が必要",IF(S10&gt;=R10*2,"大幅余剰","在庫で充足"))</f>
        <v>在庫で充足</v>
      </c>
      <c r="Z10" s="39"/>
      <c r="AA10" s="72" t="s">
        <v>691</v>
      </c>
    </row>
    <row r="11" customFormat="false" ht="25.35" hidden="false" customHeight="false" outlineLevel="0" collapsed="false">
      <c r="A11" s="32" t="n">
        <v>5</v>
      </c>
      <c r="B11" s="32" t="s">
        <v>294</v>
      </c>
      <c r="C11" s="33" t="s">
        <v>295</v>
      </c>
      <c r="D11" s="34" t="n">
        <v>600</v>
      </c>
      <c r="E11" s="35" t="n">
        <v>5958</v>
      </c>
      <c r="F11" s="35" t="n">
        <v>11154</v>
      </c>
      <c r="G11" s="35" t="n">
        <v>49154</v>
      </c>
      <c r="H11" s="35" t="n">
        <v>40108</v>
      </c>
      <c r="I11" s="35" t="n">
        <v>31095</v>
      </c>
      <c r="J11" s="34" t="n">
        <f aca="false">H11*D11</f>
        <v>24064800</v>
      </c>
      <c r="K11" s="35" t="n">
        <v>9000</v>
      </c>
      <c r="L11" s="35" t="n">
        <v>8590</v>
      </c>
      <c r="M11" s="35" t="n">
        <v>0</v>
      </c>
      <c r="N11" s="35" t="n">
        <f aca="false">①石川予測確定!S11</f>
        <v>8790</v>
      </c>
      <c r="O11" s="35" t="n">
        <f aca="false">①石川予測確定!P11</f>
        <v>293</v>
      </c>
      <c r="P11" s="35" t="n">
        <f aca="false">IF(I11="",H11-K11,I11)</f>
        <v>31095</v>
      </c>
      <c r="Q11" s="35" t="n">
        <f aca="false">P11+L11-M11-O11</f>
        <v>39392</v>
      </c>
      <c r="R11" s="35" t="n">
        <f aca="false">③仙台以降予測!M35</f>
        <v>3173</v>
      </c>
      <c r="S11" s="38" t="n">
        <f aca="false">Q11-R11</f>
        <v>36219</v>
      </c>
      <c r="T11" s="35" t="n">
        <f aca="false">MAX(0,-S11)</f>
        <v>0</v>
      </c>
      <c r="U11" s="35" t="n">
        <f aca="false">IF(T11&gt;0,ROUNDUP(T11*(1+前提・入力!$B$34),0),0)</f>
        <v>0</v>
      </c>
      <c r="V11" s="72" t="s">
        <v>533</v>
      </c>
      <c r="W11" s="32"/>
      <c r="X11" s="69" t="str">
        <f aca="false">IF(V11="—","—",IF(W11="再生産不可","×再生産不可",_xlfn.IFS(W11-前提・入力!$B$38&lt;0,"★期限超過",W11-前提・入力!$B$38&lt;=30,"★至急(30日以内)",W11-前提・入力!$B$38&lt;=90,"要着手(90日以内)",TRUE(),"余裕あり")))</f>
        <v>—</v>
      </c>
      <c r="Y11" s="69" t="str">
        <f aca="false">IF(T11&gt;0,"★欠品：追加生産が必要",IF(S11&gt;=R11*2,"大幅余剰","在庫で充足"))</f>
        <v>大幅余剰</v>
      </c>
      <c r="Z11" s="39"/>
      <c r="AA11" s="69" t="s">
        <v>692</v>
      </c>
    </row>
    <row r="12" customFormat="false" ht="25.35" hidden="false" customHeight="false" outlineLevel="0" collapsed="false">
      <c r="A12" s="32" t="n">
        <v>6</v>
      </c>
      <c r="B12" s="32" t="s">
        <v>296</v>
      </c>
      <c r="C12" s="33" t="s">
        <v>297</v>
      </c>
      <c r="D12" s="34" t="n">
        <v>600</v>
      </c>
      <c r="E12" s="35" t="n">
        <v>12913</v>
      </c>
      <c r="F12" s="35" t="n">
        <v>19601</v>
      </c>
      <c r="G12" s="35" t="n">
        <v>70595</v>
      </c>
      <c r="H12" s="35" t="n">
        <v>51840</v>
      </c>
      <c r="I12" s="35" t="n">
        <v>37844</v>
      </c>
      <c r="J12" s="34" t="n">
        <f aca="false">H12*D12</f>
        <v>31104000</v>
      </c>
      <c r="K12" s="35" t="n">
        <v>13991</v>
      </c>
      <c r="L12" s="35" t="n">
        <v>12949</v>
      </c>
      <c r="M12" s="35" t="n">
        <v>0</v>
      </c>
      <c r="N12" s="35" t="n">
        <f aca="false">①石川予測確定!S12</f>
        <v>13249</v>
      </c>
      <c r="O12" s="35" t="n">
        <f aca="false">①石川予測確定!P12</f>
        <v>565</v>
      </c>
      <c r="P12" s="35" t="n">
        <f aca="false">IF(I12="",H12-K12,I12)</f>
        <v>37844</v>
      </c>
      <c r="Q12" s="35" t="n">
        <f aca="false">P12+L12-M12-O12</f>
        <v>50228</v>
      </c>
      <c r="R12" s="35" t="n">
        <f aca="false">③仙台以降予測!M36</f>
        <v>6991</v>
      </c>
      <c r="S12" s="38" t="n">
        <f aca="false">Q12-R12</f>
        <v>43237</v>
      </c>
      <c r="T12" s="35" t="n">
        <f aca="false">MAX(0,-S12)</f>
        <v>0</v>
      </c>
      <c r="U12" s="35" t="n">
        <f aca="false">IF(T12&gt;0,ROUNDUP(T12*(1+前提・入力!$B$34),0),0)</f>
        <v>0</v>
      </c>
      <c r="V12" s="72" t="s">
        <v>533</v>
      </c>
      <c r="W12" s="32"/>
      <c r="X12" s="69" t="str">
        <f aca="false">IF(V12="—","—",IF(W12="再生産不可","×再生産不可",_xlfn.IFS(W12-前提・入力!$B$38&lt;0,"★期限超過",W12-前提・入力!$B$38&lt;=30,"★至急(30日以内)",W12-前提・入力!$B$38&lt;=90,"要着手(90日以内)",TRUE(),"余裕あり")))</f>
        <v>—</v>
      </c>
      <c r="Y12" s="69" t="str">
        <f aca="false">IF(T12&gt;0,"★欠品：追加生産が必要",IF(S12&gt;=R12*2,"大幅余剰","在庫で充足"))</f>
        <v>大幅余剰</v>
      </c>
      <c r="Z12" s="39"/>
      <c r="AA12" s="69" t="s">
        <v>693</v>
      </c>
    </row>
    <row r="13" customFormat="false" ht="15" hidden="false" customHeight="false" outlineLevel="0" collapsed="false">
      <c r="A13" s="32" t="n">
        <v>7</v>
      </c>
      <c r="B13" s="32" t="s">
        <v>298</v>
      </c>
      <c r="C13" s="33" t="s">
        <v>299</v>
      </c>
      <c r="D13" s="34" t="n">
        <v>600</v>
      </c>
      <c r="E13" s="35" t="n">
        <v>6467</v>
      </c>
      <c r="F13" s="35" t="n">
        <v>5943</v>
      </c>
      <c r="G13" s="35" t="n">
        <v>5543</v>
      </c>
      <c r="H13" s="35" t="n">
        <v>4601</v>
      </c>
      <c r="I13" s="35" t="n">
        <v>4251</v>
      </c>
      <c r="J13" s="34" t="n">
        <f aca="false">H13*D13</f>
        <v>2760600</v>
      </c>
      <c r="K13" s="35" t="n">
        <v>350</v>
      </c>
      <c r="L13" s="35" t="n">
        <v>163</v>
      </c>
      <c r="M13" s="35" t="n">
        <v>0</v>
      </c>
      <c r="N13" s="35" t="n">
        <f aca="false">①石川予測確定!S13</f>
        <v>463</v>
      </c>
      <c r="O13" s="35" t="n">
        <f aca="false">①石川予測確定!P13</f>
        <v>165</v>
      </c>
      <c r="P13" s="35" t="n">
        <f aca="false">IF(I13="",H13-K13,I13)</f>
        <v>4251</v>
      </c>
      <c r="Q13" s="35" t="n">
        <f aca="false">P13+L13-M13-O13</f>
        <v>4249</v>
      </c>
      <c r="R13" s="35" t="n">
        <f aca="false">③仙台以降予測!M37</f>
        <v>1635</v>
      </c>
      <c r="S13" s="38" t="n">
        <f aca="false">Q13-R13</f>
        <v>2614</v>
      </c>
      <c r="T13" s="35" t="n">
        <f aca="false">MAX(0,-S13)</f>
        <v>0</v>
      </c>
      <c r="U13" s="35" t="n">
        <f aca="false">IF(T13&gt;0,ROUNDUP(T13*(1+前提・入力!$B$34),0),0)</f>
        <v>0</v>
      </c>
      <c r="V13" s="72" t="s">
        <v>533</v>
      </c>
      <c r="W13" s="32"/>
      <c r="X13" s="69" t="str">
        <f aca="false">IF(V13="—","—",IF(W13="再生産不可","×再生産不可",_xlfn.IFS(W13-前提・入力!$B$38&lt;0,"★期限超過",W13-前提・入力!$B$38&lt;=30,"★至急(30日以内)",W13-前提・入力!$B$38&lt;=90,"要着手(90日以内)",TRUE(),"余裕あり")))</f>
        <v>—</v>
      </c>
      <c r="Y13" s="69" t="str">
        <f aca="false">IF(T13&gt;0,"★欠品：追加生産が必要",IF(S13&gt;=R13*2,"大幅余剰","在庫で充足"))</f>
        <v>在庫で充足</v>
      </c>
      <c r="Z13" s="39"/>
      <c r="AA13" s="72"/>
    </row>
    <row r="14" customFormat="false" ht="15" hidden="false" customHeight="false" outlineLevel="0" collapsed="false">
      <c r="A14" s="32" t="n">
        <v>8</v>
      </c>
      <c r="B14" s="32" t="s">
        <v>300</v>
      </c>
      <c r="C14" s="33" t="s">
        <v>301</v>
      </c>
      <c r="D14" s="34" t="n">
        <v>600</v>
      </c>
      <c r="E14" s="35" t="n">
        <v>12329</v>
      </c>
      <c r="F14" s="35" t="n">
        <v>11216</v>
      </c>
      <c r="G14" s="35" t="n">
        <v>10388</v>
      </c>
      <c r="H14" s="35" t="n">
        <v>8622</v>
      </c>
      <c r="I14" s="35" t="n">
        <v>7722</v>
      </c>
      <c r="J14" s="34" t="n">
        <f aca="false">H14*D14</f>
        <v>5173200</v>
      </c>
      <c r="K14" s="35" t="n">
        <v>900</v>
      </c>
      <c r="L14" s="35" t="n">
        <v>578</v>
      </c>
      <c r="M14" s="35" t="n">
        <v>0</v>
      </c>
      <c r="N14" s="35" t="n">
        <f aca="false">①石川予測確定!S14</f>
        <v>778</v>
      </c>
      <c r="O14" s="35" t="n">
        <f aca="false">①石川予測確定!P14</f>
        <v>266</v>
      </c>
      <c r="P14" s="35" t="n">
        <f aca="false">IF(I14="",H14-K14,I14)</f>
        <v>7722</v>
      </c>
      <c r="Q14" s="35" t="n">
        <f aca="false">P14+L14-M14-O14</f>
        <v>8034</v>
      </c>
      <c r="R14" s="35" t="n">
        <f aca="false">③仙台以降予測!M38</f>
        <v>2707</v>
      </c>
      <c r="S14" s="38" t="n">
        <f aca="false">Q14-R14</f>
        <v>5327</v>
      </c>
      <c r="T14" s="35" t="n">
        <f aca="false">MAX(0,-S14)</f>
        <v>0</v>
      </c>
      <c r="U14" s="35" t="n">
        <f aca="false">IF(T14&gt;0,ROUNDUP(T14*(1+前提・入力!$B$34),0),0)</f>
        <v>0</v>
      </c>
      <c r="V14" s="72" t="s">
        <v>533</v>
      </c>
      <c r="W14" s="32"/>
      <c r="X14" s="69" t="str">
        <f aca="false">IF(V14="—","—",IF(W14="再生産不可","×再生産不可",_xlfn.IFS(W14-前提・入力!$B$38&lt;0,"★期限超過",W14-前提・入力!$B$38&lt;=30,"★至急(30日以内)",W14-前提・入力!$B$38&lt;=90,"要着手(90日以内)",TRUE(),"余裕あり")))</f>
        <v>—</v>
      </c>
      <c r="Y14" s="69" t="str">
        <f aca="false">IF(T14&gt;0,"★欠品：追加生産が必要",IF(S14&gt;=R14*2,"大幅余剰","在庫で充足"))</f>
        <v>在庫で充足</v>
      </c>
      <c r="Z14" s="39"/>
      <c r="AA14" s="72"/>
    </row>
    <row r="15" customFormat="false" ht="25.35" hidden="false" customHeight="false" outlineLevel="0" collapsed="false">
      <c r="A15" s="32" t="n">
        <v>9</v>
      </c>
      <c r="B15" s="32" t="s">
        <v>302</v>
      </c>
      <c r="C15" s="33" t="s">
        <v>303</v>
      </c>
      <c r="D15" s="34" t="n">
        <v>600</v>
      </c>
      <c r="E15" s="35" t="n">
        <v>10118</v>
      </c>
      <c r="F15" s="35" t="n">
        <v>9803</v>
      </c>
      <c r="G15" s="35" t="n">
        <v>9503</v>
      </c>
      <c r="H15" s="35" t="n">
        <v>8760</v>
      </c>
      <c r="I15" s="35" t="n">
        <v>8458</v>
      </c>
      <c r="J15" s="34" t="n">
        <f aca="false">H15*D15</f>
        <v>5256000</v>
      </c>
      <c r="K15" s="35" t="n">
        <v>300</v>
      </c>
      <c r="L15" s="35" t="n">
        <v>140</v>
      </c>
      <c r="M15" s="35" t="n">
        <v>0</v>
      </c>
      <c r="N15" s="35" t="n">
        <f aca="false">①石川予測確定!S15</f>
        <v>740</v>
      </c>
      <c r="O15" s="35" t="n">
        <f aca="false">①石川予測確定!P15</f>
        <v>51</v>
      </c>
      <c r="P15" s="35" t="n">
        <f aca="false">IF(I15="",H15-K15,I15)</f>
        <v>8458</v>
      </c>
      <c r="Q15" s="35" t="n">
        <f aca="false">P15+L15-M15-O15</f>
        <v>8547</v>
      </c>
      <c r="R15" s="35" t="n">
        <f aca="false">③仙台以降予測!M39</f>
        <v>860</v>
      </c>
      <c r="S15" s="38" t="n">
        <f aca="false">Q15-R15</f>
        <v>7687</v>
      </c>
      <c r="T15" s="35" t="n">
        <f aca="false">MAX(0,-S15)</f>
        <v>0</v>
      </c>
      <c r="U15" s="35" t="n">
        <f aca="false">IF(T15&gt;0,ROUNDUP(T15*(1+前提・入力!$B$34),0),0)</f>
        <v>0</v>
      </c>
      <c r="V15" s="72" t="s">
        <v>533</v>
      </c>
      <c r="W15" s="32"/>
      <c r="X15" s="69" t="str">
        <f aca="false">IF(V15="—","—",IF(W15="再生産不可","×再生産不可",_xlfn.IFS(W15-前提・入力!$B$38&lt;0,"★期限超過",W15-前提・入力!$B$38&lt;=30,"★至急(30日以内)",W15-前提・入力!$B$38&lt;=90,"要着手(90日以内)",TRUE(),"余裕あり")))</f>
        <v>—</v>
      </c>
      <c r="Y15" s="69" t="str">
        <f aca="false">IF(T15&gt;0,"★欠品：追加生産が必要",IF(S15&gt;=R15*2,"大幅余剰","在庫で充足"))</f>
        <v>大幅余剰</v>
      </c>
      <c r="Z15" s="39"/>
      <c r="AA15" s="69" t="s">
        <v>694</v>
      </c>
    </row>
    <row r="16" customFormat="false" ht="25.35" hidden="false" customHeight="false" outlineLevel="0" collapsed="false">
      <c r="A16" s="32" t="n">
        <v>10</v>
      </c>
      <c r="B16" s="32" t="s">
        <v>304</v>
      </c>
      <c r="C16" s="33" t="s">
        <v>305</v>
      </c>
      <c r="D16" s="34" t="n">
        <v>600</v>
      </c>
      <c r="E16" s="35" t="n">
        <v>5476</v>
      </c>
      <c r="F16" s="35" t="n">
        <v>5334</v>
      </c>
      <c r="G16" s="35" t="n">
        <v>5212</v>
      </c>
      <c r="H16" s="35" t="n">
        <v>4934</v>
      </c>
      <c r="I16" s="35" t="n">
        <v>4835</v>
      </c>
      <c r="J16" s="34" t="n">
        <f aca="false">H16*D16</f>
        <v>2960400</v>
      </c>
      <c r="K16" s="35" t="n">
        <v>100</v>
      </c>
      <c r="L16" s="35" t="n">
        <v>41</v>
      </c>
      <c r="M16" s="35" t="n">
        <v>0</v>
      </c>
      <c r="N16" s="35" t="n">
        <f aca="false">①石川予測確定!S16</f>
        <v>541</v>
      </c>
      <c r="O16" s="35" t="n">
        <f aca="false">①石川予測確定!P16</f>
        <v>20</v>
      </c>
      <c r="P16" s="35" t="n">
        <f aca="false">IF(I16="",H16-K16,I16)</f>
        <v>4835</v>
      </c>
      <c r="Q16" s="35" t="n">
        <f aca="false">P16+L16-M16-O16</f>
        <v>4856</v>
      </c>
      <c r="R16" s="35" t="n">
        <f aca="false">③仙台以降予測!M40</f>
        <v>324</v>
      </c>
      <c r="S16" s="38" t="n">
        <f aca="false">Q16-R16</f>
        <v>4532</v>
      </c>
      <c r="T16" s="35" t="n">
        <f aca="false">MAX(0,-S16)</f>
        <v>0</v>
      </c>
      <c r="U16" s="35" t="n">
        <f aca="false">IF(T16&gt;0,ROUNDUP(T16*(1+前提・入力!$B$34),0),0)</f>
        <v>0</v>
      </c>
      <c r="V16" s="72" t="s">
        <v>533</v>
      </c>
      <c r="W16" s="32"/>
      <c r="X16" s="69" t="str">
        <f aca="false">IF(V16="—","—",IF(W16="再生産不可","×再生産不可",_xlfn.IFS(W16-前提・入力!$B$38&lt;0,"★期限超過",W16-前提・入力!$B$38&lt;=30,"★至急(30日以内)",W16-前提・入力!$B$38&lt;=90,"要着手(90日以内)",TRUE(),"余裕あり")))</f>
        <v>—</v>
      </c>
      <c r="Y16" s="69" t="str">
        <f aca="false">IF(T16&gt;0,"★欠品：追加生産が必要",IF(S16&gt;=R16*2,"大幅余剰","在庫で充足"))</f>
        <v>大幅余剰</v>
      </c>
      <c r="Z16" s="39"/>
      <c r="AA16" s="69" t="s">
        <v>694</v>
      </c>
    </row>
    <row r="17" customFormat="false" ht="25.35" hidden="false" customHeight="false" outlineLevel="0" collapsed="false">
      <c r="A17" s="32" t="n">
        <v>11</v>
      </c>
      <c r="B17" s="32" t="s">
        <v>306</v>
      </c>
      <c r="C17" s="33" t="s">
        <v>307</v>
      </c>
      <c r="D17" s="34" t="n">
        <v>600</v>
      </c>
      <c r="E17" s="35" t="n">
        <v>785</v>
      </c>
      <c r="F17" s="35" t="n">
        <v>748</v>
      </c>
      <c r="G17" s="35" t="n">
        <v>718</v>
      </c>
      <c r="H17" s="35" t="n">
        <v>640</v>
      </c>
      <c r="I17" s="35" t="n">
        <v>588</v>
      </c>
      <c r="J17" s="34" t="n">
        <f aca="false">H17*D17</f>
        <v>384000</v>
      </c>
      <c r="K17" s="35" t="n">
        <v>50</v>
      </c>
      <c r="L17" s="35" t="n">
        <v>29</v>
      </c>
      <c r="M17" s="35" t="n">
        <v>0</v>
      </c>
      <c r="N17" s="35" t="n">
        <f aca="false">①石川予測確定!S17</f>
        <v>79</v>
      </c>
      <c r="O17" s="35" t="n">
        <f aca="false">①石川予測確定!P17</f>
        <v>8</v>
      </c>
      <c r="P17" s="35" t="n">
        <f aca="false">IF(I17="",H17-K17,I17)</f>
        <v>588</v>
      </c>
      <c r="Q17" s="35" t="n">
        <f aca="false">P17+L17-M17-O17</f>
        <v>609</v>
      </c>
      <c r="R17" s="35" t="n">
        <f aca="false">③仙台以降予測!M41</f>
        <v>121</v>
      </c>
      <c r="S17" s="38" t="n">
        <f aca="false">Q17-R17</f>
        <v>488</v>
      </c>
      <c r="T17" s="35" t="n">
        <f aca="false">MAX(0,-S17)</f>
        <v>0</v>
      </c>
      <c r="U17" s="35" t="n">
        <f aca="false">IF(T17&gt;0,ROUNDUP(T17*(1+前提・入力!$B$34),0),0)</f>
        <v>0</v>
      </c>
      <c r="V17" s="72" t="s">
        <v>533</v>
      </c>
      <c r="W17" s="32"/>
      <c r="X17" s="69" t="str">
        <f aca="false">IF(V17="—","—",IF(W17="再生産不可","×再生産不可",_xlfn.IFS(W17-前提・入力!$B$38&lt;0,"★期限超過",W17-前提・入力!$B$38&lt;=30,"★至急(30日以内)",W17-前提・入力!$B$38&lt;=90,"要着手(90日以内)",TRUE(),"余裕あり")))</f>
        <v>—</v>
      </c>
      <c r="Y17" s="69" t="str">
        <f aca="false">IF(T17&gt;0,"★欠品：追加生産が必要",IF(S17&gt;=R17*2,"大幅余剰","在庫で充足"))</f>
        <v>大幅余剰</v>
      </c>
      <c r="Z17" s="39"/>
      <c r="AA17" s="69" t="s">
        <v>694</v>
      </c>
    </row>
    <row r="18" customFormat="false" ht="25.35" hidden="false" customHeight="false" outlineLevel="0" collapsed="false">
      <c r="A18" s="32" t="n">
        <v>12</v>
      </c>
      <c r="B18" s="32" t="s">
        <v>308</v>
      </c>
      <c r="C18" s="33" t="s">
        <v>309</v>
      </c>
      <c r="D18" s="34" t="n">
        <v>600</v>
      </c>
      <c r="E18" s="35" t="n">
        <v>1209</v>
      </c>
      <c r="F18" s="35" t="n">
        <v>1149</v>
      </c>
      <c r="G18" s="35" t="n">
        <v>1095</v>
      </c>
      <c r="H18" s="35" t="n">
        <v>953</v>
      </c>
      <c r="I18" s="35" t="n">
        <v>901</v>
      </c>
      <c r="J18" s="34" t="n">
        <f aca="false">H18*D18</f>
        <v>571800</v>
      </c>
      <c r="K18" s="35" t="n">
        <v>50</v>
      </c>
      <c r="L18" s="35" t="n">
        <v>7</v>
      </c>
      <c r="M18" s="35" t="n">
        <v>0</v>
      </c>
      <c r="N18" s="35" t="n">
        <f aca="false">①石川予測確定!S18</f>
        <v>107</v>
      </c>
      <c r="O18" s="35" t="n">
        <f aca="false">①石川予測確定!P18</f>
        <v>17</v>
      </c>
      <c r="P18" s="35" t="n">
        <f aca="false">IF(I18="",H18-K18,I18)</f>
        <v>901</v>
      </c>
      <c r="Q18" s="35" t="n">
        <f aca="false">P18+L18-M18-O18</f>
        <v>891</v>
      </c>
      <c r="R18" s="35" t="n">
        <f aca="false">③仙台以降予測!M42</f>
        <v>251</v>
      </c>
      <c r="S18" s="38" t="n">
        <f aca="false">Q18-R18</f>
        <v>640</v>
      </c>
      <c r="T18" s="35" t="n">
        <f aca="false">MAX(0,-S18)</f>
        <v>0</v>
      </c>
      <c r="U18" s="35" t="n">
        <f aca="false">IF(T18&gt;0,ROUNDUP(T18*(1+前提・入力!$B$34),0),0)</f>
        <v>0</v>
      </c>
      <c r="V18" s="72" t="s">
        <v>533</v>
      </c>
      <c r="W18" s="32"/>
      <c r="X18" s="69" t="str">
        <f aca="false">IF(V18="—","—",IF(W18="再生産不可","×再生産不可",_xlfn.IFS(W18-前提・入力!$B$38&lt;0,"★期限超過",W18-前提・入力!$B$38&lt;=30,"★至急(30日以内)",W18-前提・入力!$B$38&lt;=90,"要着手(90日以内)",TRUE(),"余裕あり")))</f>
        <v>—</v>
      </c>
      <c r="Y18" s="69" t="str">
        <f aca="false">IF(T18&gt;0,"★欠品：追加生産が必要",IF(S18&gt;=R18*2,"大幅余剰","在庫で充足"))</f>
        <v>大幅余剰</v>
      </c>
      <c r="Z18" s="39"/>
      <c r="AA18" s="69" t="s">
        <v>689</v>
      </c>
    </row>
    <row r="19" customFormat="false" ht="25.35" hidden="false" customHeight="false" outlineLevel="0" collapsed="false">
      <c r="A19" s="32" t="n">
        <v>13</v>
      </c>
      <c r="B19" s="32" t="s">
        <v>310</v>
      </c>
      <c r="C19" s="33" t="s">
        <v>311</v>
      </c>
      <c r="D19" s="34" t="n">
        <v>600</v>
      </c>
      <c r="E19" s="35" t="n">
        <v>401</v>
      </c>
      <c r="F19" s="35" t="n">
        <v>385</v>
      </c>
      <c r="G19" s="35" t="n">
        <v>363</v>
      </c>
      <c r="H19" s="35" t="n">
        <v>320</v>
      </c>
      <c r="I19" s="35" t="n">
        <v>269</v>
      </c>
      <c r="J19" s="34" t="n">
        <f aca="false">H19*D19</f>
        <v>192000</v>
      </c>
      <c r="K19" s="35" t="n">
        <v>50</v>
      </c>
      <c r="L19" s="35" t="n">
        <v>42</v>
      </c>
      <c r="M19" s="35" t="n">
        <v>0</v>
      </c>
      <c r="N19" s="35" t="n">
        <f aca="false">①石川予測確定!S19</f>
        <v>52</v>
      </c>
      <c r="O19" s="35" t="n">
        <f aca="false">①石川予測確定!P19</f>
        <v>6</v>
      </c>
      <c r="P19" s="35" t="n">
        <f aca="false">IF(I19="",H19-K19,I19)</f>
        <v>269</v>
      </c>
      <c r="Q19" s="35" t="n">
        <f aca="false">P19+L19-M19-O19</f>
        <v>305</v>
      </c>
      <c r="R19" s="35" t="n">
        <f aca="false">③仙台以降予測!M43</f>
        <v>64</v>
      </c>
      <c r="S19" s="38" t="n">
        <f aca="false">Q19-R19</f>
        <v>241</v>
      </c>
      <c r="T19" s="35" t="n">
        <f aca="false">MAX(0,-S19)</f>
        <v>0</v>
      </c>
      <c r="U19" s="35" t="n">
        <f aca="false">IF(T19&gt;0,ROUNDUP(T19*(1+前提・入力!$B$34),0),0)</f>
        <v>0</v>
      </c>
      <c r="V19" s="72" t="s">
        <v>533</v>
      </c>
      <c r="W19" s="32"/>
      <c r="X19" s="69" t="str">
        <f aca="false">IF(V19="—","—",IF(W19="再生産不可","×再生産不可",_xlfn.IFS(W19-前提・入力!$B$38&lt;0,"★期限超過",W19-前提・入力!$B$38&lt;=30,"★至急(30日以内)",W19-前提・入力!$B$38&lt;=90,"要着手(90日以内)",TRUE(),"余裕あり")))</f>
        <v>—</v>
      </c>
      <c r="Y19" s="69" t="str">
        <f aca="false">IF(T19&gt;0,"★欠品：追加生産が必要",IF(S19&gt;=R19*2,"大幅余剰","在庫で充足"))</f>
        <v>大幅余剰</v>
      </c>
      <c r="Z19" s="39"/>
      <c r="AA19" s="69" t="s">
        <v>694</v>
      </c>
    </row>
    <row r="20" customFormat="false" ht="15" hidden="false" customHeight="false" outlineLevel="0" collapsed="false">
      <c r="A20" s="32" t="n">
        <v>14</v>
      </c>
      <c r="B20" s="32" t="s">
        <v>312</v>
      </c>
      <c r="C20" s="33" t="s">
        <v>313</v>
      </c>
      <c r="D20" s="34" t="n">
        <v>600</v>
      </c>
      <c r="E20" s="35" t="n">
        <v>2089</v>
      </c>
      <c r="F20" s="35" t="n">
        <v>2016</v>
      </c>
      <c r="G20" s="35" t="n">
        <v>1936</v>
      </c>
      <c r="H20" s="35" t="n">
        <v>1790</v>
      </c>
      <c r="I20" s="35" t="n">
        <v>1740</v>
      </c>
      <c r="J20" s="34" t="n">
        <f aca="false">H20*D20</f>
        <v>1074000</v>
      </c>
      <c r="K20" s="35" t="n">
        <v>50</v>
      </c>
      <c r="L20" s="35" t="n">
        <v>3</v>
      </c>
      <c r="M20" s="35" t="n">
        <v>0</v>
      </c>
      <c r="N20" s="35" t="n">
        <f aca="false">①石川予測確定!S20</f>
        <v>53</v>
      </c>
      <c r="O20" s="35" t="n">
        <f aca="false">①石川予測確定!P20</f>
        <v>14</v>
      </c>
      <c r="P20" s="35" t="n">
        <f aca="false">IF(I20="",H20-K20,I20)</f>
        <v>1740</v>
      </c>
      <c r="Q20" s="35" t="n">
        <f aca="false">P20+L20-M20-O20</f>
        <v>1729</v>
      </c>
      <c r="R20" s="35" t="n">
        <f aca="false">③仙台以降予測!M44</f>
        <v>246</v>
      </c>
      <c r="S20" s="38" t="n">
        <f aca="false">Q20-R20</f>
        <v>1483</v>
      </c>
      <c r="T20" s="35" t="n">
        <f aca="false">MAX(0,-S20)</f>
        <v>0</v>
      </c>
      <c r="U20" s="35" t="n">
        <f aca="false">IF(T20&gt;0,ROUNDUP(T20*(1+前提・入力!$B$34),0),0)</f>
        <v>0</v>
      </c>
      <c r="V20" s="72" t="s">
        <v>533</v>
      </c>
      <c r="W20" s="32"/>
      <c r="X20" s="69" t="str">
        <f aca="false">IF(V20="—","—",IF(W20="再生産不可","×再生産不可",_xlfn.IFS(W20-前提・入力!$B$38&lt;0,"★期限超過",W20-前提・入力!$B$38&lt;=30,"★至急(30日以内)",W20-前提・入力!$B$38&lt;=90,"要着手(90日以内)",TRUE(),"余裕あり")))</f>
        <v>—</v>
      </c>
      <c r="Y20" s="69" t="str">
        <f aca="false">IF(T20&gt;0,"★欠品：追加生産が必要",IF(S20&gt;=R20*2,"大幅余剰","在庫で充足"))</f>
        <v>大幅余剰</v>
      </c>
      <c r="Z20" s="39"/>
      <c r="AA20" s="72"/>
    </row>
    <row r="21" customFormat="false" ht="15" hidden="false" customHeight="false" outlineLevel="0" collapsed="false">
      <c r="A21" s="32" t="n">
        <v>15</v>
      </c>
      <c r="B21" s="32" t="s">
        <v>314</v>
      </c>
      <c r="C21" s="33" t="s">
        <v>315</v>
      </c>
      <c r="D21" s="34" t="n">
        <v>600</v>
      </c>
      <c r="E21" s="35" t="n">
        <v>2529</v>
      </c>
      <c r="F21" s="35" t="n">
        <v>2429</v>
      </c>
      <c r="G21" s="35" t="n">
        <v>2329</v>
      </c>
      <c r="H21" s="35" t="n">
        <v>2131</v>
      </c>
      <c r="I21" s="35" t="n">
        <v>2031</v>
      </c>
      <c r="J21" s="34" t="n">
        <f aca="false">H21*D21</f>
        <v>1278600</v>
      </c>
      <c r="K21" s="35" t="n">
        <v>100</v>
      </c>
      <c r="L21" s="35" t="n">
        <v>46</v>
      </c>
      <c r="M21" s="35" t="n">
        <v>0</v>
      </c>
      <c r="N21" s="35" t="n">
        <f aca="false">①石川予測確定!S21</f>
        <v>96</v>
      </c>
      <c r="O21" s="35" t="n">
        <f aca="false">①石川予測確定!P21</f>
        <v>23</v>
      </c>
      <c r="P21" s="35" t="n">
        <f aca="false">IF(I21="",H21-K21,I21)</f>
        <v>2031</v>
      </c>
      <c r="Q21" s="35" t="n">
        <f aca="false">P21+L21-M21-O21</f>
        <v>2054</v>
      </c>
      <c r="R21" s="35" t="n">
        <f aca="false">③仙台以降予測!M45</f>
        <v>324</v>
      </c>
      <c r="S21" s="38" t="n">
        <f aca="false">Q21-R21</f>
        <v>1730</v>
      </c>
      <c r="T21" s="35" t="n">
        <f aca="false">MAX(0,-S21)</f>
        <v>0</v>
      </c>
      <c r="U21" s="35" t="n">
        <f aca="false">IF(T21&gt;0,ROUNDUP(T21*(1+前提・入力!$B$34),0),0)</f>
        <v>0</v>
      </c>
      <c r="V21" s="72" t="s">
        <v>533</v>
      </c>
      <c r="W21" s="32"/>
      <c r="X21" s="69" t="str">
        <f aca="false">IF(V21="—","—",IF(W21="再生産不可","×再生産不可",_xlfn.IFS(W21-前提・入力!$B$38&lt;0,"★期限超過",W21-前提・入力!$B$38&lt;=30,"★至急(30日以内)",W21-前提・入力!$B$38&lt;=90,"要着手(90日以内)",TRUE(),"余裕あり")))</f>
        <v>—</v>
      </c>
      <c r="Y21" s="69" t="str">
        <f aca="false">IF(T21&gt;0,"★欠品：追加生産が必要",IF(S21&gt;=R21*2,"大幅余剰","在庫で充足"))</f>
        <v>大幅余剰</v>
      </c>
      <c r="Z21" s="39"/>
      <c r="AA21" s="72"/>
    </row>
    <row r="22" customFormat="false" ht="15" hidden="false" customHeight="false" outlineLevel="0" collapsed="false">
      <c r="A22" s="32" t="n">
        <v>16</v>
      </c>
      <c r="B22" s="32" t="s">
        <v>316</v>
      </c>
      <c r="C22" s="33" t="s">
        <v>317</v>
      </c>
      <c r="D22" s="34" t="n">
        <v>600</v>
      </c>
      <c r="E22" s="35" t="n">
        <v>905</v>
      </c>
      <c r="F22" s="35" t="n">
        <v>867</v>
      </c>
      <c r="G22" s="35" t="n">
        <v>837</v>
      </c>
      <c r="H22" s="35" t="n">
        <v>772</v>
      </c>
      <c r="I22" s="35" t="n">
        <v>722</v>
      </c>
      <c r="J22" s="34" t="n">
        <f aca="false">H22*D22</f>
        <v>463200</v>
      </c>
      <c r="K22" s="35" t="n">
        <v>50</v>
      </c>
      <c r="L22" s="35" t="n">
        <v>28</v>
      </c>
      <c r="M22" s="35" t="n">
        <v>0</v>
      </c>
      <c r="N22" s="35" t="n">
        <f aca="false">①石川予測確定!S22</f>
        <v>78</v>
      </c>
      <c r="O22" s="35" t="n">
        <f aca="false">①石川予測確定!P22</f>
        <v>6</v>
      </c>
      <c r="P22" s="35" t="n">
        <f aca="false">IF(I22="",H22-K22,I22)</f>
        <v>722</v>
      </c>
      <c r="Q22" s="35" t="n">
        <f aca="false">P22+L22-M22-O22</f>
        <v>744</v>
      </c>
      <c r="R22" s="35" t="n">
        <f aca="false">③仙台以降予測!M46</f>
        <v>112</v>
      </c>
      <c r="S22" s="38" t="n">
        <f aca="false">Q22-R22</f>
        <v>632</v>
      </c>
      <c r="T22" s="35" t="n">
        <f aca="false">MAX(0,-S22)</f>
        <v>0</v>
      </c>
      <c r="U22" s="35" t="n">
        <f aca="false">IF(T22&gt;0,ROUNDUP(T22*(1+前提・入力!$B$34),0),0)</f>
        <v>0</v>
      </c>
      <c r="V22" s="72" t="s">
        <v>533</v>
      </c>
      <c r="W22" s="32"/>
      <c r="X22" s="69" t="str">
        <f aca="false">IF(V22="—","—",IF(W22="再生産不可","×再生産不可",_xlfn.IFS(W22-前提・入力!$B$38&lt;0,"★期限超過",W22-前提・入力!$B$38&lt;=30,"★至急(30日以内)",W22-前提・入力!$B$38&lt;=90,"要着手(90日以内)",TRUE(),"余裕あり")))</f>
        <v>—</v>
      </c>
      <c r="Y22" s="69" t="str">
        <f aca="false">IF(T22&gt;0,"★欠品：追加生産が必要",IF(S22&gt;=R22*2,"大幅余剰","在庫で充足"))</f>
        <v>大幅余剰</v>
      </c>
      <c r="Z22" s="39"/>
      <c r="AA22" s="72"/>
    </row>
    <row r="23" customFormat="false" ht="25.35" hidden="false" customHeight="false" outlineLevel="0" collapsed="false">
      <c r="A23" s="32" t="n">
        <v>17</v>
      </c>
      <c r="B23" s="32" t="s">
        <v>318</v>
      </c>
      <c r="C23" s="33" t="s">
        <v>319</v>
      </c>
      <c r="D23" s="34" t="n">
        <v>600</v>
      </c>
      <c r="E23" s="35" t="n">
        <v>3008</v>
      </c>
      <c r="F23" s="35" t="n">
        <v>2885</v>
      </c>
      <c r="G23" s="35" t="n">
        <v>2785</v>
      </c>
      <c r="H23" s="35" t="n">
        <v>2523</v>
      </c>
      <c r="I23" s="35" t="n">
        <v>2421</v>
      </c>
      <c r="J23" s="34" t="n">
        <f aca="false">H23*D23</f>
        <v>1513800</v>
      </c>
      <c r="K23" s="35" t="n">
        <v>100</v>
      </c>
      <c r="L23" s="35" t="n">
        <v>0</v>
      </c>
      <c r="M23" s="35" t="n">
        <v>0</v>
      </c>
      <c r="N23" s="35" t="n">
        <f aca="false">①石川予測確定!S23</f>
        <v>200</v>
      </c>
      <c r="O23" s="35" t="n">
        <f aca="false">①石川予測確定!P23</f>
        <v>41</v>
      </c>
      <c r="P23" s="35" t="n">
        <f aca="false">IF(I23="",H23-K23,I23)</f>
        <v>2421</v>
      </c>
      <c r="Q23" s="35" t="n">
        <f aca="false">P23+L23-M23-O23</f>
        <v>2380</v>
      </c>
      <c r="R23" s="35" t="n">
        <f aca="false">③仙台以降予測!M47</f>
        <v>592</v>
      </c>
      <c r="S23" s="38" t="n">
        <f aca="false">Q23-R23</f>
        <v>1788</v>
      </c>
      <c r="T23" s="35" t="n">
        <f aca="false">MAX(0,-S23)</f>
        <v>0</v>
      </c>
      <c r="U23" s="35" t="n">
        <f aca="false">IF(T23&gt;0,ROUNDUP(T23*(1+前提・入力!$B$34),0),0)</f>
        <v>0</v>
      </c>
      <c r="V23" s="72" t="s">
        <v>533</v>
      </c>
      <c r="W23" s="32"/>
      <c r="X23" s="69" t="str">
        <f aca="false">IF(V23="—","—",IF(W23="再生産不可","×再生産不可",_xlfn.IFS(W23-前提・入力!$B$38&lt;0,"★期限超過",W23-前提・入力!$B$38&lt;=30,"★至急(30日以内)",W23-前提・入力!$B$38&lt;=90,"要着手(90日以内)",TRUE(),"余裕あり")))</f>
        <v>—</v>
      </c>
      <c r="Y23" s="69" t="str">
        <f aca="false">IF(T23&gt;0,"★欠品：追加生産が必要",IF(S23&gt;=R23*2,"大幅余剰","在庫で充足"))</f>
        <v>大幅余剰</v>
      </c>
      <c r="Z23" s="39"/>
      <c r="AA23" s="69" t="s">
        <v>695</v>
      </c>
    </row>
    <row r="24" customFormat="false" ht="15" hidden="false" customHeight="false" outlineLevel="0" collapsed="false">
      <c r="A24" s="32" t="n">
        <v>18</v>
      </c>
      <c r="B24" s="32" t="s">
        <v>320</v>
      </c>
      <c r="C24" s="33" t="s">
        <v>321</v>
      </c>
      <c r="D24" s="34" t="n">
        <v>600</v>
      </c>
      <c r="E24" s="35" t="n">
        <v>6837</v>
      </c>
      <c r="F24" s="35" t="n">
        <v>12650</v>
      </c>
      <c r="G24" s="35" t="n">
        <v>11750</v>
      </c>
      <c r="H24" s="35" t="n">
        <v>9725</v>
      </c>
      <c r="I24" s="35" t="n">
        <v>8225</v>
      </c>
      <c r="J24" s="34" t="n">
        <f aca="false">H24*D24</f>
        <v>5835000</v>
      </c>
      <c r="K24" s="35" t="n">
        <v>1500</v>
      </c>
      <c r="L24" s="35" t="n">
        <v>1057</v>
      </c>
      <c r="M24" s="35" t="n">
        <v>0</v>
      </c>
      <c r="N24" s="35" t="n">
        <f aca="false">①石川予測確定!S24</f>
        <v>1157</v>
      </c>
      <c r="O24" s="35" t="n">
        <f aca="false">①石川予測確定!P24</f>
        <v>152</v>
      </c>
      <c r="P24" s="35" t="n">
        <f aca="false">IF(I24="",H24-K24,I24)</f>
        <v>8225</v>
      </c>
      <c r="Q24" s="35" t="n">
        <f aca="false">P24+L24-M24-O24</f>
        <v>9130</v>
      </c>
      <c r="R24" s="35" t="n">
        <f aca="false">③仙台以降予測!M48</f>
        <v>2444</v>
      </c>
      <c r="S24" s="38" t="n">
        <f aca="false">Q24-R24</f>
        <v>6686</v>
      </c>
      <c r="T24" s="35" t="n">
        <f aca="false">MAX(0,-S24)</f>
        <v>0</v>
      </c>
      <c r="U24" s="35" t="n">
        <f aca="false">IF(T24&gt;0,ROUNDUP(T24*(1+前提・入力!$B$34),0),0)</f>
        <v>0</v>
      </c>
      <c r="V24" s="72" t="s">
        <v>533</v>
      </c>
      <c r="W24" s="32"/>
      <c r="X24" s="69" t="str">
        <f aca="false">IF(V24="—","—",IF(W24="再生産不可","×再生産不可",_xlfn.IFS(W24-前提・入力!$B$38&lt;0,"★期限超過",W24-前提・入力!$B$38&lt;=30,"★至急(30日以内)",W24-前提・入力!$B$38&lt;=90,"要着手(90日以内)",TRUE(),"余裕あり")))</f>
        <v>—</v>
      </c>
      <c r="Y24" s="69" t="str">
        <f aca="false">IF(T24&gt;0,"★欠品：追加生産が必要",IF(S24&gt;=R24*2,"大幅余剰","在庫で充足"))</f>
        <v>大幅余剰</v>
      </c>
      <c r="Z24" s="39"/>
      <c r="AA24" s="72"/>
    </row>
    <row r="25" customFormat="false" ht="15" hidden="false" customHeight="false" outlineLevel="0" collapsed="false">
      <c r="A25" s="32" t="n">
        <v>19</v>
      </c>
      <c r="B25" s="32" t="s">
        <v>322</v>
      </c>
      <c r="C25" s="33" t="s">
        <v>323</v>
      </c>
      <c r="D25" s="34" t="n">
        <v>600</v>
      </c>
      <c r="E25" s="35" t="n">
        <v>2332</v>
      </c>
      <c r="F25" s="35" t="n">
        <v>2305</v>
      </c>
      <c r="G25" s="35" t="n">
        <v>2285</v>
      </c>
      <c r="H25" s="35" t="n">
        <v>2240</v>
      </c>
      <c r="I25" s="35" t="n">
        <v>2190</v>
      </c>
      <c r="J25" s="34" t="n">
        <f aca="false">H25*D25</f>
        <v>1344000</v>
      </c>
      <c r="K25" s="35" t="n">
        <v>50</v>
      </c>
      <c r="L25" s="35" t="n">
        <v>29</v>
      </c>
      <c r="M25" s="35" t="n">
        <v>0</v>
      </c>
      <c r="N25" s="35" t="n">
        <f aca="false">①石川予測確定!S25</f>
        <v>129</v>
      </c>
      <c r="O25" s="35" t="n">
        <f aca="false">①石川予測確定!P25</f>
        <v>5</v>
      </c>
      <c r="P25" s="35" t="n">
        <f aca="false">IF(I25="",H25-K25,I25)</f>
        <v>2190</v>
      </c>
      <c r="Q25" s="35" t="n">
        <f aca="false">P25+L25-M25-O25</f>
        <v>2214</v>
      </c>
      <c r="R25" s="35" t="n">
        <f aca="false">③仙台以降予測!M49</f>
        <v>103</v>
      </c>
      <c r="S25" s="38" t="n">
        <f aca="false">Q25-R25</f>
        <v>2111</v>
      </c>
      <c r="T25" s="35" t="n">
        <f aca="false">MAX(0,-S25)</f>
        <v>0</v>
      </c>
      <c r="U25" s="35" t="n">
        <f aca="false">IF(T25&gt;0,ROUNDUP(T25*(1+前提・入力!$B$34),0),0)</f>
        <v>0</v>
      </c>
      <c r="V25" s="72" t="s">
        <v>533</v>
      </c>
      <c r="W25" s="32"/>
      <c r="X25" s="69" t="str">
        <f aca="false">IF(V25="—","—",IF(W25="再生産不可","×再生産不可",_xlfn.IFS(W25-前提・入力!$B$38&lt;0,"★期限超過",W25-前提・入力!$B$38&lt;=30,"★至急(30日以内)",W25-前提・入力!$B$38&lt;=90,"要着手(90日以内)",TRUE(),"余裕あり")))</f>
        <v>—</v>
      </c>
      <c r="Y25" s="69" t="str">
        <f aca="false">IF(T25&gt;0,"★欠品：追加生産が必要",IF(S25&gt;=R25*2,"大幅余剰","在庫で充足"))</f>
        <v>大幅余剰</v>
      </c>
      <c r="Z25" s="39"/>
      <c r="AA25" s="72"/>
    </row>
    <row r="26" customFormat="false" ht="25.35" hidden="false" customHeight="false" outlineLevel="0" collapsed="false">
      <c r="A26" s="32" t="n">
        <v>20</v>
      </c>
      <c r="B26" s="32" t="s">
        <v>324</v>
      </c>
      <c r="C26" s="33" t="s">
        <v>325</v>
      </c>
      <c r="D26" s="34" t="n">
        <v>600</v>
      </c>
      <c r="E26" s="35" t="n">
        <v>382</v>
      </c>
      <c r="F26" s="35" t="n">
        <v>359</v>
      </c>
      <c r="G26" s="35" t="n">
        <v>344</v>
      </c>
      <c r="H26" s="35" t="n">
        <v>302</v>
      </c>
      <c r="I26" s="35" t="n">
        <v>271</v>
      </c>
      <c r="J26" s="34" t="n">
        <f aca="false">H26*D26</f>
        <v>181200</v>
      </c>
      <c r="K26" s="35" t="n">
        <v>30</v>
      </c>
      <c r="L26" s="35" t="n">
        <v>12</v>
      </c>
      <c r="M26" s="35" t="n">
        <v>0</v>
      </c>
      <c r="N26" s="35" t="n">
        <f aca="false">①石川予測確定!S26</f>
        <v>17</v>
      </c>
      <c r="O26" s="35" t="n">
        <f aca="false">①石川予測確定!P26</f>
        <v>7</v>
      </c>
      <c r="P26" s="35" t="n">
        <f aca="false">IF(I26="",H26-K26,I26)</f>
        <v>271</v>
      </c>
      <c r="Q26" s="35" t="n">
        <f aca="false">P26+L26-M26-O26</f>
        <v>276</v>
      </c>
      <c r="R26" s="35" t="n">
        <f aca="false">③仙台以降予測!M50</f>
        <v>104</v>
      </c>
      <c r="S26" s="38" t="n">
        <f aca="false">Q26-R26</f>
        <v>172</v>
      </c>
      <c r="T26" s="35" t="n">
        <f aca="false">MAX(0,-S26)</f>
        <v>0</v>
      </c>
      <c r="U26" s="35" t="n">
        <f aca="false">IF(T26&gt;0,ROUNDUP(T26*(1+前提・入力!$B$34),0),0)</f>
        <v>0</v>
      </c>
      <c r="V26" s="72" t="s">
        <v>533</v>
      </c>
      <c r="W26" s="32"/>
      <c r="X26" s="69" t="str">
        <f aca="false">IF(V26="—","—",IF(W26="再生産不可","×再生産不可",_xlfn.IFS(W26-前提・入力!$B$38&lt;0,"★期限超過",W26-前提・入力!$B$38&lt;=30,"★至急(30日以内)",W26-前提・入力!$B$38&lt;=90,"要着手(90日以内)",TRUE(),"余裕あり")))</f>
        <v>—</v>
      </c>
      <c r="Y26" s="69" t="str">
        <f aca="false">IF(T26&gt;0,"★欠品：追加生産が必要",IF(S26&gt;=R26*2,"大幅余剰","在庫で充足"))</f>
        <v>在庫で充足</v>
      </c>
      <c r="Z26" s="39"/>
      <c r="AA26" s="69" t="s">
        <v>696</v>
      </c>
    </row>
    <row r="27" customFormat="false" ht="15" hidden="false" customHeight="false" outlineLevel="0" collapsed="false">
      <c r="A27" s="32" t="n">
        <v>21</v>
      </c>
      <c r="B27" s="32" t="s">
        <v>326</v>
      </c>
      <c r="C27" s="33" t="s">
        <v>327</v>
      </c>
      <c r="D27" s="34" t="n">
        <v>600</v>
      </c>
      <c r="E27" s="35" t="n">
        <v>150</v>
      </c>
      <c r="F27" s="35" t="n">
        <v>710</v>
      </c>
      <c r="G27" s="35" t="n">
        <v>560</v>
      </c>
      <c r="H27" s="35" t="n">
        <v>308</v>
      </c>
      <c r="I27" s="35" t="n">
        <v>208</v>
      </c>
      <c r="J27" s="34" t="n">
        <f aca="false">H27*D27</f>
        <v>184800</v>
      </c>
      <c r="K27" s="35" t="n">
        <v>100</v>
      </c>
      <c r="L27" s="35" t="n">
        <v>12</v>
      </c>
      <c r="M27" s="35" t="n">
        <v>0</v>
      </c>
      <c r="N27" s="35" t="n">
        <f aca="false">①石川予測確定!S27</f>
        <v>32</v>
      </c>
      <c r="O27" s="35" t="n">
        <f aca="false">①石川予測確定!P27</f>
        <v>30</v>
      </c>
      <c r="P27" s="35" t="n">
        <f aca="false">IF(I27="",H27-K27,I27)</f>
        <v>208</v>
      </c>
      <c r="Q27" s="35" t="n">
        <f aca="false">P27+L27-M27-O27</f>
        <v>190</v>
      </c>
      <c r="R27" s="35" t="n">
        <f aca="false">③仙台以降予測!M51</f>
        <v>484</v>
      </c>
      <c r="S27" s="38" t="n">
        <f aca="false">Q27-R27</f>
        <v>-294</v>
      </c>
      <c r="T27" s="35" t="n">
        <f aca="false">MAX(0,-S27)</f>
        <v>294</v>
      </c>
      <c r="U27" s="35" t="n">
        <f aca="false">IF(T27&gt;0,ROUNDUP(T27*(1+前提・入力!$B$34),0),0)</f>
        <v>324</v>
      </c>
      <c r="V27" s="69" t="s">
        <v>385</v>
      </c>
      <c r="W27" s="70" t="n">
        <f aca="false">DATE(2027,3,15)-30-前提・入力!$B$37</f>
        <v>46417</v>
      </c>
      <c r="X27" s="69" t="str">
        <f aca="false">IF(V27="—","—",IF(W27="再生産不可","×再生産不可",_xlfn.IFS(W27-前提・入力!$B$38&lt;0,"★期限超過",W27-前提・入力!$B$38&lt;=30,"★至急(30日以内)",W27-前提・入力!$B$38&lt;=90,"要着手(90日以内)",TRUE(),"余裕あり")))</f>
        <v>余裕あり</v>
      </c>
      <c r="Y27" s="69" t="str">
        <f aca="false">IF(T27&gt;0,"★欠品：追加生産が必要",IF(S27&gt;=R27*2,"大幅余剰","在庫で充足"))</f>
        <v>★欠品：追加生産が必要</v>
      </c>
      <c r="Z27" s="39"/>
      <c r="AA27" s="72"/>
    </row>
    <row r="28" customFormat="false" ht="15" hidden="false" customHeight="false" outlineLevel="0" collapsed="false">
      <c r="A28" s="32" t="n">
        <v>22</v>
      </c>
      <c r="B28" s="32" t="s">
        <v>328</v>
      </c>
      <c r="C28" s="33" t="s">
        <v>329</v>
      </c>
      <c r="D28" s="34" t="n">
        <v>600</v>
      </c>
      <c r="E28" s="35" t="n">
        <v>1681</v>
      </c>
      <c r="F28" s="35" t="n">
        <v>1582</v>
      </c>
      <c r="G28" s="35" t="n">
        <v>1502</v>
      </c>
      <c r="H28" s="35" t="n">
        <v>1331</v>
      </c>
      <c r="I28" s="35" t="n">
        <v>1281</v>
      </c>
      <c r="J28" s="34" t="n">
        <f aca="false">H28*D28</f>
        <v>798600</v>
      </c>
      <c r="K28" s="35" t="n">
        <v>50</v>
      </c>
      <c r="L28" s="35" t="n">
        <v>0</v>
      </c>
      <c r="M28" s="35" t="n">
        <v>0</v>
      </c>
      <c r="N28" s="35" t="n">
        <f aca="false">①石川予測確定!S28</f>
        <v>150</v>
      </c>
      <c r="O28" s="35" t="n">
        <f aca="false">①石川予測確定!P28</f>
        <v>27</v>
      </c>
      <c r="P28" s="35" t="n">
        <f aca="false">IF(I28="",H28-K28,I28)</f>
        <v>1281</v>
      </c>
      <c r="Q28" s="35" t="n">
        <f aca="false">P28+L28-M28-O28</f>
        <v>1254</v>
      </c>
      <c r="R28" s="35" t="n">
        <f aca="false">③仙台以降予測!M52</f>
        <v>335</v>
      </c>
      <c r="S28" s="38" t="n">
        <f aca="false">Q28-R28</f>
        <v>919</v>
      </c>
      <c r="T28" s="35" t="n">
        <f aca="false">MAX(0,-S28)</f>
        <v>0</v>
      </c>
      <c r="U28" s="35" t="n">
        <f aca="false">IF(T28&gt;0,ROUNDUP(T28*(1+前提・入力!$B$34),0),0)</f>
        <v>0</v>
      </c>
      <c r="V28" s="72" t="s">
        <v>533</v>
      </c>
      <c r="W28" s="32"/>
      <c r="X28" s="69" t="str">
        <f aca="false">IF(V28="—","—",IF(W28="再生産不可","×再生産不可",_xlfn.IFS(W28-前提・入力!$B$38&lt;0,"★期限超過",W28-前提・入力!$B$38&lt;=30,"★至急(30日以内)",W28-前提・入力!$B$38&lt;=90,"要着手(90日以内)",TRUE(),"余裕あり")))</f>
        <v>—</v>
      </c>
      <c r="Y28" s="69" t="str">
        <f aca="false">IF(T28&gt;0,"★欠品：追加生産が必要",IF(S28&gt;=R28*2,"大幅余剰","在庫で充足"))</f>
        <v>大幅余剰</v>
      </c>
      <c r="Z28" s="39"/>
      <c r="AA28" s="72"/>
    </row>
    <row r="29" customFormat="false" ht="25.35" hidden="false" customHeight="false" outlineLevel="0" collapsed="false">
      <c r="A29" s="32" t="n">
        <v>23</v>
      </c>
      <c r="B29" s="32" t="s">
        <v>330</v>
      </c>
      <c r="C29" s="33" t="s">
        <v>331</v>
      </c>
      <c r="D29" s="34" t="n">
        <v>600</v>
      </c>
      <c r="E29" s="35" t="n">
        <v>3581</v>
      </c>
      <c r="F29" s="35" t="n">
        <v>34570</v>
      </c>
      <c r="G29" s="35" t="n">
        <v>64969</v>
      </c>
      <c r="H29" s="35" t="n">
        <v>52199</v>
      </c>
      <c r="I29" s="35" t="n">
        <v>41196</v>
      </c>
      <c r="J29" s="34" t="n">
        <f aca="false">H29*D29</f>
        <v>31319400</v>
      </c>
      <c r="K29" s="35" t="n">
        <v>11000</v>
      </c>
      <c r="L29" s="35" t="n">
        <v>8825</v>
      </c>
      <c r="M29" s="35" t="n">
        <v>0</v>
      </c>
      <c r="N29" s="35" t="n">
        <f aca="false">①石川予測確定!S29</f>
        <v>9325</v>
      </c>
      <c r="O29" s="35" t="n">
        <f aca="false">①石川予測確定!P29</f>
        <v>1292</v>
      </c>
      <c r="P29" s="35" t="n">
        <f aca="false">IF(I29="",H29-K29,I29)</f>
        <v>41196</v>
      </c>
      <c r="Q29" s="35" t="n">
        <f aca="false">P29+L29-M29-O29</f>
        <v>48729</v>
      </c>
      <c r="R29" s="35" t="n">
        <f aca="false">③仙台以降予測!M53</f>
        <v>15263</v>
      </c>
      <c r="S29" s="38" t="n">
        <f aca="false">Q29-R29</f>
        <v>33466</v>
      </c>
      <c r="T29" s="35" t="n">
        <f aca="false">MAX(0,-S29)</f>
        <v>0</v>
      </c>
      <c r="U29" s="35" t="n">
        <f aca="false">IF(T29&gt;0,ROUNDUP(T29*(1+前提・入力!$B$34),0),0)</f>
        <v>0</v>
      </c>
      <c r="V29" s="72" t="s">
        <v>533</v>
      </c>
      <c r="W29" s="32"/>
      <c r="X29" s="69" t="str">
        <f aca="false">IF(V29="—","—",IF(W29="再生産不可","×再生産不可",_xlfn.IFS(W29-前提・入力!$B$38&lt;0,"★期限超過",W29-前提・入力!$B$38&lt;=30,"★至急(30日以内)",W29-前提・入力!$B$38&lt;=90,"要着手(90日以内)",TRUE(),"余裕あり")))</f>
        <v>—</v>
      </c>
      <c r="Y29" s="69" t="str">
        <f aca="false">IF(T29&gt;0,"★欠品：追加生産が必要",IF(S29&gt;=R29*2,"大幅余剰","在庫で充足"))</f>
        <v>大幅余剰</v>
      </c>
      <c r="Z29" s="39"/>
      <c r="AA29" s="69" t="s">
        <v>697</v>
      </c>
    </row>
    <row r="30" customFormat="false" ht="25.35" hidden="false" customHeight="false" outlineLevel="0" collapsed="false">
      <c r="A30" s="32" t="n">
        <v>24</v>
      </c>
      <c r="B30" s="32" t="s">
        <v>332</v>
      </c>
      <c r="C30" s="33" t="s">
        <v>333</v>
      </c>
      <c r="D30" s="34" t="n">
        <v>600</v>
      </c>
      <c r="E30" s="35" t="n">
        <v>0</v>
      </c>
      <c r="F30" s="35" t="n">
        <v>9454</v>
      </c>
      <c r="G30" s="35" t="n">
        <v>39226</v>
      </c>
      <c r="H30" s="35" t="n">
        <v>32220</v>
      </c>
      <c r="I30" s="35" t="n">
        <v>24211</v>
      </c>
      <c r="J30" s="34" t="n">
        <f aca="false">H30*D30</f>
        <v>19332000</v>
      </c>
      <c r="K30" s="35" t="n">
        <v>8000</v>
      </c>
      <c r="L30" s="35" t="n">
        <v>6784</v>
      </c>
      <c r="M30" s="35" t="n">
        <v>0</v>
      </c>
      <c r="N30" s="35" t="n">
        <f aca="false">①石川予測確定!S30</f>
        <v>7284</v>
      </c>
      <c r="O30" s="35" t="n">
        <f aca="false">①石川予測確定!P30</f>
        <v>865</v>
      </c>
      <c r="P30" s="35" t="n">
        <f aca="false">IF(I30="",H30-K30,I30)</f>
        <v>24211</v>
      </c>
      <c r="Q30" s="35" t="n">
        <f aca="false">P30+L30-M30-O30</f>
        <v>30130</v>
      </c>
      <c r="R30" s="35" t="n">
        <f aca="false">③仙台以降予測!M54</f>
        <v>9388</v>
      </c>
      <c r="S30" s="38" t="n">
        <f aca="false">Q30-R30</f>
        <v>20742</v>
      </c>
      <c r="T30" s="35" t="n">
        <f aca="false">MAX(0,-S30)</f>
        <v>0</v>
      </c>
      <c r="U30" s="35" t="n">
        <f aca="false">IF(T30&gt;0,ROUNDUP(T30*(1+前提・入力!$B$34),0),0)</f>
        <v>0</v>
      </c>
      <c r="V30" s="72" t="s">
        <v>533</v>
      </c>
      <c r="W30" s="32"/>
      <c r="X30" s="69" t="str">
        <f aca="false">IF(V30="—","—",IF(W30="再生産不可","×再生産不可",_xlfn.IFS(W30-前提・入力!$B$38&lt;0,"★期限超過",W30-前提・入力!$B$38&lt;=30,"★至急(30日以内)",W30-前提・入力!$B$38&lt;=90,"要着手(90日以内)",TRUE(),"余裕あり")))</f>
        <v>—</v>
      </c>
      <c r="Y30" s="69" t="str">
        <f aca="false">IF(T30&gt;0,"★欠品：追加生産が必要",IF(S30&gt;=R30*2,"大幅余剰","在庫で充足"))</f>
        <v>大幅余剰</v>
      </c>
      <c r="Z30" s="39"/>
      <c r="AA30" s="69" t="s">
        <v>698</v>
      </c>
    </row>
    <row r="31" customFormat="false" ht="15" hidden="false" customHeight="false" outlineLevel="0" collapsed="false">
      <c r="A31" s="32" t="n">
        <v>25</v>
      </c>
      <c r="B31" s="32" t="s">
        <v>334</v>
      </c>
      <c r="C31" s="33" t="s">
        <v>335</v>
      </c>
      <c r="D31" s="34" t="n">
        <v>1500</v>
      </c>
      <c r="E31" s="35" t="n">
        <v>4137</v>
      </c>
      <c r="F31" s="35" t="n">
        <v>3916</v>
      </c>
      <c r="G31" s="35" t="n">
        <v>3748</v>
      </c>
      <c r="H31" s="35" t="n">
        <v>3505</v>
      </c>
      <c r="I31" s="35" t="n">
        <v>3305</v>
      </c>
      <c r="J31" s="34" t="n">
        <f aca="false">H31*D31</f>
        <v>5257500</v>
      </c>
      <c r="K31" s="35" t="n">
        <v>200</v>
      </c>
      <c r="L31" s="35" t="n">
        <v>146</v>
      </c>
      <c r="M31" s="35" t="n">
        <v>0</v>
      </c>
      <c r="N31" s="35" t="n">
        <f aca="false">①石川予測確定!S31</f>
        <v>176</v>
      </c>
      <c r="O31" s="35" t="n">
        <f aca="false">①石川予測確定!P31</f>
        <v>58</v>
      </c>
      <c r="P31" s="35" t="n">
        <f aca="false">IF(I31="",H31-K31,I31)</f>
        <v>3305</v>
      </c>
      <c r="Q31" s="35" t="n">
        <f aca="false">P31+L31-M31-O31</f>
        <v>3393</v>
      </c>
      <c r="R31" s="35" t="n">
        <f aca="false">③仙台以降予測!M55</f>
        <v>534</v>
      </c>
      <c r="S31" s="38" t="n">
        <f aca="false">Q31-R31</f>
        <v>2859</v>
      </c>
      <c r="T31" s="35" t="n">
        <f aca="false">MAX(0,-S31)</f>
        <v>0</v>
      </c>
      <c r="U31" s="35" t="n">
        <f aca="false">IF(T31&gt;0,ROUNDUP(T31*(1+前提・入力!$B$34),0),0)</f>
        <v>0</v>
      </c>
      <c r="V31" s="72" t="s">
        <v>533</v>
      </c>
      <c r="W31" s="32"/>
      <c r="X31" s="69" t="str">
        <f aca="false">IF(V31="—","—",IF(W31="再生産不可","×再生産不可",_xlfn.IFS(W31-前提・入力!$B$38&lt;0,"★期限超過",W31-前提・入力!$B$38&lt;=30,"★至急(30日以内)",W31-前提・入力!$B$38&lt;=90,"要着手(90日以内)",TRUE(),"余裕あり")))</f>
        <v>—</v>
      </c>
      <c r="Y31" s="69" t="str">
        <f aca="false">IF(T31&gt;0,"★欠品：追加生産が必要",IF(S31&gt;=R31*2,"大幅余剰","在庫で充足"))</f>
        <v>大幅余剰</v>
      </c>
      <c r="Z31" s="39"/>
      <c r="AA31" s="72"/>
    </row>
    <row r="32" customFormat="false" ht="25.35" hidden="false" customHeight="false" outlineLevel="0" collapsed="false">
      <c r="A32" s="32" t="n">
        <v>26</v>
      </c>
      <c r="B32" s="32" t="s">
        <v>336</v>
      </c>
      <c r="C32" s="33" t="s">
        <v>337</v>
      </c>
      <c r="D32" s="34" t="n">
        <v>2200</v>
      </c>
      <c r="E32" s="35" t="n">
        <v>692</v>
      </c>
      <c r="F32" s="35" t="n">
        <v>1787</v>
      </c>
      <c r="G32" s="35" t="n">
        <v>1343</v>
      </c>
      <c r="H32" s="35" t="n">
        <v>500</v>
      </c>
      <c r="I32" s="35" t="n">
        <v>299</v>
      </c>
      <c r="J32" s="34" t="n">
        <f aca="false">H32*D32</f>
        <v>1100000</v>
      </c>
      <c r="K32" s="35" t="n">
        <v>200</v>
      </c>
      <c r="L32" s="35" t="n">
        <v>0</v>
      </c>
      <c r="M32" s="35" t="n">
        <v>0</v>
      </c>
      <c r="N32" s="35" t="n">
        <f aca="false">①石川予測確定!S32</f>
        <v>50</v>
      </c>
      <c r="O32" s="35" t="n">
        <f aca="false">①石川予測確定!P32</f>
        <v>70</v>
      </c>
      <c r="P32" s="35" t="n">
        <f aca="false">IF(I32="",H32-K32,I32)</f>
        <v>299</v>
      </c>
      <c r="Q32" s="35" t="n">
        <f aca="false">P32+L32-M32-O32</f>
        <v>229</v>
      </c>
      <c r="R32" s="35" t="n">
        <f aca="false">③仙台以降予測!M56</f>
        <v>1112</v>
      </c>
      <c r="S32" s="38" t="n">
        <f aca="false">Q32-R32</f>
        <v>-883</v>
      </c>
      <c r="T32" s="35" t="n">
        <f aca="false">MAX(0,-S32)</f>
        <v>883</v>
      </c>
      <c r="U32" s="35" t="n">
        <f aca="false">IF(T32&gt;0,ROUNDUP(T32*(1+前提・入力!$B$34),0),0)</f>
        <v>972</v>
      </c>
      <c r="V32" s="69" t="s">
        <v>384</v>
      </c>
      <c r="W32" s="70" t="n">
        <f aca="false">DATE(2026,12,16)-75-前提・入力!$B$37</f>
        <v>46283</v>
      </c>
      <c r="X32" s="69" t="str">
        <f aca="false">IF(V32="—","—",IF(W32="再生産不可","×再生産不可",_xlfn.IFS(W32-前提・入力!$B$38&lt;0,"★期限超過",W32-前提・入力!$B$38&lt;=30,"★至急(30日以内)",W32-前提・入力!$B$38&lt;=90,"要着手(90日以内)",TRUE(),"余裕あり")))</f>
        <v>★至急(30日以内)</v>
      </c>
      <c r="Y32" s="69" t="str">
        <f aca="false">IF(T32&gt;0,"★欠品：追加生産が必要",IF(S32&gt;=R32*2,"大幅余剰","在庫で充足"))</f>
        <v>★欠品：追加生産が必要</v>
      </c>
      <c r="Z32" s="39"/>
      <c r="AA32" s="69" t="s">
        <v>694</v>
      </c>
    </row>
    <row r="33" customFormat="false" ht="15" hidden="false" customHeight="false" outlineLevel="0" collapsed="false">
      <c r="A33" s="32" t="n">
        <v>27</v>
      </c>
      <c r="B33" s="32" t="s">
        <v>338</v>
      </c>
      <c r="C33" s="33" t="s">
        <v>339</v>
      </c>
      <c r="D33" s="34" t="n">
        <v>1100</v>
      </c>
      <c r="E33" s="35" t="n">
        <v>1518</v>
      </c>
      <c r="F33" s="35" t="n">
        <v>1414</v>
      </c>
      <c r="G33" s="35" t="n">
        <v>1344</v>
      </c>
      <c r="H33" s="35" t="n">
        <v>1199</v>
      </c>
      <c r="I33" s="35" t="n">
        <v>1129</v>
      </c>
      <c r="J33" s="34" t="n">
        <f aca="false">H33*D33</f>
        <v>1318900</v>
      </c>
      <c r="K33" s="35" t="n">
        <v>70</v>
      </c>
      <c r="L33" s="35" t="n">
        <v>20</v>
      </c>
      <c r="M33" s="35" t="n">
        <v>0</v>
      </c>
      <c r="N33" s="35" t="n">
        <f aca="false">①石川予測確定!S33</f>
        <v>70</v>
      </c>
      <c r="O33" s="35" t="n">
        <f aca="false">①石川予測確定!P33</f>
        <v>18</v>
      </c>
      <c r="P33" s="35" t="n">
        <f aca="false">IF(I33="",H33-K33,I33)</f>
        <v>1129</v>
      </c>
      <c r="Q33" s="35" t="n">
        <f aca="false">P33+L33-M33-O33</f>
        <v>1131</v>
      </c>
      <c r="R33" s="35" t="n">
        <f aca="false">③仙台以降予測!M57</f>
        <v>280</v>
      </c>
      <c r="S33" s="38" t="n">
        <f aca="false">Q33-R33</f>
        <v>851</v>
      </c>
      <c r="T33" s="35" t="n">
        <f aca="false">MAX(0,-S33)</f>
        <v>0</v>
      </c>
      <c r="U33" s="35" t="n">
        <f aca="false">IF(T33&gt;0,ROUNDUP(T33*(1+前提・入力!$B$34),0),0)</f>
        <v>0</v>
      </c>
      <c r="V33" s="72" t="s">
        <v>533</v>
      </c>
      <c r="W33" s="32"/>
      <c r="X33" s="69" t="str">
        <f aca="false">IF(V33="—","—",IF(W33="再生産不可","×再生産不可",_xlfn.IFS(W33-前提・入力!$B$38&lt;0,"★期限超過",W33-前提・入力!$B$38&lt;=30,"★至急(30日以内)",W33-前提・入力!$B$38&lt;=90,"要着手(90日以内)",TRUE(),"余裕あり")))</f>
        <v>—</v>
      </c>
      <c r="Y33" s="69" t="str">
        <f aca="false">IF(T33&gt;0,"★欠品：追加生産が必要",IF(S33&gt;=R33*2,"大幅余剰","在庫で充足"))</f>
        <v>大幅余剰</v>
      </c>
      <c r="Z33" s="39"/>
      <c r="AA33" s="72"/>
    </row>
    <row r="34" customFormat="false" ht="120.85" hidden="false" customHeight="false" outlineLevel="0" collapsed="false">
      <c r="A34" s="32" t="n">
        <v>28</v>
      </c>
      <c r="B34" s="32" t="s">
        <v>340</v>
      </c>
      <c r="C34" s="33" t="s">
        <v>341</v>
      </c>
      <c r="D34" s="34" t="n">
        <v>1800</v>
      </c>
      <c r="E34" s="35" t="n">
        <v>440</v>
      </c>
      <c r="F34" s="35" t="n">
        <v>1193</v>
      </c>
      <c r="G34" s="35" t="n">
        <v>860</v>
      </c>
      <c r="H34" s="35" t="n">
        <v>460</v>
      </c>
      <c r="I34" s="35"/>
      <c r="J34" s="34" t="n">
        <f aca="false">H34*D34</f>
        <v>828000</v>
      </c>
      <c r="K34" s="35" t="n">
        <v>300</v>
      </c>
      <c r="L34" s="35" t="n">
        <v>0</v>
      </c>
      <c r="M34" s="35" t="n">
        <v>0</v>
      </c>
      <c r="N34" s="35" t="n">
        <f aca="false">①石川予測確定!S34</f>
        <v>80</v>
      </c>
      <c r="O34" s="35" t="n">
        <f aca="false">①石川予測確定!P34</f>
        <v>92</v>
      </c>
      <c r="P34" s="35" t="n">
        <f aca="false">IF(I34="",H34-K34,I34)</f>
        <v>160</v>
      </c>
      <c r="Q34" s="35" t="n">
        <f aca="false">P34+L34-M34-O34</f>
        <v>68</v>
      </c>
      <c r="R34" s="35" t="n">
        <f aca="false">③仙台以降予測!M58</f>
        <v>1589</v>
      </c>
      <c r="S34" s="38" t="n">
        <f aca="false">Q34-R34+1200</f>
        <v>-321</v>
      </c>
      <c r="T34" s="35" t="n">
        <f aca="false">MAX(0,-S34)</f>
        <v>321</v>
      </c>
      <c r="U34" s="35" t="n">
        <f aca="false">IF(T34&gt;0,ROUNDUP(T34*(1+前提・入力!$B$34),0),0)</f>
        <v>354</v>
      </c>
      <c r="V34" s="69" t="s">
        <v>536</v>
      </c>
      <c r="W34" s="70" t="n">
        <f aca="false">DATE(2026,9,5)-90-前提・入力!$B$37</f>
        <v>46166</v>
      </c>
      <c r="X34" s="69" t="s">
        <v>537</v>
      </c>
      <c r="Y34" s="69" t="str">
        <f aca="false">IF(T34&gt;0,"★欠品：追加生産が必要",IF(S34&gt;=R34*2,"大幅余剰","在庫で充足"))</f>
        <v>★欠品：追加生産が必要</v>
      </c>
      <c r="Z34" s="39"/>
      <c r="AA34" s="69" t="s">
        <v>699</v>
      </c>
    </row>
    <row r="35" customFormat="false" ht="25.35" hidden="false" customHeight="false" outlineLevel="0" collapsed="false">
      <c r="A35" s="32" t="n">
        <v>29</v>
      </c>
      <c r="B35" s="32" t="s">
        <v>342</v>
      </c>
      <c r="C35" s="33" t="s">
        <v>343</v>
      </c>
      <c r="D35" s="34" t="n">
        <v>1500</v>
      </c>
      <c r="E35" s="35" t="n">
        <v>1190</v>
      </c>
      <c r="F35" s="35" t="n">
        <v>871</v>
      </c>
      <c r="G35" s="35" t="n">
        <v>621</v>
      </c>
      <c r="H35" s="35" t="n">
        <v>421</v>
      </c>
      <c r="I35" s="35" t="n">
        <v>260</v>
      </c>
      <c r="J35" s="34" t="n">
        <f aca="false">H35*D35</f>
        <v>631500</v>
      </c>
      <c r="K35" s="35" t="n">
        <v>160</v>
      </c>
      <c r="L35" s="35" t="n">
        <v>0</v>
      </c>
      <c r="M35" s="35" t="n">
        <v>0</v>
      </c>
      <c r="N35" s="35" t="n">
        <f aca="false">①石川予測確定!S35</f>
        <v>120</v>
      </c>
      <c r="O35" s="35" t="n">
        <f aca="false">①石川予測確定!P35</f>
        <v>83</v>
      </c>
      <c r="P35" s="35" t="n">
        <f aca="false">IF(I35="",H35-K35,I35)</f>
        <v>260</v>
      </c>
      <c r="Q35" s="35" t="n">
        <f aca="false">P35+L35-M35-O35</f>
        <v>177</v>
      </c>
      <c r="R35" s="35" t="n">
        <f aca="false">③仙台以降予測!M59</f>
        <v>1052</v>
      </c>
      <c r="S35" s="38" t="n">
        <f aca="false">Q35-R35</f>
        <v>-875</v>
      </c>
      <c r="T35" s="35" t="n">
        <f aca="false">MAX(0,-S35)</f>
        <v>875</v>
      </c>
      <c r="U35" s="35" t="n">
        <f aca="false">IF(T35&gt;0,ROUNDUP(T35*(1+前提・入力!$B$34),0),0)</f>
        <v>963</v>
      </c>
      <c r="V35" s="69" t="s">
        <v>384</v>
      </c>
      <c r="W35" s="70" t="n">
        <f aca="false">DATE(2026,12,16)-90-前提・入力!$B$37</f>
        <v>46268</v>
      </c>
      <c r="X35" s="69" t="str">
        <f aca="false">IF(V35="—","—",IF(W35="再生産不可","×再生産不可",_xlfn.IFS(W35-前提・入力!$B$38&lt;0,"★期限超過",W35-前提・入力!$B$38&lt;=30,"★至急(30日以内)",W35-前提・入力!$B$38&lt;=90,"要着手(90日以内)",TRUE(),"余裕あり")))</f>
        <v>★至急(30日以内)</v>
      </c>
      <c r="Y35" s="69" t="str">
        <f aca="false">IF(T35&gt;0,"★欠品：追加生産が必要",IF(S35&gt;=R35*2,"大幅余剰","在庫で充足"))</f>
        <v>★欠品：追加生産が必要</v>
      </c>
      <c r="Z35" s="39"/>
      <c r="AA35" s="69" t="s">
        <v>696</v>
      </c>
    </row>
    <row r="36" customFormat="false" ht="25.35" hidden="false" customHeight="false" outlineLevel="0" collapsed="false">
      <c r="A36" s="32" t="n">
        <v>30</v>
      </c>
      <c r="B36" s="32" t="s">
        <v>344</v>
      </c>
      <c r="C36" s="33" t="s">
        <v>345</v>
      </c>
      <c r="D36" s="34" t="n">
        <v>3300</v>
      </c>
      <c r="E36" s="35" t="n">
        <v>1364</v>
      </c>
      <c r="F36" s="35" t="n">
        <v>1195</v>
      </c>
      <c r="G36" s="35" t="n">
        <v>1105</v>
      </c>
      <c r="H36" s="35" t="n">
        <v>900</v>
      </c>
      <c r="I36" s="35" t="n">
        <v>648</v>
      </c>
      <c r="J36" s="34" t="n">
        <f aca="false">H36*D36</f>
        <v>2970000</v>
      </c>
      <c r="K36" s="35" t="n">
        <v>250</v>
      </c>
      <c r="L36" s="35" t="n">
        <v>178</v>
      </c>
      <c r="M36" s="35" t="n">
        <v>0</v>
      </c>
      <c r="N36" s="35" t="n">
        <f aca="false">①石川予測確定!S36</f>
        <v>278</v>
      </c>
      <c r="O36" s="35" t="n">
        <f aca="false">①石川予測確定!P36</f>
        <v>45</v>
      </c>
      <c r="P36" s="35" t="n">
        <f aca="false">IF(I36="",H36-K36,I36)</f>
        <v>648</v>
      </c>
      <c r="Q36" s="35" t="n">
        <f aca="false">P36+L36-M36-O36</f>
        <v>781</v>
      </c>
      <c r="R36" s="35" t="n">
        <f aca="false">③仙台以降予測!M60</f>
        <v>519</v>
      </c>
      <c r="S36" s="38" t="n">
        <f aca="false">Q36-R36</f>
        <v>262</v>
      </c>
      <c r="T36" s="35" t="n">
        <f aca="false">MAX(0,-S36)</f>
        <v>0</v>
      </c>
      <c r="U36" s="35" t="n">
        <f aca="false">IF(T36&gt;0,ROUNDUP(T36*(1+前提・入力!$B$34),0),0)</f>
        <v>0</v>
      </c>
      <c r="V36" s="72" t="s">
        <v>533</v>
      </c>
      <c r="W36" s="32"/>
      <c r="X36" s="69" t="str">
        <f aca="false">IF(V36="—","—",IF(W36="再生産不可","×再生産不可",_xlfn.IFS(W36-前提・入力!$B$38&lt;0,"★期限超過",W36-前提・入力!$B$38&lt;=30,"★至急(30日以内)",W36-前提・入力!$B$38&lt;=90,"要着手(90日以内)",TRUE(),"余裕あり")))</f>
        <v>—</v>
      </c>
      <c r="Y36" s="69" t="str">
        <f aca="false">IF(T36&gt;0,"★欠品：追加生産が必要",IF(S36&gt;=R36*2,"大幅余剰","在庫で充足"))</f>
        <v>在庫で充足</v>
      </c>
      <c r="Z36" s="39"/>
      <c r="AA36" s="69" t="s">
        <v>700</v>
      </c>
    </row>
    <row r="37" customFormat="false" ht="15" hidden="false" customHeight="false" outlineLevel="0" collapsed="false">
      <c r="A37" s="32" t="n">
        <v>31</v>
      </c>
      <c r="B37" s="32" t="s">
        <v>346</v>
      </c>
      <c r="C37" s="33" t="s">
        <v>347</v>
      </c>
      <c r="D37" s="34" t="n">
        <v>1300</v>
      </c>
      <c r="E37" s="35" t="n">
        <v>1769</v>
      </c>
      <c r="F37" s="35" t="n">
        <v>1534</v>
      </c>
      <c r="G37" s="35" t="n">
        <v>1354</v>
      </c>
      <c r="H37" s="35" t="n">
        <v>927</v>
      </c>
      <c r="I37" s="35" t="n">
        <v>727</v>
      </c>
      <c r="J37" s="34" t="n">
        <f aca="false">H37*D37</f>
        <v>1205100</v>
      </c>
      <c r="K37" s="35" t="n">
        <v>200</v>
      </c>
      <c r="L37" s="35" t="n">
        <v>99</v>
      </c>
      <c r="M37" s="35" t="n">
        <v>0</v>
      </c>
      <c r="N37" s="35" t="n">
        <f aca="false">①石川予測確定!S37</f>
        <v>249</v>
      </c>
      <c r="O37" s="35" t="n">
        <f aca="false">①石川予測確定!P37</f>
        <v>61</v>
      </c>
      <c r="P37" s="35" t="n">
        <f aca="false">IF(I37="",H37-K37,I37)</f>
        <v>727</v>
      </c>
      <c r="Q37" s="35" t="n">
        <f aca="false">P37+L37-M37-O37</f>
        <v>765</v>
      </c>
      <c r="R37" s="35" t="n">
        <f aca="false">③仙台以降予測!M61</f>
        <v>715</v>
      </c>
      <c r="S37" s="38" t="n">
        <f aca="false">Q37-R37</f>
        <v>50</v>
      </c>
      <c r="T37" s="35" t="n">
        <f aca="false">MAX(0,-S37)</f>
        <v>0</v>
      </c>
      <c r="U37" s="35" t="n">
        <f aca="false">IF(T37&gt;0,ROUNDUP(T37*(1+前提・入力!$B$34),0),0)</f>
        <v>0</v>
      </c>
      <c r="V37" s="72" t="s">
        <v>533</v>
      </c>
      <c r="W37" s="32"/>
      <c r="X37" s="69" t="str">
        <f aca="false">IF(V37="—","—",IF(W37="再生産不可","×再生産不可",_xlfn.IFS(W37-前提・入力!$B$38&lt;0,"★期限超過",W37-前提・入力!$B$38&lt;=30,"★至急(30日以内)",W37-前提・入力!$B$38&lt;=90,"要着手(90日以内)",TRUE(),"余裕あり")))</f>
        <v>—</v>
      </c>
      <c r="Y37" s="69" t="str">
        <f aca="false">IF(T37&gt;0,"★欠品：追加生産が必要",IF(S37&gt;=R37*2,"大幅余剰","在庫で充足"))</f>
        <v>在庫で充足</v>
      </c>
      <c r="Z37" s="39"/>
      <c r="AA37" s="72"/>
    </row>
    <row r="38" customFormat="false" ht="25.35" hidden="false" customHeight="false" outlineLevel="0" collapsed="false">
      <c r="A38" s="32" t="n">
        <v>32</v>
      </c>
      <c r="B38" s="32" t="s">
        <v>348</v>
      </c>
      <c r="C38" s="33" t="s">
        <v>349</v>
      </c>
      <c r="D38" s="34" t="n">
        <v>8800</v>
      </c>
      <c r="E38" s="35" t="n">
        <v>38</v>
      </c>
      <c r="F38" s="35" t="n">
        <v>102</v>
      </c>
      <c r="G38" s="35" t="n">
        <v>73</v>
      </c>
      <c r="H38" s="35" t="n">
        <v>33</v>
      </c>
      <c r="I38" s="35" t="n">
        <v>20</v>
      </c>
      <c r="J38" s="34" t="n">
        <f aca="false">H38*D38</f>
        <v>290400</v>
      </c>
      <c r="K38" s="35" t="n">
        <v>10</v>
      </c>
      <c r="L38" s="35" t="n">
        <v>0</v>
      </c>
      <c r="M38" s="35" t="n">
        <v>0</v>
      </c>
      <c r="N38" s="35" t="n">
        <f aca="false">①石川予測確定!S38</f>
        <v>5</v>
      </c>
      <c r="O38" s="35" t="n">
        <f aca="false">①石川予測確定!P38</f>
        <v>5</v>
      </c>
      <c r="P38" s="35" t="n">
        <f aca="false">IF(I38="",H38-K38,I38)</f>
        <v>20</v>
      </c>
      <c r="Q38" s="35" t="n">
        <f aca="false">P38+L38-M38-O38</f>
        <v>15</v>
      </c>
      <c r="R38" s="35" t="n">
        <f aca="false">③仙台以降予測!M62</f>
        <v>64</v>
      </c>
      <c r="S38" s="38" t="n">
        <f aca="false">Q38-R38</f>
        <v>-49</v>
      </c>
      <c r="T38" s="35" t="n">
        <f aca="false">MAX(0,-S38)</f>
        <v>49</v>
      </c>
      <c r="U38" s="35" t="n">
        <f aca="false">IF(T38&gt;0,ROUNDUP(T38*(1+前提・入力!$B$34),0),0)</f>
        <v>54</v>
      </c>
      <c r="V38" s="69" t="s">
        <v>384</v>
      </c>
      <c r="W38" s="70" t="n">
        <f aca="false">DATE(2026,12,16)-90-前提・入力!$B$37</f>
        <v>46268</v>
      </c>
      <c r="X38" s="69" t="str">
        <f aca="false">IF(V38="—","—",IF(W38="再生産不可","×再生産不可",_xlfn.IFS(W38-前提・入力!$B$38&lt;0,"★期限超過",W38-前提・入力!$B$38&lt;=30,"★至急(30日以内)",W38-前提・入力!$B$38&lt;=90,"要着手(90日以内)",TRUE(),"余裕あり")))</f>
        <v>★至急(30日以内)</v>
      </c>
      <c r="Y38" s="69" t="str">
        <f aca="false">IF(T38&gt;0,"★欠品：追加生産が必要",IF(S38&gt;=R38*2,"大幅余剰","在庫で充足"))</f>
        <v>★欠品：追加生産が必要</v>
      </c>
      <c r="Z38" s="39"/>
      <c r="AA38" s="69" t="s">
        <v>688</v>
      </c>
    </row>
    <row r="39" customFormat="false" ht="15" hidden="false" customHeight="false" outlineLevel="0" collapsed="false">
      <c r="A39" s="32" t="n">
        <v>33</v>
      </c>
      <c r="B39" s="32" t="s">
        <v>350</v>
      </c>
      <c r="C39" s="33" t="s">
        <v>351</v>
      </c>
      <c r="D39" s="34" t="n">
        <v>27500</v>
      </c>
      <c r="E39" s="35" t="n">
        <v>13</v>
      </c>
      <c r="F39" s="35" t="n">
        <v>141</v>
      </c>
      <c r="G39" s="35" t="n">
        <v>127</v>
      </c>
      <c r="H39" s="35" t="n">
        <v>106</v>
      </c>
      <c r="I39" s="35" t="n">
        <v>91</v>
      </c>
      <c r="J39" s="34" t="n">
        <f aca="false">H39*D39</f>
        <v>2915000</v>
      </c>
      <c r="K39" s="35" t="n">
        <v>15</v>
      </c>
      <c r="L39" s="35" t="n">
        <v>12</v>
      </c>
      <c r="M39" s="35" t="n">
        <v>0</v>
      </c>
      <c r="N39" s="35" t="n">
        <f aca="false">①石川予測確定!S39</f>
        <v>21</v>
      </c>
      <c r="O39" s="35" t="n">
        <f aca="false">①石川予測確定!P39</f>
        <v>5</v>
      </c>
      <c r="P39" s="35" t="n">
        <f aca="false">IF(I39="",H39-K39,I39)</f>
        <v>91</v>
      </c>
      <c r="Q39" s="35" t="n">
        <f aca="false">P39+L39-M39-O39</f>
        <v>98</v>
      </c>
      <c r="R39" s="35" t="n">
        <f aca="false">③仙台以降予測!M63</f>
        <v>40</v>
      </c>
      <c r="S39" s="38" t="n">
        <f aca="false">Q39-R39</f>
        <v>58</v>
      </c>
      <c r="T39" s="35" t="n">
        <f aca="false">MAX(0,-S39)</f>
        <v>0</v>
      </c>
      <c r="U39" s="35" t="n">
        <f aca="false">IF(T39&gt;0,ROUNDUP(T39*(1+前提・入力!$B$34),0),0)</f>
        <v>0</v>
      </c>
      <c r="V39" s="72" t="s">
        <v>533</v>
      </c>
      <c r="W39" s="32"/>
      <c r="X39" s="69" t="str">
        <f aca="false">IF(V39="—","—",IF(W39="再生産不可","×再生産不可",_xlfn.IFS(W39-前提・入力!$B$38&lt;0,"★期限超過",W39-前提・入力!$B$38&lt;=30,"★至急(30日以内)",W39-前提・入力!$B$38&lt;=90,"要着手(90日以内)",TRUE(),"余裕あり")))</f>
        <v>—</v>
      </c>
      <c r="Y39" s="69" t="str">
        <f aca="false">IF(T39&gt;0,"★欠品：追加生産が必要",IF(S39&gt;=R39*2,"大幅余剰","在庫で充足"))</f>
        <v>在庫で充足</v>
      </c>
      <c r="Z39" s="39"/>
      <c r="AA39" s="72"/>
    </row>
    <row r="40" customFormat="false" ht="15" hidden="false" customHeight="false" outlineLevel="0" collapsed="false">
      <c r="A40" s="32" t="n">
        <v>34</v>
      </c>
      <c r="B40" s="32" t="s">
        <v>352</v>
      </c>
      <c r="C40" s="33" t="s">
        <v>353</v>
      </c>
      <c r="D40" s="34" t="n">
        <v>27500</v>
      </c>
      <c r="E40" s="35" t="n">
        <v>13</v>
      </c>
      <c r="F40" s="35" t="n">
        <v>10</v>
      </c>
      <c r="G40" s="35" t="n">
        <v>7</v>
      </c>
      <c r="H40" s="35" t="n">
        <v>4</v>
      </c>
      <c r="I40" s="35" t="n">
        <v>2</v>
      </c>
      <c r="J40" s="34" t="n">
        <f aca="false">H40*D40</f>
        <v>110000</v>
      </c>
      <c r="K40" s="35" t="n">
        <v>2</v>
      </c>
      <c r="L40" s="35" t="n">
        <v>0</v>
      </c>
      <c r="M40" s="35" t="n">
        <v>0</v>
      </c>
      <c r="N40" s="35" t="n">
        <f aca="false">①石川予測確定!S40</f>
        <v>1</v>
      </c>
      <c r="O40" s="35" t="n">
        <f aca="false">①石川予測確定!P40</f>
        <v>1</v>
      </c>
      <c r="P40" s="35" t="n">
        <f aca="false">IF(I40="",H40-K40,I40)</f>
        <v>2</v>
      </c>
      <c r="Q40" s="35" t="n">
        <f aca="false">P40+L40-M40-O40</f>
        <v>1</v>
      </c>
      <c r="R40" s="35" t="n">
        <f aca="false">③仙台以降予測!M64</f>
        <v>13</v>
      </c>
      <c r="S40" s="38" t="n">
        <f aca="false">Q40-R40</f>
        <v>-12</v>
      </c>
      <c r="T40" s="35" t="n">
        <f aca="false">MAX(0,-S40)</f>
        <v>12</v>
      </c>
      <c r="U40" s="35" t="n">
        <f aca="false">IF(T40&gt;0,ROUNDUP(T40*(1+前提・入力!$B$34),0),0)</f>
        <v>14</v>
      </c>
      <c r="V40" s="69" t="s">
        <v>536</v>
      </c>
      <c r="W40" s="70" t="n">
        <f aca="false">DATE(2026,9,5)-90-前提・入力!$B$37</f>
        <v>46166</v>
      </c>
      <c r="X40" s="69" t="str">
        <f aca="false">IF(V40="—","—",IF(W40="再生産不可","×再生産不可",_xlfn.IFS(W40-前提・入力!$B$38&lt;0,"★期限超過",W40-前提・入力!$B$38&lt;=30,"★至急(30日以内)",W40-前提・入力!$B$38&lt;=90,"要着手(90日以内)",TRUE(),"余裕あり")))</f>
        <v>★期限超過</v>
      </c>
      <c r="Y40" s="69" t="str">
        <f aca="false">IF(T40&gt;0,"★欠品：追加生産が必要",IF(S40&gt;=R40*2,"大幅余剰","在庫で充足"))</f>
        <v>★欠品：追加生産が必要</v>
      </c>
      <c r="Z40" s="39"/>
      <c r="AA40" s="72"/>
    </row>
    <row r="41" customFormat="false" ht="15" hidden="false" customHeight="false" outlineLevel="0" collapsed="false">
      <c r="A41" s="32" t="n">
        <v>35</v>
      </c>
      <c r="B41" s="32" t="s">
        <v>354</v>
      </c>
      <c r="C41" s="33" t="s">
        <v>355</v>
      </c>
      <c r="D41" s="34" t="n">
        <v>27500</v>
      </c>
      <c r="E41" s="35" t="n">
        <v>13</v>
      </c>
      <c r="F41" s="35" t="n">
        <v>10</v>
      </c>
      <c r="G41" s="35" t="n">
        <v>7</v>
      </c>
      <c r="H41" s="35" t="n">
        <v>4</v>
      </c>
      <c r="I41" s="35" t="n">
        <v>2</v>
      </c>
      <c r="J41" s="34" t="n">
        <f aca="false">H41*D41</f>
        <v>110000</v>
      </c>
      <c r="K41" s="35" t="n">
        <v>2</v>
      </c>
      <c r="L41" s="35" t="n">
        <v>1</v>
      </c>
      <c r="M41" s="35" t="n">
        <v>0</v>
      </c>
      <c r="N41" s="35" t="n">
        <f aca="false">①石川予測確定!S41</f>
        <v>1</v>
      </c>
      <c r="O41" s="35" t="n">
        <f aca="false">①石川予測確定!P41</f>
        <v>1</v>
      </c>
      <c r="P41" s="35" t="n">
        <f aca="false">IF(I41="",H41-K41,I41)</f>
        <v>2</v>
      </c>
      <c r="Q41" s="35" t="n">
        <f aca="false">P41+L41-M41-O41</f>
        <v>2</v>
      </c>
      <c r="R41" s="35" t="n">
        <f aca="false">③仙台以降予測!M65</f>
        <v>9</v>
      </c>
      <c r="S41" s="38" t="n">
        <f aca="false">Q41-R41</f>
        <v>-7</v>
      </c>
      <c r="T41" s="35" t="n">
        <f aca="false">MAX(0,-S41)</f>
        <v>7</v>
      </c>
      <c r="U41" s="35" t="n">
        <f aca="false">IF(T41&gt;0,ROUNDUP(T41*(1+前提・入力!$B$34),0),0)</f>
        <v>8</v>
      </c>
      <c r="V41" s="69" t="s">
        <v>385</v>
      </c>
      <c r="W41" s="70" t="n">
        <f aca="false">DATE(2027,3,15)-90-前提・入力!$B$37</f>
        <v>46357</v>
      </c>
      <c r="X41" s="69" t="str">
        <f aca="false">IF(V41="—","—",IF(W41="再生産不可","×再生産不可",_xlfn.IFS(W41-前提・入力!$B$38&lt;0,"★期限超過",W41-前提・入力!$B$38&lt;=30,"★至急(30日以内)",W41-前提・入力!$B$38&lt;=90,"要着手(90日以内)",TRUE(),"余裕あり")))</f>
        <v>余裕あり</v>
      </c>
      <c r="Y41" s="69" t="str">
        <f aca="false">IF(T41&gt;0,"★欠品：追加生産が必要",IF(S41&gt;=R41*2,"大幅余剰","在庫で充足"))</f>
        <v>★欠品：追加生産が必要</v>
      </c>
      <c r="Z41" s="39"/>
      <c r="AA41" s="72"/>
    </row>
    <row r="42" customFormat="false" ht="15" hidden="false" customHeight="false" outlineLevel="0" collapsed="false">
      <c r="A42" s="32" t="n">
        <v>36</v>
      </c>
      <c r="B42" s="32" t="s">
        <v>356</v>
      </c>
      <c r="C42" s="33" t="s">
        <v>357</v>
      </c>
      <c r="D42" s="34" t="n">
        <v>27500</v>
      </c>
      <c r="E42" s="35" t="n">
        <v>13</v>
      </c>
      <c r="F42" s="35" t="n">
        <v>10</v>
      </c>
      <c r="G42" s="35" t="n">
        <v>7</v>
      </c>
      <c r="H42" s="35" t="n">
        <v>4</v>
      </c>
      <c r="I42" s="35" t="n">
        <v>2</v>
      </c>
      <c r="J42" s="34" t="n">
        <f aca="false">H42*D42</f>
        <v>110000</v>
      </c>
      <c r="K42" s="35" t="n">
        <v>2</v>
      </c>
      <c r="L42" s="35" t="n">
        <v>1</v>
      </c>
      <c r="M42" s="35" t="n">
        <v>0</v>
      </c>
      <c r="N42" s="35" t="n">
        <f aca="false">①石川予測確定!S42</f>
        <v>1</v>
      </c>
      <c r="O42" s="35" t="n">
        <f aca="false">①石川予測確定!P42</f>
        <v>1</v>
      </c>
      <c r="P42" s="35" t="n">
        <f aca="false">IF(I42="",H42-K42,I42)</f>
        <v>2</v>
      </c>
      <c r="Q42" s="35" t="n">
        <f aca="false">P42+L42-M42-O42</f>
        <v>2</v>
      </c>
      <c r="R42" s="35" t="n">
        <f aca="false">③仙台以降予測!M66</f>
        <v>9</v>
      </c>
      <c r="S42" s="38" t="n">
        <f aca="false">Q42-R42</f>
        <v>-7</v>
      </c>
      <c r="T42" s="35" t="n">
        <f aca="false">MAX(0,-S42)</f>
        <v>7</v>
      </c>
      <c r="U42" s="35" t="n">
        <f aca="false">IF(T42&gt;0,ROUNDUP(T42*(1+前提・入力!$B$34),0),0)</f>
        <v>8</v>
      </c>
      <c r="V42" s="69" t="s">
        <v>385</v>
      </c>
      <c r="W42" s="70" t="n">
        <f aca="false">DATE(2027,3,15)-90-前提・入力!$B$37</f>
        <v>46357</v>
      </c>
      <c r="X42" s="69" t="str">
        <f aca="false">IF(V42="—","—",IF(W42="再生産不可","×再生産不可",_xlfn.IFS(W42-前提・入力!$B$38&lt;0,"★期限超過",W42-前提・入力!$B$38&lt;=30,"★至急(30日以内)",W42-前提・入力!$B$38&lt;=90,"要着手(90日以内)",TRUE(),"余裕あり")))</f>
        <v>余裕あり</v>
      </c>
      <c r="Y42" s="69" t="str">
        <f aca="false">IF(T42&gt;0,"★欠品：追加生産が必要",IF(S42&gt;=R42*2,"大幅余剰","在庫で充足"))</f>
        <v>★欠品：追加生産が必要</v>
      </c>
      <c r="Z42" s="39"/>
      <c r="AA42" s="72"/>
    </row>
    <row r="43" customFormat="false" ht="37.3" hidden="false" customHeight="false" outlineLevel="0" collapsed="false">
      <c r="A43" s="32" t="n">
        <v>37</v>
      </c>
      <c r="B43" s="32" t="s">
        <v>358</v>
      </c>
      <c r="C43" s="33" t="s">
        <v>359</v>
      </c>
      <c r="D43" s="34" t="n">
        <v>27500</v>
      </c>
      <c r="E43" s="35" t="n">
        <v>13</v>
      </c>
      <c r="F43" s="35" t="n">
        <v>81</v>
      </c>
      <c r="G43" s="35" t="n">
        <v>69</v>
      </c>
      <c r="H43" s="35" t="n">
        <v>43</v>
      </c>
      <c r="I43" s="35" t="n">
        <v>26</v>
      </c>
      <c r="J43" s="34" t="n">
        <f aca="false">H43*D43</f>
        <v>1182500</v>
      </c>
      <c r="K43" s="35" t="n">
        <v>8</v>
      </c>
      <c r="L43" s="35" t="n">
        <v>7</v>
      </c>
      <c r="M43" s="35" t="n">
        <v>0</v>
      </c>
      <c r="N43" s="35" t="n">
        <f aca="false">①石川予測確定!S43</f>
        <v>17</v>
      </c>
      <c r="O43" s="35" t="n">
        <f aca="false">①石川予測確定!P43</f>
        <v>5</v>
      </c>
      <c r="P43" s="35" t="n">
        <f aca="false">IF(I43="",H43-K43,I43)</f>
        <v>26</v>
      </c>
      <c r="Q43" s="35" t="n">
        <f aca="false">P43+L43-M43-O43</f>
        <v>28</v>
      </c>
      <c r="R43" s="35" t="n">
        <f aca="false">③仙台以降予測!M67</f>
        <v>34</v>
      </c>
      <c r="S43" s="38" t="n">
        <f aca="false">Q43-R43</f>
        <v>-6</v>
      </c>
      <c r="T43" s="35" t="n">
        <f aca="false">MAX(0,-S43)</f>
        <v>6</v>
      </c>
      <c r="U43" s="35" t="n">
        <f aca="false">IF(T43&gt;0,ROUNDUP(T43*(1+前提・入力!$B$34),0),0)</f>
        <v>7</v>
      </c>
      <c r="V43" s="69" t="s">
        <v>386</v>
      </c>
      <c r="W43" s="70" t="n">
        <f aca="false">DATE(2027,4,1)-90-前提・入力!$B$37</f>
        <v>46374</v>
      </c>
      <c r="X43" s="69" t="str">
        <f aca="false">IF(V43="—","—",IF(W43="再生産不可","×再生産不可",_xlfn.IFS(W43-前提・入力!$B$38&lt;0,"★期限超過",W43-前提・入力!$B$38&lt;=30,"★至急(30日以内)",W43-前提・入力!$B$38&lt;=90,"要着手(90日以内)",TRUE(),"余裕あり")))</f>
        <v>余裕あり</v>
      </c>
      <c r="Y43" s="69" t="str">
        <f aca="false">IF(T43&gt;0,"★欠品：追加生産が必要",IF(S43&gt;=R43*2,"大幅余剰","在庫で充足"))</f>
        <v>★欠品：追加生産が必要</v>
      </c>
      <c r="Z43" s="39"/>
      <c r="AA43" s="69" t="s">
        <v>701</v>
      </c>
    </row>
    <row r="44" customFormat="false" ht="15" hidden="false" customHeight="false" outlineLevel="0" collapsed="false">
      <c r="A44" s="32" t="n">
        <v>38</v>
      </c>
      <c r="B44" s="32" t="s">
        <v>360</v>
      </c>
      <c r="C44" s="33" t="s">
        <v>361</v>
      </c>
      <c r="D44" s="34" t="n">
        <v>27500</v>
      </c>
      <c r="E44" s="35" t="n">
        <v>13</v>
      </c>
      <c r="F44" s="35" t="n">
        <v>10</v>
      </c>
      <c r="G44" s="35" t="n">
        <v>7</v>
      </c>
      <c r="H44" s="35" t="n">
        <v>4</v>
      </c>
      <c r="I44" s="35" t="n">
        <v>2</v>
      </c>
      <c r="J44" s="34" t="n">
        <f aca="false">H44*D44</f>
        <v>110000</v>
      </c>
      <c r="K44" s="35" t="n">
        <v>2</v>
      </c>
      <c r="L44" s="35" t="n">
        <v>0</v>
      </c>
      <c r="M44" s="35" t="n">
        <v>0</v>
      </c>
      <c r="N44" s="35" t="n">
        <f aca="false">①石川予測確定!S44</f>
        <v>1</v>
      </c>
      <c r="O44" s="35" t="n">
        <f aca="false">①石川予測確定!P44</f>
        <v>1</v>
      </c>
      <c r="P44" s="35" t="n">
        <f aca="false">IF(I44="",H44-K44,I44)</f>
        <v>2</v>
      </c>
      <c r="Q44" s="35" t="n">
        <f aca="false">P44+L44-M44-O44</f>
        <v>1</v>
      </c>
      <c r="R44" s="35" t="n">
        <f aca="false">③仙台以降予測!M68</f>
        <v>13</v>
      </c>
      <c r="S44" s="38" t="n">
        <f aca="false">Q44-R44</f>
        <v>-12</v>
      </c>
      <c r="T44" s="35" t="n">
        <f aca="false">MAX(0,-S44)</f>
        <v>12</v>
      </c>
      <c r="U44" s="35" t="n">
        <f aca="false">IF(T44&gt;0,ROUNDUP(T44*(1+前提・入力!$B$34),0),0)</f>
        <v>14</v>
      </c>
      <c r="V44" s="69" t="s">
        <v>536</v>
      </c>
      <c r="W44" s="70" t="n">
        <f aca="false">DATE(2026,9,5)-90-前提・入力!$B$37</f>
        <v>46166</v>
      </c>
      <c r="X44" s="69" t="str">
        <f aca="false">IF(V44="—","—",IF(W44="再生産不可","×再生産不可",_xlfn.IFS(W44-前提・入力!$B$38&lt;0,"★期限超過",W44-前提・入力!$B$38&lt;=30,"★至急(30日以内)",W44-前提・入力!$B$38&lt;=90,"要着手(90日以内)",TRUE(),"余裕あり")))</f>
        <v>★期限超過</v>
      </c>
      <c r="Y44" s="69" t="str">
        <f aca="false">IF(T44&gt;0,"★欠品：追加生産が必要",IF(S44&gt;=R44*2,"大幅余剰","在庫で充足"))</f>
        <v>★欠品：追加生産が必要</v>
      </c>
      <c r="Z44" s="39"/>
      <c r="AA44" s="72"/>
    </row>
    <row r="45" customFormat="false" ht="25.35" hidden="false" customHeight="false" outlineLevel="0" collapsed="false">
      <c r="A45" s="32" t="n">
        <v>39</v>
      </c>
      <c r="B45" s="32" t="s">
        <v>362</v>
      </c>
      <c r="C45" s="33" t="s">
        <v>363</v>
      </c>
      <c r="D45" s="34" t="n">
        <v>27500</v>
      </c>
      <c r="E45" s="35" t="n">
        <v>13</v>
      </c>
      <c r="F45" s="35" t="n">
        <v>10</v>
      </c>
      <c r="G45" s="35" t="n">
        <v>8</v>
      </c>
      <c r="H45" s="35" t="n">
        <v>5</v>
      </c>
      <c r="I45" s="35" t="n">
        <v>2</v>
      </c>
      <c r="J45" s="34" t="n">
        <f aca="false">H45*D45</f>
        <v>137500</v>
      </c>
      <c r="K45" s="35" t="n">
        <v>2</v>
      </c>
      <c r="L45" s="35" t="n">
        <v>0</v>
      </c>
      <c r="M45" s="35" t="n">
        <v>0</v>
      </c>
      <c r="N45" s="35" t="n">
        <f aca="false">①石川予測確定!S45</f>
        <v>1</v>
      </c>
      <c r="O45" s="35" t="n">
        <f aca="false">①石川予測確定!P45</f>
        <v>2</v>
      </c>
      <c r="P45" s="35" t="n">
        <f aca="false">IF(I45="",H45-K45,I45)</f>
        <v>2</v>
      </c>
      <c r="Q45" s="35" t="n">
        <f aca="false">P45+L45-M45-O45</f>
        <v>0</v>
      </c>
      <c r="R45" s="35" t="n">
        <f aca="false">③仙台以降予測!M69</f>
        <v>19</v>
      </c>
      <c r="S45" s="38" t="n">
        <f aca="false">Q45-R45</f>
        <v>-19</v>
      </c>
      <c r="T45" s="35" t="n">
        <f aca="false">MAX(0,-S45)</f>
        <v>19</v>
      </c>
      <c r="U45" s="35" t="n">
        <f aca="false">IF(T45&gt;0,ROUNDUP(T45*(1+前提・入力!$B$34),0),0)</f>
        <v>21</v>
      </c>
      <c r="V45" s="69" t="s">
        <v>536</v>
      </c>
      <c r="W45" s="70" t="n">
        <f aca="false">DATE(2026,9,5)-90-前提・入力!$B$37</f>
        <v>46166</v>
      </c>
      <c r="X45" s="69" t="str">
        <f aca="false">IF(V45="—","—",IF(W45="再生産不可","×再生産不可",_xlfn.IFS(W45-前提・入力!$B$38&lt;0,"★期限超過",W45-前提・入力!$B$38&lt;=30,"★至急(30日以内)",W45-前提・入力!$B$38&lt;=90,"要着手(90日以内)",TRUE(),"余裕あり")))</f>
        <v>★期限超過</v>
      </c>
      <c r="Y45" s="69" t="str">
        <f aca="false">IF(T45&gt;0,"★欠品：追加生産が必要",IF(S45&gt;=R45*2,"大幅余剰","在庫で充足"))</f>
        <v>★欠品：追加生産が必要</v>
      </c>
      <c r="Z45" s="39"/>
      <c r="AA45" s="69" t="s">
        <v>702</v>
      </c>
    </row>
    <row r="46" customFormat="false" ht="15" hidden="false" customHeight="false" outlineLevel="0" collapsed="false">
      <c r="A46" s="32" t="n">
        <v>40</v>
      </c>
      <c r="B46" s="32" t="s">
        <v>364</v>
      </c>
      <c r="C46" s="33" t="s">
        <v>365</v>
      </c>
      <c r="D46" s="34" t="n">
        <v>27500</v>
      </c>
      <c r="E46" s="35" t="n">
        <v>13</v>
      </c>
      <c r="F46" s="35" t="n">
        <v>10</v>
      </c>
      <c r="G46" s="35" t="n">
        <v>7</v>
      </c>
      <c r="H46" s="35" t="n">
        <v>4</v>
      </c>
      <c r="I46" s="35" t="n">
        <v>2</v>
      </c>
      <c r="J46" s="34" t="n">
        <f aca="false">H46*D46</f>
        <v>110000</v>
      </c>
      <c r="K46" s="35" t="n">
        <v>2</v>
      </c>
      <c r="L46" s="35" t="n">
        <v>2</v>
      </c>
      <c r="M46" s="35" t="n">
        <v>0</v>
      </c>
      <c r="N46" s="35" t="n">
        <f aca="false">①石川予測確定!S46</f>
        <v>3</v>
      </c>
      <c r="O46" s="35" t="n">
        <f aca="false">①石川予測確定!P46</f>
        <v>1</v>
      </c>
      <c r="P46" s="35" t="n">
        <f aca="false">IF(I46="",H46-K46,I46)</f>
        <v>2</v>
      </c>
      <c r="Q46" s="35" t="n">
        <f aca="false">P46+L46-M46-O46</f>
        <v>3</v>
      </c>
      <c r="R46" s="35" t="n">
        <f aca="false">③仙台以降予測!M70</f>
        <v>7</v>
      </c>
      <c r="S46" s="38" t="n">
        <f aca="false">Q46-R46</f>
        <v>-4</v>
      </c>
      <c r="T46" s="35" t="n">
        <f aca="false">MAX(0,-S46)</f>
        <v>4</v>
      </c>
      <c r="U46" s="35" t="n">
        <f aca="false">IF(T46&gt;0,ROUNDUP(T46*(1+前提・入力!$B$34),0),0)</f>
        <v>5</v>
      </c>
      <c r="V46" s="69" t="s">
        <v>386</v>
      </c>
      <c r="W46" s="70" t="n">
        <f aca="false">DATE(2027,4,1)-90-前提・入力!$B$37</f>
        <v>46374</v>
      </c>
      <c r="X46" s="69" t="str">
        <f aca="false">IF(V46="—","—",IF(W46="再生産不可","×再生産不可",_xlfn.IFS(W46-前提・入力!$B$38&lt;0,"★期限超過",W46-前提・入力!$B$38&lt;=30,"★至急(30日以内)",W46-前提・入力!$B$38&lt;=90,"要着手(90日以内)",TRUE(),"余裕あり")))</f>
        <v>余裕あり</v>
      </c>
      <c r="Y46" s="69" t="str">
        <f aca="false">IF(T46&gt;0,"★欠品：追加生産が必要",IF(S46&gt;=R46*2,"大幅余剰","在庫で充足"))</f>
        <v>★欠品：追加生産が必要</v>
      </c>
      <c r="Z46" s="39"/>
      <c r="AA46" s="72"/>
    </row>
    <row r="47" customFormat="false" ht="15" hidden="false" customHeight="false" outlineLevel="0" collapsed="false">
      <c r="A47" s="32" t="n">
        <v>41</v>
      </c>
      <c r="B47" s="32" t="s">
        <v>366</v>
      </c>
      <c r="C47" s="33" t="s">
        <v>367</v>
      </c>
      <c r="D47" s="34" t="n">
        <v>25000</v>
      </c>
      <c r="E47" s="35" t="n">
        <v>81</v>
      </c>
      <c r="F47" s="35" t="n">
        <v>76</v>
      </c>
      <c r="G47" s="35" t="n">
        <v>75</v>
      </c>
      <c r="H47" s="35" t="n">
        <v>74</v>
      </c>
      <c r="I47" s="35" t="n">
        <v>70</v>
      </c>
      <c r="J47" s="34" t="n">
        <f aca="false">H47*D47</f>
        <v>1850000</v>
      </c>
      <c r="K47" s="35" t="n">
        <v>4</v>
      </c>
      <c r="L47" s="35" t="n">
        <v>4</v>
      </c>
      <c r="M47" s="35" t="n">
        <v>0</v>
      </c>
      <c r="N47" s="35" t="n">
        <f aca="false">①石川予測確定!S47</f>
        <v>14</v>
      </c>
      <c r="O47" s="35" t="n">
        <f aca="false">①石川予測確定!P47</f>
        <v>0</v>
      </c>
      <c r="P47" s="35" t="n">
        <f aca="false">IF(I47="",H47-K47,I47)</f>
        <v>70</v>
      </c>
      <c r="Q47" s="35" t="n">
        <f aca="false">P47+L47-M47-O47</f>
        <v>74</v>
      </c>
      <c r="R47" s="35" t="n">
        <f aca="false">③仙台以降予測!M71</f>
        <v>0</v>
      </c>
      <c r="S47" s="38" t="n">
        <f aca="false">Q47-R47</f>
        <v>74</v>
      </c>
      <c r="T47" s="35" t="n">
        <f aca="false">MAX(0,-S47)</f>
        <v>0</v>
      </c>
      <c r="U47" s="35" t="n">
        <f aca="false">IF(T47&gt;0,ROUNDUP(T47*(1+前提・入力!$B$34),0),0)</f>
        <v>0</v>
      </c>
      <c r="V47" s="72" t="s">
        <v>533</v>
      </c>
      <c r="W47" s="32"/>
      <c r="X47" s="69" t="str">
        <f aca="false">IF(V47="—","—",IF(W47="再生産不可","×再生産不可",_xlfn.IFS(W47-前提・入力!$B$38&lt;0,"★期限超過",W47-前提・入力!$B$38&lt;=30,"★至急(30日以内)",W47-前提・入力!$B$38&lt;=90,"要着手(90日以内)",TRUE(),"余裕あり")))</f>
        <v>—</v>
      </c>
      <c r="Y47" s="69" t="str">
        <f aca="false">IF(T47&gt;0,"★欠品：追加生産が必要",IF(S47&gt;=R47*2,"大幅余剰","在庫で充足"))</f>
        <v>大幅余剰</v>
      </c>
      <c r="Z47" s="39"/>
      <c r="AA47" s="72"/>
    </row>
    <row r="48" customFormat="false" ht="15" hidden="false" customHeight="false" outlineLevel="0" collapsed="false">
      <c r="A48" s="32" t="n">
        <v>42</v>
      </c>
      <c r="B48" s="32" t="s">
        <v>368</v>
      </c>
      <c r="C48" s="33" t="s">
        <v>369</v>
      </c>
      <c r="D48" s="34" t="n">
        <v>25000</v>
      </c>
      <c r="E48" s="35" t="n">
        <v>69</v>
      </c>
      <c r="F48" s="35" t="n">
        <v>61</v>
      </c>
      <c r="G48" s="35" t="n">
        <v>58</v>
      </c>
      <c r="H48" s="35" t="n">
        <v>49</v>
      </c>
      <c r="I48" s="35" t="n">
        <v>43</v>
      </c>
      <c r="J48" s="34" t="n">
        <f aca="false">H48*D48</f>
        <v>1225000</v>
      </c>
      <c r="K48" s="35" t="n">
        <v>6</v>
      </c>
      <c r="L48" s="35" t="n">
        <v>5</v>
      </c>
      <c r="M48" s="35" t="n">
        <v>0</v>
      </c>
      <c r="N48" s="35" t="n">
        <f aca="false">①石川予測確定!S48</f>
        <v>15</v>
      </c>
      <c r="O48" s="35" t="n">
        <f aca="false">①石川予測確定!P48</f>
        <v>0</v>
      </c>
      <c r="P48" s="35" t="n">
        <f aca="false">IF(I48="",H48-K48,I48)</f>
        <v>43</v>
      </c>
      <c r="Q48" s="35" t="n">
        <f aca="false">P48+L48-M48-O48</f>
        <v>48</v>
      </c>
      <c r="R48" s="35" t="n">
        <f aca="false">③仙台以降予測!M72</f>
        <v>3</v>
      </c>
      <c r="S48" s="38" t="n">
        <f aca="false">Q48-R48</f>
        <v>45</v>
      </c>
      <c r="T48" s="35" t="n">
        <f aca="false">MAX(0,-S48)</f>
        <v>0</v>
      </c>
      <c r="U48" s="35" t="n">
        <f aca="false">IF(T48&gt;0,ROUNDUP(T48*(1+前提・入力!$B$34),0),0)</f>
        <v>0</v>
      </c>
      <c r="V48" s="72" t="s">
        <v>533</v>
      </c>
      <c r="W48" s="32"/>
      <c r="X48" s="69" t="str">
        <f aca="false">IF(V48="—","—",IF(W48="再生産不可","×再生産不可",_xlfn.IFS(W48-前提・入力!$B$38&lt;0,"★期限超過",W48-前提・入力!$B$38&lt;=30,"★至急(30日以内)",W48-前提・入力!$B$38&lt;=90,"要着手(90日以内)",TRUE(),"余裕あり")))</f>
        <v>—</v>
      </c>
      <c r="Y48" s="69" t="str">
        <f aca="false">IF(T48&gt;0,"★欠品：追加生産が必要",IF(S48&gt;=R48*2,"大幅余剰","在庫で充足"))</f>
        <v>大幅余剰</v>
      </c>
      <c r="Z48" s="39"/>
      <c r="AA48" s="72"/>
    </row>
    <row r="49" customFormat="false" ht="15" hidden="false" customHeight="false" outlineLevel="0" collapsed="false">
      <c r="A49" s="40"/>
      <c r="B49" s="40"/>
      <c r="C49" s="41" t="s">
        <v>370</v>
      </c>
      <c r="D49" s="40"/>
      <c r="E49" s="42" t="n">
        <f aca="false">SUM(E7:E48)</f>
        <v>102309</v>
      </c>
      <c r="F49" s="42" t="n">
        <f aca="false">SUM(F7:F48)</f>
        <v>160526</v>
      </c>
      <c r="G49" s="42" t="n">
        <f aca="false">SUM(G7:G48)</f>
        <v>340617</v>
      </c>
      <c r="H49" s="42" t="n">
        <f aca="false">SUM(H7:H48)</f>
        <v>276521</v>
      </c>
      <c r="I49" s="42" t="n">
        <f aca="false">SUM(I7:I48)</f>
        <v>197802</v>
      </c>
      <c r="J49" s="44" t="n">
        <f aca="false">SUM(J7:J48)</f>
        <v>217570900</v>
      </c>
      <c r="K49" s="42" t="n">
        <f aca="false">SUM(K7:K48)</f>
        <v>50506</v>
      </c>
      <c r="L49" s="42" t="n">
        <f aca="false">SUM(L7:L48)</f>
        <v>41615</v>
      </c>
      <c r="M49" s="42" t="n">
        <f aca="false">SUM(M7:M48)</f>
        <v>0</v>
      </c>
      <c r="N49" s="42" t="n">
        <f aca="false">SUM(N7:N48)</f>
        <v>46928</v>
      </c>
      <c r="O49" s="42" t="n">
        <f aca="false">SUM(O7:O48)</f>
        <v>5151</v>
      </c>
      <c r="P49" s="42" t="n">
        <f aca="false">SUM(P7:P48)</f>
        <v>197962</v>
      </c>
      <c r="Q49" s="42" t="n">
        <f aca="false">SUM(Q7:Q48)</f>
        <v>234426</v>
      </c>
      <c r="R49" s="42" t="n">
        <f aca="false">SUM(R7:R48)</f>
        <v>61617</v>
      </c>
      <c r="S49" s="42" t="n">
        <f aca="false">SUM(S7:S48)</f>
        <v>174009</v>
      </c>
      <c r="T49" s="42" t="n">
        <f aca="false">SUM(T7:T48)</f>
        <v>3384</v>
      </c>
      <c r="U49" s="42" t="n">
        <f aca="false">SUM(U7:U48)</f>
        <v>3729</v>
      </c>
      <c r="V49" s="40"/>
      <c r="W49" s="40"/>
      <c r="X49" s="40" t="str">
        <f aca="false">COUNTIF(X7:X48,"★期限超過")&amp;"品目が期限超過"</f>
        <v>3品目が期限超過</v>
      </c>
      <c r="Y49" s="40" t="str">
        <f aca="false">COUNTIF(Y7:Y48,"★欠品：追加生産が必要")&amp;"品目が欠品"</f>
        <v>13品目が欠品</v>
      </c>
      <c r="Z49" s="40" t="str">
        <f aca="false">COUNTIF(Z7:Z48,"&lt;&gt;")&amp;"品目"</f>
        <v>0品目</v>
      </c>
      <c r="AA49" s="40"/>
    </row>
  </sheetData>
  <conditionalFormatting sqref="Y7:Y48">
    <cfRule type="expression" priority="2" aboveAverage="0" equalAverage="0" bottom="0" percent="0" rank="0" text="" dxfId="0">
      <formula>LEFT($Y7,1)="★"</formula>
    </cfRule>
    <cfRule type="expression" priority="3" aboveAverage="0" equalAverage="0" bottom="0" percent="0" rank="0" text="" dxfId="2">
      <formula>$Y7="在庫で充足"</formula>
    </cfRule>
  </conditionalFormatting>
  <conditionalFormatting sqref="Z7:Z48">
    <cfRule type="expression" priority="4" aboveAverage="0" equalAverage="0" bottom="0" percent="0" rank="0" text="" dxfId="1">
      <formula>$Z7&lt;&gt;""</formula>
    </cfRule>
  </conditionalFormatting>
  <conditionalFormatting sqref="V7:V48">
    <cfRule type="expression" priority="5" aboveAverage="0" equalAverage="0" bottom="0" percent="0" rank="0" text="" dxfId="3">
      <formula>$V7&lt;&gt;"—"</formula>
    </cfRule>
  </conditionalFormatting>
  <conditionalFormatting sqref="X7:X48">
    <cfRule type="expression" priority="6" aboveAverage="0" equalAverage="0" bottom="0" percent="0" rank="0" text="" dxfId="3">
      <formula>LEFT($X7,1)="★"</formula>
    </cfRule>
    <cfRule type="expression" priority="7" aboveAverage="0" equalAverage="0" bottom="0" percent="0" rank="0" text="" dxfId="1">
      <formula>$X7="要着手(90日以内)"</formula>
    </cfRule>
  </conditionalFormatting>
  <conditionalFormatting sqref="T7:T48">
    <cfRule type="expression" priority="8" aboveAverage="0" equalAverage="0" bottom="0" percent="0" rank="0" text="" dxfId="3">
      <formula>$T7&gt;0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R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2"/>
    <col collapsed="false" customWidth="true" hidden="false" outlineLevel="0" max="4" min="4" style="0" width="9"/>
    <col collapsed="false" customWidth="true" hidden="false" outlineLevel="0" max="5" min="5" style="0" width="10"/>
    <col collapsed="false" customWidth="true" hidden="false" outlineLevel="0" max="7" min="6" style="0" width="11"/>
    <col collapsed="false" customWidth="true" hidden="false" outlineLevel="0" max="8" min="8" style="0" width="10"/>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1" min="20" style="0" width="11"/>
    <col collapsed="false" customWidth="true" hidden="false" outlineLevel="0" max="22" min="22" style="0" width="10"/>
    <col collapsed="false" customWidth="true" hidden="false" outlineLevel="0" max="23" min="23" style="0" width="11"/>
    <col collapsed="false" customWidth="true" hidden="false" outlineLevel="0" max="24" min="24" style="0" width="10"/>
    <col collapsed="false" customWidth="true" hidden="false" outlineLevel="0" max="25" min="25" style="0" width="11"/>
    <col collapsed="false" customWidth="true" hidden="false" outlineLevel="0" max="26" min="26" style="0" width="10"/>
    <col collapsed="false" customWidth="true" hidden="false" outlineLevel="0" max="28" min="27" style="0" width="11"/>
    <col collapsed="false" customWidth="true" hidden="false" outlineLevel="0" max="29" min="29" style="0" width="10"/>
    <col collapsed="false" customWidth="true" hidden="false" outlineLevel="0" max="30" min="30" style="0" width="11"/>
    <col collapsed="false" customWidth="true" hidden="false" outlineLevel="0" max="31" min="31" style="0" width="10"/>
    <col collapsed="false" customWidth="true" hidden="false" outlineLevel="0" max="32" min="32" style="0" width="11"/>
    <col collapsed="false" customWidth="true" hidden="false" outlineLevel="0" max="33" min="33" style="0" width="10"/>
    <col collapsed="false" customWidth="true" hidden="false" outlineLevel="0" max="35" min="34" style="0" width="11"/>
    <col collapsed="false" customWidth="true" hidden="false" outlineLevel="0" max="36" min="36" style="0" width="10"/>
    <col collapsed="false" customWidth="true" hidden="false" outlineLevel="0" max="37" min="37" style="0" width="11"/>
    <col collapsed="false" customWidth="true" hidden="false" outlineLevel="0" max="38" min="38" style="0" width="10"/>
    <col collapsed="false" customWidth="true" hidden="false" outlineLevel="0" max="42" min="39" style="0" width="11"/>
    <col collapsed="false" customWidth="true" hidden="false" outlineLevel="0" max="43" min="43" style="0" width="12"/>
    <col collapsed="false" customWidth="true" hidden="false" outlineLevel="0" max="44" min="44" style="0" width="16"/>
  </cols>
  <sheetData>
    <row r="1" customFormat="false" ht="20.1" hidden="false" customHeight="false" outlineLevel="0" collapsed="false">
      <c r="A1" s="1" t="s">
        <v>703</v>
      </c>
    </row>
    <row r="2" customFormat="false" ht="15" hidden="false" customHeight="false" outlineLevel="0" collapsed="false">
      <c r="A2" s="3" t="s">
        <v>704</v>
      </c>
    </row>
    <row r="3" customFormat="false" ht="15" hidden="false" customHeight="false" outlineLevel="0" collapsed="false">
      <c r="A3" s="3" t="s">
        <v>705</v>
      </c>
    </row>
    <row r="4" customFormat="false" ht="15" hidden="false" customHeight="false" outlineLevel="0" collapsed="false">
      <c r="A4" s="3" t="s">
        <v>706</v>
      </c>
    </row>
    <row r="6" customFormat="false" ht="15" hidden="false" customHeight="false" outlineLevel="0" collapsed="false">
      <c r="A6" s="4" t="s">
        <v>707</v>
      </c>
    </row>
    <row r="7" customFormat="false" ht="33.75" hidden="false" customHeight="true" outlineLevel="0" collapsed="false">
      <c r="A7" s="26" t="s">
        <v>424</v>
      </c>
      <c r="B7" s="26" t="s">
        <v>399</v>
      </c>
      <c r="C7" s="26" t="s">
        <v>708</v>
      </c>
      <c r="D7" s="26" t="s">
        <v>709</v>
      </c>
      <c r="E7" s="26" t="s">
        <v>710</v>
      </c>
      <c r="F7" s="26" t="s">
        <v>711</v>
      </c>
      <c r="G7" s="26" t="s">
        <v>712</v>
      </c>
      <c r="H7" s="26" t="s">
        <v>713</v>
      </c>
      <c r="I7" s="26" t="s">
        <v>714</v>
      </c>
      <c r="J7" s="26" t="s">
        <v>715</v>
      </c>
      <c r="K7" s="26" t="s">
        <v>716</v>
      </c>
      <c r="L7" s="26" t="s">
        <v>598</v>
      </c>
    </row>
    <row r="8" customFormat="false" ht="49.25" hidden="false" customHeight="false" outlineLevel="0" collapsed="false">
      <c r="A8" s="54" t="s">
        <v>376</v>
      </c>
      <c r="B8" s="35" t="n">
        <v>25</v>
      </c>
      <c r="C8" s="33" t="s">
        <v>717</v>
      </c>
      <c r="D8" s="36"/>
      <c r="E8" s="35" t="n">
        <v>211152</v>
      </c>
      <c r="F8" s="35"/>
      <c r="G8" s="35" t="n">
        <v>148185</v>
      </c>
      <c r="H8" s="32"/>
      <c r="I8" s="32"/>
      <c r="J8" s="32"/>
      <c r="K8" s="37" t="n">
        <f aca="false">IFERROR(G8/E8,0)</f>
        <v>0.701793021141169</v>
      </c>
      <c r="L8" s="69" t="s">
        <v>718</v>
      </c>
    </row>
    <row r="9" customFormat="false" ht="61.15" hidden="false" customHeight="false" outlineLevel="0" collapsed="false">
      <c r="A9" s="54" t="s">
        <v>377</v>
      </c>
      <c r="B9" s="35" t="n">
        <v>19</v>
      </c>
      <c r="C9" s="33" t="s">
        <v>719</v>
      </c>
      <c r="D9" s="36" t="n">
        <v>1.21166397445354</v>
      </c>
      <c r="E9" s="35" t="n">
        <v>83271</v>
      </c>
      <c r="F9" s="35" t="n">
        <v>57375</v>
      </c>
      <c r="G9" s="35" t="n">
        <v>58600</v>
      </c>
      <c r="H9" s="38" t="n">
        <f aca="false">G9-F9</f>
        <v>1225</v>
      </c>
      <c r="I9" s="83" t="n">
        <f aca="false">IFERROR(-H9/G9,"")</f>
        <v>-0.0209044368600683</v>
      </c>
      <c r="J9" s="37" t="n">
        <v>0.0560921501706485</v>
      </c>
      <c r="K9" s="37" t="n">
        <f aca="false">IFERROR(G9/E9,0)</f>
        <v>0.703726387337729</v>
      </c>
      <c r="L9" s="69" t="s">
        <v>720</v>
      </c>
    </row>
    <row r="10" customFormat="false" ht="61.15" hidden="false" customHeight="false" outlineLevel="0" collapsed="false">
      <c r="A10" s="54" t="s">
        <v>378</v>
      </c>
      <c r="B10" s="35" t="n">
        <v>26</v>
      </c>
      <c r="C10" s="33" t="s">
        <v>721</v>
      </c>
      <c r="D10" s="36" t="n">
        <v>1.63820903701224</v>
      </c>
      <c r="E10" s="35" t="n">
        <v>49598</v>
      </c>
      <c r="F10" s="35" t="n">
        <v>32672</v>
      </c>
      <c r="G10" s="35" t="n">
        <v>44871</v>
      </c>
      <c r="H10" s="38" t="n">
        <f aca="false">G10-F10</f>
        <v>12199</v>
      </c>
      <c r="I10" s="83" t="n">
        <f aca="false">IFERROR(-H10/G10,"")</f>
        <v>-0.271868244523189</v>
      </c>
      <c r="J10" s="37" t="n">
        <v>0.300661897439326</v>
      </c>
      <c r="K10" s="37" t="n">
        <f aca="false">IFERROR(G10/E10,0)</f>
        <v>0.904693737650712</v>
      </c>
      <c r="L10" s="72" t="s">
        <v>722</v>
      </c>
    </row>
    <row r="11" customFormat="false" ht="85.05" hidden="false" customHeight="false" outlineLevel="0" collapsed="false">
      <c r="A11" s="54" t="s">
        <v>379</v>
      </c>
      <c r="B11" s="35" t="n">
        <v>20</v>
      </c>
      <c r="C11" s="33" t="s">
        <v>723</v>
      </c>
      <c r="D11" s="36" t="n">
        <v>1.46462008519997</v>
      </c>
      <c r="E11" s="35" t="n">
        <v>137560</v>
      </c>
      <c r="F11" s="35" t="n">
        <v>71187</v>
      </c>
      <c r="G11" s="35" t="n">
        <v>63740</v>
      </c>
      <c r="H11" s="38" t="n">
        <f aca="false">G11-F11</f>
        <v>-7447</v>
      </c>
      <c r="I11" s="83" t="n">
        <f aca="false">IFERROR(-H11/G11,"")</f>
        <v>0.116834013178538</v>
      </c>
      <c r="J11" s="37" t="n">
        <v>0.129479133981801</v>
      </c>
      <c r="K11" s="37" t="n">
        <f aca="false">IFERROR(G11/E11,0)</f>
        <v>0.463361442279732</v>
      </c>
      <c r="L11" s="69" t="s">
        <v>724</v>
      </c>
    </row>
    <row r="12" customFormat="false" ht="49.25" hidden="false" customHeight="false" outlineLevel="0" collapsed="false">
      <c r="A12" s="54" t="s">
        <v>380</v>
      </c>
      <c r="B12" s="35" t="n">
        <v>20</v>
      </c>
      <c r="C12" s="33" t="s">
        <v>725</v>
      </c>
      <c r="D12" s="36" t="n">
        <v>1.36689804039224</v>
      </c>
      <c r="E12" s="35" t="n">
        <v>50506</v>
      </c>
      <c r="F12" s="35" t="n">
        <v>8524</v>
      </c>
      <c r="G12" s="35" t="n">
        <v>8891</v>
      </c>
      <c r="H12" s="38" t="n">
        <f aca="false">G12-F12</f>
        <v>367</v>
      </c>
      <c r="I12" s="83" t="n">
        <f aca="false">IFERROR(-H12/G12,"")</f>
        <v>-0.0412776965470701</v>
      </c>
      <c r="J12" s="37" t="n">
        <v>0.103362951299067</v>
      </c>
      <c r="K12" s="37" t="n">
        <f aca="false">IFERROR(G12/E12,0)</f>
        <v>0.176038490476379</v>
      </c>
      <c r="L12" s="69" t="s">
        <v>726</v>
      </c>
    </row>
    <row r="13" customFormat="false" ht="61.15" hidden="false" customHeight="false" outlineLevel="0" collapsed="false">
      <c r="A13" s="40" t="s">
        <v>727</v>
      </c>
      <c r="B13" s="40"/>
      <c r="C13" s="41"/>
      <c r="D13" s="40"/>
      <c r="E13" s="42" t="n">
        <f aca="false">SUM(E8:E12)</f>
        <v>532087</v>
      </c>
      <c r="F13" s="42" t="n">
        <f aca="false">SUM(F8:F12)</f>
        <v>169758</v>
      </c>
      <c r="G13" s="42" t="n">
        <f aca="false">SUM(G8:G12)</f>
        <v>324287</v>
      </c>
      <c r="H13" s="46" t="n">
        <f aca="false">G13-F13</f>
        <v>154529</v>
      </c>
      <c r="I13" s="95" t="n">
        <f aca="false">IFERROR(-H13/G13,"")</f>
        <v>-0.476519256091055</v>
      </c>
      <c r="J13" s="40"/>
      <c r="K13" s="45" t="n">
        <f aca="false">IFERROR(G13/E13,0)</f>
        <v>0.609462362358035</v>
      </c>
      <c r="L13" s="92" t="s">
        <v>728</v>
      </c>
    </row>
    <row r="15" customFormat="false" ht="15" hidden="false" customHeight="false" outlineLevel="0" collapsed="false">
      <c r="A15" s="4" t="s">
        <v>729</v>
      </c>
    </row>
    <row r="16" customFormat="false" ht="39.75" hidden="false" customHeight="true" outlineLevel="0" collapsed="false">
      <c r="A16" s="25" t="s">
        <v>263</v>
      </c>
      <c r="B16" s="25" t="s">
        <v>264</v>
      </c>
      <c r="C16" s="26" t="s">
        <v>265</v>
      </c>
      <c r="D16" s="26" t="s">
        <v>510</v>
      </c>
      <c r="E16" s="47" t="s">
        <v>730</v>
      </c>
      <c r="F16" s="47" t="s">
        <v>731</v>
      </c>
      <c r="G16" s="47" t="s">
        <v>732</v>
      </c>
      <c r="H16" s="47" t="s">
        <v>733</v>
      </c>
      <c r="I16" s="47" t="s">
        <v>734</v>
      </c>
      <c r="J16" s="47" t="s">
        <v>735</v>
      </c>
      <c r="K16" s="47" t="s">
        <v>736</v>
      </c>
      <c r="L16" s="48" t="s">
        <v>737</v>
      </c>
      <c r="M16" s="48" t="s">
        <v>738</v>
      </c>
      <c r="N16" s="48" t="s">
        <v>739</v>
      </c>
      <c r="O16" s="48" t="s">
        <v>740</v>
      </c>
      <c r="P16" s="48" t="s">
        <v>741</v>
      </c>
      <c r="Q16" s="48" t="s">
        <v>742</v>
      </c>
      <c r="R16" s="48" t="s">
        <v>743</v>
      </c>
      <c r="S16" s="28" t="s">
        <v>744</v>
      </c>
      <c r="T16" s="28" t="s">
        <v>745</v>
      </c>
      <c r="U16" s="28" t="s">
        <v>746</v>
      </c>
      <c r="V16" s="28" t="s">
        <v>747</v>
      </c>
      <c r="W16" s="28" t="s">
        <v>748</v>
      </c>
      <c r="X16" s="28" t="s">
        <v>749</v>
      </c>
      <c r="Y16" s="28" t="s">
        <v>750</v>
      </c>
      <c r="Z16" s="29" t="s">
        <v>751</v>
      </c>
      <c r="AA16" s="29" t="s">
        <v>752</v>
      </c>
      <c r="AB16" s="29" t="s">
        <v>753</v>
      </c>
      <c r="AC16" s="29" t="s">
        <v>754</v>
      </c>
      <c r="AD16" s="29" t="s">
        <v>755</v>
      </c>
      <c r="AE16" s="29" t="s">
        <v>756</v>
      </c>
      <c r="AF16" s="29" t="s">
        <v>757</v>
      </c>
      <c r="AG16" s="30" t="s">
        <v>758</v>
      </c>
      <c r="AH16" s="30" t="s">
        <v>759</v>
      </c>
      <c r="AI16" s="30" t="s">
        <v>760</v>
      </c>
      <c r="AJ16" s="30" t="s">
        <v>761</v>
      </c>
      <c r="AK16" s="30" t="s">
        <v>762</v>
      </c>
      <c r="AL16" s="30" t="s">
        <v>763</v>
      </c>
      <c r="AM16" s="30" t="s">
        <v>764</v>
      </c>
      <c r="AN16" s="89" t="s">
        <v>765</v>
      </c>
      <c r="AO16" s="89" t="s">
        <v>766</v>
      </c>
      <c r="AP16" s="27" t="s">
        <v>767</v>
      </c>
      <c r="AQ16" s="49" t="s">
        <v>768</v>
      </c>
      <c r="AR16" s="31" t="s">
        <v>769</v>
      </c>
    </row>
    <row r="17" customFormat="false" ht="15" hidden="false" customHeight="false" outlineLevel="0" collapsed="false">
      <c r="A17" s="32" t="n">
        <v>1</v>
      </c>
      <c r="B17" s="32" t="s">
        <v>286</v>
      </c>
      <c r="C17" s="33" t="s">
        <v>287</v>
      </c>
      <c r="D17" s="34" t="n">
        <v>500</v>
      </c>
      <c r="E17" s="35" t="n">
        <v>6000</v>
      </c>
      <c r="F17" s="32" t="s">
        <v>533</v>
      </c>
      <c r="G17" s="35" t="n">
        <v>4965</v>
      </c>
      <c r="H17" s="32" t="s">
        <v>533</v>
      </c>
      <c r="I17" s="37" t="n">
        <f aca="false">IFERROR(E17/E$59,0)</f>
        <v>0.0284155489884065</v>
      </c>
      <c r="J17" s="37" t="n">
        <f aca="false">IFERROR(G17/G$59,0)</f>
        <v>0.0335054155278874</v>
      </c>
      <c r="K17" s="96" t="n">
        <f aca="false">J17-I17</f>
        <v>0.00508986653948098</v>
      </c>
      <c r="L17" s="35" t="n">
        <v>1998</v>
      </c>
      <c r="M17" s="35" t="n">
        <v>1047</v>
      </c>
      <c r="N17" s="35" t="n">
        <v>1316</v>
      </c>
      <c r="O17" s="38" t="n">
        <f aca="false">N17-M17</f>
        <v>269</v>
      </c>
      <c r="P17" s="37" t="n">
        <f aca="false">IFERROR(M17/M$59,0)</f>
        <v>0.0182483660130719</v>
      </c>
      <c r="Q17" s="37" t="n">
        <f aca="false">IFERROR(N17/N$59,0)</f>
        <v>0.022457337883959</v>
      </c>
      <c r="R17" s="96" t="n">
        <f aca="false">Q17-P17</f>
        <v>0.00420897187088715</v>
      </c>
      <c r="S17" s="35" t="n">
        <v>1099</v>
      </c>
      <c r="T17" s="35" t="n">
        <v>1163</v>
      </c>
      <c r="U17" s="35" t="n">
        <v>1092</v>
      </c>
      <c r="V17" s="38" t="n">
        <f aca="false">U17-T17</f>
        <v>-71</v>
      </c>
      <c r="W17" s="37" t="n">
        <f aca="false">IFERROR(T17/T$59,0)</f>
        <v>0.0355962291870715</v>
      </c>
      <c r="X17" s="37" t="n">
        <f aca="false">IFERROR(U17/U$59,0)</f>
        <v>0.0243364311024938</v>
      </c>
      <c r="Y17" s="96" t="n">
        <f aca="false">X17-W17</f>
        <v>-0.0112597980845777</v>
      </c>
      <c r="Z17" s="35" t="n">
        <v>3000</v>
      </c>
      <c r="AA17" s="35" t="n">
        <v>2184</v>
      </c>
      <c r="AB17" s="35" t="n">
        <v>2325</v>
      </c>
      <c r="AC17" s="38" t="n">
        <f aca="false">AB17-AA17</f>
        <v>141</v>
      </c>
      <c r="AD17" s="37" t="n">
        <f aca="false">IFERROR(AA17/AA$59,0)</f>
        <v>0.0306797589447511</v>
      </c>
      <c r="AE17" s="37" t="n">
        <f aca="false">IFERROR(AB17/AB$59,0)</f>
        <v>0.0364763100094132</v>
      </c>
      <c r="AF17" s="96" t="n">
        <f aca="false">AE17-AD17</f>
        <v>0.00579655106466209</v>
      </c>
      <c r="AG17" s="35" t="n">
        <v>1000</v>
      </c>
      <c r="AH17" s="35" t="n">
        <v>443</v>
      </c>
      <c r="AI17" s="35" t="n">
        <v>507</v>
      </c>
      <c r="AJ17" s="38" t="n">
        <f aca="false">AI17-AH17</f>
        <v>64</v>
      </c>
      <c r="AK17" s="37" t="n">
        <f aca="false">IFERROR(AH17/AH$59,0)</f>
        <v>0.0519709056780854</v>
      </c>
      <c r="AL17" s="37" t="n">
        <f aca="false">IFERROR(AI17/AI$59,0)</f>
        <v>0.0570239568102576</v>
      </c>
      <c r="AM17" s="96" t="n">
        <f aca="false">AL17-AK17</f>
        <v>0.00505305113217216</v>
      </c>
      <c r="AN17" s="35" t="n">
        <f aca="false">G17+N17+U17+AB17</f>
        <v>9698</v>
      </c>
      <c r="AO17" s="37" t="n">
        <f aca="false">IFERROR(AN17/AN$59,0)</f>
        <v>0.0307486461464318</v>
      </c>
      <c r="AP17" s="37" t="n">
        <f aca="false">①石川予測確定!R7</f>
        <v>0.0528052805280528</v>
      </c>
      <c r="AQ17" s="37" t="n">
        <f aca="false">③仙台以降予測!H31</f>
        <v>0.0549146186691552</v>
      </c>
      <c r="AR17" s="39" t="str">
        <f aca="false">IF(AQ17-AO17&gt;=0.005,"↑ 上方修正",IF(AQ17-AO17&lt;=-0.005,"↓ 下方修正","→ 据置"))</f>
        <v>↑ 上方修正</v>
      </c>
    </row>
    <row r="18" customFormat="false" ht="15" hidden="false" customHeight="false" outlineLevel="0" collapsed="false">
      <c r="A18" s="32" t="n">
        <v>2</v>
      </c>
      <c r="B18" s="32" t="s">
        <v>288</v>
      </c>
      <c r="C18" s="33" t="s">
        <v>289</v>
      </c>
      <c r="D18" s="34" t="n">
        <v>600</v>
      </c>
      <c r="E18" s="35" t="n">
        <v>5699</v>
      </c>
      <c r="F18" s="32" t="s">
        <v>533</v>
      </c>
      <c r="G18" s="35" t="n">
        <v>4902</v>
      </c>
      <c r="H18" s="32" t="s">
        <v>533</v>
      </c>
      <c r="I18" s="37" t="n">
        <f aca="false">IFERROR(E18/E$59,0)</f>
        <v>0.0269900356141547</v>
      </c>
      <c r="J18" s="37" t="n">
        <f aca="false">IFERROR(G18/G$59,0)</f>
        <v>0.0330802712825185</v>
      </c>
      <c r="K18" s="96" t="n">
        <f aca="false">J18-I18</f>
        <v>0.00609023566836374</v>
      </c>
      <c r="L18" s="35" t="n">
        <v>1999</v>
      </c>
      <c r="M18" s="35" t="n">
        <v>1379</v>
      </c>
      <c r="N18" s="35" t="n">
        <v>1466</v>
      </c>
      <c r="O18" s="38" t="n">
        <f aca="false">N18-M18</f>
        <v>87</v>
      </c>
      <c r="P18" s="37" t="n">
        <f aca="false">IFERROR(M18/M$59,0)</f>
        <v>0.0240348583877996</v>
      </c>
      <c r="Q18" s="37" t="n">
        <f aca="false">IFERROR(N18/N$59,0)</f>
        <v>0.0250170648464164</v>
      </c>
      <c r="R18" s="96" t="n">
        <f aca="false">Q18-P18</f>
        <v>0.000982206458616818</v>
      </c>
      <c r="S18" s="35" t="n">
        <v>1200</v>
      </c>
      <c r="T18" s="35" t="n">
        <v>1148</v>
      </c>
      <c r="U18" s="35" t="n">
        <v>1132</v>
      </c>
      <c r="V18" s="38" t="n">
        <f aca="false">U18-T18</f>
        <v>-16</v>
      </c>
      <c r="W18" s="37" t="n">
        <f aca="false">IFERROR(T18/T$59,0)</f>
        <v>0.0351371204701273</v>
      </c>
      <c r="X18" s="37" t="n">
        <f aca="false">IFERROR(U18/U$59,0)</f>
        <v>0.0252278754652225</v>
      </c>
      <c r="Y18" s="96" t="n">
        <f aca="false">X18-W18</f>
        <v>-0.0099092450049048</v>
      </c>
      <c r="Z18" s="35" t="n">
        <v>3000</v>
      </c>
      <c r="AA18" s="35" t="n">
        <v>2028</v>
      </c>
      <c r="AB18" s="35" t="n">
        <v>1965</v>
      </c>
      <c r="AC18" s="38" t="n">
        <f aca="false">AB18-AA18</f>
        <v>-63</v>
      </c>
      <c r="AD18" s="37" t="n">
        <f aca="false">IFERROR(AA18/AA$59,0)</f>
        <v>0.0284883475915546</v>
      </c>
      <c r="AE18" s="37" t="n">
        <f aca="false">IFERROR(AB18/AB$59,0)</f>
        <v>0.0308283652337622</v>
      </c>
      <c r="AF18" s="96" t="n">
        <f aca="false">AE18-AD18</f>
        <v>0.00234001764220752</v>
      </c>
      <c r="AG18" s="35" t="n">
        <v>1000</v>
      </c>
      <c r="AH18" s="35" t="n">
        <v>482</v>
      </c>
      <c r="AI18" s="35" t="n">
        <v>541</v>
      </c>
      <c r="AJ18" s="38" t="n">
        <f aca="false">AI18-AH18</f>
        <v>59</v>
      </c>
      <c r="AK18" s="37" t="n">
        <f aca="false">IFERROR(AH18/AH$59,0)</f>
        <v>0.0565462224307837</v>
      </c>
      <c r="AL18" s="37" t="n">
        <f aca="false">IFERROR(AI18/AI$59,0)</f>
        <v>0.0608480485884602</v>
      </c>
      <c r="AM18" s="96" t="n">
        <f aca="false">AL18-AK18</f>
        <v>0.00430182615767657</v>
      </c>
      <c r="AN18" s="35" t="n">
        <f aca="false">G18+N18+U18+AB18</f>
        <v>9465</v>
      </c>
      <c r="AO18" s="37" t="n">
        <f aca="false">IFERROR(AN18/AN$59,0)</f>
        <v>0.030009892325838</v>
      </c>
      <c r="AP18" s="37" t="n">
        <f aca="false">①石川予測確定!R8</f>
        <v>0.0630945447485925</v>
      </c>
      <c r="AQ18" s="37" t="n">
        <f aca="false">③仙台以降予測!H32</f>
        <v>0.0619712966685264</v>
      </c>
      <c r="AR18" s="39" t="str">
        <f aca="false">IF(AQ18-AO18&gt;=0.005,"↑ 上方修正",IF(AQ18-AO18&lt;=-0.005,"↓ 下方修正","→ 据置"))</f>
        <v>↑ 上方修正</v>
      </c>
    </row>
    <row r="19" customFormat="false" ht="15" hidden="false" customHeight="false" outlineLevel="0" collapsed="false">
      <c r="A19" s="32" t="n">
        <v>3</v>
      </c>
      <c r="B19" s="32" t="s">
        <v>290</v>
      </c>
      <c r="C19" s="33" t="s">
        <v>291</v>
      </c>
      <c r="D19" s="34" t="n">
        <v>1000</v>
      </c>
      <c r="E19" s="35" t="n">
        <v>3700</v>
      </c>
      <c r="F19" s="32" t="s">
        <v>533</v>
      </c>
      <c r="G19" s="35" t="n">
        <v>2956</v>
      </c>
      <c r="H19" s="32" t="s">
        <v>533</v>
      </c>
      <c r="I19" s="37" t="n">
        <f aca="false">IFERROR(E19/E$59,0)</f>
        <v>0.017522921876184</v>
      </c>
      <c r="J19" s="37" t="n">
        <f aca="false">IFERROR(G19/G$59,0)</f>
        <v>0.019948037925566</v>
      </c>
      <c r="K19" s="96" t="n">
        <f aca="false">J19-I19</f>
        <v>0.00242511604938203</v>
      </c>
      <c r="L19" s="35" t="n">
        <v>1200</v>
      </c>
      <c r="M19" s="35" t="n">
        <v>584</v>
      </c>
      <c r="N19" s="35" t="n">
        <v>601</v>
      </c>
      <c r="O19" s="38" t="n">
        <f aca="false">N19-M19</f>
        <v>17</v>
      </c>
      <c r="P19" s="37" t="n">
        <f aca="false">IFERROR(M19/M$59,0)</f>
        <v>0.0101786492374728</v>
      </c>
      <c r="Q19" s="37" t="n">
        <f aca="false">IFERROR(N19/N$59,0)</f>
        <v>0.0102559726962457</v>
      </c>
      <c r="R19" s="96" t="n">
        <f aca="false">Q19-P19</f>
        <v>7.73234587729665E-005</v>
      </c>
      <c r="S19" s="35" t="n">
        <v>500</v>
      </c>
      <c r="T19" s="35" t="n">
        <v>440</v>
      </c>
      <c r="U19" s="35" t="n">
        <v>454</v>
      </c>
      <c r="V19" s="38" t="n">
        <f aca="false">U19-T19</f>
        <v>14</v>
      </c>
      <c r="W19" s="37" t="n">
        <f aca="false">IFERROR(T19/T$59,0)</f>
        <v>0.0134671890303624</v>
      </c>
      <c r="X19" s="37" t="n">
        <f aca="false">IFERROR(U19/U$59,0)</f>
        <v>0.0101178935169709</v>
      </c>
      <c r="Y19" s="96" t="n">
        <f aca="false">X19-W19</f>
        <v>-0.00334929551339152</v>
      </c>
      <c r="Z19" s="35" t="n">
        <v>2000</v>
      </c>
      <c r="AA19" s="35" t="n">
        <v>1164</v>
      </c>
      <c r="AB19" s="35" t="n">
        <v>1132</v>
      </c>
      <c r="AC19" s="38" t="n">
        <f aca="false">AB19-AA19</f>
        <v>-32</v>
      </c>
      <c r="AD19" s="37" t="n">
        <f aca="false">IFERROR(AA19/AA$59,0)</f>
        <v>0.0163513000969278</v>
      </c>
      <c r="AE19" s="37" t="n">
        <f aca="false">IFERROR(AB19/AB$59,0)</f>
        <v>0.0177596485723251</v>
      </c>
      <c r="AF19" s="96" t="n">
        <f aca="false">AE19-AD19</f>
        <v>0.00140834847539726</v>
      </c>
      <c r="AG19" s="35" t="n">
        <v>450</v>
      </c>
      <c r="AH19" s="35" t="n">
        <v>146</v>
      </c>
      <c r="AI19" s="35" t="n">
        <v>169</v>
      </c>
      <c r="AJ19" s="38" t="n">
        <f aca="false">AI19-AH19</f>
        <v>23</v>
      </c>
      <c r="AK19" s="37" t="n">
        <f aca="false">IFERROR(AH19/AH$59,0)</f>
        <v>0.0171281088690756</v>
      </c>
      <c r="AL19" s="37" t="n">
        <f aca="false">IFERROR(AI19/AI$59,0)</f>
        <v>0.0190079856034192</v>
      </c>
      <c r="AM19" s="96" t="n">
        <f aca="false">AL19-AK19</f>
        <v>0.00187987673434364</v>
      </c>
      <c r="AN19" s="35" t="n">
        <f aca="false">G19+N19+U19+AB19</f>
        <v>5143</v>
      </c>
      <c r="AO19" s="37" t="n">
        <f aca="false">IFERROR(AN19/AN$59,0)</f>
        <v>0.0163064845464115</v>
      </c>
      <c r="AP19" s="37" t="n">
        <f aca="false">①石川予測確定!R9</f>
        <v>0.0229081731702582</v>
      </c>
      <c r="AQ19" s="37" t="n">
        <f aca="false">③仙台以降予測!H33</f>
        <v>0.0209580793868387</v>
      </c>
      <c r="AR19" s="39" t="str">
        <f aca="false">IF(AQ19-AO19&gt;=0.005,"↑ 上方修正",IF(AQ19-AO19&lt;=-0.005,"↓ 下方修正","→ 据置"))</f>
        <v>→ 据置</v>
      </c>
    </row>
    <row r="20" customFormat="false" ht="15" hidden="false" customHeight="false" outlineLevel="0" collapsed="false">
      <c r="A20" s="32" t="n">
        <v>4</v>
      </c>
      <c r="B20" s="32" t="s">
        <v>292</v>
      </c>
      <c r="C20" s="33" t="s">
        <v>293</v>
      </c>
      <c r="D20" s="34" t="n">
        <v>1800</v>
      </c>
      <c r="E20" s="35" t="n">
        <v>2620</v>
      </c>
      <c r="F20" s="32" t="s">
        <v>533</v>
      </c>
      <c r="G20" s="35" t="n">
        <v>1819</v>
      </c>
      <c r="H20" s="32" t="s">
        <v>533</v>
      </c>
      <c r="I20" s="37" t="n">
        <f aca="false">IFERROR(E20/E$59,0)</f>
        <v>0.0124081230582708</v>
      </c>
      <c r="J20" s="37" t="n">
        <f aca="false">IFERROR(G20/G$59,0)</f>
        <v>0.0122751965448595</v>
      </c>
      <c r="K20" s="96" t="n">
        <f aca="false">J20-I20</f>
        <v>-0.000132926513411352</v>
      </c>
      <c r="L20" s="35" t="n">
        <v>1330</v>
      </c>
      <c r="M20" s="35" t="n">
        <v>784</v>
      </c>
      <c r="N20" s="35" t="n">
        <v>922</v>
      </c>
      <c r="O20" s="38" t="n">
        <f aca="false">N20-M20</f>
        <v>138</v>
      </c>
      <c r="P20" s="37" t="n">
        <f aca="false">IFERROR(M20/M$59,0)</f>
        <v>0.0136644880174292</v>
      </c>
      <c r="Q20" s="37" t="n">
        <f aca="false">IFERROR(N20/N$59,0)</f>
        <v>0.0157337883959044</v>
      </c>
      <c r="R20" s="96" t="n">
        <f aca="false">Q20-P20</f>
        <v>0.00206930037847524</v>
      </c>
      <c r="S20" s="35" t="n">
        <v>800</v>
      </c>
      <c r="T20" s="35" t="n">
        <v>589</v>
      </c>
      <c r="U20" s="35" t="n">
        <v>539</v>
      </c>
      <c r="V20" s="38" t="n">
        <f aca="false">U20-T20</f>
        <v>-50</v>
      </c>
      <c r="W20" s="37" t="n">
        <f aca="false">IFERROR(T20/T$59,0)</f>
        <v>0.0180276689520078</v>
      </c>
      <c r="X20" s="37" t="n">
        <f aca="false">IFERROR(U20/U$59,0)</f>
        <v>0.0120122127877694</v>
      </c>
      <c r="Y20" s="96" t="n">
        <f aca="false">X20-W20</f>
        <v>-0.00601545616423845</v>
      </c>
      <c r="Z20" s="35" t="n">
        <v>2000</v>
      </c>
      <c r="AA20" s="35" t="n">
        <v>1202</v>
      </c>
      <c r="AB20" s="35" t="n">
        <v>1310</v>
      </c>
      <c r="AC20" s="38" t="n">
        <f aca="false">AB20-AA20</f>
        <v>108</v>
      </c>
      <c r="AD20" s="37" t="n">
        <f aca="false">IFERROR(AA20/AA$59,0)</f>
        <v>0.0168851054265526</v>
      </c>
      <c r="AE20" s="37" t="n">
        <f aca="false">IFERROR(AB20/AB$59,0)</f>
        <v>0.0205522434891748</v>
      </c>
      <c r="AF20" s="96" t="n">
        <f aca="false">AE20-AD20</f>
        <v>0.00366713806262217</v>
      </c>
      <c r="AG20" s="35" t="n">
        <v>800</v>
      </c>
      <c r="AH20" s="35" t="n">
        <v>207</v>
      </c>
      <c r="AI20" s="35" t="n">
        <v>228</v>
      </c>
      <c r="AJ20" s="38" t="n">
        <f aca="false">AI20-AH20</f>
        <v>21</v>
      </c>
      <c r="AK20" s="37" t="n">
        <f aca="false">IFERROR(AH20/AH$59,0)</f>
        <v>0.0242843735335523</v>
      </c>
      <c r="AL20" s="37" t="n">
        <f aca="false">IFERROR(AI20/AI$59,0)</f>
        <v>0.0256439095714768</v>
      </c>
      <c r="AM20" s="96" t="n">
        <f aca="false">AL20-AK20</f>
        <v>0.00135953603792445</v>
      </c>
      <c r="AN20" s="35" t="n">
        <f aca="false">G20+N20+U20+AB20</f>
        <v>4590</v>
      </c>
      <c r="AO20" s="37" t="n">
        <f aca="false">IFERROR(AN20/AN$59,0)</f>
        <v>0.0145531332039722</v>
      </c>
      <c r="AP20" s="37" t="n">
        <f aca="false">①石川予測確定!R10</f>
        <v>0.0260143661424966</v>
      </c>
      <c r="AQ20" s="37" t="n">
        <f aca="false">③仙台以降予測!H34</f>
        <v>0.0258291378569867</v>
      </c>
      <c r="AR20" s="39" t="str">
        <f aca="false">IF(AQ20-AO20&gt;=0.005,"↑ 上方修正",IF(AQ20-AO20&lt;=-0.005,"↓ 下方修正","→ 据置"))</f>
        <v>↑ 上方修正</v>
      </c>
    </row>
    <row r="21" customFormat="false" ht="15" hidden="false" customHeight="false" outlineLevel="0" collapsed="false">
      <c r="A21" s="32" t="n">
        <v>5</v>
      </c>
      <c r="B21" s="32" t="s">
        <v>294</v>
      </c>
      <c r="C21" s="33" t="s">
        <v>295</v>
      </c>
      <c r="D21" s="34" t="n">
        <v>600</v>
      </c>
      <c r="E21" s="35" t="n">
        <v>24996</v>
      </c>
      <c r="F21" s="32" t="s">
        <v>533</v>
      </c>
      <c r="G21" s="35" t="n">
        <v>18759</v>
      </c>
      <c r="H21" s="32" t="s">
        <v>533</v>
      </c>
      <c r="I21" s="37" t="n">
        <f aca="false">IFERROR(E21/E$59,0)</f>
        <v>0.118379177085701</v>
      </c>
      <c r="J21" s="37" t="n">
        <f aca="false">IFERROR(G21/G$59,0)</f>
        <v>0.126591760299625</v>
      </c>
      <c r="K21" s="96" t="n">
        <f aca="false">J21-I21</f>
        <v>0.00821258321392417</v>
      </c>
      <c r="L21" s="35" t="n">
        <v>16500</v>
      </c>
      <c r="M21" s="35" t="n">
        <v>10536</v>
      </c>
      <c r="N21" s="35" t="n">
        <v>10777</v>
      </c>
      <c r="O21" s="38" t="n">
        <f aca="false">N21-M21</f>
        <v>241</v>
      </c>
      <c r="P21" s="37" t="n">
        <f aca="false">IFERROR(M21/M$59,0)</f>
        <v>0.183633986928105</v>
      </c>
      <c r="Q21" s="37" t="n">
        <f aca="false">IFERROR(N21/N$59,0)</f>
        <v>0.183907849829352</v>
      </c>
      <c r="R21" s="96" t="n">
        <f aca="false">Q21-P21</f>
        <v>0.00027386290124698</v>
      </c>
      <c r="S21" s="35" t="n">
        <v>9000</v>
      </c>
      <c r="T21" s="35" t="n">
        <v>5395</v>
      </c>
      <c r="U21" s="35" t="n">
        <v>8991</v>
      </c>
      <c r="V21" s="38" t="n">
        <f aca="false">U21-T21</f>
        <v>3596</v>
      </c>
      <c r="W21" s="37" t="n">
        <f aca="false">IFERROR(T21/T$59,0)</f>
        <v>0.165126101860921</v>
      </c>
      <c r="X21" s="37" t="n">
        <f aca="false">IFERROR(U21/U$59,0)</f>
        <v>0.200374406632346</v>
      </c>
      <c r="Y21" s="96" t="n">
        <f aca="false">X21-W21</f>
        <v>0.0352483047714254</v>
      </c>
      <c r="Z21" s="35" t="n">
        <v>24996</v>
      </c>
      <c r="AA21" s="35" t="n">
        <v>12132</v>
      </c>
      <c r="AB21" s="35" t="n">
        <v>8936</v>
      </c>
      <c r="AC21" s="38" t="n">
        <f aca="false">AB21-AA21</f>
        <v>-3196</v>
      </c>
      <c r="AD21" s="37" t="n">
        <f aca="false">IFERROR(AA21/AA$59,0)</f>
        <v>0.170424375237052</v>
      </c>
      <c r="AE21" s="37" t="n">
        <f aca="false">IFERROR(AB21/AB$59,0)</f>
        <v>0.14019454032005</v>
      </c>
      <c r="AF21" s="96" t="n">
        <f aca="false">AE21-AD21</f>
        <v>-0.0302298349170015</v>
      </c>
      <c r="AG21" s="35" t="n">
        <v>9000</v>
      </c>
      <c r="AH21" s="35" t="n">
        <v>459</v>
      </c>
      <c r="AI21" s="35" t="n">
        <v>410</v>
      </c>
      <c r="AJ21" s="38" t="n">
        <f aca="false">AI21-AH21</f>
        <v>-49</v>
      </c>
      <c r="AK21" s="37" t="n">
        <f aca="false">IFERROR(AH21/AH$59,0)</f>
        <v>0.0538479587048334</v>
      </c>
      <c r="AL21" s="37" t="n">
        <f aca="false">IFERROR(AI21/AI$59,0)</f>
        <v>0.0461140479136205</v>
      </c>
      <c r="AM21" s="96" t="n">
        <f aca="false">AL21-AK21</f>
        <v>-0.00773391079121289</v>
      </c>
      <c r="AN21" s="35" t="n">
        <f aca="false">G21+N21+U21+AB21</f>
        <v>47463</v>
      </c>
      <c r="AO21" s="37" t="n">
        <f aca="false">IFERROR(AN21/AN$59,0)</f>
        <v>0.150487006810486</v>
      </c>
      <c r="AP21" s="37" t="n">
        <f aca="false">①石川予測確定!R11</f>
        <v>0.0568821588041157</v>
      </c>
      <c r="AQ21" s="37" t="n">
        <f aca="false">③仙台以降予測!H35</f>
        <v>0.0514981033588681</v>
      </c>
      <c r="AR21" s="39" t="str">
        <f aca="false">IF(AQ21-AO21&gt;=0.005,"↑ 上方修正",IF(AQ21-AO21&lt;=-0.005,"↓ 下方修正","→ 据置"))</f>
        <v>↓ 下方修正</v>
      </c>
    </row>
    <row r="22" customFormat="false" ht="15" hidden="false" customHeight="false" outlineLevel="0" collapsed="false">
      <c r="A22" s="32" t="n">
        <v>6</v>
      </c>
      <c r="B22" s="32" t="s">
        <v>296</v>
      </c>
      <c r="C22" s="33" t="s">
        <v>297</v>
      </c>
      <c r="D22" s="34" t="n">
        <v>600</v>
      </c>
      <c r="E22" s="35" t="n">
        <v>44999</v>
      </c>
      <c r="F22" s="32" t="s">
        <v>533</v>
      </c>
      <c r="G22" s="35" t="n">
        <v>31070</v>
      </c>
      <c r="H22" s="32" t="s">
        <v>533</v>
      </c>
      <c r="I22" s="37" t="n">
        <f aca="false">IFERROR(E22/E$59,0)</f>
        <v>0.213111881488217</v>
      </c>
      <c r="J22" s="37" t="n">
        <f aca="false">IFERROR(G22/G$59,0)</f>
        <v>0.209670344501805</v>
      </c>
      <c r="K22" s="96" t="n">
        <f aca="false">J22-I22</f>
        <v>-0.00344153698641184</v>
      </c>
      <c r="L22" s="35" t="n">
        <v>21439</v>
      </c>
      <c r="M22" s="35" t="n">
        <v>15402</v>
      </c>
      <c r="N22" s="35" t="n">
        <v>15602</v>
      </c>
      <c r="O22" s="38" t="n">
        <f aca="false">N22-M22</f>
        <v>200</v>
      </c>
      <c r="P22" s="37" t="n">
        <f aca="false">IFERROR(M22/M$59,0)</f>
        <v>0.268444444444444</v>
      </c>
      <c r="Q22" s="37" t="n">
        <f aca="false">IFERROR(N22/N$59,0)</f>
        <v>0.266245733788396</v>
      </c>
      <c r="R22" s="96" t="n">
        <f aca="false">Q22-P22</f>
        <v>-0.00219871065604854</v>
      </c>
      <c r="S22" s="35" t="n">
        <v>13986</v>
      </c>
      <c r="T22" s="35" t="n">
        <v>7036</v>
      </c>
      <c r="U22" s="35" t="n">
        <v>13877</v>
      </c>
      <c r="V22" s="38" t="n">
        <f aca="false">U22-T22</f>
        <v>6841</v>
      </c>
      <c r="W22" s="37" t="n">
        <f aca="false">IFERROR(T22/T$59,0)</f>
        <v>0.215352595494613</v>
      </c>
      <c r="X22" s="37" t="n">
        <f aca="false">IFERROR(U22/U$59,0)</f>
        <v>0.309264335539658</v>
      </c>
      <c r="Y22" s="96" t="n">
        <f aca="false">X22-W22</f>
        <v>0.093911740045045</v>
      </c>
      <c r="Z22" s="35" t="n">
        <v>35999</v>
      </c>
      <c r="AA22" s="35" t="n">
        <v>21195</v>
      </c>
      <c r="AB22" s="35" t="n">
        <v>18611</v>
      </c>
      <c r="AC22" s="38" t="n">
        <f aca="false">AB22-AA22</f>
        <v>-2584</v>
      </c>
      <c r="AD22" s="37" t="n">
        <f aca="false">IFERROR(AA22/AA$59,0)</f>
        <v>0.297736946352564</v>
      </c>
      <c r="AE22" s="37" t="n">
        <f aca="false">IFERROR(AB22/AB$59,0)</f>
        <v>0.291983056165673</v>
      </c>
      <c r="AF22" s="96" t="n">
        <f aca="false">AE22-AD22</f>
        <v>-0.00575389018689132</v>
      </c>
      <c r="AG22" s="35" t="n">
        <v>13991</v>
      </c>
      <c r="AH22" s="35" t="n">
        <v>1268</v>
      </c>
      <c r="AI22" s="35" t="n">
        <v>1042</v>
      </c>
      <c r="AJ22" s="38" t="n">
        <f aca="false">AI22-AH22</f>
        <v>-226</v>
      </c>
      <c r="AK22" s="37" t="n">
        <f aca="false">IFERROR(AH22/AH$59,0)</f>
        <v>0.148756452369779</v>
      </c>
      <c r="AL22" s="37" t="n">
        <f aca="false">IFERROR(AI22/AI$59,0)</f>
        <v>0.117197165673153</v>
      </c>
      <c r="AM22" s="96" t="n">
        <f aca="false">AL22-AK22</f>
        <v>-0.0315592866966268</v>
      </c>
      <c r="AN22" s="35" t="n">
        <f aca="false">G22+N22+U22+AB22</f>
        <v>79160</v>
      </c>
      <c r="AO22" s="37" t="n">
        <f aca="false">IFERROR(AN22/AN$59,0)</f>
        <v>0.250986061966544</v>
      </c>
      <c r="AP22" s="37" t="n">
        <f aca="false">①石川予測確定!R12</f>
        <v>0.109687439332169</v>
      </c>
      <c r="AQ22" s="37" t="n">
        <f aca="false">③仙台以降予測!H36</f>
        <v>0.113442302502661</v>
      </c>
      <c r="AR22" s="39" t="str">
        <f aca="false">IF(AQ22-AO22&gt;=0.005,"↑ 上方修正",IF(AQ22-AO22&lt;=-0.005,"↓ 下方修正","→ 据置"))</f>
        <v>↓ 下方修正</v>
      </c>
    </row>
    <row r="23" customFormat="false" ht="15" hidden="false" customHeight="false" outlineLevel="0" collapsed="false">
      <c r="A23" s="32" t="n">
        <v>7</v>
      </c>
      <c r="B23" s="32" t="s">
        <v>298</v>
      </c>
      <c r="C23" s="33" t="s">
        <v>299</v>
      </c>
      <c r="D23" s="34" t="n">
        <v>600</v>
      </c>
      <c r="E23" s="35" t="n">
        <v>7000</v>
      </c>
      <c r="F23" s="32" t="s">
        <v>533</v>
      </c>
      <c r="G23" s="35" t="n">
        <v>3471</v>
      </c>
      <c r="H23" s="32" t="s">
        <v>533</v>
      </c>
      <c r="I23" s="37" t="n">
        <f aca="false">IFERROR(E23/E$59,0)</f>
        <v>0.0331514738198075</v>
      </c>
      <c r="J23" s="37" t="n">
        <f aca="false">IFERROR(G23/G$59,0)</f>
        <v>0.0234234234234234</v>
      </c>
      <c r="K23" s="96" t="n">
        <f aca="false">J23-I23</f>
        <v>-0.00972805039638411</v>
      </c>
      <c r="L23" s="35" t="n">
        <v>1390</v>
      </c>
      <c r="M23" s="35" t="n">
        <v>548</v>
      </c>
      <c r="N23" s="35" t="n">
        <v>520</v>
      </c>
      <c r="O23" s="38" t="n">
        <f aca="false">N23-M23</f>
        <v>-28</v>
      </c>
      <c r="P23" s="37" t="n">
        <f aca="false">IFERROR(M23/M$59,0)</f>
        <v>0.00955119825708061</v>
      </c>
      <c r="Q23" s="37" t="n">
        <f aca="false">IFERROR(N23/N$59,0)</f>
        <v>0.00887372013651877</v>
      </c>
      <c r="R23" s="96" t="n">
        <f aca="false">Q23-P23</f>
        <v>-0.000677478120561839</v>
      </c>
      <c r="S23" s="35" t="n">
        <v>400</v>
      </c>
      <c r="T23" s="35" t="n">
        <v>436</v>
      </c>
      <c r="U23" s="35" t="n">
        <v>384</v>
      </c>
      <c r="V23" s="38" t="n">
        <f aca="false">U23-T23</f>
        <v>-52</v>
      </c>
      <c r="W23" s="37" t="n">
        <f aca="false">IFERROR(T23/T$59,0)</f>
        <v>0.0133447600391773</v>
      </c>
      <c r="X23" s="37" t="n">
        <f aca="false">IFERROR(U23/U$59,0)</f>
        <v>0.00855786588219563</v>
      </c>
      <c r="Y23" s="96" t="n">
        <f aca="false">X23-W23</f>
        <v>-0.00478689415698165</v>
      </c>
      <c r="Z23" s="35" t="n">
        <v>2000</v>
      </c>
      <c r="AA23" s="35" t="n">
        <v>1048</v>
      </c>
      <c r="AB23" s="35" t="n">
        <v>940</v>
      </c>
      <c r="AC23" s="38" t="n">
        <f aca="false">AB23-AA23</f>
        <v>-108</v>
      </c>
      <c r="AD23" s="37" t="n">
        <f aca="false">IFERROR(AA23/AA$59,0)</f>
        <v>0.0147217890907048</v>
      </c>
      <c r="AE23" s="37" t="n">
        <f aca="false">IFERROR(AB23/AB$59,0)</f>
        <v>0.0147474113586445</v>
      </c>
      <c r="AF23" s="96" t="n">
        <f aca="false">AE23-AD23</f>
        <v>2.56222679397289E-005</v>
      </c>
      <c r="AG23" s="35" t="n">
        <v>350</v>
      </c>
      <c r="AH23" s="35" t="n">
        <v>185</v>
      </c>
      <c r="AI23" s="35" t="n">
        <v>187</v>
      </c>
      <c r="AJ23" s="38" t="n">
        <f aca="false">AI23-AH23</f>
        <v>2</v>
      </c>
      <c r="AK23" s="37" t="n">
        <f aca="false">IFERROR(AH23/AH$59,0)</f>
        <v>0.0217034256217738</v>
      </c>
      <c r="AL23" s="37" t="n">
        <f aca="false">IFERROR(AI23/AI$59,0)</f>
        <v>0.0210325047801147</v>
      </c>
      <c r="AM23" s="96" t="n">
        <f aca="false">AL23-AK23</f>
        <v>-0.000670920841659092</v>
      </c>
      <c r="AN23" s="35" t="n">
        <f aca="false">G23+N23+U23+AB23</f>
        <v>5315</v>
      </c>
      <c r="AO23" s="37" t="n">
        <f aca="false">IFERROR(AN23/AN$59,0)</f>
        <v>0.0168518307144035</v>
      </c>
      <c r="AP23" s="37" t="n">
        <f aca="false">①石川予測確定!R13</f>
        <v>0.0320326150262085</v>
      </c>
      <c r="AQ23" s="37" t="n">
        <f aca="false">③仙台以降予測!H37</f>
        <v>0.0265325599031616</v>
      </c>
      <c r="AR23" s="39" t="str">
        <f aca="false">IF(AQ23-AO23&gt;=0.005,"↑ 上方修正",IF(AQ23-AO23&lt;=-0.005,"↓ 下方修正","→ 据置"))</f>
        <v>↑ 上方修正</v>
      </c>
    </row>
    <row r="24" customFormat="false" ht="15" hidden="false" customHeight="false" outlineLevel="0" collapsed="false">
      <c r="A24" s="32" t="n">
        <v>8</v>
      </c>
      <c r="B24" s="32" t="s">
        <v>300</v>
      </c>
      <c r="C24" s="33" t="s">
        <v>301</v>
      </c>
      <c r="D24" s="34" t="n">
        <v>600</v>
      </c>
      <c r="E24" s="35" t="n">
        <v>12600</v>
      </c>
      <c r="F24" s="32" t="s">
        <v>533</v>
      </c>
      <c r="G24" s="35" t="n">
        <v>5596</v>
      </c>
      <c r="H24" s="32" t="s">
        <v>533</v>
      </c>
      <c r="I24" s="37" t="n">
        <f aca="false">IFERROR(E24/E$59,0)</f>
        <v>0.0596726528756536</v>
      </c>
      <c r="J24" s="37" t="n">
        <f aca="false">IFERROR(G24/G$59,0)</f>
        <v>0.0377636063029321</v>
      </c>
      <c r="K24" s="96" t="n">
        <f aca="false">J24-I24</f>
        <v>-0.0219090465727214</v>
      </c>
      <c r="L24" s="35" t="n">
        <v>2240</v>
      </c>
      <c r="M24" s="35" t="n">
        <v>1141</v>
      </c>
      <c r="N24" s="35" t="n">
        <v>1107</v>
      </c>
      <c r="O24" s="38" t="n">
        <f aca="false">N24-M24</f>
        <v>-34</v>
      </c>
      <c r="P24" s="37" t="n">
        <f aca="false">IFERROR(M24/M$59,0)</f>
        <v>0.0198867102396514</v>
      </c>
      <c r="Q24" s="37" t="n">
        <f aca="false">IFERROR(N24/N$59,0)</f>
        <v>0.0188907849829352</v>
      </c>
      <c r="R24" s="96" t="n">
        <f aca="false">Q24-P24</f>
        <v>-0.000995925256716261</v>
      </c>
      <c r="S24" s="35" t="n">
        <v>840</v>
      </c>
      <c r="T24" s="35" t="n">
        <v>785</v>
      </c>
      <c r="U24" s="35" t="n">
        <v>799</v>
      </c>
      <c r="V24" s="38" t="n">
        <f aca="false">U24-T24</f>
        <v>14</v>
      </c>
      <c r="W24" s="37" t="n">
        <f aca="false">IFERROR(T24/T$59,0)</f>
        <v>0.0240266895200784</v>
      </c>
      <c r="X24" s="37" t="n">
        <f aca="false">IFERROR(U24/U$59,0)</f>
        <v>0.017806601145506</v>
      </c>
      <c r="Y24" s="96" t="n">
        <f aca="false">X24-W24</f>
        <v>-0.00622008837457235</v>
      </c>
      <c r="Z24" s="35" t="n">
        <v>3000</v>
      </c>
      <c r="AA24" s="35" t="n">
        <v>1937</v>
      </c>
      <c r="AB24" s="35" t="n">
        <v>1758</v>
      </c>
      <c r="AC24" s="38" t="n">
        <f aca="false">AB24-AA24</f>
        <v>-179</v>
      </c>
      <c r="AD24" s="37" t="n">
        <f aca="false">IFERROR(AA24/AA$59,0)</f>
        <v>0.02721002430219</v>
      </c>
      <c r="AE24" s="37" t="n">
        <f aca="false">IFERROR(AB24/AB$59,0)</f>
        <v>0.0275807969877628</v>
      </c>
      <c r="AF24" s="96" t="n">
        <f aca="false">AE24-AD24</f>
        <v>0.000370772685572781</v>
      </c>
      <c r="AG24" s="35" t="n">
        <v>900</v>
      </c>
      <c r="AH24" s="35" t="n">
        <v>298</v>
      </c>
      <c r="AI24" s="35" t="n">
        <v>322</v>
      </c>
      <c r="AJ24" s="38" t="n">
        <f aca="false">AI24-AH24</f>
        <v>24</v>
      </c>
      <c r="AK24" s="37" t="n">
        <f aca="false">IFERROR(AH24/AH$59,0)</f>
        <v>0.0349601126231816</v>
      </c>
      <c r="AL24" s="37" t="n">
        <f aca="false">IFERROR(AI24/AI$59,0)</f>
        <v>0.0362163986053312</v>
      </c>
      <c r="AM24" s="96" t="n">
        <f aca="false">AL24-AK24</f>
        <v>0.00125628598214963</v>
      </c>
      <c r="AN24" s="35" t="n">
        <f aca="false">G24+N24+U24+AB24</f>
        <v>9260</v>
      </c>
      <c r="AO24" s="37" t="n">
        <f aca="false">IFERROR(AN24/AN$59,0)</f>
        <v>0.0293599157884057</v>
      </c>
      <c r="AP24" s="37" t="n">
        <f aca="false">①石川予測確定!R14</f>
        <v>0.0516404581634634</v>
      </c>
      <c r="AQ24" s="37" t="n">
        <f aca="false">③仙台以降予測!H38</f>
        <v>0.0439284283843973</v>
      </c>
      <c r="AR24" s="39" t="str">
        <f aca="false">IF(AQ24-AO24&gt;=0.005,"↑ 上方修正",IF(AQ24-AO24&lt;=-0.005,"↓ 下方修正","→ 据置"))</f>
        <v>↑ 上方修正</v>
      </c>
    </row>
    <row r="25" customFormat="false" ht="15" hidden="false" customHeight="false" outlineLevel="0" collapsed="false">
      <c r="A25" s="32" t="n">
        <v>9</v>
      </c>
      <c r="B25" s="32" t="s">
        <v>302</v>
      </c>
      <c r="C25" s="33" t="s">
        <v>303</v>
      </c>
      <c r="D25" s="34" t="n">
        <v>600</v>
      </c>
      <c r="E25" s="35" t="n">
        <v>8749</v>
      </c>
      <c r="F25" s="32" t="s">
        <v>533</v>
      </c>
      <c r="G25" s="35" t="n">
        <v>2381</v>
      </c>
      <c r="H25" s="32" t="s">
        <v>533</v>
      </c>
      <c r="I25" s="37" t="n">
        <f aca="false">IFERROR(E25/E$59,0)</f>
        <v>0.041434606349928</v>
      </c>
      <c r="J25" s="37" t="n">
        <f aca="false">IFERROR(G25/G$59,0)</f>
        <v>0.0160677531464048</v>
      </c>
      <c r="K25" s="96" t="n">
        <f aca="false">J25-I25</f>
        <v>-0.0253668532035232</v>
      </c>
      <c r="L25" s="35" t="n">
        <v>950</v>
      </c>
      <c r="M25" s="35" t="n">
        <v>347</v>
      </c>
      <c r="N25" s="35" t="n">
        <v>313</v>
      </c>
      <c r="O25" s="38" t="n">
        <f aca="false">N25-M25</f>
        <v>-34</v>
      </c>
      <c r="P25" s="37" t="n">
        <f aca="false">IFERROR(M25/M$59,0)</f>
        <v>0.0060479302832244</v>
      </c>
      <c r="Q25" s="37" t="n">
        <f aca="false">IFERROR(N25/N$59,0)</f>
        <v>0.00534129692832765</v>
      </c>
      <c r="R25" s="96" t="n">
        <f aca="false">Q25-P25</f>
        <v>-0.000706633354896755</v>
      </c>
      <c r="S25" s="35" t="n">
        <v>300</v>
      </c>
      <c r="T25" s="35" t="n">
        <v>357</v>
      </c>
      <c r="U25" s="35" t="n">
        <v>301</v>
      </c>
      <c r="V25" s="38" t="n">
        <f aca="false">U25-T25</f>
        <v>-56</v>
      </c>
      <c r="W25" s="37" t="n">
        <f aca="false">IFERROR(T25/T$59,0)</f>
        <v>0.0109267874632713</v>
      </c>
      <c r="X25" s="37" t="n">
        <f aca="false">IFERROR(U25/U$59,0)</f>
        <v>0.00670811882953355</v>
      </c>
      <c r="Y25" s="96" t="n">
        <f aca="false">X25-W25</f>
        <v>-0.00421866863373775</v>
      </c>
      <c r="Z25" s="35" t="n">
        <v>1500</v>
      </c>
      <c r="AA25" s="35" t="n">
        <v>761</v>
      </c>
      <c r="AB25" s="35" t="n">
        <v>743</v>
      </c>
      <c r="AC25" s="38" t="n">
        <f aca="false">AB25-AA25</f>
        <v>-18</v>
      </c>
      <c r="AD25" s="37" t="n">
        <f aca="false">IFERROR(AA25/AA$59,0)</f>
        <v>0.0106901541011702</v>
      </c>
      <c r="AE25" s="37" t="n">
        <f aca="false">IFERROR(AB25/AB$59,0)</f>
        <v>0.0116567304675243</v>
      </c>
      <c r="AF25" s="96" t="n">
        <f aca="false">AE25-AD25</f>
        <v>0.000966576366354159</v>
      </c>
      <c r="AG25" s="35" t="n">
        <v>300</v>
      </c>
      <c r="AH25" s="35" t="n">
        <v>131</v>
      </c>
      <c r="AI25" s="35" t="n">
        <v>160</v>
      </c>
      <c r="AJ25" s="38" t="n">
        <f aca="false">AI25-AH25</f>
        <v>29</v>
      </c>
      <c r="AK25" s="37" t="n">
        <f aca="false">IFERROR(AH25/AH$59,0)</f>
        <v>0.0153683716564993</v>
      </c>
      <c r="AL25" s="37" t="n">
        <f aca="false">IFERROR(AI25/AI$59,0)</f>
        <v>0.0179957260150714</v>
      </c>
      <c r="AM25" s="96" t="n">
        <f aca="false">AL25-AK25</f>
        <v>0.00262735435857212</v>
      </c>
      <c r="AN25" s="35" t="n">
        <f aca="false">G25+N25+U25+AB25</f>
        <v>3738</v>
      </c>
      <c r="AO25" s="37" t="n">
        <f aca="false">IFERROR(AN25/AN$59,0)</f>
        <v>0.0118517673020584</v>
      </c>
      <c r="AP25" s="37" t="n">
        <f aca="false">①石川予測確定!R15</f>
        <v>0.0099009900990099</v>
      </c>
      <c r="AQ25" s="37" t="n">
        <f aca="false">③仙台以降予測!H39</f>
        <v>0.0139483580570407</v>
      </c>
      <c r="AR25" s="39" t="str">
        <f aca="false">IF(AQ25-AO25&gt;=0.005,"↑ 上方修正",IF(AQ25-AO25&lt;=-0.005,"↓ 下方修正","→ 据置"))</f>
        <v>→ 据置</v>
      </c>
    </row>
    <row r="26" customFormat="false" ht="15" hidden="false" customHeight="false" outlineLevel="0" collapsed="false">
      <c r="A26" s="32" t="n">
        <v>10</v>
      </c>
      <c r="B26" s="32" t="s">
        <v>304</v>
      </c>
      <c r="C26" s="33" t="s">
        <v>305</v>
      </c>
      <c r="D26" s="34" t="n">
        <v>600</v>
      </c>
      <c r="E26" s="35" t="n">
        <v>4549</v>
      </c>
      <c r="F26" s="32" t="s">
        <v>533</v>
      </c>
      <c r="G26" s="35" t="n">
        <v>1025</v>
      </c>
      <c r="H26" s="32" t="s">
        <v>533</v>
      </c>
      <c r="I26" s="37" t="n">
        <f aca="false">IFERROR(E26/E$59,0)</f>
        <v>0.0215437220580435</v>
      </c>
      <c r="J26" s="37" t="n">
        <f aca="false">IFERROR(G26/G$59,0)</f>
        <v>0.0069170293889395</v>
      </c>
      <c r="K26" s="96" t="n">
        <f aca="false">J26-I26</f>
        <v>-0.014626692669104</v>
      </c>
      <c r="L26" s="35" t="n">
        <v>410</v>
      </c>
      <c r="M26" s="35" t="n">
        <v>145</v>
      </c>
      <c r="N26" s="35" t="n">
        <v>141</v>
      </c>
      <c r="O26" s="38" t="n">
        <f aca="false">N26-M26</f>
        <v>-4</v>
      </c>
      <c r="P26" s="37" t="n">
        <f aca="false">IFERROR(M26/M$59,0)</f>
        <v>0.00252723311546841</v>
      </c>
      <c r="Q26" s="37" t="n">
        <f aca="false">IFERROR(N26/N$59,0)</f>
        <v>0.0024061433447099</v>
      </c>
      <c r="R26" s="96" t="n">
        <f aca="false">Q26-P26</f>
        <v>-0.000121089770758512</v>
      </c>
      <c r="S26" s="35" t="n">
        <v>180</v>
      </c>
      <c r="T26" s="35" t="n">
        <v>159</v>
      </c>
      <c r="U26" s="35" t="n">
        <v>123</v>
      </c>
      <c r="V26" s="38" t="n">
        <f aca="false">U26-T26</f>
        <v>-36</v>
      </c>
      <c r="W26" s="37" t="n">
        <f aca="false">IFERROR(T26/T$59,0)</f>
        <v>0.00486655239960823</v>
      </c>
      <c r="X26" s="37" t="n">
        <f aca="false">IFERROR(U26/U$59,0)</f>
        <v>0.00274119141539079</v>
      </c>
      <c r="Y26" s="96" t="n">
        <f aca="false">X26-W26</f>
        <v>-0.00212536098421744</v>
      </c>
      <c r="Z26" s="35" t="n">
        <v>500</v>
      </c>
      <c r="AA26" s="35" t="n">
        <v>275</v>
      </c>
      <c r="AB26" s="35" t="n">
        <v>277</v>
      </c>
      <c r="AC26" s="38" t="n">
        <f aca="false">AB26-AA26</f>
        <v>2</v>
      </c>
      <c r="AD26" s="37" t="n">
        <f aca="false">IFERROR(AA26/AA$59,0)</f>
        <v>0.00386306488544257</v>
      </c>
      <c r="AE26" s="37" t="n">
        <f aca="false">IFERROR(AB26/AB$59,0)</f>
        <v>0.00434577973015375</v>
      </c>
      <c r="AF26" s="96" t="n">
        <f aca="false">AE26-AD26</f>
        <v>0.000482714844711183</v>
      </c>
      <c r="AG26" s="35" t="n">
        <v>100</v>
      </c>
      <c r="AH26" s="35" t="n">
        <v>49</v>
      </c>
      <c r="AI26" s="35" t="n">
        <v>59</v>
      </c>
      <c r="AJ26" s="38" t="n">
        <f aca="false">AI26-AH26</f>
        <v>10</v>
      </c>
      <c r="AK26" s="37" t="n">
        <f aca="false">IFERROR(AH26/AH$59,0)</f>
        <v>0.00574847489441577</v>
      </c>
      <c r="AL26" s="37" t="n">
        <f aca="false">IFERROR(AI26/AI$59,0)</f>
        <v>0.00663592396805759</v>
      </c>
      <c r="AM26" s="96" t="n">
        <f aca="false">AL26-AK26</f>
        <v>0.000887449073641819</v>
      </c>
      <c r="AN26" s="35" t="n">
        <f aca="false">G26+N26+U26+AB26</f>
        <v>1566</v>
      </c>
      <c r="AO26" s="37" t="n">
        <f aca="false">IFERROR(AN26/AN$59,0)</f>
        <v>0.00496518662253167</v>
      </c>
      <c r="AP26" s="37" t="n">
        <f aca="false">①石川予測確定!R16</f>
        <v>0.003882741215298</v>
      </c>
      <c r="AQ26" s="37" t="n">
        <f aca="false">③仙台以降予測!H40</f>
        <v>0.00525933259167779</v>
      </c>
      <c r="AR26" s="39" t="str">
        <f aca="false">IF(AQ26-AO26&gt;=0.005,"↑ 上方修正",IF(AQ26-AO26&lt;=-0.005,"↓ 下方修正","→ 据置"))</f>
        <v>→ 据置</v>
      </c>
    </row>
    <row r="27" customFormat="false" ht="15" hidden="false" customHeight="false" outlineLevel="0" collapsed="false">
      <c r="A27" s="32" t="n">
        <v>11</v>
      </c>
      <c r="B27" s="32" t="s">
        <v>306</v>
      </c>
      <c r="C27" s="33" t="s">
        <v>307</v>
      </c>
      <c r="D27" s="34" t="n">
        <v>600</v>
      </c>
      <c r="E27" s="35" t="n">
        <v>699</v>
      </c>
      <c r="F27" s="32" t="s">
        <v>533</v>
      </c>
      <c r="G27" s="35" t="n">
        <v>215</v>
      </c>
      <c r="H27" s="32" t="s">
        <v>533</v>
      </c>
      <c r="I27" s="37" t="n">
        <f aca="false">IFERROR(E27/E$59,0)</f>
        <v>0.00331041145714935</v>
      </c>
      <c r="J27" s="37" t="n">
        <f aca="false">IFERROR(G27/G$59,0)</f>
        <v>0.00145088909133853</v>
      </c>
      <c r="K27" s="96" t="n">
        <f aca="false">J27-I27</f>
        <v>-0.00185952236581082</v>
      </c>
      <c r="L27" s="35" t="n">
        <v>90</v>
      </c>
      <c r="M27" s="35" t="n">
        <v>32</v>
      </c>
      <c r="N27" s="35" t="n">
        <v>37</v>
      </c>
      <c r="O27" s="38" t="n">
        <f aca="false">N27-M27</f>
        <v>5</v>
      </c>
      <c r="P27" s="37" t="n">
        <f aca="false">IFERROR(M27/M$59,0)</f>
        <v>0.000557734204793028</v>
      </c>
      <c r="Q27" s="37" t="n">
        <f aca="false">IFERROR(N27/N$59,0)</f>
        <v>0.000631399317406143</v>
      </c>
      <c r="R27" s="96" t="n">
        <f aca="false">Q27-P27</f>
        <v>7.3665112613115E-005</v>
      </c>
      <c r="S27" s="35" t="n">
        <v>30</v>
      </c>
      <c r="T27" s="35" t="n">
        <v>68</v>
      </c>
      <c r="U27" s="35" t="n">
        <v>30</v>
      </c>
      <c r="V27" s="38" t="n">
        <f aca="false">U27-T27</f>
        <v>-38</v>
      </c>
      <c r="W27" s="37" t="n">
        <f aca="false">IFERROR(T27/T$59,0)</f>
        <v>0.00208129285014692</v>
      </c>
      <c r="X27" s="37" t="n">
        <f aca="false">IFERROR(U27/U$59,0)</f>
        <v>0.000668583272046533</v>
      </c>
      <c r="Y27" s="96" t="n">
        <f aca="false">X27-W27</f>
        <v>-0.00141270957810038</v>
      </c>
      <c r="Z27" s="35" t="n">
        <v>100</v>
      </c>
      <c r="AA27" s="35" t="n">
        <v>81</v>
      </c>
      <c r="AB27" s="35" t="n">
        <v>78</v>
      </c>
      <c r="AC27" s="38" t="n">
        <f aca="false">AB27-AA27</f>
        <v>-3</v>
      </c>
      <c r="AD27" s="37" t="n">
        <f aca="false">IFERROR(AA27/AA$59,0)</f>
        <v>0.00113784820262127</v>
      </c>
      <c r="AE27" s="37" t="n">
        <f aca="false">IFERROR(AB27/AB$59,0)</f>
        <v>0.00122372136805773</v>
      </c>
      <c r="AF27" s="96" t="n">
        <f aca="false">AE27-AD27</f>
        <v>8.58731654364694E-005</v>
      </c>
      <c r="AG27" s="35" t="n">
        <v>50</v>
      </c>
      <c r="AH27" s="35" t="n">
        <v>17</v>
      </c>
      <c r="AI27" s="35" t="n">
        <v>21</v>
      </c>
      <c r="AJ27" s="38" t="n">
        <f aca="false">AI27-AH27</f>
        <v>4</v>
      </c>
      <c r="AK27" s="37" t="n">
        <f aca="false">IFERROR(AH27/AH$59,0)</f>
        <v>0.00199436884091976</v>
      </c>
      <c r="AL27" s="37" t="n">
        <f aca="false">IFERROR(AI27/AI$59,0)</f>
        <v>0.00236193903947812</v>
      </c>
      <c r="AM27" s="96" t="n">
        <f aca="false">AL27-AK27</f>
        <v>0.000367570198558368</v>
      </c>
      <c r="AN27" s="35" t="n">
        <f aca="false">G27+N27+U27+AB27</f>
        <v>360</v>
      </c>
      <c r="AO27" s="37" t="n">
        <f aca="false">IFERROR(AN27/AN$59,0)</f>
        <v>0.00114142221207625</v>
      </c>
      <c r="AP27" s="37" t="n">
        <f aca="false">①石川予測確定!R17</f>
        <v>0.0015530964861192</v>
      </c>
      <c r="AQ27" s="37" t="n">
        <f aca="false">③仙台以降予測!H41</f>
        <v>0.00195751776279866</v>
      </c>
      <c r="AR27" s="39" t="str">
        <f aca="false">IF(AQ27-AO27&gt;=0.005,"↑ 上方修正",IF(AQ27-AO27&lt;=-0.005,"↓ 下方修正","→ 据置"))</f>
        <v>→ 据置</v>
      </c>
    </row>
    <row r="28" customFormat="false" ht="15" hidden="false" customHeight="false" outlineLevel="0" collapsed="false">
      <c r="A28" s="32" t="n">
        <v>12</v>
      </c>
      <c r="B28" s="32" t="s">
        <v>308</v>
      </c>
      <c r="C28" s="33" t="s">
        <v>309</v>
      </c>
      <c r="D28" s="34" t="n">
        <v>600</v>
      </c>
      <c r="E28" s="35" t="n">
        <v>1049</v>
      </c>
      <c r="F28" s="32" t="s">
        <v>533</v>
      </c>
      <c r="G28" s="35" t="n">
        <v>291</v>
      </c>
      <c r="H28" s="32" t="s">
        <v>533</v>
      </c>
      <c r="I28" s="37" t="n">
        <f aca="false">IFERROR(E28/E$59,0)</f>
        <v>0.00496798514813973</v>
      </c>
      <c r="J28" s="37" t="n">
        <f aca="false">IFERROR(G28/G$59,0)</f>
        <v>0.00196376151432331</v>
      </c>
      <c r="K28" s="96" t="n">
        <f aca="false">J28-I28</f>
        <v>-0.00300422363381642</v>
      </c>
      <c r="L28" s="35" t="n">
        <v>119</v>
      </c>
      <c r="M28" s="35" t="n">
        <v>64</v>
      </c>
      <c r="N28" s="35" t="n">
        <v>58</v>
      </c>
      <c r="O28" s="38" t="n">
        <f aca="false">N28-M28</f>
        <v>-6</v>
      </c>
      <c r="P28" s="37" t="n">
        <f aca="false">IFERROR(M28/M$59,0)</f>
        <v>0.00111546840958606</v>
      </c>
      <c r="Q28" s="37" t="n">
        <f aca="false">IFERROR(N28/N$59,0)</f>
        <v>0.000989761092150171</v>
      </c>
      <c r="R28" s="96" t="n">
        <f aca="false">Q28-P28</f>
        <v>-0.000125707317435886</v>
      </c>
      <c r="S28" s="35" t="n">
        <v>80</v>
      </c>
      <c r="T28" s="35" t="n">
        <v>51</v>
      </c>
      <c r="U28" s="35" t="n">
        <v>54</v>
      </c>
      <c r="V28" s="38" t="n">
        <f aca="false">U28-T28</f>
        <v>3</v>
      </c>
      <c r="W28" s="37" t="n">
        <f aca="false">IFERROR(T28/T$59,0)</f>
        <v>0.00156096963761019</v>
      </c>
      <c r="X28" s="37" t="n">
        <f aca="false">IFERROR(U28/U$59,0)</f>
        <v>0.00120344988968376</v>
      </c>
      <c r="Y28" s="96" t="n">
        <f aca="false">X28-W28</f>
        <v>-0.000357519747926426</v>
      </c>
      <c r="Z28" s="35" t="n">
        <v>150</v>
      </c>
      <c r="AA28" s="35" t="n">
        <v>140</v>
      </c>
      <c r="AB28" s="35" t="n">
        <v>142</v>
      </c>
      <c r="AC28" s="38" t="n">
        <f aca="false">AB28-AA28</f>
        <v>2</v>
      </c>
      <c r="AD28" s="37" t="n">
        <f aca="false">IFERROR(AA28/AA$59,0)</f>
        <v>0.00196665121440712</v>
      </c>
      <c r="AE28" s="37" t="n">
        <f aca="false">IFERROR(AB28/AB$59,0)</f>
        <v>0.00222780043928459</v>
      </c>
      <c r="AF28" s="96" t="n">
        <f aca="false">AE28-AD28</f>
        <v>0.000261149224877469</v>
      </c>
      <c r="AG28" s="35" t="n">
        <v>50</v>
      </c>
      <c r="AH28" s="35" t="n">
        <v>35</v>
      </c>
      <c r="AI28" s="35" t="n">
        <v>43</v>
      </c>
      <c r="AJ28" s="38" t="n">
        <f aca="false">AI28-AH28</f>
        <v>8</v>
      </c>
      <c r="AK28" s="37" t="n">
        <f aca="false">IFERROR(AH28/AH$59,0)</f>
        <v>0.00410605349601126</v>
      </c>
      <c r="AL28" s="37" t="n">
        <f aca="false">IFERROR(AI28/AI$59,0)</f>
        <v>0.00483635136655044</v>
      </c>
      <c r="AM28" s="96" t="n">
        <f aca="false">AL28-AK28</f>
        <v>0.000730297870539182</v>
      </c>
      <c r="AN28" s="35" t="n">
        <f aca="false">G28+N28+U28+AB28</f>
        <v>545</v>
      </c>
      <c r="AO28" s="37" t="n">
        <f aca="false">IFERROR(AN28/AN$59,0)</f>
        <v>0.00172798640439321</v>
      </c>
      <c r="AP28" s="37" t="n">
        <f aca="false">①石川予測確定!R18</f>
        <v>0.0033003300330033</v>
      </c>
      <c r="AQ28" s="37" t="n">
        <f aca="false">③仙台以降予測!H42</f>
        <v>0.00406834069977687</v>
      </c>
      <c r="AR28" s="39" t="str">
        <f aca="false">IF(AQ28-AO28&gt;=0.005,"↑ 上方修正",IF(AQ28-AO28&lt;=-0.005,"↓ 下方修正","→ 据置"))</f>
        <v>→ 据置</v>
      </c>
    </row>
    <row r="29" customFormat="false" ht="15" hidden="false" customHeight="false" outlineLevel="0" collapsed="false">
      <c r="A29" s="32" t="n">
        <v>13</v>
      </c>
      <c r="B29" s="32" t="s">
        <v>310</v>
      </c>
      <c r="C29" s="33" t="s">
        <v>311</v>
      </c>
      <c r="D29" s="34" t="n">
        <v>600</v>
      </c>
      <c r="E29" s="35" t="n">
        <v>349</v>
      </c>
      <c r="F29" s="32" t="s">
        <v>533</v>
      </c>
      <c r="G29" s="35" t="n">
        <v>99</v>
      </c>
      <c r="H29" s="32" t="s">
        <v>533</v>
      </c>
      <c r="I29" s="37" t="n">
        <f aca="false">IFERROR(E29/E$59,0)</f>
        <v>0.00165283776615898</v>
      </c>
      <c r="J29" s="37" t="n">
        <f aca="false">IFERROR(G29/G$59,0)</f>
        <v>0.00066808381415123</v>
      </c>
      <c r="K29" s="96" t="n">
        <f aca="false">J29-I29</f>
        <v>-0.000984753952007746</v>
      </c>
      <c r="L29" s="35" t="n">
        <v>40</v>
      </c>
      <c r="M29" s="35" t="n">
        <v>18</v>
      </c>
      <c r="N29" s="35" t="n">
        <v>16</v>
      </c>
      <c r="O29" s="38" t="n">
        <f aca="false">N29-M29</f>
        <v>-2</v>
      </c>
      <c r="P29" s="37" t="n">
        <f aca="false">IFERROR(M29/M$59,0)</f>
        <v>0.000313725490196078</v>
      </c>
      <c r="Q29" s="37" t="n">
        <f aca="false">IFERROR(N29/N$59,0)</f>
        <v>0.000273037542662116</v>
      </c>
      <c r="R29" s="96" t="n">
        <f aca="false">Q29-P29</f>
        <v>-4.06879475339624E-005</v>
      </c>
      <c r="S29" s="35" t="n">
        <v>25</v>
      </c>
      <c r="T29" s="35" t="n">
        <v>20</v>
      </c>
      <c r="U29" s="35" t="n">
        <v>22</v>
      </c>
      <c r="V29" s="38" t="n">
        <f aca="false">U29-T29</f>
        <v>2</v>
      </c>
      <c r="W29" s="37" t="n">
        <f aca="false">IFERROR(T29/T$59,0)</f>
        <v>0.000612144955925563</v>
      </c>
      <c r="X29" s="37" t="n">
        <f aca="false">IFERROR(U29/U$59,0)</f>
        <v>0.000490294399500791</v>
      </c>
      <c r="Y29" s="96" t="n">
        <f aca="false">X29-W29</f>
        <v>-0.000121850556424772</v>
      </c>
      <c r="Z29" s="35" t="n">
        <v>50</v>
      </c>
      <c r="AA29" s="35" t="n">
        <v>46</v>
      </c>
      <c r="AB29" s="35" t="n">
        <v>43</v>
      </c>
      <c r="AC29" s="38" t="n">
        <f aca="false">AB29-AA29</f>
        <v>-3</v>
      </c>
      <c r="AD29" s="37" t="n">
        <f aca="false">IFERROR(AA29/AA$59,0)</f>
        <v>0.000646185399019484</v>
      </c>
      <c r="AE29" s="37" t="n">
        <f aca="false">IFERROR(AB29/AB$59,0)</f>
        <v>0.000674615625980546</v>
      </c>
      <c r="AF29" s="96" t="n">
        <f aca="false">AE29-AD29</f>
        <v>2.84302269610621E-005</v>
      </c>
      <c r="AG29" s="35" t="n">
        <v>50</v>
      </c>
      <c r="AH29" s="35" t="n">
        <v>4</v>
      </c>
      <c r="AI29" s="35" t="n">
        <v>8</v>
      </c>
      <c r="AJ29" s="38" t="n">
        <f aca="false">AI29-AH29</f>
        <v>4</v>
      </c>
      <c r="AK29" s="37" t="n">
        <f aca="false">IFERROR(AH29/AH$59,0)</f>
        <v>0.000469263256687001</v>
      </c>
      <c r="AL29" s="37" t="n">
        <f aca="false">IFERROR(AI29/AI$59,0)</f>
        <v>0.000899786300753571</v>
      </c>
      <c r="AM29" s="96" t="n">
        <f aca="false">AL29-AK29</f>
        <v>0.00043052304406657</v>
      </c>
      <c r="AN29" s="35" t="n">
        <f aca="false">G29+N29+U29+AB29</f>
        <v>180</v>
      </c>
      <c r="AO29" s="37" t="n">
        <f aca="false">IFERROR(AN29/AN$59,0)</f>
        <v>0.000570711106038124</v>
      </c>
      <c r="AP29" s="37" t="n">
        <f aca="false">①石川予測確定!R19</f>
        <v>0.0011648223645894</v>
      </c>
      <c r="AQ29" s="37" t="n">
        <f aca="false">③仙台以降予測!H43</f>
        <v>0.00103230433267149</v>
      </c>
      <c r="AR29" s="39" t="str">
        <f aca="false">IF(AQ29-AO29&gt;=0.005,"↑ 上方修正",IF(AQ29-AO29&lt;=-0.005,"↓ 下方修正","→ 据置"))</f>
        <v>→ 据置</v>
      </c>
    </row>
    <row r="30" customFormat="false" ht="15" hidden="false" customHeight="false" outlineLevel="0" collapsed="false">
      <c r="A30" s="32" t="n">
        <v>14</v>
      </c>
      <c r="B30" s="32" t="s">
        <v>312</v>
      </c>
      <c r="C30" s="33" t="s">
        <v>313</v>
      </c>
      <c r="D30" s="34" t="n">
        <v>600</v>
      </c>
      <c r="E30" s="35" t="n">
        <v>1750</v>
      </c>
      <c r="F30" s="32" t="s">
        <v>533</v>
      </c>
      <c r="G30" s="35" t="n">
        <v>411</v>
      </c>
      <c r="H30" s="32" t="s">
        <v>533</v>
      </c>
      <c r="I30" s="37" t="n">
        <f aca="false">IFERROR(E30/E$59,0)</f>
        <v>0.00828786845495188</v>
      </c>
      <c r="J30" s="37" t="n">
        <f aca="false">IFERROR(G30/G$59,0)</f>
        <v>0.00277356007693086</v>
      </c>
      <c r="K30" s="96" t="n">
        <f aca="false">J30-I30</f>
        <v>-0.00551430837802102</v>
      </c>
      <c r="L30" s="35" t="n">
        <v>165</v>
      </c>
      <c r="M30" s="35" t="n">
        <v>76</v>
      </c>
      <c r="N30" s="35" t="n">
        <v>73</v>
      </c>
      <c r="O30" s="38" t="n">
        <f aca="false">N30-M30</f>
        <v>-3</v>
      </c>
      <c r="P30" s="37" t="n">
        <f aca="false">IFERROR(M30/M$59,0)</f>
        <v>0.00132461873638344</v>
      </c>
      <c r="Q30" s="37" t="n">
        <f aca="false">IFERROR(N30/N$59,0)</f>
        <v>0.0012457337883959</v>
      </c>
      <c r="R30" s="96" t="n">
        <f aca="false">Q30-P30</f>
        <v>-7.88849479875379E-005</v>
      </c>
      <c r="S30" s="35" t="n">
        <v>80</v>
      </c>
      <c r="T30" s="35" t="n">
        <v>84</v>
      </c>
      <c r="U30" s="35" t="n">
        <v>79</v>
      </c>
      <c r="V30" s="38" t="n">
        <f aca="false">U30-T30</f>
        <v>-5</v>
      </c>
      <c r="W30" s="37" t="n">
        <f aca="false">IFERROR(T30/T$59,0)</f>
        <v>0.00257100881488737</v>
      </c>
      <c r="X30" s="37" t="n">
        <f aca="false">IFERROR(U30/U$59,0)</f>
        <v>0.0017606026163892</v>
      </c>
      <c r="Y30" s="96" t="n">
        <f aca="false">X30-W30</f>
        <v>-0.000810406198498161</v>
      </c>
      <c r="Z30" s="35" t="n">
        <v>300</v>
      </c>
      <c r="AA30" s="35" t="n">
        <v>142</v>
      </c>
      <c r="AB30" s="35" t="n">
        <v>146</v>
      </c>
      <c r="AC30" s="38" t="n">
        <f aca="false">AB30-AA30</f>
        <v>4</v>
      </c>
      <c r="AD30" s="37" t="n">
        <f aca="false">IFERROR(AA30/AA$59,0)</f>
        <v>0.0019947462317558</v>
      </c>
      <c r="AE30" s="37" t="n">
        <f aca="false">IFERROR(AB30/AB$59,0)</f>
        <v>0.00229055538123627</v>
      </c>
      <c r="AF30" s="96" t="n">
        <f aca="false">AE30-AD30</f>
        <v>0.000295809149480474</v>
      </c>
      <c r="AG30" s="35" t="n">
        <v>50</v>
      </c>
      <c r="AH30" s="35" t="n">
        <v>33</v>
      </c>
      <c r="AI30" s="35" t="n">
        <v>47</v>
      </c>
      <c r="AJ30" s="38" t="n">
        <f aca="false">AI30-AH30</f>
        <v>14</v>
      </c>
      <c r="AK30" s="37" t="n">
        <f aca="false">IFERROR(AH30/AH$59,0)</f>
        <v>0.00387142186766776</v>
      </c>
      <c r="AL30" s="37" t="n">
        <f aca="false">IFERROR(AI30/AI$59,0)</f>
        <v>0.00528624451692723</v>
      </c>
      <c r="AM30" s="96" t="n">
        <f aca="false">AL30-AK30</f>
        <v>0.00141482264925947</v>
      </c>
      <c r="AN30" s="35" t="n">
        <f aca="false">G30+N30+U30+AB30</f>
        <v>709</v>
      </c>
      <c r="AO30" s="37" t="n">
        <f aca="false">IFERROR(AN30/AN$59,0)</f>
        <v>0.00224796763433905</v>
      </c>
      <c r="AP30" s="37" t="n">
        <f aca="false">①石川予測確定!R20</f>
        <v>0.0027179188507086</v>
      </c>
      <c r="AQ30" s="37" t="n">
        <f aca="false">③仙台以降予測!H44</f>
        <v>0.00400208168381792</v>
      </c>
      <c r="AR30" s="39" t="str">
        <f aca="false">IF(AQ30-AO30&gt;=0.005,"↑ 上方修正",IF(AQ30-AO30&lt;=-0.005,"↓ 下方修正","→ 据置"))</f>
        <v>→ 据置</v>
      </c>
    </row>
    <row r="31" customFormat="false" ht="15" hidden="false" customHeight="false" outlineLevel="0" collapsed="false">
      <c r="A31" s="32" t="n">
        <v>15</v>
      </c>
      <c r="B31" s="32" t="s">
        <v>314</v>
      </c>
      <c r="C31" s="33" t="s">
        <v>315</v>
      </c>
      <c r="D31" s="34" t="n">
        <v>600</v>
      </c>
      <c r="E31" s="35" t="n">
        <v>2100</v>
      </c>
      <c r="F31" s="32" t="s">
        <v>533</v>
      </c>
      <c r="G31" s="35" t="n">
        <v>471</v>
      </c>
      <c r="H31" s="32" t="s">
        <v>533</v>
      </c>
      <c r="I31" s="37" t="n">
        <f aca="false">IFERROR(E31/E$59,0)</f>
        <v>0.00994544214594226</v>
      </c>
      <c r="J31" s="37" t="n">
        <f aca="false">IFERROR(G31/G$59,0)</f>
        <v>0.00317845935823464</v>
      </c>
      <c r="K31" s="96" t="n">
        <f aca="false">J31-I31</f>
        <v>-0.00676698278770762</v>
      </c>
      <c r="L31" s="35" t="n">
        <v>190</v>
      </c>
      <c r="M31" s="35" t="n">
        <v>95</v>
      </c>
      <c r="N31" s="35" t="n">
        <v>100</v>
      </c>
      <c r="O31" s="38" t="n">
        <f aca="false">N31-M31</f>
        <v>5</v>
      </c>
      <c r="P31" s="37" t="n">
        <f aca="false">IFERROR(M31/M$59,0)</f>
        <v>0.0016557734204793</v>
      </c>
      <c r="Q31" s="37" t="n">
        <f aca="false">IFERROR(N31/N$59,0)</f>
        <v>0.00170648464163823</v>
      </c>
      <c r="R31" s="96" t="n">
        <f aca="false">Q31-P31</f>
        <v>5.07112211589225E-005</v>
      </c>
      <c r="S31" s="35" t="n">
        <v>100</v>
      </c>
      <c r="T31" s="35" t="n">
        <v>114</v>
      </c>
      <c r="U31" s="35" t="n">
        <v>100</v>
      </c>
      <c r="V31" s="38" t="n">
        <f aca="false">U31-T31</f>
        <v>-14</v>
      </c>
      <c r="W31" s="37" t="n">
        <f aca="false">IFERROR(T31/T$59,0)</f>
        <v>0.00348922624877571</v>
      </c>
      <c r="X31" s="37" t="n">
        <f aca="false">IFERROR(U31/U$59,0)</f>
        <v>0.00222861090682178</v>
      </c>
      <c r="Y31" s="96" t="n">
        <f aca="false">X31-W31</f>
        <v>-0.00126061534195393</v>
      </c>
      <c r="Z31" s="35" t="n">
        <v>300</v>
      </c>
      <c r="AA31" s="35" t="n">
        <v>211</v>
      </c>
      <c r="AB31" s="35" t="n">
        <v>198</v>
      </c>
      <c r="AC31" s="38" t="n">
        <f aca="false">AB31-AA31</f>
        <v>-13</v>
      </c>
      <c r="AD31" s="37" t="n">
        <f aca="false">IFERROR(AA31/AA$59,0)</f>
        <v>0.00296402433028502</v>
      </c>
      <c r="AE31" s="37" t="n">
        <f aca="false">IFERROR(AB31/AB$59,0)</f>
        <v>0.0031063696266081</v>
      </c>
      <c r="AF31" s="96" t="n">
        <f aca="false">AE31-AD31</f>
        <v>0.000142345296323071</v>
      </c>
      <c r="AG31" s="35" t="n">
        <v>100</v>
      </c>
      <c r="AH31" s="35" t="n">
        <v>48</v>
      </c>
      <c r="AI31" s="35" t="n">
        <v>54</v>
      </c>
      <c r="AJ31" s="38" t="n">
        <f aca="false">AI31-AH31</f>
        <v>6</v>
      </c>
      <c r="AK31" s="37" t="n">
        <f aca="false">IFERROR(AH31/AH$59,0)</f>
        <v>0.00563115908024402</v>
      </c>
      <c r="AL31" s="37" t="n">
        <f aca="false">IFERROR(AI31/AI$59,0)</f>
        <v>0.0060735575300866</v>
      </c>
      <c r="AM31" s="96" t="n">
        <f aca="false">AL31-AK31</f>
        <v>0.000442398449842587</v>
      </c>
      <c r="AN31" s="35" t="n">
        <f aca="false">G31+N31+U31+AB31</f>
        <v>869</v>
      </c>
      <c r="AO31" s="37" t="n">
        <f aca="false">IFERROR(AN31/AN$59,0)</f>
        <v>0.00275526639526183</v>
      </c>
      <c r="AP31" s="37" t="n">
        <f aca="false">①石川予測確定!R21</f>
        <v>0.0044651523975927</v>
      </c>
      <c r="AQ31" s="37" t="n">
        <f aca="false">③仙台以降予測!H45</f>
        <v>0.00526935496383965</v>
      </c>
      <c r="AR31" s="39" t="str">
        <f aca="false">IF(AQ31-AO31&gt;=0.005,"↑ 上方修正",IF(AQ31-AO31&lt;=-0.005,"↓ 下方修正","→ 据置"))</f>
        <v>→ 据置</v>
      </c>
    </row>
    <row r="32" customFormat="false" ht="15" hidden="false" customHeight="false" outlineLevel="0" collapsed="false">
      <c r="A32" s="32" t="n">
        <v>16</v>
      </c>
      <c r="B32" s="32" t="s">
        <v>316</v>
      </c>
      <c r="C32" s="33" t="s">
        <v>317</v>
      </c>
      <c r="D32" s="34" t="n">
        <v>600</v>
      </c>
      <c r="E32" s="35" t="n">
        <v>700</v>
      </c>
      <c r="F32" s="32" t="s">
        <v>533</v>
      </c>
      <c r="G32" s="35" t="n">
        <v>95</v>
      </c>
      <c r="H32" s="32" t="s">
        <v>533</v>
      </c>
      <c r="I32" s="37" t="n">
        <f aca="false">IFERROR(E32/E$59,0)</f>
        <v>0.00331514738198075</v>
      </c>
      <c r="J32" s="37" t="n">
        <f aca="false">IFERROR(G32/G$59,0)</f>
        <v>0.000641090528730978</v>
      </c>
      <c r="K32" s="96" t="n">
        <f aca="false">J32-I32</f>
        <v>-0.00267405685324978</v>
      </c>
      <c r="L32" s="35" t="n">
        <v>40</v>
      </c>
      <c r="M32" s="35" t="n">
        <v>27</v>
      </c>
      <c r="N32" s="35" t="n">
        <v>38</v>
      </c>
      <c r="O32" s="38" t="n">
        <f aca="false">N32-M32</f>
        <v>11</v>
      </c>
      <c r="P32" s="37" t="n">
        <f aca="false">IFERROR(M32/M$59,0)</f>
        <v>0.000470588235294118</v>
      </c>
      <c r="Q32" s="37" t="n">
        <f aca="false">IFERROR(N32/N$59,0)</f>
        <v>0.000648464163822526</v>
      </c>
      <c r="R32" s="96" t="n">
        <f aca="false">Q32-P32</f>
        <v>0.000177875928528408</v>
      </c>
      <c r="S32" s="35" t="n">
        <v>30</v>
      </c>
      <c r="T32" s="35" t="n">
        <v>41</v>
      </c>
      <c r="U32" s="35" t="n">
        <v>30</v>
      </c>
      <c r="V32" s="38" t="n">
        <f aca="false">U32-T32</f>
        <v>-11</v>
      </c>
      <c r="W32" s="37" t="n">
        <f aca="false">IFERROR(T32/T$59,0)</f>
        <v>0.0012548971596474</v>
      </c>
      <c r="X32" s="37" t="n">
        <f aca="false">IFERROR(U32/U$59,0)</f>
        <v>0.000668583272046533</v>
      </c>
      <c r="Y32" s="96" t="n">
        <f aca="false">X32-W32</f>
        <v>-0.000586313887600871</v>
      </c>
      <c r="Z32" s="35" t="n">
        <v>100</v>
      </c>
      <c r="AA32" s="35" t="n">
        <v>72</v>
      </c>
      <c r="AB32" s="35" t="n">
        <v>65</v>
      </c>
      <c r="AC32" s="38" t="n">
        <f aca="false">AB32-AA32</f>
        <v>-7</v>
      </c>
      <c r="AD32" s="37" t="n">
        <f aca="false">IFERROR(AA32/AA$59,0)</f>
        <v>0.00101142062455224</v>
      </c>
      <c r="AE32" s="37" t="n">
        <f aca="false">IFERROR(AB32/AB$59,0)</f>
        <v>0.00101976780671478</v>
      </c>
      <c r="AF32" s="96" t="n">
        <f aca="false">AE32-AD32</f>
        <v>8.34718216254299E-006</v>
      </c>
      <c r="AG32" s="35" t="n">
        <v>50</v>
      </c>
      <c r="AH32" s="35" t="n">
        <v>16</v>
      </c>
      <c r="AI32" s="35" t="n">
        <v>22</v>
      </c>
      <c r="AJ32" s="38" t="n">
        <f aca="false">AI32-AH32</f>
        <v>6</v>
      </c>
      <c r="AK32" s="37" t="n">
        <f aca="false">IFERROR(AH32/AH$59,0)</f>
        <v>0.00187705302674801</v>
      </c>
      <c r="AL32" s="37" t="n">
        <f aca="false">IFERROR(AI32/AI$59,0)</f>
        <v>0.00247441232707232</v>
      </c>
      <c r="AM32" s="96" t="n">
        <f aca="false">AL32-AK32</f>
        <v>0.000597359300324315</v>
      </c>
      <c r="AN32" s="35" t="n">
        <f aca="false">G32+N32+U32+AB32</f>
        <v>228</v>
      </c>
      <c r="AO32" s="37" t="n">
        <f aca="false">IFERROR(AN32/AN$59,0)</f>
        <v>0.000722900734314957</v>
      </c>
      <c r="AP32" s="37" t="n">
        <f aca="false">①石川予測確定!R22</f>
        <v>0.0011648223645894</v>
      </c>
      <c r="AQ32" s="37" t="n">
        <f aca="false">③仙台以降予測!H46</f>
        <v>0.00181961734583086</v>
      </c>
      <c r="AR32" s="39" t="str">
        <f aca="false">IF(AQ32-AO32&gt;=0.005,"↑ 上方修正",IF(AQ32-AO32&lt;=-0.005,"↓ 下方修正","→ 据置"))</f>
        <v>→ 据置</v>
      </c>
    </row>
    <row r="33" customFormat="false" ht="15" hidden="false" customHeight="false" outlineLevel="0" collapsed="false">
      <c r="A33" s="32" t="n">
        <v>17</v>
      </c>
      <c r="B33" s="32" t="s">
        <v>318</v>
      </c>
      <c r="C33" s="33" t="s">
        <v>319</v>
      </c>
      <c r="D33" s="34" t="n">
        <v>600</v>
      </c>
      <c r="E33" s="35" t="n">
        <v>2450</v>
      </c>
      <c r="F33" s="32" t="s">
        <v>533</v>
      </c>
      <c r="G33" s="35" t="n">
        <v>492</v>
      </c>
      <c r="H33" s="32" t="s">
        <v>533</v>
      </c>
      <c r="I33" s="37" t="n">
        <f aca="false">IFERROR(E33/E$59,0)</f>
        <v>0.0116030158369326</v>
      </c>
      <c r="J33" s="37" t="n">
        <f aca="false">IFERROR(G33/G$59,0)</f>
        <v>0.00332017410669096</v>
      </c>
      <c r="K33" s="96" t="n">
        <f aca="false">J33-I33</f>
        <v>-0.00828284173024168</v>
      </c>
      <c r="L33" s="35" t="n">
        <v>198</v>
      </c>
      <c r="M33" s="35" t="n">
        <v>122</v>
      </c>
      <c r="N33" s="35" t="n">
        <v>124</v>
      </c>
      <c r="O33" s="38" t="n">
        <f aca="false">N33-M33</f>
        <v>2</v>
      </c>
      <c r="P33" s="37" t="n">
        <f aca="false">IFERROR(M33/M$59,0)</f>
        <v>0.00212636165577342</v>
      </c>
      <c r="Q33" s="37" t="n">
        <f aca="false">IFERROR(N33/N$59,0)</f>
        <v>0.0021160409556314</v>
      </c>
      <c r="R33" s="96" t="n">
        <f aca="false">Q33-P33</f>
        <v>-1.03207001420215E-005</v>
      </c>
      <c r="S33" s="35" t="n">
        <v>100</v>
      </c>
      <c r="T33" s="35" t="n">
        <v>114</v>
      </c>
      <c r="U33" s="35" t="n">
        <v>100</v>
      </c>
      <c r="V33" s="38" t="n">
        <f aca="false">U33-T33</f>
        <v>-14</v>
      </c>
      <c r="W33" s="37" t="n">
        <f aca="false">IFERROR(T33/T$59,0)</f>
        <v>0.00348922624877571</v>
      </c>
      <c r="X33" s="37" t="n">
        <f aca="false">IFERROR(U33/U$59,0)</f>
        <v>0.00222861090682178</v>
      </c>
      <c r="Y33" s="96" t="n">
        <f aca="false">X33-W33</f>
        <v>-0.00126061534195393</v>
      </c>
      <c r="Z33" s="35" t="n">
        <v>300</v>
      </c>
      <c r="AA33" s="35" t="n">
        <v>272</v>
      </c>
      <c r="AB33" s="35" t="n">
        <v>261</v>
      </c>
      <c r="AC33" s="38" t="n">
        <f aca="false">AB33-AA33</f>
        <v>-11</v>
      </c>
      <c r="AD33" s="37" t="n">
        <f aca="false">IFERROR(AA33/AA$59,0)</f>
        <v>0.00382092235941956</v>
      </c>
      <c r="AE33" s="37" t="n">
        <f aca="false">IFERROR(AB33/AB$59,0)</f>
        <v>0.00409475996234703</v>
      </c>
      <c r="AF33" s="96" t="n">
        <f aca="false">AE33-AD33</f>
        <v>0.000273837602927477</v>
      </c>
      <c r="AG33" s="35" t="n">
        <v>100</v>
      </c>
      <c r="AH33" s="35" t="n">
        <v>96</v>
      </c>
      <c r="AI33" s="35" t="n">
        <v>100</v>
      </c>
      <c r="AJ33" s="38" t="n">
        <f aca="false">AI33-AH33</f>
        <v>4</v>
      </c>
      <c r="AK33" s="37" t="n">
        <f aca="false">IFERROR(AH33/AH$59,0)</f>
        <v>0.011262318160488</v>
      </c>
      <c r="AL33" s="37" t="n">
        <f aca="false">IFERROR(AI33/AI$59,0)</f>
        <v>0.0112473287594196</v>
      </c>
      <c r="AM33" s="96" t="n">
        <f aca="false">AL33-AK33</f>
        <v>-1.49894010683972E-005</v>
      </c>
      <c r="AN33" s="35" t="n">
        <f aca="false">G33+N33+U33+AB33</f>
        <v>977</v>
      </c>
      <c r="AO33" s="37" t="n">
        <f aca="false">IFERROR(AN33/AN$59,0)</f>
        <v>0.0030976930588847</v>
      </c>
      <c r="AP33" s="37" t="n">
        <f aca="false">①石川予測確定!R23</f>
        <v>0.0079596194913609</v>
      </c>
      <c r="AQ33" s="37" t="n">
        <f aca="false">③仙台以降予測!H47</f>
        <v>0.00960347412539027</v>
      </c>
      <c r="AR33" s="39" t="str">
        <f aca="false">IF(AQ33-AO33&gt;=0.005,"↑ 上方修正",IF(AQ33-AO33&lt;=-0.005,"↓ 下方修正","→ 据置"))</f>
        <v>↑ 上方修正</v>
      </c>
    </row>
    <row r="34" customFormat="false" ht="15" hidden="false" customHeight="false" outlineLevel="0" collapsed="false">
      <c r="A34" s="32" t="n">
        <v>18</v>
      </c>
      <c r="B34" s="32" t="s">
        <v>320</v>
      </c>
      <c r="C34" s="33" t="s">
        <v>321</v>
      </c>
      <c r="D34" s="34" t="n">
        <v>600</v>
      </c>
      <c r="E34" s="35" t="n">
        <v>8750</v>
      </c>
      <c r="F34" s="32" t="s">
        <v>533</v>
      </c>
      <c r="G34" s="35" t="n">
        <v>5661</v>
      </c>
      <c r="H34" s="32" t="s">
        <v>533</v>
      </c>
      <c r="I34" s="37" t="n">
        <f aca="false">IFERROR(E34/E$59,0)</f>
        <v>0.0414393422747594</v>
      </c>
      <c r="J34" s="37" t="n">
        <f aca="false">IFERROR(G34/G$59,0)</f>
        <v>0.0382022471910112</v>
      </c>
      <c r="K34" s="96" t="n">
        <f aca="false">J34-I34</f>
        <v>-0.00323709508374818</v>
      </c>
      <c r="L34" s="35" t="n">
        <v>2265</v>
      </c>
      <c r="M34" s="35" t="n">
        <v>1225</v>
      </c>
      <c r="N34" s="35" t="n">
        <v>1187</v>
      </c>
      <c r="O34" s="38" t="n">
        <f aca="false">N34-M34</f>
        <v>-38</v>
      </c>
      <c r="P34" s="37" t="n">
        <f aca="false">IFERROR(M34/M$59,0)</f>
        <v>0.0213507625272331</v>
      </c>
      <c r="Q34" s="37" t="n">
        <f aca="false">IFERROR(N34/N$59,0)</f>
        <v>0.0202559726962457</v>
      </c>
      <c r="R34" s="96" t="n">
        <f aca="false">Q34-P34</f>
        <v>-0.00109478983098738</v>
      </c>
      <c r="S34" s="35" t="n">
        <v>900</v>
      </c>
      <c r="T34" s="35" t="n">
        <v>992</v>
      </c>
      <c r="U34" s="35" t="n">
        <v>898</v>
      </c>
      <c r="V34" s="38" t="n">
        <f aca="false">U34-T34</f>
        <v>-94</v>
      </c>
      <c r="W34" s="37" t="n">
        <f aca="false">IFERROR(T34/T$59,0)</f>
        <v>0.0303623898139079</v>
      </c>
      <c r="X34" s="37" t="n">
        <f aca="false">IFERROR(U34/U$59,0)</f>
        <v>0.0200129259432596</v>
      </c>
      <c r="Y34" s="96" t="n">
        <f aca="false">X34-W34</f>
        <v>-0.0103494638706484</v>
      </c>
      <c r="Z34" s="35" t="n">
        <v>4000</v>
      </c>
      <c r="AA34" s="35" t="n">
        <v>2014</v>
      </c>
      <c r="AB34" s="35" t="n">
        <v>2021</v>
      </c>
      <c r="AC34" s="38" t="n">
        <f aca="false">AB34-AA34</f>
        <v>7</v>
      </c>
      <c r="AD34" s="37" t="n">
        <f aca="false">IFERROR(AA34/AA$59,0)</f>
        <v>0.0282916824701139</v>
      </c>
      <c r="AE34" s="37" t="n">
        <f aca="false">IFERROR(AB34/AB$59,0)</f>
        <v>0.0317069344210857</v>
      </c>
      <c r="AF34" s="96" t="n">
        <f aca="false">AE34-AD34</f>
        <v>0.00341525195097173</v>
      </c>
      <c r="AG34" s="35" t="n">
        <v>1500</v>
      </c>
      <c r="AH34" s="35" t="n">
        <v>402</v>
      </c>
      <c r="AI34" s="35" t="n">
        <v>443</v>
      </c>
      <c r="AJ34" s="38" t="n">
        <f aca="false">AI34-AH34</f>
        <v>41</v>
      </c>
      <c r="AK34" s="37" t="n">
        <f aca="false">IFERROR(AH34/AH$59,0)</f>
        <v>0.0471609572970436</v>
      </c>
      <c r="AL34" s="37" t="n">
        <f aca="false">IFERROR(AI34/AI$59,0)</f>
        <v>0.049825666404229</v>
      </c>
      <c r="AM34" s="96" t="n">
        <f aca="false">AL34-AK34</f>
        <v>0.00266470910718535</v>
      </c>
      <c r="AN34" s="35" t="n">
        <f aca="false">G34+N34+U34+AB34</f>
        <v>9767</v>
      </c>
      <c r="AO34" s="37" t="n">
        <f aca="false">IFERROR(AN34/AN$59,0)</f>
        <v>0.0309674187370797</v>
      </c>
      <c r="AP34" s="37" t="n">
        <f aca="false">①石川予測確定!R24</f>
        <v>0.0295088332362648</v>
      </c>
      <c r="AQ34" s="37" t="n">
        <f aca="false">③仙台以降予測!H48</f>
        <v>0.0396672498202469</v>
      </c>
      <c r="AR34" s="39" t="str">
        <f aca="false">IF(AQ34-AO34&gt;=0.005,"↑ 上方修正",IF(AQ34-AO34&lt;=-0.005,"↓ 下方修正","→ 据置"))</f>
        <v>↑ 上方修正</v>
      </c>
    </row>
    <row r="35" customFormat="false" ht="15" hidden="false" customHeight="false" outlineLevel="0" collapsed="false">
      <c r="A35" s="32" t="n">
        <v>19</v>
      </c>
      <c r="B35" s="32" t="s">
        <v>322</v>
      </c>
      <c r="C35" s="33" t="s">
        <v>323</v>
      </c>
      <c r="D35" s="34" t="n">
        <v>600</v>
      </c>
      <c r="E35" s="35" t="n">
        <v>1750</v>
      </c>
      <c r="F35" s="32" t="s">
        <v>533</v>
      </c>
      <c r="G35" s="35" t="n">
        <v>168</v>
      </c>
      <c r="H35" s="32" t="s">
        <v>533</v>
      </c>
      <c r="I35" s="37" t="n">
        <f aca="false">IFERROR(E35/E$59,0)</f>
        <v>0.00828786845495188</v>
      </c>
      <c r="J35" s="37" t="n">
        <f aca="false">IFERROR(G35/G$59,0)</f>
        <v>0.00113371798765057</v>
      </c>
      <c r="K35" s="96" t="n">
        <f aca="false">J35-I35</f>
        <v>-0.00715415046730131</v>
      </c>
      <c r="L35" s="35" t="n">
        <v>65</v>
      </c>
      <c r="M35" s="35" t="n">
        <v>26</v>
      </c>
      <c r="N35" s="35" t="n">
        <v>27</v>
      </c>
      <c r="O35" s="38" t="n">
        <f aca="false">N35-M35</f>
        <v>1</v>
      </c>
      <c r="P35" s="37" t="n">
        <f aca="false">IFERROR(M35/M$59,0)</f>
        <v>0.000453159041394336</v>
      </c>
      <c r="Q35" s="37" t="n">
        <f aca="false">IFERROR(N35/N$59,0)</f>
        <v>0.000460750853242321</v>
      </c>
      <c r="R35" s="96" t="n">
        <f aca="false">Q35-P35</f>
        <v>7.59181184798531E-006</v>
      </c>
      <c r="S35" s="35" t="n">
        <v>20</v>
      </c>
      <c r="T35" s="35" t="n">
        <v>31</v>
      </c>
      <c r="U35" s="35" t="n">
        <v>19</v>
      </c>
      <c r="V35" s="38" t="n">
        <f aca="false">U35-T35</f>
        <v>-12</v>
      </c>
      <c r="W35" s="37" t="n">
        <f aca="false">IFERROR(T35/T$59,0)</f>
        <v>0.000948824681684623</v>
      </c>
      <c r="X35" s="37" t="n">
        <f aca="false">IFERROR(U35/U$59,0)</f>
        <v>0.000423436072296138</v>
      </c>
      <c r="Y35" s="96" t="n">
        <f aca="false">X35-W35</f>
        <v>-0.000525388609388485</v>
      </c>
      <c r="Z35" s="35" t="n">
        <v>100</v>
      </c>
      <c r="AA35" s="35" t="n">
        <v>40</v>
      </c>
      <c r="AB35" s="35" t="n">
        <v>45</v>
      </c>
      <c r="AC35" s="38" t="n">
        <f aca="false">AB35-AA35</f>
        <v>5</v>
      </c>
      <c r="AD35" s="37" t="n">
        <f aca="false">IFERROR(AA35/AA$59,0)</f>
        <v>0.000561900346973464</v>
      </c>
      <c r="AE35" s="37" t="n">
        <f aca="false">IFERROR(AB35/AB$59,0)</f>
        <v>0.000705993096956385</v>
      </c>
      <c r="AF35" s="96" t="n">
        <f aca="false">AE35-AD35</f>
        <v>0.000144092749982921</v>
      </c>
      <c r="AG35" s="35" t="n">
        <v>50</v>
      </c>
      <c r="AH35" s="35" t="n">
        <v>18</v>
      </c>
      <c r="AI35" s="35" t="n">
        <v>21</v>
      </c>
      <c r="AJ35" s="38" t="n">
        <f aca="false">AI35-AH35</f>
        <v>3</v>
      </c>
      <c r="AK35" s="37" t="n">
        <f aca="false">IFERROR(AH35/AH$59,0)</f>
        <v>0.00211168465509151</v>
      </c>
      <c r="AL35" s="37" t="n">
        <f aca="false">IFERROR(AI35/AI$59,0)</f>
        <v>0.00236193903947812</v>
      </c>
      <c r="AM35" s="96" t="n">
        <f aca="false">AL35-AK35</f>
        <v>0.000250254384386618</v>
      </c>
      <c r="AN35" s="35" t="n">
        <f aca="false">G35+N35+U35+AB35</f>
        <v>259</v>
      </c>
      <c r="AO35" s="37" t="n">
        <f aca="false">IFERROR(AN35/AN$59,0)</f>
        <v>0.000821189869243744</v>
      </c>
      <c r="AP35" s="37" t="n">
        <f aca="false">①石川予測確定!R25</f>
        <v>0.0009706853038245</v>
      </c>
      <c r="AQ35" s="37" t="n">
        <f aca="false">③仙台以降予測!H49</f>
        <v>0.00166631217165131</v>
      </c>
      <c r="AR35" s="39" t="str">
        <f aca="false">IF(AQ35-AO35&gt;=0.005,"↑ 上方修正",IF(AQ35-AO35&lt;=-0.005,"↓ 下方修正","→ 据置"))</f>
        <v>→ 据置</v>
      </c>
    </row>
    <row r="36" customFormat="false" ht="15" hidden="false" customHeight="false" outlineLevel="0" collapsed="false">
      <c r="A36" s="32" t="n">
        <v>20</v>
      </c>
      <c r="B36" s="32" t="s">
        <v>324</v>
      </c>
      <c r="C36" s="33" t="s">
        <v>325</v>
      </c>
      <c r="D36" s="34" t="n">
        <v>600</v>
      </c>
      <c r="E36" s="35" t="n">
        <v>350</v>
      </c>
      <c r="F36" s="32" t="s">
        <v>533</v>
      </c>
      <c r="G36" s="35" t="n">
        <v>117</v>
      </c>
      <c r="H36" s="32" t="s">
        <v>533</v>
      </c>
      <c r="I36" s="37" t="n">
        <f aca="false">IFERROR(E36/E$59,0)</f>
        <v>0.00165757369099038</v>
      </c>
      <c r="J36" s="37" t="n">
        <f aca="false">IFERROR(G36/G$59,0)</f>
        <v>0.000789553598542363</v>
      </c>
      <c r="K36" s="96" t="n">
        <f aca="false">J36-I36</f>
        <v>-0.000868020092448014</v>
      </c>
      <c r="L36" s="35" t="n">
        <v>49</v>
      </c>
      <c r="M36" s="35" t="n">
        <v>21</v>
      </c>
      <c r="N36" s="35" t="n">
        <v>23</v>
      </c>
      <c r="O36" s="38" t="n">
        <f aca="false">N36-M36</f>
        <v>2</v>
      </c>
      <c r="P36" s="37" t="n">
        <f aca="false">IFERROR(M36/M$59,0)</f>
        <v>0.000366013071895425</v>
      </c>
      <c r="Q36" s="37" t="n">
        <f aca="false">IFERROR(N36/N$59,0)</f>
        <v>0.000392491467576792</v>
      </c>
      <c r="R36" s="96" t="n">
        <f aca="false">Q36-P36</f>
        <v>2.6478395681367E-005</v>
      </c>
      <c r="S36" s="35" t="n">
        <v>15</v>
      </c>
      <c r="T36" s="35" t="n">
        <v>28</v>
      </c>
      <c r="U36" s="35" t="n">
        <v>15</v>
      </c>
      <c r="V36" s="38" t="n">
        <f aca="false">U36-T36</f>
        <v>-13</v>
      </c>
      <c r="W36" s="37" t="n">
        <f aca="false">IFERROR(T36/T$59,0)</f>
        <v>0.000857002938295788</v>
      </c>
      <c r="X36" s="37" t="n">
        <f aca="false">IFERROR(U36/U$59,0)</f>
        <v>0.000334291636023267</v>
      </c>
      <c r="Y36" s="96" t="n">
        <f aca="false">X36-W36</f>
        <v>-0.000522711302272522</v>
      </c>
      <c r="Z36" s="35" t="n">
        <v>50</v>
      </c>
      <c r="AA36" s="35" t="n">
        <v>32</v>
      </c>
      <c r="AB36" s="35" t="n">
        <v>42</v>
      </c>
      <c r="AC36" s="38" t="n">
        <f aca="false">AB36-AA36</f>
        <v>10</v>
      </c>
      <c r="AD36" s="37" t="n">
        <f aca="false">IFERROR(AA36/AA$59,0)</f>
        <v>0.000449520277578771</v>
      </c>
      <c r="AE36" s="37" t="n">
        <f aca="false">IFERROR(AB36/AB$59,0)</f>
        <v>0.000658926890492626</v>
      </c>
      <c r="AF36" s="96" t="n">
        <f aca="false">AE36-AD36</f>
        <v>0.000209406612913855</v>
      </c>
      <c r="AG36" s="35" t="n">
        <v>30</v>
      </c>
      <c r="AH36" s="35" t="n">
        <v>16</v>
      </c>
      <c r="AI36" s="35" t="n">
        <v>18</v>
      </c>
      <c r="AJ36" s="38" t="n">
        <f aca="false">AI36-AH36</f>
        <v>2</v>
      </c>
      <c r="AK36" s="37" t="n">
        <f aca="false">IFERROR(AH36/AH$59,0)</f>
        <v>0.00187705302674801</v>
      </c>
      <c r="AL36" s="37" t="n">
        <f aca="false">IFERROR(AI36/AI$59,0)</f>
        <v>0.00202451917669553</v>
      </c>
      <c r="AM36" s="96" t="n">
        <f aca="false">AL36-AK36</f>
        <v>0.000147466149947529</v>
      </c>
      <c r="AN36" s="35" t="n">
        <f aca="false">G36+N36+U36+AB36</f>
        <v>197</v>
      </c>
      <c r="AO36" s="37" t="n">
        <f aca="false">IFERROR(AN36/AN$59,0)</f>
        <v>0.000624611599386169</v>
      </c>
      <c r="AP36" s="37" t="n">
        <f aca="false">①石川予測確定!R26</f>
        <v>0.0013589594253543</v>
      </c>
      <c r="AQ36" s="37" t="n">
        <f aca="false">③仙台以降予測!H50</f>
        <v>0.00169173930102492</v>
      </c>
      <c r="AR36" s="39" t="str">
        <f aca="false">IF(AQ36-AO36&gt;=0.005,"↑ 上方修正",IF(AQ36-AO36&lt;=-0.005,"↓ 下方修正","→ 据置"))</f>
        <v>→ 据置</v>
      </c>
    </row>
    <row r="37" customFormat="false" ht="15" hidden="false" customHeight="false" outlineLevel="0" collapsed="false">
      <c r="A37" s="32" t="n">
        <v>21</v>
      </c>
      <c r="B37" s="32" t="s">
        <v>326</v>
      </c>
      <c r="C37" s="33" t="s">
        <v>327</v>
      </c>
      <c r="D37" s="34" t="n">
        <v>600</v>
      </c>
      <c r="E37" s="35" t="n">
        <v>350</v>
      </c>
      <c r="F37" s="32" t="s">
        <v>533</v>
      </c>
      <c r="G37" s="35" t="n">
        <v>350</v>
      </c>
      <c r="H37" s="32" t="s">
        <v>533</v>
      </c>
      <c r="I37" s="37" t="n">
        <f aca="false">IFERROR(E37/E$59,0)</f>
        <v>0.00165757369099038</v>
      </c>
      <c r="J37" s="37" t="n">
        <f aca="false">IFERROR(G37/G$59,0)</f>
        <v>0.00236191247427202</v>
      </c>
      <c r="K37" s="96" t="n">
        <f aca="false">J37-I37</f>
        <v>0.000704338783281648</v>
      </c>
      <c r="L37" s="35" t="n">
        <v>140</v>
      </c>
      <c r="M37" s="35" t="n">
        <v>184</v>
      </c>
      <c r="N37" s="35" t="n">
        <v>139</v>
      </c>
      <c r="O37" s="38" t="n">
        <f aca="false">N37-M37</f>
        <v>-45</v>
      </c>
      <c r="P37" s="37" t="n">
        <f aca="false">IFERROR(M37/M$59,0)</f>
        <v>0.00320697167755991</v>
      </c>
      <c r="Q37" s="37" t="n">
        <f aca="false">IFERROR(N37/N$59,0)</f>
        <v>0.00237201365187713</v>
      </c>
      <c r="R37" s="96" t="n">
        <f aca="false">Q37-P37</f>
        <v>-0.00083495802568278</v>
      </c>
      <c r="S37" s="35" t="n">
        <v>150</v>
      </c>
      <c r="T37" s="35" t="n">
        <v>144</v>
      </c>
      <c r="U37" s="35" t="n">
        <v>150</v>
      </c>
      <c r="V37" s="38" t="n">
        <f aca="false">U37-T37</f>
        <v>6</v>
      </c>
      <c r="W37" s="37" t="n">
        <f aca="false">IFERROR(T37/T$59,0)</f>
        <v>0.00440744368266406</v>
      </c>
      <c r="X37" s="37" t="n">
        <f aca="false">IFERROR(U37/U$59,0)</f>
        <v>0.00334291636023267</v>
      </c>
      <c r="Y37" s="96" t="n">
        <f aca="false">X37-W37</f>
        <v>-0.00106452732243139</v>
      </c>
      <c r="Z37" s="35" t="n">
        <v>350</v>
      </c>
      <c r="AA37" s="35" t="n">
        <v>222</v>
      </c>
      <c r="AB37" s="35" t="n">
        <v>252</v>
      </c>
      <c r="AC37" s="38" t="n">
        <f aca="false">AB37-AA37</f>
        <v>30</v>
      </c>
      <c r="AD37" s="37" t="n">
        <f aca="false">IFERROR(AA37/AA$59,0)</f>
        <v>0.00311854692570273</v>
      </c>
      <c r="AE37" s="37" t="n">
        <f aca="false">IFERROR(AB37/AB$59,0)</f>
        <v>0.00395356134295576</v>
      </c>
      <c r="AF37" s="96" t="n">
        <f aca="false">AE37-AD37</f>
        <v>0.000835014417253031</v>
      </c>
      <c r="AG37" s="35" t="n">
        <v>100</v>
      </c>
      <c r="AH37" s="35" t="n">
        <v>77</v>
      </c>
      <c r="AI37" s="35" t="n">
        <v>88</v>
      </c>
      <c r="AJ37" s="38" t="n">
        <f aca="false">AI37-AH37</f>
        <v>11</v>
      </c>
      <c r="AK37" s="37" t="n">
        <f aca="false">IFERROR(AH37/AH$59,0)</f>
        <v>0.00903331769122478</v>
      </c>
      <c r="AL37" s="37" t="n">
        <f aca="false">IFERROR(AI37/AI$59,0)</f>
        <v>0.00989764930828928</v>
      </c>
      <c r="AM37" s="96" t="n">
        <f aca="false">AL37-AK37</f>
        <v>0.000864331617064503</v>
      </c>
      <c r="AN37" s="35" t="n">
        <f aca="false">G37+N37+U37+AB37</f>
        <v>891</v>
      </c>
      <c r="AO37" s="37" t="n">
        <f aca="false">IFERROR(AN37/AN$59,0)</f>
        <v>0.00282501997488871</v>
      </c>
      <c r="AP37" s="37" t="n">
        <f aca="false">①石川予測確定!R27</f>
        <v>0.005824111822947</v>
      </c>
      <c r="AQ37" s="37" t="n">
        <f aca="false">③仙台以降予測!H51</f>
        <v>0.00786088056561814</v>
      </c>
      <c r="AR37" s="39" t="str">
        <f aca="false">IF(AQ37-AO37&gt;=0.005,"↑ 上方修正",IF(AQ37-AO37&lt;=-0.005,"↓ 下方修正","→ 据置"))</f>
        <v>↑ 上方修正</v>
      </c>
    </row>
    <row r="38" customFormat="false" ht="15" hidden="false" customHeight="false" outlineLevel="0" collapsed="false">
      <c r="A38" s="32" t="n">
        <v>22</v>
      </c>
      <c r="B38" s="32" t="s">
        <v>328</v>
      </c>
      <c r="C38" s="33" t="s">
        <v>329</v>
      </c>
      <c r="D38" s="34" t="n">
        <v>600</v>
      </c>
      <c r="E38" s="35" t="n">
        <v>1400</v>
      </c>
      <c r="F38" s="32" t="s">
        <v>533</v>
      </c>
      <c r="G38" s="35" t="n">
        <v>319</v>
      </c>
      <c r="H38" s="32" t="s">
        <v>533</v>
      </c>
      <c r="I38" s="37" t="n">
        <f aca="false">IFERROR(E38/E$59,0)</f>
        <v>0.00663029476396151</v>
      </c>
      <c r="J38" s="37" t="n">
        <f aca="false">IFERROR(G38/G$59,0)</f>
        <v>0.00215271451226507</v>
      </c>
      <c r="K38" s="96" t="n">
        <f aca="false">J38-I38</f>
        <v>-0.00447758025169643</v>
      </c>
      <c r="L38" s="35" t="n">
        <v>130</v>
      </c>
      <c r="M38" s="35" t="n">
        <v>106</v>
      </c>
      <c r="N38" s="35" t="n">
        <v>99</v>
      </c>
      <c r="O38" s="38" t="n">
        <f aca="false">N38-M38</f>
        <v>-7</v>
      </c>
      <c r="P38" s="37" t="n">
        <f aca="false">IFERROR(M38/M$59,0)</f>
        <v>0.00184749455337691</v>
      </c>
      <c r="Q38" s="37" t="n">
        <f aca="false">IFERROR(N38/N$59,0)</f>
        <v>0.00168941979522184</v>
      </c>
      <c r="R38" s="96" t="n">
        <f aca="false">Q38-P38</f>
        <v>-0.000158074758155063</v>
      </c>
      <c r="S38" s="35" t="n">
        <v>80</v>
      </c>
      <c r="T38" s="35" t="n">
        <v>91</v>
      </c>
      <c r="U38" s="35" t="n">
        <v>80</v>
      </c>
      <c r="V38" s="38" t="n">
        <f aca="false">U38-T38</f>
        <v>-11</v>
      </c>
      <c r="W38" s="37" t="n">
        <f aca="false">IFERROR(T38/T$59,0)</f>
        <v>0.00278525954946131</v>
      </c>
      <c r="X38" s="37" t="n">
        <f aca="false">IFERROR(U38/U$59,0)</f>
        <v>0.00178288872545742</v>
      </c>
      <c r="Y38" s="96" t="n">
        <f aca="false">X38-W38</f>
        <v>-0.00100237082400389</v>
      </c>
      <c r="Z38" s="35" t="n">
        <v>200</v>
      </c>
      <c r="AA38" s="35" t="n">
        <v>181</v>
      </c>
      <c r="AB38" s="35" t="n">
        <v>171</v>
      </c>
      <c r="AC38" s="38" t="n">
        <f aca="false">AB38-AA38</f>
        <v>-10</v>
      </c>
      <c r="AD38" s="37" t="n">
        <f aca="false">IFERROR(AA38/AA$59,0)</f>
        <v>0.00254259907005493</v>
      </c>
      <c r="AE38" s="37" t="n">
        <f aca="false">IFERROR(AB38/AB$59,0)</f>
        <v>0.00268277376843426</v>
      </c>
      <c r="AF38" s="96" t="n">
        <f aca="false">AE38-AD38</f>
        <v>0.000140174698379339</v>
      </c>
      <c r="AG38" s="35" t="n">
        <v>50</v>
      </c>
      <c r="AH38" s="35" t="n">
        <v>48</v>
      </c>
      <c r="AI38" s="35" t="n">
        <v>50</v>
      </c>
      <c r="AJ38" s="38" t="n">
        <f aca="false">AI38-AH38</f>
        <v>2</v>
      </c>
      <c r="AK38" s="37" t="n">
        <f aca="false">IFERROR(AH38/AH$59,0)</f>
        <v>0.00563115908024402</v>
      </c>
      <c r="AL38" s="37" t="n">
        <f aca="false">IFERROR(AI38/AI$59,0)</f>
        <v>0.00562366437970982</v>
      </c>
      <c r="AM38" s="96" t="n">
        <f aca="false">AL38-AK38</f>
        <v>-7.49470053419861E-006</v>
      </c>
      <c r="AN38" s="35" t="n">
        <f aca="false">G38+N38+U38+AB38</f>
        <v>669</v>
      </c>
      <c r="AO38" s="37" t="n">
        <f aca="false">IFERROR(AN38/AN$59,0)</f>
        <v>0.00212114294410836</v>
      </c>
      <c r="AP38" s="37" t="n">
        <f aca="false">①石川予測確定!R28</f>
        <v>0.0052417006406523</v>
      </c>
      <c r="AQ38" s="37" t="n">
        <f aca="false">③仙台以降予測!H52</f>
        <v>0.00543268251018106</v>
      </c>
      <c r="AR38" s="39" t="str">
        <f aca="false">IF(AQ38-AO38&gt;=0.005,"↑ 上方修正",IF(AQ38-AO38&lt;=-0.005,"↓ 下方修正","→ 据置"))</f>
        <v>→ 据置</v>
      </c>
    </row>
    <row r="39" customFormat="false" ht="15" hidden="false" customHeight="false" outlineLevel="0" collapsed="false">
      <c r="A39" s="32" t="n">
        <v>23</v>
      </c>
      <c r="B39" s="32" t="s">
        <v>330</v>
      </c>
      <c r="C39" s="33" t="s">
        <v>331</v>
      </c>
      <c r="D39" s="34" t="n">
        <v>600</v>
      </c>
      <c r="E39" s="35" t="n">
        <v>45125</v>
      </c>
      <c r="F39" s="32" t="s">
        <v>533</v>
      </c>
      <c r="G39" s="35" t="n">
        <v>41156</v>
      </c>
      <c r="H39" s="32" t="s">
        <v>533</v>
      </c>
      <c r="I39" s="37" t="n">
        <f aca="false">IFERROR(E39/E$59,0)</f>
        <v>0.213708608016974</v>
      </c>
      <c r="J39" s="37" t="n">
        <f aca="false">IFERROR(G39/G$59,0)</f>
        <v>0.27773391368897</v>
      </c>
      <c r="K39" s="96" t="n">
        <f aca="false">J39-I39</f>
        <v>0.0640253056719963</v>
      </c>
      <c r="L39" s="35" t="n">
        <v>16465</v>
      </c>
      <c r="M39" s="35" t="n">
        <v>14387</v>
      </c>
      <c r="N39" s="35" t="n">
        <v>13583</v>
      </c>
      <c r="O39" s="38" t="n">
        <f aca="false">N39-M39</f>
        <v>-804</v>
      </c>
      <c r="P39" s="37" t="n">
        <f aca="false">IFERROR(M39/M$59,0)</f>
        <v>0.250753812636166</v>
      </c>
      <c r="Q39" s="37" t="n">
        <f aca="false">IFERROR(N39/N$59,0)</f>
        <v>0.23179180887372</v>
      </c>
      <c r="R39" s="96" t="n">
        <f aca="false">Q39-P39</f>
        <v>-0.0189620037624454</v>
      </c>
      <c r="S39" s="35" t="n">
        <v>11000</v>
      </c>
      <c r="T39" s="35" t="n">
        <v>7692</v>
      </c>
      <c r="U39" s="35" t="n">
        <v>8800</v>
      </c>
      <c r="V39" s="38" t="n">
        <f aca="false">U39-T39</f>
        <v>1108</v>
      </c>
      <c r="W39" s="37" t="n">
        <f aca="false">IFERROR(T39/T$59,0)</f>
        <v>0.235430950048972</v>
      </c>
      <c r="X39" s="37" t="n">
        <f aca="false">IFERROR(U39/U$59,0)</f>
        <v>0.196117759800316</v>
      </c>
      <c r="Y39" s="96" t="n">
        <f aca="false">X39-W39</f>
        <v>-0.0393131902486552</v>
      </c>
      <c r="Z39" s="35" t="n">
        <v>29997</v>
      </c>
      <c r="AA39" s="35" t="n">
        <v>13970</v>
      </c>
      <c r="AB39" s="35" t="n">
        <v>12724</v>
      </c>
      <c r="AC39" s="38" t="n">
        <f aca="false">AB39-AA39</f>
        <v>-1246</v>
      </c>
      <c r="AD39" s="37" t="n">
        <f aca="false">IFERROR(AA39/AA$59,0)</f>
        <v>0.196243696180482</v>
      </c>
      <c r="AE39" s="37" t="n">
        <f aca="false">IFERROR(AB39/AB$59,0)</f>
        <v>0.19962347034829</v>
      </c>
      <c r="AF39" s="96" t="n">
        <f aca="false">AE39-AD39</f>
        <v>0.00337977416780752</v>
      </c>
      <c r="AG39" s="35" t="n">
        <v>11000</v>
      </c>
      <c r="AH39" s="35" t="n">
        <v>2107</v>
      </c>
      <c r="AI39" s="35" t="n">
        <v>2175</v>
      </c>
      <c r="AJ39" s="38" t="n">
        <f aca="false">AI39-AH39</f>
        <v>68</v>
      </c>
      <c r="AK39" s="37" t="n">
        <f aca="false">IFERROR(AH39/AH$59,0)</f>
        <v>0.247184420459878</v>
      </c>
      <c r="AL39" s="37" t="n">
        <f aca="false">IFERROR(AI39/AI$59,0)</f>
        <v>0.244629400517377</v>
      </c>
      <c r="AM39" s="96" t="n">
        <f aca="false">AL39-AK39</f>
        <v>-0.00255501994250087</v>
      </c>
      <c r="AN39" s="35" t="n">
        <f aca="false">G39+N39+U39+AB39</f>
        <v>76263</v>
      </c>
      <c r="AO39" s="37" t="n">
        <f aca="false">IFERROR(AN39/AN$59,0)</f>
        <v>0.241800783776586</v>
      </c>
      <c r="AP39" s="37" t="n">
        <f aca="false">①石川予測確定!R29</f>
        <v>0.250825082508251</v>
      </c>
      <c r="AQ39" s="37" t="n">
        <f aca="false">③仙台以降予測!H53</f>
        <v>0.247727241512814</v>
      </c>
      <c r="AR39" s="39" t="str">
        <f aca="false">IF(AQ39-AO39&gt;=0.005,"↑ 上方修正",IF(AQ39-AO39&lt;=-0.005,"↓ 下方修正","→ 据置"))</f>
        <v>↑ 上方修正</v>
      </c>
    </row>
    <row r="40" customFormat="false" ht="15" hidden="false" customHeight="false" outlineLevel="0" collapsed="false">
      <c r="A40" s="32" t="n">
        <v>24</v>
      </c>
      <c r="B40" s="32" t="s">
        <v>332</v>
      </c>
      <c r="C40" s="33" t="s">
        <v>333</v>
      </c>
      <c r="D40" s="34" t="n">
        <v>600</v>
      </c>
      <c r="E40" s="35" t="n">
        <v>15000</v>
      </c>
      <c r="F40" s="32" t="s">
        <v>533</v>
      </c>
      <c r="G40" s="35" t="n">
        <v>14981</v>
      </c>
      <c r="H40" s="32" t="s">
        <v>533</v>
      </c>
      <c r="I40" s="37" t="n">
        <f aca="false">IFERROR(E40/E$59,0)</f>
        <v>0.0710388724710162</v>
      </c>
      <c r="J40" s="37" t="n">
        <f aca="false">IFERROR(G40/G$59,0)</f>
        <v>0.101096602220198</v>
      </c>
      <c r="K40" s="96" t="n">
        <f aca="false">J40-I40</f>
        <v>0.0300577297491816</v>
      </c>
      <c r="L40" s="35" t="n">
        <v>11194</v>
      </c>
      <c r="M40" s="35" t="n">
        <v>6948</v>
      </c>
      <c r="N40" s="35" t="n">
        <v>8213</v>
      </c>
      <c r="O40" s="38" t="n">
        <f aca="false">N40-M40</f>
        <v>1265</v>
      </c>
      <c r="P40" s="37" t="n">
        <f aca="false">IFERROR(M40/M$59,0)</f>
        <v>0.121098039215686</v>
      </c>
      <c r="Q40" s="37" t="n">
        <f aca="false">IFERROR(N40/N$59,0)</f>
        <v>0.140153583617747</v>
      </c>
      <c r="R40" s="96" t="n">
        <f aca="false">Q40-P40</f>
        <v>0.0190555444020612</v>
      </c>
      <c r="S40" s="35" t="n">
        <v>6999</v>
      </c>
      <c r="T40" s="35" t="n">
        <v>4054</v>
      </c>
      <c r="U40" s="35" t="n">
        <v>5195</v>
      </c>
      <c r="V40" s="38" t="n">
        <f aca="false">U40-T40</f>
        <v>1141</v>
      </c>
      <c r="W40" s="37" t="n">
        <f aca="false">IFERROR(T40/T$59,0)</f>
        <v>0.124081782566112</v>
      </c>
      <c r="X40" s="37" t="n">
        <f aca="false">IFERROR(U40/U$59,0)</f>
        <v>0.115776336609391</v>
      </c>
      <c r="Y40" s="96" t="n">
        <f aca="false">X40-W40</f>
        <v>-0.0083054459567203</v>
      </c>
      <c r="Z40" s="35" t="n">
        <v>19998</v>
      </c>
      <c r="AA40" s="35" t="n">
        <v>7275</v>
      </c>
      <c r="AB40" s="35" t="n">
        <v>6978</v>
      </c>
      <c r="AC40" s="38" t="n">
        <f aca="false">AB40-AA40</f>
        <v>-297</v>
      </c>
      <c r="AD40" s="37" t="n">
        <f aca="false">IFERROR(AA40/AA$59,0)</f>
        <v>0.102195625605799</v>
      </c>
      <c r="AE40" s="37" t="n">
        <f aca="false">IFERROR(AB40/AB$59,0)</f>
        <v>0.109475996234703</v>
      </c>
      <c r="AF40" s="96" t="n">
        <f aca="false">AE40-AD40</f>
        <v>0.00728037062890467</v>
      </c>
      <c r="AG40" s="35" t="n">
        <v>8000</v>
      </c>
      <c r="AH40" s="35" t="n">
        <v>1131</v>
      </c>
      <c r="AI40" s="35" t="n">
        <v>1216</v>
      </c>
      <c r="AJ40" s="38" t="n">
        <f aca="false">AI40-AH40</f>
        <v>85</v>
      </c>
      <c r="AK40" s="37" t="n">
        <f aca="false">IFERROR(AH40/AH$59,0)</f>
        <v>0.13268418582825</v>
      </c>
      <c r="AL40" s="37" t="n">
        <f aca="false">IFERROR(AI40/AI$59,0)</f>
        <v>0.136767517714543</v>
      </c>
      <c r="AM40" s="96" t="n">
        <f aca="false">AL40-AK40</f>
        <v>0.00408333188629315</v>
      </c>
      <c r="AN40" s="35" t="n">
        <f aca="false">G40+N40+U40+AB40</f>
        <v>35367</v>
      </c>
      <c r="AO40" s="37" t="n">
        <f aca="false">IFERROR(AN40/AN$59,0)</f>
        <v>0.112135220484724</v>
      </c>
      <c r="AP40" s="37" t="n">
        <f aca="false">①石川予測確定!R30</f>
        <v>0.167928557561639</v>
      </c>
      <c r="AQ40" s="37" t="n">
        <f aca="false">③仙台以降予測!H54</f>
        <v>0.152348037638091</v>
      </c>
      <c r="AR40" s="39" t="str">
        <f aca="false">IF(AQ40-AO40&gt;=0.005,"↑ 上方修正",IF(AQ40-AO40&lt;=-0.005,"↓ 下方修正","→ 据置"))</f>
        <v>↑ 上方修正</v>
      </c>
    </row>
    <row r="41" customFormat="false" ht="15" hidden="false" customHeight="false" outlineLevel="0" collapsed="false">
      <c r="A41" s="32" t="n">
        <v>25</v>
      </c>
      <c r="B41" s="32" t="s">
        <v>334</v>
      </c>
      <c r="C41" s="33" t="s">
        <v>335</v>
      </c>
      <c r="D41" s="34" t="n">
        <v>1500</v>
      </c>
      <c r="E41" s="35" t="n">
        <v>1000</v>
      </c>
      <c r="F41" s="32" t="s">
        <v>533</v>
      </c>
      <c r="G41" s="35" t="n">
        <v>849</v>
      </c>
      <c r="H41" s="32" t="s">
        <v>533</v>
      </c>
      <c r="I41" s="37" t="n">
        <f aca="false">IFERROR(E41/E$59,0)</f>
        <v>0.00473592483140108</v>
      </c>
      <c r="J41" s="37" t="n">
        <f aca="false">IFERROR(G41/G$59,0)</f>
        <v>0.00572932483044843</v>
      </c>
      <c r="K41" s="96" t="n">
        <f aca="false">J41-I41</f>
        <v>0.00099339999904735</v>
      </c>
      <c r="L41" s="35" t="n">
        <v>340</v>
      </c>
      <c r="M41" s="35" t="n">
        <v>236</v>
      </c>
      <c r="N41" s="35" t="n">
        <v>221</v>
      </c>
      <c r="O41" s="38" t="n">
        <f aca="false">N41-M41</f>
        <v>-15</v>
      </c>
      <c r="P41" s="37" t="n">
        <f aca="false">IFERROR(M41/M$59,0)</f>
        <v>0.00411328976034858</v>
      </c>
      <c r="Q41" s="37" t="n">
        <f aca="false">IFERROR(N41/N$59,0)</f>
        <v>0.00377133105802048</v>
      </c>
      <c r="R41" s="96" t="n">
        <f aca="false">Q41-P41</f>
        <v>-0.000341958702328106</v>
      </c>
      <c r="S41" s="35" t="n">
        <v>170</v>
      </c>
      <c r="T41" s="35" t="n">
        <v>188</v>
      </c>
      <c r="U41" s="35" t="n">
        <v>168</v>
      </c>
      <c r="V41" s="38" t="n">
        <f aca="false">U41-T41</f>
        <v>-20</v>
      </c>
      <c r="W41" s="37" t="n">
        <f aca="false">IFERROR(T41/T$59,0)</f>
        <v>0.00575416258570029</v>
      </c>
      <c r="X41" s="37" t="n">
        <f aca="false">IFERROR(U41/U$59,0)</f>
        <v>0.00374406632346059</v>
      </c>
      <c r="Y41" s="96" t="n">
        <f aca="false">X41-W41</f>
        <v>-0.00201009626223971</v>
      </c>
      <c r="Z41" s="35" t="n">
        <v>500</v>
      </c>
      <c r="AA41" s="35" t="n">
        <v>254</v>
      </c>
      <c r="AB41" s="35" t="n">
        <v>243</v>
      </c>
      <c r="AC41" s="38" t="n">
        <f aca="false">AB41-AA41</f>
        <v>-11</v>
      </c>
      <c r="AD41" s="37" t="n">
        <f aca="false">IFERROR(AA41/AA$59,0)</f>
        <v>0.0035680672032815</v>
      </c>
      <c r="AE41" s="37" t="n">
        <f aca="false">IFERROR(AB41/AB$59,0)</f>
        <v>0.00381236272356448</v>
      </c>
      <c r="AF41" s="96" t="n">
        <f aca="false">AE41-AD41</f>
        <v>0.000244295520282983</v>
      </c>
      <c r="AG41" s="35" t="n">
        <v>200</v>
      </c>
      <c r="AH41" s="35" t="n">
        <v>55</v>
      </c>
      <c r="AI41" s="35" t="n">
        <v>54</v>
      </c>
      <c r="AJ41" s="38" t="n">
        <f aca="false">AI41-AH41</f>
        <v>-1</v>
      </c>
      <c r="AK41" s="37" t="n">
        <f aca="false">IFERROR(AH41/AH$59,0)</f>
        <v>0.00645236977944627</v>
      </c>
      <c r="AL41" s="37" t="n">
        <f aca="false">IFERROR(AI41/AI$59,0)</f>
        <v>0.0060735575300866</v>
      </c>
      <c r="AM41" s="96" t="n">
        <f aca="false">AL41-AK41</f>
        <v>-0.000378812249359665</v>
      </c>
      <c r="AN41" s="35" t="n">
        <f aca="false">G41+N41+U41+AB41</f>
        <v>1481</v>
      </c>
      <c r="AO41" s="37" t="n">
        <f aca="false">IFERROR(AN41/AN$59,0)</f>
        <v>0.00469568415579145</v>
      </c>
      <c r="AP41" s="37" t="n">
        <f aca="false">①石川予測確定!R31</f>
        <v>0.0112599495243642</v>
      </c>
      <c r="AQ41" s="37" t="n">
        <f aca="false">③仙台以降予測!H55</f>
        <v>0.0086667535272254</v>
      </c>
      <c r="AR41" s="39" t="str">
        <f aca="false">IF(AQ41-AO41&gt;=0.005,"↑ 上方修正",IF(AQ41-AO41&lt;=-0.005,"↓ 下方修正","→ 据置"))</f>
        <v>→ 据置</v>
      </c>
    </row>
    <row r="42" customFormat="false" ht="15" hidden="false" customHeight="false" outlineLevel="0" collapsed="false">
      <c r="A42" s="32" t="n">
        <v>26</v>
      </c>
      <c r="B42" s="32" t="s">
        <v>336</v>
      </c>
      <c r="C42" s="33" t="s">
        <v>337</v>
      </c>
      <c r="D42" s="34" t="n">
        <v>2200</v>
      </c>
      <c r="E42" s="35" t="n">
        <v>1293</v>
      </c>
      <c r="F42" s="32" t="s">
        <v>533</v>
      </c>
      <c r="G42" s="35" t="n">
        <v>1283</v>
      </c>
      <c r="H42" s="32" t="s">
        <v>533</v>
      </c>
      <c r="I42" s="37" t="n">
        <f aca="false">IFERROR(E42/E$59,0)</f>
        <v>0.00612355080700159</v>
      </c>
      <c r="J42" s="37" t="n">
        <f aca="false">IFERROR(G42/G$59,0)</f>
        <v>0.00865809629854574</v>
      </c>
      <c r="K42" s="96" t="n">
        <f aca="false">J42-I42</f>
        <v>0.00253454549154415</v>
      </c>
      <c r="L42" s="35" t="n">
        <v>515</v>
      </c>
      <c r="M42" s="35" t="n">
        <v>513</v>
      </c>
      <c r="N42" s="35" t="n">
        <v>513</v>
      </c>
      <c r="O42" s="38" t="n">
        <f aca="false">N42-M42</f>
        <v>0</v>
      </c>
      <c r="P42" s="37" t="n">
        <f aca="false">IFERROR(M42/M$59,0)</f>
        <v>0.00894117647058824</v>
      </c>
      <c r="Q42" s="37" t="n">
        <f aca="false">IFERROR(N42/N$59,0)</f>
        <v>0.0087542662116041</v>
      </c>
      <c r="R42" s="96" t="n">
        <f aca="false">Q42-P42</f>
        <v>-0.00018691025898414</v>
      </c>
      <c r="S42" s="35" t="n">
        <v>500</v>
      </c>
      <c r="T42" s="35" t="n">
        <v>329</v>
      </c>
      <c r="U42" s="35" t="n">
        <v>444</v>
      </c>
      <c r="V42" s="38" t="n">
        <f aca="false">U42-T42</f>
        <v>115</v>
      </c>
      <c r="W42" s="37" t="n">
        <f aca="false">IFERROR(T42/T$59,0)</f>
        <v>0.0100697845249755</v>
      </c>
      <c r="X42" s="37" t="n">
        <f aca="false">IFERROR(U42/U$59,0)</f>
        <v>0.0098950324262887</v>
      </c>
      <c r="Y42" s="96" t="n">
        <f aca="false">X42-W42</f>
        <v>-0.000174752098686819</v>
      </c>
      <c r="Z42" s="35" t="n">
        <v>900</v>
      </c>
      <c r="AA42" s="35" t="n">
        <v>779</v>
      </c>
      <c r="AB42" s="35" t="n">
        <v>842</v>
      </c>
      <c r="AC42" s="38" t="n">
        <f aca="false">AB42-AA42</f>
        <v>63</v>
      </c>
      <c r="AD42" s="37" t="n">
        <f aca="false">IFERROR(AA42/AA$59,0)</f>
        <v>0.0109430092573082</v>
      </c>
      <c r="AE42" s="37" t="n">
        <f aca="false">IFERROR(AB42/AB$59,0)</f>
        <v>0.0132099152808284</v>
      </c>
      <c r="AF42" s="96" t="n">
        <f aca="false">AE42-AD42</f>
        <v>0.00226690602352015</v>
      </c>
      <c r="AG42" s="35" t="n">
        <v>200</v>
      </c>
      <c r="AH42" s="35" t="n">
        <v>150</v>
      </c>
      <c r="AI42" s="35" t="n">
        <v>200</v>
      </c>
      <c r="AJ42" s="38" t="n">
        <f aca="false">AI42-AH42</f>
        <v>50</v>
      </c>
      <c r="AK42" s="37" t="n">
        <f aca="false">IFERROR(AH42/AH$59,0)</f>
        <v>0.0175973721257626</v>
      </c>
      <c r="AL42" s="37" t="n">
        <f aca="false">IFERROR(AI42/AI$59,0)</f>
        <v>0.0224946575188393</v>
      </c>
      <c r="AM42" s="96" t="n">
        <f aca="false">AL42-AK42</f>
        <v>0.00489728539307672</v>
      </c>
      <c r="AN42" s="35" t="n">
        <f aca="false">G42+N42+U42+AB42</f>
        <v>3082</v>
      </c>
      <c r="AO42" s="37" t="n">
        <f aca="false">IFERROR(AN42/AN$59,0)</f>
        <v>0.00977184238227498</v>
      </c>
      <c r="AP42" s="37" t="n">
        <f aca="false">①石川予測確定!R32</f>
        <v>0.013589594253543</v>
      </c>
      <c r="AQ42" s="37" t="n">
        <f aca="false">③仙台以降予測!H56</f>
        <v>0.0180421258861911</v>
      </c>
      <c r="AR42" s="39" t="str">
        <f aca="false">IF(AQ42-AO42&gt;=0.005,"↑ 上方修正",IF(AQ42-AO42&lt;=-0.005,"↓ 下方修正","→ 据置"))</f>
        <v>↑ 上方修正</v>
      </c>
    </row>
    <row r="43" customFormat="false" ht="15" hidden="false" customHeight="false" outlineLevel="0" collapsed="false">
      <c r="A43" s="32" t="n">
        <v>27</v>
      </c>
      <c r="B43" s="32" t="s">
        <v>338</v>
      </c>
      <c r="C43" s="33" t="s">
        <v>339</v>
      </c>
      <c r="D43" s="34" t="n">
        <v>1100</v>
      </c>
      <c r="E43" s="35" t="n">
        <v>795</v>
      </c>
      <c r="F43" s="32" t="s">
        <v>533</v>
      </c>
      <c r="G43" s="35" t="n">
        <v>466</v>
      </c>
      <c r="H43" s="32" t="s">
        <v>533</v>
      </c>
      <c r="I43" s="37" t="n">
        <f aca="false">IFERROR(E43/E$59,0)</f>
        <v>0.00376506024096386</v>
      </c>
      <c r="J43" s="37" t="n">
        <f aca="false">IFERROR(G43/G$59,0)</f>
        <v>0.00314471775145932</v>
      </c>
      <c r="K43" s="96" t="n">
        <f aca="false">J43-I43</f>
        <v>-0.000620342489504531</v>
      </c>
      <c r="L43" s="35" t="n">
        <v>185</v>
      </c>
      <c r="M43" s="35" t="n">
        <v>101</v>
      </c>
      <c r="N43" s="35" t="n">
        <v>103</v>
      </c>
      <c r="O43" s="38" t="n">
        <f aca="false">N43-M43</f>
        <v>2</v>
      </c>
      <c r="P43" s="37" t="n">
        <f aca="false">IFERROR(M43/M$59,0)</f>
        <v>0.001760348583878</v>
      </c>
      <c r="Q43" s="37" t="n">
        <f aca="false">IFERROR(N43/N$59,0)</f>
        <v>0.00175767918088737</v>
      </c>
      <c r="R43" s="96" t="n">
        <f aca="false">Q43-P43</f>
        <v>-2.66940299062358E-006</v>
      </c>
      <c r="S43" s="35" t="n">
        <v>70</v>
      </c>
      <c r="T43" s="35" t="n">
        <v>101</v>
      </c>
      <c r="U43" s="35" t="n">
        <v>69</v>
      </c>
      <c r="V43" s="38" t="n">
        <f aca="false">U43-T43</f>
        <v>-32</v>
      </c>
      <c r="W43" s="37" t="n">
        <f aca="false">IFERROR(T43/T$59,0)</f>
        <v>0.00309133202742409</v>
      </c>
      <c r="X43" s="37" t="n">
        <f aca="false">IFERROR(U43/U$59,0)</f>
        <v>0.00153774152570703</v>
      </c>
      <c r="Y43" s="96" t="n">
        <f aca="false">X43-W43</f>
        <v>-0.00155359050171707</v>
      </c>
      <c r="Z43" s="35" t="n">
        <v>300</v>
      </c>
      <c r="AA43" s="35" t="n">
        <v>145</v>
      </c>
      <c r="AB43" s="35" t="n">
        <v>145</v>
      </c>
      <c r="AC43" s="38" t="n">
        <f aca="false">AB43-AA43</f>
        <v>0</v>
      </c>
      <c r="AD43" s="37" t="n">
        <f aca="false">IFERROR(AA43/AA$59,0)</f>
        <v>0.00203688875777881</v>
      </c>
      <c r="AE43" s="37" t="n">
        <f aca="false">IFERROR(AB43/AB$59,0)</f>
        <v>0.00227486664574835</v>
      </c>
      <c r="AF43" s="96" t="n">
        <f aca="false">AE43-AD43</f>
        <v>0.000237977887969545</v>
      </c>
      <c r="AG43" s="35" t="n">
        <v>70</v>
      </c>
      <c r="AH43" s="35" t="n">
        <v>44</v>
      </c>
      <c r="AI43" s="35" t="n">
        <v>50</v>
      </c>
      <c r="AJ43" s="38" t="n">
        <f aca="false">AI43-AH43</f>
        <v>6</v>
      </c>
      <c r="AK43" s="37" t="n">
        <f aca="false">IFERROR(AH43/AH$59,0)</f>
        <v>0.00516189582355702</v>
      </c>
      <c r="AL43" s="37" t="n">
        <f aca="false">IFERROR(AI43/AI$59,0)</f>
        <v>0.00562366437970982</v>
      </c>
      <c r="AM43" s="96" t="n">
        <f aca="false">AL43-AK43</f>
        <v>0.000461768556152803</v>
      </c>
      <c r="AN43" s="35" t="n">
        <f aca="false">G43+N43+U43+AB43</f>
        <v>783</v>
      </c>
      <c r="AO43" s="37" t="n">
        <f aca="false">IFERROR(AN43/AN$59,0)</f>
        <v>0.00248259331126584</v>
      </c>
      <c r="AP43" s="37" t="n">
        <f aca="false">①石川予測確定!R33</f>
        <v>0.0034944670937682</v>
      </c>
      <c r="AQ43" s="37" t="n">
        <f aca="false">③仙台以降予測!H57</f>
        <v>0.00455906573673901</v>
      </c>
      <c r="AR43" s="39" t="str">
        <f aca="false">IF(AQ43-AO43&gt;=0.005,"↑ 上方修正",IF(AQ43-AO43&lt;=-0.005,"↓ 下方修正","→ 据置"))</f>
        <v>→ 据置</v>
      </c>
    </row>
    <row r="44" customFormat="false" ht="15" hidden="false" customHeight="false" outlineLevel="0" collapsed="false">
      <c r="A44" s="32" t="n">
        <v>28</v>
      </c>
      <c r="B44" s="32" t="s">
        <v>340</v>
      </c>
      <c r="C44" s="33" t="s">
        <v>341</v>
      </c>
      <c r="D44" s="34" t="n">
        <v>1800</v>
      </c>
      <c r="E44" s="35" t="n">
        <v>1047</v>
      </c>
      <c r="F44" s="32" t="s">
        <v>533</v>
      </c>
      <c r="G44" s="35" t="n">
        <v>1034</v>
      </c>
      <c r="H44" s="32" t="s">
        <v>533</v>
      </c>
      <c r="I44" s="37" t="n">
        <f aca="false">IFERROR(E44/E$59,0)</f>
        <v>0.00495851329847693</v>
      </c>
      <c r="J44" s="37" t="n">
        <f aca="false">IFERROR(G44/G$59,0)</f>
        <v>0.00697776428113507</v>
      </c>
      <c r="K44" s="96" t="n">
        <f aca="false">J44-I44</f>
        <v>0.00201925098265814</v>
      </c>
      <c r="L44" s="35" t="n">
        <v>437</v>
      </c>
      <c r="M44" s="35" t="n">
        <v>436</v>
      </c>
      <c r="N44" s="35" t="n">
        <v>436</v>
      </c>
      <c r="O44" s="38" t="n">
        <f aca="false">N44-M44</f>
        <v>0</v>
      </c>
      <c r="P44" s="37" t="n">
        <f aca="false">IFERROR(M44/M$59,0)</f>
        <v>0.00759912854030501</v>
      </c>
      <c r="Q44" s="37" t="n">
        <f aca="false">IFERROR(N44/N$59,0)</f>
        <v>0.00744027303754266</v>
      </c>
      <c r="R44" s="96" t="n">
        <f aca="false">Q44-P44</f>
        <v>-0.000158855502762349</v>
      </c>
      <c r="S44" s="35" t="n">
        <v>333</v>
      </c>
      <c r="T44" s="35" t="n">
        <v>360</v>
      </c>
      <c r="U44" s="35" t="n">
        <v>333</v>
      </c>
      <c r="V44" s="38" t="n">
        <f aca="false">U44-T44</f>
        <v>-27</v>
      </c>
      <c r="W44" s="37" t="n">
        <f aca="false">IFERROR(T44/T$59,0)</f>
        <v>0.0110186092066601</v>
      </c>
      <c r="X44" s="37" t="n">
        <f aca="false">IFERROR(U44/U$59,0)</f>
        <v>0.00742127431971652</v>
      </c>
      <c r="Y44" s="96" t="n">
        <f aca="false">X44-W44</f>
        <v>-0.00359733488694362</v>
      </c>
      <c r="Z44" s="35" t="n">
        <v>400</v>
      </c>
      <c r="AA44" s="35" t="n">
        <v>445</v>
      </c>
      <c r="AB44" s="35" t="n">
        <v>400</v>
      </c>
      <c r="AC44" s="38" t="n">
        <f aca="false">AB44-AA44</f>
        <v>-45</v>
      </c>
      <c r="AD44" s="37" t="n">
        <f aca="false">IFERROR(AA44/AA$59,0)</f>
        <v>0.00625114136007979</v>
      </c>
      <c r="AE44" s="37" t="n">
        <f aca="false">IFERROR(AB44/AB$59,0)</f>
        <v>0.00627549419516787</v>
      </c>
      <c r="AF44" s="96" t="n">
        <f aca="false">AE44-AD44</f>
        <v>2.43528350880795E-005</v>
      </c>
      <c r="AG44" s="35" t="n">
        <v>300</v>
      </c>
      <c r="AH44" s="35" t="n">
        <v>262</v>
      </c>
      <c r="AI44" s="35" t="n">
        <v>300</v>
      </c>
      <c r="AJ44" s="38" t="n">
        <f aca="false">AI44-AH44</f>
        <v>38</v>
      </c>
      <c r="AK44" s="37" t="n">
        <f aca="false">IFERROR(AH44/AH$59,0)</f>
        <v>0.0307367433129986</v>
      </c>
      <c r="AL44" s="37" t="n">
        <f aca="false">IFERROR(AI44/AI$59,0)</f>
        <v>0.0337419862782589</v>
      </c>
      <c r="AM44" s="96" t="n">
        <f aca="false">AL44-AK44</f>
        <v>0.00300524296526032</v>
      </c>
      <c r="AN44" s="35" t="n">
        <f aca="false">G44+N44+U44+AB44</f>
        <v>2203</v>
      </c>
      <c r="AO44" s="37" t="n">
        <f aca="false">IFERROR(AN44/AN$59,0)</f>
        <v>0.00698486981445548</v>
      </c>
      <c r="AP44" s="37" t="n">
        <f aca="false">①石川予測確定!R34</f>
        <v>0.0178606095903708</v>
      </c>
      <c r="AQ44" s="37" t="n">
        <f aca="false">③仙台以降予測!H58</f>
        <v>0.0258012979343149</v>
      </c>
      <c r="AR44" s="39" t="str">
        <f aca="false">IF(AQ44-AO44&gt;=0.005,"↑ 上方修正",IF(AQ44-AO44&lt;=-0.005,"↓ 下方修正","→ 据置"))</f>
        <v>↑ 上方修正</v>
      </c>
    </row>
    <row r="45" customFormat="false" ht="15" hidden="false" customHeight="false" outlineLevel="0" collapsed="false">
      <c r="A45" s="32" t="n">
        <v>29</v>
      </c>
      <c r="B45" s="32" t="s">
        <v>342</v>
      </c>
      <c r="C45" s="33" t="s">
        <v>343</v>
      </c>
      <c r="D45" s="34" t="n">
        <v>1500</v>
      </c>
      <c r="E45" s="35" t="n">
        <v>795</v>
      </c>
      <c r="F45" s="32" t="s">
        <v>533</v>
      </c>
      <c r="G45" s="35" t="n">
        <v>794</v>
      </c>
      <c r="H45" s="32" t="s">
        <v>533</v>
      </c>
      <c r="I45" s="37" t="n">
        <f aca="false">IFERROR(E45/E$59,0)</f>
        <v>0.00376506024096386</v>
      </c>
      <c r="J45" s="37" t="n">
        <f aca="false">IFERROR(G45/G$59,0)</f>
        <v>0.00535816715591997</v>
      </c>
      <c r="K45" s="96" t="n">
        <f aca="false">J45-I45</f>
        <v>0.00159310691495611</v>
      </c>
      <c r="L45" s="35" t="n">
        <v>319</v>
      </c>
      <c r="M45" s="35" t="n">
        <v>318</v>
      </c>
      <c r="N45" s="35" t="n">
        <v>318</v>
      </c>
      <c r="O45" s="38" t="n">
        <f aca="false">N45-M45</f>
        <v>0</v>
      </c>
      <c r="P45" s="37" t="n">
        <f aca="false">IFERROR(M45/M$59,0)</f>
        <v>0.00554248366013072</v>
      </c>
      <c r="Q45" s="37" t="n">
        <f aca="false">IFERROR(N45/N$59,0)</f>
        <v>0.00542662116040956</v>
      </c>
      <c r="R45" s="96" t="n">
        <f aca="false">Q45-P45</f>
        <v>-0.000115862499721162</v>
      </c>
      <c r="S45" s="35" t="n">
        <v>250</v>
      </c>
      <c r="T45" s="35" t="n">
        <v>271</v>
      </c>
      <c r="U45" s="35" t="n">
        <v>249</v>
      </c>
      <c r="V45" s="38" t="n">
        <f aca="false">U45-T45</f>
        <v>-22</v>
      </c>
      <c r="W45" s="37" t="n">
        <f aca="false">IFERROR(T45/T$59,0)</f>
        <v>0.00829456415279138</v>
      </c>
      <c r="X45" s="37" t="n">
        <f aca="false">IFERROR(U45/U$59,0)</f>
        <v>0.00554924115798623</v>
      </c>
      <c r="Y45" s="96" t="n">
        <f aca="false">X45-W45</f>
        <v>-0.00274532299480515</v>
      </c>
      <c r="Z45" s="35" t="n">
        <v>200</v>
      </c>
      <c r="AA45" s="35" t="n">
        <v>222</v>
      </c>
      <c r="AB45" s="35" t="n">
        <v>200</v>
      </c>
      <c r="AC45" s="38" t="n">
        <f aca="false">AB45-AA45</f>
        <v>-22</v>
      </c>
      <c r="AD45" s="37" t="n">
        <f aca="false">IFERROR(AA45/AA$59,0)</f>
        <v>0.00311854692570273</v>
      </c>
      <c r="AE45" s="37" t="n">
        <f aca="false">IFERROR(AB45/AB$59,0)</f>
        <v>0.00313774709758393</v>
      </c>
      <c r="AF45" s="96" t="n">
        <f aca="false">AE45-AD45</f>
        <v>1.92001718812081E-005</v>
      </c>
      <c r="AG45" s="35" t="n">
        <v>160</v>
      </c>
      <c r="AH45" s="35" t="n">
        <v>127</v>
      </c>
      <c r="AI45" s="35" t="n">
        <v>160</v>
      </c>
      <c r="AJ45" s="38" t="n">
        <f aca="false">AI45-AH45</f>
        <v>33</v>
      </c>
      <c r="AK45" s="37" t="n">
        <f aca="false">IFERROR(AH45/AH$59,0)</f>
        <v>0.0148991083998123</v>
      </c>
      <c r="AL45" s="37" t="n">
        <f aca="false">IFERROR(AI45/AI$59,0)</f>
        <v>0.0179957260150714</v>
      </c>
      <c r="AM45" s="96" t="n">
        <f aca="false">AL45-AK45</f>
        <v>0.00309661761525913</v>
      </c>
      <c r="AN45" s="35" t="n">
        <f aca="false">G45+N45+U45+AB45</f>
        <v>1561</v>
      </c>
      <c r="AO45" s="37" t="n">
        <f aca="false">IFERROR(AN45/AN$59,0)</f>
        <v>0.00494933353625284</v>
      </c>
      <c r="AP45" s="37" t="n">
        <f aca="false">①石川予測確定!R35</f>
        <v>0.0161133760434867</v>
      </c>
      <c r="AQ45" s="37" t="n">
        <f aca="false">③仙台以降予測!H59</f>
        <v>0.0170545510292791</v>
      </c>
      <c r="AR45" s="39" t="str">
        <f aca="false">IF(AQ45-AO45&gt;=0.005,"↑ 上方修正",IF(AQ45-AO45&lt;=-0.005,"↓ 下方修正","→ 据置"))</f>
        <v>↑ 上方修正</v>
      </c>
    </row>
    <row r="46" customFormat="false" ht="15" hidden="false" customHeight="false" outlineLevel="0" collapsed="false">
      <c r="A46" s="32" t="n">
        <v>30</v>
      </c>
      <c r="B46" s="32" t="s">
        <v>344</v>
      </c>
      <c r="C46" s="33" t="s">
        <v>345</v>
      </c>
      <c r="D46" s="34" t="n">
        <v>3300</v>
      </c>
      <c r="E46" s="35" t="n">
        <v>794</v>
      </c>
      <c r="F46" s="32" t="s">
        <v>533</v>
      </c>
      <c r="G46" s="35" t="n">
        <v>615</v>
      </c>
      <c r="H46" s="32" t="s">
        <v>533</v>
      </c>
      <c r="I46" s="37" t="n">
        <f aca="false">IFERROR(E46/E$59,0)</f>
        <v>0.00376032431613245</v>
      </c>
      <c r="J46" s="37" t="n">
        <f aca="false">IFERROR(G46/G$59,0)</f>
        <v>0.0041502176333637</v>
      </c>
      <c r="K46" s="96" t="n">
        <f aca="false">J46-I46</f>
        <v>0.000389893317231247</v>
      </c>
      <c r="L46" s="35" t="n">
        <v>250</v>
      </c>
      <c r="M46" s="35" t="n">
        <v>176</v>
      </c>
      <c r="N46" s="35" t="n">
        <v>169</v>
      </c>
      <c r="O46" s="38" t="n">
        <f aca="false">N46-M46</f>
        <v>-7</v>
      </c>
      <c r="P46" s="37" t="n">
        <f aca="false">IFERROR(M46/M$59,0)</f>
        <v>0.00306753812636166</v>
      </c>
      <c r="Q46" s="37" t="n">
        <f aca="false">IFERROR(N46/N$59,0)</f>
        <v>0.0028839590443686</v>
      </c>
      <c r="R46" s="96" t="n">
        <f aca="false">Q46-P46</f>
        <v>-0.000183579081993055</v>
      </c>
      <c r="S46" s="35" t="n">
        <v>90</v>
      </c>
      <c r="T46" s="35" t="n">
        <v>85</v>
      </c>
      <c r="U46" s="35" t="n">
        <v>89</v>
      </c>
      <c r="V46" s="38" t="n">
        <f aca="false">U46-T46</f>
        <v>4</v>
      </c>
      <c r="W46" s="37" t="n">
        <f aca="false">IFERROR(T46/T$59,0)</f>
        <v>0.00260161606268364</v>
      </c>
      <c r="X46" s="37" t="n">
        <f aca="false">IFERROR(U46/U$59,0)</f>
        <v>0.00198346370707138</v>
      </c>
      <c r="Y46" s="96" t="n">
        <f aca="false">X46-W46</f>
        <v>-0.000618152355612261</v>
      </c>
      <c r="Z46" s="35" t="n">
        <v>499</v>
      </c>
      <c r="AA46" s="35" t="n">
        <v>200</v>
      </c>
      <c r="AB46" s="35" t="n">
        <v>205</v>
      </c>
      <c r="AC46" s="38" t="n">
        <f aca="false">AB46-AA46</f>
        <v>5</v>
      </c>
      <c r="AD46" s="37" t="n">
        <f aca="false">IFERROR(AA46/AA$59,0)</f>
        <v>0.00280950173486732</v>
      </c>
      <c r="AE46" s="37" t="n">
        <f aca="false">IFERROR(AB46/AB$59,0)</f>
        <v>0.00321619077502353</v>
      </c>
      <c r="AF46" s="96" t="n">
        <f aca="false">AE46-AD46</f>
        <v>0.000406689040156212</v>
      </c>
      <c r="AG46" s="35" t="n">
        <v>250</v>
      </c>
      <c r="AH46" s="35" t="n">
        <v>65</v>
      </c>
      <c r="AI46" s="35" t="n">
        <v>72</v>
      </c>
      <c r="AJ46" s="38" t="n">
        <f aca="false">AI46-AH46</f>
        <v>7</v>
      </c>
      <c r="AK46" s="37" t="n">
        <f aca="false">IFERROR(AH46/AH$59,0)</f>
        <v>0.00762552792116377</v>
      </c>
      <c r="AL46" s="37" t="n">
        <f aca="false">IFERROR(AI46/AI$59,0)</f>
        <v>0.00809807670678214</v>
      </c>
      <c r="AM46" s="96" t="n">
        <f aca="false">AL46-AK46</f>
        <v>0.000472548785618366</v>
      </c>
      <c r="AN46" s="35" t="n">
        <f aca="false">G46+N46+U46+AB46</f>
        <v>1078</v>
      </c>
      <c r="AO46" s="37" t="n">
        <f aca="false">IFERROR(AN46/AN$59,0)</f>
        <v>0.00341792540171721</v>
      </c>
      <c r="AP46" s="37" t="n">
        <f aca="false">①石川予測確定!R36</f>
        <v>0.0087361677344205</v>
      </c>
      <c r="AQ46" s="37" t="n">
        <f aca="false">③仙台以降予測!H60</f>
        <v>0.00841712222060132</v>
      </c>
      <c r="AR46" s="39" t="str">
        <f aca="false">IF(AQ46-AO46&gt;=0.005,"↑ 上方修正",IF(AQ46-AO46&lt;=-0.005,"↓ 下方修正","→ 据置"))</f>
        <v>→ 据置</v>
      </c>
    </row>
    <row r="47" customFormat="false" ht="15" hidden="false" customHeight="false" outlineLevel="0" collapsed="false">
      <c r="A47" s="32" t="n">
        <v>31</v>
      </c>
      <c r="B47" s="32" t="s">
        <v>346</v>
      </c>
      <c r="C47" s="33" t="s">
        <v>347</v>
      </c>
      <c r="D47" s="34" t="n">
        <v>1300</v>
      </c>
      <c r="E47" s="35" t="n">
        <v>2495</v>
      </c>
      <c r="F47" s="32" t="s">
        <v>533</v>
      </c>
      <c r="G47" s="35" t="n">
        <v>1215</v>
      </c>
      <c r="H47" s="32" t="s">
        <v>533</v>
      </c>
      <c r="I47" s="37" t="n">
        <f aca="false">IFERROR(E47/E$59,0)</f>
        <v>0.0118161324543457</v>
      </c>
      <c r="J47" s="37" t="n">
        <f aca="false">IFERROR(G47/G$59,0)</f>
        <v>0.00819921044640146</v>
      </c>
      <c r="K47" s="96" t="n">
        <f aca="false">J47-I47</f>
        <v>-0.00361692200794423</v>
      </c>
      <c r="L47" s="35" t="n">
        <v>485</v>
      </c>
      <c r="M47" s="35" t="n">
        <v>227</v>
      </c>
      <c r="N47" s="35" t="n">
        <v>235</v>
      </c>
      <c r="O47" s="38" t="n">
        <f aca="false">N47-M47</f>
        <v>8</v>
      </c>
      <c r="P47" s="37" t="n">
        <f aca="false">IFERROR(M47/M$59,0)</f>
        <v>0.00395642701525055</v>
      </c>
      <c r="Q47" s="37" t="n">
        <f aca="false">IFERROR(N47/N$59,0)</f>
        <v>0.00401023890784983</v>
      </c>
      <c r="R47" s="96" t="n">
        <f aca="false">Q47-P47</f>
        <v>5.38118925992844E-005</v>
      </c>
      <c r="S47" s="35" t="n">
        <v>180</v>
      </c>
      <c r="T47" s="35" t="n">
        <v>211</v>
      </c>
      <c r="U47" s="35" t="n">
        <v>178</v>
      </c>
      <c r="V47" s="38" t="n">
        <f aca="false">U47-T47</f>
        <v>-33</v>
      </c>
      <c r="W47" s="37" t="n">
        <f aca="false">IFERROR(T47/T$59,0)</f>
        <v>0.00645812928501469</v>
      </c>
      <c r="X47" s="37" t="n">
        <f aca="false">IFERROR(U47/U$59,0)</f>
        <v>0.00396692741414277</v>
      </c>
      <c r="Y47" s="96" t="n">
        <f aca="false">X47-W47</f>
        <v>-0.00249120187087193</v>
      </c>
      <c r="Z47" s="35" t="n">
        <v>600</v>
      </c>
      <c r="AA47" s="35" t="n">
        <v>408</v>
      </c>
      <c r="AB47" s="35" t="n">
        <v>427</v>
      </c>
      <c r="AC47" s="38" t="n">
        <f aca="false">AB47-AA47</f>
        <v>19</v>
      </c>
      <c r="AD47" s="37" t="n">
        <f aca="false">IFERROR(AA47/AA$59,0)</f>
        <v>0.00573138353912934</v>
      </c>
      <c r="AE47" s="37" t="n">
        <f aca="false">IFERROR(AB47/AB$59,0)</f>
        <v>0.0066990900533417</v>
      </c>
      <c r="AF47" s="96" t="n">
        <f aca="false">AE47-AD47</f>
        <v>0.000967706514212365</v>
      </c>
      <c r="AG47" s="35" t="n">
        <v>200</v>
      </c>
      <c r="AH47" s="35" t="n">
        <v>88</v>
      </c>
      <c r="AI47" s="35" t="n">
        <v>101</v>
      </c>
      <c r="AJ47" s="38" t="n">
        <f aca="false">AI47-AH47</f>
        <v>13</v>
      </c>
      <c r="AK47" s="37" t="n">
        <f aca="false">IFERROR(AH47/AH$59,0)</f>
        <v>0.010323791647114</v>
      </c>
      <c r="AL47" s="37" t="n">
        <f aca="false">IFERROR(AI47/AI$59,0)</f>
        <v>0.0113598020470138</v>
      </c>
      <c r="AM47" s="96" t="n">
        <f aca="false">AL47-AK47</f>
        <v>0.0010360103998998</v>
      </c>
      <c r="AN47" s="35" t="n">
        <f aca="false">G47+N47+U47+AB47</f>
        <v>2055</v>
      </c>
      <c r="AO47" s="37" t="n">
        <f aca="false">IFERROR(AN47/AN$59,0)</f>
        <v>0.00651561846060191</v>
      </c>
      <c r="AP47" s="37" t="n">
        <f aca="false">①石川予測確定!R37</f>
        <v>0.0118423607066589</v>
      </c>
      <c r="AQ47" s="37" t="n">
        <f aca="false">③仙台以降予測!H61</f>
        <v>0.0116010813768364</v>
      </c>
      <c r="AR47" s="39" t="str">
        <f aca="false">IF(AQ47-AO47&gt;=0.005,"↑ 上方修正",IF(AQ47-AO47&lt;=-0.005,"↓ 下方修正","→ 据置"))</f>
        <v>↑ 上方修正</v>
      </c>
    </row>
    <row r="48" customFormat="false" ht="15" hidden="false" customHeight="false" outlineLevel="0" collapsed="false">
      <c r="A48" s="32" t="n">
        <v>32</v>
      </c>
      <c r="B48" s="32" t="s">
        <v>348</v>
      </c>
      <c r="C48" s="33" t="s">
        <v>349</v>
      </c>
      <c r="D48" s="34" t="n">
        <v>8800</v>
      </c>
      <c r="E48" s="35" t="n">
        <v>47</v>
      </c>
      <c r="F48" s="32" t="s">
        <v>533</v>
      </c>
      <c r="G48" s="35" t="n">
        <v>47</v>
      </c>
      <c r="H48" s="32" t="s">
        <v>533</v>
      </c>
      <c r="I48" s="37" t="n">
        <f aca="false">IFERROR(E48/E$59,0)</f>
        <v>0.000222588467075851</v>
      </c>
      <c r="J48" s="37" t="n">
        <f aca="false">IFERROR(G48/G$59,0)</f>
        <v>0.000317171103687958</v>
      </c>
      <c r="K48" s="96" t="n">
        <f aca="false">J48-I48</f>
        <v>9.45826366121071E-005</v>
      </c>
      <c r="L48" s="35" t="n">
        <v>36</v>
      </c>
      <c r="M48" s="35" t="n">
        <v>36</v>
      </c>
      <c r="N48" s="35" t="n">
        <v>36</v>
      </c>
      <c r="O48" s="38" t="n">
        <f aca="false">N48-M48</f>
        <v>0</v>
      </c>
      <c r="P48" s="37" t="n">
        <f aca="false">IFERROR(M48/M$59,0)</f>
        <v>0.000627450980392157</v>
      </c>
      <c r="Q48" s="37" t="n">
        <f aca="false">IFERROR(N48/N$59,0)</f>
        <v>0.000614334470989761</v>
      </c>
      <c r="R48" s="96" t="n">
        <f aca="false">Q48-P48</f>
        <v>-1.31165094023958E-005</v>
      </c>
      <c r="S48" s="35" t="n">
        <v>29</v>
      </c>
      <c r="T48" s="35" t="n">
        <v>40</v>
      </c>
      <c r="U48" s="35" t="n">
        <v>30</v>
      </c>
      <c r="V48" s="38" t="n">
        <f aca="false">U48-T48</f>
        <v>-10</v>
      </c>
      <c r="W48" s="37" t="n">
        <f aca="false">IFERROR(T48/T$59,0)</f>
        <v>0.00122428991185113</v>
      </c>
      <c r="X48" s="37" t="n">
        <f aca="false">IFERROR(U48/U$59,0)</f>
        <v>0.000668583272046533</v>
      </c>
      <c r="Y48" s="96" t="n">
        <f aca="false">X48-W48</f>
        <v>-0.000555706639804593</v>
      </c>
      <c r="Z48" s="35" t="n">
        <v>40</v>
      </c>
      <c r="AA48" s="35" t="n">
        <v>41</v>
      </c>
      <c r="AB48" s="35" t="n">
        <v>40</v>
      </c>
      <c r="AC48" s="38" t="n">
        <f aca="false">AB48-AA48</f>
        <v>-1</v>
      </c>
      <c r="AD48" s="37" t="n">
        <f aca="false">IFERROR(AA48/AA$59,0)</f>
        <v>0.000575947855647801</v>
      </c>
      <c r="AE48" s="37" t="n">
        <f aca="false">IFERROR(AB48/AB$59,0)</f>
        <v>0.000627549419516787</v>
      </c>
      <c r="AF48" s="96" t="n">
        <f aca="false">AE48-AD48</f>
        <v>5.16015638689861E-005</v>
      </c>
      <c r="AG48" s="35" t="n">
        <v>10</v>
      </c>
      <c r="AH48" s="35" t="n">
        <v>10</v>
      </c>
      <c r="AI48" s="35" t="n">
        <v>10</v>
      </c>
      <c r="AJ48" s="38" t="n">
        <f aca="false">AI48-AH48</f>
        <v>0</v>
      </c>
      <c r="AK48" s="37" t="n">
        <f aca="false">IFERROR(AH48/AH$59,0)</f>
        <v>0.0011731581417175</v>
      </c>
      <c r="AL48" s="37" t="n">
        <f aca="false">IFERROR(AI48/AI$59,0)</f>
        <v>0.00112473287594196</v>
      </c>
      <c r="AM48" s="96" t="n">
        <f aca="false">AL48-AK48</f>
        <v>-4.84252657755398E-005</v>
      </c>
      <c r="AN48" s="35" t="n">
        <f aca="false">G48+N48+U48+AB48</f>
        <v>153</v>
      </c>
      <c r="AO48" s="37" t="n">
        <f aca="false">IFERROR(AN48/AN$59,0)</f>
        <v>0.000485104440132405</v>
      </c>
      <c r="AP48" s="37" t="n">
        <f aca="false">①石川予測確定!R38</f>
        <v>0.0009706853038245</v>
      </c>
      <c r="AQ48" s="37" t="n">
        <f aca="false">③仙台以降予測!H62</f>
        <v>0.00104770908988323</v>
      </c>
      <c r="AR48" s="39" t="str">
        <f aca="false">IF(AQ48-AO48&gt;=0.005,"↑ 上方修正",IF(AQ48-AO48&lt;=-0.005,"↓ 下方修正","→ 据置"))</f>
        <v>→ 据置</v>
      </c>
    </row>
    <row r="49" customFormat="false" ht="15" hidden="false" customHeight="false" outlineLevel="0" collapsed="false">
      <c r="A49" s="32" t="n">
        <v>33</v>
      </c>
      <c r="B49" s="32" t="s">
        <v>350</v>
      </c>
      <c r="C49" s="33" t="s">
        <v>351</v>
      </c>
      <c r="D49" s="34" t="n">
        <v>27500</v>
      </c>
      <c r="E49" s="35" t="n">
        <v>10</v>
      </c>
      <c r="F49" s="32" t="s">
        <v>533</v>
      </c>
      <c r="G49" s="35" t="n">
        <v>10</v>
      </c>
      <c r="H49" s="32" t="s">
        <v>533</v>
      </c>
      <c r="I49" s="37" t="n">
        <f aca="false">IFERROR(E49/E$59,0)</f>
        <v>4.73592483140108E-005</v>
      </c>
      <c r="J49" s="37" t="n">
        <f aca="false">IFERROR(G49/G$59,0)</f>
        <v>6.74832135506293E-005</v>
      </c>
      <c r="K49" s="96" t="n">
        <f aca="false">J49-I49</f>
        <v>2.01239652366185E-005</v>
      </c>
      <c r="L49" s="35" t="n">
        <v>40</v>
      </c>
      <c r="M49" s="35" t="n">
        <v>35</v>
      </c>
      <c r="N49" s="35" t="n">
        <v>37</v>
      </c>
      <c r="O49" s="38" t="n">
        <f aca="false">N49-M49</f>
        <v>2</v>
      </c>
      <c r="P49" s="37" t="n">
        <f aca="false">IFERROR(M49/M$59,0)</f>
        <v>0.000610021786492375</v>
      </c>
      <c r="Q49" s="37" t="n">
        <f aca="false">IFERROR(N49/N$59,0)</f>
        <v>0.000631399317406143</v>
      </c>
      <c r="R49" s="96" t="n">
        <f aca="false">Q49-P49</f>
        <v>2.13775309137686E-005</v>
      </c>
      <c r="S49" s="35" t="n">
        <v>20</v>
      </c>
      <c r="T49" s="35" t="n">
        <v>16</v>
      </c>
      <c r="U49" s="35" t="n">
        <v>14</v>
      </c>
      <c r="V49" s="38" t="n">
        <f aca="false">U49-T49</f>
        <v>-2</v>
      </c>
      <c r="W49" s="37" t="n">
        <f aca="false">IFERROR(T49/T$59,0)</f>
        <v>0.000489715964740451</v>
      </c>
      <c r="X49" s="37" t="n">
        <f aca="false">IFERROR(U49/U$59,0)</f>
        <v>0.000312005526955049</v>
      </c>
      <c r="Y49" s="96" t="n">
        <f aca="false">X49-W49</f>
        <v>-0.000177710437785402</v>
      </c>
      <c r="Z49" s="35" t="n">
        <v>50</v>
      </c>
      <c r="AA49" s="35" t="n">
        <v>18</v>
      </c>
      <c r="AB49" s="35" t="n">
        <v>21</v>
      </c>
      <c r="AC49" s="38" t="n">
        <f aca="false">AB49-AA49</f>
        <v>3</v>
      </c>
      <c r="AD49" s="37" t="n">
        <f aca="false">IFERROR(AA49/AA$59,0)</f>
        <v>0.000252855156138059</v>
      </c>
      <c r="AE49" s="37" t="n">
        <f aca="false">IFERROR(AB49/AB$59,0)</f>
        <v>0.000329463445246313</v>
      </c>
      <c r="AF49" s="96" t="n">
        <f aca="false">AE49-AD49</f>
        <v>7.66082891082542E-005</v>
      </c>
      <c r="AG49" s="35" t="n">
        <v>15</v>
      </c>
      <c r="AH49" s="35" t="n">
        <v>0</v>
      </c>
      <c r="AI49" s="35" t="n">
        <v>3</v>
      </c>
      <c r="AJ49" s="38" t="n">
        <f aca="false">AI49-AH49</f>
        <v>3</v>
      </c>
      <c r="AK49" s="37" t="n">
        <f aca="false">IFERROR(AH49/AH$59,0)</f>
        <v>0</v>
      </c>
      <c r="AL49" s="37" t="n">
        <f aca="false">IFERROR(AI49/AI$59,0)</f>
        <v>0.000337419862782589</v>
      </c>
      <c r="AM49" s="96" t="n">
        <f aca="false">AL49-AK49</f>
        <v>0.000337419862782589</v>
      </c>
      <c r="AN49" s="35" t="n">
        <f aca="false">G49+N49+U49+AB49</f>
        <v>82</v>
      </c>
      <c r="AO49" s="37" t="n">
        <f aca="false">IFERROR(AN49/AN$59,0)</f>
        <v>0.000259990614972923</v>
      </c>
      <c r="AP49" s="37" t="n">
        <f aca="false">①石川予測確定!R39</f>
        <v>0.0009706853038245</v>
      </c>
      <c r="AQ49" s="37" t="n">
        <f aca="false">③仙台以降予測!H63</f>
        <v>0.000654052583303545</v>
      </c>
      <c r="AR49" s="39" t="str">
        <f aca="false">IF(AQ49-AO49&gt;=0.005,"↑ 上方修正",IF(AQ49-AO49&lt;=-0.005,"↓ 下方修正","→ 据置"))</f>
        <v>→ 据置</v>
      </c>
    </row>
    <row r="50" customFormat="false" ht="15" hidden="false" customHeight="false" outlineLevel="0" collapsed="false">
      <c r="A50" s="32" t="n">
        <v>34</v>
      </c>
      <c r="B50" s="32" t="s">
        <v>352</v>
      </c>
      <c r="C50" s="33" t="s">
        <v>353</v>
      </c>
      <c r="D50" s="34" t="n">
        <v>27500</v>
      </c>
      <c r="E50" s="35" t="n">
        <v>10</v>
      </c>
      <c r="F50" s="32" t="s">
        <v>533</v>
      </c>
      <c r="G50" s="35" t="n">
        <v>10</v>
      </c>
      <c r="H50" s="32" t="s">
        <v>533</v>
      </c>
      <c r="I50" s="37" t="n">
        <f aca="false">IFERROR(E50/E$59,0)</f>
        <v>4.73592483140108E-005</v>
      </c>
      <c r="J50" s="37" t="n">
        <f aca="false">IFERROR(G50/G$59,0)</f>
        <v>6.74832135506293E-005</v>
      </c>
      <c r="K50" s="96" t="n">
        <f aca="false">J50-I50</f>
        <v>2.01239652366185E-005</v>
      </c>
      <c r="L50" s="35" t="n">
        <v>3</v>
      </c>
      <c r="M50" s="35" t="n">
        <v>3</v>
      </c>
      <c r="N50" s="35" t="n">
        <v>3</v>
      </c>
      <c r="O50" s="38" t="n">
        <f aca="false">N50-M50</f>
        <v>0</v>
      </c>
      <c r="P50" s="37" t="n">
        <f aca="false">IFERROR(M50/M$59,0)</f>
        <v>5.22875816993464E-005</v>
      </c>
      <c r="Q50" s="37" t="n">
        <f aca="false">IFERROR(N50/N$59,0)</f>
        <v>5.11945392491468E-005</v>
      </c>
      <c r="R50" s="96" t="n">
        <f aca="false">Q50-P50</f>
        <v>-1.09304245019964E-006</v>
      </c>
      <c r="S50" s="35" t="n">
        <v>3</v>
      </c>
      <c r="T50" s="35" t="n">
        <v>4</v>
      </c>
      <c r="U50" s="35" t="n">
        <v>3</v>
      </c>
      <c r="V50" s="38" t="n">
        <f aca="false">U50-T50</f>
        <v>-1</v>
      </c>
      <c r="W50" s="37" t="n">
        <f aca="false">IFERROR(T50/T$59,0)</f>
        <v>0.000122428991185113</v>
      </c>
      <c r="X50" s="37" t="n">
        <f aca="false">IFERROR(U50/U$59,0)</f>
        <v>6.68583272046533E-005</v>
      </c>
      <c r="Y50" s="96" t="n">
        <f aca="false">X50-W50</f>
        <v>-5.55706639804593E-005</v>
      </c>
      <c r="Z50" s="35" t="n">
        <v>3</v>
      </c>
      <c r="AA50" s="35" t="n">
        <v>3</v>
      </c>
      <c r="AB50" s="35" t="n">
        <v>3</v>
      </c>
      <c r="AC50" s="38" t="n">
        <f aca="false">AB50-AA50</f>
        <v>0</v>
      </c>
      <c r="AD50" s="37" t="n">
        <f aca="false">IFERROR(AA50/AA$59,0)</f>
        <v>4.21425260230098E-005</v>
      </c>
      <c r="AE50" s="37" t="n">
        <f aca="false">IFERROR(AB50/AB$59,0)</f>
        <v>4.7066206463759E-005</v>
      </c>
      <c r="AF50" s="96" t="n">
        <f aca="false">AE50-AD50</f>
        <v>4.9236804407492E-006</v>
      </c>
      <c r="AG50" s="35" t="n">
        <v>2</v>
      </c>
      <c r="AH50" s="35" t="n">
        <v>2</v>
      </c>
      <c r="AI50" s="35" t="n">
        <v>2</v>
      </c>
      <c r="AJ50" s="38" t="n">
        <f aca="false">AI50-AH50</f>
        <v>0</v>
      </c>
      <c r="AK50" s="37" t="n">
        <f aca="false">IFERROR(AH50/AH$59,0)</f>
        <v>0.000234631628343501</v>
      </c>
      <c r="AL50" s="37" t="n">
        <f aca="false">IFERROR(AI50/AI$59,0)</f>
        <v>0.000224946575188393</v>
      </c>
      <c r="AM50" s="96" t="n">
        <f aca="false">AL50-AK50</f>
        <v>-9.68505315510795E-006</v>
      </c>
      <c r="AN50" s="35" t="n">
        <f aca="false">G50+N50+U50+AB50</f>
        <v>19</v>
      </c>
      <c r="AO50" s="37" t="n">
        <f aca="false">IFERROR(AN50/AN$59,0)</f>
        <v>6.02417278595797E-005</v>
      </c>
      <c r="AP50" s="37" t="n">
        <f aca="false">①石川予測確定!R40</f>
        <v>0.0001941370607649</v>
      </c>
      <c r="AQ50" s="37" t="n">
        <f aca="false">③仙台以降予測!H64</f>
        <v>0.000209541817976646</v>
      </c>
      <c r="AR50" s="39" t="str">
        <f aca="false">IF(AQ50-AO50&gt;=0.005,"↑ 上方修正",IF(AQ50-AO50&lt;=-0.005,"↓ 下方修正","→ 据置"))</f>
        <v>→ 据置</v>
      </c>
    </row>
    <row r="51" customFormat="false" ht="15" hidden="false" customHeight="false" outlineLevel="0" collapsed="false">
      <c r="A51" s="32" t="n">
        <v>35</v>
      </c>
      <c r="B51" s="32" t="s">
        <v>354</v>
      </c>
      <c r="C51" s="33" t="s">
        <v>355</v>
      </c>
      <c r="D51" s="34" t="n">
        <v>27500</v>
      </c>
      <c r="E51" s="35" t="n">
        <v>10</v>
      </c>
      <c r="F51" s="32" t="s">
        <v>533</v>
      </c>
      <c r="G51" s="35" t="n">
        <v>10</v>
      </c>
      <c r="H51" s="32" t="s">
        <v>533</v>
      </c>
      <c r="I51" s="37" t="n">
        <f aca="false">IFERROR(E51/E$59,0)</f>
        <v>4.73592483140108E-005</v>
      </c>
      <c r="J51" s="37" t="n">
        <f aca="false">IFERROR(G51/G$59,0)</f>
        <v>6.74832135506293E-005</v>
      </c>
      <c r="K51" s="96" t="n">
        <f aca="false">J51-I51</f>
        <v>2.01239652366185E-005</v>
      </c>
      <c r="L51" s="35" t="n">
        <v>3</v>
      </c>
      <c r="M51" s="35" t="n">
        <v>3</v>
      </c>
      <c r="N51" s="35" t="n">
        <v>3</v>
      </c>
      <c r="O51" s="38" t="n">
        <f aca="false">N51-M51</f>
        <v>0</v>
      </c>
      <c r="P51" s="37" t="n">
        <f aca="false">IFERROR(M51/M$59,0)</f>
        <v>5.22875816993464E-005</v>
      </c>
      <c r="Q51" s="37" t="n">
        <f aca="false">IFERROR(N51/N$59,0)</f>
        <v>5.11945392491468E-005</v>
      </c>
      <c r="R51" s="96" t="n">
        <f aca="false">Q51-P51</f>
        <v>-1.09304245019964E-006</v>
      </c>
      <c r="S51" s="35" t="n">
        <v>3</v>
      </c>
      <c r="T51" s="35" t="n">
        <v>4</v>
      </c>
      <c r="U51" s="35" t="n">
        <v>3</v>
      </c>
      <c r="V51" s="38" t="n">
        <f aca="false">U51-T51</f>
        <v>-1</v>
      </c>
      <c r="W51" s="37" t="n">
        <f aca="false">IFERROR(T51/T$59,0)</f>
        <v>0.000122428991185113</v>
      </c>
      <c r="X51" s="37" t="n">
        <f aca="false">IFERROR(U51/U$59,0)</f>
        <v>6.68583272046533E-005</v>
      </c>
      <c r="Y51" s="96" t="n">
        <f aca="false">X51-W51</f>
        <v>-5.55706639804593E-005</v>
      </c>
      <c r="Z51" s="35" t="n">
        <v>3</v>
      </c>
      <c r="AA51" s="35" t="n">
        <v>3</v>
      </c>
      <c r="AB51" s="35" t="n">
        <v>3</v>
      </c>
      <c r="AC51" s="38" t="n">
        <f aca="false">AB51-AA51</f>
        <v>0</v>
      </c>
      <c r="AD51" s="37" t="n">
        <f aca="false">IFERROR(AA51/AA$59,0)</f>
        <v>4.21425260230098E-005</v>
      </c>
      <c r="AE51" s="37" t="n">
        <f aca="false">IFERROR(AB51/AB$59,0)</f>
        <v>4.7066206463759E-005</v>
      </c>
      <c r="AF51" s="96" t="n">
        <f aca="false">AE51-AD51</f>
        <v>4.9236804407492E-006</v>
      </c>
      <c r="AG51" s="35" t="n">
        <v>2</v>
      </c>
      <c r="AH51" s="35" t="n">
        <v>1</v>
      </c>
      <c r="AI51" s="35" t="n">
        <v>1</v>
      </c>
      <c r="AJ51" s="38" t="n">
        <f aca="false">AI51-AH51</f>
        <v>0</v>
      </c>
      <c r="AK51" s="37" t="n">
        <f aca="false">IFERROR(AH51/AH$59,0)</f>
        <v>0.00011731581417175</v>
      </c>
      <c r="AL51" s="37" t="n">
        <f aca="false">IFERROR(AI51/AI$59,0)</f>
        <v>0.000112473287594196</v>
      </c>
      <c r="AM51" s="96" t="n">
        <f aca="false">AL51-AK51</f>
        <v>-4.84252657755397E-006</v>
      </c>
      <c r="AN51" s="35" t="n">
        <f aca="false">G51+N51+U51+AB51</f>
        <v>19</v>
      </c>
      <c r="AO51" s="37" t="n">
        <f aca="false">IFERROR(AN51/AN$59,0)</f>
        <v>6.02417278595797E-005</v>
      </c>
      <c r="AP51" s="37" t="n">
        <f aca="false">①石川予測確定!R41</f>
        <v>0.0001941370607649</v>
      </c>
      <c r="AQ51" s="37" t="n">
        <f aca="false">③仙台以降予測!H65</f>
        <v>0.000153305174179548</v>
      </c>
      <c r="AR51" s="39" t="str">
        <f aca="false">IF(AQ51-AO51&gt;=0.005,"↑ 上方修正",IF(AQ51-AO51&lt;=-0.005,"↓ 下方修正","→ 据置"))</f>
        <v>→ 据置</v>
      </c>
    </row>
    <row r="52" customFormat="false" ht="15" hidden="false" customHeight="false" outlineLevel="0" collapsed="false">
      <c r="A52" s="32" t="n">
        <v>36</v>
      </c>
      <c r="B52" s="32" t="s">
        <v>356</v>
      </c>
      <c r="C52" s="33" t="s">
        <v>357</v>
      </c>
      <c r="D52" s="34" t="n">
        <v>27500</v>
      </c>
      <c r="E52" s="35" t="n">
        <v>8</v>
      </c>
      <c r="F52" s="32" t="s">
        <v>533</v>
      </c>
      <c r="G52" s="35" t="n">
        <v>8</v>
      </c>
      <c r="H52" s="32" t="s">
        <v>533</v>
      </c>
      <c r="I52" s="37" t="n">
        <f aca="false">IFERROR(E52/E$59,0)</f>
        <v>3.78873986512086E-005</v>
      </c>
      <c r="J52" s="37" t="n">
        <f aca="false">IFERROR(G52/G$59,0)</f>
        <v>5.39865708405034E-005</v>
      </c>
      <c r="K52" s="96" t="n">
        <f aca="false">J52-I52</f>
        <v>1.60991721892948E-005</v>
      </c>
      <c r="L52" s="35" t="n">
        <v>3</v>
      </c>
      <c r="M52" s="35" t="n">
        <v>3</v>
      </c>
      <c r="N52" s="35" t="n">
        <v>3</v>
      </c>
      <c r="O52" s="38" t="n">
        <f aca="false">N52-M52</f>
        <v>0</v>
      </c>
      <c r="P52" s="37" t="n">
        <f aca="false">IFERROR(M52/M$59,0)</f>
        <v>5.22875816993464E-005</v>
      </c>
      <c r="Q52" s="37" t="n">
        <f aca="false">IFERROR(N52/N$59,0)</f>
        <v>5.11945392491468E-005</v>
      </c>
      <c r="R52" s="96" t="n">
        <f aca="false">Q52-P52</f>
        <v>-1.09304245019964E-006</v>
      </c>
      <c r="S52" s="35" t="n">
        <v>3</v>
      </c>
      <c r="T52" s="35" t="n">
        <v>4</v>
      </c>
      <c r="U52" s="35" t="n">
        <v>3</v>
      </c>
      <c r="V52" s="38" t="n">
        <f aca="false">U52-T52</f>
        <v>-1</v>
      </c>
      <c r="W52" s="37" t="n">
        <f aca="false">IFERROR(T52/T$59,0)</f>
        <v>0.000122428991185113</v>
      </c>
      <c r="X52" s="37" t="n">
        <f aca="false">IFERROR(U52/U$59,0)</f>
        <v>6.68583272046533E-005</v>
      </c>
      <c r="Y52" s="96" t="n">
        <f aca="false">X52-W52</f>
        <v>-5.55706639804593E-005</v>
      </c>
      <c r="Z52" s="35" t="n">
        <v>3</v>
      </c>
      <c r="AA52" s="35" t="n">
        <v>3</v>
      </c>
      <c r="AB52" s="35" t="n">
        <v>3</v>
      </c>
      <c r="AC52" s="38" t="n">
        <f aca="false">AB52-AA52</f>
        <v>0</v>
      </c>
      <c r="AD52" s="37" t="n">
        <f aca="false">IFERROR(AA52/AA$59,0)</f>
        <v>4.21425260230098E-005</v>
      </c>
      <c r="AE52" s="37" t="n">
        <f aca="false">IFERROR(AB52/AB$59,0)</f>
        <v>4.7066206463759E-005</v>
      </c>
      <c r="AF52" s="96" t="n">
        <f aca="false">AE52-AD52</f>
        <v>4.9236804407492E-006</v>
      </c>
      <c r="AG52" s="35" t="n">
        <v>2</v>
      </c>
      <c r="AH52" s="35" t="n">
        <v>0</v>
      </c>
      <c r="AI52" s="35" t="n">
        <v>1</v>
      </c>
      <c r="AJ52" s="38" t="n">
        <f aca="false">AI52-AH52</f>
        <v>1</v>
      </c>
      <c r="AK52" s="37" t="n">
        <f aca="false">IFERROR(AH52/AH$59,0)</f>
        <v>0</v>
      </c>
      <c r="AL52" s="37" t="n">
        <f aca="false">IFERROR(AI52/AI$59,0)</f>
        <v>0.000112473287594196</v>
      </c>
      <c r="AM52" s="96" t="n">
        <f aca="false">AL52-AK52</f>
        <v>0.000112473287594196</v>
      </c>
      <c r="AN52" s="35" t="n">
        <f aca="false">G52+N52+U52+AB52</f>
        <v>17</v>
      </c>
      <c r="AO52" s="37" t="n">
        <f aca="false">IFERROR(AN52/AN$59,0)</f>
        <v>5.3900493348045E-005</v>
      </c>
      <c r="AP52" s="37" t="n">
        <f aca="false">①石川予測確定!R42</f>
        <v>0.0001941370607649</v>
      </c>
      <c r="AQ52" s="37" t="n">
        <f aca="false">③仙台以降予測!H66</f>
        <v>0.000153305174179548</v>
      </c>
      <c r="AR52" s="39" t="str">
        <f aca="false">IF(AQ52-AO52&gt;=0.005,"↑ 上方修正",IF(AQ52-AO52&lt;=-0.005,"↓ 下方修正","→ 据置"))</f>
        <v>→ 据置</v>
      </c>
    </row>
    <row r="53" customFormat="false" ht="15" hidden="false" customHeight="false" outlineLevel="0" collapsed="false">
      <c r="A53" s="32" t="n">
        <v>37</v>
      </c>
      <c r="B53" s="32" t="s">
        <v>358</v>
      </c>
      <c r="C53" s="33" t="s">
        <v>359</v>
      </c>
      <c r="D53" s="34" t="n">
        <v>27500</v>
      </c>
      <c r="E53" s="35" t="n">
        <v>10</v>
      </c>
      <c r="F53" s="32" t="s">
        <v>533</v>
      </c>
      <c r="G53" s="35" t="n">
        <v>10</v>
      </c>
      <c r="H53" s="32" t="s">
        <v>533</v>
      </c>
      <c r="I53" s="37" t="n">
        <f aca="false">IFERROR(E53/E$59,0)</f>
        <v>4.73592483140108E-005</v>
      </c>
      <c r="J53" s="37" t="n">
        <f aca="false">IFERROR(G53/G$59,0)</f>
        <v>6.74832135506293E-005</v>
      </c>
      <c r="K53" s="96" t="n">
        <f aca="false">J53-I53</f>
        <v>2.01239652366185E-005</v>
      </c>
      <c r="L53" s="35" t="n">
        <v>20</v>
      </c>
      <c r="M53" s="35" t="n">
        <v>18</v>
      </c>
      <c r="N53" s="35" t="n">
        <v>19</v>
      </c>
      <c r="O53" s="38" t="n">
        <f aca="false">N53-M53</f>
        <v>1</v>
      </c>
      <c r="P53" s="37" t="n">
        <f aca="false">IFERROR(M53/M$59,0)</f>
        <v>0.000313725490196078</v>
      </c>
      <c r="Q53" s="37" t="n">
        <f aca="false">IFERROR(N53/N$59,0)</f>
        <v>0.000324232081911263</v>
      </c>
      <c r="R53" s="96" t="n">
        <f aca="false">Q53-P53</f>
        <v>1.05065917151844E-005</v>
      </c>
      <c r="S53" s="35" t="n">
        <v>15</v>
      </c>
      <c r="T53" s="35" t="n">
        <v>11</v>
      </c>
      <c r="U53" s="35" t="n">
        <v>12</v>
      </c>
      <c r="V53" s="38" t="n">
        <f aca="false">U53-T53</f>
        <v>1</v>
      </c>
      <c r="W53" s="37" t="n">
        <f aca="false">IFERROR(T53/T$59,0)</f>
        <v>0.00033667972575906</v>
      </c>
      <c r="X53" s="37" t="n">
        <f aca="false">IFERROR(U53/U$59,0)</f>
        <v>0.000267433308818613</v>
      </c>
      <c r="Y53" s="96" t="n">
        <f aca="false">X53-W53</f>
        <v>-6.92464169404464E-005</v>
      </c>
      <c r="Z53" s="35" t="n">
        <v>28</v>
      </c>
      <c r="AA53" s="35" t="n">
        <v>25</v>
      </c>
      <c r="AB53" s="35" t="n">
        <v>26</v>
      </c>
      <c r="AC53" s="38" t="n">
        <f aca="false">AB53-AA53</f>
        <v>1</v>
      </c>
      <c r="AD53" s="37" t="n">
        <f aca="false">IFERROR(AA53/AA$59,0)</f>
        <v>0.000351187716858415</v>
      </c>
      <c r="AE53" s="37" t="n">
        <f aca="false">IFERROR(AB53/AB$59,0)</f>
        <v>0.000407907122685912</v>
      </c>
      <c r="AF53" s="96" t="n">
        <f aca="false">AE53-AD53</f>
        <v>5.67194058274963E-005</v>
      </c>
      <c r="AG53" s="35" t="n">
        <v>8</v>
      </c>
      <c r="AH53" s="35" t="n">
        <v>0</v>
      </c>
      <c r="AI53" s="35" t="n">
        <v>1</v>
      </c>
      <c r="AJ53" s="38" t="n">
        <f aca="false">AI53-AH53</f>
        <v>1</v>
      </c>
      <c r="AK53" s="37" t="n">
        <f aca="false">IFERROR(AH53/AH$59,0)</f>
        <v>0</v>
      </c>
      <c r="AL53" s="37" t="n">
        <f aca="false">IFERROR(AI53/AI$59,0)</f>
        <v>0.000112473287594196</v>
      </c>
      <c r="AM53" s="96" t="n">
        <f aca="false">AL53-AK53</f>
        <v>0.000112473287594196</v>
      </c>
      <c r="AN53" s="35" t="n">
        <f aca="false">G53+N53+U53+AB53</f>
        <v>67</v>
      </c>
      <c r="AO53" s="37" t="n">
        <f aca="false">IFERROR(AN53/AN$59,0)</f>
        <v>0.000212431356136413</v>
      </c>
      <c r="AP53" s="37" t="n">
        <f aca="false">①石川予測確定!R43</f>
        <v>0.0009706853038245</v>
      </c>
      <c r="AQ53" s="37" t="n">
        <f aca="false">③仙台以降予測!H67</f>
        <v>0.000541579295709348</v>
      </c>
      <c r="AR53" s="39" t="str">
        <f aca="false">IF(AQ53-AO53&gt;=0.005,"↑ 上方修正",IF(AQ53-AO53&lt;=-0.005,"↓ 下方修正","→ 据置"))</f>
        <v>→ 据置</v>
      </c>
    </row>
    <row r="54" customFormat="false" ht="15" hidden="false" customHeight="false" outlineLevel="0" collapsed="false">
      <c r="A54" s="32" t="n">
        <v>38</v>
      </c>
      <c r="B54" s="32" t="s">
        <v>360</v>
      </c>
      <c r="C54" s="33" t="s">
        <v>361</v>
      </c>
      <c r="D54" s="34" t="n">
        <v>27500</v>
      </c>
      <c r="E54" s="35" t="n">
        <v>10</v>
      </c>
      <c r="F54" s="32" t="s">
        <v>533</v>
      </c>
      <c r="G54" s="35" t="n">
        <v>10</v>
      </c>
      <c r="H54" s="32" t="s">
        <v>533</v>
      </c>
      <c r="I54" s="37" t="n">
        <f aca="false">IFERROR(E54/E$59,0)</f>
        <v>4.73592483140108E-005</v>
      </c>
      <c r="J54" s="37" t="n">
        <f aca="false">IFERROR(G54/G$59,0)</f>
        <v>6.74832135506293E-005</v>
      </c>
      <c r="K54" s="96" t="n">
        <f aca="false">J54-I54</f>
        <v>2.01239652366185E-005</v>
      </c>
      <c r="L54" s="35" t="n">
        <v>3</v>
      </c>
      <c r="M54" s="35" t="n">
        <v>3</v>
      </c>
      <c r="N54" s="35" t="n">
        <v>3</v>
      </c>
      <c r="O54" s="38" t="n">
        <f aca="false">N54-M54</f>
        <v>0</v>
      </c>
      <c r="P54" s="37" t="n">
        <f aca="false">IFERROR(M54/M$59,0)</f>
        <v>5.22875816993464E-005</v>
      </c>
      <c r="Q54" s="37" t="n">
        <f aca="false">IFERROR(N54/N$59,0)</f>
        <v>5.11945392491468E-005</v>
      </c>
      <c r="R54" s="96" t="n">
        <f aca="false">Q54-P54</f>
        <v>-1.09304245019964E-006</v>
      </c>
      <c r="S54" s="35" t="n">
        <v>3</v>
      </c>
      <c r="T54" s="35" t="n">
        <v>4</v>
      </c>
      <c r="U54" s="35" t="n">
        <v>3</v>
      </c>
      <c r="V54" s="38" t="n">
        <f aca="false">U54-T54</f>
        <v>-1</v>
      </c>
      <c r="W54" s="37" t="n">
        <f aca="false">IFERROR(T54/T$59,0)</f>
        <v>0.000122428991185113</v>
      </c>
      <c r="X54" s="37" t="n">
        <f aca="false">IFERROR(U54/U$59,0)</f>
        <v>6.68583272046533E-005</v>
      </c>
      <c r="Y54" s="96" t="n">
        <f aca="false">X54-W54</f>
        <v>-5.55706639804593E-005</v>
      </c>
      <c r="Z54" s="35" t="n">
        <v>3</v>
      </c>
      <c r="AA54" s="35" t="n">
        <v>3</v>
      </c>
      <c r="AB54" s="35" t="n">
        <v>3</v>
      </c>
      <c r="AC54" s="38" t="n">
        <f aca="false">AB54-AA54</f>
        <v>0</v>
      </c>
      <c r="AD54" s="37" t="n">
        <f aca="false">IFERROR(AA54/AA$59,0)</f>
        <v>4.21425260230098E-005</v>
      </c>
      <c r="AE54" s="37" t="n">
        <f aca="false">IFERROR(AB54/AB$59,0)</f>
        <v>4.7066206463759E-005</v>
      </c>
      <c r="AF54" s="96" t="n">
        <f aca="false">AE54-AD54</f>
        <v>4.9236804407492E-006</v>
      </c>
      <c r="AG54" s="35" t="n">
        <v>2</v>
      </c>
      <c r="AH54" s="35" t="n">
        <v>2</v>
      </c>
      <c r="AI54" s="35" t="n">
        <v>2</v>
      </c>
      <c r="AJ54" s="38" t="n">
        <f aca="false">AI54-AH54</f>
        <v>0</v>
      </c>
      <c r="AK54" s="37" t="n">
        <f aca="false">IFERROR(AH54/AH$59,0)</f>
        <v>0.000234631628343501</v>
      </c>
      <c r="AL54" s="37" t="n">
        <f aca="false">IFERROR(AI54/AI$59,0)</f>
        <v>0.000224946575188393</v>
      </c>
      <c r="AM54" s="96" t="n">
        <f aca="false">AL54-AK54</f>
        <v>-9.68505315510795E-006</v>
      </c>
      <c r="AN54" s="35" t="n">
        <f aca="false">G54+N54+U54+AB54</f>
        <v>19</v>
      </c>
      <c r="AO54" s="37" t="n">
        <f aca="false">IFERROR(AN54/AN$59,0)</f>
        <v>6.02417278595797E-005</v>
      </c>
      <c r="AP54" s="37" t="n">
        <f aca="false">①石川予測確定!R44</f>
        <v>0.0001941370607649</v>
      </c>
      <c r="AQ54" s="37" t="n">
        <f aca="false">③仙台以降予測!H68</f>
        <v>0.000209541817976646</v>
      </c>
      <c r="AR54" s="39" t="str">
        <f aca="false">IF(AQ54-AO54&gt;=0.005,"↑ 上方修正",IF(AQ54-AO54&lt;=-0.005,"↓ 下方修正","→ 据置"))</f>
        <v>→ 据置</v>
      </c>
    </row>
    <row r="55" customFormat="false" ht="15" hidden="false" customHeight="false" outlineLevel="0" collapsed="false">
      <c r="A55" s="32" t="n">
        <v>39</v>
      </c>
      <c r="B55" s="32" t="s">
        <v>362</v>
      </c>
      <c r="C55" s="33" t="s">
        <v>363</v>
      </c>
      <c r="D55" s="34" t="n">
        <v>27500</v>
      </c>
      <c r="E55" s="35" t="n">
        <v>10</v>
      </c>
      <c r="F55" s="32" t="s">
        <v>533</v>
      </c>
      <c r="G55" s="35" t="n">
        <v>10</v>
      </c>
      <c r="H55" s="32" t="s">
        <v>533</v>
      </c>
      <c r="I55" s="37" t="n">
        <f aca="false">IFERROR(E55/E$59,0)</f>
        <v>4.73592483140108E-005</v>
      </c>
      <c r="J55" s="37" t="n">
        <f aca="false">IFERROR(G55/G$59,0)</f>
        <v>6.74832135506293E-005</v>
      </c>
      <c r="K55" s="96" t="n">
        <f aca="false">J55-I55</f>
        <v>2.01239652366185E-005</v>
      </c>
      <c r="L55" s="35" t="n">
        <v>3</v>
      </c>
      <c r="M55" s="35" t="n">
        <v>3</v>
      </c>
      <c r="N55" s="35" t="n">
        <v>3</v>
      </c>
      <c r="O55" s="38" t="n">
        <f aca="false">N55-M55</f>
        <v>0</v>
      </c>
      <c r="P55" s="37" t="n">
        <f aca="false">IFERROR(M55/M$59,0)</f>
        <v>5.22875816993464E-005</v>
      </c>
      <c r="Q55" s="37" t="n">
        <f aca="false">IFERROR(N55/N$59,0)</f>
        <v>5.11945392491468E-005</v>
      </c>
      <c r="R55" s="96" t="n">
        <f aca="false">Q55-P55</f>
        <v>-1.09304245019964E-006</v>
      </c>
      <c r="S55" s="35" t="n">
        <v>2</v>
      </c>
      <c r="T55" s="35" t="n">
        <v>3</v>
      </c>
      <c r="U55" s="35" t="n">
        <v>2</v>
      </c>
      <c r="V55" s="38" t="n">
        <f aca="false">U55-T55</f>
        <v>-1</v>
      </c>
      <c r="W55" s="37" t="n">
        <f aca="false">IFERROR(T55/T$59,0)</f>
        <v>9.18217433888345E-005</v>
      </c>
      <c r="X55" s="37" t="n">
        <f aca="false">IFERROR(U55/U$59,0)</f>
        <v>4.45722181364356E-005</v>
      </c>
      <c r="Y55" s="96" t="n">
        <f aca="false">X55-W55</f>
        <v>-4.72495252523989E-005</v>
      </c>
      <c r="Z55" s="35" t="n">
        <v>3</v>
      </c>
      <c r="AA55" s="35" t="n">
        <v>3</v>
      </c>
      <c r="AB55" s="35" t="n">
        <v>3</v>
      </c>
      <c r="AC55" s="38" t="n">
        <f aca="false">AB55-AA55</f>
        <v>0</v>
      </c>
      <c r="AD55" s="37" t="n">
        <f aca="false">IFERROR(AA55/AA$59,0)</f>
        <v>4.21425260230098E-005</v>
      </c>
      <c r="AE55" s="37" t="n">
        <f aca="false">IFERROR(AB55/AB$59,0)</f>
        <v>4.7066206463759E-005</v>
      </c>
      <c r="AF55" s="96" t="n">
        <f aca="false">AE55-AD55</f>
        <v>4.9236804407492E-006</v>
      </c>
      <c r="AG55" s="35" t="n">
        <v>2</v>
      </c>
      <c r="AH55" s="35" t="n">
        <v>1</v>
      </c>
      <c r="AI55" s="35" t="n">
        <v>2</v>
      </c>
      <c r="AJ55" s="38" t="n">
        <f aca="false">AI55-AH55</f>
        <v>1</v>
      </c>
      <c r="AK55" s="37" t="n">
        <f aca="false">IFERROR(AH55/AH$59,0)</f>
        <v>0.00011731581417175</v>
      </c>
      <c r="AL55" s="37" t="n">
        <f aca="false">IFERROR(AI55/AI$59,0)</f>
        <v>0.000224946575188393</v>
      </c>
      <c r="AM55" s="96" t="n">
        <f aca="false">AL55-AK55</f>
        <v>0.000107630761016642</v>
      </c>
      <c r="AN55" s="35" t="n">
        <f aca="false">G55+N55+U55+AB55</f>
        <v>18</v>
      </c>
      <c r="AO55" s="37" t="n">
        <f aca="false">IFERROR(AN55/AN$59,0)</f>
        <v>5.70711106038124E-005</v>
      </c>
      <c r="AP55" s="37" t="n">
        <f aca="false">①石川予測確定!R45</f>
        <v>0.0003882741215298</v>
      </c>
      <c r="AQ55" s="37" t="n">
        <f aca="false">③仙台以降予測!H69</f>
        <v>0.000306610348359096</v>
      </c>
      <c r="AR55" s="39" t="str">
        <f aca="false">IF(AQ55-AO55&gt;=0.005,"↑ 上方修正",IF(AQ55-AO55&lt;=-0.005,"↓ 下方修正","→ 据置"))</f>
        <v>→ 据置</v>
      </c>
    </row>
    <row r="56" customFormat="false" ht="15" hidden="false" customHeight="false" outlineLevel="0" collapsed="false">
      <c r="A56" s="32" t="n">
        <v>40</v>
      </c>
      <c r="B56" s="32" t="s">
        <v>364</v>
      </c>
      <c r="C56" s="33" t="s">
        <v>365</v>
      </c>
      <c r="D56" s="34" t="n">
        <v>27500</v>
      </c>
      <c r="E56" s="35" t="n">
        <v>8</v>
      </c>
      <c r="F56" s="32" t="s">
        <v>533</v>
      </c>
      <c r="G56" s="35" t="n">
        <v>8</v>
      </c>
      <c r="H56" s="32" t="s">
        <v>533</v>
      </c>
      <c r="I56" s="37" t="n">
        <f aca="false">IFERROR(E56/E$59,0)</f>
        <v>3.78873986512086E-005</v>
      </c>
      <c r="J56" s="37" t="n">
        <f aca="false">IFERROR(G56/G$59,0)</f>
        <v>5.39865708405034E-005</v>
      </c>
      <c r="K56" s="96" t="n">
        <f aca="false">J56-I56</f>
        <v>1.60991721892948E-005</v>
      </c>
      <c r="L56" s="35" t="n">
        <v>3</v>
      </c>
      <c r="M56" s="35" t="n">
        <v>3</v>
      </c>
      <c r="N56" s="35" t="n">
        <v>3</v>
      </c>
      <c r="O56" s="38" t="n">
        <f aca="false">N56-M56</f>
        <v>0</v>
      </c>
      <c r="P56" s="37" t="n">
        <f aca="false">IFERROR(M56/M$59,0)</f>
        <v>5.22875816993464E-005</v>
      </c>
      <c r="Q56" s="37" t="n">
        <f aca="false">IFERROR(N56/N$59,0)</f>
        <v>5.11945392491468E-005</v>
      </c>
      <c r="R56" s="96" t="n">
        <f aca="false">Q56-P56</f>
        <v>-1.09304245019964E-006</v>
      </c>
      <c r="S56" s="35" t="n">
        <v>3</v>
      </c>
      <c r="T56" s="35" t="n">
        <v>4</v>
      </c>
      <c r="U56" s="35" t="n">
        <v>3</v>
      </c>
      <c r="V56" s="38" t="n">
        <f aca="false">U56-T56</f>
        <v>-1</v>
      </c>
      <c r="W56" s="37" t="n">
        <f aca="false">IFERROR(T56/T$59,0)</f>
        <v>0.000122428991185113</v>
      </c>
      <c r="X56" s="37" t="n">
        <f aca="false">IFERROR(U56/U$59,0)</f>
        <v>6.68583272046533E-005</v>
      </c>
      <c r="Y56" s="96" t="n">
        <f aca="false">X56-W56</f>
        <v>-5.55706639804593E-005</v>
      </c>
      <c r="Z56" s="35" t="n">
        <v>3</v>
      </c>
      <c r="AA56" s="35" t="n">
        <v>3</v>
      </c>
      <c r="AB56" s="35" t="n">
        <v>3</v>
      </c>
      <c r="AC56" s="38" t="n">
        <f aca="false">AB56-AA56</f>
        <v>0</v>
      </c>
      <c r="AD56" s="37" t="n">
        <f aca="false">IFERROR(AA56/AA$59,0)</f>
        <v>4.21425260230098E-005</v>
      </c>
      <c r="AE56" s="37" t="n">
        <f aca="false">IFERROR(AB56/AB$59,0)</f>
        <v>4.7066206463759E-005</v>
      </c>
      <c r="AF56" s="96" t="n">
        <f aca="false">AE56-AD56</f>
        <v>4.9236804407492E-006</v>
      </c>
      <c r="AG56" s="35" t="n">
        <v>2</v>
      </c>
      <c r="AH56" s="35" t="n">
        <v>0</v>
      </c>
      <c r="AI56" s="35" t="n">
        <v>0</v>
      </c>
      <c r="AJ56" s="38" t="n">
        <f aca="false">AI56-AH56</f>
        <v>0</v>
      </c>
      <c r="AK56" s="37" t="n">
        <f aca="false">IFERROR(AH56/AH$59,0)</f>
        <v>0</v>
      </c>
      <c r="AL56" s="37" t="n">
        <f aca="false">IFERROR(AI56/AI$59,0)</f>
        <v>0</v>
      </c>
      <c r="AM56" s="96" t="n">
        <f aca="false">AL56-AK56</f>
        <v>0</v>
      </c>
      <c r="AN56" s="35" t="n">
        <f aca="false">G56+N56+U56+AB56</f>
        <v>17</v>
      </c>
      <c r="AO56" s="37" t="n">
        <f aca="false">IFERROR(AN56/AN$59,0)</f>
        <v>5.3900493348045E-005</v>
      </c>
      <c r="AP56" s="37" t="n">
        <f aca="false">①石川予測確定!R46</f>
        <v>0.0001941370607649</v>
      </c>
      <c r="AQ56" s="37" t="n">
        <f aca="false">③仙台以降予測!H70</f>
        <v>9.706853038245E-005</v>
      </c>
      <c r="AR56" s="39" t="str">
        <f aca="false">IF(AQ56-AO56&gt;=0.005,"↑ 上方修正",IF(AQ56-AO56&lt;=-0.005,"↓ 下方修正","→ 据置"))</f>
        <v>→ 据置</v>
      </c>
    </row>
    <row r="57" customFormat="false" ht="15" hidden="false" customHeight="false" outlineLevel="0" collapsed="false">
      <c r="A57" s="32" t="n">
        <v>41</v>
      </c>
      <c r="B57" s="32" t="s">
        <v>366</v>
      </c>
      <c r="C57" s="33" t="s">
        <v>367</v>
      </c>
      <c r="D57" s="34" t="n">
        <v>25000</v>
      </c>
      <c r="E57" s="35" t="n">
        <v>38</v>
      </c>
      <c r="F57" s="32" t="s">
        <v>533</v>
      </c>
      <c r="G57" s="35" t="n">
        <v>12</v>
      </c>
      <c r="H57" s="32" t="s">
        <v>533</v>
      </c>
      <c r="I57" s="37" t="n">
        <f aca="false">IFERROR(E57/E$59,0)</f>
        <v>0.000179965143593241</v>
      </c>
      <c r="J57" s="37" t="n">
        <f aca="false">IFERROR(G57/G$59,0)</f>
        <v>8.09798562607551E-005</v>
      </c>
      <c r="K57" s="96" t="n">
        <f aca="false">J57-I57</f>
        <v>-9.89852873324858E-005</v>
      </c>
      <c r="L57" s="35" t="n">
        <v>10</v>
      </c>
      <c r="M57" s="35" t="n">
        <v>9</v>
      </c>
      <c r="N57" s="35" t="n">
        <v>5</v>
      </c>
      <c r="O57" s="38" t="n">
        <f aca="false">N57-M57</f>
        <v>-4</v>
      </c>
      <c r="P57" s="37" t="n">
        <f aca="false">IFERROR(M57/M$59,0)</f>
        <v>0.000156862745098039</v>
      </c>
      <c r="Q57" s="37" t="n">
        <f aca="false">IFERROR(N57/N$59,0)</f>
        <v>8.53242320819113E-005</v>
      </c>
      <c r="R57" s="96" t="n">
        <f aca="false">Q57-P57</f>
        <v>-7.1538513016128E-005</v>
      </c>
      <c r="S57" s="35" t="n">
        <v>5</v>
      </c>
      <c r="T57" s="35" t="n">
        <v>2</v>
      </c>
      <c r="U57" s="35" t="n">
        <v>1</v>
      </c>
      <c r="V57" s="38" t="n">
        <f aca="false">U57-T57</f>
        <v>-1</v>
      </c>
      <c r="W57" s="37" t="n">
        <f aca="false">IFERROR(T57/T$59,0)</f>
        <v>6.12144955925563E-005</v>
      </c>
      <c r="X57" s="37" t="n">
        <f aca="false">IFERROR(U57/U$59,0)</f>
        <v>2.22861090682178E-005</v>
      </c>
      <c r="Y57" s="96" t="n">
        <f aca="false">X57-W57</f>
        <v>-3.89283865243385E-005</v>
      </c>
      <c r="Z57" s="35" t="n">
        <v>15</v>
      </c>
      <c r="AA57" s="35" t="n">
        <v>3</v>
      </c>
      <c r="AB57" s="35" t="n">
        <v>2</v>
      </c>
      <c r="AC57" s="38" t="n">
        <f aca="false">AB57-AA57</f>
        <v>-1</v>
      </c>
      <c r="AD57" s="37" t="n">
        <f aca="false">IFERROR(AA57/AA$59,0)</f>
        <v>4.21425260230098E-005</v>
      </c>
      <c r="AE57" s="37" t="n">
        <f aca="false">IFERROR(AB57/AB$59,0)</f>
        <v>3.13774709758394E-005</v>
      </c>
      <c r="AF57" s="96" t="n">
        <f aca="false">AE57-AD57</f>
        <v>-1.07650550471705E-005</v>
      </c>
      <c r="AG57" s="35" t="n">
        <v>4</v>
      </c>
      <c r="AH57" s="35" t="n">
        <v>0</v>
      </c>
      <c r="AI57" s="35" t="n">
        <v>0</v>
      </c>
      <c r="AJ57" s="38" t="n">
        <f aca="false">AI57-AH57</f>
        <v>0</v>
      </c>
      <c r="AK57" s="37" t="n">
        <f aca="false">IFERROR(AH57/AH$59,0)</f>
        <v>0</v>
      </c>
      <c r="AL57" s="37" t="n">
        <f aca="false">IFERROR(AI57/AI$59,0)</f>
        <v>0</v>
      </c>
      <c r="AM57" s="96" t="n">
        <f aca="false">AL57-AK57</f>
        <v>0</v>
      </c>
      <c r="AN57" s="35" t="n">
        <f aca="false">G57+N57+U57+AB57</f>
        <v>20</v>
      </c>
      <c r="AO57" s="37" t="n">
        <f aca="false">IFERROR(AN57/AN$59,0)</f>
        <v>6.34123451153471E-005</v>
      </c>
      <c r="AP57" s="37" t="n">
        <f aca="false">①石川予測確定!R47</f>
        <v>0</v>
      </c>
      <c r="AQ57" s="37" t="n">
        <f aca="false">③仙台以降予測!H71</f>
        <v>0</v>
      </c>
      <c r="AR57" s="39" t="str">
        <f aca="false">IF(AQ57-AO57&gt;=0.005,"↑ 上方修正",IF(AQ57-AO57&lt;=-0.005,"↓ 下方修正","→ 据置"))</f>
        <v>→ 据置</v>
      </c>
    </row>
    <row r="58" customFormat="false" ht="15" hidden="false" customHeight="false" outlineLevel="0" collapsed="false">
      <c r="A58" s="32" t="n">
        <v>42</v>
      </c>
      <c r="B58" s="32" t="s">
        <v>368</v>
      </c>
      <c r="C58" s="33" t="s">
        <v>369</v>
      </c>
      <c r="D58" s="34" t="n">
        <v>25000</v>
      </c>
      <c r="E58" s="35" t="n">
        <v>38</v>
      </c>
      <c r="F58" s="32" t="s">
        <v>533</v>
      </c>
      <c r="G58" s="35" t="n">
        <v>24</v>
      </c>
      <c r="H58" s="32" t="s">
        <v>533</v>
      </c>
      <c r="I58" s="37" t="n">
        <f aca="false">IFERROR(E58/E$59,0)</f>
        <v>0.000179965143593241</v>
      </c>
      <c r="J58" s="37" t="n">
        <f aca="false">IFERROR(G58/G$59,0)</f>
        <v>0.00016195971252151</v>
      </c>
      <c r="K58" s="96" t="n">
        <f aca="false">J58-I58</f>
        <v>-1.80054310717306E-005</v>
      </c>
      <c r="L58" s="35" t="n">
        <v>10</v>
      </c>
      <c r="M58" s="35" t="n">
        <v>8</v>
      </c>
      <c r="N58" s="35" t="n">
        <v>8</v>
      </c>
      <c r="O58" s="38" t="n">
        <f aca="false">N58-M58</f>
        <v>0</v>
      </c>
      <c r="P58" s="37" t="n">
        <f aca="false">IFERROR(M58/M$59,0)</f>
        <v>0.000139433551198257</v>
      </c>
      <c r="Q58" s="37" t="n">
        <f aca="false">IFERROR(N58/N$59,0)</f>
        <v>0.000136518771331058</v>
      </c>
      <c r="R58" s="96" t="n">
        <f aca="false">Q58-P58</f>
        <v>-2.91477986719905E-006</v>
      </c>
      <c r="S58" s="35" t="n">
        <v>5</v>
      </c>
      <c r="T58" s="35" t="n">
        <v>3</v>
      </c>
      <c r="U58" s="35" t="n">
        <v>3</v>
      </c>
      <c r="V58" s="38" t="n">
        <f aca="false">U58-T58</f>
        <v>0</v>
      </c>
      <c r="W58" s="37" t="n">
        <f aca="false">IFERROR(T58/T$59,0)</f>
        <v>9.18217433888345E-005</v>
      </c>
      <c r="X58" s="37" t="n">
        <f aca="false">IFERROR(U58/U$59,0)</f>
        <v>6.68583272046533E-005</v>
      </c>
      <c r="Y58" s="96" t="n">
        <f aca="false">X58-W58</f>
        <v>-2.49634161841811E-005</v>
      </c>
      <c r="Z58" s="35" t="n">
        <v>20</v>
      </c>
      <c r="AA58" s="35" t="n">
        <v>5</v>
      </c>
      <c r="AB58" s="35" t="n">
        <v>8</v>
      </c>
      <c r="AC58" s="38" t="n">
        <f aca="false">AB58-AA58</f>
        <v>3</v>
      </c>
      <c r="AD58" s="37" t="n">
        <f aca="false">IFERROR(AA58/AA$59,0)</f>
        <v>7.0237543371683E-005</v>
      </c>
      <c r="AE58" s="37" t="n">
        <f aca="false">IFERROR(AB58/AB$59,0)</f>
        <v>0.000125509883903357</v>
      </c>
      <c r="AF58" s="96" t="n">
        <f aca="false">AE58-AD58</f>
        <v>5.52723405316744E-005</v>
      </c>
      <c r="AG58" s="35" t="n">
        <v>6</v>
      </c>
      <c r="AH58" s="35" t="n">
        <v>1</v>
      </c>
      <c r="AI58" s="35" t="n">
        <v>1</v>
      </c>
      <c r="AJ58" s="38" t="n">
        <f aca="false">AI58-AH58</f>
        <v>0</v>
      </c>
      <c r="AK58" s="37" t="n">
        <f aca="false">IFERROR(AH58/AH$59,0)</f>
        <v>0.00011731581417175</v>
      </c>
      <c r="AL58" s="37" t="n">
        <f aca="false">IFERROR(AI58/AI$59,0)</f>
        <v>0.000112473287594196</v>
      </c>
      <c r="AM58" s="96" t="n">
        <f aca="false">AL58-AK58</f>
        <v>-4.84252657755397E-006</v>
      </c>
      <c r="AN58" s="35" t="n">
        <f aca="false">G58+N58+U58+AB58</f>
        <v>43</v>
      </c>
      <c r="AO58" s="37" t="n">
        <f aca="false">IFERROR(AN58/AN$59,0)</f>
        <v>0.000136336541997996</v>
      </c>
      <c r="AP58" s="37" t="n">
        <f aca="false">①石川予測確定!R48</f>
        <v>0</v>
      </c>
      <c r="AQ58" s="37" t="n">
        <f aca="false">③仙台以降予測!H72</f>
        <v>5.62366437970982E-005</v>
      </c>
      <c r="AR58" s="39" t="str">
        <f aca="false">IF(AQ58-AO58&gt;=0.005,"↑ 上方修正",IF(AQ58-AO58&lt;=-0.005,"↓ 下方修正","→ 据置"))</f>
        <v>→ 据置</v>
      </c>
    </row>
    <row r="59" customFormat="false" ht="15" hidden="false" customHeight="false" outlineLevel="0" collapsed="false">
      <c r="A59" s="40"/>
      <c r="B59" s="40"/>
      <c r="C59" s="41" t="s">
        <v>370</v>
      </c>
      <c r="D59" s="40"/>
      <c r="E59" s="42" t="n">
        <f aca="false">SUM(E17:E58)</f>
        <v>211152</v>
      </c>
      <c r="F59" s="40"/>
      <c r="G59" s="42" t="n">
        <f aca="false">SUM(G17:G58)</f>
        <v>148185</v>
      </c>
      <c r="H59" s="40"/>
      <c r="I59" s="45" t="n">
        <v>1</v>
      </c>
      <c r="J59" s="45" t="n">
        <v>1</v>
      </c>
      <c r="K59" s="97" t="n">
        <v>0</v>
      </c>
      <c r="L59" s="42" t="n">
        <f aca="false">SUM(L17:L58)</f>
        <v>83271</v>
      </c>
      <c r="M59" s="42" t="n">
        <f aca="false">SUM(M17:M58)</f>
        <v>57375</v>
      </c>
      <c r="N59" s="42" t="n">
        <f aca="false">SUM(N17:N58)</f>
        <v>58600</v>
      </c>
      <c r="O59" s="46" t="n">
        <f aca="false">SUM(O17:O58)</f>
        <v>1225</v>
      </c>
      <c r="P59" s="45" t="n">
        <v>1</v>
      </c>
      <c r="Q59" s="45" t="n">
        <v>1</v>
      </c>
      <c r="R59" s="97" t="n">
        <v>0</v>
      </c>
      <c r="S59" s="42" t="n">
        <f aca="false">SUM(S17:S58)</f>
        <v>49598</v>
      </c>
      <c r="T59" s="42" t="n">
        <f aca="false">SUM(T17:T58)</f>
        <v>32672</v>
      </c>
      <c r="U59" s="42" t="n">
        <f aca="false">SUM(U17:U58)</f>
        <v>44871</v>
      </c>
      <c r="V59" s="46" t="n">
        <f aca="false">SUM(V17:V58)</f>
        <v>12199</v>
      </c>
      <c r="W59" s="45" t="n">
        <v>1</v>
      </c>
      <c r="X59" s="45" t="n">
        <v>1</v>
      </c>
      <c r="Y59" s="97" t="n">
        <v>0</v>
      </c>
      <c r="Z59" s="42" t="n">
        <f aca="false">SUM(Z17:Z58)</f>
        <v>137560</v>
      </c>
      <c r="AA59" s="42" t="n">
        <f aca="false">SUM(AA17:AA58)</f>
        <v>71187</v>
      </c>
      <c r="AB59" s="42" t="n">
        <f aca="false">SUM(AB17:AB58)</f>
        <v>63740</v>
      </c>
      <c r="AC59" s="46" t="n">
        <f aca="false">SUM(AC17:AC58)</f>
        <v>-7447</v>
      </c>
      <c r="AD59" s="45" t="n">
        <v>1</v>
      </c>
      <c r="AE59" s="45" t="n">
        <v>1</v>
      </c>
      <c r="AF59" s="97" t="n">
        <v>0</v>
      </c>
      <c r="AG59" s="42" t="n">
        <f aca="false">SUM(AG17:AG58)</f>
        <v>50506</v>
      </c>
      <c r="AH59" s="42" t="n">
        <f aca="false">SUM(AH17:AH58)</f>
        <v>8524</v>
      </c>
      <c r="AI59" s="42" t="n">
        <f aca="false">SUM(AI17:AI58)</f>
        <v>8891</v>
      </c>
      <c r="AJ59" s="46" t="n">
        <f aca="false">SUM(AJ17:AJ58)</f>
        <v>367</v>
      </c>
      <c r="AK59" s="45" t="n">
        <v>1</v>
      </c>
      <c r="AL59" s="45" t="n">
        <v>1</v>
      </c>
      <c r="AM59" s="97" t="n">
        <v>0</v>
      </c>
      <c r="AN59" s="42" t="n">
        <f aca="false">SUM(AN17:AN58)</f>
        <v>315396</v>
      </c>
      <c r="AO59" s="45" t="n">
        <v>1</v>
      </c>
      <c r="AP59" s="45" t="n">
        <v>1</v>
      </c>
      <c r="AQ59" s="45" t="n">
        <v>1</v>
      </c>
      <c r="AR59" s="40"/>
    </row>
    <row r="61" customFormat="false" ht="15" hidden="false" customHeight="false" outlineLevel="0" collapsed="false">
      <c r="A61" s="4" t="s">
        <v>770</v>
      </c>
    </row>
    <row r="62" customFormat="false" ht="15" hidden="false" customHeight="false" outlineLevel="0" collapsed="false">
      <c r="A62" s="5" t="s">
        <v>771</v>
      </c>
      <c r="B62" s="93" t="s">
        <v>772</v>
      </c>
      <c r="C62" s="93"/>
      <c r="D62" s="93"/>
      <c r="E62" s="93"/>
      <c r="F62" s="93"/>
      <c r="G62" s="93"/>
      <c r="H62" s="93"/>
      <c r="I62" s="93"/>
      <c r="J62" s="93"/>
      <c r="K62" s="93"/>
      <c r="L62" s="93"/>
    </row>
    <row r="63" customFormat="false" ht="15" hidden="false" customHeight="false" outlineLevel="0" collapsed="false">
      <c r="A63" s="5" t="s">
        <v>773</v>
      </c>
      <c r="B63" s="93" t="s">
        <v>774</v>
      </c>
      <c r="C63" s="93"/>
      <c r="D63" s="93"/>
      <c r="E63" s="93"/>
      <c r="F63" s="93"/>
      <c r="G63" s="93"/>
      <c r="H63" s="93"/>
      <c r="I63" s="93"/>
      <c r="J63" s="93"/>
      <c r="K63" s="93"/>
      <c r="L63" s="93"/>
    </row>
    <row r="64" customFormat="false" ht="15" hidden="false" customHeight="false" outlineLevel="0" collapsed="false">
      <c r="A64" s="5" t="s">
        <v>775</v>
      </c>
      <c r="B64" s="93" t="s">
        <v>776</v>
      </c>
      <c r="C64" s="93"/>
      <c r="D64" s="93"/>
      <c r="E64" s="93"/>
      <c r="F64" s="93"/>
      <c r="G64" s="93"/>
      <c r="H64" s="93"/>
      <c r="I64" s="93"/>
      <c r="J64" s="93"/>
      <c r="K64" s="93"/>
      <c r="L64" s="93"/>
    </row>
    <row r="65" customFormat="false" ht="15" hidden="false" customHeight="false" outlineLevel="0" collapsed="false">
      <c r="A65" s="5" t="s">
        <v>777</v>
      </c>
      <c r="B65" s="93" t="s">
        <v>778</v>
      </c>
      <c r="C65" s="93"/>
      <c r="D65" s="93"/>
      <c r="E65" s="93"/>
      <c r="F65" s="93"/>
      <c r="G65" s="93"/>
      <c r="H65" s="93"/>
      <c r="I65" s="93"/>
      <c r="J65" s="93"/>
      <c r="K65" s="93"/>
      <c r="L65" s="93"/>
    </row>
    <row r="66" customFormat="false" ht="15" hidden="false" customHeight="false" outlineLevel="0" collapsed="false">
      <c r="A66" s="5" t="s">
        <v>779</v>
      </c>
      <c r="B66" s="98" t="s">
        <v>780</v>
      </c>
      <c r="C66" s="98"/>
      <c r="D66" s="98"/>
      <c r="E66" s="98"/>
      <c r="F66" s="98"/>
      <c r="G66" s="98"/>
      <c r="H66" s="98"/>
      <c r="I66" s="98"/>
      <c r="J66" s="98"/>
      <c r="K66" s="98"/>
      <c r="L66" s="98"/>
    </row>
    <row r="67" customFormat="false" ht="15" hidden="false" customHeight="false" outlineLevel="0" collapsed="false">
      <c r="A67" s="5"/>
      <c r="B67" s="93" t="s">
        <v>781</v>
      </c>
      <c r="C67" s="93"/>
      <c r="D67" s="93"/>
      <c r="E67" s="93"/>
      <c r="F67" s="93"/>
      <c r="G67" s="93"/>
      <c r="H67" s="93"/>
      <c r="I67" s="93"/>
      <c r="J67" s="93"/>
      <c r="K67" s="93"/>
      <c r="L67" s="93"/>
    </row>
  </sheetData>
  <mergeCells count="6">
    <mergeCell ref="B62:L62"/>
    <mergeCell ref="B63:L63"/>
    <mergeCell ref="B64:L64"/>
    <mergeCell ref="B65:L65"/>
    <mergeCell ref="B66:L66"/>
    <mergeCell ref="B67:L67"/>
  </mergeCells>
  <conditionalFormatting sqref="AR17:AR58">
    <cfRule type="expression" priority="2" aboveAverage="0" equalAverage="0" bottom="0" percent="0" rank="0" text="" dxfId="2">
      <formula>LEFT($AR17,1)="↑"</formula>
    </cfRule>
    <cfRule type="expression" priority="3" aboveAverage="0" equalAverage="0" bottom="0" percent="0" rank="0" text="" dxfId="1">
      <formula>LEFT($AR17,1)="↓"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5" min="2" style="0" width="18"/>
    <col collapsed="false" customWidth="true" hidden="false" outlineLevel="0" max="13" min="6" style="0" width="13"/>
  </cols>
  <sheetData>
    <row r="1" customFormat="false" ht="18.55" hidden="false" customHeight="false" outlineLevel="0" collapsed="false">
      <c r="A1" s="1" t="s">
        <v>782</v>
      </c>
    </row>
    <row r="2" customFormat="false" ht="15" hidden="false" customHeight="false" outlineLevel="0" collapsed="false">
      <c r="A2" s="3" t="s">
        <v>783</v>
      </c>
    </row>
    <row r="3" customFormat="false" ht="15" hidden="false" customHeight="false" outlineLevel="0" collapsed="false">
      <c r="A3" s="3" t="s">
        <v>784</v>
      </c>
    </row>
    <row r="4" customFormat="false" ht="15" hidden="false" customHeight="false" outlineLevel="0" collapsed="false">
      <c r="A4" s="3" t="s">
        <v>785</v>
      </c>
    </row>
    <row r="6" customFormat="false" ht="15" hidden="false" customHeight="false" outlineLevel="0" collapsed="false">
      <c r="A6" s="4" t="s">
        <v>786</v>
      </c>
    </row>
    <row r="7" customFormat="false" ht="33.75" hidden="false" customHeight="true" outlineLevel="0" collapsed="false">
      <c r="A7" s="26" t="s">
        <v>424</v>
      </c>
      <c r="B7" s="26" t="s">
        <v>787</v>
      </c>
      <c r="C7" s="26" t="s">
        <v>788</v>
      </c>
      <c r="D7" s="26" t="s">
        <v>789</v>
      </c>
      <c r="E7" s="26" t="s">
        <v>790</v>
      </c>
      <c r="F7" s="26" t="s">
        <v>791</v>
      </c>
      <c r="G7" s="26" t="s">
        <v>598</v>
      </c>
    </row>
    <row r="8" customFormat="false" ht="15" hidden="false" customHeight="false" outlineLevel="0" collapsed="false">
      <c r="A8" s="54" t="s">
        <v>376</v>
      </c>
      <c r="B8" s="34" t="n">
        <v>250000000</v>
      </c>
      <c r="C8" s="65" t="n">
        <f aca="false">B8/$B$8</f>
        <v>1</v>
      </c>
      <c r="D8" s="34" t="n">
        <v>358193925</v>
      </c>
      <c r="E8" s="65" t="n">
        <f aca="false">D8/$D$8</f>
        <v>1</v>
      </c>
      <c r="F8" s="37" t="n">
        <f aca="false">IFERROR(E8/C8,"")</f>
        <v>1</v>
      </c>
      <c r="G8" s="69" t="s">
        <v>792</v>
      </c>
    </row>
    <row r="9" customFormat="false" ht="15" hidden="false" customHeight="false" outlineLevel="0" collapsed="false">
      <c r="A9" s="54" t="s">
        <v>377</v>
      </c>
      <c r="B9" s="34" t="n">
        <v>72000000</v>
      </c>
      <c r="C9" s="65" t="n">
        <f aca="false">B9/$B$8</f>
        <v>0.288</v>
      </c>
      <c r="D9" s="34" t="n">
        <v>138575410</v>
      </c>
      <c r="E9" s="65" t="n">
        <f aca="false">D9/$D$8</f>
        <v>0.386872585848574</v>
      </c>
      <c r="F9" s="37" t="n">
        <f aca="false">IFERROR(E9/C9,"")</f>
        <v>1.34330758975199</v>
      </c>
      <c r="G9" s="69" t="s">
        <v>793</v>
      </c>
    </row>
    <row r="10" customFormat="false" ht="15" hidden="false" customHeight="false" outlineLevel="0" collapsed="false">
      <c r="A10" s="54" t="s">
        <v>378</v>
      </c>
      <c r="B10" s="34" t="n">
        <v>56000000</v>
      </c>
      <c r="C10" s="65" t="n">
        <f aca="false">B10/$B$8</f>
        <v>0.224</v>
      </c>
      <c r="D10" s="34" t="n">
        <v>105540655</v>
      </c>
      <c r="E10" s="65" t="n">
        <f aca="false">D10/$D$8</f>
        <v>0.294646691732698</v>
      </c>
      <c r="F10" s="37" t="n">
        <f aca="false">IFERROR(E10/C10,"")</f>
        <v>1.31538701666383</v>
      </c>
      <c r="G10" s="69" t="s">
        <v>793</v>
      </c>
    </row>
    <row r="11" customFormat="false" ht="37.3" hidden="false" customHeight="false" outlineLevel="0" collapsed="false">
      <c r="A11" s="54" t="s">
        <v>379</v>
      </c>
      <c r="B11" s="34" t="n">
        <v>80000000</v>
      </c>
      <c r="C11" s="65" t="n">
        <f aca="false">B11/$B$8</f>
        <v>0.32</v>
      </c>
      <c r="D11" s="34" t="n">
        <v>215184570</v>
      </c>
      <c r="E11" s="65" t="n">
        <f aca="false">D11/$D$8</f>
        <v>0.600748798294108</v>
      </c>
      <c r="F11" s="37" t="n">
        <f aca="false">IFERROR(E11/C11,"")</f>
        <v>1.87733999466909</v>
      </c>
      <c r="G11" s="69" t="s">
        <v>794</v>
      </c>
    </row>
    <row r="12" customFormat="false" ht="25.35" hidden="false" customHeight="false" outlineLevel="0" collapsed="false">
      <c r="A12" s="54" t="s">
        <v>380</v>
      </c>
      <c r="B12" s="34" t="n">
        <v>54600000</v>
      </c>
      <c r="C12" s="65" t="n">
        <f aca="false">B12/$B$8</f>
        <v>0.2184</v>
      </c>
      <c r="D12" s="34" t="n">
        <v>41120210</v>
      </c>
      <c r="E12" s="65" t="n">
        <f aca="false">D12/$D$8</f>
        <v>0.114798736466566</v>
      </c>
      <c r="F12" s="37" t="n">
        <f aca="false">IFERROR(E12/C12,"")</f>
        <v>0.52563524023153</v>
      </c>
      <c r="G12" s="69" t="s">
        <v>795</v>
      </c>
    </row>
    <row r="13" customFormat="false" ht="25.35" hidden="false" customHeight="false" outlineLevel="0" collapsed="false">
      <c r="A13" s="54" t="s">
        <v>796</v>
      </c>
      <c r="B13" s="34" t="n">
        <v>31200000</v>
      </c>
      <c r="C13" s="65" t="n">
        <f aca="false">B13/$B$8</f>
        <v>0.1248</v>
      </c>
      <c r="D13" s="34" t="n">
        <v>25161149</v>
      </c>
      <c r="E13" s="65" t="n">
        <f aca="false">D13/$D$8</f>
        <v>0.0702444883731627</v>
      </c>
      <c r="F13" s="37" t="n">
        <f aca="false">IFERROR(E13/C13,"")</f>
        <v>0.56285647734906</v>
      </c>
      <c r="G13" s="69" t="s">
        <v>797</v>
      </c>
    </row>
    <row r="14" customFormat="false" ht="25.35" hidden="false" customHeight="false" outlineLevel="0" collapsed="false">
      <c r="A14" s="54" t="s">
        <v>798</v>
      </c>
      <c r="B14" s="34" t="n">
        <v>39000000</v>
      </c>
      <c r="C14" s="65" t="n">
        <f aca="false">B14/$B$8</f>
        <v>0.156</v>
      </c>
      <c r="D14" s="32" t="s">
        <v>533</v>
      </c>
      <c r="E14" s="32" t="s">
        <v>533</v>
      </c>
      <c r="F14" s="32" t="s">
        <v>533</v>
      </c>
      <c r="G14" s="69" t="s">
        <v>799</v>
      </c>
    </row>
    <row r="16" customFormat="false" ht="15" hidden="false" customHeight="false" outlineLevel="0" collapsed="false">
      <c r="A16" s="4" t="s">
        <v>800</v>
      </c>
    </row>
    <row r="17" customFormat="false" ht="33.75" hidden="false" customHeight="true" outlineLevel="0" collapsed="false">
      <c r="A17" s="26" t="s">
        <v>424</v>
      </c>
      <c r="B17" s="26" t="s">
        <v>399</v>
      </c>
      <c r="C17" s="17" t="s">
        <v>801</v>
      </c>
      <c r="D17" s="17" t="s">
        <v>802</v>
      </c>
      <c r="E17" s="17" t="s">
        <v>803</v>
      </c>
      <c r="F17" s="17" t="s">
        <v>804</v>
      </c>
      <c r="G17" s="17" t="s">
        <v>805</v>
      </c>
      <c r="H17" s="17" t="s">
        <v>806</v>
      </c>
      <c r="I17" s="17" t="s">
        <v>807</v>
      </c>
      <c r="J17" s="17" t="s">
        <v>808</v>
      </c>
    </row>
    <row r="18" customFormat="false" ht="15" hidden="false" customHeight="false" outlineLevel="0" collapsed="false">
      <c r="A18" s="50" t="s">
        <v>446</v>
      </c>
      <c r="B18" s="35" t="n">
        <v>30</v>
      </c>
      <c r="C18" s="65" t="n">
        <f aca="false">前提・入力!C17</f>
        <v>0.13</v>
      </c>
      <c r="D18" s="35" t="n">
        <f aca="false">ROUND(前提・入力!$B$13*C18*前提・入力!$B$29/前提・入力!$B$30,0)</f>
        <v>9536</v>
      </c>
      <c r="E18" s="65" t="n">
        <f aca="false">前提・入力!D17</f>
        <v>0.156</v>
      </c>
      <c r="F18" s="35" t="n">
        <f aca="false">ROUND(前提・入力!$B$13*E18*前提・入力!$B$29/前提・入力!$B$30,0)</f>
        <v>11443</v>
      </c>
      <c r="G18" s="65" t="n">
        <f aca="false">前提・入力!E17</f>
        <v>0.0878056107071955</v>
      </c>
      <c r="H18" s="35" t="n">
        <f aca="false">ROUND(前提・入力!$B$13*G18*前提・入力!$B$29/前提・入力!$B$30,0)</f>
        <v>6441</v>
      </c>
      <c r="I18" s="65" t="n">
        <f aca="false">前提・入力!F17</f>
        <v>0.13</v>
      </c>
      <c r="J18" s="35" t="n">
        <f aca="false">ROUND(前提・入力!$B$13*I18*前提・入力!$B$29/前提・入力!$B$30,0)</f>
        <v>9536</v>
      </c>
    </row>
    <row r="19" customFormat="false" ht="15" hidden="false" customHeight="false" outlineLevel="0" collapsed="false">
      <c r="A19" s="50" t="s">
        <v>384</v>
      </c>
      <c r="B19" s="35" t="n">
        <v>21</v>
      </c>
      <c r="C19" s="65" t="n">
        <f aca="false">前提・入力!C18</f>
        <v>0.12</v>
      </c>
      <c r="D19" s="35" t="n">
        <f aca="false">ROUND(前提・入力!$B$13*C19*前提・入力!$B$29/前提・入力!$B$30,0)</f>
        <v>8802</v>
      </c>
      <c r="E19" s="65" t="n">
        <f aca="false">前提・入力!D18</f>
        <v>0.12</v>
      </c>
      <c r="F19" s="35" t="n">
        <f aca="false">ROUND(前提・入力!$B$13*E19*前提・入力!$B$29/前提・入力!$B$30,0)</f>
        <v>8802</v>
      </c>
      <c r="G19" s="65" t="n">
        <f aca="false">前提・入力!E18</f>
        <v>0.0675427774670735</v>
      </c>
      <c r="H19" s="35" t="n">
        <f aca="false">ROUND(前提・入力!$B$13*G19*前提・入力!$B$29/前提・入力!$B$30,0)</f>
        <v>4955</v>
      </c>
      <c r="I19" s="65" t="n">
        <f aca="false">前提・入力!F18</f>
        <v>0.12</v>
      </c>
      <c r="J19" s="35" t="n">
        <f aca="false">ROUND(前提・入力!$B$13*I19*前提・入力!$B$29/前提・入力!$B$30,0)</f>
        <v>8802</v>
      </c>
    </row>
    <row r="20" customFormat="false" ht="15" hidden="false" customHeight="false" outlineLevel="0" collapsed="false">
      <c r="A20" s="50" t="s">
        <v>385</v>
      </c>
      <c r="B20" s="35" t="n">
        <v>21</v>
      </c>
      <c r="C20" s="65" t="n">
        <f aca="false">前提・入力!C19</f>
        <v>0.09</v>
      </c>
      <c r="D20" s="35" t="n">
        <f aca="false">ROUND(前提・入力!$B$13*C20*前提・入力!$B$29/前提・入力!$B$30,0)</f>
        <v>6602</v>
      </c>
      <c r="E20" s="65" t="n">
        <f aca="false">前提・入力!D19</f>
        <v>0.09</v>
      </c>
      <c r="F20" s="35" t="n">
        <f aca="false">ROUND(前提・入力!$B$13*E20*前提・入力!$B$29/前提・入力!$B$30,0)</f>
        <v>6602</v>
      </c>
      <c r="G20" s="65" t="n">
        <f aca="false">前提・入力!E19</f>
        <v>0.0506570831003051</v>
      </c>
      <c r="H20" s="35" t="n">
        <f aca="false">ROUND(前提・入力!$B$13*G20*前提・入力!$B$29/前提・入力!$B$30,0)</f>
        <v>3716</v>
      </c>
      <c r="I20" s="65" t="n">
        <f aca="false">前提・入力!F19</f>
        <v>0.09</v>
      </c>
      <c r="J20" s="35" t="n">
        <f aca="false">ROUND(前提・入力!$B$13*I20*前提・入力!$B$29/前提・入力!$B$30,0)</f>
        <v>6602</v>
      </c>
    </row>
    <row r="21" customFormat="false" ht="15" hidden="false" customHeight="false" outlineLevel="0" collapsed="false">
      <c r="A21" s="50" t="s">
        <v>386</v>
      </c>
      <c r="B21" s="35" t="n">
        <v>25</v>
      </c>
      <c r="C21" s="65" t="n">
        <f aca="false">前提・入力!C20</f>
        <v>0.5</v>
      </c>
      <c r="D21" s="35" t="n">
        <f aca="false">ROUND(前提・入力!$B$13*C21*前提・入力!$B$29/前提・入力!$B$30,0)</f>
        <v>36677</v>
      </c>
      <c r="E21" s="65" t="n">
        <f aca="false">前提・入力!D20</f>
        <v>0.5</v>
      </c>
      <c r="F21" s="35" t="n">
        <f aca="false">ROUND(前提・入力!$B$13*E21*前提・入力!$B$29/前提・入力!$B$30,0)</f>
        <v>36677</v>
      </c>
      <c r="G21" s="65" t="n">
        <f aca="false">前提・入力!E20</f>
        <v>0.5</v>
      </c>
      <c r="H21" s="35" t="n">
        <f aca="false">ROUND(前提・入力!$B$13*G21*前提・入力!$B$29/前提・入力!$B$30,0)</f>
        <v>36677</v>
      </c>
      <c r="I21" s="65" t="n">
        <f aca="false">前提・入力!F20</f>
        <v>0.5</v>
      </c>
      <c r="J21" s="35" t="n">
        <f aca="false">ROUND(前提・入力!$B$13*I21*前提・入力!$B$29/前提・入力!$B$30,0)</f>
        <v>36677</v>
      </c>
    </row>
    <row r="22" customFormat="false" ht="15" hidden="false" customHeight="false" outlineLevel="0" collapsed="false">
      <c r="A22" s="90" t="s">
        <v>809</v>
      </c>
      <c r="B22" s="40"/>
      <c r="C22" s="66" t="n">
        <f aca="false">SUM(C18:C21)</f>
        <v>0.84</v>
      </c>
      <c r="D22" s="42" t="n">
        <f aca="false">SUM(D18:D21)</f>
        <v>61617</v>
      </c>
      <c r="E22" s="66" t="n">
        <f aca="false">SUM(E18:E21)</f>
        <v>0.866</v>
      </c>
      <c r="F22" s="42" t="n">
        <f aca="false">SUM(F18:F21)</f>
        <v>63524</v>
      </c>
      <c r="G22" s="66" t="n">
        <f aca="false">SUM(G18:G21)</f>
        <v>0.706005471274574</v>
      </c>
      <c r="H22" s="42" t="n">
        <f aca="false">SUM(H18:H21)</f>
        <v>51789</v>
      </c>
      <c r="I22" s="66" t="n">
        <f aca="false">SUM(I18:I21)</f>
        <v>0.84</v>
      </c>
      <c r="J22" s="42" t="n">
        <f aca="false">SUM(J18:J21)</f>
        <v>61617</v>
      </c>
    </row>
    <row r="24" customFormat="false" ht="15" hidden="false" customHeight="false" outlineLevel="0" collapsed="false">
      <c r="A24" s="4" t="s">
        <v>810</v>
      </c>
    </row>
    <row r="25" customFormat="false" ht="39.75" hidden="false" customHeight="true" outlineLevel="0" collapsed="false">
      <c r="A25" s="25" t="s">
        <v>263</v>
      </c>
      <c r="B25" s="25" t="s">
        <v>264</v>
      </c>
      <c r="C25" s="26" t="s">
        <v>265</v>
      </c>
      <c r="D25" s="17" t="s">
        <v>811</v>
      </c>
      <c r="E25" s="62" t="s">
        <v>519</v>
      </c>
      <c r="F25" s="49" t="s">
        <v>812</v>
      </c>
      <c r="G25" s="31" t="s">
        <v>813</v>
      </c>
      <c r="H25" s="49" t="s">
        <v>814</v>
      </c>
      <c r="I25" s="31" t="s">
        <v>815</v>
      </c>
      <c r="J25" s="49" t="s">
        <v>816</v>
      </c>
      <c r="K25" s="31" t="s">
        <v>817</v>
      </c>
      <c r="L25" s="49" t="s">
        <v>818</v>
      </c>
      <c r="M25" s="31" t="s">
        <v>819</v>
      </c>
    </row>
    <row r="26" customFormat="false" ht="15" hidden="false" customHeight="false" outlineLevel="0" collapsed="false">
      <c r="A26" s="32" t="n">
        <v>1</v>
      </c>
      <c r="B26" s="32" t="s">
        <v>286</v>
      </c>
      <c r="C26" s="33" t="s">
        <v>287</v>
      </c>
      <c r="D26" s="65" t="n">
        <f aca="false">③仙台以降予測!H31</f>
        <v>0.0549146186691552</v>
      </c>
      <c r="E26" s="35" t="n">
        <f aca="false">③仙台以降予測!V31</f>
        <v>2489</v>
      </c>
      <c r="F26" s="35" t="n">
        <f aca="false">ROUND($D26*D$22,0)</f>
        <v>3384</v>
      </c>
      <c r="G26" s="35" t="n">
        <f aca="false">MAX(0,F26-$E26)</f>
        <v>895</v>
      </c>
      <c r="H26" s="35" t="n">
        <f aca="false">ROUND($D26*F$22,0)</f>
        <v>3488</v>
      </c>
      <c r="I26" s="35" t="n">
        <f aca="false">MAX(0,H26-$E26)</f>
        <v>999</v>
      </c>
      <c r="J26" s="35" t="n">
        <f aca="false">ROUND($D26*H$22,0)</f>
        <v>2844</v>
      </c>
      <c r="K26" s="35" t="n">
        <f aca="false">MAX(0,J26-$E26)</f>
        <v>355</v>
      </c>
      <c r="L26" s="35" t="n">
        <f aca="false">ROUND($D26*J$22,0)</f>
        <v>3384</v>
      </c>
      <c r="M26" s="35" t="n">
        <f aca="false">MAX(0,L26-$E26)</f>
        <v>895</v>
      </c>
    </row>
    <row r="27" customFormat="false" ht="15" hidden="false" customHeight="false" outlineLevel="0" collapsed="false">
      <c r="A27" s="32" t="n">
        <v>2</v>
      </c>
      <c r="B27" s="32" t="s">
        <v>288</v>
      </c>
      <c r="C27" s="33" t="s">
        <v>289</v>
      </c>
      <c r="D27" s="65" t="n">
        <f aca="false">③仙台以降予測!H32</f>
        <v>0.0619712966685264</v>
      </c>
      <c r="E27" s="35" t="n">
        <f aca="false">③仙台以降予測!V32</f>
        <v>4170</v>
      </c>
      <c r="F27" s="35" t="n">
        <f aca="false">ROUND($D27*D$22,0)</f>
        <v>3818</v>
      </c>
      <c r="G27" s="35" t="n">
        <f aca="false">MAX(0,F27-$E27)</f>
        <v>0</v>
      </c>
      <c r="H27" s="35" t="n">
        <f aca="false">ROUND($D27*F$22,0)</f>
        <v>3937</v>
      </c>
      <c r="I27" s="35" t="n">
        <f aca="false">MAX(0,H27-$E27)</f>
        <v>0</v>
      </c>
      <c r="J27" s="35" t="n">
        <f aca="false">ROUND($D27*H$22,0)</f>
        <v>3209</v>
      </c>
      <c r="K27" s="35" t="n">
        <f aca="false">MAX(0,J27-$E27)</f>
        <v>0</v>
      </c>
      <c r="L27" s="35" t="n">
        <f aca="false">ROUND($D27*J$22,0)</f>
        <v>3818</v>
      </c>
      <c r="M27" s="35" t="n">
        <f aca="false">MAX(0,L27-$E27)</f>
        <v>0</v>
      </c>
    </row>
    <row r="28" customFormat="false" ht="15" hidden="false" customHeight="false" outlineLevel="0" collapsed="false">
      <c r="A28" s="32" t="n">
        <v>3</v>
      </c>
      <c r="B28" s="32" t="s">
        <v>290</v>
      </c>
      <c r="C28" s="33" t="s">
        <v>291</v>
      </c>
      <c r="D28" s="65" t="n">
        <f aca="false">③仙台以降予測!H33</f>
        <v>0.0209580793868387</v>
      </c>
      <c r="E28" s="35" t="n">
        <f aca="false">③仙台以降予測!V33</f>
        <v>1857</v>
      </c>
      <c r="F28" s="35" t="n">
        <f aca="false">ROUND($D28*D$22,0)</f>
        <v>1291</v>
      </c>
      <c r="G28" s="35" t="n">
        <f aca="false">MAX(0,F28-$E28)</f>
        <v>0</v>
      </c>
      <c r="H28" s="35" t="n">
        <f aca="false">ROUND($D28*F$22,0)</f>
        <v>1331</v>
      </c>
      <c r="I28" s="35" t="n">
        <f aca="false">MAX(0,H28-$E28)</f>
        <v>0</v>
      </c>
      <c r="J28" s="35" t="n">
        <f aca="false">ROUND($D28*H$22,0)</f>
        <v>1085</v>
      </c>
      <c r="K28" s="35" t="n">
        <f aca="false">MAX(0,J28-$E28)</f>
        <v>0</v>
      </c>
      <c r="L28" s="35" t="n">
        <f aca="false">ROUND($D28*J$22,0)</f>
        <v>1291</v>
      </c>
      <c r="M28" s="35" t="n">
        <f aca="false">MAX(0,L28-$E28)</f>
        <v>0</v>
      </c>
    </row>
    <row r="29" customFormat="false" ht="15" hidden="false" customHeight="false" outlineLevel="0" collapsed="false">
      <c r="A29" s="32" t="n">
        <v>4</v>
      </c>
      <c r="B29" s="32" t="s">
        <v>292</v>
      </c>
      <c r="C29" s="33" t="s">
        <v>293</v>
      </c>
      <c r="D29" s="65" t="n">
        <f aca="false">③仙台以降予測!H34</f>
        <v>0.0258291378569867</v>
      </c>
      <c r="E29" s="35" t="n">
        <f aca="false">③仙台以降予測!V34</f>
        <v>3153</v>
      </c>
      <c r="F29" s="35" t="n">
        <f aca="false">ROUND($D29*D$22,0)</f>
        <v>1592</v>
      </c>
      <c r="G29" s="35" t="n">
        <f aca="false">MAX(0,F29-$E29)</f>
        <v>0</v>
      </c>
      <c r="H29" s="35" t="n">
        <f aca="false">ROUND($D29*F$22,0)</f>
        <v>1641</v>
      </c>
      <c r="I29" s="35" t="n">
        <f aca="false">MAX(0,H29-$E29)</f>
        <v>0</v>
      </c>
      <c r="J29" s="35" t="n">
        <f aca="false">ROUND($D29*H$22,0)</f>
        <v>1338</v>
      </c>
      <c r="K29" s="35" t="n">
        <f aca="false">MAX(0,J29-$E29)</f>
        <v>0</v>
      </c>
      <c r="L29" s="35" t="n">
        <f aca="false">ROUND($D29*J$22,0)</f>
        <v>1592</v>
      </c>
      <c r="M29" s="35" t="n">
        <f aca="false">MAX(0,L29-$E29)</f>
        <v>0</v>
      </c>
    </row>
    <row r="30" customFormat="false" ht="15" hidden="false" customHeight="false" outlineLevel="0" collapsed="false">
      <c r="A30" s="32" t="n">
        <v>5</v>
      </c>
      <c r="B30" s="32" t="s">
        <v>294</v>
      </c>
      <c r="C30" s="33" t="s">
        <v>295</v>
      </c>
      <c r="D30" s="65" t="n">
        <f aca="false">③仙台以降予測!H35</f>
        <v>0.0514981033588681</v>
      </c>
      <c r="E30" s="35" t="n">
        <f aca="false">③仙台以降予測!V35</f>
        <v>39392</v>
      </c>
      <c r="F30" s="35" t="n">
        <f aca="false">ROUND($D30*D$22,0)</f>
        <v>3173</v>
      </c>
      <c r="G30" s="35" t="n">
        <f aca="false">MAX(0,F30-$E30)</f>
        <v>0</v>
      </c>
      <c r="H30" s="35" t="n">
        <f aca="false">ROUND($D30*F$22,0)</f>
        <v>3271</v>
      </c>
      <c r="I30" s="35" t="n">
        <f aca="false">MAX(0,H30-$E30)</f>
        <v>0</v>
      </c>
      <c r="J30" s="35" t="n">
        <f aca="false">ROUND($D30*H$22,0)</f>
        <v>2667</v>
      </c>
      <c r="K30" s="35" t="n">
        <f aca="false">MAX(0,J30-$E30)</f>
        <v>0</v>
      </c>
      <c r="L30" s="35" t="n">
        <f aca="false">ROUND($D30*J$22,0)</f>
        <v>3173</v>
      </c>
      <c r="M30" s="35" t="n">
        <f aca="false">MAX(0,L30-$E30)</f>
        <v>0</v>
      </c>
    </row>
    <row r="31" customFormat="false" ht="15" hidden="false" customHeight="false" outlineLevel="0" collapsed="false">
      <c r="A31" s="32" t="n">
        <v>6</v>
      </c>
      <c r="B31" s="32" t="s">
        <v>296</v>
      </c>
      <c r="C31" s="33" t="s">
        <v>297</v>
      </c>
      <c r="D31" s="65" t="n">
        <f aca="false">③仙台以降予測!H36</f>
        <v>0.113442302502661</v>
      </c>
      <c r="E31" s="35" t="n">
        <f aca="false">③仙台以降予測!V36</f>
        <v>50228</v>
      </c>
      <c r="F31" s="35" t="n">
        <f aca="false">ROUND($D31*D$22,0)</f>
        <v>6990</v>
      </c>
      <c r="G31" s="35" t="n">
        <f aca="false">MAX(0,F31-$E31)</f>
        <v>0</v>
      </c>
      <c r="H31" s="35" t="n">
        <f aca="false">ROUND($D31*F$22,0)</f>
        <v>7206</v>
      </c>
      <c r="I31" s="35" t="n">
        <f aca="false">MAX(0,H31-$E31)</f>
        <v>0</v>
      </c>
      <c r="J31" s="35" t="n">
        <f aca="false">ROUND($D31*H$22,0)</f>
        <v>5875</v>
      </c>
      <c r="K31" s="35" t="n">
        <f aca="false">MAX(0,J31-$E31)</f>
        <v>0</v>
      </c>
      <c r="L31" s="35" t="n">
        <f aca="false">ROUND($D31*J$22,0)</f>
        <v>6990</v>
      </c>
      <c r="M31" s="35" t="n">
        <f aca="false">MAX(0,L31-$E31)</f>
        <v>0</v>
      </c>
    </row>
    <row r="32" customFormat="false" ht="15" hidden="false" customHeight="false" outlineLevel="0" collapsed="false">
      <c r="A32" s="32" t="n">
        <v>7</v>
      </c>
      <c r="B32" s="32" t="s">
        <v>298</v>
      </c>
      <c r="C32" s="33" t="s">
        <v>299</v>
      </c>
      <c r="D32" s="65" t="n">
        <f aca="false">③仙台以降予測!H37</f>
        <v>0.0265325599031616</v>
      </c>
      <c r="E32" s="35" t="n">
        <f aca="false">③仙台以降予測!V37</f>
        <v>4249</v>
      </c>
      <c r="F32" s="35" t="n">
        <f aca="false">ROUND($D32*D$22,0)</f>
        <v>1635</v>
      </c>
      <c r="G32" s="35" t="n">
        <f aca="false">MAX(0,F32-$E32)</f>
        <v>0</v>
      </c>
      <c r="H32" s="35" t="n">
        <f aca="false">ROUND($D32*F$22,0)</f>
        <v>1685</v>
      </c>
      <c r="I32" s="35" t="n">
        <f aca="false">MAX(0,H32-$E32)</f>
        <v>0</v>
      </c>
      <c r="J32" s="35" t="n">
        <f aca="false">ROUND($D32*H$22,0)</f>
        <v>1374</v>
      </c>
      <c r="K32" s="35" t="n">
        <f aca="false">MAX(0,J32-$E32)</f>
        <v>0</v>
      </c>
      <c r="L32" s="35" t="n">
        <f aca="false">ROUND($D32*J$22,0)</f>
        <v>1635</v>
      </c>
      <c r="M32" s="35" t="n">
        <f aca="false">MAX(0,L32-$E32)</f>
        <v>0</v>
      </c>
    </row>
    <row r="33" customFormat="false" ht="15" hidden="false" customHeight="false" outlineLevel="0" collapsed="false">
      <c r="A33" s="32" t="n">
        <v>8</v>
      </c>
      <c r="B33" s="32" t="s">
        <v>300</v>
      </c>
      <c r="C33" s="33" t="s">
        <v>301</v>
      </c>
      <c r="D33" s="65" t="n">
        <f aca="false">③仙台以降予測!H38</f>
        <v>0.0439284283843973</v>
      </c>
      <c r="E33" s="35" t="n">
        <f aca="false">③仙台以降予測!V38</f>
        <v>8034</v>
      </c>
      <c r="F33" s="35" t="n">
        <f aca="false">ROUND($D33*D$22,0)</f>
        <v>2707</v>
      </c>
      <c r="G33" s="35" t="n">
        <f aca="false">MAX(0,F33-$E33)</f>
        <v>0</v>
      </c>
      <c r="H33" s="35" t="n">
        <f aca="false">ROUND($D33*F$22,0)</f>
        <v>2791</v>
      </c>
      <c r="I33" s="35" t="n">
        <f aca="false">MAX(0,H33-$E33)</f>
        <v>0</v>
      </c>
      <c r="J33" s="35" t="n">
        <f aca="false">ROUND($D33*H$22,0)</f>
        <v>2275</v>
      </c>
      <c r="K33" s="35" t="n">
        <f aca="false">MAX(0,J33-$E33)</f>
        <v>0</v>
      </c>
      <c r="L33" s="35" t="n">
        <f aca="false">ROUND($D33*J$22,0)</f>
        <v>2707</v>
      </c>
      <c r="M33" s="35" t="n">
        <f aca="false">MAX(0,L33-$E33)</f>
        <v>0</v>
      </c>
    </row>
    <row r="34" customFormat="false" ht="15" hidden="false" customHeight="false" outlineLevel="0" collapsed="false">
      <c r="A34" s="32" t="n">
        <v>9</v>
      </c>
      <c r="B34" s="32" t="s">
        <v>302</v>
      </c>
      <c r="C34" s="33" t="s">
        <v>303</v>
      </c>
      <c r="D34" s="65" t="n">
        <f aca="false">③仙台以降予測!H39</f>
        <v>0.0139483580570407</v>
      </c>
      <c r="E34" s="35" t="n">
        <f aca="false">③仙台以降予測!V39</f>
        <v>8547</v>
      </c>
      <c r="F34" s="35" t="n">
        <f aca="false">ROUND($D34*D$22,0)</f>
        <v>859</v>
      </c>
      <c r="G34" s="35" t="n">
        <f aca="false">MAX(0,F34-$E34)</f>
        <v>0</v>
      </c>
      <c r="H34" s="35" t="n">
        <f aca="false">ROUND($D34*F$22,0)</f>
        <v>886</v>
      </c>
      <c r="I34" s="35" t="n">
        <f aca="false">MAX(0,H34-$E34)</f>
        <v>0</v>
      </c>
      <c r="J34" s="35" t="n">
        <f aca="false">ROUND($D34*H$22,0)</f>
        <v>722</v>
      </c>
      <c r="K34" s="35" t="n">
        <f aca="false">MAX(0,J34-$E34)</f>
        <v>0</v>
      </c>
      <c r="L34" s="35" t="n">
        <f aca="false">ROUND($D34*J$22,0)</f>
        <v>859</v>
      </c>
      <c r="M34" s="35" t="n">
        <f aca="false">MAX(0,L34-$E34)</f>
        <v>0</v>
      </c>
    </row>
    <row r="35" customFormat="false" ht="15" hidden="false" customHeight="false" outlineLevel="0" collapsed="false">
      <c r="A35" s="32" t="n">
        <v>10</v>
      </c>
      <c r="B35" s="32" t="s">
        <v>304</v>
      </c>
      <c r="C35" s="33" t="s">
        <v>305</v>
      </c>
      <c r="D35" s="65" t="n">
        <f aca="false">③仙台以降予測!H40</f>
        <v>0.00525933259167779</v>
      </c>
      <c r="E35" s="35" t="n">
        <f aca="false">③仙台以降予測!V40</f>
        <v>4856</v>
      </c>
      <c r="F35" s="35" t="n">
        <f aca="false">ROUND($D35*D$22,0)</f>
        <v>324</v>
      </c>
      <c r="G35" s="35" t="n">
        <f aca="false">MAX(0,F35-$E35)</f>
        <v>0</v>
      </c>
      <c r="H35" s="35" t="n">
        <f aca="false">ROUND($D35*F$22,0)</f>
        <v>334</v>
      </c>
      <c r="I35" s="35" t="n">
        <f aca="false">MAX(0,H35-$E35)</f>
        <v>0</v>
      </c>
      <c r="J35" s="35" t="n">
        <f aca="false">ROUND($D35*H$22,0)</f>
        <v>272</v>
      </c>
      <c r="K35" s="35" t="n">
        <f aca="false">MAX(0,J35-$E35)</f>
        <v>0</v>
      </c>
      <c r="L35" s="35" t="n">
        <f aca="false">ROUND($D35*J$22,0)</f>
        <v>324</v>
      </c>
      <c r="M35" s="35" t="n">
        <f aca="false">MAX(0,L35-$E35)</f>
        <v>0</v>
      </c>
    </row>
    <row r="36" customFormat="false" ht="15" hidden="false" customHeight="false" outlineLevel="0" collapsed="false">
      <c r="A36" s="32" t="n">
        <v>11</v>
      </c>
      <c r="B36" s="32" t="s">
        <v>306</v>
      </c>
      <c r="C36" s="33" t="s">
        <v>307</v>
      </c>
      <c r="D36" s="65" t="n">
        <f aca="false">③仙台以降予測!H41</f>
        <v>0.00195751776279866</v>
      </c>
      <c r="E36" s="35" t="n">
        <f aca="false">③仙台以降予測!V41</f>
        <v>609</v>
      </c>
      <c r="F36" s="35" t="n">
        <f aca="false">ROUND($D36*D$22,0)</f>
        <v>121</v>
      </c>
      <c r="G36" s="35" t="n">
        <f aca="false">MAX(0,F36-$E36)</f>
        <v>0</v>
      </c>
      <c r="H36" s="35" t="n">
        <f aca="false">ROUND($D36*F$22,0)</f>
        <v>124</v>
      </c>
      <c r="I36" s="35" t="n">
        <f aca="false">MAX(0,H36-$E36)</f>
        <v>0</v>
      </c>
      <c r="J36" s="35" t="n">
        <f aca="false">ROUND($D36*H$22,0)</f>
        <v>101</v>
      </c>
      <c r="K36" s="35" t="n">
        <f aca="false">MAX(0,J36-$E36)</f>
        <v>0</v>
      </c>
      <c r="L36" s="35" t="n">
        <f aca="false">ROUND($D36*J$22,0)</f>
        <v>121</v>
      </c>
      <c r="M36" s="35" t="n">
        <f aca="false">MAX(0,L36-$E36)</f>
        <v>0</v>
      </c>
    </row>
    <row r="37" customFormat="false" ht="15" hidden="false" customHeight="false" outlineLevel="0" collapsed="false">
      <c r="A37" s="32" t="n">
        <v>12</v>
      </c>
      <c r="B37" s="32" t="s">
        <v>308</v>
      </c>
      <c r="C37" s="33" t="s">
        <v>309</v>
      </c>
      <c r="D37" s="65" t="n">
        <f aca="false">③仙台以降予測!H42</f>
        <v>0.00406834069977687</v>
      </c>
      <c r="E37" s="35" t="n">
        <f aca="false">③仙台以降予測!V42</f>
        <v>891</v>
      </c>
      <c r="F37" s="35" t="n">
        <f aca="false">ROUND($D37*D$22,0)</f>
        <v>251</v>
      </c>
      <c r="G37" s="35" t="n">
        <f aca="false">MAX(0,F37-$E37)</f>
        <v>0</v>
      </c>
      <c r="H37" s="35" t="n">
        <f aca="false">ROUND($D37*F$22,0)</f>
        <v>258</v>
      </c>
      <c r="I37" s="35" t="n">
        <f aca="false">MAX(0,H37-$E37)</f>
        <v>0</v>
      </c>
      <c r="J37" s="35" t="n">
        <f aca="false">ROUND($D37*H$22,0)</f>
        <v>211</v>
      </c>
      <c r="K37" s="35" t="n">
        <f aca="false">MAX(0,J37-$E37)</f>
        <v>0</v>
      </c>
      <c r="L37" s="35" t="n">
        <f aca="false">ROUND($D37*J$22,0)</f>
        <v>251</v>
      </c>
      <c r="M37" s="35" t="n">
        <f aca="false">MAX(0,L37-$E37)</f>
        <v>0</v>
      </c>
    </row>
    <row r="38" customFormat="false" ht="15" hidden="false" customHeight="false" outlineLevel="0" collapsed="false">
      <c r="A38" s="32" t="n">
        <v>13</v>
      </c>
      <c r="B38" s="32" t="s">
        <v>310</v>
      </c>
      <c r="C38" s="33" t="s">
        <v>311</v>
      </c>
      <c r="D38" s="65" t="n">
        <f aca="false">③仙台以降予測!H43</f>
        <v>0.00103230433267149</v>
      </c>
      <c r="E38" s="35" t="n">
        <f aca="false">③仙台以降予測!V43</f>
        <v>305</v>
      </c>
      <c r="F38" s="35" t="n">
        <f aca="false">ROUND($D38*D$22,0)</f>
        <v>64</v>
      </c>
      <c r="G38" s="35" t="n">
        <f aca="false">MAX(0,F38-$E38)</f>
        <v>0</v>
      </c>
      <c r="H38" s="35" t="n">
        <f aca="false">ROUND($D38*F$22,0)</f>
        <v>66</v>
      </c>
      <c r="I38" s="35" t="n">
        <f aca="false">MAX(0,H38-$E38)</f>
        <v>0</v>
      </c>
      <c r="J38" s="35" t="n">
        <f aca="false">ROUND($D38*H$22,0)</f>
        <v>53</v>
      </c>
      <c r="K38" s="35" t="n">
        <f aca="false">MAX(0,J38-$E38)</f>
        <v>0</v>
      </c>
      <c r="L38" s="35" t="n">
        <f aca="false">ROUND($D38*J$22,0)</f>
        <v>64</v>
      </c>
      <c r="M38" s="35" t="n">
        <f aca="false">MAX(0,L38-$E38)</f>
        <v>0</v>
      </c>
    </row>
    <row r="39" customFormat="false" ht="15" hidden="false" customHeight="false" outlineLevel="0" collapsed="false">
      <c r="A39" s="32" t="n">
        <v>14</v>
      </c>
      <c r="B39" s="32" t="s">
        <v>312</v>
      </c>
      <c r="C39" s="33" t="s">
        <v>313</v>
      </c>
      <c r="D39" s="65" t="n">
        <f aca="false">③仙台以降予測!H44</f>
        <v>0.00400208168381792</v>
      </c>
      <c r="E39" s="35" t="n">
        <f aca="false">③仙台以降予測!V44</f>
        <v>1729</v>
      </c>
      <c r="F39" s="35" t="n">
        <f aca="false">ROUND($D39*D$22,0)</f>
        <v>247</v>
      </c>
      <c r="G39" s="35" t="n">
        <f aca="false">MAX(0,F39-$E39)</f>
        <v>0</v>
      </c>
      <c r="H39" s="35" t="n">
        <f aca="false">ROUND($D39*F$22,0)</f>
        <v>254</v>
      </c>
      <c r="I39" s="35" t="n">
        <f aca="false">MAX(0,H39-$E39)</f>
        <v>0</v>
      </c>
      <c r="J39" s="35" t="n">
        <f aca="false">ROUND($D39*H$22,0)</f>
        <v>207</v>
      </c>
      <c r="K39" s="35" t="n">
        <f aca="false">MAX(0,J39-$E39)</f>
        <v>0</v>
      </c>
      <c r="L39" s="35" t="n">
        <f aca="false">ROUND($D39*J$22,0)</f>
        <v>247</v>
      </c>
      <c r="M39" s="35" t="n">
        <f aca="false">MAX(0,L39-$E39)</f>
        <v>0</v>
      </c>
    </row>
    <row r="40" customFormat="false" ht="15" hidden="false" customHeight="false" outlineLevel="0" collapsed="false">
      <c r="A40" s="32" t="n">
        <v>15</v>
      </c>
      <c r="B40" s="32" t="s">
        <v>314</v>
      </c>
      <c r="C40" s="33" t="s">
        <v>315</v>
      </c>
      <c r="D40" s="65" t="n">
        <f aca="false">③仙台以降予測!H45</f>
        <v>0.00526935496383965</v>
      </c>
      <c r="E40" s="35" t="n">
        <f aca="false">③仙台以降予測!V45</f>
        <v>2054</v>
      </c>
      <c r="F40" s="35" t="n">
        <f aca="false">ROUND($D40*D$22,0)</f>
        <v>325</v>
      </c>
      <c r="G40" s="35" t="n">
        <f aca="false">MAX(0,F40-$E40)</f>
        <v>0</v>
      </c>
      <c r="H40" s="35" t="n">
        <f aca="false">ROUND($D40*F$22,0)</f>
        <v>335</v>
      </c>
      <c r="I40" s="35" t="n">
        <f aca="false">MAX(0,H40-$E40)</f>
        <v>0</v>
      </c>
      <c r="J40" s="35" t="n">
        <f aca="false">ROUND($D40*H$22,0)</f>
        <v>273</v>
      </c>
      <c r="K40" s="35" t="n">
        <f aca="false">MAX(0,J40-$E40)</f>
        <v>0</v>
      </c>
      <c r="L40" s="35" t="n">
        <f aca="false">ROUND($D40*J$22,0)</f>
        <v>325</v>
      </c>
      <c r="M40" s="35" t="n">
        <f aca="false">MAX(0,L40-$E40)</f>
        <v>0</v>
      </c>
    </row>
    <row r="41" customFormat="false" ht="15" hidden="false" customHeight="false" outlineLevel="0" collapsed="false">
      <c r="A41" s="32" t="n">
        <v>16</v>
      </c>
      <c r="B41" s="32" t="s">
        <v>316</v>
      </c>
      <c r="C41" s="33" t="s">
        <v>317</v>
      </c>
      <c r="D41" s="65" t="n">
        <f aca="false">③仙台以降予測!H46</f>
        <v>0.00181961734583086</v>
      </c>
      <c r="E41" s="35" t="n">
        <f aca="false">③仙台以降予測!V46</f>
        <v>744</v>
      </c>
      <c r="F41" s="35" t="n">
        <f aca="false">ROUND($D41*D$22,0)</f>
        <v>112</v>
      </c>
      <c r="G41" s="35" t="n">
        <f aca="false">MAX(0,F41-$E41)</f>
        <v>0</v>
      </c>
      <c r="H41" s="35" t="n">
        <f aca="false">ROUND($D41*F$22,0)</f>
        <v>116</v>
      </c>
      <c r="I41" s="35" t="n">
        <f aca="false">MAX(0,H41-$E41)</f>
        <v>0</v>
      </c>
      <c r="J41" s="35" t="n">
        <f aca="false">ROUND($D41*H$22,0)</f>
        <v>94</v>
      </c>
      <c r="K41" s="35" t="n">
        <f aca="false">MAX(0,J41-$E41)</f>
        <v>0</v>
      </c>
      <c r="L41" s="35" t="n">
        <f aca="false">ROUND($D41*J$22,0)</f>
        <v>112</v>
      </c>
      <c r="M41" s="35" t="n">
        <f aca="false">MAX(0,L41-$E41)</f>
        <v>0</v>
      </c>
    </row>
    <row r="42" customFormat="false" ht="15" hidden="false" customHeight="false" outlineLevel="0" collapsed="false">
      <c r="A42" s="32" t="n">
        <v>17</v>
      </c>
      <c r="B42" s="32" t="s">
        <v>318</v>
      </c>
      <c r="C42" s="33" t="s">
        <v>319</v>
      </c>
      <c r="D42" s="65" t="n">
        <f aca="false">③仙台以降予測!H47</f>
        <v>0.00960347412539027</v>
      </c>
      <c r="E42" s="35" t="n">
        <f aca="false">③仙台以降予測!V47</f>
        <v>2380</v>
      </c>
      <c r="F42" s="35" t="n">
        <f aca="false">ROUND($D42*D$22,0)</f>
        <v>592</v>
      </c>
      <c r="G42" s="35" t="n">
        <f aca="false">MAX(0,F42-$E42)</f>
        <v>0</v>
      </c>
      <c r="H42" s="35" t="n">
        <f aca="false">ROUND($D42*F$22,0)</f>
        <v>610</v>
      </c>
      <c r="I42" s="35" t="n">
        <f aca="false">MAX(0,H42-$E42)</f>
        <v>0</v>
      </c>
      <c r="J42" s="35" t="n">
        <f aca="false">ROUND($D42*H$22,0)</f>
        <v>497</v>
      </c>
      <c r="K42" s="35" t="n">
        <f aca="false">MAX(0,J42-$E42)</f>
        <v>0</v>
      </c>
      <c r="L42" s="35" t="n">
        <f aca="false">ROUND($D42*J$22,0)</f>
        <v>592</v>
      </c>
      <c r="M42" s="35" t="n">
        <f aca="false">MAX(0,L42-$E42)</f>
        <v>0</v>
      </c>
    </row>
    <row r="43" customFormat="false" ht="15" hidden="false" customHeight="false" outlineLevel="0" collapsed="false">
      <c r="A43" s="32" t="n">
        <v>18</v>
      </c>
      <c r="B43" s="32" t="s">
        <v>320</v>
      </c>
      <c r="C43" s="33" t="s">
        <v>321</v>
      </c>
      <c r="D43" s="65" t="n">
        <f aca="false">③仙台以降予測!H48</f>
        <v>0.0396672498202469</v>
      </c>
      <c r="E43" s="35" t="n">
        <f aca="false">③仙台以降予測!V48</f>
        <v>9130</v>
      </c>
      <c r="F43" s="35" t="n">
        <f aca="false">ROUND($D43*D$22,0)</f>
        <v>2444</v>
      </c>
      <c r="G43" s="35" t="n">
        <f aca="false">MAX(0,F43-$E43)</f>
        <v>0</v>
      </c>
      <c r="H43" s="35" t="n">
        <f aca="false">ROUND($D43*F$22,0)</f>
        <v>2520</v>
      </c>
      <c r="I43" s="35" t="n">
        <f aca="false">MAX(0,H43-$E43)</f>
        <v>0</v>
      </c>
      <c r="J43" s="35" t="n">
        <f aca="false">ROUND($D43*H$22,0)</f>
        <v>2054</v>
      </c>
      <c r="K43" s="35" t="n">
        <f aca="false">MAX(0,J43-$E43)</f>
        <v>0</v>
      </c>
      <c r="L43" s="35" t="n">
        <f aca="false">ROUND($D43*J$22,0)</f>
        <v>2444</v>
      </c>
      <c r="M43" s="35" t="n">
        <f aca="false">MAX(0,L43-$E43)</f>
        <v>0</v>
      </c>
    </row>
    <row r="44" customFormat="false" ht="15" hidden="false" customHeight="false" outlineLevel="0" collapsed="false">
      <c r="A44" s="32" t="n">
        <v>19</v>
      </c>
      <c r="B44" s="32" t="s">
        <v>322</v>
      </c>
      <c r="C44" s="33" t="s">
        <v>323</v>
      </c>
      <c r="D44" s="65" t="n">
        <f aca="false">③仙台以降予測!H49</f>
        <v>0.00166631217165131</v>
      </c>
      <c r="E44" s="35" t="n">
        <f aca="false">③仙台以降予測!V49</f>
        <v>2214</v>
      </c>
      <c r="F44" s="35" t="n">
        <f aca="false">ROUND($D44*D$22,0)</f>
        <v>103</v>
      </c>
      <c r="G44" s="35" t="n">
        <f aca="false">MAX(0,F44-$E44)</f>
        <v>0</v>
      </c>
      <c r="H44" s="35" t="n">
        <f aca="false">ROUND($D44*F$22,0)</f>
        <v>106</v>
      </c>
      <c r="I44" s="35" t="n">
        <f aca="false">MAX(0,H44-$E44)</f>
        <v>0</v>
      </c>
      <c r="J44" s="35" t="n">
        <f aca="false">ROUND($D44*H$22,0)</f>
        <v>86</v>
      </c>
      <c r="K44" s="35" t="n">
        <f aca="false">MAX(0,J44-$E44)</f>
        <v>0</v>
      </c>
      <c r="L44" s="35" t="n">
        <f aca="false">ROUND($D44*J$22,0)</f>
        <v>103</v>
      </c>
      <c r="M44" s="35" t="n">
        <f aca="false">MAX(0,L44-$E44)</f>
        <v>0</v>
      </c>
    </row>
    <row r="45" customFormat="false" ht="15" hidden="false" customHeight="false" outlineLevel="0" collapsed="false">
      <c r="A45" s="32" t="n">
        <v>20</v>
      </c>
      <c r="B45" s="32" t="s">
        <v>324</v>
      </c>
      <c r="C45" s="33" t="s">
        <v>325</v>
      </c>
      <c r="D45" s="65" t="n">
        <f aca="false">③仙台以降予測!H50</f>
        <v>0.00169173930102492</v>
      </c>
      <c r="E45" s="35" t="n">
        <f aca="false">③仙台以降予測!V50</f>
        <v>276</v>
      </c>
      <c r="F45" s="35" t="n">
        <f aca="false">ROUND($D45*D$22,0)</f>
        <v>104</v>
      </c>
      <c r="G45" s="35" t="n">
        <f aca="false">MAX(0,F45-$E45)</f>
        <v>0</v>
      </c>
      <c r="H45" s="35" t="n">
        <f aca="false">ROUND($D45*F$22,0)</f>
        <v>107</v>
      </c>
      <c r="I45" s="35" t="n">
        <f aca="false">MAX(0,H45-$E45)</f>
        <v>0</v>
      </c>
      <c r="J45" s="35" t="n">
        <f aca="false">ROUND($D45*H$22,0)</f>
        <v>88</v>
      </c>
      <c r="K45" s="35" t="n">
        <f aca="false">MAX(0,J45-$E45)</f>
        <v>0</v>
      </c>
      <c r="L45" s="35" t="n">
        <f aca="false">ROUND($D45*J$22,0)</f>
        <v>104</v>
      </c>
      <c r="M45" s="35" t="n">
        <f aca="false">MAX(0,L45-$E45)</f>
        <v>0</v>
      </c>
    </row>
    <row r="46" customFormat="false" ht="15" hidden="false" customHeight="false" outlineLevel="0" collapsed="false">
      <c r="A46" s="32" t="n">
        <v>21</v>
      </c>
      <c r="B46" s="32" t="s">
        <v>326</v>
      </c>
      <c r="C46" s="33" t="s">
        <v>327</v>
      </c>
      <c r="D46" s="65" t="n">
        <f aca="false">③仙台以降予測!H51</f>
        <v>0.00786088056561814</v>
      </c>
      <c r="E46" s="35" t="n">
        <f aca="false">③仙台以降予測!V51</f>
        <v>190</v>
      </c>
      <c r="F46" s="35" t="n">
        <f aca="false">ROUND($D46*D$22,0)</f>
        <v>484</v>
      </c>
      <c r="G46" s="35" t="n">
        <f aca="false">MAX(0,F46-$E46)</f>
        <v>294</v>
      </c>
      <c r="H46" s="35" t="n">
        <f aca="false">ROUND($D46*F$22,0)</f>
        <v>499</v>
      </c>
      <c r="I46" s="35" t="n">
        <f aca="false">MAX(0,H46-$E46)</f>
        <v>309</v>
      </c>
      <c r="J46" s="35" t="n">
        <f aca="false">ROUND($D46*H$22,0)</f>
        <v>407</v>
      </c>
      <c r="K46" s="35" t="n">
        <f aca="false">MAX(0,J46-$E46)</f>
        <v>217</v>
      </c>
      <c r="L46" s="35" t="n">
        <f aca="false">ROUND($D46*J$22,0)</f>
        <v>484</v>
      </c>
      <c r="M46" s="35" t="n">
        <f aca="false">MAX(0,L46-$E46)</f>
        <v>294</v>
      </c>
    </row>
    <row r="47" customFormat="false" ht="15" hidden="false" customHeight="false" outlineLevel="0" collapsed="false">
      <c r="A47" s="32" t="n">
        <v>22</v>
      </c>
      <c r="B47" s="32" t="s">
        <v>328</v>
      </c>
      <c r="C47" s="33" t="s">
        <v>329</v>
      </c>
      <c r="D47" s="65" t="n">
        <f aca="false">③仙台以降予測!H52</f>
        <v>0.00543268251018106</v>
      </c>
      <c r="E47" s="35" t="n">
        <f aca="false">③仙台以降予測!V52</f>
        <v>1254</v>
      </c>
      <c r="F47" s="35" t="n">
        <f aca="false">ROUND($D47*D$22,0)</f>
        <v>335</v>
      </c>
      <c r="G47" s="35" t="n">
        <f aca="false">MAX(0,F47-$E47)</f>
        <v>0</v>
      </c>
      <c r="H47" s="35" t="n">
        <f aca="false">ROUND($D47*F$22,0)</f>
        <v>345</v>
      </c>
      <c r="I47" s="35" t="n">
        <f aca="false">MAX(0,H47-$E47)</f>
        <v>0</v>
      </c>
      <c r="J47" s="35" t="n">
        <f aca="false">ROUND($D47*H$22,0)</f>
        <v>281</v>
      </c>
      <c r="K47" s="35" t="n">
        <f aca="false">MAX(0,J47-$E47)</f>
        <v>0</v>
      </c>
      <c r="L47" s="35" t="n">
        <f aca="false">ROUND($D47*J$22,0)</f>
        <v>335</v>
      </c>
      <c r="M47" s="35" t="n">
        <f aca="false">MAX(0,L47-$E47)</f>
        <v>0</v>
      </c>
    </row>
    <row r="48" customFormat="false" ht="15" hidden="false" customHeight="false" outlineLevel="0" collapsed="false">
      <c r="A48" s="32" t="n">
        <v>23</v>
      </c>
      <c r="B48" s="32" t="s">
        <v>330</v>
      </c>
      <c r="C48" s="33" t="s">
        <v>331</v>
      </c>
      <c r="D48" s="65" t="n">
        <f aca="false">③仙台以降予測!H53</f>
        <v>0.247727241512814</v>
      </c>
      <c r="E48" s="35" t="n">
        <f aca="false">③仙台以降予測!V53</f>
        <v>48729</v>
      </c>
      <c r="F48" s="35" t="n">
        <f aca="false">ROUND($D48*D$22,0)</f>
        <v>15264</v>
      </c>
      <c r="G48" s="35" t="n">
        <f aca="false">MAX(0,F48-$E48)</f>
        <v>0</v>
      </c>
      <c r="H48" s="35" t="n">
        <f aca="false">ROUND($D48*F$22,0)</f>
        <v>15737</v>
      </c>
      <c r="I48" s="35" t="n">
        <f aca="false">MAX(0,H48-$E48)</f>
        <v>0</v>
      </c>
      <c r="J48" s="35" t="n">
        <f aca="false">ROUND($D48*H$22,0)</f>
        <v>12830</v>
      </c>
      <c r="K48" s="35" t="n">
        <f aca="false">MAX(0,J48-$E48)</f>
        <v>0</v>
      </c>
      <c r="L48" s="35" t="n">
        <f aca="false">ROUND($D48*J$22,0)</f>
        <v>15264</v>
      </c>
      <c r="M48" s="35" t="n">
        <f aca="false">MAX(0,L48-$E48)</f>
        <v>0</v>
      </c>
    </row>
    <row r="49" customFormat="false" ht="15" hidden="false" customHeight="false" outlineLevel="0" collapsed="false">
      <c r="A49" s="32" t="n">
        <v>24</v>
      </c>
      <c r="B49" s="32" t="s">
        <v>332</v>
      </c>
      <c r="C49" s="33" t="s">
        <v>333</v>
      </c>
      <c r="D49" s="65" t="n">
        <f aca="false">③仙台以降予測!H54</f>
        <v>0.152348037638091</v>
      </c>
      <c r="E49" s="35" t="n">
        <f aca="false">③仙台以降予測!V54</f>
        <v>30130</v>
      </c>
      <c r="F49" s="35" t="n">
        <f aca="false">ROUND($D49*D$22,0)</f>
        <v>9387</v>
      </c>
      <c r="G49" s="35" t="n">
        <f aca="false">MAX(0,F49-$E49)</f>
        <v>0</v>
      </c>
      <c r="H49" s="35" t="n">
        <f aca="false">ROUND($D49*F$22,0)</f>
        <v>9678</v>
      </c>
      <c r="I49" s="35" t="n">
        <f aca="false">MAX(0,H49-$E49)</f>
        <v>0</v>
      </c>
      <c r="J49" s="35" t="n">
        <f aca="false">ROUND($D49*H$22,0)</f>
        <v>7890</v>
      </c>
      <c r="K49" s="35" t="n">
        <f aca="false">MAX(0,J49-$E49)</f>
        <v>0</v>
      </c>
      <c r="L49" s="35" t="n">
        <f aca="false">ROUND($D49*J$22,0)</f>
        <v>9387</v>
      </c>
      <c r="M49" s="35" t="n">
        <f aca="false">MAX(0,L49-$E49)</f>
        <v>0</v>
      </c>
    </row>
    <row r="50" customFormat="false" ht="15" hidden="false" customHeight="false" outlineLevel="0" collapsed="false">
      <c r="A50" s="32" t="n">
        <v>25</v>
      </c>
      <c r="B50" s="32" t="s">
        <v>334</v>
      </c>
      <c r="C50" s="33" t="s">
        <v>335</v>
      </c>
      <c r="D50" s="65" t="n">
        <f aca="false">③仙台以降予測!H55</f>
        <v>0.0086667535272254</v>
      </c>
      <c r="E50" s="35" t="n">
        <f aca="false">③仙台以降予測!V55</f>
        <v>3393</v>
      </c>
      <c r="F50" s="35" t="n">
        <f aca="false">ROUND($D50*D$22,0)</f>
        <v>534</v>
      </c>
      <c r="G50" s="35" t="n">
        <f aca="false">MAX(0,F50-$E50)</f>
        <v>0</v>
      </c>
      <c r="H50" s="35" t="n">
        <f aca="false">ROUND($D50*F$22,0)</f>
        <v>551</v>
      </c>
      <c r="I50" s="35" t="n">
        <f aca="false">MAX(0,H50-$E50)</f>
        <v>0</v>
      </c>
      <c r="J50" s="35" t="n">
        <f aca="false">ROUND($D50*H$22,0)</f>
        <v>449</v>
      </c>
      <c r="K50" s="35" t="n">
        <f aca="false">MAX(0,J50-$E50)</f>
        <v>0</v>
      </c>
      <c r="L50" s="35" t="n">
        <f aca="false">ROUND($D50*J$22,0)</f>
        <v>534</v>
      </c>
      <c r="M50" s="35" t="n">
        <f aca="false">MAX(0,L50-$E50)</f>
        <v>0</v>
      </c>
    </row>
    <row r="51" customFormat="false" ht="15" hidden="false" customHeight="false" outlineLevel="0" collapsed="false">
      <c r="A51" s="32" t="n">
        <v>26</v>
      </c>
      <c r="B51" s="32" t="s">
        <v>336</v>
      </c>
      <c r="C51" s="33" t="s">
        <v>337</v>
      </c>
      <c r="D51" s="65" t="n">
        <f aca="false">③仙台以降予測!H56</f>
        <v>0.0180421258861911</v>
      </c>
      <c r="E51" s="35" t="n">
        <f aca="false">③仙台以降予測!V56</f>
        <v>229</v>
      </c>
      <c r="F51" s="35" t="n">
        <f aca="false">ROUND($D51*D$22,0)</f>
        <v>1112</v>
      </c>
      <c r="G51" s="35" t="n">
        <f aca="false">MAX(0,F51-$E51)</f>
        <v>883</v>
      </c>
      <c r="H51" s="35" t="n">
        <f aca="false">ROUND($D51*F$22,0)</f>
        <v>1146</v>
      </c>
      <c r="I51" s="35" t="n">
        <f aca="false">MAX(0,H51-$E51)</f>
        <v>917</v>
      </c>
      <c r="J51" s="35" t="n">
        <f aca="false">ROUND($D51*H$22,0)</f>
        <v>934</v>
      </c>
      <c r="K51" s="35" t="n">
        <f aca="false">MAX(0,J51-$E51)</f>
        <v>705</v>
      </c>
      <c r="L51" s="35" t="n">
        <f aca="false">ROUND($D51*J$22,0)</f>
        <v>1112</v>
      </c>
      <c r="M51" s="35" t="n">
        <f aca="false">MAX(0,L51-$E51)</f>
        <v>883</v>
      </c>
    </row>
    <row r="52" customFormat="false" ht="15" hidden="false" customHeight="false" outlineLevel="0" collapsed="false">
      <c r="A52" s="32" t="n">
        <v>27</v>
      </c>
      <c r="B52" s="32" t="s">
        <v>338</v>
      </c>
      <c r="C52" s="33" t="s">
        <v>339</v>
      </c>
      <c r="D52" s="65" t="n">
        <f aca="false">③仙台以降予測!H57</f>
        <v>0.00455906573673901</v>
      </c>
      <c r="E52" s="35" t="n">
        <f aca="false">③仙台以降予測!V57</f>
        <v>1131</v>
      </c>
      <c r="F52" s="35" t="n">
        <f aca="false">ROUND($D52*D$22,0)</f>
        <v>281</v>
      </c>
      <c r="G52" s="35" t="n">
        <f aca="false">MAX(0,F52-$E52)</f>
        <v>0</v>
      </c>
      <c r="H52" s="35" t="n">
        <f aca="false">ROUND($D52*F$22,0)</f>
        <v>290</v>
      </c>
      <c r="I52" s="35" t="n">
        <f aca="false">MAX(0,H52-$E52)</f>
        <v>0</v>
      </c>
      <c r="J52" s="35" t="n">
        <f aca="false">ROUND($D52*H$22,0)</f>
        <v>236</v>
      </c>
      <c r="K52" s="35" t="n">
        <f aca="false">MAX(0,J52-$E52)</f>
        <v>0</v>
      </c>
      <c r="L52" s="35" t="n">
        <f aca="false">ROUND($D52*J$22,0)</f>
        <v>281</v>
      </c>
      <c r="M52" s="35" t="n">
        <f aca="false">MAX(0,L52-$E52)</f>
        <v>0</v>
      </c>
    </row>
    <row r="53" customFormat="false" ht="15" hidden="false" customHeight="false" outlineLevel="0" collapsed="false">
      <c r="A53" s="32" t="n">
        <v>28</v>
      </c>
      <c r="B53" s="32" t="s">
        <v>340</v>
      </c>
      <c r="C53" s="33" t="s">
        <v>341</v>
      </c>
      <c r="D53" s="65" t="n">
        <f aca="false">③仙台以降予測!H58</f>
        <v>0.0258012979343149</v>
      </c>
      <c r="E53" s="35" t="n">
        <f aca="false">③仙台以降予測!V58</f>
        <v>68</v>
      </c>
      <c r="F53" s="35" t="n">
        <f aca="false">ROUND($D53*D$22,0)</f>
        <v>1590</v>
      </c>
      <c r="G53" s="35" t="n">
        <f aca="false">MAX(0,F53-$E53)</f>
        <v>1522</v>
      </c>
      <c r="H53" s="35" t="n">
        <f aca="false">ROUND($D53*F$22,0)</f>
        <v>1639</v>
      </c>
      <c r="I53" s="35" t="n">
        <f aca="false">MAX(0,H53-$E53)</f>
        <v>1571</v>
      </c>
      <c r="J53" s="35" t="n">
        <f aca="false">ROUND($D53*H$22,0)</f>
        <v>1336</v>
      </c>
      <c r="K53" s="35" t="n">
        <f aca="false">MAX(0,J53-$E53)</f>
        <v>1268</v>
      </c>
      <c r="L53" s="35" t="n">
        <f aca="false">ROUND($D53*J$22,0)</f>
        <v>1590</v>
      </c>
      <c r="M53" s="35" t="n">
        <f aca="false">MAX(0,L53-$E53)</f>
        <v>1522</v>
      </c>
    </row>
    <row r="54" customFormat="false" ht="15" hidden="false" customHeight="false" outlineLevel="0" collapsed="false">
      <c r="A54" s="32" t="n">
        <v>29</v>
      </c>
      <c r="B54" s="32" t="s">
        <v>342</v>
      </c>
      <c r="C54" s="33" t="s">
        <v>343</v>
      </c>
      <c r="D54" s="65" t="n">
        <f aca="false">③仙台以降予測!H59</f>
        <v>0.0170545510292791</v>
      </c>
      <c r="E54" s="35" t="n">
        <f aca="false">③仙台以降予測!V59</f>
        <v>177</v>
      </c>
      <c r="F54" s="35" t="n">
        <f aca="false">ROUND($D54*D$22,0)</f>
        <v>1051</v>
      </c>
      <c r="G54" s="35" t="n">
        <f aca="false">MAX(0,F54-$E54)</f>
        <v>874</v>
      </c>
      <c r="H54" s="35" t="n">
        <f aca="false">ROUND($D54*F$22,0)</f>
        <v>1083</v>
      </c>
      <c r="I54" s="35" t="n">
        <f aca="false">MAX(0,H54-$E54)</f>
        <v>906</v>
      </c>
      <c r="J54" s="35" t="n">
        <f aca="false">ROUND($D54*H$22,0)</f>
        <v>883</v>
      </c>
      <c r="K54" s="35" t="n">
        <f aca="false">MAX(0,J54-$E54)</f>
        <v>706</v>
      </c>
      <c r="L54" s="35" t="n">
        <f aca="false">ROUND($D54*J$22,0)</f>
        <v>1051</v>
      </c>
      <c r="M54" s="35" t="n">
        <f aca="false">MAX(0,L54-$E54)</f>
        <v>874</v>
      </c>
    </row>
    <row r="55" customFormat="false" ht="15" hidden="false" customHeight="false" outlineLevel="0" collapsed="false">
      <c r="A55" s="32" t="n">
        <v>30</v>
      </c>
      <c r="B55" s="32" t="s">
        <v>344</v>
      </c>
      <c r="C55" s="33" t="s">
        <v>345</v>
      </c>
      <c r="D55" s="65" t="n">
        <f aca="false">③仙台以降予測!H60</f>
        <v>0.00841712222060132</v>
      </c>
      <c r="E55" s="35" t="n">
        <f aca="false">③仙台以降予測!V60</f>
        <v>781</v>
      </c>
      <c r="F55" s="35" t="n">
        <f aca="false">ROUND($D55*D$22,0)</f>
        <v>519</v>
      </c>
      <c r="G55" s="35" t="n">
        <f aca="false">MAX(0,F55-$E55)</f>
        <v>0</v>
      </c>
      <c r="H55" s="35" t="n">
        <f aca="false">ROUND($D55*F$22,0)</f>
        <v>535</v>
      </c>
      <c r="I55" s="35" t="n">
        <f aca="false">MAX(0,H55-$E55)</f>
        <v>0</v>
      </c>
      <c r="J55" s="35" t="n">
        <f aca="false">ROUND($D55*H$22,0)</f>
        <v>436</v>
      </c>
      <c r="K55" s="35" t="n">
        <f aca="false">MAX(0,J55-$E55)</f>
        <v>0</v>
      </c>
      <c r="L55" s="35" t="n">
        <f aca="false">ROUND($D55*J$22,0)</f>
        <v>519</v>
      </c>
      <c r="M55" s="35" t="n">
        <f aca="false">MAX(0,L55-$E55)</f>
        <v>0</v>
      </c>
    </row>
    <row r="56" customFormat="false" ht="15" hidden="false" customHeight="false" outlineLevel="0" collapsed="false">
      <c r="A56" s="32" t="n">
        <v>31</v>
      </c>
      <c r="B56" s="32" t="s">
        <v>346</v>
      </c>
      <c r="C56" s="33" t="s">
        <v>347</v>
      </c>
      <c r="D56" s="65" t="n">
        <f aca="false">③仙台以降予測!H61</f>
        <v>0.0116010813768364</v>
      </c>
      <c r="E56" s="35" t="n">
        <f aca="false">③仙台以降予測!V61</f>
        <v>765</v>
      </c>
      <c r="F56" s="35" t="n">
        <f aca="false">ROUND($D56*D$22,0)</f>
        <v>715</v>
      </c>
      <c r="G56" s="35" t="n">
        <f aca="false">MAX(0,F56-$E56)</f>
        <v>0</v>
      </c>
      <c r="H56" s="35" t="n">
        <f aca="false">ROUND($D56*F$22,0)</f>
        <v>737</v>
      </c>
      <c r="I56" s="35" t="n">
        <f aca="false">MAX(0,H56-$E56)</f>
        <v>0</v>
      </c>
      <c r="J56" s="35" t="n">
        <f aca="false">ROUND($D56*H$22,0)</f>
        <v>601</v>
      </c>
      <c r="K56" s="35" t="n">
        <f aca="false">MAX(0,J56-$E56)</f>
        <v>0</v>
      </c>
      <c r="L56" s="35" t="n">
        <f aca="false">ROUND($D56*J$22,0)</f>
        <v>715</v>
      </c>
      <c r="M56" s="35" t="n">
        <f aca="false">MAX(0,L56-$E56)</f>
        <v>0</v>
      </c>
    </row>
    <row r="57" customFormat="false" ht="15" hidden="false" customHeight="false" outlineLevel="0" collapsed="false">
      <c r="A57" s="32" t="n">
        <v>32</v>
      </c>
      <c r="B57" s="32" t="s">
        <v>348</v>
      </c>
      <c r="C57" s="33" t="s">
        <v>349</v>
      </c>
      <c r="D57" s="65" t="n">
        <f aca="false">③仙台以降予測!H62</f>
        <v>0.00104770908988323</v>
      </c>
      <c r="E57" s="35" t="n">
        <f aca="false">③仙台以降予測!V62</f>
        <v>15</v>
      </c>
      <c r="F57" s="35" t="n">
        <f aca="false">ROUND($D57*D$22,0)</f>
        <v>65</v>
      </c>
      <c r="G57" s="35" t="n">
        <f aca="false">MAX(0,F57-$E57)</f>
        <v>50</v>
      </c>
      <c r="H57" s="35" t="n">
        <f aca="false">ROUND($D57*F$22,0)</f>
        <v>67</v>
      </c>
      <c r="I57" s="35" t="n">
        <f aca="false">MAX(0,H57-$E57)</f>
        <v>52</v>
      </c>
      <c r="J57" s="35" t="n">
        <f aca="false">ROUND($D57*H$22,0)</f>
        <v>54</v>
      </c>
      <c r="K57" s="35" t="n">
        <f aca="false">MAX(0,J57-$E57)</f>
        <v>39</v>
      </c>
      <c r="L57" s="35" t="n">
        <f aca="false">ROUND($D57*J$22,0)</f>
        <v>65</v>
      </c>
      <c r="M57" s="35" t="n">
        <f aca="false">MAX(0,L57-$E57)</f>
        <v>50</v>
      </c>
    </row>
    <row r="58" customFormat="false" ht="15" hidden="false" customHeight="false" outlineLevel="0" collapsed="false">
      <c r="A58" s="32" t="n">
        <v>33</v>
      </c>
      <c r="B58" s="32" t="s">
        <v>350</v>
      </c>
      <c r="C58" s="33" t="s">
        <v>351</v>
      </c>
      <c r="D58" s="65" t="n">
        <f aca="false">③仙台以降予測!H63</f>
        <v>0.000654052583303545</v>
      </c>
      <c r="E58" s="35" t="n">
        <f aca="false">③仙台以降予測!V63</f>
        <v>98</v>
      </c>
      <c r="F58" s="35" t="n">
        <f aca="false">ROUND($D58*D$22,0)</f>
        <v>40</v>
      </c>
      <c r="G58" s="35" t="n">
        <f aca="false">MAX(0,F58-$E58)</f>
        <v>0</v>
      </c>
      <c r="H58" s="35" t="n">
        <f aca="false">ROUND($D58*F$22,0)</f>
        <v>42</v>
      </c>
      <c r="I58" s="35" t="n">
        <f aca="false">MAX(0,H58-$E58)</f>
        <v>0</v>
      </c>
      <c r="J58" s="35" t="n">
        <f aca="false">ROUND($D58*H$22,0)</f>
        <v>34</v>
      </c>
      <c r="K58" s="35" t="n">
        <f aca="false">MAX(0,J58-$E58)</f>
        <v>0</v>
      </c>
      <c r="L58" s="35" t="n">
        <f aca="false">ROUND($D58*J$22,0)</f>
        <v>40</v>
      </c>
      <c r="M58" s="35" t="n">
        <f aca="false">MAX(0,L58-$E58)</f>
        <v>0</v>
      </c>
    </row>
    <row r="59" customFormat="false" ht="15" hidden="false" customHeight="false" outlineLevel="0" collapsed="false">
      <c r="A59" s="32" t="n">
        <v>34</v>
      </c>
      <c r="B59" s="32" t="s">
        <v>352</v>
      </c>
      <c r="C59" s="33" t="s">
        <v>353</v>
      </c>
      <c r="D59" s="65" t="n">
        <f aca="false">③仙台以降予測!H64</f>
        <v>0.000209541817976646</v>
      </c>
      <c r="E59" s="35" t="n">
        <f aca="false">③仙台以降予測!V64</f>
        <v>1</v>
      </c>
      <c r="F59" s="35" t="n">
        <f aca="false">ROUND($D59*D$22,0)</f>
        <v>13</v>
      </c>
      <c r="G59" s="35" t="n">
        <f aca="false">MAX(0,F59-$E59)</f>
        <v>12</v>
      </c>
      <c r="H59" s="35" t="n">
        <f aca="false">ROUND($D59*F$22,0)</f>
        <v>13</v>
      </c>
      <c r="I59" s="35" t="n">
        <f aca="false">MAX(0,H59-$E59)</f>
        <v>12</v>
      </c>
      <c r="J59" s="35" t="n">
        <f aca="false">ROUND($D59*H$22,0)</f>
        <v>11</v>
      </c>
      <c r="K59" s="35" t="n">
        <f aca="false">MAX(0,J59-$E59)</f>
        <v>10</v>
      </c>
      <c r="L59" s="35" t="n">
        <f aca="false">ROUND($D59*J$22,0)</f>
        <v>13</v>
      </c>
      <c r="M59" s="35" t="n">
        <f aca="false">MAX(0,L59-$E59)</f>
        <v>12</v>
      </c>
    </row>
    <row r="60" customFormat="false" ht="15" hidden="false" customHeight="false" outlineLevel="0" collapsed="false">
      <c r="A60" s="32" t="n">
        <v>35</v>
      </c>
      <c r="B60" s="32" t="s">
        <v>354</v>
      </c>
      <c r="C60" s="33" t="s">
        <v>355</v>
      </c>
      <c r="D60" s="65" t="n">
        <f aca="false">③仙台以降予測!H65</f>
        <v>0.000153305174179548</v>
      </c>
      <c r="E60" s="35" t="n">
        <f aca="false">③仙台以降予測!V65</f>
        <v>2</v>
      </c>
      <c r="F60" s="35" t="n">
        <f aca="false">ROUND($D60*D$22,0)</f>
        <v>9</v>
      </c>
      <c r="G60" s="35" t="n">
        <f aca="false">MAX(0,F60-$E60)</f>
        <v>7</v>
      </c>
      <c r="H60" s="35" t="n">
        <f aca="false">ROUND($D60*F$22,0)</f>
        <v>10</v>
      </c>
      <c r="I60" s="35" t="n">
        <f aca="false">MAX(0,H60-$E60)</f>
        <v>8</v>
      </c>
      <c r="J60" s="35" t="n">
        <f aca="false">ROUND($D60*H$22,0)</f>
        <v>8</v>
      </c>
      <c r="K60" s="35" t="n">
        <f aca="false">MAX(0,J60-$E60)</f>
        <v>6</v>
      </c>
      <c r="L60" s="35" t="n">
        <f aca="false">ROUND($D60*J$22,0)</f>
        <v>9</v>
      </c>
      <c r="M60" s="35" t="n">
        <f aca="false">MAX(0,L60-$E60)</f>
        <v>7</v>
      </c>
    </row>
    <row r="61" customFormat="false" ht="15" hidden="false" customHeight="false" outlineLevel="0" collapsed="false">
      <c r="A61" s="32" t="n">
        <v>36</v>
      </c>
      <c r="B61" s="32" t="s">
        <v>356</v>
      </c>
      <c r="C61" s="33" t="s">
        <v>357</v>
      </c>
      <c r="D61" s="65" t="n">
        <f aca="false">③仙台以降予測!H66</f>
        <v>0.000153305174179548</v>
      </c>
      <c r="E61" s="35" t="n">
        <f aca="false">③仙台以降予測!V66</f>
        <v>2</v>
      </c>
      <c r="F61" s="35" t="n">
        <f aca="false">ROUND($D61*D$22,0)</f>
        <v>9</v>
      </c>
      <c r="G61" s="35" t="n">
        <f aca="false">MAX(0,F61-$E61)</f>
        <v>7</v>
      </c>
      <c r="H61" s="35" t="n">
        <f aca="false">ROUND($D61*F$22,0)</f>
        <v>10</v>
      </c>
      <c r="I61" s="35" t="n">
        <f aca="false">MAX(0,H61-$E61)</f>
        <v>8</v>
      </c>
      <c r="J61" s="35" t="n">
        <f aca="false">ROUND($D61*H$22,0)</f>
        <v>8</v>
      </c>
      <c r="K61" s="35" t="n">
        <f aca="false">MAX(0,J61-$E61)</f>
        <v>6</v>
      </c>
      <c r="L61" s="35" t="n">
        <f aca="false">ROUND($D61*J$22,0)</f>
        <v>9</v>
      </c>
      <c r="M61" s="35" t="n">
        <f aca="false">MAX(0,L61-$E61)</f>
        <v>7</v>
      </c>
    </row>
    <row r="62" customFormat="false" ht="15" hidden="false" customHeight="false" outlineLevel="0" collapsed="false">
      <c r="A62" s="32" t="n">
        <v>37</v>
      </c>
      <c r="B62" s="32" t="s">
        <v>358</v>
      </c>
      <c r="C62" s="33" t="s">
        <v>359</v>
      </c>
      <c r="D62" s="65" t="n">
        <f aca="false">③仙台以降予測!H67</f>
        <v>0.000541579295709348</v>
      </c>
      <c r="E62" s="35" t="n">
        <f aca="false">③仙台以降予測!V67</f>
        <v>28</v>
      </c>
      <c r="F62" s="35" t="n">
        <f aca="false">ROUND($D62*D$22,0)</f>
        <v>33</v>
      </c>
      <c r="G62" s="35" t="n">
        <f aca="false">MAX(0,F62-$E62)</f>
        <v>5</v>
      </c>
      <c r="H62" s="35" t="n">
        <f aca="false">ROUND($D62*F$22,0)</f>
        <v>34</v>
      </c>
      <c r="I62" s="35" t="n">
        <f aca="false">MAX(0,H62-$E62)</f>
        <v>6</v>
      </c>
      <c r="J62" s="35" t="n">
        <f aca="false">ROUND($D62*H$22,0)</f>
        <v>28</v>
      </c>
      <c r="K62" s="35" t="n">
        <f aca="false">MAX(0,J62-$E62)</f>
        <v>0</v>
      </c>
      <c r="L62" s="35" t="n">
        <f aca="false">ROUND($D62*J$22,0)</f>
        <v>33</v>
      </c>
      <c r="M62" s="35" t="n">
        <f aca="false">MAX(0,L62-$E62)</f>
        <v>5</v>
      </c>
    </row>
    <row r="63" customFormat="false" ht="15" hidden="false" customHeight="false" outlineLevel="0" collapsed="false">
      <c r="A63" s="32" t="n">
        <v>38</v>
      </c>
      <c r="B63" s="32" t="s">
        <v>360</v>
      </c>
      <c r="C63" s="33" t="s">
        <v>361</v>
      </c>
      <c r="D63" s="65" t="n">
        <f aca="false">③仙台以降予測!H68</f>
        <v>0.000209541817976646</v>
      </c>
      <c r="E63" s="35" t="n">
        <f aca="false">③仙台以降予測!V68</f>
        <v>1</v>
      </c>
      <c r="F63" s="35" t="n">
        <f aca="false">ROUND($D63*D$22,0)</f>
        <v>13</v>
      </c>
      <c r="G63" s="35" t="n">
        <f aca="false">MAX(0,F63-$E63)</f>
        <v>12</v>
      </c>
      <c r="H63" s="35" t="n">
        <f aca="false">ROUND($D63*F$22,0)</f>
        <v>13</v>
      </c>
      <c r="I63" s="35" t="n">
        <f aca="false">MAX(0,H63-$E63)</f>
        <v>12</v>
      </c>
      <c r="J63" s="35" t="n">
        <f aca="false">ROUND($D63*H$22,0)</f>
        <v>11</v>
      </c>
      <c r="K63" s="35" t="n">
        <f aca="false">MAX(0,J63-$E63)</f>
        <v>10</v>
      </c>
      <c r="L63" s="35" t="n">
        <f aca="false">ROUND($D63*J$22,0)</f>
        <v>13</v>
      </c>
      <c r="M63" s="35" t="n">
        <f aca="false">MAX(0,L63-$E63)</f>
        <v>12</v>
      </c>
    </row>
    <row r="64" customFormat="false" ht="15" hidden="false" customHeight="false" outlineLevel="0" collapsed="false">
      <c r="A64" s="32" t="n">
        <v>39</v>
      </c>
      <c r="B64" s="32" t="s">
        <v>362</v>
      </c>
      <c r="C64" s="33" t="s">
        <v>363</v>
      </c>
      <c r="D64" s="65" t="n">
        <f aca="false">③仙台以降予測!H69</f>
        <v>0.000306610348359096</v>
      </c>
      <c r="E64" s="35" t="n">
        <f aca="false">③仙台以降予測!V69</f>
        <v>0</v>
      </c>
      <c r="F64" s="35" t="n">
        <f aca="false">ROUND($D64*D$22,0)</f>
        <v>19</v>
      </c>
      <c r="G64" s="35" t="n">
        <f aca="false">MAX(0,F64-$E64)</f>
        <v>19</v>
      </c>
      <c r="H64" s="35" t="n">
        <f aca="false">ROUND($D64*F$22,0)</f>
        <v>19</v>
      </c>
      <c r="I64" s="35" t="n">
        <f aca="false">MAX(0,H64-$E64)</f>
        <v>19</v>
      </c>
      <c r="J64" s="35" t="n">
        <f aca="false">ROUND($D64*H$22,0)</f>
        <v>16</v>
      </c>
      <c r="K64" s="35" t="n">
        <f aca="false">MAX(0,J64-$E64)</f>
        <v>16</v>
      </c>
      <c r="L64" s="35" t="n">
        <f aca="false">ROUND($D64*J$22,0)</f>
        <v>19</v>
      </c>
      <c r="M64" s="35" t="n">
        <f aca="false">MAX(0,L64-$E64)</f>
        <v>19</v>
      </c>
    </row>
    <row r="65" customFormat="false" ht="15" hidden="false" customHeight="false" outlineLevel="0" collapsed="false">
      <c r="A65" s="32" t="n">
        <v>40</v>
      </c>
      <c r="B65" s="32" t="s">
        <v>364</v>
      </c>
      <c r="C65" s="33" t="s">
        <v>365</v>
      </c>
      <c r="D65" s="65" t="n">
        <f aca="false">③仙台以降予測!H70</f>
        <v>9.706853038245E-005</v>
      </c>
      <c r="E65" s="35" t="n">
        <f aca="false">③仙台以降予測!V70</f>
        <v>3</v>
      </c>
      <c r="F65" s="35" t="n">
        <f aca="false">ROUND($D65*D$22,0)</f>
        <v>6</v>
      </c>
      <c r="G65" s="35" t="n">
        <f aca="false">MAX(0,F65-$E65)</f>
        <v>3</v>
      </c>
      <c r="H65" s="35" t="n">
        <f aca="false">ROUND($D65*F$22,0)</f>
        <v>6</v>
      </c>
      <c r="I65" s="35" t="n">
        <f aca="false">MAX(0,H65-$E65)</f>
        <v>3</v>
      </c>
      <c r="J65" s="35" t="n">
        <f aca="false">ROUND($D65*H$22,0)</f>
        <v>5</v>
      </c>
      <c r="K65" s="35" t="n">
        <f aca="false">MAX(0,J65-$E65)</f>
        <v>2</v>
      </c>
      <c r="L65" s="35" t="n">
        <f aca="false">ROUND($D65*J$22,0)</f>
        <v>6</v>
      </c>
      <c r="M65" s="35" t="n">
        <f aca="false">MAX(0,L65-$E65)</f>
        <v>3</v>
      </c>
    </row>
    <row r="66" customFormat="false" ht="15" hidden="false" customHeight="false" outlineLevel="0" collapsed="false">
      <c r="A66" s="32" t="n">
        <v>41</v>
      </c>
      <c r="B66" s="32" t="s">
        <v>366</v>
      </c>
      <c r="C66" s="33" t="s">
        <v>367</v>
      </c>
      <c r="D66" s="65" t="n">
        <f aca="false">③仙台以降予測!H71</f>
        <v>0</v>
      </c>
      <c r="E66" s="35" t="n">
        <f aca="false">③仙台以降予測!V71</f>
        <v>74</v>
      </c>
      <c r="F66" s="35" t="n">
        <f aca="false">ROUND($D66*D$22,0)</f>
        <v>0</v>
      </c>
      <c r="G66" s="35" t="n">
        <f aca="false">MAX(0,F66-$E66)</f>
        <v>0</v>
      </c>
      <c r="H66" s="35" t="n">
        <f aca="false">ROUND($D66*F$22,0)</f>
        <v>0</v>
      </c>
      <c r="I66" s="35" t="n">
        <f aca="false">MAX(0,H66-$E66)</f>
        <v>0</v>
      </c>
      <c r="J66" s="35" t="n">
        <f aca="false">ROUND($D66*H$22,0)</f>
        <v>0</v>
      </c>
      <c r="K66" s="35" t="n">
        <f aca="false">MAX(0,J66-$E66)</f>
        <v>0</v>
      </c>
      <c r="L66" s="35" t="n">
        <f aca="false">ROUND($D66*J$22,0)</f>
        <v>0</v>
      </c>
      <c r="M66" s="35" t="n">
        <f aca="false">MAX(0,L66-$E66)</f>
        <v>0</v>
      </c>
    </row>
    <row r="67" customFormat="false" ht="15" hidden="false" customHeight="false" outlineLevel="0" collapsed="false">
      <c r="A67" s="32" t="n">
        <v>42</v>
      </c>
      <c r="B67" s="32" t="s">
        <v>368</v>
      </c>
      <c r="C67" s="33" t="s">
        <v>369</v>
      </c>
      <c r="D67" s="65" t="n">
        <f aca="false">③仙台以降予測!H72</f>
        <v>5.62366437970982E-005</v>
      </c>
      <c r="E67" s="35" t="n">
        <f aca="false">③仙台以降予測!V72</f>
        <v>48</v>
      </c>
      <c r="F67" s="35" t="n">
        <f aca="false">ROUND($D67*D$22,0)</f>
        <v>3</v>
      </c>
      <c r="G67" s="35" t="n">
        <f aca="false">MAX(0,F67-$E67)</f>
        <v>0</v>
      </c>
      <c r="H67" s="35" t="n">
        <f aca="false">ROUND($D67*F$22,0)</f>
        <v>4</v>
      </c>
      <c r="I67" s="35" t="n">
        <f aca="false">MAX(0,H67-$E67)</f>
        <v>0</v>
      </c>
      <c r="J67" s="35" t="n">
        <f aca="false">ROUND($D67*H$22,0)</f>
        <v>3</v>
      </c>
      <c r="K67" s="35" t="n">
        <f aca="false">MAX(0,J67-$E67)</f>
        <v>0</v>
      </c>
      <c r="L67" s="35" t="n">
        <f aca="false">ROUND($D67*J$22,0)</f>
        <v>3</v>
      </c>
      <c r="M67" s="35" t="n">
        <f aca="false">MAX(0,L67-$E67)</f>
        <v>0</v>
      </c>
    </row>
    <row r="68" customFormat="false" ht="15" hidden="false" customHeight="false" outlineLevel="0" collapsed="false">
      <c r="A68" s="40"/>
      <c r="B68" s="40"/>
      <c r="C68" s="41" t="s">
        <v>370</v>
      </c>
      <c r="D68" s="66" t="n">
        <f aca="false">SUM(D26:D67)</f>
        <v>1</v>
      </c>
      <c r="E68" s="42" t="n">
        <f aca="false">SUM(E26:E67)</f>
        <v>234426</v>
      </c>
      <c r="F68" s="42" t="n">
        <f aca="false">SUM(F26:F67)</f>
        <v>61618</v>
      </c>
      <c r="G68" s="42" t="n">
        <f aca="false">SUM(G26:G67)</f>
        <v>4583</v>
      </c>
      <c r="H68" s="42" t="n">
        <f aca="false">SUM(H26:H67)</f>
        <v>63524</v>
      </c>
      <c r="I68" s="42" t="n">
        <f aca="false">SUM(I26:I67)</f>
        <v>4822</v>
      </c>
      <c r="J68" s="42" t="n">
        <f aca="false">SUM(J26:J67)</f>
        <v>51786</v>
      </c>
      <c r="K68" s="42" t="n">
        <f aca="false">SUM(K26:K67)</f>
        <v>3340</v>
      </c>
      <c r="L68" s="42" t="n">
        <f aca="false">SUM(L26:L67)</f>
        <v>61618</v>
      </c>
      <c r="M68" s="42" t="n">
        <f aca="false">SUM(M26:M67)</f>
        <v>4583</v>
      </c>
    </row>
    <row r="70" customFormat="false" ht="15" hidden="false" customHeight="false" outlineLevel="0" collapsed="false">
      <c r="A70" s="4" t="s">
        <v>820</v>
      </c>
    </row>
    <row r="71" customFormat="false" ht="15" hidden="false" customHeight="false" outlineLevel="0" collapsed="false">
      <c r="A71" s="26" t="s">
        <v>374</v>
      </c>
      <c r="B71" s="17" t="s">
        <v>217</v>
      </c>
      <c r="C71" s="17" t="s">
        <v>218</v>
      </c>
      <c r="D71" s="17" t="s">
        <v>219</v>
      </c>
      <c r="E71" s="17" t="s">
        <v>220</v>
      </c>
    </row>
    <row r="72" customFormat="false" ht="15" hidden="false" customHeight="false" outlineLevel="0" collapsed="false">
      <c r="A72" s="50" t="s">
        <v>821</v>
      </c>
      <c r="B72" s="35" t="n">
        <f aca="false">F68</f>
        <v>61618</v>
      </c>
      <c r="C72" s="35" t="n">
        <f aca="false">H68</f>
        <v>63524</v>
      </c>
      <c r="D72" s="35" t="n">
        <f aca="false">J68</f>
        <v>51786</v>
      </c>
      <c r="E72" s="35" t="n">
        <f aca="false">L68</f>
        <v>61618</v>
      </c>
    </row>
    <row r="73" customFormat="false" ht="15" hidden="false" customHeight="false" outlineLevel="0" collapsed="false">
      <c r="A73" s="50" t="s">
        <v>822</v>
      </c>
      <c r="B73" s="35" t="n">
        <f aca="false">$E$68</f>
        <v>234426</v>
      </c>
      <c r="C73" s="35" t="n">
        <f aca="false">$E$68</f>
        <v>234426</v>
      </c>
      <c r="D73" s="35" t="n">
        <f aca="false">$E$68</f>
        <v>234426</v>
      </c>
      <c r="E73" s="35" t="n">
        <f aca="false">$E$68</f>
        <v>234426</v>
      </c>
    </row>
    <row r="74" customFormat="false" ht="15" hidden="false" customHeight="false" outlineLevel="0" collapsed="false">
      <c r="A74" s="50" t="s">
        <v>823</v>
      </c>
      <c r="B74" s="38" t="n">
        <f aca="false">B73-B72</f>
        <v>172808</v>
      </c>
      <c r="C74" s="38" t="n">
        <f aca="false">C73-C72</f>
        <v>170902</v>
      </c>
      <c r="D74" s="38" t="n">
        <f aca="false">D73-D72</f>
        <v>182640</v>
      </c>
      <c r="E74" s="38" t="n">
        <f aca="false">E73-E72</f>
        <v>172808</v>
      </c>
    </row>
    <row r="75" customFormat="false" ht="15" hidden="false" customHeight="false" outlineLevel="0" collapsed="false">
      <c r="A75" s="99" t="s">
        <v>824</v>
      </c>
      <c r="B75" s="100" t="n">
        <f aca="false">G68</f>
        <v>4583</v>
      </c>
      <c r="C75" s="100" t="n">
        <f aca="false">I68</f>
        <v>4822</v>
      </c>
      <c r="D75" s="100" t="n">
        <f aca="false">K68</f>
        <v>3340</v>
      </c>
      <c r="E75" s="100" t="n">
        <f aca="false">M68</f>
        <v>4583</v>
      </c>
    </row>
    <row r="76" customFormat="false" ht="15" hidden="false" customHeight="false" outlineLevel="0" collapsed="false">
      <c r="A76" s="50" t="s">
        <v>825</v>
      </c>
      <c r="B76" s="32" t="str">
        <f aca="false">COUNTIF(G26:G67,"&gt;0")&amp;"品目"</f>
        <v>13品目</v>
      </c>
      <c r="C76" s="32" t="str">
        <f aca="false">COUNTIF(I26:I67,"&gt;0")&amp;"品目"</f>
        <v>13品目</v>
      </c>
      <c r="D76" s="32" t="str">
        <f aca="false">COUNTIF(K26:K67,"&gt;0")&amp;"品目"</f>
        <v>12品目</v>
      </c>
      <c r="E76" s="32" t="str">
        <f aca="false">COUNTIF(M26:M67,"&gt;0")&amp;"品目"</f>
        <v>13品目</v>
      </c>
    </row>
    <row r="77" customFormat="false" ht="15" hidden="false" customHeight="false" outlineLevel="0" collapsed="false">
      <c r="A77" s="50" t="s">
        <v>826</v>
      </c>
      <c r="B77" s="35" t="n">
        <f aca="false">ROUNDUP(G68*(1+前提・入力!$B$34),0)</f>
        <v>5042</v>
      </c>
      <c r="C77" s="35" t="n">
        <f aca="false">ROUNDUP(I68*(1+前提・入力!$B$34),0)</f>
        <v>5305</v>
      </c>
      <c r="D77" s="35" t="n">
        <f aca="false">ROUNDUP(K68*(1+前提・入力!$B$34),0)</f>
        <v>3674</v>
      </c>
      <c r="E77" s="35" t="n">
        <f aca="false">ROUNDUP(M68*(1+前提・入力!$B$34),0)</f>
        <v>5042</v>
      </c>
    </row>
    <row r="79" customFormat="false" ht="15" hidden="false" customHeight="false" outlineLevel="0" collapsed="false">
      <c r="A79" s="5" t="s">
        <v>827</v>
      </c>
      <c r="B79" s="93" t="s">
        <v>828</v>
      </c>
      <c r="C79" s="93"/>
      <c r="D79" s="93"/>
      <c r="E79" s="93"/>
      <c r="F79" s="93"/>
      <c r="G79" s="93"/>
      <c r="H79" s="93"/>
      <c r="I79" s="93"/>
      <c r="J79" s="93"/>
    </row>
    <row r="80" customFormat="false" ht="15" hidden="false" customHeight="false" outlineLevel="0" collapsed="false">
      <c r="A80" s="5"/>
      <c r="B80" s="93" t="s">
        <v>829</v>
      </c>
      <c r="C80" s="93"/>
      <c r="D80" s="93"/>
      <c r="E80" s="93"/>
      <c r="F80" s="93"/>
      <c r="G80" s="93"/>
      <c r="H80" s="93"/>
      <c r="I80" s="93"/>
      <c r="J80" s="93"/>
    </row>
    <row r="81" customFormat="false" ht="15" hidden="false" customHeight="false" outlineLevel="0" collapsed="false">
      <c r="A81" s="5" t="s">
        <v>830</v>
      </c>
      <c r="B81" s="93" t="s">
        <v>831</v>
      </c>
      <c r="C81" s="93"/>
      <c r="D81" s="93"/>
      <c r="E81" s="93"/>
      <c r="F81" s="93"/>
      <c r="G81" s="93"/>
      <c r="H81" s="93"/>
      <c r="I81" s="93"/>
      <c r="J81" s="93"/>
    </row>
    <row r="82" customFormat="false" ht="15" hidden="false" customHeight="false" outlineLevel="0" collapsed="false">
      <c r="A82" s="5"/>
      <c r="B82" s="93" t="s">
        <v>832</v>
      </c>
      <c r="C82" s="93"/>
      <c r="D82" s="93"/>
      <c r="E82" s="93"/>
      <c r="F82" s="93"/>
      <c r="G82" s="93"/>
      <c r="H82" s="93"/>
      <c r="I82" s="93"/>
      <c r="J82" s="93"/>
    </row>
    <row r="83" customFormat="false" ht="15" hidden="false" customHeight="false" outlineLevel="0" collapsed="false">
      <c r="A83" s="5"/>
      <c r="B83" s="93" t="s">
        <v>833</v>
      </c>
      <c r="C83" s="93"/>
      <c r="D83" s="93"/>
      <c r="E83" s="93"/>
      <c r="F83" s="93"/>
      <c r="G83" s="93"/>
      <c r="H83" s="93"/>
      <c r="I83" s="93"/>
      <c r="J83" s="93"/>
    </row>
  </sheetData>
  <mergeCells count="5">
    <mergeCell ref="B79:J79"/>
    <mergeCell ref="B80:J80"/>
    <mergeCell ref="B81:J81"/>
    <mergeCell ref="B82:J82"/>
    <mergeCell ref="B83:J83"/>
  </mergeCells>
  <conditionalFormatting sqref="F8:F14">
    <cfRule type="expression" priority="2" aboveAverage="0" equalAverage="0" bottom="0" percent="0" rank="0" text="" dxfId="3">
      <formula>AND(ISNUMBER($F8),$F8&lt;0.8)</formula>
    </cfRule>
  </conditionalFormatting>
  <conditionalFormatting sqref="G26:G67">
    <cfRule type="expression" priority="3" aboveAverage="0" equalAverage="0" bottom="0" percent="0" rank="0" text="" dxfId="3">
      <formula>$G26&gt;0</formula>
    </cfRule>
  </conditionalFormatting>
  <conditionalFormatting sqref="I26:I67">
    <cfRule type="expression" priority="4" aboveAverage="0" equalAverage="0" bottom="0" percent="0" rank="0" text="" dxfId="3">
      <formula>$I26&gt;0</formula>
    </cfRule>
  </conditionalFormatting>
  <conditionalFormatting sqref="K26:K67">
    <cfRule type="expression" priority="5" aboveAverage="0" equalAverage="0" bottom="0" percent="0" rank="0" text="" dxfId="3">
      <formula>$K26&gt;0</formula>
    </cfRule>
  </conditionalFormatting>
  <conditionalFormatting sqref="M26:M67">
    <cfRule type="expression" priority="6" aboveAverage="0" equalAverage="0" bottom="0" percent="0" rank="0" text="" dxfId="3">
      <formula>$M26&gt;0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42"/>
    <col collapsed="false" customWidth="true" hidden="false" outlineLevel="0" max="4" min="4" style="0" width="14"/>
    <col collapsed="false" customWidth="true" hidden="false" outlineLevel="0" max="5" min="5" style="0" width="16"/>
    <col collapsed="false" customWidth="true" hidden="false" outlineLevel="0" max="7" min="6" style="0" width="14"/>
    <col collapsed="false" customWidth="true" hidden="false" outlineLevel="0" max="8" min="8" style="0" width="16"/>
    <col collapsed="false" customWidth="true" hidden="false" outlineLevel="0" max="10" min="9" style="0" width="14"/>
    <col collapsed="false" customWidth="true" hidden="false" outlineLevel="0" max="11" min="11" style="0" width="12"/>
    <col collapsed="false" customWidth="true" hidden="false" outlineLevel="0" max="14" min="12" style="0" width="13"/>
    <col collapsed="false" customWidth="true" hidden="false" outlineLevel="0" max="15" min="15" style="0" width="22"/>
    <col collapsed="false" customWidth="true" hidden="false" outlineLevel="0" max="16" min="16" style="0" width="52"/>
    <col collapsed="false" customWidth="true" hidden="false" outlineLevel="0" max="17" min="17" style="0" width="13"/>
    <col collapsed="false" customWidth="true" hidden="false" outlineLevel="0" max="18" min="18" style="0" width="12"/>
    <col collapsed="false" customWidth="true" hidden="false" outlineLevel="0" max="19" min="19" style="0" width="13"/>
    <col collapsed="false" customWidth="true" hidden="false" outlineLevel="0" max="20" min="20" style="0" width="12"/>
    <col collapsed="false" customWidth="true" hidden="false" outlineLevel="0" max="21" min="21" style="0" width="16"/>
    <col collapsed="false" customWidth="true" hidden="false" outlineLevel="0" max="22" min="22" style="0" width="40"/>
  </cols>
  <sheetData>
    <row r="1" customFormat="false" ht="18.55" hidden="false" customHeight="false" outlineLevel="0" collapsed="false">
      <c r="A1" s="1" t="s">
        <v>834</v>
      </c>
    </row>
    <row r="2" customFormat="false" ht="15" hidden="false" customHeight="false" outlineLevel="0" collapsed="false">
      <c r="A2" s="3" t="s">
        <v>835</v>
      </c>
    </row>
    <row r="3" customFormat="false" ht="15" hidden="false" customHeight="false" outlineLevel="0" collapsed="false">
      <c r="A3" s="3" t="s">
        <v>836</v>
      </c>
    </row>
    <row r="5" customFormat="false" ht="15" hidden="false" customHeight="false" outlineLevel="0" collapsed="false">
      <c r="A5" s="4" t="s">
        <v>837</v>
      </c>
    </row>
    <row r="6" customFormat="false" ht="15" hidden="false" customHeight="false" outlineLevel="0" collapsed="false">
      <c r="A6" s="26" t="s">
        <v>838</v>
      </c>
      <c r="B6" s="26" t="s">
        <v>839</v>
      </c>
      <c r="C6" s="26" t="s">
        <v>840</v>
      </c>
      <c r="D6" s="26" t="s">
        <v>429</v>
      </c>
    </row>
    <row r="7" customFormat="false" ht="15" hidden="false" customHeight="false" outlineLevel="0" collapsed="false">
      <c r="A7" s="33" t="s">
        <v>841</v>
      </c>
      <c r="B7" s="32" t="s">
        <v>842</v>
      </c>
      <c r="C7" s="33" t="s">
        <v>843</v>
      </c>
      <c r="D7" s="55"/>
    </row>
    <row r="8" customFormat="false" ht="15" hidden="false" customHeight="false" outlineLevel="0" collapsed="false">
      <c r="A8" s="33" t="s">
        <v>333</v>
      </c>
      <c r="B8" s="32" t="s">
        <v>844</v>
      </c>
      <c r="C8" s="33" t="s">
        <v>845</v>
      </c>
      <c r="D8" s="55"/>
    </row>
    <row r="9" customFormat="false" ht="15" hidden="false" customHeight="false" outlineLevel="0" collapsed="false">
      <c r="A9" s="33" t="s">
        <v>341</v>
      </c>
      <c r="B9" s="32" t="s">
        <v>846</v>
      </c>
      <c r="C9" s="33" t="s">
        <v>847</v>
      </c>
      <c r="D9" s="33" t="s">
        <v>848</v>
      </c>
    </row>
    <row r="10" customFormat="false" ht="15" hidden="false" customHeight="false" outlineLevel="0" collapsed="false">
      <c r="A10" s="50" t="s">
        <v>849</v>
      </c>
      <c r="B10" s="32"/>
      <c r="C10" s="55"/>
      <c r="D10" s="55" t="s">
        <v>850</v>
      </c>
    </row>
    <row r="11" customFormat="false" ht="15" hidden="false" customHeight="false" outlineLevel="0" collapsed="false">
      <c r="A11" s="33" t="s">
        <v>851</v>
      </c>
      <c r="B11" s="32" t="s">
        <v>852</v>
      </c>
      <c r="C11" s="33" t="s">
        <v>853</v>
      </c>
      <c r="D11" s="33" t="s">
        <v>854</v>
      </c>
    </row>
    <row r="12" customFormat="false" ht="15" hidden="false" customHeight="false" outlineLevel="0" collapsed="false">
      <c r="A12" s="33" t="s">
        <v>341</v>
      </c>
      <c r="B12" s="32" t="s">
        <v>855</v>
      </c>
      <c r="C12" s="33" t="s">
        <v>856</v>
      </c>
      <c r="D12" s="33" t="s">
        <v>857</v>
      </c>
    </row>
    <row r="14" customFormat="false" ht="15" hidden="false" customHeight="false" outlineLevel="0" collapsed="false">
      <c r="A14" s="4" t="s">
        <v>858</v>
      </c>
    </row>
    <row r="15" customFormat="false" ht="42" hidden="false" customHeight="true" outlineLevel="0" collapsed="false">
      <c r="A15" s="25" t="s">
        <v>263</v>
      </c>
      <c r="B15" s="25" t="s">
        <v>264</v>
      </c>
      <c r="C15" s="26" t="s">
        <v>265</v>
      </c>
      <c r="D15" s="49" t="s">
        <v>859</v>
      </c>
      <c r="E15" s="49" t="s">
        <v>860</v>
      </c>
      <c r="F15" s="62" t="s">
        <v>519</v>
      </c>
      <c r="G15" s="49" t="s">
        <v>489</v>
      </c>
      <c r="H15" s="17" t="s">
        <v>861</v>
      </c>
      <c r="I15" s="49" t="s">
        <v>490</v>
      </c>
      <c r="J15" s="17" t="s">
        <v>862</v>
      </c>
      <c r="K15" s="49" t="s">
        <v>491</v>
      </c>
      <c r="L15" s="17" t="s">
        <v>863</v>
      </c>
      <c r="M15" s="49" t="s">
        <v>492</v>
      </c>
      <c r="N15" s="17" t="s">
        <v>864</v>
      </c>
      <c r="O15" s="67" t="s">
        <v>865</v>
      </c>
      <c r="P15" s="67" t="s">
        <v>866</v>
      </c>
      <c r="Q15" s="67" t="s">
        <v>867</v>
      </c>
      <c r="R15" s="31" t="s">
        <v>506</v>
      </c>
      <c r="S15" s="31" t="s">
        <v>526</v>
      </c>
      <c r="T15" s="31" t="s">
        <v>527</v>
      </c>
      <c r="U15" s="31" t="s">
        <v>868</v>
      </c>
      <c r="V15" s="68" t="s">
        <v>429</v>
      </c>
    </row>
    <row r="16" customFormat="false" ht="15" hidden="false" customHeight="false" outlineLevel="0" collapsed="false">
      <c r="A16" s="32" t="n">
        <v>1</v>
      </c>
      <c r="B16" s="32" t="s">
        <v>286</v>
      </c>
      <c r="C16" s="33" t="s">
        <v>287</v>
      </c>
      <c r="D16" s="32" t="n">
        <v>1</v>
      </c>
      <c r="E16" s="32" t="n">
        <f aca="false">IF(ISNUMBER(D16),ROUND(D16*30,0),"－")</f>
        <v>30</v>
      </c>
      <c r="F16" s="35" t="n">
        <f aca="false">③仙台以降予測!V31</f>
        <v>2489</v>
      </c>
      <c r="G16" s="35" t="n">
        <f aca="false">③仙台以降予測!I31</f>
        <v>524</v>
      </c>
      <c r="H16" s="101" t="n">
        <f aca="false">F16-G16</f>
        <v>1965</v>
      </c>
      <c r="I16" s="35" t="n">
        <f aca="false">③仙台以降予測!J31</f>
        <v>483</v>
      </c>
      <c r="J16" s="101" t="n">
        <f aca="false">H16-I16</f>
        <v>1482</v>
      </c>
      <c r="K16" s="35" t="n">
        <f aca="false">③仙台以降予測!K31</f>
        <v>363</v>
      </c>
      <c r="L16" s="101" t="n">
        <f aca="false">J16-K16</f>
        <v>1119</v>
      </c>
      <c r="M16" s="35" t="n">
        <f aca="false">③仙台以降予測!L31</f>
        <v>2014</v>
      </c>
      <c r="N16" s="101" t="n">
        <f aca="false">L16-M16</f>
        <v>-895</v>
      </c>
      <c r="O16" s="69" t="str">
        <f aca="false">_xlfn.IFS(H16&lt;0,"仙台 Ebeans",J16&lt;0,"神戸阪急",L16&lt;0,"鳥取島根 夢みなとタワー",N16&lt;0,"東京凱旋 東京建物ぴあホール",TRUE(),"—")</f>
        <v>東京凱旋 東京建物ぴあホール</v>
      </c>
      <c r="P16" s="70" t="n">
        <f aca="false">IF(O16="—","",_xlfn.IFS(H16&lt;0,DATE(2026,9,5),J16&lt;0,DATE(2026,12,16),L16&lt;0,DATE(2027,3,15),N16&lt;0,DATE(2027,4,1)))</f>
        <v>46478</v>
      </c>
      <c r="Q16" s="35" t="n">
        <f aca="false">MAX(0,-N16)</f>
        <v>895</v>
      </c>
      <c r="R16" s="35" t="n">
        <f aca="false">IF(Q16&gt;0,ROUNDUP(Q16*(1+前提・入力!$B$34),0),0)</f>
        <v>985</v>
      </c>
      <c r="S16" s="70" t="n">
        <f aca="false">IF(P16="","",IF(NOT(ISNUMBER(D16)),"再生産不可",P16-E16-前提・入力!$B$37))</f>
        <v>46434</v>
      </c>
      <c r="T16" s="71" t="n">
        <f aca="false">IF(OR(S16="",S16="再生産不可"),"",S16-前提・入力!$B$38)</f>
        <v>174</v>
      </c>
      <c r="U16" s="72" t="str">
        <f aca="false">IF(O16="","—",IF(S16="再生産不可","×再生産不可",_xlfn.IFS(T16&lt;0,"★期限超過",T16&lt;=30,"★至急(30日以内)",T16&lt;=90,"要着手(90日以内)",TRUE(),"余裕あり")))</f>
        <v>余裕あり</v>
      </c>
      <c r="V16" s="72"/>
    </row>
    <row r="17" customFormat="false" ht="15" hidden="false" customHeight="false" outlineLevel="0" collapsed="false">
      <c r="A17" s="32" t="n">
        <v>2</v>
      </c>
      <c r="B17" s="32" t="s">
        <v>288</v>
      </c>
      <c r="C17" s="33" t="s">
        <v>289</v>
      </c>
      <c r="D17" s="32" t="n">
        <v>1</v>
      </c>
      <c r="E17" s="32" t="n">
        <f aca="false">IF(ISNUMBER(D17),ROUND(D17*30,0),"－")</f>
        <v>30</v>
      </c>
      <c r="F17" s="35" t="n">
        <f aca="false">③仙台以降予測!V32</f>
        <v>4170</v>
      </c>
      <c r="G17" s="35" t="n">
        <f aca="false">③仙台以降予測!I32</f>
        <v>591</v>
      </c>
      <c r="H17" s="101" t="n">
        <f aca="false">F17-G17</f>
        <v>3579</v>
      </c>
      <c r="I17" s="35" t="n">
        <f aca="false">③仙台以降予測!J32</f>
        <v>545</v>
      </c>
      <c r="J17" s="101" t="n">
        <f aca="false">H17-I17</f>
        <v>3034</v>
      </c>
      <c r="K17" s="35" t="n">
        <f aca="false">③仙台以降予測!K32</f>
        <v>409</v>
      </c>
      <c r="L17" s="101" t="n">
        <f aca="false">J17-K17</f>
        <v>2625</v>
      </c>
      <c r="M17" s="35" t="n">
        <f aca="false">③仙台以降予測!L32</f>
        <v>2273</v>
      </c>
      <c r="N17" s="101" t="n">
        <f aca="false">L17-M17</f>
        <v>352</v>
      </c>
      <c r="O17" s="69" t="str">
        <f aca="false">_xlfn.IFS(H17&lt;0,"仙台 Ebeans",J17&lt;0,"神戸阪急",L17&lt;0,"鳥取島根 夢みなとタワー",N17&lt;0,"東京凱旋 東京建物ぴあホール",TRUE(),"—")</f>
        <v>—</v>
      </c>
      <c r="P17" s="70" t="str">
        <f aca="false">IF(O17="—","",_xlfn.IFS(H17&lt;0,DATE(2026,9,5),J17&lt;0,DATE(2026,12,16),L17&lt;0,DATE(2027,3,15),N17&lt;0,DATE(2027,4,1)))</f>
        <v/>
      </c>
      <c r="Q17" s="35" t="n">
        <f aca="false">MAX(0,-N17)</f>
        <v>0</v>
      </c>
      <c r="R17" s="35" t="n">
        <f aca="false">IF(Q17&gt;0,ROUNDUP(Q17*(1+前提・入力!$B$34),0),0)</f>
        <v>0</v>
      </c>
      <c r="S17" s="70" t="str">
        <f aca="false">IF(P17="","",IF(NOT(ISNUMBER(D17)),"再生産不可",P17-E17-前提・入力!$B$37))</f>
        <v/>
      </c>
      <c r="T17" s="71" t="str">
        <f aca="false">IF(OR(S17="",S17="再生産不可"),"",S17-前提・入力!$B$38)</f>
        <v/>
      </c>
      <c r="U17" s="72" t="str">
        <f aca="false">IF(O17="","—",IF(S17="再生産不可","×再生産不可",_xlfn.IFS(T17&lt;0,"★期限超過",T17&lt;=30,"★至急(30日以内)",T17&lt;=90,"要着手(90日以内)",TRUE(),"余裕あり")))</f>
        <v>余裕あり</v>
      </c>
      <c r="V17" s="72"/>
    </row>
    <row r="18" customFormat="false" ht="15" hidden="false" customHeight="false" outlineLevel="0" collapsed="false">
      <c r="A18" s="32" t="n">
        <v>3</v>
      </c>
      <c r="B18" s="32" t="s">
        <v>290</v>
      </c>
      <c r="C18" s="33" t="s">
        <v>291</v>
      </c>
      <c r="D18" s="32" t="n">
        <v>1</v>
      </c>
      <c r="E18" s="32" t="n">
        <f aca="false">IF(ISNUMBER(D18),ROUND(D18*30,0),"－")</f>
        <v>30</v>
      </c>
      <c r="F18" s="35" t="n">
        <f aca="false">③仙台以降予測!V33</f>
        <v>1857</v>
      </c>
      <c r="G18" s="35" t="n">
        <f aca="false">③仙台以降予測!I33</f>
        <v>200</v>
      </c>
      <c r="H18" s="101" t="n">
        <f aca="false">F18-G18</f>
        <v>1657</v>
      </c>
      <c r="I18" s="35" t="n">
        <f aca="false">③仙台以降予測!J33</f>
        <v>184</v>
      </c>
      <c r="J18" s="101" t="n">
        <f aca="false">H18-I18</f>
        <v>1473</v>
      </c>
      <c r="K18" s="35" t="n">
        <f aca="false">③仙台以降予測!K33</f>
        <v>138</v>
      </c>
      <c r="L18" s="101" t="n">
        <f aca="false">J18-K18</f>
        <v>1335</v>
      </c>
      <c r="M18" s="35" t="n">
        <f aca="false">③仙台以降予測!L33</f>
        <v>769</v>
      </c>
      <c r="N18" s="101" t="n">
        <f aca="false">L18-M18</f>
        <v>566</v>
      </c>
      <c r="O18" s="69" t="str">
        <f aca="false">_xlfn.IFS(H18&lt;0,"仙台 Ebeans",J18&lt;0,"神戸阪急",L18&lt;0,"鳥取島根 夢みなとタワー",N18&lt;0,"東京凱旋 東京建物ぴあホール",TRUE(),"—")</f>
        <v>—</v>
      </c>
      <c r="P18" s="70" t="str">
        <f aca="false">IF(O18="—","",_xlfn.IFS(H18&lt;0,DATE(2026,9,5),J18&lt;0,DATE(2026,12,16),L18&lt;0,DATE(2027,3,15),N18&lt;0,DATE(2027,4,1)))</f>
        <v/>
      </c>
      <c r="Q18" s="35" t="n">
        <f aca="false">MAX(0,-N18)</f>
        <v>0</v>
      </c>
      <c r="R18" s="35" t="n">
        <f aca="false">IF(Q18&gt;0,ROUNDUP(Q18*(1+前提・入力!$B$34),0),0)</f>
        <v>0</v>
      </c>
      <c r="S18" s="70" t="str">
        <f aca="false">IF(P18="","",IF(NOT(ISNUMBER(D18)),"再生産不可",P18-E18-前提・入力!$B$37))</f>
        <v/>
      </c>
      <c r="T18" s="71" t="str">
        <f aca="false">IF(OR(S18="",S18="再生産不可"),"",S18-前提・入力!$B$38)</f>
        <v/>
      </c>
      <c r="U18" s="72" t="str">
        <f aca="false">IF(O18="","—",IF(S18="再生産不可","×再生産不可",_xlfn.IFS(T18&lt;0,"★期限超過",T18&lt;=30,"★至急(30日以内)",T18&lt;=90,"要着手(90日以内)",TRUE(),"余裕あり")))</f>
        <v>余裕あり</v>
      </c>
      <c r="V18" s="72"/>
    </row>
    <row r="19" customFormat="false" ht="15" hidden="false" customHeight="false" outlineLevel="0" collapsed="false">
      <c r="A19" s="32" t="n">
        <v>4</v>
      </c>
      <c r="B19" s="32" t="s">
        <v>292</v>
      </c>
      <c r="C19" s="33" t="s">
        <v>293</v>
      </c>
      <c r="D19" s="32" t="n">
        <v>1</v>
      </c>
      <c r="E19" s="32" t="n">
        <f aca="false">IF(ISNUMBER(D19),ROUND(D19*30,0),"－")</f>
        <v>30</v>
      </c>
      <c r="F19" s="35" t="n">
        <f aca="false">③仙台以降予測!V34</f>
        <v>3153</v>
      </c>
      <c r="G19" s="35" t="n">
        <f aca="false">③仙台以降予測!I34</f>
        <v>246</v>
      </c>
      <c r="H19" s="101" t="n">
        <f aca="false">F19-G19</f>
        <v>2907</v>
      </c>
      <c r="I19" s="35" t="n">
        <f aca="false">③仙台以降予測!J34</f>
        <v>227</v>
      </c>
      <c r="J19" s="101" t="n">
        <f aca="false">H19-I19</f>
        <v>2680</v>
      </c>
      <c r="K19" s="35" t="n">
        <f aca="false">③仙台以降予測!K34</f>
        <v>171</v>
      </c>
      <c r="L19" s="101" t="n">
        <f aca="false">J19-K19</f>
        <v>2509</v>
      </c>
      <c r="M19" s="35" t="n">
        <f aca="false">③仙台以降予測!L34</f>
        <v>947</v>
      </c>
      <c r="N19" s="101" t="n">
        <f aca="false">L19-M19</f>
        <v>1562</v>
      </c>
      <c r="O19" s="69" t="str">
        <f aca="false">_xlfn.IFS(H19&lt;0,"仙台 Ebeans",J19&lt;0,"神戸阪急",L19&lt;0,"鳥取島根 夢みなとタワー",N19&lt;0,"東京凱旋 東京建物ぴあホール",TRUE(),"—")</f>
        <v>—</v>
      </c>
      <c r="P19" s="70" t="str">
        <f aca="false">IF(O19="—","",_xlfn.IFS(H19&lt;0,DATE(2026,9,5),J19&lt;0,DATE(2026,12,16),L19&lt;0,DATE(2027,3,15),N19&lt;0,DATE(2027,4,1)))</f>
        <v/>
      </c>
      <c r="Q19" s="35" t="n">
        <f aca="false">MAX(0,-N19)</f>
        <v>0</v>
      </c>
      <c r="R19" s="35" t="n">
        <f aca="false">IF(Q19&gt;0,ROUNDUP(Q19*(1+前提・入力!$B$34),0),0)</f>
        <v>0</v>
      </c>
      <c r="S19" s="70" t="str">
        <f aca="false">IF(P19="","",IF(NOT(ISNUMBER(D19)),"再生産不可",P19-E19-前提・入力!$B$37))</f>
        <v/>
      </c>
      <c r="T19" s="71" t="str">
        <f aca="false">IF(OR(S19="",S19="再生産不可"),"",S19-前提・入力!$B$38)</f>
        <v/>
      </c>
      <c r="U19" s="72" t="str">
        <f aca="false">IF(O19="","—",IF(S19="再生産不可","×再生産不可",_xlfn.IFS(T19&lt;0,"★期限超過",T19&lt;=30,"★至急(30日以内)",T19&lt;=90,"要着手(90日以内)",TRUE(),"余裕あり")))</f>
        <v>余裕あり</v>
      </c>
      <c r="V19" s="72"/>
    </row>
    <row r="20" customFormat="false" ht="15" hidden="false" customHeight="false" outlineLevel="0" collapsed="false">
      <c r="A20" s="32" t="n">
        <v>5</v>
      </c>
      <c r="B20" s="32" t="s">
        <v>294</v>
      </c>
      <c r="C20" s="33" t="s">
        <v>295</v>
      </c>
      <c r="D20" s="32" t="n">
        <v>1</v>
      </c>
      <c r="E20" s="32" t="n">
        <f aca="false">IF(ISNUMBER(D20),ROUND(D20*30,0),"－")</f>
        <v>30</v>
      </c>
      <c r="F20" s="35" t="n">
        <f aca="false">③仙台以降予測!V35</f>
        <v>39392</v>
      </c>
      <c r="G20" s="35" t="n">
        <f aca="false">③仙台以降予測!I35</f>
        <v>491</v>
      </c>
      <c r="H20" s="101" t="n">
        <f aca="false">F20-G20</f>
        <v>38901</v>
      </c>
      <c r="I20" s="35" t="n">
        <f aca="false">③仙台以降予測!J35</f>
        <v>453</v>
      </c>
      <c r="J20" s="101" t="n">
        <f aca="false">H20-I20</f>
        <v>38448</v>
      </c>
      <c r="K20" s="35" t="n">
        <f aca="false">③仙台以降予測!K35</f>
        <v>340</v>
      </c>
      <c r="L20" s="101" t="n">
        <f aca="false">J20-K20</f>
        <v>38108</v>
      </c>
      <c r="M20" s="35" t="n">
        <f aca="false">③仙台以降予測!L35</f>
        <v>1889</v>
      </c>
      <c r="N20" s="101" t="n">
        <f aca="false">L20-M20</f>
        <v>36219</v>
      </c>
      <c r="O20" s="69" t="str">
        <f aca="false">_xlfn.IFS(H20&lt;0,"仙台 Ebeans",J20&lt;0,"神戸阪急",L20&lt;0,"鳥取島根 夢みなとタワー",N20&lt;0,"東京凱旋 東京建物ぴあホール",TRUE(),"—")</f>
        <v>—</v>
      </c>
      <c r="P20" s="70" t="str">
        <f aca="false">IF(O20="—","",_xlfn.IFS(H20&lt;0,DATE(2026,9,5),J20&lt;0,DATE(2026,12,16),L20&lt;0,DATE(2027,3,15),N20&lt;0,DATE(2027,4,1)))</f>
        <v/>
      </c>
      <c r="Q20" s="35" t="n">
        <f aca="false">MAX(0,-N20)</f>
        <v>0</v>
      </c>
      <c r="R20" s="35" t="n">
        <f aca="false">IF(Q20&gt;0,ROUNDUP(Q20*(1+前提・入力!$B$34),0),0)</f>
        <v>0</v>
      </c>
      <c r="S20" s="70" t="str">
        <f aca="false">IF(P20="","",IF(NOT(ISNUMBER(D20)),"再生産不可",P20-E20-前提・入力!$B$37))</f>
        <v/>
      </c>
      <c r="T20" s="71" t="str">
        <f aca="false">IF(OR(S20="",S20="再生産不可"),"",S20-前提・入力!$B$38)</f>
        <v/>
      </c>
      <c r="U20" s="72" t="str">
        <f aca="false">IF(O20="","—",IF(S20="再生産不可","×再生産不可",_xlfn.IFS(T20&lt;0,"★期限超過",T20&lt;=30,"★至急(30日以内)",T20&lt;=90,"要着手(90日以内)",TRUE(),"余裕あり")))</f>
        <v>余裕あり</v>
      </c>
      <c r="V20" s="72"/>
    </row>
    <row r="21" customFormat="false" ht="15" hidden="false" customHeight="false" outlineLevel="0" collapsed="false">
      <c r="A21" s="32" t="n">
        <v>6</v>
      </c>
      <c r="B21" s="32" t="s">
        <v>296</v>
      </c>
      <c r="C21" s="33" t="s">
        <v>297</v>
      </c>
      <c r="D21" s="32" t="n">
        <v>1</v>
      </c>
      <c r="E21" s="32" t="n">
        <f aca="false">IF(ISNUMBER(D21),ROUND(D21*30,0),"－")</f>
        <v>30</v>
      </c>
      <c r="F21" s="35" t="n">
        <f aca="false">③仙台以降予測!V36</f>
        <v>50228</v>
      </c>
      <c r="G21" s="35" t="n">
        <f aca="false">③仙台以降予測!I36</f>
        <v>1082</v>
      </c>
      <c r="H21" s="101" t="n">
        <f aca="false">F21-G21</f>
        <v>49146</v>
      </c>
      <c r="I21" s="35" t="n">
        <f aca="false">③仙台以降予測!J36</f>
        <v>999</v>
      </c>
      <c r="J21" s="101" t="n">
        <f aca="false">H21-I21</f>
        <v>48147</v>
      </c>
      <c r="K21" s="35" t="n">
        <f aca="false">③仙台以降予測!K36</f>
        <v>749</v>
      </c>
      <c r="L21" s="101" t="n">
        <f aca="false">J21-K21</f>
        <v>47398</v>
      </c>
      <c r="M21" s="35" t="n">
        <f aca="false">③仙台以降予測!L36</f>
        <v>4161</v>
      </c>
      <c r="N21" s="101" t="n">
        <f aca="false">L21-M21</f>
        <v>43237</v>
      </c>
      <c r="O21" s="69" t="str">
        <f aca="false">_xlfn.IFS(H21&lt;0,"仙台 Ebeans",J21&lt;0,"神戸阪急",L21&lt;0,"鳥取島根 夢みなとタワー",N21&lt;0,"東京凱旋 東京建物ぴあホール",TRUE(),"—")</f>
        <v>—</v>
      </c>
      <c r="P21" s="70" t="str">
        <f aca="false">IF(O21="—","",_xlfn.IFS(H21&lt;0,DATE(2026,9,5),J21&lt;0,DATE(2026,12,16),L21&lt;0,DATE(2027,3,15),N21&lt;0,DATE(2027,4,1)))</f>
        <v/>
      </c>
      <c r="Q21" s="35" t="n">
        <f aca="false">MAX(0,-N21)</f>
        <v>0</v>
      </c>
      <c r="R21" s="35" t="n">
        <f aca="false">IF(Q21&gt;0,ROUNDUP(Q21*(1+前提・入力!$B$34),0),0)</f>
        <v>0</v>
      </c>
      <c r="S21" s="70" t="str">
        <f aca="false">IF(P21="","",IF(NOT(ISNUMBER(D21)),"再生産不可",P21-E21-前提・入力!$B$37))</f>
        <v/>
      </c>
      <c r="T21" s="71" t="str">
        <f aca="false">IF(OR(S21="",S21="再生産不可"),"",S21-前提・入力!$B$38)</f>
        <v/>
      </c>
      <c r="U21" s="72" t="str">
        <f aca="false">IF(O21="","—",IF(S21="再生産不可","×再生産不可",_xlfn.IFS(T21&lt;0,"★期限超過",T21&lt;=30,"★至急(30日以内)",T21&lt;=90,"要着手(90日以内)",TRUE(),"余裕あり")))</f>
        <v>余裕あり</v>
      </c>
      <c r="V21" s="72"/>
    </row>
    <row r="22" customFormat="false" ht="15" hidden="false" customHeight="false" outlineLevel="0" collapsed="false">
      <c r="A22" s="32" t="n">
        <v>7</v>
      </c>
      <c r="B22" s="32" t="s">
        <v>298</v>
      </c>
      <c r="C22" s="33" t="s">
        <v>299</v>
      </c>
      <c r="D22" s="32" t="n">
        <v>1</v>
      </c>
      <c r="E22" s="32" t="n">
        <f aca="false">IF(ISNUMBER(D22),ROUND(D22*30,0),"－")</f>
        <v>30</v>
      </c>
      <c r="F22" s="35" t="n">
        <f aca="false">③仙台以降予測!V37</f>
        <v>4249</v>
      </c>
      <c r="G22" s="35" t="n">
        <f aca="false">③仙台以降予測!I37</f>
        <v>253</v>
      </c>
      <c r="H22" s="101" t="n">
        <f aca="false">F22-G22</f>
        <v>3996</v>
      </c>
      <c r="I22" s="35" t="n">
        <f aca="false">③仙台以降予測!J37</f>
        <v>234</v>
      </c>
      <c r="J22" s="101" t="n">
        <f aca="false">H22-I22</f>
        <v>3762</v>
      </c>
      <c r="K22" s="35" t="n">
        <f aca="false">③仙台以降予測!K37</f>
        <v>175</v>
      </c>
      <c r="L22" s="101" t="n">
        <f aca="false">J22-K22</f>
        <v>3587</v>
      </c>
      <c r="M22" s="35" t="n">
        <f aca="false">③仙台以降予測!L37</f>
        <v>973</v>
      </c>
      <c r="N22" s="101" t="n">
        <f aca="false">L22-M22</f>
        <v>2614</v>
      </c>
      <c r="O22" s="69" t="str">
        <f aca="false">_xlfn.IFS(H22&lt;0,"仙台 Ebeans",J22&lt;0,"神戸阪急",L22&lt;0,"鳥取島根 夢みなとタワー",N22&lt;0,"東京凱旋 東京建物ぴあホール",TRUE(),"—")</f>
        <v>—</v>
      </c>
      <c r="P22" s="70" t="str">
        <f aca="false">IF(O22="—","",_xlfn.IFS(H22&lt;0,DATE(2026,9,5),J22&lt;0,DATE(2026,12,16),L22&lt;0,DATE(2027,3,15),N22&lt;0,DATE(2027,4,1)))</f>
        <v/>
      </c>
      <c r="Q22" s="35" t="n">
        <f aca="false">MAX(0,-N22)</f>
        <v>0</v>
      </c>
      <c r="R22" s="35" t="n">
        <f aca="false">IF(Q22&gt;0,ROUNDUP(Q22*(1+前提・入力!$B$34),0),0)</f>
        <v>0</v>
      </c>
      <c r="S22" s="70" t="str">
        <f aca="false">IF(P22="","",IF(NOT(ISNUMBER(D22)),"再生産不可",P22-E22-前提・入力!$B$37))</f>
        <v/>
      </c>
      <c r="T22" s="71" t="str">
        <f aca="false">IF(OR(S22="",S22="再生産不可"),"",S22-前提・入力!$B$38)</f>
        <v/>
      </c>
      <c r="U22" s="72" t="str">
        <f aca="false">IF(O22="","—",IF(S22="再生産不可","×再生産不可",_xlfn.IFS(T22&lt;0,"★期限超過",T22&lt;=30,"★至急(30日以内)",T22&lt;=90,"要着手(90日以内)",TRUE(),"余裕あり")))</f>
        <v>余裕あり</v>
      </c>
      <c r="V22" s="72"/>
    </row>
    <row r="23" customFormat="false" ht="15" hidden="false" customHeight="false" outlineLevel="0" collapsed="false">
      <c r="A23" s="32" t="n">
        <v>8</v>
      </c>
      <c r="B23" s="32" t="s">
        <v>300</v>
      </c>
      <c r="C23" s="33" t="s">
        <v>301</v>
      </c>
      <c r="D23" s="32" t="n">
        <v>1</v>
      </c>
      <c r="E23" s="32" t="n">
        <f aca="false">IF(ISNUMBER(D23),ROUND(D23*30,0),"－")</f>
        <v>30</v>
      </c>
      <c r="F23" s="35" t="n">
        <f aca="false">③仙台以降予測!V38</f>
        <v>8034</v>
      </c>
      <c r="G23" s="35" t="n">
        <f aca="false">③仙台以降予測!I38</f>
        <v>419</v>
      </c>
      <c r="H23" s="101" t="n">
        <f aca="false">F23-G23</f>
        <v>7615</v>
      </c>
      <c r="I23" s="35" t="n">
        <f aca="false">③仙台以降予測!J38</f>
        <v>387</v>
      </c>
      <c r="J23" s="101" t="n">
        <f aca="false">H23-I23</f>
        <v>7228</v>
      </c>
      <c r="K23" s="35" t="n">
        <f aca="false">③仙台以降予測!K38</f>
        <v>290</v>
      </c>
      <c r="L23" s="101" t="n">
        <f aca="false">J23-K23</f>
        <v>6938</v>
      </c>
      <c r="M23" s="35" t="n">
        <f aca="false">③仙台以降予測!L38</f>
        <v>1611</v>
      </c>
      <c r="N23" s="101" t="n">
        <f aca="false">L23-M23</f>
        <v>5327</v>
      </c>
      <c r="O23" s="69" t="str">
        <f aca="false">_xlfn.IFS(H23&lt;0,"仙台 Ebeans",J23&lt;0,"神戸阪急",L23&lt;0,"鳥取島根 夢みなとタワー",N23&lt;0,"東京凱旋 東京建物ぴあホール",TRUE(),"—")</f>
        <v>—</v>
      </c>
      <c r="P23" s="70" t="str">
        <f aca="false">IF(O23="—","",_xlfn.IFS(H23&lt;0,DATE(2026,9,5),J23&lt;0,DATE(2026,12,16),L23&lt;0,DATE(2027,3,15),N23&lt;0,DATE(2027,4,1)))</f>
        <v/>
      </c>
      <c r="Q23" s="35" t="n">
        <f aca="false">MAX(0,-N23)</f>
        <v>0</v>
      </c>
      <c r="R23" s="35" t="n">
        <f aca="false">IF(Q23&gt;0,ROUNDUP(Q23*(1+前提・入力!$B$34),0),0)</f>
        <v>0</v>
      </c>
      <c r="S23" s="70" t="str">
        <f aca="false">IF(P23="","",IF(NOT(ISNUMBER(D23)),"再生産不可",P23-E23-前提・入力!$B$37))</f>
        <v/>
      </c>
      <c r="T23" s="71" t="str">
        <f aca="false">IF(OR(S23="",S23="再生産不可"),"",S23-前提・入力!$B$38)</f>
        <v/>
      </c>
      <c r="U23" s="72" t="str">
        <f aca="false">IF(O23="","—",IF(S23="再生産不可","×再生産不可",_xlfn.IFS(T23&lt;0,"★期限超過",T23&lt;=30,"★至急(30日以内)",T23&lt;=90,"要着手(90日以内)",TRUE(),"余裕あり")))</f>
        <v>余裕あり</v>
      </c>
      <c r="V23" s="72"/>
    </row>
    <row r="24" customFormat="false" ht="15" hidden="false" customHeight="false" outlineLevel="0" collapsed="false">
      <c r="A24" s="32" t="n">
        <v>9</v>
      </c>
      <c r="B24" s="32" t="s">
        <v>302</v>
      </c>
      <c r="C24" s="33" t="s">
        <v>303</v>
      </c>
      <c r="D24" s="32" t="n">
        <v>1</v>
      </c>
      <c r="E24" s="32" t="n">
        <f aca="false">IF(ISNUMBER(D24),ROUND(D24*30,0),"－")</f>
        <v>30</v>
      </c>
      <c r="F24" s="35" t="n">
        <f aca="false">③仙台以降予測!V39</f>
        <v>8547</v>
      </c>
      <c r="G24" s="35" t="n">
        <f aca="false">③仙台以降予測!I39</f>
        <v>133</v>
      </c>
      <c r="H24" s="101" t="n">
        <f aca="false">F24-G24</f>
        <v>8414</v>
      </c>
      <c r="I24" s="35" t="n">
        <f aca="false">③仙台以降予測!J39</f>
        <v>123</v>
      </c>
      <c r="J24" s="101" t="n">
        <f aca="false">H24-I24</f>
        <v>8291</v>
      </c>
      <c r="K24" s="35" t="n">
        <f aca="false">③仙台以降予測!K39</f>
        <v>92</v>
      </c>
      <c r="L24" s="101" t="n">
        <f aca="false">J24-K24</f>
        <v>8199</v>
      </c>
      <c r="M24" s="35" t="n">
        <f aca="false">③仙台以降予測!L39</f>
        <v>512</v>
      </c>
      <c r="N24" s="101" t="n">
        <f aca="false">L24-M24</f>
        <v>7687</v>
      </c>
      <c r="O24" s="69" t="str">
        <f aca="false">_xlfn.IFS(H24&lt;0,"仙台 Ebeans",J24&lt;0,"神戸阪急",L24&lt;0,"鳥取島根 夢みなとタワー",N24&lt;0,"東京凱旋 東京建物ぴあホール",TRUE(),"—")</f>
        <v>—</v>
      </c>
      <c r="P24" s="70" t="str">
        <f aca="false">IF(O24="—","",_xlfn.IFS(H24&lt;0,DATE(2026,9,5),J24&lt;0,DATE(2026,12,16),L24&lt;0,DATE(2027,3,15),N24&lt;0,DATE(2027,4,1)))</f>
        <v/>
      </c>
      <c r="Q24" s="35" t="n">
        <f aca="false">MAX(0,-N24)</f>
        <v>0</v>
      </c>
      <c r="R24" s="35" t="n">
        <f aca="false">IF(Q24&gt;0,ROUNDUP(Q24*(1+前提・入力!$B$34),0),0)</f>
        <v>0</v>
      </c>
      <c r="S24" s="70" t="str">
        <f aca="false">IF(P24="","",IF(NOT(ISNUMBER(D24)),"再生産不可",P24-E24-前提・入力!$B$37))</f>
        <v/>
      </c>
      <c r="T24" s="71" t="str">
        <f aca="false">IF(OR(S24="",S24="再生産不可"),"",S24-前提・入力!$B$38)</f>
        <v/>
      </c>
      <c r="U24" s="72" t="str">
        <f aca="false">IF(O24="","—",IF(S24="再生産不可","×再生産不可",_xlfn.IFS(T24&lt;0,"★期限超過",T24&lt;=30,"★至急(30日以内)",T24&lt;=90,"要着手(90日以内)",TRUE(),"余裕あり")))</f>
        <v>余裕あり</v>
      </c>
      <c r="V24" s="72"/>
    </row>
    <row r="25" customFormat="false" ht="15" hidden="false" customHeight="false" outlineLevel="0" collapsed="false">
      <c r="A25" s="32" t="n">
        <v>10</v>
      </c>
      <c r="B25" s="32" t="s">
        <v>304</v>
      </c>
      <c r="C25" s="33" t="s">
        <v>305</v>
      </c>
      <c r="D25" s="32" t="n">
        <v>1</v>
      </c>
      <c r="E25" s="32" t="n">
        <f aca="false">IF(ISNUMBER(D25),ROUND(D25*30,0),"－")</f>
        <v>30</v>
      </c>
      <c r="F25" s="35" t="n">
        <f aca="false">③仙台以降予測!V40</f>
        <v>4856</v>
      </c>
      <c r="G25" s="35" t="n">
        <f aca="false">③仙台以降予測!I40</f>
        <v>50</v>
      </c>
      <c r="H25" s="101" t="n">
        <f aca="false">F25-G25</f>
        <v>4806</v>
      </c>
      <c r="I25" s="35" t="n">
        <f aca="false">③仙台以降予測!J40</f>
        <v>46</v>
      </c>
      <c r="J25" s="101" t="n">
        <f aca="false">H25-I25</f>
        <v>4760</v>
      </c>
      <c r="K25" s="35" t="n">
        <f aca="false">③仙台以降予測!K40</f>
        <v>35</v>
      </c>
      <c r="L25" s="101" t="n">
        <f aca="false">J25-K25</f>
        <v>4725</v>
      </c>
      <c r="M25" s="35" t="n">
        <f aca="false">③仙台以降予測!L40</f>
        <v>193</v>
      </c>
      <c r="N25" s="101" t="n">
        <f aca="false">L25-M25</f>
        <v>4532</v>
      </c>
      <c r="O25" s="69" t="str">
        <f aca="false">_xlfn.IFS(H25&lt;0,"仙台 Ebeans",J25&lt;0,"神戸阪急",L25&lt;0,"鳥取島根 夢みなとタワー",N25&lt;0,"東京凱旋 東京建物ぴあホール",TRUE(),"—")</f>
        <v>—</v>
      </c>
      <c r="P25" s="70" t="str">
        <f aca="false">IF(O25="—","",_xlfn.IFS(H25&lt;0,DATE(2026,9,5),J25&lt;0,DATE(2026,12,16),L25&lt;0,DATE(2027,3,15),N25&lt;0,DATE(2027,4,1)))</f>
        <v/>
      </c>
      <c r="Q25" s="35" t="n">
        <f aca="false">MAX(0,-N25)</f>
        <v>0</v>
      </c>
      <c r="R25" s="35" t="n">
        <f aca="false">IF(Q25&gt;0,ROUNDUP(Q25*(1+前提・入力!$B$34),0),0)</f>
        <v>0</v>
      </c>
      <c r="S25" s="70" t="str">
        <f aca="false">IF(P25="","",IF(NOT(ISNUMBER(D25)),"再生産不可",P25-E25-前提・入力!$B$37))</f>
        <v/>
      </c>
      <c r="T25" s="71" t="str">
        <f aca="false">IF(OR(S25="",S25="再生産不可"),"",S25-前提・入力!$B$38)</f>
        <v/>
      </c>
      <c r="U25" s="72" t="str">
        <f aca="false">IF(O25="","—",IF(S25="再生産不可","×再生産不可",_xlfn.IFS(T25&lt;0,"★期限超過",T25&lt;=30,"★至急(30日以内)",T25&lt;=90,"要着手(90日以内)",TRUE(),"余裕あり")))</f>
        <v>余裕あり</v>
      </c>
      <c r="V25" s="72"/>
    </row>
    <row r="26" customFormat="false" ht="15" hidden="false" customHeight="false" outlineLevel="0" collapsed="false">
      <c r="A26" s="32" t="n">
        <v>11</v>
      </c>
      <c r="B26" s="32" t="s">
        <v>306</v>
      </c>
      <c r="C26" s="33" t="s">
        <v>307</v>
      </c>
      <c r="D26" s="32" t="n">
        <v>1</v>
      </c>
      <c r="E26" s="32" t="n">
        <f aca="false">IF(ISNUMBER(D26),ROUND(D26*30,0),"－")</f>
        <v>30</v>
      </c>
      <c r="F26" s="35" t="n">
        <f aca="false">③仙台以降予測!V41</f>
        <v>609</v>
      </c>
      <c r="G26" s="35" t="n">
        <f aca="false">③仙台以降予測!I41</f>
        <v>19</v>
      </c>
      <c r="H26" s="101" t="n">
        <f aca="false">F26-G26</f>
        <v>590</v>
      </c>
      <c r="I26" s="35" t="n">
        <f aca="false">③仙台以降予測!J41</f>
        <v>17</v>
      </c>
      <c r="J26" s="101" t="n">
        <f aca="false">H26-I26</f>
        <v>573</v>
      </c>
      <c r="K26" s="35" t="n">
        <f aca="false">③仙台以降予測!K41</f>
        <v>13</v>
      </c>
      <c r="L26" s="101" t="n">
        <f aca="false">J26-K26</f>
        <v>560</v>
      </c>
      <c r="M26" s="35" t="n">
        <f aca="false">③仙台以降予測!L41</f>
        <v>72</v>
      </c>
      <c r="N26" s="101" t="n">
        <f aca="false">L26-M26</f>
        <v>488</v>
      </c>
      <c r="O26" s="69" t="str">
        <f aca="false">_xlfn.IFS(H26&lt;0,"仙台 Ebeans",J26&lt;0,"神戸阪急",L26&lt;0,"鳥取島根 夢みなとタワー",N26&lt;0,"東京凱旋 東京建物ぴあホール",TRUE(),"—")</f>
        <v>—</v>
      </c>
      <c r="P26" s="70" t="str">
        <f aca="false">IF(O26="—","",_xlfn.IFS(H26&lt;0,DATE(2026,9,5),J26&lt;0,DATE(2026,12,16),L26&lt;0,DATE(2027,3,15),N26&lt;0,DATE(2027,4,1)))</f>
        <v/>
      </c>
      <c r="Q26" s="35" t="n">
        <f aca="false">MAX(0,-N26)</f>
        <v>0</v>
      </c>
      <c r="R26" s="35" t="n">
        <f aca="false">IF(Q26&gt;0,ROUNDUP(Q26*(1+前提・入力!$B$34),0),0)</f>
        <v>0</v>
      </c>
      <c r="S26" s="70" t="str">
        <f aca="false">IF(P26="","",IF(NOT(ISNUMBER(D26)),"再生産不可",P26-E26-前提・入力!$B$37))</f>
        <v/>
      </c>
      <c r="T26" s="71" t="str">
        <f aca="false">IF(OR(S26="",S26="再生産不可"),"",S26-前提・入力!$B$38)</f>
        <v/>
      </c>
      <c r="U26" s="72" t="str">
        <f aca="false">IF(O26="","—",IF(S26="再生産不可","×再生産不可",_xlfn.IFS(T26&lt;0,"★期限超過",T26&lt;=30,"★至急(30日以内)",T26&lt;=90,"要着手(90日以内)",TRUE(),"余裕あり")))</f>
        <v>余裕あり</v>
      </c>
      <c r="V26" s="72"/>
    </row>
    <row r="27" customFormat="false" ht="15" hidden="false" customHeight="false" outlineLevel="0" collapsed="false">
      <c r="A27" s="32" t="n">
        <v>12</v>
      </c>
      <c r="B27" s="32" t="s">
        <v>308</v>
      </c>
      <c r="C27" s="33" t="s">
        <v>309</v>
      </c>
      <c r="D27" s="32" t="n">
        <v>1</v>
      </c>
      <c r="E27" s="32" t="n">
        <f aca="false">IF(ISNUMBER(D27),ROUND(D27*30,0),"－")</f>
        <v>30</v>
      </c>
      <c r="F27" s="35" t="n">
        <f aca="false">③仙台以降予測!V42</f>
        <v>891</v>
      </c>
      <c r="G27" s="35" t="n">
        <f aca="false">③仙台以降予測!I42</f>
        <v>39</v>
      </c>
      <c r="H27" s="101" t="n">
        <f aca="false">F27-G27</f>
        <v>852</v>
      </c>
      <c r="I27" s="35" t="n">
        <f aca="false">③仙台以降予測!J42</f>
        <v>36</v>
      </c>
      <c r="J27" s="101" t="n">
        <f aca="false">H27-I27</f>
        <v>816</v>
      </c>
      <c r="K27" s="35" t="n">
        <f aca="false">③仙台以降予測!K42</f>
        <v>27</v>
      </c>
      <c r="L27" s="101" t="n">
        <f aca="false">J27-K27</f>
        <v>789</v>
      </c>
      <c r="M27" s="35" t="n">
        <f aca="false">③仙台以降予測!L42</f>
        <v>149</v>
      </c>
      <c r="N27" s="101" t="n">
        <f aca="false">L27-M27</f>
        <v>640</v>
      </c>
      <c r="O27" s="69" t="str">
        <f aca="false">_xlfn.IFS(H27&lt;0,"仙台 Ebeans",J27&lt;0,"神戸阪急",L27&lt;0,"鳥取島根 夢みなとタワー",N27&lt;0,"東京凱旋 東京建物ぴあホール",TRUE(),"—")</f>
        <v>—</v>
      </c>
      <c r="P27" s="70" t="str">
        <f aca="false">IF(O27="—","",_xlfn.IFS(H27&lt;0,DATE(2026,9,5),J27&lt;0,DATE(2026,12,16),L27&lt;0,DATE(2027,3,15),N27&lt;0,DATE(2027,4,1)))</f>
        <v/>
      </c>
      <c r="Q27" s="35" t="n">
        <f aca="false">MAX(0,-N27)</f>
        <v>0</v>
      </c>
      <c r="R27" s="35" t="n">
        <f aca="false">IF(Q27&gt;0,ROUNDUP(Q27*(1+前提・入力!$B$34),0),0)</f>
        <v>0</v>
      </c>
      <c r="S27" s="70" t="str">
        <f aca="false">IF(P27="","",IF(NOT(ISNUMBER(D27)),"再生産不可",P27-E27-前提・入力!$B$37))</f>
        <v/>
      </c>
      <c r="T27" s="71" t="str">
        <f aca="false">IF(OR(S27="",S27="再生産不可"),"",S27-前提・入力!$B$38)</f>
        <v/>
      </c>
      <c r="U27" s="72" t="str">
        <f aca="false">IF(O27="","—",IF(S27="再生産不可","×再生産不可",_xlfn.IFS(T27&lt;0,"★期限超過",T27&lt;=30,"★至急(30日以内)",T27&lt;=90,"要着手(90日以内)",TRUE(),"余裕あり")))</f>
        <v>余裕あり</v>
      </c>
      <c r="V27" s="72"/>
    </row>
    <row r="28" customFormat="false" ht="15" hidden="false" customHeight="false" outlineLevel="0" collapsed="false">
      <c r="A28" s="32" t="n">
        <v>13</v>
      </c>
      <c r="B28" s="32" t="s">
        <v>310</v>
      </c>
      <c r="C28" s="33" t="s">
        <v>311</v>
      </c>
      <c r="D28" s="32" t="n">
        <v>1</v>
      </c>
      <c r="E28" s="32" t="n">
        <f aca="false">IF(ISNUMBER(D28),ROUND(D28*30,0),"－")</f>
        <v>30</v>
      </c>
      <c r="F28" s="35" t="n">
        <f aca="false">③仙台以降予測!V43</f>
        <v>305</v>
      </c>
      <c r="G28" s="35" t="n">
        <f aca="false">③仙台以降予測!I43</f>
        <v>10</v>
      </c>
      <c r="H28" s="101" t="n">
        <f aca="false">F28-G28</f>
        <v>295</v>
      </c>
      <c r="I28" s="35" t="n">
        <f aca="false">③仙台以降予測!J43</f>
        <v>9</v>
      </c>
      <c r="J28" s="101" t="n">
        <f aca="false">H28-I28</f>
        <v>286</v>
      </c>
      <c r="K28" s="35" t="n">
        <f aca="false">③仙台以降予測!K43</f>
        <v>7</v>
      </c>
      <c r="L28" s="101" t="n">
        <f aca="false">J28-K28</f>
        <v>279</v>
      </c>
      <c r="M28" s="35" t="n">
        <f aca="false">③仙台以降予測!L43</f>
        <v>38</v>
      </c>
      <c r="N28" s="101" t="n">
        <f aca="false">L28-M28</f>
        <v>241</v>
      </c>
      <c r="O28" s="69" t="str">
        <f aca="false">_xlfn.IFS(H28&lt;0,"仙台 Ebeans",J28&lt;0,"神戸阪急",L28&lt;0,"鳥取島根 夢みなとタワー",N28&lt;0,"東京凱旋 東京建物ぴあホール",TRUE(),"—")</f>
        <v>—</v>
      </c>
      <c r="P28" s="70" t="str">
        <f aca="false">IF(O28="—","",_xlfn.IFS(H28&lt;0,DATE(2026,9,5),J28&lt;0,DATE(2026,12,16),L28&lt;0,DATE(2027,3,15),N28&lt;0,DATE(2027,4,1)))</f>
        <v/>
      </c>
      <c r="Q28" s="35" t="n">
        <f aca="false">MAX(0,-N28)</f>
        <v>0</v>
      </c>
      <c r="R28" s="35" t="n">
        <f aca="false">IF(Q28&gt;0,ROUNDUP(Q28*(1+前提・入力!$B$34),0),0)</f>
        <v>0</v>
      </c>
      <c r="S28" s="70" t="str">
        <f aca="false">IF(P28="","",IF(NOT(ISNUMBER(D28)),"再生産不可",P28-E28-前提・入力!$B$37))</f>
        <v/>
      </c>
      <c r="T28" s="71" t="str">
        <f aca="false">IF(OR(S28="",S28="再生産不可"),"",S28-前提・入力!$B$38)</f>
        <v/>
      </c>
      <c r="U28" s="72" t="str">
        <f aca="false">IF(O28="","—",IF(S28="再生産不可","×再生産不可",_xlfn.IFS(T28&lt;0,"★期限超過",T28&lt;=30,"★至急(30日以内)",T28&lt;=90,"要着手(90日以内)",TRUE(),"余裕あり")))</f>
        <v>余裕あり</v>
      </c>
      <c r="V28" s="72"/>
    </row>
    <row r="29" customFormat="false" ht="15" hidden="false" customHeight="false" outlineLevel="0" collapsed="false">
      <c r="A29" s="32" t="n">
        <v>14</v>
      </c>
      <c r="B29" s="32" t="s">
        <v>312</v>
      </c>
      <c r="C29" s="33" t="s">
        <v>313</v>
      </c>
      <c r="D29" s="32" t="n">
        <v>1</v>
      </c>
      <c r="E29" s="32" t="n">
        <f aca="false">IF(ISNUMBER(D29),ROUND(D29*30,0),"－")</f>
        <v>30</v>
      </c>
      <c r="F29" s="35" t="n">
        <f aca="false">③仙台以降予測!V44</f>
        <v>1729</v>
      </c>
      <c r="G29" s="35" t="n">
        <f aca="false">③仙台以降予測!I44</f>
        <v>38</v>
      </c>
      <c r="H29" s="101" t="n">
        <f aca="false">F29-G29</f>
        <v>1691</v>
      </c>
      <c r="I29" s="35" t="n">
        <f aca="false">③仙台以降予測!J44</f>
        <v>35</v>
      </c>
      <c r="J29" s="101" t="n">
        <f aca="false">H29-I29</f>
        <v>1656</v>
      </c>
      <c r="K29" s="35" t="n">
        <f aca="false">③仙台以降予測!K44</f>
        <v>26</v>
      </c>
      <c r="L29" s="101" t="n">
        <f aca="false">J29-K29</f>
        <v>1630</v>
      </c>
      <c r="M29" s="35" t="n">
        <f aca="false">③仙台以降予測!L44</f>
        <v>147</v>
      </c>
      <c r="N29" s="101" t="n">
        <f aca="false">L29-M29</f>
        <v>1483</v>
      </c>
      <c r="O29" s="69" t="str">
        <f aca="false">_xlfn.IFS(H29&lt;0,"仙台 Ebeans",J29&lt;0,"神戸阪急",L29&lt;0,"鳥取島根 夢みなとタワー",N29&lt;0,"東京凱旋 東京建物ぴあホール",TRUE(),"—")</f>
        <v>—</v>
      </c>
      <c r="P29" s="70" t="str">
        <f aca="false">IF(O29="—","",_xlfn.IFS(H29&lt;0,DATE(2026,9,5),J29&lt;0,DATE(2026,12,16),L29&lt;0,DATE(2027,3,15),N29&lt;0,DATE(2027,4,1)))</f>
        <v/>
      </c>
      <c r="Q29" s="35" t="n">
        <f aca="false">MAX(0,-N29)</f>
        <v>0</v>
      </c>
      <c r="R29" s="35" t="n">
        <f aca="false">IF(Q29&gt;0,ROUNDUP(Q29*(1+前提・入力!$B$34),0),0)</f>
        <v>0</v>
      </c>
      <c r="S29" s="70" t="str">
        <f aca="false">IF(P29="","",IF(NOT(ISNUMBER(D29)),"再生産不可",P29-E29-前提・入力!$B$37))</f>
        <v/>
      </c>
      <c r="T29" s="71" t="str">
        <f aca="false">IF(OR(S29="",S29="再生産不可"),"",S29-前提・入力!$B$38)</f>
        <v/>
      </c>
      <c r="U29" s="72" t="str">
        <f aca="false">IF(O29="","—",IF(S29="再生産不可","×再生産不可",_xlfn.IFS(T29&lt;0,"★期限超過",T29&lt;=30,"★至急(30日以内)",T29&lt;=90,"要着手(90日以内)",TRUE(),"余裕あり")))</f>
        <v>余裕あり</v>
      </c>
      <c r="V29" s="72"/>
    </row>
    <row r="30" customFormat="false" ht="15" hidden="false" customHeight="false" outlineLevel="0" collapsed="false">
      <c r="A30" s="32" t="n">
        <v>15</v>
      </c>
      <c r="B30" s="32" t="s">
        <v>314</v>
      </c>
      <c r="C30" s="33" t="s">
        <v>315</v>
      </c>
      <c r="D30" s="32" t="n">
        <v>1</v>
      </c>
      <c r="E30" s="32" t="n">
        <f aca="false">IF(ISNUMBER(D30),ROUND(D30*30,0),"－")</f>
        <v>30</v>
      </c>
      <c r="F30" s="35" t="n">
        <f aca="false">③仙台以降予測!V45</f>
        <v>2054</v>
      </c>
      <c r="G30" s="35" t="n">
        <f aca="false">③仙台以降予測!I45</f>
        <v>50</v>
      </c>
      <c r="H30" s="101" t="n">
        <f aca="false">F30-G30</f>
        <v>2004</v>
      </c>
      <c r="I30" s="35" t="n">
        <f aca="false">③仙台以降予測!J45</f>
        <v>46</v>
      </c>
      <c r="J30" s="101" t="n">
        <f aca="false">H30-I30</f>
        <v>1958</v>
      </c>
      <c r="K30" s="35" t="n">
        <f aca="false">③仙台以降予測!K45</f>
        <v>35</v>
      </c>
      <c r="L30" s="101" t="n">
        <f aca="false">J30-K30</f>
        <v>1923</v>
      </c>
      <c r="M30" s="35" t="n">
        <f aca="false">③仙台以降予測!L45</f>
        <v>193</v>
      </c>
      <c r="N30" s="101" t="n">
        <f aca="false">L30-M30</f>
        <v>1730</v>
      </c>
      <c r="O30" s="69" t="str">
        <f aca="false">_xlfn.IFS(H30&lt;0,"仙台 Ebeans",J30&lt;0,"神戸阪急",L30&lt;0,"鳥取島根 夢みなとタワー",N30&lt;0,"東京凱旋 東京建物ぴあホール",TRUE(),"—")</f>
        <v>—</v>
      </c>
      <c r="P30" s="70" t="str">
        <f aca="false">IF(O30="—","",_xlfn.IFS(H30&lt;0,DATE(2026,9,5),J30&lt;0,DATE(2026,12,16),L30&lt;0,DATE(2027,3,15),N30&lt;0,DATE(2027,4,1)))</f>
        <v/>
      </c>
      <c r="Q30" s="35" t="n">
        <f aca="false">MAX(0,-N30)</f>
        <v>0</v>
      </c>
      <c r="R30" s="35" t="n">
        <f aca="false">IF(Q30&gt;0,ROUNDUP(Q30*(1+前提・入力!$B$34),0),0)</f>
        <v>0</v>
      </c>
      <c r="S30" s="70" t="str">
        <f aca="false">IF(P30="","",IF(NOT(ISNUMBER(D30)),"再生産不可",P30-E30-前提・入力!$B$37))</f>
        <v/>
      </c>
      <c r="T30" s="71" t="str">
        <f aca="false">IF(OR(S30="",S30="再生産不可"),"",S30-前提・入力!$B$38)</f>
        <v/>
      </c>
      <c r="U30" s="72" t="str">
        <f aca="false">IF(O30="","—",IF(S30="再生産不可","×再生産不可",_xlfn.IFS(T30&lt;0,"★期限超過",T30&lt;=30,"★至急(30日以内)",T30&lt;=90,"要着手(90日以内)",TRUE(),"余裕あり")))</f>
        <v>余裕あり</v>
      </c>
      <c r="V30" s="72"/>
    </row>
    <row r="31" customFormat="false" ht="15" hidden="false" customHeight="false" outlineLevel="0" collapsed="false">
      <c r="A31" s="32" t="n">
        <v>16</v>
      </c>
      <c r="B31" s="32" t="s">
        <v>316</v>
      </c>
      <c r="C31" s="33" t="s">
        <v>317</v>
      </c>
      <c r="D31" s="32" t="n">
        <v>1</v>
      </c>
      <c r="E31" s="32" t="n">
        <f aca="false">IF(ISNUMBER(D31),ROUND(D31*30,0),"－")</f>
        <v>30</v>
      </c>
      <c r="F31" s="35" t="n">
        <f aca="false">③仙台以降予測!V46</f>
        <v>744</v>
      </c>
      <c r="G31" s="35" t="n">
        <f aca="false">③仙台以降予測!I46</f>
        <v>17</v>
      </c>
      <c r="H31" s="101" t="n">
        <f aca="false">F31-G31</f>
        <v>727</v>
      </c>
      <c r="I31" s="35" t="n">
        <f aca="false">③仙台以降予測!J46</f>
        <v>16</v>
      </c>
      <c r="J31" s="101" t="n">
        <f aca="false">H31-I31</f>
        <v>711</v>
      </c>
      <c r="K31" s="35" t="n">
        <f aca="false">③仙台以降予測!K46</f>
        <v>12</v>
      </c>
      <c r="L31" s="101" t="n">
        <f aca="false">J31-K31</f>
        <v>699</v>
      </c>
      <c r="M31" s="35" t="n">
        <f aca="false">③仙台以降予測!L46</f>
        <v>67</v>
      </c>
      <c r="N31" s="101" t="n">
        <f aca="false">L31-M31</f>
        <v>632</v>
      </c>
      <c r="O31" s="69" t="str">
        <f aca="false">_xlfn.IFS(H31&lt;0,"仙台 Ebeans",J31&lt;0,"神戸阪急",L31&lt;0,"鳥取島根 夢みなとタワー",N31&lt;0,"東京凱旋 東京建物ぴあホール",TRUE(),"—")</f>
        <v>—</v>
      </c>
      <c r="P31" s="70" t="str">
        <f aca="false">IF(O31="—","",_xlfn.IFS(H31&lt;0,DATE(2026,9,5),J31&lt;0,DATE(2026,12,16),L31&lt;0,DATE(2027,3,15),N31&lt;0,DATE(2027,4,1)))</f>
        <v/>
      </c>
      <c r="Q31" s="35" t="n">
        <f aca="false">MAX(0,-N31)</f>
        <v>0</v>
      </c>
      <c r="R31" s="35" t="n">
        <f aca="false">IF(Q31&gt;0,ROUNDUP(Q31*(1+前提・入力!$B$34),0),0)</f>
        <v>0</v>
      </c>
      <c r="S31" s="70" t="str">
        <f aca="false">IF(P31="","",IF(NOT(ISNUMBER(D31)),"再生産不可",P31-E31-前提・入力!$B$37))</f>
        <v/>
      </c>
      <c r="T31" s="71" t="str">
        <f aca="false">IF(OR(S31="",S31="再生産不可"),"",S31-前提・入力!$B$38)</f>
        <v/>
      </c>
      <c r="U31" s="72" t="str">
        <f aca="false">IF(O31="","—",IF(S31="再生産不可","×再生産不可",_xlfn.IFS(T31&lt;0,"★期限超過",T31&lt;=30,"★至急(30日以内)",T31&lt;=90,"要着手(90日以内)",TRUE(),"余裕あり")))</f>
        <v>余裕あり</v>
      </c>
      <c r="V31" s="72"/>
    </row>
    <row r="32" customFormat="false" ht="15" hidden="false" customHeight="false" outlineLevel="0" collapsed="false">
      <c r="A32" s="32" t="n">
        <v>17</v>
      </c>
      <c r="B32" s="32" t="s">
        <v>318</v>
      </c>
      <c r="C32" s="33" t="s">
        <v>319</v>
      </c>
      <c r="D32" s="32" t="n">
        <v>1</v>
      </c>
      <c r="E32" s="32" t="n">
        <f aca="false">IF(ISNUMBER(D32),ROUND(D32*30,0),"－")</f>
        <v>30</v>
      </c>
      <c r="F32" s="35" t="n">
        <f aca="false">③仙台以降予測!V47</f>
        <v>2380</v>
      </c>
      <c r="G32" s="35" t="n">
        <f aca="false">③仙台以降予測!I47</f>
        <v>92</v>
      </c>
      <c r="H32" s="101" t="n">
        <f aca="false">F32-G32</f>
        <v>2288</v>
      </c>
      <c r="I32" s="35" t="n">
        <f aca="false">③仙台以降予測!J47</f>
        <v>85</v>
      </c>
      <c r="J32" s="101" t="n">
        <f aca="false">H32-I32</f>
        <v>2203</v>
      </c>
      <c r="K32" s="35" t="n">
        <f aca="false">③仙台以降予測!K47</f>
        <v>63</v>
      </c>
      <c r="L32" s="101" t="n">
        <f aca="false">J32-K32</f>
        <v>2140</v>
      </c>
      <c r="M32" s="35" t="n">
        <f aca="false">③仙台以降予測!L47</f>
        <v>352</v>
      </c>
      <c r="N32" s="101" t="n">
        <f aca="false">L32-M32</f>
        <v>1788</v>
      </c>
      <c r="O32" s="69" t="str">
        <f aca="false">_xlfn.IFS(H32&lt;0,"仙台 Ebeans",J32&lt;0,"神戸阪急",L32&lt;0,"鳥取島根 夢みなとタワー",N32&lt;0,"東京凱旋 東京建物ぴあホール",TRUE(),"—")</f>
        <v>—</v>
      </c>
      <c r="P32" s="70" t="str">
        <f aca="false">IF(O32="—","",_xlfn.IFS(H32&lt;0,DATE(2026,9,5),J32&lt;0,DATE(2026,12,16),L32&lt;0,DATE(2027,3,15),N32&lt;0,DATE(2027,4,1)))</f>
        <v/>
      </c>
      <c r="Q32" s="35" t="n">
        <f aca="false">MAX(0,-N32)</f>
        <v>0</v>
      </c>
      <c r="R32" s="35" t="n">
        <f aca="false">IF(Q32&gt;0,ROUNDUP(Q32*(1+前提・入力!$B$34),0),0)</f>
        <v>0</v>
      </c>
      <c r="S32" s="70" t="str">
        <f aca="false">IF(P32="","",IF(NOT(ISNUMBER(D32)),"再生産不可",P32-E32-前提・入力!$B$37))</f>
        <v/>
      </c>
      <c r="T32" s="71" t="str">
        <f aca="false">IF(OR(S32="",S32="再生産不可"),"",S32-前提・入力!$B$38)</f>
        <v/>
      </c>
      <c r="U32" s="72" t="str">
        <f aca="false">IF(O32="","—",IF(S32="再生産不可","×再生産不可",_xlfn.IFS(T32&lt;0,"★期限超過",T32&lt;=30,"★至急(30日以内)",T32&lt;=90,"要着手(90日以内)",TRUE(),"余裕あり")))</f>
        <v>余裕あり</v>
      </c>
      <c r="V32" s="72"/>
    </row>
    <row r="33" customFormat="false" ht="15" hidden="false" customHeight="false" outlineLevel="0" collapsed="false">
      <c r="A33" s="32" t="n">
        <v>18</v>
      </c>
      <c r="B33" s="32" t="s">
        <v>320</v>
      </c>
      <c r="C33" s="33" t="s">
        <v>321</v>
      </c>
      <c r="D33" s="32" t="n">
        <v>1</v>
      </c>
      <c r="E33" s="32" t="n">
        <f aca="false">IF(ISNUMBER(D33),ROUND(D33*30,0),"－")</f>
        <v>30</v>
      </c>
      <c r="F33" s="35" t="n">
        <f aca="false">③仙台以降予測!V48</f>
        <v>9130</v>
      </c>
      <c r="G33" s="35" t="n">
        <f aca="false">③仙台以降予測!I48</f>
        <v>378</v>
      </c>
      <c r="H33" s="101" t="n">
        <f aca="false">F33-G33</f>
        <v>8752</v>
      </c>
      <c r="I33" s="35" t="n">
        <f aca="false">③仙台以降予測!J48</f>
        <v>349</v>
      </c>
      <c r="J33" s="101" t="n">
        <f aca="false">H33-I33</f>
        <v>8403</v>
      </c>
      <c r="K33" s="35" t="n">
        <f aca="false">③仙台以降予測!K48</f>
        <v>262</v>
      </c>
      <c r="L33" s="101" t="n">
        <f aca="false">J33-K33</f>
        <v>8141</v>
      </c>
      <c r="M33" s="35" t="n">
        <f aca="false">③仙台以降予測!L48</f>
        <v>1455</v>
      </c>
      <c r="N33" s="101" t="n">
        <f aca="false">L33-M33</f>
        <v>6686</v>
      </c>
      <c r="O33" s="69" t="str">
        <f aca="false">_xlfn.IFS(H33&lt;0,"仙台 Ebeans",J33&lt;0,"神戸阪急",L33&lt;0,"鳥取島根 夢みなとタワー",N33&lt;0,"東京凱旋 東京建物ぴあホール",TRUE(),"—")</f>
        <v>—</v>
      </c>
      <c r="P33" s="70" t="str">
        <f aca="false">IF(O33="—","",_xlfn.IFS(H33&lt;0,DATE(2026,9,5),J33&lt;0,DATE(2026,12,16),L33&lt;0,DATE(2027,3,15),N33&lt;0,DATE(2027,4,1)))</f>
        <v/>
      </c>
      <c r="Q33" s="35" t="n">
        <f aca="false">MAX(0,-N33)</f>
        <v>0</v>
      </c>
      <c r="R33" s="35" t="n">
        <f aca="false">IF(Q33&gt;0,ROUNDUP(Q33*(1+前提・入力!$B$34),0),0)</f>
        <v>0</v>
      </c>
      <c r="S33" s="70" t="str">
        <f aca="false">IF(P33="","",IF(NOT(ISNUMBER(D33)),"再生産不可",P33-E33-前提・入力!$B$37))</f>
        <v/>
      </c>
      <c r="T33" s="71" t="str">
        <f aca="false">IF(OR(S33="",S33="再生産不可"),"",S33-前提・入力!$B$38)</f>
        <v/>
      </c>
      <c r="U33" s="72" t="str">
        <f aca="false">IF(O33="","—",IF(S33="再生産不可","×再生産不可",_xlfn.IFS(T33&lt;0,"★期限超過",T33&lt;=30,"★至急(30日以内)",T33&lt;=90,"要着手(90日以内)",TRUE(),"余裕あり")))</f>
        <v>余裕あり</v>
      </c>
      <c r="V33" s="72"/>
    </row>
    <row r="34" customFormat="false" ht="15" hidden="false" customHeight="false" outlineLevel="0" collapsed="false">
      <c r="A34" s="32" t="n">
        <v>19</v>
      </c>
      <c r="B34" s="32" t="s">
        <v>322</v>
      </c>
      <c r="C34" s="33" t="s">
        <v>323</v>
      </c>
      <c r="D34" s="32" t="n">
        <v>1</v>
      </c>
      <c r="E34" s="32" t="n">
        <f aca="false">IF(ISNUMBER(D34),ROUND(D34*30,0),"－")</f>
        <v>30</v>
      </c>
      <c r="F34" s="35" t="n">
        <f aca="false">③仙台以降予測!V49</f>
        <v>2214</v>
      </c>
      <c r="G34" s="35" t="n">
        <f aca="false">③仙台以降予測!I49</f>
        <v>16</v>
      </c>
      <c r="H34" s="101" t="n">
        <f aca="false">F34-G34</f>
        <v>2198</v>
      </c>
      <c r="I34" s="35" t="n">
        <f aca="false">③仙台以降予測!J49</f>
        <v>15</v>
      </c>
      <c r="J34" s="101" t="n">
        <f aca="false">H34-I34</f>
        <v>2183</v>
      </c>
      <c r="K34" s="35" t="n">
        <f aca="false">③仙台以降予測!K49</f>
        <v>11</v>
      </c>
      <c r="L34" s="101" t="n">
        <f aca="false">J34-K34</f>
        <v>2172</v>
      </c>
      <c r="M34" s="35" t="n">
        <f aca="false">③仙台以降予測!L49</f>
        <v>61</v>
      </c>
      <c r="N34" s="101" t="n">
        <f aca="false">L34-M34</f>
        <v>2111</v>
      </c>
      <c r="O34" s="69" t="str">
        <f aca="false">_xlfn.IFS(H34&lt;0,"仙台 Ebeans",J34&lt;0,"神戸阪急",L34&lt;0,"鳥取島根 夢みなとタワー",N34&lt;0,"東京凱旋 東京建物ぴあホール",TRUE(),"—")</f>
        <v>—</v>
      </c>
      <c r="P34" s="70" t="str">
        <f aca="false">IF(O34="—","",_xlfn.IFS(H34&lt;0,DATE(2026,9,5),J34&lt;0,DATE(2026,12,16),L34&lt;0,DATE(2027,3,15),N34&lt;0,DATE(2027,4,1)))</f>
        <v/>
      </c>
      <c r="Q34" s="35" t="n">
        <f aca="false">MAX(0,-N34)</f>
        <v>0</v>
      </c>
      <c r="R34" s="35" t="n">
        <f aca="false">IF(Q34&gt;0,ROUNDUP(Q34*(1+前提・入力!$B$34),0),0)</f>
        <v>0</v>
      </c>
      <c r="S34" s="70" t="str">
        <f aca="false">IF(P34="","",IF(NOT(ISNUMBER(D34)),"再生産不可",P34-E34-前提・入力!$B$37))</f>
        <v/>
      </c>
      <c r="T34" s="71" t="str">
        <f aca="false">IF(OR(S34="",S34="再生産不可"),"",S34-前提・入力!$B$38)</f>
        <v/>
      </c>
      <c r="U34" s="72" t="str">
        <f aca="false">IF(O34="","—",IF(S34="再生産不可","×再生産不可",_xlfn.IFS(T34&lt;0,"★期限超過",T34&lt;=30,"★至急(30日以内)",T34&lt;=90,"要着手(90日以内)",TRUE(),"余裕あり")))</f>
        <v>余裕あり</v>
      </c>
      <c r="V34" s="72"/>
    </row>
    <row r="35" customFormat="false" ht="15" hidden="false" customHeight="false" outlineLevel="0" collapsed="false">
      <c r="A35" s="32" t="n">
        <v>20</v>
      </c>
      <c r="B35" s="32" t="s">
        <v>324</v>
      </c>
      <c r="C35" s="33" t="s">
        <v>325</v>
      </c>
      <c r="D35" s="32" t="n">
        <v>1</v>
      </c>
      <c r="E35" s="32" t="n">
        <f aca="false">IF(ISNUMBER(D35),ROUND(D35*30,0),"－")</f>
        <v>30</v>
      </c>
      <c r="F35" s="35" t="n">
        <f aca="false">③仙台以降予測!V50</f>
        <v>276</v>
      </c>
      <c r="G35" s="35" t="n">
        <f aca="false">③仙台以降予測!I50</f>
        <v>16</v>
      </c>
      <c r="H35" s="101" t="n">
        <f aca="false">F35-G35</f>
        <v>260</v>
      </c>
      <c r="I35" s="35" t="n">
        <f aca="false">③仙台以降予測!J50</f>
        <v>15</v>
      </c>
      <c r="J35" s="101" t="n">
        <f aca="false">H35-I35</f>
        <v>245</v>
      </c>
      <c r="K35" s="35" t="n">
        <f aca="false">③仙台以降予測!K50</f>
        <v>11</v>
      </c>
      <c r="L35" s="101" t="n">
        <f aca="false">J35-K35</f>
        <v>234</v>
      </c>
      <c r="M35" s="35" t="n">
        <f aca="false">③仙台以降予測!L50</f>
        <v>62</v>
      </c>
      <c r="N35" s="101" t="n">
        <f aca="false">L35-M35</f>
        <v>172</v>
      </c>
      <c r="O35" s="69" t="str">
        <f aca="false">_xlfn.IFS(H35&lt;0,"仙台 Ebeans",J35&lt;0,"神戸阪急",L35&lt;0,"鳥取島根 夢みなとタワー",N35&lt;0,"東京凱旋 東京建物ぴあホール",TRUE(),"—")</f>
        <v>—</v>
      </c>
      <c r="P35" s="70" t="str">
        <f aca="false">IF(O35="—","",_xlfn.IFS(H35&lt;0,DATE(2026,9,5),J35&lt;0,DATE(2026,12,16),L35&lt;0,DATE(2027,3,15),N35&lt;0,DATE(2027,4,1)))</f>
        <v/>
      </c>
      <c r="Q35" s="35" t="n">
        <f aca="false">MAX(0,-N35)</f>
        <v>0</v>
      </c>
      <c r="R35" s="35" t="n">
        <f aca="false">IF(Q35&gt;0,ROUNDUP(Q35*(1+前提・入力!$B$34),0),0)</f>
        <v>0</v>
      </c>
      <c r="S35" s="70" t="str">
        <f aca="false">IF(P35="","",IF(NOT(ISNUMBER(D35)),"再生産不可",P35-E35-前提・入力!$B$37))</f>
        <v/>
      </c>
      <c r="T35" s="71" t="str">
        <f aca="false">IF(OR(S35="",S35="再生産不可"),"",S35-前提・入力!$B$38)</f>
        <v/>
      </c>
      <c r="U35" s="72" t="str">
        <f aca="false">IF(O35="","—",IF(S35="再生産不可","×再生産不可",_xlfn.IFS(T35&lt;0,"★期限超過",T35&lt;=30,"★至急(30日以内)",T35&lt;=90,"要着手(90日以内)",TRUE(),"余裕あり")))</f>
        <v>余裕あり</v>
      </c>
      <c r="V35" s="72"/>
    </row>
    <row r="36" customFormat="false" ht="15" hidden="false" customHeight="false" outlineLevel="0" collapsed="false">
      <c r="A36" s="32" t="n">
        <v>21</v>
      </c>
      <c r="B36" s="32" t="s">
        <v>326</v>
      </c>
      <c r="C36" s="33" t="s">
        <v>327</v>
      </c>
      <c r="D36" s="32" t="n">
        <v>1</v>
      </c>
      <c r="E36" s="32" t="n">
        <f aca="false">IF(ISNUMBER(D36),ROUND(D36*30,0),"－")</f>
        <v>30</v>
      </c>
      <c r="F36" s="35" t="n">
        <f aca="false">③仙台以降予測!V51</f>
        <v>190</v>
      </c>
      <c r="G36" s="35" t="n">
        <f aca="false">③仙台以降予測!I51</f>
        <v>75</v>
      </c>
      <c r="H36" s="101" t="n">
        <f aca="false">F36-G36</f>
        <v>115</v>
      </c>
      <c r="I36" s="35" t="n">
        <f aca="false">③仙台以降予測!J51</f>
        <v>69</v>
      </c>
      <c r="J36" s="101" t="n">
        <f aca="false">H36-I36</f>
        <v>46</v>
      </c>
      <c r="K36" s="35" t="n">
        <f aca="false">③仙台以降予測!K51</f>
        <v>52</v>
      </c>
      <c r="L36" s="101" t="n">
        <f aca="false">J36-K36</f>
        <v>-6</v>
      </c>
      <c r="M36" s="35" t="n">
        <f aca="false">③仙台以降予測!L51</f>
        <v>288</v>
      </c>
      <c r="N36" s="101" t="n">
        <f aca="false">L36-M36</f>
        <v>-294</v>
      </c>
      <c r="O36" s="69" t="str">
        <f aca="false">_xlfn.IFS(H36&lt;0,"仙台 Ebeans",J36&lt;0,"神戸阪急",L36&lt;0,"鳥取島根 夢みなとタワー",N36&lt;0,"東京凱旋 東京建物ぴあホール",TRUE(),"—")</f>
        <v>鳥取島根 夢みなとタワー</v>
      </c>
      <c r="P36" s="70" t="n">
        <f aca="false">IF(O36="—","",_xlfn.IFS(H36&lt;0,DATE(2026,9,5),J36&lt;0,DATE(2026,12,16),L36&lt;0,DATE(2027,3,15),N36&lt;0,DATE(2027,4,1)))</f>
        <v>46461</v>
      </c>
      <c r="Q36" s="35" t="n">
        <f aca="false">MAX(0,-N36)</f>
        <v>294</v>
      </c>
      <c r="R36" s="35" t="n">
        <f aca="false">IF(Q36&gt;0,ROUNDUP(Q36*(1+前提・入力!$B$34),0),0)</f>
        <v>324</v>
      </c>
      <c r="S36" s="70" t="n">
        <f aca="false">IF(P36="","",IF(NOT(ISNUMBER(D36)),"再生産不可",P36-E36-前提・入力!$B$37))</f>
        <v>46417</v>
      </c>
      <c r="T36" s="71" t="n">
        <f aca="false">IF(OR(S36="",S36="再生産不可"),"",S36-前提・入力!$B$38)</f>
        <v>157</v>
      </c>
      <c r="U36" s="72" t="str">
        <f aca="false">IF(O36="","—",IF(S36="再生産不可","×再生産不可",_xlfn.IFS(T36&lt;0,"★期限超過",T36&lt;=30,"★至急(30日以内)",T36&lt;=90,"要着手(90日以内)",TRUE(),"余裕あり")))</f>
        <v>余裕あり</v>
      </c>
      <c r="V36" s="72"/>
    </row>
    <row r="37" customFormat="false" ht="15" hidden="false" customHeight="false" outlineLevel="0" collapsed="false">
      <c r="A37" s="32" t="n">
        <v>22</v>
      </c>
      <c r="B37" s="32" t="s">
        <v>328</v>
      </c>
      <c r="C37" s="33" t="s">
        <v>329</v>
      </c>
      <c r="D37" s="32" t="n">
        <v>1</v>
      </c>
      <c r="E37" s="32" t="n">
        <f aca="false">IF(ISNUMBER(D37),ROUND(D37*30,0),"－")</f>
        <v>30</v>
      </c>
      <c r="F37" s="35" t="n">
        <f aca="false">③仙台以降予測!V52</f>
        <v>1254</v>
      </c>
      <c r="G37" s="35" t="n">
        <f aca="false">③仙台以降予測!I52</f>
        <v>52</v>
      </c>
      <c r="H37" s="101" t="n">
        <f aca="false">F37-G37</f>
        <v>1202</v>
      </c>
      <c r="I37" s="35" t="n">
        <f aca="false">③仙台以降予測!J52</f>
        <v>48</v>
      </c>
      <c r="J37" s="101" t="n">
        <f aca="false">H37-I37</f>
        <v>1154</v>
      </c>
      <c r="K37" s="35" t="n">
        <f aca="false">③仙台以降予測!K52</f>
        <v>36</v>
      </c>
      <c r="L37" s="101" t="n">
        <f aca="false">J37-K37</f>
        <v>1118</v>
      </c>
      <c r="M37" s="35" t="n">
        <f aca="false">③仙台以降予測!L52</f>
        <v>199</v>
      </c>
      <c r="N37" s="101" t="n">
        <f aca="false">L37-M37</f>
        <v>919</v>
      </c>
      <c r="O37" s="69" t="str">
        <f aca="false">_xlfn.IFS(H37&lt;0,"仙台 Ebeans",J37&lt;0,"神戸阪急",L37&lt;0,"鳥取島根 夢みなとタワー",N37&lt;0,"東京凱旋 東京建物ぴあホール",TRUE(),"—")</f>
        <v>—</v>
      </c>
      <c r="P37" s="70" t="str">
        <f aca="false">IF(O37="—","",_xlfn.IFS(H37&lt;0,DATE(2026,9,5),J37&lt;0,DATE(2026,12,16),L37&lt;0,DATE(2027,3,15),N37&lt;0,DATE(2027,4,1)))</f>
        <v/>
      </c>
      <c r="Q37" s="35" t="n">
        <f aca="false">MAX(0,-N37)</f>
        <v>0</v>
      </c>
      <c r="R37" s="35" t="n">
        <f aca="false">IF(Q37&gt;0,ROUNDUP(Q37*(1+前提・入力!$B$34),0),0)</f>
        <v>0</v>
      </c>
      <c r="S37" s="70" t="str">
        <f aca="false">IF(P37="","",IF(NOT(ISNUMBER(D37)),"再生産不可",P37-E37-前提・入力!$B$37))</f>
        <v/>
      </c>
      <c r="T37" s="71" t="str">
        <f aca="false">IF(OR(S37="",S37="再生産不可"),"",S37-前提・入力!$B$38)</f>
        <v/>
      </c>
      <c r="U37" s="72" t="str">
        <f aca="false">IF(O37="","—",IF(S37="再生産不可","×再生産不可",_xlfn.IFS(T37&lt;0,"★期限超過",T37&lt;=30,"★至急(30日以内)",T37&lt;=90,"要着手(90日以内)",TRUE(),"余裕あり")))</f>
        <v>余裕あり</v>
      </c>
      <c r="V37" s="72"/>
    </row>
    <row r="38" customFormat="false" ht="15" hidden="false" customHeight="false" outlineLevel="0" collapsed="false">
      <c r="A38" s="32" t="n">
        <v>23</v>
      </c>
      <c r="B38" s="32" t="s">
        <v>330</v>
      </c>
      <c r="C38" s="33" t="s">
        <v>331</v>
      </c>
      <c r="D38" s="32" t="n">
        <v>2.5</v>
      </c>
      <c r="E38" s="32" t="n">
        <f aca="false">IF(ISNUMBER(D38),ROUND(D38*30,0),"－")</f>
        <v>75</v>
      </c>
      <c r="F38" s="35" t="n">
        <f aca="false">③仙台以降予測!V53</f>
        <v>48729</v>
      </c>
      <c r="G38" s="35" t="n">
        <f aca="false">③仙台以降予測!I53</f>
        <v>2362</v>
      </c>
      <c r="H38" s="101" t="n">
        <f aca="false">F38-G38</f>
        <v>46367</v>
      </c>
      <c r="I38" s="35" t="n">
        <f aca="false">③仙台以降予測!J53</f>
        <v>2180</v>
      </c>
      <c r="J38" s="101" t="n">
        <f aca="false">H38-I38</f>
        <v>44187</v>
      </c>
      <c r="K38" s="35" t="n">
        <f aca="false">③仙台以降予測!K53</f>
        <v>1635</v>
      </c>
      <c r="L38" s="101" t="n">
        <f aca="false">J38-K38</f>
        <v>42552</v>
      </c>
      <c r="M38" s="35" t="n">
        <f aca="false">③仙台以降予測!L53</f>
        <v>9086</v>
      </c>
      <c r="N38" s="101" t="n">
        <f aca="false">L38-M38</f>
        <v>33466</v>
      </c>
      <c r="O38" s="69" t="str">
        <f aca="false">_xlfn.IFS(H38&lt;0,"仙台 Ebeans",J38&lt;0,"神戸阪急",L38&lt;0,"鳥取島根 夢みなとタワー",N38&lt;0,"東京凱旋 東京建物ぴあホール",TRUE(),"—")</f>
        <v>—</v>
      </c>
      <c r="P38" s="70" t="str">
        <f aca="false">IF(O38="—","",_xlfn.IFS(H38&lt;0,DATE(2026,9,5),J38&lt;0,DATE(2026,12,16),L38&lt;0,DATE(2027,3,15),N38&lt;0,DATE(2027,4,1)))</f>
        <v/>
      </c>
      <c r="Q38" s="35" t="n">
        <f aca="false">MAX(0,-N38)</f>
        <v>0</v>
      </c>
      <c r="R38" s="35" t="n">
        <f aca="false">IF(Q38&gt;0,ROUNDUP(Q38*(1+前提・入力!$B$34),0),0)</f>
        <v>0</v>
      </c>
      <c r="S38" s="70" t="str">
        <f aca="false">IF(P38="","",IF(NOT(ISNUMBER(D38)),"再生産不可",P38-E38-前提・入力!$B$37))</f>
        <v/>
      </c>
      <c r="T38" s="71" t="str">
        <f aca="false">IF(OR(S38="",S38="再生産不可"),"",S38-前提・入力!$B$38)</f>
        <v/>
      </c>
      <c r="U38" s="72" t="str">
        <f aca="false">IF(O38="","—",IF(S38="再生産不可","×再生産不可",_xlfn.IFS(T38&lt;0,"★期限超過",T38&lt;=30,"★至急(30日以内)",T38&lt;=90,"要着手(90日以内)",TRUE(),"余裕あり")))</f>
        <v>余裕あり</v>
      </c>
      <c r="V38" s="72"/>
    </row>
    <row r="39" customFormat="false" ht="15" hidden="false" customHeight="false" outlineLevel="0" collapsed="false">
      <c r="A39" s="32" t="n">
        <v>24</v>
      </c>
      <c r="B39" s="32" t="s">
        <v>332</v>
      </c>
      <c r="C39" s="33" t="s">
        <v>333</v>
      </c>
      <c r="D39" s="32" t="n">
        <v>2.5</v>
      </c>
      <c r="E39" s="32" t="n">
        <f aca="false">IF(ISNUMBER(D39),ROUND(D39*30,0),"－")</f>
        <v>75</v>
      </c>
      <c r="F39" s="35" t="n">
        <f aca="false">③仙台以降予測!V54</f>
        <v>30130</v>
      </c>
      <c r="G39" s="35" t="n">
        <f aca="false">③仙台以降予測!I54</f>
        <v>1453</v>
      </c>
      <c r="H39" s="101" t="n">
        <f aca="false">F39-G39</f>
        <v>28677</v>
      </c>
      <c r="I39" s="35" t="n">
        <f aca="false">③仙台以降予測!J54</f>
        <v>1341</v>
      </c>
      <c r="J39" s="101" t="n">
        <f aca="false">H39-I39</f>
        <v>27336</v>
      </c>
      <c r="K39" s="35" t="n">
        <f aca="false">③仙台以降予測!K54</f>
        <v>1006</v>
      </c>
      <c r="L39" s="101" t="n">
        <f aca="false">J39-K39</f>
        <v>26330</v>
      </c>
      <c r="M39" s="35" t="n">
        <f aca="false">③仙台以降予測!L54</f>
        <v>5588</v>
      </c>
      <c r="N39" s="101" t="n">
        <f aca="false">L39-M39</f>
        <v>20742</v>
      </c>
      <c r="O39" s="69" t="str">
        <f aca="false">_xlfn.IFS(H39&lt;0,"仙台 Ebeans",J39&lt;0,"神戸阪急",L39&lt;0,"鳥取島根 夢みなとタワー",N39&lt;0,"東京凱旋 東京建物ぴあホール",TRUE(),"—")</f>
        <v>—</v>
      </c>
      <c r="P39" s="70" t="str">
        <f aca="false">IF(O39="—","",_xlfn.IFS(H39&lt;0,DATE(2026,9,5),J39&lt;0,DATE(2026,12,16),L39&lt;0,DATE(2027,3,15),N39&lt;0,DATE(2027,4,1)))</f>
        <v/>
      </c>
      <c r="Q39" s="35" t="n">
        <f aca="false">MAX(0,-N39)</f>
        <v>0</v>
      </c>
      <c r="R39" s="35" t="n">
        <f aca="false">IF(Q39&gt;0,ROUNDUP(Q39*(1+前提・入力!$B$34),0),0)</f>
        <v>0</v>
      </c>
      <c r="S39" s="70" t="str">
        <f aca="false">IF(P39="","",IF(NOT(ISNUMBER(D39)),"再生産不可",P39-E39-前提・入力!$B$37))</f>
        <v/>
      </c>
      <c r="T39" s="71" t="str">
        <f aca="false">IF(OR(S39="",S39="再生産不可"),"",S39-前提・入力!$B$38)</f>
        <v/>
      </c>
      <c r="U39" s="72" t="str">
        <f aca="false">IF(O39="","—",IF(S39="再生産不可","×再生産不可",_xlfn.IFS(T39&lt;0,"★期限超過",T39&lt;=30,"★至急(30日以内)",T39&lt;=90,"要着手(90日以内)",TRUE(),"余裕あり")))</f>
        <v>余裕あり</v>
      </c>
      <c r="V39" s="72"/>
    </row>
    <row r="40" customFormat="false" ht="15" hidden="false" customHeight="false" outlineLevel="0" collapsed="false">
      <c r="A40" s="32" t="n">
        <v>25</v>
      </c>
      <c r="B40" s="32" t="s">
        <v>334</v>
      </c>
      <c r="C40" s="33" t="s">
        <v>335</v>
      </c>
      <c r="D40" s="39" t="s">
        <v>869</v>
      </c>
      <c r="E40" s="32" t="str">
        <f aca="false">IF(ISNUMBER(D40),ROUND(D40*30,0),"－")</f>
        <v>－</v>
      </c>
      <c r="F40" s="35" t="n">
        <f aca="false">③仙台以降予測!V55</f>
        <v>3393</v>
      </c>
      <c r="G40" s="35" t="n">
        <f aca="false">③仙台以降予測!I55</f>
        <v>83</v>
      </c>
      <c r="H40" s="101" t="n">
        <f aca="false">F40-G40</f>
        <v>3310</v>
      </c>
      <c r="I40" s="35" t="n">
        <f aca="false">③仙台以降予測!J55</f>
        <v>76</v>
      </c>
      <c r="J40" s="101" t="n">
        <f aca="false">H40-I40</f>
        <v>3234</v>
      </c>
      <c r="K40" s="35" t="n">
        <f aca="false">③仙台以降予測!K55</f>
        <v>57</v>
      </c>
      <c r="L40" s="101" t="n">
        <f aca="false">J40-K40</f>
        <v>3177</v>
      </c>
      <c r="M40" s="35" t="n">
        <f aca="false">③仙台以降予測!L55</f>
        <v>318</v>
      </c>
      <c r="N40" s="101" t="n">
        <f aca="false">L40-M40</f>
        <v>2859</v>
      </c>
      <c r="O40" s="69" t="str">
        <f aca="false">_xlfn.IFS(H40&lt;0,"仙台 Ebeans",J40&lt;0,"神戸阪急",L40&lt;0,"鳥取島根 夢みなとタワー",N40&lt;0,"東京凱旋 東京建物ぴあホール",TRUE(),"—")</f>
        <v>—</v>
      </c>
      <c r="P40" s="70" t="str">
        <f aca="false">IF(O40="—","",_xlfn.IFS(H40&lt;0,DATE(2026,9,5),J40&lt;0,DATE(2026,12,16),L40&lt;0,DATE(2027,3,15),N40&lt;0,DATE(2027,4,1)))</f>
        <v/>
      </c>
      <c r="Q40" s="35" t="n">
        <f aca="false">MAX(0,-N40)</f>
        <v>0</v>
      </c>
      <c r="R40" s="35" t="n">
        <f aca="false">IF(Q40&gt;0,ROUNDUP(Q40*(1+前提・入力!$B$34),0),0)</f>
        <v>0</v>
      </c>
      <c r="S40" s="70" t="str">
        <f aca="false">IF(P40="","",IF(NOT(ISNUMBER(D40)),"再生産不可",P40-E40-前提・入力!$B$37))</f>
        <v/>
      </c>
      <c r="T40" s="71" t="str">
        <f aca="false">IF(OR(S40="",S40="再生産不可"),"",S40-前提・入力!$B$38)</f>
        <v/>
      </c>
      <c r="U40" s="72" t="str">
        <f aca="false">IF(O40="","—",IF(S40="再生産不可","×再生産不可",_xlfn.IFS(T40&lt;0,"★期限超過",T40&lt;=30,"★至急(30日以内)",T40&lt;=90,"要着手(90日以内)",TRUE(),"余裕あり")))</f>
        <v>余裕あり</v>
      </c>
      <c r="V40" s="69" t="s">
        <v>870</v>
      </c>
    </row>
    <row r="41" customFormat="false" ht="15" hidden="false" customHeight="false" outlineLevel="0" collapsed="false">
      <c r="A41" s="32" t="n">
        <v>26</v>
      </c>
      <c r="B41" s="32" t="s">
        <v>336</v>
      </c>
      <c r="C41" s="33" t="s">
        <v>337</v>
      </c>
      <c r="D41" s="32" t="n">
        <v>2.5</v>
      </c>
      <c r="E41" s="32" t="n">
        <f aca="false">IF(ISNUMBER(D41),ROUND(D41*30,0),"－")</f>
        <v>75</v>
      </c>
      <c r="F41" s="35" t="n">
        <f aca="false">③仙台以降予測!V56</f>
        <v>229</v>
      </c>
      <c r="G41" s="35" t="n">
        <f aca="false">③仙台以降予測!I56</f>
        <v>172</v>
      </c>
      <c r="H41" s="101" t="n">
        <f aca="false">F41-G41</f>
        <v>57</v>
      </c>
      <c r="I41" s="35" t="n">
        <f aca="false">③仙台以降予測!J56</f>
        <v>159</v>
      </c>
      <c r="J41" s="101" t="n">
        <f aca="false">H41-I41</f>
        <v>-102</v>
      </c>
      <c r="K41" s="35" t="n">
        <f aca="false">③仙台以降予測!K56</f>
        <v>119</v>
      </c>
      <c r="L41" s="101" t="n">
        <f aca="false">J41-K41</f>
        <v>-221</v>
      </c>
      <c r="M41" s="35" t="n">
        <f aca="false">③仙台以降予測!L56</f>
        <v>662</v>
      </c>
      <c r="N41" s="101" t="n">
        <f aca="false">L41-M41</f>
        <v>-883</v>
      </c>
      <c r="O41" s="69" t="str">
        <f aca="false">_xlfn.IFS(H41&lt;0,"仙台 Ebeans",J41&lt;0,"神戸阪急",L41&lt;0,"鳥取島根 夢みなとタワー",N41&lt;0,"東京凱旋 東京建物ぴあホール",TRUE(),"—")</f>
        <v>神戸阪急</v>
      </c>
      <c r="P41" s="70" t="n">
        <f aca="false">IF(O41="—","",_xlfn.IFS(H41&lt;0,DATE(2026,9,5),J41&lt;0,DATE(2026,12,16),L41&lt;0,DATE(2027,3,15),N41&lt;0,DATE(2027,4,1)))</f>
        <v>46372</v>
      </c>
      <c r="Q41" s="35" t="n">
        <f aca="false">MAX(0,-N41)</f>
        <v>883</v>
      </c>
      <c r="R41" s="35" t="n">
        <f aca="false">IF(Q41&gt;0,ROUNDUP(Q41*(1+前提・入力!$B$34),0),0)</f>
        <v>972</v>
      </c>
      <c r="S41" s="70" t="n">
        <f aca="false">IF(P41="","",IF(NOT(ISNUMBER(D41)),"再生産不可",P41-E41-前提・入力!$B$37))</f>
        <v>46283</v>
      </c>
      <c r="T41" s="71" t="n">
        <f aca="false">IF(OR(S41="",S41="再生産不可"),"",S41-前提・入力!$B$38)</f>
        <v>23</v>
      </c>
      <c r="U41" s="72" t="str">
        <f aca="false">IF(O41="","—",IF(S41="再生産不可","×再生産不可",_xlfn.IFS(T41&lt;0,"★期限超過",T41&lt;=30,"★至急(30日以内)",T41&lt;=90,"要着手(90日以内)",TRUE(),"余裕あり")))</f>
        <v>★至急(30日以内)</v>
      </c>
      <c r="V41" s="72"/>
    </row>
    <row r="42" customFormat="false" ht="15" hidden="false" customHeight="false" outlineLevel="0" collapsed="false">
      <c r="A42" s="32" t="n">
        <v>27</v>
      </c>
      <c r="B42" s="32" t="s">
        <v>338</v>
      </c>
      <c r="C42" s="33" t="s">
        <v>339</v>
      </c>
      <c r="D42" s="32" t="n">
        <v>3</v>
      </c>
      <c r="E42" s="32" t="n">
        <f aca="false">IF(ISNUMBER(D42),ROUND(D42*30,0),"－")</f>
        <v>90</v>
      </c>
      <c r="F42" s="35" t="n">
        <f aca="false">③仙台以降予測!V57</f>
        <v>1131</v>
      </c>
      <c r="G42" s="35" t="n">
        <f aca="false">③仙台以降予測!I57</f>
        <v>43</v>
      </c>
      <c r="H42" s="101" t="n">
        <f aca="false">F42-G42</f>
        <v>1088</v>
      </c>
      <c r="I42" s="35" t="n">
        <f aca="false">③仙台以降予測!J57</f>
        <v>40</v>
      </c>
      <c r="J42" s="101" t="n">
        <f aca="false">H42-I42</f>
        <v>1048</v>
      </c>
      <c r="K42" s="35" t="n">
        <f aca="false">③仙台以降予測!K57</f>
        <v>30</v>
      </c>
      <c r="L42" s="101" t="n">
        <f aca="false">J42-K42</f>
        <v>1018</v>
      </c>
      <c r="M42" s="35" t="n">
        <f aca="false">③仙台以降予測!L57</f>
        <v>167</v>
      </c>
      <c r="N42" s="101" t="n">
        <f aca="false">L42-M42</f>
        <v>851</v>
      </c>
      <c r="O42" s="69" t="str">
        <f aca="false">_xlfn.IFS(H42&lt;0,"仙台 Ebeans",J42&lt;0,"神戸阪急",L42&lt;0,"鳥取島根 夢みなとタワー",N42&lt;0,"東京凱旋 東京建物ぴあホール",TRUE(),"—")</f>
        <v>—</v>
      </c>
      <c r="P42" s="70" t="str">
        <f aca="false">IF(O42="—","",_xlfn.IFS(H42&lt;0,DATE(2026,9,5),J42&lt;0,DATE(2026,12,16),L42&lt;0,DATE(2027,3,15),N42&lt;0,DATE(2027,4,1)))</f>
        <v/>
      </c>
      <c r="Q42" s="35" t="n">
        <f aca="false">MAX(0,-N42)</f>
        <v>0</v>
      </c>
      <c r="R42" s="35" t="n">
        <f aca="false">IF(Q42&gt;0,ROUNDUP(Q42*(1+前提・入力!$B$34),0),0)</f>
        <v>0</v>
      </c>
      <c r="S42" s="70" t="str">
        <f aca="false">IF(P42="","",IF(NOT(ISNUMBER(D42)),"再生産不可",P42-E42-前提・入力!$B$37))</f>
        <v/>
      </c>
      <c r="T42" s="71" t="str">
        <f aca="false">IF(OR(S42="",S42="再生産不可"),"",S42-前提・入力!$B$38)</f>
        <v/>
      </c>
      <c r="U42" s="72" t="str">
        <f aca="false">IF(O42="","—",IF(S42="再生産不可","×再生産不可",_xlfn.IFS(T42&lt;0,"★期限超過",T42&lt;=30,"★至急(30日以内)",T42&lt;=90,"要着手(90日以内)",TRUE(),"余裕あり")))</f>
        <v>余裕あり</v>
      </c>
      <c r="V42" s="72"/>
    </row>
    <row r="43" customFormat="false" ht="73.1" hidden="false" customHeight="false" outlineLevel="0" collapsed="false">
      <c r="A43" s="32" t="n">
        <v>28</v>
      </c>
      <c r="B43" s="32" t="s">
        <v>340</v>
      </c>
      <c r="C43" s="33" t="s">
        <v>341</v>
      </c>
      <c r="D43" s="32" t="n">
        <v>3</v>
      </c>
      <c r="E43" s="32" t="n">
        <f aca="false">IF(ISNUMBER(D43),ROUND(D43*30,0),"－")</f>
        <v>90</v>
      </c>
      <c r="F43" s="35" t="n">
        <f aca="false">③仙台以降予測!V58</f>
        <v>68</v>
      </c>
      <c r="G43" s="35" t="n">
        <f aca="false">③仙台以降予測!I58</f>
        <v>246</v>
      </c>
      <c r="H43" s="101" t="n">
        <f aca="false">F43-G43</f>
        <v>-178</v>
      </c>
      <c r="I43" s="35" t="n">
        <f aca="false">③仙台以降予測!J58</f>
        <v>227</v>
      </c>
      <c r="J43" s="101" t="n">
        <f aca="false">H43-I43</f>
        <v>-405</v>
      </c>
      <c r="K43" s="35" t="n">
        <f aca="false">③仙台以降予測!K58</f>
        <v>170</v>
      </c>
      <c r="L43" s="102" t="n">
        <f aca="false">J43+1200-K43</f>
        <v>625</v>
      </c>
      <c r="M43" s="35" t="n">
        <f aca="false">③仙台以降予測!L58</f>
        <v>946</v>
      </c>
      <c r="N43" s="101" t="n">
        <f aca="false">L43-M43</f>
        <v>-321</v>
      </c>
      <c r="O43" s="69" t="str">
        <f aca="false">_xlfn.IFS(H43&lt;0,"仙台 Ebeans",J43&lt;0,"神戸阪急",L43&lt;0,"鳥取島根 夢みなとタワー",N43&lt;0,"東京凱旋 東京建物ぴあホール",TRUE(),"—")</f>
        <v>仙台 Ebeans</v>
      </c>
      <c r="P43" s="70" t="n">
        <f aca="false">IF(O43="—","",_xlfn.IFS(H43&lt;0,DATE(2026,9,5),J43&lt;0,DATE(2026,12,16),L43&lt;0,DATE(2027,3,15),N43&lt;0,DATE(2027,4,1)))</f>
        <v>46270</v>
      </c>
      <c r="Q43" s="35" t="n">
        <f aca="false">MAX(0,-N43)</f>
        <v>321</v>
      </c>
      <c r="R43" s="35" t="n">
        <f aca="false">IF(Q43&gt;0,ROUNDUP(Q43*(1+前提・入力!$B$34),0),0)</f>
        <v>354</v>
      </c>
      <c r="S43" s="70" t="n">
        <f aca="false">IF(P43="","",IF(NOT(ISNUMBER(D43)),"再生産不可",P43-E43-前提・入力!$B$37))</f>
        <v>46166</v>
      </c>
      <c r="T43" s="71" t="n">
        <f aca="false">IF(OR(S43="",S43="再生産不可"),"",S43-前提・入力!$B$38)</f>
        <v>-94</v>
      </c>
      <c r="U43" s="69" t="s">
        <v>537</v>
      </c>
      <c r="V43" s="69" t="s">
        <v>871</v>
      </c>
    </row>
    <row r="44" customFormat="false" ht="15" hidden="false" customHeight="false" outlineLevel="0" collapsed="false">
      <c r="A44" s="32" t="n">
        <v>29</v>
      </c>
      <c r="B44" s="32" t="s">
        <v>342</v>
      </c>
      <c r="C44" s="33" t="s">
        <v>343</v>
      </c>
      <c r="D44" s="32" t="n">
        <v>3</v>
      </c>
      <c r="E44" s="32" t="n">
        <f aca="false">IF(ISNUMBER(D44),ROUND(D44*30,0),"－")</f>
        <v>90</v>
      </c>
      <c r="F44" s="35" t="n">
        <f aca="false">③仙台以降予測!V59</f>
        <v>177</v>
      </c>
      <c r="G44" s="35" t="n">
        <f aca="false">③仙台以降予測!I59</f>
        <v>163</v>
      </c>
      <c r="H44" s="101" t="n">
        <f aca="false">F44-G44</f>
        <v>14</v>
      </c>
      <c r="I44" s="35" t="n">
        <f aca="false">③仙台以降予測!J59</f>
        <v>150</v>
      </c>
      <c r="J44" s="101" t="n">
        <f aca="false">H44-I44</f>
        <v>-136</v>
      </c>
      <c r="K44" s="35" t="n">
        <f aca="false">③仙台以降予測!K59</f>
        <v>113</v>
      </c>
      <c r="L44" s="101" t="n">
        <f aca="false">J44-K44</f>
        <v>-249</v>
      </c>
      <c r="M44" s="35" t="n">
        <f aca="false">③仙台以降予測!L59</f>
        <v>626</v>
      </c>
      <c r="N44" s="101" t="n">
        <f aca="false">L44-M44</f>
        <v>-875</v>
      </c>
      <c r="O44" s="69" t="str">
        <f aca="false">_xlfn.IFS(H44&lt;0,"仙台 Ebeans",J44&lt;0,"神戸阪急",L44&lt;0,"鳥取島根 夢みなとタワー",N44&lt;0,"東京凱旋 東京建物ぴあホール",TRUE(),"—")</f>
        <v>神戸阪急</v>
      </c>
      <c r="P44" s="70" t="n">
        <f aca="false">IF(O44="—","",_xlfn.IFS(H44&lt;0,DATE(2026,9,5),J44&lt;0,DATE(2026,12,16),L44&lt;0,DATE(2027,3,15),N44&lt;0,DATE(2027,4,1)))</f>
        <v>46372</v>
      </c>
      <c r="Q44" s="35" t="n">
        <f aca="false">MAX(0,-N44)</f>
        <v>875</v>
      </c>
      <c r="R44" s="35" t="n">
        <f aca="false">IF(Q44&gt;0,ROUNDUP(Q44*(1+前提・入力!$B$34),0),0)</f>
        <v>963</v>
      </c>
      <c r="S44" s="70" t="n">
        <f aca="false">IF(P44="","",IF(NOT(ISNUMBER(D44)),"再生産不可",P44-E44-前提・入力!$B$37))</f>
        <v>46268</v>
      </c>
      <c r="T44" s="71" t="n">
        <f aca="false">IF(OR(S44="",S44="再生産不可"),"",S44-前提・入力!$B$38)</f>
        <v>8</v>
      </c>
      <c r="U44" s="72" t="str">
        <f aca="false">IF(O44="","—",IF(S44="再生産不可","×再生産不可",_xlfn.IFS(T44&lt;0,"★期限超過",T44&lt;=30,"★至急(30日以内)",T44&lt;=90,"要着手(90日以内)",TRUE(),"余裕あり")))</f>
        <v>★至急(30日以内)</v>
      </c>
      <c r="V44" s="72"/>
    </row>
    <row r="45" customFormat="false" ht="15" hidden="false" customHeight="false" outlineLevel="0" collapsed="false">
      <c r="A45" s="32" t="n">
        <v>30</v>
      </c>
      <c r="B45" s="32" t="s">
        <v>344</v>
      </c>
      <c r="C45" s="33" t="s">
        <v>345</v>
      </c>
      <c r="D45" s="32" t="n">
        <v>3</v>
      </c>
      <c r="E45" s="32" t="n">
        <f aca="false">IF(ISNUMBER(D45),ROUND(D45*30,0),"－")</f>
        <v>90</v>
      </c>
      <c r="F45" s="35" t="n">
        <f aca="false">③仙台以降予測!V60</f>
        <v>781</v>
      </c>
      <c r="G45" s="35" t="n">
        <f aca="false">③仙台以降予測!I60</f>
        <v>80</v>
      </c>
      <c r="H45" s="101" t="n">
        <f aca="false">F45-G45</f>
        <v>701</v>
      </c>
      <c r="I45" s="35" t="n">
        <f aca="false">③仙台以降予測!J60</f>
        <v>74</v>
      </c>
      <c r="J45" s="101" t="n">
        <f aca="false">H45-I45</f>
        <v>627</v>
      </c>
      <c r="K45" s="35" t="n">
        <f aca="false">③仙台以降予測!K60</f>
        <v>56</v>
      </c>
      <c r="L45" s="101" t="n">
        <f aca="false">J45-K45</f>
        <v>571</v>
      </c>
      <c r="M45" s="35" t="n">
        <f aca="false">③仙台以降予測!L60</f>
        <v>309</v>
      </c>
      <c r="N45" s="101" t="n">
        <f aca="false">L45-M45</f>
        <v>262</v>
      </c>
      <c r="O45" s="69" t="str">
        <f aca="false">_xlfn.IFS(H45&lt;0,"仙台 Ebeans",J45&lt;0,"神戸阪急",L45&lt;0,"鳥取島根 夢みなとタワー",N45&lt;0,"東京凱旋 東京建物ぴあホール",TRUE(),"—")</f>
        <v>—</v>
      </c>
      <c r="P45" s="70" t="str">
        <f aca="false">IF(O45="—","",_xlfn.IFS(H45&lt;0,DATE(2026,9,5),J45&lt;0,DATE(2026,12,16),L45&lt;0,DATE(2027,3,15),N45&lt;0,DATE(2027,4,1)))</f>
        <v/>
      </c>
      <c r="Q45" s="35" t="n">
        <f aca="false">MAX(0,-N45)</f>
        <v>0</v>
      </c>
      <c r="R45" s="35" t="n">
        <f aca="false">IF(Q45&gt;0,ROUNDUP(Q45*(1+前提・入力!$B$34),0),0)</f>
        <v>0</v>
      </c>
      <c r="S45" s="70" t="str">
        <f aca="false">IF(P45="","",IF(NOT(ISNUMBER(D45)),"再生産不可",P45-E45-前提・入力!$B$37))</f>
        <v/>
      </c>
      <c r="T45" s="71" t="str">
        <f aca="false">IF(OR(S45="",S45="再生産不可"),"",S45-前提・入力!$B$38)</f>
        <v/>
      </c>
      <c r="U45" s="72" t="str">
        <f aca="false">IF(O45="","—",IF(S45="再生産不可","×再生産不可",_xlfn.IFS(T45&lt;0,"★期限超過",T45&lt;=30,"★至急(30日以内)",T45&lt;=90,"要着手(90日以内)",TRUE(),"余裕あり")))</f>
        <v>余裕あり</v>
      </c>
      <c r="V45" s="72"/>
    </row>
    <row r="46" customFormat="false" ht="15" hidden="false" customHeight="false" outlineLevel="0" collapsed="false">
      <c r="A46" s="32" t="n">
        <v>31</v>
      </c>
      <c r="B46" s="32" t="s">
        <v>346</v>
      </c>
      <c r="C46" s="33" t="s">
        <v>347</v>
      </c>
      <c r="D46" s="32" t="n">
        <v>1</v>
      </c>
      <c r="E46" s="32" t="n">
        <f aca="false">IF(ISNUMBER(D46),ROUND(D46*30,0),"－")</f>
        <v>30</v>
      </c>
      <c r="F46" s="35" t="n">
        <f aca="false">③仙台以降予測!V61</f>
        <v>765</v>
      </c>
      <c r="G46" s="35" t="n">
        <f aca="false">③仙台以降予測!I61</f>
        <v>111</v>
      </c>
      <c r="H46" s="101" t="n">
        <f aca="false">F46-G46</f>
        <v>654</v>
      </c>
      <c r="I46" s="35" t="n">
        <f aca="false">③仙台以降予測!J61</f>
        <v>102</v>
      </c>
      <c r="J46" s="101" t="n">
        <f aca="false">H46-I46</f>
        <v>552</v>
      </c>
      <c r="K46" s="35" t="n">
        <f aca="false">③仙台以降予測!K61</f>
        <v>77</v>
      </c>
      <c r="L46" s="101" t="n">
        <f aca="false">J46-K46</f>
        <v>475</v>
      </c>
      <c r="M46" s="35" t="n">
        <f aca="false">③仙台以降予測!L61</f>
        <v>425</v>
      </c>
      <c r="N46" s="101" t="n">
        <f aca="false">L46-M46</f>
        <v>50</v>
      </c>
      <c r="O46" s="69" t="str">
        <f aca="false">_xlfn.IFS(H46&lt;0,"仙台 Ebeans",J46&lt;0,"神戸阪急",L46&lt;0,"鳥取島根 夢みなとタワー",N46&lt;0,"東京凱旋 東京建物ぴあホール",TRUE(),"—")</f>
        <v>—</v>
      </c>
      <c r="P46" s="70" t="str">
        <f aca="false">IF(O46="—","",_xlfn.IFS(H46&lt;0,DATE(2026,9,5),J46&lt;0,DATE(2026,12,16),L46&lt;0,DATE(2027,3,15),N46&lt;0,DATE(2027,4,1)))</f>
        <v/>
      </c>
      <c r="Q46" s="35" t="n">
        <f aca="false">MAX(0,-N46)</f>
        <v>0</v>
      </c>
      <c r="R46" s="35" t="n">
        <f aca="false">IF(Q46&gt;0,ROUNDUP(Q46*(1+前提・入力!$B$34),0),0)</f>
        <v>0</v>
      </c>
      <c r="S46" s="70" t="str">
        <f aca="false">IF(P46="","",IF(NOT(ISNUMBER(D46)),"再生産不可",P46-E46-前提・入力!$B$37))</f>
        <v/>
      </c>
      <c r="T46" s="71" t="str">
        <f aca="false">IF(OR(S46="",S46="再生産不可"),"",S46-前提・入力!$B$38)</f>
        <v/>
      </c>
      <c r="U46" s="72" t="str">
        <f aca="false">IF(O46="","—",IF(S46="再生産不可","×再生産不可",_xlfn.IFS(T46&lt;0,"★期限超過",T46&lt;=30,"★至急(30日以内)",T46&lt;=90,"要着手(90日以内)",TRUE(),"余裕あり")))</f>
        <v>余裕あり</v>
      </c>
      <c r="V46" s="72"/>
    </row>
    <row r="47" customFormat="false" ht="15" hidden="false" customHeight="false" outlineLevel="0" collapsed="false">
      <c r="A47" s="32" t="n">
        <v>32</v>
      </c>
      <c r="B47" s="32" t="s">
        <v>348</v>
      </c>
      <c r="C47" s="33" t="s">
        <v>349</v>
      </c>
      <c r="D47" s="32" t="n">
        <v>3</v>
      </c>
      <c r="E47" s="32" t="n">
        <f aca="false">IF(ISNUMBER(D47),ROUND(D47*30,0),"－")</f>
        <v>90</v>
      </c>
      <c r="F47" s="35" t="n">
        <f aca="false">③仙台以降予測!V62</f>
        <v>15</v>
      </c>
      <c r="G47" s="35" t="n">
        <f aca="false">③仙台以降予測!I62</f>
        <v>10</v>
      </c>
      <c r="H47" s="101" t="n">
        <f aca="false">F47-G47</f>
        <v>5</v>
      </c>
      <c r="I47" s="35" t="n">
        <f aca="false">③仙台以降予測!J62</f>
        <v>9</v>
      </c>
      <c r="J47" s="101" t="n">
        <f aca="false">H47-I47</f>
        <v>-4</v>
      </c>
      <c r="K47" s="35" t="n">
        <f aca="false">③仙台以降予測!K62</f>
        <v>7</v>
      </c>
      <c r="L47" s="101" t="n">
        <f aca="false">J47-K47</f>
        <v>-11</v>
      </c>
      <c r="M47" s="35" t="n">
        <f aca="false">③仙台以降予測!L62</f>
        <v>38</v>
      </c>
      <c r="N47" s="101" t="n">
        <f aca="false">L47-M47</f>
        <v>-49</v>
      </c>
      <c r="O47" s="69" t="str">
        <f aca="false">_xlfn.IFS(H47&lt;0,"仙台 Ebeans",J47&lt;0,"神戸阪急",L47&lt;0,"鳥取島根 夢みなとタワー",N47&lt;0,"東京凱旋 東京建物ぴあホール",TRUE(),"—")</f>
        <v>神戸阪急</v>
      </c>
      <c r="P47" s="70" t="n">
        <f aca="false">IF(O47="—","",_xlfn.IFS(H47&lt;0,DATE(2026,9,5),J47&lt;0,DATE(2026,12,16),L47&lt;0,DATE(2027,3,15),N47&lt;0,DATE(2027,4,1)))</f>
        <v>46372</v>
      </c>
      <c r="Q47" s="35" t="n">
        <f aca="false">MAX(0,-N47)</f>
        <v>49</v>
      </c>
      <c r="R47" s="35" t="n">
        <f aca="false">IF(Q47&gt;0,ROUNDUP(Q47*(1+前提・入力!$B$34),0),0)</f>
        <v>54</v>
      </c>
      <c r="S47" s="70" t="n">
        <f aca="false">IF(P47="","",IF(NOT(ISNUMBER(D47)),"再生産不可",P47-E47-前提・入力!$B$37))</f>
        <v>46268</v>
      </c>
      <c r="T47" s="71" t="n">
        <f aca="false">IF(OR(S47="",S47="再生産不可"),"",S47-前提・入力!$B$38)</f>
        <v>8</v>
      </c>
      <c r="U47" s="72" t="str">
        <f aca="false">IF(O47="","—",IF(S47="再生産不可","×再生産不可",_xlfn.IFS(T47&lt;0,"★期限超過",T47&lt;=30,"★至急(30日以内)",T47&lt;=90,"要着手(90日以内)",TRUE(),"余裕あり")))</f>
        <v>★至急(30日以内)</v>
      </c>
      <c r="V47" s="72"/>
    </row>
    <row r="48" customFormat="false" ht="15" hidden="false" customHeight="false" outlineLevel="0" collapsed="false">
      <c r="A48" s="32" t="n">
        <v>33</v>
      </c>
      <c r="B48" s="32" t="s">
        <v>350</v>
      </c>
      <c r="C48" s="33" t="s">
        <v>351</v>
      </c>
      <c r="D48" s="32" t="n">
        <v>3</v>
      </c>
      <c r="E48" s="32" t="n">
        <f aca="false">IF(ISNUMBER(D48),ROUND(D48*30,0),"－")</f>
        <v>90</v>
      </c>
      <c r="F48" s="35" t="n">
        <f aca="false">③仙台以降予測!V63</f>
        <v>98</v>
      </c>
      <c r="G48" s="35" t="n">
        <f aca="false">③仙台以降予測!I63</f>
        <v>6</v>
      </c>
      <c r="H48" s="101" t="n">
        <f aca="false">F48-G48</f>
        <v>92</v>
      </c>
      <c r="I48" s="35" t="n">
        <f aca="false">③仙台以降予測!J63</f>
        <v>6</v>
      </c>
      <c r="J48" s="101" t="n">
        <f aca="false">H48-I48</f>
        <v>86</v>
      </c>
      <c r="K48" s="35" t="n">
        <f aca="false">③仙台以降予測!K63</f>
        <v>4</v>
      </c>
      <c r="L48" s="101" t="n">
        <f aca="false">J48-K48</f>
        <v>82</v>
      </c>
      <c r="M48" s="35" t="n">
        <f aca="false">③仙台以降予測!L63</f>
        <v>24</v>
      </c>
      <c r="N48" s="101" t="n">
        <f aca="false">L48-M48</f>
        <v>58</v>
      </c>
      <c r="O48" s="69" t="str">
        <f aca="false">_xlfn.IFS(H48&lt;0,"仙台 Ebeans",J48&lt;0,"神戸阪急",L48&lt;0,"鳥取島根 夢みなとタワー",N48&lt;0,"東京凱旋 東京建物ぴあホール",TRUE(),"—")</f>
        <v>—</v>
      </c>
      <c r="P48" s="70" t="str">
        <f aca="false">IF(O48="—","",_xlfn.IFS(H48&lt;0,DATE(2026,9,5),J48&lt;0,DATE(2026,12,16),L48&lt;0,DATE(2027,3,15),N48&lt;0,DATE(2027,4,1)))</f>
        <v/>
      </c>
      <c r="Q48" s="35" t="n">
        <f aca="false">MAX(0,-N48)</f>
        <v>0</v>
      </c>
      <c r="R48" s="35" t="n">
        <f aca="false">IF(Q48&gt;0,ROUNDUP(Q48*(1+前提・入力!$B$34),0),0)</f>
        <v>0</v>
      </c>
      <c r="S48" s="70" t="str">
        <f aca="false">IF(P48="","",IF(NOT(ISNUMBER(D48)),"再生産不可",P48-E48-前提・入力!$B$37))</f>
        <v/>
      </c>
      <c r="T48" s="71" t="str">
        <f aca="false">IF(OR(S48="",S48="再生産不可"),"",S48-前提・入力!$B$38)</f>
        <v/>
      </c>
      <c r="U48" s="72" t="str">
        <f aca="false">IF(O48="","—",IF(S48="再生産不可","×再生産不可",_xlfn.IFS(T48&lt;0,"★期限超過",T48&lt;=30,"★至急(30日以内)",T48&lt;=90,"要着手(90日以内)",TRUE(),"余裕あり")))</f>
        <v>余裕あり</v>
      </c>
      <c r="V48" s="72"/>
    </row>
    <row r="49" customFormat="false" ht="15" hidden="false" customHeight="false" outlineLevel="0" collapsed="false">
      <c r="A49" s="32" t="n">
        <v>34</v>
      </c>
      <c r="B49" s="32" t="s">
        <v>352</v>
      </c>
      <c r="C49" s="33" t="s">
        <v>353</v>
      </c>
      <c r="D49" s="32" t="n">
        <v>3</v>
      </c>
      <c r="E49" s="32" t="n">
        <f aca="false">IF(ISNUMBER(D49),ROUND(D49*30,0),"－")</f>
        <v>90</v>
      </c>
      <c r="F49" s="35" t="n">
        <f aca="false">③仙台以降予測!V64</f>
        <v>1</v>
      </c>
      <c r="G49" s="35" t="n">
        <f aca="false">③仙台以降予測!I64</f>
        <v>2</v>
      </c>
      <c r="H49" s="101" t="n">
        <f aca="false">F49-G49</f>
        <v>-1</v>
      </c>
      <c r="I49" s="35" t="n">
        <f aca="false">③仙台以降予測!J64</f>
        <v>2</v>
      </c>
      <c r="J49" s="101" t="n">
        <f aca="false">H49-I49</f>
        <v>-3</v>
      </c>
      <c r="K49" s="35" t="n">
        <f aca="false">③仙台以降予測!K64</f>
        <v>1</v>
      </c>
      <c r="L49" s="101" t="n">
        <f aca="false">J49-K49</f>
        <v>-4</v>
      </c>
      <c r="M49" s="35" t="n">
        <f aca="false">③仙台以降予測!L64</f>
        <v>8</v>
      </c>
      <c r="N49" s="101" t="n">
        <f aca="false">L49-M49</f>
        <v>-12</v>
      </c>
      <c r="O49" s="69" t="str">
        <f aca="false">_xlfn.IFS(H49&lt;0,"仙台 Ebeans",J49&lt;0,"神戸阪急",L49&lt;0,"鳥取島根 夢みなとタワー",N49&lt;0,"東京凱旋 東京建物ぴあホール",TRUE(),"—")</f>
        <v>仙台 Ebeans</v>
      </c>
      <c r="P49" s="70" t="n">
        <f aca="false">IF(O49="—","",_xlfn.IFS(H49&lt;0,DATE(2026,9,5),J49&lt;0,DATE(2026,12,16),L49&lt;0,DATE(2027,3,15),N49&lt;0,DATE(2027,4,1)))</f>
        <v>46270</v>
      </c>
      <c r="Q49" s="35" t="n">
        <f aca="false">MAX(0,-N49)</f>
        <v>12</v>
      </c>
      <c r="R49" s="35" t="n">
        <f aca="false">IF(Q49&gt;0,ROUNDUP(Q49*(1+前提・入力!$B$34),0),0)</f>
        <v>14</v>
      </c>
      <c r="S49" s="70" t="n">
        <f aca="false">IF(P49="","",IF(NOT(ISNUMBER(D49)),"再生産不可",P49-E49-前提・入力!$B$37))</f>
        <v>46166</v>
      </c>
      <c r="T49" s="71" t="n">
        <f aca="false">IF(OR(S49="",S49="再生産不可"),"",S49-前提・入力!$B$38)</f>
        <v>-94</v>
      </c>
      <c r="U49" s="72" t="str">
        <f aca="false">IF(O49="","—",IF(S49="再生産不可","×再生産不可",_xlfn.IFS(T49&lt;0,"★期限超過",T49&lt;=30,"★至急(30日以内)",T49&lt;=90,"要着手(90日以内)",TRUE(),"余裕あり")))</f>
        <v>★期限超過</v>
      </c>
      <c r="V49" s="72"/>
    </row>
    <row r="50" customFormat="false" ht="15" hidden="false" customHeight="false" outlineLevel="0" collapsed="false">
      <c r="A50" s="32" t="n">
        <v>35</v>
      </c>
      <c r="B50" s="32" t="s">
        <v>354</v>
      </c>
      <c r="C50" s="33" t="s">
        <v>355</v>
      </c>
      <c r="D50" s="32" t="n">
        <v>3</v>
      </c>
      <c r="E50" s="32" t="n">
        <f aca="false">IF(ISNUMBER(D50),ROUND(D50*30,0),"－")</f>
        <v>90</v>
      </c>
      <c r="F50" s="35" t="n">
        <f aca="false">③仙台以降予測!V65</f>
        <v>2</v>
      </c>
      <c r="G50" s="35" t="n">
        <f aca="false">③仙台以降予測!I65</f>
        <v>1</v>
      </c>
      <c r="H50" s="101" t="n">
        <f aca="false">F50-G50</f>
        <v>1</v>
      </c>
      <c r="I50" s="35" t="n">
        <f aca="false">③仙台以降予測!J65</f>
        <v>1</v>
      </c>
      <c r="J50" s="101" t="n">
        <f aca="false">H50-I50</f>
        <v>0</v>
      </c>
      <c r="K50" s="35" t="n">
        <f aca="false">③仙台以降予測!K65</f>
        <v>1</v>
      </c>
      <c r="L50" s="101" t="n">
        <f aca="false">J50-K50</f>
        <v>-1</v>
      </c>
      <c r="M50" s="35" t="n">
        <f aca="false">③仙台以降予測!L65</f>
        <v>6</v>
      </c>
      <c r="N50" s="101" t="n">
        <f aca="false">L50-M50</f>
        <v>-7</v>
      </c>
      <c r="O50" s="69" t="str">
        <f aca="false">_xlfn.IFS(H50&lt;0,"仙台 Ebeans",J50&lt;0,"神戸阪急",L50&lt;0,"鳥取島根 夢みなとタワー",N50&lt;0,"東京凱旋 東京建物ぴあホール",TRUE(),"—")</f>
        <v>鳥取島根 夢みなとタワー</v>
      </c>
      <c r="P50" s="70" t="n">
        <f aca="false">IF(O50="—","",_xlfn.IFS(H50&lt;0,DATE(2026,9,5),J50&lt;0,DATE(2026,12,16),L50&lt;0,DATE(2027,3,15),N50&lt;0,DATE(2027,4,1)))</f>
        <v>46461</v>
      </c>
      <c r="Q50" s="35" t="n">
        <f aca="false">MAX(0,-N50)</f>
        <v>7</v>
      </c>
      <c r="R50" s="35" t="n">
        <f aca="false">IF(Q50&gt;0,ROUNDUP(Q50*(1+前提・入力!$B$34),0),0)</f>
        <v>8</v>
      </c>
      <c r="S50" s="70" t="n">
        <f aca="false">IF(P50="","",IF(NOT(ISNUMBER(D50)),"再生産不可",P50-E50-前提・入力!$B$37))</f>
        <v>46357</v>
      </c>
      <c r="T50" s="71" t="n">
        <f aca="false">IF(OR(S50="",S50="再生産不可"),"",S50-前提・入力!$B$38)</f>
        <v>97</v>
      </c>
      <c r="U50" s="72" t="str">
        <f aca="false">IF(O50="","—",IF(S50="再生産不可","×再生産不可",_xlfn.IFS(T50&lt;0,"★期限超過",T50&lt;=30,"★至急(30日以内)",T50&lt;=90,"要着手(90日以内)",TRUE(),"余裕あり")))</f>
        <v>余裕あり</v>
      </c>
      <c r="V50" s="72"/>
    </row>
    <row r="51" customFormat="false" ht="15" hidden="false" customHeight="false" outlineLevel="0" collapsed="false">
      <c r="A51" s="32" t="n">
        <v>36</v>
      </c>
      <c r="B51" s="32" t="s">
        <v>356</v>
      </c>
      <c r="C51" s="33" t="s">
        <v>357</v>
      </c>
      <c r="D51" s="32" t="n">
        <v>3</v>
      </c>
      <c r="E51" s="32" t="n">
        <f aca="false">IF(ISNUMBER(D51),ROUND(D51*30,0),"－")</f>
        <v>90</v>
      </c>
      <c r="F51" s="35" t="n">
        <f aca="false">③仙台以降予測!V66</f>
        <v>2</v>
      </c>
      <c r="G51" s="35" t="n">
        <f aca="false">③仙台以降予測!I66</f>
        <v>1</v>
      </c>
      <c r="H51" s="101" t="n">
        <f aca="false">F51-G51</f>
        <v>1</v>
      </c>
      <c r="I51" s="35" t="n">
        <f aca="false">③仙台以降予測!J66</f>
        <v>1</v>
      </c>
      <c r="J51" s="101" t="n">
        <f aca="false">H51-I51</f>
        <v>0</v>
      </c>
      <c r="K51" s="35" t="n">
        <f aca="false">③仙台以降予測!K66</f>
        <v>1</v>
      </c>
      <c r="L51" s="101" t="n">
        <f aca="false">J51-K51</f>
        <v>-1</v>
      </c>
      <c r="M51" s="35" t="n">
        <f aca="false">③仙台以降予測!L66</f>
        <v>6</v>
      </c>
      <c r="N51" s="101" t="n">
        <f aca="false">L51-M51</f>
        <v>-7</v>
      </c>
      <c r="O51" s="69" t="str">
        <f aca="false">_xlfn.IFS(H51&lt;0,"仙台 Ebeans",J51&lt;0,"神戸阪急",L51&lt;0,"鳥取島根 夢みなとタワー",N51&lt;0,"東京凱旋 東京建物ぴあホール",TRUE(),"—")</f>
        <v>鳥取島根 夢みなとタワー</v>
      </c>
      <c r="P51" s="70" t="n">
        <f aca="false">IF(O51="—","",_xlfn.IFS(H51&lt;0,DATE(2026,9,5),J51&lt;0,DATE(2026,12,16),L51&lt;0,DATE(2027,3,15),N51&lt;0,DATE(2027,4,1)))</f>
        <v>46461</v>
      </c>
      <c r="Q51" s="35" t="n">
        <f aca="false">MAX(0,-N51)</f>
        <v>7</v>
      </c>
      <c r="R51" s="35" t="n">
        <f aca="false">IF(Q51&gt;0,ROUNDUP(Q51*(1+前提・入力!$B$34),0),0)</f>
        <v>8</v>
      </c>
      <c r="S51" s="70" t="n">
        <f aca="false">IF(P51="","",IF(NOT(ISNUMBER(D51)),"再生産不可",P51-E51-前提・入力!$B$37))</f>
        <v>46357</v>
      </c>
      <c r="T51" s="71" t="n">
        <f aca="false">IF(OR(S51="",S51="再生産不可"),"",S51-前提・入力!$B$38)</f>
        <v>97</v>
      </c>
      <c r="U51" s="72" t="str">
        <f aca="false">IF(O51="","—",IF(S51="再生産不可","×再生産不可",_xlfn.IFS(T51&lt;0,"★期限超過",T51&lt;=30,"★至急(30日以内)",T51&lt;=90,"要着手(90日以内)",TRUE(),"余裕あり")))</f>
        <v>余裕あり</v>
      </c>
      <c r="V51" s="72"/>
    </row>
    <row r="52" customFormat="false" ht="15" hidden="false" customHeight="false" outlineLevel="0" collapsed="false">
      <c r="A52" s="32" t="n">
        <v>37</v>
      </c>
      <c r="B52" s="32" t="s">
        <v>358</v>
      </c>
      <c r="C52" s="33" t="s">
        <v>359</v>
      </c>
      <c r="D52" s="32" t="n">
        <v>3</v>
      </c>
      <c r="E52" s="32" t="n">
        <f aca="false">IF(ISNUMBER(D52),ROUND(D52*30,0),"－")</f>
        <v>90</v>
      </c>
      <c r="F52" s="35" t="n">
        <f aca="false">③仙台以降予測!V67</f>
        <v>28</v>
      </c>
      <c r="G52" s="35" t="n">
        <f aca="false">③仙台以降予測!I67</f>
        <v>5</v>
      </c>
      <c r="H52" s="101" t="n">
        <f aca="false">F52-G52</f>
        <v>23</v>
      </c>
      <c r="I52" s="35" t="n">
        <f aca="false">③仙台以降予測!J67</f>
        <v>5</v>
      </c>
      <c r="J52" s="101" t="n">
        <f aca="false">H52-I52</f>
        <v>18</v>
      </c>
      <c r="K52" s="35" t="n">
        <f aca="false">③仙台以降予測!K67</f>
        <v>4</v>
      </c>
      <c r="L52" s="101" t="n">
        <f aca="false">J52-K52</f>
        <v>14</v>
      </c>
      <c r="M52" s="35" t="n">
        <f aca="false">③仙台以降予測!L67</f>
        <v>20</v>
      </c>
      <c r="N52" s="101" t="n">
        <f aca="false">L52-M52</f>
        <v>-6</v>
      </c>
      <c r="O52" s="69" t="str">
        <f aca="false">_xlfn.IFS(H52&lt;0,"仙台 Ebeans",J52&lt;0,"神戸阪急",L52&lt;0,"鳥取島根 夢みなとタワー",N52&lt;0,"東京凱旋 東京建物ぴあホール",TRUE(),"—")</f>
        <v>東京凱旋 東京建物ぴあホール</v>
      </c>
      <c r="P52" s="70" t="n">
        <f aca="false">IF(O52="—","",_xlfn.IFS(H52&lt;0,DATE(2026,9,5),J52&lt;0,DATE(2026,12,16),L52&lt;0,DATE(2027,3,15),N52&lt;0,DATE(2027,4,1)))</f>
        <v>46478</v>
      </c>
      <c r="Q52" s="35" t="n">
        <f aca="false">MAX(0,-N52)</f>
        <v>6</v>
      </c>
      <c r="R52" s="35" t="n">
        <f aca="false">IF(Q52&gt;0,ROUNDUP(Q52*(1+前提・入力!$B$34),0),0)</f>
        <v>7</v>
      </c>
      <c r="S52" s="70" t="n">
        <f aca="false">IF(P52="","",IF(NOT(ISNUMBER(D52)),"再生産不可",P52-E52-前提・入力!$B$37))</f>
        <v>46374</v>
      </c>
      <c r="T52" s="71" t="n">
        <f aca="false">IF(OR(S52="",S52="再生産不可"),"",S52-前提・入力!$B$38)</f>
        <v>114</v>
      </c>
      <c r="U52" s="72" t="str">
        <f aca="false">IF(O52="","—",IF(S52="再生産不可","×再生産不可",_xlfn.IFS(T52&lt;0,"★期限超過",T52&lt;=30,"★至急(30日以内)",T52&lt;=90,"要着手(90日以内)",TRUE(),"余裕あり")))</f>
        <v>余裕あり</v>
      </c>
      <c r="V52" s="72"/>
    </row>
    <row r="53" customFormat="false" ht="15" hidden="false" customHeight="false" outlineLevel="0" collapsed="false">
      <c r="A53" s="32" t="n">
        <v>38</v>
      </c>
      <c r="B53" s="32" t="s">
        <v>360</v>
      </c>
      <c r="C53" s="33" t="s">
        <v>361</v>
      </c>
      <c r="D53" s="32" t="n">
        <v>3</v>
      </c>
      <c r="E53" s="32" t="n">
        <f aca="false">IF(ISNUMBER(D53),ROUND(D53*30,0),"－")</f>
        <v>90</v>
      </c>
      <c r="F53" s="35" t="n">
        <f aca="false">③仙台以降予測!V68</f>
        <v>1</v>
      </c>
      <c r="G53" s="35" t="n">
        <f aca="false">③仙台以降予測!I68</f>
        <v>2</v>
      </c>
      <c r="H53" s="101" t="n">
        <f aca="false">F53-G53</f>
        <v>-1</v>
      </c>
      <c r="I53" s="35" t="n">
        <f aca="false">③仙台以降予測!J68</f>
        <v>2</v>
      </c>
      <c r="J53" s="101" t="n">
        <f aca="false">H53-I53</f>
        <v>-3</v>
      </c>
      <c r="K53" s="35" t="n">
        <f aca="false">③仙台以降予測!K68</f>
        <v>1</v>
      </c>
      <c r="L53" s="101" t="n">
        <f aca="false">J53-K53</f>
        <v>-4</v>
      </c>
      <c r="M53" s="35" t="n">
        <f aca="false">③仙台以降予測!L68</f>
        <v>8</v>
      </c>
      <c r="N53" s="101" t="n">
        <f aca="false">L53-M53</f>
        <v>-12</v>
      </c>
      <c r="O53" s="69" t="str">
        <f aca="false">_xlfn.IFS(H53&lt;0,"仙台 Ebeans",J53&lt;0,"神戸阪急",L53&lt;0,"鳥取島根 夢みなとタワー",N53&lt;0,"東京凱旋 東京建物ぴあホール",TRUE(),"—")</f>
        <v>仙台 Ebeans</v>
      </c>
      <c r="P53" s="70" t="n">
        <f aca="false">IF(O53="—","",_xlfn.IFS(H53&lt;0,DATE(2026,9,5),J53&lt;0,DATE(2026,12,16),L53&lt;0,DATE(2027,3,15),N53&lt;0,DATE(2027,4,1)))</f>
        <v>46270</v>
      </c>
      <c r="Q53" s="35" t="n">
        <f aca="false">MAX(0,-N53)</f>
        <v>12</v>
      </c>
      <c r="R53" s="35" t="n">
        <f aca="false">IF(Q53&gt;0,ROUNDUP(Q53*(1+前提・入力!$B$34),0),0)</f>
        <v>14</v>
      </c>
      <c r="S53" s="70" t="n">
        <f aca="false">IF(P53="","",IF(NOT(ISNUMBER(D53)),"再生産不可",P53-E53-前提・入力!$B$37))</f>
        <v>46166</v>
      </c>
      <c r="T53" s="71" t="n">
        <f aca="false">IF(OR(S53="",S53="再生産不可"),"",S53-前提・入力!$B$38)</f>
        <v>-94</v>
      </c>
      <c r="U53" s="72" t="str">
        <f aca="false">IF(O53="","—",IF(S53="再生産不可","×再生産不可",_xlfn.IFS(T53&lt;0,"★期限超過",T53&lt;=30,"★至急(30日以内)",T53&lt;=90,"要着手(90日以内)",TRUE(),"余裕あり")))</f>
        <v>★期限超過</v>
      </c>
      <c r="V53" s="72"/>
    </row>
    <row r="54" customFormat="false" ht="15" hidden="false" customHeight="false" outlineLevel="0" collapsed="false">
      <c r="A54" s="32" t="n">
        <v>39</v>
      </c>
      <c r="B54" s="32" t="s">
        <v>362</v>
      </c>
      <c r="C54" s="33" t="s">
        <v>363</v>
      </c>
      <c r="D54" s="32" t="n">
        <v>3</v>
      </c>
      <c r="E54" s="32" t="n">
        <f aca="false">IF(ISNUMBER(D54),ROUND(D54*30,0),"－")</f>
        <v>90</v>
      </c>
      <c r="F54" s="35" t="n">
        <f aca="false">③仙台以降予測!V69</f>
        <v>0</v>
      </c>
      <c r="G54" s="35" t="n">
        <f aca="false">③仙台以降予測!I69</f>
        <v>3</v>
      </c>
      <c r="H54" s="101" t="n">
        <f aca="false">F54-G54</f>
        <v>-3</v>
      </c>
      <c r="I54" s="35" t="n">
        <f aca="false">③仙台以降予測!J69</f>
        <v>3</v>
      </c>
      <c r="J54" s="101" t="n">
        <f aca="false">H54-I54</f>
        <v>-6</v>
      </c>
      <c r="K54" s="35" t="n">
        <f aca="false">③仙台以降予測!K69</f>
        <v>2</v>
      </c>
      <c r="L54" s="101" t="n">
        <f aca="false">J54-K54</f>
        <v>-8</v>
      </c>
      <c r="M54" s="35" t="n">
        <f aca="false">③仙台以降予測!L69</f>
        <v>11</v>
      </c>
      <c r="N54" s="101" t="n">
        <f aca="false">L54-M54</f>
        <v>-19</v>
      </c>
      <c r="O54" s="69" t="str">
        <f aca="false">_xlfn.IFS(H54&lt;0,"仙台 Ebeans",J54&lt;0,"神戸阪急",L54&lt;0,"鳥取島根 夢みなとタワー",N54&lt;0,"東京凱旋 東京建物ぴあホール",TRUE(),"—")</f>
        <v>仙台 Ebeans</v>
      </c>
      <c r="P54" s="70" t="n">
        <f aca="false">IF(O54="—","",_xlfn.IFS(H54&lt;0,DATE(2026,9,5),J54&lt;0,DATE(2026,12,16),L54&lt;0,DATE(2027,3,15),N54&lt;0,DATE(2027,4,1)))</f>
        <v>46270</v>
      </c>
      <c r="Q54" s="35" t="n">
        <f aca="false">MAX(0,-N54)</f>
        <v>19</v>
      </c>
      <c r="R54" s="35" t="n">
        <f aca="false">IF(Q54&gt;0,ROUNDUP(Q54*(1+前提・入力!$B$34),0),0)</f>
        <v>21</v>
      </c>
      <c r="S54" s="70" t="n">
        <f aca="false">IF(P54="","",IF(NOT(ISNUMBER(D54)),"再生産不可",P54-E54-前提・入力!$B$37))</f>
        <v>46166</v>
      </c>
      <c r="T54" s="71" t="n">
        <f aca="false">IF(OR(S54="",S54="再生産不可"),"",S54-前提・入力!$B$38)</f>
        <v>-94</v>
      </c>
      <c r="U54" s="72" t="str">
        <f aca="false">IF(O54="","—",IF(S54="再生産不可","×再生産不可",_xlfn.IFS(T54&lt;0,"★期限超過",T54&lt;=30,"★至急(30日以内)",T54&lt;=90,"要着手(90日以内)",TRUE(),"余裕あり")))</f>
        <v>★期限超過</v>
      </c>
      <c r="V54" s="72"/>
    </row>
    <row r="55" customFormat="false" ht="15" hidden="false" customHeight="false" outlineLevel="0" collapsed="false">
      <c r="A55" s="32" t="n">
        <v>40</v>
      </c>
      <c r="B55" s="32" t="s">
        <v>364</v>
      </c>
      <c r="C55" s="33" t="s">
        <v>365</v>
      </c>
      <c r="D55" s="32" t="n">
        <v>3</v>
      </c>
      <c r="E55" s="32" t="n">
        <f aca="false">IF(ISNUMBER(D55),ROUND(D55*30,0),"－")</f>
        <v>90</v>
      </c>
      <c r="F55" s="35" t="n">
        <f aca="false">③仙台以降予測!V70</f>
        <v>3</v>
      </c>
      <c r="G55" s="35" t="n">
        <f aca="false">③仙台以降予測!I70</f>
        <v>1</v>
      </c>
      <c r="H55" s="101" t="n">
        <f aca="false">F55-G55</f>
        <v>2</v>
      </c>
      <c r="I55" s="35" t="n">
        <f aca="false">③仙台以降予測!J70</f>
        <v>1</v>
      </c>
      <c r="J55" s="101" t="n">
        <f aca="false">H55-I55</f>
        <v>1</v>
      </c>
      <c r="K55" s="35" t="n">
        <f aca="false">③仙台以降予測!K70</f>
        <v>1</v>
      </c>
      <c r="L55" s="101" t="n">
        <f aca="false">J55-K55</f>
        <v>0</v>
      </c>
      <c r="M55" s="35" t="n">
        <f aca="false">③仙台以降予測!L70</f>
        <v>4</v>
      </c>
      <c r="N55" s="101" t="n">
        <f aca="false">L55-M55</f>
        <v>-4</v>
      </c>
      <c r="O55" s="69" t="str">
        <f aca="false">_xlfn.IFS(H55&lt;0,"仙台 Ebeans",J55&lt;0,"神戸阪急",L55&lt;0,"鳥取島根 夢みなとタワー",N55&lt;0,"東京凱旋 東京建物ぴあホール",TRUE(),"—")</f>
        <v>東京凱旋 東京建物ぴあホール</v>
      </c>
      <c r="P55" s="70" t="n">
        <f aca="false">IF(O55="—","",_xlfn.IFS(H55&lt;0,DATE(2026,9,5),J55&lt;0,DATE(2026,12,16),L55&lt;0,DATE(2027,3,15),N55&lt;0,DATE(2027,4,1)))</f>
        <v>46478</v>
      </c>
      <c r="Q55" s="35" t="n">
        <f aca="false">MAX(0,-N55)</f>
        <v>4</v>
      </c>
      <c r="R55" s="35" t="n">
        <f aca="false">IF(Q55&gt;0,ROUNDUP(Q55*(1+前提・入力!$B$34),0),0)</f>
        <v>5</v>
      </c>
      <c r="S55" s="70" t="n">
        <f aca="false">IF(P55="","",IF(NOT(ISNUMBER(D55)),"再生産不可",P55-E55-前提・入力!$B$37))</f>
        <v>46374</v>
      </c>
      <c r="T55" s="71" t="n">
        <f aca="false">IF(OR(S55="",S55="再生産不可"),"",S55-前提・入力!$B$38)</f>
        <v>114</v>
      </c>
      <c r="U55" s="72" t="str">
        <f aca="false">IF(O55="","—",IF(S55="再生産不可","×再生産不可",_xlfn.IFS(T55&lt;0,"★期限超過",T55&lt;=30,"★至急(30日以内)",T55&lt;=90,"要着手(90日以内)",TRUE(),"余裕あり")))</f>
        <v>余裕あり</v>
      </c>
      <c r="V55" s="72"/>
    </row>
    <row r="56" customFormat="false" ht="15" hidden="false" customHeight="false" outlineLevel="0" collapsed="false">
      <c r="A56" s="32" t="n">
        <v>41</v>
      </c>
      <c r="B56" s="32" t="s">
        <v>366</v>
      </c>
      <c r="C56" s="33" t="s">
        <v>367</v>
      </c>
      <c r="D56" s="32" t="n">
        <v>3</v>
      </c>
      <c r="E56" s="32" t="n">
        <f aca="false">IF(ISNUMBER(D56),ROUND(D56*30,0),"－")</f>
        <v>90</v>
      </c>
      <c r="F56" s="35" t="n">
        <f aca="false">③仙台以降予測!V71</f>
        <v>74</v>
      </c>
      <c r="G56" s="35" t="n">
        <f aca="false">③仙台以降予測!I71</f>
        <v>0</v>
      </c>
      <c r="H56" s="101" t="n">
        <f aca="false">F56-G56</f>
        <v>74</v>
      </c>
      <c r="I56" s="35" t="n">
        <f aca="false">③仙台以降予測!J71</f>
        <v>0</v>
      </c>
      <c r="J56" s="101" t="n">
        <f aca="false">H56-I56</f>
        <v>74</v>
      </c>
      <c r="K56" s="35" t="n">
        <f aca="false">③仙台以降予測!K71</f>
        <v>0</v>
      </c>
      <c r="L56" s="101" t="n">
        <f aca="false">J56-K56</f>
        <v>74</v>
      </c>
      <c r="M56" s="35" t="n">
        <f aca="false">③仙台以降予測!L71</f>
        <v>0</v>
      </c>
      <c r="N56" s="101" t="n">
        <f aca="false">L56-M56</f>
        <v>74</v>
      </c>
      <c r="O56" s="69" t="str">
        <f aca="false">_xlfn.IFS(H56&lt;0,"仙台 Ebeans",J56&lt;0,"神戸阪急",L56&lt;0,"鳥取島根 夢みなとタワー",N56&lt;0,"東京凱旋 東京建物ぴあホール",TRUE(),"—")</f>
        <v>—</v>
      </c>
      <c r="P56" s="70" t="str">
        <f aca="false">IF(O56="—","",_xlfn.IFS(H56&lt;0,DATE(2026,9,5),J56&lt;0,DATE(2026,12,16),L56&lt;0,DATE(2027,3,15),N56&lt;0,DATE(2027,4,1)))</f>
        <v/>
      </c>
      <c r="Q56" s="35" t="n">
        <f aca="false">MAX(0,-N56)</f>
        <v>0</v>
      </c>
      <c r="R56" s="35" t="n">
        <f aca="false">IF(Q56&gt;0,ROUNDUP(Q56*(1+前提・入力!$B$34),0),0)</f>
        <v>0</v>
      </c>
      <c r="S56" s="70" t="str">
        <f aca="false">IF(P56="","",IF(NOT(ISNUMBER(D56)),"再生産不可",P56-E56-前提・入力!$B$37))</f>
        <v/>
      </c>
      <c r="T56" s="71" t="str">
        <f aca="false">IF(OR(S56="",S56="再生産不可"),"",S56-前提・入力!$B$38)</f>
        <v/>
      </c>
      <c r="U56" s="72" t="str">
        <f aca="false">IF(O56="","—",IF(S56="再生産不可","×再生産不可",_xlfn.IFS(T56&lt;0,"★期限超過",T56&lt;=30,"★至急(30日以内)",T56&lt;=90,"要着手(90日以内)",TRUE(),"余裕あり")))</f>
        <v>余裕あり</v>
      </c>
      <c r="V56" s="72"/>
    </row>
    <row r="57" customFormat="false" ht="15" hidden="false" customHeight="false" outlineLevel="0" collapsed="false">
      <c r="A57" s="32" t="n">
        <v>42</v>
      </c>
      <c r="B57" s="32" t="s">
        <v>368</v>
      </c>
      <c r="C57" s="33" t="s">
        <v>369</v>
      </c>
      <c r="D57" s="32" t="n">
        <v>3</v>
      </c>
      <c r="E57" s="32" t="n">
        <f aca="false">IF(ISNUMBER(D57),ROUND(D57*30,0),"－")</f>
        <v>90</v>
      </c>
      <c r="F57" s="35" t="n">
        <f aca="false">③仙台以降予測!V72</f>
        <v>48</v>
      </c>
      <c r="G57" s="35" t="n">
        <f aca="false">③仙台以降予測!I72</f>
        <v>1</v>
      </c>
      <c r="H57" s="101" t="n">
        <f aca="false">F57-G57</f>
        <v>47</v>
      </c>
      <c r="I57" s="35" t="n">
        <f aca="false">③仙台以降予測!J72</f>
        <v>0</v>
      </c>
      <c r="J57" s="101" t="n">
        <f aca="false">H57-I57</f>
        <v>47</v>
      </c>
      <c r="K57" s="35" t="n">
        <f aca="false">③仙台以降予測!K72</f>
        <v>0</v>
      </c>
      <c r="L57" s="101" t="n">
        <f aca="false">J57-K57</f>
        <v>47</v>
      </c>
      <c r="M57" s="35" t="n">
        <f aca="false">③仙台以降予測!L72</f>
        <v>2</v>
      </c>
      <c r="N57" s="101" t="n">
        <f aca="false">L57-M57</f>
        <v>45</v>
      </c>
      <c r="O57" s="69" t="str">
        <f aca="false">_xlfn.IFS(H57&lt;0,"仙台 Ebeans",J57&lt;0,"神戸阪急",L57&lt;0,"鳥取島根 夢みなとタワー",N57&lt;0,"東京凱旋 東京建物ぴあホール",TRUE(),"—")</f>
        <v>—</v>
      </c>
      <c r="P57" s="70" t="str">
        <f aca="false">IF(O57="—","",_xlfn.IFS(H57&lt;0,DATE(2026,9,5),J57&lt;0,DATE(2026,12,16),L57&lt;0,DATE(2027,3,15),N57&lt;0,DATE(2027,4,1)))</f>
        <v/>
      </c>
      <c r="Q57" s="35" t="n">
        <f aca="false">MAX(0,-N57)</f>
        <v>0</v>
      </c>
      <c r="R57" s="35" t="n">
        <f aca="false">IF(Q57&gt;0,ROUNDUP(Q57*(1+前提・入力!$B$34),0),0)</f>
        <v>0</v>
      </c>
      <c r="S57" s="70" t="str">
        <f aca="false">IF(P57="","",IF(NOT(ISNUMBER(D57)),"再生産不可",P57-E57-前提・入力!$B$37))</f>
        <v/>
      </c>
      <c r="T57" s="71" t="str">
        <f aca="false">IF(OR(S57="",S57="再生産不可"),"",S57-前提・入力!$B$38)</f>
        <v/>
      </c>
      <c r="U57" s="72" t="str">
        <f aca="false">IF(O57="","—",IF(S57="再生産不可","×再生産不可",_xlfn.IFS(T57&lt;0,"★期限超過",T57&lt;=30,"★至急(30日以内)",T57&lt;=90,"要着手(90日以内)",TRUE(),"余裕あり")))</f>
        <v>余裕あり</v>
      </c>
      <c r="V57" s="69" t="s">
        <v>872</v>
      </c>
    </row>
    <row r="58" customFormat="false" ht="15" hidden="false" customHeight="false" outlineLevel="0" collapsed="false">
      <c r="A58" s="40"/>
      <c r="B58" s="40"/>
      <c r="C58" s="41" t="s">
        <v>370</v>
      </c>
      <c r="D58" s="40"/>
      <c r="E58" s="40"/>
      <c r="F58" s="42" t="n">
        <f aca="false">SUM(F16:F57)</f>
        <v>234426</v>
      </c>
      <c r="G58" s="42" t="n">
        <f aca="false">SUM(G16:G57)</f>
        <v>9536</v>
      </c>
      <c r="H58" s="40"/>
      <c r="I58" s="42" t="n">
        <f aca="false">SUM(I16:I57)</f>
        <v>8800</v>
      </c>
      <c r="J58" s="40"/>
      <c r="K58" s="42" t="n">
        <f aca="false">SUM(K16:K57)</f>
        <v>6602</v>
      </c>
      <c r="L58" s="40"/>
      <c r="M58" s="42" t="n">
        <f aca="false">SUM(M16:M57)</f>
        <v>36679</v>
      </c>
      <c r="N58" s="40"/>
      <c r="O58" s="40" t="str">
        <f aca="false">COUNTIF(O16:O57,"&lt;&gt;—")&amp;"品目で欠品"</f>
        <v>13品目で欠品</v>
      </c>
      <c r="P58" s="40"/>
      <c r="Q58" s="42" t="n">
        <f aca="false">SUM(Q16:Q57)</f>
        <v>3384</v>
      </c>
      <c r="R58" s="42" t="n">
        <f aca="false">SUM(R16:R57)</f>
        <v>3729</v>
      </c>
      <c r="S58" s="40"/>
      <c r="T58" s="40"/>
      <c r="U58" s="40"/>
      <c r="V58" s="40"/>
    </row>
    <row r="60" customFormat="false" ht="15" hidden="false" customHeight="false" outlineLevel="0" collapsed="false">
      <c r="A60" s="4" t="s">
        <v>873</v>
      </c>
    </row>
    <row r="61" customFormat="false" ht="33.75" hidden="false" customHeight="true" outlineLevel="0" collapsed="false">
      <c r="A61" s="49" t="s">
        <v>424</v>
      </c>
      <c r="B61" s="49" t="s">
        <v>874</v>
      </c>
      <c r="C61" s="49" t="s">
        <v>875</v>
      </c>
      <c r="D61" s="49" t="s">
        <v>876</v>
      </c>
      <c r="E61" s="49" t="s">
        <v>877</v>
      </c>
      <c r="F61" s="49" t="s">
        <v>878</v>
      </c>
      <c r="G61" s="49" t="s">
        <v>429</v>
      </c>
    </row>
    <row r="62" customFormat="false" ht="15" hidden="false" customHeight="false" outlineLevel="0" collapsed="false">
      <c r="A62" s="50" t="s">
        <v>446</v>
      </c>
      <c r="B62" s="70" t="n">
        <v>46270</v>
      </c>
      <c r="C62" s="70" t="n">
        <f aca="false">B62-30-前提・入力!$B$37</f>
        <v>46226</v>
      </c>
      <c r="D62" s="70" t="n">
        <f aca="false">B62-75-前提・入力!$B$37</f>
        <v>46181</v>
      </c>
      <c r="E62" s="70" t="n">
        <f aca="false">B62-90-前提・入力!$B$37</f>
        <v>46166</v>
      </c>
      <c r="F62" s="71" t="n">
        <f aca="false">E62-前提・入力!$B$38</f>
        <v>-94</v>
      </c>
      <c r="G62" s="33" t="s">
        <v>879</v>
      </c>
    </row>
    <row r="63" customFormat="false" ht="15" hidden="false" customHeight="false" outlineLevel="0" collapsed="false">
      <c r="A63" s="50" t="s">
        <v>384</v>
      </c>
      <c r="B63" s="70" t="n">
        <v>46372</v>
      </c>
      <c r="C63" s="70" t="n">
        <f aca="false">B63-30-前提・入力!$B$37</f>
        <v>46328</v>
      </c>
      <c r="D63" s="70" t="n">
        <f aca="false">B63-75-前提・入力!$B$37</f>
        <v>46283</v>
      </c>
      <c r="E63" s="70" t="n">
        <f aca="false">B63-90-前提・入力!$B$37</f>
        <v>46268</v>
      </c>
      <c r="F63" s="71" t="n">
        <f aca="false">E63-前提・入力!$B$38</f>
        <v>8</v>
      </c>
      <c r="G63" s="33" t="s">
        <v>880</v>
      </c>
    </row>
    <row r="64" customFormat="false" ht="15" hidden="false" customHeight="false" outlineLevel="0" collapsed="false">
      <c r="A64" s="50" t="s">
        <v>385</v>
      </c>
      <c r="B64" s="70" t="n">
        <v>46461</v>
      </c>
      <c r="C64" s="70" t="n">
        <f aca="false">B64-30-前提・入力!$B$37</f>
        <v>46417</v>
      </c>
      <c r="D64" s="70" t="n">
        <f aca="false">B64-75-前提・入力!$B$37</f>
        <v>46372</v>
      </c>
      <c r="E64" s="70" t="n">
        <f aca="false">B64-90-前提・入力!$B$37</f>
        <v>46357</v>
      </c>
      <c r="F64" s="71" t="n">
        <f aca="false">E64-前提・入力!$B$38</f>
        <v>97</v>
      </c>
      <c r="G64" s="33" t="s">
        <v>880</v>
      </c>
    </row>
    <row r="65" customFormat="false" ht="15" hidden="false" customHeight="false" outlineLevel="0" collapsed="false">
      <c r="A65" s="50" t="s">
        <v>386</v>
      </c>
      <c r="B65" s="70" t="n">
        <v>46478</v>
      </c>
      <c r="C65" s="70" t="n">
        <f aca="false">B65-30-前提・入力!$B$37</f>
        <v>46434</v>
      </c>
      <c r="D65" s="70" t="n">
        <f aca="false">B65-75-前提・入力!$B$37</f>
        <v>46389</v>
      </c>
      <c r="E65" s="70" t="n">
        <f aca="false">B65-90-前提・入力!$B$37</f>
        <v>46374</v>
      </c>
      <c r="F65" s="71" t="n">
        <f aca="false">E65-前提・入力!$B$38</f>
        <v>114</v>
      </c>
      <c r="G65" s="33" t="s">
        <v>881</v>
      </c>
    </row>
    <row r="68" customFormat="false" ht="15" hidden="false" customHeight="false" outlineLevel="0" collapsed="false">
      <c r="A68" s="4" t="s">
        <v>882</v>
      </c>
    </row>
    <row r="69" customFormat="false" ht="15" hidden="false" customHeight="false" outlineLevel="0" collapsed="false">
      <c r="A69" s="3" t="s">
        <v>883</v>
      </c>
    </row>
    <row r="70" customFormat="false" ht="42" hidden="false" customHeight="true" outlineLevel="0" collapsed="false">
      <c r="A70" s="63" t="s">
        <v>838</v>
      </c>
      <c r="B70" s="63" t="s">
        <v>884</v>
      </c>
      <c r="C70" s="63" t="s">
        <v>885</v>
      </c>
      <c r="D70" s="63" t="s">
        <v>519</v>
      </c>
      <c r="E70" s="63" t="s">
        <v>886</v>
      </c>
      <c r="F70" s="63" t="s">
        <v>887</v>
      </c>
      <c r="G70" s="63" t="s">
        <v>888</v>
      </c>
      <c r="H70" s="63" t="s">
        <v>889</v>
      </c>
      <c r="I70" s="63" t="s">
        <v>890</v>
      </c>
      <c r="J70" s="63" t="s">
        <v>891</v>
      </c>
      <c r="K70" s="63" t="s">
        <v>892</v>
      </c>
      <c r="L70" s="63" t="s">
        <v>893</v>
      </c>
      <c r="M70" s="63" t="s">
        <v>894</v>
      </c>
      <c r="N70" s="63" t="s">
        <v>895</v>
      </c>
      <c r="O70" s="63" t="s">
        <v>896</v>
      </c>
      <c r="P70" s="63" t="s">
        <v>897</v>
      </c>
    </row>
    <row r="71" customFormat="false" ht="37.3" hidden="false" customHeight="false" outlineLevel="0" collapsed="false">
      <c r="A71" s="103" t="s">
        <v>341</v>
      </c>
      <c r="B71" s="69" t="s">
        <v>898</v>
      </c>
      <c r="C71" s="35" t="n">
        <v>0</v>
      </c>
      <c r="D71" s="35" t="n">
        <v>68</v>
      </c>
      <c r="E71" s="35" t="n">
        <f aca="false">IF(OR(B71="—",C71="—"),"—",MAX(0,D71-C71))</f>
        <v>68</v>
      </c>
      <c r="F71" s="34" t="n">
        <f aca="false">IF(E71="—","—",E71*1800)</f>
        <v>122400</v>
      </c>
      <c r="G71" s="32" t="s">
        <v>899</v>
      </c>
      <c r="H71" s="69" t="s">
        <v>385</v>
      </c>
      <c r="I71" s="35" t="n">
        <v>1116</v>
      </c>
      <c r="J71" s="37" t="n">
        <f aca="false">IFERROR(I71/1200,"")</f>
        <v>0.93</v>
      </c>
      <c r="K71" s="38" t="n">
        <f aca="false">1200-I71</f>
        <v>84</v>
      </c>
      <c r="L71" s="32" t="s">
        <v>533</v>
      </c>
      <c r="M71" s="32" t="s">
        <v>533</v>
      </c>
      <c r="N71" s="37" t="n">
        <v>0.141666666666667</v>
      </c>
      <c r="O71" s="37" t="n">
        <v>0.93</v>
      </c>
      <c r="P71" s="69" t="s">
        <v>900</v>
      </c>
    </row>
    <row r="73" customFormat="false" ht="15" hidden="false" customHeight="false" outlineLevel="0" collapsed="false">
      <c r="A73" s="4" t="s">
        <v>901</v>
      </c>
    </row>
    <row r="74" customFormat="false" ht="15" hidden="false" customHeight="false" outlineLevel="0" collapsed="false">
      <c r="A74" s="5" t="s">
        <v>902</v>
      </c>
      <c r="B74" s="93" t="s">
        <v>903</v>
      </c>
      <c r="C74" s="93"/>
      <c r="D74" s="93"/>
      <c r="E74" s="93"/>
      <c r="F74" s="93"/>
      <c r="G74" s="93"/>
      <c r="H74" s="93"/>
      <c r="I74" s="93"/>
      <c r="J74" s="93"/>
    </row>
    <row r="75" customFormat="false" ht="15" hidden="false" customHeight="false" outlineLevel="0" collapsed="false">
      <c r="A75" s="5" t="s">
        <v>904</v>
      </c>
      <c r="B75" s="93" t="s">
        <v>905</v>
      </c>
      <c r="C75" s="93"/>
      <c r="D75" s="93"/>
      <c r="E75" s="93"/>
      <c r="F75" s="93"/>
      <c r="G75" s="93"/>
      <c r="H75" s="93"/>
      <c r="I75" s="93"/>
      <c r="J75" s="93"/>
    </row>
    <row r="76" customFormat="false" ht="15" hidden="false" customHeight="false" outlineLevel="0" collapsed="false">
      <c r="A76" s="5"/>
      <c r="B76" s="93" t="s">
        <v>906</v>
      </c>
      <c r="C76" s="93"/>
      <c r="D76" s="93"/>
      <c r="E76" s="93"/>
      <c r="F76" s="93"/>
      <c r="G76" s="93"/>
      <c r="H76" s="93"/>
      <c r="I76" s="93"/>
      <c r="J76" s="93"/>
    </row>
    <row r="77" customFormat="false" ht="15" hidden="false" customHeight="false" outlineLevel="0" collapsed="false">
      <c r="A77" s="5" t="s">
        <v>907</v>
      </c>
      <c r="B77" s="93" t="s">
        <v>908</v>
      </c>
      <c r="C77" s="93"/>
      <c r="D77" s="93"/>
      <c r="E77" s="93"/>
      <c r="F77" s="93"/>
      <c r="G77" s="93"/>
      <c r="H77" s="93"/>
      <c r="I77" s="93"/>
      <c r="J77" s="93"/>
    </row>
    <row r="78" customFormat="false" ht="15" hidden="false" customHeight="false" outlineLevel="0" collapsed="false">
      <c r="A78" s="5" t="s">
        <v>909</v>
      </c>
      <c r="B78" s="98" t="s">
        <v>910</v>
      </c>
      <c r="C78" s="98"/>
      <c r="D78" s="98"/>
      <c r="E78" s="98"/>
      <c r="F78" s="98"/>
      <c r="G78" s="98"/>
      <c r="H78" s="98"/>
      <c r="I78" s="98"/>
      <c r="J78" s="98"/>
    </row>
    <row r="79" customFormat="false" ht="15" hidden="false" customHeight="false" outlineLevel="0" collapsed="false">
      <c r="A79" s="5"/>
      <c r="B79" s="93" t="s">
        <v>911</v>
      </c>
      <c r="C79" s="93"/>
      <c r="D79" s="93"/>
      <c r="E79" s="93"/>
      <c r="F79" s="93"/>
      <c r="G79" s="93"/>
      <c r="H79" s="93"/>
      <c r="I79" s="93"/>
      <c r="J79" s="93"/>
    </row>
    <row r="80" customFormat="false" ht="15" hidden="false" customHeight="false" outlineLevel="0" collapsed="false">
      <c r="A80" s="5" t="s">
        <v>98</v>
      </c>
      <c r="B80" s="93" t="s">
        <v>912</v>
      </c>
      <c r="C80" s="93"/>
      <c r="D80" s="93"/>
      <c r="E80" s="93"/>
      <c r="F80" s="93"/>
      <c r="G80" s="93"/>
      <c r="H80" s="93"/>
      <c r="I80" s="93"/>
      <c r="J80" s="93"/>
    </row>
    <row r="81" customFormat="false" ht="15" hidden="false" customHeight="false" outlineLevel="0" collapsed="false">
      <c r="A81" s="5"/>
      <c r="B81" s="93" t="s">
        <v>913</v>
      </c>
      <c r="C81" s="93"/>
      <c r="D81" s="93"/>
      <c r="E81" s="93"/>
      <c r="F81" s="93"/>
      <c r="G81" s="93"/>
      <c r="H81" s="93"/>
      <c r="I81" s="93"/>
      <c r="J81" s="93"/>
    </row>
    <row r="82" customFormat="false" ht="15" hidden="false" customHeight="false" outlineLevel="0" collapsed="false">
      <c r="A82" s="5"/>
      <c r="B82" s="93" t="s">
        <v>914</v>
      </c>
      <c r="C82" s="93"/>
      <c r="D82" s="93"/>
      <c r="E82" s="93"/>
      <c r="F82" s="93"/>
      <c r="G82" s="93"/>
      <c r="H82" s="93"/>
      <c r="I82" s="93"/>
      <c r="J82" s="93"/>
    </row>
    <row r="83" customFormat="false" ht="15" hidden="false" customHeight="false" outlineLevel="0" collapsed="false">
      <c r="A83" s="5" t="s">
        <v>915</v>
      </c>
      <c r="B83" s="93" t="s">
        <v>916</v>
      </c>
      <c r="C83" s="93"/>
      <c r="D83" s="93"/>
      <c r="E83" s="93"/>
      <c r="F83" s="93"/>
      <c r="G83" s="93"/>
      <c r="H83" s="93"/>
      <c r="I83" s="93"/>
      <c r="J83" s="93"/>
    </row>
  </sheetData>
  <mergeCells count="10">
    <mergeCell ref="B74:J74"/>
    <mergeCell ref="B75:J75"/>
    <mergeCell ref="B76:J76"/>
    <mergeCell ref="B77:J77"/>
    <mergeCell ref="B78:J78"/>
    <mergeCell ref="B79:J79"/>
    <mergeCell ref="B80:J80"/>
    <mergeCell ref="B81:J81"/>
    <mergeCell ref="B82:J82"/>
    <mergeCell ref="B83:J83"/>
  </mergeCells>
  <conditionalFormatting sqref="H16:H57">
    <cfRule type="expression" priority="2" aboveAverage="0" equalAverage="0" bottom="0" percent="0" rank="0" text="" dxfId="3">
      <formula>$H16&lt;0</formula>
    </cfRule>
  </conditionalFormatting>
  <conditionalFormatting sqref="J16:J57">
    <cfRule type="expression" priority="3" aboveAverage="0" equalAverage="0" bottom="0" percent="0" rank="0" text="" dxfId="3">
      <formula>$J16&lt;0</formula>
    </cfRule>
  </conditionalFormatting>
  <conditionalFormatting sqref="L16:L57">
    <cfRule type="expression" priority="4" aboveAverage="0" equalAverage="0" bottom="0" percent="0" rank="0" text="" dxfId="3">
      <formula>$L16&lt;0</formula>
    </cfRule>
  </conditionalFormatting>
  <conditionalFormatting sqref="N16:N57">
    <cfRule type="expression" priority="5" aboveAverage="0" equalAverage="0" bottom="0" percent="0" rank="0" text="" dxfId="3">
      <formula>$N16&lt;0</formula>
    </cfRule>
  </conditionalFormatting>
  <conditionalFormatting sqref="O16:O57">
    <cfRule type="expression" priority="6" aboveAverage="0" equalAverage="0" bottom="0" percent="0" rank="0" text="" dxfId="0">
      <formula>$O16&lt;&gt;"—"</formula>
    </cfRule>
  </conditionalFormatting>
  <conditionalFormatting sqref="U16:U57">
    <cfRule type="expression" priority="7" aboveAverage="0" equalAverage="0" bottom="0" percent="0" rank="0" text="" dxfId="3">
      <formula>LEFT($U16,1)="★"</formula>
    </cfRule>
    <cfRule type="expression" priority="8" aboveAverage="0" equalAverage="0" bottom="0" percent="0" rank="0" text="" dxfId="1">
      <formula>$U16="要着手(90日以内)"</formula>
    </cfRule>
    <cfRule type="expression" priority="9" aboveAverage="0" equalAverage="0" bottom="0" percent="0" rank="0" text="" dxfId="2">
      <formula>$U16="余裕あり"</formula>
    </cfRule>
    <cfRule type="expression" priority="10" aboveAverage="0" equalAverage="0" bottom="0" percent="0" rank="0" text="" dxfId="2">
      <formula>LEFT($U16,1)="◎"</formula>
    </cfRule>
  </conditionalFormatting>
  <conditionalFormatting sqref="F62:F65">
    <cfRule type="expression" priority="11" aboveAverage="0" equalAverage="0" bottom="0" percent="0" rank="0" text="" dxfId="3">
      <formula>$F62&lt;0</formula>
    </cfRule>
  </conditionalFormatting>
  <conditionalFormatting sqref="E71">
    <cfRule type="expression" priority="12" aboveAverage="0" equalAverage="0" bottom="0" percent="0" rank="0" text="" dxfId="3">
      <formula>AND(ISNUMBER($E71),$E71&gt;0)</formula>
    </cfRule>
  </conditionalFormatting>
  <conditionalFormatting sqref="K71">
    <cfRule type="expression" priority="13" aboveAverage="0" equalAverage="0" bottom="0" percent="0" rank="0" text="" dxfId="1">
      <formula>AND(ISNUMBER($K71),$K71&gt;0)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7"/>
    <col collapsed="false" customWidth="true" hidden="false" outlineLevel="0" max="2" min="2" style="0" width="24"/>
    <col collapsed="false" customWidth="true" hidden="false" outlineLevel="0" max="3" min="3" style="0" width="26"/>
    <col collapsed="false" customWidth="true" hidden="false" outlineLevel="0" max="4" min="4" style="0" width="54"/>
    <col collapsed="false" customWidth="true" hidden="false" outlineLevel="0" max="5" min="5" style="0" width="34"/>
    <col collapsed="false" customWidth="true" hidden="false" outlineLevel="0" max="6" min="6" style="0" width="42"/>
  </cols>
  <sheetData>
    <row r="1" customFormat="false" ht="20.1" hidden="false" customHeight="false" outlineLevel="0" collapsed="false">
      <c r="A1" s="1" t="s">
        <v>917</v>
      </c>
    </row>
    <row r="2" customFormat="false" ht="15" hidden="false" customHeight="false" outlineLevel="0" collapsed="false">
      <c r="A2" s="3" t="s">
        <v>918</v>
      </c>
    </row>
    <row r="3" customFormat="false" ht="15" hidden="false" customHeight="false" outlineLevel="0" collapsed="false">
      <c r="A3" s="3" t="s">
        <v>919</v>
      </c>
    </row>
    <row r="5" customFormat="false" ht="21.75" hidden="false" customHeight="true" outlineLevel="0" collapsed="false">
      <c r="A5" s="73" t="s">
        <v>920</v>
      </c>
      <c r="B5" s="73" t="s">
        <v>921</v>
      </c>
      <c r="C5" s="73" t="s">
        <v>374</v>
      </c>
      <c r="D5" s="73" t="s">
        <v>922</v>
      </c>
      <c r="E5" s="73" t="s">
        <v>923</v>
      </c>
      <c r="F5" s="73" t="s">
        <v>924</v>
      </c>
    </row>
    <row r="6" customFormat="false" ht="18" hidden="false" customHeight="true" outlineLevel="0" collapsed="false">
      <c r="A6" s="104" t="s">
        <v>925</v>
      </c>
      <c r="B6" s="104"/>
      <c r="C6" s="104"/>
      <c r="D6" s="104"/>
      <c r="E6" s="104"/>
      <c r="F6" s="104"/>
    </row>
    <row r="7" customFormat="false" ht="13.5" hidden="false" customHeight="true" outlineLevel="0" collapsed="false">
      <c r="A7" s="105" t="s">
        <v>139</v>
      </c>
      <c r="B7" s="105" t="s">
        <v>926</v>
      </c>
      <c r="C7" s="106" t="s">
        <v>927</v>
      </c>
      <c r="D7" s="105" t="s">
        <v>928</v>
      </c>
      <c r="E7" s="105" t="s">
        <v>929</v>
      </c>
      <c r="F7" s="105" t="s">
        <v>930</v>
      </c>
    </row>
    <row r="8" customFormat="false" ht="27" hidden="false" customHeight="true" outlineLevel="0" collapsed="false">
      <c r="A8" s="105" t="s">
        <v>139</v>
      </c>
      <c r="B8" s="107" t="s">
        <v>931</v>
      </c>
      <c r="C8" s="106" t="s">
        <v>932</v>
      </c>
      <c r="D8" s="107" t="s">
        <v>933</v>
      </c>
      <c r="E8" s="107" t="s">
        <v>934</v>
      </c>
      <c r="F8" s="107" t="s">
        <v>935</v>
      </c>
    </row>
    <row r="9" customFormat="false" ht="18" hidden="false" customHeight="true" outlineLevel="0" collapsed="false">
      <c r="A9" s="104" t="s">
        <v>936</v>
      </c>
      <c r="B9" s="104"/>
      <c r="C9" s="104"/>
      <c r="D9" s="104"/>
      <c r="E9" s="104"/>
      <c r="F9" s="104"/>
    </row>
    <row r="10" customFormat="false" ht="27" hidden="false" customHeight="true" outlineLevel="0" collapsed="false">
      <c r="A10" s="105" t="s">
        <v>141</v>
      </c>
      <c r="B10" s="107" t="s">
        <v>937</v>
      </c>
      <c r="C10" s="106" t="s">
        <v>938</v>
      </c>
      <c r="D10" s="105" t="s">
        <v>939</v>
      </c>
      <c r="E10" s="105" t="s">
        <v>940</v>
      </c>
      <c r="F10" s="107" t="s">
        <v>941</v>
      </c>
    </row>
    <row r="11" customFormat="false" ht="13.5" hidden="false" customHeight="true" outlineLevel="0" collapsed="false">
      <c r="A11" s="105" t="s">
        <v>141</v>
      </c>
      <c r="B11" s="107" t="s">
        <v>942</v>
      </c>
      <c r="C11" s="106" t="s">
        <v>943</v>
      </c>
      <c r="D11" s="107"/>
      <c r="E11" s="107" t="s">
        <v>944</v>
      </c>
      <c r="F11" s="107" t="s">
        <v>945</v>
      </c>
    </row>
    <row r="12" customFormat="false" ht="13.5" hidden="false" customHeight="true" outlineLevel="0" collapsed="false">
      <c r="A12" s="105" t="s">
        <v>141</v>
      </c>
      <c r="B12" s="107" t="s">
        <v>946</v>
      </c>
      <c r="C12" s="106" t="s">
        <v>947</v>
      </c>
      <c r="D12" s="107" t="s">
        <v>948</v>
      </c>
      <c r="E12" s="107" t="s">
        <v>949</v>
      </c>
      <c r="F12" s="105" t="s">
        <v>950</v>
      </c>
    </row>
    <row r="13" customFormat="false" ht="13.5" hidden="false" customHeight="true" outlineLevel="0" collapsed="false">
      <c r="A13" s="105" t="s">
        <v>141</v>
      </c>
      <c r="B13" s="107" t="s">
        <v>951</v>
      </c>
      <c r="C13" s="106" t="s">
        <v>952</v>
      </c>
      <c r="D13" s="107" t="s">
        <v>953</v>
      </c>
      <c r="E13" s="107" t="s">
        <v>954</v>
      </c>
      <c r="F13" s="105" t="s">
        <v>955</v>
      </c>
    </row>
    <row r="14" customFormat="false" ht="67.5" hidden="false" customHeight="true" outlineLevel="0" collapsed="false">
      <c r="A14" s="105" t="s">
        <v>141</v>
      </c>
      <c r="B14" s="107" t="s">
        <v>956</v>
      </c>
      <c r="C14" s="106" t="s">
        <v>957</v>
      </c>
      <c r="D14" s="107" t="s">
        <v>958</v>
      </c>
      <c r="E14" s="107" t="s">
        <v>959</v>
      </c>
      <c r="F14" s="105" t="s">
        <v>960</v>
      </c>
    </row>
    <row r="15" customFormat="false" ht="27" hidden="false" customHeight="true" outlineLevel="0" collapsed="false">
      <c r="A15" s="105" t="s">
        <v>141</v>
      </c>
      <c r="B15" s="107" t="s">
        <v>961</v>
      </c>
      <c r="C15" s="106" t="s">
        <v>473</v>
      </c>
      <c r="D15" s="107" t="s">
        <v>962</v>
      </c>
      <c r="E15" s="107" t="s">
        <v>963</v>
      </c>
      <c r="F15" s="105" t="s">
        <v>964</v>
      </c>
    </row>
    <row r="16" customFormat="false" ht="13.5" hidden="false" customHeight="true" outlineLevel="0" collapsed="false">
      <c r="A16" s="105" t="s">
        <v>141</v>
      </c>
      <c r="B16" s="107" t="s">
        <v>965</v>
      </c>
      <c r="C16" s="106" t="s">
        <v>966</v>
      </c>
      <c r="D16" s="107" t="s">
        <v>967</v>
      </c>
      <c r="E16" s="107" t="s">
        <v>968</v>
      </c>
      <c r="F16" s="105" t="s">
        <v>969</v>
      </c>
    </row>
    <row r="17" customFormat="false" ht="13.5" hidden="false" customHeight="true" outlineLevel="0" collapsed="false">
      <c r="A17" s="105" t="s">
        <v>141</v>
      </c>
      <c r="B17" s="107" t="s">
        <v>970</v>
      </c>
      <c r="C17" s="106" t="s">
        <v>971</v>
      </c>
      <c r="D17" s="107" t="s">
        <v>972</v>
      </c>
      <c r="E17" s="107" t="s">
        <v>973</v>
      </c>
      <c r="F17" s="105" t="s">
        <v>974</v>
      </c>
    </row>
    <row r="18" customFormat="false" ht="40.5" hidden="false" customHeight="true" outlineLevel="0" collapsed="false">
      <c r="A18" s="105" t="s">
        <v>141</v>
      </c>
      <c r="B18" s="107" t="s">
        <v>975</v>
      </c>
      <c r="C18" s="106" t="s">
        <v>976</v>
      </c>
      <c r="D18" s="105" t="s">
        <v>977</v>
      </c>
      <c r="E18" s="107" t="s">
        <v>978</v>
      </c>
      <c r="F18" s="107" t="s">
        <v>979</v>
      </c>
    </row>
    <row r="19" customFormat="false" ht="13.5" hidden="false" customHeight="true" outlineLevel="0" collapsed="false">
      <c r="A19" s="105" t="s">
        <v>141</v>
      </c>
      <c r="B19" s="107" t="s">
        <v>980</v>
      </c>
      <c r="C19" s="106" t="s">
        <v>981</v>
      </c>
      <c r="D19" s="107" t="s">
        <v>982</v>
      </c>
      <c r="E19" s="107" t="s">
        <v>983</v>
      </c>
      <c r="F19" s="107" t="s">
        <v>984</v>
      </c>
    </row>
    <row r="20" customFormat="false" ht="13.5" hidden="false" customHeight="true" outlineLevel="0" collapsed="false">
      <c r="A20" s="105" t="s">
        <v>141</v>
      </c>
      <c r="B20" s="107" t="s">
        <v>985</v>
      </c>
      <c r="C20" s="106" t="s">
        <v>986</v>
      </c>
      <c r="D20" s="107" t="s">
        <v>987</v>
      </c>
      <c r="E20" s="107" t="s">
        <v>988</v>
      </c>
      <c r="F20" s="105" t="s">
        <v>989</v>
      </c>
    </row>
    <row r="21" customFormat="false" ht="13.5" hidden="false" customHeight="true" outlineLevel="0" collapsed="false">
      <c r="A21" s="105" t="s">
        <v>141</v>
      </c>
      <c r="B21" s="107" t="s">
        <v>990</v>
      </c>
      <c r="C21" s="106" t="s">
        <v>991</v>
      </c>
      <c r="D21" s="107" t="s">
        <v>992</v>
      </c>
      <c r="E21" s="107" t="s">
        <v>993</v>
      </c>
      <c r="F21" s="105" t="s">
        <v>994</v>
      </c>
    </row>
    <row r="22" customFormat="false" ht="27" hidden="false" customHeight="true" outlineLevel="0" collapsed="false">
      <c r="A22" s="105" t="s">
        <v>141</v>
      </c>
      <c r="B22" s="107" t="s">
        <v>995</v>
      </c>
      <c r="C22" s="106" t="s">
        <v>996</v>
      </c>
      <c r="D22" s="107" t="s">
        <v>997</v>
      </c>
      <c r="E22" s="105" t="s">
        <v>998</v>
      </c>
      <c r="F22" s="107" t="s">
        <v>999</v>
      </c>
    </row>
    <row r="23" customFormat="false" ht="18" hidden="false" customHeight="true" outlineLevel="0" collapsed="false">
      <c r="A23" s="104" t="s">
        <v>1000</v>
      </c>
      <c r="B23" s="104"/>
      <c r="C23" s="104"/>
      <c r="D23" s="104"/>
      <c r="E23" s="104"/>
      <c r="F23" s="104"/>
    </row>
    <row r="24" customFormat="false" ht="27" hidden="false" customHeight="true" outlineLevel="0" collapsed="false">
      <c r="A24" s="105" t="s">
        <v>143</v>
      </c>
      <c r="B24" s="107" t="s">
        <v>1001</v>
      </c>
      <c r="C24" s="106" t="s">
        <v>1002</v>
      </c>
      <c r="D24" s="107" t="s">
        <v>1003</v>
      </c>
      <c r="E24" s="107" t="s">
        <v>1004</v>
      </c>
      <c r="F24" s="105" t="s">
        <v>1005</v>
      </c>
    </row>
    <row r="25" customFormat="false" ht="27" hidden="false" customHeight="true" outlineLevel="0" collapsed="false">
      <c r="A25" s="105" t="s">
        <v>143</v>
      </c>
      <c r="B25" s="107" t="s">
        <v>1006</v>
      </c>
      <c r="C25" s="106" t="s">
        <v>1007</v>
      </c>
      <c r="D25" s="107" t="s">
        <v>1008</v>
      </c>
      <c r="E25" s="107" t="s">
        <v>1009</v>
      </c>
      <c r="F25" s="105" t="s">
        <v>1010</v>
      </c>
    </row>
    <row r="26" customFormat="false" ht="27" hidden="false" customHeight="true" outlineLevel="0" collapsed="false">
      <c r="A26" s="105" t="s">
        <v>143</v>
      </c>
      <c r="B26" s="107" t="s">
        <v>1011</v>
      </c>
      <c r="C26" s="108" t="s">
        <v>1012</v>
      </c>
      <c r="D26" s="107" t="s">
        <v>1013</v>
      </c>
      <c r="E26" s="105" t="s">
        <v>1014</v>
      </c>
      <c r="F26" s="107" t="s">
        <v>1015</v>
      </c>
    </row>
    <row r="27" customFormat="false" ht="27" hidden="false" customHeight="true" outlineLevel="0" collapsed="false">
      <c r="A27" s="105" t="s">
        <v>143</v>
      </c>
      <c r="B27" s="107" t="s">
        <v>1016</v>
      </c>
      <c r="C27" s="108" t="s">
        <v>1017</v>
      </c>
      <c r="D27" s="107" t="s">
        <v>1018</v>
      </c>
      <c r="E27" s="105" t="s">
        <v>1019</v>
      </c>
      <c r="F27" s="105" t="s">
        <v>1020</v>
      </c>
    </row>
    <row r="28" customFormat="false" ht="27" hidden="false" customHeight="true" outlineLevel="0" collapsed="false">
      <c r="A28" s="105" t="s">
        <v>143</v>
      </c>
      <c r="B28" s="107" t="s">
        <v>1021</v>
      </c>
      <c r="C28" s="106" t="s">
        <v>1022</v>
      </c>
      <c r="D28" s="107" t="s">
        <v>1023</v>
      </c>
      <c r="E28" s="105" t="s">
        <v>1024</v>
      </c>
      <c r="F28" s="105" t="s">
        <v>1025</v>
      </c>
    </row>
    <row r="29" customFormat="false" ht="27" hidden="false" customHeight="true" outlineLevel="0" collapsed="false">
      <c r="A29" s="105" t="s">
        <v>143</v>
      </c>
      <c r="B29" s="107" t="s">
        <v>1026</v>
      </c>
      <c r="C29" s="108" t="s">
        <v>1027</v>
      </c>
      <c r="D29" s="107" t="s">
        <v>1028</v>
      </c>
      <c r="E29" s="105" t="s">
        <v>1029</v>
      </c>
      <c r="F29" s="105" t="s">
        <v>1030</v>
      </c>
    </row>
    <row r="30" customFormat="false" ht="18" hidden="false" customHeight="true" outlineLevel="0" collapsed="false">
      <c r="A30" s="104" t="s">
        <v>1031</v>
      </c>
      <c r="B30" s="104"/>
      <c r="C30" s="104"/>
      <c r="D30" s="104"/>
      <c r="E30" s="104"/>
      <c r="F30" s="104"/>
    </row>
    <row r="31" customFormat="false" ht="13.5" hidden="false" customHeight="true" outlineLevel="0" collapsed="false">
      <c r="A31" s="105" t="s">
        <v>145</v>
      </c>
      <c r="B31" s="107" t="s">
        <v>1032</v>
      </c>
      <c r="C31" s="106" t="s">
        <v>441</v>
      </c>
      <c r="D31" s="107" t="s">
        <v>1033</v>
      </c>
      <c r="E31" s="107" t="s">
        <v>1034</v>
      </c>
      <c r="F31" s="105" t="s">
        <v>1035</v>
      </c>
    </row>
    <row r="32" customFormat="false" ht="27" hidden="false" customHeight="true" outlineLevel="0" collapsed="false">
      <c r="A32" s="105" t="s">
        <v>145</v>
      </c>
      <c r="B32" s="107" t="s">
        <v>1036</v>
      </c>
      <c r="C32" s="106" t="s">
        <v>442</v>
      </c>
      <c r="D32" s="107" t="s">
        <v>1037</v>
      </c>
      <c r="E32" s="107" t="s">
        <v>1038</v>
      </c>
      <c r="F32" s="107" t="s">
        <v>1039</v>
      </c>
    </row>
    <row r="33" customFormat="false" ht="13.5" hidden="false" customHeight="true" outlineLevel="0" collapsed="false">
      <c r="A33" s="105" t="s">
        <v>145</v>
      </c>
      <c r="B33" s="107" t="s">
        <v>1040</v>
      </c>
      <c r="C33" s="108" t="s">
        <v>1041</v>
      </c>
      <c r="D33" s="107" t="s">
        <v>1042</v>
      </c>
      <c r="E33" s="107" t="s">
        <v>1043</v>
      </c>
      <c r="F33" s="107" t="s">
        <v>1044</v>
      </c>
    </row>
    <row r="34" customFormat="false" ht="27" hidden="false" customHeight="true" outlineLevel="0" collapsed="false">
      <c r="A34" s="105" t="s">
        <v>145</v>
      </c>
      <c r="B34" s="107" t="s">
        <v>1045</v>
      </c>
      <c r="C34" s="108" t="s">
        <v>1046</v>
      </c>
      <c r="D34" s="107" t="s">
        <v>1047</v>
      </c>
      <c r="E34" s="107" t="s">
        <v>1048</v>
      </c>
      <c r="F34" s="107" t="s">
        <v>1049</v>
      </c>
    </row>
    <row r="35" customFormat="false" ht="27" hidden="false" customHeight="true" outlineLevel="0" collapsed="false">
      <c r="A35" s="105" t="s">
        <v>145</v>
      </c>
      <c r="B35" s="107" t="s">
        <v>1050</v>
      </c>
      <c r="C35" s="106" t="s">
        <v>1051</v>
      </c>
      <c r="D35" s="105" t="s">
        <v>1052</v>
      </c>
      <c r="E35" s="105" t="s">
        <v>1053</v>
      </c>
      <c r="F35" s="105" t="s">
        <v>1054</v>
      </c>
    </row>
    <row r="36" customFormat="false" ht="13.5" hidden="false" customHeight="true" outlineLevel="0" collapsed="false">
      <c r="A36" s="105" t="s">
        <v>145</v>
      </c>
      <c r="B36" s="107" t="s">
        <v>942</v>
      </c>
      <c r="C36" s="106" t="s">
        <v>1055</v>
      </c>
      <c r="D36" s="107"/>
      <c r="E36" s="107" t="s">
        <v>1056</v>
      </c>
      <c r="F36" s="105" t="s">
        <v>1057</v>
      </c>
    </row>
    <row r="37" customFormat="false" ht="13.5" hidden="false" customHeight="true" outlineLevel="0" collapsed="false">
      <c r="A37" s="105" t="s">
        <v>145</v>
      </c>
      <c r="B37" s="107" t="s">
        <v>1058</v>
      </c>
      <c r="C37" s="106" t="s">
        <v>1059</v>
      </c>
      <c r="D37" s="107" t="s">
        <v>1060</v>
      </c>
      <c r="E37" s="107" t="s">
        <v>973</v>
      </c>
      <c r="F37" s="105" t="s">
        <v>1061</v>
      </c>
    </row>
    <row r="38" customFormat="false" ht="27" hidden="false" customHeight="true" outlineLevel="0" collapsed="false">
      <c r="A38" s="105" t="s">
        <v>145</v>
      </c>
      <c r="B38" s="107" t="s">
        <v>946</v>
      </c>
      <c r="C38" s="106" t="s">
        <v>1062</v>
      </c>
      <c r="D38" s="107" t="s">
        <v>1063</v>
      </c>
      <c r="E38" s="107" t="s">
        <v>1064</v>
      </c>
      <c r="F38" s="105" t="s">
        <v>1065</v>
      </c>
    </row>
    <row r="39" customFormat="false" ht="27" hidden="false" customHeight="true" outlineLevel="0" collapsed="false">
      <c r="A39" s="105" t="s">
        <v>145</v>
      </c>
      <c r="B39" s="107" t="s">
        <v>1066</v>
      </c>
      <c r="C39" s="106" t="s">
        <v>1067</v>
      </c>
      <c r="D39" s="107" t="s">
        <v>1068</v>
      </c>
      <c r="E39" s="107" t="s">
        <v>1069</v>
      </c>
      <c r="F39" s="105" t="s">
        <v>1070</v>
      </c>
    </row>
    <row r="40" customFormat="false" ht="13.5" hidden="false" customHeight="true" outlineLevel="0" collapsed="false">
      <c r="A40" s="105" t="s">
        <v>145</v>
      </c>
      <c r="B40" s="107" t="s">
        <v>1071</v>
      </c>
      <c r="C40" s="106" t="s">
        <v>1072</v>
      </c>
      <c r="D40" s="107" t="s">
        <v>1073</v>
      </c>
      <c r="E40" s="107" t="s">
        <v>1074</v>
      </c>
      <c r="F40" s="105" t="s">
        <v>1075</v>
      </c>
    </row>
    <row r="41" customFormat="false" ht="27" hidden="false" customHeight="true" outlineLevel="0" collapsed="false">
      <c r="A41" s="105" t="s">
        <v>145</v>
      </c>
      <c r="B41" s="107" t="s">
        <v>1076</v>
      </c>
      <c r="C41" s="106" t="s">
        <v>1077</v>
      </c>
      <c r="D41" s="105" t="s">
        <v>1078</v>
      </c>
      <c r="E41" s="107" t="s">
        <v>1079</v>
      </c>
      <c r="F41" s="105" t="s">
        <v>1080</v>
      </c>
    </row>
    <row r="42" customFormat="false" ht="40.5" hidden="false" customHeight="true" outlineLevel="0" collapsed="false">
      <c r="A42" s="105" t="s">
        <v>145</v>
      </c>
      <c r="B42" s="107" t="s">
        <v>961</v>
      </c>
      <c r="C42" s="106" t="s">
        <v>1081</v>
      </c>
      <c r="D42" s="105" t="s">
        <v>1082</v>
      </c>
      <c r="E42" s="107" t="s">
        <v>1083</v>
      </c>
      <c r="F42" s="105" t="s">
        <v>1084</v>
      </c>
    </row>
    <row r="43" customFormat="false" ht="27" hidden="false" customHeight="true" outlineLevel="0" collapsed="false">
      <c r="A43" s="105" t="s">
        <v>145</v>
      </c>
      <c r="B43" s="107" t="s">
        <v>1085</v>
      </c>
      <c r="C43" s="106" t="s">
        <v>1086</v>
      </c>
      <c r="D43" s="105" t="s">
        <v>1087</v>
      </c>
      <c r="E43" s="107" t="s">
        <v>1088</v>
      </c>
      <c r="F43" s="105" t="s">
        <v>1089</v>
      </c>
    </row>
    <row r="44" customFormat="false" ht="13.5" hidden="false" customHeight="true" outlineLevel="0" collapsed="false">
      <c r="A44" s="105" t="s">
        <v>145</v>
      </c>
      <c r="B44" s="107" t="s">
        <v>942</v>
      </c>
      <c r="C44" s="106" t="s">
        <v>1090</v>
      </c>
      <c r="D44" s="107"/>
      <c r="E44" s="107" t="s">
        <v>1091</v>
      </c>
      <c r="F44" s="105" t="s">
        <v>1092</v>
      </c>
    </row>
    <row r="45" customFormat="false" ht="13.5" hidden="false" customHeight="true" outlineLevel="0" collapsed="false">
      <c r="A45" s="105" t="s">
        <v>145</v>
      </c>
      <c r="B45" s="107" t="s">
        <v>942</v>
      </c>
      <c r="C45" s="106" t="s">
        <v>1093</v>
      </c>
      <c r="D45" s="107"/>
      <c r="E45" s="107" t="s">
        <v>1094</v>
      </c>
      <c r="F45" s="107" t="s">
        <v>1095</v>
      </c>
    </row>
    <row r="46" customFormat="false" ht="13.5" hidden="false" customHeight="true" outlineLevel="0" collapsed="false">
      <c r="A46" s="105" t="s">
        <v>145</v>
      </c>
      <c r="B46" s="107" t="s">
        <v>990</v>
      </c>
      <c r="C46" s="106" t="s">
        <v>1096</v>
      </c>
      <c r="D46" s="107" t="s">
        <v>1097</v>
      </c>
      <c r="E46" s="107" t="s">
        <v>1098</v>
      </c>
      <c r="F46" s="105" t="s">
        <v>1099</v>
      </c>
    </row>
    <row r="47" customFormat="false" ht="27" hidden="false" customHeight="true" outlineLevel="0" collapsed="false">
      <c r="A47" s="105" t="s">
        <v>145</v>
      </c>
      <c r="B47" s="107" t="s">
        <v>995</v>
      </c>
      <c r="C47" s="106" t="s">
        <v>1100</v>
      </c>
      <c r="D47" s="105" t="s">
        <v>1101</v>
      </c>
      <c r="E47" s="105" t="s">
        <v>1102</v>
      </c>
      <c r="F47" s="105" t="s">
        <v>1103</v>
      </c>
    </row>
    <row r="48" customFormat="false" ht="27" hidden="false" customHeight="true" outlineLevel="0" collapsed="false">
      <c r="A48" s="105" t="s">
        <v>145</v>
      </c>
      <c r="B48" s="107" t="s">
        <v>1104</v>
      </c>
      <c r="C48" s="106" t="s">
        <v>1105</v>
      </c>
      <c r="D48" s="107" t="s">
        <v>1106</v>
      </c>
      <c r="E48" s="107" t="s">
        <v>1107</v>
      </c>
      <c r="F48" s="105" t="s">
        <v>1108</v>
      </c>
    </row>
    <row r="49" customFormat="false" ht="13.5" hidden="false" customHeight="true" outlineLevel="0" collapsed="false">
      <c r="A49" s="105" t="s">
        <v>145</v>
      </c>
      <c r="B49" s="107" t="s">
        <v>1109</v>
      </c>
      <c r="C49" s="106" t="s">
        <v>824</v>
      </c>
      <c r="D49" s="107" t="s">
        <v>1110</v>
      </c>
      <c r="E49" s="107" t="s">
        <v>1111</v>
      </c>
      <c r="F49" s="107" t="s">
        <v>1112</v>
      </c>
    </row>
    <row r="50" customFormat="false" ht="27" hidden="false" customHeight="true" outlineLevel="0" collapsed="false">
      <c r="A50" s="105" t="s">
        <v>145</v>
      </c>
      <c r="B50" s="107" t="s">
        <v>1113</v>
      </c>
      <c r="C50" s="106" t="s">
        <v>1114</v>
      </c>
      <c r="D50" s="107" t="s">
        <v>1115</v>
      </c>
      <c r="E50" s="107" t="s">
        <v>1116</v>
      </c>
      <c r="F50" s="107" t="s">
        <v>1117</v>
      </c>
    </row>
    <row r="51" customFormat="false" ht="18" hidden="false" customHeight="true" outlineLevel="0" collapsed="false">
      <c r="A51" s="104" t="s">
        <v>1118</v>
      </c>
      <c r="B51" s="104"/>
      <c r="C51" s="104"/>
      <c r="D51" s="104"/>
      <c r="E51" s="104"/>
      <c r="F51" s="104"/>
    </row>
    <row r="52" customFormat="false" ht="27" hidden="false" customHeight="true" outlineLevel="0" collapsed="false">
      <c r="A52" s="105" t="s">
        <v>147</v>
      </c>
      <c r="B52" s="107" t="s">
        <v>1119</v>
      </c>
      <c r="C52" s="106" t="s">
        <v>1120</v>
      </c>
      <c r="D52" s="107" t="s">
        <v>1121</v>
      </c>
      <c r="E52" s="107" t="s">
        <v>1122</v>
      </c>
      <c r="F52" s="105" t="s">
        <v>1123</v>
      </c>
    </row>
    <row r="53" customFormat="false" ht="13.5" hidden="false" customHeight="true" outlineLevel="0" collapsed="false">
      <c r="A53" s="105" t="s">
        <v>147</v>
      </c>
      <c r="B53" s="107" t="s">
        <v>1124</v>
      </c>
      <c r="C53" s="106" t="s">
        <v>1125</v>
      </c>
      <c r="D53" s="107" t="s">
        <v>1126</v>
      </c>
      <c r="E53" s="107" t="s">
        <v>1127</v>
      </c>
      <c r="F53" s="105" t="s">
        <v>1128</v>
      </c>
    </row>
    <row r="54" customFormat="false" ht="40.5" hidden="false" customHeight="true" outlineLevel="0" collapsed="false">
      <c r="A54" s="105" t="s">
        <v>147</v>
      </c>
      <c r="B54" s="107" t="s">
        <v>1129</v>
      </c>
      <c r="C54" s="106" t="s">
        <v>1130</v>
      </c>
      <c r="D54" s="107" t="s">
        <v>1131</v>
      </c>
      <c r="E54" s="105" t="s">
        <v>1132</v>
      </c>
      <c r="F54" s="105" t="s">
        <v>1133</v>
      </c>
    </row>
    <row r="55" customFormat="false" ht="27" hidden="false" customHeight="true" outlineLevel="0" collapsed="false">
      <c r="A55" s="105" t="s">
        <v>147</v>
      </c>
      <c r="B55" s="107" t="s">
        <v>1134</v>
      </c>
      <c r="C55" s="106" t="s">
        <v>1135</v>
      </c>
      <c r="D55" s="105" t="s">
        <v>1136</v>
      </c>
      <c r="E55" s="107" t="s">
        <v>1137</v>
      </c>
      <c r="F55" s="107"/>
    </row>
    <row r="56" customFormat="false" ht="27" hidden="false" customHeight="true" outlineLevel="0" collapsed="false">
      <c r="A56" s="105" t="s">
        <v>147</v>
      </c>
      <c r="B56" s="107" t="s">
        <v>1138</v>
      </c>
      <c r="C56" s="106" t="s">
        <v>1139</v>
      </c>
      <c r="D56" s="107" t="s">
        <v>1140</v>
      </c>
      <c r="E56" s="107" t="s">
        <v>1141</v>
      </c>
      <c r="F56" s="107"/>
    </row>
    <row r="57" customFormat="false" ht="13.5" hidden="false" customHeight="true" outlineLevel="0" collapsed="false">
      <c r="A57" s="105" t="s">
        <v>147</v>
      </c>
      <c r="B57" s="107" t="s">
        <v>1142</v>
      </c>
      <c r="C57" s="106" t="s">
        <v>1143</v>
      </c>
      <c r="D57" s="107" t="s">
        <v>1144</v>
      </c>
      <c r="E57" s="107" t="s">
        <v>1145</v>
      </c>
      <c r="F57" s="105" t="s">
        <v>1146</v>
      </c>
    </row>
    <row r="58" customFormat="false" ht="27" hidden="false" customHeight="true" outlineLevel="0" collapsed="false">
      <c r="A58" s="105" t="s">
        <v>147</v>
      </c>
      <c r="B58" s="107" t="s">
        <v>1147</v>
      </c>
      <c r="C58" s="106" t="s">
        <v>1148</v>
      </c>
      <c r="D58" s="105" t="s">
        <v>1149</v>
      </c>
      <c r="E58" s="105" t="s">
        <v>1150</v>
      </c>
      <c r="F58" s="105" t="s">
        <v>1151</v>
      </c>
    </row>
    <row r="59" customFormat="false" ht="54" hidden="false" customHeight="true" outlineLevel="0" collapsed="false">
      <c r="A59" s="105" t="s">
        <v>147</v>
      </c>
      <c r="B59" s="107" t="s">
        <v>1152</v>
      </c>
      <c r="C59" s="106" t="s">
        <v>1153</v>
      </c>
      <c r="D59" s="107" t="s">
        <v>1154</v>
      </c>
      <c r="E59" s="105" t="s">
        <v>1155</v>
      </c>
      <c r="F59" s="107" t="s">
        <v>1156</v>
      </c>
    </row>
    <row r="60" customFormat="false" ht="40.5" hidden="false" customHeight="true" outlineLevel="0" collapsed="false">
      <c r="A60" s="105" t="s">
        <v>147</v>
      </c>
      <c r="B60" s="107" t="s">
        <v>1104</v>
      </c>
      <c r="C60" s="106" t="s">
        <v>529</v>
      </c>
      <c r="D60" s="107" t="s">
        <v>1157</v>
      </c>
      <c r="E60" s="107" t="s">
        <v>1158</v>
      </c>
      <c r="F60" s="107" t="s">
        <v>1159</v>
      </c>
    </row>
    <row r="61" customFormat="false" ht="40.5" hidden="false" customHeight="true" outlineLevel="0" collapsed="false">
      <c r="A61" s="105" t="s">
        <v>147</v>
      </c>
      <c r="B61" s="107" t="s">
        <v>1113</v>
      </c>
      <c r="C61" s="106" t="s">
        <v>1160</v>
      </c>
      <c r="D61" s="107" t="s">
        <v>1161</v>
      </c>
      <c r="E61" s="105" t="s">
        <v>1162</v>
      </c>
      <c r="F61" s="105" t="s">
        <v>1163</v>
      </c>
    </row>
    <row r="62" customFormat="false" ht="18" hidden="false" customHeight="true" outlineLevel="0" collapsed="false">
      <c r="A62" s="104" t="s">
        <v>1164</v>
      </c>
      <c r="B62" s="104"/>
      <c r="C62" s="104"/>
      <c r="D62" s="104"/>
      <c r="E62" s="104"/>
      <c r="F62" s="104"/>
    </row>
    <row r="63" customFormat="false" ht="27" hidden="false" customHeight="true" outlineLevel="0" collapsed="false">
      <c r="A63" s="105" t="s">
        <v>149</v>
      </c>
      <c r="B63" s="105" t="s">
        <v>1165</v>
      </c>
      <c r="C63" s="106" t="s">
        <v>1166</v>
      </c>
      <c r="D63" s="107" t="s">
        <v>1167</v>
      </c>
      <c r="E63" s="105" t="s">
        <v>1168</v>
      </c>
      <c r="F63" s="105" t="s">
        <v>1169</v>
      </c>
    </row>
    <row r="64" customFormat="false" ht="27" hidden="false" customHeight="true" outlineLevel="0" collapsed="false">
      <c r="A64" s="105" t="s">
        <v>149</v>
      </c>
      <c r="B64" s="105" t="s">
        <v>1170</v>
      </c>
      <c r="C64" s="106" t="s">
        <v>1171</v>
      </c>
      <c r="D64" s="107" t="s">
        <v>1172</v>
      </c>
      <c r="E64" s="107" t="s">
        <v>1173</v>
      </c>
      <c r="F64" s="105" t="s">
        <v>1174</v>
      </c>
    </row>
    <row r="65" customFormat="false" ht="18" hidden="false" customHeight="true" outlineLevel="0" collapsed="false">
      <c r="A65" s="104" t="s">
        <v>1175</v>
      </c>
      <c r="B65" s="104"/>
      <c r="C65" s="104"/>
      <c r="D65" s="104"/>
      <c r="E65" s="104"/>
      <c r="F65" s="104"/>
    </row>
    <row r="66" customFormat="false" ht="13.5" hidden="false" customHeight="true" outlineLevel="0" collapsed="false">
      <c r="A66" s="105" t="s">
        <v>151</v>
      </c>
      <c r="B66" s="107" t="s">
        <v>1176</v>
      </c>
      <c r="C66" s="106" t="s">
        <v>1177</v>
      </c>
      <c r="D66" s="107" t="s">
        <v>1178</v>
      </c>
      <c r="E66" s="105" t="s">
        <v>1179</v>
      </c>
      <c r="F66" s="105" t="s">
        <v>1180</v>
      </c>
    </row>
    <row r="67" customFormat="false" ht="13.5" hidden="false" customHeight="true" outlineLevel="0" collapsed="false">
      <c r="A67" s="105" t="s">
        <v>151</v>
      </c>
      <c r="B67" s="107" t="s">
        <v>961</v>
      </c>
      <c r="C67" s="106" t="s">
        <v>1181</v>
      </c>
      <c r="D67" s="107" t="s">
        <v>1182</v>
      </c>
      <c r="E67" s="107" t="s">
        <v>1183</v>
      </c>
      <c r="F67" s="105" t="s">
        <v>1184</v>
      </c>
    </row>
    <row r="68" customFormat="false" ht="13.5" hidden="false" customHeight="true" outlineLevel="0" collapsed="false">
      <c r="A68" s="105" t="s">
        <v>151</v>
      </c>
      <c r="B68" s="107" t="s">
        <v>1185</v>
      </c>
      <c r="C68" s="106" t="s">
        <v>1186</v>
      </c>
      <c r="D68" s="105" t="s">
        <v>1187</v>
      </c>
      <c r="E68" s="107" t="s">
        <v>1188</v>
      </c>
      <c r="F68" s="105" t="s">
        <v>1189</v>
      </c>
    </row>
    <row r="69" customFormat="false" ht="13.5" hidden="false" customHeight="true" outlineLevel="0" collapsed="false">
      <c r="A69" s="105" t="s">
        <v>151</v>
      </c>
      <c r="B69" s="107" t="s">
        <v>975</v>
      </c>
      <c r="C69" s="106" t="s">
        <v>587</v>
      </c>
      <c r="D69" s="105" t="s">
        <v>1190</v>
      </c>
      <c r="E69" s="105" t="s">
        <v>1191</v>
      </c>
      <c r="F69" s="107" t="s">
        <v>1192</v>
      </c>
    </row>
    <row r="70" customFormat="false" ht="18" hidden="false" customHeight="true" outlineLevel="0" collapsed="false">
      <c r="A70" s="104" t="s">
        <v>1193</v>
      </c>
      <c r="B70" s="104"/>
      <c r="C70" s="104"/>
      <c r="D70" s="104"/>
      <c r="E70" s="104"/>
      <c r="F70" s="104"/>
    </row>
    <row r="71" customFormat="false" ht="40.5" hidden="false" customHeight="true" outlineLevel="0" collapsed="false">
      <c r="A71" s="105" t="s">
        <v>153</v>
      </c>
      <c r="B71" s="107" t="s">
        <v>1194</v>
      </c>
      <c r="C71" s="108" t="s">
        <v>1195</v>
      </c>
      <c r="D71" s="105" t="s">
        <v>1196</v>
      </c>
      <c r="E71" s="107" t="s">
        <v>1197</v>
      </c>
      <c r="F71" s="105" t="s">
        <v>1198</v>
      </c>
    </row>
    <row r="72" customFormat="false" ht="27" hidden="false" customHeight="true" outlineLevel="0" collapsed="false">
      <c r="A72" s="105" t="s">
        <v>153</v>
      </c>
      <c r="B72" s="105" t="s">
        <v>1199</v>
      </c>
      <c r="C72" s="106" t="s">
        <v>1200</v>
      </c>
      <c r="D72" s="107" t="s">
        <v>1201</v>
      </c>
      <c r="E72" s="107" t="s">
        <v>1202</v>
      </c>
      <c r="F72" s="105" t="s">
        <v>1203</v>
      </c>
    </row>
    <row r="73" customFormat="false" ht="27" hidden="false" customHeight="true" outlineLevel="0" collapsed="false">
      <c r="A73" s="105" t="s">
        <v>153</v>
      </c>
      <c r="B73" s="105" t="s">
        <v>1204</v>
      </c>
      <c r="C73" s="106" t="s">
        <v>1205</v>
      </c>
      <c r="D73" s="105" t="s">
        <v>1206</v>
      </c>
      <c r="E73" s="105" t="s">
        <v>1207</v>
      </c>
      <c r="F73" s="107" t="s">
        <v>1208</v>
      </c>
    </row>
    <row r="74" customFormat="false" ht="13.5" hidden="false" customHeight="true" outlineLevel="0" collapsed="false">
      <c r="A74" s="105" t="s">
        <v>153</v>
      </c>
      <c r="B74" s="105" t="s">
        <v>1209</v>
      </c>
      <c r="C74" s="108" t="s">
        <v>1210</v>
      </c>
      <c r="D74" s="107" t="s">
        <v>1211</v>
      </c>
      <c r="E74" s="105" t="s">
        <v>1212</v>
      </c>
      <c r="F74" s="105" t="s">
        <v>1213</v>
      </c>
    </row>
    <row r="75" customFormat="false" ht="18" hidden="false" customHeight="true" outlineLevel="0" collapsed="false">
      <c r="A75" s="104" t="s">
        <v>1214</v>
      </c>
      <c r="B75" s="104"/>
      <c r="C75" s="104"/>
      <c r="D75" s="104"/>
      <c r="E75" s="104"/>
      <c r="F75" s="104"/>
    </row>
    <row r="76" customFormat="false" ht="27" hidden="false" customHeight="true" outlineLevel="0" collapsed="false">
      <c r="A76" s="105" t="s">
        <v>1215</v>
      </c>
      <c r="B76" s="107" t="s">
        <v>1216</v>
      </c>
      <c r="C76" s="106" t="s">
        <v>1217</v>
      </c>
      <c r="D76" s="105" t="s">
        <v>1218</v>
      </c>
      <c r="E76" s="107" t="s">
        <v>1219</v>
      </c>
      <c r="F76" s="105" t="s">
        <v>1220</v>
      </c>
    </row>
    <row r="77" customFormat="false" ht="27" hidden="false" customHeight="true" outlineLevel="0" collapsed="false">
      <c r="A77" s="105" t="s">
        <v>1215</v>
      </c>
      <c r="B77" s="107" t="s">
        <v>1221</v>
      </c>
      <c r="C77" s="106" t="s">
        <v>1081</v>
      </c>
      <c r="D77" s="105" t="s">
        <v>1222</v>
      </c>
      <c r="E77" s="107" t="s">
        <v>1223</v>
      </c>
      <c r="F77" s="105" t="s">
        <v>1224</v>
      </c>
    </row>
    <row r="78" customFormat="false" ht="13.5" hidden="false" customHeight="true" outlineLevel="0" collapsed="false">
      <c r="A78" s="105" t="s">
        <v>1215</v>
      </c>
      <c r="B78" s="107" t="s">
        <v>1225</v>
      </c>
      <c r="C78" s="106" t="s">
        <v>1226</v>
      </c>
      <c r="D78" s="107" t="s">
        <v>1227</v>
      </c>
      <c r="E78" s="107" t="s">
        <v>1228</v>
      </c>
      <c r="F78" s="107" t="s">
        <v>1229</v>
      </c>
    </row>
    <row r="79" customFormat="false" ht="27" hidden="false" customHeight="true" outlineLevel="0" collapsed="false">
      <c r="A79" s="105" t="s">
        <v>1215</v>
      </c>
      <c r="B79" s="107" t="s">
        <v>1230</v>
      </c>
      <c r="C79" s="106" t="s">
        <v>1231</v>
      </c>
      <c r="D79" s="105" t="s">
        <v>1232</v>
      </c>
      <c r="E79" s="107" t="s">
        <v>1233</v>
      </c>
      <c r="F79" s="107"/>
    </row>
    <row r="80" customFormat="false" ht="27" hidden="false" customHeight="true" outlineLevel="0" collapsed="false">
      <c r="A80" s="105" t="s">
        <v>1215</v>
      </c>
      <c r="B80" s="107" t="s">
        <v>1234</v>
      </c>
      <c r="C80" s="106" t="s">
        <v>1235</v>
      </c>
      <c r="D80" s="107" t="s">
        <v>1236</v>
      </c>
      <c r="E80" s="107" t="s">
        <v>1237</v>
      </c>
      <c r="F80" s="105" t="s">
        <v>1238</v>
      </c>
    </row>
    <row r="81" customFormat="false" ht="27" hidden="false" customHeight="true" outlineLevel="0" collapsed="false">
      <c r="A81" s="105" t="s">
        <v>1215</v>
      </c>
      <c r="B81" s="107" t="s">
        <v>1239</v>
      </c>
      <c r="C81" s="106" t="s">
        <v>1240</v>
      </c>
      <c r="D81" s="107" t="s">
        <v>1241</v>
      </c>
      <c r="E81" s="107" t="s">
        <v>1242</v>
      </c>
      <c r="F81" s="105" t="s">
        <v>1243</v>
      </c>
    </row>
    <row r="82" customFormat="false" ht="27" hidden="false" customHeight="true" outlineLevel="0" collapsed="false">
      <c r="A82" s="105" t="s">
        <v>1215</v>
      </c>
      <c r="B82" s="107" t="s">
        <v>1244</v>
      </c>
      <c r="C82" s="106" t="s">
        <v>1245</v>
      </c>
      <c r="D82" s="105" t="s">
        <v>1246</v>
      </c>
      <c r="E82" s="105" t="s">
        <v>1247</v>
      </c>
      <c r="F82" s="105" t="s">
        <v>1248</v>
      </c>
    </row>
    <row r="83" customFormat="false" ht="27" hidden="false" customHeight="true" outlineLevel="0" collapsed="false">
      <c r="A83" s="105" t="s">
        <v>1215</v>
      </c>
      <c r="B83" s="107" t="s">
        <v>1109</v>
      </c>
      <c r="C83" s="106" t="s">
        <v>686</v>
      </c>
      <c r="D83" s="107" t="s">
        <v>1249</v>
      </c>
      <c r="E83" s="105" t="s">
        <v>1250</v>
      </c>
      <c r="F83" s="105" t="s">
        <v>1251</v>
      </c>
    </row>
    <row r="84" customFormat="false" ht="18" hidden="false" customHeight="true" outlineLevel="0" collapsed="false">
      <c r="A84" s="104" t="s">
        <v>1252</v>
      </c>
      <c r="B84" s="104"/>
      <c r="C84" s="104"/>
      <c r="D84" s="104"/>
      <c r="E84" s="104"/>
      <c r="F84" s="104"/>
    </row>
    <row r="85" customFormat="false" ht="27" hidden="false" customHeight="true" outlineLevel="0" collapsed="false">
      <c r="A85" s="105" t="s">
        <v>1253</v>
      </c>
      <c r="B85" s="105" t="s">
        <v>1254</v>
      </c>
      <c r="C85" s="106" t="s">
        <v>1255</v>
      </c>
      <c r="D85" s="105" t="s">
        <v>1256</v>
      </c>
      <c r="E85" s="105" t="s">
        <v>1257</v>
      </c>
      <c r="F85" s="105" t="s">
        <v>1258</v>
      </c>
    </row>
    <row r="86" customFormat="false" ht="27" hidden="false" customHeight="true" outlineLevel="0" collapsed="false">
      <c r="A86" s="105" t="s">
        <v>1253</v>
      </c>
      <c r="B86" s="105" t="s">
        <v>1165</v>
      </c>
      <c r="C86" s="106" t="s">
        <v>1259</v>
      </c>
      <c r="D86" s="107" t="s">
        <v>1260</v>
      </c>
      <c r="E86" s="105" t="s">
        <v>1261</v>
      </c>
      <c r="F86" s="105" t="s">
        <v>1262</v>
      </c>
    </row>
    <row r="87" customFormat="false" ht="13.5" hidden="false" customHeight="true" outlineLevel="0" collapsed="false">
      <c r="A87" s="105" t="s">
        <v>1253</v>
      </c>
      <c r="B87" s="105" t="s">
        <v>1263</v>
      </c>
      <c r="C87" s="106" t="s">
        <v>1264</v>
      </c>
      <c r="D87" s="107" t="s">
        <v>1265</v>
      </c>
      <c r="E87" s="105" t="s">
        <v>1266</v>
      </c>
      <c r="F87" s="105" t="s">
        <v>1267</v>
      </c>
    </row>
    <row r="88" customFormat="false" ht="27" hidden="false" customHeight="true" outlineLevel="0" collapsed="false">
      <c r="A88" s="105" t="s">
        <v>1253</v>
      </c>
      <c r="B88" s="107" t="s">
        <v>1268</v>
      </c>
      <c r="C88" s="108" t="s">
        <v>1269</v>
      </c>
      <c r="D88" s="107" t="s">
        <v>1270</v>
      </c>
      <c r="E88" s="107" t="s">
        <v>1271</v>
      </c>
      <c r="F88" s="107"/>
    </row>
    <row r="89" customFormat="false" ht="27" hidden="false" customHeight="true" outlineLevel="0" collapsed="false">
      <c r="A89" s="105" t="s">
        <v>1253</v>
      </c>
      <c r="B89" s="107" t="s">
        <v>1272</v>
      </c>
      <c r="C89" s="106" t="s">
        <v>1273</v>
      </c>
      <c r="D89" s="105" t="s">
        <v>1274</v>
      </c>
      <c r="E89" s="107" t="s">
        <v>1275</v>
      </c>
      <c r="F89" s="107"/>
    </row>
    <row r="90" customFormat="false" ht="27" hidden="false" customHeight="true" outlineLevel="0" collapsed="false">
      <c r="A90" s="105" t="s">
        <v>1253</v>
      </c>
      <c r="B90" s="107" t="s">
        <v>1276</v>
      </c>
      <c r="C90" s="106" t="s">
        <v>769</v>
      </c>
      <c r="D90" s="107" t="s">
        <v>1277</v>
      </c>
      <c r="E90" s="105" t="s">
        <v>1278</v>
      </c>
      <c r="F90" s="105" t="s">
        <v>1279</v>
      </c>
    </row>
    <row r="91" customFormat="false" ht="18" hidden="false" customHeight="true" outlineLevel="0" collapsed="false">
      <c r="A91" s="104" t="s">
        <v>1280</v>
      </c>
      <c r="B91" s="104"/>
      <c r="C91" s="104"/>
      <c r="D91" s="104"/>
      <c r="E91" s="104"/>
      <c r="F91" s="104"/>
    </row>
    <row r="92" customFormat="false" ht="27" hidden="false" customHeight="true" outlineLevel="0" collapsed="false">
      <c r="A92" s="105" t="s">
        <v>159</v>
      </c>
      <c r="B92" s="107" t="s">
        <v>1281</v>
      </c>
      <c r="C92" s="106" t="s">
        <v>1282</v>
      </c>
      <c r="D92" s="107" t="s">
        <v>1283</v>
      </c>
      <c r="E92" s="107" t="s">
        <v>1284</v>
      </c>
      <c r="F92" s="107" t="s">
        <v>1285</v>
      </c>
    </row>
    <row r="93" customFormat="false" ht="13.5" hidden="false" customHeight="true" outlineLevel="0" collapsed="false">
      <c r="A93" s="105" t="s">
        <v>159</v>
      </c>
      <c r="B93" s="107" t="s">
        <v>1286</v>
      </c>
      <c r="C93" s="106" t="s">
        <v>1287</v>
      </c>
      <c r="D93" s="107" t="s">
        <v>1288</v>
      </c>
      <c r="E93" s="107" t="s">
        <v>1289</v>
      </c>
      <c r="F93" s="105" t="s">
        <v>1290</v>
      </c>
    </row>
    <row r="94" customFormat="false" ht="13.5" hidden="false" customHeight="true" outlineLevel="0" collapsed="false">
      <c r="A94" s="105" t="s">
        <v>159</v>
      </c>
      <c r="B94" s="105" t="s">
        <v>1291</v>
      </c>
      <c r="C94" s="106" t="s">
        <v>1292</v>
      </c>
      <c r="D94" s="107" t="s">
        <v>1293</v>
      </c>
      <c r="E94" s="107" t="s">
        <v>1294</v>
      </c>
      <c r="F94" s="107"/>
    </row>
    <row r="95" customFormat="false" ht="13.5" hidden="false" customHeight="true" outlineLevel="0" collapsed="false">
      <c r="A95" s="105" t="s">
        <v>159</v>
      </c>
      <c r="B95" s="105" t="s">
        <v>1295</v>
      </c>
      <c r="C95" s="106" t="s">
        <v>1296</v>
      </c>
      <c r="D95" s="107" t="s">
        <v>1297</v>
      </c>
      <c r="E95" s="107" t="s">
        <v>1298</v>
      </c>
      <c r="F95" s="105" t="s">
        <v>1299</v>
      </c>
    </row>
    <row r="96" customFormat="false" ht="18" hidden="false" customHeight="true" outlineLevel="0" collapsed="false">
      <c r="A96" s="104" t="s">
        <v>1300</v>
      </c>
      <c r="B96" s="104"/>
      <c r="C96" s="104"/>
      <c r="D96" s="104"/>
      <c r="E96" s="104"/>
      <c r="F96" s="104"/>
    </row>
    <row r="97" customFormat="false" ht="27" hidden="false" customHeight="true" outlineLevel="0" collapsed="false">
      <c r="A97" s="105" t="s">
        <v>161</v>
      </c>
      <c r="B97" s="107" t="s">
        <v>1286</v>
      </c>
      <c r="C97" s="106" t="s">
        <v>1301</v>
      </c>
      <c r="D97" s="105" t="s">
        <v>1302</v>
      </c>
      <c r="E97" s="107" t="s">
        <v>1303</v>
      </c>
      <c r="F97" s="107" t="s">
        <v>1304</v>
      </c>
    </row>
    <row r="98" customFormat="false" ht="13.5" hidden="false" customHeight="true" outlineLevel="0" collapsed="false">
      <c r="A98" s="105" t="s">
        <v>161</v>
      </c>
      <c r="B98" s="107" t="s">
        <v>1305</v>
      </c>
      <c r="C98" s="106" t="s">
        <v>822</v>
      </c>
      <c r="D98" s="107" t="s">
        <v>1306</v>
      </c>
      <c r="E98" s="107" t="s">
        <v>1307</v>
      </c>
      <c r="F98" s="105" t="s">
        <v>1308</v>
      </c>
    </row>
    <row r="99" customFormat="false" ht="13.5" hidden="false" customHeight="true" outlineLevel="0" collapsed="false">
      <c r="A99" s="105" t="s">
        <v>161</v>
      </c>
      <c r="B99" s="105" t="s">
        <v>1309</v>
      </c>
      <c r="C99" s="106" t="s">
        <v>1067</v>
      </c>
      <c r="D99" s="107" t="s">
        <v>1310</v>
      </c>
      <c r="E99" s="107" t="s">
        <v>1311</v>
      </c>
      <c r="F99" s="107"/>
    </row>
    <row r="100" customFormat="false" ht="27" hidden="false" customHeight="true" outlineLevel="0" collapsed="false">
      <c r="A100" s="105" t="s">
        <v>161</v>
      </c>
      <c r="B100" s="105" t="s">
        <v>1312</v>
      </c>
      <c r="C100" s="106" t="s">
        <v>1313</v>
      </c>
      <c r="D100" s="107" t="s">
        <v>1314</v>
      </c>
      <c r="E100" s="107" t="s">
        <v>1315</v>
      </c>
      <c r="F100" s="105" t="s">
        <v>1316</v>
      </c>
    </row>
    <row r="101" customFormat="false" ht="40.5" hidden="false" customHeight="true" outlineLevel="0" collapsed="false">
      <c r="A101" s="105" t="s">
        <v>161</v>
      </c>
      <c r="B101" s="107" t="s">
        <v>1317</v>
      </c>
      <c r="C101" s="106" t="s">
        <v>1318</v>
      </c>
      <c r="D101" s="107" t="s">
        <v>1319</v>
      </c>
      <c r="E101" s="107" t="s">
        <v>1320</v>
      </c>
      <c r="F101" s="107" t="s">
        <v>1321</v>
      </c>
    </row>
    <row r="102" customFormat="false" ht="27" hidden="false" customHeight="true" outlineLevel="0" collapsed="false">
      <c r="A102" s="105" t="s">
        <v>161</v>
      </c>
      <c r="B102" s="107" t="s">
        <v>1322</v>
      </c>
      <c r="C102" s="106" t="s">
        <v>1323</v>
      </c>
      <c r="D102" s="107" t="s">
        <v>1324</v>
      </c>
      <c r="E102" s="107" t="s">
        <v>1325</v>
      </c>
      <c r="F102" s="105" t="s">
        <v>1326</v>
      </c>
    </row>
    <row r="103" customFormat="false" ht="27" hidden="false" customHeight="true" outlineLevel="0" collapsed="false">
      <c r="A103" s="105" t="s">
        <v>161</v>
      </c>
      <c r="B103" s="107" t="s">
        <v>975</v>
      </c>
      <c r="C103" s="106" t="s">
        <v>526</v>
      </c>
      <c r="D103" s="107" t="s">
        <v>1327</v>
      </c>
      <c r="E103" s="105" t="s">
        <v>1150</v>
      </c>
      <c r="F103" s="105" t="s">
        <v>1328</v>
      </c>
    </row>
    <row r="104" customFormat="false" ht="27" hidden="false" customHeight="true" outlineLevel="0" collapsed="false">
      <c r="A104" s="105" t="s">
        <v>161</v>
      </c>
      <c r="B104" s="107" t="s">
        <v>980</v>
      </c>
      <c r="C104" s="106" t="s">
        <v>1329</v>
      </c>
      <c r="D104" s="107" t="s">
        <v>1330</v>
      </c>
      <c r="E104" s="105" t="s">
        <v>1331</v>
      </c>
      <c r="F104" s="105" t="s">
        <v>1332</v>
      </c>
    </row>
    <row r="105" customFormat="false" ht="40.5" hidden="false" customHeight="true" outlineLevel="0" collapsed="false">
      <c r="A105" s="105" t="s">
        <v>161</v>
      </c>
      <c r="B105" s="107" t="s">
        <v>985</v>
      </c>
      <c r="C105" s="106" t="s">
        <v>868</v>
      </c>
      <c r="D105" s="107" t="s">
        <v>1333</v>
      </c>
      <c r="E105" s="105" t="s">
        <v>1334</v>
      </c>
      <c r="F105" s="105" t="s">
        <v>1335</v>
      </c>
    </row>
    <row r="106" customFormat="false" ht="27" hidden="false" customHeight="true" outlineLevel="0" collapsed="false">
      <c r="A106" s="105" t="s">
        <v>161</v>
      </c>
      <c r="B106" s="105" t="s">
        <v>1336</v>
      </c>
      <c r="C106" s="106" t="s">
        <v>1337</v>
      </c>
      <c r="D106" s="107" t="s">
        <v>1338</v>
      </c>
      <c r="E106" s="105" t="s">
        <v>1339</v>
      </c>
      <c r="F106" s="105" t="s">
        <v>1340</v>
      </c>
    </row>
    <row r="107" customFormat="false" ht="18" hidden="false" customHeight="true" outlineLevel="0" collapsed="false">
      <c r="A107" s="104" t="s">
        <v>1341</v>
      </c>
      <c r="B107" s="104"/>
      <c r="C107" s="104"/>
      <c r="D107" s="104"/>
      <c r="E107" s="104"/>
      <c r="F107" s="104"/>
    </row>
    <row r="108" customFormat="false" ht="40.5" hidden="false" customHeight="true" outlineLevel="0" collapsed="false">
      <c r="A108" s="105" t="s">
        <v>165</v>
      </c>
      <c r="B108" s="105" t="s">
        <v>1342</v>
      </c>
      <c r="C108" s="106" t="s">
        <v>1343</v>
      </c>
      <c r="D108" s="105" t="s">
        <v>1344</v>
      </c>
      <c r="E108" s="105" t="s">
        <v>1345</v>
      </c>
      <c r="F108" s="105" t="s">
        <v>1346</v>
      </c>
    </row>
    <row r="109" customFormat="false" ht="13.5" hidden="false" customHeight="true" outlineLevel="0" collapsed="false">
      <c r="A109" s="105" t="s">
        <v>165</v>
      </c>
      <c r="B109" s="107" t="s">
        <v>1347</v>
      </c>
      <c r="C109" s="106" t="s">
        <v>1348</v>
      </c>
      <c r="D109" s="107" t="s">
        <v>1306</v>
      </c>
      <c r="E109" s="107" t="s">
        <v>1307</v>
      </c>
      <c r="F109" s="105" t="s">
        <v>1349</v>
      </c>
    </row>
    <row r="110" customFormat="false" ht="27" hidden="false" customHeight="true" outlineLevel="0" collapsed="false">
      <c r="A110" s="105" t="s">
        <v>165</v>
      </c>
      <c r="B110" s="105" t="s">
        <v>1350</v>
      </c>
      <c r="C110" s="106" t="s">
        <v>1351</v>
      </c>
      <c r="D110" s="107" t="s">
        <v>1352</v>
      </c>
      <c r="E110" s="107" t="s">
        <v>1353</v>
      </c>
      <c r="F110" s="105" t="s">
        <v>1354</v>
      </c>
    </row>
    <row r="111" customFormat="false" ht="13.5" hidden="false" customHeight="true" outlineLevel="0" collapsed="false">
      <c r="A111" s="105" t="s">
        <v>165</v>
      </c>
      <c r="B111" s="105" t="s">
        <v>1355</v>
      </c>
      <c r="C111" s="106" t="s">
        <v>1356</v>
      </c>
      <c r="D111" s="107" t="s">
        <v>1357</v>
      </c>
      <c r="E111" s="107" t="s">
        <v>1311</v>
      </c>
      <c r="F111" s="105" t="s">
        <v>1358</v>
      </c>
    </row>
    <row r="112" customFormat="false" ht="27" hidden="false" customHeight="true" outlineLevel="0" collapsed="false">
      <c r="A112" s="105" t="s">
        <v>165</v>
      </c>
      <c r="B112" s="105" t="s">
        <v>1359</v>
      </c>
      <c r="C112" s="106" t="s">
        <v>1360</v>
      </c>
      <c r="D112" s="107" t="s">
        <v>1361</v>
      </c>
      <c r="E112" s="107" t="s">
        <v>1362</v>
      </c>
      <c r="F112" s="105" t="s">
        <v>1363</v>
      </c>
    </row>
    <row r="113" customFormat="false" ht="13.5" hidden="false" customHeight="true" outlineLevel="0" collapsed="false">
      <c r="A113" s="105" t="s">
        <v>165</v>
      </c>
      <c r="B113" s="105" t="s">
        <v>1364</v>
      </c>
      <c r="C113" s="106" t="s">
        <v>1365</v>
      </c>
      <c r="D113" s="107" t="s">
        <v>1366</v>
      </c>
      <c r="E113" s="107" t="s">
        <v>1367</v>
      </c>
      <c r="F113" s="105" t="s">
        <v>1368</v>
      </c>
    </row>
    <row r="114" customFormat="false" ht="13.5" hidden="false" customHeight="true" outlineLevel="0" collapsed="false">
      <c r="A114" s="105" t="s">
        <v>165</v>
      </c>
      <c r="B114" s="105" t="s">
        <v>1369</v>
      </c>
      <c r="C114" s="106" t="s">
        <v>1370</v>
      </c>
      <c r="D114" s="107" t="s">
        <v>1371</v>
      </c>
      <c r="E114" s="105" t="s">
        <v>1372</v>
      </c>
      <c r="F114" s="105" t="s">
        <v>1373</v>
      </c>
    </row>
    <row r="115" customFormat="false" ht="18" hidden="false" customHeight="true" outlineLevel="0" collapsed="false">
      <c r="A115" s="104" t="s">
        <v>1374</v>
      </c>
      <c r="B115" s="104"/>
      <c r="C115" s="104"/>
      <c r="D115" s="104"/>
      <c r="E115" s="104"/>
      <c r="F115" s="104"/>
    </row>
    <row r="116" customFormat="false" ht="13.5" hidden="false" customHeight="true" outlineLevel="0" collapsed="false">
      <c r="A116" s="105" t="s">
        <v>1375</v>
      </c>
      <c r="B116" s="107" t="s">
        <v>1376</v>
      </c>
      <c r="C116" s="106" t="s">
        <v>1377</v>
      </c>
      <c r="D116" s="105" t="s">
        <v>1378</v>
      </c>
      <c r="E116" s="107" t="s">
        <v>533</v>
      </c>
      <c r="F116" s="105" t="s">
        <v>1379</v>
      </c>
    </row>
  </sheetData>
  <mergeCells count="14">
    <mergeCell ref="A6:F6"/>
    <mergeCell ref="A9:F9"/>
    <mergeCell ref="A23:F23"/>
    <mergeCell ref="A30:F30"/>
    <mergeCell ref="A51:F51"/>
    <mergeCell ref="A62:F62"/>
    <mergeCell ref="A65:F65"/>
    <mergeCell ref="A70:F70"/>
    <mergeCell ref="A75:F75"/>
    <mergeCell ref="A84:F84"/>
    <mergeCell ref="A91:F91"/>
    <mergeCell ref="A96:F96"/>
    <mergeCell ref="A107:F107"/>
    <mergeCell ref="A115:F11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15" topLeftCell="F16" activePane="bottomRight" state="frozen"/>
      <selection pane="topLeft" activeCell="A1" activeCellId="0" sqref="A1"/>
      <selection pane="topRight" activeCell="F1" activeCellId="0" sqref="F1"/>
      <selection pane="bottomLeft" activeCell="A16" activeCellId="0" sqref="A1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9"/>
    <col collapsed="false" customWidth="true" hidden="false" outlineLevel="0" max="5" min="5" style="0" width="13"/>
    <col collapsed="false" customWidth="true" hidden="false" outlineLevel="0" max="6" min="6" style="0" width="11"/>
    <col collapsed="false" customWidth="true" hidden="false" outlineLevel="0" max="7" min="7" style="0" width="10"/>
    <col collapsed="false" customWidth="true" hidden="false" outlineLevel="0" max="8" min="8" style="0" width="12"/>
    <col collapsed="false" customWidth="true" hidden="false" outlineLevel="0" max="9" min="9" style="0" width="9"/>
    <col collapsed="false" customWidth="true" hidden="false" outlineLevel="0" max="11" min="10" style="0" width="11"/>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6" min="15" style="0" width="11"/>
    <col collapsed="false" customWidth="true" hidden="false" outlineLevel="0" max="17" min="17" style="0" width="10"/>
    <col collapsed="false" customWidth="true" hidden="false" outlineLevel="0" max="18" min="18" style="0" width="12"/>
    <col collapsed="false" customWidth="true" hidden="false" outlineLevel="0" max="19" min="19" style="0" width="9"/>
    <col collapsed="false" customWidth="true" hidden="false" outlineLevel="0" max="21" min="20" style="0" width="11"/>
    <col collapsed="false" customWidth="true" hidden="false" outlineLevel="0" max="22" min="22" style="0" width="10"/>
    <col collapsed="false" customWidth="true" hidden="false" outlineLevel="0" max="23" min="23" style="0" width="12"/>
    <col collapsed="false" customWidth="true" hidden="false" outlineLevel="0" max="24" min="24" style="0" width="9"/>
    <col collapsed="false" customWidth="true" hidden="false" outlineLevel="0" max="25" min="25" style="0" width="11"/>
    <col collapsed="false" customWidth="true" hidden="false" outlineLevel="0" max="26" min="26" style="0" width="12"/>
    <col collapsed="false" customWidth="true" hidden="false" outlineLevel="0" max="27" min="27" style="0" width="11"/>
    <col collapsed="false" customWidth="true" hidden="false" outlineLevel="0" max="28" min="28" style="0" width="15"/>
    <col collapsed="false" customWidth="true" hidden="false" outlineLevel="0" max="29" min="29" style="0" width="46"/>
  </cols>
  <sheetData>
    <row r="1" customFormat="false" ht="18.55" hidden="false" customHeight="false" outlineLevel="0" collapsed="false">
      <c r="A1" s="1" t="s">
        <v>1380</v>
      </c>
    </row>
    <row r="2" customFormat="false" ht="15" hidden="false" customHeight="false" outlineLevel="0" collapsed="false">
      <c r="A2" s="3" t="s">
        <v>1381</v>
      </c>
    </row>
    <row r="3" customFormat="false" ht="15" hidden="false" customHeight="false" outlineLevel="0" collapsed="false">
      <c r="A3" s="3" t="s">
        <v>1382</v>
      </c>
    </row>
    <row r="4" customFormat="false" ht="15" hidden="false" customHeight="false" outlineLevel="0" collapsed="false">
      <c r="A4" s="3" t="s">
        <v>1383</v>
      </c>
    </row>
    <row r="6" customFormat="false" ht="15" hidden="false" customHeight="false" outlineLevel="0" collapsed="false">
      <c r="A6" s="4" t="s">
        <v>1384</v>
      </c>
    </row>
    <row r="7" customFormat="false" ht="33.75" hidden="false" customHeight="true" outlineLevel="0" collapsed="false">
      <c r="A7" s="26" t="s">
        <v>424</v>
      </c>
      <c r="B7" s="26" t="s">
        <v>387</v>
      </c>
      <c r="C7" s="26" t="s">
        <v>440</v>
      </c>
      <c r="D7" s="26" t="s">
        <v>441</v>
      </c>
      <c r="E7" s="26" t="s">
        <v>1385</v>
      </c>
      <c r="F7" s="26" t="s">
        <v>1386</v>
      </c>
      <c r="G7" s="26" t="s">
        <v>1387</v>
      </c>
      <c r="H7" s="26" t="s">
        <v>1388</v>
      </c>
      <c r="I7" s="26" t="s">
        <v>1389</v>
      </c>
      <c r="J7" s="26" t="s">
        <v>1390</v>
      </c>
      <c r="K7" s="26" t="s">
        <v>429</v>
      </c>
    </row>
    <row r="8" customFormat="false" ht="120.85" hidden="false" customHeight="false" outlineLevel="0" collapsed="false">
      <c r="A8" s="50" t="s">
        <v>446</v>
      </c>
      <c r="B8" s="55" t="s">
        <v>447</v>
      </c>
      <c r="C8" s="35" t="n">
        <v>30</v>
      </c>
      <c r="D8" s="37" t="n">
        <v>0.13</v>
      </c>
      <c r="E8" s="35" t="n">
        <v>9536</v>
      </c>
      <c r="F8" s="35" t="n">
        <v>9353</v>
      </c>
      <c r="G8" s="35" t="n">
        <v>183</v>
      </c>
      <c r="H8" s="37" t="n">
        <f aca="false">IFERROR(F8/E8,0)</f>
        <v>0.980809563758389</v>
      </c>
      <c r="I8" s="34" t="n">
        <v>7364800</v>
      </c>
      <c r="J8" s="72" t="s">
        <v>533</v>
      </c>
      <c r="K8" s="69" t="s">
        <v>1391</v>
      </c>
    </row>
    <row r="9" customFormat="false" ht="120.85" hidden="false" customHeight="false" outlineLevel="0" collapsed="false">
      <c r="A9" s="50" t="s">
        <v>384</v>
      </c>
      <c r="B9" s="55" t="s">
        <v>449</v>
      </c>
      <c r="C9" s="35" t="n">
        <v>21</v>
      </c>
      <c r="D9" s="37" t="n">
        <v>0.12</v>
      </c>
      <c r="E9" s="35" t="n">
        <v>8800</v>
      </c>
      <c r="F9" s="35" t="n">
        <v>8324</v>
      </c>
      <c r="G9" s="35" t="n">
        <v>476</v>
      </c>
      <c r="H9" s="37" t="n">
        <f aca="false">IFERROR(F9/E9,0)</f>
        <v>0.945909090909091</v>
      </c>
      <c r="I9" s="34" t="n">
        <v>6173100</v>
      </c>
      <c r="J9" s="72" t="s">
        <v>533</v>
      </c>
      <c r="K9" s="69" t="s">
        <v>1392</v>
      </c>
    </row>
    <row r="10" customFormat="false" ht="132.8" hidden="false" customHeight="false" outlineLevel="0" collapsed="false">
      <c r="A10" s="50" t="s">
        <v>385</v>
      </c>
      <c r="B10" s="55" t="s">
        <v>451</v>
      </c>
      <c r="C10" s="35" t="n">
        <v>21</v>
      </c>
      <c r="D10" s="37" t="n">
        <v>0.09</v>
      </c>
      <c r="E10" s="35" t="n">
        <v>6602</v>
      </c>
      <c r="F10" s="35" t="n">
        <v>6351</v>
      </c>
      <c r="G10" s="35" t="n">
        <v>251</v>
      </c>
      <c r="H10" s="37" t="n">
        <f aca="false">IFERROR(F10/E10,0)</f>
        <v>0.961981217812784</v>
      </c>
      <c r="I10" s="34" t="n">
        <v>4752200</v>
      </c>
      <c r="J10" s="69" t="s">
        <v>1393</v>
      </c>
      <c r="K10" s="69" t="s">
        <v>1394</v>
      </c>
    </row>
    <row r="11" customFormat="false" ht="156.7" hidden="false" customHeight="false" outlineLevel="0" collapsed="false">
      <c r="A11" s="50" t="s">
        <v>386</v>
      </c>
      <c r="B11" s="55" t="s">
        <v>453</v>
      </c>
      <c r="C11" s="35" t="n">
        <v>25</v>
      </c>
      <c r="D11" s="37" t="n">
        <v>0.5</v>
      </c>
      <c r="E11" s="35" t="n">
        <v>36679</v>
      </c>
      <c r="F11" s="35" t="n">
        <v>34121</v>
      </c>
      <c r="G11" s="35" t="n">
        <v>2558</v>
      </c>
      <c r="H11" s="37" t="n">
        <f aca="false">IFERROR(F11/E11,0)</f>
        <v>0.930259821696339</v>
      </c>
      <c r="I11" s="34" t="n">
        <v>25512400</v>
      </c>
      <c r="J11" s="72" t="s">
        <v>533</v>
      </c>
      <c r="K11" s="69" t="s">
        <v>1395</v>
      </c>
    </row>
    <row r="12" customFormat="false" ht="15" hidden="false" customHeight="false" outlineLevel="0" collapsed="false">
      <c r="A12" s="41" t="s">
        <v>455</v>
      </c>
      <c r="B12" s="41"/>
      <c r="C12" s="40"/>
      <c r="D12" s="40"/>
      <c r="E12" s="42" t="n">
        <f aca="false">SUM(E8:E11)</f>
        <v>61617</v>
      </c>
      <c r="F12" s="42" t="n">
        <f aca="false">SUM(F8:F11)</f>
        <v>58149</v>
      </c>
      <c r="G12" s="42" t="n">
        <f aca="false">SUM(G8:G11)</f>
        <v>3468</v>
      </c>
      <c r="H12" s="45" t="n">
        <f aca="false">IFERROR(F12/E12,0)</f>
        <v>0.943716831393934</v>
      </c>
      <c r="I12" s="44" t="n">
        <f aca="false">SUM(I8:I11)</f>
        <v>43802500</v>
      </c>
      <c r="J12" s="92"/>
      <c r="K12" s="92"/>
    </row>
    <row r="14" customFormat="false" ht="15" hidden="false" customHeight="false" outlineLevel="0" collapsed="false">
      <c r="A14" s="4" t="s">
        <v>1396</v>
      </c>
    </row>
    <row r="15" customFormat="false" ht="39.75" hidden="false" customHeight="true" outlineLevel="0" collapsed="false">
      <c r="A15" s="25" t="s">
        <v>263</v>
      </c>
      <c r="B15" s="25" t="s">
        <v>264</v>
      </c>
      <c r="C15" s="26" t="s">
        <v>265</v>
      </c>
      <c r="D15" s="26" t="s">
        <v>510</v>
      </c>
      <c r="E15" s="62" t="s">
        <v>1397</v>
      </c>
      <c r="F15" s="49" t="s">
        <v>1398</v>
      </c>
      <c r="G15" s="49" t="s">
        <v>489</v>
      </c>
      <c r="H15" s="63" t="s">
        <v>1399</v>
      </c>
      <c r="I15" s="64" t="s">
        <v>1400</v>
      </c>
      <c r="J15" s="49" t="s">
        <v>1401</v>
      </c>
      <c r="K15" s="49" t="s">
        <v>1402</v>
      </c>
      <c r="L15" s="49" t="s">
        <v>490</v>
      </c>
      <c r="M15" s="63" t="s">
        <v>1403</v>
      </c>
      <c r="N15" s="64" t="s">
        <v>1404</v>
      </c>
      <c r="O15" s="49" t="s">
        <v>1405</v>
      </c>
      <c r="P15" s="49" t="s">
        <v>1406</v>
      </c>
      <c r="Q15" s="49" t="s">
        <v>491</v>
      </c>
      <c r="R15" s="63" t="s">
        <v>1407</v>
      </c>
      <c r="S15" s="64" t="s">
        <v>1408</v>
      </c>
      <c r="T15" s="49" t="s">
        <v>1409</v>
      </c>
      <c r="U15" s="49" t="s">
        <v>1410</v>
      </c>
      <c r="V15" s="49" t="s">
        <v>492</v>
      </c>
      <c r="W15" s="63" t="s">
        <v>1411</v>
      </c>
      <c r="X15" s="64" t="s">
        <v>1412</v>
      </c>
      <c r="Y15" s="49" t="s">
        <v>1413</v>
      </c>
      <c r="Z15" s="31" t="s">
        <v>1414</v>
      </c>
      <c r="AA15" s="31" t="s">
        <v>1415</v>
      </c>
      <c r="AB15" s="31" t="s">
        <v>1416</v>
      </c>
      <c r="AC15" s="68" t="s">
        <v>429</v>
      </c>
    </row>
    <row r="16" customFormat="false" ht="25.35" hidden="false" customHeight="false" outlineLevel="0" collapsed="false">
      <c r="A16" s="32" t="n">
        <v>1</v>
      </c>
      <c r="B16" s="32" t="s">
        <v>286</v>
      </c>
      <c r="C16" s="33" t="s">
        <v>287</v>
      </c>
      <c r="D16" s="34" t="n">
        <v>500</v>
      </c>
      <c r="E16" s="35" t="n">
        <f aca="false">③仙台以降予測!V31</f>
        <v>2489</v>
      </c>
      <c r="F16" s="35" t="n">
        <f aca="false">E16</f>
        <v>2489</v>
      </c>
      <c r="G16" s="35" t="n">
        <f aca="false">③仙台以降予測!I31</f>
        <v>524</v>
      </c>
      <c r="H16" s="35" t="n">
        <f aca="false">MAX(0,MIN(G16,F16))</f>
        <v>524</v>
      </c>
      <c r="I16" s="35" t="n">
        <f aca="false">G16-H16</f>
        <v>0</v>
      </c>
      <c r="J16" s="35" t="n">
        <f aca="false">F16-H16</f>
        <v>1965</v>
      </c>
      <c r="K16" s="35" t="n">
        <f aca="false">J16</f>
        <v>1965</v>
      </c>
      <c r="L16" s="35" t="n">
        <f aca="false">③仙台以降予測!J31</f>
        <v>483</v>
      </c>
      <c r="M16" s="35" t="n">
        <f aca="false">MAX(0,MIN(L16,K16))</f>
        <v>483</v>
      </c>
      <c r="N16" s="35" t="n">
        <f aca="false">L16-M16</f>
        <v>0</v>
      </c>
      <c r="O16" s="35" t="n">
        <f aca="false">K16-M16</f>
        <v>1482</v>
      </c>
      <c r="P16" s="35" t="n">
        <f aca="false">O16</f>
        <v>1482</v>
      </c>
      <c r="Q16" s="35" t="n">
        <f aca="false">③仙台以降予測!K31</f>
        <v>363</v>
      </c>
      <c r="R16" s="35" t="n">
        <f aca="false">MAX(0,MIN(Q16,P16))</f>
        <v>363</v>
      </c>
      <c r="S16" s="35" t="n">
        <f aca="false">Q16-R16</f>
        <v>0</v>
      </c>
      <c r="T16" s="35" t="n">
        <f aca="false">P16-R16</f>
        <v>1119</v>
      </c>
      <c r="U16" s="35" t="n">
        <f aca="false">T16</f>
        <v>1119</v>
      </c>
      <c r="V16" s="35" t="n">
        <f aca="false">③仙台以降予測!L31</f>
        <v>2014</v>
      </c>
      <c r="W16" s="35" t="n">
        <f aca="false">MAX(0,MIN(V16,U16))</f>
        <v>1119</v>
      </c>
      <c r="X16" s="35" t="n">
        <f aca="false">V16-W16</f>
        <v>895</v>
      </c>
      <c r="Y16" s="35" t="n">
        <f aca="false">U16-W16</f>
        <v>0</v>
      </c>
      <c r="Z16" s="35" t="n">
        <f aca="false">H16+M16+R16+W16</f>
        <v>2489</v>
      </c>
      <c r="AA16" s="35" t="n">
        <f aca="false">I16+N16+S16+X16</f>
        <v>895</v>
      </c>
      <c r="AB16" s="34" t="n">
        <f aca="false">Z16*D16</f>
        <v>1244500</v>
      </c>
      <c r="AC16" s="69" t="s">
        <v>1417</v>
      </c>
    </row>
    <row r="17" customFormat="false" ht="15" hidden="false" customHeight="false" outlineLevel="0" collapsed="false">
      <c r="A17" s="32" t="n">
        <v>2</v>
      </c>
      <c r="B17" s="32" t="s">
        <v>288</v>
      </c>
      <c r="C17" s="33" t="s">
        <v>289</v>
      </c>
      <c r="D17" s="34" t="n">
        <v>600</v>
      </c>
      <c r="E17" s="35" t="n">
        <f aca="false">③仙台以降予測!V32</f>
        <v>4170</v>
      </c>
      <c r="F17" s="35" t="n">
        <f aca="false">E17</f>
        <v>4170</v>
      </c>
      <c r="G17" s="35" t="n">
        <f aca="false">③仙台以降予測!I32</f>
        <v>591</v>
      </c>
      <c r="H17" s="35" t="n">
        <f aca="false">MAX(0,MIN(G17,F17))</f>
        <v>591</v>
      </c>
      <c r="I17" s="35" t="n">
        <f aca="false">G17-H17</f>
        <v>0</v>
      </c>
      <c r="J17" s="35" t="n">
        <f aca="false">F17-H17</f>
        <v>3579</v>
      </c>
      <c r="K17" s="35" t="n">
        <f aca="false">J17</f>
        <v>3579</v>
      </c>
      <c r="L17" s="35" t="n">
        <f aca="false">③仙台以降予測!J32</f>
        <v>545</v>
      </c>
      <c r="M17" s="35" t="n">
        <f aca="false">MAX(0,MIN(L17,K17))</f>
        <v>545</v>
      </c>
      <c r="N17" s="35" t="n">
        <f aca="false">L17-M17</f>
        <v>0</v>
      </c>
      <c r="O17" s="35" t="n">
        <f aca="false">K17-M17</f>
        <v>3034</v>
      </c>
      <c r="P17" s="35" t="n">
        <f aca="false">O17</f>
        <v>3034</v>
      </c>
      <c r="Q17" s="35" t="n">
        <f aca="false">③仙台以降予測!K32</f>
        <v>409</v>
      </c>
      <c r="R17" s="35" t="n">
        <f aca="false">MAX(0,MIN(Q17,P17))</f>
        <v>409</v>
      </c>
      <c r="S17" s="35" t="n">
        <f aca="false">Q17-R17</f>
        <v>0</v>
      </c>
      <c r="T17" s="35" t="n">
        <f aca="false">P17-R17</f>
        <v>2625</v>
      </c>
      <c r="U17" s="35" t="n">
        <f aca="false">T17</f>
        <v>2625</v>
      </c>
      <c r="V17" s="35" t="n">
        <f aca="false">③仙台以降予測!L32</f>
        <v>2273</v>
      </c>
      <c r="W17" s="35" t="n">
        <f aca="false">MAX(0,MIN(V17,U17))</f>
        <v>2273</v>
      </c>
      <c r="X17" s="35" t="n">
        <f aca="false">V17-W17</f>
        <v>0</v>
      </c>
      <c r="Y17" s="35" t="n">
        <f aca="false">U17-W17</f>
        <v>352</v>
      </c>
      <c r="Z17" s="35" t="n">
        <f aca="false">H17+M17+R17+W17</f>
        <v>3818</v>
      </c>
      <c r="AA17" s="35" t="n">
        <f aca="false">I17+N17+S17+X17</f>
        <v>0</v>
      </c>
      <c r="AB17" s="34" t="n">
        <f aca="false">Z17*D17</f>
        <v>2290800</v>
      </c>
      <c r="AC17" s="69" t="s">
        <v>1418</v>
      </c>
    </row>
    <row r="18" customFormat="false" ht="15" hidden="false" customHeight="false" outlineLevel="0" collapsed="false">
      <c r="A18" s="32" t="n">
        <v>3</v>
      </c>
      <c r="B18" s="32" t="s">
        <v>290</v>
      </c>
      <c r="C18" s="33" t="s">
        <v>291</v>
      </c>
      <c r="D18" s="34" t="n">
        <v>1000</v>
      </c>
      <c r="E18" s="35" t="n">
        <f aca="false">③仙台以降予測!V33</f>
        <v>1857</v>
      </c>
      <c r="F18" s="35" t="n">
        <f aca="false">E18</f>
        <v>1857</v>
      </c>
      <c r="G18" s="35" t="n">
        <f aca="false">③仙台以降予測!I33</f>
        <v>200</v>
      </c>
      <c r="H18" s="35" t="n">
        <f aca="false">MAX(0,MIN(G18,F18))</f>
        <v>200</v>
      </c>
      <c r="I18" s="35" t="n">
        <f aca="false">G18-H18</f>
        <v>0</v>
      </c>
      <c r="J18" s="35" t="n">
        <f aca="false">F18-H18</f>
        <v>1657</v>
      </c>
      <c r="K18" s="35" t="n">
        <f aca="false">J18</f>
        <v>1657</v>
      </c>
      <c r="L18" s="35" t="n">
        <f aca="false">③仙台以降予測!J33</f>
        <v>184</v>
      </c>
      <c r="M18" s="35" t="n">
        <f aca="false">MAX(0,MIN(L18,K18))</f>
        <v>184</v>
      </c>
      <c r="N18" s="35" t="n">
        <f aca="false">L18-M18</f>
        <v>0</v>
      </c>
      <c r="O18" s="35" t="n">
        <f aca="false">K18-M18</f>
        <v>1473</v>
      </c>
      <c r="P18" s="35" t="n">
        <f aca="false">O18</f>
        <v>1473</v>
      </c>
      <c r="Q18" s="35" t="n">
        <f aca="false">③仙台以降予測!K33</f>
        <v>138</v>
      </c>
      <c r="R18" s="35" t="n">
        <f aca="false">MAX(0,MIN(Q18,P18))</f>
        <v>138</v>
      </c>
      <c r="S18" s="35" t="n">
        <f aca="false">Q18-R18</f>
        <v>0</v>
      </c>
      <c r="T18" s="35" t="n">
        <f aca="false">P18-R18</f>
        <v>1335</v>
      </c>
      <c r="U18" s="35" t="n">
        <f aca="false">T18</f>
        <v>1335</v>
      </c>
      <c r="V18" s="35" t="n">
        <f aca="false">③仙台以降予測!L33</f>
        <v>769</v>
      </c>
      <c r="W18" s="35" t="n">
        <f aca="false">MAX(0,MIN(V18,U18))</f>
        <v>769</v>
      </c>
      <c r="X18" s="35" t="n">
        <f aca="false">V18-W18</f>
        <v>0</v>
      </c>
      <c r="Y18" s="35" t="n">
        <f aca="false">U18-W18</f>
        <v>566</v>
      </c>
      <c r="Z18" s="35" t="n">
        <f aca="false">H18+M18+R18+W18</f>
        <v>1291</v>
      </c>
      <c r="AA18" s="35" t="n">
        <f aca="false">I18+N18+S18+X18</f>
        <v>0</v>
      </c>
      <c r="AB18" s="34" t="n">
        <f aca="false">Z18*D18</f>
        <v>1291000</v>
      </c>
      <c r="AC18" s="72"/>
    </row>
    <row r="19" customFormat="false" ht="15" hidden="false" customHeight="false" outlineLevel="0" collapsed="false">
      <c r="A19" s="32" t="n">
        <v>4</v>
      </c>
      <c r="B19" s="32" t="s">
        <v>292</v>
      </c>
      <c r="C19" s="33" t="s">
        <v>293</v>
      </c>
      <c r="D19" s="34" t="n">
        <v>1800</v>
      </c>
      <c r="E19" s="35" t="n">
        <f aca="false">③仙台以降予測!V34</f>
        <v>3153</v>
      </c>
      <c r="F19" s="35" t="n">
        <f aca="false">E19</f>
        <v>3153</v>
      </c>
      <c r="G19" s="35" t="n">
        <f aca="false">③仙台以降予測!I34</f>
        <v>246</v>
      </c>
      <c r="H19" s="35" t="n">
        <f aca="false">MAX(0,MIN(G19,F19))</f>
        <v>246</v>
      </c>
      <c r="I19" s="35" t="n">
        <f aca="false">G19-H19</f>
        <v>0</v>
      </c>
      <c r="J19" s="35" t="n">
        <f aca="false">F19-H19</f>
        <v>2907</v>
      </c>
      <c r="K19" s="35" t="n">
        <f aca="false">J19</f>
        <v>2907</v>
      </c>
      <c r="L19" s="35" t="n">
        <f aca="false">③仙台以降予測!J34</f>
        <v>227</v>
      </c>
      <c r="M19" s="35" t="n">
        <f aca="false">MAX(0,MIN(L19,K19))</f>
        <v>227</v>
      </c>
      <c r="N19" s="35" t="n">
        <f aca="false">L19-M19</f>
        <v>0</v>
      </c>
      <c r="O19" s="35" t="n">
        <f aca="false">K19-M19</f>
        <v>2680</v>
      </c>
      <c r="P19" s="35" t="n">
        <f aca="false">O19</f>
        <v>2680</v>
      </c>
      <c r="Q19" s="35" t="n">
        <f aca="false">③仙台以降予測!K34</f>
        <v>171</v>
      </c>
      <c r="R19" s="35" t="n">
        <f aca="false">MAX(0,MIN(Q19,P19))</f>
        <v>171</v>
      </c>
      <c r="S19" s="35" t="n">
        <f aca="false">Q19-R19</f>
        <v>0</v>
      </c>
      <c r="T19" s="35" t="n">
        <f aca="false">P19-R19</f>
        <v>2509</v>
      </c>
      <c r="U19" s="35" t="n">
        <f aca="false">T19</f>
        <v>2509</v>
      </c>
      <c r="V19" s="35" t="n">
        <f aca="false">③仙台以降予測!L34</f>
        <v>947</v>
      </c>
      <c r="W19" s="35" t="n">
        <f aca="false">MAX(0,MIN(V19,U19))</f>
        <v>947</v>
      </c>
      <c r="X19" s="35" t="n">
        <f aca="false">V19-W19</f>
        <v>0</v>
      </c>
      <c r="Y19" s="35" t="n">
        <f aca="false">U19-W19</f>
        <v>1562</v>
      </c>
      <c r="Z19" s="35" t="n">
        <f aca="false">H19+M19+R19+W19</f>
        <v>1591</v>
      </c>
      <c r="AA19" s="35" t="n">
        <f aca="false">I19+N19+S19+X19</f>
        <v>0</v>
      </c>
      <c r="AB19" s="34" t="n">
        <f aca="false">Z19*D19</f>
        <v>2863800</v>
      </c>
      <c r="AC19" s="72"/>
    </row>
    <row r="20" customFormat="false" ht="15" hidden="false" customHeight="false" outlineLevel="0" collapsed="false">
      <c r="A20" s="32" t="n">
        <v>5</v>
      </c>
      <c r="B20" s="32" t="s">
        <v>294</v>
      </c>
      <c r="C20" s="33" t="s">
        <v>295</v>
      </c>
      <c r="D20" s="34" t="n">
        <v>600</v>
      </c>
      <c r="E20" s="35" t="n">
        <f aca="false">③仙台以降予測!V35</f>
        <v>39392</v>
      </c>
      <c r="F20" s="35" t="n">
        <f aca="false">E20</f>
        <v>39392</v>
      </c>
      <c r="G20" s="35" t="n">
        <f aca="false">③仙台以降予測!I35</f>
        <v>491</v>
      </c>
      <c r="H20" s="35" t="n">
        <f aca="false">MAX(0,MIN(G20,F20))</f>
        <v>491</v>
      </c>
      <c r="I20" s="35" t="n">
        <f aca="false">G20-H20</f>
        <v>0</v>
      </c>
      <c r="J20" s="35" t="n">
        <f aca="false">F20-H20</f>
        <v>38901</v>
      </c>
      <c r="K20" s="35" t="n">
        <f aca="false">J20</f>
        <v>38901</v>
      </c>
      <c r="L20" s="35" t="n">
        <f aca="false">③仙台以降予測!J35</f>
        <v>453</v>
      </c>
      <c r="M20" s="35" t="n">
        <f aca="false">MAX(0,MIN(L20,K20))</f>
        <v>453</v>
      </c>
      <c r="N20" s="35" t="n">
        <f aca="false">L20-M20</f>
        <v>0</v>
      </c>
      <c r="O20" s="35" t="n">
        <f aca="false">K20-M20</f>
        <v>38448</v>
      </c>
      <c r="P20" s="35" t="n">
        <f aca="false">O20</f>
        <v>38448</v>
      </c>
      <c r="Q20" s="35" t="n">
        <f aca="false">③仙台以降予測!K35</f>
        <v>340</v>
      </c>
      <c r="R20" s="35" t="n">
        <f aca="false">MAX(0,MIN(Q20,P20))</f>
        <v>340</v>
      </c>
      <c r="S20" s="35" t="n">
        <f aca="false">Q20-R20</f>
        <v>0</v>
      </c>
      <c r="T20" s="35" t="n">
        <f aca="false">P20-R20</f>
        <v>38108</v>
      </c>
      <c r="U20" s="35" t="n">
        <f aca="false">T20</f>
        <v>38108</v>
      </c>
      <c r="V20" s="35" t="n">
        <f aca="false">③仙台以降予測!L35</f>
        <v>1889</v>
      </c>
      <c r="W20" s="35" t="n">
        <f aca="false">MAX(0,MIN(V20,U20))</f>
        <v>1889</v>
      </c>
      <c r="X20" s="35" t="n">
        <f aca="false">V20-W20</f>
        <v>0</v>
      </c>
      <c r="Y20" s="35" t="n">
        <f aca="false">U20-W20</f>
        <v>36219</v>
      </c>
      <c r="Z20" s="35" t="n">
        <f aca="false">H20+M20+R20+W20</f>
        <v>3173</v>
      </c>
      <c r="AA20" s="35" t="n">
        <f aca="false">I20+N20+S20+X20</f>
        <v>0</v>
      </c>
      <c r="AB20" s="34" t="n">
        <f aca="false">Z20*D20</f>
        <v>1903800</v>
      </c>
      <c r="AC20" s="69" t="s">
        <v>1419</v>
      </c>
    </row>
    <row r="21" customFormat="false" ht="15" hidden="false" customHeight="false" outlineLevel="0" collapsed="false">
      <c r="A21" s="32" t="n">
        <v>6</v>
      </c>
      <c r="B21" s="32" t="s">
        <v>296</v>
      </c>
      <c r="C21" s="33" t="s">
        <v>297</v>
      </c>
      <c r="D21" s="34" t="n">
        <v>600</v>
      </c>
      <c r="E21" s="35" t="n">
        <f aca="false">③仙台以降予測!V36</f>
        <v>50228</v>
      </c>
      <c r="F21" s="35" t="n">
        <f aca="false">E21</f>
        <v>50228</v>
      </c>
      <c r="G21" s="35" t="n">
        <f aca="false">③仙台以降予測!I36</f>
        <v>1082</v>
      </c>
      <c r="H21" s="35" t="n">
        <f aca="false">MAX(0,MIN(G21,F21))</f>
        <v>1082</v>
      </c>
      <c r="I21" s="35" t="n">
        <f aca="false">G21-H21</f>
        <v>0</v>
      </c>
      <c r="J21" s="35" t="n">
        <f aca="false">F21-H21</f>
        <v>49146</v>
      </c>
      <c r="K21" s="35" t="n">
        <f aca="false">J21</f>
        <v>49146</v>
      </c>
      <c r="L21" s="35" t="n">
        <f aca="false">③仙台以降予測!J36</f>
        <v>999</v>
      </c>
      <c r="M21" s="35" t="n">
        <f aca="false">MAX(0,MIN(L21,K21))</f>
        <v>999</v>
      </c>
      <c r="N21" s="35" t="n">
        <f aca="false">L21-M21</f>
        <v>0</v>
      </c>
      <c r="O21" s="35" t="n">
        <f aca="false">K21-M21</f>
        <v>48147</v>
      </c>
      <c r="P21" s="35" t="n">
        <f aca="false">O21</f>
        <v>48147</v>
      </c>
      <c r="Q21" s="35" t="n">
        <f aca="false">③仙台以降予測!K36</f>
        <v>749</v>
      </c>
      <c r="R21" s="35" t="n">
        <f aca="false">MAX(0,MIN(Q21,P21))</f>
        <v>749</v>
      </c>
      <c r="S21" s="35" t="n">
        <f aca="false">Q21-R21</f>
        <v>0</v>
      </c>
      <c r="T21" s="35" t="n">
        <f aca="false">P21-R21</f>
        <v>47398</v>
      </c>
      <c r="U21" s="35" t="n">
        <f aca="false">T21</f>
        <v>47398</v>
      </c>
      <c r="V21" s="35" t="n">
        <f aca="false">③仙台以降予測!L36</f>
        <v>4161</v>
      </c>
      <c r="W21" s="35" t="n">
        <f aca="false">MAX(0,MIN(V21,U21))</f>
        <v>4161</v>
      </c>
      <c r="X21" s="35" t="n">
        <f aca="false">V21-W21</f>
        <v>0</v>
      </c>
      <c r="Y21" s="35" t="n">
        <f aca="false">U21-W21</f>
        <v>43237</v>
      </c>
      <c r="Z21" s="35" t="n">
        <f aca="false">H21+M21+R21+W21</f>
        <v>6991</v>
      </c>
      <c r="AA21" s="35" t="n">
        <f aca="false">I21+N21+S21+X21</f>
        <v>0</v>
      </c>
      <c r="AB21" s="34" t="n">
        <f aca="false">Z21*D21</f>
        <v>4194600</v>
      </c>
      <c r="AC21" s="69" t="s">
        <v>1420</v>
      </c>
    </row>
    <row r="22" customFormat="false" ht="15" hidden="false" customHeight="false" outlineLevel="0" collapsed="false">
      <c r="A22" s="32" t="n">
        <v>7</v>
      </c>
      <c r="B22" s="32" t="s">
        <v>298</v>
      </c>
      <c r="C22" s="33" t="s">
        <v>299</v>
      </c>
      <c r="D22" s="34" t="n">
        <v>600</v>
      </c>
      <c r="E22" s="35" t="n">
        <f aca="false">③仙台以降予測!V37</f>
        <v>4249</v>
      </c>
      <c r="F22" s="35" t="n">
        <f aca="false">E22</f>
        <v>4249</v>
      </c>
      <c r="G22" s="35" t="n">
        <f aca="false">③仙台以降予測!I37</f>
        <v>253</v>
      </c>
      <c r="H22" s="35" t="n">
        <f aca="false">MAX(0,MIN(G22,F22))</f>
        <v>253</v>
      </c>
      <c r="I22" s="35" t="n">
        <f aca="false">G22-H22</f>
        <v>0</v>
      </c>
      <c r="J22" s="35" t="n">
        <f aca="false">F22-H22</f>
        <v>3996</v>
      </c>
      <c r="K22" s="35" t="n">
        <f aca="false">J22</f>
        <v>3996</v>
      </c>
      <c r="L22" s="35" t="n">
        <f aca="false">③仙台以降予測!J37</f>
        <v>234</v>
      </c>
      <c r="M22" s="35" t="n">
        <f aca="false">MAX(0,MIN(L22,K22))</f>
        <v>234</v>
      </c>
      <c r="N22" s="35" t="n">
        <f aca="false">L22-M22</f>
        <v>0</v>
      </c>
      <c r="O22" s="35" t="n">
        <f aca="false">K22-M22</f>
        <v>3762</v>
      </c>
      <c r="P22" s="35" t="n">
        <f aca="false">O22</f>
        <v>3762</v>
      </c>
      <c r="Q22" s="35" t="n">
        <f aca="false">③仙台以降予測!K37</f>
        <v>175</v>
      </c>
      <c r="R22" s="35" t="n">
        <f aca="false">MAX(0,MIN(Q22,P22))</f>
        <v>175</v>
      </c>
      <c r="S22" s="35" t="n">
        <f aca="false">Q22-R22</f>
        <v>0</v>
      </c>
      <c r="T22" s="35" t="n">
        <f aca="false">P22-R22</f>
        <v>3587</v>
      </c>
      <c r="U22" s="35" t="n">
        <f aca="false">T22</f>
        <v>3587</v>
      </c>
      <c r="V22" s="35" t="n">
        <f aca="false">③仙台以降予測!L37</f>
        <v>973</v>
      </c>
      <c r="W22" s="35" t="n">
        <f aca="false">MAX(0,MIN(V22,U22))</f>
        <v>973</v>
      </c>
      <c r="X22" s="35" t="n">
        <f aca="false">V22-W22</f>
        <v>0</v>
      </c>
      <c r="Y22" s="35" t="n">
        <f aca="false">U22-W22</f>
        <v>2614</v>
      </c>
      <c r="Z22" s="35" t="n">
        <f aca="false">H22+M22+R22+W22</f>
        <v>1635</v>
      </c>
      <c r="AA22" s="35" t="n">
        <f aca="false">I22+N22+S22+X22</f>
        <v>0</v>
      </c>
      <c r="AB22" s="34" t="n">
        <f aca="false">Z22*D22</f>
        <v>981000</v>
      </c>
      <c r="AC22" s="72"/>
    </row>
    <row r="23" customFormat="false" ht="15" hidden="false" customHeight="false" outlineLevel="0" collapsed="false">
      <c r="A23" s="32" t="n">
        <v>8</v>
      </c>
      <c r="B23" s="32" t="s">
        <v>300</v>
      </c>
      <c r="C23" s="33" t="s">
        <v>301</v>
      </c>
      <c r="D23" s="34" t="n">
        <v>600</v>
      </c>
      <c r="E23" s="35" t="n">
        <f aca="false">③仙台以降予測!V38</f>
        <v>8034</v>
      </c>
      <c r="F23" s="35" t="n">
        <f aca="false">E23</f>
        <v>8034</v>
      </c>
      <c r="G23" s="35" t="n">
        <f aca="false">③仙台以降予測!I38</f>
        <v>419</v>
      </c>
      <c r="H23" s="35" t="n">
        <f aca="false">MAX(0,MIN(G23,F23))</f>
        <v>419</v>
      </c>
      <c r="I23" s="35" t="n">
        <f aca="false">G23-H23</f>
        <v>0</v>
      </c>
      <c r="J23" s="35" t="n">
        <f aca="false">F23-H23</f>
        <v>7615</v>
      </c>
      <c r="K23" s="35" t="n">
        <f aca="false">J23</f>
        <v>7615</v>
      </c>
      <c r="L23" s="35" t="n">
        <f aca="false">③仙台以降予測!J38</f>
        <v>387</v>
      </c>
      <c r="M23" s="35" t="n">
        <f aca="false">MAX(0,MIN(L23,K23))</f>
        <v>387</v>
      </c>
      <c r="N23" s="35" t="n">
        <f aca="false">L23-M23</f>
        <v>0</v>
      </c>
      <c r="O23" s="35" t="n">
        <f aca="false">K23-M23</f>
        <v>7228</v>
      </c>
      <c r="P23" s="35" t="n">
        <f aca="false">O23</f>
        <v>7228</v>
      </c>
      <c r="Q23" s="35" t="n">
        <f aca="false">③仙台以降予測!K38</f>
        <v>290</v>
      </c>
      <c r="R23" s="35" t="n">
        <f aca="false">MAX(0,MIN(Q23,P23))</f>
        <v>290</v>
      </c>
      <c r="S23" s="35" t="n">
        <f aca="false">Q23-R23</f>
        <v>0</v>
      </c>
      <c r="T23" s="35" t="n">
        <f aca="false">P23-R23</f>
        <v>6938</v>
      </c>
      <c r="U23" s="35" t="n">
        <f aca="false">T23</f>
        <v>6938</v>
      </c>
      <c r="V23" s="35" t="n">
        <f aca="false">③仙台以降予測!L38</f>
        <v>1611</v>
      </c>
      <c r="W23" s="35" t="n">
        <f aca="false">MAX(0,MIN(V23,U23))</f>
        <v>1611</v>
      </c>
      <c r="X23" s="35" t="n">
        <f aca="false">V23-W23</f>
        <v>0</v>
      </c>
      <c r="Y23" s="35" t="n">
        <f aca="false">U23-W23</f>
        <v>5327</v>
      </c>
      <c r="Z23" s="35" t="n">
        <f aca="false">H23+M23+R23+W23</f>
        <v>2707</v>
      </c>
      <c r="AA23" s="35" t="n">
        <f aca="false">I23+N23+S23+X23</f>
        <v>0</v>
      </c>
      <c r="AB23" s="34" t="n">
        <f aca="false">Z23*D23</f>
        <v>1624200</v>
      </c>
      <c r="AC23" s="72"/>
    </row>
    <row r="24" customFormat="false" ht="15" hidden="false" customHeight="false" outlineLevel="0" collapsed="false">
      <c r="A24" s="32" t="n">
        <v>9</v>
      </c>
      <c r="B24" s="32" t="s">
        <v>302</v>
      </c>
      <c r="C24" s="33" t="s">
        <v>303</v>
      </c>
      <c r="D24" s="34" t="n">
        <v>600</v>
      </c>
      <c r="E24" s="35" t="n">
        <f aca="false">③仙台以降予測!V39</f>
        <v>8547</v>
      </c>
      <c r="F24" s="35" t="n">
        <f aca="false">E24</f>
        <v>8547</v>
      </c>
      <c r="G24" s="35" t="n">
        <f aca="false">③仙台以降予測!I39</f>
        <v>133</v>
      </c>
      <c r="H24" s="35" t="n">
        <f aca="false">MAX(0,MIN(G24,F24))</f>
        <v>133</v>
      </c>
      <c r="I24" s="35" t="n">
        <f aca="false">G24-H24</f>
        <v>0</v>
      </c>
      <c r="J24" s="35" t="n">
        <f aca="false">F24-H24</f>
        <v>8414</v>
      </c>
      <c r="K24" s="35" t="n">
        <f aca="false">J24</f>
        <v>8414</v>
      </c>
      <c r="L24" s="35" t="n">
        <f aca="false">③仙台以降予測!J39</f>
        <v>123</v>
      </c>
      <c r="M24" s="35" t="n">
        <f aca="false">MAX(0,MIN(L24,K24))</f>
        <v>123</v>
      </c>
      <c r="N24" s="35" t="n">
        <f aca="false">L24-M24</f>
        <v>0</v>
      </c>
      <c r="O24" s="35" t="n">
        <f aca="false">K24-M24</f>
        <v>8291</v>
      </c>
      <c r="P24" s="35" t="n">
        <f aca="false">O24</f>
        <v>8291</v>
      </c>
      <c r="Q24" s="35" t="n">
        <f aca="false">③仙台以降予測!K39</f>
        <v>92</v>
      </c>
      <c r="R24" s="35" t="n">
        <f aca="false">MAX(0,MIN(Q24,P24))</f>
        <v>92</v>
      </c>
      <c r="S24" s="35" t="n">
        <f aca="false">Q24-R24</f>
        <v>0</v>
      </c>
      <c r="T24" s="35" t="n">
        <f aca="false">P24-R24</f>
        <v>8199</v>
      </c>
      <c r="U24" s="35" t="n">
        <f aca="false">T24</f>
        <v>8199</v>
      </c>
      <c r="V24" s="35" t="n">
        <f aca="false">③仙台以降予測!L39</f>
        <v>512</v>
      </c>
      <c r="W24" s="35" t="n">
        <f aca="false">MAX(0,MIN(V24,U24))</f>
        <v>512</v>
      </c>
      <c r="X24" s="35" t="n">
        <f aca="false">V24-W24</f>
        <v>0</v>
      </c>
      <c r="Y24" s="35" t="n">
        <f aca="false">U24-W24</f>
        <v>7687</v>
      </c>
      <c r="Z24" s="35" t="n">
        <f aca="false">H24+M24+R24+W24</f>
        <v>860</v>
      </c>
      <c r="AA24" s="35" t="n">
        <f aca="false">I24+N24+S24+X24</f>
        <v>0</v>
      </c>
      <c r="AB24" s="34" t="n">
        <f aca="false">Z24*D24</f>
        <v>516000</v>
      </c>
      <c r="AC24" s="69" t="s">
        <v>1421</v>
      </c>
    </row>
    <row r="25" customFormat="false" ht="15" hidden="false" customHeight="false" outlineLevel="0" collapsed="false">
      <c r="A25" s="32" t="n">
        <v>10</v>
      </c>
      <c r="B25" s="32" t="s">
        <v>304</v>
      </c>
      <c r="C25" s="33" t="s">
        <v>305</v>
      </c>
      <c r="D25" s="34" t="n">
        <v>600</v>
      </c>
      <c r="E25" s="35" t="n">
        <f aca="false">③仙台以降予測!V40</f>
        <v>4856</v>
      </c>
      <c r="F25" s="35" t="n">
        <f aca="false">E25</f>
        <v>4856</v>
      </c>
      <c r="G25" s="35" t="n">
        <f aca="false">③仙台以降予測!I40</f>
        <v>50</v>
      </c>
      <c r="H25" s="35" t="n">
        <f aca="false">MAX(0,MIN(G25,F25))</f>
        <v>50</v>
      </c>
      <c r="I25" s="35" t="n">
        <f aca="false">G25-H25</f>
        <v>0</v>
      </c>
      <c r="J25" s="35" t="n">
        <f aca="false">F25-H25</f>
        <v>4806</v>
      </c>
      <c r="K25" s="35" t="n">
        <f aca="false">J25</f>
        <v>4806</v>
      </c>
      <c r="L25" s="35" t="n">
        <f aca="false">③仙台以降予測!J40</f>
        <v>46</v>
      </c>
      <c r="M25" s="35" t="n">
        <f aca="false">MAX(0,MIN(L25,K25))</f>
        <v>46</v>
      </c>
      <c r="N25" s="35" t="n">
        <f aca="false">L25-M25</f>
        <v>0</v>
      </c>
      <c r="O25" s="35" t="n">
        <f aca="false">K25-M25</f>
        <v>4760</v>
      </c>
      <c r="P25" s="35" t="n">
        <f aca="false">O25</f>
        <v>4760</v>
      </c>
      <c r="Q25" s="35" t="n">
        <f aca="false">③仙台以降予測!K40</f>
        <v>35</v>
      </c>
      <c r="R25" s="35" t="n">
        <f aca="false">MAX(0,MIN(Q25,P25))</f>
        <v>35</v>
      </c>
      <c r="S25" s="35" t="n">
        <f aca="false">Q25-R25</f>
        <v>0</v>
      </c>
      <c r="T25" s="35" t="n">
        <f aca="false">P25-R25</f>
        <v>4725</v>
      </c>
      <c r="U25" s="35" t="n">
        <f aca="false">T25</f>
        <v>4725</v>
      </c>
      <c r="V25" s="35" t="n">
        <f aca="false">③仙台以降予測!L40</f>
        <v>193</v>
      </c>
      <c r="W25" s="35" t="n">
        <f aca="false">MAX(0,MIN(V25,U25))</f>
        <v>193</v>
      </c>
      <c r="X25" s="35" t="n">
        <f aca="false">V25-W25</f>
        <v>0</v>
      </c>
      <c r="Y25" s="35" t="n">
        <f aca="false">U25-W25</f>
        <v>4532</v>
      </c>
      <c r="Z25" s="35" t="n">
        <f aca="false">H25+M25+R25+W25</f>
        <v>324</v>
      </c>
      <c r="AA25" s="35" t="n">
        <f aca="false">I25+N25+S25+X25</f>
        <v>0</v>
      </c>
      <c r="AB25" s="34" t="n">
        <f aca="false">Z25*D25</f>
        <v>194400</v>
      </c>
      <c r="AC25" s="69" t="s">
        <v>1421</v>
      </c>
    </row>
    <row r="26" customFormat="false" ht="15" hidden="false" customHeight="false" outlineLevel="0" collapsed="false">
      <c r="A26" s="32" t="n">
        <v>11</v>
      </c>
      <c r="B26" s="32" t="s">
        <v>306</v>
      </c>
      <c r="C26" s="33" t="s">
        <v>307</v>
      </c>
      <c r="D26" s="34" t="n">
        <v>600</v>
      </c>
      <c r="E26" s="35" t="n">
        <f aca="false">③仙台以降予測!V41</f>
        <v>609</v>
      </c>
      <c r="F26" s="35" t="n">
        <f aca="false">E26</f>
        <v>609</v>
      </c>
      <c r="G26" s="35" t="n">
        <f aca="false">③仙台以降予測!I41</f>
        <v>19</v>
      </c>
      <c r="H26" s="35" t="n">
        <f aca="false">MAX(0,MIN(G26,F26))</f>
        <v>19</v>
      </c>
      <c r="I26" s="35" t="n">
        <f aca="false">G26-H26</f>
        <v>0</v>
      </c>
      <c r="J26" s="35" t="n">
        <f aca="false">F26-H26</f>
        <v>590</v>
      </c>
      <c r="K26" s="35" t="n">
        <f aca="false">J26</f>
        <v>590</v>
      </c>
      <c r="L26" s="35" t="n">
        <f aca="false">③仙台以降予測!J41</f>
        <v>17</v>
      </c>
      <c r="M26" s="35" t="n">
        <f aca="false">MAX(0,MIN(L26,K26))</f>
        <v>17</v>
      </c>
      <c r="N26" s="35" t="n">
        <f aca="false">L26-M26</f>
        <v>0</v>
      </c>
      <c r="O26" s="35" t="n">
        <f aca="false">K26-M26</f>
        <v>573</v>
      </c>
      <c r="P26" s="35" t="n">
        <f aca="false">O26</f>
        <v>573</v>
      </c>
      <c r="Q26" s="35" t="n">
        <f aca="false">③仙台以降予測!K41</f>
        <v>13</v>
      </c>
      <c r="R26" s="35" t="n">
        <f aca="false">MAX(0,MIN(Q26,P26))</f>
        <v>13</v>
      </c>
      <c r="S26" s="35" t="n">
        <f aca="false">Q26-R26</f>
        <v>0</v>
      </c>
      <c r="T26" s="35" t="n">
        <f aca="false">P26-R26</f>
        <v>560</v>
      </c>
      <c r="U26" s="35" t="n">
        <f aca="false">T26</f>
        <v>560</v>
      </c>
      <c r="V26" s="35" t="n">
        <f aca="false">③仙台以降予測!L41</f>
        <v>72</v>
      </c>
      <c r="W26" s="35" t="n">
        <f aca="false">MAX(0,MIN(V26,U26))</f>
        <v>72</v>
      </c>
      <c r="X26" s="35" t="n">
        <f aca="false">V26-W26</f>
        <v>0</v>
      </c>
      <c r="Y26" s="35" t="n">
        <f aca="false">U26-W26</f>
        <v>488</v>
      </c>
      <c r="Z26" s="35" t="n">
        <f aca="false">H26+M26+R26+W26</f>
        <v>121</v>
      </c>
      <c r="AA26" s="35" t="n">
        <f aca="false">I26+N26+S26+X26</f>
        <v>0</v>
      </c>
      <c r="AB26" s="34" t="n">
        <f aca="false">Z26*D26</f>
        <v>72600</v>
      </c>
      <c r="AC26" s="69" t="s">
        <v>1421</v>
      </c>
    </row>
    <row r="27" customFormat="false" ht="15" hidden="false" customHeight="false" outlineLevel="0" collapsed="false">
      <c r="A27" s="32" t="n">
        <v>12</v>
      </c>
      <c r="B27" s="32" t="s">
        <v>308</v>
      </c>
      <c r="C27" s="33" t="s">
        <v>309</v>
      </c>
      <c r="D27" s="34" t="n">
        <v>600</v>
      </c>
      <c r="E27" s="35" t="n">
        <f aca="false">③仙台以降予測!V42</f>
        <v>891</v>
      </c>
      <c r="F27" s="35" t="n">
        <f aca="false">E27</f>
        <v>891</v>
      </c>
      <c r="G27" s="35" t="n">
        <f aca="false">③仙台以降予測!I42</f>
        <v>39</v>
      </c>
      <c r="H27" s="35" t="n">
        <f aca="false">MAX(0,MIN(G27,F27))</f>
        <v>39</v>
      </c>
      <c r="I27" s="35" t="n">
        <f aca="false">G27-H27</f>
        <v>0</v>
      </c>
      <c r="J27" s="35" t="n">
        <f aca="false">F27-H27</f>
        <v>852</v>
      </c>
      <c r="K27" s="35" t="n">
        <f aca="false">J27</f>
        <v>852</v>
      </c>
      <c r="L27" s="35" t="n">
        <f aca="false">③仙台以降予測!J42</f>
        <v>36</v>
      </c>
      <c r="M27" s="35" t="n">
        <f aca="false">MAX(0,MIN(L27,K27))</f>
        <v>36</v>
      </c>
      <c r="N27" s="35" t="n">
        <f aca="false">L27-M27</f>
        <v>0</v>
      </c>
      <c r="O27" s="35" t="n">
        <f aca="false">K27-M27</f>
        <v>816</v>
      </c>
      <c r="P27" s="35" t="n">
        <f aca="false">O27</f>
        <v>816</v>
      </c>
      <c r="Q27" s="35" t="n">
        <f aca="false">③仙台以降予測!K42</f>
        <v>27</v>
      </c>
      <c r="R27" s="35" t="n">
        <f aca="false">MAX(0,MIN(Q27,P27))</f>
        <v>27</v>
      </c>
      <c r="S27" s="35" t="n">
        <f aca="false">Q27-R27</f>
        <v>0</v>
      </c>
      <c r="T27" s="35" t="n">
        <f aca="false">P27-R27</f>
        <v>789</v>
      </c>
      <c r="U27" s="35" t="n">
        <f aca="false">T27</f>
        <v>789</v>
      </c>
      <c r="V27" s="35" t="n">
        <f aca="false">③仙台以降予測!L42</f>
        <v>149</v>
      </c>
      <c r="W27" s="35" t="n">
        <f aca="false">MAX(0,MIN(V27,U27))</f>
        <v>149</v>
      </c>
      <c r="X27" s="35" t="n">
        <f aca="false">V27-W27</f>
        <v>0</v>
      </c>
      <c r="Y27" s="35" t="n">
        <f aca="false">U27-W27</f>
        <v>640</v>
      </c>
      <c r="Z27" s="35" t="n">
        <f aca="false">H27+M27+R27+W27</f>
        <v>251</v>
      </c>
      <c r="AA27" s="35" t="n">
        <f aca="false">I27+N27+S27+X27</f>
        <v>0</v>
      </c>
      <c r="AB27" s="34" t="n">
        <f aca="false">Z27*D27</f>
        <v>150600</v>
      </c>
      <c r="AC27" s="69" t="s">
        <v>1418</v>
      </c>
    </row>
    <row r="28" customFormat="false" ht="15" hidden="false" customHeight="false" outlineLevel="0" collapsed="false">
      <c r="A28" s="32" t="n">
        <v>13</v>
      </c>
      <c r="B28" s="32" t="s">
        <v>310</v>
      </c>
      <c r="C28" s="33" t="s">
        <v>311</v>
      </c>
      <c r="D28" s="34" t="n">
        <v>600</v>
      </c>
      <c r="E28" s="35" t="n">
        <f aca="false">③仙台以降予測!V43</f>
        <v>305</v>
      </c>
      <c r="F28" s="35" t="n">
        <f aca="false">E28</f>
        <v>305</v>
      </c>
      <c r="G28" s="35" t="n">
        <f aca="false">③仙台以降予測!I43</f>
        <v>10</v>
      </c>
      <c r="H28" s="35" t="n">
        <f aca="false">MAX(0,MIN(G28,F28))</f>
        <v>10</v>
      </c>
      <c r="I28" s="35" t="n">
        <f aca="false">G28-H28</f>
        <v>0</v>
      </c>
      <c r="J28" s="35" t="n">
        <f aca="false">F28-H28</f>
        <v>295</v>
      </c>
      <c r="K28" s="35" t="n">
        <f aca="false">J28</f>
        <v>295</v>
      </c>
      <c r="L28" s="35" t="n">
        <f aca="false">③仙台以降予測!J43</f>
        <v>9</v>
      </c>
      <c r="M28" s="35" t="n">
        <f aca="false">MAX(0,MIN(L28,K28))</f>
        <v>9</v>
      </c>
      <c r="N28" s="35" t="n">
        <f aca="false">L28-M28</f>
        <v>0</v>
      </c>
      <c r="O28" s="35" t="n">
        <f aca="false">K28-M28</f>
        <v>286</v>
      </c>
      <c r="P28" s="35" t="n">
        <f aca="false">O28</f>
        <v>286</v>
      </c>
      <c r="Q28" s="35" t="n">
        <f aca="false">③仙台以降予測!K43</f>
        <v>7</v>
      </c>
      <c r="R28" s="35" t="n">
        <f aca="false">MAX(0,MIN(Q28,P28))</f>
        <v>7</v>
      </c>
      <c r="S28" s="35" t="n">
        <f aca="false">Q28-R28</f>
        <v>0</v>
      </c>
      <c r="T28" s="35" t="n">
        <f aca="false">P28-R28</f>
        <v>279</v>
      </c>
      <c r="U28" s="35" t="n">
        <f aca="false">T28</f>
        <v>279</v>
      </c>
      <c r="V28" s="35" t="n">
        <f aca="false">③仙台以降予測!L43</f>
        <v>38</v>
      </c>
      <c r="W28" s="35" t="n">
        <f aca="false">MAX(0,MIN(V28,U28))</f>
        <v>38</v>
      </c>
      <c r="X28" s="35" t="n">
        <f aca="false">V28-W28</f>
        <v>0</v>
      </c>
      <c r="Y28" s="35" t="n">
        <f aca="false">U28-W28</f>
        <v>241</v>
      </c>
      <c r="Z28" s="35" t="n">
        <f aca="false">H28+M28+R28+W28</f>
        <v>64</v>
      </c>
      <c r="AA28" s="35" t="n">
        <f aca="false">I28+N28+S28+X28</f>
        <v>0</v>
      </c>
      <c r="AB28" s="34" t="n">
        <f aca="false">Z28*D28</f>
        <v>38400</v>
      </c>
      <c r="AC28" s="69" t="s">
        <v>1421</v>
      </c>
    </row>
    <row r="29" customFormat="false" ht="15" hidden="false" customHeight="false" outlineLevel="0" collapsed="false">
      <c r="A29" s="32" t="n">
        <v>14</v>
      </c>
      <c r="B29" s="32" t="s">
        <v>312</v>
      </c>
      <c r="C29" s="33" t="s">
        <v>313</v>
      </c>
      <c r="D29" s="34" t="n">
        <v>600</v>
      </c>
      <c r="E29" s="35" t="n">
        <f aca="false">③仙台以降予測!V44</f>
        <v>1729</v>
      </c>
      <c r="F29" s="35" t="n">
        <f aca="false">E29</f>
        <v>1729</v>
      </c>
      <c r="G29" s="35" t="n">
        <f aca="false">③仙台以降予測!I44</f>
        <v>38</v>
      </c>
      <c r="H29" s="35" t="n">
        <f aca="false">MAX(0,MIN(G29,F29))</f>
        <v>38</v>
      </c>
      <c r="I29" s="35" t="n">
        <f aca="false">G29-H29</f>
        <v>0</v>
      </c>
      <c r="J29" s="35" t="n">
        <f aca="false">F29-H29</f>
        <v>1691</v>
      </c>
      <c r="K29" s="35" t="n">
        <f aca="false">J29</f>
        <v>1691</v>
      </c>
      <c r="L29" s="35" t="n">
        <f aca="false">③仙台以降予測!J44</f>
        <v>35</v>
      </c>
      <c r="M29" s="35" t="n">
        <f aca="false">MAX(0,MIN(L29,K29))</f>
        <v>35</v>
      </c>
      <c r="N29" s="35" t="n">
        <f aca="false">L29-M29</f>
        <v>0</v>
      </c>
      <c r="O29" s="35" t="n">
        <f aca="false">K29-M29</f>
        <v>1656</v>
      </c>
      <c r="P29" s="35" t="n">
        <f aca="false">O29</f>
        <v>1656</v>
      </c>
      <c r="Q29" s="35" t="n">
        <f aca="false">③仙台以降予測!K44</f>
        <v>26</v>
      </c>
      <c r="R29" s="35" t="n">
        <f aca="false">MAX(0,MIN(Q29,P29))</f>
        <v>26</v>
      </c>
      <c r="S29" s="35" t="n">
        <f aca="false">Q29-R29</f>
        <v>0</v>
      </c>
      <c r="T29" s="35" t="n">
        <f aca="false">P29-R29</f>
        <v>1630</v>
      </c>
      <c r="U29" s="35" t="n">
        <f aca="false">T29</f>
        <v>1630</v>
      </c>
      <c r="V29" s="35" t="n">
        <f aca="false">③仙台以降予測!L44</f>
        <v>147</v>
      </c>
      <c r="W29" s="35" t="n">
        <f aca="false">MAX(0,MIN(V29,U29))</f>
        <v>147</v>
      </c>
      <c r="X29" s="35" t="n">
        <f aca="false">V29-W29</f>
        <v>0</v>
      </c>
      <c r="Y29" s="35" t="n">
        <f aca="false">U29-W29</f>
        <v>1483</v>
      </c>
      <c r="Z29" s="35" t="n">
        <f aca="false">H29+M29+R29+W29</f>
        <v>246</v>
      </c>
      <c r="AA29" s="35" t="n">
        <f aca="false">I29+N29+S29+X29</f>
        <v>0</v>
      </c>
      <c r="AB29" s="34" t="n">
        <f aca="false">Z29*D29</f>
        <v>147600</v>
      </c>
      <c r="AC29" s="72"/>
    </row>
    <row r="30" customFormat="false" ht="15" hidden="false" customHeight="false" outlineLevel="0" collapsed="false">
      <c r="A30" s="32" t="n">
        <v>15</v>
      </c>
      <c r="B30" s="32" t="s">
        <v>314</v>
      </c>
      <c r="C30" s="33" t="s">
        <v>315</v>
      </c>
      <c r="D30" s="34" t="n">
        <v>600</v>
      </c>
      <c r="E30" s="35" t="n">
        <f aca="false">③仙台以降予測!V45</f>
        <v>2054</v>
      </c>
      <c r="F30" s="35" t="n">
        <f aca="false">E30</f>
        <v>2054</v>
      </c>
      <c r="G30" s="35" t="n">
        <f aca="false">③仙台以降予測!I45</f>
        <v>50</v>
      </c>
      <c r="H30" s="35" t="n">
        <f aca="false">MAX(0,MIN(G30,F30))</f>
        <v>50</v>
      </c>
      <c r="I30" s="35" t="n">
        <f aca="false">G30-H30</f>
        <v>0</v>
      </c>
      <c r="J30" s="35" t="n">
        <f aca="false">F30-H30</f>
        <v>2004</v>
      </c>
      <c r="K30" s="35" t="n">
        <f aca="false">J30</f>
        <v>2004</v>
      </c>
      <c r="L30" s="35" t="n">
        <f aca="false">③仙台以降予測!J45</f>
        <v>46</v>
      </c>
      <c r="M30" s="35" t="n">
        <f aca="false">MAX(0,MIN(L30,K30))</f>
        <v>46</v>
      </c>
      <c r="N30" s="35" t="n">
        <f aca="false">L30-M30</f>
        <v>0</v>
      </c>
      <c r="O30" s="35" t="n">
        <f aca="false">K30-M30</f>
        <v>1958</v>
      </c>
      <c r="P30" s="35" t="n">
        <f aca="false">O30</f>
        <v>1958</v>
      </c>
      <c r="Q30" s="35" t="n">
        <f aca="false">③仙台以降予測!K45</f>
        <v>35</v>
      </c>
      <c r="R30" s="35" t="n">
        <f aca="false">MAX(0,MIN(Q30,P30))</f>
        <v>35</v>
      </c>
      <c r="S30" s="35" t="n">
        <f aca="false">Q30-R30</f>
        <v>0</v>
      </c>
      <c r="T30" s="35" t="n">
        <f aca="false">P30-R30</f>
        <v>1923</v>
      </c>
      <c r="U30" s="35" t="n">
        <f aca="false">T30</f>
        <v>1923</v>
      </c>
      <c r="V30" s="35" t="n">
        <f aca="false">③仙台以降予測!L45</f>
        <v>193</v>
      </c>
      <c r="W30" s="35" t="n">
        <f aca="false">MAX(0,MIN(V30,U30))</f>
        <v>193</v>
      </c>
      <c r="X30" s="35" t="n">
        <f aca="false">V30-W30</f>
        <v>0</v>
      </c>
      <c r="Y30" s="35" t="n">
        <f aca="false">U30-W30</f>
        <v>1730</v>
      </c>
      <c r="Z30" s="35" t="n">
        <f aca="false">H30+M30+R30+W30</f>
        <v>324</v>
      </c>
      <c r="AA30" s="35" t="n">
        <f aca="false">I30+N30+S30+X30</f>
        <v>0</v>
      </c>
      <c r="AB30" s="34" t="n">
        <f aca="false">Z30*D30</f>
        <v>194400</v>
      </c>
      <c r="AC30" s="72"/>
    </row>
    <row r="31" customFormat="false" ht="15" hidden="false" customHeight="false" outlineLevel="0" collapsed="false">
      <c r="A31" s="32" t="n">
        <v>16</v>
      </c>
      <c r="B31" s="32" t="s">
        <v>316</v>
      </c>
      <c r="C31" s="33" t="s">
        <v>317</v>
      </c>
      <c r="D31" s="34" t="n">
        <v>600</v>
      </c>
      <c r="E31" s="35" t="n">
        <f aca="false">③仙台以降予測!V46</f>
        <v>744</v>
      </c>
      <c r="F31" s="35" t="n">
        <f aca="false">E31</f>
        <v>744</v>
      </c>
      <c r="G31" s="35" t="n">
        <f aca="false">③仙台以降予測!I46</f>
        <v>17</v>
      </c>
      <c r="H31" s="35" t="n">
        <f aca="false">MAX(0,MIN(G31,F31))</f>
        <v>17</v>
      </c>
      <c r="I31" s="35" t="n">
        <f aca="false">G31-H31</f>
        <v>0</v>
      </c>
      <c r="J31" s="35" t="n">
        <f aca="false">F31-H31</f>
        <v>727</v>
      </c>
      <c r="K31" s="35" t="n">
        <f aca="false">J31</f>
        <v>727</v>
      </c>
      <c r="L31" s="35" t="n">
        <f aca="false">③仙台以降予測!J46</f>
        <v>16</v>
      </c>
      <c r="M31" s="35" t="n">
        <f aca="false">MAX(0,MIN(L31,K31))</f>
        <v>16</v>
      </c>
      <c r="N31" s="35" t="n">
        <f aca="false">L31-M31</f>
        <v>0</v>
      </c>
      <c r="O31" s="35" t="n">
        <f aca="false">K31-M31</f>
        <v>711</v>
      </c>
      <c r="P31" s="35" t="n">
        <f aca="false">O31</f>
        <v>711</v>
      </c>
      <c r="Q31" s="35" t="n">
        <f aca="false">③仙台以降予測!K46</f>
        <v>12</v>
      </c>
      <c r="R31" s="35" t="n">
        <f aca="false">MAX(0,MIN(Q31,P31))</f>
        <v>12</v>
      </c>
      <c r="S31" s="35" t="n">
        <f aca="false">Q31-R31</f>
        <v>0</v>
      </c>
      <c r="T31" s="35" t="n">
        <f aca="false">P31-R31</f>
        <v>699</v>
      </c>
      <c r="U31" s="35" t="n">
        <f aca="false">T31</f>
        <v>699</v>
      </c>
      <c r="V31" s="35" t="n">
        <f aca="false">③仙台以降予測!L46</f>
        <v>67</v>
      </c>
      <c r="W31" s="35" t="n">
        <f aca="false">MAX(0,MIN(V31,U31))</f>
        <v>67</v>
      </c>
      <c r="X31" s="35" t="n">
        <f aca="false">V31-W31</f>
        <v>0</v>
      </c>
      <c r="Y31" s="35" t="n">
        <f aca="false">U31-W31</f>
        <v>632</v>
      </c>
      <c r="Z31" s="35" t="n">
        <f aca="false">H31+M31+R31+W31</f>
        <v>112</v>
      </c>
      <c r="AA31" s="35" t="n">
        <f aca="false">I31+N31+S31+X31</f>
        <v>0</v>
      </c>
      <c r="AB31" s="34" t="n">
        <f aca="false">Z31*D31</f>
        <v>67200</v>
      </c>
      <c r="AC31" s="72"/>
    </row>
    <row r="32" customFormat="false" ht="15" hidden="false" customHeight="false" outlineLevel="0" collapsed="false">
      <c r="A32" s="32" t="n">
        <v>17</v>
      </c>
      <c r="B32" s="32" t="s">
        <v>318</v>
      </c>
      <c r="C32" s="33" t="s">
        <v>319</v>
      </c>
      <c r="D32" s="34" t="n">
        <v>600</v>
      </c>
      <c r="E32" s="35" t="n">
        <f aca="false">③仙台以降予測!V47</f>
        <v>2380</v>
      </c>
      <c r="F32" s="35" t="n">
        <f aca="false">E32</f>
        <v>2380</v>
      </c>
      <c r="G32" s="35" t="n">
        <f aca="false">③仙台以降予測!I47</f>
        <v>92</v>
      </c>
      <c r="H32" s="35" t="n">
        <f aca="false">MAX(0,MIN(G32,F32))</f>
        <v>92</v>
      </c>
      <c r="I32" s="35" t="n">
        <f aca="false">G32-H32</f>
        <v>0</v>
      </c>
      <c r="J32" s="35" t="n">
        <f aca="false">F32-H32</f>
        <v>2288</v>
      </c>
      <c r="K32" s="35" t="n">
        <f aca="false">J32</f>
        <v>2288</v>
      </c>
      <c r="L32" s="35" t="n">
        <f aca="false">③仙台以降予測!J47</f>
        <v>85</v>
      </c>
      <c r="M32" s="35" t="n">
        <f aca="false">MAX(0,MIN(L32,K32))</f>
        <v>85</v>
      </c>
      <c r="N32" s="35" t="n">
        <f aca="false">L32-M32</f>
        <v>0</v>
      </c>
      <c r="O32" s="35" t="n">
        <f aca="false">K32-M32</f>
        <v>2203</v>
      </c>
      <c r="P32" s="35" t="n">
        <f aca="false">O32</f>
        <v>2203</v>
      </c>
      <c r="Q32" s="35" t="n">
        <f aca="false">③仙台以降予測!K47</f>
        <v>63</v>
      </c>
      <c r="R32" s="35" t="n">
        <f aca="false">MAX(0,MIN(Q32,P32))</f>
        <v>63</v>
      </c>
      <c r="S32" s="35" t="n">
        <f aca="false">Q32-R32</f>
        <v>0</v>
      </c>
      <c r="T32" s="35" t="n">
        <f aca="false">P32-R32</f>
        <v>2140</v>
      </c>
      <c r="U32" s="35" t="n">
        <f aca="false">T32</f>
        <v>2140</v>
      </c>
      <c r="V32" s="35" t="n">
        <f aca="false">③仙台以降予測!L47</f>
        <v>352</v>
      </c>
      <c r="W32" s="35" t="n">
        <f aca="false">MAX(0,MIN(V32,U32))</f>
        <v>352</v>
      </c>
      <c r="X32" s="35" t="n">
        <f aca="false">V32-W32</f>
        <v>0</v>
      </c>
      <c r="Y32" s="35" t="n">
        <f aca="false">U32-W32</f>
        <v>1788</v>
      </c>
      <c r="Z32" s="35" t="n">
        <f aca="false">H32+M32+R32+W32</f>
        <v>592</v>
      </c>
      <c r="AA32" s="35" t="n">
        <f aca="false">I32+N32+S32+X32</f>
        <v>0</v>
      </c>
      <c r="AB32" s="34" t="n">
        <f aca="false">Z32*D32</f>
        <v>355200</v>
      </c>
      <c r="AC32" s="69" t="s">
        <v>1418</v>
      </c>
    </row>
    <row r="33" customFormat="false" ht="15" hidden="false" customHeight="false" outlineLevel="0" collapsed="false">
      <c r="A33" s="32" t="n">
        <v>18</v>
      </c>
      <c r="B33" s="32" t="s">
        <v>320</v>
      </c>
      <c r="C33" s="33" t="s">
        <v>321</v>
      </c>
      <c r="D33" s="34" t="n">
        <v>600</v>
      </c>
      <c r="E33" s="35" t="n">
        <f aca="false">③仙台以降予測!V48</f>
        <v>9130</v>
      </c>
      <c r="F33" s="35" t="n">
        <f aca="false">E33</f>
        <v>9130</v>
      </c>
      <c r="G33" s="35" t="n">
        <f aca="false">③仙台以降予測!I48</f>
        <v>378</v>
      </c>
      <c r="H33" s="35" t="n">
        <f aca="false">MAX(0,MIN(G33,F33))</f>
        <v>378</v>
      </c>
      <c r="I33" s="35" t="n">
        <f aca="false">G33-H33</f>
        <v>0</v>
      </c>
      <c r="J33" s="35" t="n">
        <f aca="false">F33-H33</f>
        <v>8752</v>
      </c>
      <c r="K33" s="35" t="n">
        <f aca="false">J33</f>
        <v>8752</v>
      </c>
      <c r="L33" s="35" t="n">
        <f aca="false">③仙台以降予測!J48</f>
        <v>349</v>
      </c>
      <c r="M33" s="35" t="n">
        <f aca="false">MAX(0,MIN(L33,K33))</f>
        <v>349</v>
      </c>
      <c r="N33" s="35" t="n">
        <f aca="false">L33-M33</f>
        <v>0</v>
      </c>
      <c r="O33" s="35" t="n">
        <f aca="false">K33-M33</f>
        <v>8403</v>
      </c>
      <c r="P33" s="35" t="n">
        <f aca="false">O33</f>
        <v>8403</v>
      </c>
      <c r="Q33" s="35" t="n">
        <f aca="false">③仙台以降予測!K48</f>
        <v>262</v>
      </c>
      <c r="R33" s="35" t="n">
        <f aca="false">MAX(0,MIN(Q33,P33))</f>
        <v>262</v>
      </c>
      <c r="S33" s="35" t="n">
        <f aca="false">Q33-R33</f>
        <v>0</v>
      </c>
      <c r="T33" s="35" t="n">
        <f aca="false">P33-R33</f>
        <v>8141</v>
      </c>
      <c r="U33" s="35" t="n">
        <f aca="false">T33</f>
        <v>8141</v>
      </c>
      <c r="V33" s="35" t="n">
        <f aca="false">③仙台以降予測!L48</f>
        <v>1455</v>
      </c>
      <c r="W33" s="35" t="n">
        <f aca="false">MAX(0,MIN(V33,U33))</f>
        <v>1455</v>
      </c>
      <c r="X33" s="35" t="n">
        <f aca="false">V33-W33</f>
        <v>0</v>
      </c>
      <c r="Y33" s="35" t="n">
        <f aca="false">U33-W33</f>
        <v>6686</v>
      </c>
      <c r="Z33" s="35" t="n">
        <f aca="false">H33+M33+R33+W33</f>
        <v>2444</v>
      </c>
      <c r="AA33" s="35" t="n">
        <f aca="false">I33+N33+S33+X33</f>
        <v>0</v>
      </c>
      <c r="AB33" s="34" t="n">
        <f aca="false">Z33*D33</f>
        <v>1466400</v>
      </c>
      <c r="AC33" s="72"/>
    </row>
    <row r="34" customFormat="false" ht="15" hidden="false" customHeight="false" outlineLevel="0" collapsed="false">
      <c r="A34" s="32" t="n">
        <v>19</v>
      </c>
      <c r="B34" s="32" t="s">
        <v>322</v>
      </c>
      <c r="C34" s="33" t="s">
        <v>323</v>
      </c>
      <c r="D34" s="34" t="n">
        <v>600</v>
      </c>
      <c r="E34" s="35" t="n">
        <f aca="false">③仙台以降予測!V49</f>
        <v>2214</v>
      </c>
      <c r="F34" s="35" t="n">
        <f aca="false">E34</f>
        <v>2214</v>
      </c>
      <c r="G34" s="35" t="n">
        <f aca="false">③仙台以降予測!I49</f>
        <v>16</v>
      </c>
      <c r="H34" s="35" t="n">
        <f aca="false">MAX(0,MIN(G34,F34))</f>
        <v>16</v>
      </c>
      <c r="I34" s="35" t="n">
        <f aca="false">G34-H34</f>
        <v>0</v>
      </c>
      <c r="J34" s="35" t="n">
        <f aca="false">F34-H34</f>
        <v>2198</v>
      </c>
      <c r="K34" s="35" t="n">
        <f aca="false">J34</f>
        <v>2198</v>
      </c>
      <c r="L34" s="35" t="n">
        <f aca="false">③仙台以降予測!J49</f>
        <v>15</v>
      </c>
      <c r="M34" s="35" t="n">
        <f aca="false">MAX(0,MIN(L34,K34))</f>
        <v>15</v>
      </c>
      <c r="N34" s="35" t="n">
        <f aca="false">L34-M34</f>
        <v>0</v>
      </c>
      <c r="O34" s="35" t="n">
        <f aca="false">K34-M34</f>
        <v>2183</v>
      </c>
      <c r="P34" s="35" t="n">
        <f aca="false">O34</f>
        <v>2183</v>
      </c>
      <c r="Q34" s="35" t="n">
        <f aca="false">③仙台以降予測!K49</f>
        <v>11</v>
      </c>
      <c r="R34" s="35" t="n">
        <f aca="false">MAX(0,MIN(Q34,P34))</f>
        <v>11</v>
      </c>
      <c r="S34" s="35" t="n">
        <f aca="false">Q34-R34</f>
        <v>0</v>
      </c>
      <c r="T34" s="35" t="n">
        <f aca="false">P34-R34</f>
        <v>2172</v>
      </c>
      <c r="U34" s="35" t="n">
        <f aca="false">T34</f>
        <v>2172</v>
      </c>
      <c r="V34" s="35" t="n">
        <f aca="false">③仙台以降予測!L49</f>
        <v>61</v>
      </c>
      <c r="W34" s="35" t="n">
        <f aca="false">MAX(0,MIN(V34,U34))</f>
        <v>61</v>
      </c>
      <c r="X34" s="35" t="n">
        <f aca="false">V34-W34</f>
        <v>0</v>
      </c>
      <c r="Y34" s="35" t="n">
        <f aca="false">U34-W34</f>
        <v>2111</v>
      </c>
      <c r="Z34" s="35" t="n">
        <f aca="false">H34+M34+R34+W34</f>
        <v>103</v>
      </c>
      <c r="AA34" s="35" t="n">
        <f aca="false">I34+N34+S34+X34</f>
        <v>0</v>
      </c>
      <c r="AB34" s="34" t="n">
        <f aca="false">Z34*D34</f>
        <v>61800</v>
      </c>
      <c r="AC34" s="72"/>
    </row>
    <row r="35" customFormat="false" ht="15" hidden="false" customHeight="false" outlineLevel="0" collapsed="false">
      <c r="A35" s="32" t="n">
        <v>20</v>
      </c>
      <c r="B35" s="32" t="s">
        <v>324</v>
      </c>
      <c r="C35" s="33" t="s">
        <v>325</v>
      </c>
      <c r="D35" s="34" t="n">
        <v>600</v>
      </c>
      <c r="E35" s="35" t="n">
        <f aca="false">③仙台以降予測!V50</f>
        <v>276</v>
      </c>
      <c r="F35" s="35" t="n">
        <f aca="false">E35</f>
        <v>276</v>
      </c>
      <c r="G35" s="35" t="n">
        <f aca="false">③仙台以降予測!I50</f>
        <v>16</v>
      </c>
      <c r="H35" s="35" t="n">
        <f aca="false">MAX(0,MIN(G35,F35))</f>
        <v>16</v>
      </c>
      <c r="I35" s="35" t="n">
        <f aca="false">G35-H35</f>
        <v>0</v>
      </c>
      <c r="J35" s="35" t="n">
        <f aca="false">F35-H35</f>
        <v>260</v>
      </c>
      <c r="K35" s="35" t="n">
        <f aca="false">J35</f>
        <v>260</v>
      </c>
      <c r="L35" s="35" t="n">
        <f aca="false">③仙台以降予測!J50</f>
        <v>15</v>
      </c>
      <c r="M35" s="35" t="n">
        <f aca="false">MAX(0,MIN(L35,K35))</f>
        <v>15</v>
      </c>
      <c r="N35" s="35" t="n">
        <f aca="false">L35-M35</f>
        <v>0</v>
      </c>
      <c r="O35" s="35" t="n">
        <f aca="false">K35-M35</f>
        <v>245</v>
      </c>
      <c r="P35" s="35" t="n">
        <f aca="false">O35</f>
        <v>245</v>
      </c>
      <c r="Q35" s="35" t="n">
        <f aca="false">③仙台以降予測!K50</f>
        <v>11</v>
      </c>
      <c r="R35" s="35" t="n">
        <f aca="false">MAX(0,MIN(Q35,P35))</f>
        <v>11</v>
      </c>
      <c r="S35" s="35" t="n">
        <f aca="false">Q35-R35</f>
        <v>0</v>
      </c>
      <c r="T35" s="35" t="n">
        <f aca="false">P35-R35</f>
        <v>234</v>
      </c>
      <c r="U35" s="35" t="n">
        <f aca="false">T35</f>
        <v>234</v>
      </c>
      <c r="V35" s="35" t="n">
        <f aca="false">③仙台以降予測!L50</f>
        <v>62</v>
      </c>
      <c r="W35" s="35" t="n">
        <f aca="false">MAX(0,MIN(V35,U35))</f>
        <v>62</v>
      </c>
      <c r="X35" s="35" t="n">
        <f aca="false">V35-W35</f>
        <v>0</v>
      </c>
      <c r="Y35" s="35" t="n">
        <f aca="false">U35-W35</f>
        <v>172</v>
      </c>
      <c r="Z35" s="35" t="n">
        <f aca="false">H35+M35+R35+W35</f>
        <v>104</v>
      </c>
      <c r="AA35" s="35" t="n">
        <f aca="false">I35+N35+S35+X35</f>
        <v>0</v>
      </c>
      <c r="AB35" s="34" t="n">
        <f aca="false">Z35*D35</f>
        <v>62400</v>
      </c>
      <c r="AC35" s="69" t="s">
        <v>1421</v>
      </c>
    </row>
    <row r="36" customFormat="false" ht="25.35" hidden="false" customHeight="false" outlineLevel="0" collapsed="false">
      <c r="A36" s="32" t="n">
        <v>21</v>
      </c>
      <c r="B36" s="32" t="s">
        <v>326</v>
      </c>
      <c r="C36" s="33" t="s">
        <v>327</v>
      </c>
      <c r="D36" s="34" t="n">
        <v>600</v>
      </c>
      <c r="E36" s="35" t="n">
        <f aca="false">③仙台以降予測!V51</f>
        <v>190</v>
      </c>
      <c r="F36" s="35" t="n">
        <f aca="false">E36</f>
        <v>190</v>
      </c>
      <c r="G36" s="35" t="n">
        <f aca="false">③仙台以降予測!I51</f>
        <v>75</v>
      </c>
      <c r="H36" s="35" t="n">
        <f aca="false">MAX(0,MIN(G36,F36))</f>
        <v>75</v>
      </c>
      <c r="I36" s="35" t="n">
        <f aca="false">G36-H36</f>
        <v>0</v>
      </c>
      <c r="J36" s="35" t="n">
        <f aca="false">F36-H36</f>
        <v>115</v>
      </c>
      <c r="K36" s="35" t="n">
        <f aca="false">J36</f>
        <v>115</v>
      </c>
      <c r="L36" s="35" t="n">
        <f aca="false">③仙台以降予測!J51</f>
        <v>69</v>
      </c>
      <c r="M36" s="35" t="n">
        <f aca="false">MAX(0,MIN(L36,K36))</f>
        <v>69</v>
      </c>
      <c r="N36" s="35" t="n">
        <f aca="false">L36-M36</f>
        <v>0</v>
      </c>
      <c r="O36" s="35" t="n">
        <f aca="false">K36-M36</f>
        <v>46</v>
      </c>
      <c r="P36" s="35" t="n">
        <f aca="false">O36</f>
        <v>46</v>
      </c>
      <c r="Q36" s="35" t="n">
        <f aca="false">③仙台以降予測!K51</f>
        <v>52</v>
      </c>
      <c r="R36" s="35" t="n">
        <f aca="false">MAX(0,MIN(Q36,P36))</f>
        <v>46</v>
      </c>
      <c r="S36" s="35" t="n">
        <f aca="false">Q36-R36</f>
        <v>6</v>
      </c>
      <c r="T36" s="35" t="n">
        <f aca="false">P36-R36</f>
        <v>0</v>
      </c>
      <c r="U36" s="35" t="n">
        <f aca="false">T36</f>
        <v>0</v>
      </c>
      <c r="V36" s="35" t="n">
        <f aca="false">③仙台以降予測!L51</f>
        <v>288</v>
      </c>
      <c r="W36" s="35" t="n">
        <f aca="false">MAX(0,MIN(V36,U36))</f>
        <v>0</v>
      </c>
      <c r="X36" s="35" t="n">
        <f aca="false">V36-W36</f>
        <v>288</v>
      </c>
      <c r="Y36" s="35" t="n">
        <f aca="false">U36-W36</f>
        <v>0</v>
      </c>
      <c r="Z36" s="35" t="n">
        <f aca="false">H36+M36+R36+W36</f>
        <v>190</v>
      </c>
      <c r="AA36" s="35" t="n">
        <f aca="false">I36+N36+S36+X36</f>
        <v>294</v>
      </c>
      <c r="AB36" s="34" t="n">
        <f aca="false">Z36*D36</f>
        <v>114000</v>
      </c>
      <c r="AC36" s="69" t="s">
        <v>1422</v>
      </c>
    </row>
    <row r="37" customFormat="false" ht="15" hidden="false" customHeight="false" outlineLevel="0" collapsed="false">
      <c r="A37" s="32" t="n">
        <v>22</v>
      </c>
      <c r="B37" s="32" t="s">
        <v>328</v>
      </c>
      <c r="C37" s="33" t="s">
        <v>329</v>
      </c>
      <c r="D37" s="34" t="n">
        <v>600</v>
      </c>
      <c r="E37" s="35" t="n">
        <f aca="false">③仙台以降予測!V52</f>
        <v>1254</v>
      </c>
      <c r="F37" s="35" t="n">
        <f aca="false">E37</f>
        <v>1254</v>
      </c>
      <c r="G37" s="35" t="n">
        <f aca="false">③仙台以降予測!I52</f>
        <v>52</v>
      </c>
      <c r="H37" s="35" t="n">
        <f aca="false">MAX(0,MIN(G37,F37))</f>
        <v>52</v>
      </c>
      <c r="I37" s="35" t="n">
        <f aca="false">G37-H37</f>
        <v>0</v>
      </c>
      <c r="J37" s="35" t="n">
        <f aca="false">F37-H37</f>
        <v>1202</v>
      </c>
      <c r="K37" s="35" t="n">
        <f aca="false">J37</f>
        <v>1202</v>
      </c>
      <c r="L37" s="35" t="n">
        <f aca="false">③仙台以降予測!J52</f>
        <v>48</v>
      </c>
      <c r="M37" s="35" t="n">
        <f aca="false">MAX(0,MIN(L37,K37))</f>
        <v>48</v>
      </c>
      <c r="N37" s="35" t="n">
        <f aca="false">L37-M37</f>
        <v>0</v>
      </c>
      <c r="O37" s="35" t="n">
        <f aca="false">K37-M37</f>
        <v>1154</v>
      </c>
      <c r="P37" s="35" t="n">
        <f aca="false">O37</f>
        <v>1154</v>
      </c>
      <c r="Q37" s="35" t="n">
        <f aca="false">③仙台以降予測!K52</f>
        <v>36</v>
      </c>
      <c r="R37" s="35" t="n">
        <f aca="false">MAX(0,MIN(Q37,P37))</f>
        <v>36</v>
      </c>
      <c r="S37" s="35" t="n">
        <f aca="false">Q37-R37</f>
        <v>0</v>
      </c>
      <c r="T37" s="35" t="n">
        <f aca="false">P37-R37</f>
        <v>1118</v>
      </c>
      <c r="U37" s="35" t="n">
        <f aca="false">T37</f>
        <v>1118</v>
      </c>
      <c r="V37" s="35" t="n">
        <f aca="false">③仙台以降予測!L52</f>
        <v>199</v>
      </c>
      <c r="W37" s="35" t="n">
        <f aca="false">MAX(0,MIN(V37,U37))</f>
        <v>199</v>
      </c>
      <c r="X37" s="35" t="n">
        <f aca="false">V37-W37</f>
        <v>0</v>
      </c>
      <c r="Y37" s="35" t="n">
        <f aca="false">U37-W37</f>
        <v>919</v>
      </c>
      <c r="Z37" s="35" t="n">
        <f aca="false">H37+M37+R37+W37</f>
        <v>335</v>
      </c>
      <c r="AA37" s="35" t="n">
        <f aca="false">I37+N37+S37+X37</f>
        <v>0</v>
      </c>
      <c r="AB37" s="34" t="n">
        <f aca="false">Z37*D37</f>
        <v>201000</v>
      </c>
      <c r="AC37" s="72"/>
    </row>
    <row r="38" customFormat="false" ht="15" hidden="false" customHeight="false" outlineLevel="0" collapsed="false">
      <c r="A38" s="32" t="n">
        <v>23</v>
      </c>
      <c r="B38" s="32" t="s">
        <v>330</v>
      </c>
      <c r="C38" s="33" t="s">
        <v>331</v>
      </c>
      <c r="D38" s="34" t="n">
        <v>600</v>
      </c>
      <c r="E38" s="35" t="n">
        <f aca="false">③仙台以降予測!V53</f>
        <v>48729</v>
      </c>
      <c r="F38" s="35" t="n">
        <f aca="false">E38</f>
        <v>48729</v>
      </c>
      <c r="G38" s="35" t="n">
        <f aca="false">③仙台以降予測!I53</f>
        <v>2362</v>
      </c>
      <c r="H38" s="35" t="n">
        <f aca="false">MAX(0,MIN(G38,F38))</f>
        <v>2362</v>
      </c>
      <c r="I38" s="35" t="n">
        <f aca="false">G38-H38</f>
        <v>0</v>
      </c>
      <c r="J38" s="35" t="n">
        <f aca="false">F38-H38</f>
        <v>46367</v>
      </c>
      <c r="K38" s="35" t="n">
        <f aca="false">J38</f>
        <v>46367</v>
      </c>
      <c r="L38" s="35" t="n">
        <f aca="false">③仙台以降予測!J53</f>
        <v>2180</v>
      </c>
      <c r="M38" s="35" t="n">
        <f aca="false">MAX(0,MIN(L38,K38))</f>
        <v>2180</v>
      </c>
      <c r="N38" s="35" t="n">
        <f aca="false">L38-M38</f>
        <v>0</v>
      </c>
      <c r="O38" s="35" t="n">
        <f aca="false">K38-M38</f>
        <v>44187</v>
      </c>
      <c r="P38" s="35" t="n">
        <f aca="false">O38</f>
        <v>44187</v>
      </c>
      <c r="Q38" s="35" t="n">
        <f aca="false">③仙台以降予測!K53</f>
        <v>1635</v>
      </c>
      <c r="R38" s="35" t="n">
        <f aca="false">MAX(0,MIN(Q38,P38))</f>
        <v>1635</v>
      </c>
      <c r="S38" s="35" t="n">
        <f aca="false">Q38-R38</f>
        <v>0</v>
      </c>
      <c r="T38" s="35" t="n">
        <f aca="false">P38-R38</f>
        <v>42552</v>
      </c>
      <c r="U38" s="35" t="n">
        <f aca="false">T38</f>
        <v>42552</v>
      </c>
      <c r="V38" s="35" t="n">
        <f aca="false">③仙台以降予測!L53</f>
        <v>9086</v>
      </c>
      <c r="W38" s="35" t="n">
        <f aca="false">MAX(0,MIN(V38,U38))</f>
        <v>9086</v>
      </c>
      <c r="X38" s="35" t="n">
        <f aca="false">V38-W38</f>
        <v>0</v>
      </c>
      <c r="Y38" s="35" t="n">
        <f aca="false">U38-W38</f>
        <v>33466</v>
      </c>
      <c r="Z38" s="35" t="n">
        <f aca="false">H38+M38+R38+W38</f>
        <v>15263</v>
      </c>
      <c r="AA38" s="35" t="n">
        <f aca="false">I38+N38+S38+X38</f>
        <v>0</v>
      </c>
      <c r="AB38" s="34" t="n">
        <f aca="false">Z38*D38</f>
        <v>9157800</v>
      </c>
      <c r="AC38" s="69" t="s">
        <v>1423</v>
      </c>
    </row>
    <row r="39" customFormat="false" ht="15" hidden="false" customHeight="false" outlineLevel="0" collapsed="false">
      <c r="A39" s="32" t="n">
        <v>24</v>
      </c>
      <c r="B39" s="32" t="s">
        <v>332</v>
      </c>
      <c r="C39" s="33" t="s">
        <v>333</v>
      </c>
      <c r="D39" s="34" t="n">
        <v>600</v>
      </c>
      <c r="E39" s="35" t="n">
        <f aca="false">③仙台以降予測!V54</f>
        <v>30130</v>
      </c>
      <c r="F39" s="35" t="n">
        <f aca="false">E39</f>
        <v>30130</v>
      </c>
      <c r="G39" s="35" t="n">
        <f aca="false">③仙台以降予測!I54</f>
        <v>1453</v>
      </c>
      <c r="H39" s="35" t="n">
        <f aca="false">MAX(0,MIN(G39,F39))</f>
        <v>1453</v>
      </c>
      <c r="I39" s="35" t="n">
        <f aca="false">G39-H39</f>
        <v>0</v>
      </c>
      <c r="J39" s="35" t="n">
        <f aca="false">F39-H39</f>
        <v>28677</v>
      </c>
      <c r="K39" s="35" t="n">
        <f aca="false">J39</f>
        <v>28677</v>
      </c>
      <c r="L39" s="35" t="n">
        <f aca="false">③仙台以降予測!J54</f>
        <v>1341</v>
      </c>
      <c r="M39" s="35" t="n">
        <f aca="false">MAX(0,MIN(L39,K39))</f>
        <v>1341</v>
      </c>
      <c r="N39" s="35" t="n">
        <f aca="false">L39-M39</f>
        <v>0</v>
      </c>
      <c r="O39" s="35" t="n">
        <f aca="false">K39-M39</f>
        <v>27336</v>
      </c>
      <c r="P39" s="35" t="n">
        <f aca="false">O39</f>
        <v>27336</v>
      </c>
      <c r="Q39" s="35" t="n">
        <f aca="false">③仙台以降予測!K54</f>
        <v>1006</v>
      </c>
      <c r="R39" s="35" t="n">
        <f aca="false">MAX(0,MIN(Q39,P39))</f>
        <v>1006</v>
      </c>
      <c r="S39" s="35" t="n">
        <f aca="false">Q39-R39</f>
        <v>0</v>
      </c>
      <c r="T39" s="35" t="n">
        <f aca="false">P39-R39</f>
        <v>26330</v>
      </c>
      <c r="U39" s="35" t="n">
        <f aca="false">T39</f>
        <v>26330</v>
      </c>
      <c r="V39" s="35" t="n">
        <f aca="false">③仙台以降予測!L54</f>
        <v>5588</v>
      </c>
      <c r="W39" s="35" t="n">
        <f aca="false">MAX(0,MIN(V39,U39))</f>
        <v>5588</v>
      </c>
      <c r="X39" s="35" t="n">
        <f aca="false">V39-W39</f>
        <v>0</v>
      </c>
      <c r="Y39" s="35" t="n">
        <f aca="false">U39-W39</f>
        <v>20742</v>
      </c>
      <c r="Z39" s="35" t="n">
        <f aca="false">H39+M39+R39+W39</f>
        <v>9388</v>
      </c>
      <c r="AA39" s="35" t="n">
        <f aca="false">I39+N39+S39+X39</f>
        <v>0</v>
      </c>
      <c r="AB39" s="34" t="n">
        <f aca="false">Z39*D39</f>
        <v>5632800</v>
      </c>
      <c r="AC39" s="69" t="s">
        <v>1424</v>
      </c>
    </row>
    <row r="40" customFormat="false" ht="15" hidden="false" customHeight="false" outlineLevel="0" collapsed="false">
      <c r="A40" s="32" t="n">
        <v>25</v>
      </c>
      <c r="B40" s="32" t="s">
        <v>334</v>
      </c>
      <c r="C40" s="33" t="s">
        <v>335</v>
      </c>
      <c r="D40" s="34" t="n">
        <v>1500</v>
      </c>
      <c r="E40" s="35" t="n">
        <f aca="false">③仙台以降予測!V55</f>
        <v>3393</v>
      </c>
      <c r="F40" s="35" t="n">
        <f aca="false">E40</f>
        <v>3393</v>
      </c>
      <c r="G40" s="35" t="n">
        <f aca="false">③仙台以降予測!I55</f>
        <v>83</v>
      </c>
      <c r="H40" s="35" t="n">
        <f aca="false">MAX(0,MIN(G40,F40))</f>
        <v>83</v>
      </c>
      <c r="I40" s="35" t="n">
        <f aca="false">G40-H40</f>
        <v>0</v>
      </c>
      <c r="J40" s="35" t="n">
        <f aca="false">F40-H40</f>
        <v>3310</v>
      </c>
      <c r="K40" s="35" t="n">
        <f aca="false">J40</f>
        <v>3310</v>
      </c>
      <c r="L40" s="35" t="n">
        <f aca="false">③仙台以降予測!J55</f>
        <v>76</v>
      </c>
      <c r="M40" s="35" t="n">
        <f aca="false">MAX(0,MIN(L40,K40))</f>
        <v>76</v>
      </c>
      <c r="N40" s="35" t="n">
        <f aca="false">L40-M40</f>
        <v>0</v>
      </c>
      <c r="O40" s="35" t="n">
        <f aca="false">K40-M40</f>
        <v>3234</v>
      </c>
      <c r="P40" s="35" t="n">
        <f aca="false">O40</f>
        <v>3234</v>
      </c>
      <c r="Q40" s="35" t="n">
        <f aca="false">③仙台以降予測!K55</f>
        <v>57</v>
      </c>
      <c r="R40" s="35" t="n">
        <f aca="false">MAX(0,MIN(Q40,P40))</f>
        <v>57</v>
      </c>
      <c r="S40" s="35" t="n">
        <f aca="false">Q40-R40</f>
        <v>0</v>
      </c>
      <c r="T40" s="35" t="n">
        <f aca="false">P40-R40</f>
        <v>3177</v>
      </c>
      <c r="U40" s="35" t="n">
        <f aca="false">T40</f>
        <v>3177</v>
      </c>
      <c r="V40" s="35" t="n">
        <f aca="false">③仙台以降予測!L55</f>
        <v>318</v>
      </c>
      <c r="W40" s="35" t="n">
        <f aca="false">MAX(0,MIN(V40,U40))</f>
        <v>318</v>
      </c>
      <c r="X40" s="35" t="n">
        <f aca="false">V40-W40</f>
        <v>0</v>
      </c>
      <c r="Y40" s="35" t="n">
        <f aca="false">U40-W40</f>
        <v>2859</v>
      </c>
      <c r="Z40" s="35" t="n">
        <f aca="false">H40+M40+R40+W40</f>
        <v>534</v>
      </c>
      <c r="AA40" s="35" t="n">
        <f aca="false">I40+N40+S40+X40</f>
        <v>0</v>
      </c>
      <c r="AB40" s="34" t="n">
        <f aca="false">Z40*D40</f>
        <v>801000</v>
      </c>
      <c r="AC40" s="69" t="s">
        <v>1425</v>
      </c>
    </row>
    <row r="41" customFormat="false" ht="25.35" hidden="false" customHeight="false" outlineLevel="0" collapsed="false">
      <c r="A41" s="32" t="n">
        <v>26</v>
      </c>
      <c r="B41" s="32" t="s">
        <v>336</v>
      </c>
      <c r="C41" s="33" t="s">
        <v>337</v>
      </c>
      <c r="D41" s="34" t="n">
        <v>2200</v>
      </c>
      <c r="E41" s="35" t="n">
        <f aca="false">③仙台以降予測!V56</f>
        <v>229</v>
      </c>
      <c r="F41" s="35" t="n">
        <f aca="false">E41</f>
        <v>229</v>
      </c>
      <c r="G41" s="35" t="n">
        <f aca="false">③仙台以降予測!I56</f>
        <v>172</v>
      </c>
      <c r="H41" s="35" t="n">
        <f aca="false">MAX(0,MIN(G41,F41))</f>
        <v>172</v>
      </c>
      <c r="I41" s="35" t="n">
        <f aca="false">G41-H41</f>
        <v>0</v>
      </c>
      <c r="J41" s="35" t="n">
        <f aca="false">F41-H41</f>
        <v>57</v>
      </c>
      <c r="K41" s="35" t="n">
        <f aca="false">J41</f>
        <v>57</v>
      </c>
      <c r="L41" s="35" t="n">
        <f aca="false">③仙台以降予測!J56</f>
        <v>159</v>
      </c>
      <c r="M41" s="35" t="n">
        <f aca="false">MAX(0,MIN(L41,K41))</f>
        <v>57</v>
      </c>
      <c r="N41" s="35" t="n">
        <f aca="false">L41-M41</f>
        <v>102</v>
      </c>
      <c r="O41" s="35" t="n">
        <f aca="false">K41-M41</f>
        <v>0</v>
      </c>
      <c r="P41" s="35" t="n">
        <f aca="false">O41</f>
        <v>0</v>
      </c>
      <c r="Q41" s="35" t="n">
        <f aca="false">③仙台以降予測!K56</f>
        <v>119</v>
      </c>
      <c r="R41" s="35" t="n">
        <f aca="false">MAX(0,MIN(Q41,P41))</f>
        <v>0</v>
      </c>
      <c r="S41" s="35" t="n">
        <f aca="false">Q41-R41</f>
        <v>119</v>
      </c>
      <c r="T41" s="35" t="n">
        <f aca="false">P41-R41</f>
        <v>0</v>
      </c>
      <c r="U41" s="35" t="n">
        <f aca="false">T41</f>
        <v>0</v>
      </c>
      <c r="V41" s="35" t="n">
        <f aca="false">③仙台以降予測!L56</f>
        <v>662</v>
      </c>
      <c r="W41" s="35" t="n">
        <f aca="false">MAX(0,MIN(V41,U41))</f>
        <v>0</v>
      </c>
      <c r="X41" s="35" t="n">
        <f aca="false">V41-W41</f>
        <v>662</v>
      </c>
      <c r="Y41" s="35" t="n">
        <f aca="false">U41-W41</f>
        <v>0</v>
      </c>
      <c r="Z41" s="35" t="n">
        <f aca="false">H41+M41+R41+W41</f>
        <v>229</v>
      </c>
      <c r="AA41" s="35" t="n">
        <f aca="false">I41+N41+S41+X41</f>
        <v>883</v>
      </c>
      <c r="AB41" s="34" t="n">
        <f aca="false">Z41*D41</f>
        <v>503800</v>
      </c>
      <c r="AC41" s="69" t="s">
        <v>1426</v>
      </c>
    </row>
    <row r="42" customFormat="false" ht="15" hidden="false" customHeight="false" outlineLevel="0" collapsed="false">
      <c r="A42" s="32" t="n">
        <v>27</v>
      </c>
      <c r="B42" s="32" t="s">
        <v>338</v>
      </c>
      <c r="C42" s="33" t="s">
        <v>339</v>
      </c>
      <c r="D42" s="34" t="n">
        <v>1100</v>
      </c>
      <c r="E42" s="35" t="n">
        <f aca="false">③仙台以降予測!V57</f>
        <v>1131</v>
      </c>
      <c r="F42" s="35" t="n">
        <f aca="false">E42</f>
        <v>1131</v>
      </c>
      <c r="G42" s="35" t="n">
        <f aca="false">③仙台以降予測!I57</f>
        <v>43</v>
      </c>
      <c r="H42" s="35" t="n">
        <f aca="false">MAX(0,MIN(G42,F42))</f>
        <v>43</v>
      </c>
      <c r="I42" s="35" t="n">
        <f aca="false">G42-H42</f>
        <v>0</v>
      </c>
      <c r="J42" s="35" t="n">
        <f aca="false">F42-H42</f>
        <v>1088</v>
      </c>
      <c r="K42" s="35" t="n">
        <f aca="false">J42</f>
        <v>1088</v>
      </c>
      <c r="L42" s="35" t="n">
        <f aca="false">③仙台以降予測!J57</f>
        <v>40</v>
      </c>
      <c r="M42" s="35" t="n">
        <f aca="false">MAX(0,MIN(L42,K42))</f>
        <v>40</v>
      </c>
      <c r="N42" s="35" t="n">
        <f aca="false">L42-M42</f>
        <v>0</v>
      </c>
      <c r="O42" s="35" t="n">
        <f aca="false">K42-M42</f>
        <v>1048</v>
      </c>
      <c r="P42" s="35" t="n">
        <f aca="false">O42</f>
        <v>1048</v>
      </c>
      <c r="Q42" s="35" t="n">
        <f aca="false">③仙台以降予測!K57</f>
        <v>30</v>
      </c>
      <c r="R42" s="35" t="n">
        <f aca="false">MAX(0,MIN(Q42,P42))</f>
        <v>30</v>
      </c>
      <c r="S42" s="35" t="n">
        <f aca="false">Q42-R42</f>
        <v>0</v>
      </c>
      <c r="T42" s="35" t="n">
        <f aca="false">P42-R42</f>
        <v>1018</v>
      </c>
      <c r="U42" s="35" t="n">
        <f aca="false">T42</f>
        <v>1018</v>
      </c>
      <c r="V42" s="35" t="n">
        <f aca="false">③仙台以降予測!L57</f>
        <v>167</v>
      </c>
      <c r="W42" s="35" t="n">
        <f aca="false">MAX(0,MIN(V42,U42))</f>
        <v>167</v>
      </c>
      <c r="X42" s="35" t="n">
        <f aca="false">V42-W42</f>
        <v>0</v>
      </c>
      <c r="Y42" s="35" t="n">
        <f aca="false">U42-W42</f>
        <v>851</v>
      </c>
      <c r="Z42" s="35" t="n">
        <f aca="false">H42+M42+R42+W42</f>
        <v>280</v>
      </c>
      <c r="AA42" s="35" t="n">
        <f aca="false">I42+N42+S42+X42</f>
        <v>0</v>
      </c>
      <c r="AB42" s="34" t="n">
        <f aca="false">Z42*D42</f>
        <v>308000</v>
      </c>
      <c r="AC42" s="72"/>
    </row>
    <row r="43" customFormat="false" ht="49.25" hidden="false" customHeight="false" outlineLevel="0" collapsed="false">
      <c r="A43" s="32" t="n">
        <v>28</v>
      </c>
      <c r="B43" s="32" t="s">
        <v>340</v>
      </c>
      <c r="C43" s="33" t="s">
        <v>341</v>
      </c>
      <c r="D43" s="34" t="n">
        <v>1800</v>
      </c>
      <c r="E43" s="35" t="n">
        <f aca="false">③仙台以降予測!V58</f>
        <v>68</v>
      </c>
      <c r="F43" s="35" t="n">
        <f aca="false">E43</f>
        <v>68</v>
      </c>
      <c r="G43" s="35" t="n">
        <f aca="false">③仙台以降予測!I58</f>
        <v>246</v>
      </c>
      <c r="H43" s="35" t="n">
        <f aca="false">MAX(0,MIN(G43,F43))</f>
        <v>68</v>
      </c>
      <c r="I43" s="35" t="n">
        <f aca="false">G43-H43</f>
        <v>178</v>
      </c>
      <c r="J43" s="35" t="n">
        <f aca="false">F43-H43</f>
        <v>0</v>
      </c>
      <c r="K43" s="35" t="n">
        <f aca="false">J43</f>
        <v>0</v>
      </c>
      <c r="L43" s="35" t="n">
        <f aca="false">③仙台以降予測!J58</f>
        <v>227</v>
      </c>
      <c r="M43" s="35" t="n">
        <f aca="false">MAX(0,MIN(L43,K43))</f>
        <v>0</v>
      </c>
      <c r="N43" s="35" t="n">
        <f aca="false">L43-M43</f>
        <v>227</v>
      </c>
      <c r="O43" s="35" t="n">
        <f aca="false">K43-M43</f>
        <v>0</v>
      </c>
      <c r="P43" s="35" t="n">
        <f aca="false">O43+1200</f>
        <v>1200</v>
      </c>
      <c r="Q43" s="35" t="n">
        <f aca="false">③仙台以降予測!K58</f>
        <v>170</v>
      </c>
      <c r="R43" s="35" t="n">
        <f aca="false">MAX(0,MIN(Q43,P43))</f>
        <v>170</v>
      </c>
      <c r="S43" s="35" t="n">
        <f aca="false">Q43-R43</f>
        <v>0</v>
      </c>
      <c r="T43" s="35" t="n">
        <f aca="false">P43-R43</f>
        <v>1030</v>
      </c>
      <c r="U43" s="35" t="n">
        <f aca="false">T43</f>
        <v>1030</v>
      </c>
      <c r="V43" s="35" t="n">
        <f aca="false">③仙台以降予測!L58</f>
        <v>946</v>
      </c>
      <c r="W43" s="35" t="n">
        <f aca="false">MAX(0,MIN(V43,U43))</f>
        <v>946</v>
      </c>
      <c r="X43" s="35" t="n">
        <f aca="false">V43-W43</f>
        <v>0</v>
      </c>
      <c r="Y43" s="35" t="n">
        <f aca="false">U43-W43</f>
        <v>84</v>
      </c>
      <c r="Z43" s="35" t="n">
        <f aca="false">H43+M43+R43+W43</f>
        <v>1184</v>
      </c>
      <c r="AA43" s="35" t="n">
        <f aca="false">I43+N43+S43+X43</f>
        <v>405</v>
      </c>
      <c r="AB43" s="34" t="n">
        <f aca="false">Z43*D43</f>
        <v>2131200</v>
      </c>
      <c r="AC43" s="69" t="s">
        <v>1427</v>
      </c>
    </row>
    <row r="44" customFormat="false" ht="25.35" hidden="false" customHeight="false" outlineLevel="0" collapsed="false">
      <c r="A44" s="32" t="n">
        <v>29</v>
      </c>
      <c r="B44" s="32" t="s">
        <v>342</v>
      </c>
      <c r="C44" s="33" t="s">
        <v>343</v>
      </c>
      <c r="D44" s="34" t="n">
        <v>1500</v>
      </c>
      <c r="E44" s="35" t="n">
        <f aca="false">③仙台以降予測!V59</f>
        <v>177</v>
      </c>
      <c r="F44" s="35" t="n">
        <f aca="false">E44</f>
        <v>177</v>
      </c>
      <c r="G44" s="35" t="n">
        <f aca="false">③仙台以降予測!I59</f>
        <v>163</v>
      </c>
      <c r="H44" s="35" t="n">
        <f aca="false">MAX(0,MIN(G44,F44))</f>
        <v>163</v>
      </c>
      <c r="I44" s="35" t="n">
        <f aca="false">G44-H44</f>
        <v>0</v>
      </c>
      <c r="J44" s="35" t="n">
        <f aca="false">F44-H44</f>
        <v>14</v>
      </c>
      <c r="K44" s="35" t="n">
        <f aca="false">J44</f>
        <v>14</v>
      </c>
      <c r="L44" s="35" t="n">
        <f aca="false">③仙台以降予測!J59</f>
        <v>150</v>
      </c>
      <c r="M44" s="35" t="n">
        <f aca="false">MAX(0,MIN(L44,K44))</f>
        <v>14</v>
      </c>
      <c r="N44" s="35" t="n">
        <f aca="false">L44-M44</f>
        <v>136</v>
      </c>
      <c r="O44" s="35" t="n">
        <f aca="false">K44-M44</f>
        <v>0</v>
      </c>
      <c r="P44" s="35" t="n">
        <f aca="false">O44</f>
        <v>0</v>
      </c>
      <c r="Q44" s="35" t="n">
        <f aca="false">③仙台以降予測!K59</f>
        <v>113</v>
      </c>
      <c r="R44" s="35" t="n">
        <f aca="false">MAX(0,MIN(Q44,P44))</f>
        <v>0</v>
      </c>
      <c r="S44" s="35" t="n">
        <f aca="false">Q44-R44</f>
        <v>113</v>
      </c>
      <c r="T44" s="35" t="n">
        <f aca="false">P44-R44</f>
        <v>0</v>
      </c>
      <c r="U44" s="35" t="n">
        <f aca="false">T44</f>
        <v>0</v>
      </c>
      <c r="V44" s="35" t="n">
        <f aca="false">③仙台以降予測!L59</f>
        <v>626</v>
      </c>
      <c r="W44" s="35" t="n">
        <f aca="false">MAX(0,MIN(V44,U44))</f>
        <v>0</v>
      </c>
      <c r="X44" s="35" t="n">
        <f aca="false">V44-W44</f>
        <v>626</v>
      </c>
      <c r="Y44" s="35" t="n">
        <f aca="false">U44-W44</f>
        <v>0</v>
      </c>
      <c r="Z44" s="35" t="n">
        <f aca="false">H44+M44+R44+W44</f>
        <v>177</v>
      </c>
      <c r="AA44" s="35" t="n">
        <f aca="false">I44+N44+S44+X44</f>
        <v>875</v>
      </c>
      <c r="AB44" s="34" t="n">
        <f aca="false">Z44*D44</f>
        <v>265500</v>
      </c>
      <c r="AC44" s="69" t="s">
        <v>1426</v>
      </c>
    </row>
    <row r="45" customFormat="false" ht="15" hidden="false" customHeight="false" outlineLevel="0" collapsed="false">
      <c r="A45" s="32" t="n">
        <v>30</v>
      </c>
      <c r="B45" s="32" t="s">
        <v>344</v>
      </c>
      <c r="C45" s="33" t="s">
        <v>345</v>
      </c>
      <c r="D45" s="34" t="n">
        <v>3300</v>
      </c>
      <c r="E45" s="35" t="n">
        <f aca="false">③仙台以降予測!V60</f>
        <v>781</v>
      </c>
      <c r="F45" s="35" t="n">
        <f aca="false">E45</f>
        <v>781</v>
      </c>
      <c r="G45" s="35" t="n">
        <f aca="false">③仙台以降予測!I60</f>
        <v>80</v>
      </c>
      <c r="H45" s="35" t="n">
        <f aca="false">MAX(0,MIN(G45,F45))</f>
        <v>80</v>
      </c>
      <c r="I45" s="35" t="n">
        <f aca="false">G45-H45</f>
        <v>0</v>
      </c>
      <c r="J45" s="35" t="n">
        <f aca="false">F45-H45</f>
        <v>701</v>
      </c>
      <c r="K45" s="35" t="n">
        <f aca="false">J45</f>
        <v>701</v>
      </c>
      <c r="L45" s="35" t="n">
        <f aca="false">③仙台以降予測!J60</f>
        <v>74</v>
      </c>
      <c r="M45" s="35" t="n">
        <f aca="false">MAX(0,MIN(L45,K45))</f>
        <v>74</v>
      </c>
      <c r="N45" s="35" t="n">
        <f aca="false">L45-M45</f>
        <v>0</v>
      </c>
      <c r="O45" s="35" t="n">
        <f aca="false">K45-M45</f>
        <v>627</v>
      </c>
      <c r="P45" s="35" t="n">
        <f aca="false">O45</f>
        <v>627</v>
      </c>
      <c r="Q45" s="35" t="n">
        <f aca="false">③仙台以降予測!K60</f>
        <v>56</v>
      </c>
      <c r="R45" s="35" t="n">
        <f aca="false">MAX(0,MIN(Q45,P45))</f>
        <v>56</v>
      </c>
      <c r="S45" s="35" t="n">
        <f aca="false">Q45-R45</f>
        <v>0</v>
      </c>
      <c r="T45" s="35" t="n">
        <f aca="false">P45-R45</f>
        <v>571</v>
      </c>
      <c r="U45" s="35" t="n">
        <f aca="false">T45</f>
        <v>571</v>
      </c>
      <c r="V45" s="35" t="n">
        <f aca="false">③仙台以降予測!L60</f>
        <v>309</v>
      </c>
      <c r="W45" s="35" t="n">
        <f aca="false">MAX(0,MIN(V45,U45))</f>
        <v>309</v>
      </c>
      <c r="X45" s="35" t="n">
        <f aca="false">V45-W45</f>
        <v>0</v>
      </c>
      <c r="Y45" s="35" t="n">
        <f aca="false">U45-W45</f>
        <v>262</v>
      </c>
      <c r="Z45" s="35" t="n">
        <f aca="false">H45+M45+R45+W45</f>
        <v>519</v>
      </c>
      <c r="AA45" s="35" t="n">
        <f aca="false">I45+N45+S45+X45</f>
        <v>0</v>
      </c>
      <c r="AB45" s="34" t="n">
        <f aca="false">Z45*D45</f>
        <v>1712700</v>
      </c>
      <c r="AC45" s="69" t="s">
        <v>1418</v>
      </c>
    </row>
    <row r="46" customFormat="false" ht="15" hidden="false" customHeight="false" outlineLevel="0" collapsed="false">
      <c r="A46" s="32" t="n">
        <v>31</v>
      </c>
      <c r="B46" s="32" t="s">
        <v>346</v>
      </c>
      <c r="C46" s="33" t="s">
        <v>347</v>
      </c>
      <c r="D46" s="34" t="n">
        <v>1300</v>
      </c>
      <c r="E46" s="35" t="n">
        <f aca="false">③仙台以降予測!V61</f>
        <v>765</v>
      </c>
      <c r="F46" s="35" t="n">
        <f aca="false">E46</f>
        <v>765</v>
      </c>
      <c r="G46" s="35" t="n">
        <f aca="false">③仙台以降予測!I61</f>
        <v>111</v>
      </c>
      <c r="H46" s="35" t="n">
        <f aca="false">MAX(0,MIN(G46,F46))</f>
        <v>111</v>
      </c>
      <c r="I46" s="35" t="n">
        <f aca="false">G46-H46</f>
        <v>0</v>
      </c>
      <c r="J46" s="35" t="n">
        <f aca="false">F46-H46</f>
        <v>654</v>
      </c>
      <c r="K46" s="35" t="n">
        <f aca="false">J46</f>
        <v>654</v>
      </c>
      <c r="L46" s="35" t="n">
        <f aca="false">③仙台以降予測!J61</f>
        <v>102</v>
      </c>
      <c r="M46" s="35" t="n">
        <f aca="false">MAX(0,MIN(L46,K46))</f>
        <v>102</v>
      </c>
      <c r="N46" s="35" t="n">
        <f aca="false">L46-M46</f>
        <v>0</v>
      </c>
      <c r="O46" s="35" t="n">
        <f aca="false">K46-M46</f>
        <v>552</v>
      </c>
      <c r="P46" s="35" t="n">
        <f aca="false">O46</f>
        <v>552</v>
      </c>
      <c r="Q46" s="35" t="n">
        <f aca="false">③仙台以降予測!K61</f>
        <v>77</v>
      </c>
      <c r="R46" s="35" t="n">
        <f aca="false">MAX(0,MIN(Q46,P46))</f>
        <v>77</v>
      </c>
      <c r="S46" s="35" t="n">
        <f aca="false">Q46-R46</f>
        <v>0</v>
      </c>
      <c r="T46" s="35" t="n">
        <f aca="false">P46-R46</f>
        <v>475</v>
      </c>
      <c r="U46" s="35" t="n">
        <f aca="false">T46</f>
        <v>475</v>
      </c>
      <c r="V46" s="35" t="n">
        <f aca="false">③仙台以降予測!L61</f>
        <v>425</v>
      </c>
      <c r="W46" s="35" t="n">
        <f aca="false">MAX(0,MIN(V46,U46))</f>
        <v>425</v>
      </c>
      <c r="X46" s="35" t="n">
        <f aca="false">V46-W46</f>
        <v>0</v>
      </c>
      <c r="Y46" s="35" t="n">
        <f aca="false">U46-W46</f>
        <v>50</v>
      </c>
      <c r="Z46" s="35" t="n">
        <f aca="false">H46+M46+R46+W46</f>
        <v>715</v>
      </c>
      <c r="AA46" s="35" t="n">
        <f aca="false">I46+N46+S46+X46</f>
        <v>0</v>
      </c>
      <c r="AB46" s="34" t="n">
        <f aca="false">Z46*D46</f>
        <v>929500</v>
      </c>
      <c r="AC46" s="72"/>
    </row>
    <row r="47" customFormat="false" ht="25.35" hidden="false" customHeight="false" outlineLevel="0" collapsed="false">
      <c r="A47" s="32" t="n">
        <v>32</v>
      </c>
      <c r="B47" s="32" t="s">
        <v>348</v>
      </c>
      <c r="C47" s="33" t="s">
        <v>349</v>
      </c>
      <c r="D47" s="34" t="n">
        <v>8800</v>
      </c>
      <c r="E47" s="35" t="n">
        <f aca="false">③仙台以降予測!V62</f>
        <v>15</v>
      </c>
      <c r="F47" s="35" t="n">
        <f aca="false">E47</f>
        <v>15</v>
      </c>
      <c r="G47" s="35" t="n">
        <f aca="false">③仙台以降予測!I62</f>
        <v>10</v>
      </c>
      <c r="H47" s="35" t="n">
        <f aca="false">MAX(0,MIN(G47,F47))</f>
        <v>10</v>
      </c>
      <c r="I47" s="35" t="n">
        <f aca="false">G47-H47</f>
        <v>0</v>
      </c>
      <c r="J47" s="35" t="n">
        <f aca="false">F47-H47</f>
        <v>5</v>
      </c>
      <c r="K47" s="35" t="n">
        <f aca="false">J47</f>
        <v>5</v>
      </c>
      <c r="L47" s="35" t="n">
        <f aca="false">③仙台以降予測!J62</f>
        <v>9</v>
      </c>
      <c r="M47" s="35" t="n">
        <f aca="false">MAX(0,MIN(L47,K47))</f>
        <v>5</v>
      </c>
      <c r="N47" s="35" t="n">
        <f aca="false">L47-M47</f>
        <v>4</v>
      </c>
      <c r="O47" s="35" t="n">
        <f aca="false">K47-M47</f>
        <v>0</v>
      </c>
      <c r="P47" s="35" t="n">
        <f aca="false">O47</f>
        <v>0</v>
      </c>
      <c r="Q47" s="35" t="n">
        <f aca="false">③仙台以降予測!K62</f>
        <v>7</v>
      </c>
      <c r="R47" s="35" t="n">
        <f aca="false">MAX(0,MIN(Q47,P47))</f>
        <v>0</v>
      </c>
      <c r="S47" s="35" t="n">
        <f aca="false">Q47-R47</f>
        <v>7</v>
      </c>
      <c r="T47" s="35" t="n">
        <f aca="false">P47-R47</f>
        <v>0</v>
      </c>
      <c r="U47" s="35" t="n">
        <f aca="false">T47</f>
        <v>0</v>
      </c>
      <c r="V47" s="35" t="n">
        <f aca="false">③仙台以降予測!L62</f>
        <v>38</v>
      </c>
      <c r="W47" s="35" t="n">
        <f aca="false">MAX(0,MIN(V47,U47))</f>
        <v>0</v>
      </c>
      <c r="X47" s="35" t="n">
        <f aca="false">V47-W47</f>
        <v>38</v>
      </c>
      <c r="Y47" s="35" t="n">
        <f aca="false">U47-W47</f>
        <v>0</v>
      </c>
      <c r="Z47" s="35" t="n">
        <f aca="false">H47+M47+R47+W47</f>
        <v>15</v>
      </c>
      <c r="AA47" s="35" t="n">
        <f aca="false">I47+N47+S47+X47</f>
        <v>49</v>
      </c>
      <c r="AB47" s="34" t="n">
        <f aca="false">Z47*D47</f>
        <v>132000</v>
      </c>
      <c r="AC47" s="69" t="s">
        <v>1428</v>
      </c>
    </row>
    <row r="48" customFormat="false" ht="15" hidden="false" customHeight="false" outlineLevel="0" collapsed="false">
      <c r="A48" s="32" t="n">
        <v>33</v>
      </c>
      <c r="B48" s="32" t="s">
        <v>350</v>
      </c>
      <c r="C48" s="33" t="s">
        <v>351</v>
      </c>
      <c r="D48" s="34" t="n">
        <v>27500</v>
      </c>
      <c r="E48" s="35" t="n">
        <f aca="false">③仙台以降予測!V63</f>
        <v>98</v>
      </c>
      <c r="F48" s="35" t="n">
        <f aca="false">E48</f>
        <v>98</v>
      </c>
      <c r="G48" s="35" t="n">
        <f aca="false">③仙台以降予測!I63</f>
        <v>6</v>
      </c>
      <c r="H48" s="35" t="n">
        <f aca="false">MAX(0,MIN(G48,F48))</f>
        <v>6</v>
      </c>
      <c r="I48" s="35" t="n">
        <f aca="false">G48-H48</f>
        <v>0</v>
      </c>
      <c r="J48" s="35" t="n">
        <f aca="false">F48-H48</f>
        <v>92</v>
      </c>
      <c r="K48" s="35" t="n">
        <f aca="false">J48</f>
        <v>92</v>
      </c>
      <c r="L48" s="35" t="n">
        <f aca="false">③仙台以降予測!J63</f>
        <v>6</v>
      </c>
      <c r="M48" s="35" t="n">
        <f aca="false">MAX(0,MIN(L48,K48))</f>
        <v>6</v>
      </c>
      <c r="N48" s="35" t="n">
        <f aca="false">L48-M48</f>
        <v>0</v>
      </c>
      <c r="O48" s="35" t="n">
        <f aca="false">K48-M48</f>
        <v>86</v>
      </c>
      <c r="P48" s="35" t="n">
        <f aca="false">O48</f>
        <v>86</v>
      </c>
      <c r="Q48" s="35" t="n">
        <f aca="false">③仙台以降予測!K63</f>
        <v>4</v>
      </c>
      <c r="R48" s="35" t="n">
        <f aca="false">MAX(0,MIN(Q48,P48))</f>
        <v>4</v>
      </c>
      <c r="S48" s="35" t="n">
        <f aca="false">Q48-R48</f>
        <v>0</v>
      </c>
      <c r="T48" s="35" t="n">
        <f aca="false">P48-R48</f>
        <v>82</v>
      </c>
      <c r="U48" s="35" t="n">
        <f aca="false">T48</f>
        <v>82</v>
      </c>
      <c r="V48" s="35" t="n">
        <f aca="false">③仙台以降予測!L63</f>
        <v>24</v>
      </c>
      <c r="W48" s="35" t="n">
        <f aca="false">MAX(0,MIN(V48,U48))</f>
        <v>24</v>
      </c>
      <c r="X48" s="35" t="n">
        <f aca="false">V48-W48</f>
        <v>0</v>
      </c>
      <c r="Y48" s="35" t="n">
        <f aca="false">U48-W48</f>
        <v>58</v>
      </c>
      <c r="Z48" s="35" t="n">
        <f aca="false">H48+M48+R48+W48</f>
        <v>40</v>
      </c>
      <c r="AA48" s="35" t="n">
        <f aca="false">I48+N48+S48+X48</f>
        <v>0</v>
      </c>
      <c r="AB48" s="34" t="n">
        <f aca="false">Z48*D48</f>
        <v>1100000</v>
      </c>
      <c r="AC48" s="72"/>
    </row>
    <row r="49" customFormat="false" ht="25.35" hidden="false" customHeight="false" outlineLevel="0" collapsed="false">
      <c r="A49" s="32" t="n">
        <v>34</v>
      </c>
      <c r="B49" s="32" t="s">
        <v>352</v>
      </c>
      <c r="C49" s="33" t="s">
        <v>353</v>
      </c>
      <c r="D49" s="34" t="n">
        <v>27500</v>
      </c>
      <c r="E49" s="35" t="n">
        <f aca="false">③仙台以降予測!V64</f>
        <v>1</v>
      </c>
      <c r="F49" s="35" t="n">
        <f aca="false">E49</f>
        <v>1</v>
      </c>
      <c r="G49" s="35" t="n">
        <f aca="false">③仙台以降予測!I64</f>
        <v>2</v>
      </c>
      <c r="H49" s="35" t="n">
        <f aca="false">MAX(0,MIN(G49,F49))</f>
        <v>1</v>
      </c>
      <c r="I49" s="35" t="n">
        <f aca="false">G49-H49</f>
        <v>1</v>
      </c>
      <c r="J49" s="35" t="n">
        <f aca="false">F49-H49</f>
        <v>0</v>
      </c>
      <c r="K49" s="35" t="n">
        <f aca="false">J49</f>
        <v>0</v>
      </c>
      <c r="L49" s="35" t="n">
        <f aca="false">③仙台以降予測!J64</f>
        <v>2</v>
      </c>
      <c r="M49" s="35" t="n">
        <f aca="false">MAX(0,MIN(L49,K49))</f>
        <v>0</v>
      </c>
      <c r="N49" s="35" t="n">
        <f aca="false">L49-M49</f>
        <v>2</v>
      </c>
      <c r="O49" s="35" t="n">
        <f aca="false">K49-M49</f>
        <v>0</v>
      </c>
      <c r="P49" s="35" t="n">
        <f aca="false">O49</f>
        <v>0</v>
      </c>
      <c r="Q49" s="35" t="n">
        <f aca="false">③仙台以降予測!K64</f>
        <v>1</v>
      </c>
      <c r="R49" s="35" t="n">
        <f aca="false">MAX(0,MIN(Q49,P49))</f>
        <v>0</v>
      </c>
      <c r="S49" s="35" t="n">
        <f aca="false">Q49-R49</f>
        <v>1</v>
      </c>
      <c r="T49" s="35" t="n">
        <f aca="false">P49-R49</f>
        <v>0</v>
      </c>
      <c r="U49" s="35" t="n">
        <f aca="false">T49</f>
        <v>0</v>
      </c>
      <c r="V49" s="35" t="n">
        <f aca="false">③仙台以降予測!L64</f>
        <v>8</v>
      </c>
      <c r="W49" s="35" t="n">
        <f aca="false">MAX(0,MIN(V49,U49))</f>
        <v>0</v>
      </c>
      <c r="X49" s="35" t="n">
        <f aca="false">V49-W49</f>
        <v>8</v>
      </c>
      <c r="Y49" s="35" t="n">
        <f aca="false">U49-W49</f>
        <v>0</v>
      </c>
      <c r="Z49" s="35" t="n">
        <f aca="false">H49+M49+R49+W49</f>
        <v>1</v>
      </c>
      <c r="AA49" s="35" t="n">
        <f aca="false">I49+N49+S49+X49</f>
        <v>12</v>
      </c>
      <c r="AB49" s="34" t="n">
        <f aca="false">Z49*D49</f>
        <v>27500</v>
      </c>
      <c r="AC49" s="69" t="s">
        <v>1429</v>
      </c>
    </row>
    <row r="50" customFormat="false" ht="25.35" hidden="false" customHeight="false" outlineLevel="0" collapsed="false">
      <c r="A50" s="32" t="n">
        <v>35</v>
      </c>
      <c r="B50" s="32" t="s">
        <v>354</v>
      </c>
      <c r="C50" s="33" t="s">
        <v>355</v>
      </c>
      <c r="D50" s="34" t="n">
        <v>27500</v>
      </c>
      <c r="E50" s="35" t="n">
        <f aca="false">③仙台以降予測!V65</f>
        <v>2</v>
      </c>
      <c r="F50" s="35" t="n">
        <f aca="false">E50</f>
        <v>2</v>
      </c>
      <c r="G50" s="35" t="n">
        <f aca="false">③仙台以降予測!I65</f>
        <v>1</v>
      </c>
      <c r="H50" s="35" t="n">
        <f aca="false">MAX(0,MIN(G50,F50))</f>
        <v>1</v>
      </c>
      <c r="I50" s="35" t="n">
        <f aca="false">G50-H50</f>
        <v>0</v>
      </c>
      <c r="J50" s="35" t="n">
        <f aca="false">F50-H50</f>
        <v>1</v>
      </c>
      <c r="K50" s="35" t="n">
        <f aca="false">J50</f>
        <v>1</v>
      </c>
      <c r="L50" s="35" t="n">
        <f aca="false">③仙台以降予測!J65</f>
        <v>1</v>
      </c>
      <c r="M50" s="35" t="n">
        <f aca="false">MAX(0,MIN(L50,K50))</f>
        <v>1</v>
      </c>
      <c r="N50" s="35" t="n">
        <f aca="false">L50-M50</f>
        <v>0</v>
      </c>
      <c r="O50" s="35" t="n">
        <f aca="false">K50-M50</f>
        <v>0</v>
      </c>
      <c r="P50" s="35" t="n">
        <f aca="false">O50</f>
        <v>0</v>
      </c>
      <c r="Q50" s="35" t="n">
        <f aca="false">③仙台以降予測!K65</f>
        <v>1</v>
      </c>
      <c r="R50" s="35" t="n">
        <f aca="false">MAX(0,MIN(Q50,P50))</f>
        <v>0</v>
      </c>
      <c r="S50" s="35" t="n">
        <f aca="false">Q50-R50</f>
        <v>1</v>
      </c>
      <c r="T50" s="35" t="n">
        <f aca="false">P50-R50</f>
        <v>0</v>
      </c>
      <c r="U50" s="35" t="n">
        <f aca="false">T50</f>
        <v>0</v>
      </c>
      <c r="V50" s="35" t="n">
        <f aca="false">③仙台以降予測!L65</f>
        <v>6</v>
      </c>
      <c r="W50" s="35" t="n">
        <f aca="false">MAX(0,MIN(V50,U50))</f>
        <v>0</v>
      </c>
      <c r="X50" s="35" t="n">
        <f aca="false">V50-W50</f>
        <v>6</v>
      </c>
      <c r="Y50" s="35" t="n">
        <f aca="false">U50-W50</f>
        <v>0</v>
      </c>
      <c r="Z50" s="35" t="n">
        <f aca="false">H50+M50+R50+W50</f>
        <v>2</v>
      </c>
      <c r="AA50" s="35" t="n">
        <f aca="false">I50+N50+S50+X50</f>
        <v>7</v>
      </c>
      <c r="AB50" s="34" t="n">
        <f aca="false">Z50*D50</f>
        <v>55000</v>
      </c>
      <c r="AC50" s="69" t="s">
        <v>1422</v>
      </c>
    </row>
    <row r="51" customFormat="false" ht="25.35" hidden="false" customHeight="false" outlineLevel="0" collapsed="false">
      <c r="A51" s="32" t="n">
        <v>36</v>
      </c>
      <c r="B51" s="32" t="s">
        <v>356</v>
      </c>
      <c r="C51" s="33" t="s">
        <v>357</v>
      </c>
      <c r="D51" s="34" t="n">
        <v>27500</v>
      </c>
      <c r="E51" s="35" t="n">
        <f aca="false">③仙台以降予測!V66</f>
        <v>2</v>
      </c>
      <c r="F51" s="35" t="n">
        <f aca="false">E51</f>
        <v>2</v>
      </c>
      <c r="G51" s="35" t="n">
        <f aca="false">③仙台以降予測!I66</f>
        <v>1</v>
      </c>
      <c r="H51" s="35" t="n">
        <f aca="false">MAX(0,MIN(G51,F51))</f>
        <v>1</v>
      </c>
      <c r="I51" s="35" t="n">
        <f aca="false">G51-H51</f>
        <v>0</v>
      </c>
      <c r="J51" s="35" t="n">
        <f aca="false">F51-H51</f>
        <v>1</v>
      </c>
      <c r="K51" s="35" t="n">
        <f aca="false">J51</f>
        <v>1</v>
      </c>
      <c r="L51" s="35" t="n">
        <f aca="false">③仙台以降予測!J66</f>
        <v>1</v>
      </c>
      <c r="M51" s="35" t="n">
        <f aca="false">MAX(0,MIN(L51,K51))</f>
        <v>1</v>
      </c>
      <c r="N51" s="35" t="n">
        <f aca="false">L51-M51</f>
        <v>0</v>
      </c>
      <c r="O51" s="35" t="n">
        <f aca="false">K51-M51</f>
        <v>0</v>
      </c>
      <c r="P51" s="35" t="n">
        <f aca="false">O51</f>
        <v>0</v>
      </c>
      <c r="Q51" s="35" t="n">
        <f aca="false">③仙台以降予測!K66</f>
        <v>1</v>
      </c>
      <c r="R51" s="35" t="n">
        <f aca="false">MAX(0,MIN(Q51,P51))</f>
        <v>0</v>
      </c>
      <c r="S51" s="35" t="n">
        <f aca="false">Q51-R51</f>
        <v>1</v>
      </c>
      <c r="T51" s="35" t="n">
        <f aca="false">P51-R51</f>
        <v>0</v>
      </c>
      <c r="U51" s="35" t="n">
        <f aca="false">T51</f>
        <v>0</v>
      </c>
      <c r="V51" s="35" t="n">
        <f aca="false">③仙台以降予測!L66</f>
        <v>6</v>
      </c>
      <c r="W51" s="35" t="n">
        <f aca="false">MAX(0,MIN(V51,U51))</f>
        <v>0</v>
      </c>
      <c r="X51" s="35" t="n">
        <f aca="false">V51-W51</f>
        <v>6</v>
      </c>
      <c r="Y51" s="35" t="n">
        <f aca="false">U51-W51</f>
        <v>0</v>
      </c>
      <c r="Z51" s="35" t="n">
        <f aca="false">H51+M51+R51+W51</f>
        <v>2</v>
      </c>
      <c r="AA51" s="35" t="n">
        <f aca="false">I51+N51+S51+X51</f>
        <v>7</v>
      </c>
      <c r="AB51" s="34" t="n">
        <f aca="false">Z51*D51</f>
        <v>55000</v>
      </c>
      <c r="AC51" s="69" t="s">
        <v>1422</v>
      </c>
    </row>
    <row r="52" customFormat="false" ht="25.35" hidden="false" customHeight="false" outlineLevel="0" collapsed="false">
      <c r="A52" s="32" t="n">
        <v>37</v>
      </c>
      <c r="B52" s="32" t="s">
        <v>358</v>
      </c>
      <c r="C52" s="33" t="s">
        <v>359</v>
      </c>
      <c r="D52" s="34" t="n">
        <v>27500</v>
      </c>
      <c r="E52" s="35" t="n">
        <f aca="false">③仙台以降予測!V67</f>
        <v>28</v>
      </c>
      <c r="F52" s="35" t="n">
        <f aca="false">E52</f>
        <v>28</v>
      </c>
      <c r="G52" s="35" t="n">
        <f aca="false">③仙台以降予測!I67</f>
        <v>5</v>
      </c>
      <c r="H52" s="35" t="n">
        <f aca="false">MAX(0,MIN(G52,F52))</f>
        <v>5</v>
      </c>
      <c r="I52" s="35" t="n">
        <f aca="false">G52-H52</f>
        <v>0</v>
      </c>
      <c r="J52" s="35" t="n">
        <f aca="false">F52-H52</f>
        <v>23</v>
      </c>
      <c r="K52" s="35" t="n">
        <f aca="false">J52</f>
        <v>23</v>
      </c>
      <c r="L52" s="35" t="n">
        <f aca="false">③仙台以降予測!J67</f>
        <v>5</v>
      </c>
      <c r="M52" s="35" t="n">
        <f aca="false">MAX(0,MIN(L52,K52))</f>
        <v>5</v>
      </c>
      <c r="N52" s="35" t="n">
        <f aca="false">L52-M52</f>
        <v>0</v>
      </c>
      <c r="O52" s="35" t="n">
        <f aca="false">K52-M52</f>
        <v>18</v>
      </c>
      <c r="P52" s="35" t="n">
        <f aca="false">O52</f>
        <v>18</v>
      </c>
      <c r="Q52" s="35" t="n">
        <f aca="false">③仙台以降予測!K67</f>
        <v>4</v>
      </c>
      <c r="R52" s="35" t="n">
        <f aca="false">MAX(0,MIN(Q52,P52))</f>
        <v>4</v>
      </c>
      <c r="S52" s="35" t="n">
        <f aca="false">Q52-R52</f>
        <v>0</v>
      </c>
      <c r="T52" s="35" t="n">
        <f aca="false">P52-R52</f>
        <v>14</v>
      </c>
      <c r="U52" s="35" t="n">
        <f aca="false">T52</f>
        <v>14</v>
      </c>
      <c r="V52" s="35" t="n">
        <f aca="false">③仙台以降予測!L67</f>
        <v>20</v>
      </c>
      <c r="W52" s="35" t="n">
        <f aca="false">MAX(0,MIN(V52,U52))</f>
        <v>14</v>
      </c>
      <c r="X52" s="35" t="n">
        <f aca="false">V52-W52</f>
        <v>6</v>
      </c>
      <c r="Y52" s="35" t="n">
        <f aca="false">U52-W52</f>
        <v>0</v>
      </c>
      <c r="Z52" s="35" t="n">
        <f aca="false">H52+M52+R52+W52</f>
        <v>28</v>
      </c>
      <c r="AA52" s="35" t="n">
        <f aca="false">I52+N52+S52+X52</f>
        <v>6</v>
      </c>
      <c r="AB52" s="34" t="n">
        <f aca="false">Z52*D52</f>
        <v>770000</v>
      </c>
      <c r="AC52" s="69" t="s">
        <v>1430</v>
      </c>
    </row>
    <row r="53" customFormat="false" ht="25.35" hidden="false" customHeight="false" outlineLevel="0" collapsed="false">
      <c r="A53" s="32" t="n">
        <v>38</v>
      </c>
      <c r="B53" s="32" t="s">
        <v>360</v>
      </c>
      <c r="C53" s="33" t="s">
        <v>361</v>
      </c>
      <c r="D53" s="34" t="n">
        <v>27500</v>
      </c>
      <c r="E53" s="35" t="n">
        <f aca="false">③仙台以降予測!V68</f>
        <v>1</v>
      </c>
      <c r="F53" s="35" t="n">
        <f aca="false">E53</f>
        <v>1</v>
      </c>
      <c r="G53" s="35" t="n">
        <f aca="false">③仙台以降予測!I68</f>
        <v>2</v>
      </c>
      <c r="H53" s="35" t="n">
        <f aca="false">MAX(0,MIN(G53,F53))</f>
        <v>1</v>
      </c>
      <c r="I53" s="35" t="n">
        <f aca="false">G53-H53</f>
        <v>1</v>
      </c>
      <c r="J53" s="35" t="n">
        <f aca="false">F53-H53</f>
        <v>0</v>
      </c>
      <c r="K53" s="35" t="n">
        <f aca="false">J53</f>
        <v>0</v>
      </c>
      <c r="L53" s="35" t="n">
        <f aca="false">③仙台以降予測!J68</f>
        <v>2</v>
      </c>
      <c r="M53" s="35" t="n">
        <f aca="false">MAX(0,MIN(L53,K53))</f>
        <v>0</v>
      </c>
      <c r="N53" s="35" t="n">
        <f aca="false">L53-M53</f>
        <v>2</v>
      </c>
      <c r="O53" s="35" t="n">
        <f aca="false">K53-M53</f>
        <v>0</v>
      </c>
      <c r="P53" s="35" t="n">
        <f aca="false">O53</f>
        <v>0</v>
      </c>
      <c r="Q53" s="35" t="n">
        <f aca="false">③仙台以降予測!K68</f>
        <v>1</v>
      </c>
      <c r="R53" s="35" t="n">
        <f aca="false">MAX(0,MIN(Q53,P53))</f>
        <v>0</v>
      </c>
      <c r="S53" s="35" t="n">
        <f aca="false">Q53-R53</f>
        <v>1</v>
      </c>
      <c r="T53" s="35" t="n">
        <f aca="false">P53-R53</f>
        <v>0</v>
      </c>
      <c r="U53" s="35" t="n">
        <f aca="false">T53</f>
        <v>0</v>
      </c>
      <c r="V53" s="35" t="n">
        <f aca="false">③仙台以降予測!L68</f>
        <v>8</v>
      </c>
      <c r="W53" s="35" t="n">
        <f aca="false">MAX(0,MIN(V53,U53))</f>
        <v>0</v>
      </c>
      <c r="X53" s="35" t="n">
        <f aca="false">V53-W53</f>
        <v>8</v>
      </c>
      <c r="Y53" s="35" t="n">
        <f aca="false">U53-W53</f>
        <v>0</v>
      </c>
      <c r="Z53" s="35" t="n">
        <f aca="false">H53+M53+R53+W53</f>
        <v>1</v>
      </c>
      <c r="AA53" s="35" t="n">
        <f aca="false">I53+N53+S53+X53</f>
        <v>12</v>
      </c>
      <c r="AB53" s="34" t="n">
        <f aca="false">Z53*D53</f>
        <v>27500</v>
      </c>
      <c r="AC53" s="69" t="s">
        <v>1429</v>
      </c>
    </row>
    <row r="54" customFormat="false" ht="37.3" hidden="false" customHeight="false" outlineLevel="0" collapsed="false">
      <c r="A54" s="32" t="n">
        <v>39</v>
      </c>
      <c r="B54" s="32" t="s">
        <v>362</v>
      </c>
      <c r="C54" s="33" t="s">
        <v>363</v>
      </c>
      <c r="D54" s="34" t="n">
        <v>27500</v>
      </c>
      <c r="E54" s="35" t="n">
        <f aca="false">③仙台以降予測!V69</f>
        <v>0</v>
      </c>
      <c r="F54" s="35" t="n">
        <f aca="false">E54</f>
        <v>0</v>
      </c>
      <c r="G54" s="35" t="n">
        <f aca="false">③仙台以降予測!I69</f>
        <v>3</v>
      </c>
      <c r="H54" s="35" t="n">
        <f aca="false">MAX(0,MIN(G54,F54))</f>
        <v>0</v>
      </c>
      <c r="I54" s="35" t="n">
        <f aca="false">G54-H54</f>
        <v>3</v>
      </c>
      <c r="J54" s="35" t="n">
        <f aca="false">F54-H54</f>
        <v>0</v>
      </c>
      <c r="K54" s="35" t="n">
        <f aca="false">J54</f>
        <v>0</v>
      </c>
      <c r="L54" s="35" t="n">
        <f aca="false">③仙台以降予測!J69</f>
        <v>3</v>
      </c>
      <c r="M54" s="35" t="n">
        <f aca="false">MAX(0,MIN(L54,K54))</f>
        <v>0</v>
      </c>
      <c r="N54" s="35" t="n">
        <f aca="false">L54-M54</f>
        <v>3</v>
      </c>
      <c r="O54" s="35" t="n">
        <f aca="false">K54-M54</f>
        <v>0</v>
      </c>
      <c r="P54" s="35" t="n">
        <f aca="false">O54</f>
        <v>0</v>
      </c>
      <c r="Q54" s="35" t="n">
        <f aca="false">③仙台以降予測!K69</f>
        <v>2</v>
      </c>
      <c r="R54" s="35" t="n">
        <f aca="false">MAX(0,MIN(Q54,P54))</f>
        <v>0</v>
      </c>
      <c r="S54" s="35" t="n">
        <f aca="false">Q54-R54</f>
        <v>2</v>
      </c>
      <c r="T54" s="35" t="n">
        <f aca="false">P54-R54</f>
        <v>0</v>
      </c>
      <c r="U54" s="35" t="n">
        <f aca="false">T54</f>
        <v>0</v>
      </c>
      <c r="V54" s="35" t="n">
        <f aca="false">③仙台以降予測!L69</f>
        <v>11</v>
      </c>
      <c r="W54" s="35" t="n">
        <f aca="false">MAX(0,MIN(V54,U54))</f>
        <v>0</v>
      </c>
      <c r="X54" s="35" t="n">
        <f aca="false">V54-W54</f>
        <v>11</v>
      </c>
      <c r="Y54" s="35" t="n">
        <f aca="false">U54-W54</f>
        <v>0</v>
      </c>
      <c r="Z54" s="35" t="n">
        <f aca="false">H54+M54+R54+W54</f>
        <v>0</v>
      </c>
      <c r="AA54" s="35" t="n">
        <f aca="false">I54+N54+S54+X54</f>
        <v>19</v>
      </c>
      <c r="AB54" s="34" t="n">
        <f aca="false">Z54*D54</f>
        <v>0</v>
      </c>
      <c r="AC54" s="69" t="s">
        <v>1431</v>
      </c>
    </row>
    <row r="55" customFormat="false" ht="15" hidden="false" customHeight="false" outlineLevel="0" collapsed="false">
      <c r="A55" s="32" t="n">
        <v>40</v>
      </c>
      <c r="B55" s="32" t="s">
        <v>364</v>
      </c>
      <c r="C55" s="33" t="s">
        <v>365</v>
      </c>
      <c r="D55" s="34" t="n">
        <v>27500</v>
      </c>
      <c r="E55" s="35" t="n">
        <f aca="false">③仙台以降予測!V70</f>
        <v>3</v>
      </c>
      <c r="F55" s="35" t="n">
        <f aca="false">E55</f>
        <v>3</v>
      </c>
      <c r="G55" s="35" t="n">
        <f aca="false">③仙台以降予測!I70</f>
        <v>1</v>
      </c>
      <c r="H55" s="35" t="n">
        <f aca="false">MAX(0,MIN(G55,F55))</f>
        <v>1</v>
      </c>
      <c r="I55" s="35" t="n">
        <f aca="false">G55-H55</f>
        <v>0</v>
      </c>
      <c r="J55" s="35" t="n">
        <f aca="false">F55-H55</f>
        <v>2</v>
      </c>
      <c r="K55" s="35" t="n">
        <f aca="false">J55</f>
        <v>2</v>
      </c>
      <c r="L55" s="35" t="n">
        <f aca="false">③仙台以降予測!J70</f>
        <v>1</v>
      </c>
      <c r="M55" s="35" t="n">
        <f aca="false">MAX(0,MIN(L55,K55))</f>
        <v>1</v>
      </c>
      <c r="N55" s="35" t="n">
        <f aca="false">L55-M55</f>
        <v>0</v>
      </c>
      <c r="O55" s="35" t="n">
        <f aca="false">K55-M55</f>
        <v>1</v>
      </c>
      <c r="P55" s="35" t="n">
        <f aca="false">O55</f>
        <v>1</v>
      </c>
      <c r="Q55" s="35" t="n">
        <f aca="false">③仙台以降予測!K70</f>
        <v>1</v>
      </c>
      <c r="R55" s="35" t="n">
        <f aca="false">MAX(0,MIN(Q55,P55))</f>
        <v>1</v>
      </c>
      <c r="S55" s="35" t="n">
        <f aca="false">Q55-R55</f>
        <v>0</v>
      </c>
      <c r="T55" s="35" t="n">
        <f aca="false">P55-R55</f>
        <v>0</v>
      </c>
      <c r="U55" s="35" t="n">
        <f aca="false">T55</f>
        <v>0</v>
      </c>
      <c r="V55" s="35" t="n">
        <f aca="false">③仙台以降予測!L70</f>
        <v>4</v>
      </c>
      <c r="W55" s="35" t="n">
        <f aca="false">MAX(0,MIN(V55,U55))</f>
        <v>0</v>
      </c>
      <c r="X55" s="35" t="n">
        <f aca="false">V55-W55</f>
        <v>4</v>
      </c>
      <c r="Y55" s="35" t="n">
        <f aca="false">U55-W55</f>
        <v>0</v>
      </c>
      <c r="Z55" s="35" t="n">
        <f aca="false">H55+M55+R55+W55</f>
        <v>3</v>
      </c>
      <c r="AA55" s="35" t="n">
        <f aca="false">I55+N55+S55+X55</f>
        <v>4</v>
      </c>
      <c r="AB55" s="34" t="n">
        <f aca="false">Z55*D55</f>
        <v>82500</v>
      </c>
      <c r="AC55" s="69" t="s">
        <v>1432</v>
      </c>
    </row>
    <row r="56" customFormat="false" ht="15" hidden="false" customHeight="false" outlineLevel="0" collapsed="false">
      <c r="A56" s="32" t="n">
        <v>41</v>
      </c>
      <c r="B56" s="32" t="s">
        <v>366</v>
      </c>
      <c r="C56" s="33" t="s">
        <v>367</v>
      </c>
      <c r="D56" s="34" t="n">
        <v>25000</v>
      </c>
      <c r="E56" s="35" t="n">
        <f aca="false">③仙台以降予測!V71</f>
        <v>74</v>
      </c>
      <c r="F56" s="35" t="n">
        <f aca="false">E56</f>
        <v>74</v>
      </c>
      <c r="G56" s="35" t="n">
        <f aca="false">③仙台以降予測!I71</f>
        <v>0</v>
      </c>
      <c r="H56" s="35" t="n">
        <f aca="false">MAX(0,MIN(G56,F56))</f>
        <v>0</v>
      </c>
      <c r="I56" s="35" t="n">
        <f aca="false">G56-H56</f>
        <v>0</v>
      </c>
      <c r="J56" s="35" t="n">
        <f aca="false">F56-H56</f>
        <v>74</v>
      </c>
      <c r="K56" s="35" t="n">
        <f aca="false">J56</f>
        <v>74</v>
      </c>
      <c r="L56" s="35" t="n">
        <f aca="false">③仙台以降予測!J71</f>
        <v>0</v>
      </c>
      <c r="M56" s="35" t="n">
        <f aca="false">MAX(0,MIN(L56,K56))</f>
        <v>0</v>
      </c>
      <c r="N56" s="35" t="n">
        <f aca="false">L56-M56</f>
        <v>0</v>
      </c>
      <c r="O56" s="35" t="n">
        <f aca="false">K56-M56</f>
        <v>74</v>
      </c>
      <c r="P56" s="35" t="n">
        <f aca="false">O56</f>
        <v>74</v>
      </c>
      <c r="Q56" s="35" t="n">
        <f aca="false">③仙台以降予測!K71</f>
        <v>0</v>
      </c>
      <c r="R56" s="35" t="n">
        <f aca="false">MAX(0,MIN(Q56,P56))</f>
        <v>0</v>
      </c>
      <c r="S56" s="35" t="n">
        <f aca="false">Q56-R56</f>
        <v>0</v>
      </c>
      <c r="T56" s="35" t="n">
        <f aca="false">P56-R56</f>
        <v>74</v>
      </c>
      <c r="U56" s="35" t="n">
        <f aca="false">T56</f>
        <v>74</v>
      </c>
      <c r="V56" s="35" t="n">
        <f aca="false">③仙台以降予測!L71</f>
        <v>0</v>
      </c>
      <c r="W56" s="35" t="n">
        <f aca="false">MAX(0,MIN(V56,U56))</f>
        <v>0</v>
      </c>
      <c r="X56" s="35" t="n">
        <f aca="false">V56-W56</f>
        <v>0</v>
      </c>
      <c r="Y56" s="35" t="n">
        <f aca="false">U56-W56</f>
        <v>74</v>
      </c>
      <c r="Z56" s="35" t="n">
        <f aca="false">H56+M56+R56+W56</f>
        <v>0</v>
      </c>
      <c r="AA56" s="35" t="n">
        <f aca="false">I56+N56+S56+X56</f>
        <v>0</v>
      </c>
      <c r="AB56" s="34" t="n">
        <f aca="false">Z56*D56</f>
        <v>0</v>
      </c>
      <c r="AC56" s="72"/>
    </row>
    <row r="57" customFormat="false" ht="15" hidden="false" customHeight="false" outlineLevel="0" collapsed="false">
      <c r="A57" s="32" t="n">
        <v>42</v>
      </c>
      <c r="B57" s="32" t="s">
        <v>368</v>
      </c>
      <c r="C57" s="33" t="s">
        <v>369</v>
      </c>
      <c r="D57" s="34" t="n">
        <v>25000</v>
      </c>
      <c r="E57" s="35" t="n">
        <f aca="false">③仙台以降予測!V72</f>
        <v>48</v>
      </c>
      <c r="F57" s="35" t="n">
        <f aca="false">E57</f>
        <v>48</v>
      </c>
      <c r="G57" s="35" t="n">
        <f aca="false">③仙台以降予測!I72</f>
        <v>1</v>
      </c>
      <c r="H57" s="35" t="n">
        <f aca="false">MAX(0,MIN(G57,F57))</f>
        <v>1</v>
      </c>
      <c r="I57" s="35" t="n">
        <f aca="false">G57-H57</f>
        <v>0</v>
      </c>
      <c r="J57" s="35" t="n">
        <f aca="false">F57-H57</f>
        <v>47</v>
      </c>
      <c r="K57" s="35" t="n">
        <f aca="false">J57</f>
        <v>47</v>
      </c>
      <c r="L57" s="35" t="n">
        <f aca="false">③仙台以降予測!J72</f>
        <v>0</v>
      </c>
      <c r="M57" s="35" t="n">
        <f aca="false">MAX(0,MIN(L57,K57))</f>
        <v>0</v>
      </c>
      <c r="N57" s="35" t="n">
        <f aca="false">L57-M57</f>
        <v>0</v>
      </c>
      <c r="O57" s="35" t="n">
        <f aca="false">K57-M57</f>
        <v>47</v>
      </c>
      <c r="P57" s="35" t="n">
        <f aca="false">O57</f>
        <v>47</v>
      </c>
      <c r="Q57" s="35" t="n">
        <f aca="false">③仙台以降予測!K72</f>
        <v>0</v>
      </c>
      <c r="R57" s="35" t="n">
        <f aca="false">MAX(0,MIN(Q57,P57))</f>
        <v>0</v>
      </c>
      <c r="S57" s="35" t="n">
        <f aca="false">Q57-R57</f>
        <v>0</v>
      </c>
      <c r="T57" s="35" t="n">
        <f aca="false">P57-R57</f>
        <v>47</v>
      </c>
      <c r="U57" s="35" t="n">
        <f aca="false">T57</f>
        <v>47</v>
      </c>
      <c r="V57" s="35" t="n">
        <f aca="false">③仙台以降予測!L72</f>
        <v>2</v>
      </c>
      <c r="W57" s="35" t="n">
        <f aca="false">MAX(0,MIN(V57,U57))</f>
        <v>2</v>
      </c>
      <c r="X57" s="35" t="n">
        <f aca="false">V57-W57</f>
        <v>0</v>
      </c>
      <c r="Y57" s="35" t="n">
        <f aca="false">U57-W57</f>
        <v>45</v>
      </c>
      <c r="Z57" s="35" t="n">
        <f aca="false">H57+M57+R57+W57</f>
        <v>3</v>
      </c>
      <c r="AA57" s="35" t="n">
        <f aca="false">I57+N57+S57+X57</f>
        <v>0</v>
      </c>
      <c r="AB57" s="34" t="n">
        <f aca="false">Z57*D57</f>
        <v>75000</v>
      </c>
      <c r="AC57" s="72"/>
    </row>
    <row r="58" customFormat="false" ht="15" hidden="false" customHeight="false" outlineLevel="0" collapsed="false">
      <c r="A58" s="40"/>
      <c r="B58" s="40"/>
      <c r="C58" s="41" t="s">
        <v>370</v>
      </c>
      <c r="D58" s="40"/>
      <c r="E58" s="42" t="n">
        <f aca="false">SUM(E16:E57)</f>
        <v>234426</v>
      </c>
      <c r="F58" s="40"/>
      <c r="G58" s="42" t="n">
        <f aca="false">SUM(G16:G57)</f>
        <v>9536</v>
      </c>
      <c r="H58" s="42" t="n">
        <f aca="false">SUM(H16:H57)</f>
        <v>9353</v>
      </c>
      <c r="I58" s="42" t="n">
        <f aca="false">SUM(I16:I57)</f>
        <v>183</v>
      </c>
      <c r="J58" s="40"/>
      <c r="K58" s="40"/>
      <c r="L58" s="42" t="n">
        <f aca="false">SUM(L16:L57)</f>
        <v>8800</v>
      </c>
      <c r="M58" s="42" t="n">
        <f aca="false">SUM(M16:M57)</f>
        <v>8324</v>
      </c>
      <c r="N58" s="42" t="n">
        <f aca="false">SUM(N16:N57)</f>
        <v>476</v>
      </c>
      <c r="O58" s="40"/>
      <c r="P58" s="40"/>
      <c r="Q58" s="42" t="n">
        <f aca="false">SUM(Q16:Q57)</f>
        <v>6602</v>
      </c>
      <c r="R58" s="42" t="n">
        <f aca="false">SUM(R16:R57)</f>
        <v>6351</v>
      </c>
      <c r="S58" s="42" t="n">
        <f aca="false">SUM(S16:S57)</f>
        <v>251</v>
      </c>
      <c r="T58" s="40"/>
      <c r="U58" s="40"/>
      <c r="V58" s="42" t="n">
        <f aca="false">SUM(V16:V57)</f>
        <v>36679</v>
      </c>
      <c r="W58" s="42" t="n">
        <f aca="false">SUM(W16:W57)</f>
        <v>34121</v>
      </c>
      <c r="X58" s="42" t="n">
        <f aca="false">SUM(X16:X57)</f>
        <v>2558</v>
      </c>
      <c r="Y58" s="40"/>
      <c r="Z58" s="42" t="n">
        <f aca="false">SUM(Z16:Z57)</f>
        <v>58149</v>
      </c>
      <c r="AA58" s="42" t="n">
        <f aca="false">SUM(AA16:AA57)</f>
        <v>3468</v>
      </c>
      <c r="AB58" s="44" t="n">
        <f aca="false">SUM(AB16:AB57)</f>
        <v>43802500</v>
      </c>
      <c r="AC58" s="40"/>
    </row>
    <row r="60" customFormat="false" ht="15" hidden="false" customHeight="false" outlineLevel="0" collapsed="false">
      <c r="A60" s="4" t="s">
        <v>1433</v>
      </c>
    </row>
    <row r="61" customFormat="false" ht="15" hidden="false" customHeight="false" outlineLevel="0" collapsed="false">
      <c r="A61" s="5" t="s">
        <v>1434</v>
      </c>
      <c r="B61" s="93" t="s">
        <v>1435</v>
      </c>
      <c r="C61" s="93"/>
      <c r="D61" s="93"/>
      <c r="E61" s="93"/>
      <c r="F61" s="93"/>
      <c r="G61" s="93"/>
      <c r="H61" s="93"/>
      <c r="I61" s="93"/>
      <c r="J61" s="93"/>
    </row>
    <row r="62" customFormat="false" ht="15" hidden="false" customHeight="false" outlineLevel="0" collapsed="false">
      <c r="A62" s="5" t="s">
        <v>1436</v>
      </c>
      <c r="B62" s="93" t="s">
        <v>1437</v>
      </c>
      <c r="C62" s="93"/>
      <c r="D62" s="93"/>
      <c r="E62" s="93"/>
      <c r="F62" s="93"/>
      <c r="G62" s="93"/>
      <c r="H62" s="93"/>
      <c r="I62" s="93"/>
      <c r="J62" s="93"/>
    </row>
    <row r="63" customFormat="false" ht="15" hidden="false" customHeight="false" outlineLevel="0" collapsed="false">
      <c r="A63" s="5" t="s">
        <v>1438</v>
      </c>
      <c r="B63" s="93" t="s">
        <v>1439</v>
      </c>
      <c r="C63" s="93"/>
      <c r="D63" s="93"/>
      <c r="E63" s="93"/>
      <c r="F63" s="93"/>
      <c r="G63" s="93"/>
      <c r="H63" s="93"/>
      <c r="I63" s="93"/>
      <c r="J63" s="93"/>
    </row>
    <row r="64" customFormat="false" ht="15" hidden="false" customHeight="false" outlineLevel="0" collapsed="false">
      <c r="A64" s="5" t="s">
        <v>1440</v>
      </c>
      <c r="B64" s="93" t="s">
        <v>1441</v>
      </c>
      <c r="C64" s="93"/>
      <c r="D64" s="93"/>
      <c r="E64" s="93"/>
      <c r="F64" s="93"/>
      <c r="G64" s="93"/>
      <c r="H64" s="93"/>
      <c r="I64" s="93"/>
      <c r="J64" s="93"/>
    </row>
    <row r="65" customFormat="false" ht="15" hidden="false" customHeight="false" outlineLevel="0" collapsed="false">
      <c r="A65" s="5" t="s">
        <v>1442</v>
      </c>
      <c r="B65" s="93" t="s">
        <v>1443</v>
      </c>
      <c r="C65" s="93"/>
      <c r="D65" s="93"/>
      <c r="E65" s="93"/>
      <c r="F65" s="93"/>
      <c r="G65" s="93"/>
      <c r="H65" s="93"/>
      <c r="I65" s="93"/>
      <c r="J65" s="93"/>
    </row>
  </sheetData>
  <mergeCells count="5">
    <mergeCell ref="B61:J61"/>
    <mergeCell ref="B62:J62"/>
    <mergeCell ref="B63:J63"/>
    <mergeCell ref="B64:J64"/>
    <mergeCell ref="B65:J65"/>
  </mergeCells>
  <conditionalFormatting sqref="G8:G11">
    <cfRule type="expression" priority="2" aboveAverage="0" equalAverage="0" bottom="0" percent="0" rank="0" text="" dxfId="3">
      <formula>$G8&gt;0</formula>
    </cfRule>
  </conditionalFormatting>
  <conditionalFormatting sqref="I16:I57">
    <cfRule type="expression" priority="3" aboveAverage="0" equalAverage="0" bottom="0" percent="0" rank="0" text="" dxfId="3">
      <formula>$I16&gt;0</formula>
    </cfRule>
  </conditionalFormatting>
  <conditionalFormatting sqref="N16:N57">
    <cfRule type="expression" priority="4" aboveAverage="0" equalAverage="0" bottom="0" percent="0" rank="0" text="" dxfId="3">
      <formula>$N16&gt;0</formula>
    </cfRule>
  </conditionalFormatting>
  <conditionalFormatting sqref="S16:S57">
    <cfRule type="expression" priority="5" aboveAverage="0" equalAverage="0" bottom="0" percent="0" rank="0" text="" dxfId="3">
      <formula>$S16&gt;0</formula>
    </cfRule>
  </conditionalFormatting>
  <conditionalFormatting sqref="X16:X57">
    <cfRule type="expression" priority="6" aboveAverage="0" equalAverage="0" bottom="0" percent="0" rank="0" text="" dxfId="3">
      <formula>$X16&gt;0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2026-08-26T16:15:34Z</dcterms:created>
  <dc:creator>openpyxl</dc:creator>
  <dc:description/>
  <dc:language>en-US</dc:language>
  <cp:lastModifiedBy/>
  <dcterms:modified xsi:type="dcterms:W3CDTF">2026-08-26T16:15:35Z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