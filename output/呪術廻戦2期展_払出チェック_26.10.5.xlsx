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払出チェック" sheetId="1" state="visible" r:id="rId1"/>
    <sheet name="SAP在庫" sheetId="2" state="visible" r:id="rId2"/>
  </sheets>
  <definedNames>
    <definedName name="_xlnm._FilterDatabase" localSheetId="0" hidden="1">'払出チェック'!$A$7:$J$48</definedName>
    <definedName name="_xlnm._FilterDatabase" localSheetId="1" hidden="1">'SAP在庫'!$A$1:$G$48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b val="1"/>
      <sz val="14"/>
    </font>
    <font>
      <name val="Calibri"/>
      <b val="1"/>
    </font>
    <font>
      <name val="Calibri"/>
      <color rgb="000000FF"/>
    </font>
    <font>
      <name val="Calibri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/>
    </xf>
    <xf numFmtId="49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pivotButton="0" quotePrefix="0" xfId="0"/>
    <xf numFmtId="164" fontId="5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0" borderId="0" applyAlignment="1" pivotButton="0" quotePrefix="0" xfId="0">
      <alignment horizontal="left"/>
    </xf>
    <xf numFmtId="0" fontId="6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50" customWidth="1" min="4" max="4"/>
    <col width="9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</cols>
  <sheetData>
    <row r="1">
      <c r="A1" s="1" t="inlineStr">
        <is>
          <t>払出数量 在庫チェック（CX催事 CX01）</t>
        </is>
      </c>
    </row>
    <row r="2">
      <c r="A2" s="2" t="inlineStr">
        <is>
          <t>案件管理表</t>
        </is>
      </c>
      <c r="B2" s="3" t="inlineStr">
        <is>
          <t>5f357d09-_10.1___9________2_____________.xlsx ／ シート「呪術廻戦2期展」 31～71行目（E列 品目コード・F列 品目名・H列 数量）</t>
        </is>
      </c>
    </row>
    <row r="3">
      <c r="A3" s="2" t="inlineStr">
        <is>
          <t>在庫データ</t>
        </is>
      </c>
      <c r="B3" s="3" t="inlineStr">
        <is>
          <t>0b2a7381-26.10.5SAP__.xlsx の CX催事（CX01）のみ</t>
        </is>
      </c>
    </row>
    <row r="4">
      <c r="A4" s="2" t="inlineStr">
        <is>
          <t>判定ルール</t>
        </is>
      </c>
      <c r="B4" s="3" t="inlineStr">
        <is>
          <t>品目コードで照合。払出後の残数が0は問題なし（OK）、マイナスのみ「不足」。SAP品目名の「?」は表示できない文字のため同一商品とみなす。</t>
        </is>
      </c>
    </row>
    <row r="7" ht="32" customHeight="1">
      <c r="A7" s="4" t="inlineStr">
        <is>
          <t>案件管理表
行</t>
        </is>
      </c>
      <c r="B7" s="4" t="inlineStr">
        <is>
          <t>品目コード</t>
        </is>
      </c>
      <c r="C7" s="4" t="inlineStr">
        <is>
          <t>品目名（案件管理表）</t>
        </is>
      </c>
      <c r="D7" s="4" t="inlineStr">
        <is>
          <t>品目名（SAP）</t>
        </is>
      </c>
      <c r="E7" s="4" t="inlineStr">
        <is>
          <t>品目名
照合</t>
        </is>
      </c>
      <c r="F7" s="4" t="inlineStr">
        <is>
          <t>在庫数
（CX催事）</t>
        </is>
      </c>
      <c r="G7" s="4" t="inlineStr">
        <is>
          <t>払出数</t>
        </is>
      </c>
      <c r="H7" s="4" t="inlineStr">
        <is>
          <t>払出後
残数</t>
        </is>
      </c>
      <c r="I7" s="4" t="inlineStr">
        <is>
          <t>判定</t>
        </is>
      </c>
      <c r="J7" s="4" t="inlineStr">
        <is>
          <t>不足数</t>
        </is>
      </c>
    </row>
    <row r="8">
      <c r="A8" s="5" t="inlineStr">
        <is>
          <t>31</t>
        </is>
      </c>
      <c r="B8" s="6" t="inlineStr">
        <is>
          <t>CX2509JKSMPOSCKV</t>
        </is>
      </c>
      <c r="C8" s="6" t="inlineStr">
        <is>
          <t>呪術廻戦展 懐玉玉折 渋谷事変　メタリックポストカード　展示会KV</t>
        </is>
      </c>
      <c r="D8" s="6" t="inlineStr">
        <is>
          <t>呪術廻戦展 懐玉玉折 渋谷事変　メタリックポストカード　展示会KV</t>
        </is>
      </c>
      <c r="E8" s="7" t="inlineStr">
        <is>
          <t>一致</t>
        </is>
      </c>
      <c r="F8" s="8">
        <f>SUMIFS(SAP在庫!$F$2:$F$48,SAP在庫!$B$2:$B$48,$B8)</f>
        <v/>
      </c>
      <c r="G8" s="9" t="n">
        <v>289</v>
      </c>
      <c r="H8" s="8">
        <f>F8-G8</f>
        <v/>
      </c>
      <c r="I8" s="7">
        <f>IF(H8&lt;0,"不足","OK")</f>
        <v/>
      </c>
      <c r="J8" s="8">
        <f>MAX(0,-H8)</f>
        <v/>
      </c>
    </row>
    <row r="9">
      <c r="A9" s="5" t="inlineStr">
        <is>
          <t>32</t>
        </is>
      </c>
      <c r="B9" s="6" t="inlineStr">
        <is>
          <t>CX2509JKSCFKV</t>
        </is>
      </c>
      <c r="C9" s="6" t="inlineStr">
        <is>
          <t>呪術廻戦展 懐玉玉折 渋谷事変　クリアファイル　展示会KV</t>
        </is>
      </c>
      <c r="D9" s="6" t="inlineStr">
        <is>
          <t>呪術廻戦展 懐玉玉折 渋谷事変　クリアファイル　展示会KV</t>
        </is>
      </c>
      <c r="E9" s="7" t="inlineStr">
        <is>
          <t>一致</t>
        </is>
      </c>
      <c r="F9" s="8">
        <f>SUMIFS(SAP在庫!$F$2:$F$48,SAP在庫!$B$2:$B$48,$B9)</f>
        <v/>
      </c>
      <c r="G9" s="9" t="n">
        <v>312</v>
      </c>
      <c r="H9" s="8">
        <f>F9-G9</f>
        <v/>
      </c>
      <c r="I9" s="7">
        <f>IF(H9&lt;0,"不足","OK")</f>
        <v/>
      </c>
      <c r="J9" s="8">
        <f>MAX(0,-H9)</f>
        <v/>
      </c>
    </row>
    <row r="10">
      <c r="A10" s="5" t="inlineStr">
        <is>
          <t>33</t>
        </is>
      </c>
      <c r="B10" s="6" t="inlineStr">
        <is>
          <t>CX2509JKSPOSC-KG5</t>
        </is>
      </c>
      <c r="C10" s="6" t="inlineStr">
        <is>
          <t>呪術廻戦展 懐玉玉折　ポストカードセット（5枚入）</t>
        </is>
      </c>
      <c r="D10" s="6" t="inlineStr">
        <is>
          <t>呪術廻戦展 懐玉玉折　ポストカードセット（5枚入）</t>
        </is>
      </c>
      <c r="E10" s="7" t="inlineStr">
        <is>
          <t>一致</t>
        </is>
      </c>
      <c r="F10" s="8">
        <f>SUMIFS(SAP在庫!$F$2:$F$48,SAP在庫!$B$2:$B$48,$B10)</f>
        <v/>
      </c>
      <c r="G10" s="9" t="n">
        <v>580</v>
      </c>
      <c r="H10" s="8">
        <f>F10-G10</f>
        <v/>
      </c>
      <c r="I10" s="7">
        <f>IF(H10&lt;0,"不足","OK")</f>
        <v/>
      </c>
      <c r="J10" s="8">
        <f>MAX(0,-H10)</f>
        <v/>
      </c>
    </row>
    <row r="11">
      <c r="A11" s="5" t="inlineStr">
        <is>
          <t>34</t>
        </is>
      </c>
      <c r="B11" s="6" t="inlineStr">
        <is>
          <t>CX2509JKSPOSC-SJ9</t>
        </is>
      </c>
      <c r="C11" s="6" t="inlineStr">
        <is>
          <t>呪術廻戦展 渋谷事変　ポストカードセット（9枚入）</t>
        </is>
      </c>
      <c r="D11" s="6" t="inlineStr">
        <is>
          <t>呪術廻戦展 渋谷事変　ポストカードセット（9枚入）</t>
        </is>
      </c>
      <c r="E11" s="7" t="inlineStr">
        <is>
          <t>一致</t>
        </is>
      </c>
      <c r="F11" s="8">
        <f>SUMIFS(SAP在庫!$F$2:$F$48,SAP在庫!$B$2:$B$48,$B11)</f>
        <v/>
      </c>
      <c r="G11" s="9" t="n">
        <v>1143</v>
      </c>
      <c r="H11" s="8">
        <f>F11-G11</f>
        <v/>
      </c>
      <c r="I11" s="7">
        <f>IF(H11&lt;0,"不足","OK")</f>
        <v/>
      </c>
      <c r="J11" s="8">
        <f>MAX(0,-H11)</f>
        <v/>
      </c>
    </row>
    <row r="12">
      <c r="A12" s="5" t="inlineStr">
        <is>
          <t>35</t>
        </is>
      </c>
      <c r="B12" s="6" t="inlineStr">
        <is>
          <t>CX2509JKSBBDG-KG5</t>
        </is>
      </c>
      <c r="C12" s="6" t="inlineStr">
        <is>
          <t>呪術廻戦展 懐玉玉折　ブラインド缶バッジ（全5種）</t>
        </is>
      </c>
      <c r="D12" s="6" t="inlineStr">
        <is>
          <t>呪術廻戦展 懐玉玉折　ブラインド缶バッジ（全5種）</t>
        </is>
      </c>
      <c r="E12" s="7" t="inlineStr">
        <is>
          <t>一致</t>
        </is>
      </c>
      <c r="F12" s="8">
        <f>SUMIFS(SAP在庫!$F$2:$F$48,SAP在庫!$B$2:$B$48,$B12)</f>
        <v/>
      </c>
      <c r="G12" s="9" t="n">
        <v>256</v>
      </c>
      <c r="H12" s="8">
        <f>F12-G12</f>
        <v/>
      </c>
      <c r="I12" s="7">
        <f>IF(H12&lt;0,"不足","OK")</f>
        <v/>
      </c>
      <c r="J12" s="8">
        <f>MAX(0,-H12)</f>
        <v/>
      </c>
    </row>
    <row r="13">
      <c r="A13" s="5" t="inlineStr">
        <is>
          <t>36</t>
        </is>
      </c>
      <c r="B13" s="6" t="inlineStr">
        <is>
          <t>CX2509JKSBBDG-SJ9</t>
        </is>
      </c>
      <c r="C13" s="6" t="inlineStr">
        <is>
          <t>呪術廻戦展 渋谷事変　ブラインド缶バッジ（全9種）</t>
        </is>
      </c>
      <c r="D13" s="6" t="inlineStr">
        <is>
          <t>呪術廻戦展 渋谷事変　ブラインド缶バッジ（全9種）</t>
        </is>
      </c>
      <c r="E13" s="7" t="inlineStr">
        <is>
          <t>一致</t>
        </is>
      </c>
      <c r="F13" s="8">
        <f>SUMIFS(SAP在庫!$F$2:$F$48,SAP在庫!$B$2:$B$48,$B13)</f>
        <v/>
      </c>
      <c r="G13" s="9" t="n">
        <v>573</v>
      </c>
      <c r="H13" s="8">
        <f>F13-G13</f>
        <v/>
      </c>
      <c r="I13" s="7">
        <f>IF(H13&lt;0,"不足","OK")</f>
        <v/>
      </c>
      <c r="J13" s="8">
        <f>MAX(0,-H13)</f>
        <v/>
      </c>
    </row>
    <row r="14">
      <c r="A14" s="5" t="inlineStr">
        <is>
          <t>37</t>
        </is>
      </c>
      <c r="B14" s="6" t="inlineStr">
        <is>
          <t>CX2509JKSBSTK-KG5</t>
        </is>
      </c>
      <c r="C14" s="6" t="inlineStr">
        <is>
          <t>呪術廻戦展 懐玉玉折　ブラインドダイカットステッカー（全5種）</t>
        </is>
      </c>
      <c r="D14" s="6" t="inlineStr">
        <is>
          <t>呪術廻戦展 懐玉玉折　ブラインドダイカットステッカー（全5種）</t>
        </is>
      </c>
      <c r="E14" s="7" t="inlineStr">
        <is>
          <t>一致</t>
        </is>
      </c>
      <c r="F14" s="8">
        <f>SUMIFS(SAP在庫!$F$2:$F$48,SAP在庫!$B$2:$B$48,$B14)</f>
        <v/>
      </c>
      <c r="G14" s="9" t="n">
        <v>162</v>
      </c>
      <c r="H14" s="8">
        <f>F14-G14</f>
        <v/>
      </c>
      <c r="I14" s="7">
        <f>IF(H14&lt;0,"不足","OK")</f>
        <v/>
      </c>
      <c r="J14" s="8">
        <f>MAX(0,-H14)</f>
        <v/>
      </c>
    </row>
    <row r="15">
      <c r="A15" s="5" t="inlineStr">
        <is>
          <t>38</t>
        </is>
      </c>
      <c r="B15" s="6" t="inlineStr">
        <is>
          <t>CX2509JKSBSTK-SJ9</t>
        </is>
      </c>
      <c r="C15" s="6" t="inlineStr">
        <is>
          <t>呪術廻戦展 渋谷事変　ブラインドダイカットステッカー（全9種）</t>
        </is>
      </c>
      <c r="D15" s="6" t="inlineStr">
        <is>
          <t>呪術廻戦展 渋谷事変　ブラインドダイカットステッカー（全9種）</t>
        </is>
      </c>
      <c r="E15" s="7" t="inlineStr">
        <is>
          <t>一致</t>
        </is>
      </c>
      <c r="F15" s="8">
        <f>SUMIFS(SAP在庫!$F$2:$F$48,SAP在庫!$B$2:$B$48,$B15)</f>
        <v/>
      </c>
      <c r="G15" s="9" t="n">
        <v>259</v>
      </c>
      <c r="H15" s="8">
        <f>F15-G15</f>
        <v/>
      </c>
      <c r="I15" s="7">
        <f>IF(H15&lt;0,"不足","OK")</f>
        <v/>
      </c>
      <c r="J15" s="8">
        <f>MAX(0,-H15)</f>
        <v/>
      </c>
    </row>
    <row r="16">
      <c r="A16" s="5" t="inlineStr">
        <is>
          <t>39</t>
        </is>
      </c>
      <c r="B16" s="6" t="inlineStr">
        <is>
          <t>CX2509JKSCF-KGGO</t>
        </is>
      </c>
      <c r="C16" s="6" t="inlineStr">
        <is>
          <t>呪術廻戦展 懐玉玉折　クリアファイル（五条 悟）</t>
        </is>
      </c>
      <c r="D16" s="6" t="inlineStr">
        <is>
          <t>呪術廻戦展 懐玉玉折　クリアファイル（五条 悟）</t>
        </is>
      </c>
      <c r="E16" s="7" t="inlineStr">
        <is>
          <t>一致</t>
        </is>
      </c>
      <c r="F16" s="8">
        <f>SUMIFS(SAP在庫!$F$2:$F$48,SAP在庫!$B$2:$B$48,$B16)</f>
        <v/>
      </c>
      <c r="G16" s="9" t="n">
        <v>52</v>
      </c>
      <c r="H16" s="8">
        <f>F16-G16</f>
        <v/>
      </c>
      <c r="I16" s="7">
        <f>IF(H16&lt;0,"不足","OK")</f>
        <v/>
      </c>
      <c r="J16" s="8">
        <f>MAX(0,-H16)</f>
        <v/>
      </c>
    </row>
    <row r="17">
      <c r="A17" s="5" t="inlineStr">
        <is>
          <t>40</t>
        </is>
      </c>
      <c r="B17" s="6" t="inlineStr">
        <is>
          <t>CX2509JKSCF-KGGE</t>
        </is>
      </c>
      <c r="C17" s="6" t="inlineStr">
        <is>
          <t>呪術廻戦展 懐玉玉折　クリアファイル（夏油 傑）</t>
        </is>
      </c>
      <c r="D17" s="6" t="inlineStr">
        <is>
          <t>呪術廻戦展 懐玉玉折　クリアファイル（夏油 傑）</t>
        </is>
      </c>
      <c r="E17" s="7" t="inlineStr">
        <is>
          <t>一致</t>
        </is>
      </c>
      <c r="F17" s="8">
        <f>SUMIFS(SAP在庫!$F$2:$F$48,SAP在庫!$B$2:$B$48,$B17)</f>
        <v/>
      </c>
      <c r="G17" s="9" t="n">
        <v>20</v>
      </c>
      <c r="H17" s="8">
        <f>F17-G17</f>
        <v/>
      </c>
      <c r="I17" s="7">
        <f>IF(H17&lt;0,"不足","OK")</f>
        <v/>
      </c>
      <c r="J17" s="8">
        <f>MAX(0,-H17)</f>
        <v/>
      </c>
    </row>
    <row r="18">
      <c r="A18" s="5" t="inlineStr">
        <is>
          <t>41</t>
        </is>
      </c>
      <c r="B18" s="6" t="inlineStr">
        <is>
          <t>CX2509JKSCF-KGIS</t>
        </is>
      </c>
      <c r="C18" s="6" t="inlineStr">
        <is>
          <t>呪術廻戦展 懐玉玉折　クリアファイル（家入 硝子）</t>
        </is>
      </c>
      <c r="D18" s="6" t="inlineStr">
        <is>
          <t>呪術廻戦展 懐玉玉折　クリアファイル（家入 硝子）</t>
        </is>
      </c>
      <c r="E18" s="7" t="inlineStr">
        <is>
          <t>一致</t>
        </is>
      </c>
      <c r="F18" s="8">
        <f>SUMIFS(SAP在庫!$F$2:$F$48,SAP在庫!$B$2:$B$48,$B18)</f>
        <v/>
      </c>
      <c r="G18" s="9" t="n">
        <v>8</v>
      </c>
      <c r="H18" s="8">
        <f>F18-G18</f>
        <v/>
      </c>
      <c r="I18" s="7">
        <f>IF(H18&lt;0,"不足","OK")</f>
        <v/>
      </c>
      <c r="J18" s="8">
        <f>MAX(0,-H18)</f>
        <v/>
      </c>
    </row>
    <row r="19">
      <c r="A19" s="5" t="inlineStr">
        <is>
          <t>42</t>
        </is>
      </c>
      <c r="B19" s="6" t="inlineStr">
        <is>
          <t>CX2509JKSCF-KGNM</t>
        </is>
      </c>
      <c r="C19" s="6" t="inlineStr">
        <is>
          <t>呪術廻戦展 懐玉玉折　クリアファイル（七海 建人）</t>
        </is>
      </c>
      <c r="D19" s="6" t="inlineStr">
        <is>
          <t>呪術廻戦展 懐玉玉折　クリアファイル（七海 建人）</t>
        </is>
      </c>
      <c r="E19" s="7" t="inlineStr">
        <is>
          <t>一致</t>
        </is>
      </c>
      <c r="F19" s="8">
        <f>SUMIFS(SAP在庫!$F$2:$F$48,SAP在庫!$B$2:$B$48,$B19)</f>
        <v/>
      </c>
      <c r="G19" s="9" t="n">
        <v>15</v>
      </c>
      <c r="H19" s="8">
        <f>F19-G19</f>
        <v/>
      </c>
      <c r="I19" s="7">
        <f>IF(H19&lt;0,"不足","OK")</f>
        <v/>
      </c>
      <c r="J19" s="8">
        <f>MAX(0,-H19)</f>
        <v/>
      </c>
    </row>
    <row r="20">
      <c r="A20" s="5" t="inlineStr">
        <is>
          <t>43</t>
        </is>
      </c>
      <c r="B20" s="6" t="inlineStr">
        <is>
          <t>CX2509JKSCF-KGHU</t>
        </is>
      </c>
      <c r="C20" s="6" t="inlineStr">
        <is>
          <t>呪術廻戦展 懐玉玉折　クリアファイル（灰原 雄）</t>
        </is>
      </c>
      <c r="D20" s="6" t="inlineStr">
        <is>
          <t>呪術廻戦展 懐玉玉折　クリアファイル（灰原 雄）</t>
        </is>
      </c>
      <c r="E20" s="7" t="inlineStr">
        <is>
          <t>一致</t>
        </is>
      </c>
      <c r="F20" s="8">
        <f>SUMIFS(SAP在庫!$F$2:$F$48,SAP在庫!$B$2:$B$48,$B20)</f>
        <v/>
      </c>
      <c r="G20" s="9" t="n">
        <v>6</v>
      </c>
      <c r="H20" s="8">
        <f>F20-G20</f>
        <v/>
      </c>
      <c r="I20" s="7">
        <f>IF(H20&lt;0,"不足","OK")</f>
        <v/>
      </c>
      <c r="J20" s="8">
        <f>MAX(0,-H20)</f>
        <v/>
      </c>
    </row>
    <row r="21">
      <c r="A21" s="5" t="inlineStr">
        <is>
          <t>44</t>
        </is>
      </c>
      <c r="B21" s="6" t="inlineStr">
        <is>
          <t>CX2509JKSCF-SJIU</t>
        </is>
      </c>
      <c r="C21" s="6" t="inlineStr">
        <is>
          <t>呪術廻戦展 渋谷事変　クリアファイル（虎杖 悠仁）</t>
        </is>
      </c>
      <c r="D21" s="6" t="inlineStr">
        <is>
          <t>呪術廻戦展 渋谷事変　クリアファイル（虎杖 悠仁）</t>
        </is>
      </c>
      <c r="E21" s="7" t="inlineStr">
        <is>
          <t>一致</t>
        </is>
      </c>
      <c r="F21" s="8">
        <f>SUMIFS(SAP在庫!$F$2:$F$48,SAP在庫!$B$2:$B$48,$B21)</f>
        <v/>
      </c>
      <c r="G21" s="9" t="n">
        <v>11</v>
      </c>
      <c r="H21" s="8">
        <f>F21-G21</f>
        <v/>
      </c>
      <c r="I21" s="7">
        <f>IF(H21&lt;0,"不足","OK")</f>
        <v/>
      </c>
      <c r="J21" s="8">
        <f>MAX(0,-H21)</f>
        <v/>
      </c>
    </row>
    <row r="22">
      <c r="A22" s="5" t="inlineStr">
        <is>
          <t>45</t>
        </is>
      </c>
      <c r="B22" s="6" t="inlineStr">
        <is>
          <t>CX2509JKSCF-SJFM</t>
        </is>
      </c>
      <c r="C22" s="6" t="inlineStr">
        <is>
          <t>呪術廻戦展 渋谷事変　クリアファイル（伏黒 恵）</t>
        </is>
      </c>
      <c r="D22" s="6" t="inlineStr">
        <is>
          <t>呪術廻戦展 渋谷事変　クリアファイル（伏黒 恵）</t>
        </is>
      </c>
      <c r="E22" s="7" t="inlineStr">
        <is>
          <t>一致</t>
        </is>
      </c>
      <c r="F22" s="8">
        <f>SUMIFS(SAP在庫!$F$2:$F$48,SAP在庫!$B$2:$B$48,$B22)</f>
        <v/>
      </c>
      <c r="G22" s="9" t="n">
        <v>22</v>
      </c>
      <c r="H22" s="8">
        <f>F22-G22</f>
        <v/>
      </c>
      <c r="I22" s="7">
        <f>IF(H22&lt;0,"不足","OK")</f>
        <v/>
      </c>
      <c r="J22" s="8">
        <f>MAX(0,-H22)</f>
        <v/>
      </c>
    </row>
    <row r="23">
      <c r="A23" s="5" t="inlineStr">
        <is>
          <t>46</t>
        </is>
      </c>
      <c r="B23" s="6" t="inlineStr">
        <is>
          <t>CX2509JKSCF-SJNB</t>
        </is>
      </c>
      <c r="C23" s="6" t="inlineStr">
        <is>
          <t>呪術廻戦展 渋谷事変　クリアファイル（釘崎 野薔薇）</t>
        </is>
      </c>
      <c r="D23" s="6" t="inlineStr">
        <is>
          <t>呪術廻戦展 渋谷事変　クリアファイル（釘崎 野薔薇）</t>
        </is>
      </c>
      <c r="E23" s="7" t="inlineStr">
        <is>
          <t>一致</t>
        </is>
      </c>
      <c r="F23" s="8">
        <f>SUMIFS(SAP在庫!$F$2:$F$48,SAP在庫!$B$2:$B$48,$B23)</f>
        <v/>
      </c>
      <c r="G23" s="9" t="n">
        <v>6</v>
      </c>
      <c r="H23" s="8">
        <f>F23-G23</f>
        <v/>
      </c>
      <c r="I23" s="7">
        <f>IF(H23&lt;0,"不足","OK")</f>
        <v/>
      </c>
      <c r="J23" s="8">
        <f>MAX(0,-H23)</f>
        <v/>
      </c>
    </row>
    <row r="24">
      <c r="A24" s="5" t="inlineStr">
        <is>
          <t>47</t>
        </is>
      </c>
      <c r="B24" s="6" t="inlineStr">
        <is>
          <t>CX2509JKSCF-SJNM</t>
        </is>
      </c>
      <c r="C24" s="6" t="inlineStr">
        <is>
          <t>呪術廻戦展 渋谷事変　クリアファイル（七海 建人）</t>
        </is>
      </c>
      <c r="D24" s="6" t="inlineStr">
        <is>
          <t>呪術廻戦展 渋谷事変　クリアファイル（七海 建人）</t>
        </is>
      </c>
      <c r="E24" s="7" t="inlineStr">
        <is>
          <t>一致</t>
        </is>
      </c>
      <c r="F24" s="8">
        <f>SUMIFS(SAP在庫!$F$2:$F$48,SAP在庫!$B$2:$B$48,$B24)</f>
        <v/>
      </c>
      <c r="G24" s="9" t="n">
        <v>42</v>
      </c>
      <c r="H24" s="8">
        <f>F24-G24</f>
        <v/>
      </c>
      <c r="I24" s="7">
        <f>IF(H24&lt;0,"不足","OK")</f>
        <v/>
      </c>
      <c r="J24" s="8">
        <f>MAX(0,-H24)</f>
        <v/>
      </c>
    </row>
    <row r="25">
      <c r="A25" s="5" t="inlineStr">
        <is>
          <t>48</t>
        </is>
      </c>
      <c r="B25" s="6" t="inlineStr">
        <is>
          <t>CX2509JKSCF-SJGO</t>
        </is>
      </c>
      <c r="C25" s="6" t="inlineStr">
        <is>
          <t>呪術廻戦展 渋谷事変　クリアファイル（五条 悟）</t>
        </is>
      </c>
      <c r="D25" s="6" t="inlineStr">
        <is>
          <t>呪術廻戦展 渋谷事変　クリアファイル（五条 悟）</t>
        </is>
      </c>
      <c r="E25" s="7" t="inlineStr">
        <is>
          <t>一致</t>
        </is>
      </c>
      <c r="F25" s="8">
        <f>SUMIFS(SAP在庫!$F$2:$F$48,SAP在庫!$B$2:$B$48,$B25)</f>
        <v/>
      </c>
      <c r="G25" s="9" t="n">
        <v>152</v>
      </c>
      <c r="H25" s="8">
        <f>F25-G25</f>
        <v/>
      </c>
      <c r="I25" s="7">
        <f>IF(H25&lt;0,"不足","OK")</f>
        <v/>
      </c>
      <c r="J25" s="8">
        <f>MAX(0,-H25)</f>
        <v/>
      </c>
    </row>
    <row r="26">
      <c r="A26" s="5" t="inlineStr">
        <is>
          <t>49</t>
        </is>
      </c>
      <c r="B26" s="6" t="inlineStr">
        <is>
          <t>CX2509JKSCF-SJGE</t>
        </is>
      </c>
      <c r="C26" s="6" t="inlineStr">
        <is>
          <t>呪術廻戦展 渋谷事変　クリアファイル（夏油 傑）</t>
        </is>
      </c>
      <c r="D26" s="6" t="inlineStr">
        <is>
          <t>呪術廻戦展 渋谷事変　クリアファイル（夏油 傑）</t>
        </is>
      </c>
      <c r="E26" s="7" t="inlineStr">
        <is>
          <t>一致</t>
        </is>
      </c>
      <c r="F26" s="8">
        <f>SUMIFS(SAP在庫!$F$2:$F$48,SAP在庫!$B$2:$B$48,$B26)</f>
        <v/>
      </c>
      <c r="G26" s="9" t="n">
        <v>4</v>
      </c>
      <c r="H26" s="8">
        <f>F26-G26</f>
        <v/>
      </c>
      <c r="I26" s="7">
        <f>IF(H26&lt;0,"不足","OK")</f>
        <v/>
      </c>
      <c r="J26" s="8">
        <f>MAX(0,-H26)</f>
        <v/>
      </c>
    </row>
    <row r="27">
      <c r="A27" s="5" t="inlineStr">
        <is>
          <t>50</t>
        </is>
      </c>
      <c r="B27" s="6" t="inlineStr">
        <is>
          <t>CX2509JKSCF-SJMH</t>
        </is>
      </c>
      <c r="C27" s="6" t="inlineStr">
        <is>
          <t>呪術廻戦展 渋谷事変　クリアファイル（真人）</t>
        </is>
      </c>
      <c r="D27" s="6" t="inlineStr">
        <is>
          <t>呪術廻戦展 渋谷事変　クリアファイル（真人）</t>
        </is>
      </c>
      <c r="E27" s="7" t="inlineStr">
        <is>
          <t>一致</t>
        </is>
      </c>
      <c r="F27" s="8">
        <f>SUMIFS(SAP在庫!$F$2:$F$48,SAP在庫!$B$2:$B$48,$B27)</f>
        <v/>
      </c>
      <c r="G27" s="9" t="n">
        <v>5</v>
      </c>
      <c r="H27" s="8">
        <f>F27-G27</f>
        <v/>
      </c>
      <c r="I27" s="7">
        <f>IF(H27&lt;0,"不足","OK")</f>
        <v/>
      </c>
      <c r="J27" s="8">
        <f>MAX(0,-H27)</f>
        <v/>
      </c>
    </row>
    <row r="28">
      <c r="A28" s="5" t="inlineStr">
        <is>
          <t>51</t>
        </is>
      </c>
      <c r="B28" s="6" t="inlineStr">
        <is>
          <t>CX2509JKSCF-SJCS</t>
        </is>
      </c>
      <c r="C28" s="6" t="inlineStr">
        <is>
          <t>呪術廻戦展 渋谷事変　クリアファイル（脹相）</t>
        </is>
      </c>
      <c r="D28" s="6" t="inlineStr">
        <is>
          <t>呪術廻戦展 渋谷事変　クリアファイル（脹相）</t>
        </is>
      </c>
      <c r="E28" s="7" t="inlineStr">
        <is>
          <t>一致</t>
        </is>
      </c>
      <c r="F28" s="8">
        <f>SUMIFS(SAP在庫!$F$2:$F$48,SAP在庫!$B$2:$B$48,$B28)</f>
        <v/>
      </c>
      <c r="G28" s="9" t="n">
        <v>28</v>
      </c>
      <c r="H28" s="8">
        <f>F28-G28</f>
        <v/>
      </c>
      <c r="I28" s="7">
        <f>IF(H28&lt;0,"不足","OK")</f>
        <v/>
      </c>
      <c r="J28" s="8">
        <f>MAX(0,-H28)</f>
        <v/>
      </c>
    </row>
    <row r="29">
      <c r="A29" s="5" t="inlineStr">
        <is>
          <t>52</t>
        </is>
      </c>
      <c r="B29" s="6" t="inlineStr">
        <is>
          <t>CX2509JKSCF-SJSK</t>
        </is>
      </c>
      <c r="C29" s="6" t="inlineStr">
        <is>
          <t>呪術廻戦展 渋谷事変　クリアファイル（宿儺）</t>
        </is>
      </c>
      <c r="D29" s="6" t="inlineStr">
        <is>
          <t>呪術廻戦展 渋谷事変　クリアファイル（宿儺）</t>
        </is>
      </c>
      <c r="E29" s="7" t="inlineStr">
        <is>
          <t>一致</t>
        </is>
      </c>
      <c r="F29" s="8">
        <f>SUMIFS(SAP在庫!$F$2:$F$48,SAP在庫!$B$2:$B$48,$B29)</f>
        <v/>
      </c>
      <c r="G29" s="9" t="n">
        <v>23</v>
      </c>
      <c r="H29" s="8">
        <f>F29-G29</f>
        <v/>
      </c>
      <c r="I29" s="7">
        <f>IF(H29&lt;0,"不足","OK")</f>
        <v/>
      </c>
      <c r="J29" s="8">
        <f>MAX(0,-H29)</f>
        <v/>
      </c>
    </row>
    <row r="30">
      <c r="A30" s="5" t="inlineStr">
        <is>
          <t>53</t>
        </is>
      </c>
      <c r="B30" s="6" t="inlineStr">
        <is>
          <t>CX2509JKSBMCPA-KG5</t>
        </is>
      </c>
      <c r="C30" s="6" t="inlineStr">
        <is>
          <t>呪術廻戦展 懐玉玉折　ブラインドミニ色紙（全5種）</t>
        </is>
      </c>
      <c r="D30" s="6" t="inlineStr">
        <is>
          <t>呪術廻戦展 懐玉玉折　ブラインドミニ色紙（全5種）</t>
        </is>
      </c>
      <c r="E30" s="7" t="inlineStr">
        <is>
          <t>一致</t>
        </is>
      </c>
      <c r="F30" s="8">
        <f>SUMIFS(SAP在庫!$F$2:$F$48,SAP在庫!$B$2:$B$48,$B30)</f>
        <v/>
      </c>
      <c r="G30" s="9" t="n">
        <v>1254</v>
      </c>
      <c r="H30" s="8">
        <f>F30-G30</f>
        <v/>
      </c>
      <c r="I30" s="7">
        <f>IF(H30&lt;0,"不足","OK")</f>
        <v/>
      </c>
      <c r="J30" s="8">
        <f>MAX(0,-H30)</f>
        <v/>
      </c>
    </row>
    <row r="31">
      <c r="A31" s="5" t="inlineStr">
        <is>
          <t>54</t>
        </is>
      </c>
      <c r="B31" s="6" t="inlineStr">
        <is>
          <t>CX2509JKSBMCPA-SJ5</t>
        </is>
      </c>
      <c r="C31" s="6" t="inlineStr">
        <is>
          <t>呪術廻戦展 渋谷事変　ブラインドミニ色紙（全5種）</t>
        </is>
      </c>
      <c r="D31" s="6" t="inlineStr">
        <is>
          <t>呪術廻戦展 渋谷事変　ブラインドミニ色紙（全5種）</t>
        </is>
      </c>
      <c r="E31" s="7" t="inlineStr">
        <is>
          <t>一致</t>
        </is>
      </c>
      <c r="F31" s="8">
        <f>SUMIFS(SAP在庫!$F$2:$F$48,SAP在庫!$B$2:$B$48,$B31)</f>
        <v/>
      </c>
      <c r="G31" s="9" t="n">
        <v>833</v>
      </c>
      <c r="H31" s="8">
        <f>F31-G31</f>
        <v/>
      </c>
      <c r="I31" s="7">
        <f>IF(H31&lt;0,"不足","OK")</f>
        <v/>
      </c>
      <c r="J31" s="8">
        <f>MAX(0,-H31)</f>
        <v/>
      </c>
    </row>
    <row r="32">
      <c r="A32" s="5" t="inlineStr">
        <is>
          <t>55</t>
        </is>
      </c>
      <c r="B32" s="6" t="inlineStr">
        <is>
          <t>CX2509JKSGOBTBALL</t>
        </is>
      </c>
      <c r="C32" s="6" t="inlineStr">
        <is>
          <t>呪術廻戦展 懐玉玉折 渋谷事変　虚式 茈 バスボール</t>
        </is>
      </c>
      <c r="D32" s="6" t="inlineStr">
        <is>
          <t>呪術廻戦展 懐玉玉折 渋谷事変　虚式 ? バスボール</t>
        </is>
      </c>
      <c r="E32" s="7" t="inlineStr">
        <is>
          <t>一致</t>
        </is>
      </c>
      <c r="F32" s="8">
        <f>SUMIFS(SAP在庫!$F$2:$F$48,SAP在庫!$B$2:$B$48,$B32)</f>
        <v/>
      </c>
      <c r="G32" s="9" t="n">
        <v>56</v>
      </c>
      <c r="H32" s="8">
        <f>F32-G32</f>
        <v/>
      </c>
      <c r="I32" s="7">
        <f>IF(H32&lt;0,"不足","OK")</f>
        <v/>
      </c>
      <c r="J32" s="8">
        <f>MAX(0,-H32)</f>
        <v/>
      </c>
    </row>
    <row r="33">
      <c r="A33" s="5" t="inlineStr">
        <is>
          <t>56</t>
        </is>
      </c>
      <c r="B33" s="6" t="inlineStr">
        <is>
          <t>CX2509JKSGEHAIRBD</t>
        </is>
      </c>
      <c r="C33" s="6" t="inlineStr">
        <is>
          <t>呪術廻戦展 懐玉玉折 渋谷事変　前髪ヘアバンド</t>
        </is>
      </c>
      <c r="D33" s="6" t="inlineStr">
        <is>
          <t>呪術廻戦展 懐玉玉折 渋谷事変　前髪ヘアバンド</t>
        </is>
      </c>
      <c r="E33" s="7" t="inlineStr">
        <is>
          <t>一致</t>
        </is>
      </c>
      <c r="F33" s="8">
        <f>SUMIFS(SAP在庫!$F$2:$F$48,SAP在庫!$B$2:$B$48,$B33)</f>
        <v/>
      </c>
      <c r="G33" s="9" t="n">
        <v>50</v>
      </c>
      <c r="H33" s="8">
        <f>F33-G33</f>
        <v/>
      </c>
      <c r="I33" s="7">
        <f>IF(H33&lt;0,"不足","OK")</f>
        <v/>
      </c>
      <c r="J33" s="8">
        <f>MAX(0,-H33)</f>
        <v/>
      </c>
    </row>
    <row r="34">
      <c r="A34" s="5" t="inlineStr">
        <is>
          <t>57</t>
        </is>
      </c>
      <c r="B34" s="6" t="inlineStr">
        <is>
          <t>CX2509JKSBANDAGE</t>
        </is>
      </c>
      <c r="C34" s="6" t="inlineStr">
        <is>
          <t>呪術廻戦展 懐玉玉折 渋谷事変　反転術式絆創膏</t>
        </is>
      </c>
      <c r="D34" s="6" t="inlineStr">
        <is>
          <t>呪術廻戦展 懐玉玉折 渋谷事変　反転術式絆創膏</t>
        </is>
      </c>
      <c r="E34" s="7" t="inlineStr">
        <is>
          <t>一致</t>
        </is>
      </c>
      <c r="F34" s="8">
        <f>SUMIFS(SAP在庫!$F$2:$F$48,SAP在庫!$B$2:$B$48,$B34)</f>
        <v/>
      </c>
      <c r="G34" s="9" t="n">
        <v>20</v>
      </c>
      <c r="H34" s="8">
        <f>F34-G34</f>
        <v/>
      </c>
      <c r="I34" s="7">
        <f>IF(H34&lt;0,"不足","OK")</f>
        <v/>
      </c>
      <c r="J34" s="8">
        <f>MAX(0,-H34)</f>
        <v/>
      </c>
    </row>
    <row r="35">
      <c r="A35" s="5" t="inlineStr">
        <is>
          <t>58</t>
        </is>
      </c>
      <c r="B35" s="6" t="inlineStr">
        <is>
          <t>CX2509JKSSKFINGER</t>
        </is>
      </c>
      <c r="C35" s="6" t="inlineStr">
        <is>
          <t>呪術廻戦展 懐玉玉折 渋谷事変　宿儺の指風お菓子</t>
        </is>
      </c>
      <c r="D35" s="6" t="inlineStr">
        <is>
          <t>呪術廻戦展 懐玉玉折 渋谷事変　宿儺の指風お菓子</t>
        </is>
      </c>
      <c r="E35" s="7" t="inlineStr">
        <is>
          <t>一致</t>
        </is>
      </c>
      <c r="F35" s="8">
        <f>SUMIFS(SAP在庫!$F$2:$F$48,SAP在庫!$B$2:$B$48,$B35)</f>
        <v/>
      </c>
      <c r="G35" s="9" t="n">
        <v>800</v>
      </c>
      <c r="H35" s="8">
        <f>F35-G35</f>
        <v/>
      </c>
      <c r="I35" s="7">
        <f>IF(H35&lt;0,"不足","OK")</f>
        <v/>
      </c>
      <c r="J35" s="8">
        <f>MAX(0,-H35)</f>
        <v/>
      </c>
    </row>
    <row r="36">
      <c r="A36" s="5" t="inlineStr">
        <is>
          <t>59</t>
        </is>
      </c>
      <c r="B36" s="6" t="inlineStr">
        <is>
          <t>CX2509JKSDTPCHCLP</t>
        </is>
      </c>
      <c r="C36" s="6" t="inlineStr">
        <is>
          <t>呪術廻戦展 懐玉玉折 渋谷事変　脱兎 ポーチ入りクリップセット</t>
        </is>
      </c>
      <c r="D36" s="6" t="inlineStr">
        <is>
          <t>呪術廻戦展 懐玉玉折 渋谷事変　脱兎 ポーチ入りクリップセット</t>
        </is>
      </c>
      <c r="E36" s="7" t="inlineStr">
        <is>
          <t>一致</t>
        </is>
      </c>
      <c r="F36" s="8">
        <f>SUMIFS(SAP在庫!$F$2:$F$48,SAP在庫!$B$2:$B$48,$B36)</f>
        <v/>
      </c>
      <c r="G36" s="9" t="n">
        <v>92</v>
      </c>
      <c r="H36" s="8">
        <f>F36-G36</f>
        <v/>
      </c>
      <c r="I36" s="7">
        <f>IF(H36&lt;0,"不足","OK")</f>
        <v/>
      </c>
      <c r="J36" s="8">
        <f>MAX(0,-H36)</f>
        <v/>
      </c>
    </row>
    <row r="37">
      <c r="A37" s="5" t="inlineStr">
        <is>
          <t>60</t>
        </is>
      </c>
      <c r="B37" s="6" t="inlineStr">
        <is>
          <t>CX2509JKSDTPCHCLP2</t>
        </is>
      </c>
      <c r="C37" s="6" t="inlineStr">
        <is>
          <t>呪術廻戦展 懐玉玉折 渋谷事変　脱兎クリップのみ(1SET 5個)</t>
        </is>
      </c>
      <c r="D37" s="6" t="inlineStr">
        <is>
          <t>呪術廻戦展 懐玉玉折 渋谷事変　脱兎クリップのみ(1SET 5個)</t>
        </is>
      </c>
      <c r="E37" s="7" t="inlineStr">
        <is>
          <t>一致</t>
        </is>
      </c>
      <c r="F37" s="8">
        <f>SUMIFS(SAP在庫!$F$2:$F$48,SAP在庫!$B$2:$B$48,$B37)</f>
        <v/>
      </c>
      <c r="G37" s="9" t="n">
        <v>92</v>
      </c>
      <c r="H37" s="8">
        <f>F37-G37</f>
        <v/>
      </c>
      <c r="I37" s="7">
        <f>IF(H37&lt;0,"不足","OK")</f>
        <v/>
      </c>
      <c r="J37" s="8">
        <f>MAX(0,-H37)</f>
        <v/>
      </c>
    </row>
    <row r="38">
      <c r="A38" s="5" t="inlineStr">
        <is>
          <t>61</t>
        </is>
      </c>
      <c r="B38" s="6" t="inlineStr">
        <is>
          <t>CX2509JKSNBECOBAG</t>
        </is>
      </c>
      <c r="C38" s="6" t="inlineStr">
        <is>
          <t>呪術廻戦展 懐玉玉折 渋谷事変　釘崎のポーチ風エコバッグ</t>
        </is>
      </c>
      <c r="D38" s="6" t="inlineStr">
        <is>
          <t>呪術廻戦展 懐玉玉折 渋谷事変　釘崎のポーチ風エコバッグ</t>
        </is>
      </c>
      <c r="E38" s="7" t="inlineStr">
        <is>
          <t>一致</t>
        </is>
      </c>
      <c r="F38" s="8">
        <f>SUMIFS(SAP在庫!$F$2:$F$48,SAP在庫!$B$2:$B$48,$B38)</f>
        <v/>
      </c>
      <c r="G38" s="9" t="n">
        <v>47</v>
      </c>
      <c r="H38" s="8">
        <f>F38-G38</f>
        <v/>
      </c>
      <c r="I38" s="7">
        <f>IF(H38&lt;0,"不足","OK")</f>
        <v/>
      </c>
      <c r="J38" s="8">
        <f>MAX(0,-H38)</f>
        <v/>
      </c>
    </row>
    <row r="39">
      <c r="A39" s="5" t="inlineStr">
        <is>
          <t>62</t>
        </is>
      </c>
      <c r="B39" s="6" t="inlineStr">
        <is>
          <t>CX2509JKSPLANNER</t>
        </is>
      </c>
      <c r="C39" s="6" t="inlineStr">
        <is>
          <t>呪術廻戦展 懐玉玉折 渋谷事変　半年分の情報が書き込める手帳</t>
        </is>
      </c>
      <c r="D39" s="6" t="inlineStr">
        <is>
          <t>呪術廻戦展 懐玉玉折 渋谷事変　半年分の情報が書き込める手帳</t>
        </is>
      </c>
      <c r="E39" s="7" t="inlineStr">
        <is>
          <t>一致</t>
        </is>
      </c>
      <c r="F39" s="8">
        <f>SUMIFS(SAP在庫!$F$2:$F$48,SAP在庫!$B$2:$B$48,$B39)</f>
        <v/>
      </c>
      <c r="G39" s="9" t="n">
        <v>63</v>
      </c>
      <c r="H39" s="8">
        <f>F39-G39</f>
        <v/>
      </c>
      <c r="I39" s="7">
        <f>IF(H39&lt;0,"不足","OK")</f>
        <v/>
      </c>
      <c r="J39" s="8">
        <f>MAX(0,-H39)</f>
        <v/>
      </c>
    </row>
    <row r="40">
      <c r="A40" s="5" t="inlineStr">
        <is>
          <t>63</t>
        </is>
      </c>
      <c r="B40" s="6" t="inlineStr">
        <is>
          <t>CX2509JKSMUSICBOX</t>
        </is>
      </c>
      <c r="C40" s="6" t="inlineStr">
        <is>
          <t>呪術廻戦展 懐玉玉折 渋谷事変　気分リフレッシュオルゴール</t>
        </is>
      </c>
      <c r="D40" s="6" t="inlineStr">
        <is>
          <t>呪術廻戦展 懐玉玉折 渋谷事変　気分リフレッシュオルゴール</t>
        </is>
      </c>
      <c r="E40" s="7" t="inlineStr">
        <is>
          <t>一致</t>
        </is>
      </c>
      <c r="F40" s="8">
        <f>SUMIFS(SAP在庫!$F$2:$F$48,SAP在庫!$B$2:$B$48,$B40)</f>
        <v/>
      </c>
      <c r="G40" s="9" t="n">
        <v>5</v>
      </c>
      <c r="H40" s="8">
        <f>F40-G40</f>
        <v/>
      </c>
      <c r="I40" s="7">
        <f>IF(H40&lt;0,"不足","OK")</f>
        <v/>
      </c>
      <c r="J40" s="8">
        <f>MAX(0,-H40)</f>
        <v/>
      </c>
    </row>
    <row r="41">
      <c r="A41" s="5" t="inlineStr">
        <is>
          <t>64</t>
        </is>
      </c>
      <c r="B41" s="6" t="inlineStr">
        <is>
          <t>CX2509JKSIRG-GO11</t>
        </is>
      </c>
      <c r="C41" s="6" t="inlineStr">
        <is>
          <t>呪術廻戦展 懐玉玉折 渋谷事変　五条 悟　イメージリング（#11）</t>
        </is>
      </c>
      <c r="D41" s="6" t="inlineStr">
        <is>
          <t>呪術廻戦展 懐玉玉折 渋谷事変　五条 悟　イメージリング（#11）</t>
        </is>
      </c>
      <c r="E41" s="7" t="inlineStr">
        <is>
          <t>一致</t>
        </is>
      </c>
      <c r="F41" s="8">
        <f>SUMIFS(SAP在庫!$F$2:$F$48,SAP在庫!$B$2:$B$48,$B41)</f>
        <v/>
      </c>
      <c r="G41" s="9" t="n">
        <v>4</v>
      </c>
      <c r="H41" s="8">
        <f>F41-G41</f>
        <v/>
      </c>
      <c r="I41" s="7">
        <f>IF(H41&lt;0,"不足","OK")</f>
        <v/>
      </c>
      <c r="J41" s="8">
        <f>MAX(0,-H41)</f>
        <v/>
      </c>
    </row>
    <row r="42">
      <c r="A42" s="5" t="inlineStr">
        <is>
          <t>65</t>
        </is>
      </c>
      <c r="B42" s="6" t="inlineStr">
        <is>
          <t>CX2509JKSIRG-GO13</t>
        </is>
      </c>
      <c r="C42" s="6" t="inlineStr">
        <is>
          <t>呪術廻戦展 懐玉玉折 渋谷事変　五条 悟　イメージリング（#13）</t>
        </is>
      </c>
      <c r="D42" s="6" t="inlineStr">
        <is>
          <t>呪術廻戦展 懐玉玉折 渋谷事変　五条 悟　イメージリング（#13）</t>
        </is>
      </c>
      <c r="E42" s="7" t="inlineStr">
        <is>
          <t>一致</t>
        </is>
      </c>
      <c r="F42" s="8">
        <f>SUMIFS(SAP在庫!$F$2:$F$48,SAP在庫!$B$2:$B$48,$B42)</f>
        <v/>
      </c>
      <c r="G42" s="9" t="n">
        <v>1</v>
      </c>
      <c r="H42" s="8">
        <f>F42-G42</f>
        <v/>
      </c>
      <c r="I42" s="7">
        <f>IF(H42&lt;0,"不足","OK")</f>
        <v/>
      </c>
      <c r="J42" s="8">
        <f>MAX(0,-H42)</f>
        <v/>
      </c>
    </row>
    <row r="43">
      <c r="A43" s="5" t="inlineStr">
        <is>
          <t>66</t>
        </is>
      </c>
      <c r="B43" s="6" t="inlineStr">
        <is>
          <t>CX2509JKSIRG-GO15</t>
        </is>
      </c>
      <c r="C43" s="6" t="inlineStr">
        <is>
          <t>呪術廻戦展 懐玉玉折 渋谷事変　五条 悟　イメージリング（#15）</t>
        </is>
      </c>
      <c r="D43" s="6" t="inlineStr">
        <is>
          <t>呪術廻戦展 懐玉玉折 渋谷事変　五条 悟　イメージリング（#15）</t>
        </is>
      </c>
      <c r="E43" s="7" t="inlineStr">
        <is>
          <t>一致</t>
        </is>
      </c>
      <c r="F43" s="8">
        <f>SUMIFS(SAP在庫!$F$2:$F$48,SAP在庫!$B$2:$B$48,$B43)</f>
        <v/>
      </c>
      <c r="G43" s="9" t="n">
        <v>1</v>
      </c>
      <c r="H43" s="8">
        <f>F43-G43</f>
        <v/>
      </c>
      <c r="I43" s="7">
        <f>IF(H43&lt;0,"不足","OK")</f>
        <v/>
      </c>
      <c r="J43" s="8">
        <f>MAX(0,-H43)</f>
        <v/>
      </c>
    </row>
    <row r="44">
      <c r="A44" s="5" t="inlineStr">
        <is>
          <t>67</t>
        </is>
      </c>
      <c r="B44" s="6" t="inlineStr">
        <is>
          <t>CX2509JKSIRG-GO17</t>
        </is>
      </c>
      <c r="C44" s="6" t="inlineStr">
        <is>
          <t>呪術廻戦展 懐玉玉折 渋谷事変　五条 悟　イメージリング（#17）</t>
        </is>
      </c>
      <c r="D44" s="6" t="inlineStr">
        <is>
          <t>呪術廻戦展 懐玉玉折 渋谷事変　五条 悟　イメージリング（#17）</t>
        </is>
      </c>
      <c r="E44" s="7" t="inlineStr">
        <is>
          <t>一致</t>
        </is>
      </c>
      <c r="F44" s="8">
        <f>SUMIFS(SAP在庫!$F$2:$F$48,SAP在庫!$B$2:$B$48,$B44)</f>
        <v/>
      </c>
      <c r="G44" s="9" t="n">
        <v>1</v>
      </c>
      <c r="H44" s="8">
        <f>F44-G44</f>
        <v/>
      </c>
      <c r="I44" s="7">
        <f>IF(H44&lt;0,"不足","OK")</f>
        <v/>
      </c>
      <c r="J44" s="8">
        <f>MAX(0,-H44)</f>
        <v/>
      </c>
    </row>
    <row r="45">
      <c r="A45" s="5" t="inlineStr">
        <is>
          <t>68</t>
        </is>
      </c>
      <c r="B45" s="6" t="inlineStr">
        <is>
          <t>CX2509JKSIRG-GE11</t>
        </is>
      </c>
      <c r="C45" s="6" t="inlineStr">
        <is>
          <t>呪術廻戦展 懐玉玉折 渋谷事変　夏油 傑　イメージリング（#11）</t>
        </is>
      </c>
      <c r="D45" s="6" t="inlineStr">
        <is>
          <t>呪術廻戦展 懐玉玉折 渋谷事変　夏油 傑　イメージリング（#11）</t>
        </is>
      </c>
      <c r="E45" s="7" t="inlineStr">
        <is>
          <t>一致</t>
        </is>
      </c>
      <c r="F45" s="8">
        <f>SUMIFS(SAP在庫!$F$2:$F$48,SAP在庫!$B$2:$B$48,$B45)</f>
        <v/>
      </c>
      <c r="G45" s="9" t="n">
        <v>5</v>
      </c>
      <c r="H45" s="8">
        <f>F45-G45</f>
        <v/>
      </c>
      <c r="I45" s="7">
        <f>IF(H45&lt;0,"不足","OK")</f>
        <v/>
      </c>
      <c r="J45" s="8">
        <f>MAX(0,-H45)</f>
        <v/>
      </c>
    </row>
    <row r="46">
      <c r="A46" s="5" t="inlineStr">
        <is>
          <t>69</t>
        </is>
      </c>
      <c r="B46" s="6" t="inlineStr">
        <is>
          <t>CX2509JKSIRG-GE13</t>
        </is>
      </c>
      <c r="C46" s="6" t="inlineStr">
        <is>
          <t>呪術廻戦展 懐玉玉折 渋谷事変　夏油 傑　イメージリング（#13）</t>
        </is>
      </c>
      <c r="D46" s="6" t="inlineStr">
        <is>
          <t>呪術廻戦展 懐玉玉折 渋谷事変　夏油 傑　イメージリング（#13）</t>
        </is>
      </c>
      <c r="E46" s="7" t="inlineStr">
        <is>
          <t>一致</t>
        </is>
      </c>
      <c r="F46" s="8">
        <f>SUMIFS(SAP在庫!$F$2:$F$48,SAP在庫!$B$2:$B$48,$B46)</f>
        <v/>
      </c>
      <c r="G46" s="9" t="n">
        <v>1</v>
      </c>
      <c r="H46" s="8">
        <f>F46-G46</f>
        <v/>
      </c>
      <c r="I46" s="7">
        <f>IF(H46&lt;0,"不足","OK")</f>
        <v/>
      </c>
      <c r="J46" s="8">
        <f>MAX(0,-H46)</f>
        <v/>
      </c>
    </row>
    <row r="47">
      <c r="A47" s="5" t="inlineStr">
        <is>
          <t>70</t>
        </is>
      </c>
      <c r="B47" s="6" t="inlineStr">
        <is>
          <t>CX2509JKSIRG-GE15</t>
        </is>
      </c>
      <c r="C47" s="6" t="inlineStr">
        <is>
          <t>呪術廻戦展 懐玉玉折 渋谷事変　夏油 傑　イメージリング（#15）</t>
        </is>
      </c>
      <c r="D47" s="6" t="inlineStr">
        <is>
          <t>呪術廻戦展 懐玉玉折 渋谷事変　夏油 傑　イメージリング（#15）</t>
        </is>
      </c>
      <c r="E47" s="7" t="inlineStr">
        <is>
          <t>一致</t>
        </is>
      </c>
      <c r="F47" s="8">
        <f>SUMIFS(SAP在庫!$F$2:$F$48,SAP在庫!$B$2:$B$48,$B47)</f>
        <v/>
      </c>
      <c r="G47" s="9" t="n">
        <v>1</v>
      </c>
      <c r="H47" s="8">
        <f>F47-G47</f>
        <v/>
      </c>
      <c r="I47" s="7">
        <f>IF(H47&lt;0,"不足","OK")</f>
        <v/>
      </c>
      <c r="J47" s="8">
        <f>MAX(0,-H47)</f>
        <v/>
      </c>
    </row>
    <row r="48">
      <c r="A48" s="5" t="inlineStr">
        <is>
          <t>71</t>
        </is>
      </c>
      <c r="B48" s="6" t="inlineStr">
        <is>
          <t>CX2509JKSIRG-GE17</t>
        </is>
      </c>
      <c r="C48" s="6" t="inlineStr">
        <is>
          <t>呪術廻戦展 懐玉玉折 渋谷事変　夏油 傑　イメージリング（#17）</t>
        </is>
      </c>
      <c r="D48" s="6" t="inlineStr">
        <is>
          <t>呪術廻戦展 懐玉玉折 渋谷事変　夏油 傑　イメージリング（#17）</t>
        </is>
      </c>
      <c r="E48" s="7" t="inlineStr">
        <is>
          <t>一致</t>
        </is>
      </c>
      <c r="F48" s="8">
        <f>SUMIFS(SAP在庫!$F$2:$F$48,SAP在庫!$B$2:$B$48,$B48)</f>
        <v/>
      </c>
      <c r="G48" s="9" t="n">
        <v>1</v>
      </c>
      <c r="H48" s="8">
        <f>F48-G48</f>
        <v/>
      </c>
      <c r="I48" s="7">
        <f>IF(H48&lt;0,"不足","OK")</f>
        <v/>
      </c>
      <c r="J48" s="8">
        <f>MAX(0,-H48)</f>
        <v/>
      </c>
    </row>
    <row r="49">
      <c r="A49" s="10" t="n"/>
      <c r="B49" s="10" t="n"/>
      <c r="C49" s="10" t="inlineStr">
        <is>
          <t>合計</t>
        </is>
      </c>
      <c r="D49" s="10" t="n"/>
      <c r="E49" s="10" t="n"/>
      <c r="F49" s="11">
        <f>SUM(F8:F48)</f>
        <v/>
      </c>
      <c r="G49" s="11">
        <f>SUM(G8:G48)</f>
        <v/>
      </c>
      <c r="H49" s="11">
        <f>SUM(H8:H48)</f>
        <v/>
      </c>
      <c r="I49" s="10" t="n"/>
      <c r="J49" s="11">
        <f>SUM(J8:J48)</f>
        <v/>
      </c>
    </row>
    <row r="51">
      <c r="B51" s="2" t="inlineStr">
        <is>
          <t>対象品目数</t>
        </is>
      </c>
      <c r="C51" s="12">
        <f>COUNTA(B8:B48)</f>
        <v/>
      </c>
    </row>
    <row r="52">
      <c r="B52" s="2" t="inlineStr">
        <is>
          <t>不足（マイナス）品目数</t>
        </is>
      </c>
      <c r="C52" s="12">
        <f>COUNTIF(I8:I48,"不足")</f>
        <v/>
      </c>
    </row>
    <row r="53">
      <c r="B53" s="2" t="inlineStr">
        <is>
          <t>残数0の品目数（問題なし）</t>
        </is>
      </c>
      <c r="C53" s="12">
        <f>COUNTIF(H8:H48,0)</f>
        <v/>
      </c>
    </row>
    <row r="54">
      <c r="B54" s="2" t="inlineStr">
        <is>
          <t>品目名 要確認・該当なし</t>
        </is>
      </c>
      <c r="C54" s="12">
        <f>COUNTIF(E8:E48,"&lt;&gt;一致")</f>
        <v/>
      </c>
    </row>
    <row r="56">
      <c r="B56" s="13" t="inlineStr">
        <is>
          <t>※払出数（青字）は案件管理表から転記。在庫数・残数・判定はSAP在庫シートを参照する数式。</t>
        </is>
      </c>
    </row>
  </sheetData>
  <autoFilter ref="A7:J48"/>
  <conditionalFormatting sqref="A8:J48">
    <cfRule type="expression" priority="1" dxfId="0">
      <formula>$H8&lt;0</formula>
    </cfRule>
    <cfRule type="expression" priority="2" dxfId="1">
      <formula>$H8=0</formula>
    </cfRule>
  </conditionalFormatting>
  <conditionalFormatting sqref="E8:E48">
    <cfRule type="expression" priority="3" dxfId="2">
      <formula>$E8&lt;&gt;"一致"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>
      <c r="A1" s="4" t="inlineStr">
        <is>
          <t>JANコード(EAN/UPC)</t>
        </is>
      </c>
      <c r="B1" s="4" t="inlineStr">
        <is>
          <t>品目コード</t>
        </is>
      </c>
      <c r="C1" s="4" t="inlineStr">
        <is>
          <t>品目テキスト</t>
        </is>
      </c>
      <c r="D1" s="4" t="inlineStr">
        <is>
          <t>保管場所</t>
        </is>
      </c>
      <c r="E1" s="4" t="inlineStr">
        <is>
          <t>保管場所名</t>
        </is>
      </c>
      <c r="F1" s="4" t="inlineStr">
        <is>
          <t>在庫数量</t>
        </is>
      </c>
      <c r="G1" s="4" t="inlineStr">
        <is>
          <t>在庫金額</t>
        </is>
      </c>
    </row>
    <row r="2">
      <c r="A2" s="6" t="inlineStr">
        <is>
          <t>4515142545082</t>
        </is>
      </c>
      <c r="B2" s="6" t="inlineStr">
        <is>
          <t>CX2509JKSMPOSCKV</t>
        </is>
      </c>
      <c r="C2" s="6" t="inlineStr">
        <is>
          <t>呪術廻戦展 懐玉玉折 渋谷事変　メタリックポストカード　展示会KV</t>
        </is>
      </c>
      <c r="D2" s="6" t="inlineStr">
        <is>
          <t>CX01</t>
        </is>
      </c>
      <c r="E2" s="6" t="inlineStr">
        <is>
          <t>CX催事</t>
        </is>
      </c>
      <c r="F2" s="8" t="n">
        <v>489</v>
      </c>
      <c r="G2" s="8" t="n">
        <v>44499</v>
      </c>
    </row>
    <row r="3">
      <c r="A3" s="6" t="inlineStr">
        <is>
          <t>4515142545099</t>
        </is>
      </c>
      <c r="B3" s="6" t="inlineStr">
        <is>
          <t>CX2509JKSCFKV</t>
        </is>
      </c>
      <c r="C3" s="6" t="inlineStr">
        <is>
          <t>呪術廻戦展 懐玉玉折 渋谷事変　クリアファイル　展示会KV</t>
        </is>
      </c>
      <c r="D3" s="6" t="inlineStr">
        <is>
          <t>CX01</t>
        </is>
      </c>
      <c r="E3" s="6" t="inlineStr">
        <is>
          <t>CX催事</t>
        </is>
      </c>
      <c r="F3" s="8" t="n">
        <v>460</v>
      </c>
      <c r="G3" s="8" t="n">
        <v>15180</v>
      </c>
    </row>
    <row r="4">
      <c r="A4" s="6" t="inlineStr">
        <is>
          <t>4515142545105</t>
        </is>
      </c>
      <c r="B4" s="6" t="inlineStr">
        <is>
          <t>CX2509JKSPOSC-KG5</t>
        </is>
      </c>
      <c r="C4" s="6" t="inlineStr">
        <is>
          <t>呪術廻戦展 懐玉玉折　ポストカードセット（5枚入）</t>
        </is>
      </c>
      <c r="D4" s="6" t="inlineStr">
        <is>
          <t>CX01</t>
        </is>
      </c>
      <c r="E4" s="6" t="inlineStr">
        <is>
          <t>CX催事</t>
        </is>
      </c>
      <c r="F4" s="8" t="n">
        <v>12721</v>
      </c>
      <c r="G4" s="8" t="n">
        <v>508840</v>
      </c>
    </row>
    <row r="5">
      <c r="A5" s="6" t="inlineStr">
        <is>
          <t>4515142545112</t>
        </is>
      </c>
      <c r="B5" s="6" t="inlineStr">
        <is>
          <t>CX2509JKSPOSC-SJ9</t>
        </is>
      </c>
      <c r="C5" s="6" t="inlineStr">
        <is>
          <t>呪術廻戦展 渋谷事変　ポストカードセット（9枚入）</t>
        </is>
      </c>
      <c r="D5" s="6" t="inlineStr">
        <is>
          <t>CX01</t>
        </is>
      </c>
      <c r="E5" s="6" t="inlineStr">
        <is>
          <t>CX催事</t>
        </is>
      </c>
      <c r="F5" s="8" t="n">
        <v>37328</v>
      </c>
      <c r="G5" s="8" t="n">
        <v>858544</v>
      </c>
    </row>
    <row r="6">
      <c r="A6" s="6" t="inlineStr">
        <is>
          <t>4515142545129</t>
        </is>
      </c>
      <c r="B6" s="6" t="inlineStr">
        <is>
          <t>CX2509JKSBBDG-KG5</t>
        </is>
      </c>
      <c r="C6" s="6" t="inlineStr">
        <is>
          <t>呪術廻戦展 懐玉玉折　ブラインド缶バッジ（全5種）</t>
        </is>
      </c>
      <c r="D6" s="6" t="inlineStr">
        <is>
          <t>CX01</t>
        </is>
      </c>
      <c r="E6" s="6" t="inlineStr">
        <is>
          <t>CX催事</t>
        </is>
      </c>
      <c r="F6" s="8" t="n">
        <v>8320</v>
      </c>
      <c r="G6" s="8" t="n">
        <v>773760</v>
      </c>
    </row>
    <row r="7">
      <c r="A7" s="6" t="inlineStr">
        <is>
          <t>4515142545136</t>
        </is>
      </c>
      <c r="B7" s="6" t="inlineStr">
        <is>
          <t>CX2509JKSBBDG-SJ9</t>
        </is>
      </c>
      <c r="C7" s="6" t="inlineStr">
        <is>
          <t>呪術廻戦展 渋谷事変　ブラインド缶バッジ（全9種）</t>
        </is>
      </c>
      <c r="D7" s="6" t="inlineStr">
        <is>
          <t>CX01</t>
        </is>
      </c>
      <c r="E7" s="6" t="inlineStr">
        <is>
          <t>CX催事</t>
        </is>
      </c>
      <c r="F7" s="8" t="n">
        <v>11948</v>
      </c>
      <c r="G7" s="8" t="n">
        <v>1111164</v>
      </c>
    </row>
    <row r="8">
      <c r="A8" s="6" t="inlineStr">
        <is>
          <t>4515142545143</t>
        </is>
      </c>
      <c r="B8" s="6" t="inlineStr">
        <is>
          <t>CX2509JKSBSTK-KG5</t>
        </is>
      </c>
      <c r="C8" s="6" t="inlineStr">
        <is>
          <t>呪術廻戦展 懐玉玉折　ブラインドダイカットステッカー（全5種）</t>
        </is>
      </c>
      <c r="D8" s="6" t="inlineStr">
        <is>
          <t>CX01</t>
        </is>
      </c>
      <c r="E8" s="6" t="inlineStr">
        <is>
          <t>CX催事</t>
        </is>
      </c>
      <c r="F8" s="8" t="n">
        <v>162</v>
      </c>
      <c r="G8" s="8" t="n">
        <v>16362</v>
      </c>
    </row>
    <row r="9">
      <c r="A9" s="6" t="inlineStr">
        <is>
          <t>4515142545150</t>
        </is>
      </c>
      <c r="B9" s="6" t="inlineStr">
        <is>
          <t>CX2509JKSBSTK-SJ9</t>
        </is>
      </c>
      <c r="C9" s="6" t="inlineStr">
        <is>
          <t>呪術廻戦展 渋谷事変　ブラインドダイカットステッカー（全9種）</t>
        </is>
      </c>
      <c r="D9" s="6" t="inlineStr">
        <is>
          <t>CX01</t>
        </is>
      </c>
      <c r="E9" s="6" t="inlineStr">
        <is>
          <t>CX催事</t>
        </is>
      </c>
      <c r="F9" s="8" t="n">
        <v>507</v>
      </c>
      <c r="G9" s="8" t="n">
        <v>46137</v>
      </c>
    </row>
    <row r="10">
      <c r="A10" s="6" t="inlineStr">
        <is>
          <t>4515142545174</t>
        </is>
      </c>
      <c r="B10" s="6" t="inlineStr">
        <is>
          <t>CX2509JKSBMCPA-KG5</t>
        </is>
      </c>
      <c r="C10" s="6" t="inlineStr">
        <is>
          <t>呪術廻戦展 懐玉玉折　ブラインドミニ色紙（全5種）</t>
        </is>
      </c>
      <c r="D10" s="6" t="inlineStr">
        <is>
          <t>CX01</t>
        </is>
      </c>
      <c r="E10" s="6" t="inlineStr">
        <is>
          <t>CX催事</t>
        </is>
      </c>
      <c r="F10" s="8" t="n">
        <v>8447</v>
      </c>
      <c r="G10" s="8" t="n">
        <v>675760</v>
      </c>
    </row>
    <row r="11">
      <c r="A11" s="6" t="inlineStr">
        <is>
          <t>4515142545181</t>
        </is>
      </c>
      <c r="B11" s="6" t="inlineStr">
        <is>
          <t>CX2509JKSBMCPA-SJ5</t>
        </is>
      </c>
      <c r="C11" s="6" t="inlineStr">
        <is>
          <t>呪術廻戦展 渋谷事変　ブラインドミニ色紙（全5種）</t>
        </is>
      </c>
      <c r="D11" s="6" t="inlineStr">
        <is>
          <t>CX01</t>
        </is>
      </c>
      <c r="E11" s="6" t="inlineStr">
        <is>
          <t>CX催事</t>
        </is>
      </c>
      <c r="F11" s="8" t="n">
        <v>6777</v>
      </c>
      <c r="G11" s="8" t="n">
        <v>562491</v>
      </c>
    </row>
    <row r="12">
      <c r="A12" s="6" t="inlineStr">
        <is>
          <t>4515142545198</t>
        </is>
      </c>
      <c r="B12" s="6" t="inlineStr">
        <is>
          <t>CX2509JKSGOBTBALL</t>
        </is>
      </c>
      <c r="C12" s="6" t="inlineStr">
        <is>
          <t>呪術廻戦展 懐玉玉折 渋谷事変　虚式 ? バスボール</t>
        </is>
      </c>
      <c r="D12" s="6" t="inlineStr">
        <is>
          <t>CX01</t>
        </is>
      </c>
      <c r="E12" s="6" t="inlineStr">
        <is>
          <t>CX催事</t>
        </is>
      </c>
      <c r="F12" s="8" t="n">
        <v>146</v>
      </c>
      <c r="G12" s="8" t="n">
        <v>35040</v>
      </c>
    </row>
    <row r="13">
      <c r="A13" s="6" t="inlineStr">
        <is>
          <t>4515142545204</t>
        </is>
      </c>
      <c r="B13" s="6" t="inlineStr">
        <is>
          <t>CX2509JKSGEHAIRBD</t>
        </is>
      </c>
      <c r="C13" s="6" t="inlineStr">
        <is>
          <t>呪術廻戦展 懐玉玉折 渋谷事変　前髪ヘアバンド</t>
        </is>
      </c>
      <c r="D13" s="6" t="inlineStr">
        <is>
          <t>CX01</t>
        </is>
      </c>
      <c r="E13" s="6" t="inlineStr">
        <is>
          <t>CX催事</t>
        </is>
      </c>
      <c r="F13" s="8" t="n">
        <v>50</v>
      </c>
      <c r="G13" s="8" t="n">
        <v>43600</v>
      </c>
    </row>
    <row r="14">
      <c r="A14" s="6" t="inlineStr">
        <is>
          <t>4515142545211</t>
        </is>
      </c>
      <c r="B14" s="6" t="inlineStr">
        <is>
          <t>CX2509JKSBANDAGE</t>
        </is>
      </c>
      <c r="C14" s="6" t="inlineStr">
        <is>
          <t>呪術廻戦展 懐玉玉折 渋谷事変　反転術式絆創膏</t>
        </is>
      </c>
      <c r="D14" s="6" t="inlineStr">
        <is>
          <t>CX01</t>
        </is>
      </c>
      <c r="E14" s="6" t="inlineStr">
        <is>
          <t>CX催事</t>
        </is>
      </c>
      <c r="F14" s="8" t="n">
        <v>20</v>
      </c>
      <c r="G14" s="8" t="n">
        <v>5300</v>
      </c>
    </row>
    <row r="15">
      <c r="A15" s="6" t="inlineStr">
        <is>
          <t>4515142545228</t>
        </is>
      </c>
      <c r="B15" s="6" t="inlineStr">
        <is>
          <t>CX2509JKSSKFINGER</t>
        </is>
      </c>
      <c r="C15" s="6" t="inlineStr">
        <is>
          <t>呪術廻戦展 懐玉玉折 渋谷事変　宿儺の指風お菓子</t>
        </is>
      </c>
      <c r="D15" s="6" t="inlineStr">
        <is>
          <t>CX01</t>
        </is>
      </c>
      <c r="E15" s="6" t="inlineStr">
        <is>
          <t>CX催事</t>
        </is>
      </c>
      <c r="F15" s="8" t="n">
        <v>800</v>
      </c>
      <c r="G15" s="8" t="n">
        <v>21600</v>
      </c>
    </row>
    <row r="16">
      <c r="A16" s="6" t="inlineStr">
        <is>
          <t>4515142545235</t>
        </is>
      </c>
      <c r="B16" s="6" t="inlineStr">
        <is>
          <t>CX2509JKSDTPCHCLP</t>
        </is>
      </c>
      <c r="C16" s="6" t="inlineStr">
        <is>
          <t>呪術廻戦展 懐玉玉折 渋谷事変　脱兎 ポーチ入りクリップセット</t>
        </is>
      </c>
      <c r="D16" s="6" t="inlineStr">
        <is>
          <t>CX01</t>
        </is>
      </c>
      <c r="E16" s="6" t="inlineStr">
        <is>
          <t>CX催事</t>
        </is>
      </c>
      <c r="F16" s="8" t="n">
        <v>92</v>
      </c>
      <c r="G16" s="8" t="n">
        <v>13616</v>
      </c>
    </row>
    <row r="17">
      <c r="A17" s="6" t="inlineStr">
        <is>
          <t>4515142545242</t>
        </is>
      </c>
      <c r="B17" s="6" t="inlineStr">
        <is>
          <t>CX2509JKSNBECOBAG</t>
        </is>
      </c>
      <c r="C17" s="6" t="inlineStr">
        <is>
          <t>呪術廻戦展 懐玉玉折 渋谷事変　釘崎のポーチ風エコバッグ</t>
        </is>
      </c>
      <c r="D17" s="6" t="inlineStr">
        <is>
          <t>CX01</t>
        </is>
      </c>
      <c r="E17" s="6" t="inlineStr">
        <is>
          <t>CX催事</t>
        </is>
      </c>
      <c r="F17" s="8" t="n">
        <v>178</v>
      </c>
      <c r="G17" s="8" t="n">
        <v>77608</v>
      </c>
    </row>
    <row r="18">
      <c r="A18" s="6" t="inlineStr">
        <is>
          <t>4515142545259</t>
        </is>
      </c>
      <c r="B18" s="6" t="inlineStr">
        <is>
          <t>CX2509JKSPLANNER</t>
        </is>
      </c>
      <c r="C18" s="6" t="inlineStr">
        <is>
          <t>呪術廻戦展 懐玉玉折 渋谷事変　半年分の情報が書き込める手帳</t>
        </is>
      </c>
      <c r="D18" s="6" t="inlineStr">
        <is>
          <t>CX01</t>
        </is>
      </c>
      <c r="E18" s="6" t="inlineStr">
        <is>
          <t>CX催事</t>
        </is>
      </c>
      <c r="F18" s="8" t="n">
        <v>98</v>
      </c>
      <c r="G18" s="8" t="n">
        <v>25480</v>
      </c>
    </row>
    <row r="19">
      <c r="A19" s="6" t="inlineStr">
        <is>
          <t>4515142545266</t>
        </is>
      </c>
      <c r="B19" s="6" t="inlineStr">
        <is>
          <t>CX2509JKSMUSICBOX</t>
        </is>
      </c>
      <c r="C19" s="6" t="inlineStr">
        <is>
          <t>呪術廻戦展 懐玉玉折 渋谷事変　気分リフレッシュオルゴール</t>
        </is>
      </c>
      <c r="D19" s="6" t="inlineStr">
        <is>
          <t>CX01</t>
        </is>
      </c>
      <c r="E19" s="6" t="inlineStr">
        <is>
          <t>CX催事</t>
        </is>
      </c>
      <c r="F19" s="8" t="n">
        <v>5</v>
      </c>
      <c r="G19" s="8" t="n">
        <v>13500</v>
      </c>
    </row>
    <row r="20">
      <c r="A20" s="6" t="inlineStr">
        <is>
          <t>4515142545273</t>
        </is>
      </c>
      <c r="B20" s="6" t="inlineStr">
        <is>
          <t>CX2509JKSIRG-GO11</t>
        </is>
      </c>
      <c r="C20" s="6" t="inlineStr">
        <is>
          <t>呪術廻戦展 懐玉玉折 渋谷事変　五条 悟　イメージリング（#11）</t>
        </is>
      </c>
      <c r="D20" s="6" t="inlineStr">
        <is>
          <t>CX01</t>
        </is>
      </c>
      <c r="E20" s="6" t="inlineStr">
        <is>
          <t>CX催事</t>
        </is>
      </c>
      <c r="F20" s="8" t="n">
        <v>7</v>
      </c>
      <c r="G20" s="8" t="n">
        <v>90685</v>
      </c>
    </row>
    <row r="21">
      <c r="A21" s="6" t="inlineStr">
        <is>
          <t>4515142545280</t>
        </is>
      </c>
      <c r="B21" s="6" t="inlineStr">
        <is>
          <t>CX2509JKSIRG-GO13</t>
        </is>
      </c>
      <c r="C21" s="6" t="inlineStr">
        <is>
          <t>呪術廻戦展 懐玉玉折 渋谷事変　五条 悟　イメージリング（#13）</t>
        </is>
      </c>
      <c r="D21" s="6" t="inlineStr">
        <is>
          <t>CX01</t>
        </is>
      </c>
      <c r="E21" s="6" t="inlineStr">
        <is>
          <t>CX催事</t>
        </is>
      </c>
      <c r="F21" s="8" t="n">
        <v>1</v>
      </c>
      <c r="G21" s="8" t="n">
        <v>9000</v>
      </c>
    </row>
    <row r="22">
      <c r="A22" s="6" t="inlineStr">
        <is>
          <t>4515142545297</t>
        </is>
      </c>
      <c r="B22" s="6" t="inlineStr">
        <is>
          <t>CX2509JKSIRG-GO15</t>
        </is>
      </c>
      <c r="C22" s="6" t="inlineStr">
        <is>
          <t>呪術廻戦展 懐玉玉折 渋谷事変　五条 悟　イメージリング（#15）</t>
        </is>
      </c>
      <c r="D22" s="6" t="inlineStr">
        <is>
          <t>CX01</t>
        </is>
      </c>
      <c r="E22" s="6" t="inlineStr">
        <is>
          <t>CX催事</t>
        </is>
      </c>
      <c r="F22" s="8" t="n">
        <v>1</v>
      </c>
      <c r="G22" s="8" t="n">
        <v>9000</v>
      </c>
    </row>
    <row r="23">
      <c r="A23" s="6" t="inlineStr">
        <is>
          <t>4515142545303</t>
        </is>
      </c>
      <c r="B23" s="6" t="inlineStr">
        <is>
          <t>CX2509JKSIRG-GO17</t>
        </is>
      </c>
      <c r="C23" s="6" t="inlineStr">
        <is>
          <t>呪術廻戦展 懐玉玉折 渋谷事変　五条 悟　イメージリング（#17）</t>
        </is>
      </c>
      <c r="D23" s="6" t="inlineStr">
        <is>
          <t>CX01</t>
        </is>
      </c>
      <c r="E23" s="6" t="inlineStr">
        <is>
          <t>CX催事</t>
        </is>
      </c>
      <c r="F23" s="8" t="n">
        <v>1</v>
      </c>
      <c r="G23" s="8" t="n">
        <v>9000</v>
      </c>
    </row>
    <row r="24">
      <c r="A24" s="6" t="inlineStr">
        <is>
          <t>4515142545310</t>
        </is>
      </c>
      <c r="B24" s="6" t="inlineStr">
        <is>
          <t>CX2509JKSIRG-GE11</t>
        </is>
      </c>
      <c r="C24" s="6" t="inlineStr">
        <is>
          <t>呪術廻戦展 懐玉玉折 渋谷事変　夏油 傑　イメージリング（#11）</t>
        </is>
      </c>
      <c r="D24" s="6" t="inlineStr">
        <is>
          <t>CX01</t>
        </is>
      </c>
      <c r="E24" s="6" t="inlineStr">
        <is>
          <t>CX催事</t>
        </is>
      </c>
      <c r="F24" s="8" t="n">
        <v>5</v>
      </c>
      <c r="G24" s="8" t="n">
        <v>63095</v>
      </c>
    </row>
    <row r="25">
      <c r="A25" s="6" t="inlineStr">
        <is>
          <t>4515142545327</t>
        </is>
      </c>
      <c r="B25" s="6" t="inlineStr">
        <is>
          <t>CX2509JKSIRG-GE13</t>
        </is>
      </c>
      <c r="C25" s="6" t="inlineStr">
        <is>
          <t>呪術廻戦展 懐玉玉折 渋谷事変　夏油 傑　イメージリング（#13）</t>
        </is>
      </c>
      <c r="D25" s="6" t="inlineStr">
        <is>
          <t>CX01</t>
        </is>
      </c>
      <c r="E25" s="6" t="inlineStr">
        <is>
          <t>CX催事</t>
        </is>
      </c>
      <c r="F25" s="8" t="n">
        <v>1</v>
      </c>
      <c r="G25" s="8" t="n">
        <v>9000</v>
      </c>
    </row>
    <row r="26">
      <c r="A26" s="6" t="inlineStr">
        <is>
          <t>4515142545334</t>
        </is>
      </c>
      <c r="B26" s="6" t="inlineStr">
        <is>
          <t>CX2509JKSIRG-GE15</t>
        </is>
      </c>
      <c r="C26" s="6" t="inlineStr">
        <is>
          <t>呪術廻戦展 懐玉玉折 渋谷事変　夏油 傑　イメージリング（#15）</t>
        </is>
      </c>
      <c r="D26" s="6" t="inlineStr">
        <is>
          <t>CX01</t>
        </is>
      </c>
      <c r="E26" s="6" t="inlineStr">
        <is>
          <t>CX催事</t>
        </is>
      </c>
      <c r="F26" s="8" t="n">
        <v>1</v>
      </c>
      <c r="G26" s="8" t="n">
        <v>9000</v>
      </c>
    </row>
    <row r="27">
      <c r="A27" s="6" t="inlineStr">
        <is>
          <t>4515142545341</t>
        </is>
      </c>
      <c r="B27" s="6" t="inlineStr">
        <is>
          <t>CX2509JKSIRG-GE17</t>
        </is>
      </c>
      <c r="C27" s="6" t="inlineStr">
        <is>
          <t>呪術廻戦展 懐玉玉折 渋谷事変　夏油 傑　イメージリング（#17）</t>
        </is>
      </c>
      <c r="D27" s="6" t="inlineStr">
        <is>
          <t>CX01</t>
        </is>
      </c>
      <c r="E27" s="6" t="inlineStr">
        <is>
          <t>CX催事</t>
        </is>
      </c>
      <c r="F27" s="8" t="n">
        <v>2</v>
      </c>
      <c r="G27" s="8" t="n">
        <v>18000</v>
      </c>
    </row>
    <row r="28">
      <c r="A28" s="6" t="inlineStr">
        <is>
          <t>4515142545358</t>
        </is>
      </c>
      <c r="B28" s="6" t="inlineStr">
        <is>
          <t>CX2509JKSIFC-IU</t>
        </is>
      </c>
      <c r="C28" s="6" t="inlineStr">
        <is>
          <t>呪術廻戦展 懐玉玉折 渋谷事変　虎杖 悠仁　イメージフラグメントケース</t>
        </is>
      </c>
      <c r="D28" s="6" t="inlineStr">
        <is>
          <t>CX01</t>
        </is>
      </c>
      <c r="E28" s="6" t="inlineStr">
        <is>
          <t>CX催事</t>
        </is>
      </c>
      <c r="F28" s="8" t="n">
        <v>3</v>
      </c>
      <c r="G28" s="8" t="n">
        <v>30000</v>
      </c>
    </row>
    <row r="29">
      <c r="A29" s="6" t="inlineStr">
        <is>
          <t>4515142545365</t>
        </is>
      </c>
      <c r="B29" s="6" t="inlineStr">
        <is>
          <t>CX2509JKSIFC-FM</t>
        </is>
      </c>
      <c r="C29" s="6" t="inlineStr">
        <is>
          <t>呪術廻戦展 懐玉玉折 渋谷事変　伏黒 恵　イメージフラグメントケース</t>
        </is>
      </c>
      <c r="D29" s="6" t="inlineStr">
        <is>
          <t>CX01</t>
        </is>
      </c>
      <c r="E29" s="6" t="inlineStr">
        <is>
          <t>CX催事</t>
        </is>
      </c>
      <c r="F29" s="8" t="n">
        <v>5</v>
      </c>
      <c r="G29" s="8" t="n">
        <v>50000</v>
      </c>
    </row>
    <row r="30">
      <c r="A30" s="6" t="inlineStr">
        <is>
          <t>4515142545372</t>
        </is>
      </c>
      <c r="B30" s="6" t="inlineStr">
        <is>
          <t>CX2509JKSCF-KGGO</t>
        </is>
      </c>
      <c r="C30" s="6" t="inlineStr">
        <is>
          <t>呪術廻戦展 懐玉玉折　クリアファイル（五条 悟）</t>
        </is>
      </c>
      <c r="D30" s="6" t="inlineStr">
        <is>
          <t>CX01</t>
        </is>
      </c>
      <c r="E30" s="6" t="inlineStr">
        <is>
          <t>CX催事</t>
        </is>
      </c>
      <c r="F30" s="8" t="n">
        <v>140</v>
      </c>
      <c r="G30" s="8" t="n">
        <v>3920</v>
      </c>
    </row>
    <row r="31">
      <c r="A31" s="6" t="inlineStr">
        <is>
          <t>4515142545389</t>
        </is>
      </c>
      <c r="B31" s="6" t="inlineStr">
        <is>
          <t>CX2509JKSCF-KGGE</t>
        </is>
      </c>
      <c r="C31" s="6" t="inlineStr">
        <is>
          <t>呪術廻戦展 懐玉玉折　クリアファイル（夏油 傑）</t>
        </is>
      </c>
      <c r="D31" s="6" t="inlineStr">
        <is>
          <t>CX01</t>
        </is>
      </c>
      <c r="E31" s="6" t="inlineStr">
        <is>
          <t>CX催事</t>
        </is>
      </c>
      <c r="F31" s="8" t="n">
        <v>40</v>
      </c>
      <c r="G31" s="8" t="n">
        <v>1080</v>
      </c>
    </row>
    <row r="32">
      <c r="A32" s="6" t="inlineStr">
        <is>
          <t>4515142545396</t>
        </is>
      </c>
      <c r="B32" s="6" t="inlineStr">
        <is>
          <t>CX2509JKSCF-KGIS</t>
        </is>
      </c>
      <c r="C32" s="6" t="inlineStr">
        <is>
          <t>呪術廻戦展 懐玉玉折　クリアファイル（家入 硝子）</t>
        </is>
      </c>
      <c r="D32" s="6" t="inlineStr">
        <is>
          <t>CX01</t>
        </is>
      </c>
      <c r="E32" s="6" t="inlineStr">
        <is>
          <t>CX催事</t>
        </is>
      </c>
      <c r="F32" s="8" t="n">
        <v>31</v>
      </c>
      <c r="G32" s="8" t="n">
        <v>837</v>
      </c>
    </row>
    <row r="33">
      <c r="A33" s="6" t="inlineStr">
        <is>
          <t>4515142545402</t>
        </is>
      </c>
      <c r="B33" s="6" t="inlineStr">
        <is>
          <t>CX2509JKSCF-KGNM</t>
        </is>
      </c>
      <c r="C33" s="6" t="inlineStr">
        <is>
          <t>呪術廻戦展 懐玉玉折　クリアファイル（七海 建人）</t>
        </is>
      </c>
      <c r="D33" s="6" t="inlineStr">
        <is>
          <t>CX01</t>
        </is>
      </c>
      <c r="E33" s="6" t="inlineStr">
        <is>
          <t>CX催事</t>
        </is>
      </c>
      <c r="F33" s="8" t="n">
        <v>15</v>
      </c>
      <c r="G33" s="8" t="n">
        <v>420</v>
      </c>
    </row>
    <row r="34">
      <c r="A34" s="6" t="inlineStr">
        <is>
          <t>4515142545419</t>
        </is>
      </c>
      <c r="B34" s="6" t="inlineStr">
        <is>
          <t>CX2509JKSCF-KGHU</t>
        </is>
      </c>
      <c r="C34" s="6" t="inlineStr">
        <is>
          <t>呪術廻戦展 懐玉玉折　クリアファイル（灰原 雄）</t>
        </is>
      </c>
      <c r="D34" s="6" t="inlineStr">
        <is>
          <t>CX01</t>
        </is>
      </c>
      <c r="E34" s="6" t="inlineStr">
        <is>
          <t>CX催事</t>
        </is>
      </c>
      <c r="F34" s="8" t="n">
        <v>43</v>
      </c>
      <c r="G34" s="8" t="n">
        <v>1204</v>
      </c>
    </row>
    <row r="35">
      <c r="A35" s="6" t="inlineStr">
        <is>
          <t>4515142545426</t>
        </is>
      </c>
      <c r="B35" s="6" t="inlineStr">
        <is>
          <t>CX2509JKSCF-SJIU</t>
        </is>
      </c>
      <c r="C35" s="6" t="inlineStr">
        <is>
          <t>呪術廻戦展 渋谷事変　クリアファイル（虎杖 悠仁）</t>
        </is>
      </c>
      <c r="D35" s="6" t="inlineStr">
        <is>
          <t>CX01</t>
        </is>
      </c>
      <c r="E35" s="6" t="inlineStr">
        <is>
          <t>CX催事</t>
        </is>
      </c>
      <c r="F35" s="8" t="n">
        <v>11</v>
      </c>
      <c r="G35" s="8" t="n">
        <v>297</v>
      </c>
    </row>
    <row r="36">
      <c r="A36" s="6" t="inlineStr">
        <is>
          <t>4515142545433</t>
        </is>
      </c>
      <c r="B36" s="6" t="inlineStr">
        <is>
          <t>CX2509JKSCF-SJFM</t>
        </is>
      </c>
      <c r="C36" s="6" t="inlineStr">
        <is>
          <t>呪術廻戦展 渋谷事変　クリアファイル（伏黒 恵）</t>
        </is>
      </c>
      <c r="D36" s="6" t="inlineStr">
        <is>
          <t>CX01</t>
        </is>
      </c>
      <c r="E36" s="6" t="inlineStr">
        <is>
          <t>CX催事</t>
        </is>
      </c>
      <c r="F36" s="8" t="n">
        <v>46</v>
      </c>
      <c r="G36" s="8" t="n">
        <v>1242</v>
      </c>
    </row>
    <row r="37">
      <c r="A37" s="6" t="inlineStr">
        <is>
          <t>4515142545440</t>
        </is>
      </c>
      <c r="B37" s="6" t="inlineStr">
        <is>
          <t>CX2509JKSCF-SJNB</t>
        </is>
      </c>
      <c r="C37" s="6" t="inlineStr">
        <is>
          <t>呪術廻戦展 渋谷事変　クリアファイル（釘崎 野薔薇）</t>
        </is>
      </c>
      <c r="D37" s="6" t="inlineStr">
        <is>
          <t>CX01</t>
        </is>
      </c>
      <c r="E37" s="6" t="inlineStr">
        <is>
          <t>CX催事</t>
        </is>
      </c>
      <c r="F37" s="8" t="n">
        <v>28</v>
      </c>
      <c r="G37" s="8" t="n">
        <v>784</v>
      </c>
    </row>
    <row r="38">
      <c r="A38" s="6" t="inlineStr">
        <is>
          <t>4515142545457</t>
        </is>
      </c>
      <c r="B38" s="6" t="inlineStr">
        <is>
          <t>CX2509JKSCF-SJNM</t>
        </is>
      </c>
      <c r="C38" s="6" t="inlineStr">
        <is>
          <t>呪術廻戦展 渋谷事変　クリアファイル（七海 建人）</t>
        </is>
      </c>
      <c r="D38" s="6" t="inlineStr">
        <is>
          <t>CX01</t>
        </is>
      </c>
      <c r="E38" s="6" t="inlineStr">
        <is>
          <t>CX催事</t>
        </is>
      </c>
      <c r="F38" s="8" t="n">
        <v>42</v>
      </c>
      <c r="G38" s="8" t="n">
        <v>1134</v>
      </c>
    </row>
    <row r="39">
      <c r="A39" s="6" t="inlineStr">
        <is>
          <t>4515142545464</t>
        </is>
      </c>
      <c r="B39" s="6" t="inlineStr">
        <is>
          <t>CX2509JKSCF-SJGO</t>
        </is>
      </c>
      <c r="C39" s="6" t="inlineStr">
        <is>
          <t>呪術廻戦展 渋谷事変　クリアファイル（五条 悟）</t>
        </is>
      </c>
      <c r="D39" s="6" t="inlineStr">
        <is>
          <t>CX01</t>
        </is>
      </c>
      <c r="E39" s="6" t="inlineStr">
        <is>
          <t>CX催事</t>
        </is>
      </c>
      <c r="F39" s="8" t="n">
        <v>1057</v>
      </c>
      <c r="G39" s="8" t="n">
        <v>43337</v>
      </c>
    </row>
    <row r="40">
      <c r="A40" s="6" t="inlineStr">
        <is>
          <t>4515142545471</t>
        </is>
      </c>
      <c r="B40" s="6" t="inlineStr">
        <is>
          <t>CX2509JKSCF-SJGE</t>
        </is>
      </c>
      <c r="C40" s="6" t="inlineStr">
        <is>
          <t>呪術廻戦展 渋谷事変　クリアファイル（夏油 傑）</t>
        </is>
      </c>
      <c r="D40" s="6" t="inlineStr">
        <is>
          <t>CX01</t>
        </is>
      </c>
      <c r="E40" s="6" t="inlineStr">
        <is>
          <t>CX催事</t>
        </is>
      </c>
      <c r="F40" s="8" t="n">
        <v>29</v>
      </c>
      <c r="G40" s="8" t="n">
        <v>783</v>
      </c>
    </row>
    <row r="41">
      <c r="A41" s="6" t="inlineStr">
        <is>
          <t>4515142545488</t>
        </is>
      </c>
      <c r="B41" s="6" t="inlineStr">
        <is>
          <t>CX2509JKSCF-SJMH</t>
        </is>
      </c>
      <c r="C41" s="6" t="inlineStr">
        <is>
          <t>呪術廻戦展 渋谷事変　クリアファイル（真人）</t>
        </is>
      </c>
      <c r="D41" s="6" t="inlineStr">
        <is>
          <t>CX01</t>
        </is>
      </c>
      <c r="E41" s="6" t="inlineStr">
        <is>
          <t>CX催事</t>
        </is>
      </c>
      <c r="F41" s="8" t="n">
        <v>12</v>
      </c>
      <c r="G41" s="8" t="n">
        <v>324</v>
      </c>
    </row>
    <row r="42">
      <c r="A42" s="6" t="inlineStr">
        <is>
          <t>4515142545495</t>
        </is>
      </c>
      <c r="B42" s="6" t="inlineStr">
        <is>
          <t>CX2509JKSCF-SJCS</t>
        </is>
      </c>
      <c r="C42" s="6" t="inlineStr">
        <is>
          <t>呪術廻戦展 渋谷事変　クリアファイル（脹相）</t>
        </is>
      </c>
      <c r="D42" s="6" t="inlineStr">
        <is>
          <t>CX01</t>
        </is>
      </c>
      <c r="E42" s="6" t="inlineStr">
        <is>
          <t>CX催事</t>
        </is>
      </c>
      <c r="F42" s="8" t="n">
        <v>28</v>
      </c>
      <c r="G42" s="8" t="n">
        <v>4060</v>
      </c>
    </row>
    <row r="43">
      <c r="A43" s="6" t="inlineStr">
        <is>
          <t>4515142545501</t>
        </is>
      </c>
      <c r="B43" s="6" t="inlineStr">
        <is>
          <t>CX2509JKSCF-SJSK</t>
        </is>
      </c>
      <c r="C43" s="6" t="inlineStr">
        <is>
          <t>呪術廻戦展 渋谷事変　クリアファイル（宿儺）</t>
        </is>
      </c>
      <c r="D43" s="6" t="inlineStr">
        <is>
          <t>CX01</t>
        </is>
      </c>
      <c r="E43" s="6" t="inlineStr">
        <is>
          <t>CX催事</t>
        </is>
      </c>
      <c r="F43" s="8" t="n">
        <v>23</v>
      </c>
      <c r="G43" s="8" t="n">
        <v>621</v>
      </c>
    </row>
    <row r="44">
      <c r="A44" s="6" t="inlineStr">
        <is>
          <t>#</t>
        </is>
      </c>
      <c r="B44" s="6" t="inlineStr">
        <is>
          <t>CX2509JKSDTPCHCLP2</t>
        </is>
      </c>
      <c r="C44" s="6" t="inlineStr">
        <is>
          <t>呪術廻戦展 懐玉玉折 渋谷事変　脱兎クリップのみ(1SET 5個)</t>
        </is>
      </c>
      <c r="D44" s="6" t="inlineStr">
        <is>
          <t>CX01</t>
        </is>
      </c>
      <c r="E44" s="6" t="inlineStr">
        <is>
          <t>CX催事</t>
        </is>
      </c>
      <c r="F44" s="8" t="n">
        <v>260</v>
      </c>
      <c r="G44" s="8" t="n">
        <v>80340</v>
      </c>
    </row>
    <row r="45">
      <c r="A45" s="6" t="inlineStr">
        <is>
          <t>#</t>
        </is>
      </c>
      <c r="B45" s="6" t="inlineStr">
        <is>
          <t>QCX2509JKS2FN-10</t>
        </is>
      </c>
      <c r="C45" s="6" t="inlineStr">
        <is>
          <t>呪術廻戦展 懐玉玉折 渋谷事変 経費（課税10％）</t>
        </is>
      </c>
      <c r="D45" s="6" t="inlineStr">
        <is>
          <t>CX01</t>
        </is>
      </c>
      <c r="E45" s="6" t="inlineStr">
        <is>
          <t>CX催事</t>
        </is>
      </c>
      <c r="F45" s="8" t="n">
        <v>1568374</v>
      </c>
      <c r="G45" s="8" t="n">
        <v>1568374</v>
      </c>
    </row>
    <row r="46">
      <c r="A46" s="6" t="inlineStr">
        <is>
          <t>#</t>
        </is>
      </c>
      <c r="B46" s="6" t="inlineStr">
        <is>
          <t>QCX2509JKS2FN-8</t>
        </is>
      </c>
      <c r="C46" s="6" t="inlineStr">
        <is>
          <t>呪術廻戦展 懐玉玉折 渋谷事変 経費（課税8％）</t>
        </is>
      </c>
      <c r="D46" s="6" t="inlineStr">
        <is>
          <t>CX01</t>
        </is>
      </c>
      <c r="E46" s="6" t="inlineStr">
        <is>
          <t>CX催事</t>
        </is>
      </c>
      <c r="F46" s="8" t="n">
        <v>902</v>
      </c>
      <c r="G46" s="8" t="n">
        <v>902</v>
      </c>
    </row>
    <row r="47">
      <c r="A47" s="6" t="inlineStr">
        <is>
          <t>#</t>
        </is>
      </c>
      <c r="B47" s="6" t="inlineStr">
        <is>
          <t>QCX2509JKS2FN-NT</t>
        </is>
      </c>
      <c r="C47" s="6" t="inlineStr">
        <is>
          <t>呪術廻戦展 懐玉玉折 渋谷事変 経費（非課税）</t>
        </is>
      </c>
      <c r="D47" s="6" t="inlineStr">
        <is>
          <t>CX01</t>
        </is>
      </c>
      <c r="E47" s="6" t="inlineStr">
        <is>
          <t>CX催事</t>
        </is>
      </c>
      <c r="F47" s="8" t="n">
        <v>12221</v>
      </c>
      <c r="G47" s="8" t="n">
        <v>12221</v>
      </c>
    </row>
    <row r="48">
      <c r="A48" s="6" t="inlineStr">
        <is>
          <t>#</t>
        </is>
      </c>
      <c r="B48" s="6" t="inlineStr">
        <is>
          <t>QCX2509JKS2FN-RY</t>
        </is>
      </c>
      <c r="C48" s="6" t="inlineStr">
        <is>
          <t>呪術廻戦展 懐玉玉折 渋谷事変 経費（RY）</t>
        </is>
      </c>
      <c r="D48" s="6" t="inlineStr">
        <is>
          <t>CX01</t>
        </is>
      </c>
      <c r="E48" s="6" t="inlineStr">
        <is>
          <t>CX催事</t>
        </is>
      </c>
      <c r="F48" s="8" t="n">
        <v>13292908</v>
      </c>
      <c r="G48" s="8" t="n">
        <v>13292908</v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2026-10-05T01:39:37Z</dcterms:created>
  <dcterms:modified xsi:type="dcterms:W3CDTF">2026-10-05T01:39:37Z</dcterms:modified>
</cp:coreProperties>
</file>