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90" yWindow="-16320" windowWidth="29040" windowHeight="15720" tabRatio="600" firstSheet="0" activeTab="0" autoFilterDateGrouping="1"/>
  </bookViews>
  <sheets>
    <sheet name="XTab DS_1" sheetId="1" state="visible" r:id="rId1"/>
    <sheet name="Filter DS_1" sheetId="2" state="hidden" r:id="rId2"/>
    <sheet name="倉庫別_CX催事" sheetId="3" state="visible" r:id="rId3"/>
    <sheet name="倉庫別_DBS倉庫" sheetId="4" state="visible" r:id="rId4"/>
    <sheet name="商品別_合算" sheetId="5" state="visible" r:id="rId5"/>
  </sheets>
  <definedNames>
    <definedName name="_xlnm._FilterDatabase" localSheetId="2" hidden="1">'倉庫別_CX催事'!$A$1:$H$35</definedName>
    <definedName name="_xlnm._FilterDatabase" localSheetId="3" hidden="1">'倉庫別_DBS倉庫'!$A$1:$H$35</definedName>
    <definedName name="_xlnm._FilterDatabase" localSheetId="4" hidden="1">'商品別_合算'!$A$1:$K$35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\ &quot;PC&quot;;\-#,##0\ &quot;PC&quot;"/>
    <numFmt numFmtId="165" formatCode="#,##0\ &quot;JPY&quot;;\-#,##0\ &quot;JPY&quot;"/>
    <numFmt numFmtId="166" formatCode="#,##0 &quot;PC&quot;;-#,##0 &quot;PC&quot;"/>
    <numFmt numFmtId="167" formatCode="#,##0 &quot;JPY&quot;;-#,##0 &quot;JPY&quot;"/>
  </numFmts>
  <fonts count="8">
    <font>
      <name val="Calibri"/>
      <sz val="12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  <font>
      <name val="ＭＳ Ｐゴシック"/>
      <charset val="128"/>
      <family val="3"/>
      <sz val="6"/>
    </font>
    <font>
      <name val="Calibri"/>
      <b val="1"/>
      <color rgb="00FFFFFF"/>
    </font>
    <font>
      <name val="Calibri"/>
      <b val="1"/>
    </font>
    <font>
      <name val="Calibri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65" fontId="3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65" fontId="3" fillId="0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3" borderId="1" applyAlignment="1" pivotButton="0" quotePrefix="0" xfId="0">
      <alignment horizontal="center"/>
    </xf>
    <xf numFmtId="166" fontId="0" fillId="3" borderId="1" pivotButton="0" quotePrefix="0" xfId="0"/>
    <xf numFmtId="167" fontId="0" fillId="3" borderId="1" pivotButton="0" quotePrefix="0" xfId="0"/>
    <xf numFmtId="0" fontId="0" fillId="4" borderId="1" pivotButton="0" quotePrefix="0" xfId="0"/>
    <xf numFmtId="0" fontId="6" fillId="4" borderId="1" pivotButton="0" quotePrefix="0" xfId="0"/>
    <xf numFmtId="166" fontId="6" fillId="4" borderId="1" pivotButton="0" quotePrefix="0" xfId="0"/>
    <xf numFmtId="167" fontId="6" fillId="4" borderId="1" pivotButton="0" quotePrefix="0" xfId="0"/>
    <xf numFmtId="0" fontId="0" fillId="5" borderId="1" pivotButton="0" quotePrefix="0" xfId="0"/>
    <xf numFmtId="0" fontId="6" fillId="5" borderId="1" pivotButton="0" quotePrefix="0" xfId="0"/>
    <xf numFmtId="166" fontId="6" fillId="5" borderId="1" pivotButton="0" quotePrefix="0" xfId="0"/>
    <xf numFmtId="167" fontId="6" fillId="5" borderId="1" pivotButton="0" quotePrefix="0" xfId="0"/>
    <xf numFmtId="166" fontId="6" fillId="3" borderId="1" pivotButton="0" quotePrefix="0" xfId="0"/>
    <xf numFmtId="167" fontId="6" fillId="3" borderId="1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I62" sqref="I62"/>
    </sheetView>
  </sheetViews>
  <sheetFormatPr baseColWidth="8" defaultRowHeight="15"/>
  <cols>
    <col width="16.09765625" customWidth="1" min="7" max="7"/>
  </cols>
  <sheetData>
    <row r="1" ht="15.6" customHeight="1">
      <c r="A1" s="4" t="inlineStr">
        <is>
          <t>JANコード(EAN/UPC)</t>
        </is>
      </c>
      <c r="B1" s="4" t="inlineStr">
        <is>
          <t>品目コード</t>
        </is>
      </c>
      <c r="C1" s="4" t="inlineStr">
        <is>
          <t>品目テキスト</t>
        </is>
      </c>
      <c r="D1" s="4" t="inlineStr">
        <is>
          <t>保管場所</t>
        </is>
      </c>
      <c r="E1" s="4" t="inlineStr">
        <is>
          <t>保管場所名</t>
        </is>
      </c>
      <c r="F1" s="4" t="inlineStr">
        <is>
          <t>在庫数量</t>
        </is>
      </c>
      <c r="G1" s="4" t="inlineStr">
        <is>
          <t>在庫金額</t>
        </is>
      </c>
    </row>
    <row r="2" ht="15.6" customHeight="1">
      <c r="A2" s="4" t="n">
        <v>4515142521130</v>
      </c>
      <c r="B2" s="4" t="inlineStr">
        <is>
          <t>CX2412DNDCF-OR</t>
        </is>
      </c>
      <c r="C2" s="4" t="inlineStr">
        <is>
          <t>ダンダダンPOPUP　クリアファイル　オカルン</t>
        </is>
      </c>
      <c r="D2" s="4" t="inlineStr">
        <is>
          <t>CX01</t>
        </is>
      </c>
      <c r="E2" s="4" t="inlineStr">
        <is>
          <t>CX催事</t>
        </is>
      </c>
      <c r="F2" s="5" t="n">
        <v>0</v>
      </c>
      <c r="G2" s="6" t="n">
        <v>0</v>
      </c>
    </row>
    <row r="3" ht="15.6" customHeight="1">
      <c r="A3" s="4" t="n">
        <v>4515142521130</v>
      </c>
      <c r="B3" s="4" t="inlineStr">
        <is>
          <t>CX2412DNDCF-OR</t>
        </is>
      </c>
      <c r="C3" s="4" t="inlineStr">
        <is>
          <t>ダンダダンPOPUP　クリアファイル　オカルン</t>
        </is>
      </c>
      <c r="D3" s="4" t="inlineStr">
        <is>
          <t>DB00</t>
        </is>
      </c>
      <c r="E3" s="4" t="inlineStr">
        <is>
          <t>DBS倉庫</t>
        </is>
      </c>
      <c r="F3" s="5" t="n">
        <v>121</v>
      </c>
      <c r="G3" s="6" t="n">
        <v>7502</v>
      </c>
    </row>
    <row r="4" ht="15.6" customHeight="1">
      <c r="A4" s="4" t="n">
        <v>4515142521147</v>
      </c>
      <c r="B4" s="4" t="inlineStr">
        <is>
          <t>CX2412DNDCF-MM</t>
        </is>
      </c>
      <c r="C4" s="4" t="inlineStr">
        <is>
          <t>ダンダダンPOPUP　クリアファイル　モモ</t>
        </is>
      </c>
      <c r="D4" s="4" t="inlineStr">
        <is>
          <t>CX01</t>
        </is>
      </c>
      <c r="E4" s="4" t="inlineStr">
        <is>
          <t>CX催事</t>
        </is>
      </c>
      <c r="F4" s="5" t="n">
        <v>0</v>
      </c>
      <c r="G4" s="6" t="n">
        <v>0</v>
      </c>
    </row>
    <row r="5" ht="15.6" customHeight="1">
      <c r="A5" s="4" t="n">
        <v>4515142521147</v>
      </c>
      <c r="B5" s="4" t="inlineStr">
        <is>
          <t>CX2412DNDCF-MM</t>
        </is>
      </c>
      <c r="C5" s="4" t="inlineStr">
        <is>
          <t>ダンダダンPOPUP　クリアファイル　モモ</t>
        </is>
      </c>
      <c r="D5" s="4" t="inlineStr">
        <is>
          <t>DB00</t>
        </is>
      </c>
      <c r="E5" s="4" t="inlineStr">
        <is>
          <t>DBS倉庫</t>
        </is>
      </c>
      <c r="F5" s="5" t="n">
        <v>240</v>
      </c>
      <c r="G5" s="6" t="n">
        <v>14880</v>
      </c>
    </row>
    <row r="6" ht="15.6" customHeight="1">
      <c r="A6" s="4" t="n">
        <v>4515142521154</v>
      </c>
      <c r="B6" s="4" t="inlineStr">
        <is>
          <t>CX2412DNDCF-SK</t>
        </is>
      </c>
      <c r="C6" s="4" t="inlineStr">
        <is>
          <t>ダンダダンPOPUP　クリアファイル　星子</t>
        </is>
      </c>
      <c r="D6" s="4" t="inlineStr">
        <is>
          <t>CX01</t>
        </is>
      </c>
      <c r="E6" s="4" t="inlineStr">
        <is>
          <t>CX催事</t>
        </is>
      </c>
      <c r="F6" s="5" t="n">
        <v>0</v>
      </c>
      <c r="G6" s="6" t="n">
        <v>0</v>
      </c>
    </row>
    <row r="7" ht="15.6" customHeight="1">
      <c r="A7" s="4" t="n">
        <v>4515142521154</v>
      </c>
      <c r="B7" s="4" t="inlineStr">
        <is>
          <t>CX2412DNDCF-SK</t>
        </is>
      </c>
      <c r="C7" s="4" t="inlineStr">
        <is>
          <t>ダンダダンPOPUP　クリアファイル　星子</t>
        </is>
      </c>
      <c r="D7" s="4" t="inlineStr">
        <is>
          <t>DB00</t>
        </is>
      </c>
      <c r="E7" s="4" t="inlineStr">
        <is>
          <t>DBS倉庫</t>
        </is>
      </c>
      <c r="F7" s="5" t="n">
        <v>58</v>
      </c>
      <c r="G7" s="6" t="n">
        <v>3596</v>
      </c>
    </row>
    <row r="8" ht="15.6" customHeight="1">
      <c r="A8" s="4" t="n">
        <v>4515142521161</v>
      </c>
      <c r="B8" s="4" t="inlineStr">
        <is>
          <t>CX2412DNDCF-AR</t>
        </is>
      </c>
      <c r="C8" s="4" t="inlineStr">
        <is>
          <t>ダンダダンPOPUP　クリアファイル　アイラ</t>
        </is>
      </c>
      <c r="D8" s="4" t="inlineStr">
        <is>
          <t>CX01</t>
        </is>
      </c>
      <c r="E8" s="4" t="inlineStr">
        <is>
          <t>CX催事</t>
        </is>
      </c>
      <c r="F8" s="5" t="n">
        <v>0</v>
      </c>
      <c r="G8" s="6" t="n">
        <v>0</v>
      </c>
    </row>
    <row r="9" ht="15.6" customHeight="1">
      <c r="A9" s="4" t="n">
        <v>4515142521161</v>
      </c>
      <c r="B9" s="4" t="inlineStr">
        <is>
          <t>CX2412DNDCF-AR</t>
        </is>
      </c>
      <c r="C9" s="4" t="inlineStr">
        <is>
          <t>ダンダダンPOPUP　クリアファイル　アイラ</t>
        </is>
      </c>
      <c r="D9" s="4" t="inlineStr">
        <is>
          <t>DB00</t>
        </is>
      </c>
      <c r="E9" s="4" t="inlineStr">
        <is>
          <t>DBS倉庫</t>
        </is>
      </c>
      <c r="F9" s="5" t="n">
        <v>75</v>
      </c>
      <c r="G9" s="6" t="n">
        <v>4650</v>
      </c>
    </row>
    <row r="10" ht="15.6" customHeight="1">
      <c r="A10" s="4" t="n">
        <v>4515142521178</v>
      </c>
      <c r="B10" s="4" t="inlineStr">
        <is>
          <t>CX2412DNDCF-TB</t>
        </is>
      </c>
      <c r="C10" s="4" t="inlineStr">
        <is>
          <t>ダンダダンPOPUP　クリアファイル　ターボババア(招き猫)</t>
        </is>
      </c>
      <c r="D10" s="4" t="inlineStr">
        <is>
          <t>CX01</t>
        </is>
      </c>
      <c r="E10" s="4" t="inlineStr">
        <is>
          <t>CX催事</t>
        </is>
      </c>
      <c r="F10" s="5" t="n">
        <v>0</v>
      </c>
      <c r="G10" s="6" t="n">
        <v>0</v>
      </c>
    </row>
    <row r="11" ht="15.6" customHeight="1">
      <c r="A11" s="4" t="n">
        <v>4515142521178</v>
      </c>
      <c r="B11" s="4" t="inlineStr">
        <is>
          <t>CX2412DNDCF-TB</t>
        </is>
      </c>
      <c r="C11" s="4" t="inlineStr">
        <is>
          <t>ダンダダンPOPUP　クリアファイル　ターボババア(招き猫)</t>
        </is>
      </c>
      <c r="D11" s="4" t="inlineStr">
        <is>
          <t>DB00</t>
        </is>
      </c>
      <c r="E11" s="4" t="inlineStr">
        <is>
          <t>DBS倉庫</t>
        </is>
      </c>
      <c r="F11" s="5" t="n">
        <v>143</v>
      </c>
      <c r="G11" s="6" t="n">
        <v>8866</v>
      </c>
    </row>
    <row r="12" ht="15.6" customHeight="1">
      <c r="A12" s="4" t="n">
        <v>4515142521185</v>
      </c>
      <c r="B12" s="4" t="inlineStr">
        <is>
          <t>CX2412DNDCF-ORH</t>
        </is>
      </c>
      <c r="C12" s="4" t="inlineStr">
        <is>
          <t>ダンダダンPOPUP　クリアファイル　オカルン(変身)</t>
        </is>
      </c>
      <c r="D12" s="4" t="inlineStr">
        <is>
          <t>CX01</t>
        </is>
      </c>
      <c r="E12" s="4" t="inlineStr">
        <is>
          <t>CX催事</t>
        </is>
      </c>
      <c r="F12" s="5" t="n">
        <v>0</v>
      </c>
      <c r="G12" s="6" t="n">
        <v>0</v>
      </c>
    </row>
    <row r="13" ht="15.6" customHeight="1">
      <c r="A13" s="4" t="n">
        <v>4515142521185</v>
      </c>
      <c r="B13" s="4" t="inlineStr">
        <is>
          <t>CX2412DNDCF-ORH</t>
        </is>
      </c>
      <c r="C13" s="4" t="inlineStr">
        <is>
          <t>ダンダダンPOPUP　クリアファイル　オカルン(変身)</t>
        </is>
      </c>
      <c r="D13" s="4" t="inlineStr">
        <is>
          <t>DB00</t>
        </is>
      </c>
      <c r="E13" s="4" t="inlineStr">
        <is>
          <t>DBS倉庫</t>
        </is>
      </c>
      <c r="F13" s="5" t="n">
        <v>274</v>
      </c>
      <c r="G13" s="6" t="n">
        <v>16988</v>
      </c>
    </row>
    <row r="14" ht="15.6" customHeight="1">
      <c r="A14" s="4" t="n">
        <v>4515142521192</v>
      </c>
      <c r="B14" s="4" t="inlineStr">
        <is>
          <t>CX2412DNDCF-ARH</t>
        </is>
      </c>
      <c r="C14" s="4" t="inlineStr">
        <is>
          <t>ダンダダンPOPUP　クリアファイル　アイラ(変身)</t>
        </is>
      </c>
      <c r="D14" s="4" t="inlineStr">
        <is>
          <t>CX01</t>
        </is>
      </c>
      <c r="E14" s="4" t="inlineStr">
        <is>
          <t>CX催事</t>
        </is>
      </c>
      <c r="F14" s="5" t="n">
        <v>0</v>
      </c>
      <c r="G14" s="6" t="n">
        <v>0</v>
      </c>
    </row>
    <row r="15" ht="15.6" customHeight="1">
      <c r="A15" s="4" t="n">
        <v>4515142521192</v>
      </c>
      <c r="B15" s="4" t="inlineStr">
        <is>
          <t>CX2412DNDCF-ARH</t>
        </is>
      </c>
      <c r="C15" s="4" t="inlineStr">
        <is>
          <t>ダンダダンPOPUP　クリアファイル　アイラ(変身)</t>
        </is>
      </c>
      <c r="D15" s="4" t="inlineStr">
        <is>
          <t>DB00</t>
        </is>
      </c>
      <c r="E15" s="4" t="inlineStr">
        <is>
          <t>DBS倉庫</t>
        </is>
      </c>
      <c r="F15" s="5" t="n">
        <v>57</v>
      </c>
      <c r="G15" s="6" t="n">
        <v>3534</v>
      </c>
    </row>
    <row r="16" ht="15.6" customHeight="1">
      <c r="A16" s="4" t="n">
        <v>4515142521208</v>
      </c>
      <c r="B16" s="4" t="inlineStr">
        <is>
          <t>CX2412DNDRBDG-7</t>
        </is>
      </c>
      <c r="C16" s="4" t="inlineStr">
        <is>
          <t>ダンダダンPOPUP　ランダム缶バッジ 全7種</t>
        </is>
      </c>
      <c r="D16" s="4" t="inlineStr">
        <is>
          <t>CX01</t>
        </is>
      </c>
      <c r="E16" s="4" t="inlineStr">
        <is>
          <t>CX催事</t>
        </is>
      </c>
      <c r="F16" s="5" t="n">
        <v>20</v>
      </c>
      <c r="G16" s="6" t="n">
        <v>1580</v>
      </c>
    </row>
    <row r="17" ht="15.6" customHeight="1">
      <c r="A17" s="4" t="n">
        <v>4515142521208</v>
      </c>
      <c r="B17" s="4" t="inlineStr">
        <is>
          <t>CX2412DNDRBDG-7</t>
        </is>
      </c>
      <c r="C17" s="4" t="inlineStr">
        <is>
          <t>ダンダダンPOPUP　ランダム缶バッジ 全7種</t>
        </is>
      </c>
      <c r="D17" s="4" t="inlineStr">
        <is>
          <t>DB00</t>
        </is>
      </c>
      <c r="E17" s="4" t="inlineStr">
        <is>
          <t>DBS倉庫</t>
        </is>
      </c>
      <c r="F17" s="5" t="n">
        <v>2645</v>
      </c>
      <c r="G17" s="6" t="n">
        <v>208955</v>
      </c>
    </row>
    <row r="18" ht="15.6" customHeight="1">
      <c r="A18" s="4" t="n">
        <v>4515142521215</v>
      </c>
      <c r="B18" s="4" t="inlineStr">
        <is>
          <t>CX2412DNDASTA-OR</t>
        </is>
      </c>
      <c r="C18" s="4" t="inlineStr">
        <is>
          <t>ダンダダンPOPUP　アクリルスタンド　オカルン</t>
        </is>
      </c>
      <c r="D18" s="4" t="inlineStr">
        <is>
          <t>CX01</t>
        </is>
      </c>
      <c r="E18" s="4" t="inlineStr">
        <is>
          <t>CX催事</t>
        </is>
      </c>
      <c r="F18" s="5" t="n">
        <v>0</v>
      </c>
      <c r="G18" s="6" t="n">
        <v>0</v>
      </c>
    </row>
    <row r="19" ht="15.6" customHeight="1">
      <c r="A19" s="4" t="n">
        <v>4515142521215</v>
      </c>
      <c r="B19" s="4" t="inlineStr">
        <is>
          <t>CX2412DNDASTA-OR</t>
        </is>
      </c>
      <c r="C19" s="4" t="inlineStr">
        <is>
          <t>ダンダダンPOPUP　アクリルスタンド　オカルン</t>
        </is>
      </c>
      <c r="D19" s="4" t="inlineStr">
        <is>
          <t>DB00</t>
        </is>
      </c>
      <c r="E19" s="4" t="inlineStr">
        <is>
          <t>DBS倉庫</t>
        </is>
      </c>
      <c r="F19" s="5" t="n">
        <v>58</v>
      </c>
      <c r="G19" s="6" t="n">
        <v>15196</v>
      </c>
    </row>
    <row r="20" ht="15.6" customHeight="1">
      <c r="A20" s="4" t="n">
        <v>4515142521222</v>
      </c>
      <c r="B20" s="4" t="inlineStr">
        <is>
          <t>CX2412DNDASTA-MM</t>
        </is>
      </c>
      <c r="C20" s="4" t="inlineStr">
        <is>
          <t>ダンダダンPOPUP　アクリルスタンド　モモ</t>
        </is>
      </c>
      <c r="D20" s="4" t="inlineStr">
        <is>
          <t>CX01</t>
        </is>
      </c>
      <c r="E20" s="4" t="inlineStr">
        <is>
          <t>CX催事</t>
        </is>
      </c>
      <c r="F20" s="5" t="n">
        <v>0</v>
      </c>
      <c r="G20" s="6" t="n">
        <v>0</v>
      </c>
    </row>
    <row r="21" ht="15.6" customHeight="1">
      <c r="A21" s="4" t="n">
        <v>4515142521222</v>
      </c>
      <c r="B21" s="4" t="inlineStr">
        <is>
          <t>CX2412DNDASTA-MM</t>
        </is>
      </c>
      <c r="C21" s="4" t="inlineStr">
        <is>
          <t>ダンダダンPOPUP　アクリルスタンド　モモ</t>
        </is>
      </c>
      <c r="D21" s="4" t="inlineStr">
        <is>
          <t>DB00</t>
        </is>
      </c>
      <c r="E21" s="4" t="inlineStr">
        <is>
          <t>DBS倉庫</t>
        </is>
      </c>
      <c r="F21" s="5" t="n">
        <v>120</v>
      </c>
      <c r="G21" s="6" t="n">
        <v>31440</v>
      </c>
    </row>
    <row r="22" ht="15.6" customHeight="1">
      <c r="A22" s="4" t="n">
        <v>4515142521239</v>
      </c>
      <c r="B22" s="4" t="inlineStr">
        <is>
          <t>CX2412DNDASTA-SK</t>
        </is>
      </c>
      <c r="C22" s="4" t="inlineStr">
        <is>
          <t>ダンダダンPOPUP　アクリルスタンド　星子</t>
        </is>
      </c>
      <c r="D22" s="4" t="inlineStr">
        <is>
          <t>CX01</t>
        </is>
      </c>
      <c r="E22" s="4" t="inlineStr">
        <is>
          <t>CX催事</t>
        </is>
      </c>
      <c r="F22" s="5" t="n">
        <v>0</v>
      </c>
      <c r="G22" s="6" t="n">
        <v>0</v>
      </c>
    </row>
    <row r="23" ht="15.6" customHeight="1">
      <c r="A23" s="4" t="n">
        <v>4515142521239</v>
      </c>
      <c r="B23" s="4" t="inlineStr">
        <is>
          <t>CX2412DNDASTA-SK</t>
        </is>
      </c>
      <c r="C23" s="4" t="inlineStr">
        <is>
          <t>ダンダダンPOPUP　アクリルスタンド　星子</t>
        </is>
      </c>
      <c r="D23" s="4" t="inlineStr">
        <is>
          <t>DB00</t>
        </is>
      </c>
      <c r="E23" s="4" t="inlineStr">
        <is>
          <t>DBS倉庫</t>
        </is>
      </c>
      <c r="F23" s="5" t="n">
        <v>62</v>
      </c>
      <c r="G23" s="6" t="n">
        <v>16244</v>
      </c>
    </row>
    <row r="24" ht="15.6" customHeight="1">
      <c r="A24" s="4" t="n">
        <v>4515142521246</v>
      </c>
      <c r="B24" s="4" t="inlineStr">
        <is>
          <t>CX2412DNDASTA-AR</t>
        </is>
      </c>
      <c r="C24" s="4" t="inlineStr">
        <is>
          <t>ダンダダンPOPUP　アクリルスタンド　アイラ</t>
        </is>
      </c>
      <c r="D24" s="4" t="inlineStr">
        <is>
          <t>CX01</t>
        </is>
      </c>
      <c r="E24" s="4" t="inlineStr">
        <is>
          <t>CX催事</t>
        </is>
      </c>
      <c r="F24" s="5" t="n">
        <v>0</v>
      </c>
      <c r="G24" s="6" t="n">
        <v>0</v>
      </c>
    </row>
    <row r="25" ht="15.6" customHeight="1">
      <c r="A25" s="4" t="n">
        <v>4515142521246</v>
      </c>
      <c r="B25" s="4" t="inlineStr">
        <is>
          <t>CX2412DNDASTA-AR</t>
        </is>
      </c>
      <c r="C25" s="4" t="inlineStr">
        <is>
          <t>ダンダダンPOPUP　アクリルスタンド　アイラ</t>
        </is>
      </c>
      <c r="D25" s="4" t="inlineStr">
        <is>
          <t>DB00</t>
        </is>
      </c>
      <c r="E25" s="4" t="inlineStr">
        <is>
          <t>DBS倉庫</t>
        </is>
      </c>
      <c r="F25" s="5" t="n">
        <v>67</v>
      </c>
      <c r="G25" s="6" t="n">
        <v>17554</v>
      </c>
    </row>
    <row r="26" ht="15.6" customHeight="1">
      <c r="A26" s="4" t="n">
        <v>4515142521253</v>
      </c>
      <c r="B26" s="4" t="inlineStr">
        <is>
          <t>CX2412DNDASTA-TB</t>
        </is>
      </c>
      <c r="C26" s="4" t="inlineStr">
        <is>
          <t>ダンダダンPOPUP　アクリルスタンド　ターボババア(招き猫)</t>
        </is>
      </c>
      <c r="D26" s="4" t="inlineStr">
        <is>
          <t>CX01</t>
        </is>
      </c>
      <c r="E26" s="4" t="inlineStr">
        <is>
          <t>CX催事</t>
        </is>
      </c>
      <c r="F26" s="5" t="n">
        <v>0</v>
      </c>
      <c r="G26" s="6" t="n">
        <v>0</v>
      </c>
    </row>
    <row r="27" ht="15.6" customHeight="1">
      <c r="A27" s="4" t="n">
        <v>4515142521253</v>
      </c>
      <c r="B27" s="4" t="inlineStr">
        <is>
          <t>CX2412DNDASTA-TB</t>
        </is>
      </c>
      <c r="C27" s="4" t="inlineStr">
        <is>
          <t>ダンダダンPOPUP　アクリルスタンド　ターボババア(招き猫)</t>
        </is>
      </c>
      <c r="D27" s="4" t="inlineStr">
        <is>
          <t>DB00</t>
        </is>
      </c>
      <c r="E27" s="4" t="inlineStr">
        <is>
          <t>DBS倉庫</t>
        </is>
      </c>
      <c r="F27" s="5" t="n">
        <v>402</v>
      </c>
      <c r="G27" s="6" t="n">
        <v>94068</v>
      </c>
    </row>
    <row r="28" ht="15.6" customHeight="1">
      <c r="A28" s="4" t="n">
        <v>4515142521260</v>
      </c>
      <c r="B28" s="4" t="inlineStr">
        <is>
          <t>CX2412DNDASTA-ORH</t>
        </is>
      </c>
      <c r="C28" s="4" t="inlineStr">
        <is>
          <t>ダンダダンPOPUP　アクリルスタンド　オカルン(変身)</t>
        </is>
      </c>
      <c r="D28" s="4" t="inlineStr">
        <is>
          <t>CX01</t>
        </is>
      </c>
      <c r="E28" s="4" t="inlineStr">
        <is>
          <t>CX催事</t>
        </is>
      </c>
      <c r="F28" s="5" t="n">
        <v>0</v>
      </c>
      <c r="G28" s="6" t="n">
        <v>0</v>
      </c>
    </row>
    <row r="29" ht="15.6" customHeight="1">
      <c r="A29" s="4" t="n">
        <v>4515142521260</v>
      </c>
      <c r="B29" s="4" t="inlineStr">
        <is>
          <t>CX2412DNDASTA-ORH</t>
        </is>
      </c>
      <c r="C29" s="4" t="inlineStr">
        <is>
          <t>ダンダダンPOPUP　アクリルスタンド　オカルン(変身)</t>
        </is>
      </c>
      <c r="D29" s="4" t="inlineStr">
        <is>
          <t>DB00</t>
        </is>
      </c>
      <c r="E29" s="4" t="inlineStr">
        <is>
          <t>DBS倉庫</t>
        </is>
      </c>
      <c r="F29" s="5" t="n">
        <v>117</v>
      </c>
      <c r="G29" s="6" t="n">
        <v>30654</v>
      </c>
    </row>
    <row r="30" ht="15.6" customHeight="1">
      <c r="A30" s="4" t="n">
        <v>4515142521277</v>
      </c>
      <c r="B30" s="4" t="inlineStr">
        <is>
          <t>CX2412DNDASTA-ARH</t>
        </is>
      </c>
      <c r="C30" s="4" t="inlineStr">
        <is>
          <t>ダンダダンPOPUP　アクリルスタンド　アイラ(変身)</t>
        </is>
      </c>
      <c r="D30" s="4" t="inlineStr">
        <is>
          <t>CX01</t>
        </is>
      </c>
      <c r="E30" s="4" t="inlineStr">
        <is>
          <t>CX催事</t>
        </is>
      </c>
      <c r="F30" s="5" t="n">
        <v>0</v>
      </c>
      <c r="G30" s="6" t="n">
        <v>0</v>
      </c>
    </row>
    <row r="31" ht="15.6" customHeight="1">
      <c r="A31" s="4" t="n">
        <v>4515142521277</v>
      </c>
      <c r="B31" s="4" t="inlineStr">
        <is>
          <t>CX2412DNDASTA-ARH</t>
        </is>
      </c>
      <c r="C31" s="4" t="inlineStr">
        <is>
          <t>ダンダダンPOPUP　アクリルスタンド　アイラ(変身)</t>
        </is>
      </c>
      <c r="D31" s="4" t="inlineStr">
        <is>
          <t>DB00</t>
        </is>
      </c>
      <c r="E31" s="4" t="inlineStr">
        <is>
          <t>DBS倉庫</t>
        </is>
      </c>
      <c r="F31" s="5" t="n">
        <v>114</v>
      </c>
      <c r="G31" s="6" t="n">
        <v>26790</v>
      </c>
    </row>
    <row r="32" ht="15.6" customHeight="1">
      <c r="A32" s="4" t="n">
        <v>4515142521284</v>
      </c>
      <c r="B32" s="4" t="inlineStr">
        <is>
          <t>CX2412DNDSTK3S-A</t>
        </is>
      </c>
      <c r="C32" s="4" t="inlineStr">
        <is>
          <t>ダンダダンPOPUP　ステッカー3枚セット　A</t>
        </is>
      </c>
      <c r="D32" s="4" t="inlineStr">
        <is>
          <t>CX01</t>
        </is>
      </c>
      <c r="E32" s="4" t="inlineStr">
        <is>
          <t>CX催事</t>
        </is>
      </c>
      <c r="F32" s="5" t="n">
        <v>0</v>
      </c>
      <c r="G32" s="6" t="n">
        <v>0</v>
      </c>
    </row>
    <row r="33" ht="15.6" customHeight="1">
      <c r="A33" s="4" t="n">
        <v>4515142521284</v>
      </c>
      <c r="B33" s="4" t="inlineStr">
        <is>
          <t>CX2412DNDSTK3S-A</t>
        </is>
      </c>
      <c r="C33" s="4" t="inlineStr">
        <is>
          <t>ダンダダンPOPUP　ステッカー3枚セット　A</t>
        </is>
      </c>
      <c r="D33" s="4" t="inlineStr">
        <is>
          <t>DB00</t>
        </is>
      </c>
      <c r="E33" s="4" t="inlineStr">
        <is>
          <t>DBS倉庫</t>
        </is>
      </c>
      <c r="F33" s="5" t="n">
        <v>186</v>
      </c>
      <c r="G33" s="6" t="n">
        <v>22878</v>
      </c>
    </row>
    <row r="34" ht="15.6" customHeight="1">
      <c r="A34" s="4" t="n">
        <v>4515142521291</v>
      </c>
      <c r="B34" s="4" t="inlineStr">
        <is>
          <t>CX2412DNDSTK3S-B</t>
        </is>
      </c>
      <c r="C34" s="4" t="inlineStr">
        <is>
          <t>ダンダダンPOPUP　ステッカー3枚セット　B</t>
        </is>
      </c>
      <c r="D34" s="4" t="inlineStr">
        <is>
          <t>CX01</t>
        </is>
      </c>
      <c r="E34" s="4" t="inlineStr">
        <is>
          <t>CX催事</t>
        </is>
      </c>
      <c r="F34" s="5" t="n">
        <v>0</v>
      </c>
      <c r="G34" s="6" t="n">
        <v>0</v>
      </c>
    </row>
    <row r="35" ht="15.6" customHeight="1">
      <c r="A35" s="4" t="n">
        <v>4515142521291</v>
      </c>
      <c r="B35" s="4" t="inlineStr">
        <is>
          <t>CX2412DNDSTK3S-B</t>
        </is>
      </c>
      <c r="C35" s="4" t="inlineStr">
        <is>
          <t>ダンダダンPOPUP　ステッカー3枚セット　B</t>
        </is>
      </c>
      <c r="D35" s="4" t="inlineStr">
        <is>
          <t>DB00</t>
        </is>
      </c>
      <c r="E35" s="4" t="inlineStr">
        <is>
          <t>DBS倉庫</t>
        </is>
      </c>
      <c r="F35" s="5" t="n">
        <v>169</v>
      </c>
      <c r="G35" s="6" t="n">
        <v>20787</v>
      </c>
    </row>
    <row r="36" ht="15.6" customHeight="1">
      <c r="A36" s="4" t="n">
        <v>4515142521307</v>
      </c>
      <c r="B36" s="4" t="inlineStr">
        <is>
          <t>CX2412DNDSTK3S-C</t>
        </is>
      </c>
      <c r="C36" s="4" t="inlineStr">
        <is>
          <t>ダンダダンPOPUP　ステッカー3枚セット　C</t>
        </is>
      </c>
      <c r="D36" s="4" t="inlineStr">
        <is>
          <t>CX01</t>
        </is>
      </c>
      <c r="E36" s="4" t="inlineStr">
        <is>
          <t>CX催事</t>
        </is>
      </c>
      <c r="F36" s="5" t="n">
        <v>18</v>
      </c>
      <c r="G36" s="6" t="n">
        <v>6642</v>
      </c>
    </row>
    <row r="37" ht="15.6" customHeight="1">
      <c r="A37" s="4" t="n">
        <v>4515142521307</v>
      </c>
      <c r="B37" s="4" t="inlineStr">
        <is>
          <t>CX2412DNDSTK3S-C</t>
        </is>
      </c>
      <c r="C37" s="4" t="inlineStr">
        <is>
          <t>ダンダダンPOPUP　ステッカー3枚セット　C</t>
        </is>
      </c>
      <c r="D37" s="4" t="inlineStr">
        <is>
          <t>DB00</t>
        </is>
      </c>
      <c r="E37" s="4" t="inlineStr">
        <is>
          <t>DBS倉庫</t>
        </is>
      </c>
      <c r="F37" s="5" t="n">
        <v>191</v>
      </c>
      <c r="G37" s="6" t="n">
        <v>70479</v>
      </c>
    </row>
    <row r="38" ht="15.6" customHeight="1">
      <c r="A38" s="4" t="n">
        <v>4515142521314</v>
      </c>
      <c r="B38" s="4" t="inlineStr">
        <is>
          <t>CX2412DNDRBDG-OP6</t>
        </is>
      </c>
      <c r="C38" s="4" t="inlineStr">
        <is>
          <t>ダンダダンPOPUP　ランダム缶バッジ　オープニング　全6種</t>
        </is>
      </c>
      <c r="D38" s="4" t="inlineStr">
        <is>
          <t>CX01</t>
        </is>
      </c>
      <c r="E38" s="4" t="inlineStr">
        <is>
          <t>CX催事</t>
        </is>
      </c>
      <c r="F38" s="5" t="n">
        <v>26</v>
      </c>
      <c r="G38" s="6" t="n">
        <v>2678</v>
      </c>
    </row>
    <row r="39" ht="15.6" customHeight="1">
      <c r="A39" s="4" t="n">
        <v>4515142521314</v>
      </c>
      <c r="B39" s="4" t="inlineStr">
        <is>
          <t>CX2412DNDRBDG-OP6</t>
        </is>
      </c>
      <c r="C39" s="4" t="inlineStr">
        <is>
          <t>ダンダダンPOPUP　ランダム缶バッジ　オープニング　全6種</t>
        </is>
      </c>
      <c r="D39" s="4" t="inlineStr">
        <is>
          <t>DB00</t>
        </is>
      </c>
      <c r="E39" s="4" t="inlineStr">
        <is>
          <t>DBS倉庫</t>
        </is>
      </c>
      <c r="F39" s="5" t="n">
        <v>1950</v>
      </c>
      <c r="G39" s="6" t="n">
        <v>200850</v>
      </c>
    </row>
    <row r="40" ht="15.6" customHeight="1">
      <c r="A40" s="4" t="n">
        <v>4515142521321</v>
      </c>
      <c r="B40" s="4" t="inlineStr">
        <is>
          <t>CX2412DNDRBDG-ED6</t>
        </is>
      </c>
      <c r="C40" s="4" t="inlineStr">
        <is>
          <t>ダンダダンPOPUP　ランダム缶バッジ　エンディング　全6種</t>
        </is>
      </c>
      <c r="D40" s="4" t="inlineStr">
        <is>
          <t>CX01</t>
        </is>
      </c>
      <c r="E40" s="4" t="inlineStr">
        <is>
          <t>CX催事</t>
        </is>
      </c>
      <c r="F40" s="5" t="n">
        <v>13</v>
      </c>
      <c r="G40" s="6" t="n">
        <v>1326</v>
      </c>
    </row>
    <row r="41" ht="15.6" customHeight="1">
      <c r="A41" s="4" t="n">
        <v>4515142521321</v>
      </c>
      <c r="B41" s="4" t="inlineStr">
        <is>
          <t>CX2412DNDRBDG-ED6</t>
        </is>
      </c>
      <c r="C41" s="4" t="inlineStr">
        <is>
          <t>ダンダダンPOPUP　ランダム缶バッジ　エンディング　全6種</t>
        </is>
      </c>
      <c r="D41" s="4" t="inlineStr">
        <is>
          <t>DB00</t>
        </is>
      </c>
      <c r="E41" s="4" t="inlineStr">
        <is>
          <t>DBS倉庫</t>
        </is>
      </c>
      <c r="F41" s="5" t="n">
        <v>2462</v>
      </c>
      <c r="G41" s="6" t="n">
        <v>251124</v>
      </c>
    </row>
    <row r="42" ht="15.6" customHeight="1">
      <c r="A42" s="4" t="n">
        <v>4515142521338</v>
      </c>
      <c r="B42" s="4" t="inlineStr">
        <is>
          <t>CX2412DNDRASKEY-6</t>
        </is>
      </c>
      <c r="C42" s="4" t="inlineStr">
        <is>
          <t>ダンダダンPOPUP　ランダムアクリルキーホルダー　全6種</t>
        </is>
      </c>
      <c r="D42" s="4" t="inlineStr">
        <is>
          <t>CX01</t>
        </is>
      </c>
      <c r="E42" s="4" t="inlineStr">
        <is>
          <t>CX催事</t>
        </is>
      </c>
      <c r="F42" s="5" t="n">
        <v>0</v>
      </c>
      <c r="G42" s="6" t="n">
        <v>0</v>
      </c>
    </row>
    <row r="43" ht="15.6" customHeight="1">
      <c r="A43" s="4" t="n">
        <v>4515142521338</v>
      </c>
      <c r="B43" s="4" t="inlineStr">
        <is>
          <t>CX2412DNDRASKEY-6</t>
        </is>
      </c>
      <c r="C43" s="4" t="inlineStr">
        <is>
          <t>ダンダダンPOPUP　ランダムアクリルキーホルダー　全6種</t>
        </is>
      </c>
      <c r="D43" s="4" t="inlineStr">
        <is>
          <t>DB00</t>
        </is>
      </c>
      <c r="E43" s="4" t="inlineStr">
        <is>
          <t>DBS倉庫</t>
        </is>
      </c>
      <c r="F43" s="5" t="n">
        <v>555</v>
      </c>
      <c r="G43" s="6" t="n">
        <v>70485</v>
      </c>
    </row>
    <row r="44" ht="15.6" customHeight="1">
      <c r="A44" s="4" t="n">
        <v>4515142521345</v>
      </c>
      <c r="B44" s="4" t="inlineStr">
        <is>
          <t>CX2412DNDTOTEBAG</t>
        </is>
      </c>
      <c r="C44" s="4" t="inlineStr">
        <is>
          <t>ダンダダンPOPUP　トートバッグ</t>
        </is>
      </c>
      <c r="D44" s="4" t="inlineStr">
        <is>
          <t>CX01</t>
        </is>
      </c>
      <c r="E44" s="4" t="inlineStr">
        <is>
          <t>CX催事</t>
        </is>
      </c>
      <c r="F44" s="5" t="n">
        <v>0</v>
      </c>
      <c r="G44" s="6" t="n">
        <v>0</v>
      </c>
    </row>
    <row r="45" ht="15.6" customHeight="1">
      <c r="A45" s="4" t="n">
        <v>4515142521345</v>
      </c>
      <c r="B45" s="4" t="inlineStr">
        <is>
          <t>CX2412DNDTOTEBAG</t>
        </is>
      </c>
      <c r="C45" s="4" t="inlineStr">
        <is>
          <t>ダンダダンPOPUP　トートバッグ</t>
        </is>
      </c>
      <c r="D45" s="4" t="inlineStr">
        <is>
          <t>DB00</t>
        </is>
      </c>
      <c r="E45" s="4" t="inlineStr">
        <is>
          <t>DBS倉庫</t>
        </is>
      </c>
      <c r="F45" s="5" t="n">
        <v>0</v>
      </c>
      <c r="G45" s="6" t="n">
        <v>0</v>
      </c>
    </row>
    <row r="46" ht="15.6" customHeight="1">
      <c r="A46" s="4" t="n">
        <v>4515142521352</v>
      </c>
      <c r="B46" s="4" t="inlineStr">
        <is>
          <t>CX2412DNDSAKEY-ORH</t>
        </is>
      </c>
      <c r="C46" s="4" t="inlineStr">
        <is>
          <t>ダンダダンPOPUP　スライドアクリルキーホルダー　オカルン(変身)</t>
        </is>
      </c>
      <c r="D46" s="4" t="inlineStr">
        <is>
          <t>CX01</t>
        </is>
      </c>
      <c r="E46" s="4" t="inlineStr">
        <is>
          <t>CX催事</t>
        </is>
      </c>
      <c r="F46" s="5" t="n">
        <v>21</v>
      </c>
      <c r="G46" s="6" t="n">
        <v>2961</v>
      </c>
    </row>
    <row r="47" ht="15.6" customHeight="1">
      <c r="A47" s="4" t="n">
        <v>4515142521352</v>
      </c>
      <c r="B47" s="4" t="inlineStr">
        <is>
          <t>CX2412DNDSAKEY-ORH</t>
        </is>
      </c>
      <c r="C47" s="4" t="inlineStr">
        <is>
          <t>ダンダダンPOPUP　スライドアクリルキーホルダー　オカルン(変身)</t>
        </is>
      </c>
      <c r="D47" s="4" t="inlineStr">
        <is>
          <t>DB00</t>
        </is>
      </c>
      <c r="E47" s="4" t="inlineStr">
        <is>
          <t>DBS倉庫</t>
        </is>
      </c>
      <c r="F47" s="5" t="n">
        <v>92</v>
      </c>
      <c r="G47" s="6" t="n">
        <v>12972</v>
      </c>
    </row>
    <row r="48" ht="15.6" customHeight="1">
      <c r="A48" s="4" t="n">
        <v>4515142521369</v>
      </c>
      <c r="B48" s="4" t="inlineStr">
        <is>
          <t>CX2412DNDSAKEY-MM</t>
        </is>
      </c>
      <c r="C48" s="4" t="inlineStr">
        <is>
          <t>ダンダダンPOPUP　スライドアクリルキーホルダー　モモ</t>
        </is>
      </c>
      <c r="D48" s="4" t="inlineStr">
        <is>
          <t>CX01</t>
        </is>
      </c>
      <c r="E48" s="4" t="inlineStr">
        <is>
          <t>CX催事</t>
        </is>
      </c>
      <c r="F48" s="5" t="n">
        <v>0</v>
      </c>
      <c r="G48" s="6" t="n">
        <v>0</v>
      </c>
    </row>
    <row r="49" ht="15.6" customHeight="1">
      <c r="A49" s="4" t="n">
        <v>4515142521369</v>
      </c>
      <c r="B49" s="4" t="inlineStr">
        <is>
          <t>CX2412DNDSAKEY-MM</t>
        </is>
      </c>
      <c r="C49" s="4" t="inlineStr">
        <is>
          <t>ダンダダンPOPUP　スライドアクリルキーホルダー　モモ</t>
        </is>
      </c>
      <c r="D49" s="4" t="inlineStr">
        <is>
          <t>DB00</t>
        </is>
      </c>
      <c r="E49" s="4" t="inlineStr">
        <is>
          <t>DBS倉庫</t>
        </is>
      </c>
      <c r="F49" s="5" t="n">
        <v>41</v>
      </c>
      <c r="G49" s="6" t="n">
        <v>6273</v>
      </c>
    </row>
    <row r="50" ht="15.6" customHeight="1">
      <c r="A50" s="4" t="n">
        <v>4515142521376</v>
      </c>
      <c r="B50" s="4" t="inlineStr">
        <is>
          <t>CX2412DNDSAKEY-SK</t>
        </is>
      </c>
      <c r="C50" s="4" t="inlineStr">
        <is>
          <t>ダンダダンPOPUP　スライドアクリルキーホルダー　星子</t>
        </is>
      </c>
      <c r="D50" s="4" t="inlineStr">
        <is>
          <t>CX01</t>
        </is>
      </c>
      <c r="E50" s="4" t="inlineStr">
        <is>
          <t>CX催事</t>
        </is>
      </c>
      <c r="F50" s="5" t="n">
        <v>0</v>
      </c>
      <c r="G50" s="6" t="n">
        <v>0</v>
      </c>
    </row>
    <row r="51" ht="15.6" customHeight="1">
      <c r="A51" s="4" t="n">
        <v>4515142521376</v>
      </c>
      <c r="B51" s="4" t="inlineStr">
        <is>
          <t>CX2412DNDSAKEY-SK</t>
        </is>
      </c>
      <c r="C51" s="4" t="inlineStr">
        <is>
          <t>ダンダダンPOPUP　スライドアクリルキーホルダー　星子</t>
        </is>
      </c>
      <c r="D51" s="4" t="inlineStr">
        <is>
          <t>DB00</t>
        </is>
      </c>
      <c r="E51" s="4" t="inlineStr">
        <is>
          <t>DBS倉庫</t>
        </is>
      </c>
      <c r="F51" s="5" t="n">
        <v>57</v>
      </c>
      <c r="G51" s="6" t="n">
        <v>8721</v>
      </c>
    </row>
    <row r="52" ht="15.6" customHeight="1">
      <c r="A52" s="4" t="n">
        <v>4515142521383</v>
      </c>
      <c r="B52" s="4" t="inlineStr">
        <is>
          <t>CX2412DNDSAKEY-AR</t>
        </is>
      </c>
      <c r="C52" s="4" t="inlineStr">
        <is>
          <t>ダンダダンPOPUP　スライドアクリルキーホルダー　アイラ</t>
        </is>
      </c>
      <c r="D52" s="4" t="inlineStr">
        <is>
          <t>CX01</t>
        </is>
      </c>
      <c r="E52" s="4" t="inlineStr">
        <is>
          <t>CX催事</t>
        </is>
      </c>
      <c r="F52" s="5" t="n">
        <v>0</v>
      </c>
      <c r="G52" s="6" t="n">
        <v>0</v>
      </c>
    </row>
    <row r="53" ht="15.6" customHeight="1">
      <c r="A53" s="4" t="n">
        <v>4515142521383</v>
      </c>
      <c r="B53" s="4" t="inlineStr">
        <is>
          <t>CX2412DNDSAKEY-AR</t>
        </is>
      </c>
      <c r="C53" s="4" t="inlineStr">
        <is>
          <t>ダンダダンPOPUP　スライドアクリルキーホルダー　アイラ</t>
        </is>
      </c>
      <c r="D53" s="4" t="inlineStr">
        <is>
          <t>DB00</t>
        </is>
      </c>
      <c r="E53" s="4" t="inlineStr">
        <is>
          <t>DBS倉庫</t>
        </is>
      </c>
      <c r="F53" s="5" t="n">
        <v>36</v>
      </c>
      <c r="G53" s="6" t="n">
        <v>5508</v>
      </c>
    </row>
    <row r="54" ht="15.6" customHeight="1">
      <c r="A54" s="4" t="n">
        <v>4515142521390</v>
      </c>
      <c r="B54" s="4" t="inlineStr">
        <is>
          <t>CX2412DNDSAKEY-GG</t>
        </is>
      </c>
      <c r="C54" s="4" t="inlineStr">
        <is>
          <t>ダンダダンPOPUP　スライドアクリルキーホルダー　ジジ</t>
        </is>
      </c>
      <c r="D54" s="4" t="inlineStr">
        <is>
          <t>CX01</t>
        </is>
      </c>
      <c r="E54" s="4" t="inlineStr">
        <is>
          <t>CX催事</t>
        </is>
      </c>
      <c r="F54" s="5" t="n">
        <v>0</v>
      </c>
      <c r="G54" s="6" t="n">
        <v>0</v>
      </c>
    </row>
    <row r="55" ht="15.6" customHeight="1">
      <c r="A55" s="4" t="n">
        <v>4515142521390</v>
      </c>
      <c r="B55" s="4" t="inlineStr">
        <is>
          <t>CX2412DNDSAKEY-GG</t>
        </is>
      </c>
      <c r="C55" s="4" t="inlineStr">
        <is>
          <t>ダンダダンPOPUP　スライドアクリルキーホルダー　ジジ</t>
        </is>
      </c>
      <c r="D55" s="4" t="inlineStr">
        <is>
          <t>DB00</t>
        </is>
      </c>
      <c r="E55" s="4" t="inlineStr">
        <is>
          <t>DBS倉庫</t>
        </is>
      </c>
      <c r="F55" s="5" t="n">
        <v>0</v>
      </c>
      <c r="G55" s="6" t="n">
        <v>0</v>
      </c>
    </row>
    <row r="56" ht="15.6" customHeight="1">
      <c r="A56" s="4" t="n">
        <v>4515142521406</v>
      </c>
      <c r="B56" s="4" t="inlineStr">
        <is>
          <t>CX2412DNDSAKEY-TB</t>
        </is>
      </c>
      <c r="C56" s="4" t="inlineStr">
        <is>
          <t>ダンダダンPOPUP　スライドアクリルキーホルダー　ターボババア(招き猫)</t>
        </is>
      </c>
      <c r="D56" s="4" t="inlineStr">
        <is>
          <t>CX01</t>
        </is>
      </c>
      <c r="E56" s="4" t="inlineStr">
        <is>
          <t>CX催事</t>
        </is>
      </c>
      <c r="F56" s="5" t="n">
        <v>4</v>
      </c>
      <c r="G56" s="6" t="n">
        <v>592</v>
      </c>
    </row>
    <row r="57" ht="15.6" customHeight="1">
      <c r="A57" s="4" t="n">
        <v>4515142521406</v>
      </c>
      <c r="B57" s="4" t="inlineStr">
        <is>
          <t>CX2412DNDSAKEY-TB</t>
        </is>
      </c>
      <c r="C57" s="4" t="inlineStr">
        <is>
          <t>ダンダダンPOPUP　スライドアクリルキーホルダー　ターボババア(招き猫)</t>
        </is>
      </c>
      <c r="D57" s="4" t="inlineStr">
        <is>
          <t>DB00</t>
        </is>
      </c>
      <c r="E57" s="4" t="inlineStr">
        <is>
          <t>DBS倉庫</t>
        </is>
      </c>
      <c r="F57" s="5" t="n">
        <v>51</v>
      </c>
      <c r="G57" s="6" t="n">
        <v>7548</v>
      </c>
    </row>
    <row r="58" ht="15.6" customHeight="1">
      <c r="A58" s="4" t="n">
        <v>4515142521413</v>
      </c>
      <c r="B58" s="4" t="inlineStr">
        <is>
          <t>CX2412DNDSAKEY-SS</t>
        </is>
      </c>
      <c r="C58" s="4" t="inlineStr">
        <is>
          <t>ダンダダンPOPUP　スライドアクリルキーホルダー　セルポ星人</t>
        </is>
      </c>
      <c r="D58" s="4" t="inlineStr">
        <is>
          <t>CX01</t>
        </is>
      </c>
      <c r="E58" s="4" t="inlineStr">
        <is>
          <t>CX催事</t>
        </is>
      </c>
      <c r="F58" s="5" t="n">
        <v>3</v>
      </c>
      <c r="G58" s="6" t="n">
        <v>411</v>
      </c>
    </row>
    <row r="59" ht="15.6" customHeight="1">
      <c r="A59" s="4" t="n">
        <v>4515142521413</v>
      </c>
      <c r="B59" s="4" t="inlineStr">
        <is>
          <t>CX2412DNDSAKEY-SS</t>
        </is>
      </c>
      <c r="C59" s="4" t="inlineStr">
        <is>
          <t>ダンダダンPOPUP　スライドアクリルキーホルダー　セルポ星人</t>
        </is>
      </c>
      <c r="D59" s="4" t="inlineStr">
        <is>
          <t>DB00</t>
        </is>
      </c>
      <c r="E59" s="4" t="inlineStr">
        <is>
          <t>DBS倉庫</t>
        </is>
      </c>
      <c r="F59" s="5" t="n">
        <v>3</v>
      </c>
      <c r="G59" s="6" t="n">
        <v>411</v>
      </c>
    </row>
    <row r="60" ht="15.6" customHeight="1">
      <c r="A60" s="4" t="n">
        <v>4515142521420</v>
      </c>
      <c r="B60" s="4" t="inlineStr">
        <is>
          <t>CX2412DNDSAKEY-AS</t>
        </is>
      </c>
      <c r="C60" s="4" t="inlineStr">
        <is>
          <t>ダンダダンPOPUP　スライドアクリルキーホルダー　アクロバティックさらさら</t>
        </is>
      </c>
      <c r="D60" s="4" t="inlineStr">
        <is>
          <t>CX01</t>
        </is>
      </c>
      <c r="E60" s="4" t="inlineStr">
        <is>
          <t>CX催事</t>
        </is>
      </c>
      <c r="F60" s="5" t="n">
        <v>0</v>
      </c>
      <c r="G60" s="6" t="n">
        <v>0</v>
      </c>
    </row>
    <row r="61" ht="15.6" customHeight="1">
      <c r="A61" s="4" t="n">
        <v>4515142521420</v>
      </c>
      <c r="B61" s="4" t="inlineStr">
        <is>
          <t>CX2412DNDSAKEY-AS</t>
        </is>
      </c>
      <c r="C61" s="4" t="inlineStr">
        <is>
          <t>ダンダダンPOPUP　スライドアクリルキーホルダー　アクロバティックさらさら</t>
        </is>
      </c>
      <c r="D61" s="4" t="inlineStr">
        <is>
          <t>DB00</t>
        </is>
      </c>
      <c r="E61" s="4" t="inlineStr">
        <is>
          <t>DBS倉庫</t>
        </is>
      </c>
      <c r="F61" s="5" t="n">
        <v>10</v>
      </c>
      <c r="G61" s="6" t="n">
        <v>1530</v>
      </c>
    </row>
    <row r="62" ht="15.6" customHeight="1">
      <c r="A62" s="4" t="n">
        <v>4515142521437</v>
      </c>
      <c r="B62" s="4" t="inlineStr">
        <is>
          <t>CX2412DNDSAKEY-DD</t>
        </is>
      </c>
      <c r="C62" s="4" t="inlineStr">
        <is>
          <t>ダンダダンPOPUP　スライドアクリルキーホルダー　ドーバーデーモン</t>
        </is>
      </c>
      <c r="D62" s="4" t="inlineStr">
        <is>
          <t>CX01</t>
        </is>
      </c>
      <c r="E62" s="4" t="inlineStr">
        <is>
          <t>CX催事</t>
        </is>
      </c>
      <c r="F62" s="5" t="n">
        <v>5</v>
      </c>
      <c r="G62" s="6" t="n">
        <v>685</v>
      </c>
    </row>
    <row r="63" ht="15.6" customHeight="1">
      <c r="A63" s="4" t="n">
        <v>4515142521437</v>
      </c>
      <c r="B63" s="4" t="inlineStr">
        <is>
          <t>CX2412DNDSAKEY-DD</t>
        </is>
      </c>
      <c r="C63" s="4" t="inlineStr">
        <is>
          <t>ダンダダンPOPUP　スライドアクリルキーホルダー　ドーバーデーモン</t>
        </is>
      </c>
      <c r="D63" s="4" t="inlineStr">
        <is>
          <t>DB00</t>
        </is>
      </c>
      <c r="E63" s="4" t="inlineStr">
        <is>
          <t>DBS倉庫</t>
        </is>
      </c>
      <c r="F63" s="5" t="n">
        <v>24</v>
      </c>
      <c r="G63" s="6" t="n">
        <v>3288</v>
      </c>
    </row>
    <row r="64" ht="15.6" customHeight="1">
      <c r="A64" s="4" t="n">
        <v>4515142521444</v>
      </c>
      <c r="B64" s="4" t="inlineStr">
        <is>
          <t>CX2412DNDRCCDPOS-6</t>
        </is>
      </c>
      <c r="C64" s="4" t="inlineStr">
        <is>
          <t>ダンダダンPOPUP　ランダムクリアカード＆ポストカードセット　全6種</t>
        </is>
      </c>
      <c r="D64" s="4" t="inlineStr">
        <is>
          <t>CX01</t>
        </is>
      </c>
      <c r="E64" s="4" t="inlineStr">
        <is>
          <t>CX催事</t>
        </is>
      </c>
      <c r="F64" s="5" t="n">
        <v>0</v>
      </c>
      <c r="G64" s="6" t="n">
        <v>0</v>
      </c>
    </row>
    <row r="65" ht="15.6" customHeight="1">
      <c r="A65" s="4" t="n">
        <v>4515142521444</v>
      </c>
      <c r="B65" s="4" t="inlineStr">
        <is>
          <t>CX2412DNDRCCDPOS-6</t>
        </is>
      </c>
      <c r="C65" s="4" t="inlineStr">
        <is>
          <t>ダンダダンPOPUP　ランダムクリアカード＆ポストカードセット　全6種</t>
        </is>
      </c>
      <c r="D65" s="4" t="inlineStr">
        <is>
          <t>DB00</t>
        </is>
      </c>
      <c r="E65" s="4" t="inlineStr">
        <is>
          <t>DBS倉庫</t>
        </is>
      </c>
      <c r="F65" s="5" t="n">
        <v>793</v>
      </c>
      <c r="G65" s="6" t="n">
        <v>158600</v>
      </c>
    </row>
    <row r="66" ht="15.6" customHeight="1">
      <c r="A66" s="4" t="n">
        <v>4515142521451</v>
      </c>
      <c r="B66" s="4" t="inlineStr">
        <is>
          <t>CX2412DNDVPOS-A</t>
        </is>
      </c>
      <c r="C66" s="4" t="inlineStr">
        <is>
          <t>ダンダダンPOPUP　ビジュアルポストカード　A</t>
        </is>
      </c>
      <c r="D66" s="4" t="inlineStr">
        <is>
          <t>CX01</t>
        </is>
      </c>
      <c r="E66" s="4" t="inlineStr">
        <is>
          <t>CX催事</t>
        </is>
      </c>
      <c r="F66" s="5" t="n">
        <v>0</v>
      </c>
      <c r="G66" s="6" t="n">
        <v>0</v>
      </c>
    </row>
    <row r="67" ht="15.6" customHeight="1">
      <c r="A67" s="4" t="n">
        <v>4515142521451</v>
      </c>
      <c r="B67" s="4" t="inlineStr">
        <is>
          <t>CX2412DNDVPOS-A</t>
        </is>
      </c>
      <c r="C67" s="4" t="inlineStr">
        <is>
          <t>ダンダダンPOPUP　ビジュアルポストカード　A</t>
        </is>
      </c>
      <c r="D67" s="4" t="inlineStr">
        <is>
          <t>DB00</t>
        </is>
      </c>
      <c r="E67" s="4" t="inlineStr">
        <is>
          <t>DBS倉庫</t>
        </is>
      </c>
      <c r="F67" s="5" t="n">
        <v>25</v>
      </c>
      <c r="G67" s="6" t="n">
        <v>1650</v>
      </c>
    </row>
    <row r="68" ht="15.6" customHeight="1">
      <c r="A68" s="4" t="n">
        <v>4515142521468</v>
      </c>
      <c r="B68" s="4" t="inlineStr">
        <is>
          <t>CX2412DNDVPOS-B</t>
        </is>
      </c>
      <c r="C68" s="4" t="inlineStr">
        <is>
          <t>ダンダダンPOPUP　ビジュアルポストカード　B</t>
        </is>
      </c>
      <c r="D68" s="4" t="inlineStr">
        <is>
          <t>CX01</t>
        </is>
      </c>
      <c r="E68" s="4" t="inlineStr">
        <is>
          <t>CX催事</t>
        </is>
      </c>
      <c r="F68" s="5" t="n">
        <v>0</v>
      </c>
      <c r="G68" s="6" t="n">
        <v>0</v>
      </c>
    </row>
    <row r="69" ht="15.6" customHeight="1">
      <c r="A69" s="4" t="n">
        <v>4515142521468</v>
      </c>
      <c r="B69" s="4" t="inlineStr">
        <is>
          <t>CX2412DNDVPOS-B</t>
        </is>
      </c>
      <c r="C69" s="4" t="inlineStr">
        <is>
          <t>ダンダダンPOPUP　ビジュアルポストカード　B</t>
        </is>
      </c>
      <c r="D69" s="4" t="inlineStr">
        <is>
          <t>DB00</t>
        </is>
      </c>
      <c r="E69" s="4" t="inlineStr">
        <is>
          <t>DBS倉庫</t>
        </is>
      </c>
      <c r="F69" s="5" t="n">
        <v>31</v>
      </c>
      <c r="G69" s="6" t="n">
        <v>2046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ht="15.6" customHeight="1">
      <c r="A1" s="4" t="inlineStr">
        <is>
          <t>JANコード(EAN/UPC)</t>
        </is>
      </c>
      <c r="B1" s="4" t="inlineStr"/>
    </row>
    <row r="2" ht="15.6" customHeight="1">
      <c r="A2" s="4" t="inlineStr">
        <is>
          <t>WBS 要素</t>
        </is>
      </c>
      <c r="B2" s="4" t="inlineStr"/>
    </row>
    <row r="3" ht="15.6" customHeight="1">
      <c r="A3" s="4" t="inlineStr">
        <is>
          <t>メジャー</t>
        </is>
      </c>
      <c r="B3" s="4" t="inlineStr"/>
    </row>
    <row r="4" ht="15.6" customHeight="1">
      <c r="A4" s="4" t="inlineStr">
        <is>
          <t>サイズ/寸法</t>
        </is>
      </c>
      <c r="B4" s="4" t="inlineStr"/>
    </row>
    <row r="5" ht="15.6" customHeight="1">
      <c r="A5" s="4" t="inlineStr">
        <is>
          <t>サプライヤ SID</t>
        </is>
      </c>
      <c r="B5" s="4" t="inlineStr"/>
    </row>
    <row r="6" ht="15.6" customHeight="1">
      <c r="A6" s="4" t="inlineStr">
        <is>
          <t>プラント</t>
        </is>
      </c>
      <c r="B6" s="4" t="inlineStr"/>
    </row>
    <row r="7" ht="15.6" customHeight="1">
      <c r="A7" s="4" t="inlineStr">
        <is>
          <t>プラント名</t>
        </is>
      </c>
      <c r="B7" s="4" t="inlineStr"/>
    </row>
    <row r="8" ht="15.6" customHeight="1">
      <c r="A8" s="4" t="inlineStr">
        <is>
          <t>ロット SID</t>
        </is>
      </c>
      <c r="B8" s="4" t="inlineStr"/>
    </row>
    <row r="9" ht="15.6" customHeight="1">
      <c r="A9" s="4" t="inlineStr">
        <is>
          <t>保管場所</t>
        </is>
      </c>
      <c r="B9" s="4" t="inlineStr"/>
    </row>
    <row r="10" ht="15.6" customHeight="1">
      <c r="A10" s="4" t="inlineStr">
        <is>
          <t>保管場所名</t>
        </is>
      </c>
      <c r="B10" s="4" t="inlineStr"/>
    </row>
    <row r="11" ht="15.6" customHeight="1">
      <c r="A11" s="4" t="inlineStr">
        <is>
          <t>受注明細</t>
        </is>
      </c>
      <c r="B11" s="4" t="inlineStr"/>
    </row>
    <row r="12" ht="15.6" customHeight="1">
      <c r="A12" s="4" t="inlineStr">
        <is>
          <t>受注番号</t>
        </is>
      </c>
      <c r="B12" s="4" t="inlineStr"/>
    </row>
    <row r="13" ht="15.6" customHeight="1">
      <c r="A13" s="4" t="inlineStr">
        <is>
          <t>品目コード</t>
        </is>
      </c>
      <c r="B13" s="4" t="inlineStr">
        <is>
          <t>CX2412DNDASTA-AR; CX2412DNDASTA-ARH; CX2412DNDASTA-MM; CX2412DNDASTA-OR; CX2412DNDASTA-ORH; CX2412DNDASTA-SK; CX2412DNDASTA-TB; CX2412DNDCF-AR; CX2412DNDCF-ARH; CX2412DNDCF-MM; CX2412DNDCF-OR; CX2412DNDCF-ORH; CX2412DNDCF-SK; CX2412DNDCF-TB; CX2412DNDRASKEY-6; CX2412DNDRBDG-7; CX2412DNDRBDG-ED6; CX2412DNDRBDG-OP6; CX2412DNDRCCDPOS-6; CX2412DNDSAKEY-AR; CX2412DNDSAKEY-AS; CX2412DNDSAKEY-DD; CX2412DNDSAKEY-GG; CX2412DNDSAKEY-MM; CX2412DNDSAKEY-ORH; CX2412DNDSAKEY-SK; CX2412DNDSAKEY-SS; CX2412DNDSAKEY-TB; CX2412DNDSTK3S-A; CX2412DNDSTK3S-B; CX2412DNDSTK3S-C; CX2412DNDTOTEBAG; CX2412DNDVPOS-A; CX2412DNDVPOS-B</t>
        </is>
      </c>
    </row>
    <row r="14" ht="15.6" customHeight="1">
      <c r="A14" s="4" t="inlineStr">
        <is>
          <t>品目テキスト</t>
        </is>
      </c>
      <c r="B14" s="4" t="inlineStr"/>
    </row>
    <row r="15" ht="15.6" customHeight="1">
      <c r="A15" s="4" t="inlineStr">
        <is>
          <t>在庫タイプ</t>
        </is>
      </c>
      <c r="B15" s="4" t="inlineStr"/>
    </row>
    <row r="16" ht="15.6" customHeight="1">
      <c r="A16" s="4" t="inlineStr">
        <is>
          <t>基本数量単位</t>
        </is>
      </c>
      <c r="B16" s="4" t="inlineStr"/>
    </row>
    <row r="17" ht="15.6" customHeight="1">
      <c r="A17" s="4" t="inlineStr">
        <is>
          <t>得意先 SID</t>
        </is>
      </c>
      <c r="B17" s="4" t="inlineStr"/>
    </row>
    <row r="18" ht="15.6" customHeight="1">
      <c r="A18" s="4" t="inlineStr">
        <is>
          <t>文書</t>
        </is>
      </c>
      <c r="B18" s="4" t="inlineStr"/>
    </row>
    <row r="19" ht="15.6" customHeight="1">
      <c r="A19" s="4" t="inlineStr">
        <is>
          <t>文書タイプ</t>
        </is>
      </c>
      <c r="B19" s="4" t="inlineStr"/>
    </row>
    <row r="20" ht="15.6" customHeight="1">
      <c r="A20" s="4" t="inlineStr">
        <is>
          <t>旧製品番号</t>
        </is>
      </c>
      <c r="B20" s="4" t="inlineStr"/>
    </row>
    <row r="21" ht="15.6" customHeight="1">
      <c r="A21" s="4" t="inlineStr">
        <is>
          <t>案件名</t>
        </is>
      </c>
      <c r="B21" s="4" t="inlineStr"/>
    </row>
    <row r="22" ht="15.6" customHeight="1">
      <c r="A22" s="4" t="inlineStr">
        <is>
          <t>案件担当者</t>
        </is>
      </c>
      <c r="B22" s="4" t="inlineStr"/>
    </row>
    <row r="23" ht="15.6" customHeight="1">
      <c r="A23" s="4" t="inlineStr">
        <is>
          <t>案件番号</t>
        </is>
      </c>
      <c r="B23" s="4" t="inlineStr"/>
    </row>
    <row r="24" ht="15.6" customHeight="1">
      <c r="A24" s="4" t="inlineStr">
        <is>
          <t>照会通貨</t>
        </is>
      </c>
      <c r="B24" s="4" t="inlineStr"/>
    </row>
    <row r="25" ht="15.6" customHeight="1">
      <c r="A25" s="4" t="inlineStr">
        <is>
          <t>特殊在庫の追加仕入先</t>
        </is>
      </c>
      <c r="B25" s="4" t="inlineStr"/>
    </row>
    <row r="26" ht="15.6" customHeight="1">
      <c r="A26" s="4" t="inlineStr">
        <is>
          <t>特殊在庫タイプ</t>
        </is>
      </c>
      <c r="B26" s="4" t="inlineStr"/>
    </row>
    <row r="27" ht="15.6" customHeight="1">
      <c r="A27" s="4" t="inlineStr">
        <is>
          <t>製品グループ</t>
        </is>
      </c>
      <c r="B27" s="4" t="inlineStr"/>
    </row>
    <row r="28" ht="15.6" customHeight="1">
      <c r="A28" s="4" t="inlineStr">
        <is>
          <t>通貨</t>
        </is>
      </c>
      <c r="B28" s="4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7" t="inlineStr">
        <is>
          <t>JANコード(EAN/UPC)</t>
        </is>
      </c>
      <c r="B1" s="7" t="inlineStr">
        <is>
          <t>品目コード</t>
        </is>
      </c>
      <c r="C1" s="7" t="inlineStr">
        <is>
          <t>品目テキスト</t>
        </is>
      </c>
      <c r="D1" s="7" t="inlineStr">
        <is>
          <t>保管場所</t>
        </is>
      </c>
      <c r="E1" s="7" t="inlineStr">
        <is>
          <t>保管場所名</t>
        </is>
      </c>
      <c r="F1" s="7" t="inlineStr">
        <is>
          <t>区分</t>
        </is>
      </c>
      <c r="G1" s="7" t="inlineStr">
        <is>
          <t>在庫数量</t>
        </is>
      </c>
      <c r="H1" s="7" t="inlineStr">
        <is>
          <t>在庫金額</t>
        </is>
      </c>
    </row>
    <row r="2">
      <c r="A2" s="8" t="n">
        <v>4515142521130</v>
      </c>
      <c r="B2" s="8" t="inlineStr">
        <is>
          <t>CX2412DNDCF-OR</t>
        </is>
      </c>
      <c r="C2" s="8" t="inlineStr">
        <is>
          <t>ダンダダンPOPUP　クリアファイル　オカルン</t>
        </is>
      </c>
      <c r="D2" s="8" t="inlineStr">
        <is>
          <t>CX01</t>
        </is>
      </c>
      <c r="E2" s="8" t="inlineStr">
        <is>
          <t>CX催事</t>
        </is>
      </c>
      <c r="F2" s="9">
        <f>IF(COUNTIFS('XTab DS_1'!$B$2:$B$69,$B2)&gt;=2,"重複","単独")</f>
        <v/>
      </c>
      <c r="G2" s="10">
        <f>SUMIFS('XTab DS_1'!$F$2:$F$69,'XTab DS_1'!$B$2:$B$69,$B2,'XTab DS_1'!$D$2:$D$69,$D2)</f>
        <v/>
      </c>
      <c r="H2" s="11">
        <f>SUMIFS('XTab DS_1'!$G$2:$G$69,'XTab DS_1'!$B$2:$B$69,$B2,'XTab DS_1'!$D$2:$D$69,$D2)</f>
        <v/>
      </c>
    </row>
    <row r="3">
      <c r="A3" s="8" t="n">
        <v>4515142521147</v>
      </c>
      <c r="B3" s="8" t="inlineStr">
        <is>
          <t>CX2412DNDCF-MM</t>
        </is>
      </c>
      <c r="C3" s="8" t="inlineStr">
        <is>
          <t>ダンダダンPOPUP　クリアファイル　モモ</t>
        </is>
      </c>
      <c r="D3" s="8" t="inlineStr">
        <is>
          <t>CX01</t>
        </is>
      </c>
      <c r="E3" s="8" t="inlineStr">
        <is>
          <t>CX催事</t>
        </is>
      </c>
      <c r="F3" s="9">
        <f>IF(COUNTIFS('XTab DS_1'!$B$2:$B$69,$B3)&gt;=2,"重複","単独")</f>
        <v/>
      </c>
      <c r="G3" s="10">
        <f>SUMIFS('XTab DS_1'!$F$2:$F$69,'XTab DS_1'!$B$2:$B$69,$B3,'XTab DS_1'!$D$2:$D$69,$D3)</f>
        <v/>
      </c>
      <c r="H3" s="11">
        <f>SUMIFS('XTab DS_1'!$G$2:$G$69,'XTab DS_1'!$B$2:$B$69,$B3,'XTab DS_1'!$D$2:$D$69,$D3)</f>
        <v/>
      </c>
    </row>
    <row r="4">
      <c r="A4" s="8" t="n">
        <v>4515142521154</v>
      </c>
      <c r="B4" s="8" t="inlineStr">
        <is>
          <t>CX2412DNDCF-SK</t>
        </is>
      </c>
      <c r="C4" s="8" t="inlineStr">
        <is>
          <t>ダンダダンPOPUP　クリアファイル　星子</t>
        </is>
      </c>
      <c r="D4" s="8" t="inlineStr">
        <is>
          <t>CX01</t>
        </is>
      </c>
      <c r="E4" s="8" t="inlineStr">
        <is>
          <t>CX催事</t>
        </is>
      </c>
      <c r="F4" s="9">
        <f>IF(COUNTIFS('XTab DS_1'!$B$2:$B$69,$B4)&gt;=2,"重複","単独")</f>
        <v/>
      </c>
      <c r="G4" s="10">
        <f>SUMIFS('XTab DS_1'!$F$2:$F$69,'XTab DS_1'!$B$2:$B$69,$B4,'XTab DS_1'!$D$2:$D$69,$D4)</f>
        <v/>
      </c>
      <c r="H4" s="11">
        <f>SUMIFS('XTab DS_1'!$G$2:$G$69,'XTab DS_1'!$B$2:$B$69,$B4,'XTab DS_1'!$D$2:$D$69,$D4)</f>
        <v/>
      </c>
    </row>
    <row r="5">
      <c r="A5" s="8" t="n">
        <v>4515142521161</v>
      </c>
      <c r="B5" s="8" t="inlineStr">
        <is>
          <t>CX2412DNDCF-AR</t>
        </is>
      </c>
      <c r="C5" s="8" t="inlineStr">
        <is>
          <t>ダンダダンPOPUP　クリアファイル　アイラ</t>
        </is>
      </c>
      <c r="D5" s="8" t="inlineStr">
        <is>
          <t>CX01</t>
        </is>
      </c>
      <c r="E5" s="8" t="inlineStr">
        <is>
          <t>CX催事</t>
        </is>
      </c>
      <c r="F5" s="9">
        <f>IF(COUNTIFS('XTab DS_1'!$B$2:$B$69,$B5)&gt;=2,"重複","単独")</f>
        <v/>
      </c>
      <c r="G5" s="10">
        <f>SUMIFS('XTab DS_1'!$F$2:$F$69,'XTab DS_1'!$B$2:$B$69,$B5,'XTab DS_1'!$D$2:$D$69,$D5)</f>
        <v/>
      </c>
      <c r="H5" s="11">
        <f>SUMIFS('XTab DS_1'!$G$2:$G$69,'XTab DS_1'!$B$2:$B$69,$B5,'XTab DS_1'!$D$2:$D$69,$D5)</f>
        <v/>
      </c>
    </row>
    <row r="6">
      <c r="A6" s="8" t="n">
        <v>4515142521178</v>
      </c>
      <c r="B6" s="8" t="inlineStr">
        <is>
          <t>CX2412DNDCF-TB</t>
        </is>
      </c>
      <c r="C6" s="8" t="inlineStr">
        <is>
          <t>ダンダダンPOPUP　クリアファイル　ターボババア(招き猫)</t>
        </is>
      </c>
      <c r="D6" s="8" t="inlineStr">
        <is>
          <t>CX01</t>
        </is>
      </c>
      <c r="E6" s="8" t="inlineStr">
        <is>
          <t>CX催事</t>
        </is>
      </c>
      <c r="F6" s="9">
        <f>IF(COUNTIFS('XTab DS_1'!$B$2:$B$69,$B6)&gt;=2,"重複","単独")</f>
        <v/>
      </c>
      <c r="G6" s="10">
        <f>SUMIFS('XTab DS_1'!$F$2:$F$69,'XTab DS_1'!$B$2:$B$69,$B6,'XTab DS_1'!$D$2:$D$69,$D6)</f>
        <v/>
      </c>
      <c r="H6" s="11">
        <f>SUMIFS('XTab DS_1'!$G$2:$G$69,'XTab DS_1'!$B$2:$B$69,$B6,'XTab DS_1'!$D$2:$D$69,$D6)</f>
        <v/>
      </c>
    </row>
    <row r="7">
      <c r="A7" s="8" t="n">
        <v>4515142521185</v>
      </c>
      <c r="B7" s="8" t="inlineStr">
        <is>
          <t>CX2412DNDCF-ORH</t>
        </is>
      </c>
      <c r="C7" s="8" t="inlineStr">
        <is>
          <t>ダンダダンPOPUP　クリアファイル　オカルン(変身)</t>
        </is>
      </c>
      <c r="D7" s="8" t="inlineStr">
        <is>
          <t>CX01</t>
        </is>
      </c>
      <c r="E7" s="8" t="inlineStr">
        <is>
          <t>CX催事</t>
        </is>
      </c>
      <c r="F7" s="9">
        <f>IF(COUNTIFS('XTab DS_1'!$B$2:$B$69,$B7)&gt;=2,"重複","単独")</f>
        <v/>
      </c>
      <c r="G7" s="10">
        <f>SUMIFS('XTab DS_1'!$F$2:$F$69,'XTab DS_1'!$B$2:$B$69,$B7,'XTab DS_1'!$D$2:$D$69,$D7)</f>
        <v/>
      </c>
      <c r="H7" s="11">
        <f>SUMIFS('XTab DS_1'!$G$2:$G$69,'XTab DS_1'!$B$2:$B$69,$B7,'XTab DS_1'!$D$2:$D$69,$D7)</f>
        <v/>
      </c>
    </row>
    <row r="8">
      <c r="A8" s="8" t="n">
        <v>4515142521192</v>
      </c>
      <c r="B8" s="8" t="inlineStr">
        <is>
          <t>CX2412DNDCF-ARH</t>
        </is>
      </c>
      <c r="C8" s="8" t="inlineStr">
        <is>
          <t>ダンダダンPOPUP　クリアファイル　アイラ(変身)</t>
        </is>
      </c>
      <c r="D8" s="8" t="inlineStr">
        <is>
          <t>CX01</t>
        </is>
      </c>
      <c r="E8" s="8" t="inlineStr">
        <is>
          <t>CX催事</t>
        </is>
      </c>
      <c r="F8" s="9">
        <f>IF(COUNTIFS('XTab DS_1'!$B$2:$B$69,$B8)&gt;=2,"重複","単独")</f>
        <v/>
      </c>
      <c r="G8" s="10">
        <f>SUMIFS('XTab DS_1'!$F$2:$F$69,'XTab DS_1'!$B$2:$B$69,$B8,'XTab DS_1'!$D$2:$D$69,$D8)</f>
        <v/>
      </c>
      <c r="H8" s="11">
        <f>SUMIFS('XTab DS_1'!$G$2:$G$69,'XTab DS_1'!$B$2:$B$69,$B8,'XTab DS_1'!$D$2:$D$69,$D8)</f>
        <v/>
      </c>
    </row>
    <row r="9">
      <c r="A9" s="8" t="n">
        <v>4515142521208</v>
      </c>
      <c r="B9" s="8" t="inlineStr">
        <is>
          <t>CX2412DNDRBDG-7</t>
        </is>
      </c>
      <c r="C9" s="8" t="inlineStr">
        <is>
          <t>ダンダダンPOPUP　ランダム缶バッジ 全7種</t>
        </is>
      </c>
      <c r="D9" s="8" t="inlineStr">
        <is>
          <t>CX01</t>
        </is>
      </c>
      <c r="E9" s="8" t="inlineStr">
        <is>
          <t>CX催事</t>
        </is>
      </c>
      <c r="F9" s="9">
        <f>IF(COUNTIFS('XTab DS_1'!$B$2:$B$69,$B9)&gt;=2,"重複","単独")</f>
        <v/>
      </c>
      <c r="G9" s="10">
        <f>SUMIFS('XTab DS_1'!$F$2:$F$69,'XTab DS_1'!$B$2:$B$69,$B9,'XTab DS_1'!$D$2:$D$69,$D9)</f>
        <v/>
      </c>
      <c r="H9" s="11">
        <f>SUMIFS('XTab DS_1'!$G$2:$G$69,'XTab DS_1'!$B$2:$B$69,$B9,'XTab DS_1'!$D$2:$D$69,$D9)</f>
        <v/>
      </c>
    </row>
    <row r="10">
      <c r="A10" s="8" t="n">
        <v>4515142521215</v>
      </c>
      <c r="B10" s="8" t="inlineStr">
        <is>
          <t>CX2412DNDASTA-OR</t>
        </is>
      </c>
      <c r="C10" s="8" t="inlineStr">
        <is>
          <t>ダンダダンPOPUP　アクリルスタンド　オカルン</t>
        </is>
      </c>
      <c r="D10" s="8" t="inlineStr">
        <is>
          <t>CX01</t>
        </is>
      </c>
      <c r="E10" s="8" t="inlineStr">
        <is>
          <t>CX催事</t>
        </is>
      </c>
      <c r="F10" s="9">
        <f>IF(COUNTIFS('XTab DS_1'!$B$2:$B$69,$B10)&gt;=2,"重複","単独")</f>
        <v/>
      </c>
      <c r="G10" s="10">
        <f>SUMIFS('XTab DS_1'!$F$2:$F$69,'XTab DS_1'!$B$2:$B$69,$B10,'XTab DS_1'!$D$2:$D$69,$D10)</f>
        <v/>
      </c>
      <c r="H10" s="11">
        <f>SUMIFS('XTab DS_1'!$G$2:$G$69,'XTab DS_1'!$B$2:$B$69,$B10,'XTab DS_1'!$D$2:$D$69,$D10)</f>
        <v/>
      </c>
    </row>
    <row r="11">
      <c r="A11" s="8" t="n">
        <v>4515142521222</v>
      </c>
      <c r="B11" s="8" t="inlineStr">
        <is>
          <t>CX2412DNDASTA-MM</t>
        </is>
      </c>
      <c r="C11" s="8" t="inlineStr">
        <is>
          <t>ダンダダンPOPUP　アクリルスタンド　モモ</t>
        </is>
      </c>
      <c r="D11" s="8" t="inlineStr">
        <is>
          <t>CX01</t>
        </is>
      </c>
      <c r="E11" s="8" t="inlineStr">
        <is>
          <t>CX催事</t>
        </is>
      </c>
      <c r="F11" s="9">
        <f>IF(COUNTIFS('XTab DS_1'!$B$2:$B$69,$B11)&gt;=2,"重複","単独")</f>
        <v/>
      </c>
      <c r="G11" s="10">
        <f>SUMIFS('XTab DS_1'!$F$2:$F$69,'XTab DS_1'!$B$2:$B$69,$B11,'XTab DS_1'!$D$2:$D$69,$D11)</f>
        <v/>
      </c>
      <c r="H11" s="11">
        <f>SUMIFS('XTab DS_1'!$G$2:$G$69,'XTab DS_1'!$B$2:$B$69,$B11,'XTab DS_1'!$D$2:$D$69,$D11)</f>
        <v/>
      </c>
    </row>
    <row r="12">
      <c r="A12" s="8" t="n">
        <v>4515142521239</v>
      </c>
      <c r="B12" s="8" t="inlineStr">
        <is>
          <t>CX2412DNDASTA-SK</t>
        </is>
      </c>
      <c r="C12" s="8" t="inlineStr">
        <is>
          <t>ダンダダンPOPUP　アクリルスタンド　星子</t>
        </is>
      </c>
      <c r="D12" s="8" t="inlineStr">
        <is>
          <t>CX01</t>
        </is>
      </c>
      <c r="E12" s="8" t="inlineStr">
        <is>
          <t>CX催事</t>
        </is>
      </c>
      <c r="F12" s="9">
        <f>IF(COUNTIFS('XTab DS_1'!$B$2:$B$69,$B12)&gt;=2,"重複","単独")</f>
        <v/>
      </c>
      <c r="G12" s="10">
        <f>SUMIFS('XTab DS_1'!$F$2:$F$69,'XTab DS_1'!$B$2:$B$69,$B12,'XTab DS_1'!$D$2:$D$69,$D12)</f>
        <v/>
      </c>
      <c r="H12" s="11">
        <f>SUMIFS('XTab DS_1'!$G$2:$G$69,'XTab DS_1'!$B$2:$B$69,$B12,'XTab DS_1'!$D$2:$D$69,$D12)</f>
        <v/>
      </c>
    </row>
    <row r="13">
      <c r="A13" s="8" t="n">
        <v>4515142521246</v>
      </c>
      <c r="B13" s="8" t="inlineStr">
        <is>
          <t>CX2412DNDASTA-AR</t>
        </is>
      </c>
      <c r="C13" s="8" t="inlineStr">
        <is>
          <t>ダンダダンPOPUP　アクリルスタンド　アイラ</t>
        </is>
      </c>
      <c r="D13" s="8" t="inlineStr">
        <is>
          <t>CX01</t>
        </is>
      </c>
      <c r="E13" s="8" t="inlineStr">
        <is>
          <t>CX催事</t>
        </is>
      </c>
      <c r="F13" s="9">
        <f>IF(COUNTIFS('XTab DS_1'!$B$2:$B$69,$B13)&gt;=2,"重複","単独")</f>
        <v/>
      </c>
      <c r="G13" s="10">
        <f>SUMIFS('XTab DS_1'!$F$2:$F$69,'XTab DS_1'!$B$2:$B$69,$B13,'XTab DS_1'!$D$2:$D$69,$D13)</f>
        <v/>
      </c>
      <c r="H13" s="11">
        <f>SUMIFS('XTab DS_1'!$G$2:$G$69,'XTab DS_1'!$B$2:$B$69,$B13,'XTab DS_1'!$D$2:$D$69,$D13)</f>
        <v/>
      </c>
    </row>
    <row r="14">
      <c r="A14" s="8" t="n">
        <v>4515142521253</v>
      </c>
      <c r="B14" s="8" t="inlineStr">
        <is>
          <t>CX2412DNDASTA-TB</t>
        </is>
      </c>
      <c r="C14" s="8" t="inlineStr">
        <is>
          <t>ダンダダンPOPUP　アクリルスタンド　ターボババア(招き猫)</t>
        </is>
      </c>
      <c r="D14" s="8" t="inlineStr">
        <is>
          <t>CX01</t>
        </is>
      </c>
      <c r="E14" s="8" t="inlineStr">
        <is>
          <t>CX催事</t>
        </is>
      </c>
      <c r="F14" s="9">
        <f>IF(COUNTIFS('XTab DS_1'!$B$2:$B$69,$B14)&gt;=2,"重複","単独")</f>
        <v/>
      </c>
      <c r="G14" s="10">
        <f>SUMIFS('XTab DS_1'!$F$2:$F$69,'XTab DS_1'!$B$2:$B$69,$B14,'XTab DS_1'!$D$2:$D$69,$D14)</f>
        <v/>
      </c>
      <c r="H14" s="11">
        <f>SUMIFS('XTab DS_1'!$G$2:$G$69,'XTab DS_1'!$B$2:$B$69,$B14,'XTab DS_1'!$D$2:$D$69,$D14)</f>
        <v/>
      </c>
    </row>
    <row r="15">
      <c r="A15" s="8" t="n">
        <v>4515142521260</v>
      </c>
      <c r="B15" s="8" t="inlineStr">
        <is>
          <t>CX2412DNDASTA-ORH</t>
        </is>
      </c>
      <c r="C15" s="8" t="inlineStr">
        <is>
          <t>ダンダダンPOPUP　アクリルスタンド　オカルン(変身)</t>
        </is>
      </c>
      <c r="D15" s="8" t="inlineStr">
        <is>
          <t>CX01</t>
        </is>
      </c>
      <c r="E15" s="8" t="inlineStr">
        <is>
          <t>CX催事</t>
        </is>
      </c>
      <c r="F15" s="9">
        <f>IF(COUNTIFS('XTab DS_1'!$B$2:$B$69,$B15)&gt;=2,"重複","単独")</f>
        <v/>
      </c>
      <c r="G15" s="10">
        <f>SUMIFS('XTab DS_1'!$F$2:$F$69,'XTab DS_1'!$B$2:$B$69,$B15,'XTab DS_1'!$D$2:$D$69,$D15)</f>
        <v/>
      </c>
      <c r="H15" s="11">
        <f>SUMIFS('XTab DS_1'!$G$2:$G$69,'XTab DS_1'!$B$2:$B$69,$B15,'XTab DS_1'!$D$2:$D$69,$D15)</f>
        <v/>
      </c>
    </row>
    <row r="16">
      <c r="A16" s="8" t="n">
        <v>4515142521277</v>
      </c>
      <c r="B16" s="8" t="inlineStr">
        <is>
          <t>CX2412DNDASTA-ARH</t>
        </is>
      </c>
      <c r="C16" s="8" t="inlineStr">
        <is>
          <t>ダンダダンPOPUP　アクリルスタンド　アイラ(変身)</t>
        </is>
      </c>
      <c r="D16" s="8" t="inlineStr">
        <is>
          <t>CX01</t>
        </is>
      </c>
      <c r="E16" s="8" t="inlineStr">
        <is>
          <t>CX催事</t>
        </is>
      </c>
      <c r="F16" s="9">
        <f>IF(COUNTIFS('XTab DS_1'!$B$2:$B$69,$B16)&gt;=2,"重複","単独")</f>
        <v/>
      </c>
      <c r="G16" s="10">
        <f>SUMIFS('XTab DS_1'!$F$2:$F$69,'XTab DS_1'!$B$2:$B$69,$B16,'XTab DS_1'!$D$2:$D$69,$D16)</f>
        <v/>
      </c>
      <c r="H16" s="11">
        <f>SUMIFS('XTab DS_1'!$G$2:$G$69,'XTab DS_1'!$B$2:$B$69,$B16,'XTab DS_1'!$D$2:$D$69,$D16)</f>
        <v/>
      </c>
    </row>
    <row r="17">
      <c r="A17" s="8" t="n">
        <v>4515142521284</v>
      </c>
      <c r="B17" s="8" t="inlineStr">
        <is>
          <t>CX2412DNDSTK3S-A</t>
        </is>
      </c>
      <c r="C17" s="8" t="inlineStr">
        <is>
          <t>ダンダダンPOPUP　ステッカー3枚セット　A</t>
        </is>
      </c>
      <c r="D17" s="8" t="inlineStr">
        <is>
          <t>CX01</t>
        </is>
      </c>
      <c r="E17" s="8" t="inlineStr">
        <is>
          <t>CX催事</t>
        </is>
      </c>
      <c r="F17" s="9">
        <f>IF(COUNTIFS('XTab DS_1'!$B$2:$B$69,$B17)&gt;=2,"重複","単独")</f>
        <v/>
      </c>
      <c r="G17" s="10">
        <f>SUMIFS('XTab DS_1'!$F$2:$F$69,'XTab DS_1'!$B$2:$B$69,$B17,'XTab DS_1'!$D$2:$D$69,$D17)</f>
        <v/>
      </c>
      <c r="H17" s="11">
        <f>SUMIFS('XTab DS_1'!$G$2:$G$69,'XTab DS_1'!$B$2:$B$69,$B17,'XTab DS_1'!$D$2:$D$69,$D17)</f>
        <v/>
      </c>
    </row>
    <row r="18">
      <c r="A18" s="8" t="n">
        <v>4515142521291</v>
      </c>
      <c r="B18" s="8" t="inlineStr">
        <is>
          <t>CX2412DNDSTK3S-B</t>
        </is>
      </c>
      <c r="C18" s="8" t="inlineStr">
        <is>
          <t>ダンダダンPOPUP　ステッカー3枚セット　B</t>
        </is>
      </c>
      <c r="D18" s="8" t="inlineStr">
        <is>
          <t>CX01</t>
        </is>
      </c>
      <c r="E18" s="8" t="inlineStr">
        <is>
          <t>CX催事</t>
        </is>
      </c>
      <c r="F18" s="9">
        <f>IF(COUNTIFS('XTab DS_1'!$B$2:$B$69,$B18)&gt;=2,"重複","単独")</f>
        <v/>
      </c>
      <c r="G18" s="10">
        <f>SUMIFS('XTab DS_1'!$F$2:$F$69,'XTab DS_1'!$B$2:$B$69,$B18,'XTab DS_1'!$D$2:$D$69,$D18)</f>
        <v/>
      </c>
      <c r="H18" s="11">
        <f>SUMIFS('XTab DS_1'!$G$2:$G$69,'XTab DS_1'!$B$2:$B$69,$B18,'XTab DS_1'!$D$2:$D$69,$D18)</f>
        <v/>
      </c>
    </row>
    <row r="19">
      <c r="A19" s="8" t="n">
        <v>4515142521307</v>
      </c>
      <c r="B19" s="8" t="inlineStr">
        <is>
          <t>CX2412DNDSTK3S-C</t>
        </is>
      </c>
      <c r="C19" s="8" t="inlineStr">
        <is>
          <t>ダンダダンPOPUP　ステッカー3枚セット　C</t>
        </is>
      </c>
      <c r="D19" s="8" t="inlineStr">
        <is>
          <t>CX01</t>
        </is>
      </c>
      <c r="E19" s="8" t="inlineStr">
        <is>
          <t>CX催事</t>
        </is>
      </c>
      <c r="F19" s="9">
        <f>IF(COUNTIFS('XTab DS_1'!$B$2:$B$69,$B19)&gt;=2,"重複","単独")</f>
        <v/>
      </c>
      <c r="G19" s="10">
        <f>SUMIFS('XTab DS_1'!$F$2:$F$69,'XTab DS_1'!$B$2:$B$69,$B19,'XTab DS_1'!$D$2:$D$69,$D19)</f>
        <v/>
      </c>
      <c r="H19" s="11">
        <f>SUMIFS('XTab DS_1'!$G$2:$G$69,'XTab DS_1'!$B$2:$B$69,$B19,'XTab DS_1'!$D$2:$D$69,$D19)</f>
        <v/>
      </c>
    </row>
    <row r="20">
      <c r="A20" s="8" t="n">
        <v>4515142521314</v>
      </c>
      <c r="B20" s="8" t="inlineStr">
        <is>
          <t>CX2412DNDRBDG-OP6</t>
        </is>
      </c>
      <c r="C20" s="8" t="inlineStr">
        <is>
          <t>ダンダダンPOPUP　ランダム缶バッジ　オープニング　全6種</t>
        </is>
      </c>
      <c r="D20" s="8" t="inlineStr">
        <is>
          <t>CX01</t>
        </is>
      </c>
      <c r="E20" s="8" t="inlineStr">
        <is>
          <t>CX催事</t>
        </is>
      </c>
      <c r="F20" s="9">
        <f>IF(COUNTIFS('XTab DS_1'!$B$2:$B$69,$B20)&gt;=2,"重複","単独")</f>
        <v/>
      </c>
      <c r="G20" s="10">
        <f>SUMIFS('XTab DS_1'!$F$2:$F$69,'XTab DS_1'!$B$2:$B$69,$B20,'XTab DS_1'!$D$2:$D$69,$D20)</f>
        <v/>
      </c>
      <c r="H20" s="11">
        <f>SUMIFS('XTab DS_1'!$G$2:$G$69,'XTab DS_1'!$B$2:$B$69,$B20,'XTab DS_1'!$D$2:$D$69,$D20)</f>
        <v/>
      </c>
    </row>
    <row r="21">
      <c r="A21" s="8" t="n">
        <v>4515142521321</v>
      </c>
      <c r="B21" s="8" t="inlineStr">
        <is>
          <t>CX2412DNDRBDG-ED6</t>
        </is>
      </c>
      <c r="C21" s="8" t="inlineStr">
        <is>
          <t>ダンダダンPOPUP　ランダム缶バッジ　エンディング　全6種</t>
        </is>
      </c>
      <c r="D21" s="8" t="inlineStr">
        <is>
          <t>CX01</t>
        </is>
      </c>
      <c r="E21" s="8" t="inlineStr">
        <is>
          <t>CX催事</t>
        </is>
      </c>
      <c r="F21" s="9">
        <f>IF(COUNTIFS('XTab DS_1'!$B$2:$B$69,$B21)&gt;=2,"重複","単独")</f>
        <v/>
      </c>
      <c r="G21" s="10">
        <f>SUMIFS('XTab DS_1'!$F$2:$F$69,'XTab DS_1'!$B$2:$B$69,$B21,'XTab DS_1'!$D$2:$D$69,$D21)</f>
        <v/>
      </c>
      <c r="H21" s="11">
        <f>SUMIFS('XTab DS_1'!$G$2:$G$69,'XTab DS_1'!$B$2:$B$69,$B21,'XTab DS_1'!$D$2:$D$69,$D21)</f>
        <v/>
      </c>
    </row>
    <row r="22">
      <c r="A22" s="8" t="n">
        <v>4515142521338</v>
      </c>
      <c r="B22" s="8" t="inlineStr">
        <is>
          <t>CX2412DNDRASKEY-6</t>
        </is>
      </c>
      <c r="C22" s="8" t="inlineStr">
        <is>
          <t>ダンダダンPOPUP　ランダムアクリルキーホルダー　全6種</t>
        </is>
      </c>
      <c r="D22" s="8" t="inlineStr">
        <is>
          <t>CX01</t>
        </is>
      </c>
      <c r="E22" s="8" t="inlineStr">
        <is>
          <t>CX催事</t>
        </is>
      </c>
      <c r="F22" s="9">
        <f>IF(COUNTIFS('XTab DS_1'!$B$2:$B$69,$B22)&gt;=2,"重複","単独")</f>
        <v/>
      </c>
      <c r="G22" s="10">
        <f>SUMIFS('XTab DS_1'!$F$2:$F$69,'XTab DS_1'!$B$2:$B$69,$B22,'XTab DS_1'!$D$2:$D$69,$D22)</f>
        <v/>
      </c>
      <c r="H22" s="11">
        <f>SUMIFS('XTab DS_1'!$G$2:$G$69,'XTab DS_1'!$B$2:$B$69,$B22,'XTab DS_1'!$D$2:$D$69,$D22)</f>
        <v/>
      </c>
    </row>
    <row r="23">
      <c r="A23" s="8" t="n">
        <v>4515142521345</v>
      </c>
      <c r="B23" s="8" t="inlineStr">
        <is>
          <t>CX2412DNDTOTEBAG</t>
        </is>
      </c>
      <c r="C23" s="8" t="inlineStr">
        <is>
          <t>ダンダダンPOPUP　トートバッグ</t>
        </is>
      </c>
      <c r="D23" s="8" t="inlineStr">
        <is>
          <t>CX01</t>
        </is>
      </c>
      <c r="E23" s="8" t="inlineStr">
        <is>
          <t>CX催事</t>
        </is>
      </c>
      <c r="F23" s="9">
        <f>IF(COUNTIFS('XTab DS_1'!$B$2:$B$69,$B23)&gt;=2,"重複","単独")</f>
        <v/>
      </c>
      <c r="G23" s="10">
        <f>SUMIFS('XTab DS_1'!$F$2:$F$69,'XTab DS_1'!$B$2:$B$69,$B23,'XTab DS_1'!$D$2:$D$69,$D23)</f>
        <v/>
      </c>
      <c r="H23" s="11">
        <f>SUMIFS('XTab DS_1'!$G$2:$G$69,'XTab DS_1'!$B$2:$B$69,$B23,'XTab DS_1'!$D$2:$D$69,$D23)</f>
        <v/>
      </c>
    </row>
    <row r="24">
      <c r="A24" s="8" t="n">
        <v>4515142521352</v>
      </c>
      <c r="B24" s="8" t="inlineStr">
        <is>
          <t>CX2412DNDSAKEY-ORH</t>
        </is>
      </c>
      <c r="C24" s="8" t="inlineStr">
        <is>
          <t>ダンダダンPOPUP　スライドアクリルキーホルダー　オカルン(変身)</t>
        </is>
      </c>
      <c r="D24" s="8" t="inlineStr">
        <is>
          <t>CX01</t>
        </is>
      </c>
      <c r="E24" s="8" t="inlineStr">
        <is>
          <t>CX催事</t>
        </is>
      </c>
      <c r="F24" s="9">
        <f>IF(COUNTIFS('XTab DS_1'!$B$2:$B$69,$B24)&gt;=2,"重複","単独")</f>
        <v/>
      </c>
      <c r="G24" s="10">
        <f>SUMIFS('XTab DS_1'!$F$2:$F$69,'XTab DS_1'!$B$2:$B$69,$B24,'XTab DS_1'!$D$2:$D$69,$D24)</f>
        <v/>
      </c>
      <c r="H24" s="11">
        <f>SUMIFS('XTab DS_1'!$G$2:$G$69,'XTab DS_1'!$B$2:$B$69,$B24,'XTab DS_1'!$D$2:$D$69,$D24)</f>
        <v/>
      </c>
    </row>
    <row r="25">
      <c r="A25" s="8" t="n">
        <v>4515142521369</v>
      </c>
      <c r="B25" s="8" t="inlineStr">
        <is>
          <t>CX2412DNDSAKEY-MM</t>
        </is>
      </c>
      <c r="C25" s="8" t="inlineStr">
        <is>
          <t>ダンダダンPOPUP　スライドアクリルキーホルダー　モモ</t>
        </is>
      </c>
      <c r="D25" s="8" t="inlineStr">
        <is>
          <t>CX01</t>
        </is>
      </c>
      <c r="E25" s="8" t="inlineStr">
        <is>
          <t>CX催事</t>
        </is>
      </c>
      <c r="F25" s="9">
        <f>IF(COUNTIFS('XTab DS_1'!$B$2:$B$69,$B25)&gt;=2,"重複","単独")</f>
        <v/>
      </c>
      <c r="G25" s="10">
        <f>SUMIFS('XTab DS_1'!$F$2:$F$69,'XTab DS_1'!$B$2:$B$69,$B25,'XTab DS_1'!$D$2:$D$69,$D25)</f>
        <v/>
      </c>
      <c r="H25" s="11">
        <f>SUMIFS('XTab DS_1'!$G$2:$G$69,'XTab DS_1'!$B$2:$B$69,$B25,'XTab DS_1'!$D$2:$D$69,$D25)</f>
        <v/>
      </c>
    </row>
    <row r="26">
      <c r="A26" s="8" t="n">
        <v>4515142521376</v>
      </c>
      <c r="B26" s="8" t="inlineStr">
        <is>
          <t>CX2412DNDSAKEY-SK</t>
        </is>
      </c>
      <c r="C26" s="8" t="inlineStr">
        <is>
          <t>ダンダダンPOPUP　スライドアクリルキーホルダー　星子</t>
        </is>
      </c>
      <c r="D26" s="8" t="inlineStr">
        <is>
          <t>CX01</t>
        </is>
      </c>
      <c r="E26" s="8" t="inlineStr">
        <is>
          <t>CX催事</t>
        </is>
      </c>
      <c r="F26" s="9">
        <f>IF(COUNTIFS('XTab DS_1'!$B$2:$B$69,$B26)&gt;=2,"重複","単独")</f>
        <v/>
      </c>
      <c r="G26" s="10">
        <f>SUMIFS('XTab DS_1'!$F$2:$F$69,'XTab DS_1'!$B$2:$B$69,$B26,'XTab DS_1'!$D$2:$D$69,$D26)</f>
        <v/>
      </c>
      <c r="H26" s="11">
        <f>SUMIFS('XTab DS_1'!$G$2:$G$69,'XTab DS_1'!$B$2:$B$69,$B26,'XTab DS_1'!$D$2:$D$69,$D26)</f>
        <v/>
      </c>
    </row>
    <row r="27">
      <c r="A27" s="8" t="n">
        <v>4515142521383</v>
      </c>
      <c r="B27" s="8" t="inlineStr">
        <is>
          <t>CX2412DNDSAKEY-AR</t>
        </is>
      </c>
      <c r="C27" s="8" t="inlineStr">
        <is>
          <t>ダンダダンPOPUP　スライドアクリルキーホルダー　アイラ</t>
        </is>
      </c>
      <c r="D27" s="8" t="inlineStr">
        <is>
          <t>CX01</t>
        </is>
      </c>
      <c r="E27" s="8" t="inlineStr">
        <is>
          <t>CX催事</t>
        </is>
      </c>
      <c r="F27" s="9">
        <f>IF(COUNTIFS('XTab DS_1'!$B$2:$B$69,$B27)&gt;=2,"重複","単独")</f>
        <v/>
      </c>
      <c r="G27" s="10">
        <f>SUMIFS('XTab DS_1'!$F$2:$F$69,'XTab DS_1'!$B$2:$B$69,$B27,'XTab DS_1'!$D$2:$D$69,$D27)</f>
        <v/>
      </c>
      <c r="H27" s="11">
        <f>SUMIFS('XTab DS_1'!$G$2:$G$69,'XTab DS_1'!$B$2:$B$69,$B27,'XTab DS_1'!$D$2:$D$69,$D27)</f>
        <v/>
      </c>
    </row>
    <row r="28">
      <c r="A28" s="8" t="n">
        <v>4515142521390</v>
      </c>
      <c r="B28" s="8" t="inlineStr">
        <is>
          <t>CX2412DNDSAKEY-GG</t>
        </is>
      </c>
      <c r="C28" s="8" t="inlineStr">
        <is>
          <t>ダンダダンPOPUP　スライドアクリルキーホルダー　ジジ</t>
        </is>
      </c>
      <c r="D28" s="8" t="inlineStr">
        <is>
          <t>CX01</t>
        </is>
      </c>
      <c r="E28" s="8" t="inlineStr">
        <is>
          <t>CX催事</t>
        </is>
      </c>
      <c r="F28" s="9">
        <f>IF(COUNTIFS('XTab DS_1'!$B$2:$B$69,$B28)&gt;=2,"重複","単独")</f>
        <v/>
      </c>
      <c r="G28" s="10">
        <f>SUMIFS('XTab DS_1'!$F$2:$F$69,'XTab DS_1'!$B$2:$B$69,$B28,'XTab DS_1'!$D$2:$D$69,$D28)</f>
        <v/>
      </c>
      <c r="H28" s="11">
        <f>SUMIFS('XTab DS_1'!$G$2:$G$69,'XTab DS_1'!$B$2:$B$69,$B28,'XTab DS_1'!$D$2:$D$69,$D28)</f>
        <v/>
      </c>
    </row>
    <row r="29">
      <c r="A29" s="8" t="n">
        <v>4515142521406</v>
      </c>
      <c r="B29" s="8" t="inlineStr">
        <is>
          <t>CX2412DNDSAKEY-TB</t>
        </is>
      </c>
      <c r="C29" s="8" t="inlineStr">
        <is>
          <t>ダンダダンPOPUP　スライドアクリルキーホルダー　ターボババア(招き猫)</t>
        </is>
      </c>
      <c r="D29" s="8" t="inlineStr">
        <is>
          <t>CX01</t>
        </is>
      </c>
      <c r="E29" s="8" t="inlineStr">
        <is>
          <t>CX催事</t>
        </is>
      </c>
      <c r="F29" s="9">
        <f>IF(COUNTIFS('XTab DS_1'!$B$2:$B$69,$B29)&gt;=2,"重複","単独")</f>
        <v/>
      </c>
      <c r="G29" s="10">
        <f>SUMIFS('XTab DS_1'!$F$2:$F$69,'XTab DS_1'!$B$2:$B$69,$B29,'XTab DS_1'!$D$2:$D$69,$D29)</f>
        <v/>
      </c>
      <c r="H29" s="11">
        <f>SUMIFS('XTab DS_1'!$G$2:$G$69,'XTab DS_1'!$B$2:$B$69,$B29,'XTab DS_1'!$D$2:$D$69,$D29)</f>
        <v/>
      </c>
    </row>
    <row r="30">
      <c r="A30" s="8" t="n">
        <v>4515142521413</v>
      </c>
      <c r="B30" s="8" t="inlineStr">
        <is>
          <t>CX2412DNDSAKEY-SS</t>
        </is>
      </c>
      <c r="C30" s="8" t="inlineStr">
        <is>
          <t>ダンダダンPOPUP　スライドアクリルキーホルダー　セルポ星人</t>
        </is>
      </c>
      <c r="D30" s="8" t="inlineStr">
        <is>
          <t>CX01</t>
        </is>
      </c>
      <c r="E30" s="8" t="inlineStr">
        <is>
          <t>CX催事</t>
        </is>
      </c>
      <c r="F30" s="9">
        <f>IF(COUNTIFS('XTab DS_1'!$B$2:$B$69,$B30)&gt;=2,"重複","単独")</f>
        <v/>
      </c>
      <c r="G30" s="10">
        <f>SUMIFS('XTab DS_1'!$F$2:$F$69,'XTab DS_1'!$B$2:$B$69,$B30,'XTab DS_1'!$D$2:$D$69,$D30)</f>
        <v/>
      </c>
      <c r="H30" s="11">
        <f>SUMIFS('XTab DS_1'!$G$2:$G$69,'XTab DS_1'!$B$2:$B$69,$B30,'XTab DS_1'!$D$2:$D$69,$D30)</f>
        <v/>
      </c>
    </row>
    <row r="31">
      <c r="A31" s="8" t="n">
        <v>4515142521420</v>
      </c>
      <c r="B31" s="8" t="inlineStr">
        <is>
          <t>CX2412DNDSAKEY-AS</t>
        </is>
      </c>
      <c r="C31" s="8" t="inlineStr">
        <is>
          <t>ダンダダンPOPUP　スライドアクリルキーホルダー　アクロバティックさらさら</t>
        </is>
      </c>
      <c r="D31" s="8" t="inlineStr">
        <is>
          <t>CX01</t>
        </is>
      </c>
      <c r="E31" s="8" t="inlineStr">
        <is>
          <t>CX催事</t>
        </is>
      </c>
      <c r="F31" s="9">
        <f>IF(COUNTIFS('XTab DS_1'!$B$2:$B$69,$B31)&gt;=2,"重複","単独")</f>
        <v/>
      </c>
      <c r="G31" s="10">
        <f>SUMIFS('XTab DS_1'!$F$2:$F$69,'XTab DS_1'!$B$2:$B$69,$B31,'XTab DS_1'!$D$2:$D$69,$D31)</f>
        <v/>
      </c>
      <c r="H31" s="11">
        <f>SUMIFS('XTab DS_1'!$G$2:$G$69,'XTab DS_1'!$B$2:$B$69,$B31,'XTab DS_1'!$D$2:$D$69,$D31)</f>
        <v/>
      </c>
    </row>
    <row r="32">
      <c r="A32" s="8" t="n">
        <v>4515142521437</v>
      </c>
      <c r="B32" s="8" t="inlineStr">
        <is>
          <t>CX2412DNDSAKEY-DD</t>
        </is>
      </c>
      <c r="C32" s="8" t="inlineStr">
        <is>
          <t>ダンダダンPOPUP　スライドアクリルキーホルダー　ドーバーデーモン</t>
        </is>
      </c>
      <c r="D32" s="8" t="inlineStr">
        <is>
          <t>CX01</t>
        </is>
      </c>
      <c r="E32" s="8" t="inlineStr">
        <is>
          <t>CX催事</t>
        </is>
      </c>
      <c r="F32" s="9">
        <f>IF(COUNTIFS('XTab DS_1'!$B$2:$B$69,$B32)&gt;=2,"重複","単独")</f>
        <v/>
      </c>
      <c r="G32" s="10">
        <f>SUMIFS('XTab DS_1'!$F$2:$F$69,'XTab DS_1'!$B$2:$B$69,$B32,'XTab DS_1'!$D$2:$D$69,$D32)</f>
        <v/>
      </c>
      <c r="H32" s="11">
        <f>SUMIFS('XTab DS_1'!$G$2:$G$69,'XTab DS_1'!$B$2:$B$69,$B32,'XTab DS_1'!$D$2:$D$69,$D32)</f>
        <v/>
      </c>
    </row>
    <row r="33">
      <c r="A33" s="8" t="n">
        <v>4515142521444</v>
      </c>
      <c r="B33" s="8" t="inlineStr">
        <is>
          <t>CX2412DNDRCCDPOS-6</t>
        </is>
      </c>
      <c r="C33" s="8" t="inlineStr">
        <is>
          <t>ダンダダンPOPUP　ランダムクリアカード＆ポストカードセット　全6種</t>
        </is>
      </c>
      <c r="D33" s="8" t="inlineStr">
        <is>
          <t>CX01</t>
        </is>
      </c>
      <c r="E33" s="8" t="inlineStr">
        <is>
          <t>CX催事</t>
        </is>
      </c>
      <c r="F33" s="9">
        <f>IF(COUNTIFS('XTab DS_1'!$B$2:$B$69,$B33)&gt;=2,"重複","単独")</f>
        <v/>
      </c>
      <c r="G33" s="10">
        <f>SUMIFS('XTab DS_1'!$F$2:$F$69,'XTab DS_1'!$B$2:$B$69,$B33,'XTab DS_1'!$D$2:$D$69,$D33)</f>
        <v/>
      </c>
      <c r="H33" s="11">
        <f>SUMIFS('XTab DS_1'!$G$2:$G$69,'XTab DS_1'!$B$2:$B$69,$B33,'XTab DS_1'!$D$2:$D$69,$D33)</f>
        <v/>
      </c>
    </row>
    <row r="34">
      <c r="A34" s="8" t="n">
        <v>4515142521451</v>
      </c>
      <c r="B34" s="8" t="inlineStr">
        <is>
          <t>CX2412DNDVPOS-A</t>
        </is>
      </c>
      <c r="C34" s="8" t="inlineStr">
        <is>
          <t>ダンダダンPOPUP　ビジュアルポストカード　A</t>
        </is>
      </c>
      <c r="D34" s="8" t="inlineStr">
        <is>
          <t>CX01</t>
        </is>
      </c>
      <c r="E34" s="8" t="inlineStr">
        <is>
          <t>CX催事</t>
        </is>
      </c>
      <c r="F34" s="9">
        <f>IF(COUNTIFS('XTab DS_1'!$B$2:$B$69,$B34)&gt;=2,"重複","単独")</f>
        <v/>
      </c>
      <c r="G34" s="10">
        <f>SUMIFS('XTab DS_1'!$F$2:$F$69,'XTab DS_1'!$B$2:$B$69,$B34,'XTab DS_1'!$D$2:$D$69,$D34)</f>
        <v/>
      </c>
      <c r="H34" s="11">
        <f>SUMIFS('XTab DS_1'!$G$2:$G$69,'XTab DS_1'!$B$2:$B$69,$B34,'XTab DS_1'!$D$2:$D$69,$D34)</f>
        <v/>
      </c>
    </row>
    <row r="35">
      <c r="A35" s="8" t="n">
        <v>4515142521468</v>
      </c>
      <c r="B35" s="8" t="inlineStr">
        <is>
          <t>CX2412DNDVPOS-B</t>
        </is>
      </c>
      <c r="C35" s="8" t="inlineStr">
        <is>
          <t>ダンダダンPOPUP　ビジュアルポストカード　B</t>
        </is>
      </c>
      <c r="D35" s="8" t="inlineStr">
        <is>
          <t>CX01</t>
        </is>
      </c>
      <c r="E35" s="8" t="inlineStr">
        <is>
          <t>CX催事</t>
        </is>
      </c>
      <c r="F35" s="9">
        <f>IF(COUNTIFS('XTab DS_1'!$B$2:$B$69,$B35)&gt;=2,"重複","単独")</f>
        <v/>
      </c>
      <c r="G35" s="10">
        <f>SUMIFS('XTab DS_1'!$F$2:$F$69,'XTab DS_1'!$B$2:$B$69,$B35,'XTab DS_1'!$D$2:$D$69,$D35)</f>
        <v/>
      </c>
      <c r="H35" s="11">
        <f>SUMIFS('XTab DS_1'!$G$2:$G$69,'XTab DS_1'!$B$2:$B$69,$B35,'XTab DS_1'!$D$2:$D$69,$D35)</f>
        <v/>
      </c>
    </row>
    <row r="36">
      <c r="A36" s="12" t="n"/>
      <c r="B36" s="12" t="n"/>
      <c r="C36" s="13" t="inlineStr">
        <is>
          <t>合計</t>
        </is>
      </c>
      <c r="D36" s="12" t="n"/>
      <c r="E36" s="12" t="n"/>
      <c r="F36" s="12" t="n"/>
      <c r="G36" s="14">
        <f>SUM(G2:G35)</f>
        <v/>
      </c>
      <c r="H36" s="15">
        <f>SUM(H2:H35)</f>
        <v/>
      </c>
    </row>
    <row r="37">
      <c r="A37" s="16" t="n"/>
      <c r="B37" s="16" t="n"/>
      <c r="C37" s="17" t="inlineStr">
        <is>
          <t>うち 重複</t>
        </is>
      </c>
      <c r="D37" s="16" t="n"/>
      <c r="E37" s="16" t="n"/>
      <c r="F37" s="16" t="n"/>
      <c r="G37" s="18">
        <f>SUMIFS(G2:G35,F2:F35,"重複")</f>
        <v/>
      </c>
      <c r="H37" s="19">
        <f>SUMIFS(H2:H35,F2:F35,"重複")</f>
        <v/>
      </c>
    </row>
    <row r="38">
      <c r="A38" s="16" t="n"/>
      <c r="B38" s="16" t="n"/>
      <c r="C38" s="17" t="inlineStr">
        <is>
          <t>うち 単独</t>
        </is>
      </c>
      <c r="D38" s="16" t="n"/>
      <c r="E38" s="16" t="n"/>
      <c r="F38" s="16" t="n"/>
      <c r="G38" s="18">
        <f>SUMIFS(G2:G35,F2:F35,"単独")</f>
        <v/>
      </c>
      <c r="H38" s="19">
        <f>SUMIFS(H2:H35,F2:F35,"単独")</f>
        <v/>
      </c>
    </row>
  </sheetData>
  <autoFilter ref="A1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7" t="inlineStr">
        <is>
          <t>JANコード(EAN/UPC)</t>
        </is>
      </c>
      <c r="B1" s="7" t="inlineStr">
        <is>
          <t>品目コード</t>
        </is>
      </c>
      <c r="C1" s="7" t="inlineStr">
        <is>
          <t>品目テキスト</t>
        </is>
      </c>
      <c r="D1" s="7" t="inlineStr">
        <is>
          <t>保管場所</t>
        </is>
      </c>
      <c r="E1" s="7" t="inlineStr">
        <is>
          <t>保管場所名</t>
        </is>
      </c>
      <c r="F1" s="7" t="inlineStr">
        <is>
          <t>区分</t>
        </is>
      </c>
      <c r="G1" s="7" t="inlineStr">
        <is>
          <t>在庫数量</t>
        </is>
      </c>
      <c r="H1" s="7" t="inlineStr">
        <is>
          <t>在庫金額</t>
        </is>
      </c>
    </row>
    <row r="2">
      <c r="A2" s="8" t="n">
        <v>4515142521130</v>
      </c>
      <c r="B2" s="8" t="inlineStr">
        <is>
          <t>CX2412DNDCF-OR</t>
        </is>
      </c>
      <c r="C2" s="8" t="inlineStr">
        <is>
          <t>ダンダダンPOPUP　クリアファイル　オカルン</t>
        </is>
      </c>
      <c r="D2" s="8" t="inlineStr">
        <is>
          <t>DB00</t>
        </is>
      </c>
      <c r="E2" s="8" t="inlineStr">
        <is>
          <t>DBS倉庫</t>
        </is>
      </c>
      <c r="F2" s="9">
        <f>IF(COUNTIFS('XTab DS_1'!$B$2:$B$69,$B2)&gt;=2,"重複","単独")</f>
        <v/>
      </c>
      <c r="G2" s="10">
        <f>SUMIFS('XTab DS_1'!$F$2:$F$69,'XTab DS_1'!$B$2:$B$69,$B2,'XTab DS_1'!$D$2:$D$69,$D2)</f>
        <v/>
      </c>
      <c r="H2" s="11">
        <f>SUMIFS('XTab DS_1'!$G$2:$G$69,'XTab DS_1'!$B$2:$B$69,$B2,'XTab DS_1'!$D$2:$D$69,$D2)</f>
        <v/>
      </c>
    </row>
    <row r="3">
      <c r="A3" s="8" t="n">
        <v>4515142521147</v>
      </c>
      <c r="B3" s="8" t="inlineStr">
        <is>
          <t>CX2412DNDCF-MM</t>
        </is>
      </c>
      <c r="C3" s="8" t="inlineStr">
        <is>
          <t>ダンダダンPOPUP　クリアファイル　モモ</t>
        </is>
      </c>
      <c r="D3" s="8" t="inlineStr">
        <is>
          <t>DB00</t>
        </is>
      </c>
      <c r="E3" s="8" t="inlineStr">
        <is>
          <t>DBS倉庫</t>
        </is>
      </c>
      <c r="F3" s="9">
        <f>IF(COUNTIFS('XTab DS_1'!$B$2:$B$69,$B3)&gt;=2,"重複","単独")</f>
        <v/>
      </c>
      <c r="G3" s="10">
        <f>SUMIFS('XTab DS_1'!$F$2:$F$69,'XTab DS_1'!$B$2:$B$69,$B3,'XTab DS_1'!$D$2:$D$69,$D3)</f>
        <v/>
      </c>
      <c r="H3" s="11">
        <f>SUMIFS('XTab DS_1'!$G$2:$G$69,'XTab DS_1'!$B$2:$B$69,$B3,'XTab DS_1'!$D$2:$D$69,$D3)</f>
        <v/>
      </c>
    </row>
    <row r="4">
      <c r="A4" s="8" t="n">
        <v>4515142521154</v>
      </c>
      <c r="B4" s="8" t="inlineStr">
        <is>
          <t>CX2412DNDCF-SK</t>
        </is>
      </c>
      <c r="C4" s="8" t="inlineStr">
        <is>
          <t>ダンダダンPOPUP　クリアファイル　星子</t>
        </is>
      </c>
      <c r="D4" s="8" t="inlineStr">
        <is>
          <t>DB00</t>
        </is>
      </c>
      <c r="E4" s="8" t="inlineStr">
        <is>
          <t>DBS倉庫</t>
        </is>
      </c>
      <c r="F4" s="9">
        <f>IF(COUNTIFS('XTab DS_1'!$B$2:$B$69,$B4)&gt;=2,"重複","単独")</f>
        <v/>
      </c>
      <c r="G4" s="10">
        <f>SUMIFS('XTab DS_1'!$F$2:$F$69,'XTab DS_1'!$B$2:$B$69,$B4,'XTab DS_1'!$D$2:$D$69,$D4)</f>
        <v/>
      </c>
      <c r="H4" s="11">
        <f>SUMIFS('XTab DS_1'!$G$2:$G$69,'XTab DS_1'!$B$2:$B$69,$B4,'XTab DS_1'!$D$2:$D$69,$D4)</f>
        <v/>
      </c>
    </row>
    <row r="5">
      <c r="A5" s="8" t="n">
        <v>4515142521161</v>
      </c>
      <c r="B5" s="8" t="inlineStr">
        <is>
          <t>CX2412DNDCF-AR</t>
        </is>
      </c>
      <c r="C5" s="8" t="inlineStr">
        <is>
          <t>ダンダダンPOPUP　クリアファイル　アイラ</t>
        </is>
      </c>
      <c r="D5" s="8" t="inlineStr">
        <is>
          <t>DB00</t>
        </is>
      </c>
      <c r="E5" s="8" t="inlineStr">
        <is>
          <t>DBS倉庫</t>
        </is>
      </c>
      <c r="F5" s="9">
        <f>IF(COUNTIFS('XTab DS_1'!$B$2:$B$69,$B5)&gt;=2,"重複","単独")</f>
        <v/>
      </c>
      <c r="G5" s="10">
        <f>SUMIFS('XTab DS_1'!$F$2:$F$69,'XTab DS_1'!$B$2:$B$69,$B5,'XTab DS_1'!$D$2:$D$69,$D5)</f>
        <v/>
      </c>
      <c r="H5" s="11">
        <f>SUMIFS('XTab DS_1'!$G$2:$G$69,'XTab DS_1'!$B$2:$B$69,$B5,'XTab DS_1'!$D$2:$D$69,$D5)</f>
        <v/>
      </c>
    </row>
    <row r="6">
      <c r="A6" s="8" t="n">
        <v>4515142521178</v>
      </c>
      <c r="B6" s="8" t="inlineStr">
        <is>
          <t>CX2412DNDCF-TB</t>
        </is>
      </c>
      <c r="C6" s="8" t="inlineStr">
        <is>
          <t>ダンダダンPOPUP　クリアファイル　ターボババア(招き猫)</t>
        </is>
      </c>
      <c r="D6" s="8" t="inlineStr">
        <is>
          <t>DB00</t>
        </is>
      </c>
      <c r="E6" s="8" t="inlineStr">
        <is>
          <t>DBS倉庫</t>
        </is>
      </c>
      <c r="F6" s="9">
        <f>IF(COUNTIFS('XTab DS_1'!$B$2:$B$69,$B6)&gt;=2,"重複","単独")</f>
        <v/>
      </c>
      <c r="G6" s="10">
        <f>SUMIFS('XTab DS_1'!$F$2:$F$69,'XTab DS_1'!$B$2:$B$69,$B6,'XTab DS_1'!$D$2:$D$69,$D6)</f>
        <v/>
      </c>
      <c r="H6" s="11">
        <f>SUMIFS('XTab DS_1'!$G$2:$G$69,'XTab DS_1'!$B$2:$B$69,$B6,'XTab DS_1'!$D$2:$D$69,$D6)</f>
        <v/>
      </c>
    </row>
    <row r="7">
      <c r="A7" s="8" t="n">
        <v>4515142521185</v>
      </c>
      <c r="B7" s="8" t="inlineStr">
        <is>
          <t>CX2412DNDCF-ORH</t>
        </is>
      </c>
      <c r="C7" s="8" t="inlineStr">
        <is>
          <t>ダンダダンPOPUP　クリアファイル　オカルン(変身)</t>
        </is>
      </c>
      <c r="D7" s="8" t="inlineStr">
        <is>
          <t>DB00</t>
        </is>
      </c>
      <c r="E7" s="8" t="inlineStr">
        <is>
          <t>DBS倉庫</t>
        </is>
      </c>
      <c r="F7" s="9">
        <f>IF(COUNTIFS('XTab DS_1'!$B$2:$B$69,$B7)&gt;=2,"重複","単独")</f>
        <v/>
      </c>
      <c r="G7" s="10">
        <f>SUMIFS('XTab DS_1'!$F$2:$F$69,'XTab DS_1'!$B$2:$B$69,$B7,'XTab DS_1'!$D$2:$D$69,$D7)</f>
        <v/>
      </c>
      <c r="H7" s="11">
        <f>SUMIFS('XTab DS_1'!$G$2:$G$69,'XTab DS_1'!$B$2:$B$69,$B7,'XTab DS_1'!$D$2:$D$69,$D7)</f>
        <v/>
      </c>
    </row>
    <row r="8">
      <c r="A8" s="8" t="n">
        <v>4515142521192</v>
      </c>
      <c r="B8" s="8" t="inlineStr">
        <is>
          <t>CX2412DNDCF-ARH</t>
        </is>
      </c>
      <c r="C8" s="8" t="inlineStr">
        <is>
          <t>ダンダダンPOPUP　クリアファイル　アイラ(変身)</t>
        </is>
      </c>
      <c r="D8" s="8" t="inlineStr">
        <is>
          <t>DB00</t>
        </is>
      </c>
      <c r="E8" s="8" t="inlineStr">
        <is>
          <t>DBS倉庫</t>
        </is>
      </c>
      <c r="F8" s="9">
        <f>IF(COUNTIFS('XTab DS_1'!$B$2:$B$69,$B8)&gt;=2,"重複","単独")</f>
        <v/>
      </c>
      <c r="G8" s="10">
        <f>SUMIFS('XTab DS_1'!$F$2:$F$69,'XTab DS_1'!$B$2:$B$69,$B8,'XTab DS_1'!$D$2:$D$69,$D8)</f>
        <v/>
      </c>
      <c r="H8" s="11">
        <f>SUMIFS('XTab DS_1'!$G$2:$G$69,'XTab DS_1'!$B$2:$B$69,$B8,'XTab DS_1'!$D$2:$D$69,$D8)</f>
        <v/>
      </c>
    </row>
    <row r="9">
      <c r="A9" s="8" t="n">
        <v>4515142521208</v>
      </c>
      <c r="B9" s="8" t="inlineStr">
        <is>
          <t>CX2412DNDRBDG-7</t>
        </is>
      </c>
      <c r="C9" s="8" t="inlineStr">
        <is>
          <t>ダンダダンPOPUP　ランダム缶バッジ 全7種</t>
        </is>
      </c>
      <c r="D9" s="8" t="inlineStr">
        <is>
          <t>DB00</t>
        </is>
      </c>
      <c r="E9" s="8" t="inlineStr">
        <is>
          <t>DBS倉庫</t>
        </is>
      </c>
      <c r="F9" s="9">
        <f>IF(COUNTIFS('XTab DS_1'!$B$2:$B$69,$B9)&gt;=2,"重複","単独")</f>
        <v/>
      </c>
      <c r="G9" s="10">
        <f>SUMIFS('XTab DS_1'!$F$2:$F$69,'XTab DS_1'!$B$2:$B$69,$B9,'XTab DS_1'!$D$2:$D$69,$D9)</f>
        <v/>
      </c>
      <c r="H9" s="11">
        <f>SUMIFS('XTab DS_1'!$G$2:$G$69,'XTab DS_1'!$B$2:$B$69,$B9,'XTab DS_1'!$D$2:$D$69,$D9)</f>
        <v/>
      </c>
    </row>
    <row r="10">
      <c r="A10" s="8" t="n">
        <v>4515142521215</v>
      </c>
      <c r="B10" s="8" t="inlineStr">
        <is>
          <t>CX2412DNDASTA-OR</t>
        </is>
      </c>
      <c r="C10" s="8" t="inlineStr">
        <is>
          <t>ダンダダンPOPUP　アクリルスタンド　オカルン</t>
        </is>
      </c>
      <c r="D10" s="8" t="inlineStr">
        <is>
          <t>DB00</t>
        </is>
      </c>
      <c r="E10" s="8" t="inlineStr">
        <is>
          <t>DBS倉庫</t>
        </is>
      </c>
      <c r="F10" s="9">
        <f>IF(COUNTIFS('XTab DS_1'!$B$2:$B$69,$B10)&gt;=2,"重複","単独")</f>
        <v/>
      </c>
      <c r="G10" s="10">
        <f>SUMIFS('XTab DS_1'!$F$2:$F$69,'XTab DS_1'!$B$2:$B$69,$B10,'XTab DS_1'!$D$2:$D$69,$D10)</f>
        <v/>
      </c>
      <c r="H10" s="11">
        <f>SUMIFS('XTab DS_1'!$G$2:$G$69,'XTab DS_1'!$B$2:$B$69,$B10,'XTab DS_1'!$D$2:$D$69,$D10)</f>
        <v/>
      </c>
    </row>
    <row r="11">
      <c r="A11" s="8" t="n">
        <v>4515142521222</v>
      </c>
      <c r="B11" s="8" t="inlineStr">
        <is>
          <t>CX2412DNDASTA-MM</t>
        </is>
      </c>
      <c r="C11" s="8" t="inlineStr">
        <is>
          <t>ダンダダンPOPUP　アクリルスタンド　モモ</t>
        </is>
      </c>
      <c r="D11" s="8" t="inlineStr">
        <is>
          <t>DB00</t>
        </is>
      </c>
      <c r="E11" s="8" t="inlineStr">
        <is>
          <t>DBS倉庫</t>
        </is>
      </c>
      <c r="F11" s="9">
        <f>IF(COUNTIFS('XTab DS_1'!$B$2:$B$69,$B11)&gt;=2,"重複","単独")</f>
        <v/>
      </c>
      <c r="G11" s="10">
        <f>SUMIFS('XTab DS_1'!$F$2:$F$69,'XTab DS_1'!$B$2:$B$69,$B11,'XTab DS_1'!$D$2:$D$69,$D11)</f>
        <v/>
      </c>
      <c r="H11" s="11">
        <f>SUMIFS('XTab DS_1'!$G$2:$G$69,'XTab DS_1'!$B$2:$B$69,$B11,'XTab DS_1'!$D$2:$D$69,$D11)</f>
        <v/>
      </c>
    </row>
    <row r="12">
      <c r="A12" s="8" t="n">
        <v>4515142521239</v>
      </c>
      <c r="B12" s="8" t="inlineStr">
        <is>
          <t>CX2412DNDASTA-SK</t>
        </is>
      </c>
      <c r="C12" s="8" t="inlineStr">
        <is>
          <t>ダンダダンPOPUP　アクリルスタンド　星子</t>
        </is>
      </c>
      <c r="D12" s="8" t="inlineStr">
        <is>
          <t>DB00</t>
        </is>
      </c>
      <c r="E12" s="8" t="inlineStr">
        <is>
          <t>DBS倉庫</t>
        </is>
      </c>
      <c r="F12" s="9">
        <f>IF(COUNTIFS('XTab DS_1'!$B$2:$B$69,$B12)&gt;=2,"重複","単独")</f>
        <v/>
      </c>
      <c r="G12" s="10">
        <f>SUMIFS('XTab DS_1'!$F$2:$F$69,'XTab DS_1'!$B$2:$B$69,$B12,'XTab DS_1'!$D$2:$D$69,$D12)</f>
        <v/>
      </c>
      <c r="H12" s="11">
        <f>SUMIFS('XTab DS_1'!$G$2:$G$69,'XTab DS_1'!$B$2:$B$69,$B12,'XTab DS_1'!$D$2:$D$69,$D12)</f>
        <v/>
      </c>
    </row>
    <row r="13">
      <c r="A13" s="8" t="n">
        <v>4515142521246</v>
      </c>
      <c r="B13" s="8" t="inlineStr">
        <is>
          <t>CX2412DNDASTA-AR</t>
        </is>
      </c>
      <c r="C13" s="8" t="inlineStr">
        <is>
          <t>ダンダダンPOPUP　アクリルスタンド　アイラ</t>
        </is>
      </c>
      <c r="D13" s="8" t="inlineStr">
        <is>
          <t>DB00</t>
        </is>
      </c>
      <c r="E13" s="8" t="inlineStr">
        <is>
          <t>DBS倉庫</t>
        </is>
      </c>
      <c r="F13" s="9">
        <f>IF(COUNTIFS('XTab DS_1'!$B$2:$B$69,$B13)&gt;=2,"重複","単独")</f>
        <v/>
      </c>
      <c r="G13" s="10">
        <f>SUMIFS('XTab DS_1'!$F$2:$F$69,'XTab DS_1'!$B$2:$B$69,$B13,'XTab DS_1'!$D$2:$D$69,$D13)</f>
        <v/>
      </c>
      <c r="H13" s="11">
        <f>SUMIFS('XTab DS_1'!$G$2:$G$69,'XTab DS_1'!$B$2:$B$69,$B13,'XTab DS_1'!$D$2:$D$69,$D13)</f>
        <v/>
      </c>
    </row>
    <row r="14">
      <c r="A14" s="8" t="n">
        <v>4515142521253</v>
      </c>
      <c r="B14" s="8" t="inlineStr">
        <is>
          <t>CX2412DNDASTA-TB</t>
        </is>
      </c>
      <c r="C14" s="8" t="inlineStr">
        <is>
          <t>ダンダダンPOPUP　アクリルスタンド　ターボババア(招き猫)</t>
        </is>
      </c>
      <c r="D14" s="8" t="inlineStr">
        <is>
          <t>DB00</t>
        </is>
      </c>
      <c r="E14" s="8" t="inlineStr">
        <is>
          <t>DBS倉庫</t>
        </is>
      </c>
      <c r="F14" s="9">
        <f>IF(COUNTIFS('XTab DS_1'!$B$2:$B$69,$B14)&gt;=2,"重複","単独")</f>
        <v/>
      </c>
      <c r="G14" s="10">
        <f>SUMIFS('XTab DS_1'!$F$2:$F$69,'XTab DS_1'!$B$2:$B$69,$B14,'XTab DS_1'!$D$2:$D$69,$D14)</f>
        <v/>
      </c>
      <c r="H14" s="11">
        <f>SUMIFS('XTab DS_1'!$G$2:$G$69,'XTab DS_1'!$B$2:$B$69,$B14,'XTab DS_1'!$D$2:$D$69,$D14)</f>
        <v/>
      </c>
    </row>
    <row r="15">
      <c r="A15" s="8" t="n">
        <v>4515142521260</v>
      </c>
      <c r="B15" s="8" t="inlineStr">
        <is>
          <t>CX2412DNDASTA-ORH</t>
        </is>
      </c>
      <c r="C15" s="8" t="inlineStr">
        <is>
          <t>ダンダダンPOPUP　アクリルスタンド　オカルン(変身)</t>
        </is>
      </c>
      <c r="D15" s="8" t="inlineStr">
        <is>
          <t>DB00</t>
        </is>
      </c>
      <c r="E15" s="8" t="inlineStr">
        <is>
          <t>DBS倉庫</t>
        </is>
      </c>
      <c r="F15" s="9">
        <f>IF(COUNTIFS('XTab DS_1'!$B$2:$B$69,$B15)&gt;=2,"重複","単独")</f>
        <v/>
      </c>
      <c r="G15" s="10">
        <f>SUMIFS('XTab DS_1'!$F$2:$F$69,'XTab DS_1'!$B$2:$B$69,$B15,'XTab DS_1'!$D$2:$D$69,$D15)</f>
        <v/>
      </c>
      <c r="H15" s="11">
        <f>SUMIFS('XTab DS_1'!$G$2:$G$69,'XTab DS_1'!$B$2:$B$69,$B15,'XTab DS_1'!$D$2:$D$69,$D15)</f>
        <v/>
      </c>
    </row>
    <row r="16">
      <c r="A16" s="8" t="n">
        <v>4515142521277</v>
      </c>
      <c r="B16" s="8" t="inlineStr">
        <is>
          <t>CX2412DNDASTA-ARH</t>
        </is>
      </c>
      <c r="C16" s="8" t="inlineStr">
        <is>
          <t>ダンダダンPOPUP　アクリルスタンド　アイラ(変身)</t>
        </is>
      </c>
      <c r="D16" s="8" t="inlineStr">
        <is>
          <t>DB00</t>
        </is>
      </c>
      <c r="E16" s="8" t="inlineStr">
        <is>
          <t>DBS倉庫</t>
        </is>
      </c>
      <c r="F16" s="9">
        <f>IF(COUNTIFS('XTab DS_1'!$B$2:$B$69,$B16)&gt;=2,"重複","単独")</f>
        <v/>
      </c>
      <c r="G16" s="10">
        <f>SUMIFS('XTab DS_1'!$F$2:$F$69,'XTab DS_1'!$B$2:$B$69,$B16,'XTab DS_1'!$D$2:$D$69,$D16)</f>
        <v/>
      </c>
      <c r="H16" s="11">
        <f>SUMIFS('XTab DS_1'!$G$2:$G$69,'XTab DS_1'!$B$2:$B$69,$B16,'XTab DS_1'!$D$2:$D$69,$D16)</f>
        <v/>
      </c>
    </row>
    <row r="17">
      <c r="A17" s="8" t="n">
        <v>4515142521284</v>
      </c>
      <c r="B17" s="8" t="inlineStr">
        <is>
          <t>CX2412DNDSTK3S-A</t>
        </is>
      </c>
      <c r="C17" s="8" t="inlineStr">
        <is>
          <t>ダンダダンPOPUP　ステッカー3枚セット　A</t>
        </is>
      </c>
      <c r="D17" s="8" t="inlineStr">
        <is>
          <t>DB00</t>
        </is>
      </c>
      <c r="E17" s="8" t="inlineStr">
        <is>
          <t>DBS倉庫</t>
        </is>
      </c>
      <c r="F17" s="9">
        <f>IF(COUNTIFS('XTab DS_1'!$B$2:$B$69,$B17)&gt;=2,"重複","単独")</f>
        <v/>
      </c>
      <c r="G17" s="10">
        <f>SUMIFS('XTab DS_1'!$F$2:$F$69,'XTab DS_1'!$B$2:$B$69,$B17,'XTab DS_1'!$D$2:$D$69,$D17)</f>
        <v/>
      </c>
      <c r="H17" s="11">
        <f>SUMIFS('XTab DS_1'!$G$2:$G$69,'XTab DS_1'!$B$2:$B$69,$B17,'XTab DS_1'!$D$2:$D$69,$D17)</f>
        <v/>
      </c>
    </row>
    <row r="18">
      <c r="A18" s="8" t="n">
        <v>4515142521291</v>
      </c>
      <c r="B18" s="8" t="inlineStr">
        <is>
          <t>CX2412DNDSTK3S-B</t>
        </is>
      </c>
      <c r="C18" s="8" t="inlineStr">
        <is>
          <t>ダンダダンPOPUP　ステッカー3枚セット　B</t>
        </is>
      </c>
      <c r="D18" s="8" t="inlineStr">
        <is>
          <t>DB00</t>
        </is>
      </c>
      <c r="E18" s="8" t="inlineStr">
        <is>
          <t>DBS倉庫</t>
        </is>
      </c>
      <c r="F18" s="9">
        <f>IF(COUNTIFS('XTab DS_1'!$B$2:$B$69,$B18)&gt;=2,"重複","単独")</f>
        <v/>
      </c>
      <c r="G18" s="10">
        <f>SUMIFS('XTab DS_1'!$F$2:$F$69,'XTab DS_1'!$B$2:$B$69,$B18,'XTab DS_1'!$D$2:$D$69,$D18)</f>
        <v/>
      </c>
      <c r="H18" s="11">
        <f>SUMIFS('XTab DS_1'!$G$2:$G$69,'XTab DS_1'!$B$2:$B$69,$B18,'XTab DS_1'!$D$2:$D$69,$D18)</f>
        <v/>
      </c>
    </row>
    <row r="19">
      <c r="A19" s="8" t="n">
        <v>4515142521307</v>
      </c>
      <c r="B19" s="8" t="inlineStr">
        <is>
          <t>CX2412DNDSTK3S-C</t>
        </is>
      </c>
      <c r="C19" s="8" t="inlineStr">
        <is>
          <t>ダンダダンPOPUP　ステッカー3枚セット　C</t>
        </is>
      </c>
      <c r="D19" s="8" t="inlineStr">
        <is>
          <t>DB00</t>
        </is>
      </c>
      <c r="E19" s="8" t="inlineStr">
        <is>
          <t>DBS倉庫</t>
        </is>
      </c>
      <c r="F19" s="9">
        <f>IF(COUNTIFS('XTab DS_1'!$B$2:$B$69,$B19)&gt;=2,"重複","単独")</f>
        <v/>
      </c>
      <c r="G19" s="10">
        <f>SUMIFS('XTab DS_1'!$F$2:$F$69,'XTab DS_1'!$B$2:$B$69,$B19,'XTab DS_1'!$D$2:$D$69,$D19)</f>
        <v/>
      </c>
      <c r="H19" s="11">
        <f>SUMIFS('XTab DS_1'!$G$2:$G$69,'XTab DS_1'!$B$2:$B$69,$B19,'XTab DS_1'!$D$2:$D$69,$D19)</f>
        <v/>
      </c>
    </row>
    <row r="20">
      <c r="A20" s="8" t="n">
        <v>4515142521314</v>
      </c>
      <c r="B20" s="8" t="inlineStr">
        <is>
          <t>CX2412DNDRBDG-OP6</t>
        </is>
      </c>
      <c r="C20" s="8" t="inlineStr">
        <is>
          <t>ダンダダンPOPUP　ランダム缶バッジ　オープニング　全6種</t>
        </is>
      </c>
      <c r="D20" s="8" t="inlineStr">
        <is>
          <t>DB00</t>
        </is>
      </c>
      <c r="E20" s="8" t="inlineStr">
        <is>
          <t>DBS倉庫</t>
        </is>
      </c>
      <c r="F20" s="9">
        <f>IF(COUNTIFS('XTab DS_1'!$B$2:$B$69,$B20)&gt;=2,"重複","単独")</f>
        <v/>
      </c>
      <c r="G20" s="10">
        <f>SUMIFS('XTab DS_1'!$F$2:$F$69,'XTab DS_1'!$B$2:$B$69,$B20,'XTab DS_1'!$D$2:$D$69,$D20)</f>
        <v/>
      </c>
      <c r="H20" s="11">
        <f>SUMIFS('XTab DS_1'!$G$2:$G$69,'XTab DS_1'!$B$2:$B$69,$B20,'XTab DS_1'!$D$2:$D$69,$D20)</f>
        <v/>
      </c>
    </row>
    <row r="21">
      <c r="A21" s="8" t="n">
        <v>4515142521321</v>
      </c>
      <c r="B21" s="8" t="inlineStr">
        <is>
          <t>CX2412DNDRBDG-ED6</t>
        </is>
      </c>
      <c r="C21" s="8" t="inlineStr">
        <is>
          <t>ダンダダンPOPUP　ランダム缶バッジ　エンディング　全6種</t>
        </is>
      </c>
      <c r="D21" s="8" t="inlineStr">
        <is>
          <t>DB00</t>
        </is>
      </c>
      <c r="E21" s="8" t="inlineStr">
        <is>
          <t>DBS倉庫</t>
        </is>
      </c>
      <c r="F21" s="9">
        <f>IF(COUNTIFS('XTab DS_1'!$B$2:$B$69,$B21)&gt;=2,"重複","単独")</f>
        <v/>
      </c>
      <c r="G21" s="10">
        <f>SUMIFS('XTab DS_1'!$F$2:$F$69,'XTab DS_1'!$B$2:$B$69,$B21,'XTab DS_1'!$D$2:$D$69,$D21)</f>
        <v/>
      </c>
      <c r="H21" s="11">
        <f>SUMIFS('XTab DS_1'!$G$2:$G$69,'XTab DS_1'!$B$2:$B$69,$B21,'XTab DS_1'!$D$2:$D$69,$D21)</f>
        <v/>
      </c>
    </row>
    <row r="22">
      <c r="A22" s="8" t="n">
        <v>4515142521338</v>
      </c>
      <c r="B22" s="8" t="inlineStr">
        <is>
          <t>CX2412DNDRASKEY-6</t>
        </is>
      </c>
      <c r="C22" s="8" t="inlineStr">
        <is>
          <t>ダンダダンPOPUP　ランダムアクリルキーホルダー　全6種</t>
        </is>
      </c>
      <c r="D22" s="8" t="inlineStr">
        <is>
          <t>DB00</t>
        </is>
      </c>
      <c r="E22" s="8" t="inlineStr">
        <is>
          <t>DBS倉庫</t>
        </is>
      </c>
      <c r="F22" s="9">
        <f>IF(COUNTIFS('XTab DS_1'!$B$2:$B$69,$B22)&gt;=2,"重複","単独")</f>
        <v/>
      </c>
      <c r="G22" s="10">
        <f>SUMIFS('XTab DS_1'!$F$2:$F$69,'XTab DS_1'!$B$2:$B$69,$B22,'XTab DS_1'!$D$2:$D$69,$D22)</f>
        <v/>
      </c>
      <c r="H22" s="11">
        <f>SUMIFS('XTab DS_1'!$G$2:$G$69,'XTab DS_1'!$B$2:$B$69,$B22,'XTab DS_1'!$D$2:$D$69,$D22)</f>
        <v/>
      </c>
    </row>
    <row r="23">
      <c r="A23" s="8" t="n">
        <v>4515142521345</v>
      </c>
      <c r="B23" s="8" t="inlineStr">
        <is>
          <t>CX2412DNDTOTEBAG</t>
        </is>
      </c>
      <c r="C23" s="8" t="inlineStr">
        <is>
          <t>ダンダダンPOPUP　トートバッグ</t>
        </is>
      </c>
      <c r="D23" s="8" t="inlineStr">
        <is>
          <t>DB00</t>
        </is>
      </c>
      <c r="E23" s="8" t="inlineStr">
        <is>
          <t>DBS倉庫</t>
        </is>
      </c>
      <c r="F23" s="9">
        <f>IF(COUNTIFS('XTab DS_1'!$B$2:$B$69,$B23)&gt;=2,"重複","単独")</f>
        <v/>
      </c>
      <c r="G23" s="10">
        <f>SUMIFS('XTab DS_1'!$F$2:$F$69,'XTab DS_1'!$B$2:$B$69,$B23,'XTab DS_1'!$D$2:$D$69,$D23)</f>
        <v/>
      </c>
      <c r="H23" s="11">
        <f>SUMIFS('XTab DS_1'!$G$2:$G$69,'XTab DS_1'!$B$2:$B$69,$B23,'XTab DS_1'!$D$2:$D$69,$D23)</f>
        <v/>
      </c>
    </row>
    <row r="24">
      <c r="A24" s="8" t="n">
        <v>4515142521352</v>
      </c>
      <c r="B24" s="8" t="inlineStr">
        <is>
          <t>CX2412DNDSAKEY-ORH</t>
        </is>
      </c>
      <c r="C24" s="8" t="inlineStr">
        <is>
          <t>ダンダダンPOPUP　スライドアクリルキーホルダー　オカルン(変身)</t>
        </is>
      </c>
      <c r="D24" s="8" t="inlineStr">
        <is>
          <t>DB00</t>
        </is>
      </c>
      <c r="E24" s="8" t="inlineStr">
        <is>
          <t>DBS倉庫</t>
        </is>
      </c>
      <c r="F24" s="9">
        <f>IF(COUNTIFS('XTab DS_1'!$B$2:$B$69,$B24)&gt;=2,"重複","単独")</f>
        <v/>
      </c>
      <c r="G24" s="10">
        <f>SUMIFS('XTab DS_1'!$F$2:$F$69,'XTab DS_1'!$B$2:$B$69,$B24,'XTab DS_1'!$D$2:$D$69,$D24)</f>
        <v/>
      </c>
      <c r="H24" s="11">
        <f>SUMIFS('XTab DS_1'!$G$2:$G$69,'XTab DS_1'!$B$2:$B$69,$B24,'XTab DS_1'!$D$2:$D$69,$D24)</f>
        <v/>
      </c>
    </row>
    <row r="25">
      <c r="A25" s="8" t="n">
        <v>4515142521369</v>
      </c>
      <c r="B25" s="8" t="inlineStr">
        <is>
          <t>CX2412DNDSAKEY-MM</t>
        </is>
      </c>
      <c r="C25" s="8" t="inlineStr">
        <is>
          <t>ダンダダンPOPUP　スライドアクリルキーホルダー　モモ</t>
        </is>
      </c>
      <c r="D25" s="8" t="inlineStr">
        <is>
          <t>DB00</t>
        </is>
      </c>
      <c r="E25" s="8" t="inlineStr">
        <is>
          <t>DBS倉庫</t>
        </is>
      </c>
      <c r="F25" s="9">
        <f>IF(COUNTIFS('XTab DS_1'!$B$2:$B$69,$B25)&gt;=2,"重複","単独")</f>
        <v/>
      </c>
      <c r="G25" s="10">
        <f>SUMIFS('XTab DS_1'!$F$2:$F$69,'XTab DS_1'!$B$2:$B$69,$B25,'XTab DS_1'!$D$2:$D$69,$D25)</f>
        <v/>
      </c>
      <c r="H25" s="11">
        <f>SUMIFS('XTab DS_1'!$G$2:$G$69,'XTab DS_1'!$B$2:$B$69,$B25,'XTab DS_1'!$D$2:$D$69,$D25)</f>
        <v/>
      </c>
    </row>
    <row r="26">
      <c r="A26" s="8" t="n">
        <v>4515142521376</v>
      </c>
      <c r="B26" s="8" t="inlineStr">
        <is>
          <t>CX2412DNDSAKEY-SK</t>
        </is>
      </c>
      <c r="C26" s="8" t="inlineStr">
        <is>
          <t>ダンダダンPOPUP　スライドアクリルキーホルダー　星子</t>
        </is>
      </c>
      <c r="D26" s="8" t="inlineStr">
        <is>
          <t>DB00</t>
        </is>
      </c>
      <c r="E26" s="8" t="inlineStr">
        <is>
          <t>DBS倉庫</t>
        </is>
      </c>
      <c r="F26" s="9">
        <f>IF(COUNTIFS('XTab DS_1'!$B$2:$B$69,$B26)&gt;=2,"重複","単独")</f>
        <v/>
      </c>
      <c r="G26" s="10">
        <f>SUMIFS('XTab DS_1'!$F$2:$F$69,'XTab DS_1'!$B$2:$B$69,$B26,'XTab DS_1'!$D$2:$D$69,$D26)</f>
        <v/>
      </c>
      <c r="H26" s="11">
        <f>SUMIFS('XTab DS_1'!$G$2:$G$69,'XTab DS_1'!$B$2:$B$69,$B26,'XTab DS_1'!$D$2:$D$69,$D26)</f>
        <v/>
      </c>
    </row>
    <row r="27">
      <c r="A27" s="8" t="n">
        <v>4515142521383</v>
      </c>
      <c r="B27" s="8" t="inlineStr">
        <is>
          <t>CX2412DNDSAKEY-AR</t>
        </is>
      </c>
      <c r="C27" s="8" t="inlineStr">
        <is>
          <t>ダンダダンPOPUP　スライドアクリルキーホルダー　アイラ</t>
        </is>
      </c>
      <c r="D27" s="8" t="inlineStr">
        <is>
          <t>DB00</t>
        </is>
      </c>
      <c r="E27" s="8" t="inlineStr">
        <is>
          <t>DBS倉庫</t>
        </is>
      </c>
      <c r="F27" s="9">
        <f>IF(COUNTIFS('XTab DS_1'!$B$2:$B$69,$B27)&gt;=2,"重複","単独")</f>
        <v/>
      </c>
      <c r="G27" s="10">
        <f>SUMIFS('XTab DS_1'!$F$2:$F$69,'XTab DS_1'!$B$2:$B$69,$B27,'XTab DS_1'!$D$2:$D$69,$D27)</f>
        <v/>
      </c>
      <c r="H27" s="11">
        <f>SUMIFS('XTab DS_1'!$G$2:$G$69,'XTab DS_1'!$B$2:$B$69,$B27,'XTab DS_1'!$D$2:$D$69,$D27)</f>
        <v/>
      </c>
    </row>
    <row r="28">
      <c r="A28" s="8" t="n">
        <v>4515142521390</v>
      </c>
      <c r="B28" s="8" t="inlineStr">
        <is>
          <t>CX2412DNDSAKEY-GG</t>
        </is>
      </c>
      <c r="C28" s="8" t="inlineStr">
        <is>
          <t>ダンダダンPOPUP　スライドアクリルキーホルダー　ジジ</t>
        </is>
      </c>
      <c r="D28" s="8" t="inlineStr">
        <is>
          <t>DB00</t>
        </is>
      </c>
      <c r="E28" s="8" t="inlineStr">
        <is>
          <t>DBS倉庫</t>
        </is>
      </c>
      <c r="F28" s="9">
        <f>IF(COUNTIFS('XTab DS_1'!$B$2:$B$69,$B28)&gt;=2,"重複","単独")</f>
        <v/>
      </c>
      <c r="G28" s="10">
        <f>SUMIFS('XTab DS_1'!$F$2:$F$69,'XTab DS_1'!$B$2:$B$69,$B28,'XTab DS_1'!$D$2:$D$69,$D28)</f>
        <v/>
      </c>
      <c r="H28" s="11">
        <f>SUMIFS('XTab DS_1'!$G$2:$G$69,'XTab DS_1'!$B$2:$B$69,$B28,'XTab DS_1'!$D$2:$D$69,$D28)</f>
        <v/>
      </c>
    </row>
    <row r="29">
      <c r="A29" s="8" t="n">
        <v>4515142521406</v>
      </c>
      <c r="B29" s="8" t="inlineStr">
        <is>
          <t>CX2412DNDSAKEY-TB</t>
        </is>
      </c>
      <c r="C29" s="8" t="inlineStr">
        <is>
          <t>ダンダダンPOPUP　スライドアクリルキーホルダー　ターボババア(招き猫)</t>
        </is>
      </c>
      <c r="D29" s="8" t="inlineStr">
        <is>
          <t>DB00</t>
        </is>
      </c>
      <c r="E29" s="8" t="inlineStr">
        <is>
          <t>DBS倉庫</t>
        </is>
      </c>
      <c r="F29" s="9">
        <f>IF(COUNTIFS('XTab DS_1'!$B$2:$B$69,$B29)&gt;=2,"重複","単独")</f>
        <v/>
      </c>
      <c r="G29" s="10">
        <f>SUMIFS('XTab DS_1'!$F$2:$F$69,'XTab DS_1'!$B$2:$B$69,$B29,'XTab DS_1'!$D$2:$D$69,$D29)</f>
        <v/>
      </c>
      <c r="H29" s="11">
        <f>SUMIFS('XTab DS_1'!$G$2:$G$69,'XTab DS_1'!$B$2:$B$69,$B29,'XTab DS_1'!$D$2:$D$69,$D29)</f>
        <v/>
      </c>
    </row>
    <row r="30">
      <c r="A30" s="8" t="n">
        <v>4515142521413</v>
      </c>
      <c r="B30" s="8" t="inlineStr">
        <is>
          <t>CX2412DNDSAKEY-SS</t>
        </is>
      </c>
      <c r="C30" s="8" t="inlineStr">
        <is>
          <t>ダンダダンPOPUP　スライドアクリルキーホルダー　セルポ星人</t>
        </is>
      </c>
      <c r="D30" s="8" t="inlineStr">
        <is>
          <t>DB00</t>
        </is>
      </c>
      <c r="E30" s="8" t="inlineStr">
        <is>
          <t>DBS倉庫</t>
        </is>
      </c>
      <c r="F30" s="9">
        <f>IF(COUNTIFS('XTab DS_1'!$B$2:$B$69,$B30)&gt;=2,"重複","単独")</f>
        <v/>
      </c>
      <c r="G30" s="10">
        <f>SUMIFS('XTab DS_1'!$F$2:$F$69,'XTab DS_1'!$B$2:$B$69,$B30,'XTab DS_1'!$D$2:$D$69,$D30)</f>
        <v/>
      </c>
      <c r="H30" s="11">
        <f>SUMIFS('XTab DS_1'!$G$2:$G$69,'XTab DS_1'!$B$2:$B$69,$B30,'XTab DS_1'!$D$2:$D$69,$D30)</f>
        <v/>
      </c>
    </row>
    <row r="31">
      <c r="A31" s="8" t="n">
        <v>4515142521420</v>
      </c>
      <c r="B31" s="8" t="inlineStr">
        <is>
          <t>CX2412DNDSAKEY-AS</t>
        </is>
      </c>
      <c r="C31" s="8" t="inlineStr">
        <is>
          <t>ダンダダンPOPUP　スライドアクリルキーホルダー　アクロバティックさらさら</t>
        </is>
      </c>
      <c r="D31" s="8" t="inlineStr">
        <is>
          <t>DB00</t>
        </is>
      </c>
      <c r="E31" s="8" t="inlineStr">
        <is>
          <t>DBS倉庫</t>
        </is>
      </c>
      <c r="F31" s="9">
        <f>IF(COUNTIFS('XTab DS_1'!$B$2:$B$69,$B31)&gt;=2,"重複","単独")</f>
        <v/>
      </c>
      <c r="G31" s="10">
        <f>SUMIFS('XTab DS_1'!$F$2:$F$69,'XTab DS_1'!$B$2:$B$69,$B31,'XTab DS_1'!$D$2:$D$69,$D31)</f>
        <v/>
      </c>
      <c r="H31" s="11">
        <f>SUMIFS('XTab DS_1'!$G$2:$G$69,'XTab DS_1'!$B$2:$B$69,$B31,'XTab DS_1'!$D$2:$D$69,$D31)</f>
        <v/>
      </c>
    </row>
    <row r="32">
      <c r="A32" s="8" t="n">
        <v>4515142521437</v>
      </c>
      <c r="B32" s="8" t="inlineStr">
        <is>
          <t>CX2412DNDSAKEY-DD</t>
        </is>
      </c>
      <c r="C32" s="8" t="inlineStr">
        <is>
          <t>ダンダダンPOPUP　スライドアクリルキーホルダー　ドーバーデーモン</t>
        </is>
      </c>
      <c r="D32" s="8" t="inlineStr">
        <is>
          <t>DB00</t>
        </is>
      </c>
      <c r="E32" s="8" t="inlineStr">
        <is>
          <t>DBS倉庫</t>
        </is>
      </c>
      <c r="F32" s="9">
        <f>IF(COUNTIFS('XTab DS_1'!$B$2:$B$69,$B32)&gt;=2,"重複","単独")</f>
        <v/>
      </c>
      <c r="G32" s="10">
        <f>SUMIFS('XTab DS_1'!$F$2:$F$69,'XTab DS_1'!$B$2:$B$69,$B32,'XTab DS_1'!$D$2:$D$69,$D32)</f>
        <v/>
      </c>
      <c r="H32" s="11">
        <f>SUMIFS('XTab DS_1'!$G$2:$G$69,'XTab DS_1'!$B$2:$B$69,$B32,'XTab DS_1'!$D$2:$D$69,$D32)</f>
        <v/>
      </c>
    </row>
    <row r="33">
      <c r="A33" s="8" t="n">
        <v>4515142521444</v>
      </c>
      <c r="B33" s="8" t="inlineStr">
        <is>
          <t>CX2412DNDRCCDPOS-6</t>
        </is>
      </c>
      <c r="C33" s="8" t="inlineStr">
        <is>
          <t>ダンダダンPOPUP　ランダムクリアカード＆ポストカードセット　全6種</t>
        </is>
      </c>
      <c r="D33" s="8" t="inlineStr">
        <is>
          <t>DB00</t>
        </is>
      </c>
      <c r="E33" s="8" t="inlineStr">
        <is>
          <t>DBS倉庫</t>
        </is>
      </c>
      <c r="F33" s="9">
        <f>IF(COUNTIFS('XTab DS_1'!$B$2:$B$69,$B33)&gt;=2,"重複","単独")</f>
        <v/>
      </c>
      <c r="G33" s="10">
        <f>SUMIFS('XTab DS_1'!$F$2:$F$69,'XTab DS_1'!$B$2:$B$69,$B33,'XTab DS_1'!$D$2:$D$69,$D33)</f>
        <v/>
      </c>
      <c r="H33" s="11">
        <f>SUMIFS('XTab DS_1'!$G$2:$G$69,'XTab DS_1'!$B$2:$B$69,$B33,'XTab DS_1'!$D$2:$D$69,$D33)</f>
        <v/>
      </c>
    </row>
    <row r="34">
      <c r="A34" s="8" t="n">
        <v>4515142521451</v>
      </c>
      <c r="B34" s="8" t="inlineStr">
        <is>
          <t>CX2412DNDVPOS-A</t>
        </is>
      </c>
      <c r="C34" s="8" t="inlineStr">
        <is>
          <t>ダンダダンPOPUP　ビジュアルポストカード　A</t>
        </is>
      </c>
      <c r="D34" s="8" t="inlineStr">
        <is>
          <t>DB00</t>
        </is>
      </c>
      <c r="E34" s="8" t="inlineStr">
        <is>
          <t>DBS倉庫</t>
        </is>
      </c>
      <c r="F34" s="9">
        <f>IF(COUNTIFS('XTab DS_1'!$B$2:$B$69,$B34)&gt;=2,"重複","単独")</f>
        <v/>
      </c>
      <c r="G34" s="10">
        <f>SUMIFS('XTab DS_1'!$F$2:$F$69,'XTab DS_1'!$B$2:$B$69,$B34,'XTab DS_1'!$D$2:$D$69,$D34)</f>
        <v/>
      </c>
      <c r="H34" s="11">
        <f>SUMIFS('XTab DS_1'!$G$2:$G$69,'XTab DS_1'!$B$2:$B$69,$B34,'XTab DS_1'!$D$2:$D$69,$D34)</f>
        <v/>
      </c>
    </row>
    <row r="35">
      <c r="A35" s="8" t="n">
        <v>4515142521468</v>
      </c>
      <c r="B35" s="8" t="inlineStr">
        <is>
          <t>CX2412DNDVPOS-B</t>
        </is>
      </c>
      <c r="C35" s="8" t="inlineStr">
        <is>
          <t>ダンダダンPOPUP　ビジュアルポストカード　B</t>
        </is>
      </c>
      <c r="D35" s="8" t="inlineStr">
        <is>
          <t>DB00</t>
        </is>
      </c>
      <c r="E35" s="8" t="inlineStr">
        <is>
          <t>DBS倉庫</t>
        </is>
      </c>
      <c r="F35" s="9">
        <f>IF(COUNTIFS('XTab DS_1'!$B$2:$B$69,$B35)&gt;=2,"重複","単独")</f>
        <v/>
      </c>
      <c r="G35" s="10">
        <f>SUMIFS('XTab DS_1'!$F$2:$F$69,'XTab DS_1'!$B$2:$B$69,$B35,'XTab DS_1'!$D$2:$D$69,$D35)</f>
        <v/>
      </c>
      <c r="H35" s="11">
        <f>SUMIFS('XTab DS_1'!$G$2:$G$69,'XTab DS_1'!$B$2:$B$69,$B35,'XTab DS_1'!$D$2:$D$69,$D35)</f>
        <v/>
      </c>
    </row>
    <row r="36">
      <c r="A36" s="12" t="n"/>
      <c r="B36" s="12" t="n"/>
      <c r="C36" s="13" t="inlineStr">
        <is>
          <t>合計</t>
        </is>
      </c>
      <c r="D36" s="12" t="n"/>
      <c r="E36" s="12" t="n"/>
      <c r="F36" s="12" t="n"/>
      <c r="G36" s="14">
        <f>SUM(G2:G35)</f>
        <v/>
      </c>
      <c r="H36" s="15">
        <f>SUM(H2:H35)</f>
        <v/>
      </c>
    </row>
    <row r="37">
      <c r="A37" s="16" t="n"/>
      <c r="B37" s="16" t="n"/>
      <c r="C37" s="17" t="inlineStr">
        <is>
          <t>うち 重複</t>
        </is>
      </c>
      <c r="D37" s="16" t="n"/>
      <c r="E37" s="16" t="n"/>
      <c r="F37" s="16" t="n"/>
      <c r="G37" s="18">
        <f>SUMIFS(G2:G35,F2:F35,"重複")</f>
        <v/>
      </c>
      <c r="H37" s="19">
        <f>SUMIFS(H2:H35,F2:F35,"重複")</f>
        <v/>
      </c>
    </row>
    <row r="38">
      <c r="A38" s="16" t="n"/>
      <c r="B38" s="16" t="n"/>
      <c r="C38" s="17" t="inlineStr">
        <is>
          <t>うち 単独</t>
        </is>
      </c>
      <c r="D38" s="16" t="n"/>
      <c r="E38" s="16" t="n"/>
      <c r="F38" s="16" t="n"/>
      <c r="G38" s="18">
        <f>SUMIFS(G2:G35,F2:F35,"単独")</f>
        <v/>
      </c>
      <c r="H38" s="19">
        <f>SUMIFS(H2:H35,F2:F35,"単独")</f>
        <v/>
      </c>
    </row>
  </sheetData>
  <autoFilter ref="A1:H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8" customWidth="1" min="5" max="5"/>
    <col width="13" customWidth="1" min="6" max="6"/>
    <col width="14" customWidth="1" min="7" max="7"/>
    <col width="13" customWidth="1" min="8" max="8"/>
    <col width="14" customWidth="1" min="9" max="9"/>
    <col width="15" customWidth="1" min="10" max="10"/>
    <col width="18" customWidth="1" min="11" max="11"/>
  </cols>
  <sheetData>
    <row r="1">
      <c r="A1" s="7" t="inlineStr">
        <is>
          <t>JANコード(EAN/UPC)</t>
        </is>
      </c>
      <c r="B1" s="7" t="inlineStr">
        <is>
          <t>品目コード</t>
        </is>
      </c>
      <c r="C1" s="7" t="inlineStr">
        <is>
          <t>品目テキスト</t>
        </is>
      </c>
      <c r="D1" s="7" t="inlineStr">
        <is>
          <t>登録倉庫数</t>
        </is>
      </c>
      <c r="E1" s="7" t="inlineStr">
        <is>
          <t>区分</t>
        </is>
      </c>
      <c r="F1" s="7" t="inlineStr">
        <is>
          <t>CX催事 数量</t>
        </is>
      </c>
      <c r="G1" s="7" t="inlineStr">
        <is>
          <t>CX催事 金額</t>
        </is>
      </c>
      <c r="H1" s="7" t="inlineStr">
        <is>
          <t>DBS倉庫 数量</t>
        </is>
      </c>
      <c r="I1" s="7" t="inlineStr">
        <is>
          <t>DBS倉庫 金額</t>
        </is>
      </c>
      <c r="J1" s="7" t="inlineStr">
        <is>
          <t>合算 在庫数量</t>
        </is>
      </c>
      <c r="K1" s="7" t="inlineStr">
        <is>
          <t>合算 在庫金額(原価)</t>
        </is>
      </c>
    </row>
    <row r="2">
      <c r="A2" s="8" t="n">
        <v>4515142521130</v>
      </c>
      <c r="B2" s="8" t="inlineStr">
        <is>
          <t>CX2412DNDCF-OR</t>
        </is>
      </c>
      <c r="C2" s="8" t="inlineStr">
        <is>
          <t>ダンダダンPOPUP　クリアファイル　オカルン</t>
        </is>
      </c>
      <c r="D2" s="9">
        <f>COUNTIFS('XTab DS_1'!$B$2:$B$69,$B2)</f>
        <v/>
      </c>
      <c r="E2" s="9">
        <f>IF(D2&gt;=2,"重複","単独")</f>
        <v/>
      </c>
      <c r="F2" s="10">
        <f>SUMIFS('XTab DS_1'!$F$2:$F$69,'XTab DS_1'!$B$2:$B$69,$B2,'XTab DS_1'!$D$2:$D$69,"CX01")</f>
        <v/>
      </c>
      <c r="G2" s="11">
        <f>SUMIFS('XTab DS_1'!$G$2:$G$69,'XTab DS_1'!$B$2:$B$69,$B2,'XTab DS_1'!$D$2:$D$69,"CX01")</f>
        <v/>
      </c>
      <c r="H2" s="10">
        <f>SUMIFS('XTab DS_1'!$F$2:$F$69,'XTab DS_1'!$B$2:$B$69,$B2,'XTab DS_1'!$D$2:$D$69,"DB00")</f>
        <v/>
      </c>
      <c r="I2" s="11">
        <f>SUMIFS('XTab DS_1'!$G$2:$G$69,'XTab DS_1'!$B$2:$B$69,$B2,'XTab DS_1'!$D$2:$D$69,"DB00")</f>
        <v/>
      </c>
      <c r="J2" s="20">
        <f>SUMIFS('XTab DS_1'!$F$2:$F$69,'XTab DS_1'!$B$2:$B$69,$B2)</f>
        <v/>
      </c>
      <c r="K2" s="21">
        <f>SUMIFS('XTab DS_1'!$G$2:$G$69,'XTab DS_1'!$B$2:$B$69,$B2)</f>
        <v/>
      </c>
    </row>
    <row r="3">
      <c r="A3" s="8" t="n">
        <v>4515142521147</v>
      </c>
      <c r="B3" s="8" t="inlineStr">
        <is>
          <t>CX2412DNDCF-MM</t>
        </is>
      </c>
      <c r="C3" s="8" t="inlineStr">
        <is>
          <t>ダンダダンPOPUP　クリアファイル　モモ</t>
        </is>
      </c>
      <c r="D3" s="9">
        <f>COUNTIFS('XTab DS_1'!$B$2:$B$69,$B3)</f>
        <v/>
      </c>
      <c r="E3" s="9">
        <f>IF(D3&gt;=2,"重複","単独")</f>
        <v/>
      </c>
      <c r="F3" s="10">
        <f>SUMIFS('XTab DS_1'!$F$2:$F$69,'XTab DS_1'!$B$2:$B$69,$B3,'XTab DS_1'!$D$2:$D$69,"CX01")</f>
        <v/>
      </c>
      <c r="G3" s="11">
        <f>SUMIFS('XTab DS_1'!$G$2:$G$69,'XTab DS_1'!$B$2:$B$69,$B3,'XTab DS_1'!$D$2:$D$69,"CX01")</f>
        <v/>
      </c>
      <c r="H3" s="10">
        <f>SUMIFS('XTab DS_1'!$F$2:$F$69,'XTab DS_1'!$B$2:$B$69,$B3,'XTab DS_1'!$D$2:$D$69,"DB00")</f>
        <v/>
      </c>
      <c r="I3" s="11">
        <f>SUMIFS('XTab DS_1'!$G$2:$G$69,'XTab DS_1'!$B$2:$B$69,$B3,'XTab DS_1'!$D$2:$D$69,"DB00")</f>
        <v/>
      </c>
      <c r="J3" s="20">
        <f>SUMIFS('XTab DS_1'!$F$2:$F$69,'XTab DS_1'!$B$2:$B$69,$B3)</f>
        <v/>
      </c>
      <c r="K3" s="21">
        <f>SUMIFS('XTab DS_1'!$G$2:$G$69,'XTab DS_1'!$B$2:$B$69,$B3)</f>
        <v/>
      </c>
    </row>
    <row r="4">
      <c r="A4" s="8" t="n">
        <v>4515142521154</v>
      </c>
      <c r="B4" s="8" t="inlineStr">
        <is>
          <t>CX2412DNDCF-SK</t>
        </is>
      </c>
      <c r="C4" s="8" t="inlineStr">
        <is>
          <t>ダンダダンPOPUP　クリアファイル　星子</t>
        </is>
      </c>
      <c r="D4" s="9">
        <f>COUNTIFS('XTab DS_1'!$B$2:$B$69,$B4)</f>
        <v/>
      </c>
      <c r="E4" s="9">
        <f>IF(D4&gt;=2,"重複","単独")</f>
        <v/>
      </c>
      <c r="F4" s="10">
        <f>SUMIFS('XTab DS_1'!$F$2:$F$69,'XTab DS_1'!$B$2:$B$69,$B4,'XTab DS_1'!$D$2:$D$69,"CX01")</f>
        <v/>
      </c>
      <c r="G4" s="11">
        <f>SUMIFS('XTab DS_1'!$G$2:$G$69,'XTab DS_1'!$B$2:$B$69,$B4,'XTab DS_1'!$D$2:$D$69,"CX01")</f>
        <v/>
      </c>
      <c r="H4" s="10">
        <f>SUMIFS('XTab DS_1'!$F$2:$F$69,'XTab DS_1'!$B$2:$B$69,$B4,'XTab DS_1'!$D$2:$D$69,"DB00")</f>
        <v/>
      </c>
      <c r="I4" s="11">
        <f>SUMIFS('XTab DS_1'!$G$2:$G$69,'XTab DS_1'!$B$2:$B$69,$B4,'XTab DS_1'!$D$2:$D$69,"DB00")</f>
        <v/>
      </c>
      <c r="J4" s="20">
        <f>SUMIFS('XTab DS_1'!$F$2:$F$69,'XTab DS_1'!$B$2:$B$69,$B4)</f>
        <v/>
      </c>
      <c r="K4" s="21">
        <f>SUMIFS('XTab DS_1'!$G$2:$G$69,'XTab DS_1'!$B$2:$B$69,$B4)</f>
        <v/>
      </c>
    </row>
    <row r="5">
      <c r="A5" s="8" t="n">
        <v>4515142521161</v>
      </c>
      <c r="B5" s="8" t="inlineStr">
        <is>
          <t>CX2412DNDCF-AR</t>
        </is>
      </c>
      <c r="C5" s="8" t="inlineStr">
        <is>
          <t>ダンダダンPOPUP　クリアファイル　アイラ</t>
        </is>
      </c>
      <c r="D5" s="9">
        <f>COUNTIFS('XTab DS_1'!$B$2:$B$69,$B5)</f>
        <v/>
      </c>
      <c r="E5" s="9">
        <f>IF(D5&gt;=2,"重複","単独")</f>
        <v/>
      </c>
      <c r="F5" s="10">
        <f>SUMIFS('XTab DS_1'!$F$2:$F$69,'XTab DS_1'!$B$2:$B$69,$B5,'XTab DS_1'!$D$2:$D$69,"CX01")</f>
        <v/>
      </c>
      <c r="G5" s="11">
        <f>SUMIFS('XTab DS_1'!$G$2:$G$69,'XTab DS_1'!$B$2:$B$69,$B5,'XTab DS_1'!$D$2:$D$69,"CX01")</f>
        <v/>
      </c>
      <c r="H5" s="10">
        <f>SUMIFS('XTab DS_1'!$F$2:$F$69,'XTab DS_1'!$B$2:$B$69,$B5,'XTab DS_1'!$D$2:$D$69,"DB00")</f>
        <v/>
      </c>
      <c r="I5" s="11">
        <f>SUMIFS('XTab DS_1'!$G$2:$G$69,'XTab DS_1'!$B$2:$B$69,$B5,'XTab DS_1'!$D$2:$D$69,"DB00")</f>
        <v/>
      </c>
      <c r="J5" s="20">
        <f>SUMIFS('XTab DS_1'!$F$2:$F$69,'XTab DS_1'!$B$2:$B$69,$B5)</f>
        <v/>
      </c>
      <c r="K5" s="21">
        <f>SUMIFS('XTab DS_1'!$G$2:$G$69,'XTab DS_1'!$B$2:$B$69,$B5)</f>
        <v/>
      </c>
    </row>
    <row r="6">
      <c r="A6" s="8" t="n">
        <v>4515142521178</v>
      </c>
      <c r="B6" s="8" t="inlineStr">
        <is>
          <t>CX2412DNDCF-TB</t>
        </is>
      </c>
      <c r="C6" s="8" t="inlineStr">
        <is>
          <t>ダンダダンPOPUP　クリアファイル　ターボババア(招き猫)</t>
        </is>
      </c>
      <c r="D6" s="9">
        <f>COUNTIFS('XTab DS_1'!$B$2:$B$69,$B6)</f>
        <v/>
      </c>
      <c r="E6" s="9">
        <f>IF(D6&gt;=2,"重複","単独")</f>
        <v/>
      </c>
      <c r="F6" s="10">
        <f>SUMIFS('XTab DS_1'!$F$2:$F$69,'XTab DS_1'!$B$2:$B$69,$B6,'XTab DS_1'!$D$2:$D$69,"CX01")</f>
        <v/>
      </c>
      <c r="G6" s="11">
        <f>SUMIFS('XTab DS_1'!$G$2:$G$69,'XTab DS_1'!$B$2:$B$69,$B6,'XTab DS_1'!$D$2:$D$69,"CX01")</f>
        <v/>
      </c>
      <c r="H6" s="10">
        <f>SUMIFS('XTab DS_1'!$F$2:$F$69,'XTab DS_1'!$B$2:$B$69,$B6,'XTab DS_1'!$D$2:$D$69,"DB00")</f>
        <v/>
      </c>
      <c r="I6" s="11">
        <f>SUMIFS('XTab DS_1'!$G$2:$G$69,'XTab DS_1'!$B$2:$B$69,$B6,'XTab DS_1'!$D$2:$D$69,"DB00")</f>
        <v/>
      </c>
      <c r="J6" s="20">
        <f>SUMIFS('XTab DS_1'!$F$2:$F$69,'XTab DS_1'!$B$2:$B$69,$B6)</f>
        <v/>
      </c>
      <c r="K6" s="21">
        <f>SUMIFS('XTab DS_1'!$G$2:$G$69,'XTab DS_1'!$B$2:$B$69,$B6)</f>
        <v/>
      </c>
    </row>
    <row r="7">
      <c r="A7" s="8" t="n">
        <v>4515142521185</v>
      </c>
      <c r="B7" s="8" t="inlineStr">
        <is>
          <t>CX2412DNDCF-ORH</t>
        </is>
      </c>
      <c r="C7" s="8" t="inlineStr">
        <is>
          <t>ダンダダンPOPUP　クリアファイル　オカルン(変身)</t>
        </is>
      </c>
      <c r="D7" s="9">
        <f>COUNTIFS('XTab DS_1'!$B$2:$B$69,$B7)</f>
        <v/>
      </c>
      <c r="E7" s="9">
        <f>IF(D7&gt;=2,"重複","単独")</f>
        <v/>
      </c>
      <c r="F7" s="10">
        <f>SUMIFS('XTab DS_1'!$F$2:$F$69,'XTab DS_1'!$B$2:$B$69,$B7,'XTab DS_1'!$D$2:$D$69,"CX01")</f>
        <v/>
      </c>
      <c r="G7" s="11">
        <f>SUMIFS('XTab DS_1'!$G$2:$G$69,'XTab DS_1'!$B$2:$B$69,$B7,'XTab DS_1'!$D$2:$D$69,"CX01")</f>
        <v/>
      </c>
      <c r="H7" s="10">
        <f>SUMIFS('XTab DS_1'!$F$2:$F$69,'XTab DS_1'!$B$2:$B$69,$B7,'XTab DS_1'!$D$2:$D$69,"DB00")</f>
        <v/>
      </c>
      <c r="I7" s="11">
        <f>SUMIFS('XTab DS_1'!$G$2:$G$69,'XTab DS_1'!$B$2:$B$69,$B7,'XTab DS_1'!$D$2:$D$69,"DB00")</f>
        <v/>
      </c>
      <c r="J7" s="20">
        <f>SUMIFS('XTab DS_1'!$F$2:$F$69,'XTab DS_1'!$B$2:$B$69,$B7)</f>
        <v/>
      </c>
      <c r="K7" s="21">
        <f>SUMIFS('XTab DS_1'!$G$2:$G$69,'XTab DS_1'!$B$2:$B$69,$B7)</f>
        <v/>
      </c>
    </row>
    <row r="8">
      <c r="A8" s="8" t="n">
        <v>4515142521192</v>
      </c>
      <c r="B8" s="8" t="inlineStr">
        <is>
          <t>CX2412DNDCF-ARH</t>
        </is>
      </c>
      <c r="C8" s="8" t="inlineStr">
        <is>
          <t>ダンダダンPOPUP　クリアファイル　アイラ(変身)</t>
        </is>
      </c>
      <c r="D8" s="9">
        <f>COUNTIFS('XTab DS_1'!$B$2:$B$69,$B8)</f>
        <v/>
      </c>
      <c r="E8" s="9">
        <f>IF(D8&gt;=2,"重複","単独")</f>
        <v/>
      </c>
      <c r="F8" s="10">
        <f>SUMIFS('XTab DS_1'!$F$2:$F$69,'XTab DS_1'!$B$2:$B$69,$B8,'XTab DS_1'!$D$2:$D$69,"CX01")</f>
        <v/>
      </c>
      <c r="G8" s="11">
        <f>SUMIFS('XTab DS_1'!$G$2:$G$69,'XTab DS_1'!$B$2:$B$69,$B8,'XTab DS_1'!$D$2:$D$69,"CX01")</f>
        <v/>
      </c>
      <c r="H8" s="10">
        <f>SUMIFS('XTab DS_1'!$F$2:$F$69,'XTab DS_1'!$B$2:$B$69,$B8,'XTab DS_1'!$D$2:$D$69,"DB00")</f>
        <v/>
      </c>
      <c r="I8" s="11">
        <f>SUMIFS('XTab DS_1'!$G$2:$G$69,'XTab DS_1'!$B$2:$B$69,$B8,'XTab DS_1'!$D$2:$D$69,"DB00")</f>
        <v/>
      </c>
      <c r="J8" s="20">
        <f>SUMIFS('XTab DS_1'!$F$2:$F$69,'XTab DS_1'!$B$2:$B$69,$B8)</f>
        <v/>
      </c>
      <c r="K8" s="21">
        <f>SUMIFS('XTab DS_1'!$G$2:$G$69,'XTab DS_1'!$B$2:$B$69,$B8)</f>
        <v/>
      </c>
    </row>
    <row r="9">
      <c r="A9" s="8" t="n">
        <v>4515142521208</v>
      </c>
      <c r="B9" s="8" t="inlineStr">
        <is>
          <t>CX2412DNDRBDG-7</t>
        </is>
      </c>
      <c r="C9" s="8" t="inlineStr">
        <is>
          <t>ダンダダンPOPUP　ランダム缶バッジ 全7種</t>
        </is>
      </c>
      <c r="D9" s="9">
        <f>COUNTIFS('XTab DS_1'!$B$2:$B$69,$B9)</f>
        <v/>
      </c>
      <c r="E9" s="9">
        <f>IF(D9&gt;=2,"重複","単独")</f>
        <v/>
      </c>
      <c r="F9" s="10">
        <f>SUMIFS('XTab DS_1'!$F$2:$F$69,'XTab DS_1'!$B$2:$B$69,$B9,'XTab DS_1'!$D$2:$D$69,"CX01")</f>
        <v/>
      </c>
      <c r="G9" s="11">
        <f>SUMIFS('XTab DS_1'!$G$2:$G$69,'XTab DS_1'!$B$2:$B$69,$B9,'XTab DS_1'!$D$2:$D$69,"CX01")</f>
        <v/>
      </c>
      <c r="H9" s="10">
        <f>SUMIFS('XTab DS_1'!$F$2:$F$69,'XTab DS_1'!$B$2:$B$69,$B9,'XTab DS_1'!$D$2:$D$69,"DB00")</f>
        <v/>
      </c>
      <c r="I9" s="11">
        <f>SUMIFS('XTab DS_1'!$G$2:$G$69,'XTab DS_1'!$B$2:$B$69,$B9,'XTab DS_1'!$D$2:$D$69,"DB00")</f>
        <v/>
      </c>
      <c r="J9" s="20">
        <f>SUMIFS('XTab DS_1'!$F$2:$F$69,'XTab DS_1'!$B$2:$B$69,$B9)</f>
        <v/>
      </c>
      <c r="K9" s="21">
        <f>SUMIFS('XTab DS_1'!$G$2:$G$69,'XTab DS_1'!$B$2:$B$69,$B9)</f>
        <v/>
      </c>
    </row>
    <row r="10">
      <c r="A10" s="8" t="n">
        <v>4515142521215</v>
      </c>
      <c r="B10" s="8" t="inlineStr">
        <is>
          <t>CX2412DNDASTA-OR</t>
        </is>
      </c>
      <c r="C10" s="8" t="inlineStr">
        <is>
          <t>ダンダダンPOPUP　アクリルスタンド　オカルン</t>
        </is>
      </c>
      <c r="D10" s="9">
        <f>COUNTIFS('XTab DS_1'!$B$2:$B$69,$B10)</f>
        <v/>
      </c>
      <c r="E10" s="9">
        <f>IF(D10&gt;=2,"重複","単独")</f>
        <v/>
      </c>
      <c r="F10" s="10">
        <f>SUMIFS('XTab DS_1'!$F$2:$F$69,'XTab DS_1'!$B$2:$B$69,$B10,'XTab DS_1'!$D$2:$D$69,"CX01")</f>
        <v/>
      </c>
      <c r="G10" s="11">
        <f>SUMIFS('XTab DS_1'!$G$2:$G$69,'XTab DS_1'!$B$2:$B$69,$B10,'XTab DS_1'!$D$2:$D$69,"CX01")</f>
        <v/>
      </c>
      <c r="H10" s="10">
        <f>SUMIFS('XTab DS_1'!$F$2:$F$69,'XTab DS_1'!$B$2:$B$69,$B10,'XTab DS_1'!$D$2:$D$69,"DB00")</f>
        <v/>
      </c>
      <c r="I10" s="11">
        <f>SUMIFS('XTab DS_1'!$G$2:$G$69,'XTab DS_1'!$B$2:$B$69,$B10,'XTab DS_1'!$D$2:$D$69,"DB00")</f>
        <v/>
      </c>
      <c r="J10" s="20">
        <f>SUMIFS('XTab DS_1'!$F$2:$F$69,'XTab DS_1'!$B$2:$B$69,$B10)</f>
        <v/>
      </c>
      <c r="K10" s="21">
        <f>SUMIFS('XTab DS_1'!$G$2:$G$69,'XTab DS_1'!$B$2:$B$69,$B10)</f>
        <v/>
      </c>
    </row>
    <row r="11">
      <c r="A11" s="8" t="n">
        <v>4515142521222</v>
      </c>
      <c r="B11" s="8" t="inlineStr">
        <is>
          <t>CX2412DNDASTA-MM</t>
        </is>
      </c>
      <c r="C11" s="8" t="inlineStr">
        <is>
          <t>ダンダダンPOPUP　アクリルスタンド　モモ</t>
        </is>
      </c>
      <c r="D11" s="9">
        <f>COUNTIFS('XTab DS_1'!$B$2:$B$69,$B11)</f>
        <v/>
      </c>
      <c r="E11" s="9">
        <f>IF(D11&gt;=2,"重複","単独")</f>
        <v/>
      </c>
      <c r="F11" s="10">
        <f>SUMIFS('XTab DS_1'!$F$2:$F$69,'XTab DS_1'!$B$2:$B$69,$B11,'XTab DS_1'!$D$2:$D$69,"CX01")</f>
        <v/>
      </c>
      <c r="G11" s="11">
        <f>SUMIFS('XTab DS_1'!$G$2:$G$69,'XTab DS_1'!$B$2:$B$69,$B11,'XTab DS_1'!$D$2:$D$69,"CX01")</f>
        <v/>
      </c>
      <c r="H11" s="10">
        <f>SUMIFS('XTab DS_1'!$F$2:$F$69,'XTab DS_1'!$B$2:$B$69,$B11,'XTab DS_1'!$D$2:$D$69,"DB00")</f>
        <v/>
      </c>
      <c r="I11" s="11">
        <f>SUMIFS('XTab DS_1'!$G$2:$G$69,'XTab DS_1'!$B$2:$B$69,$B11,'XTab DS_1'!$D$2:$D$69,"DB00")</f>
        <v/>
      </c>
      <c r="J11" s="20">
        <f>SUMIFS('XTab DS_1'!$F$2:$F$69,'XTab DS_1'!$B$2:$B$69,$B11)</f>
        <v/>
      </c>
      <c r="K11" s="21">
        <f>SUMIFS('XTab DS_1'!$G$2:$G$69,'XTab DS_1'!$B$2:$B$69,$B11)</f>
        <v/>
      </c>
    </row>
    <row r="12">
      <c r="A12" s="8" t="n">
        <v>4515142521239</v>
      </c>
      <c r="B12" s="8" t="inlineStr">
        <is>
          <t>CX2412DNDASTA-SK</t>
        </is>
      </c>
      <c r="C12" s="8" t="inlineStr">
        <is>
          <t>ダンダダンPOPUP　アクリルスタンド　星子</t>
        </is>
      </c>
      <c r="D12" s="9">
        <f>COUNTIFS('XTab DS_1'!$B$2:$B$69,$B12)</f>
        <v/>
      </c>
      <c r="E12" s="9">
        <f>IF(D12&gt;=2,"重複","単独")</f>
        <v/>
      </c>
      <c r="F12" s="10">
        <f>SUMIFS('XTab DS_1'!$F$2:$F$69,'XTab DS_1'!$B$2:$B$69,$B12,'XTab DS_1'!$D$2:$D$69,"CX01")</f>
        <v/>
      </c>
      <c r="G12" s="11">
        <f>SUMIFS('XTab DS_1'!$G$2:$G$69,'XTab DS_1'!$B$2:$B$69,$B12,'XTab DS_1'!$D$2:$D$69,"CX01")</f>
        <v/>
      </c>
      <c r="H12" s="10">
        <f>SUMIFS('XTab DS_1'!$F$2:$F$69,'XTab DS_1'!$B$2:$B$69,$B12,'XTab DS_1'!$D$2:$D$69,"DB00")</f>
        <v/>
      </c>
      <c r="I12" s="11">
        <f>SUMIFS('XTab DS_1'!$G$2:$G$69,'XTab DS_1'!$B$2:$B$69,$B12,'XTab DS_1'!$D$2:$D$69,"DB00")</f>
        <v/>
      </c>
      <c r="J12" s="20">
        <f>SUMIFS('XTab DS_1'!$F$2:$F$69,'XTab DS_1'!$B$2:$B$69,$B12)</f>
        <v/>
      </c>
      <c r="K12" s="21">
        <f>SUMIFS('XTab DS_1'!$G$2:$G$69,'XTab DS_1'!$B$2:$B$69,$B12)</f>
        <v/>
      </c>
    </row>
    <row r="13">
      <c r="A13" s="8" t="n">
        <v>4515142521246</v>
      </c>
      <c r="B13" s="8" t="inlineStr">
        <is>
          <t>CX2412DNDASTA-AR</t>
        </is>
      </c>
      <c r="C13" s="8" t="inlineStr">
        <is>
          <t>ダンダダンPOPUP　アクリルスタンド　アイラ</t>
        </is>
      </c>
      <c r="D13" s="9">
        <f>COUNTIFS('XTab DS_1'!$B$2:$B$69,$B13)</f>
        <v/>
      </c>
      <c r="E13" s="9">
        <f>IF(D13&gt;=2,"重複","単独")</f>
        <v/>
      </c>
      <c r="F13" s="10">
        <f>SUMIFS('XTab DS_1'!$F$2:$F$69,'XTab DS_1'!$B$2:$B$69,$B13,'XTab DS_1'!$D$2:$D$69,"CX01")</f>
        <v/>
      </c>
      <c r="G13" s="11">
        <f>SUMIFS('XTab DS_1'!$G$2:$G$69,'XTab DS_1'!$B$2:$B$69,$B13,'XTab DS_1'!$D$2:$D$69,"CX01")</f>
        <v/>
      </c>
      <c r="H13" s="10">
        <f>SUMIFS('XTab DS_1'!$F$2:$F$69,'XTab DS_1'!$B$2:$B$69,$B13,'XTab DS_1'!$D$2:$D$69,"DB00")</f>
        <v/>
      </c>
      <c r="I13" s="11">
        <f>SUMIFS('XTab DS_1'!$G$2:$G$69,'XTab DS_1'!$B$2:$B$69,$B13,'XTab DS_1'!$D$2:$D$69,"DB00")</f>
        <v/>
      </c>
      <c r="J13" s="20">
        <f>SUMIFS('XTab DS_1'!$F$2:$F$69,'XTab DS_1'!$B$2:$B$69,$B13)</f>
        <v/>
      </c>
      <c r="K13" s="21">
        <f>SUMIFS('XTab DS_1'!$G$2:$G$69,'XTab DS_1'!$B$2:$B$69,$B13)</f>
        <v/>
      </c>
    </row>
    <row r="14">
      <c r="A14" s="8" t="n">
        <v>4515142521253</v>
      </c>
      <c r="B14" s="8" t="inlineStr">
        <is>
          <t>CX2412DNDASTA-TB</t>
        </is>
      </c>
      <c r="C14" s="8" t="inlineStr">
        <is>
          <t>ダンダダンPOPUP　アクリルスタンド　ターボババア(招き猫)</t>
        </is>
      </c>
      <c r="D14" s="9">
        <f>COUNTIFS('XTab DS_1'!$B$2:$B$69,$B14)</f>
        <v/>
      </c>
      <c r="E14" s="9">
        <f>IF(D14&gt;=2,"重複","単独")</f>
        <v/>
      </c>
      <c r="F14" s="10">
        <f>SUMIFS('XTab DS_1'!$F$2:$F$69,'XTab DS_1'!$B$2:$B$69,$B14,'XTab DS_1'!$D$2:$D$69,"CX01")</f>
        <v/>
      </c>
      <c r="G14" s="11">
        <f>SUMIFS('XTab DS_1'!$G$2:$G$69,'XTab DS_1'!$B$2:$B$69,$B14,'XTab DS_1'!$D$2:$D$69,"CX01")</f>
        <v/>
      </c>
      <c r="H14" s="10">
        <f>SUMIFS('XTab DS_1'!$F$2:$F$69,'XTab DS_1'!$B$2:$B$69,$B14,'XTab DS_1'!$D$2:$D$69,"DB00")</f>
        <v/>
      </c>
      <c r="I14" s="11">
        <f>SUMIFS('XTab DS_1'!$G$2:$G$69,'XTab DS_1'!$B$2:$B$69,$B14,'XTab DS_1'!$D$2:$D$69,"DB00")</f>
        <v/>
      </c>
      <c r="J14" s="20">
        <f>SUMIFS('XTab DS_1'!$F$2:$F$69,'XTab DS_1'!$B$2:$B$69,$B14)</f>
        <v/>
      </c>
      <c r="K14" s="21">
        <f>SUMIFS('XTab DS_1'!$G$2:$G$69,'XTab DS_1'!$B$2:$B$69,$B14)</f>
        <v/>
      </c>
    </row>
    <row r="15">
      <c r="A15" s="8" t="n">
        <v>4515142521260</v>
      </c>
      <c r="B15" s="8" t="inlineStr">
        <is>
          <t>CX2412DNDASTA-ORH</t>
        </is>
      </c>
      <c r="C15" s="8" t="inlineStr">
        <is>
          <t>ダンダダンPOPUP　アクリルスタンド　オカルン(変身)</t>
        </is>
      </c>
      <c r="D15" s="9">
        <f>COUNTIFS('XTab DS_1'!$B$2:$B$69,$B15)</f>
        <v/>
      </c>
      <c r="E15" s="9">
        <f>IF(D15&gt;=2,"重複","単独")</f>
        <v/>
      </c>
      <c r="F15" s="10">
        <f>SUMIFS('XTab DS_1'!$F$2:$F$69,'XTab DS_1'!$B$2:$B$69,$B15,'XTab DS_1'!$D$2:$D$69,"CX01")</f>
        <v/>
      </c>
      <c r="G15" s="11">
        <f>SUMIFS('XTab DS_1'!$G$2:$G$69,'XTab DS_1'!$B$2:$B$69,$B15,'XTab DS_1'!$D$2:$D$69,"CX01")</f>
        <v/>
      </c>
      <c r="H15" s="10">
        <f>SUMIFS('XTab DS_1'!$F$2:$F$69,'XTab DS_1'!$B$2:$B$69,$B15,'XTab DS_1'!$D$2:$D$69,"DB00")</f>
        <v/>
      </c>
      <c r="I15" s="11">
        <f>SUMIFS('XTab DS_1'!$G$2:$G$69,'XTab DS_1'!$B$2:$B$69,$B15,'XTab DS_1'!$D$2:$D$69,"DB00")</f>
        <v/>
      </c>
      <c r="J15" s="20">
        <f>SUMIFS('XTab DS_1'!$F$2:$F$69,'XTab DS_1'!$B$2:$B$69,$B15)</f>
        <v/>
      </c>
      <c r="K15" s="21">
        <f>SUMIFS('XTab DS_1'!$G$2:$G$69,'XTab DS_1'!$B$2:$B$69,$B15)</f>
        <v/>
      </c>
    </row>
    <row r="16">
      <c r="A16" s="8" t="n">
        <v>4515142521277</v>
      </c>
      <c r="B16" s="8" t="inlineStr">
        <is>
          <t>CX2412DNDASTA-ARH</t>
        </is>
      </c>
      <c r="C16" s="8" t="inlineStr">
        <is>
          <t>ダンダダンPOPUP　アクリルスタンド　アイラ(変身)</t>
        </is>
      </c>
      <c r="D16" s="9">
        <f>COUNTIFS('XTab DS_1'!$B$2:$B$69,$B16)</f>
        <v/>
      </c>
      <c r="E16" s="9">
        <f>IF(D16&gt;=2,"重複","単独")</f>
        <v/>
      </c>
      <c r="F16" s="10">
        <f>SUMIFS('XTab DS_1'!$F$2:$F$69,'XTab DS_1'!$B$2:$B$69,$B16,'XTab DS_1'!$D$2:$D$69,"CX01")</f>
        <v/>
      </c>
      <c r="G16" s="11">
        <f>SUMIFS('XTab DS_1'!$G$2:$G$69,'XTab DS_1'!$B$2:$B$69,$B16,'XTab DS_1'!$D$2:$D$69,"CX01")</f>
        <v/>
      </c>
      <c r="H16" s="10">
        <f>SUMIFS('XTab DS_1'!$F$2:$F$69,'XTab DS_1'!$B$2:$B$69,$B16,'XTab DS_1'!$D$2:$D$69,"DB00")</f>
        <v/>
      </c>
      <c r="I16" s="11">
        <f>SUMIFS('XTab DS_1'!$G$2:$G$69,'XTab DS_1'!$B$2:$B$69,$B16,'XTab DS_1'!$D$2:$D$69,"DB00")</f>
        <v/>
      </c>
      <c r="J16" s="20">
        <f>SUMIFS('XTab DS_1'!$F$2:$F$69,'XTab DS_1'!$B$2:$B$69,$B16)</f>
        <v/>
      </c>
      <c r="K16" s="21">
        <f>SUMIFS('XTab DS_1'!$G$2:$G$69,'XTab DS_1'!$B$2:$B$69,$B16)</f>
        <v/>
      </c>
    </row>
    <row r="17">
      <c r="A17" s="8" t="n">
        <v>4515142521284</v>
      </c>
      <c r="B17" s="8" t="inlineStr">
        <is>
          <t>CX2412DNDSTK3S-A</t>
        </is>
      </c>
      <c r="C17" s="8" t="inlineStr">
        <is>
          <t>ダンダダンPOPUP　ステッカー3枚セット　A</t>
        </is>
      </c>
      <c r="D17" s="9">
        <f>COUNTIFS('XTab DS_1'!$B$2:$B$69,$B17)</f>
        <v/>
      </c>
      <c r="E17" s="9">
        <f>IF(D17&gt;=2,"重複","単独")</f>
        <v/>
      </c>
      <c r="F17" s="10">
        <f>SUMIFS('XTab DS_1'!$F$2:$F$69,'XTab DS_1'!$B$2:$B$69,$B17,'XTab DS_1'!$D$2:$D$69,"CX01")</f>
        <v/>
      </c>
      <c r="G17" s="11">
        <f>SUMIFS('XTab DS_1'!$G$2:$G$69,'XTab DS_1'!$B$2:$B$69,$B17,'XTab DS_1'!$D$2:$D$69,"CX01")</f>
        <v/>
      </c>
      <c r="H17" s="10">
        <f>SUMIFS('XTab DS_1'!$F$2:$F$69,'XTab DS_1'!$B$2:$B$69,$B17,'XTab DS_1'!$D$2:$D$69,"DB00")</f>
        <v/>
      </c>
      <c r="I17" s="11">
        <f>SUMIFS('XTab DS_1'!$G$2:$G$69,'XTab DS_1'!$B$2:$B$69,$B17,'XTab DS_1'!$D$2:$D$69,"DB00")</f>
        <v/>
      </c>
      <c r="J17" s="20">
        <f>SUMIFS('XTab DS_1'!$F$2:$F$69,'XTab DS_1'!$B$2:$B$69,$B17)</f>
        <v/>
      </c>
      <c r="K17" s="21">
        <f>SUMIFS('XTab DS_1'!$G$2:$G$69,'XTab DS_1'!$B$2:$B$69,$B17)</f>
        <v/>
      </c>
    </row>
    <row r="18">
      <c r="A18" s="8" t="n">
        <v>4515142521291</v>
      </c>
      <c r="B18" s="8" t="inlineStr">
        <is>
          <t>CX2412DNDSTK3S-B</t>
        </is>
      </c>
      <c r="C18" s="8" t="inlineStr">
        <is>
          <t>ダンダダンPOPUP　ステッカー3枚セット　B</t>
        </is>
      </c>
      <c r="D18" s="9">
        <f>COUNTIFS('XTab DS_1'!$B$2:$B$69,$B18)</f>
        <v/>
      </c>
      <c r="E18" s="9">
        <f>IF(D18&gt;=2,"重複","単独")</f>
        <v/>
      </c>
      <c r="F18" s="10">
        <f>SUMIFS('XTab DS_1'!$F$2:$F$69,'XTab DS_1'!$B$2:$B$69,$B18,'XTab DS_1'!$D$2:$D$69,"CX01")</f>
        <v/>
      </c>
      <c r="G18" s="11">
        <f>SUMIFS('XTab DS_1'!$G$2:$G$69,'XTab DS_1'!$B$2:$B$69,$B18,'XTab DS_1'!$D$2:$D$69,"CX01")</f>
        <v/>
      </c>
      <c r="H18" s="10">
        <f>SUMIFS('XTab DS_1'!$F$2:$F$69,'XTab DS_1'!$B$2:$B$69,$B18,'XTab DS_1'!$D$2:$D$69,"DB00")</f>
        <v/>
      </c>
      <c r="I18" s="11">
        <f>SUMIFS('XTab DS_1'!$G$2:$G$69,'XTab DS_1'!$B$2:$B$69,$B18,'XTab DS_1'!$D$2:$D$69,"DB00")</f>
        <v/>
      </c>
      <c r="J18" s="20">
        <f>SUMIFS('XTab DS_1'!$F$2:$F$69,'XTab DS_1'!$B$2:$B$69,$B18)</f>
        <v/>
      </c>
      <c r="K18" s="21">
        <f>SUMIFS('XTab DS_1'!$G$2:$G$69,'XTab DS_1'!$B$2:$B$69,$B18)</f>
        <v/>
      </c>
    </row>
    <row r="19">
      <c r="A19" s="8" t="n">
        <v>4515142521307</v>
      </c>
      <c r="B19" s="8" t="inlineStr">
        <is>
          <t>CX2412DNDSTK3S-C</t>
        </is>
      </c>
      <c r="C19" s="8" t="inlineStr">
        <is>
          <t>ダンダダンPOPUP　ステッカー3枚セット　C</t>
        </is>
      </c>
      <c r="D19" s="9">
        <f>COUNTIFS('XTab DS_1'!$B$2:$B$69,$B19)</f>
        <v/>
      </c>
      <c r="E19" s="9">
        <f>IF(D19&gt;=2,"重複","単独")</f>
        <v/>
      </c>
      <c r="F19" s="10">
        <f>SUMIFS('XTab DS_1'!$F$2:$F$69,'XTab DS_1'!$B$2:$B$69,$B19,'XTab DS_1'!$D$2:$D$69,"CX01")</f>
        <v/>
      </c>
      <c r="G19" s="11">
        <f>SUMIFS('XTab DS_1'!$G$2:$G$69,'XTab DS_1'!$B$2:$B$69,$B19,'XTab DS_1'!$D$2:$D$69,"CX01")</f>
        <v/>
      </c>
      <c r="H19" s="10">
        <f>SUMIFS('XTab DS_1'!$F$2:$F$69,'XTab DS_1'!$B$2:$B$69,$B19,'XTab DS_1'!$D$2:$D$69,"DB00")</f>
        <v/>
      </c>
      <c r="I19" s="11">
        <f>SUMIFS('XTab DS_1'!$G$2:$G$69,'XTab DS_1'!$B$2:$B$69,$B19,'XTab DS_1'!$D$2:$D$69,"DB00")</f>
        <v/>
      </c>
      <c r="J19" s="20">
        <f>SUMIFS('XTab DS_1'!$F$2:$F$69,'XTab DS_1'!$B$2:$B$69,$B19)</f>
        <v/>
      </c>
      <c r="K19" s="21">
        <f>SUMIFS('XTab DS_1'!$G$2:$G$69,'XTab DS_1'!$B$2:$B$69,$B19)</f>
        <v/>
      </c>
    </row>
    <row r="20">
      <c r="A20" s="8" t="n">
        <v>4515142521314</v>
      </c>
      <c r="B20" s="8" t="inlineStr">
        <is>
          <t>CX2412DNDRBDG-OP6</t>
        </is>
      </c>
      <c r="C20" s="8" t="inlineStr">
        <is>
          <t>ダンダダンPOPUP　ランダム缶バッジ　オープニング　全6種</t>
        </is>
      </c>
      <c r="D20" s="9">
        <f>COUNTIFS('XTab DS_1'!$B$2:$B$69,$B20)</f>
        <v/>
      </c>
      <c r="E20" s="9">
        <f>IF(D20&gt;=2,"重複","単独")</f>
        <v/>
      </c>
      <c r="F20" s="10">
        <f>SUMIFS('XTab DS_1'!$F$2:$F$69,'XTab DS_1'!$B$2:$B$69,$B20,'XTab DS_1'!$D$2:$D$69,"CX01")</f>
        <v/>
      </c>
      <c r="G20" s="11">
        <f>SUMIFS('XTab DS_1'!$G$2:$G$69,'XTab DS_1'!$B$2:$B$69,$B20,'XTab DS_1'!$D$2:$D$69,"CX01")</f>
        <v/>
      </c>
      <c r="H20" s="10">
        <f>SUMIFS('XTab DS_1'!$F$2:$F$69,'XTab DS_1'!$B$2:$B$69,$B20,'XTab DS_1'!$D$2:$D$69,"DB00")</f>
        <v/>
      </c>
      <c r="I20" s="11">
        <f>SUMIFS('XTab DS_1'!$G$2:$G$69,'XTab DS_1'!$B$2:$B$69,$B20,'XTab DS_1'!$D$2:$D$69,"DB00")</f>
        <v/>
      </c>
      <c r="J20" s="20">
        <f>SUMIFS('XTab DS_1'!$F$2:$F$69,'XTab DS_1'!$B$2:$B$69,$B20)</f>
        <v/>
      </c>
      <c r="K20" s="21">
        <f>SUMIFS('XTab DS_1'!$G$2:$G$69,'XTab DS_1'!$B$2:$B$69,$B20)</f>
        <v/>
      </c>
    </row>
    <row r="21">
      <c r="A21" s="8" t="n">
        <v>4515142521321</v>
      </c>
      <c r="B21" s="8" t="inlineStr">
        <is>
          <t>CX2412DNDRBDG-ED6</t>
        </is>
      </c>
      <c r="C21" s="8" t="inlineStr">
        <is>
          <t>ダンダダンPOPUP　ランダム缶バッジ　エンディング　全6種</t>
        </is>
      </c>
      <c r="D21" s="9">
        <f>COUNTIFS('XTab DS_1'!$B$2:$B$69,$B21)</f>
        <v/>
      </c>
      <c r="E21" s="9">
        <f>IF(D21&gt;=2,"重複","単独")</f>
        <v/>
      </c>
      <c r="F21" s="10">
        <f>SUMIFS('XTab DS_1'!$F$2:$F$69,'XTab DS_1'!$B$2:$B$69,$B21,'XTab DS_1'!$D$2:$D$69,"CX01")</f>
        <v/>
      </c>
      <c r="G21" s="11">
        <f>SUMIFS('XTab DS_1'!$G$2:$G$69,'XTab DS_1'!$B$2:$B$69,$B21,'XTab DS_1'!$D$2:$D$69,"CX01")</f>
        <v/>
      </c>
      <c r="H21" s="10">
        <f>SUMIFS('XTab DS_1'!$F$2:$F$69,'XTab DS_1'!$B$2:$B$69,$B21,'XTab DS_1'!$D$2:$D$69,"DB00")</f>
        <v/>
      </c>
      <c r="I21" s="11">
        <f>SUMIFS('XTab DS_1'!$G$2:$G$69,'XTab DS_1'!$B$2:$B$69,$B21,'XTab DS_1'!$D$2:$D$69,"DB00")</f>
        <v/>
      </c>
      <c r="J21" s="20">
        <f>SUMIFS('XTab DS_1'!$F$2:$F$69,'XTab DS_1'!$B$2:$B$69,$B21)</f>
        <v/>
      </c>
      <c r="K21" s="21">
        <f>SUMIFS('XTab DS_1'!$G$2:$G$69,'XTab DS_1'!$B$2:$B$69,$B21)</f>
        <v/>
      </c>
    </row>
    <row r="22">
      <c r="A22" s="8" t="n">
        <v>4515142521338</v>
      </c>
      <c r="B22" s="8" t="inlineStr">
        <is>
          <t>CX2412DNDRASKEY-6</t>
        </is>
      </c>
      <c r="C22" s="8" t="inlineStr">
        <is>
          <t>ダンダダンPOPUP　ランダムアクリルキーホルダー　全6種</t>
        </is>
      </c>
      <c r="D22" s="9">
        <f>COUNTIFS('XTab DS_1'!$B$2:$B$69,$B22)</f>
        <v/>
      </c>
      <c r="E22" s="9">
        <f>IF(D22&gt;=2,"重複","単独")</f>
        <v/>
      </c>
      <c r="F22" s="10">
        <f>SUMIFS('XTab DS_1'!$F$2:$F$69,'XTab DS_1'!$B$2:$B$69,$B22,'XTab DS_1'!$D$2:$D$69,"CX01")</f>
        <v/>
      </c>
      <c r="G22" s="11">
        <f>SUMIFS('XTab DS_1'!$G$2:$G$69,'XTab DS_1'!$B$2:$B$69,$B22,'XTab DS_1'!$D$2:$D$69,"CX01")</f>
        <v/>
      </c>
      <c r="H22" s="10">
        <f>SUMIFS('XTab DS_1'!$F$2:$F$69,'XTab DS_1'!$B$2:$B$69,$B22,'XTab DS_1'!$D$2:$D$69,"DB00")</f>
        <v/>
      </c>
      <c r="I22" s="11">
        <f>SUMIFS('XTab DS_1'!$G$2:$G$69,'XTab DS_1'!$B$2:$B$69,$B22,'XTab DS_1'!$D$2:$D$69,"DB00")</f>
        <v/>
      </c>
      <c r="J22" s="20">
        <f>SUMIFS('XTab DS_1'!$F$2:$F$69,'XTab DS_1'!$B$2:$B$69,$B22)</f>
        <v/>
      </c>
      <c r="K22" s="21">
        <f>SUMIFS('XTab DS_1'!$G$2:$G$69,'XTab DS_1'!$B$2:$B$69,$B22)</f>
        <v/>
      </c>
    </row>
    <row r="23">
      <c r="A23" s="8" t="n">
        <v>4515142521345</v>
      </c>
      <c r="B23" s="8" t="inlineStr">
        <is>
          <t>CX2412DNDTOTEBAG</t>
        </is>
      </c>
      <c r="C23" s="8" t="inlineStr">
        <is>
          <t>ダンダダンPOPUP　トートバッグ</t>
        </is>
      </c>
      <c r="D23" s="9">
        <f>COUNTIFS('XTab DS_1'!$B$2:$B$69,$B23)</f>
        <v/>
      </c>
      <c r="E23" s="9">
        <f>IF(D23&gt;=2,"重複","単独")</f>
        <v/>
      </c>
      <c r="F23" s="10">
        <f>SUMIFS('XTab DS_1'!$F$2:$F$69,'XTab DS_1'!$B$2:$B$69,$B23,'XTab DS_1'!$D$2:$D$69,"CX01")</f>
        <v/>
      </c>
      <c r="G23" s="11">
        <f>SUMIFS('XTab DS_1'!$G$2:$G$69,'XTab DS_1'!$B$2:$B$69,$B23,'XTab DS_1'!$D$2:$D$69,"CX01")</f>
        <v/>
      </c>
      <c r="H23" s="10">
        <f>SUMIFS('XTab DS_1'!$F$2:$F$69,'XTab DS_1'!$B$2:$B$69,$B23,'XTab DS_1'!$D$2:$D$69,"DB00")</f>
        <v/>
      </c>
      <c r="I23" s="11">
        <f>SUMIFS('XTab DS_1'!$G$2:$G$69,'XTab DS_1'!$B$2:$B$69,$B23,'XTab DS_1'!$D$2:$D$69,"DB00")</f>
        <v/>
      </c>
      <c r="J23" s="20">
        <f>SUMIFS('XTab DS_1'!$F$2:$F$69,'XTab DS_1'!$B$2:$B$69,$B23)</f>
        <v/>
      </c>
      <c r="K23" s="21">
        <f>SUMIFS('XTab DS_1'!$G$2:$G$69,'XTab DS_1'!$B$2:$B$69,$B23)</f>
        <v/>
      </c>
    </row>
    <row r="24">
      <c r="A24" s="8" t="n">
        <v>4515142521352</v>
      </c>
      <c r="B24" s="8" t="inlineStr">
        <is>
          <t>CX2412DNDSAKEY-ORH</t>
        </is>
      </c>
      <c r="C24" s="8" t="inlineStr">
        <is>
          <t>ダンダダンPOPUP　スライドアクリルキーホルダー　オカルン(変身)</t>
        </is>
      </c>
      <c r="D24" s="9">
        <f>COUNTIFS('XTab DS_1'!$B$2:$B$69,$B24)</f>
        <v/>
      </c>
      <c r="E24" s="9">
        <f>IF(D24&gt;=2,"重複","単独")</f>
        <v/>
      </c>
      <c r="F24" s="10">
        <f>SUMIFS('XTab DS_1'!$F$2:$F$69,'XTab DS_1'!$B$2:$B$69,$B24,'XTab DS_1'!$D$2:$D$69,"CX01")</f>
        <v/>
      </c>
      <c r="G24" s="11">
        <f>SUMIFS('XTab DS_1'!$G$2:$G$69,'XTab DS_1'!$B$2:$B$69,$B24,'XTab DS_1'!$D$2:$D$69,"CX01")</f>
        <v/>
      </c>
      <c r="H24" s="10">
        <f>SUMIFS('XTab DS_1'!$F$2:$F$69,'XTab DS_1'!$B$2:$B$69,$B24,'XTab DS_1'!$D$2:$D$69,"DB00")</f>
        <v/>
      </c>
      <c r="I24" s="11">
        <f>SUMIFS('XTab DS_1'!$G$2:$G$69,'XTab DS_1'!$B$2:$B$69,$B24,'XTab DS_1'!$D$2:$D$69,"DB00")</f>
        <v/>
      </c>
      <c r="J24" s="20">
        <f>SUMIFS('XTab DS_1'!$F$2:$F$69,'XTab DS_1'!$B$2:$B$69,$B24)</f>
        <v/>
      </c>
      <c r="K24" s="21">
        <f>SUMIFS('XTab DS_1'!$G$2:$G$69,'XTab DS_1'!$B$2:$B$69,$B24)</f>
        <v/>
      </c>
    </row>
    <row r="25">
      <c r="A25" s="8" t="n">
        <v>4515142521369</v>
      </c>
      <c r="B25" s="8" t="inlineStr">
        <is>
          <t>CX2412DNDSAKEY-MM</t>
        </is>
      </c>
      <c r="C25" s="8" t="inlineStr">
        <is>
          <t>ダンダダンPOPUP　スライドアクリルキーホルダー　モモ</t>
        </is>
      </c>
      <c r="D25" s="9">
        <f>COUNTIFS('XTab DS_1'!$B$2:$B$69,$B25)</f>
        <v/>
      </c>
      <c r="E25" s="9">
        <f>IF(D25&gt;=2,"重複","単独")</f>
        <v/>
      </c>
      <c r="F25" s="10">
        <f>SUMIFS('XTab DS_1'!$F$2:$F$69,'XTab DS_1'!$B$2:$B$69,$B25,'XTab DS_1'!$D$2:$D$69,"CX01")</f>
        <v/>
      </c>
      <c r="G25" s="11">
        <f>SUMIFS('XTab DS_1'!$G$2:$G$69,'XTab DS_1'!$B$2:$B$69,$B25,'XTab DS_1'!$D$2:$D$69,"CX01")</f>
        <v/>
      </c>
      <c r="H25" s="10">
        <f>SUMIFS('XTab DS_1'!$F$2:$F$69,'XTab DS_1'!$B$2:$B$69,$B25,'XTab DS_1'!$D$2:$D$69,"DB00")</f>
        <v/>
      </c>
      <c r="I25" s="11">
        <f>SUMIFS('XTab DS_1'!$G$2:$G$69,'XTab DS_1'!$B$2:$B$69,$B25,'XTab DS_1'!$D$2:$D$69,"DB00")</f>
        <v/>
      </c>
      <c r="J25" s="20">
        <f>SUMIFS('XTab DS_1'!$F$2:$F$69,'XTab DS_1'!$B$2:$B$69,$B25)</f>
        <v/>
      </c>
      <c r="K25" s="21">
        <f>SUMIFS('XTab DS_1'!$G$2:$G$69,'XTab DS_1'!$B$2:$B$69,$B25)</f>
        <v/>
      </c>
    </row>
    <row r="26">
      <c r="A26" s="8" t="n">
        <v>4515142521376</v>
      </c>
      <c r="B26" s="8" t="inlineStr">
        <is>
          <t>CX2412DNDSAKEY-SK</t>
        </is>
      </c>
      <c r="C26" s="8" t="inlineStr">
        <is>
          <t>ダンダダンPOPUP　スライドアクリルキーホルダー　星子</t>
        </is>
      </c>
      <c r="D26" s="9">
        <f>COUNTIFS('XTab DS_1'!$B$2:$B$69,$B26)</f>
        <v/>
      </c>
      <c r="E26" s="9">
        <f>IF(D26&gt;=2,"重複","単独")</f>
        <v/>
      </c>
      <c r="F26" s="10">
        <f>SUMIFS('XTab DS_1'!$F$2:$F$69,'XTab DS_1'!$B$2:$B$69,$B26,'XTab DS_1'!$D$2:$D$69,"CX01")</f>
        <v/>
      </c>
      <c r="G26" s="11">
        <f>SUMIFS('XTab DS_1'!$G$2:$G$69,'XTab DS_1'!$B$2:$B$69,$B26,'XTab DS_1'!$D$2:$D$69,"CX01")</f>
        <v/>
      </c>
      <c r="H26" s="10">
        <f>SUMIFS('XTab DS_1'!$F$2:$F$69,'XTab DS_1'!$B$2:$B$69,$B26,'XTab DS_1'!$D$2:$D$69,"DB00")</f>
        <v/>
      </c>
      <c r="I26" s="11">
        <f>SUMIFS('XTab DS_1'!$G$2:$G$69,'XTab DS_1'!$B$2:$B$69,$B26,'XTab DS_1'!$D$2:$D$69,"DB00")</f>
        <v/>
      </c>
      <c r="J26" s="20">
        <f>SUMIFS('XTab DS_1'!$F$2:$F$69,'XTab DS_1'!$B$2:$B$69,$B26)</f>
        <v/>
      </c>
      <c r="K26" s="21">
        <f>SUMIFS('XTab DS_1'!$G$2:$G$69,'XTab DS_1'!$B$2:$B$69,$B26)</f>
        <v/>
      </c>
    </row>
    <row r="27">
      <c r="A27" s="8" t="n">
        <v>4515142521383</v>
      </c>
      <c r="B27" s="8" t="inlineStr">
        <is>
          <t>CX2412DNDSAKEY-AR</t>
        </is>
      </c>
      <c r="C27" s="8" t="inlineStr">
        <is>
          <t>ダンダダンPOPUP　スライドアクリルキーホルダー　アイラ</t>
        </is>
      </c>
      <c r="D27" s="9">
        <f>COUNTIFS('XTab DS_1'!$B$2:$B$69,$B27)</f>
        <v/>
      </c>
      <c r="E27" s="9">
        <f>IF(D27&gt;=2,"重複","単独")</f>
        <v/>
      </c>
      <c r="F27" s="10">
        <f>SUMIFS('XTab DS_1'!$F$2:$F$69,'XTab DS_1'!$B$2:$B$69,$B27,'XTab DS_1'!$D$2:$D$69,"CX01")</f>
        <v/>
      </c>
      <c r="G27" s="11">
        <f>SUMIFS('XTab DS_1'!$G$2:$G$69,'XTab DS_1'!$B$2:$B$69,$B27,'XTab DS_1'!$D$2:$D$69,"CX01")</f>
        <v/>
      </c>
      <c r="H27" s="10">
        <f>SUMIFS('XTab DS_1'!$F$2:$F$69,'XTab DS_1'!$B$2:$B$69,$B27,'XTab DS_1'!$D$2:$D$69,"DB00")</f>
        <v/>
      </c>
      <c r="I27" s="11">
        <f>SUMIFS('XTab DS_1'!$G$2:$G$69,'XTab DS_1'!$B$2:$B$69,$B27,'XTab DS_1'!$D$2:$D$69,"DB00")</f>
        <v/>
      </c>
      <c r="J27" s="20">
        <f>SUMIFS('XTab DS_1'!$F$2:$F$69,'XTab DS_1'!$B$2:$B$69,$B27)</f>
        <v/>
      </c>
      <c r="K27" s="21">
        <f>SUMIFS('XTab DS_1'!$G$2:$G$69,'XTab DS_1'!$B$2:$B$69,$B27)</f>
        <v/>
      </c>
    </row>
    <row r="28">
      <c r="A28" s="8" t="n">
        <v>4515142521390</v>
      </c>
      <c r="B28" s="8" t="inlineStr">
        <is>
          <t>CX2412DNDSAKEY-GG</t>
        </is>
      </c>
      <c r="C28" s="8" t="inlineStr">
        <is>
          <t>ダンダダンPOPUP　スライドアクリルキーホルダー　ジジ</t>
        </is>
      </c>
      <c r="D28" s="9">
        <f>COUNTIFS('XTab DS_1'!$B$2:$B$69,$B28)</f>
        <v/>
      </c>
      <c r="E28" s="9">
        <f>IF(D28&gt;=2,"重複","単独")</f>
        <v/>
      </c>
      <c r="F28" s="10">
        <f>SUMIFS('XTab DS_1'!$F$2:$F$69,'XTab DS_1'!$B$2:$B$69,$B28,'XTab DS_1'!$D$2:$D$69,"CX01")</f>
        <v/>
      </c>
      <c r="G28" s="11">
        <f>SUMIFS('XTab DS_1'!$G$2:$G$69,'XTab DS_1'!$B$2:$B$69,$B28,'XTab DS_1'!$D$2:$D$69,"CX01")</f>
        <v/>
      </c>
      <c r="H28" s="10">
        <f>SUMIFS('XTab DS_1'!$F$2:$F$69,'XTab DS_1'!$B$2:$B$69,$B28,'XTab DS_1'!$D$2:$D$69,"DB00")</f>
        <v/>
      </c>
      <c r="I28" s="11">
        <f>SUMIFS('XTab DS_1'!$G$2:$G$69,'XTab DS_1'!$B$2:$B$69,$B28,'XTab DS_1'!$D$2:$D$69,"DB00")</f>
        <v/>
      </c>
      <c r="J28" s="20">
        <f>SUMIFS('XTab DS_1'!$F$2:$F$69,'XTab DS_1'!$B$2:$B$69,$B28)</f>
        <v/>
      </c>
      <c r="K28" s="21">
        <f>SUMIFS('XTab DS_1'!$G$2:$G$69,'XTab DS_1'!$B$2:$B$69,$B28)</f>
        <v/>
      </c>
    </row>
    <row r="29">
      <c r="A29" s="8" t="n">
        <v>4515142521406</v>
      </c>
      <c r="B29" s="8" t="inlineStr">
        <is>
          <t>CX2412DNDSAKEY-TB</t>
        </is>
      </c>
      <c r="C29" s="8" t="inlineStr">
        <is>
          <t>ダンダダンPOPUP　スライドアクリルキーホルダー　ターボババア(招き猫)</t>
        </is>
      </c>
      <c r="D29" s="9">
        <f>COUNTIFS('XTab DS_1'!$B$2:$B$69,$B29)</f>
        <v/>
      </c>
      <c r="E29" s="9">
        <f>IF(D29&gt;=2,"重複","単独")</f>
        <v/>
      </c>
      <c r="F29" s="10">
        <f>SUMIFS('XTab DS_1'!$F$2:$F$69,'XTab DS_1'!$B$2:$B$69,$B29,'XTab DS_1'!$D$2:$D$69,"CX01")</f>
        <v/>
      </c>
      <c r="G29" s="11">
        <f>SUMIFS('XTab DS_1'!$G$2:$G$69,'XTab DS_1'!$B$2:$B$69,$B29,'XTab DS_1'!$D$2:$D$69,"CX01")</f>
        <v/>
      </c>
      <c r="H29" s="10">
        <f>SUMIFS('XTab DS_1'!$F$2:$F$69,'XTab DS_1'!$B$2:$B$69,$B29,'XTab DS_1'!$D$2:$D$69,"DB00")</f>
        <v/>
      </c>
      <c r="I29" s="11">
        <f>SUMIFS('XTab DS_1'!$G$2:$G$69,'XTab DS_1'!$B$2:$B$69,$B29,'XTab DS_1'!$D$2:$D$69,"DB00")</f>
        <v/>
      </c>
      <c r="J29" s="20">
        <f>SUMIFS('XTab DS_1'!$F$2:$F$69,'XTab DS_1'!$B$2:$B$69,$B29)</f>
        <v/>
      </c>
      <c r="K29" s="21">
        <f>SUMIFS('XTab DS_1'!$G$2:$G$69,'XTab DS_1'!$B$2:$B$69,$B29)</f>
        <v/>
      </c>
    </row>
    <row r="30">
      <c r="A30" s="8" t="n">
        <v>4515142521413</v>
      </c>
      <c r="B30" s="8" t="inlineStr">
        <is>
          <t>CX2412DNDSAKEY-SS</t>
        </is>
      </c>
      <c r="C30" s="8" t="inlineStr">
        <is>
          <t>ダンダダンPOPUP　スライドアクリルキーホルダー　セルポ星人</t>
        </is>
      </c>
      <c r="D30" s="9">
        <f>COUNTIFS('XTab DS_1'!$B$2:$B$69,$B30)</f>
        <v/>
      </c>
      <c r="E30" s="9">
        <f>IF(D30&gt;=2,"重複","単独")</f>
        <v/>
      </c>
      <c r="F30" s="10">
        <f>SUMIFS('XTab DS_1'!$F$2:$F$69,'XTab DS_1'!$B$2:$B$69,$B30,'XTab DS_1'!$D$2:$D$69,"CX01")</f>
        <v/>
      </c>
      <c r="G30" s="11">
        <f>SUMIFS('XTab DS_1'!$G$2:$G$69,'XTab DS_1'!$B$2:$B$69,$B30,'XTab DS_1'!$D$2:$D$69,"CX01")</f>
        <v/>
      </c>
      <c r="H30" s="10">
        <f>SUMIFS('XTab DS_1'!$F$2:$F$69,'XTab DS_1'!$B$2:$B$69,$B30,'XTab DS_1'!$D$2:$D$69,"DB00")</f>
        <v/>
      </c>
      <c r="I30" s="11">
        <f>SUMIFS('XTab DS_1'!$G$2:$G$69,'XTab DS_1'!$B$2:$B$69,$B30,'XTab DS_1'!$D$2:$D$69,"DB00")</f>
        <v/>
      </c>
      <c r="J30" s="20">
        <f>SUMIFS('XTab DS_1'!$F$2:$F$69,'XTab DS_1'!$B$2:$B$69,$B30)</f>
        <v/>
      </c>
      <c r="K30" s="21">
        <f>SUMIFS('XTab DS_1'!$G$2:$G$69,'XTab DS_1'!$B$2:$B$69,$B30)</f>
        <v/>
      </c>
    </row>
    <row r="31">
      <c r="A31" s="8" t="n">
        <v>4515142521420</v>
      </c>
      <c r="B31" s="8" t="inlineStr">
        <is>
          <t>CX2412DNDSAKEY-AS</t>
        </is>
      </c>
      <c r="C31" s="8" t="inlineStr">
        <is>
          <t>ダンダダンPOPUP　スライドアクリルキーホルダー　アクロバティックさらさら</t>
        </is>
      </c>
      <c r="D31" s="9">
        <f>COUNTIFS('XTab DS_1'!$B$2:$B$69,$B31)</f>
        <v/>
      </c>
      <c r="E31" s="9">
        <f>IF(D31&gt;=2,"重複","単独")</f>
        <v/>
      </c>
      <c r="F31" s="10">
        <f>SUMIFS('XTab DS_1'!$F$2:$F$69,'XTab DS_1'!$B$2:$B$69,$B31,'XTab DS_1'!$D$2:$D$69,"CX01")</f>
        <v/>
      </c>
      <c r="G31" s="11">
        <f>SUMIFS('XTab DS_1'!$G$2:$G$69,'XTab DS_1'!$B$2:$B$69,$B31,'XTab DS_1'!$D$2:$D$69,"CX01")</f>
        <v/>
      </c>
      <c r="H31" s="10">
        <f>SUMIFS('XTab DS_1'!$F$2:$F$69,'XTab DS_1'!$B$2:$B$69,$B31,'XTab DS_1'!$D$2:$D$69,"DB00")</f>
        <v/>
      </c>
      <c r="I31" s="11">
        <f>SUMIFS('XTab DS_1'!$G$2:$G$69,'XTab DS_1'!$B$2:$B$69,$B31,'XTab DS_1'!$D$2:$D$69,"DB00")</f>
        <v/>
      </c>
      <c r="J31" s="20">
        <f>SUMIFS('XTab DS_1'!$F$2:$F$69,'XTab DS_1'!$B$2:$B$69,$B31)</f>
        <v/>
      </c>
      <c r="K31" s="21">
        <f>SUMIFS('XTab DS_1'!$G$2:$G$69,'XTab DS_1'!$B$2:$B$69,$B31)</f>
        <v/>
      </c>
    </row>
    <row r="32">
      <c r="A32" s="8" t="n">
        <v>4515142521437</v>
      </c>
      <c r="B32" s="8" t="inlineStr">
        <is>
          <t>CX2412DNDSAKEY-DD</t>
        </is>
      </c>
      <c r="C32" s="8" t="inlineStr">
        <is>
          <t>ダンダダンPOPUP　スライドアクリルキーホルダー　ドーバーデーモン</t>
        </is>
      </c>
      <c r="D32" s="9">
        <f>COUNTIFS('XTab DS_1'!$B$2:$B$69,$B32)</f>
        <v/>
      </c>
      <c r="E32" s="9">
        <f>IF(D32&gt;=2,"重複","単独")</f>
        <v/>
      </c>
      <c r="F32" s="10">
        <f>SUMIFS('XTab DS_1'!$F$2:$F$69,'XTab DS_1'!$B$2:$B$69,$B32,'XTab DS_1'!$D$2:$D$69,"CX01")</f>
        <v/>
      </c>
      <c r="G32" s="11">
        <f>SUMIFS('XTab DS_1'!$G$2:$G$69,'XTab DS_1'!$B$2:$B$69,$B32,'XTab DS_1'!$D$2:$D$69,"CX01")</f>
        <v/>
      </c>
      <c r="H32" s="10">
        <f>SUMIFS('XTab DS_1'!$F$2:$F$69,'XTab DS_1'!$B$2:$B$69,$B32,'XTab DS_1'!$D$2:$D$69,"DB00")</f>
        <v/>
      </c>
      <c r="I32" s="11">
        <f>SUMIFS('XTab DS_1'!$G$2:$G$69,'XTab DS_1'!$B$2:$B$69,$B32,'XTab DS_1'!$D$2:$D$69,"DB00")</f>
        <v/>
      </c>
      <c r="J32" s="20">
        <f>SUMIFS('XTab DS_1'!$F$2:$F$69,'XTab DS_1'!$B$2:$B$69,$B32)</f>
        <v/>
      </c>
      <c r="K32" s="21">
        <f>SUMIFS('XTab DS_1'!$G$2:$G$69,'XTab DS_1'!$B$2:$B$69,$B32)</f>
        <v/>
      </c>
    </row>
    <row r="33">
      <c r="A33" s="8" t="n">
        <v>4515142521444</v>
      </c>
      <c r="B33" s="8" t="inlineStr">
        <is>
          <t>CX2412DNDRCCDPOS-6</t>
        </is>
      </c>
      <c r="C33" s="8" t="inlineStr">
        <is>
          <t>ダンダダンPOPUP　ランダムクリアカード＆ポストカードセット　全6種</t>
        </is>
      </c>
      <c r="D33" s="9">
        <f>COUNTIFS('XTab DS_1'!$B$2:$B$69,$B33)</f>
        <v/>
      </c>
      <c r="E33" s="9">
        <f>IF(D33&gt;=2,"重複","単独")</f>
        <v/>
      </c>
      <c r="F33" s="10">
        <f>SUMIFS('XTab DS_1'!$F$2:$F$69,'XTab DS_1'!$B$2:$B$69,$B33,'XTab DS_1'!$D$2:$D$69,"CX01")</f>
        <v/>
      </c>
      <c r="G33" s="11">
        <f>SUMIFS('XTab DS_1'!$G$2:$G$69,'XTab DS_1'!$B$2:$B$69,$B33,'XTab DS_1'!$D$2:$D$69,"CX01")</f>
        <v/>
      </c>
      <c r="H33" s="10">
        <f>SUMIFS('XTab DS_1'!$F$2:$F$69,'XTab DS_1'!$B$2:$B$69,$B33,'XTab DS_1'!$D$2:$D$69,"DB00")</f>
        <v/>
      </c>
      <c r="I33" s="11">
        <f>SUMIFS('XTab DS_1'!$G$2:$G$69,'XTab DS_1'!$B$2:$B$69,$B33,'XTab DS_1'!$D$2:$D$69,"DB00")</f>
        <v/>
      </c>
      <c r="J33" s="20">
        <f>SUMIFS('XTab DS_1'!$F$2:$F$69,'XTab DS_1'!$B$2:$B$69,$B33)</f>
        <v/>
      </c>
      <c r="K33" s="21">
        <f>SUMIFS('XTab DS_1'!$G$2:$G$69,'XTab DS_1'!$B$2:$B$69,$B33)</f>
        <v/>
      </c>
    </row>
    <row r="34">
      <c r="A34" s="8" t="n">
        <v>4515142521451</v>
      </c>
      <c r="B34" s="8" t="inlineStr">
        <is>
          <t>CX2412DNDVPOS-A</t>
        </is>
      </c>
      <c r="C34" s="8" t="inlineStr">
        <is>
          <t>ダンダダンPOPUP　ビジュアルポストカード　A</t>
        </is>
      </c>
      <c r="D34" s="9">
        <f>COUNTIFS('XTab DS_1'!$B$2:$B$69,$B34)</f>
        <v/>
      </c>
      <c r="E34" s="9">
        <f>IF(D34&gt;=2,"重複","単独")</f>
        <v/>
      </c>
      <c r="F34" s="10">
        <f>SUMIFS('XTab DS_1'!$F$2:$F$69,'XTab DS_1'!$B$2:$B$69,$B34,'XTab DS_1'!$D$2:$D$69,"CX01")</f>
        <v/>
      </c>
      <c r="G34" s="11">
        <f>SUMIFS('XTab DS_1'!$G$2:$G$69,'XTab DS_1'!$B$2:$B$69,$B34,'XTab DS_1'!$D$2:$D$69,"CX01")</f>
        <v/>
      </c>
      <c r="H34" s="10">
        <f>SUMIFS('XTab DS_1'!$F$2:$F$69,'XTab DS_1'!$B$2:$B$69,$B34,'XTab DS_1'!$D$2:$D$69,"DB00")</f>
        <v/>
      </c>
      <c r="I34" s="11">
        <f>SUMIFS('XTab DS_1'!$G$2:$G$69,'XTab DS_1'!$B$2:$B$69,$B34,'XTab DS_1'!$D$2:$D$69,"DB00")</f>
        <v/>
      </c>
      <c r="J34" s="20">
        <f>SUMIFS('XTab DS_1'!$F$2:$F$69,'XTab DS_1'!$B$2:$B$69,$B34)</f>
        <v/>
      </c>
      <c r="K34" s="21">
        <f>SUMIFS('XTab DS_1'!$G$2:$G$69,'XTab DS_1'!$B$2:$B$69,$B34)</f>
        <v/>
      </c>
    </row>
    <row r="35">
      <c r="A35" s="8" t="n">
        <v>4515142521468</v>
      </c>
      <c r="B35" s="8" t="inlineStr">
        <is>
          <t>CX2412DNDVPOS-B</t>
        </is>
      </c>
      <c r="C35" s="8" t="inlineStr">
        <is>
          <t>ダンダダンPOPUP　ビジュアルポストカード　B</t>
        </is>
      </c>
      <c r="D35" s="9">
        <f>COUNTIFS('XTab DS_1'!$B$2:$B$69,$B35)</f>
        <v/>
      </c>
      <c r="E35" s="9">
        <f>IF(D35&gt;=2,"重複","単独")</f>
        <v/>
      </c>
      <c r="F35" s="10">
        <f>SUMIFS('XTab DS_1'!$F$2:$F$69,'XTab DS_1'!$B$2:$B$69,$B35,'XTab DS_1'!$D$2:$D$69,"CX01")</f>
        <v/>
      </c>
      <c r="G35" s="11">
        <f>SUMIFS('XTab DS_1'!$G$2:$G$69,'XTab DS_1'!$B$2:$B$69,$B35,'XTab DS_1'!$D$2:$D$69,"CX01")</f>
        <v/>
      </c>
      <c r="H35" s="10">
        <f>SUMIFS('XTab DS_1'!$F$2:$F$69,'XTab DS_1'!$B$2:$B$69,$B35,'XTab DS_1'!$D$2:$D$69,"DB00")</f>
        <v/>
      </c>
      <c r="I35" s="11">
        <f>SUMIFS('XTab DS_1'!$G$2:$G$69,'XTab DS_1'!$B$2:$B$69,$B35,'XTab DS_1'!$D$2:$D$69,"DB00")</f>
        <v/>
      </c>
      <c r="J35" s="20">
        <f>SUMIFS('XTab DS_1'!$F$2:$F$69,'XTab DS_1'!$B$2:$B$69,$B35)</f>
        <v/>
      </c>
      <c r="K35" s="21">
        <f>SUMIFS('XTab DS_1'!$G$2:$G$69,'XTab DS_1'!$B$2:$B$69,$B35)</f>
        <v/>
      </c>
    </row>
    <row r="36">
      <c r="A36" s="12" t="n"/>
      <c r="B36" s="12" t="n"/>
      <c r="C36" s="13" t="inlineStr">
        <is>
          <t>合計</t>
        </is>
      </c>
      <c r="D36" s="12" t="n"/>
      <c r="E36" s="12" t="n"/>
      <c r="F36" s="14">
        <f>SUM(F2:F35)</f>
        <v/>
      </c>
      <c r="G36" s="15">
        <f>SUM(G2:G35)</f>
        <v/>
      </c>
      <c r="H36" s="14">
        <f>SUM(H2:H35)</f>
        <v/>
      </c>
      <c r="I36" s="15">
        <f>SUM(I2:I35)</f>
        <v/>
      </c>
      <c r="J36" s="14">
        <f>SUM(J2:J35)</f>
        <v/>
      </c>
      <c r="K36" s="15">
        <f>SUM(K2:K35)</f>
        <v/>
      </c>
    </row>
    <row r="37">
      <c r="A37" s="16" t="n"/>
      <c r="B37" s="16" t="n"/>
      <c r="C37" s="17" t="inlineStr">
        <is>
          <t>うち 重複</t>
        </is>
      </c>
      <c r="D37" s="16" t="n"/>
      <c r="E37" s="16" t="n"/>
      <c r="F37" s="18">
        <f>SUMIFS(F2:F35,E2:E35,"重複")</f>
        <v/>
      </c>
      <c r="G37" s="19">
        <f>SUMIFS(G2:G35,E2:E35,"重複")</f>
        <v/>
      </c>
      <c r="H37" s="18">
        <f>SUMIFS(H2:H35,E2:E35,"重複")</f>
        <v/>
      </c>
      <c r="I37" s="19">
        <f>SUMIFS(I2:I35,E2:E35,"重複")</f>
        <v/>
      </c>
      <c r="J37" s="18">
        <f>SUMIFS(J2:J35,E2:E35,"重複")</f>
        <v/>
      </c>
      <c r="K37" s="19">
        <f>SUMIFS(K2:K35,E2:E35,"重複")</f>
        <v/>
      </c>
    </row>
    <row r="38">
      <c r="A38" s="16" t="n"/>
      <c r="B38" s="16" t="n"/>
      <c r="C38" s="17" t="inlineStr">
        <is>
          <t>うち 単独</t>
        </is>
      </c>
      <c r="D38" s="16" t="n"/>
      <c r="E38" s="16" t="n"/>
      <c r="F38" s="18">
        <f>SUMIFS(F2:F35,E2:E35,"単独")</f>
        <v/>
      </c>
      <c r="G38" s="19">
        <f>SUMIFS(G2:G35,E2:E35,"単独")</f>
        <v/>
      </c>
      <c r="H38" s="18">
        <f>SUMIFS(H2:H35,E2:E35,"単独")</f>
        <v/>
      </c>
      <c r="I38" s="19">
        <f>SUMIFS(I2:I35,E2:E35,"単独")</f>
        <v/>
      </c>
      <c r="J38" s="18">
        <f>SUMIFS(J2:J35,E2:E35,"単独")</f>
        <v/>
      </c>
      <c r="K38" s="19">
        <f>SUMIFS(K2:K35,E2:E35,"単独")</f>
        <v/>
      </c>
    </row>
    <row r="40">
      <c r="A40" s="22" t="inlineStr">
        <is>
          <t>※元データ「XTab DS_1」の全品目を掲載。2つ以上の倉庫(保管場所)に登録されている品目を「重複」（黄色）、1倉庫のみを「単独」と表示。数量・金額はSUMIFSで元データから集計（元データ変更で自動再計算）。</t>
        </is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2026-10-21T22:43:47Z</dcterms:created>
  <dcterms:modified xsi:type="dcterms:W3CDTF">2026-10-21T22:43:47Z</dcterms:modified>
  <cp:lastModifiedBy>遠藤 真理</cp:lastModifiedBy>
</cp:coreProperties>
</file>