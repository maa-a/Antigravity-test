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XTab DS_1" sheetId="1" state="visible" r:id="rId1"/>
    <sheet name="Filter DS_1" sheetId="2" state="visible" r:id="rId2"/>
    <sheet name="重複_CX催事" sheetId="3" state="visible" r:id="rId3"/>
    <sheet name="重複_DBS倉庫" sheetId="4" state="visible" r:id="rId4"/>
    <sheet name="重複商品_合算" sheetId="5" state="visible" r:id="rId5"/>
  </sheets>
  <definedNames>
    <definedName name="_xlnm._FilterDatabase" localSheetId="2" hidden="1">'重複_CX催事'!$A$1:$G$1</definedName>
    <definedName name="_xlnm._FilterDatabase" localSheetId="3" hidden="1">'重複_DBS倉庫'!$A$1:$G$1</definedName>
    <definedName name="_xlnm._FilterDatabase" localSheetId="4" hidden="1">'重複商品_合算'!$A$1:$J$1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PC&quot;;-#,##0 &quot;PC&quot;"/>
    <numFmt numFmtId="165" formatCode="#,##0 &quot;JPY&quot;;-#,##0 &quot;JPY&quot;"/>
  </numFmts>
  <fonts count="8">
    <font>
      <name val="Calibri"/>
      <sz val="12"/>
    </font>
    <font>
      <name val="Calibri"/>
      <sz val="12"/>
    </font>
    <font>
      <name val="Calibri"/>
      <sz val="11"/>
    </font>
    <font>
      <name val="Calibri"/>
      <sz val="11"/>
    </font>
    <font>
      <name val="Calibri"/>
      <sz val="11"/>
    </font>
    <font>
      <name val="Calibri"/>
      <b val="1"/>
      <color rgb="00FFFFFF"/>
    </font>
    <font>
      <name val="Calibri"/>
      <b val="1"/>
    </font>
    <font>
      <name val="Calibri"/>
      <i val="1"/>
      <color rgb="00595959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1" fillId="0" borderId="1"/>
  </cellStyleXfs>
  <cellXfs count="20">
    <xf numFmtId="0" fontId="0" fillId="0" borderId="0" pivotButton="0" quotePrefix="0" xfId="0"/>
    <xf numFmtId="0" fontId="1" fillId="1" borderId="1" pivotButton="0" quotePrefix="0" xfId="0"/>
    <xf numFmtId="0" fontId="0" fillId="0" borderId="0" pivotButton="0" quotePrefix="0" xfId="0"/>
    <xf numFmtId="0" fontId="2" fillId="0" borderId="0" applyAlignment="1" pivotButton="0" quotePrefix="0" xfId="0">
      <alignment horizontal="left" vertical="top"/>
    </xf>
    <xf numFmtId="164" fontId="3" fillId="0" borderId="0" applyAlignment="1" pivotButton="0" quotePrefix="0" xfId="0">
      <alignment horizontal="right" vertical="top"/>
    </xf>
    <xf numFmtId="165" fontId="4" fillId="0" borderId="0" applyAlignment="1" pivotButton="0" quotePrefix="0" xfId="0">
      <alignment horizontal="right" vertical="top"/>
    </xf>
    <xf numFmtId="164" fontId="3" fillId="0" borderId="0" applyAlignment="1" pivotButton="0" quotePrefix="0" xfId="0">
      <alignment horizontal="right" vertical="top"/>
    </xf>
    <xf numFmtId="165" fontId="4" fillId="0" borderId="0" applyAlignment="1" pivotButton="0" quotePrefix="0" xfId="0">
      <alignment horizontal="right" vertical="top"/>
    </xf>
    <xf numFmtId="0" fontId="5" fillId="2" borderId="2" applyAlignment="1" pivotButton="0" quotePrefix="0" xfId="0">
      <alignment horizontal="center" vertical="center" wrapText="1"/>
    </xf>
    <xf numFmtId="49" fontId="0" fillId="0" borderId="2" pivotButton="0" quotePrefix="0" xfId="0"/>
    <xf numFmtId="164" fontId="0" fillId="0" borderId="2" pivotButton="0" quotePrefix="0" xfId="0"/>
    <xf numFmtId="165" fontId="0" fillId="0" borderId="2" pivotButton="0" quotePrefix="0" xfId="0"/>
    <xf numFmtId="0" fontId="0" fillId="3" borderId="2" pivotButton="0" quotePrefix="0" xfId="0"/>
    <xf numFmtId="0" fontId="6" fillId="3" borderId="2" pivotButton="0" quotePrefix="0" xfId="0"/>
    <xf numFmtId="164" fontId="6" fillId="3" borderId="2" pivotButton="0" quotePrefix="0" xfId="0"/>
    <xf numFmtId="165" fontId="6" fillId="3" borderId="2" pivotButton="0" quotePrefix="0" xfId="0"/>
    <xf numFmtId="0" fontId="0" fillId="0" borderId="2" pivotButton="0" quotePrefix="0" xfId="0"/>
    <xf numFmtId="164" fontId="6" fillId="0" borderId="2" pivotButton="0" quotePrefix="0" xfId="0"/>
    <xf numFmtId="165" fontId="6" fillId="0" borderId="2" pivotButton="0" quotePrefix="0" xfId="0"/>
    <xf numFmtId="0" fontId="7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6"/>
  <sheetViews>
    <sheetView showGridLines="1" tabSelected="0" workbookViewId="0">
      <selection activeCell="A1" sqref="A1"/>
    </sheetView>
  </sheetViews>
  <sheetFormatPr baseColWidth="8" defaultRowHeight="15"/>
  <sheetData>
    <row r="1">
      <c r="A1" s="3" t="inlineStr">
        <is>
          <t>JANコード(EAN/UPC)</t>
        </is>
      </c>
      <c r="B1" s="3" t="inlineStr">
        <is>
          <t>品目コード</t>
        </is>
      </c>
      <c r="C1" s="3" t="inlineStr">
        <is>
          <t>品目テキスト</t>
        </is>
      </c>
      <c r="D1" s="3" t="inlineStr">
        <is>
          <t>保管場所</t>
        </is>
      </c>
      <c r="E1" s="3" t="inlineStr">
        <is>
          <t>保管場所名</t>
        </is>
      </c>
      <c r="F1" s="3" t="inlineStr">
        <is>
          <t>在庫数量</t>
        </is>
      </c>
      <c r="G1" s="3" t="inlineStr">
        <is>
          <t>在庫金額</t>
        </is>
      </c>
    </row>
    <row r="2">
      <c r="A2" s="3" t="inlineStr">
        <is>
          <t>4515142519946</t>
        </is>
      </c>
      <c r="B2" s="3" t="inlineStr">
        <is>
          <t>CX2412FRNPRBDG-23</t>
        </is>
      </c>
      <c r="C2" s="3" t="inlineStr">
        <is>
          <t>葬送のフリーレンP　原画ランダム缶バッジ　全23種</t>
        </is>
      </c>
      <c r="D2" s="3" t="inlineStr">
        <is>
          <t>CX01</t>
        </is>
      </c>
      <c r="E2" s="3" t="inlineStr">
        <is>
          <t>CX催事</t>
        </is>
      </c>
      <c r="F2" s="6" t="n">
        <v>0</v>
      </c>
      <c r="G2" s="7" t="n">
        <v>0</v>
      </c>
    </row>
    <row r="3">
      <c r="A3" s="3" t="inlineStr">
        <is>
          <t>4515142519946</t>
        </is>
      </c>
      <c r="B3" s="3" t="inlineStr">
        <is>
          <t>CX2412FRNPRBDG-23</t>
        </is>
      </c>
      <c r="C3" s="3" t="inlineStr">
        <is>
          <t>葬送のフリーレンP　原画ランダム缶バッジ　全23種</t>
        </is>
      </c>
      <c r="D3" s="3" t="inlineStr">
        <is>
          <t>DB00</t>
        </is>
      </c>
      <c r="E3" s="3" t="inlineStr">
        <is>
          <t>DBS倉庫</t>
        </is>
      </c>
      <c r="F3" s="6" t="n">
        <v>0</v>
      </c>
      <c r="G3" s="7" t="n">
        <v>0</v>
      </c>
    </row>
    <row r="4">
      <c r="A4" s="3" t="inlineStr">
        <is>
          <t>4515142519953</t>
        </is>
      </c>
      <c r="B4" s="3" t="inlineStr">
        <is>
          <t>CX2412FRNPRAKEY-20</t>
        </is>
      </c>
      <c r="C4" s="3" t="inlineStr">
        <is>
          <t>葬送のフリーレンP　原画ランダムアクリルキーホルダー　全20種</t>
        </is>
      </c>
      <c r="D4" s="3" t="inlineStr">
        <is>
          <t>CX01</t>
        </is>
      </c>
      <c r="E4" s="3" t="inlineStr">
        <is>
          <t>CX催事</t>
        </is>
      </c>
      <c r="F4" s="6" t="n">
        <v>0</v>
      </c>
      <c r="G4" s="7" t="n">
        <v>0</v>
      </c>
    </row>
    <row r="5">
      <c r="A5" s="3" t="inlineStr">
        <is>
          <t>4515142519953</t>
        </is>
      </c>
      <c r="B5" s="3" t="inlineStr">
        <is>
          <t>CX2412FRNPRAKEY-20</t>
        </is>
      </c>
      <c r="C5" s="3" t="inlineStr">
        <is>
          <t>葬送のフリーレンP　原画ランダムアクリルキーホルダー　全20種</t>
        </is>
      </c>
      <c r="D5" s="3" t="inlineStr">
        <is>
          <t>DB00</t>
        </is>
      </c>
      <c r="E5" s="3" t="inlineStr">
        <is>
          <t>DBS倉庫</t>
        </is>
      </c>
      <c r="F5" s="6" t="n">
        <v>0</v>
      </c>
      <c r="G5" s="7" t="n">
        <v>0</v>
      </c>
    </row>
    <row r="6">
      <c r="A6" s="3" t="inlineStr">
        <is>
          <t>4515142519960</t>
        </is>
      </c>
      <c r="B6" s="3" t="inlineStr">
        <is>
          <t>CX2412FRNPA4CF-FRI</t>
        </is>
      </c>
      <c r="C6" s="3" t="inlineStr">
        <is>
          <t>葬送のフリーレンP　A4クリアファイル　(フリーレン)</t>
        </is>
      </c>
      <c r="D6" s="3" t="inlineStr">
        <is>
          <t>CX01</t>
        </is>
      </c>
      <c r="E6" s="3" t="inlineStr">
        <is>
          <t>CX催事</t>
        </is>
      </c>
      <c r="F6" s="6" t="n">
        <v>0</v>
      </c>
      <c r="G6" s="7" t="n">
        <v>0</v>
      </c>
    </row>
    <row r="7">
      <c r="A7" s="3" t="inlineStr">
        <is>
          <t>4515142519960</t>
        </is>
      </c>
      <c r="B7" s="3" t="inlineStr">
        <is>
          <t>CX2412FRNPA4CF-FRI</t>
        </is>
      </c>
      <c r="C7" s="3" t="inlineStr">
        <is>
          <t>葬送のフリーレンP　A4クリアファイル　(フリーレン)</t>
        </is>
      </c>
      <c r="D7" s="3" t="inlineStr">
        <is>
          <t>DB00</t>
        </is>
      </c>
      <c r="E7" s="3" t="inlineStr">
        <is>
          <t>DBS倉庫</t>
        </is>
      </c>
      <c r="F7" s="6" t="n">
        <v>0</v>
      </c>
      <c r="G7" s="7" t="n">
        <v>0</v>
      </c>
    </row>
    <row r="8">
      <c r="A8" s="3" t="inlineStr">
        <is>
          <t>4515142519977</t>
        </is>
      </c>
      <c r="B8" s="3" t="inlineStr">
        <is>
          <t>CX2412FRNPA4CF-FR</t>
        </is>
      </c>
      <c r="C8" s="3" t="inlineStr">
        <is>
          <t>葬送のフリーレンP　A4クリアファイル　(フェルン)</t>
        </is>
      </c>
      <c r="D8" s="3" t="inlineStr">
        <is>
          <t>CX01</t>
        </is>
      </c>
      <c r="E8" s="3" t="inlineStr">
        <is>
          <t>CX催事</t>
        </is>
      </c>
      <c r="F8" s="6" t="n">
        <v>0</v>
      </c>
      <c r="G8" s="7" t="n">
        <v>0</v>
      </c>
    </row>
    <row r="9">
      <c r="A9" s="3" t="inlineStr">
        <is>
          <t>4515142519977</t>
        </is>
      </c>
      <c r="B9" s="3" t="inlineStr">
        <is>
          <t>CX2412FRNPA4CF-FR</t>
        </is>
      </c>
      <c r="C9" s="3" t="inlineStr">
        <is>
          <t>葬送のフリーレンP　A4クリアファイル　(フェルン)</t>
        </is>
      </c>
      <c r="D9" s="3" t="inlineStr">
        <is>
          <t>DB00</t>
        </is>
      </c>
      <c r="E9" s="3" t="inlineStr">
        <is>
          <t>DBS倉庫</t>
        </is>
      </c>
      <c r="F9" s="6" t="n">
        <v>0</v>
      </c>
      <c r="G9" s="7" t="n">
        <v>0</v>
      </c>
    </row>
    <row r="10">
      <c r="A10" s="3" t="inlineStr">
        <is>
          <t>4515142519984</t>
        </is>
      </c>
      <c r="B10" s="3" t="inlineStr">
        <is>
          <t>CX2412FRNPA4CF-ST</t>
        </is>
      </c>
      <c r="C10" s="3" t="inlineStr">
        <is>
          <t>葬送のフリーレンP　A4クリアファイル　(シュタルク)</t>
        </is>
      </c>
      <c r="D10" s="3" t="inlineStr">
        <is>
          <t>CX01</t>
        </is>
      </c>
      <c r="E10" s="3" t="inlineStr">
        <is>
          <t>CX催事</t>
        </is>
      </c>
      <c r="F10" s="6" t="n">
        <v>0</v>
      </c>
      <c r="G10" s="7" t="n">
        <v>0</v>
      </c>
    </row>
    <row r="11">
      <c r="A11" s="3" t="inlineStr">
        <is>
          <t>4515142519984</t>
        </is>
      </c>
      <c r="B11" s="3" t="inlineStr">
        <is>
          <t>CX2412FRNPA4CF-ST</t>
        </is>
      </c>
      <c r="C11" s="3" t="inlineStr">
        <is>
          <t>葬送のフリーレンP　A4クリアファイル　(シュタルク)</t>
        </is>
      </c>
      <c r="D11" s="3" t="inlineStr">
        <is>
          <t>DB00</t>
        </is>
      </c>
      <c r="E11" s="3" t="inlineStr">
        <is>
          <t>DBS倉庫</t>
        </is>
      </c>
      <c r="F11" s="6" t="n">
        <v>0</v>
      </c>
      <c r="G11" s="7" t="n">
        <v>0</v>
      </c>
    </row>
    <row r="12">
      <c r="A12" s="3" t="inlineStr">
        <is>
          <t>4515142519991</t>
        </is>
      </c>
      <c r="B12" s="3" t="inlineStr">
        <is>
          <t>CX2412FRNPASTA-FRI</t>
        </is>
      </c>
      <c r="C12" s="3" t="inlineStr">
        <is>
          <t>葬送のフリーレンP　アクリルスタンド　(フリーレン)</t>
        </is>
      </c>
      <c r="D12" s="3" t="inlineStr">
        <is>
          <t>CX01</t>
        </is>
      </c>
      <c r="E12" s="3" t="inlineStr">
        <is>
          <t>CX催事</t>
        </is>
      </c>
      <c r="F12" s="6" t="n">
        <v>0</v>
      </c>
      <c r="G12" s="7" t="n">
        <v>0</v>
      </c>
    </row>
    <row r="13">
      <c r="A13" s="3" t="inlineStr">
        <is>
          <t>4515142519991</t>
        </is>
      </c>
      <c r="B13" s="3" t="inlineStr">
        <is>
          <t>CX2412FRNPASTA-FRI</t>
        </is>
      </c>
      <c r="C13" s="3" t="inlineStr">
        <is>
          <t>葬送のフリーレンP　アクリルスタンド　(フリーレン)</t>
        </is>
      </c>
      <c r="D13" s="3" t="inlineStr">
        <is>
          <t>DB00</t>
        </is>
      </c>
      <c r="E13" s="3" t="inlineStr">
        <is>
          <t>DBS倉庫</t>
        </is>
      </c>
      <c r="F13" s="6" t="n">
        <v>0</v>
      </c>
      <c r="G13" s="7" t="n">
        <v>0</v>
      </c>
    </row>
    <row r="14">
      <c r="A14" s="3" t="inlineStr">
        <is>
          <t>4515142520010</t>
        </is>
      </c>
      <c r="B14" s="3" t="inlineStr">
        <is>
          <t>CX2412FRNPASTA-FR</t>
        </is>
      </c>
      <c r="C14" s="3" t="inlineStr">
        <is>
          <t>葬送のフリーレンP　アクリルスタンド　(フェルン)</t>
        </is>
      </c>
      <c r="D14" s="3" t="inlineStr">
        <is>
          <t>CX01</t>
        </is>
      </c>
      <c r="E14" s="3" t="inlineStr">
        <is>
          <t>CX催事</t>
        </is>
      </c>
      <c r="F14" s="6" t="n">
        <v>0</v>
      </c>
      <c r="G14" s="7" t="n">
        <v>0</v>
      </c>
    </row>
    <row r="15">
      <c r="A15" s="3" t="inlineStr">
        <is>
          <t>4515142520010</t>
        </is>
      </c>
      <c r="B15" s="3" t="inlineStr">
        <is>
          <t>CX2412FRNPASTA-FR</t>
        </is>
      </c>
      <c r="C15" s="3" t="inlineStr">
        <is>
          <t>葬送のフリーレンP　アクリルスタンド　(フェルン)</t>
        </is>
      </c>
      <c r="D15" s="3" t="inlineStr">
        <is>
          <t>DB00</t>
        </is>
      </c>
      <c r="E15" s="3" t="inlineStr">
        <is>
          <t>DBS倉庫</t>
        </is>
      </c>
      <c r="F15" s="6" t="n">
        <v>0</v>
      </c>
      <c r="G15" s="7" t="n">
        <v>0</v>
      </c>
    </row>
    <row r="16">
      <c r="A16" s="3" t="inlineStr">
        <is>
          <t>4515142520027</t>
        </is>
      </c>
      <c r="B16" s="3" t="inlineStr">
        <is>
          <t>CX2412FRNPASTA-ST</t>
        </is>
      </c>
      <c r="C16" s="3" t="inlineStr">
        <is>
          <t>葬送のフリーレンP　アクリルスタンド　(シュタルク)</t>
        </is>
      </c>
      <c r="D16" s="3" t="inlineStr">
        <is>
          <t>CX01</t>
        </is>
      </c>
      <c r="E16" s="3" t="inlineStr">
        <is>
          <t>CX催事</t>
        </is>
      </c>
      <c r="F16" s="6" t="n">
        <v>0</v>
      </c>
      <c r="G16" s="7" t="n">
        <v>0</v>
      </c>
    </row>
    <row r="17">
      <c r="A17" s="3" t="inlineStr">
        <is>
          <t>4515142520027</t>
        </is>
      </c>
      <c r="B17" s="3" t="inlineStr">
        <is>
          <t>CX2412FRNPASTA-ST</t>
        </is>
      </c>
      <c r="C17" s="3" t="inlineStr">
        <is>
          <t>葬送のフリーレンP　アクリルスタンド　(シュタルク)</t>
        </is>
      </c>
      <c r="D17" s="3" t="inlineStr">
        <is>
          <t>DB00</t>
        </is>
      </c>
      <c r="E17" s="3" t="inlineStr">
        <is>
          <t>DBS倉庫</t>
        </is>
      </c>
      <c r="F17" s="6" t="n">
        <v>0</v>
      </c>
      <c r="G17" s="7" t="n">
        <v>0</v>
      </c>
    </row>
    <row r="18">
      <c r="A18" s="3" t="inlineStr">
        <is>
          <t>4515142520034</t>
        </is>
      </c>
      <c r="B18" s="3" t="inlineStr">
        <is>
          <t>CX2412FRNPBDG-FRI</t>
        </is>
      </c>
      <c r="C18" s="3" t="inlineStr">
        <is>
          <t>葬送のフリーレンP　缶バッジ　(フリーレン)</t>
        </is>
      </c>
      <c r="D18" s="3" t="inlineStr">
        <is>
          <t>CX01</t>
        </is>
      </c>
      <c r="E18" s="3" t="inlineStr">
        <is>
          <t>CX催事</t>
        </is>
      </c>
      <c r="F18" s="6" t="n">
        <v>0</v>
      </c>
      <c r="G18" s="7" t="n">
        <v>0</v>
      </c>
    </row>
    <row r="19">
      <c r="A19" s="3" t="inlineStr">
        <is>
          <t>4515142520034</t>
        </is>
      </c>
      <c r="B19" s="3" t="inlineStr">
        <is>
          <t>CX2412FRNPBDG-FRI</t>
        </is>
      </c>
      <c r="C19" s="3" t="inlineStr">
        <is>
          <t>葬送のフリーレンP　缶バッジ　(フリーレン)</t>
        </is>
      </c>
      <c r="D19" s="3" t="inlineStr">
        <is>
          <t>DB00</t>
        </is>
      </c>
      <c r="E19" s="3" t="inlineStr">
        <is>
          <t>DBS倉庫</t>
        </is>
      </c>
      <c r="F19" s="6" t="n">
        <v>0</v>
      </c>
      <c r="G19" s="7" t="n">
        <v>0</v>
      </c>
    </row>
    <row r="20">
      <c r="A20" s="3" t="inlineStr">
        <is>
          <t>4515142520041</t>
        </is>
      </c>
      <c r="B20" s="3" t="inlineStr">
        <is>
          <t>CX2412FRNPBDG-ST</t>
        </is>
      </c>
      <c r="C20" s="3" t="inlineStr">
        <is>
          <t>葬送のフリーレンP　缶バッジ　(シュタルク)</t>
        </is>
      </c>
      <c r="D20" s="3" t="inlineStr">
        <is>
          <t>CX01</t>
        </is>
      </c>
      <c r="E20" s="3" t="inlineStr">
        <is>
          <t>CX催事</t>
        </is>
      </c>
      <c r="F20" s="6" t="n">
        <v>0</v>
      </c>
      <c r="G20" s="7" t="n">
        <v>0</v>
      </c>
    </row>
    <row r="21">
      <c r="A21" s="3" t="inlineStr">
        <is>
          <t>4515142520041</t>
        </is>
      </c>
      <c r="B21" s="3" t="inlineStr">
        <is>
          <t>CX2412FRNPBDG-ST</t>
        </is>
      </c>
      <c r="C21" s="3" t="inlineStr">
        <is>
          <t>葬送のフリーレンP　缶バッジ　(シュタルク)</t>
        </is>
      </c>
      <c r="D21" s="3" t="inlineStr">
        <is>
          <t>DB00</t>
        </is>
      </c>
      <c r="E21" s="3" t="inlineStr">
        <is>
          <t>DBS倉庫</t>
        </is>
      </c>
      <c r="F21" s="6" t="n">
        <v>0</v>
      </c>
      <c r="G21" s="7" t="n">
        <v>0</v>
      </c>
    </row>
    <row r="22">
      <c r="A22" s="3" t="inlineStr">
        <is>
          <t>4515142520058</t>
        </is>
      </c>
      <c r="B22" s="3" t="inlineStr">
        <is>
          <t>CX2412FRNPBDG-FR</t>
        </is>
      </c>
      <c r="C22" s="3" t="inlineStr">
        <is>
          <t>葬送のフリーレンP　缶バッジ　(フェルン)</t>
        </is>
      </c>
      <c r="D22" s="3" t="inlineStr">
        <is>
          <t>CX01</t>
        </is>
      </c>
      <c r="E22" s="3" t="inlineStr">
        <is>
          <t>CX催事</t>
        </is>
      </c>
      <c r="F22" s="6" t="n">
        <v>0</v>
      </c>
      <c r="G22" s="7" t="n">
        <v>0</v>
      </c>
    </row>
    <row r="23">
      <c r="A23" s="3" t="inlineStr">
        <is>
          <t>4515142520058</t>
        </is>
      </c>
      <c r="B23" s="3" t="inlineStr">
        <is>
          <t>CX2412FRNPBDG-FR</t>
        </is>
      </c>
      <c r="C23" s="3" t="inlineStr">
        <is>
          <t>葬送のフリーレンP　缶バッジ　(フェルン)</t>
        </is>
      </c>
      <c r="D23" s="3" t="inlineStr">
        <is>
          <t>DB00</t>
        </is>
      </c>
      <c r="E23" s="3" t="inlineStr">
        <is>
          <t>DBS倉庫</t>
        </is>
      </c>
      <c r="F23" s="6" t="n">
        <v>0</v>
      </c>
      <c r="G23" s="7" t="n">
        <v>0</v>
      </c>
    </row>
    <row r="24">
      <c r="A24" s="3" t="inlineStr">
        <is>
          <t>4515142520065</t>
        </is>
      </c>
      <c r="B24" s="3" t="inlineStr">
        <is>
          <t>CX2412FRNPPKEY-FRI</t>
        </is>
      </c>
      <c r="C24" s="3" t="inlineStr">
        <is>
          <t>葬送のフリーレンP　フォトフレームキーホルダー　(フリーレン)</t>
        </is>
      </c>
      <c r="D24" s="3" t="inlineStr">
        <is>
          <t>CX01</t>
        </is>
      </c>
      <c r="E24" s="3" t="inlineStr">
        <is>
          <t>CX催事</t>
        </is>
      </c>
      <c r="F24" s="6" t="n">
        <v>0</v>
      </c>
      <c r="G24" s="7" t="n">
        <v>0</v>
      </c>
    </row>
    <row r="25">
      <c r="A25" s="3" t="inlineStr">
        <is>
          <t>4515142520065</t>
        </is>
      </c>
      <c r="B25" s="3" t="inlineStr">
        <is>
          <t>CX2412FRNPPKEY-FRI</t>
        </is>
      </c>
      <c r="C25" s="3" t="inlineStr">
        <is>
          <t>葬送のフリーレンP　フォトフレームキーホルダー　(フリーレン)</t>
        </is>
      </c>
      <c r="D25" s="3" t="inlineStr">
        <is>
          <t>DB00</t>
        </is>
      </c>
      <c r="E25" s="3" t="inlineStr">
        <is>
          <t>DBS倉庫</t>
        </is>
      </c>
      <c r="F25" s="6" t="n">
        <v>0</v>
      </c>
      <c r="G25" s="7" t="n">
        <v>0</v>
      </c>
    </row>
    <row r="26">
      <c r="A26" s="3" t="inlineStr">
        <is>
          <t>4515142520072</t>
        </is>
      </c>
      <c r="B26" s="3" t="inlineStr">
        <is>
          <t>CX2412FRNPPKEY-FR</t>
        </is>
      </c>
      <c r="C26" s="3" t="inlineStr">
        <is>
          <t>葬送のフリーレンP　フォトフレームキーホルダー　(フェルン)</t>
        </is>
      </c>
      <c r="D26" s="3" t="inlineStr">
        <is>
          <t>CX01</t>
        </is>
      </c>
      <c r="E26" s="3" t="inlineStr">
        <is>
          <t>CX催事</t>
        </is>
      </c>
      <c r="F26" s="6" t="n">
        <v>0</v>
      </c>
      <c r="G26" s="7" t="n">
        <v>0</v>
      </c>
    </row>
    <row r="27">
      <c r="A27" s="3" t="inlineStr">
        <is>
          <t>4515142520072</t>
        </is>
      </c>
      <c r="B27" s="3" t="inlineStr">
        <is>
          <t>CX2412FRNPPKEY-FR</t>
        </is>
      </c>
      <c r="C27" s="3" t="inlineStr">
        <is>
          <t>葬送のフリーレンP　フォトフレームキーホルダー　(フェルン)</t>
        </is>
      </c>
      <c r="D27" s="3" t="inlineStr">
        <is>
          <t>DB00</t>
        </is>
      </c>
      <c r="E27" s="3" t="inlineStr">
        <is>
          <t>DBS倉庫</t>
        </is>
      </c>
      <c r="F27" s="6" t="n">
        <v>0</v>
      </c>
      <c r="G27" s="7" t="n">
        <v>0</v>
      </c>
    </row>
    <row r="28">
      <c r="A28" s="3" t="inlineStr">
        <is>
          <t>4515142520089</t>
        </is>
      </c>
      <c r="B28" s="3" t="inlineStr">
        <is>
          <t>CX2412FRNPPKEY-ST</t>
        </is>
      </c>
      <c r="C28" s="3" t="inlineStr">
        <is>
          <t>葬送のフリーレンP　フォトフレームキーホルダー　(シュタルク)</t>
        </is>
      </c>
      <c r="D28" s="3" t="inlineStr">
        <is>
          <t>CX01</t>
        </is>
      </c>
      <c r="E28" s="3" t="inlineStr">
        <is>
          <t>CX催事</t>
        </is>
      </c>
      <c r="F28" s="6" t="n">
        <v>0</v>
      </c>
      <c r="G28" s="7" t="n">
        <v>0</v>
      </c>
    </row>
    <row r="29">
      <c r="A29" s="3" t="inlineStr">
        <is>
          <t>4515142520089</t>
        </is>
      </c>
      <c r="B29" s="3" t="inlineStr">
        <is>
          <t>CX2412FRNPPKEY-ST</t>
        </is>
      </c>
      <c r="C29" s="3" t="inlineStr">
        <is>
          <t>葬送のフリーレンP　フォトフレームキーホルダー　(シュタルク)</t>
        </is>
      </c>
      <c r="D29" s="3" t="inlineStr">
        <is>
          <t>DB00</t>
        </is>
      </c>
      <c r="E29" s="3" t="inlineStr">
        <is>
          <t>DBS倉庫</t>
        </is>
      </c>
      <c r="F29" s="6" t="n">
        <v>0</v>
      </c>
      <c r="G29" s="7" t="n">
        <v>0</v>
      </c>
    </row>
    <row r="30">
      <c r="A30" s="3" t="inlineStr">
        <is>
          <t>4515142520096</t>
        </is>
      </c>
      <c r="B30" s="3" t="inlineStr">
        <is>
          <t>CX2412FRNPPOSSET</t>
        </is>
      </c>
      <c r="C30" s="3" t="inlineStr">
        <is>
          <t>葬送のフリーレンP　ポストカードセット</t>
        </is>
      </c>
      <c r="D30" s="3" t="inlineStr">
        <is>
          <t>CX01</t>
        </is>
      </c>
      <c r="E30" s="3" t="inlineStr">
        <is>
          <t>CX催事</t>
        </is>
      </c>
      <c r="F30" s="6" t="n">
        <v>0</v>
      </c>
      <c r="G30" s="7" t="n">
        <v>0</v>
      </c>
    </row>
    <row r="31">
      <c r="A31" s="3" t="inlineStr">
        <is>
          <t>4515142520096</t>
        </is>
      </c>
      <c r="B31" s="3" t="inlineStr">
        <is>
          <t>CX2412FRNPPOSSET</t>
        </is>
      </c>
      <c r="C31" s="3" t="inlineStr">
        <is>
          <t>葬送のフリーレンP　ポストカードセット</t>
        </is>
      </c>
      <c r="D31" s="3" t="inlineStr">
        <is>
          <t>DB00</t>
        </is>
      </c>
      <c r="E31" s="3" t="inlineStr">
        <is>
          <t>DBS倉庫</t>
        </is>
      </c>
      <c r="F31" s="6" t="n">
        <v>0</v>
      </c>
      <c r="G31" s="7" t="n">
        <v>0</v>
      </c>
    </row>
    <row r="32">
      <c r="A32" s="3" t="inlineStr">
        <is>
          <t>4515142520102</t>
        </is>
      </c>
      <c r="B32" s="3" t="inlineStr">
        <is>
          <t>CX2412FRNPRMNOTE-6</t>
        </is>
      </c>
      <c r="C32" s="3" t="inlineStr">
        <is>
          <t>葬送のフリーレンP　ランダム魔導書風ノート　全6種</t>
        </is>
      </c>
      <c r="D32" s="3" t="inlineStr">
        <is>
          <t>CX01</t>
        </is>
      </c>
      <c r="E32" s="3" t="inlineStr">
        <is>
          <t>CX催事</t>
        </is>
      </c>
      <c r="F32" s="6" t="n">
        <v>0</v>
      </c>
      <c r="G32" s="7" t="n">
        <v>0</v>
      </c>
    </row>
    <row r="33">
      <c r="A33" s="3" t="inlineStr">
        <is>
          <t>4515142520102</t>
        </is>
      </c>
      <c r="B33" s="3" t="inlineStr">
        <is>
          <t>CX2412FRNPRMNOTE-6</t>
        </is>
      </c>
      <c r="C33" s="3" t="inlineStr">
        <is>
          <t>葬送のフリーレンP　ランダム魔導書風ノート　全6種</t>
        </is>
      </c>
      <c r="D33" s="3" t="inlineStr">
        <is>
          <t>DB00</t>
        </is>
      </c>
      <c r="E33" s="3" t="inlineStr">
        <is>
          <t>DBS倉庫</t>
        </is>
      </c>
      <c r="F33" s="6" t="n">
        <v>0</v>
      </c>
      <c r="G33" s="7" t="n">
        <v>0</v>
      </c>
    </row>
    <row r="34">
      <c r="A34" s="3" t="inlineStr">
        <is>
          <t>4515142520119</t>
        </is>
      </c>
      <c r="B34" s="3" t="inlineStr">
        <is>
          <t>CX2412FRNPTAG</t>
        </is>
      </c>
      <c r="C34" s="3" t="inlineStr">
        <is>
          <t>葬送のフリーレンP　付箋</t>
        </is>
      </c>
      <c r="D34" s="3" t="inlineStr">
        <is>
          <t>CX01</t>
        </is>
      </c>
      <c r="E34" s="3" t="inlineStr">
        <is>
          <t>CX催事</t>
        </is>
      </c>
      <c r="F34" s="6" t="n">
        <v>0</v>
      </c>
      <c r="G34" s="7" t="n">
        <v>0</v>
      </c>
    </row>
    <row r="35">
      <c r="A35" s="3" t="inlineStr">
        <is>
          <t>4515142520119</t>
        </is>
      </c>
      <c r="B35" s="3" t="inlineStr">
        <is>
          <t>CX2412FRNPTAG</t>
        </is>
      </c>
      <c r="C35" s="3" t="inlineStr">
        <is>
          <t>葬送のフリーレンP　付箋</t>
        </is>
      </c>
      <c r="D35" s="3" t="inlineStr">
        <is>
          <t>DB00</t>
        </is>
      </c>
      <c r="E35" s="3" t="inlineStr">
        <is>
          <t>DBS倉庫</t>
        </is>
      </c>
      <c r="F35" s="6" t="n">
        <v>0</v>
      </c>
      <c r="G35" s="7" t="n">
        <v>0</v>
      </c>
    </row>
    <row r="36">
      <c r="A36" s="3" t="inlineStr">
        <is>
          <t>4515142520126</t>
        </is>
      </c>
      <c r="B36" s="3" t="inlineStr">
        <is>
          <t>CX2412FRNPRPKEY-7</t>
        </is>
      </c>
      <c r="C36" s="3" t="inlineStr">
        <is>
          <t>葬送のフリーレンP　ランダムパネルキーホルダー　全7種</t>
        </is>
      </c>
      <c r="D36" s="3" t="inlineStr">
        <is>
          <t>CX01</t>
        </is>
      </c>
      <c r="E36" s="3" t="inlineStr">
        <is>
          <t>CX催事</t>
        </is>
      </c>
      <c r="F36" s="6" t="n">
        <v>0</v>
      </c>
      <c r="G36" s="7" t="n">
        <v>0</v>
      </c>
    </row>
    <row r="37">
      <c r="A37" s="3" t="inlineStr">
        <is>
          <t>4515142520126</t>
        </is>
      </c>
      <c r="B37" s="3" t="inlineStr">
        <is>
          <t>CX2412FRNPRPKEY-7</t>
        </is>
      </c>
      <c r="C37" s="3" t="inlineStr">
        <is>
          <t>葬送のフリーレンP　ランダムパネルキーホルダー　全7種</t>
        </is>
      </c>
      <c r="D37" s="3" t="inlineStr">
        <is>
          <t>DB00</t>
        </is>
      </c>
      <c r="E37" s="3" t="inlineStr">
        <is>
          <t>DBS倉庫</t>
        </is>
      </c>
      <c r="F37" s="6" t="n">
        <v>0</v>
      </c>
      <c r="G37" s="7" t="n">
        <v>0</v>
      </c>
    </row>
    <row r="38">
      <c r="A38" s="3" t="inlineStr">
        <is>
          <t>4515142521130</t>
        </is>
      </c>
      <c r="B38" s="3" t="inlineStr">
        <is>
          <t>CX2412DNDCF-OR</t>
        </is>
      </c>
      <c r="C38" s="3" t="inlineStr">
        <is>
          <t>ダンダダンPOPUP　クリアファイル　オカルン</t>
        </is>
      </c>
      <c r="D38" s="3" t="inlineStr">
        <is>
          <t>CX01</t>
        </is>
      </c>
      <c r="E38" s="3" t="inlineStr">
        <is>
          <t>CX催事</t>
        </is>
      </c>
      <c r="F38" s="6" t="n">
        <v>0</v>
      </c>
      <c r="G38" s="7" t="n">
        <v>0</v>
      </c>
    </row>
    <row r="39">
      <c r="A39" s="3" t="inlineStr">
        <is>
          <t>4515142521130</t>
        </is>
      </c>
      <c r="B39" s="3" t="inlineStr">
        <is>
          <t>CX2412DNDCF-OR</t>
        </is>
      </c>
      <c r="C39" s="3" t="inlineStr">
        <is>
          <t>ダンダダンPOPUP　クリアファイル　オカルン</t>
        </is>
      </c>
      <c r="D39" s="3" t="inlineStr">
        <is>
          <t>DB00</t>
        </is>
      </c>
      <c r="E39" s="3" t="inlineStr">
        <is>
          <t>DBS倉庫</t>
        </is>
      </c>
      <c r="F39" s="6" t="n">
        <v>133</v>
      </c>
      <c r="G39" s="7" t="n">
        <v>8246</v>
      </c>
    </row>
    <row r="40">
      <c r="A40" s="3" t="inlineStr">
        <is>
          <t>4515142521147</t>
        </is>
      </c>
      <c r="B40" s="3" t="inlineStr">
        <is>
          <t>CX2412DNDCF-MM</t>
        </is>
      </c>
      <c r="C40" s="3" t="inlineStr">
        <is>
          <t>ダンダダンPOPUP　クリアファイル　モモ</t>
        </is>
      </c>
      <c r="D40" s="3" t="inlineStr">
        <is>
          <t>CX01</t>
        </is>
      </c>
      <c r="E40" s="3" t="inlineStr">
        <is>
          <t>CX催事</t>
        </is>
      </c>
      <c r="F40" s="6" t="n">
        <v>0</v>
      </c>
      <c r="G40" s="7" t="n">
        <v>0</v>
      </c>
    </row>
    <row r="41">
      <c r="A41" s="3" t="inlineStr">
        <is>
          <t>4515142521147</t>
        </is>
      </c>
      <c r="B41" s="3" t="inlineStr">
        <is>
          <t>CX2412DNDCF-MM</t>
        </is>
      </c>
      <c r="C41" s="3" t="inlineStr">
        <is>
          <t>ダンダダンPOPUP　クリアファイル　モモ</t>
        </is>
      </c>
      <c r="D41" s="3" t="inlineStr">
        <is>
          <t>DB00</t>
        </is>
      </c>
      <c r="E41" s="3" t="inlineStr">
        <is>
          <t>DBS倉庫</t>
        </is>
      </c>
      <c r="F41" s="6" t="n">
        <v>260</v>
      </c>
      <c r="G41" s="7" t="n">
        <v>16120</v>
      </c>
    </row>
    <row r="42">
      <c r="A42" s="3" t="inlineStr">
        <is>
          <t>4515142521154</t>
        </is>
      </c>
      <c r="B42" s="3" t="inlineStr">
        <is>
          <t>CX2412DNDCF-SK</t>
        </is>
      </c>
      <c r="C42" s="3" t="inlineStr">
        <is>
          <t>ダンダダンPOPUP　クリアファイル　星子</t>
        </is>
      </c>
      <c r="D42" s="3" t="inlineStr">
        <is>
          <t>CX01</t>
        </is>
      </c>
      <c r="E42" s="3" t="inlineStr">
        <is>
          <t>CX催事</t>
        </is>
      </c>
      <c r="F42" s="6" t="n">
        <v>0</v>
      </c>
      <c r="G42" s="7" t="n">
        <v>0</v>
      </c>
    </row>
    <row r="43">
      <c r="A43" s="3" t="inlineStr">
        <is>
          <t>4515142521154</t>
        </is>
      </c>
      <c r="B43" s="3" t="inlineStr">
        <is>
          <t>CX2412DNDCF-SK</t>
        </is>
      </c>
      <c r="C43" s="3" t="inlineStr">
        <is>
          <t>ダンダダンPOPUP　クリアファイル　星子</t>
        </is>
      </c>
      <c r="D43" s="3" t="inlineStr">
        <is>
          <t>DB00</t>
        </is>
      </c>
      <c r="E43" s="3" t="inlineStr">
        <is>
          <t>DBS倉庫</t>
        </is>
      </c>
      <c r="F43" s="6" t="n">
        <v>78</v>
      </c>
      <c r="G43" s="7" t="n">
        <v>4836</v>
      </c>
    </row>
    <row r="44">
      <c r="A44" s="3" t="inlineStr">
        <is>
          <t>4515142521161</t>
        </is>
      </c>
      <c r="B44" s="3" t="inlineStr">
        <is>
          <t>CX2412DNDCF-AR</t>
        </is>
      </c>
      <c r="C44" s="3" t="inlineStr">
        <is>
          <t>ダンダダンPOPUP　クリアファイル　アイラ</t>
        </is>
      </c>
      <c r="D44" s="3" t="inlineStr">
        <is>
          <t>CX01</t>
        </is>
      </c>
      <c r="E44" s="3" t="inlineStr">
        <is>
          <t>CX催事</t>
        </is>
      </c>
      <c r="F44" s="6" t="n">
        <v>0</v>
      </c>
      <c r="G44" s="7" t="n">
        <v>0</v>
      </c>
    </row>
    <row r="45">
      <c r="A45" s="3" t="inlineStr">
        <is>
          <t>4515142521161</t>
        </is>
      </c>
      <c r="B45" s="3" t="inlineStr">
        <is>
          <t>CX2412DNDCF-AR</t>
        </is>
      </c>
      <c r="C45" s="3" t="inlineStr">
        <is>
          <t>ダンダダンPOPUP　クリアファイル　アイラ</t>
        </is>
      </c>
      <c r="D45" s="3" t="inlineStr">
        <is>
          <t>DB00</t>
        </is>
      </c>
      <c r="E45" s="3" t="inlineStr">
        <is>
          <t>DBS倉庫</t>
        </is>
      </c>
      <c r="F45" s="6" t="n">
        <v>85</v>
      </c>
      <c r="G45" s="7" t="n">
        <v>5270</v>
      </c>
    </row>
    <row r="46">
      <c r="A46" s="3" t="inlineStr">
        <is>
          <t>4515142521178</t>
        </is>
      </c>
      <c r="B46" s="3" t="inlineStr">
        <is>
          <t>CX2412DNDCF-TB</t>
        </is>
      </c>
      <c r="C46" s="3" t="inlineStr">
        <is>
          <t>ダンダダンPOPUP　クリアファイル　ターボババア(招き猫)</t>
        </is>
      </c>
      <c r="D46" s="3" t="inlineStr">
        <is>
          <t>CX01</t>
        </is>
      </c>
      <c r="E46" s="3" t="inlineStr">
        <is>
          <t>CX催事</t>
        </is>
      </c>
      <c r="F46" s="6" t="n">
        <v>0</v>
      </c>
      <c r="G46" s="7" t="n">
        <v>0</v>
      </c>
    </row>
    <row r="47">
      <c r="A47" s="3" t="inlineStr">
        <is>
          <t>4515142521178</t>
        </is>
      </c>
      <c r="B47" s="3" t="inlineStr">
        <is>
          <t>CX2412DNDCF-TB</t>
        </is>
      </c>
      <c r="C47" s="3" t="inlineStr">
        <is>
          <t>ダンダダンPOPUP　クリアファイル　ターボババア(招き猫)</t>
        </is>
      </c>
      <c r="D47" s="3" t="inlineStr">
        <is>
          <t>DB00</t>
        </is>
      </c>
      <c r="E47" s="3" t="inlineStr">
        <is>
          <t>DBS倉庫</t>
        </is>
      </c>
      <c r="F47" s="6" t="n">
        <v>221</v>
      </c>
      <c r="G47" s="7" t="n">
        <v>13702</v>
      </c>
    </row>
    <row r="48">
      <c r="A48" s="3" t="inlineStr">
        <is>
          <t>4515142521185</t>
        </is>
      </c>
      <c r="B48" s="3" t="inlineStr">
        <is>
          <t>CX2412DNDCF-ORH</t>
        </is>
      </c>
      <c r="C48" s="3" t="inlineStr">
        <is>
          <t>ダンダダンPOPUP　クリアファイル　オカルン(変身)</t>
        </is>
      </c>
      <c r="D48" s="3" t="inlineStr">
        <is>
          <t>CX01</t>
        </is>
      </c>
      <c r="E48" s="3" t="inlineStr">
        <is>
          <t>CX催事</t>
        </is>
      </c>
      <c r="F48" s="6" t="n">
        <v>0</v>
      </c>
      <c r="G48" s="7" t="n">
        <v>0</v>
      </c>
    </row>
    <row r="49">
      <c r="A49" s="3" t="inlineStr">
        <is>
          <t>4515142521185</t>
        </is>
      </c>
      <c r="B49" s="3" t="inlineStr">
        <is>
          <t>CX2412DNDCF-ORH</t>
        </is>
      </c>
      <c r="C49" s="3" t="inlineStr">
        <is>
          <t>ダンダダンPOPUP　クリアファイル　オカルン(変身)</t>
        </is>
      </c>
      <c r="D49" s="3" t="inlineStr">
        <is>
          <t>DB00</t>
        </is>
      </c>
      <c r="E49" s="3" t="inlineStr">
        <is>
          <t>DBS倉庫</t>
        </is>
      </c>
      <c r="F49" s="6" t="n">
        <v>312</v>
      </c>
      <c r="G49" s="7" t="n">
        <v>19344</v>
      </c>
    </row>
    <row r="50">
      <c r="A50" s="3" t="inlineStr">
        <is>
          <t>4515142521192</t>
        </is>
      </c>
      <c r="B50" s="3" t="inlineStr">
        <is>
          <t>CX2412DNDCF-ARH</t>
        </is>
      </c>
      <c r="C50" s="3" t="inlineStr">
        <is>
          <t>ダンダダンPOPUP　クリアファイル　アイラ(変身)</t>
        </is>
      </c>
      <c r="D50" s="3" t="inlineStr">
        <is>
          <t>CX01</t>
        </is>
      </c>
      <c r="E50" s="3" t="inlineStr">
        <is>
          <t>CX催事</t>
        </is>
      </c>
      <c r="F50" s="6" t="n">
        <v>0</v>
      </c>
      <c r="G50" s="7" t="n">
        <v>0</v>
      </c>
    </row>
    <row r="51">
      <c r="A51" s="3" t="inlineStr">
        <is>
          <t>4515142521192</t>
        </is>
      </c>
      <c r="B51" s="3" t="inlineStr">
        <is>
          <t>CX2412DNDCF-ARH</t>
        </is>
      </c>
      <c r="C51" s="3" t="inlineStr">
        <is>
          <t>ダンダダンPOPUP　クリアファイル　アイラ(変身)</t>
        </is>
      </c>
      <c r="D51" s="3" t="inlineStr">
        <is>
          <t>DB00</t>
        </is>
      </c>
      <c r="E51" s="3" t="inlineStr">
        <is>
          <t>DBS倉庫</t>
        </is>
      </c>
      <c r="F51" s="6" t="n">
        <v>67</v>
      </c>
      <c r="G51" s="7" t="n">
        <v>4154</v>
      </c>
    </row>
    <row r="52">
      <c r="A52" s="3" t="inlineStr">
        <is>
          <t>4515142521208</t>
        </is>
      </c>
      <c r="B52" s="3" t="inlineStr">
        <is>
          <t>CX2412DNDRBDG-7</t>
        </is>
      </c>
      <c r="C52" s="3" t="inlineStr">
        <is>
          <t>ダンダダンPOPUP　ランダム缶バッジ 全7種</t>
        </is>
      </c>
      <c r="D52" s="3" t="inlineStr">
        <is>
          <t>CX01</t>
        </is>
      </c>
      <c r="E52" s="3" t="inlineStr">
        <is>
          <t>CX催事</t>
        </is>
      </c>
      <c r="F52" s="6" t="n">
        <v>30</v>
      </c>
      <c r="G52" s="7" t="n">
        <v>2370</v>
      </c>
    </row>
    <row r="53">
      <c r="A53" s="3" t="inlineStr">
        <is>
          <t>4515142521208</t>
        </is>
      </c>
      <c r="B53" s="3" t="inlineStr">
        <is>
          <t>CX2412DNDRBDG-7</t>
        </is>
      </c>
      <c r="C53" s="3" t="inlineStr">
        <is>
          <t>ダンダダンPOPUP　ランダム缶バッジ 全7種</t>
        </is>
      </c>
      <c r="D53" s="3" t="inlineStr">
        <is>
          <t>DB00</t>
        </is>
      </c>
      <c r="E53" s="3" t="inlineStr">
        <is>
          <t>DBS倉庫</t>
        </is>
      </c>
      <c r="F53" s="6" t="n">
        <v>2685</v>
      </c>
      <c r="G53" s="7" t="n">
        <v>212115</v>
      </c>
    </row>
    <row r="54">
      <c r="A54" s="3" t="inlineStr">
        <is>
          <t>4515142521215</t>
        </is>
      </c>
      <c r="B54" s="3" t="inlineStr">
        <is>
          <t>CX2412DNDASTA-OR</t>
        </is>
      </c>
      <c r="C54" s="3" t="inlineStr">
        <is>
          <t>ダンダダンPOPUP　アクリルスタンド　オカルン</t>
        </is>
      </c>
      <c r="D54" s="3" t="inlineStr">
        <is>
          <t>CX01</t>
        </is>
      </c>
      <c r="E54" s="3" t="inlineStr">
        <is>
          <t>CX催事</t>
        </is>
      </c>
      <c r="F54" s="6" t="n">
        <v>0</v>
      </c>
      <c r="G54" s="7" t="n">
        <v>0</v>
      </c>
    </row>
    <row r="55">
      <c r="A55" s="3" t="inlineStr">
        <is>
          <t>4515142521215</t>
        </is>
      </c>
      <c r="B55" s="3" t="inlineStr">
        <is>
          <t>CX2412DNDASTA-OR</t>
        </is>
      </c>
      <c r="C55" s="3" t="inlineStr">
        <is>
          <t>ダンダダンPOPUP　アクリルスタンド　オカルン</t>
        </is>
      </c>
      <c r="D55" s="3" t="inlineStr">
        <is>
          <t>DB00</t>
        </is>
      </c>
      <c r="E55" s="3" t="inlineStr">
        <is>
          <t>DBS倉庫</t>
        </is>
      </c>
      <c r="F55" s="6" t="n">
        <v>62</v>
      </c>
      <c r="G55" s="7" t="n">
        <v>16244</v>
      </c>
    </row>
    <row r="56">
      <c r="A56" s="3" t="inlineStr">
        <is>
          <t>4515142521222</t>
        </is>
      </c>
      <c r="B56" s="3" t="inlineStr">
        <is>
          <t>CX2412DNDASTA-MM</t>
        </is>
      </c>
      <c r="C56" s="3" t="inlineStr">
        <is>
          <t>ダンダダンPOPUP　アクリルスタンド　モモ</t>
        </is>
      </c>
      <c r="D56" s="3" t="inlineStr">
        <is>
          <t>CX01</t>
        </is>
      </c>
      <c r="E56" s="3" t="inlineStr">
        <is>
          <t>CX催事</t>
        </is>
      </c>
      <c r="F56" s="6" t="n">
        <v>0</v>
      </c>
      <c r="G56" s="7" t="n">
        <v>0</v>
      </c>
    </row>
    <row r="57">
      <c r="A57" s="3" t="inlineStr">
        <is>
          <t>4515142521222</t>
        </is>
      </c>
      <c r="B57" s="3" t="inlineStr">
        <is>
          <t>CX2412DNDASTA-MM</t>
        </is>
      </c>
      <c r="C57" s="3" t="inlineStr">
        <is>
          <t>ダンダダンPOPUP　アクリルスタンド　モモ</t>
        </is>
      </c>
      <c r="D57" s="3" t="inlineStr">
        <is>
          <t>DB00</t>
        </is>
      </c>
      <c r="E57" s="3" t="inlineStr">
        <is>
          <t>DBS倉庫</t>
        </is>
      </c>
      <c r="F57" s="6" t="n">
        <v>127</v>
      </c>
      <c r="G57" s="7" t="n">
        <v>33274</v>
      </c>
    </row>
    <row r="58">
      <c r="A58" s="3" t="inlineStr">
        <is>
          <t>4515142521239</t>
        </is>
      </c>
      <c r="B58" s="3" t="inlineStr">
        <is>
          <t>CX2412DNDASTA-SK</t>
        </is>
      </c>
      <c r="C58" s="3" t="inlineStr">
        <is>
          <t>ダンダダンPOPUP　アクリルスタンド　星子</t>
        </is>
      </c>
      <c r="D58" s="3" t="inlineStr">
        <is>
          <t>CX01</t>
        </is>
      </c>
      <c r="E58" s="3" t="inlineStr">
        <is>
          <t>CX催事</t>
        </is>
      </c>
      <c r="F58" s="6" t="n">
        <v>0</v>
      </c>
      <c r="G58" s="7" t="n">
        <v>0</v>
      </c>
    </row>
    <row r="59">
      <c r="A59" s="3" t="inlineStr">
        <is>
          <t>4515142521239</t>
        </is>
      </c>
      <c r="B59" s="3" t="inlineStr">
        <is>
          <t>CX2412DNDASTA-SK</t>
        </is>
      </c>
      <c r="C59" s="3" t="inlineStr">
        <is>
          <t>ダンダダンPOPUP　アクリルスタンド　星子</t>
        </is>
      </c>
      <c r="D59" s="3" t="inlineStr">
        <is>
          <t>DB00</t>
        </is>
      </c>
      <c r="E59" s="3" t="inlineStr">
        <is>
          <t>DBS倉庫</t>
        </is>
      </c>
      <c r="F59" s="6" t="n">
        <v>68</v>
      </c>
      <c r="G59" s="7" t="n">
        <v>17816</v>
      </c>
    </row>
    <row r="60">
      <c r="A60" s="3" t="inlineStr">
        <is>
          <t>4515142521246</t>
        </is>
      </c>
      <c r="B60" s="3" t="inlineStr">
        <is>
          <t>CX2412DNDASTA-AR</t>
        </is>
      </c>
      <c r="C60" s="3" t="inlineStr">
        <is>
          <t>ダンダダンPOPUP　アクリルスタンド　アイラ</t>
        </is>
      </c>
      <c r="D60" s="3" t="inlineStr">
        <is>
          <t>CX01</t>
        </is>
      </c>
      <c r="E60" s="3" t="inlineStr">
        <is>
          <t>CX催事</t>
        </is>
      </c>
      <c r="F60" s="6" t="n">
        <v>0</v>
      </c>
      <c r="G60" s="7" t="n">
        <v>0</v>
      </c>
    </row>
    <row r="61">
      <c r="A61" s="3" t="inlineStr">
        <is>
          <t>4515142521246</t>
        </is>
      </c>
      <c r="B61" s="3" t="inlineStr">
        <is>
          <t>CX2412DNDASTA-AR</t>
        </is>
      </c>
      <c r="C61" s="3" t="inlineStr">
        <is>
          <t>ダンダダンPOPUP　アクリルスタンド　アイラ</t>
        </is>
      </c>
      <c r="D61" s="3" t="inlineStr">
        <is>
          <t>DB00</t>
        </is>
      </c>
      <c r="E61" s="3" t="inlineStr">
        <is>
          <t>DBS倉庫</t>
        </is>
      </c>
      <c r="F61" s="6" t="n">
        <v>72</v>
      </c>
      <c r="G61" s="7" t="n">
        <v>18864</v>
      </c>
    </row>
    <row r="62">
      <c r="A62" s="3" t="inlineStr">
        <is>
          <t>4515142521253</t>
        </is>
      </c>
      <c r="B62" s="3" t="inlineStr">
        <is>
          <t>CX2412DNDASTA-TB</t>
        </is>
      </c>
      <c r="C62" s="3" t="inlineStr">
        <is>
          <t>ダンダダンPOPUP　アクリルスタンド　ターボババア(招き猫)</t>
        </is>
      </c>
      <c r="D62" s="3" t="inlineStr">
        <is>
          <t>CX01</t>
        </is>
      </c>
      <c r="E62" s="3" t="inlineStr">
        <is>
          <t>CX催事</t>
        </is>
      </c>
      <c r="F62" s="6" t="n">
        <v>0</v>
      </c>
      <c r="G62" s="7" t="n">
        <v>0</v>
      </c>
    </row>
    <row r="63">
      <c r="A63" s="3" t="inlineStr">
        <is>
          <t>4515142521253</t>
        </is>
      </c>
      <c r="B63" s="3" t="inlineStr">
        <is>
          <t>CX2412DNDASTA-TB</t>
        </is>
      </c>
      <c r="C63" s="3" t="inlineStr">
        <is>
          <t>ダンダダンPOPUP　アクリルスタンド　ターボババア(招き猫)</t>
        </is>
      </c>
      <c r="D63" s="3" t="inlineStr">
        <is>
          <t>DB00</t>
        </is>
      </c>
      <c r="E63" s="3" t="inlineStr">
        <is>
          <t>DBS倉庫</t>
        </is>
      </c>
      <c r="F63" s="6" t="n">
        <v>421</v>
      </c>
      <c r="G63" s="7" t="n">
        <v>98514</v>
      </c>
    </row>
    <row r="64">
      <c r="A64" s="3" t="inlineStr">
        <is>
          <t>4515142521260</t>
        </is>
      </c>
      <c r="B64" s="3" t="inlineStr">
        <is>
          <t>CX2412DNDASTA-ORH</t>
        </is>
      </c>
      <c r="C64" s="3" t="inlineStr">
        <is>
          <t>ダンダダンPOPUP　アクリルスタンド　オカルン(変身)</t>
        </is>
      </c>
      <c r="D64" s="3" t="inlineStr">
        <is>
          <t>CX01</t>
        </is>
      </c>
      <c r="E64" s="3" t="inlineStr">
        <is>
          <t>CX催事</t>
        </is>
      </c>
      <c r="F64" s="6" t="n">
        <v>0</v>
      </c>
      <c r="G64" s="7" t="n">
        <v>0</v>
      </c>
    </row>
    <row r="65">
      <c r="A65" s="3" t="inlineStr">
        <is>
          <t>4515142521260</t>
        </is>
      </c>
      <c r="B65" s="3" t="inlineStr">
        <is>
          <t>CX2412DNDASTA-ORH</t>
        </is>
      </c>
      <c r="C65" s="3" t="inlineStr">
        <is>
          <t>ダンダダンPOPUP　アクリルスタンド　オカルン(変身)</t>
        </is>
      </c>
      <c r="D65" s="3" t="inlineStr">
        <is>
          <t>DB00</t>
        </is>
      </c>
      <c r="E65" s="3" t="inlineStr">
        <is>
          <t>DBS倉庫</t>
        </is>
      </c>
      <c r="F65" s="6" t="n">
        <v>121</v>
      </c>
      <c r="G65" s="7" t="n">
        <v>31702</v>
      </c>
    </row>
    <row r="66">
      <c r="A66" s="3" t="inlineStr">
        <is>
          <t>4515142521277</t>
        </is>
      </c>
      <c r="B66" s="3" t="inlineStr">
        <is>
          <t>CX2412DNDASTA-ARH</t>
        </is>
      </c>
      <c r="C66" s="3" t="inlineStr">
        <is>
          <t>ダンダダンPOPUP　アクリルスタンド　アイラ(変身)</t>
        </is>
      </c>
      <c r="D66" s="3" t="inlineStr">
        <is>
          <t>CX01</t>
        </is>
      </c>
      <c r="E66" s="3" t="inlineStr">
        <is>
          <t>CX催事</t>
        </is>
      </c>
      <c r="F66" s="6" t="n">
        <v>0</v>
      </c>
      <c r="G66" s="7" t="n">
        <v>0</v>
      </c>
    </row>
    <row r="67">
      <c r="A67" s="3" t="inlineStr">
        <is>
          <t>4515142521277</t>
        </is>
      </c>
      <c r="B67" s="3" t="inlineStr">
        <is>
          <t>CX2412DNDASTA-ARH</t>
        </is>
      </c>
      <c r="C67" s="3" t="inlineStr">
        <is>
          <t>ダンダダンPOPUP　アクリルスタンド　アイラ(変身)</t>
        </is>
      </c>
      <c r="D67" s="3" t="inlineStr">
        <is>
          <t>DB00</t>
        </is>
      </c>
      <c r="E67" s="3" t="inlineStr">
        <is>
          <t>DBS倉庫</t>
        </is>
      </c>
      <c r="F67" s="6" t="n">
        <v>120</v>
      </c>
      <c r="G67" s="7" t="n">
        <v>28200</v>
      </c>
    </row>
    <row r="68">
      <c r="A68" s="3" t="inlineStr">
        <is>
          <t>4515142521284</t>
        </is>
      </c>
      <c r="B68" s="3" t="inlineStr">
        <is>
          <t>CX2412DNDSTK3S-A</t>
        </is>
      </c>
      <c r="C68" s="3" t="inlineStr">
        <is>
          <t>ダンダダンPOPUP　ステッカー3枚セット　A</t>
        </is>
      </c>
      <c r="D68" s="3" t="inlineStr">
        <is>
          <t>CX01</t>
        </is>
      </c>
      <c r="E68" s="3" t="inlineStr">
        <is>
          <t>CX催事</t>
        </is>
      </c>
      <c r="F68" s="6" t="n">
        <v>0</v>
      </c>
      <c r="G68" s="7" t="n">
        <v>0</v>
      </c>
    </row>
    <row r="69">
      <c r="A69" s="3" t="inlineStr">
        <is>
          <t>4515142521284</t>
        </is>
      </c>
      <c r="B69" s="3" t="inlineStr">
        <is>
          <t>CX2412DNDSTK3S-A</t>
        </is>
      </c>
      <c r="C69" s="3" t="inlineStr">
        <is>
          <t>ダンダダンPOPUP　ステッカー3枚セット　A</t>
        </is>
      </c>
      <c r="D69" s="3" t="inlineStr">
        <is>
          <t>DB00</t>
        </is>
      </c>
      <c r="E69" s="3" t="inlineStr">
        <is>
          <t>DBS倉庫</t>
        </is>
      </c>
      <c r="F69" s="6" t="n">
        <v>202</v>
      </c>
      <c r="G69" s="7" t="n">
        <v>24846</v>
      </c>
    </row>
    <row r="70">
      <c r="A70" s="3" t="inlineStr">
        <is>
          <t>4515142521291</t>
        </is>
      </c>
      <c r="B70" s="3" t="inlineStr">
        <is>
          <t>CX2412DNDSTK3S-B</t>
        </is>
      </c>
      <c r="C70" s="3" t="inlineStr">
        <is>
          <t>ダンダダンPOPUP　ステッカー3枚セット　B</t>
        </is>
      </c>
      <c r="D70" s="3" t="inlineStr">
        <is>
          <t>CX01</t>
        </is>
      </c>
      <c r="E70" s="3" t="inlineStr">
        <is>
          <t>CX催事</t>
        </is>
      </c>
      <c r="F70" s="6" t="n">
        <v>0</v>
      </c>
      <c r="G70" s="7" t="n">
        <v>0</v>
      </c>
    </row>
    <row r="71">
      <c r="A71" s="3" t="inlineStr">
        <is>
          <t>4515142521291</t>
        </is>
      </c>
      <c r="B71" s="3" t="inlineStr">
        <is>
          <t>CX2412DNDSTK3S-B</t>
        </is>
      </c>
      <c r="C71" s="3" t="inlineStr">
        <is>
          <t>ダンダダンPOPUP　ステッカー3枚セット　B</t>
        </is>
      </c>
      <c r="D71" s="3" t="inlineStr">
        <is>
          <t>DB00</t>
        </is>
      </c>
      <c r="E71" s="3" t="inlineStr">
        <is>
          <t>DBS倉庫</t>
        </is>
      </c>
      <c r="F71" s="6" t="n">
        <v>185</v>
      </c>
      <c r="G71" s="7" t="n">
        <v>22755</v>
      </c>
    </row>
    <row r="72">
      <c r="A72" s="3" t="inlineStr">
        <is>
          <t>4515142521307</t>
        </is>
      </c>
      <c r="B72" s="3" t="inlineStr">
        <is>
          <t>CX2412DNDSTK3S-C</t>
        </is>
      </c>
      <c r="C72" s="3" t="inlineStr">
        <is>
          <t>ダンダダンPOPUP　ステッカー3枚セット　C</t>
        </is>
      </c>
      <c r="D72" s="3" t="inlineStr">
        <is>
          <t>CX01</t>
        </is>
      </c>
      <c r="E72" s="3" t="inlineStr">
        <is>
          <t>CX催事</t>
        </is>
      </c>
      <c r="F72" s="6" t="n">
        <v>28</v>
      </c>
      <c r="G72" s="7" t="n">
        <v>10332</v>
      </c>
    </row>
    <row r="73">
      <c r="A73" s="3" t="inlineStr">
        <is>
          <t>4515142521307</t>
        </is>
      </c>
      <c r="B73" s="3" t="inlineStr">
        <is>
          <t>CX2412DNDSTK3S-C</t>
        </is>
      </c>
      <c r="C73" s="3" t="inlineStr">
        <is>
          <t>ダンダダンPOPUP　ステッカー3枚セット　C</t>
        </is>
      </c>
      <c r="D73" s="3" t="inlineStr">
        <is>
          <t>DB00</t>
        </is>
      </c>
      <c r="E73" s="3" t="inlineStr">
        <is>
          <t>DBS倉庫</t>
        </is>
      </c>
      <c r="F73" s="6" t="n">
        <v>240</v>
      </c>
      <c r="G73" s="7" t="n">
        <v>88560</v>
      </c>
    </row>
    <row r="74">
      <c r="A74" s="3" t="inlineStr">
        <is>
          <t>4515142521314</t>
        </is>
      </c>
      <c r="B74" s="3" t="inlineStr">
        <is>
          <t>CX2412DNDRBDG-OP6</t>
        </is>
      </c>
      <c r="C74" s="3" t="inlineStr">
        <is>
          <t>ダンダダンPOPUP　ランダム缶バッジ　オープニング　全6種</t>
        </is>
      </c>
      <c r="D74" s="3" t="inlineStr">
        <is>
          <t>CX01</t>
        </is>
      </c>
      <c r="E74" s="3" t="inlineStr">
        <is>
          <t>CX催事</t>
        </is>
      </c>
      <c r="F74" s="6" t="n">
        <v>47</v>
      </c>
      <c r="G74" s="7" t="n">
        <v>4841</v>
      </c>
    </row>
    <row r="75">
      <c r="A75" s="3" t="inlineStr">
        <is>
          <t>4515142521314</t>
        </is>
      </c>
      <c r="B75" s="3" t="inlineStr">
        <is>
          <t>CX2412DNDRBDG-OP6</t>
        </is>
      </c>
      <c r="C75" s="3" t="inlineStr">
        <is>
          <t>ダンダダンPOPUP　ランダム缶バッジ　オープニング　全6種</t>
        </is>
      </c>
      <c r="D75" s="3" t="inlineStr">
        <is>
          <t>DB00</t>
        </is>
      </c>
      <c r="E75" s="3" t="inlineStr">
        <is>
          <t>DBS倉庫</t>
        </is>
      </c>
      <c r="F75" s="6" t="n">
        <v>1978</v>
      </c>
      <c r="G75" s="7" t="n">
        <v>203734</v>
      </c>
    </row>
    <row r="76">
      <c r="A76" s="3" t="inlineStr">
        <is>
          <t>4515142521321</t>
        </is>
      </c>
      <c r="B76" s="3" t="inlineStr">
        <is>
          <t>CX2412DNDRBDG-ED6</t>
        </is>
      </c>
      <c r="C76" s="3" t="inlineStr">
        <is>
          <t>ダンダダンPOPUP　ランダム缶バッジ　エンディング　全6種</t>
        </is>
      </c>
      <c r="D76" s="3" t="inlineStr">
        <is>
          <t>CX01</t>
        </is>
      </c>
      <c r="E76" s="3" t="inlineStr">
        <is>
          <t>CX催事</t>
        </is>
      </c>
      <c r="F76" s="6" t="n">
        <v>32</v>
      </c>
      <c r="G76" s="7" t="n">
        <v>3264</v>
      </c>
    </row>
    <row r="77">
      <c r="A77" s="3" t="inlineStr">
        <is>
          <t>4515142521321</t>
        </is>
      </c>
      <c r="B77" s="3" t="inlineStr">
        <is>
          <t>CX2412DNDRBDG-ED6</t>
        </is>
      </c>
      <c r="C77" s="3" t="inlineStr">
        <is>
          <t>ダンダダンPOPUP　ランダム缶バッジ　エンディング　全6種</t>
        </is>
      </c>
      <c r="D77" s="3" t="inlineStr">
        <is>
          <t>DB00</t>
        </is>
      </c>
      <c r="E77" s="3" t="inlineStr">
        <is>
          <t>DBS倉庫</t>
        </is>
      </c>
      <c r="F77" s="6" t="n">
        <v>2492</v>
      </c>
      <c r="G77" s="7" t="n">
        <v>254184</v>
      </c>
    </row>
    <row r="78">
      <c r="A78" s="3" t="inlineStr">
        <is>
          <t>4515142521338</t>
        </is>
      </c>
      <c r="B78" s="3" t="inlineStr">
        <is>
          <t>CX2412DNDRASKEY-6</t>
        </is>
      </c>
      <c r="C78" s="3" t="inlineStr">
        <is>
          <t>ダンダダンPOPUP　ランダムアクリルキーホルダー　全6種</t>
        </is>
      </c>
      <c r="D78" s="3" t="inlineStr">
        <is>
          <t>CX01</t>
        </is>
      </c>
      <c r="E78" s="3" t="inlineStr">
        <is>
          <t>CX催事</t>
        </is>
      </c>
      <c r="F78" s="6" t="n">
        <v>0</v>
      </c>
      <c r="G78" s="7" t="n">
        <v>0</v>
      </c>
    </row>
    <row r="79">
      <c r="A79" s="3" t="inlineStr">
        <is>
          <t>4515142521338</t>
        </is>
      </c>
      <c r="B79" s="3" t="inlineStr">
        <is>
          <t>CX2412DNDRASKEY-6</t>
        </is>
      </c>
      <c r="C79" s="3" t="inlineStr">
        <is>
          <t>ダンダダンPOPUP　ランダムアクリルキーホルダー　全6種</t>
        </is>
      </c>
      <c r="D79" s="3" t="inlineStr">
        <is>
          <t>DB00</t>
        </is>
      </c>
      <c r="E79" s="3" t="inlineStr">
        <is>
          <t>DBS倉庫</t>
        </is>
      </c>
      <c r="F79" s="6" t="n">
        <v>605</v>
      </c>
      <c r="G79" s="7" t="n">
        <v>76835</v>
      </c>
    </row>
    <row r="80">
      <c r="A80" s="3" t="inlineStr">
        <is>
          <t>4515142521345</t>
        </is>
      </c>
      <c r="B80" s="3" t="inlineStr">
        <is>
          <t>CX2412DNDTOTEBAG</t>
        </is>
      </c>
      <c r="C80" s="3" t="inlineStr">
        <is>
          <t>ダンダダンPOPUP　トートバッグ</t>
        </is>
      </c>
      <c r="D80" s="3" t="inlineStr">
        <is>
          <t>CX01</t>
        </is>
      </c>
      <c r="E80" s="3" t="inlineStr">
        <is>
          <t>CX催事</t>
        </is>
      </c>
      <c r="F80" s="6" t="n">
        <v>0</v>
      </c>
      <c r="G80" s="7" t="n">
        <v>0</v>
      </c>
    </row>
    <row r="81">
      <c r="A81" s="3" t="inlineStr">
        <is>
          <t>4515142521345</t>
        </is>
      </c>
      <c r="B81" s="3" t="inlineStr">
        <is>
          <t>CX2412DNDTOTEBAG</t>
        </is>
      </c>
      <c r="C81" s="3" t="inlineStr">
        <is>
          <t>ダンダダンPOPUP　トートバッグ</t>
        </is>
      </c>
      <c r="D81" s="3" t="inlineStr">
        <is>
          <t>DB00</t>
        </is>
      </c>
      <c r="E81" s="3" t="inlineStr">
        <is>
          <t>DBS倉庫</t>
        </is>
      </c>
      <c r="F81" s="6" t="n">
        <v>0</v>
      </c>
      <c r="G81" s="7" t="n">
        <v>0</v>
      </c>
    </row>
    <row r="82">
      <c r="A82" s="3" t="inlineStr">
        <is>
          <t>4515142521352</t>
        </is>
      </c>
      <c r="B82" s="3" t="inlineStr">
        <is>
          <t>CX2412DNDSAKEY-ORH</t>
        </is>
      </c>
      <c r="C82" s="3" t="inlineStr">
        <is>
          <t>ダンダダンPOPUP　スライドアクリルキーホルダー　オカルン(変身)</t>
        </is>
      </c>
      <c r="D82" s="3" t="inlineStr">
        <is>
          <t>CX01</t>
        </is>
      </c>
      <c r="E82" s="3" t="inlineStr">
        <is>
          <t>CX催事</t>
        </is>
      </c>
      <c r="F82" s="6" t="n">
        <v>10</v>
      </c>
      <c r="G82" s="7" t="n">
        <v>1410</v>
      </c>
    </row>
    <row r="83">
      <c r="A83" s="3" t="inlineStr">
        <is>
          <t>4515142521352</t>
        </is>
      </c>
      <c r="B83" s="3" t="inlineStr">
        <is>
          <t>CX2412DNDSAKEY-ORH</t>
        </is>
      </c>
      <c r="C83" s="3" t="inlineStr">
        <is>
          <t>ダンダダンPOPUP　スライドアクリルキーホルダー　オカルン(変身)</t>
        </is>
      </c>
      <c r="D83" s="3" t="inlineStr">
        <is>
          <t>DB00</t>
        </is>
      </c>
      <c r="E83" s="3" t="inlineStr">
        <is>
          <t>DBS倉庫</t>
        </is>
      </c>
      <c r="F83" s="6" t="n">
        <v>132</v>
      </c>
      <c r="G83" s="7" t="n">
        <v>18612</v>
      </c>
    </row>
    <row r="84">
      <c r="A84" s="3" t="inlineStr">
        <is>
          <t>4515142521369</t>
        </is>
      </c>
      <c r="B84" s="3" t="inlineStr">
        <is>
          <t>CX2412DNDSAKEY-MM</t>
        </is>
      </c>
      <c r="C84" s="3" t="inlineStr">
        <is>
          <t>ダンダダンPOPUP　スライドアクリルキーホルダー　モモ</t>
        </is>
      </c>
      <c r="D84" s="3" t="inlineStr">
        <is>
          <t>CX01</t>
        </is>
      </c>
      <c r="E84" s="3" t="inlineStr">
        <is>
          <t>CX催事</t>
        </is>
      </c>
      <c r="F84" s="6" t="n">
        <v>0</v>
      </c>
      <c r="G84" s="7" t="n">
        <v>0</v>
      </c>
    </row>
    <row r="85">
      <c r="A85" s="3" t="inlineStr">
        <is>
          <t>4515142521369</t>
        </is>
      </c>
      <c r="B85" s="3" t="inlineStr">
        <is>
          <t>CX2412DNDSAKEY-MM</t>
        </is>
      </c>
      <c r="C85" s="3" t="inlineStr">
        <is>
          <t>ダンダダンPOPUP　スライドアクリルキーホルダー　モモ</t>
        </is>
      </c>
      <c r="D85" s="3" t="inlineStr">
        <is>
          <t>DB00</t>
        </is>
      </c>
      <c r="E85" s="3" t="inlineStr">
        <is>
          <t>DBS倉庫</t>
        </is>
      </c>
      <c r="F85" s="6" t="n">
        <v>61</v>
      </c>
      <c r="G85" s="7" t="n">
        <v>9333</v>
      </c>
    </row>
    <row r="86">
      <c r="A86" s="3" t="inlineStr">
        <is>
          <t>4515142521376</t>
        </is>
      </c>
      <c r="B86" s="3" t="inlineStr">
        <is>
          <t>CX2412DNDSAKEY-SK</t>
        </is>
      </c>
      <c r="C86" s="3" t="inlineStr">
        <is>
          <t>ダンダダンPOPUP　スライドアクリルキーホルダー　星子</t>
        </is>
      </c>
      <c r="D86" s="3" t="inlineStr">
        <is>
          <t>CX01</t>
        </is>
      </c>
      <c r="E86" s="3" t="inlineStr">
        <is>
          <t>CX催事</t>
        </is>
      </c>
      <c r="F86" s="6" t="n">
        <v>0</v>
      </c>
      <c r="G86" s="7" t="n">
        <v>0</v>
      </c>
    </row>
    <row r="87">
      <c r="A87" s="3" t="inlineStr">
        <is>
          <t>4515142521376</t>
        </is>
      </c>
      <c r="B87" s="3" t="inlineStr">
        <is>
          <t>CX2412DNDSAKEY-SK</t>
        </is>
      </c>
      <c r="C87" s="3" t="inlineStr">
        <is>
          <t>ダンダダンPOPUP　スライドアクリルキーホルダー　星子</t>
        </is>
      </c>
      <c r="D87" s="3" t="inlineStr">
        <is>
          <t>DB00</t>
        </is>
      </c>
      <c r="E87" s="3" t="inlineStr">
        <is>
          <t>DBS倉庫</t>
        </is>
      </c>
      <c r="F87" s="6" t="n">
        <v>66</v>
      </c>
      <c r="G87" s="7" t="n">
        <v>10098</v>
      </c>
    </row>
    <row r="88">
      <c r="A88" s="3" t="inlineStr">
        <is>
          <t>4515142521383</t>
        </is>
      </c>
      <c r="B88" s="3" t="inlineStr">
        <is>
          <t>CX2412DNDSAKEY-AR</t>
        </is>
      </c>
      <c r="C88" s="3" t="inlineStr">
        <is>
          <t>ダンダダンPOPUP　スライドアクリルキーホルダー　アイラ</t>
        </is>
      </c>
      <c r="D88" s="3" t="inlineStr">
        <is>
          <t>CX01</t>
        </is>
      </c>
      <c r="E88" s="3" t="inlineStr">
        <is>
          <t>CX催事</t>
        </is>
      </c>
      <c r="F88" s="6" t="n">
        <v>0</v>
      </c>
      <c r="G88" s="7" t="n">
        <v>0</v>
      </c>
    </row>
    <row r="89">
      <c r="A89" s="3" t="inlineStr">
        <is>
          <t>4515142521383</t>
        </is>
      </c>
      <c r="B89" s="3" t="inlineStr">
        <is>
          <t>CX2412DNDSAKEY-AR</t>
        </is>
      </c>
      <c r="C89" s="3" t="inlineStr">
        <is>
          <t>ダンダダンPOPUP　スライドアクリルキーホルダー　アイラ</t>
        </is>
      </c>
      <c r="D89" s="3" t="inlineStr">
        <is>
          <t>DB00</t>
        </is>
      </c>
      <c r="E89" s="3" t="inlineStr">
        <is>
          <t>DBS倉庫</t>
        </is>
      </c>
      <c r="F89" s="6" t="n">
        <v>41</v>
      </c>
      <c r="G89" s="7" t="n">
        <v>6273</v>
      </c>
    </row>
    <row r="90">
      <c r="A90" s="3" t="inlineStr">
        <is>
          <t>4515142521390</t>
        </is>
      </c>
      <c r="B90" s="3" t="inlineStr">
        <is>
          <t>CX2412DNDSAKEY-GG</t>
        </is>
      </c>
      <c r="C90" s="3" t="inlineStr">
        <is>
          <t>ダンダダンPOPUP　スライドアクリルキーホルダー　ジジ</t>
        </is>
      </c>
      <c r="D90" s="3" t="inlineStr">
        <is>
          <t>CX01</t>
        </is>
      </c>
      <c r="E90" s="3" t="inlineStr">
        <is>
          <t>CX催事</t>
        </is>
      </c>
      <c r="F90" s="6" t="n">
        <v>5</v>
      </c>
      <c r="G90" s="7" t="n">
        <v>695</v>
      </c>
    </row>
    <row r="91">
      <c r="A91" s="3" t="inlineStr">
        <is>
          <t>4515142521390</t>
        </is>
      </c>
      <c r="B91" s="3" t="inlineStr">
        <is>
          <t>CX2412DNDSAKEY-GG</t>
        </is>
      </c>
      <c r="C91" s="3" t="inlineStr">
        <is>
          <t>ダンダダンPOPUP　スライドアクリルキーホルダー　ジジ</t>
        </is>
      </c>
      <c r="D91" s="3" t="inlineStr">
        <is>
          <t>DB00</t>
        </is>
      </c>
      <c r="E91" s="3" t="inlineStr">
        <is>
          <t>DBS倉庫</t>
        </is>
      </c>
      <c r="F91" s="6" t="n">
        <v>10</v>
      </c>
      <c r="G91" s="7" t="n">
        <v>1390</v>
      </c>
    </row>
    <row r="92">
      <c r="A92" s="3" t="inlineStr">
        <is>
          <t>4515142521406</t>
        </is>
      </c>
      <c r="B92" s="3" t="inlineStr">
        <is>
          <t>CX2412DNDSAKEY-TB</t>
        </is>
      </c>
      <c r="C92" s="3" t="inlineStr">
        <is>
          <t>ダンダダンPOPUP　スライドアクリルキーホルダー　ターボババア(招き猫)</t>
        </is>
      </c>
      <c r="D92" s="3" t="inlineStr">
        <is>
          <t>CX01</t>
        </is>
      </c>
      <c r="E92" s="3" t="inlineStr">
        <is>
          <t>CX催事</t>
        </is>
      </c>
      <c r="F92" s="6" t="n">
        <v>4</v>
      </c>
      <c r="G92" s="7" t="n">
        <v>592</v>
      </c>
    </row>
    <row r="93">
      <c r="A93" s="3" t="inlineStr">
        <is>
          <t>4515142521406</t>
        </is>
      </c>
      <c r="B93" s="3" t="inlineStr">
        <is>
          <t>CX2412DNDSAKEY-TB</t>
        </is>
      </c>
      <c r="C93" s="3" t="inlineStr">
        <is>
          <t>ダンダダンPOPUP　スライドアクリルキーホルダー　ターボババア(招き猫)</t>
        </is>
      </c>
      <c r="D93" s="3" t="inlineStr">
        <is>
          <t>DB00</t>
        </is>
      </c>
      <c r="E93" s="3" t="inlineStr">
        <is>
          <t>DBS倉庫</t>
        </is>
      </c>
      <c r="F93" s="6" t="n">
        <v>70</v>
      </c>
      <c r="G93" s="7" t="n">
        <v>10360</v>
      </c>
    </row>
    <row r="94">
      <c r="A94" s="3" t="inlineStr">
        <is>
          <t>4515142521413</t>
        </is>
      </c>
      <c r="B94" s="3" t="inlineStr">
        <is>
          <t>CX2412DNDSAKEY-SS</t>
        </is>
      </c>
      <c r="C94" s="3" t="inlineStr">
        <is>
          <t>ダンダダンPOPUP　スライドアクリルキーホルダー　セルポ星人</t>
        </is>
      </c>
      <c r="D94" s="3" t="inlineStr">
        <is>
          <t>CX01</t>
        </is>
      </c>
      <c r="E94" s="3" t="inlineStr">
        <is>
          <t>CX催事</t>
        </is>
      </c>
      <c r="F94" s="6" t="n">
        <v>3</v>
      </c>
      <c r="G94" s="7" t="n">
        <v>411</v>
      </c>
    </row>
    <row r="95">
      <c r="A95" s="3" t="inlineStr">
        <is>
          <t>4515142521413</t>
        </is>
      </c>
      <c r="B95" s="3" t="inlineStr">
        <is>
          <t>CX2412DNDSAKEY-SS</t>
        </is>
      </c>
      <c r="C95" s="3" t="inlineStr">
        <is>
          <t>ダンダダンPOPUP　スライドアクリルキーホルダー　セルポ星人</t>
        </is>
      </c>
      <c r="D95" s="3" t="inlineStr">
        <is>
          <t>DB00</t>
        </is>
      </c>
      <c r="E95" s="3" t="inlineStr">
        <is>
          <t>DBS倉庫</t>
        </is>
      </c>
      <c r="F95" s="6" t="n">
        <v>6</v>
      </c>
      <c r="G95" s="7" t="n">
        <v>822</v>
      </c>
    </row>
    <row r="96">
      <c r="A96" s="3" t="inlineStr">
        <is>
          <t>4515142521420</t>
        </is>
      </c>
      <c r="B96" s="3" t="inlineStr">
        <is>
          <t>CX2412DNDSAKEY-AS</t>
        </is>
      </c>
      <c r="C96" s="3" t="inlineStr">
        <is>
          <t>ダンダダンPOPUP　スライドアクリルキーホルダー　アクロバティックさらさら</t>
        </is>
      </c>
      <c r="D96" s="3" t="inlineStr">
        <is>
          <t>CX01</t>
        </is>
      </c>
      <c r="E96" s="3" t="inlineStr">
        <is>
          <t>CX催事</t>
        </is>
      </c>
      <c r="F96" s="6" t="n">
        <v>0</v>
      </c>
      <c r="G96" s="7" t="n">
        <v>0</v>
      </c>
    </row>
    <row r="97">
      <c r="A97" s="3" t="inlineStr">
        <is>
          <t>4515142521420</t>
        </is>
      </c>
      <c r="B97" s="3" t="inlineStr">
        <is>
          <t>CX2412DNDSAKEY-AS</t>
        </is>
      </c>
      <c r="C97" s="3" t="inlineStr">
        <is>
          <t>ダンダダンPOPUP　スライドアクリルキーホルダー　アクロバティックさらさら</t>
        </is>
      </c>
      <c r="D97" s="3" t="inlineStr">
        <is>
          <t>DB00</t>
        </is>
      </c>
      <c r="E97" s="3" t="inlineStr">
        <is>
          <t>DBS倉庫</t>
        </is>
      </c>
      <c r="F97" s="6" t="n">
        <v>12</v>
      </c>
      <c r="G97" s="7" t="n">
        <v>1836</v>
      </c>
    </row>
    <row r="98">
      <c r="A98" s="3" t="inlineStr">
        <is>
          <t>4515142521437</t>
        </is>
      </c>
      <c r="B98" s="3" t="inlineStr">
        <is>
          <t>CX2412DNDSAKEY-DD</t>
        </is>
      </c>
      <c r="C98" s="3" t="inlineStr">
        <is>
          <t>ダンダダンPOPUP　スライドアクリルキーホルダー　ドーバーデーモン</t>
        </is>
      </c>
      <c r="D98" s="3" t="inlineStr">
        <is>
          <t>CX01</t>
        </is>
      </c>
      <c r="E98" s="3" t="inlineStr">
        <is>
          <t>CX催事</t>
        </is>
      </c>
      <c r="F98" s="6" t="n">
        <v>5</v>
      </c>
      <c r="G98" s="7" t="n">
        <v>685</v>
      </c>
    </row>
    <row r="99">
      <c r="A99" s="3" t="inlineStr">
        <is>
          <t>4515142521437</t>
        </is>
      </c>
      <c r="B99" s="3" t="inlineStr">
        <is>
          <t>CX2412DNDSAKEY-DD</t>
        </is>
      </c>
      <c r="C99" s="3" t="inlineStr">
        <is>
          <t>ダンダダンPOPUP　スライドアクリルキーホルダー　ドーバーデーモン</t>
        </is>
      </c>
      <c r="D99" s="3" t="inlineStr">
        <is>
          <t>DB00</t>
        </is>
      </c>
      <c r="E99" s="3" t="inlineStr">
        <is>
          <t>DBS倉庫</t>
        </is>
      </c>
      <c r="F99" s="6" t="n">
        <v>28</v>
      </c>
      <c r="G99" s="7" t="n">
        <v>3836</v>
      </c>
    </row>
    <row r="100">
      <c r="A100" s="3" t="inlineStr">
        <is>
          <t>4515142521444</t>
        </is>
      </c>
      <c r="B100" s="3" t="inlineStr">
        <is>
          <t>CX2412DNDRCCDPOS-6</t>
        </is>
      </c>
      <c r="C100" s="3" t="inlineStr">
        <is>
          <t>ダンダダンPOPUP　ランダムクリアカード＆ポストカードセット　全6種</t>
        </is>
      </c>
      <c r="D100" s="3" t="inlineStr">
        <is>
          <t>CX01</t>
        </is>
      </c>
      <c r="E100" s="3" t="inlineStr">
        <is>
          <t>CX催事</t>
        </is>
      </c>
      <c r="F100" s="6" t="n">
        <v>0</v>
      </c>
      <c r="G100" s="7" t="n">
        <v>0</v>
      </c>
    </row>
    <row r="101">
      <c r="A101" s="3" t="inlineStr">
        <is>
          <t>4515142521444</t>
        </is>
      </c>
      <c r="B101" s="3" t="inlineStr">
        <is>
          <t>CX2412DNDRCCDPOS-6</t>
        </is>
      </c>
      <c r="C101" s="3" t="inlineStr">
        <is>
          <t>ダンダダンPOPUP　ランダムクリアカード＆ポストカードセット　全6種</t>
        </is>
      </c>
      <c r="D101" s="3" t="inlineStr">
        <is>
          <t>DB00</t>
        </is>
      </c>
      <c r="E101" s="3" t="inlineStr">
        <is>
          <t>DBS倉庫</t>
        </is>
      </c>
      <c r="F101" s="6" t="n">
        <v>817</v>
      </c>
      <c r="G101" s="7" t="n">
        <v>163400</v>
      </c>
    </row>
    <row r="102">
      <c r="A102" s="3" t="inlineStr">
        <is>
          <t>4515142521451</t>
        </is>
      </c>
      <c r="B102" s="3" t="inlineStr">
        <is>
          <t>CX2412DNDVPOS-A</t>
        </is>
      </c>
      <c r="C102" s="3" t="inlineStr">
        <is>
          <t>ダンダダンPOPUP　ビジュアルポストカード　A</t>
        </is>
      </c>
      <c r="D102" s="3" t="inlineStr">
        <is>
          <t>CX01</t>
        </is>
      </c>
      <c r="E102" s="3" t="inlineStr">
        <is>
          <t>CX催事</t>
        </is>
      </c>
      <c r="F102" s="6" t="n">
        <v>0</v>
      </c>
      <c r="G102" s="7" t="n">
        <v>0</v>
      </c>
    </row>
    <row r="103">
      <c r="A103" s="3" t="inlineStr">
        <is>
          <t>4515142521451</t>
        </is>
      </c>
      <c r="B103" s="3" t="inlineStr">
        <is>
          <t>CX2412DNDVPOS-A</t>
        </is>
      </c>
      <c r="C103" s="3" t="inlineStr">
        <is>
          <t>ダンダダンPOPUP　ビジュアルポストカード　A</t>
        </is>
      </c>
      <c r="D103" s="3" t="inlineStr">
        <is>
          <t>DB00</t>
        </is>
      </c>
      <c r="E103" s="3" t="inlineStr">
        <is>
          <t>DBS倉庫</t>
        </is>
      </c>
      <c r="F103" s="6" t="n">
        <v>123</v>
      </c>
      <c r="G103" s="7" t="n">
        <v>8118</v>
      </c>
    </row>
    <row r="104">
      <c r="A104" s="3" t="inlineStr">
        <is>
          <t>4515142521468</t>
        </is>
      </c>
      <c r="B104" s="3" t="inlineStr">
        <is>
          <t>CX2412DNDVPOS-B</t>
        </is>
      </c>
      <c r="C104" s="3" t="inlineStr">
        <is>
          <t>ダンダダンPOPUP　ビジュアルポストカード　B</t>
        </is>
      </c>
      <c r="D104" s="3" t="inlineStr">
        <is>
          <t>CX01</t>
        </is>
      </c>
      <c r="E104" s="3" t="inlineStr">
        <is>
          <t>CX催事</t>
        </is>
      </c>
      <c r="F104" s="6" t="n">
        <v>0</v>
      </c>
      <c r="G104" s="7" t="n">
        <v>0</v>
      </c>
    </row>
    <row r="105">
      <c r="A105" s="3" t="inlineStr">
        <is>
          <t>4515142521468</t>
        </is>
      </c>
      <c r="B105" s="3" t="inlineStr">
        <is>
          <t>CX2412DNDVPOS-B</t>
        </is>
      </c>
      <c r="C105" s="3" t="inlineStr">
        <is>
          <t>ダンダダンPOPUP　ビジュアルポストカード　B</t>
        </is>
      </c>
      <c r="D105" s="3" t="inlineStr">
        <is>
          <t>DB00</t>
        </is>
      </c>
      <c r="E105" s="3" t="inlineStr">
        <is>
          <t>DBS倉庫</t>
        </is>
      </c>
      <c r="F105" s="6" t="n">
        <v>110</v>
      </c>
      <c r="G105" s="7" t="n">
        <v>7260</v>
      </c>
    </row>
    <row r="106">
      <c r="A106" s="3" t="inlineStr">
        <is>
          <t>#</t>
        </is>
      </c>
      <c r="B106" s="3" t="inlineStr">
        <is>
          <t>QCX2412FRNPTFN-10</t>
        </is>
      </c>
      <c r="C106" s="3" t="inlineStr">
        <is>
          <t>葬送のフリーレンP 経費（課税10％）</t>
        </is>
      </c>
      <c r="D106" s="3" t="inlineStr">
        <is>
          <t>CX01</t>
        </is>
      </c>
      <c r="E106" s="3" t="inlineStr">
        <is>
          <t>CX催事</t>
        </is>
      </c>
      <c r="F106" s="6" t="n">
        <v>0</v>
      </c>
      <c r="G106" s="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1" tabSelected="0" workbookViewId="0">
      <selection activeCell="A1" sqref="A1"/>
    </sheetView>
  </sheetViews>
  <sheetFormatPr baseColWidth="8" defaultRowHeight="15"/>
  <sheetData>
    <row r="1">
      <c r="A1" s="3" t="inlineStr">
        <is>
          <t>JANコード(EAN/UPC)</t>
        </is>
      </c>
      <c r="B1" s="3" t="inlineStr"/>
    </row>
    <row r="2">
      <c r="A2" s="3" t="inlineStr">
        <is>
          <t>WBS 要素</t>
        </is>
      </c>
      <c r="B2" s="3" t="inlineStr"/>
    </row>
    <row r="3">
      <c r="A3" s="3" t="inlineStr">
        <is>
          <t>メジャー</t>
        </is>
      </c>
      <c r="B3" s="3" t="inlineStr"/>
    </row>
    <row r="4">
      <c r="A4" s="3" t="inlineStr">
        <is>
          <t>サイズ/寸法</t>
        </is>
      </c>
      <c r="B4" s="3" t="inlineStr"/>
    </row>
    <row r="5">
      <c r="A5" s="3" t="inlineStr">
        <is>
          <t>サプライヤ SID</t>
        </is>
      </c>
      <c r="B5" s="3" t="inlineStr"/>
    </row>
    <row r="6">
      <c r="A6" s="3" t="inlineStr">
        <is>
          <t>プラント</t>
        </is>
      </c>
      <c r="B6" s="3" t="inlineStr"/>
    </row>
    <row r="7">
      <c r="A7" s="3" t="inlineStr">
        <is>
          <t>プラント名</t>
        </is>
      </c>
      <c r="B7" s="3" t="inlineStr"/>
    </row>
    <row r="8">
      <c r="A8" s="3" t="inlineStr">
        <is>
          <t>ロット SID</t>
        </is>
      </c>
      <c r="B8" s="3" t="inlineStr"/>
    </row>
    <row r="9">
      <c r="A9" s="3" t="inlineStr">
        <is>
          <t>保管場所</t>
        </is>
      </c>
      <c r="B9" s="3" t="inlineStr"/>
    </row>
    <row r="10">
      <c r="A10" s="3" t="inlineStr">
        <is>
          <t>保管場所名</t>
        </is>
      </c>
      <c r="B10" s="3" t="inlineStr"/>
    </row>
    <row r="11">
      <c r="A11" s="3" t="inlineStr">
        <is>
          <t>受注明細</t>
        </is>
      </c>
      <c r="B11" s="3" t="inlineStr"/>
    </row>
    <row r="12">
      <c r="A12" s="3" t="inlineStr">
        <is>
          <t>受注番号</t>
        </is>
      </c>
      <c r="B12" s="3" t="inlineStr"/>
    </row>
    <row r="13">
      <c r="A13" s="3" t="inlineStr">
        <is>
          <t>品目コード</t>
        </is>
      </c>
      <c r="B13" s="3" t="inlineStr">
        <is>
          <t>CX2412DNDASTA-AR; CX2412DNDASTA-ARH; CX2412DNDASTA-MM; CX2412DNDASTA-OR; CX2412DNDASTA-ORH; CX2412DNDASTA-SK; CX2412DNDASTA-TB; CX2412DNDCF-AR; CX2412DNDCF-ARH; CX2412DNDCF-MM; CX2412DNDCF-OR; CX2412DNDCF-ORH; CX2412DNDCF-SK; CX2412DNDCF-TB; CX2412DNDRASKEY-6; CX2412DNDRBDG-7; CX2412DNDRBDG-ED6; CX2412DNDRBDG-OP6; CX2412DNDRCCDPOS-6; CX2412DNDSAKEY-AR; CX2412DNDSAKEY-AS; CX2412DNDSAKEY-DD; CX2412DNDSAKEY-GG; CX2412DNDSAKEY-MM; CX2412DNDSAKEY-ORH; CX2412DNDSAKEY-SK; CX2412DNDSAKEY-SS; CX2412DNDSAKEY-TB; CX2412DNDSTK3S-A; CX2412DNDSTK3S-B; CX2412DNDSTK3S-C; CX2412DNDTOTEBAG; CX2412DNDVPOS-A; CX2412DNDVPOS-B; CX2412FRNPA4CF-FR; CX2412FRNPA4CF-FRI; CX2412FRNPA4CF-ST; CX2412FRNPASTA-FR; CX2412FRNPASTA-FRI; CX2412FRNPASTA-ST; CX2412FRNPBDG-FR; CX2412FRNPBDG-FRI; CX2412FRNPBDG-ST; CX2412FRNPPKEY-FR; CX2412FRNPPKEY-FRI; CX2412FRNPPKEY-ST; CX2412FRNPPOSSET; CX2412FRNPRAKEY-20; CX2412FRNPRBDG-23; CX2412FRNPRMNOTE-6; CX2412FRNPRPKEY-7; CX2412FRNPTAG; QCX2412FRNPTFN-10</t>
        </is>
      </c>
    </row>
    <row r="14">
      <c r="A14" s="3" t="inlineStr">
        <is>
          <t>品目テキスト</t>
        </is>
      </c>
      <c r="B14" s="3" t="inlineStr"/>
    </row>
    <row r="15">
      <c r="A15" s="3" t="inlineStr">
        <is>
          <t>在庫タイプ</t>
        </is>
      </c>
      <c r="B15" s="3" t="inlineStr"/>
    </row>
    <row r="16">
      <c r="A16" s="3" t="inlineStr">
        <is>
          <t>基本数量単位</t>
        </is>
      </c>
      <c r="B16" s="3" t="inlineStr"/>
    </row>
    <row r="17">
      <c r="A17" s="3" t="inlineStr">
        <is>
          <t>得意先 SID</t>
        </is>
      </c>
      <c r="B17" s="3" t="inlineStr"/>
    </row>
    <row r="18">
      <c r="A18" s="3" t="inlineStr">
        <is>
          <t>文書</t>
        </is>
      </c>
      <c r="B18" s="3" t="inlineStr"/>
    </row>
    <row r="19">
      <c r="A19" s="3" t="inlineStr">
        <is>
          <t>文書タイプ</t>
        </is>
      </c>
      <c r="B19" s="3" t="inlineStr"/>
    </row>
    <row r="20">
      <c r="A20" s="3" t="inlineStr">
        <is>
          <t>旧製品番号</t>
        </is>
      </c>
      <c r="B20" s="3" t="inlineStr"/>
    </row>
    <row r="21">
      <c r="A21" s="3" t="inlineStr">
        <is>
          <t>案件名</t>
        </is>
      </c>
      <c r="B21" s="3" t="inlineStr"/>
    </row>
    <row r="22">
      <c r="A22" s="3" t="inlineStr">
        <is>
          <t>案件担当者</t>
        </is>
      </c>
      <c r="B22" s="3" t="inlineStr"/>
    </row>
    <row r="23">
      <c r="A23" s="3" t="inlineStr">
        <is>
          <t>案件番号</t>
        </is>
      </c>
      <c r="B23" s="3" t="inlineStr"/>
    </row>
    <row r="24">
      <c r="A24" s="3" t="inlineStr">
        <is>
          <t>照会通貨</t>
        </is>
      </c>
      <c r="B24" s="3" t="inlineStr"/>
    </row>
    <row r="25">
      <c r="A25" s="3" t="inlineStr">
        <is>
          <t>特殊在庫の追加仕入先</t>
        </is>
      </c>
      <c r="B25" s="3" t="inlineStr"/>
    </row>
    <row r="26">
      <c r="A26" s="3" t="inlineStr">
        <is>
          <t>特殊在庫タイプ</t>
        </is>
      </c>
      <c r="B26" s="3" t="inlineStr"/>
    </row>
    <row r="27">
      <c r="A27" s="3" t="inlineStr">
        <is>
          <t>製品グループ</t>
        </is>
      </c>
      <c r="B27" s="3" t="inlineStr"/>
    </row>
    <row r="28">
      <c r="A28" s="3" t="inlineStr">
        <is>
          <t>通貨</t>
        </is>
      </c>
      <c r="B28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2" min="1" max="1"/>
    <col width="24" customWidth="1" style="2" min="2" max="2"/>
    <col width="52" customWidth="1" style="2" min="3" max="3"/>
    <col width="10" customWidth="1" style="2" min="4" max="4"/>
    <col width="12" customWidth="1" style="2" min="5" max="5"/>
    <col width="14" customWidth="1" style="2" min="6" max="6"/>
    <col width="16" customWidth="1" style="2" min="7" max="7"/>
  </cols>
  <sheetData>
    <row r="1">
      <c r="A1" s="8" t="inlineStr">
        <is>
          <t>JANコード(EAN/UPC)</t>
        </is>
      </c>
      <c r="B1" s="8" t="inlineStr">
        <is>
          <t>品目コード</t>
        </is>
      </c>
      <c r="C1" s="8" t="inlineStr">
        <is>
          <t>品目テキスト</t>
        </is>
      </c>
      <c r="D1" s="8" t="inlineStr">
        <is>
          <t>保管場所</t>
        </is>
      </c>
      <c r="E1" s="8" t="inlineStr">
        <is>
          <t>保管場所名</t>
        </is>
      </c>
      <c r="F1" s="8" t="inlineStr">
        <is>
          <t>在庫数量</t>
        </is>
      </c>
      <c r="G1" s="8" t="inlineStr">
        <is>
          <t>在庫金額</t>
        </is>
      </c>
    </row>
    <row r="2">
      <c r="A2" s="9" t="inlineStr">
        <is>
          <t>4515142519946</t>
        </is>
      </c>
      <c r="B2" s="9" t="inlineStr">
        <is>
          <t>CX2412FRNPRBDG-23</t>
        </is>
      </c>
      <c r="C2" s="9" t="inlineStr">
        <is>
          <t>葬送のフリーレンP　原画ランダム缶バッジ　全23種</t>
        </is>
      </c>
      <c r="D2" s="9" t="inlineStr">
        <is>
          <t>CX01</t>
        </is>
      </c>
      <c r="E2" s="9" t="inlineStr">
        <is>
          <t>CX催事</t>
        </is>
      </c>
      <c r="F2" s="10">
        <f>SUMIFS('XTab DS_1'!$F$2:$F$106,'XTab DS_1'!$B$2:$B$106,$B2,'XTab DS_1'!$D$2:$D$106,$D2)</f>
        <v/>
      </c>
      <c r="G2" s="11">
        <f>SUMIFS('XTab DS_1'!$G$2:$G$106,'XTab DS_1'!$B$2:$B$106,$B2,'XTab DS_1'!$D$2:$D$106,$D2)</f>
        <v/>
      </c>
    </row>
    <row r="3">
      <c r="A3" s="9" t="inlineStr">
        <is>
          <t>4515142519953</t>
        </is>
      </c>
      <c r="B3" s="9" t="inlineStr">
        <is>
          <t>CX2412FRNPRAKEY-20</t>
        </is>
      </c>
      <c r="C3" s="9" t="inlineStr">
        <is>
          <t>葬送のフリーレンP　原画ランダムアクリルキーホルダー　全20種</t>
        </is>
      </c>
      <c r="D3" s="9" t="inlineStr">
        <is>
          <t>CX01</t>
        </is>
      </c>
      <c r="E3" s="9" t="inlineStr">
        <is>
          <t>CX催事</t>
        </is>
      </c>
      <c r="F3" s="10">
        <f>SUMIFS('XTab DS_1'!$F$2:$F$106,'XTab DS_1'!$B$2:$B$106,$B3,'XTab DS_1'!$D$2:$D$106,$D3)</f>
        <v/>
      </c>
      <c r="G3" s="11">
        <f>SUMIFS('XTab DS_1'!$G$2:$G$106,'XTab DS_1'!$B$2:$B$106,$B3,'XTab DS_1'!$D$2:$D$106,$D3)</f>
        <v/>
      </c>
    </row>
    <row r="4">
      <c r="A4" s="9" t="inlineStr">
        <is>
          <t>4515142519960</t>
        </is>
      </c>
      <c r="B4" s="9" t="inlineStr">
        <is>
          <t>CX2412FRNPA4CF-FRI</t>
        </is>
      </c>
      <c r="C4" s="9" t="inlineStr">
        <is>
          <t>葬送のフリーレンP　A4クリアファイル　(フリーレン)</t>
        </is>
      </c>
      <c r="D4" s="9" t="inlineStr">
        <is>
          <t>CX01</t>
        </is>
      </c>
      <c r="E4" s="9" t="inlineStr">
        <is>
          <t>CX催事</t>
        </is>
      </c>
      <c r="F4" s="10">
        <f>SUMIFS('XTab DS_1'!$F$2:$F$106,'XTab DS_1'!$B$2:$B$106,$B4,'XTab DS_1'!$D$2:$D$106,$D4)</f>
        <v/>
      </c>
      <c r="G4" s="11">
        <f>SUMIFS('XTab DS_1'!$G$2:$G$106,'XTab DS_1'!$B$2:$B$106,$B4,'XTab DS_1'!$D$2:$D$106,$D4)</f>
        <v/>
      </c>
    </row>
    <row r="5">
      <c r="A5" s="9" t="inlineStr">
        <is>
          <t>4515142519977</t>
        </is>
      </c>
      <c r="B5" s="9" t="inlineStr">
        <is>
          <t>CX2412FRNPA4CF-FR</t>
        </is>
      </c>
      <c r="C5" s="9" t="inlineStr">
        <is>
          <t>葬送のフリーレンP　A4クリアファイル　(フェルン)</t>
        </is>
      </c>
      <c r="D5" s="9" t="inlineStr">
        <is>
          <t>CX01</t>
        </is>
      </c>
      <c r="E5" s="9" t="inlineStr">
        <is>
          <t>CX催事</t>
        </is>
      </c>
      <c r="F5" s="10">
        <f>SUMIFS('XTab DS_1'!$F$2:$F$106,'XTab DS_1'!$B$2:$B$106,$B5,'XTab DS_1'!$D$2:$D$106,$D5)</f>
        <v/>
      </c>
      <c r="G5" s="11">
        <f>SUMIFS('XTab DS_1'!$G$2:$G$106,'XTab DS_1'!$B$2:$B$106,$B5,'XTab DS_1'!$D$2:$D$106,$D5)</f>
        <v/>
      </c>
    </row>
    <row r="6">
      <c r="A6" s="9" t="inlineStr">
        <is>
          <t>4515142519984</t>
        </is>
      </c>
      <c r="B6" s="9" t="inlineStr">
        <is>
          <t>CX2412FRNPA4CF-ST</t>
        </is>
      </c>
      <c r="C6" s="9" t="inlineStr">
        <is>
          <t>葬送のフリーレンP　A4クリアファイル　(シュタルク)</t>
        </is>
      </c>
      <c r="D6" s="9" t="inlineStr">
        <is>
          <t>CX01</t>
        </is>
      </c>
      <c r="E6" s="9" t="inlineStr">
        <is>
          <t>CX催事</t>
        </is>
      </c>
      <c r="F6" s="10">
        <f>SUMIFS('XTab DS_1'!$F$2:$F$106,'XTab DS_1'!$B$2:$B$106,$B6,'XTab DS_1'!$D$2:$D$106,$D6)</f>
        <v/>
      </c>
      <c r="G6" s="11">
        <f>SUMIFS('XTab DS_1'!$G$2:$G$106,'XTab DS_1'!$B$2:$B$106,$B6,'XTab DS_1'!$D$2:$D$106,$D6)</f>
        <v/>
      </c>
    </row>
    <row r="7">
      <c r="A7" s="9" t="inlineStr">
        <is>
          <t>4515142519991</t>
        </is>
      </c>
      <c r="B7" s="9" t="inlineStr">
        <is>
          <t>CX2412FRNPASTA-FRI</t>
        </is>
      </c>
      <c r="C7" s="9" t="inlineStr">
        <is>
          <t>葬送のフリーレンP　アクリルスタンド　(フリーレン)</t>
        </is>
      </c>
      <c r="D7" s="9" t="inlineStr">
        <is>
          <t>CX01</t>
        </is>
      </c>
      <c r="E7" s="9" t="inlineStr">
        <is>
          <t>CX催事</t>
        </is>
      </c>
      <c r="F7" s="10">
        <f>SUMIFS('XTab DS_1'!$F$2:$F$106,'XTab DS_1'!$B$2:$B$106,$B7,'XTab DS_1'!$D$2:$D$106,$D7)</f>
        <v/>
      </c>
      <c r="G7" s="11">
        <f>SUMIFS('XTab DS_1'!$G$2:$G$106,'XTab DS_1'!$B$2:$B$106,$B7,'XTab DS_1'!$D$2:$D$106,$D7)</f>
        <v/>
      </c>
    </row>
    <row r="8">
      <c r="A8" s="9" t="inlineStr">
        <is>
          <t>4515142520010</t>
        </is>
      </c>
      <c r="B8" s="9" t="inlineStr">
        <is>
          <t>CX2412FRNPASTA-FR</t>
        </is>
      </c>
      <c r="C8" s="9" t="inlineStr">
        <is>
          <t>葬送のフリーレンP　アクリルスタンド　(フェルン)</t>
        </is>
      </c>
      <c r="D8" s="9" t="inlineStr">
        <is>
          <t>CX01</t>
        </is>
      </c>
      <c r="E8" s="9" t="inlineStr">
        <is>
          <t>CX催事</t>
        </is>
      </c>
      <c r="F8" s="10">
        <f>SUMIFS('XTab DS_1'!$F$2:$F$106,'XTab DS_1'!$B$2:$B$106,$B8,'XTab DS_1'!$D$2:$D$106,$D8)</f>
        <v/>
      </c>
      <c r="G8" s="11">
        <f>SUMIFS('XTab DS_1'!$G$2:$G$106,'XTab DS_1'!$B$2:$B$106,$B8,'XTab DS_1'!$D$2:$D$106,$D8)</f>
        <v/>
      </c>
    </row>
    <row r="9">
      <c r="A9" s="9" t="inlineStr">
        <is>
          <t>4515142520027</t>
        </is>
      </c>
      <c r="B9" s="9" t="inlineStr">
        <is>
          <t>CX2412FRNPASTA-ST</t>
        </is>
      </c>
      <c r="C9" s="9" t="inlineStr">
        <is>
          <t>葬送のフリーレンP　アクリルスタンド　(シュタルク)</t>
        </is>
      </c>
      <c r="D9" s="9" t="inlineStr">
        <is>
          <t>CX01</t>
        </is>
      </c>
      <c r="E9" s="9" t="inlineStr">
        <is>
          <t>CX催事</t>
        </is>
      </c>
      <c r="F9" s="10">
        <f>SUMIFS('XTab DS_1'!$F$2:$F$106,'XTab DS_1'!$B$2:$B$106,$B9,'XTab DS_1'!$D$2:$D$106,$D9)</f>
        <v/>
      </c>
      <c r="G9" s="11">
        <f>SUMIFS('XTab DS_1'!$G$2:$G$106,'XTab DS_1'!$B$2:$B$106,$B9,'XTab DS_1'!$D$2:$D$106,$D9)</f>
        <v/>
      </c>
    </row>
    <row r="10">
      <c r="A10" s="9" t="inlineStr">
        <is>
          <t>4515142520034</t>
        </is>
      </c>
      <c r="B10" s="9" t="inlineStr">
        <is>
          <t>CX2412FRNPBDG-FRI</t>
        </is>
      </c>
      <c r="C10" s="9" t="inlineStr">
        <is>
          <t>葬送のフリーレンP　缶バッジ　(フリーレン)</t>
        </is>
      </c>
      <c r="D10" s="9" t="inlineStr">
        <is>
          <t>CX01</t>
        </is>
      </c>
      <c r="E10" s="9" t="inlineStr">
        <is>
          <t>CX催事</t>
        </is>
      </c>
      <c r="F10" s="10">
        <f>SUMIFS('XTab DS_1'!$F$2:$F$106,'XTab DS_1'!$B$2:$B$106,$B10,'XTab DS_1'!$D$2:$D$106,$D10)</f>
        <v/>
      </c>
      <c r="G10" s="11">
        <f>SUMIFS('XTab DS_1'!$G$2:$G$106,'XTab DS_1'!$B$2:$B$106,$B10,'XTab DS_1'!$D$2:$D$106,$D10)</f>
        <v/>
      </c>
    </row>
    <row r="11">
      <c r="A11" s="9" t="inlineStr">
        <is>
          <t>4515142520041</t>
        </is>
      </c>
      <c r="B11" s="9" t="inlineStr">
        <is>
          <t>CX2412FRNPBDG-ST</t>
        </is>
      </c>
      <c r="C11" s="9" t="inlineStr">
        <is>
          <t>葬送のフリーレンP　缶バッジ　(シュタルク)</t>
        </is>
      </c>
      <c r="D11" s="9" t="inlineStr">
        <is>
          <t>CX01</t>
        </is>
      </c>
      <c r="E11" s="9" t="inlineStr">
        <is>
          <t>CX催事</t>
        </is>
      </c>
      <c r="F11" s="10">
        <f>SUMIFS('XTab DS_1'!$F$2:$F$106,'XTab DS_1'!$B$2:$B$106,$B11,'XTab DS_1'!$D$2:$D$106,$D11)</f>
        <v/>
      </c>
      <c r="G11" s="11">
        <f>SUMIFS('XTab DS_1'!$G$2:$G$106,'XTab DS_1'!$B$2:$B$106,$B11,'XTab DS_1'!$D$2:$D$106,$D11)</f>
        <v/>
      </c>
    </row>
    <row r="12">
      <c r="A12" s="9" t="inlineStr">
        <is>
          <t>4515142520058</t>
        </is>
      </c>
      <c r="B12" s="9" t="inlineStr">
        <is>
          <t>CX2412FRNPBDG-FR</t>
        </is>
      </c>
      <c r="C12" s="9" t="inlineStr">
        <is>
          <t>葬送のフリーレンP　缶バッジ　(フェルン)</t>
        </is>
      </c>
      <c r="D12" s="9" t="inlineStr">
        <is>
          <t>CX01</t>
        </is>
      </c>
      <c r="E12" s="9" t="inlineStr">
        <is>
          <t>CX催事</t>
        </is>
      </c>
      <c r="F12" s="10">
        <f>SUMIFS('XTab DS_1'!$F$2:$F$106,'XTab DS_1'!$B$2:$B$106,$B12,'XTab DS_1'!$D$2:$D$106,$D12)</f>
        <v/>
      </c>
      <c r="G12" s="11">
        <f>SUMIFS('XTab DS_1'!$G$2:$G$106,'XTab DS_1'!$B$2:$B$106,$B12,'XTab DS_1'!$D$2:$D$106,$D12)</f>
        <v/>
      </c>
    </row>
    <row r="13">
      <c r="A13" s="9" t="inlineStr">
        <is>
          <t>4515142520065</t>
        </is>
      </c>
      <c r="B13" s="9" t="inlineStr">
        <is>
          <t>CX2412FRNPPKEY-FRI</t>
        </is>
      </c>
      <c r="C13" s="9" t="inlineStr">
        <is>
          <t>葬送のフリーレンP　フォトフレームキーホルダー　(フリーレン)</t>
        </is>
      </c>
      <c r="D13" s="9" t="inlineStr">
        <is>
          <t>CX01</t>
        </is>
      </c>
      <c r="E13" s="9" t="inlineStr">
        <is>
          <t>CX催事</t>
        </is>
      </c>
      <c r="F13" s="10">
        <f>SUMIFS('XTab DS_1'!$F$2:$F$106,'XTab DS_1'!$B$2:$B$106,$B13,'XTab DS_1'!$D$2:$D$106,$D13)</f>
        <v/>
      </c>
      <c r="G13" s="11">
        <f>SUMIFS('XTab DS_1'!$G$2:$G$106,'XTab DS_1'!$B$2:$B$106,$B13,'XTab DS_1'!$D$2:$D$106,$D13)</f>
        <v/>
      </c>
    </row>
    <row r="14">
      <c r="A14" s="9" t="inlineStr">
        <is>
          <t>4515142520072</t>
        </is>
      </c>
      <c r="B14" s="9" t="inlineStr">
        <is>
          <t>CX2412FRNPPKEY-FR</t>
        </is>
      </c>
      <c r="C14" s="9" t="inlineStr">
        <is>
          <t>葬送のフリーレンP　フォトフレームキーホルダー　(フェルン)</t>
        </is>
      </c>
      <c r="D14" s="9" t="inlineStr">
        <is>
          <t>CX01</t>
        </is>
      </c>
      <c r="E14" s="9" t="inlineStr">
        <is>
          <t>CX催事</t>
        </is>
      </c>
      <c r="F14" s="10">
        <f>SUMIFS('XTab DS_1'!$F$2:$F$106,'XTab DS_1'!$B$2:$B$106,$B14,'XTab DS_1'!$D$2:$D$106,$D14)</f>
        <v/>
      </c>
      <c r="G14" s="11">
        <f>SUMIFS('XTab DS_1'!$G$2:$G$106,'XTab DS_1'!$B$2:$B$106,$B14,'XTab DS_1'!$D$2:$D$106,$D14)</f>
        <v/>
      </c>
    </row>
    <row r="15">
      <c r="A15" s="9" t="inlineStr">
        <is>
          <t>4515142520089</t>
        </is>
      </c>
      <c r="B15" s="9" t="inlineStr">
        <is>
          <t>CX2412FRNPPKEY-ST</t>
        </is>
      </c>
      <c r="C15" s="9" t="inlineStr">
        <is>
          <t>葬送のフリーレンP　フォトフレームキーホルダー　(シュタルク)</t>
        </is>
      </c>
      <c r="D15" s="9" t="inlineStr">
        <is>
          <t>CX01</t>
        </is>
      </c>
      <c r="E15" s="9" t="inlineStr">
        <is>
          <t>CX催事</t>
        </is>
      </c>
      <c r="F15" s="10">
        <f>SUMIFS('XTab DS_1'!$F$2:$F$106,'XTab DS_1'!$B$2:$B$106,$B15,'XTab DS_1'!$D$2:$D$106,$D15)</f>
        <v/>
      </c>
      <c r="G15" s="11">
        <f>SUMIFS('XTab DS_1'!$G$2:$G$106,'XTab DS_1'!$B$2:$B$106,$B15,'XTab DS_1'!$D$2:$D$106,$D15)</f>
        <v/>
      </c>
    </row>
    <row r="16">
      <c r="A16" s="9" t="inlineStr">
        <is>
          <t>4515142520096</t>
        </is>
      </c>
      <c r="B16" s="9" t="inlineStr">
        <is>
          <t>CX2412FRNPPOSSET</t>
        </is>
      </c>
      <c r="C16" s="9" t="inlineStr">
        <is>
          <t>葬送のフリーレンP　ポストカードセット</t>
        </is>
      </c>
      <c r="D16" s="9" t="inlineStr">
        <is>
          <t>CX01</t>
        </is>
      </c>
      <c r="E16" s="9" t="inlineStr">
        <is>
          <t>CX催事</t>
        </is>
      </c>
      <c r="F16" s="10">
        <f>SUMIFS('XTab DS_1'!$F$2:$F$106,'XTab DS_1'!$B$2:$B$106,$B16,'XTab DS_1'!$D$2:$D$106,$D16)</f>
        <v/>
      </c>
      <c r="G16" s="11">
        <f>SUMIFS('XTab DS_1'!$G$2:$G$106,'XTab DS_1'!$B$2:$B$106,$B16,'XTab DS_1'!$D$2:$D$106,$D16)</f>
        <v/>
      </c>
    </row>
    <row r="17">
      <c r="A17" s="9" t="inlineStr">
        <is>
          <t>4515142520102</t>
        </is>
      </c>
      <c r="B17" s="9" t="inlineStr">
        <is>
          <t>CX2412FRNPRMNOTE-6</t>
        </is>
      </c>
      <c r="C17" s="9" t="inlineStr">
        <is>
          <t>葬送のフリーレンP　ランダム魔導書風ノート　全6種</t>
        </is>
      </c>
      <c r="D17" s="9" t="inlineStr">
        <is>
          <t>CX01</t>
        </is>
      </c>
      <c r="E17" s="9" t="inlineStr">
        <is>
          <t>CX催事</t>
        </is>
      </c>
      <c r="F17" s="10">
        <f>SUMIFS('XTab DS_1'!$F$2:$F$106,'XTab DS_1'!$B$2:$B$106,$B17,'XTab DS_1'!$D$2:$D$106,$D17)</f>
        <v/>
      </c>
      <c r="G17" s="11">
        <f>SUMIFS('XTab DS_1'!$G$2:$G$106,'XTab DS_1'!$B$2:$B$106,$B17,'XTab DS_1'!$D$2:$D$106,$D17)</f>
        <v/>
      </c>
    </row>
    <row r="18">
      <c r="A18" s="9" t="inlineStr">
        <is>
          <t>4515142520119</t>
        </is>
      </c>
      <c r="B18" s="9" t="inlineStr">
        <is>
          <t>CX2412FRNPTAG</t>
        </is>
      </c>
      <c r="C18" s="9" t="inlineStr">
        <is>
          <t>葬送のフリーレンP　付箋</t>
        </is>
      </c>
      <c r="D18" s="9" t="inlineStr">
        <is>
          <t>CX01</t>
        </is>
      </c>
      <c r="E18" s="9" t="inlineStr">
        <is>
          <t>CX催事</t>
        </is>
      </c>
      <c r="F18" s="10">
        <f>SUMIFS('XTab DS_1'!$F$2:$F$106,'XTab DS_1'!$B$2:$B$106,$B18,'XTab DS_1'!$D$2:$D$106,$D18)</f>
        <v/>
      </c>
      <c r="G18" s="11">
        <f>SUMIFS('XTab DS_1'!$G$2:$G$106,'XTab DS_1'!$B$2:$B$106,$B18,'XTab DS_1'!$D$2:$D$106,$D18)</f>
        <v/>
      </c>
    </row>
    <row r="19">
      <c r="A19" s="9" t="inlineStr">
        <is>
          <t>4515142520126</t>
        </is>
      </c>
      <c r="B19" s="9" t="inlineStr">
        <is>
          <t>CX2412FRNPRPKEY-7</t>
        </is>
      </c>
      <c r="C19" s="9" t="inlineStr">
        <is>
          <t>葬送のフリーレンP　ランダムパネルキーホルダー　全7種</t>
        </is>
      </c>
      <c r="D19" s="9" t="inlineStr">
        <is>
          <t>CX01</t>
        </is>
      </c>
      <c r="E19" s="9" t="inlineStr">
        <is>
          <t>CX催事</t>
        </is>
      </c>
      <c r="F19" s="10">
        <f>SUMIFS('XTab DS_1'!$F$2:$F$106,'XTab DS_1'!$B$2:$B$106,$B19,'XTab DS_1'!$D$2:$D$106,$D19)</f>
        <v/>
      </c>
      <c r="G19" s="11">
        <f>SUMIFS('XTab DS_1'!$G$2:$G$106,'XTab DS_1'!$B$2:$B$106,$B19,'XTab DS_1'!$D$2:$D$106,$D19)</f>
        <v/>
      </c>
    </row>
    <row r="20">
      <c r="A20" s="9" t="inlineStr">
        <is>
          <t>4515142521130</t>
        </is>
      </c>
      <c r="B20" s="9" t="inlineStr">
        <is>
          <t>CX2412DNDCF-OR</t>
        </is>
      </c>
      <c r="C20" s="9" t="inlineStr">
        <is>
          <t>ダンダダンPOPUP　クリアファイル　オカルン</t>
        </is>
      </c>
      <c r="D20" s="9" t="inlineStr">
        <is>
          <t>CX01</t>
        </is>
      </c>
      <c r="E20" s="9" t="inlineStr">
        <is>
          <t>CX催事</t>
        </is>
      </c>
      <c r="F20" s="10">
        <f>SUMIFS('XTab DS_1'!$F$2:$F$106,'XTab DS_1'!$B$2:$B$106,$B20,'XTab DS_1'!$D$2:$D$106,$D20)</f>
        <v/>
      </c>
      <c r="G20" s="11">
        <f>SUMIFS('XTab DS_1'!$G$2:$G$106,'XTab DS_1'!$B$2:$B$106,$B20,'XTab DS_1'!$D$2:$D$106,$D20)</f>
        <v/>
      </c>
    </row>
    <row r="21">
      <c r="A21" s="9" t="inlineStr">
        <is>
          <t>4515142521147</t>
        </is>
      </c>
      <c r="B21" s="9" t="inlineStr">
        <is>
          <t>CX2412DNDCF-MM</t>
        </is>
      </c>
      <c r="C21" s="9" t="inlineStr">
        <is>
          <t>ダンダダンPOPUP　クリアファイル　モモ</t>
        </is>
      </c>
      <c r="D21" s="9" t="inlineStr">
        <is>
          <t>CX01</t>
        </is>
      </c>
      <c r="E21" s="9" t="inlineStr">
        <is>
          <t>CX催事</t>
        </is>
      </c>
      <c r="F21" s="10">
        <f>SUMIFS('XTab DS_1'!$F$2:$F$106,'XTab DS_1'!$B$2:$B$106,$B21,'XTab DS_1'!$D$2:$D$106,$D21)</f>
        <v/>
      </c>
      <c r="G21" s="11">
        <f>SUMIFS('XTab DS_1'!$G$2:$G$106,'XTab DS_1'!$B$2:$B$106,$B21,'XTab DS_1'!$D$2:$D$106,$D21)</f>
        <v/>
      </c>
    </row>
    <row r="22">
      <c r="A22" s="9" t="inlineStr">
        <is>
          <t>4515142521154</t>
        </is>
      </c>
      <c r="B22" s="9" t="inlineStr">
        <is>
          <t>CX2412DNDCF-SK</t>
        </is>
      </c>
      <c r="C22" s="9" t="inlineStr">
        <is>
          <t>ダンダダンPOPUP　クリアファイル　星子</t>
        </is>
      </c>
      <c r="D22" s="9" t="inlineStr">
        <is>
          <t>CX01</t>
        </is>
      </c>
      <c r="E22" s="9" t="inlineStr">
        <is>
          <t>CX催事</t>
        </is>
      </c>
      <c r="F22" s="10">
        <f>SUMIFS('XTab DS_1'!$F$2:$F$106,'XTab DS_1'!$B$2:$B$106,$B22,'XTab DS_1'!$D$2:$D$106,$D22)</f>
        <v/>
      </c>
      <c r="G22" s="11">
        <f>SUMIFS('XTab DS_1'!$G$2:$G$106,'XTab DS_1'!$B$2:$B$106,$B22,'XTab DS_1'!$D$2:$D$106,$D22)</f>
        <v/>
      </c>
    </row>
    <row r="23">
      <c r="A23" s="9" t="inlineStr">
        <is>
          <t>4515142521161</t>
        </is>
      </c>
      <c r="B23" s="9" t="inlineStr">
        <is>
          <t>CX2412DNDCF-AR</t>
        </is>
      </c>
      <c r="C23" s="9" t="inlineStr">
        <is>
          <t>ダンダダンPOPUP　クリアファイル　アイラ</t>
        </is>
      </c>
      <c r="D23" s="9" t="inlineStr">
        <is>
          <t>CX01</t>
        </is>
      </c>
      <c r="E23" s="9" t="inlineStr">
        <is>
          <t>CX催事</t>
        </is>
      </c>
      <c r="F23" s="10">
        <f>SUMIFS('XTab DS_1'!$F$2:$F$106,'XTab DS_1'!$B$2:$B$106,$B23,'XTab DS_1'!$D$2:$D$106,$D23)</f>
        <v/>
      </c>
      <c r="G23" s="11">
        <f>SUMIFS('XTab DS_1'!$G$2:$G$106,'XTab DS_1'!$B$2:$B$106,$B23,'XTab DS_1'!$D$2:$D$106,$D23)</f>
        <v/>
      </c>
    </row>
    <row r="24">
      <c r="A24" s="9" t="inlineStr">
        <is>
          <t>4515142521178</t>
        </is>
      </c>
      <c r="B24" s="9" t="inlineStr">
        <is>
          <t>CX2412DNDCF-TB</t>
        </is>
      </c>
      <c r="C24" s="9" t="inlineStr">
        <is>
          <t>ダンダダンPOPUP　クリアファイル　ターボババア(招き猫)</t>
        </is>
      </c>
      <c r="D24" s="9" t="inlineStr">
        <is>
          <t>CX01</t>
        </is>
      </c>
      <c r="E24" s="9" t="inlineStr">
        <is>
          <t>CX催事</t>
        </is>
      </c>
      <c r="F24" s="10">
        <f>SUMIFS('XTab DS_1'!$F$2:$F$106,'XTab DS_1'!$B$2:$B$106,$B24,'XTab DS_1'!$D$2:$D$106,$D24)</f>
        <v/>
      </c>
      <c r="G24" s="11">
        <f>SUMIFS('XTab DS_1'!$G$2:$G$106,'XTab DS_1'!$B$2:$B$106,$B24,'XTab DS_1'!$D$2:$D$106,$D24)</f>
        <v/>
      </c>
    </row>
    <row r="25">
      <c r="A25" s="9" t="inlineStr">
        <is>
          <t>4515142521185</t>
        </is>
      </c>
      <c r="B25" s="9" t="inlineStr">
        <is>
          <t>CX2412DNDCF-ORH</t>
        </is>
      </c>
      <c r="C25" s="9" t="inlineStr">
        <is>
          <t>ダンダダンPOPUP　クリアファイル　オカルン(変身)</t>
        </is>
      </c>
      <c r="D25" s="9" t="inlineStr">
        <is>
          <t>CX01</t>
        </is>
      </c>
      <c r="E25" s="9" t="inlineStr">
        <is>
          <t>CX催事</t>
        </is>
      </c>
      <c r="F25" s="10">
        <f>SUMIFS('XTab DS_1'!$F$2:$F$106,'XTab DS_1'!$B$2:$B$106,$B25,'XTab DS_1'!$D$2:$D$106,$D25)</f>
        <v/>
      </c>
      <c r="G25" s="11">
        <f>SUMIFS('XTab DS_1'!$G$2:$G$106,'XTab DS_1'!$B$2:$B$106,$B25,'XTab DS_1'!$D$2:$D$106,$D25)</f>
        <v/>
      </c>
    </row>
    <row r="26">
      <c r="A26" s="9" t="inlineStr">
        <is>
          <t>4515142521192</t>
        </is>
      </c>
      <c r="B26" s="9" t="inlineStr">
        <is>
          <t>CX2412DNDCF-ARH</t>
        </is>
      </c>
      <c r="C26" s="9" t="inlineStr">
        <is>
          <t>ダンダダンPOPUP　クリアファイル　アイラ(変身)</t>
        </is>
      </c>
      <c r="D26" s="9" t="inlineStr">
        <is>
          <t>CX01</t>
        </is>
      </c>
      <c r="E26" s="9" t="inlineStr">
        <is>
          <t>CX催事</t>
        </is>
      </c>
      <c r="F26" s="10">
        <f>SUMIFS('XTab DS_1'!$F$2:$F$106,'XTab DS_1'!$B$2:$B$106,$B26,'XTab DS_1'!$D$2:$D$106,$D26)</f>
        <v/>
      </c>
      <c r="G26" s="11">
        <f>SUMIFS('XTab DS_1'!$G$2:$G$106,'XTab DS_1'!$B$2:$B$106,$B26,'XTab DS_1'!$D$2:$D$106,$D26)</f>
        <v/>
      </c>
    </row>
    <row r="27">
      <c r="A27" s="9" t="inlineStr">
        <is>
          <t>4515142521208</t>
        </is>
      </c>
      <c r="B27" s="9" t="inlineStr">
        <is>
          <t>CX2412DNDRBDG-7</t>
        </is>
      </c>
      <c r="C27" s="9" t="inlineStr">
        <is>
          <t>ダンダダンPOPUP　ランダム缶バッジ 全7種</t>
        </is>
      </c>
      <c r="D27" s="9" t="inlineStr">
        <is>
          <t>CX01</t>
        </is>
      </c>
      <c r="E27" s="9" t="inlineStr">
        <is>
          <t>CX催事</t>
        </is>
      </c>
      <c r="F27" s="10">
        <f>SUMIFS('XTab DS_1'!$F$2:$F$106,'XTab DS_1'!$B$2:$B$106,$B27,'XTab DS_1'!$D$2:$D$106,$D27)</f>
        <v/>
      </c>
      <c r="G27" s="11">
        <f>SUMIFS('XTab DS_1'!$G$2:$G$106,'XTab DS_1'!$B$2:$B$106,$B27,'XTab DS_1'!$D$2:$D$106,$D27)</f>
        <v/>
      </c>
    </row>
    <row r="28">
      <c r="A28" s="9" t="inlineStr">
        <is>
          <t>4515142521215</t>
        </is>
      </c>
      <c r="B28" s="9" t="inlineStr">
        <is>
          <t>CX2412DNDASTA-OR</t>
        </is>
      </c>
      <c r="C28" s="9" t="inlineStr">
        <is>
          <t>ダンダダンPOPUP　アクリルスタンド　オカルン</t>
        </is>
      </c>
      <c r="D28" s="9" t="inlineStr">
        <is>
          <t>CX01</t>
        </is>
      </c>
      <c r="E28" s="9" t="inlineStr">
        <is>
          <t>CX催事</t>
        </is>
      </c>
      <c r="F28" s="10">
        <f>SUMIFS('XTab DS_1'!$F$2:$F$106,'XTab DS_1'!$B$2:$B$106,$B28,'XTab DS_1'!$D$2:$D$106,$D28)</f>
        <v/>
      </c>
      <c r="G28" s="11">
        <f>SUMIFS('XTab DS_1'!$G$2:$G$106,'XTab DS_1'!$B$2:$B$106,$B28,'XTab DS_1'!$D$2:$D$106,$D28)</f>
        <v/>
      </c>
    </row>
    <row r="29">
      <c r="A29" s="9" t="inlineStr">
        <is>
          <t>4515142521222</t>
        </is>
      </c>
      <c r="B29" s="9" t="inlineStr">
        <is>
          <t>CX2412DNDASTA-MM</t>
        </is>
      </c>
      <c r="C29" s="9" t="inlineStr">
        <is>
          <t>ダンダダンPOPUP　アクリルスタンド　モモ</t>
        </is>
      </c>
      <c r="D29" s="9" t="inlineStr">
        <is>
          <t>CX01</t>
        </is>
      </c>
      <c r="E29" s="9" t="inlineStr">
        <is>
          <t>CX催事</t>
        </is>
      </c>
      <c r="F29" s="10">
        <f>SUMIFS('XTab DS_1'!$F$2:$F$106,'XTab DS_1'!$B$2:$B$106,$B29,'XTab DS_1'!$D$2:$D$106,$D29)</f>
        <v/>
      </c>
      <c r="G29" s="11">
        <f>SUMIFS('XTab DS_1'!$G$2:$G$106,'XTab DS_1'!$B$2:$B$106,$B29,'XTab DS_1'!$D$2:$D$106,$D29)</f>
        <v/>
      </c>
    </row>
    <row r="30">
      <c r="A30" s="9" t="inlineStr">
        <is>
          <t>4515142521239</t>
        </is>
      </c>
      <c r="B30" s="9" t="inlineStr">
        <is>
          <t>CX2412DNDASTA-SK</t>
        </is>
      </c>
      <c r="C30" s="9" t="inlineStr">
        <is>
          <t>ダンダダンPOPUP　アクリルスタンド　星子</t>
        </is>
      </c>
      <c r="D30" s="9" t="inlineStr">
        <is>
          <t>CX01</t>
        </is>
      </c>
      <c r="E30" s="9" t="inlineStr">
        <is>
          <t>CX催事</t>
        </is>
      </c>
      <c r="F30" s="10">
        <f>SUMIFS('XTab DS_1'!$F$2:$F$106,'XTab DS_1'!$B$2:$B$106,$B30,'XTab DS_1'!$D$2:$D$106,$D30)</f>
        <v/>
      </c>
      <c r="G30" s="11">
        <f>SUMIFS('XTab DS_1'!$G$2:$G$106,'XTab DS_1'!$B$2:$B$106,$B30,'XTab DS_1'!$D$2:$D$106,$D30)</f>
        <v/>
      </c>
    </row>
    <row r="31">
      <c r="A31" s="9" t="inlineStr">
        <is>
          <t>4515142521246</t>
        </is>
      </c>
      <c r="B31" s="9" t="inlineStr">
        <is>
          <t>CX2412DNDASTA-AR</t>
        </is>
      </c>
      <c r="C31" s="9" t="inlineStr">
        <is>
          <t>ダンダダンPOPUP　アクリルスタンド　アイラ</t>
        </is>
      </c>
      <c r="D31" s="9" t="inlineStr">
        <is>
          <t>CX01</t>
        </is>
      </c>
      <c r="E31" s="9" t="inlineStr">
        <is>
          <t>CX催事</t>
        </is>
      </c>
      <c r="F31" s="10">
        <f>SUMIFS('XTab DS_1'!$F$2:$F$106,'XTab DS_1'!$B$2:$B$106,$B31,'XTab DS_1'!$D$2:$D$106,$D31)</f>
        <v/>
      </c>
      <c r="G31" s="11">
        <f>SUMIFS('XTab DS_1'!$G$2:$G$106,'XTab DS_1'!$B$2:$B$106,$B31,'XTab DS_1'!$D$2:$D$106,$D31)</f>
        <v/>
      </c>
    </row>
    <row r="32">
      <c r="A32" s="9" t="inlineStr">
        <is>
          <t>4515142521253</t>
        </is>
      </c>
      <c r="B32" s="9" t="inlineStr">
        <is>
          <t>CX2412DNDASTA-TB</t>
        </is>
      </c>
      <c r="C32" s="9" t="inlineStr">
        <is>
          <t>ダンダダンPOPUP　アクリルスタンド　ターボババア(招き猫)</t>
        </is>
      </c>
      <c r="D32" s="9" t="inlineStr">
        <is>
          <t>CX01</t>
        </is>
      </c>
      <c r="E32" s="9" t="inlineStr">
        <is>
          <t>CX催事</t>
        </is>
      </c>
      <c r="F32" s="10">
        <f>SUMIFS('XTab DS_1'!$F$2:$F$106,'XTab DS_1'!$B$2:$B$106,$B32,'XTab DS_1'!$D$2:$D$106,$D32)</f>
        <v/>
      </c>
      <c r="G32" s="11">
        <f>SUMIFS('XTab DS_1'!$G$2:$G$106,'XTab DS_1'!$B$2:$B$106,$B32,'XTab DS_1'!$D$2:$D$106,$D32)</f>
        <v/>
      </c>
    </row>
    <row r="33">
      <c r="A33" s="9" t="inlineStr">
        <is>
          <t>4515142521260</t>
        </is>
      </c>
      <c r="B33" s="9" t="inlineStr">
        <is>
          <t>CX2412DNDASTA-ORH</t>
        </is>
      </c>
      <c r="C33" s="9" t="inlineStr">
        <is>
          <t>ダンダダンPOPUP　アクリルスタンド　オカルン(変身)</t>
        </is>
      </c>
      <c r="D33" s="9" t="inlineStr">
        <is>
          <t>CX01</t>
        </is>
      </c>
      <c r="E33" s="9" t="inlineStr">
        <is>
          <t>CX催事</t>
        </is>
      </c>
      <c r="F33" s="10">
        <f>SUMIFS('XTab DS_1'!$F$2:$F$106,'XTab DS_1'!$B$2:$B$106,$B33,'XTab DS_1'!$D$2:$D$106,$D33)</f>
        <v/>
      </c>
      <c r="G33" s="11">
        <f>SUMIFS('XTab DS_1'!$G$2:$G$106,'XTab DS_1'!$B$2:$B$106,$B33,'XTab DS_1'!$D$2:$D$106,$D33)</f>
        <v/>
      </c>
    </row>
    <row r="34">
      <c r="A34" s="9" t="inlineStr">
        <is>
          <t>4515142521277</t>
        </is>
      </c>
      <c r="B34" s="9" t="inlineStr">
        <is>
          <t>CX2412DNDASTA-ARH</t>
        </is>
      </c>
      <c r="C34" s="9" t="inlineStr">
        <is>
          <t>ダンダダンPOPUP　アクリルスタンド　アイラ(変身)</t>
        </is>
      </c>
      <c r="D34" s="9" t="inlineStr">
        <is>
          <t>CX01</t>
        </is>
      </c>
      <c r="E34" s="9" t="inlineStr">
        <is>
          <t>CX催事</t>
        </is>
      </c>
      <c r="F34" s="10">
        <f>SUMIFS('XTab DS_1'!$F$2:$F$106,'XTab DS_1'!$B$2:$B$106,$B34,'XTab DS_1'!$D$2:$D$106,$D34)</f>
        <v/>
      </c>
      <c r="G34" s="11">
        <f>SUMIFS('XTab DS_1'!$G$2:$G$106,'XTab DS_1'!$B$2:$B$106,$B34,'XTab DS_1'!$D$2:$D$106,$D34)</f>
        <v/>
      </c>
    </row>
    <row r="35">
      <c r="A35" s="9" t="inlineStr">
        <is>
          <t>4515142521284</t>
        </is>
      </c>
      <c r="B35" s="9" t="inlineStr">
        <is>
          <t>CX2412DNDSTK3S-A</t>
        </is>
      </c>
      <c r="C35" s="9" t="inlineStr">
        <is>
          <t>ダンダダンPOPUP　ステッカー3枚セット　A</t>
        </is>
      </c>
      <c r="D35" s="9" t="inlineStr">
        <is>
          <t>CX01</t>
        </is>
      </c>
      <c r="E35" s="9" t="inlineStr">
        <is>
          <t>CX催事</t>
        </is>
      </c>
      <c r="F35" s="10">
        <f>SUMIFS('XTab DS_1'!$F$2:$F$106,'XTab DS_1'!$B$2:$B$106,$B35,'XTab DS_1'!$D$2:$D$106,$D35)</f>
        <v/>
      </c>
      <c r="G35" s="11">
        <f>SUMIFS('XTab DS_1'!$G$2:$G$106,'XTab DS_1'!$B$2:$B$106,$B35,'XTab DS_1'!$D$2:$D$106,$D35)</f>
        <v/>
      </c>
    </row>
    <row r="36">
      <c r="A36" s="9" t="inlineStr">
        <is>
          <t>4515142521291</t>
        </is>
      </c>
      <c r="B36" s="9" t="inlineStr">
        <is>
          <t>CX2412DNDSTK3S-B</t>
        </is>
      </c>
      <c r="C36" s="9" t="inlineStr">
        <is>
          <t>ダンダダンPOPUP　ステッカー3枚セット　B</t>
        </is>
      </c>
      <c r="D36" s="9" t="inlineStr">
        <is>
          <t>CX01</t>
        </is>
      </c>
      <c r="E36" s="9" t="inlineStr">
        <is>
          <t>CX催事</t>
        </is>
      </c>
      <c r="F36" s="10">
        <f>SUMIFS('XTab DS_1'!$F$2:$F$106,'XTab DS_1'!$B$2:$B$106,$B36,'XTab DS_1'!$D$2:$D$106,$D36)</f>
        <v/>
      </c>
      <c r="G36" s="11">
        <f>SUMIFS('XTab DS_1'!$G$2:$G$106,'XTab DS_1'!$B$2:$B$106,$B36,'XTab DS_1'!$D$2:$D$106,$D36)</f>
        <v/>
      </c>
    </row>
    <row r="37">
      <c r="A37" s="9" t="inlineStr">
        <is>
          <t>4515142521307</t>
        </is>
      </c>
      <c r="B37" s="9" t="inlineStr">
        <is>
          <t>CX2412DNDSTK3S-C</t>
        </is>
      </c>
      <c r="C37" s="9" t="inlineStr">
        <is>
          <t>ダンダダンPOPUP　ステッカー3枚セット　C</t>
        </is>
      </c>
      <c r="D37" s="9" t="inlineStr">
        <is>
          <t>CX01</t>
        </is>
      </c>
      <c r="E37" s="9" t="inlineStr">
        <is>
          <t>CX催事</t>
        </is>
      </c>
      <c r="F37" s="10">
        <f>SUMIFS('XTab DS_1'!$F$2:$F$106,'XTab DS_1'!$B$2:$B$106,$B37,'XTab DS_1'!$D$2:$D$106,$D37)</f>
        <v/>
      </c>
      <c r="G37" s="11">
        <f>SUMIFS('XTab DS_1'!$G$2:$G$106,'XTab DS_1'!$B$2:$B$106,$B37,'XTab DS_1'!$D$2:$D$106,$D37)</f>
        <v/>
      </c>
    </row>
    <row r="38">
      <c r="A38" s="9" t="inlineStr">
        <is>
          <t>4515142521314</t>
        </is>
      </c>
      <c r="B38" s="9" t="inlineStr">
        <is>
          <t>CX2412DNDRBDG-OP6</t>
        </is>
      </c>
      <c r="C38" s="9" t="inlineStr">
        <is>
          <t>ダンダダンPOPUP　ランダム缶バッジ　オープニング　全6種</t>
        </is>
      </c>
      <c r="D38" s="9" t="inlineStr">
        <is>
          <t>CX01</t>
        </is>
      </c>
      <c r="E38" s="9" t="inlineStr">
        <is>
          <t>CX催事</t>
        </is>
      </c>
      <c r="F38" s="10">
        <f>SUMIFS('XTab DS_1'!$F$2:$F$106,'XTab DS_1'!$B$2:$B$106,$B38,'XTab DS_1'!$D$2:$D$106,$D38)</f>
        <v/>
      </c>
      <c r="G38" s="11">
        <f>SUMIFS('XTab DS_1'!$G$2:$G$106,'XTab DS_1'!$B$2:$B$106,$B38,'XTab DS_1'!$D$2:$D$106,$D38)</f>
        <v/>
      </c>
    </row>
    <row r="39">
      <c r="A39" s="9" t="inlineStr">
        <is>
          <t>4515142521321</t>
        </is>
      </c>
      <c r="B39" s="9" t="inlineStr">
        <is>
          <t>CX2412DNDRBDG-ED6</t>
        </is>
      </c>
      <c r="C39" s="9" t="inlineStr">
        <is>
          <t>ダンダダンPOPUP　ランダム缶バッジ　エンディング　全6種</t>
        </is>
      </c>
      <c r="D39" s="9" t="inlineStr">
        <is>
          <t>CX01</t>
        </is>
      </c>
      <c r="E39" s="9" t="inlineStr">
        <is>
          <t>CX催事</t>
        </is>
      </c>
      <c r="F39" s="10">
        <f>SUMIFS('XTab DS_1'!$F$2:$F$106,'XTab DS_1'!$B$2:$B$106,$B39,'XTab DS_1'!$D$2:$D$106,$D39)</f>
        <v/>
      </c>
      <c r="G39" s="11">
        <f>SUMIFS('XTab DS_1'!$G$2:$G$106,'XTab DS_1'!$B$2:$B$106,$B39,'XTab DS_1'!$D$2:$D$106,$D39)</f>
        <v/>
      </c>
    </row>
    <row r="40">
      <c r="A40" s="9" t="inlineStr">
        <is>
          <t>4515142521338</t>
        </is>
      </c>
      <c r="B40" s="9" t="inlineStr">
        <is>
          <t>CX2412DNDRASKEY-6</t>
        </is>
      </c>
      <c r="C40" s="9" t="inlineStr">
        <is>
          <t>ダンダダンPOPUP　ランダムアクリルキーホルダー　全6種</t>
        </is>
      </c>
      <c r="D40" s="9" t="inlineStr">
        <is>
          <t>CX01</t>
        </is>
      </c>
      <c r="E40" s="9" t="inlineStr">
        <is>
          <t>CX催事</t>
        </is>
      </c>
      <c r="F40" s="10">
        <f>SUMIFS('XTab DS_1'!$F$2:$F$106,'XTab DS_1'!$B$2:$B$106,$B40,'XTab DS_1'!$D$2:$D$106,$D40)</f>
        <v/>
      </c>
      <c r="G40" s="11">
        <f>SUMIFS('XTab DS_1'!$G$2:$G$106,'XTab DS_1'!$B$2:$B$106,$B40,'XTab DS_1'!$D$2:$D$106,$D40)</f>
        <v/>
      </c>
    </row>
    <row r="41">
      <c r="A41" s="9" t="inlineStr">
        <is>
          <t>4515142521345</t>
        </is>
      </c>
      <c r="B41" s="9" t="inlineStr">
        <is>
          <t>CX2412DNDTOTEBAG</t>
        </is>
      </c>
      <c r="C41" s="9" t="inlineStr">
        <is>
          <t>ダンダダンPOPUP　トートバッグ</t>
        </is>
      </c>
      <c r="D41" s="9" t="inlineStr">
        <is>
          <t>CX01</t>
        </is>
      </c>
      <c r="E41" s="9" t="inlineStr">
        <is>
          <t>CX催事</t>
        </is>
      </c>
      <c r="F41" s="10">
        <f>SUMIFS('XTab DS_1'!$F$2:$F$106,'XTab DS_1'!$B$2:$B$106,$B41,'XTab DS_1'!$D$2:$D$106,$D41)</f>
        <v/>
      </c>
      <c r="G41" s="11">
        <f>SUMIFS('XTab DS_1'!$G$2:$G$106,'XTab DS_1'!$B$2:$B$106,$B41,'XTab DS_1'!$D$2:$D$106,$D41)</f>
        <v/>
      </c>
    </row>
    <row r="42">
      <c r="A42" s="9" t="inlineStr">
        <is>
          <t>4515142521352</t>
        </is>
      </c>
      <c r="B42" s="9" t="inlineStr">
        <is>
          <t>CX2412DNDSAKEY-ORH</t>
        </is>
      </c>
      <c r="C42" s="9" t="inlineStr">
        <is>
          <t>ダンダダンPOPUP　スライドアクリルキーホルダー　オカルン(変身)</t>
        </is>
      </c>
      <c r="D42" s="9" t="inlineStr">
        <is>
          <t>CX01</t>
        </is>
      </c>
      <c r="E42" s="9" t="inlineStr">
        <is>
          <t>CX催事</t>
        </is>
      </c>
      <c r="F42" s="10">
        <f>SUMIFS('XTab DS_1'!$F$2:$F$106,'XTab DS_1'!$B$2:$B$106,$B42,'XTab DS_1'!$D$2:$D$106,$D42)</f>
        <v/>
      </c>
      <c r="G42" s="11">
        <f>SUMIFS('XTab DS_1'!$G$2:$G$106,'XTab DS_1'!$B$2:$B$106,$B42,'XTab DS_1'!$D$2:$D$106,$D42)</f>
        <v/>
      </c>
    </row>
    <row r="43">
      <c r="A43" s="9" t="inlineStr">
        <is>
          <t>4515142521369</t>
        </is>
      </c>
      <c r="B43" s="9" t="inlineStr">
        <is>
          <t>CX2412DNDSAKEY-MM</t>
        </is>
      </c>
      <c r="C43" s="9" t="inlineStr">
        <is>
          <t>ダンダダンPOPUP　スライドアクリルキーホルダー　モモ</t>
        </is>
      </c>
      <c r="D43" s="9" t="inlineStr">
        <is>
          <t>CX01</t>
        </is>
      </c>
      <c r="E43" s="9" t="inlineStr">
        <is>
          <t>CX催事</t>
        </is>
      </c>
      <c r="F43" s="10">
        <f>SUMIFS('XTab DS_1'!$F$2:$F$106,'XTab DS_1'!$B$2:$B$106,$B43,'XTab DS_1'!$D$2:$D$106,$D43)</f>
        <v/>
      </c>
      <c r="G43" s="11">
        <f>SUMIFS('XTab DS_1'!$G$2:$G$106,'XTab DS_1'!$B$2:$B$106,$B43,'XTab DS_1'!$D$2:$D$106,$D43)</f>
        <v/>
      </c>
    </row>
    <row r="44">
      <c r="A44" s="9" t="inlineStr">
        <is>
          <t>4515142521376</t>
        </is>
      </c>
      <c r="B44" s="9" t="inlineStr">
        <is>
          <t>CX2412DNDSAKEY-SK</t>
        </is>
      </c>
      <c r="C44" s="9" t="inlineStr">
        <is>
          <t>ダンダダンPOPUP　スライドアクリルキーホルダー　星子</t>
        </is>
      </c>
      <c r="D44" s="9" t="inlineStr">
        <is>
          <t>CX01</t>
        </is>
      </c>
      <c r="E44" s="9" t="inlineStr">
        <is>
          <t>CX催事</t>
        </is>
      </c>
      <c r="F44" s="10">
        <f>SUMIFS('XTab DS_1'!$F$2:$F$106,'XTab DS_1'!$B$2:$B$106,$B44,'XTab DS_1'!$D$2:$D$106,$D44)</f>
        <v/>
      </c>
      <c r="G44" s="11">
        <f>SUMIFS('XTab DS_1'!$G$2:$G$106,'XTab DS_1'!$B$2:$B$106,$B44,'XTab DS_1'!$D$2:$D$106,$D44)</f>
        <v/>
      </c>
    </row>
    <row r="45">
      <c r="A45" s="9" t="inlineStr">
        <is>
          <t>4515142521383</t>
        </is>
      </c>
      <c r="B45" s="9" t="inlineStr">
        <is>
          <t>CX2412DNDSAKEY-AR</t>
        </is>
      </c>
      <c r="C45" s="9" t="inlineStr">
        <is>
          <t>ダンダダンPOPUP　スライドアクリルキーホルダー　アイラ</t>
        </is>
      </c>
      <c r="D45" s="9" t="inlineStr">
        <is>
          <t>CX01</t>
        </is>
      </c>
      <c r="E45" s="9" t="inlineStr">
        <is>
          <t>CX催事</t>
        </is>
      </c>
      <c r="F45" s="10">
        <f>SUMIFS('XTab DS_1'!$F$2:$F$106,'XTab DS_1'!$B$2:$B$106,$B45,'XTab DS_1'!$D$2:$D$106,$D45)</f>
        <v/>
      </c>
      <c r="G45" s="11">
        <f>SUMIFS('XTab DS_1'!$G$2:$G$106,'XTab DS_1'!$B$2:$B$106,$B45,'XTab DS_1'!$D$2:$D$106,$D45)</f>
        <v/>
      </c>
    </row>
    <row r="46">
      <c r="A46" s="9" t="inlineStr">
        <is>
          <t>4515142521390</t>
        </is>
      </c>
      <c r="B46" s="9" t="inlineStr">
        <is>
          <t>CX2412DNDSAKEY-GG</t>
        </is>
      </c>
      <c r="C46" s="9" t="inlineStr">
        <is>
          <t>ダンダダンPOPUP　スライドアクリルキーホルダー　ジジ</t>
        </is>
      </c>
      <c r="D46" s="9" t="inlineStr">
        <is>
          <t>CX01</t>
        </is>
      </c>
      <c r="E46" s="9" t="inlineStr">
        <is>
          <t>CX催事</t>
        </is>
      </c>
      <c r="F46" s="10">
        <f>SUMIFS('XTab DS_1'!$F$2:$F$106,'XTab DS_1'!$B$2:$B$106,$B46,'XTab DS_1'!$D$2:$D$106,$D46)</f>
        <v/>
      </c>
      <c r="G46" s="11">
        <f>SUMIFS('XTab DS_1'!$G$2:$G$106,'XTab DS_1'!$B$2:$B$106,$B46,'XTab DS_1'!$D$2:$D$106,$D46)</f>
        <v/>
      </c>
    </row>
    <row r="47">
      <c r="A47" s="9" t="inlineStr">
        <is>
          <t>4515142521406</t>
        </is>
      </c>
      <c r="B47" s="9" t="inlineStr">
        <is>
          <t>CX2412DNDSAKEY-TB</t>
        </is>
      </c>
      <c r="C47" s="9" t="inlineStr">
        <is>
          <t>ダンダダンPOPUP　スライドアクリルキーホルダー　ターボババア(招き猫)</t>
        </is>
      </c>
      <c r="D47" s="9" t="inlineStr">
        <is>
          <t>CX01</t>
        </is>
      </c>
      <c r="E47" s="9" t="inlineStr">
        <is>
          <t>CX催事</t>
        </is>
      </c>
      <c r="F47" s="10">
        <f>SUMIFS('XTab DS_1'!$F$2:$F$106,'XTab DS_1'!$B$2:$B$106,$B47,'XTab DS_1'!$D$2:$D$106,$D47)</f>
        <v/>
      </c>
      <c r="G47" s="11">
        <f>SUMIFS('XTab DS_1'!$G$2:$G$106,'XTab DS_1'!$B$2:$B$106,$B47,'XTab DS_1'!$D$2:$D$106,$D47)</f>
        <v/>
      </c>
    </row>
    <row r="48">
      <c r="A48" s="9" t="inlineStr">
        <is>
          <t>4515142521413</t>
        </is>
      </c>
      <c r="B48" s="9" t="inlineStr">
        <is>
          <t>CX2412DNDSAKEY-SS</t>
        </is>
      </c>
      <c r="C48" s="9" t="inlineStr">
        <is>
          <t>ダンダダンPOPUP　スライドアクリルキーホルダー　セルポ星人</t>
        </is>
      </c>
      <c r="D48" s="9" t="inlineStr">
        <is>
          <t>CX01</t>
        </is>
      </c>
      <c r="E48" s="9" t="inlineStr">
        <is>
          <t>CX催事</t>
        </is>
      </c>
      <c r="F48" s="10">
        <f>SUMIFS('XTab DS_1'!$F$2:$F$106,'XTab DS_1'!$B$2:$B$106,$B48,'XTab DS_1'!$D$2:$D$106,$D48)</f>
        <v/>
      </c>
      <c r="G48" s="11">
        <f>SUMIFS('XTab DS_1'!$G$2:$G$106,'XTab DS_1'!$B$2:$B$106,$B48,'XTab DS_1'!$D$2:$D$106,$D48)</f>
        <v/>
      </c>
    </row>
    <row r="49">
      <c r="A49" s="9" t="inlineStr">
        <is>
          <t>4515142521420</t>
        </is>
      </c>
      <c r="B49" s="9" t="inlineStr">
        <is>
          <t>CX2412DNDSAKEY-AS</t>
        </is>
      </c>
      <c r="C49" s="9" t="inlineStr">
        <is>
          <t>ダンダダンPOPUP　スライドアクリルキーホルダー　アクロバティックさらさら</t>
        </is>
      </c>
      <c r="D49" s="9" t="inlineStr">
        <is>
          <t>CX01</t>
        </is>
      </c>
      <c r="E49" s="9" t="inlineStr">
        <is>
          <t>CX催事</t>
        </is>
      </c>
      <c r="F49" s="10">
        <f>SUMIFS('XTab DS_1'!$F$2:$F$106,'XTab DS_1'!$B$2:$B$106,$B49,'XTab DS_1'!$D$2:$D$106,$D49)</f>
        <v/>
      </c>
      <c r="G49" s="11">
        <f>SUMIFS('XTab DS_1'!$G$2:$G$106,'XTab DS_1'!$B$2:$B$106,$B49,'XTab DS_1'!$D$2:$D$106,$D49)</f>
        <v/>
      </c>
    </row>
    <row r="50">
      <c r="A50" s="9" t="inlineStr">
        <is>
          <t>4515142521437</t>
        </is>
      </c>
      <c r="B50" s="9" t="inlineStr">
        <is>
          <t>CX2412DNDSAKEY-DD</t>
        </is>
      </c>
      <c r="C50" s="9" t="inlineStr">
        <is>
          <t>ダンダダンPOPUP　スライドアクリルキーホルダー　ドーバーデーモン</t>
        </is>
      </c>
      <c r="D50" s="9" t="inlineStr">
        <is>
          <t>CX01</t>
        </is>
      </c>
      <c r="E50" s="9" t="inlineStr">
        <is>
          <t>CX催事</t>
        </is>
      </c>
      <c r="F50" s="10">
        <f>SUMIFS('XTab DS_1'!$F$2:$F$106,'XTab DS_1'!$B$2:$B$106,$B50,'XTab DS_1'!$D$2:$D$106,$D50)</f>
        <v/>
      </c>
      <c r="G50" s="11">
        <f>SUMIFS('XTab DS_1'!$G$2:$G$106,'XTab DS_1'!$B$2:$B$106,$B50,'XTab DS_1'!$D$2:$D$106,$D50)</f>
        <v/>
      </c>
    </row>
    <row r="51">
      <c r="A51" s="9" t="inlineStr">
        <is>
          <t>4515142521444</t>
        </is>
      </c>
      <c r="B51" s="9" t="inlineStr">
        <is>
          <t>CX2412DNDRCCDPOS-6</t>
        </is>
      </c>
      <c r="C51" s="9" t="inlineStr">
        <is>
          <t>ダンダダンPOPUP　ランダムクリアカード＆ポストカードセット　全6種</t>
        </is>
      </c>
      <c r="D51" s="9" t="inlineStr">
        <is>
          <t>CX01</t>
        </is>
      </c>
      <c r="E51" s="9" t="inlineStr">
        <is>
          <t>CX催事</t>
        </is>
      </c>
      <c r="F51" s="10">
        <f>SUMIFS('XTab DS_1'!$F$2:$F$106,'XTab DS_1'!$B$2:$B$106,$B51,'XTab DS_1'!$D$2:$D$106,$D51)</f>
        <v/>
      </c>
      <c r="G51" s="11">
        <f>SUMIFS('XTab DS_1'!$G$2:$G$106,'XTab DS_1'!$B$2:$B$106,$B51,'XTab DS_1'!$D$2:$D$106,$D51)</f>
        <v/>
      </c>
    </row>
    <row r="52">
      <c r="A52" s="9" t="inlineStr">
        <is>
          <t>4515142521451</t>
        </is>
      </c>
      <c r="B52" s="9" t="inlineStr">
        <is>
          <t>CX2412DNDVPOS-A</t>
        </is>
      </c>
      <c r="C52" s="9" t="inlineStr">
        <is>
          <t>ダンダダンPOPUP　ビジュアルポストカード　A</t>
        </is>
      </c>
      <c r="D52" s="9" t="inlineStr">
        <is>
          <t>CX01</t>
        </is>
      </c>
      <c r="E52" s="9" t="inlineStr">
        <is>
          <t>CX催事</t>
        </is>
      </c>
      <c r="F52" s="10">
        <f>SUMIFS('XTab DS_1'!$F$2:$F$106,'XTab DS_1'!$B$2:$B$106,$B52,'XTab DS_1'!$D$2:$D$106,$D52)</f>
        <v/>
      </c>
      <c r="G52" s="11">
        <f>SUMIFS('XTab DS_1'!$G$2:$G$106,'XTab DS_1'!$B$2:$B$106,$B52,'XTab DS_1'!$D$2:$D$106,$D52)</f>
        <v/>
      </c>
    </row>
    <row r="53">
      <c r="A53" s="9" t="inlineStr">
        <is>
          <t>4515142521468</t>
        </is>
      </c>
      <c r="B53" s="9" t="inlineStr">
        <is>
          <t>CX2412DNDVPOS-B</t>
        </is>
      </c>
      <c r="C53" s="9" t="inlineStr">
        <is>
          <t>ダンダダンPOPUP　ビジュアルポストカード　B</t>
        </is>
      </c>
      <c r="D53" s="9" t="inlineStr">
        <is>
          <t>CX01</t>
        </is>
      </c>
      <c r="E53" s="9" t="inlineStr">
        <is>
          <t>CX催事</t>
        </is>
      </c>
      <c r="F53" s="10">
        <f>SUMIFS('XTab DS_1'!$F$2:$F$106,'XTab DS_1'!$B$2:$B$106,$B53,'XTab DS_1'!$D$2:$D$106,$D53)</f>
        <v/>
      </c>
      <c r="G53" s="11">
        <f>SUMIFS('XTab DS_1'!$G$2:$G$106,'XTab DS_1'!$B$2:$B$106,$B53,'XTab DS_1'!$D$2:$D$106,$D53)</f>
        <v/>
      </c>
    </row>
    <row r="54">
      <c r="A54" s="12" t="n"/>
      <c r="B54" s="12" t="n"/>
      <c r="C54" s="13" t="inlineStr">
        <is>
          <t>合計</t>
        </is>
      </c>
      <c r="D54" s="12" t="n"/>
      <c r="E54" s="12" t="n"/>
      <c r="F54" s="14">
        <f>SUM(F2:F53)</f>
        <v/>
      </c>
      <c r="G54" s="15">
        <f>SUM(G2:G53)</f>
        <v/>
      </c>
    </row>
  </sheetData>
  <autoFilter ref="A1: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2" min="1" max="1"/>
    <col width="24" customWidth="1" style="2" min="2" max="2"/>
    <col width="52" customWidth="1" style="2" min="3" max="3"/>
    <col width="10" customWidth="1" style="2" min="4" max="4"/>
    <col width="12" customWidth="1" style="2" min="5" max="5"/>
    <col width="14" customWidth="1" style="2" min="6" max="6"/>
    <col width="16" customWidth="1" style="2" min="7" max="7"/>
  </cols>
  <sheetData>
    <row r="1">
      <c r="A1" s="8" t="inlineStr">
        <is>
          <t>JANコード(EAN/UPC)</t>
        </is>
      </c>
      <c r="B1" s="8" t="inlineStr">
        <is>
          <t>品目コード</t>
        </is>
      </c>
      <c r="C1" s="8" t="inlineStr">
        <is>
          <t>品目テキスト</t>
        </is>
      </c>
      <c r="D1" s="8" t="inlineStr">
        <is>
          <t>保管場所</t>
        </is>
      </c>
      <c r="E1" s="8" t="inlineStr">
        <is>
          <t>保管場所名</t>
        </is>
      </c>
      <c r="F1" s="8" t="inlineStr">
        <is>
          <t>在庫数量</t>
        </is>
      </c>
      <c r="G1" s="8" t="inlineStr">
        <is>
          <t>在庫金額</t>
        </is>
      </c>
    </row>
    <row r="2">
      <c r="A2" s="9" t="inlineStr">
        <is>
          <t>4515142519946</t>
        </is>
      </c>
      <c r="B2" s="9" t="inlineStr">
        <is>
          <t>CX2412FRNPRBDG-23</t>
        </is>
      </c>
      <c r="C2" s="9" t="inlineStr">
        <is>
          <t>葬送のフリーレンP　原画ランダム缶バッジ　全23種</t>
        </is>
      </c>
      <c r="D2" s="9" t="inlineStr">
        <is>
          <t>DB00</t>
        </is>
      </c>
      <c r="E2" s="9" t="inlineStr">
        <is>
          <t>DBS倉庫</t>
        </is>
      </c>
      <c r="F2" s="10">
        <f>SUMIFS('XTab DS_1'!$F$2:$F$106,'XTab DS_1'!$B$2:$B$106,$B2,'XTab DS_1'!$D$2:$D$106,$D2)</f>
        <v/>
      </c>
      <c r="G2" s="11">
        <f>SUMIFS('XTab DS_1'!$G$2:$G$106,'XTab DS_1'!$B$2:$B$106,$B2,'XTab DS_1'!$D$2:$D$106,$D2)</f>
        <v/>
      </c>
    </row>
    <row r="3">
      <c r="A3" s="9" t="inlineStr">
        <is>
          <t>4515142519953</t>
        </is>
      </c>
      <c r="B3" s="9" t="inlineStr">
        <is>
          <t>CX2412FRNPRAKEY-20</t>
        </is>
      </c>
      <c r="C3" s="9" t="inlineStr">
        <is>
          <t>葬送のフリーレンP　原画ランダムアクリルキーホルダー　全20種</t>
        </is>
      </c>
      <c r="D3" s="9" t="inlineStr">
        <is>
          <t>DB00</t>
        </is>
      </c>
      <c r="E3" s="9" t="inlineStr">
        <is>
          <t>DBS倉庫</t>
        </is>
      </c>
      <c r="F3" s="10">
        <f>SUMIFS('XTab DS_1'!$F$2:$F$106,'XTab DS_1'!$B$2:$B$106,$B3,'XTab DS_1'!$D$2:$D$106,$D3)</f>
        <v/>
      </c>
      <c r="G3" s="11">
        <f>SUMIFS('XTab DS_1'!$G$2:$G$106,'XTab DS_1'!$B$2:$B$106,$B3,'XTab DS_1'!$D$2:$D$106,$D3)</f>
        <v/>
      </c>
    </row>
    <row r="4">
      <c r="A4" s="9" t="inlineStr">
        <is>
          <t>4515142519960</t>
        </is>
      </c>
      <c r="B4" s="9" t="inlineStr">
        <is>
          <t>CX2412FRNPA4CF-FRI</t>
        </is>
      </c>
      <c r="C4" s="9" t="inlineStr">
        <is>
          <t>葬送のフリーレンP　A4クリアファイル　(フリーレン)</t>
        </is>
      </c>
      <c r="D4" s="9" t="inlineStr">
        <is>
          <t>DB00</t>
        </is>
      </c>
      <c r="E4" s="9" t="inlineStr">
        <is>
          <t>DBS倉庫</t>
        </is>
      </c>
      <c r="F4" s="10">
        <f>SUMIFS('XTab DS_1'!$F$2:$F$106,'XTab DS_1'!$B$2:$B$106,$B4,'XTab DS_1'!$D$2:$D$106,$D4)</f>
        <v/>
      </c>
      <c r="G4" s="11">
        <f>SUMIFS('XTab DS_1'!$G$2:$G$106,'XTab DS_1'!$B$2:$B$106,$B4,'XTab DS_1'!$D$2:$D$106,$D4)</f>
        <v/>
      </c>
    </row>
    <row r="5">
      <c r="A5" s="9" t="inlineStr">
        <is>
          <t>4515142519977</t>
        </is>
      </c>
      <c r="B5" s="9" t="inlineStr">
        <is>
          <t>CX2412FRNPA4CF-FR</t>
        </is>
      </c>
      <c r="C5" s="9" t="inlineStr">
        <is>
          <t>葬送のフリーレンP　A4クリアファイル　(フェルン)</t>
        </is>
      </c>
      <c r="D5" s="9" t="inlineStr">
        <is>
          <t>DB00</t>
        </is>
      </c>
      <c r="E5" s="9" t="inlineStr">
        <is>
          <t>DBS倉庫</t>
        </is>
      </c>
      <c r="F5" s="10">
        <f>SUMIFS('XTab DS_1'!$F$2:$F$106,'XTab DS_1'!$B$2:$B$106,$B5,'XTab DS_1'!$D$2:$D$106,$D5)</f>
        <v/>
      </c>
      <c r="G5" s="11">
        <f>SUMIFS('XTab DS_1'!$G$2:$G$106,'XTab DS_1'!$B$2:$B$106,$B5,'XTab DS_1'!$D$2:$D$106,$D5)</f>
        <v/>
      </c>
    </row>
    <row r="6">
      <c r="A6" s="9" t="inlineStr">
        <is>
          <t>4515142519984</t>
        </is>
      </c>
      <c r="B6" s="9" t="inlineStr">
        <is>
          <t>CX2412FRNPA4CF-ST</t>
        </is>
      </c>
      <c r="C6" s="9" t="inlineStr">
        <is>
          <t>葬送のフリーレンP　A4クリアファイル　(シュタルク)</t>
        </is>
      </c>
      <c r="D6" s="9" t="inlineStr">
        <is>
          <t>DB00</t>
        </is>
      </c>
      <c r="E6" s="9" t="inlineStr">
        <is>
          <t>DBS倉庫</t>
        </is>
      </c>
      <c r="F6" s="10">
        <f>SUMIFS('XTab DS_1'!$F$2:$F$106,'XTab DS_1'!$B$2:$B$106,$B6,'XTab DS_1'!$D$2:$D$106,$D6)</f>
        <v/>
      </c>
      <c r="G6" s="11">
        <f>SUMIFS('XTab DS_1'!$G$2:$G$106,'XTab DS_1'!$B$2:$B$106,$B6,'XTab DS_1'!$D$2:$D$106,$D6)</f>
        <v/>
      </c>
    </row>
    <row r="7">
      <c r="A7" s="9" t="inlineStr">
        <is>
          <t>4515142519991</t>
        </is>
      </c>
      <c r="B7" s="9" t="inlineStr">
        <is>
          <t>CX2412FRNPASTA-FRI</t>
        </is>
      </c>
      <c r="C7" s="9" t="inlineStr">
        <is>
          <t>葬送のフリーレンP　アクリルスタンド　(フリーレン)</t>
        </is>
      </c>
      <c r="D7" s="9" t="inlineStr">
        <is>
          <t>DB00</t>
        </is>
      </c>
      <c r="E7" s="9" t="inlineStr">
        <is>
          <t>DBS倉庫</t>
        </is>
      </c>
      <c r="F7" s="10">
        <f>SUMIFS('XTab DS_1'!$F$2:$F$106,'XTab DS_1'!$B$2:$B$106,$B7,'XTab DS_1'!$D$2:$D$106,$D7)</f>
        <v/>
      </c>
      <c r="G7" s="11">
        <f>SUMIFS('XTab DS_1'!$G$2:$G$106,'XTab DS_1'!$B$2:$B$106,$B7,'XTab DS_1'!$D$2:$D$106,$D7)</f>
        <v/>
      </c>
    </row>
    <row r="8">
      <c r="A8" s="9" t="inlineStr">
        <is>
          <t>4515142520010</t>
        </is>
      </c>
      <c r="B8" s="9" t="inlineStr">
        <is>
          <t>CX2412FRNPASTA-FR</t>
        </is>
      </c>
      <c r="C8" s="9" t="inlineStr">
        <is>
          <t>葬送のフリーレンP　アクリルスタンド　(フェルン)</t>
        </is>
      </c>
      <c r="D8" s="9" t="inlineStr">
        <is>
          <t>DB00</t>
        </is>
      </c>
      <c r="E8" s="9" t="inlineStr">
        <is>
          <t>DBS倉庫</t>
        </is>
      </c>
      <c r="F8" s="10">
        <f>SUMIFS('XTab DS_1'!$F$2:$F$106,'XTab DS_1'!$B$2:$B$106,$B8,'XTab DS_1'!$D$2:$D$106,$D8)</f>
        <v/>
      </c>
      <c r="G8" s="11">
        <f>SUMIFS('XTab DS_1'!$G$2:$G$106,'XTab DS_1'!$B$2:$B$106,$B8,'XTab DS_1'!$D$2:$D$106,$D8)</f>
        <v/>
      </c>
    </row>
    <row r="9">
      <c r="A9" s="9" t="inlineStr">
        <is>
          <t>4515142520027</t>
        </is>
      </c>
      <c r="B9" s="9" t="inlineStr">
        <is>
          <t>CX2412FRNPASTA-ST</t>
        </is>
      </c>
      <c r="C9" s="9" t="inlineStr">
        <is>
          <t>葬送のフリーレンP　アクリルスタンド　(シュタルク)</t>
        </is>
      </c>
      <c r="D9" s="9" t="inlineStr">
        <is>
          <t>DB00</t>
        </is>
      </c>
      <c r="E9" s="9" t="inlineStr">
        <is>
          <t>DBS倉庫</t>
        </is>
      </c>
      <c r="F9" s="10">
        <f>SUMIFS('XTab DS_1'!$F$2:$F$106,'XTab DS_1'!$B$2:$B$106,$B9,'XTab DS_1'!$D$2:$D$106,$D9)</f>
        <v/>
      </c>
      <c r="G9" s="11">
        <f>SUMIFS('XTab DS_1'!$G$2:$G$106,'XTab DS_1'!$B$2:$B$106,$B9,'XTab DS_1'!$D$2:$D$106,$D9)</f>
        <v/>
      </c>
    </row>
    <row r="10">
      <c r="A10" s="9" t="inlineStr">
        <is>
          <t>4515142520034</t>
        </is>
      </c>
      <c r="B10" s="9" t="inlineStr">
        <is>
          <t>CX2412FRNPBDG-FRI</t>
        </is>
      </c>
      <c r="C10" s="9" t="inlineStr">
        <is>
          <t>葬送のフリーレンP　缶バッジ　(フリーレン)</t>
        </is>
      </c>
      <c r="D10" s="9" t="inlineStr">
        <is>
          <t>DB00</t>
        </is>
      </c>
      <c r="E10" s="9" t="inlineStr">
        <is>
          <t>DBS倉庫</t>
        </is>
      </c>
      <c r="F10" s="10">
        <f>SUMIFS('XTab DS_1'!$F$2:$F$106,'XTab DS_1'!$B$2:$B$106,$B10,'XTab DS_1'!$D$2:$D$106,$D10)</f>
        <v/>
      </c>
      <c r="G10" s="11">
        <f>SUMIFS('XTab DS_1'!$G$2:$G$106,'XTab DS_1'!$B$2:$B$106,$B10,'XTab DS_1'!$D$2:$D$106,$D10)</f>
        <v/>
      </c>
    </row>
    <row r="11">
      <c r="A11" s="9" t="inlineStr">
        <is>
          <t>4515142520041</t>
        </is>
      </c>
      <c r="B11" s="9" t="inlineStr">
        <is>
          <t>CX2412FRNPBDG-ST</t>
        </is>
      </c>
      <c r="C11" s="9" t="inlineStr">
        <is>
          <t>葬送のフリーレンP　缶バッジ　(シュタルク)</t>
        </is>
      </c>
      <c r="D11" s="9" t="inlineStr">
        <is>
          <t>DB00</t>
        </is>
      </c>
      <c r="E11" s="9" t="inlineStr">
        <is>
          <t>DBS倉庫</t>
        </is>
      </c>
      <c r="F11" s="10">
        <f>SUMIFS('XTab DS_1'!$F$2:$F$106,'XTab DS_1'!$B$2:$B$106,$B11,'XTab DS_1'!$D$2:$D$106,$D11)</f>
        <v/>
      </c>
      <c r="G11" s="11">
        <f>SUMIFS('XTab DS_1'!$G$2:$G$106,'XTab DS_1'!$B$2:$B$106,$B11,'XTab DS_1'!$D$2:$D$106,$D11)</f>
        <v/>
      </c>
    </row>
    <row r="12">
      <c r="A12" s="9" t="inlineStr">
        <is>
          <t>4515142520058</t>
        </is>
      </c>
      <c r="B12" s="9" t="inlineStr">
        <is>
          <t>CX2412FRNPBDG-FR</t>
        </is>
      </c>
      <c r="C12" s="9" t="inlineStr">
        <is>
          <t>葬送のフリーレンP　缶バッジ　(フェルン)</t>
        </is>
      </c>
      <c r="D12" s="9" t="inlineStr">
        <is>
          <t>DB00</t>
        </is>
      </c>
      <c r="E12" s="9" t="inlineStr">
        <is>
          <t>DBS倉庫</t>
        </is>
      </c>
      <c r="F12" s="10">
        <f>SUMIFS('XTab DS_1'!$F$2:$F$106,'XTab DS_1'!$B$2:$B$106,$B12,'XTab DS_1'!$D$2:$D$106,$D12)</f>
        <v/>
      </c>
      <c r="G12" s="11">
        <f>SUMIFS('XTab DS_1'!$G$2:$G$106,'XTab DS_1'!$B$2:$B$106,$B12,'XTab DS_1'!$D$2:$D$106,$D12)</f>
        <v/>
      </c>
    </row>
    <row r="13">
      <c r="A13" s="9" t="inlineStr">
        <is>
          <t>4515142520065</t>
        </is>
      </c>
      <c r="B13" s="9" t="inlineStr">
        <is>
          <t>CX2412FRNPPKEY-FRI</t>
        </is>
      </c>
      <c r="C13" s="9" t="inlineStr">
        <is>
          <t>葬送のフリーレンP　フォトフレームキーホルダー　(フリーレン)</t>
        </is>
      </c>
      <c r="D13" s="9" t="inlineStr">
        <is>
          <t>DB00</t>
        </is>
      </c>
      <c r="E13" s="9" t="inlineStr">
        <is>
          <t>DBS倉庫</t>
        </is>
      </c>
      <c r="F13" s="10">
        <f>SUMIFS('XTab DS_1'!$F$2:$F$106,'XTab DS_1'!$B$2:$B$106,$B13,'XTab DS_1'!$D$2:$D$106,$D13)</f>
        <v/>
      </c>
      <c r="G13" s="11">
        <f>SUMIFS('XTab DS_1'!$G$2:$G$106,'XTab DS_1'!$B$2:$B$106,$B13,'XTab DS_1'!$D$2:$D$106,$D13)</f>
        <v/>
      </c>
    </row>
    <row r="14">
      <c r="A14" s="9" t="inlineStr">
        <is>
          <t>4515142520072</t>
        </is>
      </c>
      <c r="B14" s="9" t="inlineStr">
        <is>
          <t>CX2412FRNPPKEY-FR</t>
        </is>
      </c>
      <c r="C14" s="9" t="inlineStr">
        <is>
          <t>葬送のフリーレンP　フォトフレームキーホルダー　(フェルン)</t>
        </is>
      </c>
      <c r="D14" s="9" t="inlineStr">
        <is>
          <t>DB00</t>
        </is>
      </c>
      <c r="E14" s="9" t="inlineStr">
        <is>
          <t>DBS倉庫</t>
        </is>
      </c>
      <c r="F14" s="10">
        <f>SUMIFS('XTab DS_1'!$F$2:$F$106,'XTab DS_1'!$B$2:$B$106,$B14,'XTab DS_1'!$D$2:$D$106,$D14)</f>
        <v/>
      </c>
      <c r="G14" s="11">
        <f>SUMIFS('XTab DS_1'!$G$2:$G$106,'XTab DS_1'!$B$2:$B$106,$B14,'XTab DS_1'!$D$2:$D$106,$D14)</f>
        <v/>
      </c>
    </row>
    <row r="15">
      <c r="A15" s="9" t="inlineStr">
        <is>
          <t>4515142520089</t>
        </is>
      </c>
      <c r="B15" s="9" t="inlineStr">
        <is>
          <t>CX2412FRNPPKEY-ST</t>
        </is>
      </c>
      <c r="C15" s="9" t="inlineStr">
        <is>
          <t>葬送のフリーレンP　フォトフレームキーホルダー　(シュタルク)</t>
        </is>
      </c>
      <c r="D15" s="9" t="inlineStr">
        <is>
          <t>DB00</t>
        </is>
      </c>
      <c r="E15" s="9" t="inlineStr">
        <is>
          <t>DBS倉庫</t>
        </is>
      </c>
      <c r="F15" s="10">
        <f>SUMIFS('XTab DS_1'!$F$2:$F$106,'XTab DS_1'!$B$2:$B$106,$B15,'XTab DS_1'!$D$2:$D$106,$D15)</f>
        <v/>
      </c>
      <c r="G15" s="11">
        <f>SUMIFS('XTab DS_1'!$G$2:$G$106,'XTab DS_1'!$B$2:$B$106,$B15,'XTab DS_1'!$D$2:$D$106,$D15)</f>
        <v/>
      </c>
    </row>
    <row r="16">
      <c r="A16" s="9" t="inlineStr">
        <is>
          <t>4515142520096</t>
        </is>
      </c>
      <c r="B16" s="9" t="inlineStr">
        <is>
          <t>CX2412FRNPPOSSET</t>
        </is>
      </c>
      <c r="C16" s="9" t="inlineStr">
        <is>
          <t>葬送のフリーレンP　ポストカードセット</t>
        </is>
      </c>
      <c r="D16" s="9" t="inlineStr">
        <is>
          <t>DB00</t>
        </is>
      </c>
      <c r="E16" s="9" t="inlineStr">
        <is>
          <t>DBS倉庫</t>
        </is>
      </c>
      <c r="F16" s="10">
        <f>SUMIFS('XTab DS_1'!$F$2:$F$106,'XTab DS_1'!$B$2:$B$106,$B16,'XTab DS_1'!$D$2:$D$106,$D16)</f>
        <v/>
      </c>
      <c r="G16" s="11">
        <f>SUMIFS('XTab DS_1'!$G$2:$G$106,'XTab DS_1'!$B$2:$B$106,$B16,'XTab DS_1'!$D$2:$D$106,$D16)</f>
        <v/>
      </c>
    </row>
    <row r="17">
      <c r="A17" s="9" t="inlineStr">
        <is>
          <t>4515142520102</t>
        </is>
      </c>
      <c r="B17" s="9" t="inlineStr">
        <is>
          <t>CX2412FRNPRMNOTE-6</t>
        </is>
      </c>
      <c r="C17" s="9" t="inlineStr">
        <is>
          <t>葬送のフリーレンP　ランダム魔導書風ノート　全6種</t>
        </is>
      </c>
      <c r="D17" s="9" t="inlineStr">
        <is>
          <t>DB00</t>
        </is>
      </c>
      <c r="E17" s="9" t="inlineStr">
        <is>
          <t>DBS倉庫</t>
        </is>
      </c>
      <c r="F17" s="10">
        <f>SUMIFS('XTab DS_1'!$F$2:$F$106,'XTab DS_1'!$B$2:$B$106,$B17,'XTab DS_1'!$D$2:$D$106,$D17)</f>
        <v/>
      </c>
      <c r="G17" s="11">
        <f>SUMIFS('XTab DS_1'!$G$2:$G$106,'XTab DS_1'!$B$2:$B$106,$B17,'XTab DS_1'!$D$2:$D$106,$D17)</f>
        <v/>
      </c>
    </row>
    <row r="18">
      <c r="A18" s="9" t="inlineStr">
        <is>
          <t>4515142520119</t>
        </is>
      </c>
      <c r="B18" s="9" t="inlineStr">
        <is>
          <t>CX2412FRNPTAG</t>
        </is>
      </c>
      <c r="C18" s="9" t="inlineStr">
        <is>
          <t>葬送のフリーレンP　付箋</t>
        </is>
      </c>
      <c r="D18" s="9" t="inlineStr">
        <is>
          <t>DB00</t>
        </is>
      </c>
      <c r="E18" s="9" t="inlineStr">
        <is>
          <t>DBS倉庫</t>
        </is>
      </c>
      <c r="F18" s="10">
        <f>SUMIFS('XTab DS_1'!$F$2:$F$106,'XTab DS_1'!$B$2:$B$106,$B18,'XTab DS_1'!$D$2:$D$106,$D18)</f>
        <v/>
      </c>
      <c r="G18" s="11">
        <f>SUMIFS('XTab DS_1'!$G$2:$G$106,'XTab DS_1'!$B$2:$B$106,$B18,'XTab DS_1'!$D$2:$D$106,$D18)</f>
        <v/>
      </c>
    </row>
    <row r="19">
      <c r="A19" s="9" t="inlineStr">
        <is>
          <t>4515142520126</t>
        </is>
      </c>
      <c r="B19" s="9" t="inlineStr">
        <is>
          <t>CX2412FRNPRPKEY-7</t>
        </is>
      </c>
      <c r="C19" s="9" t="inlineStr">
        <is>
          <t>葬送のフリーレンP　ランダムパネルキーホルダー　全7種</t>
        </is>
      </c>
      <c r="D19" s="9" t="inlineStr">
        <is>
          <t>DB00</t>
        </is>
      </c>
      <c r="E19" s="9" t="inlineStr">
        <is>
          <t>DBS倉庫</t>
        </is>
      </c>
      <c r="F19" s="10">
        <f>SUMIFS('XTab DS_1'!$F$2:$F$106,'XTab DS_1'!$B$2:$B$106,$B19,'XTab DS_1'!$D$2:$D$106,$D19)</f>
        <v/>
      </c>
      <c r="G19" s="11">
        <f>SUMIFS('XTab DS_1'!$G$2:$G$106,'XTab DS_1'!$B$2:$B$106,$B19,'XTab DS_1'!$D$2:$D$106,$D19)</f>
        <v/>
      </c>
    </row>
    <row r="20">
      <c r="A20" s="9" t="inlineStr">
        <is>
          <t>4515142521130</t>
        </is>
      </c>
      <c r="B20" s="9" t="inlineStr">
        <is>
          <t>CX2412DNDCF-OR</t>
        </is>
      </c>
      <c r="C20" s="9" t="inlineStr">
        <is>
          <t>ダンダダンPOPUP　クリアファイル　オカルン</t>
        </is>
      </c>
      <c r="D20" s="9" t="inlineStr">
        <is>
          <t>DB00</t>
        </is>
      </c>
      <c r="E20" s="9" t="inlineStr">
        <is>
          <t>DBS倉庫</t>
        </is>
      </c>
      <c r="F20" s="10">
        <f>SUMIFS('XTab DS_1'!$F$2:$F$106,'XTab DS_1'!$B$2:$B$106,$B20,'XTab DS_1'!$D$2:$D$106,$D20)</f>
        <v/>
      </c>
      <c r="G20" s="11">
        <f>SUMIFS('XTab DS_1'!$G$2:$G$106,'XTab DS_1'!$B$2:$B$106,$B20,'XTab DS_1'!$D$2:$D$106,$D20)</f>
        <v/>
      </c>
    </row>
    <row r="21">
      <c r="A21" s="9" t="inlineStr">
        <is>
          <t>4515142521147</t>
        </is>
      </c>
      <c r="B21" s="9" t="inlineStr">
        <is>
          <t>CX2412DNDCF-MM</t>
        </is>
      </c>
      <c r="C21" s="9" t="inlineStr">
        <is>
          <t>ダンダダンPOPUP　クリアファイル　モモ</t>
        </is>
      </c>
      <c r="D21" s="9" t="inlineStr">
        <is>
          <t>DB00</t>
        </is>
      </c>
      <c r="E21" s="9" t="inlineStr">
        <is>
          <t>DBS倉庫</t>
        </is>
      </c>
      <c r="F21" s="10">
        <f>SUMIFS('XTab DS_1'!$F$2:$F$106,'XTab DS_1'!$B$2:$B$106,$B21,'XTab DS_1'!$D$2:$D$106,$D21)</f>
        <v/>
      </c>
      <c r="G21" s="11">
        <f>SUMIFS('XTab DS_1'!$G$2:$G$106,'XTab DS_1'!$B$2:$B$106,$B21,'XTab DS_1'!$D$2:$D$106,$D21)</f>
        <v/>
      </c>
    </row>
    <row r="22">
      <c r="A22" s="9" t="inlineStr">
        <is>
          <t>4515142521154</t>
        </is>
      </c>
      <c r="B22" s="9" t="inlineStr">
        <is>
          <t>CX2412DNDCF-SK</t>
        </is>
      </c>
      <c r="C22" s="9" t="inlineStr">
        <is>
          <t>ダンダダンPOPUP　クリアファイル　星子</t>
        </is>
      </c>
      <c r="D22" s="9" t="inlineStr">
        <is>
          <t>DB00</t>
        </is>
      </c>
      <c r="E22" s="9" t="inlineStr">
        <is>
          <t>DBS倉庫</t>
        </is>
      </c>
      <c r="F22" s="10">
        <f>SUMIFS('XTab DS_1'!$F$2:$F$106,'XTab DS_1'!$B$2:$B$106,$B22,'XTab DS_1'!$D$2:$D$106,$D22)</f>
        <v/>
      </c>
      <c r="G22" s="11">
        <f>SUMIFS('XTab DS_1'!$G$2:$G$106,'XTab DS_1'!$B$2:$B$106,$B22,'XTab DS_1'!$D$2:$D$106,$D22)</f>
        <v/>
      </c>
    </row>
    <row r="23">
      <c r="A23" s="9" t="inlineStr">
        <is>
          <t>4515142521161</t>
        </is>
      </c>
      <c r="B23" s="9" t="inlineStr">
        <is>
          <t>CX2412DNDCF-AR</t>
        </is>
      </c>
      <c r="C23" s="9" t="inlineStr">
        <is>
          <t>ダンダダンPOPUP　クリアファイル　アイラ</t>
        </is>
      </c>
      <c r="D23" s="9" t="inlineStr">
        <is>
          <t>DB00</t>
        </is>
      </c>
      <c r="E23" s="9" t="inlineStr">
        <is>
          <t>DBS倉庫</t>
        </is>
      </c>
      <c r="F23" s="10">
        <f>SUMIFS('XTab DS_1'!$F$2:$F$106,'XTab DS_1'!$B$2:$B$106,$B23,'XTab DS_1'!$D$2:$D$106,$D23)</f>
        <v/>
      </c>
      <c r="G23" s="11">
        <f>SUMIFS('XTab DS_1'!$G$2:$G$106,'XTab DS_1'!$B$2:$B$106,$B23,'XTab DS_1'!$D$2:$D$106,$D23)</f>
        <v/>
      </c>
    </row>
    <row r="24">
      <c r="A24" s="9" t="inlineStr">
        <is>
          <t>4515142521178</t>
        </is>
      </c>
      <c r="B24" s="9" t="inlineStr">
        <is>
          <t>CX2412DNDCF-TB</t>
        </is>
      </c>
      <c r="C24" s="9" t="inlineStr">
        <is>
          <t>ダンダダンPOPUP　クリアファイル　ターボババア(招き猫)</t>
        </is>
      </c>
      <c r="D24" s="9" t="inlineStr">
        <is>
          <t>DB00</t>
        </is>
      </c>
      <c r="E24" s="9" t="inlineStr">
        <is>
          <t>DBS倉庫</t>
        </is>
      </c>
      <c r="F24" s="10">
        <f>SUMIFS('XTab DS_1'!$F$2:$F$106,'XTab DS_1'!$B$2:$B$106,$B24,'XTab DS_1'!$D$2:$D$106,$D24)</f>
        <v/>
      </c>
      <c r="G24" s="11">
        <f>SUMIFS('XTab DS_1'!$G$2:$G$106,'XTab DS_1'!$B$2:$B$106,$B24,'XTab DS_1'!$D$2:$D$106,$D24)</f>
        <v/>
      </c>
    </row>
    <row r="25">
      <c r="A25" s="9" t="inlineStr">
        <is>
          <t>4515142521185</t>
        </is>
      </c>
      <c r="B25" s="9" t="inlineStr">
        <is>
          <t>CX2412DNDCF-ORH</t>
        </is>
      </c>
      <c r="C25" s="9" t="inlineStr">
        <is>
          <t>ダンダダンPOPUP　クリアファイル　オカルン(変身)</t>
        </is>
      </c>
      <c r="D25" s="9" t="inlineStr">
        <is>
          <t>DB00</t>
        </is>
      </c>
      <c r="E25" s="9" t="inlineStr">
        <is>
          <t>DBS倉庫</t>
        </is>
      </c>
      <c r="F25" s="10">
        <f>SUMIFS('XTab DS_1'!$F$2:$F$106,'XTab DS_1'!$B$2:$B$106,$B25,'XTab DS_1'!$D$2:$D$106,$D25)</f>
        <v/>
      </c>
      <c r="G25" s="11">
        <f>SUMIFS('XTab DS_1'!$G$2:$G$106,'XTab DS_1'!$B$2:$B$106,$B25,'XTab DS_1'!$D$2:$D$106,$D25)</f>
        <v/>
      </c>
    </row>
    <row r="26">
      <c r="A26" s="9" t="inlineStr">
        <is>
          <t>4515142521192</t>
        </is>
      </c>
      <c r="B26" s="9" t="inlineStr">
        <is>
          <t>CX2412DNDCF-ARH</t>
        </is>
      </c>
      <c r="C26" s="9" t="inlineStr">
        <is>
          <t>ダンダダンPOPUP　クリアファイル　アイラ(変身)</t>
        </is>
      </c>
      <c r="D26" s="9" t="inlineStr">
        <is>
          <t>DB00</t>
        </is>
      </c>
      <c r="E26" s="9" t="inlineStr">
        <is>
          <t>DBS倉庫</t>
        </is>
      </c>
      <c r="F26" s="10">
        <f>SUMIFS('XTab DS_1'!$F$2:$F$106,'XTab DS_1'!$B$2:$B$106,$B26,'XTab DS_1'!$D$2:$D$106,$D26)</f>
        <v/>
      </c>
      <c r="G26" s="11">
        <f>SUMIFS('XTab DS_1'!$G$2:$G$106,'XTab DS_1'!$B$2:$B$106,$B26,'XTab DS_1'!$D$2:$D$106,$D26)</f>
        <v/>
      </c>
    </row>
    <row r="27">
      <c r="A27" s="9" t="inlineStr">
        <is>
          <t>4515142521208</t>
        </is>
      </c>
      <c r="B27" s="9" t="inlineStr">
        <is>
          <t>CX2412DNDRBDG-7</t>
        </is>
      </c>
      <c r="C27" s="9" t="inlineStr">
        <is>
          <t>ダンダダンPOPUP　ランダム缶バッジ 全7種</t>
        </is>
      </c>
      <c r="D27" s="9" t="inlineStr">
        <is>
          <t>DB00</t>
        </is>
      </c>
      <c r="E27" s="9" t="inlineStr">
        <is>
          <t>DBS倉庫</t>
        </is>
      </c>
      <c r="F27" s="10">
        <f>SUMIFS('XTab DS_1'!$F$2:$F$106,'XTab DS_1'!$B$2:$B$106,$B27,'XTab DS_1'!$D$2:$D$106,$D27)</f>
        <v/>
      </c>
      <c r="G27" s="11">
        <f>SUMIFS('XTab DS_1'!$G$2:$G$106,'XTab DS_1'!$B$2:$B$106,$B27,'XTab DS_1'!$D$2:$D$106,$D27)</f>
        <v/>
      </c>
    </row>
    <row r="28">
      <c r="A28" s="9" t="inlineStr">
        <is>
          <t>4515142521215</t>
        </is>
      </c>
      <c r="B28" s="9" t="inlineStr">
        <is>
          <t>CX2412DNDASTA-OR</t>
        </is>
      </c>
      <c r="C28" s="9" t="inlineStr">
        <is>
          <t>ダンダダンPOPUP　アクリルスタンド　オカルン</t>
        </is>
      </c>
      <c r="D28" s="9" t="inlineStr">
        <is>
          <t>DB00</t>
        </is>
      </c>
      <c r="E28" s="9" t="inlineStr">
        <is>
          <t>DBS倉庫</t>
        </is>
      </c>
      <c r="F28" s="10">
        <f>SUMIFS('XTab DS_1'!$F$2:$F$106,'XTab DS_1'!$B$2:$B$106,$B28,'XTab DS_1'!$D$2:$D$106,$D28)</f>
        <v/>
      </c>
      <c r="G28" s="11">
        <f>SUMIFS('XTab DS_1'!$G$2:$G$106,'XTab DS_1'!$B$2:$B$106,$B28,'XTab DS_1'!$D$2:$D$106,$D28)</f>
        <v/>
      </c>
    </row>
    <row r="29">
      <c r="A29" s="9" t="inlineStr">
        <is>
          <t>4515142521222</t>
        </is>
      </c>
      <c r="B29" s="9" t="inlineStr">
        <is>
          <t>CX2412DNDASTA-MM</t>
        </is>
      </c>
      <c r="C29" s="9" t="inlineStr">
        <is>
          <t>ダンダダンPOPUP　アクリルスタンド　モモ</t>
        </is>
      </c>
      <c r="D29" s="9" t="inlineStr">
        <is>
          <t>DB00</t>
        </is>
      </c>
      <c r="E29" s="9" t="inlineStr">
        <is>
          <t>DBS倉庫</t>
        </is>
      </c>
      <c r="F29" s="10">
        <f>SUMIFS('XTab DS_1'!$F$2:$F$106,'XTab DS_1'!$B$2:$B$106,$B29,'XTab DS_1'!$D$2:$D$106,$D29)</f>
        <v/>
      </c>
      <c r="G29" s="11">
        <f>SUMIFS('XTab DS_1'!$G$2:$G$106,'XTab DS_1'!$B$2:$B$106,$B29,'XTab DS_1'!$D$2:$D$106,$D29)</f>
        <v/>
      </c>
    </row>
    <row r="30">
      <c r="A30" s="9" t="inlineStr">
        <is>
          <t>4515142521239</t>
        </is>
      </c>
      <c r="B30" s="9" t="inlineStr">
        <is>
          <t>CX2412DNDASTA-SK</t>
        </is>
      </c>
      <c r="C30" s="9" t="inlineStr">
        <is>
          <t>ダンダダンPOPUP　アクリルスタンド　星子</t>
        </is>
      </c>
      <c r="D30" s="9" t="inlineStr">
        <is>
          <t>DB00</t>
        </is>
      </c>
      <c r="E30" s="9" t="inlineStr">
        <is>
          <t>DBS倉庫</t>
        </is>
      </c>
      <c r="F30" s="10">
        <f>SUMIFS('XTab DS_1'!$F$2:$F$106,'XTab DS_1'!$B$2:$B$106,$B30,'XTab DS_1'!$D$2:$D$106,$D30)</f>
        <v/>
      </c>
      <c r="G30" s="11">
        <f>SUMIFS('XTab DS_1'!$G$2:$G$106,'XTab DS_1'!$B$2:$B$106,$B30,'XTab DS_1'!$D$2:$D$106,$D30)</f>
        <v/>
      </c>
    </row>
    <row r="31">
      <c r="A31" s="9" t="inlineStr">
        <is>
          <t>4515142521246</t>
        </is>
      </c>
      <c r="B31" s="9" t="inlineStr">
        <is>
          <t>CX2412DNDASTA-AR</t>
        </is>
      </c>
      <c r="C31" s="9" t="inlineStr">
        <is>
          <t>ダンダダンPOPUP　アクリルスタンド　アイラ</t>
        </is>
      </c>
      <c r="D31" s="9" t="inlineStr">
        <is>
          <t>DB00</t>
        </is>
      </c>
      <c r="E31" s="9" t="inlineStr">
        <is>
          <t>DBS倉庫</t>
        </is>
      </c>
      <c r="F31" s="10">
        <f>SUMIFS('XTab DS_1'!$F$2:$F$106,'XTab DS_1'!$B$2:$B$106,$B31,'XTab DS_1'!$D$2:$D$106,$D31)</f>
        <v/>
      </c>
      <c r="G31" s="11">
        <f>SUMIFS('XTab DS_1'!$G$2:$G$106,'XTab DS_1'!$B$2:$B$106,$B31,'XTab DS_1'!$D$2:$D$106,$D31)</f>
        <v/>
      </c>
    </row>
    <row r="32">
      <c r="A32" s="9" t="inlineStr">
        <is>
          <t>4515142521253</t>
        </is>
      </c>
      <c r="B32" s="9" t="inlineStr">
        <is>
          <t>CX2412DNDASTA-TB</t>
        </is>
      </c>
      <c r="C32" s="9" t="inlineStr">
        <is>
          <t>ダンダダンPOPUP　アクリルスタンド　ターボババア(招き猫)</t>
        </is>
      </c>
      <c r="D32" s="9" t="inlineStr">
        <is>
          <t>DB00</t>
        </is>
      </c>
      <c r="E32" s="9" t="inlineStr">
        <is>
          <t>DBS倉庫</t>
        </is>
      </c>
      <c r="F32" s="10">
        <f>SUMIFS('XTab DS_1'!$F$2:$F$106,'XTab DS_1'!$B$2:$B$106,$B32,'XTab DS_1'!$D$2:$D$106,$D32)</f>
        <v/>
      </c>
      <c r="G32" s="11">
        <f>SUMIFS('XTab DS_1'!$G$2:$G$106,'XTab DS_1'!$B$2:$B$106,$B32,'XTab DS_1'!$D$2:$D$106,$D32)</f>
        <v/>
      </c>
    </row>
    <row r="33">
      <c r="A33" s="9" t="inlineStr">
        <is>
          <t>4515142521260</t>
        </is>
      </c>
      <c r="B33" s="9" t="inlineStr">
        <is>
          <t>CX2412DNDASTA-ORH</t>
        </is>
      </c>
      <c r="C33" s="9" t="inlineStr">
        <is>
          <t>ダンダダンPOPUP　アクリルスタンド　オカルン(変身)</t>
        </is>
      </c>
      <c r="D33" s="9" t="inlineStr">
        <is>
          <t>DB00</t>
        </is>
      </c>
      <c r="E33" s="9" t="inlineStr">
        <is>
          <t>DBS倉庫</t>
        </is>
      </c>
      <c r="F33" s="10">
        <f>SUMIFS('XTab DS_1'!$F$2:$F$106,'XTab DS_1'!$B$2:$B$106,$B33,'XTab DS_1'!$D$2:$D$106,$D33)</f>
        <v/>
      </c>
      <c r="G33" s="11">
        <f>SUMIFS('XTab DS_1'!$G$2:$G$106,'XTab DS_1'!$B$2:$B$106,$B33,'XTab DS_1'!$D$2:$D$106,$D33)</f>
        <v/>
      </c>
    </row>
    <row r="34">
      <c r="A34" s="9" t="inlineStr">
        <is>
          <t>4515142521277</t>
        </is>
      </c>
      <c r="B34" s="9" t="inlineStr">
        <is>
          <t>CX2412DNDASTA-ARH</t>
        </is>
      </c>
      <c r="C34" s="9" t="inlineStr">
        <is>
          <t>ダンダダンPOPUP　アクリルスタンド　アイラ(変身)</t>
        </is>
      </c>
      <c r="D34" s="9" t="inlineStr">
        <is>
          <t>DB00</t>
        </is>
      </c>
      <c r="E34" s="9" t="inlineStr">
        <is>
          <t>DBS倉庫</t>
        </is>
      </c>
      <c r="F34" s="10">
        <f>SUMIFS('XTab DS_1'!$F$2:$F$106,'XTab DS_1'!$B$2:$B$106,$B34,'XTab DS_1'!$D$2:$D$106,$D34)</f>
        <v/>
      </c>
      <c r="G34" s="11">
        <f>SUMIFS('XTab DS_1'!$G$2:$G$106,'XTab DS_1'!$B$2:$B$106,$B34,'XTab DS_1'!$D$2:$D$106,$D34)</f>
        <v/>
      </c>
    </row>
    <row r="35">
      <c r="A35" s="9" t="inlineStr">
        <is>
          <t>4515142521284</t>
        </is>
      </c>
      <c r="B35" s="9" t="inlineStr">
        <is>
          <t>CX2412DNDSTK3S-A</t>
        </is>
      </c>
      <c r="C35" s="9" t="inlineStr">
        <is>
          <t>ダンダダンPOPUP　ステッカー3枚セット　A</t>
        </is>
      </c>
      <c r="D35" s="9" t="inlineStr">
        <is>
          <t>DB00</t>
        </is>
      </c>
      <c r="E35" s="9" t="inlineStr">
        <is>
          <t>DBS倉庫</t>
        </is>
      </c>
      <c r="F35" s="10">
        <f>SUMIFS('XTab DS_1'!$F$2:$F$106,'XTab DS_1'!$B$2:$B$106,$B35,'XTab DS_1'!$D$2:$D$106,$D35)</f>
        <v/>
      </c>
      <c r="G35" s="11">
        <f>SUMIFS('XTab DS_1'!$G$2:$G$106,'XTab DS_1'!$B$2:$B$106,$B35,'XTab DS_1'!$D$2:$D$106,$D35)</f>
        <v/>
      </c>
    </row>
    <row r="36">
      <c r="A36" s="9" t="inlineStr">
        <is>
          <t>4515142521291</t>
        </is>
      </c>
      <c r="B36" s="9" t="inlineStr">
        <is>
          <t>CX2412DNDSTK3S-B</t>
        </is>
      </c>
      <c r="C36" s="9" t="inlineStr">
        <is>
          <t>ダンダダンPOPUP　ステッカー3枚セット　B</t>
        </is>
      </c>
      <c r="D36" s="9" t="inlineStr">
        <is>
          <t>DB00</t>
        </is>
      </c>
      <c r="E36" s="9" t="inlineStr">
        <is>
          <t>DBS倉庫</t>
        </is>
      </c>
      <c r="F36" s="10">
        <f>SUMIFS('XTab DS_1'!$F$2:$F$106,'XTab DS_1'!$B$2:$B$106,$B36,'XTab DS_1'!$D$2:$D$106,$D36)</f>
        <v/>
      </c>
      <c r="G36" s="11">
        <f>SUMIFS('XTab DS_1'!$G$2:$G$106,'XTab DS_1'!$B$2:$B$106,$B36,'XTab DS_1'!$D$2:$D$106,$D36)</f>
        <v/>
      </c>
    </row>
    <row r="37">
      <c r="A37" s="9" t="inlineStr">
        <is>
          <t>4515142521307</t>
        </is>
      </c>
      <c r="B37" s="9" t="inlineStr">
        <is>
          <t>CX2412DNDSTK3S-C</t>
        </is>
      </c>
      <c r="C37" s="9" t="inlineStr">
        <is>
          <t>ダンダダンPOPUP　ステッカー3枚セット　C</t>
        </is>
      </c>
      <c r="D37" s="9" t="inlineStr">
        <is>
          <t>DB00</t>
        </is>
      </c>
      <c r="E37" s="9" t="inlineStr">
        <is>
          <t>DBS倉庫</t>
        </is>
      </c>
      <c r="F37" s="10">
        <f>SUMIFS('XTab DS_1'!$F$2:$F$106,'XTab DS_1'!$B$2:$B$106,$B37,'XTab DS_1'!$D$2:$D$106,$D37)</f>
        <v/>
      </c>
      <c r="G37" s="11">
        <f>SUMIFS('XTab DS_1'!$G$2:$G$106,'XTab DS_1'!$B$2:$B$106,$B37,'XTab DS_1'!$D$2:$D$106,$D37)</f>
        <v/>
      </c>
    </row>
    <row r="38">
      <c r="A38" s="9" t="inlineStr">
        <is>
          <t>4515142521314</t>
        </is>
      </c>
      <c r="B38" s="9" t="inlineStr">
        <is>
          <t>CX2412DNDRBDG-OP6</t>
        </is>
      </c>
      <c r="C38" s="9" t="inlineStr">
        <is>
          <t>ダンダダンPOPUP　ランダム缶バッジ　オープニング　全6種</t>
        </is>
      </c>
      <c r="D38" s="9" t="inlineStr">
        <is>
          <t>DB00</t>
        </is>
      </c>
      <c r="E38" s="9" t="inlineStr">
        <is>
          <t>DBS倉庫</t>
        </is>
      </c>
      <c r="F38" s="10">
        <f>SUMIFS('XTab DS_1'!$F$2:$F$106,'XTab DS_1'!$B$2:$B$106,$B38,'XTab DS_1'!$D$2:$D$106,$D38)</f>
        <v/>
      </c>
      <c r="G38" s="11">
        <f>SUMIFS('XTab DS_1'!$G$2:$G$106,'XTab DS_1'!$B$2:$B$106,$B38,'XTab DS_1'!$D$2:$D$106,$D38)</f>
        <v/>
      </c>
    </row>
    <row r="39">
      <c r="A39" s="9" t="inlineStr">
        <is>
          <t>4515142521321</t>
        </is>
      </c>
      <c r="B39" s="9" t="inlineStr">
        <is>
          <t>CX2412DNDRBDG-ED6</t>
        </is>
      </c>
      <c r="C39" s="9" t="inlineStr">
        <is>
          <t>ダンダダンPOPUP　ランダム缶バッジ　エンディング　全6種</t>
        </is>
      </c>
      <c r="D39" s="9" t="inlineStr">
        <is>
          <t>DB00</t>
        </is>
      </c>
      <c r="E39" s="9" t="inlineStr">
        <is>
          <t>DBS倉庫</t>
        </is>
      </c>
      <c r="F39" s="10">
        <f>SUMIFS('XTab DS_1'!$F$2:$F$106,'XTab DS_1'!$B$2:$B$106,$B39,'XTab DS_1'!$D$2:$D$106,$D39)</f>
        <v/>
      </c>
      <c r="G39" s="11">
        <f>SUMIFS('XTab DS_1'!$G$2:$G$106,'XTab DS_1'!$B$2:$B$106,$B39,'XTab DS_1'!$D$2:$D$106,$D39)</f>
        <v/>
      </c>
    </row>
    <row r="40">
      <c r="A40" s="9" t="inlineStr">
        <is>
          <t>4515142521338</t>
        </is>
      </c>
      <c r="B40" s="9" t="inlineStr">
        <is>
          <t>CX2412DNDRASKEY-6</t>
        </is>
      </c>
      <c r="C40" s="9" t="inlineStr">
        <is>
          <t>ダンダダンPOPUP　ランダムアクリルキーホルダー　全6種</t>
        </is>
      </c>
      <c r="D40" s="9" t="inlineStr">
        <is>
          <t>DB00</t>
        </is>
      </c>
      <c r="E40" s="9" t="inlineStr">
        <is>
          <t>DBS倉庫</t>
        </is>
      </c>
      <c r="F40" s="10">
        <f>SUMIFS('XTab DS_1'!$F$2:$F$106,'XTab DS_1'!$B$2:$B$106,$B40,'XTab DS_1'!$D$2:$D$106,$D40)</f>
        <v/>
      </c>
      <c r="G40" s="11">
        <f>SUMIFS('XTab DS_1'!$G$2:$G$106,'XTab DS_1'!$B$2:$B$106,$B40,'XTab DS_1'!$D$2:$D$106,$D40)</f>
        <v/>
      </c>
    </row>
    <row r="41">
      <c r="A41" s="9" t="inlineStr">
        <is>
          <t>4515142521345</t>
        </is>
      </c>
      <c r="B41" s="9" t="inlineStr">
        <is>
          <t>CX2412DNDTOTEBAG</t>
        </is>
      </c>
      <c r="C41" s="9" t="inlineStr">
        <is>
          <t>ダンダダンPOPUP　トートバッグ</t>
        </is>
      </c>
      <c r="D41" s="9" t="inlineStr">
        <is>
          <t>DB00</t>
        </is>
      </c>
      <c r="E41" s="9" t="inlineStr">
        <is>
          <t>DBS倉庫</t>
        </is>
      </c>
      <c r="F41" s="10">
        <f>SUMIFS('XTab DS_1'!$F$2:$F$106,'XTab DS_1'!$B$2:$B$106,$B41,'XTab DS_1'!$D$2:$D$106,$D41)</f>
        <v/>
      </c>
      <c r="G41" s="11">
        <f>SUMIFS('XTab DS_1'!$G$2:$G$106,'XTab DS_1'!$B$2:$B$106,$B41,'XTab DS_1'!$D$2:$D$106,$D41)</f>
        <v/>
      </c>
    </row>
    <row r="42">
      <c r="A42" s="9" t="inlineStr">
        <is>
          <t>4515142521352</t>
        </is>
      </c>
      <c r="B42" s="9" t="inlineStr">
        <is>
          <t>CX2412DNDSAKEY-ORH</t>
        </is>
      </c>
      <c r="C42" s="9" t="inlineStr">
        <is>
          <t>ダンダダンPOPUP　スライドアクリルキーホルダー　オカルン(変身)</t>
        </is>
      </c>
      <c r="D42" s="9" t="inlineStr">
        <is>
          <t>DB00</t>
        </is>
      </c>
      <c r="E42" s="9" t="inlineStr">
        <is>
          <t>DBS倉庫</t>
        </is>
      </c>
      <c r="F42" s="10">
        <f>SUMIFS('XTab DS_1'!$F$2:$F$106,'XTab DS_1'!$B$2:$B$106,$B42,'XTab DS_1'!$D$2:$D$106,$D42)</f>
        <v/>
      </c>
      <c r="G42" s="11">
        <f>SUMIFS('XTab DS_1'!$G$2:$G$106,'XTab DS_1'!$B$2:$B$106,$B42,'XTab DS_1'!$D$2:$D$106,$D42)</f>
        <v/>
      </c>
    </row>
    <row r="43">
      <c r="A43" s="9" t="inlineStr">
        <is>
          <t>4515142521369</t>
        </is>
      </c>
      <c r="B43" s="9" t="inlineStr">
        <is>
          <t>CX2412DNDSAKEY-MM</t>
        </is>
      </c>
      <c r="C43" s="9" t="inlineStr">
        <is>
          <t>ダンダダンPOPUP　スライドアクリルキーホルダー　モモ</t>
        </is>
      </c>
      <c r="D43" s="9" t="inlineStr">
        <is>
          <t>DB00</t>
        </is>
      </c>
      <c r="E43" s="9" t="inlineStr">
        <is>
          <t>DBS倉庫</t>
        </is>
      </c>
      <c r="F43" s="10">
        <f>SUMIFS('XTab DS_1'!$F$2:$F$106,'XTab DS_1'!$B$2:$B$106,$B43,'XTab DS_1'!$D$2:$D$106,$D43)</f>
        <v/>
      </c>
      <c r="G43" s="11">
        <f>SUMIFS('XTab DS_1'!$G$2:$G$106,'XTab DS_1'!$B$2:$B$106,$B43,'XTab DS_1'!$D$2:$D$106,$D43)</f>
        <v/>
      </c>
    </row>
    <row r="44">
      <c r="A44" s="9" t="inlineStr">
        <is>
          <t>4515142521376</t>
        </is>
      </c>
      <c r="B44" s="9" t="inlineStr">
        <is>
          <t>CX2412DNDSAKEY-SK</t>
        </is>
      </c>
      <c r="C44" s="9" t="inlineStr">
        <is>
          <t>ダンダダンPOPUP　スライドアクリルキーホルダー　星子</t>
        </is>
      </c>
      <c r="D44" s="9" t="inlineStr">
        <is>
          <t>DB00</t>
        </is>
      </c>
      <c r="E44" s="9" t="inlineStr">
        <is>
          <t>DBS倉庫</t>
        </is>
      </c>
      <c r="F44" s="10">
        <f>SUMIFS('XTab DS_1'!$F$2:$F$106,'XTab DS_1'!$B$2:$B$106,$B44,'XTab DS_1'!$D$2:$D$106,$D44)</f>
        <v/>
      </c>
      <c r="G44" s="11">
        <f>SUMIFS('XTab DS_1'!$G$2:$G$106,'XTab DS_1'!$B$2:$B$106,$B44,'XTab DS_1'!$D$2:$D$106,$D44)</f>
        <v/>
      </c>
    </row>
    <row r="45">
      <c r="A45" s="9" t="inlineStr">
        <is>
          <t>4515142521383</t>
        </is>
      </c>
      <c r="B45" s="9" t="inlineStr">
        <is>
          <t>CX2412DNDSAKEY-AR</t>
        </is>
      </c>
      <c r="C45" s="9" t="inlineStr">
        <is>
          <t>ダンダダンPOPUP　スライドアクリルキーホルダー　アイラ</t>
        </is>
      </c>
      <c r="D45" s="9" t="inlineStr">
        <is>
          <t>DB00</t>
        </is>
      </c>
      <c r="E45" s="9" t="inlineStr">
        <is>
          <t>DBS倉庫</t>
        </is>
      </c>
      <c r="F45" s="10">
        <f>SUMIFS('XTab DS_1'!$F$2:$F$106,'XTab DS_1'!$B$2:$B$106,$B45,'XTab DS_1'!$D$2:$D$106,$D45)</f>
        <v/>
      </c>
      <c r="G45" s="11">
        <f>SUMIFS('XTab DS_1'!$G$2:$G$106,'XTab DS_1'!$B$2:$B$106,$B45,'XTab DS_1'!$D$2:$D$106,$D45)</f>
        <v/>
      </c>
    </row>
    <row r="46">
      <c r="A46" s="9" t="inlineStr">
        <is>
          <t>4515142521390</t>
        </is>
      </c>
      <c r="B46" s="9" t="inlineStr">
        <is>
          <t>CX2412DNDSAKEY-GG</t>
        </is>
      </c>
      <c r="C46" s="9" t="inlineStr">
        <is>
          <t>ダンダダンPOPUP　スライドアクリルキーホルダー　ジジ</t>
        </is>
      </c>
      <c r="D46" s="9" t="inlineStr">
        <is>
          <t>DB00</t>
        </is>
      </c>
      <c r="E46" s="9" t="inlineStr">
        <is>
          <t>DBS倉庫</t>
        </is>
      </c>
      <c r="F46" s="10">
        <f>SUMIFS('XTab DS_1'!$F$2:$F$106,'XTab DS_1'!$B$2:$B$106,$B46,'XTab DS_1'!$D$2:$D$106,$D46)</f>
        <v/>
      </c>
      <c r="G46" s="11">
        <f>SUMIFS('XTab DS_1'!$G$2:$G$106,'XTab DS_1'!$B$2:$B$106,$B46,'XTab DS_1'!$D$2:$D$106,$D46)</f>
        <v/>
      </c>
    </row>
    <row r="47">
      <c r="A47" s="9" t="inlineStr">
        <is>
          <t>4515142521406</t>
        </is>
      </c>
      <c r="B47" s="9" t="inlineStr">
        <is>
          <t>CX2412DNDSAKEY-TB</t>
        </is>
      </c>
      <c r="C47" s="9" t="inlineStr">
        <is>
          <t>ダンダダンPOPUP　スライドアクリルキーホルダー　ターボババア(招き猫)</t>
        </is>
      </c>
      <c r="D47" s="9" t="inlineStr">
        <is>
          <t>DB00</t>
        </is>
      </c>
      <c r="E47" s="9" t="inlineStr">
        <is>
          <t>DBS倉庫</t>
        </is>
      </c>
      <c r="F47" s="10">
        <f>SUMIFS('XTab DS_1'!$F$2:$F$106,'XTab DS_1'!$B$2:$B$106,$B47,'XTab DS_1'!$D$2:$D$106,$D47)</f>
        <v/>
      </c>
      <c r="G47" s="11">
        <f>SUMIFS('XTab DS_1'!$G$2:$G$106,'XTab DS_1'!$B$2:$B$106,$B47,'XTab DS_1'!$D$2:$D$106,$D47)</f>
        <v/>
      </c>
    </row>
    <row r="48">
      <c r="A48" s="9" t="inlineStr">
        <is>
          <t>4515142521413</t>
        </is>
      </c>
      <c r="B48" s="9" t="inlineStr">
        <is>
          <t>CX2412DNDSAKEY-SS</t>
        </is>
      </c>
      <c r="C48" s="9" t="inlineStr">
        <is>
          <t>ダンダダンPOPUP　スライドアクリルキーホルダー　セルポ星人</t>
        </is>
      </c>
      <c r="D48" s="9" t="inlineStr">
        <is>
          <t>DB00</t>
        </is>
      </c>
      <c r="E48" s="9" t="inlineStr">
        <is>
          <t>DBS倉庫</t>
        </is>
      </c>
      <c r="F48" s="10">
        <f>SUMIFS('XTab DS_1'!$F$2:$F$106,'XTab DS_1'!$B$2:$B$106,$B48,'XTab DS_1'!$D$2:$D$106,$D48)</f>
        <v/>
      </c>
      <c r="G48" s="11">
        <f>SUMIFS('XTab DS_1'!$G$2:$G$106,'XTab DS_1'!$B$2:$B$106,$B48,'XTab DS_1'!$D$2:$D$106,$D48)</f>
        <v/>
      </c>
    </row>
    <row r="49">
      <c r="A49" s="9" t="inlineStr">
        <is>
          <t>4515142521420</t>
        </is>
      </c>
      <c r="B49" s="9" t="inlineStr">
        <is>
          <t>CX2412DNDSAKEY-AS</t>
        </is>
      </c>
      <c r="C49" s="9" t="inlineStr">
        <is>
          <t>ダンダダンPOPUP　スライドアクリルキーホルダー　アクロバティックさらさら</t>
        </is>
      </c>
      <c r="D49" s="9" t="inlineStr">
        <is>
          <t>DB00</t>
        </is>
      </c>
      <c r="E49" s="9" t="inlineStr">
        <is>
          <t>DBS倉庫</t>
        </is>
      </c>
      <c r="F49" s="10">
        <f>SUMIFS('XTab DS_1'!$F$2:$F$106,'XTab DS_1'!$B$2:$B$106,$B49,'XTab DS_1'!$D$2:$D$106,$D49)</f>
        <v/>
      </c>
      <c r="G49" s="11">
        <f>SUMIFS('XTab DS_1'!$G$2:$G$106,'XTab DS_1'!$B$2:$B$106,$B49,'XTab DS_1'!$D$2:$D$106,$D49)</f>
        <v/>
      </c>
    </row>
    <row r="50">
      <c r="A50" s="9" t="inlineStr">
        <is>
          <t>4515142521437</t>
        </is>
      </c>
      <c r="B50" s="9" t="inlineStr">
        <is>
          <t>CX2412DNDSAKEY-DD</t>
        </is>
      </c>
      <c r="C50" s="9" t="inlineStr">
        <is>
          <t>ダンダダンPOPUP　スライドアクリルキーホルダー　ドーバーデーモン</t>
        </is>
      </c>
      <c r="D50" s="9" t="inlineStr">
        <is>
          <t>DB00</t>
        </is>
      </c>
      <c r="E50" s="9" t="inlineStr">
        <is>
          <t>DBS倉庫</t>
        </is>
      </c>
      <c r="F50" s="10">
        <f>SUMIFS('XTab DS_1'!$F$2:$F$106,'XTab DS_1'!$B$2:$B$106,$B50,'XTab DS_1'!$D$2:$D$106,$D50)</f>
        <v/>
      </c>
      <c r="G50" s="11">
        <f>SUMIFS('XTab DS_1'!$G$2:$G$106,'XTab DS_1'!$B$2:$B$106,$B50,'XTab DS_1'!$D$2:$D$106,$D50)</f>
        <v/>
      </c>
    </row>
    <row r="51">
      <c r="A51" s="9" t="inlineStr">
        <is>
          <t>4515142521444</t>
        </is>
      </c>
      <c r="B51" s="9" t="inlineStr">
        <is>
          <t>CX2412DNDRCCDPOS-6</t>
        </is>
      </c>
      <c r="C51" s="9" t="inlineStr">
        <is>
          <t>ダンダダンPOPUP　ランダムクリアカード＆ポストカードセット　全6種</t>
        </is>
      </c>
      <c r="D51" s="9" t="inlineStr">
        <is>
          <t>DB00</t>
        </is>
      </c>
      <c r="E51" s="9" t="inlineStr">
        <is>
          <t>DBS倉庫</t>
        </is>
      </c>
      <c r="F51" s="10">
        <f>SUMIFS('XTab DS_1'!$F$2:$F$106,'XTab DS_1'!$B$2:$B$106,$B51,'XTab DS_1'!$D$2:$D$106,$D51)</f>
        <v/>
      </c>
      <c r="G51" s="11">
        <f>SUMIFS('XTab DS_1'!$G$2:$G$106,'XTab DS_1'!$B$2:$B$106,$B51,'XTab DS_1'!$D$2:$D$106,$D51)</f>
        <v/>
      </c>
    </row>
    <row r="52">
      <c r="A52" s="9" t="inlineStr">
        <is>
          <t>4515142521451</t>
        </is>
      </c>
      <c r="B52" s="9" t="inlineStr">
        <is>
          <t>CX2412DNDVPOS-A</t>
        </is>
      </c>
      <c r="C52" s="9" t="inlineStr">
        <is>
          <t>ダンダダンPOPUP　ビジュアルポストカード　A</t>
        </is>
      </c>
      <c r="D52" s="9" t="inlineStr">
        <is>
          <t>DB00</t>
        </is>
      </c>
      <c r="E52" s="9" t="inlineStr">
        <is>
          <t>DBS倉庫</t>
        </is>
      </c>
      <c r="F52" s="10">
        <f>SUMIFS('XTab DS_1'!$F$2:$F$106,'XTab DS_1'!$B$2:$B$106,$B52,'XTab DS_1'!$D$2:$D$106,$D52)</f>
        <v/>
      </c>
      <c r="G52" s="11">
        <f>SUMIFS('XTab DS_1'!$G$2:$G$106,'XTab DS_1'!$B$2:$B$106,$B52,'XTab DS_1'!$D$2:$D$106,$D52)</f>
        <v/>
      </c>
    </row>
    <row r="53">
      <c r="A53" s="9" t="inlineStr">
        <is>
          <t>4515142521468</t>
        </is>
      </c>
      <c r="B53" s="9" t="inlineStr">
        <is>
          <t>CX2412DNDVPOS-B</t>
        </is>
      </c>
      <c r="C53" s="9" t="inlineStr">
        <is>
          <t>ダンダダンPOPUP　ビジュアルポストカード　B</t>
        </is>
      </c>
      <c r="D53" s="9" t="inlineStr">
        <is>
          <t>DB00</t>
        </is>
      </c>
      <c r="E53" s="9" t="inlineStr">
        <is>
          <t>DBS倉庫</t>
        </is>
      </c>
      <c r="F53" s="10">
        <f>SUMIFS('XTab DS_1'!$F$2:$F$106,'XTab DS_1'!$B$2:$B$106,$B53,'XTab DS_1'!$D$2:$D$106,$D53)</f>
        <v/>
      </c>
      <c r="G53" s="11">
        <f>SUMIFS('XTab DS_1'!$G$2:$G$106,'XTab DS_1'!$B$2:$B$106,$B53,'XTab DS_1'!$D$2:$D$106,$D53)</f>
        <v/>
      </c>
    </row>
    <row r="54">
      <c r="A54" s="12" t="n"/>
      <c r="B54" s="12" t="n"/>
      <c r="C54" s="13" t="inlineStr">
        <is>
          <t>合計</t>
        </is>
      </c>
      <c r="D54" s="12" t="n"/>
      <c r="E54" s="12" t="n"/>
      <c r="F54" s="14">
        <f>SUM(F2:F53)</f>
        <v/>
      </c>
      <c r="G54" s="15">
        <f>SUM(G2:G53)</f>
        <v/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2" min="1" max="1"/>
    <col width="24" customWidth="1" style="2" min="2" max="2"/>
    <col width="52" customWidth="1" style="2" min="3" max="3"/>
    <col width="10" customWidth="1" style="2" min="4" max="4"/>
    <col width="13" customWidth="1" style="2" min="5" max="5"/>
    <col width="14" customWidth="1" style="2" min="6" max="6"/>
    <col width="13" customWidth="1" style="2" min="7" max="7"/>
    <col width="14" customWidth="1" style="2" min="8" max="8"/>
    <col width="15" customWidth="1" style="2" min="9" max="9"/>
    <col width="18" customWidth="1" style="2" min="10" max="10"/>
  </cols>
  <sheetData>
    <row r="1">
      <c r="A1" s="8" t="inlineStr">
        <is>
          <t>JANコード(EAN/UPC)</t>
        </is>
      </c>
      <c r="B1" s="8" t="inlineStr">
        <is>
          <t>品目コード</t>
        </is>
      </c>
      <c r="C1" s="8" t="inlineStr">
        <is>
          <t>品目テキスト</t>
        </is>
      </c>
      <c r="D1" s="8" t="inlineStr">
        <is>
          <t>重複倉庫数</t>
        </is>
      </c>
      <c r="E1" s="8" t="inlineStr">
        <is>
          <t>CX催事 数量</t>
        </is>
      </c>
      <c r="F1" s="8" t="inlineStr">
        <is>
          <t>CX催事 金額</t>
        </is>
      </c>
      <c r="G1" s="8" t="inlineStr">
        <is>
          <t>DBS倉庫 数量</t>
        </is>
      </c>
      <c r="H1" s="8" t="inlineStr">
        <is>
          <t>DBS倉庫 金額</t>
        </is>
      </c>
      <c r="I1" s="8" t="inlineStr">
        <is>
          <t>合算 在庫数量</t>
        </is>
      </c>
      <c r="J1" s="8" t="inlineStr">
        <is>
          <t>合算 在庫金額(原価)</t>
        </is>
      </c>
    </row>
    <row r="2">
      <c r="A2" s="9" t="inlineStr">
        <is>
          <t>4515142519946</t>
        </is>
      </c>
      <c r="B2" s="9" t="inlineStr">
        <is>
          <t>CX2412FRNPRBDG-23</t>
        </is>
      </c>
      <c r="C2" s="9" t="inlineStr">
        <is>
          <t>葬送のフリーレンP　原画ランダム缶バッジ　全23種</t>
        </is>
      </c>
      <c r="D2" s="16">
        <f>COUNTIFS('XTab DS_1'!$B$2:$B$106,$B2)</f>
        <v/>
      </c>
      <c r="E2" s="10">
        <f>SUMIFS('XTab DS_1'!$F$2:$F$106,'XTab DS_1'!$B$2:$B$106,$B2,'XTab DS_1'!$D$2:$D$106,"CX01")</f>
        <v/>
      </c>
      <c r="F2" s="11">
        <f>SUMIFS('XTab DS_1'!$G$2:$G$106,'XTab DS_1'!$B$2:$B$106,$B2,'XTab DS_1'!$D$2:$D$106,"CX01")</f>
        <v/>
      </c>
      <c r="G2" s="10">
        <f>SUMIFS('XTab DS_1'!$F$2:$F$106,'XTab DS_1'!$B$2:$B$106,$B2,'XTab DS_1'!$D$2:$D$106,"DB00")</f>
        <v/>
      </c>
      <c r="H2" s="11">
        <f>SUMIFS('XTab DS_1'!$G$2:$G$106,'XTab DS_1'!$B$2:$B$106,$B2,'XTab DS_1'!$D$2:$D$106,"DB00")</f>
        <v/>
      </c>
      <c r="I2" s="17">
        <f>SUMIFS('XTab DS_1'!$F$2:$F$106,'XTab DS_1'!$B$2:$B$106,$B2)</f>
        <v/>
      </c>
      <c r="J2" s="18">
        <f>SUMIFS('XTab DS_1'!$G$2:$G$106,'XTab DS_1'!$B$2:$B$106,$B2)</f>
        <v/>
      </c>
    </row>
    <row r="3">
      <c r="A3" s="9" t="inlineStr">
        <is>
          <t>4515142519953</t>
        </is>
      </c>
      <c r="B3" s="9" t="inlineStr">
        <is>
          <t>CX2412FRNPRAKEY-20</t>
        </is>
      </c>
      <c r="C3" s="9" t="inlineStr">
        <is>
          <t>葬送のフリーレンP　原画ランダムアクリルキーホルダー　全20種</t>
        </is>
      </c>
      <c r="D3" s="16">
        <f>COUNTIFS('XTab DS_1'!$B$2:$B$106,$B3)</f>
        <v/>
      </c>
      <c r="E3" s="10">
        <f>SUMIFS('XTab DS_1'!$F$2:$F$106,'XTab DS_1'!$B$2:$B$106,$B3,'XTab DS_1'!$D$2:$D$106,"CX01")</f>
        <v/>
      </c>
      <c r="F3" s="11">
        <f>SUMIFS('XTab DS_1'!$G$2:$G$106,'XTab DS_1'!$B$2:$B$106,$B3,'XTab DS_1'!$D$2:$D$106,"CX01")</f>
        <v/>
      </c>
      <c r="G3" s="10">
        <f>SUMIFS('XTab DS_1'!$F$2:$F$106,'XTab DS_1'!$B$2:$B$106,$B3,'XTab DS_1'!$D$2:$D$106,"DB00")</f>
        <v/>
      </c>
      <c r="H3" s="11">
        <f>SUMIFS('XTab DS_1'!$G$2:$G$106,'XTab DS_1'!$B$2:$B$106,$B3,'XTab DS_1'!$D$2:$D$106,"DB00")</f>
        <v/>
      </c>
      <c r="I3" s="17">
        <f>SUMIFS('XTab DS_1'!$F$2:$F$106,'XTab DS_1'!$B$2:$B$106,$B3)</f>
        <v/>
      </c>
      <c r="J3" s="18">
        <f>SUMIFS('XTab DS_1'!$G$2:$G$106,'XTab DS_1'!$B$2:$B$106,$B3)</f>
        <v/>
      </c>
    </row>
    <row r="4">
      <c r="A4" s="9" t="inlineStr">
        <is>
          <t>4515142519960</t>
        </is>
      </c>
      <c r="B4" s="9" t="inlineStr">
        <is>
          <t>CX2412FRNPA4CF-FRI</t>
        </is>
      </c>
      <c r="C4" s="9" t="inlineStr">
        <is>
          <t>葬送のフリーレンP　A4クリアファイル　(フリーレン)</t>
        </is>
      </c>
      <c r="D4" s="16">
        <f>COUNTIFS('XTab DS_1'!$B$2:$B$106,$B4)</f>
        <v/>
      </c>
      <c r="E4" s="10">
        <f>SUMIFS('XTab DS_1'!$F$2:$F$106,'XTab DS_1'!$B$2:$B$106,$B4,'XTab DS_1'!$D$2:$D$106,"CX01")</f>
        <v/>
      </c>
      <c r="F4" s="11">
        <f>SUMIFS('XTab DS_1'!$G$2:$G$106,'XTab DS_1'!$B$2:$B$106,$B4,'XTab DS_1'!$D$2:$D$106,"CX01")</f>
        <v/>
      </c>
      <c r="G4" s="10">
        <f>SUMIFS('XTab DS_1'!$F$2:$F$106,'XTab DS_1'!$B$2:$B$106,$B4,'XTab DS_1'!$D$2:$D$106,"DB00")</f>
        <v/>
      </c>
      <c r="H4" s="11">
        <f>SUMIFS('XTab DS_1'!$G$2:$G$106,'XTab DS_1'!$B$2:$B$106,$B4,'XTab DS_1'!$D$2:$D$106,"DB00")</f>
        <v/>
      </c>
      <c r="I4" s="17">
        <f>SUMIFS('XTab DS_1'!$F$2:$F$106,'XTab DS_1'!$B$2:$B$106,$B4)</f>
        <v/>
      </c>
      <c r="J4" s="18">
        <f>SUMIFS('XTab DS_1'!$G$2:$G$106,'XTab DS_1'!$B$2:$B$106,$B4)</f>
        <v/>
      </c>
    </row>
    <row r="5">
      <c r="A5" s="9" t="inlineStr">
        <is>
          <t>4515142519977</t>
        </is>
      </c>
      <c r="B5" s="9" t="inlineStr">
        <is>
          <t>CX2412FRNPA4CF-FR</t>
        </is>
      </c>
      <c r="C5" s="9" t="inlineStr">
        <is>
          <t>葬送のフリーレンP　A4クリアファイル　(フェルン)</t>
        </is>
      </c>
      <c r="D5" s="16">
        <f>COUNTIFS('XTab DS_1'!$B$2:$B$106,$B5)</f>
        <v/>
      </c>
      <c r="E5" s="10">
        <f>SUMIFS('XTab DS_1'!$F$2:$F$106,'XTab DS_1'!$B$2:$B$106,$B5,'XTab DS_1'!$D$2:$D$106,"CX01")</f>
        <v/>
      </c>
      <c r="F5" s="11">
        <f>SUMIFS('XTab DS_1'!$G$2:$G$106,'XTab DS_1'!$B$2:$B$106,$B5,'XTab DS_1'!$D$2:$D$106,"CX01")</f>
        <v/>
      </c>
      <c r="G5" s="10">
        <f>SUMIFS('XTab DS_1'!$F$2:$F$106,'XTab DS_1'!$B$2:$B$106,$B5,'XTab DS_1'!$D$2:$D$106,"DB00")</f>
        <v/>
      </c>
      <c r="H5" s="11">
        <f>SUMIFS('XTab DS_1'!$G$2:$G$106,'XTab DS_1'!$B$2:$B$106,$B5,'XTab DS_1'!$D$2:$D$106,"DB00")</f>
        <v/>
      </c>
      <c r="I5" s="17">
        <f>SUMIFS('XTab DS_1'!$F$2:$F$106,'XTab DS_1'!$B$2:$B$106,$B5)</f>
        <v/>
      </c>
      <c r="J5" s="18">
        <f>SUMIFS('XTab DS_1'!$G$2:$G$106,'XTab DS_1'!$B$2:$B$106,$B5)</f>
        <v/>
      </c>
    </row>
    <row r="6">
      <c r="A6" s="9" t="inlineStr">
        <is>
          <t>4515142519984</t>
        </is>
      </c>
      <c r="B6" s="9" t="inlineStr">
        <is>
          <t>CX2412FRNPA4CF-ST</t>
        </is>
      </c>
      <c r="C6" s="9" t="inlineStr">
        <is>
          <t>葬送のフリーレンP　A4クリアファイル　(シュタルク)</t>
        </is>
      </c>
      <c r="D6" s="16">
        <f>COUNTIFS('XTab DS_1'!$B$2:$B$106,$B6)</f>
        <v/>
      </c>
      <c r="E6" s="10">
        <f>SUMIFS('XTab DS_1'!$F$2:$F$106,'XTab DS_1'!$B$2:$B$106,$B6,'XTab DS_1'!$D$2:$D$106,"CX01")</f>
        <v/>
      </c>
      <c r="F6" s="11">
        <f>SUMIFS('XTab DS_1'!$G$2:$G$106,'XTab DS_1'!$B$2:$B$106,$B6,'XTab DS_1'!$D$2:$D$106,"CX01")</f>
        <v/>
      </c>
      <c r="G6" s="10">
        <f>SUMIFS('XTab DS_1'!$F$2:$F$106,'XTab DS_1'!$B$2:$B$106,$B6,'XTab DS_1'!$D$2:$D$106,"DB00")</f>
        <v/>
      </c>
      <c r="H6" s="11">
        <f>SUMIFS('XTab DS_1'!$G$2:$G$106,'XTab DS_1'!$B$2:$B$106,$B6,'XTab DS_1'!$D$2:$D$106,"DB00")</f>
        <v/>
      </c>
      <c r="I6" s="17">
        <f>SUMIFS('XTab DS_1'!$F$2:$F$106,'XTab DS_1'!$B$2:$B$106,$B6)</f>
        <v/>
      </c>
      <c r="J6" s="18">
        <f>SUMIFS('XTab DS_1'!$G$2:$G$106,'XTab DS_1'!$B$2:$B$106,$B6)</f>
        <v/>
      </c>
    </row>
    <row r="7">
      <c r="A7" s="9" t="inlineStr">
        <is>
          <t>4515142519991</t>
        </is>
      </c>
      <c r="B7" s="9" t="inlineStr">
        <is>
          <t>CX2412FRNPASTA-FRI</t>
        </is>
      </c>
      <c r="C7" s="9" t="inlineStr">
        <is>
          <t>葬送のフリーレンP　アクリルスタンド　(フリーレン)</t>
        </is>
      </c>
      <c r="D7" s="16">
        <f>COUNTIFS('XTab DS_1'!$B$2:$B$106,$B7)</f>
        <v/>
      </c>
      <c r="E7" s="10">
        <f>SUMIFS('XTab DS_1'!$F$2:$F$106,'XTab DS_1'!$B$2:$B$106,$B7,'XTab DS_1'!$D$2:$D$106,"CX01")</f>
        <v/>
      </c>
      <c r="F7" s="11">
        <f>SUMIFS('XTab DS_1'!$G$2:$G$106,'XTab DS_1'!$B$2:$B$106,$B7,'XTab DS_1'!$D$2:$D$106,"CX01")</f>
        <v/>
      </c>
      <c r="G7" s="10">
        <f>SUMIFS('XTab DS_1'!$F$2:$F$106,'XTab DS_1'!$B$2:$B$106,$B7,'XTab DS_1'!$D$2:$D$106,"DB00")</f>
        <v/>
      </c>
      <c r="H7" s="11">
        <f>SUMIFS('XTab DS_1'!$G$2:$G$106,'XTab DS_1'!$B$2:$B$106,$B7,'XTab DS_1'!$D$2:$D$106,"DB00")</f>
        <v/>
      </c>
      <c r="I7" s="17">
        <f>SUMIFS('XTab DS_1'!$F$2:$F$106,'XTab DS_1'!$B$2:$B$106,$B7)</f>
        <v/>
      </c>
      <c r="J7" s="18">
        <f>SUMIFS('XTab DS_1'!$G$2:$G$106,'XTab DS_1'!$B$2:$B$106,$B7)</f>
        <v/>
      </c>
    </row>
    <row r="8">
      <c r="A8" s="9" t="inlineStr">
        <is>
          <t>4515142520010</t>
        </is>
      </c>
      <c r="B8" s="9" t="inlineStr">
        <is>
          <t>CX2412FRNPASTA-FR</t>
        </is>
      </c>
      <c r="C8" s="9" t="inlineStr">
        <is>
          <t>葬送のフリーレンP　アクリルスタンド　(フェルン)</t>
        </is>
      </c>
      <c r="D8" s="16">
        <f>COUNTIFS('XTab DS_1'!$B$2:$B$106,$B8)</f>
        <v/>
      </c>
      <c r="E8" s="10">
        <f>SUMIFS('XTab DS_1'!$F$2:$F$106,'XTab DS_1'!$B$2:$B$106,$B8,'XTab DS_1'!$D$2:$D$106,"CX01")</f>
        <v/>
      </c>
      <c r="F8" s="11">
        <f>SUMIFS('XTab DS_1'!$G$2:$G$106,'XTab DS_1'!$B$2:$B$106,$B8,'XTab DS_1'!$D$2:$D$106,"CX01")</f>
        <v/>
      </c>
      <c r="G8" s="10">
        <f>SUMIFS('XTab DS_1'!$F$2:$F$106,'XTab DS_1'!$B$2:$B$106,$B8,'XTab DS_1'!$D$2:$D$106,"DB00")</f>
        <v/>
      </c>
      <c r="H8" s="11">
        <f>SUMIFS('XTab DS_1'!$G$2:$G$106,'XTab DS_1'!$B$2:$B$106,$B8,'XTab DS_1'!$D$2:$D$106,"DB00")</f>
        <v/>
      </c>
      <c r="I8" s="17">
        <f>SUMIFS('XTab DS_1'!$F$2:$F$106,'XTab DS_1'!$B$2:$B$106,$B8)</f>
        <v/>
      </c>
      <c r="J8" s="18">
        <f>SUMIFS('XTab DS_1'!$G$2:$G$106,'XTab DS_1'!$B$2:$B$106,$B8)</f>
        <v/>
      </c>
    </row>
    <row r="9">
      <c r="A9" s="9" t="inlineStr">
        <is>
          <t>4515142520027</t>
        </is>
      </c>
      <c r="B9" s="9" t="inlineStr">
        <is>
          <t>CX2412FRNPASTA-ST</t>
        </is>
      </c>
      <c r="C9" s="9" t="inlineStr">
        <is>
          <t>葬送のフリーレンP　アクリルスタンド　(シュタルク)</t>
        </is>
      </c>
      <c r="D9" s="16">
        <f>COUNTIFS('XTab DS_1'!$B$2:$B$106,$B9)</f>
        <v/>
      </c>
      <c r="E9" s="10">
        <f>SUMIFS('XTab DS_1'!$F$2:$F$106,'XTab DS_1'!$B$2:$B$106,$B9,'XTab DS_1'!$D$2:$D$106,"CX01")</f>
        <v/>
      </c>
      <c r="F9" s="11">
        <f>SUMIFS('XTab DS_1'!$G$2:$G$106,'XTab DS_1'!$B$2:$B$106,$B9,'XTab DS_1'!$D$2:$D$106,"CX01")</f>
        <v/>
      </c>
      <c r="G9" s="10">
        <f>SUMIFS('XTab DS_1'!$F$2:$F$106,'XTab DS_1'!$B$2:$B$106,$B9,'XTab DS_1'!$D$2:$D$106,"DB00")</f>
        <v/>
      </c>
      <c r="H9" s="11">
        <f>SUMIFS('XTab DS_1'!$G$2:$G$106,'XTab DS_1'!$B$2:$B$106,$B9,'XTab DS_1'!$D$2:$D$106,"DB00")</f>
        <v/>
      </c>
      <c r="I9" s="17">
        <f>SUMIFS('XTab DS_1'!$F$2:$F$106,'XTab DS_1'!$B$2:$B$106,$B9)</f>
        <v/>
      </c>
      <c r="J9" s="18">
        <f>SUMIFS('XTab DS_1'!$G$2:$G$106,'XTab DS_1'!$B$2:$B$106,$B9)</f>
        <v/>
      </c>
    </row>
    <row r="10">
      <c r="A10" s="9" t="inlineStr">
        <is>
          <t>4515142520034</t>
        </is>
      </c>
      <c r="B10" s="9" t="inlineStr">
        <is>
          <t>CX2412FRNPBDG-FRI</t>
        </is>
      </c>
      <c r="C10" s="9" t="inlineStr">
        <is>
          <t>葬送のフリーレンP　缶バッジ　(フリーレン)</t>
        </is>
      </c>
      <c r="D10" s="16">
        <f>COUNTIFS('XTab DS_1'!$B$2:$B$106,$B10)</f>
        <v/>
      </c>
      <c r="E10" s="10">
        <f>SUMIFS('XTab DS_1'!$F$2:$F$106,'XTab DS_1'!$B$2:$B$106,$B10,'XTab DS_1'!$D$2:$D$106,"CX01")</f>
        <v/>
      </c>
      <c r="F10" s="11">
        <f>SUMIFS('XTab DS_1'!$G$2:$G$106,'XTab DS_1'!$B$2:$B$106,$B10,'XTab DS_1'!$D$2:$D$106,"CX01")</f>
        <v/>
      </c>
      <c r="G10" s="10">
        <f>SUMIFS('XTab DS_1'!$F$2:$F$106,'XTab DS_1'!$B$2:$B$106,$B10,'XTab DS_1'!$D$2:$D$106,"DB00")</f>
        <v/>
      </c>
      <c r="H10" s="11">
        <f>SUMIFS('XTab DS_1'!$G$2:$G$106,'XTab DS_1'!$B$2:$B$106,$B10,'XTab DS_1'!$D$2:$D$106,"DB00")</f>
        <v/>
      </c>
      <c r="I10" s="17">
        <f>SUMIFS('XTab DS_1'!$F$2:$F$106,'XTab DS_1'!$B$2:$B$106,$B10)</f>
        <v/>
      </c>
      <c r="J10" s="18">
        <f>SUMIFS('XTab DS_1'!$G$2:$G$106,'XTab DS_1'!$B$2:$B$106,$B10)</f>
        <v/>
      </c>
    </row>
    <row r="11">
      <c r="A11" s="9" t="inlineStr">
        <is>
          <t>4515142520041</t>
        </is>
      </c>
      <c r="B11" s="9" t="inlineStr">
        <is>
          <t>CX2412FRNPBDG-ST</t>
        </is>
      </c>
      <c r="C11" s="9" t="inlineStr">
        <is>
          <t>葬送のフリーレンP　缶バッジ　(シュタルク)</t>
        </is>
      </c>
      <c r="D11" s="16">
        <f>COUNTIFS('XTab DS_1'!$B$2:$B$106,$B11)</f>
        <v/>
      </c>
      <c r="E11" s="10">
        <f>SUMIFS('XTab DS_1'!$F$2:$F$106,'XTab DS_1'!$B$2:$B$106,$B11,'XTab DS_1'!$D$2:$D$106,"CX01")</f>
        <v/>
      </c>
      <c r="F11" s="11">
        <f>SUMIFS('XTab DS_1'!$G$2:$G$106,'XTab DS_1'!$B$2:$B$106,$B11,'XTab DS_1'!$D$2:$D$106,"CX01")</f>
        <v/>
      </c>
      <c r="G11" s="10">
        <f>SUMIFS('XTab DS_1'!$F$2:$F$106,'XTab DS_1'!$B$2:$B$106,$B11,'XTab DS_1'!$D$2:$D$106,"DB00")</f>
        <v/>
      </c>
      <c r="H11" s="11">
        <f>SUMIFS('XTab DS_1'!$G$2:$G$106,'XTab DS_1'!$B$2:$B$106,$B11,'XTab DS_1'!$D$2:$D$106,"DB00")</f>
        <v/>
      </c>
      <c r="I11" s="17">
        <f>SUMIFS('XTab DS_1'!$F$2:$F$106,'XTab DS_1'!$B$2:$B$106,$B11)</f>
        <v/>
      </c>
      <c r="J11" s="18">
        <f>SUMIFS('XTab DS_1'!$G$2:$G$106,'XTab DS_1'!$B$2:$B$106,$B11)</f>
        <v/>
      </c>
    </row>
    <row r="12">
      <c r="A12" s="9" t="inlineStr">
        <is>
          <t>4515142520058</t>
        </is>
      </c>
      <c r="B12" s="9" t="inlineStr">
        <is>
          <t>CX2412FRNPBDG-FR</t>
        </is>
      </c>
      <c r="C12" s="9" t="inlineStr">
        <is>
          <t>葬送のフリーレンP　缶バッジ　(フェルン)</t>
        </is>
      </c>
      <c r="D12" s="16">
        <f>COUNTIFS('XTab DS_1'!$B$2:$B$106,$B12)</f>
        <v/>
      </c>
      <c r="E12" s="10">
        <f>SUMIFS('XTab DS_1'!$F$2:$F$106,'XTab DS_1'!$B$2:$B$106,$B12,'XTab DS_1'!$D$2:$D$106,"CX01")</f>
        <v/>
      </c>
      <c r="F12" s="11">
        <f>SUMIFS('XTab DS_1'!$G$2:$G$106,'XTab DS_1'!$B$2:$B$106,$B12,'XTab DS_1'!$D$2:$D$106,"CX01")</f>
        <v/>
      </c>
      <c r="G12" s="10">
        <f>SUMIFS('XTab DS_1'!$F$2:$F$106,'XTab DS_1'!$B$2:$B$106,$B12,'XTab DS_1'!$D$2:$D$106,"DB00")</f>
        <v/>
      </c>
      <c r="H12" s="11">
        <f>SUMIFS('XTab DS_1'!$G$2:$G$106,'XTab DS_1'!$B$2:$B$106,$B12,'XTab DS_1'!$D$2:$D$106,"DB00")</f>
        <v/>
      </c>
      <c r="I12" s="17">
        <f>SUMIFS('XTab DS_1'!$F$2:$F$106,'XTab DS_1'!$B$2:$B$106,$B12)</f>
        <v/>
      </c>
      <c r="J12" s="18">
        <f>SUMIFS('XTab DS_1'!$G$2:$G$106,'XTab DS_1'!$B$2:$B$106,$B12)</f>
        <v/>
      </c>
    </row>
    <row r="13">
      <c r="A13" s="9" t="inlineStr">
        <is>
          <t>4515142520065</t>
        </is>
      </c>
      <c r="B13" s="9" t="inlineStr">
        <is>
          <t>CX2412FRNPPKEY-FRI</t>
        </is>
      </c>
      <c r="C13" s="9" t="inlineStr">
        <is>
          <t>葬送のフリーレンP　フォトフレームキーホルダー　(フリーレン)</t>
        </is>
      </c>
      <c r="D13" s="16">
        <f>COUNTIFS('XTab DS_1'!$B$2:$B$106,$B13)</f>
        <v/>
      </c>
      <c r="E13" s="10">
        <f>SUMIFS('XTab DS_1'!$F$2:$F$106,'XTab DS_1'!$B$2:$B$106,$B13,'XTab DS_1'!$D$2:$D$106,"CX01")</f>
        <v/>
      </c>
      <c r="F13" s="11">
        <f>SUMIFS('XTab DS_1'!$G$2:$G$106,'XTab DS_1'!$B$2:$B$106,$B13,'XTab DS_1'!$D$2:$D$106,"CX01")</f>
        <v/>
      </c>
      <c r="G13" s="10">
        <f>SUMIFS('XTab DS_1'!$F$2:$F$106,'XTab DS_1'!$B$2:$B$106,$B13,'XTab DS_1'!$D$2:$D$106,"DB00")</f>
        <v/>
      </c>
      <c r="H13" s="11">
        <f>SUMIFS('XTab DS_1'!$G$2:$G$106,'XTab DS_1'!$B$2:$B$106,$B13,'XTab DS_1'!$D$2:$D$106,"DB00")</f>
        <v/>
      </c>
      <c r="I13" s="17">
        <f>SUMIFS('XTab DS_1'!$F$2:$F$106,'XTab DS_1'!$B$2:$B$106,$B13)</f>
        <v/>
      </c>
      <c r="J13" s="18">
        <f>SUMIFS('XTab DS_1'!$G$2:$G$106,'XTab DS_1'!$B$2:$B$106,$B13)</f>
        <v/>
      </c>
    </row>
    <row r="14">
      <c r="A14" s="9" t="inlineStr">
        <is>
          <t>4515142520072</t>
        </is>
      </c>
      <c r="B14" s="9" t="inlineStr">
        <is>
          <t>CX2412FRNPPKEY-FR</t>
        </is>
      </c>
      <c r="C14" s="9" t="inlineStr">
        <is>
          <t>葬送のフリーレンP　フォトフレームキーホルダー　(フェルン)</t>
        </is>
      </c>
      <c r="D14" s="16">
        <f>COUNTIFS('XTab DS_1'!$B$2:$B$106,$B14)</f>
        <v/>
      </c>
      <c r="E14" s="10">
        <f>SUMIFS('XTab DS_1'!$F$2:$F$106,'XTab DS_1'!$B$2:$B$106,$B14,'XTab DS_1'!$D$2:$D$106,"CX01")</f>
        <v/>
      </c>
      <c r="F14" s="11">
        <f>SUMIFS('XTab DS_1'!$G$2:$G$106,'XTab DS_1'!$B$2:$B$106,$B14,'XTab DS_1'!$D$2:$D$106,"CX01")</f>
        <v/>
      </c>
      <c r="G14" s="10">
        <f>SUMIFS('XTab DS_1'!$F$2:$F$106,'XTab DS_1'!$B$2:$B$106,$B14,'XTab DS_1'!$D$2:$D$106,"DB00")</f>
        <v/>
      </c>
      <c r="H14" s="11">
        <f>SUMIFS('XTab DS_1'!$G$2:$G$106,'XTab DS_1'!$B$2:$B$106,$B14,'XTab DS_1'!$D$2:$D$106,"DB00")</f>
        <v/>
      </c>
      <c r="I14" s="17">
        <f>SUMIFS('XTab DS_1'!$F$2:$F$106,'XTab DS_1'!$B$2:$B$106,$B14)</f>
        <v/>
      </c>
      <c r="J14" s="18">
        <f>SUMIFS('XTab DS_1'!$G$2:$G$106,'XTab DS_1'!$B$2:$B$106,$B14)</f>
        <v/>
      </c>
    </row>
    <row r="15">
      <c r="A15" s="9" t="inlineStr">
        <is>
          <t>4515142520089</t>
        </is>
      </c>
      <c r="B15" s="9" t="inlineStr">
        <is>
          <t>CX2412FRNPPKEY-ST</t>
        </is>
      </c>
      <c r="C15" s="9" t="inlineStr">
        <is>
          <t>葬送のフリーレンP　フォトフレームキーホルダー　(シュタルク)</t>
        </is>
      </c>
      <c r="D15" s="16">
        <f>COUNTIFS('XTab DS_1'!$B$2:$B$106,$B15)</f>
        <v/>
      </c>
      <c r="E15" s="10">
        <f>SUMIFS('XTab DS_1'!$F$2:$F$106,'XTab DS_1'!$B$2:$B$106,$B15,'XTab DS_1'!$D$2:$D$106,"CX01")</f>
        <v/>
      </c>
      <c r="F15" s="11">
        <f>SUMIFS('XTab DS_1'!$G$2:$G$106,'XTab DS_1'!$B$2:$B$106,$B15,'XTab DS_1'!$D$2:$D$106,"CX01")</f>
        <v/>
      </c>
      <c r="G15" s="10">
        <f>SUMIFS('XTab DS_1'!$F$2:$F$106,'XTab DS_1'!$B$2:$B$106,$B15,'XTab DS_1'!$D$2:$D$106,"DB00")</f>
        <v/>
      </c>
      <c r="H15" s="11">
        <f>SUMIFS('XTab DS_1'!$G$2:$G$106,'XTab DS_1'!$B$2:$B$106,$B15,'XTab DS_1'!$D$2:$D$106,"DB00")</f>
        <v/>
      </c>
      <c r="I15" s="17">
        <f>SUMIFS('XTab DS_1'!$F$2:$F$106,'XTab DS_1'!$B$2:$B$106,$B15)</f>
        <v/>
      </c>
      <c r="J15" s="18">
        <f>SUMIFS('XTab DS_1'!$G$2:$G$106,'XTab DS_1'!$B$2:$B$106,$B15)</f>
        <v/>
      </c>
    </row>
    <row r="16">
      <c r="A16" s="9" t="inlineStr">
        <is>
          <t>4515142520096</t>
        </is>
      </c>
      <c r="B16" s="9" t="inlineStr">
        <is>
          <t>CX2412FRNPPOSSET</t>
        </is>
      </c>
      <c r="C16" s="9" t="inlineStr">
        <is>
          <t>葬送のフリーレンP　ポストカードセット</t>
        </is>
      </c>
      <c r="D16" s="16">
        <f>COUNTIFS('XTab DS_1'!$B$2:$B$106,$B16)</f>
        <v/>
      </c>
      <c r="E16" s="10">
        <f>SUMIFS('XTab DS_1'!$F$2:$F$106,'XTab DS_1'!$B$2:$B$106,$B16,'XTab DS_1'!$D$2:$D$106,"CX01")</f>
        <v/>
      </c>
      <c r="F16" s="11">
        <f>SUMIFS('XTab DS_1'!$G$2:$G$106,'XTab DS_1'!$B$2:$B$106,$B16,'XTab DS_1'!$D$2:$D$106,"CX01")</f>
        <v/>
      </c>
      <c r="G16" s="10">
        <f>SUMIFS('XTab DS_1'!$F$2:$F$106,'XTab DS_1'!$B$2:$B$106,$B16,'XTab DS_1'!$D$2:$D$106,"DB00")</f>
        <v/>
      </c>
      <c r="H16" s="11">
        <f>SUMIFS('XTab DS_1'!$G$2:$G$106,'XTab DS_1'!$B$2:$B$106,$B16,'XTab DS_1'!$D$2:$D$106,"DB00")</f>
        <v/>
      </c>
      <c r="I16" s="17">
        <f>SUMIFS('XTab DS_1'!$F$2:$F$106,'XTab DS_1'!$B$2:$B$106,$B16)</f>
        <v/>
      </c>
      <c r="J16" s="18">
        <f>SUMIFS('XTab DS_1'!$G$2:$G$106,'XTab DS_1'!$B$2:$B$106,$B16)</f>
        <v/>
      </c>
    </row>
    <row r="17">
      <c r="A17" s="9" t="inlineStr">
        <is>
          <t>4515142520102</t>
        </is>
      </c>
      <c r="B17" s="9" t="inlineStr">
        <is>
          <t>CX2412FRNPRMNOTE-6</t>
        </is>
      </c>
      <c r="C17" s="9" t="inlineStr">
        <is>
          <t>葬送のフリーレンP　ランダム魔導書風ノート　全6種</t>
        </is>
      </c>
      <c r="D17" s="16">
        <f>COUNTIFS('XTab DS_1'!$B$2:$B$106,$B17)</f>
        <v/>
      </c>
      <c r="E17" s="10">
        <f>SUMIFS('XTab DS_1'!$F$2:$F$106,'XTab DS_1'!$B$2:$B$106,$B17,'XTab DS_1'!$D$2:$D$106,"CX01")</f>
        <v/>
      </c>
      <c r="F17" s="11">
        <f>SUMIFS('XTab DS_1'!$G$2:$G$106,'XTab DS_1'!$B$2:$B$106,$B17,'XTab DS_1'!$D$2:$D$106,"CX01")</f>
        <v/>
      </c>
      <c r="G17" s="10">
        <f>SUMIFS('XTab DS_1'!$F$2:$F$106,'XTab DS_1'!$B$2:$B$106,$B17,'XTab DS_1'!$D$2:$D$106,"DB00")</f>
        <v/>
      </c>
      <c r="H17" s="11">
        <f>SUMIFS('XTab DS_1'!$G$2:$G$106,'XTab DS_1'!$B$2:$B$106,$B17,'XTab DS_1'!$D$2:$D$106,"DB00")</f>
        <v/>
      </c>
      <c r="I17" s="17">
        <f>SUMIFS('XTab DS_1'!$F$2:$F$106,'XTab DS_1'!$B$2:$B$106,$B17)</f>
        <v/>
      </c>
      <c r="J17" s="18">
        <f>SUMIFS('XTab DS_1'!$G$2:$G$106,'XTab DS_1'!$B$2:$B$106,$B17)</f>
        <v/>
      </c>
    </row>
    <row r="18">
      <c r="A18" s="9" t="inlineStr">
        <is>
          <t>4515142520119</t>
        </is>
      </c>
      <c r="B18" s="9" t="inlineStr">
        <is>
          <t>CX2412FRNPTAG</t>
        </is>
      </c>
      <c r="C18" s="9" t="inlineStr">
        <is>
          <t>葬送のフリーレンP　付箋</t>
        </is>
      </c>
      <c r="D18" s="16">
        <f>COUNTIFS('XTab DS_1'!$B$2:$B$106,$B18)</f>
        <v/>
      </c>
      <c r="E18" s="10">
        <f>SUMIFS('XTab DS_1'!$F$2:$F$106,'XTab DS_1'!$B$2:$B$106,$B18,'XTab DS_1'!$D$2:$D$106,"CX01")</f>
        <v/>
      </c>
      <c r="F18" s="11">
        <f>SUMIFS('XTab DS_1'!$G$2:$G$106,'XTab DS_1'!$B$2:$B$106,$B18,'XTab DS_1'!$D$2:$D$106,"CX01")</f>
        <v/>
      </c>
      <c r="G18" s="10">
        <f>SUMIFS('XTab DS_1'!$F$2:$F$106,'XTab DS_1'!$B$2:$B$106,$B18,'XTab DS_1'!$D$2:$D$106,"DB00")</f>
        <v/>
      </c>
      <c r="H18" s="11">
        <f>SUMIFS('XTab DS_1'!$G$2:$G$106,'XTab DS_1'!$B$2:$B$106,$B18,'XTab DS_1'!$D$2:$D$106,"DB00")</f>
        <v/>
      </c>
      <c r="I18" s="17">
        <f>SUMIFS('XTab DS_1'!$F$2:$F$106,'XTab DS_1'!$B$2:$B$106,$B18)</f>
        <v/>
      </c>
      <c r="J18" s="18">
        <f>SUMIFS('XTab DS_1'!$G$2:$G$106,'XTab DS_1'!$B$2:$B$106,$B18)</f>
        <v/>
      </c>
    </row>
    <row r="19">
      <c r="A19" s="9" t="inlineStr">
        <is>
          <t>4515142520126</t>
        </is>
      </c>
      <c r="B19" s="9" t="inlineStr">
        <is>
          <t>CX2412FRNPRPKEY-7</t>
        </is>
      </c>
      <c r="C19" s="9" t="inlineStr">
        <is>
          <t>葬送のフリーレンP　ランダムパネルキーホルダー　全7種</t>
        </is>
      </c>
      <c r="D19" s="16">
        <f>COUNTIFS('XTab DS_1'!$B$2:$B$106,$B19)</f>
        <v/>
      </c>
      <c r="E19" s="10">
        <f>SUMIFS('XTab DS_1'!$F$2:$F$106,'XTab DS_1'!$B$2:$B$106,$B19,'XTab DS_1'!$D$2:$D$106,"CX01")</f>
        <v/>
      </c>
      <c r="F19" s="11">
        <f>SUMIFS('XTab DS_1'!$G$2:$G$106,'XTab DS_1'!$B$2:$B$106,$B19,'XTab DS_1'!$D$2:$D$106,"CX01")</f>
        <v/>
      </c>
      <c r="G19" s="10">
        <f>SUMIFS('XTab DS_1'!$F$2:$F$106,'XTab DS_1'!$B$2:$B$106,$B19,'XTab DS_1'!$D$2:$D$106,"DB00")</f>
        <v/>
      </c>
      <c r="H19" s="11">
        <f>SUMIFS('XTab DS_1'!$G$2:$G$106,'XTab DS_1'!$B$2:$B$106,$B19,'XTab DS_1'!$D$2:$D$106,"DB00")</f>
        <v/>
      </c>
      <c r="I19" s="17">
        <f>SUMIFS('XTab DS_1'!$F$2:$F$106,'XTab DS_1'!$B$2:$B$106,$B19)</f>
        <v/>
      </c>
      <c r="J19" s="18">
        <f>SUMIFS('XTab DS_1'!$G$2:$G$106,'XTab DS_1'!$B$2:$B$106,$B19)</f>
        <v/>
      </c>
    </row>
    <row r="20">
      <c r="A20" s="9" t="inlineStr">
        <is>
          <t>4515142521130</t>
        </is>
      </c>
      <c r="B20" s="9" t="inlineStr">
        <is>
          <t>CX2412DNDCF-OR</t>
        </is>
      </c>
      <c r="C20" s="9" t="inlineStr">
        <is>
          <t>ダンダダンPOPUP　クリアファイル　オカルン</t>
        </is>
      </c>
      <c r="D20" s="16">
        <f>COUNTIFS('XTab DS_1'!$B$2:$B$106,$B20)</f>
        <v/>
      </c>
      <c r="E20" s="10">
        <f>SUMIFS('XTab DS_1'!$F$2:$F$106,'XTab DS_1'!$B$2:$B$106,$B20,'XTab DS_1'!$D$2:$D$106,"CX01")</f>
        <v/>
      </c>
      <c r="F20" s="11">
        <f>SUMIFS('XTab DS_1'!$G$2:$G$106,'XTab DS_1'!$B$2:$B$106,$B20,'XTab DS_1'!$D$2:$D$106,"CX01")</f>
        <v/>
      </c>
      <c r="G20" s="10">
        <f>SUMIFS('XTab DS_1'!$F$2:$F$106,'XTab DS_1'!$B$2:$B$106,$B20,'XTab DS_1'!$D$2:$D$106,"DB00")</f>
        <v/>
      </c>
      <c r="H20" s="11">
        <f>SUMIFS('XTab DS_1'!$G$2:$G$106,'XTab DS_1'!$B$2:$B$106,$B20,'XTab DS_1'!$D$2:$D$106,"DB00")</f>
        <v/>
      </c>
      <c r="I20" s="17">
        <f>SUMIFS('XTab DS_1'!$F$2:$F$106,'XTab DS_1'!$B$2:$B$106,$B20)</f>
        <v/>
      </c>
      <c r="J20" s="18">
        <f>SUMIFS('XTab DS_1'!$G$2:$G$106,'XTab DS_1'!$B$2:$B$106,$B20)</f>
        <v/>
      </c>
    </row>
    <row r="21">
      <c r="A21" s="9" t="inlineStr">
        <is>
          <t>4515142521147</t>
        </is>
      </c>
      <c r="B21" s="9" t="inlineStr">
        <is>
          <t>CX2412DNDCF-MM</t>
        </is>
      </c>
      <c r="C21" s="9" t="inlineStr">
        <is>
          <t>ダンダダンPOPUP　クリアファイル　モモ</t>
        </is>
      </c>
      <c r="D21" s="16">
        <f>COUNTIFS('XTab DS_1'!$B$2:$B$106,$B21)</f>
        <v/>
      </c>
      <c r="E21" s="10">
        <f>SUMIFS('XTab DS_1'!$F$2:$F$106,'XTab DS_1'!$B$2:$B$106,$B21,'XTab DS_1'!$D$2:$D$106,"CX01")</f>
        <v/>
      </c>
      <c r="F21" s="11">
        <f>SUMIFS('XTab DS_1'!$G$2:$G$106,'XTab DS_1'!$B$2:$B$106,$B21,'XTab DS_1'!$D$2:$D$106,"CX01")</f>
        <v/>
      </c>
      <c r="G21" s="10">
        <f>SUMIFS('XTab DS_1'!$F$2:$F$106,'XTab DS_1'!$B$2:$B$106,$B21,'XTab DS_1'!$D$2:$D$106,"DB00")</f>
        <v/>
      </c>
      <c r="H21" s="11">
        <f>SUMIFS('XTab DS_1'!$G$2:$G$106,'XTab DS_1'!$B$2:$B$106,$B21,'XTab DS_1'!$D$2:$D$106,"DB00")</f>
        <v/>
      </c>
      <c r="I21" s="17">
        <f>SUMIFS('XTab DS_1'!$F$2:$F$106,'XTab DS_1'!$B$2:$B$106,$B21)</f>
        <v/>
      </c>
      <c r="J21" s="18">
        <f>SUMIFS('XTab DS_1'!$G$2:$G$106,'XTab DS_1'!$B$2:$B$106,$B21)</f>
        <v/>
      </c>
    </row>
    <row r="22">
      <c r="A22" s="9" t="inlineStr">
        <is>
          <t>4515142521154</t>
        </is>
      </c>
      <c r="B22" s="9" t="inlineStr">
        <is>
          <t>CX2412DNDCF-SK</t>
        </is>
      </c>
      <c r="C22" s="9" t="inlineStr">
        <is>
          <t>ダンダダンPOPUP　クリアファイル　星子</t>
        </is>
      </c>
      <c r="D22" s="16">
        <f>COUNTIFS('XTab DS_1'!$B$2:$B$106,$B22)</f>
        <v/>
      </c>
      <c r="E22" s="10">
        <f>SUMIFS('XTab DS_1'!$F$2:$F$106,'XTab DS_1'!$B$2:$B$106,$B22,'XTab DS_1'!$D$2:$D$106,"CX01")</f>
        <v/>
      </c>
      <c r="F22" s="11">
        <f>SUMIFS('XTab DS_1'!$G$2:$G$106,'XTab DS_1'!$B$2:$B$106,$B22,'XTab DS_1'!$D$2:$D$106,"CX01")</f>
        <v/>
      </c>
      <c r="G22" s="10">
        <f>SUMIFS('XTab DS_1'!$F$2:$F$106,'XTab DS_1'!$B$2:$B$106,$B22,'XTab DS_1'!$D$2:$D$106,"DB00")</f>
        <v/>
      </c>
      <c r="H22" s="11">
        <f>SUMIFS('XTab DS_1'!$G$2:$G$106,'XTab DS_1'!$B$2:$B$106,$B22,'XTab DS_1'!$D$2:$D$106,"DB00")</f>
        <v/>
      </c>
      <c r="I22" s="17">
        <f>SUMIFS('XTab DS_1'!$F$2:$F$106,'XTab DS_1'!$B$2:$B$106,$B22)</f>
        <v/>
      </c>
      <c r="J22" s="18">
        <f>SUMIFS('XTab DS_1'!$G$2:$G$106,'XTab DS_1'!$B$2:$B$106,$B22)</f>
        <v/>
      </c>
    </row>
    <row r="23">
      <c r="A23" s="9" t="inlineStr">
        <is>
          <t>4515142521161</t>
        </is>
      </c>
      <c r="B23" s="9" t="inlineStr">
        <is>
          <t>CX2412DNDCF-AR</t>
        </is>
      </c>
      <c r="C23" s="9" t="inlineStr">
        <is>
          <t>ダンダダンPOPUP　クリアファイル　アイラ</t>
        </is>
      </c>
      <c r="D23" s="16">
        <f>COUNTIFS('XTab DS_1'!$B$2:$B$106,$B23)</f>
        <v/>
      </c>
      <c r="E23" s="10">
        <f>SUMIFS('XTab DS_1'!$F$2:$F$106,'XTab DS_1'!$B$2:$B$106,$B23,'XTab DS_1'!$D$2:$D$106,"CX01")</f>
        <v/>
      </c>
      <c r="F23" s="11">
        <f>SUMIFS('XTab DS_1'!$G$2:$G$106,'XTab DS_1'!$B$2:$B$106,$B23,'XTab DS_1'!$D$2:$D$106,"CX01")</f>
        <v/>
      </c>
      <c r="G23" s="10">
        <f>SUMIFS('XTab DS_1'!$F$2:$F$106,'XTab DS_1'!$B$2:$B$106,$B23,'XTab DS_1'!$D$2:$D$106,"DB00")</f>
        <v/>
      </c>
      <c r="H23" s="11">
        <f>SUMIFS('XTab DS_1'!$G$2:$G$106,'XTab DS_1'!$B$2:$B$106,$B23,'XTab DS_1'!$D$2:$D$106,"DB00")</f>
        <v/>
      </c>
      <c r="I23" s="17">
        <f>SUMIFS('XTab DS_1'!$F$2:$F$106,'XTab DS_1'!$B$2:$B$106,$B23)</f>
        <v/>
      </c>
      <c r="J23" s="18">
        <f>SUMIFS('XTab DS_1'!$G$2:$G$106,'XTab DS_1'!$B$2:$B$106,$B23)</f>
        <v/>
      </c>
    </row>
    <row r="24">
      <c r="A24" s="9" t="inlineStr">
        <is>
          <t>4515142521178</t>
        </is>
      </c>
      <c r="B24" s="9" t="inlineStr">
        <is>
          <t>CX2412DNDCF-TB</t>
        </is>
      </c>
      <c r="C24" s="9" t="inlineStr">
        <is>
          <t>ダンダダンPOPUP　クリアファイル　ターボババア(招き猫)</t>
        </is>
      </c>
      <c r="D24" s="16">
        <f>COUNTIFS('XTab DS_1'!$B$2:$B$106,$B24)</f>
        <v/>
      </c>
      <c r="E24" s="10">
        <f>SUMIFS('XTab DS_1'!$F$2:$F$106,'XTab DS_1'!$B$2:$B$106,$B24,'XTab DS_1'!$D$2:$D$106,"CX01")</f>
        <v/>
      </c>
      <c r="F24" s="11">
        <f>SUMIFS('XTab DS_1'!$G$2:$G$106,'XTab DS_1'!$B$2:$B$106,$B24,'XTab DS_1'!$D$2:$D$106,"CX01")</f>
        <v/>
      </c>
      <c r="G24" s="10">
        <f>SUMIFS('XTab DS_1'!$F$2:$F$106,'XTab DS_1'!$B$2:$B$106,$B24,'XTab DS_1'!$D$2:$D$106,"DB00")</f>
        <v/>
      </c>
      <c r="H24" s="11">
        <f>SUMIFS('XTab DS_1'!$G$2:$G$106,'XTab DS_1'!$B$2:$B$106,$B24,'XTab DS_1'!$D$2:$D$106,"DB00")</f>
        <v/>
      </c>
      <c r="I24" s="17">
        <f>SUMIFS('XTab DS_1'!$F$2:$F$106,'XTab DS_1'!$B$2:$B$106,$B24)</f>
        <v/>
      </c>
      <c r="J24" s="18">
        <f>SUMIFS('XTab DS_1'!$G$2:$G$106,'XTab DS_1'!$B$2:$B$106,$B24)</f>
        <v/>
      </c>
    </row>
    <row r="25">
      <c r="A25" s="9" t="inlineStr">
        <is>
          <t>4515142521185</t>
        </is>
      </c>
      <c r="B25" s="9" t="inlineStr">
        <is>
          <t>CX2412DNDCF-ORH</t>
        </is>
      </c>
      <c r="C25" s="9" t="inlineStr">
        <is>
          <t>ダンダダンPOPUP　クリアファイル　オカルン(変身)</t>
        </is>
      </c>
      <c r="D25" s="16">
        <f>COUNTIFS('XTab DS_1'!$B$2:$B$106,$B25)</f>
        <v/>
      </c>
      <c r="E25" s="10">
        <f>SUMIFS('XTab DS_1'!$F$2:$F$106,'XTab DS_1'!$B$2:$B$106,$B25,'XTab DS_1'!$D$2:$D$106,"CX01")</f>
        <v/>
      </c>
      <c r="F25" s="11">
        <f>SUMIFS('XTab DS_1'!$G$2:$G$106,'XTab DS_1'!$B$2:$B$106,$B25,'XTab DS_1'!$D$2:$D$106,"CX01")</f>
        <v/>
      </c>
      <c r="G25" s="10">
        <f>SUMIFS('XTab DS_1'!$F$2:$F$106,'XTab DS_1'!$B$2:$B$106,$B25,'XTab DS_1'!$D$2:$D$106,"DB00")</f>
        <v/>
      </c>
      <c r="H25" s="11">
        <f>SUMIFS('XTab DS_1'!$G$2:$G$106,'XTab DS_1'!$B$2:$B$106,$B25,'XTab DS_1'!$D$2:$D$106,"DB00")</f>
        <v/>
      </c>
      <c r="I25" s="17">
        <f>SUMIFS('XTab DS_1'!$F$2:$F$106,'XTab DS_1'!$B$2:$B$106,$B25)</f>
        <v/>
      </c>
      <c r="J25" s="18">
        <f>SUMIFS('XTab DS_1'!$G$2:$G$106,'XTab DS_1'!$B$2:$B$106,$B25)</f>
        <v/>
      </c>
    </row>
    <row r="26">
      <c r="A26" s="9" t="inlineStr">
        <is>
          <t>4515142521192</t>
        </is>
      </c>
      <c r="B26" s="9" t="inlineStr">
        <is>
          <t>CX2412DNDCF-ARH</t>
        </is>
      </c>
      <c r="C26" s="9" t="inlineStr">
        <is>
          <t>ダンダダンPOPUP　クリアファイル　アイラ(変身)</t>
        </is>
      </c>
      <c r="D26" s="16">
        <f>COUNTIFS('XTab DS_1'!$B$2:$B$106,$B26)</f>
        <v/>
      </c>
      <c r="E26" s="10">
        <f>SUMIFS('XTab DS_1'!$F$2:$F$106,'XTab DS_1'!$B$2:$B$106,$B26,'XTab DS_1'!$D$2:$D$106,"CX01")</f>
        <v/>
      </c>
      <c r="F26" s="11">
        <f>SUMIFS('XTab DS_1'!$G$2:$G$106,'XTab DS_1'!$B$2:$B$106,$B26,'XTab DS_1'!$D$2:$D$106,"CX01")</f>
        <v/>
      </c>
      <c r="G26" s="10">
        <f>SUMIFS('XTab DS_1'!$F$2:$F$106,'XTab DS_1'!$B$2:$B$106,$B26,'XTab DS_1'!$D$2:$D$106,"DB00")</f>
        <v/>
      </c>
      <c r="H26" s="11">
        <f>SUMIFS('XTab DS_1'!$G$2:$G$106,'XTab DS_1'!$B$2:$B$106,$B26,'XTab DS_1'!$D$2:$D$106,"DB00")</f>
        <v/>
      </c>
      <c r="I26" s="17">
        <f>SUMIFS('XTab DS_1'!$F$2:$F$106,'XTab DS_1'!$B$2:$B$106,$B26)</f>
        <v/>
      </c>
      <c r="J26" s="18">
        <f>SUMIFS('XTab DS_1'!$G$2:$G$106,'XTab DS_1'!$B$2:$B$106,$B26)</f>
        <v/>
      </c>
    </row>
    <row r="27">
      <c r="A27" s="9" t="inlineStr">
        <is>
          <t>4515142521208</t>
        </is>
      </c>
      <c r="B27" s="9" t="inlineStr">
        <is>
          <t>CX2412DNDRBDG-7</t>
        </is>
      </c>
      <c r="C27" s="9" t="inlineStr">
        <is>
          <t>ダンダダンPOPUP　ランダム缶バッジ 全7種</t>
        </is>
      </c>
      <c r="D27" s="16">
        <f>COUNTIFS('XTab DS_1'!$B$2:$B$106,$B27)</f>
        <v/>
      </c>
      <c r="E27" s="10">
        <f>SUMIFS('XTab DS_1'!$F$2:$F$106,'XTab DS_1'!$B$2:$B$106,$B27,'XTab DS_1'!$D$2:$D$106,"CX01")</f>
        <v/>
      </c>
      <c r="F27" s="11">
        <f>SUMIFS('XTab DS_1'!$G$2:$G$106,'XTab DS_1'!$B$2:$B$106,$B27,'XTab DS_1'!$D$2:$D$106,"CX01")</f>
        <v/>
      </c>
      <c r="G27" s="10">
        <f>SUMIFS('XTab DS_1'!$F$2:$F$106,'XTab DS_1'!$B$2:$B$106,$B27,'XTab DS_1'!$D$2:$D$106,"DB00")</f>
        <v/>
      </c>
      <c r="H27" s="11">
        <f>SUMIFS('XTab DS_1'!$G$2:$G$106,'XTab DS_1'!$B$2:$B$106,$B27,'XTab DS_1'!$D$2:$D$106,"DB00")</f>
        <v/>
      </c>
      <c r="I27" s="17">
        <f>SUMIFS('XTab DS_1'!$F$2:$F$106,'XTab DS_1'!$B$2:$B$106,$B27)</f>
        <v/>
      </c>
      <c r="J27" s="18">
        <f>SUMIFS('XTab DS_1'!$G$2:$G$106,'XTab DS_1'!$B$2:$B$106,$B27)</f>
        <v/>
      </c>
    </row>
    <row r="28">
      <c r="A28" s="9" t="inlineStr">
        <is>
          <t>4515142521215</t>
        </is>
      </c>
      <c r="B28" s="9" t="inlineStr">
        <is>
          <t>CX2412DNDASTA-OR</t>
        </is>
      </c>
      <c r="C28" s="9" t="inlineStr">
        <is>
          <t>ダンダダンPOPUP　アクリルスタンド　オカルン</t>
        </is>
      </c>
      <c r="D28" s="16">
        <f>COUNTIFS('XTab DS_1'!$B$2:$B$106,$B28)</f>
        <v/>
      </c>
      <c r="E28" s="10">
        <f>SUMIFS('XTab DS_1'!$F$2:$F$106,'XTab DS_1'!$B$2:$B$106,$B28,'XTab DS_1'!$D$2:$D$106,"CX01")</f>
        <v/>
      </c>
      <c r="F28" s="11">
        <f>SUMIFS('XTab DS_1'!$G$2:$G$106,'XTab DS_1'!$B$2:$B$106,$B28,'XTab DS_1'!$D$2:$D$106,"CX01")</f>
        <v/>
      </c>
      <c r="G28" s="10">
        <f>SUMIFS('XTab DS_1'!$F$2:$F$106,'XTab DS_1'!$B$2:$B$106,$B28,'XTab DS_1'!$D$2:$D$106,"DB00")</f>
        <v/>
      </c>
      <c r="H28" s="11">
        <f>SUMIFS('XTab DS_1'!$G$2:$G$106,'XTab DS_1'!$B$2:$B$106,$B28,'XTab DS_1'!$D$2:$D$106,"DB00")</f>
        <v/>
      </c>
      <c r="I28" s="17">
        <f>SUMIFS('XTab DS_1'!$F$2:$F$106,'XTab DS_1'!$B$2:$B$106,$B28)</f>
        <v/>
      </c>
      <c r="J28" s="18">
        <f>SUMIFS('XTab DS_1'!$G$2:$G$106,'XTab DS_1'!$B$2:$B$106,$B28)</f>
        <v/>
      </c>
    </row>
    <row r="29">
      <c r="A29" s="9" t="inlineStr">
        <is>
          <t>4515142521222</t>
        </is>
      </c>
      <c r="B29" s="9" t="inlineStr">
        <is>
          <t>CX2412DNDASTA-MM</t>
        </is>
      </c>
      <c r="C29" s="9" t="inlineStr">
        <is>
          <t>ダンダダンPOPUP　アクリルスタンド　モモ</t>
        </is>
      </c>
      <c r="D29" s="16">
        <f>COUNTIFS('XTab DS_1'!$B$2:$B$106,$B29)</f>
        <v/>
      </c>
      <c r="E29" s="10">
        <f>SUMIFS('XTab DS_1'!$F$2:$F$106,'XTab DS_1'!$B$2:$B$106,$B29,'XTab DS_1'!$D$2:$D$106,"CX01")</f>
        <v/>
      </c>
      <c r="F29" s="11">
        <f>SUMIFS('XTab DS_1'!$G$2:$G$106,'XTab DS_1'!$B$2:$B$106,$B29,'XTab DS_1'!$D$2:$D$106,"CX01")</f>
        <v/>
      </c>
      <c r="G29" s="10">
        <f>SUMIFS('XTab DS_1'!$F$2:$F$106,'XTab DS_1'!$B$2:$B$106,$B29,'XTab DS_1'!$D$2:$D$106,"DB00")</f>
        <v/>
      </c>
      <c r="H29" s="11">
        <f>SUMIFS('XTab DS_1'!$G$2:$G$106,'XTab DS_1'!$B$2:$B$106,$B29,'XTab DS_1'!$D$2:$D$106,"DB00")</f>
        <v/>
      </c>
      <c r="I29" s="17">
        <f>SUMIFS('XTab DS_1'!$F$2:$F$106,'XTab DS_1'!$B$2:$B$106,$B29)</f>
        <v/>
      </c>
      <c r="J29" s="18">
        <f>SUMIFS('XTab DS_1'!$G$2:$G$106,'XTab DS_1'!$B$2:$B$106,$B29)</f>
        <v/>
      </c>
    </row>
    <row r="30">
      <c r="A30" s="9" t="inlineStr">
        <is>
          <t>4515142521239</t>
        </is>
      </c>
      <c r="B30" s="9" t="inlineStr">
        <is>
          <t>CX2412DNDASTA-SK</t>
        </is>
      </c>
      <c r="C30" s="9" t="inlineStr">
        <is>
          <t>ダンダダンPOPUP　アクリルスタンド　星子</t>
        </is>
      </c>
      <c r="D30" s="16">
        <f>COUNTIFS('XTab DS_1'!$B$2:$B$106,$B30)</f>
        <v/>
      </c>
      <c r="E30" s="10">
        <f>SUMIFS('XTab DS_1'!$F$2:$F$106,'XTab DS_1'!$B$2:$B$106,$B30,'XTab DS_1'!$D$2:$D$106,"CX01")</f>
        <v/>
      </c>
      <c r="F30" s="11">
        <f>SUMIFS('XTab DS_1'!$G$2:$G$106,'XTab DS_1'!$B$2:$B$106,$B30,'XTab DS_1'!$D$2:$D$106,"CX01")</f>
        <v/>
      </c>
      <c r="G30" s="10">
        <f>SUMIFS('XTab DS_1'!$F$2:$F$106,'XTab DS_1'!$B$2:$B$106,$B30,'XTab DS_1'!$D$2:$D$106,"DB00")</f>
        <v/>
      </c>
      <c r="H30" s="11">
        <f>SUMIFS('XTab DS_1'!$G$2:$G$106,'XTab DS_1'!$B$2:$B$106,$B30,'XTab DS_1'!$D$2:$D$106,"DB00")</f>
        <v/>
      </c>
      <c r="I30" s="17">
        <f>SUMIFS('XTab DS_1'!$F$2:$F$106,'XTab DS_1'!$B$2:$B$106,$B30)</f>
        <v/>
      </c>
      <c r="J30" s="18">
        <f>SUMIFS('XTab DS_1'!$G$2:$G$106,'XTab DS_1'!$B$2:$B$106,$B30)</f>
        <v/>
      </c>
    </row>
    <row r="31">
      <c r="A31" s="9" t="inlineStr">
        <is>
          <t>4515142521246</t>
        </is>
      </c>
      <c r="B31" s="9" t="inlineStr">
        <is>
          <t>CX2412DNDASTA-AR</t>
        </is>
      </c>
      <c r="C31" s="9" t="inlineStr">
        <is>
          <t>ダンダダンPOPUP　アクリルスタンド　アイラ</t>
        </is>
      </c>
      <c r="D31" s="16">
        <f>COUNTIFS('XTab DS_1'!$B$2:$B$106,$B31)</f>
        <v/>
      </c>
      <c r="E31" s="10">
        <f>SUMIFS('XTab DS_1'!$F$2:$F$106,'XTab DS_1'!$B$2:$B$106,$B31,'XTab DS_1'!$D$2:$D$106,"CX01")</f>
        <v/>
      </c>
      <c r="F31" s="11">
        <f>SUMIFS('XTab DS_1'!$G$2:$G$106,'XTab DS_1'!$B$2:$B$106,$B31,'XTab DS_1'!$D$2:$D$106,"CX01")</f>
        <v/>
      </c>
      <c r="G31" s="10">
        <f>SUMIFS('XTab DS_1'!$F$2:$F$106,'XTab DS_1'!$B$2:$B$106,$B31,'XTab DS_1'!$D$2:$D$106,"DB00")</f>
        <v/>
      </c>
      <c r="H31" s="11">
        <f>SUMIFS('XTab DS_1'!$G$2:$G$106,'XTab DS_1'!$B$2:$B$106,$B31,'XTab DS_1'!$D$2:$D$106,"DB00")</f>
        <v/>
      </c>
      <c r="I31" s="17">
        <f>SUMIFS('XTab DS_1'!$F$2:$F$106,'XTab DS_1'!$B$2:$B$106,$B31)</f>
        <v/>
      </c>
      <c r="J31" s="18">
        <f>SUMIFS('XTab DS_1'!$G$2:$G$106,'XTab DS_1'!$B$2:$B$106,$B31)</f>
        <v/>
      </c>
    </row>
    <row r="32">
      <c r="A32" s="9" t="inlineStr">
        <is>
          <t>4515142521253</t>
        </is>
      </c>
      <c r="B32" s="9" t="inlineStr">
        <is>
          <t>CX2412DNDASTA-TB</t>
        </is>
      </c>
      <c r="C32" s="9" t="inlineStr">
        <is>
          <t>ダンダダンPOPUP　アクリルスタンド　ターボババア(招き猫)</t>
        </is>
      </c>
      <c r="D32" s="16">
        <f>COUNTIFS('XTab DS_1'!$B$2:$B$106,$B32)</f>
        <v/>
      </c>
      <c r="E32" s="10">
        <f>SUMIFS('XTab DS_1'!$F$2:$F$106,'XTab DS_1'!$B$2:$B$106,$B32,'XTab DS_1'!$D$2:$D$106,"CX01")</f>
        <v/>
      </c>
      <c r="F32" s="11">
        <f>SUMIFS('XTab DS_1'!$G$2:$G$106,'XTab DS_1'!$B$2:$B$106,$B32,'XTab DS_1'!$D$2:$D$106,"CX01")</f>
        <v/>
      </c>
      <c r="G32" s="10">
        <f>SUMIFS('XTab DS_1'!$F$2:$F$106,'XTab DS_1'!$B$2:$B$106,$B32,'XTab DS_1'!$D$2:$D$106,"DB00")</f>
        <v/>
      </c>
      <c r="H32" s="11">
        <f>SUMIFS('XTab DS_1'!$G$2:$G$106,'XTab DS_1'!$B$2:$B$106,$B32,'XTab DS_1'!$D$2:$D$106,"DB00")</f>
        <v/>
      </c>
      <c r="I32" s="17">
        <f>SUMIFS('XTab DS_1'!$F$2:$F$106,'XTab DS_1'!$B$2:$B$106,$B32)</f>
        <v/>
      </c>
      <c r="J32" s="18">
        <f>SUMIFS('XTab DS_1'!$G$2:$G$106,'XTab DS_1'!$B$2:$B$106,$B32)</f>
        <v/>
      </c>
    </row>
    <row r="33">
      <c r="A33" s="9" t="inlineStr">
        <is>
          <t>4515142521260</t>
        </is>
      </c>
      <c r="B33" s="9" t="inlineStr">
        <is>
          <t>CX2412DNDASTA-ORH</t>
        </is>
      </c>
      <c r="C33" s="9" t="inlineStr">
        <is>
          <t>ダンダダンPOPUP　アクリルスタンド　オカルン(変身)</t>
        </is>
      </c>
      <c r="D33" s="16">
        <f>COUNTIFS('XTab DS_1'!$B$2:$B$106,$B33)</f>
        <v/>
      </c>
      <c r="E33" s="10">
        <f>SUMIFS('XTab DS_1'!$F$2:$F$106,'XTab DS_1'!$B$2:$B$106,$B33,'XTab DS_1'!$D$2:$D$106,"CX01")</f>
        <v/>
      </c>
      <c r="F33" s="11">
        <f>SUMIFS('XTab DS_1'!$G$2:$G$106,'XTab DS_1'!$B$2:$B$106,$B33,'XTab DS_1'!$D$2:$D$106,"CX01")</f>
        <v/>
      </c>
      <c r="G33" s="10">
        <f>SUMIFS('XTab DS_1'!$F$2:$F$106,'XTab DS_1'!$B$2:$B$106,$B33,'XTab DS_1'!$D$2:$D$106,"DB00")</f>
        <v/>
      </c>
      <c r="H33" s="11">
        <f>SUMIFS('XTab DS_1'!$G$2:$G$106,'XTab DS_1'!$B$2:$B$106,$B33,'XTab DS_1'!$D$2:$D$106,"DB00")</f>
        <v/>
      </c>
      <c r="I33" s="17">
        <f>SUMIFS('XTab DS_1'!$F$2:$F$106,'XTab DS_1'!$B$2:$B$106,$B33)</f>
        <v/>
      </c>
      <c r="J33" s="18">
        <f>SUMIFS('XTab DS_1'!$G$2:$G$106,'XTab DS_1'!$B$2:$B$106,$B33)</f>
        <v/>
      </c>
    </row>
    <row r="34">
      <c r="A34" s="9" t="inlineStr">
        <is>
          <t>4515142521277</t>
        </is>
      </c>
      <c r="B34" s="9" t="inlineStr">
        <is>
          <t>CX2412DNDASTA-ARH</t>
        </is>
      </c>
      <c r="C34" s="9" t="inlineStr">
        <is>
          <t>ダンダダンPOPUP　アクリルスタンド　アイラ(変身)</t>
        </is>
      </c>
      <c r="D34" s="16">
        <f>COUNTIFS('XTab DS_1'!$B$2:$B$106,$B34)</f>
        <v/>
      </c>
      <c r="E34" s="10">
        <f>SUMIFS('XTab DS_1'!$F$2:$F$106,'XTab DS_1'!$B$2:$B$106,$B34,'XTab DS_1'!$D$2:$D$106,"CX01")</f>
        <v/>
      </c>
      <c r="F34" s="11">
        <f>SUMIFS('XTab DS_1'!$G$2:$G$106,'XTab DS_1'!$B$2:$B$106,$B34,'XTab DS_1'!$D$2:$D$106,"CX01")</f>
        <v/>
      </c>
      <c r="G34" s="10">
        <f>SUMIFS('XTab DS_1'!$F$2:$F$106,'XTab DS_1'!$B$2:$B$106,$B34,'XTab DS_1'!$D$2:$D$106,"DB00")</f>
        <v/>
      </c>
      <c r="H34" s="11">
        <f>SUMIFS('XTab DS_1'!$G$2:$G$106,'XTab DS_1'!$B$2:$B$106,$B34,'XTab DS_1'!$D$2:$D$106,"DB00")</f>
        <v/>
      </c>
      <c r="I34" s="17">
        <f>SUMIFS('XTab DS_1'!$F$2:$F$106,'XTab DS_1'!$B$2:$B$106,$B34)</f>
        <v/>
      </c>
      <c r="J34" s="18">
        <f>SUMIFS('XTab DS_1'!$G$2:$G$106,'XTab DS_1'!$B$2:$B$106,$B34)</f>
        <v/>
      </c>
    </row>
    <row r="35">
      <c r="A35" s="9" t="inlineStr">
        <is>
          <t>4515142521284</t>
        </is>
      </c>
      <c r="B35" s="9" t="inlineStr">
        <is>
          <t>CX2412DNDSTK3S-A</t>
        </is>
      </c>
      <c r="C35" s="9" t="inlineStr">
        <is>
          <t>ダンダダンPOPUP　ステッカー3枚セット　A</t>
        </is>
      </c>
      <c r="D35" s="16">
        <f>COUNTIFS('XTab DS_1'!$B$2:$B$106,$B35)</f>
        <v/>
      </c>
      <c r="E35" s="10">
        <f>SUMIFS('XTab DS_1'!$F$2:$F$106,'XTab DS_1'!$B$2:$B$106,$B35,'XTab DS_1'!$D$2:$D$106,"CX01")</f>
        <v/>
      </c>
      <c r="F35" s="11">
        <f>SUMIFS('XTab DS_1'!$G$2:$G$106,'XTab DS_1'!$B$2:$B$106,$B35,'XTab DS_1'!$D$2:$D$106,"CX01")</f>
        <v/>
      </c>
      <c r="G35" s="10">
        <f>SUMIFS('XTab DS_1'!$F$2:$F$106,'XTab DS_1'!$B$2:$B$106,$B35,'XTab DS_1'!$D$2:$D$106,"DB00")</f>
        <v/>
      </c>
      <c r="H35" s="11">
        <f>SUMIFS('XTab DS_1'!$G$2:$G$106,'XTab DS_1'!$B$2:$B$106,$B35,'XTab DS_1'!$D$2:$D$106,"DB00")</f>
        <v/>
      </c>
      <c r="I35" s="17">
        <f>SUMIFS('XTab DS_1'!$F$2:$F$106,'XTab DS_1'!$B$2:$B$106,$B35)</f>
        <v/>
      </c>
      <c r="J35" s="18">
        <f>SUMIFS('XTab DS_1'!$G$2:$G$106,'XTab DS_1'!$B$2:$B$106,$B35)</f>
        <v/>
      </c>
    </row>
    <row r="36">
      <c r="A36" s="9" t="inlineStr">
        <is>
          <t>4515142521291</t>
        </is>
      </c>
      <c r="B36" s="9" t="inlineStr">
        <is>
          <t>CX2412DNDSTK3S-B</t>
        </is>
      </c>
      <c r="C36" s="9" t="inlineStr">
        <is>
          <t>ダンダダンPOPUP　ステッカー3枚セット　B</t>
        </is>
      </c>
      <c r="D36" s="16">
        <f>COUNTIFS('XTab DS_1'!$B$2:$B$106,$B36)</f>
        <v/>
      </c>
      <c r="E36" s="10">
        <f>SUMIFS('XTab DS_1'!$F$2:$F$106,'XTab DS_1'!$B$2:$B$106,$B36,'XTab DS_1'!$D$2:$D$106,"CX01")</f>
        <v/>
      </c>
      <c r="F36" s="11">
        <f>SUMIFS('XTab DS_1'!$G$2:$G$106,'XTab DS_1'!$B$2:$B$106,$B36,'XTab DS_1'!$D$2:$D$106,"CX01")</f>
        <v/>
      </c>
      <c r="G36" s="10">
        <f>SUMIFS('XTab DS_1'!$F$2:$F$106,'XTab DS_1'!$B$2:$B$106,$B36,'XTab DS_1'!$D$2:$D$106,"DB00")</f>
        <v/>
      </c>
      <c r="H36" s="11">
        <f>SUMIFS('XTab DS_1'!$G$2:$G$106,'XTab DS_1'!$B$2:$B$106,$B36,'XTab DS_1'!$D$2:$D$106,"DB00")</f>
        <v/>
      </c>
      <c r="I36" s="17">
        <f>SUMIFS('XTab DS_1'!$F$2:$F$106,'XTab DS_1'!$B$2:$B$106,$B36)</f>
        <v/>
      </c>
      <c r="J36" s="18">
        <f>SUMIFS('XTab DS_1'!$G$2:$G$106,'XTab DS_1'!$B$2:$B$106,$B36)</f>
        <v/>
      </c>
    </row>
    <row r="37">
      <c r="A37" s="9" t="inlineStr">
        <is>
          <t>4515142521307</t>
        </is>
      </c>
      <c r="B37" s="9" t="inlineStr">
        <is>
          <t>CX2412DNDSTK3S-C</t>
        </is>
      </c>
      <c r="C37" s="9" t="inlineStr">
        <is>
          <t>ダンダダンPOPUP　ステッカー3枚セット　C</t>
        </is>
      </c>
      <c r="D37" s="16">
        <f>COUNTIFS('XTab DS_1'!$B$2:$B$106,$B37)</f>
        <v/>
      </c>
      <c r="E37" s="10">
        <f>SUMIFS('XTab DS_1'!$F$2:$F$106,'XTab DS_1'!$B$2:$B$106,$B37,'XTab DS_1'!$D$2:$D$106,"CX01")</f>
        <v/>
      </c>
      <c r="F37" s="11">
        <f>SUMIFS('XTab DS_1'!$G$2:$G$106,'XTab DS_1'!$B$2:$B$106,$B37,'XTab DS_1'!$D$2:$D$106,"CX01")</f>
        <v/>
      </c>
      <c r="G37" s="10">
        <f>SUMIFS('XTab DS_1'!$F$2:$F$106,'XTab DS_1'!$B$2:$B$106,$B37,'XTab DS_1'!$D$2:$D$106,"DB00")</f>
        <v/>
      </c>
      <c r="H37" s="11">
        <f>SUMIFS('XTab DS_1'!$G$2:$G$106,'XTab DS_1'!$B$2:$B$106,$B37,'XTab DS_1'!$D$2:$D$106,"DB00")</f>
        <v/>
      </c>
      <c r="I37" s="17">
        <f>SUMIFS('XTab DS_1'!$F$2:$F$106,'XTab DS_1'!$B$2:$B$106,$B37)</f>
        <v/>
      </c>
      <c r="J37" s="18">
        <f>SUMIFS('XTab DS_1'!$G$2:$G$106,'XTab DS_1'!$B$2:$B$106,$B37)</f>
        <v/>
      </c>
    </row>
    <row r="38">
      <c r="A38" s="9" t="inlineStr">
        <is>
          <t>4515142521314</t>
        </is>
      </c>
      <c r="B38" s="9" t="inlineStr">
        <is>
          <t>CX2412DNDRBDG-OP6</t>
        </is>
      </c>
      <c r="C38" s="9" t="inlineStr">
        <is>
          <t>ダンダダンPOPUP　ランダム缶バッジ　オープニング　全6種</t>
        </is>
      </c>
      <c r="D38" s="16">
        <f>COUNTIFS('XTab DS_1'!$B$2:$B$106,$B38)</f>
        <v/>
      </c>
      <c r="E38" s="10">
        <f>SUMIFS('XTab DS_1'!$F$2:$F$106,'XTab DS_1'!$B$2:$B$106,$B38,'XTab DS_1'!$D$2:$D$106,"CX01")</f>
        <v/>
      </c>
      <c r="F38" s="11">
        <f>SUMIFS('XTab DS_1'!$G$2:$G$106,'XTab DS_1'!$B$2:$B$106,$B38,'XTab DS_1'!$D$2:$D$106,"CX01")</f>
        <v/>
      </c>
      <c r="G38" s="10">
        <f>SUMIFS('XTab DS_1'!$F$2:$F$106,'XTab DS_1'!$B$2:$B$106,$B38,'XTab DS_1'!$D$2:$D$106,"DB00")</f>
        <v/>
      </c>
      <c r="H38" s="11">
        <f>SUMIFS('XTab DS_1'!$G$2:$G$106,'XTab DS_1'!$B$2:$B$106,$B38,'XTab DS_1'!$D$2:$D$106,"DB00")</f>
        <v/>
      </c>
      <c r="I38" s="17">
        <f>SUMIFS('XTab DS_1'!$F$2:$F$106,'XTab DS_1'!$B$2:$B$106,$B38)</f>
        <v/>
      </c>
      <c r="J38" s="18">
        <f>SUMIFS('XTab DS_1'!$G$2:$G$106,'XTab DS_1'!$B$2:$B$106,$B38)</f>
        <v/>
      </c>
    </row>
    <row r="39">
      <c r="A39" s="9" t="inlineStr">
        <is>
          <t>4515142521321</t>
        </is>
      </c>
      <c r="B39" s="9" t="inlineStr">
        <is>
          <t>CX2412DNDRBDG-ED6</t>
        </is>
      </c>
      <c r="C39" s="9" t="inlineStr">
        <is>
          <t>ダンダダンPOPUP　ランダム缶バッジ　エンディング　全6種</t>
        </is>
      </c>
      <c r="D39" s="16">
        <f>COUNTIFS('XTab DS_1'!$B$2:$B$106,$B39)</f>
        <v/>
      </c>
      <c r="E39" s="10">
        <f>SUMIFS('XTab DS_1'!$F$2:$F$106,'XTab DS_1'!$B$2:$B$106,$B39,'XTab DS_1'!$D$2:$D$106,"CX01")</f>
        <v/>
      </c>
      <c r="F39" s="11">
        <f>SUMIFS('XTab DS_1'!$G$2:$G$106,'XTab DS_1'!$B$2:$B$106,$B39,'XTab DS_1'!$D$2:$D$106,"CX01")</f>
        <v/>
      </c>
      <c r="G39" s="10">
        <f>SUMIFS('XTab DS_1'!$F$2:$F$106,'XTab DS_1'!$B$2:$B$106,$B39,'XTab DS_1'!$D$2:$D$106,"DB00")</f>
        <v/>
      </c>
      <c r="H39" s="11">
        <f>SUMIFS('XTab DS_1'!$G$2:$G$106,'XTab DS_1'!$B$2:$B$106,$B39,'XTab DS_1'!$D$2:$D$106,"DB00")</f>
        <v/>
      </c>
      <c r="I39" s="17">
        <f>SUMIFS('XTab DS_1'!$F$2:$F$106,'XTab DS_1'!$B$2:$B$106,$B39)</f>
        <v/>
      </c>
      <c r="J39" s="18">
        <f>SUMIFS('XTab DS_1'!$G$2:$G$106,'XTab DS_1'!$B$2:$B$106,$B39)</f>
        <v/>
      </c>
    </row>
    <row r="40">
      <c r="A40" s="9" t="inlineStr">
        <is>
          <t>4515142521338</t>
        </is>
      </c>
      <c r="B40" s="9" t="inlineStr">
        <is>
          <t>CX2412DNDRASKEY-6</t>
        </is>
      </c>
      <c r="C40" s="9" t="inlineStr">
        <is>
          <t>ダンダダンPOPUP　ランダムアクリルキーホルダー　全6種</t>
        </is>
      </c>
      <c r="D40" s="16">
        <f>COUNTIFS('XTab DS_1'!$B$2:$B$106,$B40)</f>
        <v/>
      </c>
      <c r="E40" s="10">
        <f>SUMIFS('XTab DS_1'!$F$2:$F$106,'XTab DS_1'!$B$2:$B$106,$B40,'XTab DS_1'!$D$2:$D$106,"CX01")</f>
        <v/>
      </c>
      <c r="F40" s="11">
        <f>SUMIFS('XTab DS_1'!$G$2:$G$106,'XTab DS_1'!$B$2:$B$106,$B40,'XTab DS_1'!$D$2:$D$106,"CX01")</f>
        <v/>
      </c>
      <c r="G40" s="10">
        <f>SUMIFS('XTab DS_1'!$F$2:$F$106,'XTab DS_1'!$B$2:$B$106,$B40,'XTab DS_1'!$D$2:$D$106,"DB00")</f>
        <v/>
      </c>
      <c r="H40" s="11">
        <f>SUMIFS('XTab DS_1'!$G$2:$G$106,'XTab DS_1'!$B$2:$B$106,$B40,'XTab DS_1'!$D$2:$D$106,"DB00")</f>
        <v/>
      </c>
      <c r="I40" s="17">
        <f>SUMIFS('XTab DS_1'!$F$2:$F$106,'XTab DS_1'!$B$2:$B$106,$B40)</f>
        <v/>
      </c>
      <c r="J40" s="18">
        <f>SUMIFS('XTab DS_1'!$G$2:$G$106,'XTab DS_1'!$B$2:$B$106,$B40)</f>
        <v/>
      </c>
    </row>
    <row r="41">
      <c r="A41" s="9" t="inlineStr">
        <is>
          <t>4515142521345</t>
        </is>
      </c>
      <c r="B41" s="9" t="inlineStr">
        <is>
          <t>CX2412DNDTOTEBAG</t>
        </is>
      </c>
      <c r="C41" s="9" t="inlineStr">
        <is>
          <t>ダンダダンPOPUP　トートバッグ</t>
        </is>
      </c>
      <c r="D41" s="16">
        <f>COUNTIFS('XTab DS_1'!$B$2:$B$106,$B41)</f>
        <v/>
      </c>
      <c r="E41" s="10">
        <f>SUMIFS('XTab DS_1'!$F$2:$F$106,'XTab DS_1'!$B$2:$B$106,$B41,'XTab DS_1'!$D$2:$D$106,"CX01")</f>
        <v/>
      </c>
      <c r="F41" s="11">
        <f>SUMIFS('XTab DS_1'!$G$2:$G$106,'XTab DS_1'!$B$2:$B$106,$B41,'XTab DS_1'!$D$2:$D$106,"CX01")</f>
        <v/>
      </c>
      <c r="G41" s="10">
        <f>SUMIFS('XTab DS_1'!$F$2:$F$106,'XTab DS_1'!$B$2:$B$106,$B41,'XTab DS_1'!$D$2:$D$106,"DB00")</f>
        <v/>
      </c>
      <c r="H41" s="11">
        <f>SUMIFS('XTab DS_1'!$G$2:$G$106,'XTab DS_1'!$B$2:$B$106,$B41,'XTab DS_1'!$D$2:$D$106,"DB00")</f>
        <v/>
      </c>
      <c r="I41" s="17">
        <f>SUMIFS('XTab DS_1'!$F$2:$F$106,'XTab DS_1'!$B$2:$B$106,$B41)</f>
        <v/>
      </c>
      <c r="J41" s="18">
        <f>SUMIFS('XTab DS_1'!$G$2:$G$106,'XTab DS_1'!$B$2:$B$106,$B41)</f>
        <v/>
      </c>
    </row>
    <row r="42">
      <c r="A42" s="9" t="inlineStr">
        <is>
          <t>4515142521352</t>
        </is>
      </c>
      <c r="B42" s="9" t="inlineStr">
        <is>
          <t>CX2412DNDSAKEY-ORH</t>
        </is>
      </c>
      <c r="C42" s="9" t="inlineStr">
        <is>
          <t>ダンダダンPOPUP　スライドアクリルキーホルダー　オカルン(変身)</t>
        </is>
      </c>
      <c r="D42" s="16">
        <f>COUNTIFS('XTab DS_1'!$B$2:$B$106,$B42)</f>
        <v/>
      </c>
      <c r="E42" s="10">
        <f>SUMIFS('XTab DS_1'!$F$2:$F$106,'XTab DS_1'!$B$2:$B$106,$B42,'XTab DS_1'!$D$2:$D$106,"CX01")</f>
        <v/>
      </c>
      <c r="F42" s="11">
        <f>SUMIFS('XTab DS_1'!$G$2:$G$106,'XTab DS_1'!$B$2:$B$106,$B42,'XTab DS_1'!$D$2:$D$106,"CX01")</f>
        <v/>
      </c>
      <c r="G42" s="10">
        <f>SUMIFS('XTab DS_1'!$F$2:$F$106,'XTab DS_1'!$B$2:$B$106,$B42,'XTab DS_1'!$D$2:$D$106,"DB00")</f>
        <v/>
      </c>
      <c r="H42" s="11">
        <f>SUMIFS('XTab DS_1'!$G$2:$G$106,'XTab DS_1'!$B$2:$B$106,$B42,'XTab DS_1'!$D$2:$D$106,"DB00")</f>
        <v/>
      </c>
      <c r="I42" s="17">
        <f>SUMIFS('XTab DS_1'!$F$2:$F$106,'XTab DS_1'!$B$2:$B$106,$B42)</f>
        <v/>
      </c>
      <c r="J42" s="18">
        <f>SUMIFS('XTab DS_1'!$G$2:$G$106,'XTab DS_1'!$B$2:$B$106,$B42)</f>
        <v/>
      </c>
    </row>
    <row r="43">
      <c r="A43" s="9" t="inlineStr">
        <is>
          <t>4515142521369</t>
        </is>
      </c>
      <c r="B43" s="9" t="inlineStr">
        <is>
          <t>CX2412DNDSAKEY-MM</t>
        </is>
      </c>
      <c r="C43" s="9" t="inlineStr">
        <is>
          <t>ダンダダンPOPUP　スライドアクリルキーホルダー　モモ</t>
        </is>
      </c>
      <c r="D43" s="16">
        <f>COUNTIFS('XTab DS_1'!$B$2:$B$106,$B43)</f>
        <v/>
      </c>
      <c r="E43" s="10">
        <f>SUMIFS('XTab DS_1'!$F$2:$F$106,'XTab DS_1'!$B$2:$B$106,$B43,'XTab DS_1'!$D$2:$D$106,"CX01")</f>
        <v/>
      </c>
      <c r="F43" s="11">
        <f>SUMIFS('XTab DS_1'!$G$2:$G$106,'XTab DS_1'!$B$2:$B$106,$B43,'XTab DS_1'!$D$2:$D$106,"CX01")</f>
        <v/>
      </c>
      <c r="G43" s="10">
        <f>SUMIFS('XTab DS_1'!$F$2:$F$106,'XTab DS_1'!$B$2:$B$106,$B43,'XTab DS_1'!$D$2:$D$106,"DB00")</f>
        <v/>
      </c>
      <c r="H43" s="11">
        <f>SUMIFS('XTab DS_1'!$G$2:$G$106,'XTab DS_1'!$B$2:$B$106,$B43,'XTab DS_1'!$D$2:$D$106,"DB00")</f>
        <v/>
      </c>
      <c r="I43" s="17">
        <f>SUMIFS('XTab DS_1'!$F$2:$F$106,'XTab DS_1'!$B$2:$B$106,$B43)</f>
        <v/>
      </c>
      <c r="J43" s="18">
        <f>SUMIFS('XTab DS_1'!$G$2:$G$106,'XTab DS_1'!$B$2:$B$106,$B43)</f>
        <v/>
      </c>
    </row>
    <row r="44">
      <c r="A44" s="9" t="inlineStr">
        <is>
          <t>4515142521376</t>
        </is>
      </c>
      <c r="B44" s="9" t="inlineStr">
        <is>
          <t>CX2412DNDSAKEY-SK</t>
        </is>
      </c>
      <c r="C44" s="9" t="inlineStr">
        <is>
          <t>ダンダダンPOPUP　スライドアクリルキーホルダー　星子</t>
        </is>
      </c>
      <c r="D44" s="16">
        <f>COUNTIFS('XTab DS_1'!$B$2:$B$106,$B44)</f>
        <v/>
      </c>
      <c r="E44" s="10">
        <f>SUMIFS('XTab DS_1'!$F$2:$F$106,'XTab DS_1'!$B$2:$B$106,$B44,'XTab DS_1'!$D$2:$D$106,"CX01")</f>
        <v/>
      </c>
      <c r="F44" s="11">
        <f>SUMIFS('XTab DS_1'!$G$2:$G$106,'XTab DS_1'!$B$2:$B$106,$B44,'XTab DS_1'!$D$2:$D$106,"CX01")</f>
        <v/>
      </c>
      <c r="G44" s="10">
        <f>SUMIFS('XTab DS_1'!$F$2:$F$106,'XTab DS_1'!$B$2:$B$106,$B44,'XTab DS_1'!$D$2:$D$106,"DB00")</f>
        <v/>
      </c>
      <c r="H44" s="11">
        <f>SUMIFS('XTab DS_1'!$G$2:$G$106,'XTab DS_1'!$B$2:$B$106,$B44,'XTab DS_1'!$D$2:$D$106,"DB00")</f>
        <v/>
      </c>
      <c r="I44" s="17">
        <f>SUMIFS('XTab DS_1'!$F$2:$F$106,'XTab DS_1'!$B$2:$B$106,$B44)</f>
        <v/>
      </c>
      <c r="J44" s="18">
        <f>SUMIFS('XTab DS_1'!$G$2:$G$106,'XTab DS_1'!$B$2:$B$106,$B44)</f>
        <v/>
      </c>
    </row>
    <row r="45">
      <c r="A45" s="9" t="inlineStr">
        <is>
          <t>4515142521383</t>
        </is>
      </c>
      <c r="B45" s="9" t="inlineStr">
        <is>
          <t>CX2412DNDSAKEY-AR</t>
        </is>
      </c>
      <c r="C45" s="9" t="inlineStr">
        <is>
          <t>ダンダダンPOPUP　スライドアクリルキーホルダー　アイラ</t>
        </is>
      </c>
      <c r="D45" s="16">
        <f>COUNTIFS('XTab DS_1'!$B$2:$B$106,$B45)</f>
        <v/>
      </c>
      <c r="E45" s="10">
        <f>SUMIFS('XTab DS_1'!$F$2:$F$106,'XTab DS_1'!$B$2:$B$106,$B45,'XTab DS_1'!$D$2:$D$106,"CX01")</f>
        <v/>
      </c>
      <c r="F45" s="11">
        <f>SUMIFS('XTab DS_1'!$G$2:$G$106,'XTab DS_1'!$B$2:$B$106,$B45,'XTab DS_1'!$D$2:$D$106,"CX01")</f>
        <v/>
      </c>
      <c r="G45" s="10">
        <f>SUMIFS('XTab DS_1'!$F$2:$F$106,'XTab DS_1'!$B$2:$B$106,$B45,'XTab DS_1'!$D$2:$D$106,"DB00")</f>
        <v/>
      </c>
      <c r="H45" s="11">
        <f>SUMIFS('XTab DS_1'!$G$2:$G$106,'XTab DS_1'!$B$2:$B$106,$B45,'XTab DS_1'!$D$2:$D$106,"DB00")</f>
        <v/>
      </c>
      <c r="I45" s="17">
        <f>SUMIFS('XTab DS_1'!$F$2:$F$106,'XTab DS_1'!$B$2:$B$106,$B45)</f>
        <v/>
      </c>
      <c r="J45" s="18">
        <f>SUMIFS('XTab DS_1'!$G$2:$G$106,'XTab DS_1'!$B$2:$B$106,$B45)</f>
        <v/>
      </c>
    </row>
    <row r="46">
      <c r="A46" s="9" t="inlineStr">
        <is>
          <t>4515142521390</t>
        </is>
      </c>
      <c r="B46" s="9" t="inlineStr">
        <is>
          <t>CX2412DNDSAKEY-GG</t>
        </is>
      </c>
      <c r="C46" s="9" t="inlineStr">
        <is>
          <t>ダンダダンPOPUP　スライドアクリルキーホルダー　ジジ</t>
        </is>
      </c>
      <c r="D46" s="16">
        <f>COUNTIFS('XTab DS_1'!$B$2:$B$106,$B46)</f>
        <v/>
      </c>
      <c r="E46" s="10">
        <f>SUMIFS('XTab DS_1'!$F$2:$F$106,'XTab DS_1'!$B$2:$B$106,$B46,'XTab DS_1'!$D$2:$D$106,"CX01")</f>
        <v/>
      </c>
      <c r="F46" s="11">
        <f>SUMIFS('XTab DS_1'!$G$2:$G$106,'XTab DS_1'!$B$2:$B$106,$B46,'XTab DS_1'!$D$2:$D$106,"CX01")</f>
        <v/>
      </c>
      <c r="G46" s="10">
        <f>SUMIFS('XTab DS_1'!$F$2:$F$106,'XTab DS_1'!$B$2:$B$106,$B46,'XTab DS_1'!$D$2:$D$106,"DB00")</f>
        <v/>
      </c>
      <c r="H46" s="11">
        <f>SUMIFS('XTab DS_1'!$G$2:$G$106,'XTab DS_1'!$B$2:$B$106,$B46,'XTab DS_1'!$D$2:$D$106,"DB00")</f>
        <v/>
      </c>
      <c r="I46" s="17">
        <f>SUMIFS('XTab DS_1'!$F$2:$F$106,'XTab DS_1'!$B$2:$B$106,$B46)</f>
        <v/>
      </c>
      <c r="J46" s="18">
        <f>SUMIFS('XTab DS_1'!$G$2:$G$106,'XTab DS_1'!$B$2:$B$106,$B46)</f>
        <v/>
      </c>
    </row>
    <row r="47">
      <c r="A47" s="9" t="inlineStr">
        <is>
          <t>4515142521406</t>
        </is>
      </c>
      <c r="B47" s="9" t="inlineStr">
        <is>
          <t>CX2412DNDSAKEY-TB</t>
        </is>
      </c>
      <c r="C47" s="9" t="inlineStr">
        <is>
          <t>ダンダダンPOPUP　スライドアクリルキーホルダー　ターボババア(招き猫)</t>
        </is>
      </c>
      <c r="D47" s="16">
        <f>COUNTIFS('XTab DS_1'!$B$2:$B$106,$B47)</f>
        <v/>
      </c>
      <c r="E47" s="10">
        <f>SUMIFS('XTab DS_1'!$F$2:$F$106,'XTab DS_1'!$B$2:$B$106,$B47,'XTab DS_1'!$D$2:$D$106,"CX01")</f>
        <v/>
      </c>
      <c r="F47" s="11">
        <f>SUMIFS('XTab DS_1'!$G$2:$G$106,'XTab DS_1'!$B$2:$B$106,$B47,'XTab DS_1'!$D$2:$D$106,"CX01")</f>
        <v/>
      </c>
      <c r="G47" s="10">
        <f>SUMIFS('XTab DS_1'!$F$2:$F$106,'XTab DS_1'!$B$2:$B$106,$B47,'XTab DS_1'!$D$2:$D$106,"DB00")</f>
        <v/>
      </c>
      <c r="H47" s="11">
        <f>SUMIFS('XTab DS_1'!$G$2:$G$106,'XTab DS_1'!$B$2:$B$106,$B47,'XTab DS_1'!$D$2:$D$106,"DB00")</f>
        <v/>
      </c>
      <c r="I47" s="17">
        <f>SUMIFS('XTab DS_1'!$F$2:$F$106,'XTab DS_1'!$B$2:$B$106,$B47)</f>
        <v/>
      </c>
      <c r="J47" s="18">
        <f>SUMIFS('XTab DS_1'!$G$2:$G$106,'XTab DS_1'!$B$2:$B$106,$B47)</f>
        <v/>
      </c>
    </row>
    <row r="48">
      <c r="A48" s="9" t="inlineStr">
        <is>
          <t>4515142521413</t>
        </is>
      </c>
      <c r="B48" s="9" t="inlineStr">
        <is>
          <t>CX2412DNDSAKEY-SS</t>
        </is>
      </c>
      <c r="C48" s="9" t="inlineStr">
        <is>
          <t>ダンダダンPOPUP　スライドアクリルキーホルダー　セルポ星人</t>
        </is>
      </c>
      <c r="D48" s="16">
        <f>COUNTIFS('XTab DS_1'!$B$2:$B$106,$B48)</f>
        <v/>
      </c>
      <c r="E48" s="10">
        <f>SUMIFS('XTab DS_1'!$F$2:$F$106,'XTab DS_1'!$B$2:$B$106,$B48,'XTab DS_1'!$D$2:$D$106,"CX01")</f>
        <v/>
      </c>
      <c r="F48" s="11">
        <f>SUMIFS('XTab DS_1'!$G$2:$G$106,'XTab DS_1'!$B$2:$B$106,$B48,'XTab DS_1'!$D$2:$D$106,"CX01")</f>
        <v/>
      </c>
      <c r="G48" s="10">
        <f>SUMIFS('XTab DS_1'!$F$2:$F$106,'XTab DS_1'!$B$2:$B$106,$B48,'XTab DS_1'!$D$2:$D$106,"DB00")</f>
        <v/>
      </c>
      <c r="H48" s="11">
        <f>SUMIFS('XTab DS_1'!$G$2:$G$106,'XTab DS_1'!$B$2:$B$106,$B48,'XTab DS_1'!$D$2:$D$106,"DB00")</f>
        <v/>
      </c>
      <c r="I48" s="17">
        <f>SUMIFS('XTab DS_1'!$F$2:$F$106,'XTab DS_1'!$B$2:$B$106,$B48)</f>
        <v/>
      </c>
      <c r="J48" s="18">
        <f>SUMIFS('XTab DS_1'!$G$2:$G$106,'XTab DS_1'!$B$2:$B$106,$B48)</f>
        <v/>
      </c>
    </row>
    <row r="49">
      <c r="A49" s="9" t="inlineStr">
        <is>
          <t>4515142521420</t>
        </is>
      </c>
      <c r="B49" s="9" t="inlineStr">
        <is>
          <t>CX2412DNDSAKEY-AS</t>
        </is>
      </c>
      <c r="C49" s="9" t="inlineStr">
        <is>
          <t>ダンダダンPOPUP　スライドアクリルキーホルダー　アクロバティックさらさら</t>
        </is>
      </c>
      <c r="D49" s="16">
        <f>COUNTIFS('XTab DS_1'!$B$2:$B$106,$B49)</f>
        <v/>
      </c>
      <c r="E49" s="10">
        <f>SUMIFS('XTab DS_1'!$F$2:$F$106,'XTab DS_1'!$B$2:$B$106,$B49,'XTab DS_1'!$D$2:$D$106,"CX01")</f>
        <v/>
      </c>
      <c r="F49" s="11">
        <f>SUMIFS('XTab DS_1'!$G$2:$G$106,'XTab DS_1'!$B$2:$B$106,$B49,'XTab DS_1'!$D$2:$D$106,"CX01")</f>
        <v/>
      </c>
      <c r="G49" s="10">
        <f>SUMIFS('XTab DS_1'!$F$2:$F$106,'XTab DS_1'!$B$2:$B$106,$B49,'XTab DS_1'!$D$2:$D$106,"DB00")</f>
        <v/>
      </c>
      <c r="H49" s="11">
        <f>SUMIFS('XTab DS_1'!$G$2:$G$106,'XTab DS_1'!$B$2:$B$106,$B49,'XTab DS_1'!$D$2:$D$106,"DB00")</f>
        <v/>
      </c>
      <c r="I49" s="17">
        <f>SUMIFS('XTab DS_1'!$F$2:$F$106,'XTab DS_1'!$B$2:$B$106,$B49)</f>
        <v/>
      </c>
      <c r="J49" s="18">
        <f>SUMIFS('XTab DS_1'!$G$2:$G$106,'XTab DS_1'!$B$2:$B$106,$B49)</f>
        <v/>
      </c>
    </row>
    <row r="50">
      <c r="A50" s="9" t="inlineStr">
        <is>
          <t>4515142521437</t>
        </is>
      </c>
      <c r="B50" s="9" t="inlineStr">
        <is>
          <t>CX2412DNDSAKEY-DD</t>
        </is>
      </c>
      <c r="C50" s="9" t="inlineStr">
        <is>
          <t>ダンダダンPOPUP　スライドアクリルキーホルダー　ドーバーデーモン</t>
        </is>
      </c>
      <c r="D50" s="16">
        <f>COUNTIFS('XTab DS_1'!$B$2:$B$106,$B50)</f>
        <v/>
      </c>
      <c r="E50" s="10">
        <f>SUMIFS('XTab DS_1'!$F$2:$F$106,'XTab DS_1'!$B$2:$B$106,$B50,'XTab DS_1'!$D$2:$D$106,"CX01")</f>
        <v/>
      </c>
      <c r="F50" s="11">
        <f>SUMIFS('XTab DS_1'!$G$2:$G$106,'XTab DS_1'!$B$2:$B$106,$B50,'XTab DS_1'!$D$2:$D$106,"CX01")</f>
        <v/>
      </c>
      <c r="G50" s="10">
        <f>SUMIFS('XTab DS_1'!$F$2:$F$106,'XTab DS_1'!$B$2:$B$106,$B50,'XTab DS_1'!$D$2:$D$106,"DB00")</f>
        <v/>
      </c>
      <c r="H50" s="11">
        <f>SUMIFS('XTab DS_1'!$G$2:$G$106,'XTab DS_1'!$B$2:$B$106,$B50,'XTab DS_1'!$D$2:$D$106,"DB00")</f>
        <v/>
      </c>
      <c r="I50" s="17">
        <f>SUMIFS('XTab DS_1'!$F$2:$F$106,'XTab DS_1'!$B$2:$B$106,$B50)</f>
        <v/>
      </c>
      <c r="J50" s="18">
        <f>SUMIFS('XTab DS_1'!$G$2:$G$106,'XTab DS_1'!$B$2:$B$106,$B50)</f>
        <v/>
      </c>
    </row>
    <row r="51">
      <c r="A51" s="9" t="inlineStr">
        <is>
          <t>4515142521444</t>
        </is>
      </c>
      <c r="B51" s="9" t="inlineStr">
        <is>
          <t>CX2412DNDRCCDPOS-6</t>
        </is>
      </c>
      <c r="C51" s="9" t="inlineStr">
        <is>
          <t>ダンダダンPOPUP　ランダムクリアカード＆ポストカードセット　全6種</t>
        </is>
      </c>
      <c r="D51" s="16">
        <f>COUNTIFS('XTab DS_1'!$B$2:$B$106,$B51)</f>
        <v/>
      </c>
      <c r="E51" s="10">
        <f>SUMIFS('XTab DS_1'!$F$2:$F$106,'XTab DS_1'!$B$2:$B$106,$B51,'XTab DS_1'!$D$2:$D$106,"CX01")</f>
        <v/>
      </c>
      <c r="F51" s="11">
        <f>SUMIFS('XTab DS_1'!$G$2:$G$106,'XTab DS_1'!$B$2:$B$106,$B51,'XTab DS_1'!$D$2:$D$106,"CX01")</f>
        <v/>
      </c>
      <c r="G51" s="10">
        <f>SUMIFS('XTab DS_1'!$F$2:$F$106,'XTab DS_1'!$B$2:$B$106,$B51,'XTab DS_1'!$D$2:$D$106,"DB00")</f>
        <v/>
      </c>
      <c r="H51" s="11">
        <f>SUMIFS('XTab DS_1'!$G$2:$G$106,'XTab DS_1'!$B$2:$B$106,$B51,'XTab DS_1'!$D$2:$D$106,"DB00")</f>
        <v/>
      </c>
      <c r="I51" s="17">
        <f>SUMIFS('XTab DS_1'!$F$2:$F$106,'XTab DS_1'!$B$2:$B$106,$B51)</f>
        <v/>
      </c>
      <c r="J51" s="18">
        <f>SUMIFS('XTab DS_1'!$G$2:$G$106,'XTab DS_1'!$B$2:$B$106,$B51)</f>
        <v/>
      </c>
    </row>
    <row r="52">
      <c r="A52" s="9" t="inlineStr">
        <is>
          <t>4515142521451</t>
        </is>
      </c>
      <c r="B52" s="9" t="inlineStr">
        <is>
          <t>CX2412DNDVPOS-A</t>
        </is>
      </c>
      <c r="C52" s="9" t="inlineStr">
        <is>
          <t>ダンダダンPOPUP　ビジュアルポストカード　A</t>
        </is>
      </c>
      <c r="D52" s="16">
        <f>COUNTIFS('XTab DS_1'!$B$2:$B$106,$B52)</f>
        <v/>
      </c>
      <c r="E52" s="10">
        <f>SUMIFS('XTab DS_1'!$F$2:$F$106,'XTab DS_1'!$B$2:$B$106,$B52,'XTab DS_1'!$D$2:$D$106,"CX01")</f>
        <v/>
      </c>
      <c r="F52" s="11">
        <f>SUMIFS('XTab DS_1'!$G$2:$G$106,'XTab DS_1'!$B$2:$B$106,$B52,'XTab DS_1'!$D$2:$D$106,"CX01")</f>
        <v/>
      </c>
      <c r="G52" s="10">
        <f>SUMIFS('XTab DS_1'!$F$2:$F$106,'XTab DS_1'!$B$2:$B$106,$B52,'XTab DS_1'!$D$2:$D$106,"DB00")</f>
        <v/>
      </c>
      <c r="H52" s="11">
        <f>SUMIFS('XTab DS_1'!$G$2:$G$106,'XTab DS_1'!$B$2:$B$106,$B52,'XTab DS_1'!$D$2:$D$106,"DB00")</f>
        <v/>
      </c>
      <c r="I52" s="17">
        <f>SUMIFS('XTab DS_1'!$F$2:$F$106,'XTab DS_1'!$B$2:$B$106,$B52)</f>
        <v/>
      </c>
      <c r="J52" s="18">
        <f>SUMIFS('XTab DS_1'!$G$2:$G$106,'XTab DS_1'!$B$2:$B$106,$B52)</f>
        <v/>
      </c>
    </row>
    <row r="53">
      <c r="A53" s="9" t="inlineStr">
        <is>
          <t>4515142521468</t>
        </is>
      </c>
      <c r="B53" s="9" t="inlineStr">
        <is>
          <t>CX2412DNDVPOS-B</t>
        </is>
      </c>
      <c r="C53" s="9" t="inlineStr">
        <is>
          <t>ダンダダンPOPUP　ビジュアルポストカード　B</t>
        </is>
      </c>
      <c r="D53" s="16">
        <f>COUNTIFS('XTab DS_1'!$B$2:$B$106,$B53)</f>
        <v/>
      </c>
      <c r="E53" s="10">
        <f>SUMIFS('XTab DS_1'!$F$2:$F$106,'XTab DS_1'!$B$2:$B$106,$B53,'XTab DS_1'!$D$2:$D$106,"CX01")</f>
        <v/>
      </c>
      <c r="F53" s="11">
        <f>SUMIFS('XTab DS_1'!$G$2:$G$106,'XTab DS_1'!$B$2:$B$106,$B53,'XTab DS_1'!$D$2:$D$106,"CX01")</f>
        <v/>
      </c>
      <c r="G53" s="10">
        <f>SUMIFS('XTab DS_1'!$F$2:$F$106,'XTab DS_1'!$B$2:$B$106,$B53,'XTab DS_1'!$D$2:$D$106,"DB00")</f>
        <v/>
      </c>
      <c r="H53" s="11">
        <f>SUMIFS('XTab DS_1'!$G$2:$G$106,'XTab DS_1'!$B$2:$B$106,$B53,'XTab DS_1'!$D$2:$D$106,"DB00")</f>
        <v/>
      </c>
      <c r="I53" s="17">
        <f>SUMIFS('XTab DS_1'!$F$2:$F$106,'XTab DS_1'!$B$2:$B$106,$B53)</f>
        <v/>
      </c>
      <c r="J53" s="18">
        <f>SUMIFS('XTab DS_1'!$G$2:$G$106,'XTab DS_1'!$B$2:$B$106,$B53)</f>
        <v/>
      </c>
    </row>
    <row r="54">
      <c r="A54" s="12" t="n"/>
      <c r="B54" s="12" t="n"/>
      <c r="C54" s="13" t="inlineStr">
        <is>
          <t>合計</t>
        </is>
      </c>
      <c r="D54" s="12" t="n"/>
      <c r="E54" s="14">
        <f>SUM(E2:E53)</f>
        <v/>
      </c>
      <c r="F54" s="15">
        <f>SUM(F2:F53)</f>
        <v/>
      </c>
      <c r="G54" s="14">
        <f>SUM(G2:G53)</f>
        <v/>
      </c>
      <c r="H54" s="15">
        <f>SUM(H2:H53)</f>
        <v/>
      </c>
      <c r="I54" s="14">
        <f>SUM(I2:I53)</f>
        <v/>
      </c>
      <c r="J54" s="15">
        <f>SUM(J2:J53)</f>
        <v/>
      </c>
    </row>
    <row r="56">
      <c r="A56" s="19" t="inlineStr">
        <is>
          <t>※元データ「XTab DS_1」から、2つ以上の倉庫(保管場所)に登録されている品目コードを抽出。数量・金額はSUMIFSで元データから集計（元データ変更で自動再計算）。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2026-09-29T17:26:40Z</dcterms:created>
  <dcterms:modified xsi:type="dcterms:W3CDTF">2026-09-29T17:26:40Z</dcterms:modified>
</cp:coreProperties>
</file>