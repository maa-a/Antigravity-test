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払出後在庫一覧" sheetId="1" state="visible" r:id="rId1"/>
    <sheet name="XTab DS_1" sheetId="2" state="visible" r:id="rId2"/>
    <sheet name="払出リスト" sheetId="3" state="visible" r:id="rId3"/>
  </sheets>
  <definedNames>
    <definedName name="_xlnm._FilterDatabase" localSheetId="0" hidden="1">'払出後在庫一覧'!$A$5:$K$52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7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  <font>
      <name val="Calibri"/>
      <color rgb="000000FF"/>
    </font>
    <font>
      <name val="Calibri"/>
      <b val="1"/>
    </font>
    <font>
      <name val="Calibri"/>
      <b val="1"/>
      <sz val="14"/>
    </font>
    <font>
      <name val="Calibri"/>
      <color rgb="00595959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pivotButton="0" quotePrefix="0" xfId="0"/>
    <xf numFmtId="164" fontId="2" fillId="0" borderId="1" pivotButton="0" quotePrefix="0" xfId="0"/>
    <xf numFmtId="164" fontId="4" fillId="3" borderId="1" pivotButton="0" quotePrefix="0" xfId="0"/>
    <xf numFmtId="0" fontId="2" fillId="0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4" fillId="0" borderId="0" pivotButton="0" quotePrefix="0" xfId="0"/>
    <xf numFmtId="164" fontId="4" fillId="0" borderId="0" applyAlignment="1" pivotButton="0" quotePrefix="0" xfId="0">
      <alignment horizontal="left"/>
    </xf>
    <xf numFmtId="49" fontId="2" fillId="0" borderId="0" pivotButton="0" quotePrefix="0" xfId="0"/>
    <xf numFmtId="164" fontId="2" fillId="0" borderId="0" pivotButton="0" quotePrefix="0" xfId="0"/>
    <xf numFmtId="49" fontId="0" fillId="0" borderId="0" pivotButton="0" quotePrefix="0" xfId="0"/>
    <xf numFmtId="164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</cols>
  <sheetData>
    <row r="1">
      <c r="A1" s="1" t="inlineStr">
        <is>
          <t>払出後在庫一覧（払出元：CX催事 CX01）</t>
        </is>
      </c>
    </row>
    <row r="2">
      <c r="A2" s="2" t="inlineStr">
        <is>
          <t>元データ：e9045bdf-excel_2.xlsx　払出リスト：41品目・合計 7,295</t>
        </is>
      </c>
    </row>
    <row r="3">
      <c r="A3" s="2" t="inlineStr">
        <is>
          <t>払出はCX催事の在庫からのみ差し引く。払出後の残数が0は問題なし、マイナスのみ「不足」。</t>
        </is>
      </c>
    </row>
    <row r="5" ht="32" customHeight="1">
      <c r="A5" s="3" t="inlineStr">
        <is>
          <t>JANコード(EAN/UPC)</t>
        </is>
      </c>
      <c r="B5" s="3" t="inlineStr">
        <is>
          <t>品目コード</t>
        </is>
      </c>
      <c r="C5" s="3" t="inlineStr">
        <is>
          <t>品目テキスト</t>
        </is>
      </c>
      <c r="D5" s="3" t="inlineStr">
        <is>
          <t>CX催事
払出前</t>
        </is>
      </c>
      <c r="E5" s="3" t="inlineStr">
        <is>
          <t>払出数</t>
        </is>
      </c>
      <c r="F5" s="3" t="inlineStr">
        <is>
          <t>CX催事
払出後</t>
        </is>
      </c>
      <c r="G5" s="3" t="inlineStr">
        <is>
          <t>DBS倉庫</t>
        </is>
      </c>
      <c r="H5" s="3" t="inlineStr">
        <is>
          <t>その他</t>
        </is>
      </c>
      <c r="I5" s="3" t="inlineStr">
        <is>
          <t>合算
払出前</t>
        </is>
      </c>
      <c r="J5" s="3" t="inlineStr">
        <is>
          <t>合算
払出後</t>
        </is>
      </c>
      <c r="K5" s="3" t="inlineStr">
        <is>
          <t>判定</t>
        </is>
      </c>
    </row>
    <row r="6">
      <c r="A6" s="4" t="n">
        <v>4515142545082</v>
      </c>
      <c r="B6" s="4" t="inlineStr">
        <is>
          <t>CX2509JKSMPOSCKV</t>
        </is>
      </c>
      <c r="C6" s="4" t="inlineStr">
        <is>
          <t>呪術廻戦展 懐玉玉折 渋谷事変　メタリックポストカード　展示会KV</t>
        </is>
      </c>
      <c r="D6" s="5">
        <f>SUMIFS('XTab DS_1'!$F$2:$F$95,'XTab DS_1'!$B$2:$B$95,$B6,'XTab DS_1'!$D$2:$D$95,"CX01")</f>
        <v/>
      </c>
      <c r="E6" s="5">
        <f>SUMIFS(払出リスト!$C$2:$C$42,払出リスト!$A$2:$A$42,$B6)</f>
        <v/>
      </c>
      <c r="F6" s="6">
        <f>D6-E6</f>
        <v/>
      </c>
      <c r="G6" s="5">
        <f>SUMIFS('XTab DS_1'!$F$2:$F$95,'XTab DS_1'!$B$2:$B$95,$B6,'XTab DS_1'!$D$2:$D$95,"DB00")</f>
        <v/>
      </c>
      <c r="H6" s="5">
        <f>SUMIFS('XTab DS_1'!$F$2:$F$95,'XTab DS_1'!$B$2:$B$95,$B6,'XTab DS_1'!$D$2:$D$95,"ZZ01")</f>
        <v/>
      </c>
      <c r="I6" s="5">
        <f>SUMIFS('XTab DS_1'!$F$2:$F$95,'XTab DS_1'!$B$2:$B$95,$B6)</f>
        <v/>
      </c>
      <c r="J6" s="6">
        <f>F6+G6+H6</f>
        <v/>
      </c>
      <c r="K6" s="7">
        <f>IF(E6=0,"-",IF(F6&lt;0,"不足","OK"))</f>
        <v/>
      </c>
    </row>
    <row r="7">
      <c r="A7" s="4" t="n">
        <v>4515142545099</v>
      </c>
      <c r="B7" s="4" t="inlineStr">
        <is>
          <t>CX2509JKSCFKV</t>
        </is>
      </c>
      <c r="C7" s="4" t="inlineStr">
        <is>
          <t>呪術廻戦展 懐玉玉折 渋谷事変　クリアファイル　展示会KV</t>
        </is>
      </c>
      <c r="D7" s="5">
        <f>SUMIFS('XTab DS_1'!$F$2:$F$95,'XTab DS_1'!$B$2:$B$95,$B7,'XTab DS_1'!$D$2:$D$95,"CX01")</f>
        <v/>
      </c>
      <c r="E7" s="5">
        <f>SUMIFS(払出リスト!$C$2:$C$42,払出リスト!$A$2:$A$42,$B7)</f>
        <v/>
      </c>
      <c r="F7" s="6">
        <f>D7-E7</f>
        <v/>
      </c>
      <c r="G7" s="5">
        <f>SUMIFS('XTab DS_1'!$F$2:$F$95,'XTab DS_1'!$B$2:$B$95,$B7,'XTab DS_1'!$D$2:$D$95,"DB00")</f>
        <v/>
      </c>
      <c r="H7" s="5">
        <f>SUMIFS('XTab DS_1'!$F$2:$F$95,'XTab DS_1'!$B$2:$B$95,$B7,'XTab DS_1'!$D$2:$D$95,"ZZ01")</f>
        <v/>
      </c>
      <c r="I7" s="5">
        <f>SUMIFS('XTab DS_1'!$F$2:$F$95,'XTab DS_1'!$B$2:$B$95,$B7)</f>
        <v/>
      </c>
      <c r="J7" s="6">
        <f>F7+G7+H7</f>
        <v/>
      </c>
      <c r="K7" s="7">
        <f>IF(E7=0,"-",IF(F7&lt;0,"不足","OK"))</f>
        <v/>
      </c>
    </row>
    <row r="8">
      <c r="A8" s="4" t="n">
        <v>4515142545105</v>
      </c>
      <c r="B8" s="4" t="inlineStr">
        <is>
          <t>CX2509JKSPOSC-KG5</t>
        </is>
      </c>
      <c r="C8" s="4" t="inlineStr">
        <is>
          <t>呪術廻戦展 懐玉玉折　ポストカードセット（5枚入）</t>
        </is>
      </c>
      <c r="D8" s="5">
        <f>SUMIFS('XTab DS_1'!$F$2:$F$95,'XTab DS_1'!$B$2:$B$95,$B8,'XTab DS_1'!$D$2:$D$95,"CX01")</f>
        <v/>
      </c>
      <c r="E8" s="5">
        <f>SUMIFS(払出リスト!$C$2:$C$42,払出リスト!$A$2:$A$42,$B8)</f>
        <v/>
      </c>
      <c r="F8" s="6">
        <f>D8-E8</f>
        <v/>
      </c>
      <c r="G8" s="5">
        <f>SUMIFS('XTab DS_1'!$F$2:$F$95,'XTab DS_1'!$B$2:$B$95,$B8,'XTab DS_1'!$D$2:$D$95,"DB00")</f>
        <v/>
      </c>
      <c r="H8" s="5">
        <f>SUMIFS('XTab DS_1'!$F$2:$F$95,'XTab DS_1'!$B$2:$B$95,$B8,'XTab DS_1'!$D$2:$D$95,"ZZ01")</f>
        <v/>
      </c>
      <c r="I8" s="5">
        <f>SUMIFS('XTab DS_1'!$F$2:$F$95,'XTab DS_1'!$B$2:$B$95,$B8)</f>
        <v/>
      </c>
      <c r="J8" s="6">
        <f>F8+G8+H8</f>
        <v/>
      </c>
      <c r="K8" s="7">
        <f>IF(E8=0,"-",IF(F8&lt;0,"不足","OK"))</f>
        <v/>
      </c>
    </row>
    <row r="9">
      <c r="A9" s="4" t="n">
        <v>4515142545112</v>
      </c>
      <c r="B9" s="4" t="inlineStr">
        <is>
          <t>CX2509JKSPOSC-SJ9</t>
        </is>
      </c>
      <c r="C9" s="4" t="inlineStr">
        <is>
          <t>呪術廻戦展 渋谷事変　ポストカードセット（9枚入）</t>
        </is>
      </c>
      <c r="D9" s="5">
        <f>SUMIFS('XTab DS_1'!$F$2:$F$95,'XTab DS_1'!$B$2:$B$95,$B9,'XTab DS_1'!$D$2:$D$95,"CX01")</f>
        <v/>
      </c>
      <c r="E9" s="5">
        <f>SUMIFS(払出リスト!$C$2:$C$42,払出リスト!$A$2:$A$42,$B9)</f>
        <v/>
      </c>
      <c r="F9" s="6">
        <f>D9-E9</f>
        <v/>
      </c>
      <c r="G9" s="5">
        <f>SUMIFS('XTab DS_1'!$F$2:$F$95,'XTab DS_1'!$B$2:$B$95,$B9,'XTab DS_1'!$D$2:$D$95,"DB00")</f>
        <v/>
      </c>
      <c r="H9" s="5">
        <f>SUMIFS('XTab DS_1'!$F$2:$F$95,'XTab DS_1'!$B$2:$B$95,$B9,'XTab DS_1'!$D$2:$D$95,"ZZ01")</f>
        <v/>
      </c>
      <c r="I9" s="5">
        <f>SUMIFS('XTab DS_1'!$F$2:$F$95,'XTab DS_1'!$B$2:$B$95,$B9)</f>
        <v/>
      </c>
      <c r="J9" s="6">
        <f>F9+G9+H9</f>
        <v/>
      </c>
      <c r="K9" s="7">
        <f>IF(E9=0,"-",IF(F9&lt;0,"不足","OK"))</f>
        <v/>
      </c>
    </row>
    <row r="10">
      <c r="A10" s="4" t="n">
        <v>4515142545129</v>
      </c>
      <c r="B10" s="4" t="inlineStr">
        <is>
          <t>CX2509JKSBBDG-KG5</t>
        </is>
      </c>
      <c r="C10" s="4" t="inlineStr">
        <is>
          <t>呪術廻戦展 懐玉玉折　ブラインド缶バッジ（全5種）</t>
        </is>
      </c>
      <c r="D10" s="5">
        <f>SUMIFS('XTab DS_1'!$F$2:$F$95,'XTab DS_1'!$B$2:$B$95,$B10,'XTab DS_1'!$D$2:$D$95,"CX01")</f>
        <v/>
      </c>
      <c r="E10" s="5">
        <f>SUMIFS(払出リスト!$C$2:$C$42,払出リスト!$A$2:$A$42,$B10)</f>
        <v/>
      </c>
      <c r="F10" s="6">
        <f>D10-E10</f>
        <v/>
      </c>
      <c r="G10" s="5">
        <f>SUMIFS('XTab DS_1'!$F$2:$F$95,'XTab DS_1'!$B$2:$B$95,$B10,'XTab DS_1'!$D$2:$D$95,"DB00")</f>
        <v/>
      </c>
      <c r="H10" s="5">
        <f>SUMIFS('XTab DS_1'!$F$2:$F$95,'XTab DS_1'!$B$2:$B$95,$B10,'XTab DS_1'!$D$2:$D$95,"ZZ01")</f>
        <v/>
      </c>
      <c r="I10" s="5">
        <f>SUMIFS('XTab DS_1'!$F$2:$F$95,'XTab DS_1'!$B$2:$B$95,$B10)</f>
        <v/>
      </c>
      <c r="J10" s="6">
        <f>F10+G10+H10</f>
        <v/>
      </c>
      <c r="K10" s="7">
        <f>IF(E10=0,"-",IF(F10&lt;0,"不足","OK"))</f>
        <v/>
      </c>
    </row>
    <row r="11">
      <c r="A11" s="4" t="n">
        <v>4515142545136</v>
      </c>
      <c r="B11" s="4" t="inlineStr">
        <is>
          <t>CX2509JKSBBDG-SJ9</t>
        </is>
      </c>
      <c r="C11" s="4" t="inlineStr">
        <is>
          <t>呪術廻戦展 渋谷事変　ブラインド缶バッジ（全9種）</t>
        </is>
      </c>
      <c r="D11" s="5">
        <f>SUMIFS('XTab DS_1'!$F$2:$F$95,'XTab DS_1'!$B$2:$B$95,$B11,'XTab DS_1'!$D$2:$D$95,"CX01")</f>
        <v/>
      </c>
      <c r="E11" s="5">
        <f>SUMIFS(払出リスト!$C$2:$C$42,払出リスト!$A$2:$A$42,$B11)</f>
        <v/>
      </c>
      <c r="F11" s="6">
        <f>D11-E11</f>
        <v/>
      </c>
      <c r="G11" s="5">
        <f>SUMIFS('XTab DS_1'!$F$2:$F$95,'XTab DS_1'!$B$2:$B$95,$B11,'XTab DS_1'!$D$2:$D$95,"DB00")</f>
        <v/>
      </c>
      <c r="H11" s="5">
        <f>SUMIFS('XTab DS_1'!$F$2:$F$95,'XTab DS_1'!$B$2:$B$95,$B11,'XTab DS_1'!$D$2:$D$95,"ZZ01")</f>
        <v/>
      </c>
      <c r="I11" s="5">
        <f>SUMIFS('XTab DS_1'!$F$2:$F$95,'XTab DS_1'!$B$2:$B$95,$B11)</f>
        <v/>
      </c>
      <c r="J11" s="6">
        <f>F11+G11+H11</f>
        <v/>
      </c>
      <c r="K11" s="7">
        <f>IF(E11=0,"-",IF(F11&lt;0,"不足","OK"))</f>
        <v/>
      </c>
    </row>
    <row r="12">
      <c r="A12" s="4" t="n">
        <v>4515142545143</v>
      </c>
      <c r="B12" s="4" t="inlineStr">
        <is>
          <t>CX2509JKSBSTK-KG5</t>
        </is>
      </c>
      <c r="C12" s="4" t="inlineStr">
        <is>
          <t>呪術廻戦展 懐玉玉折　ブラインドダイカットステッカー（全5種）</t>
        </is>
      </c>
      <c r="D12" s="5">
        <f>SUMIFS('XTab DS_1'!$F$2:$F$95,'XTab DS_1'!$B$2:$B$95,$B12,'XTab DS_1'!$D$2:$D$95,"CX01")</f>
        <v/>
      </c>
      <c r="E12" s="5">
        <f>SUMIFS(払出リスト!$C$2:$C$42,払出リスト!$A$2:$A$42,$B12)</f>
        <v/>
      </c>
      <c r="F12" s="6">
        <f>D12-E12</f>
        <v/>
      </c>
      <c r="G12" s="5">
        <f>SUMIFS('XTab DS_1'!$F$2:$F$95,'XTab DS_1'!$B$2:$B$95,$B12,'XTab DS_1'!$D$2:$D$95,"DB00")</f>
        <v/>
      </c>
      <c r="H12" s="5">
        <f>SUMIFS('XTab DS_1'!$F$2:$F$95,'XTab DS_1'!$B$2:$B$95,$B12,'XTab DS_1'!$D$2:$D$95,"ZZ01")</f>
        <v/>
      </c>
      <c r="I12" s="5">
        <f>SUMIFS('XTab DS_1'!$F$2:$F$95,'XTab DS_1'!$B$2:$B$95,$B12)</f>
        <v/>
      </c>
      <c r="J12" s="6">
        <f>F12+G12+H12</f>
        <v/>
      </c>
      <c r="K12" s="7">
        <f>IF(E12=0,"-",IF(F12&lt;0,"不足","OK"))</f>
        <v/>
      </c>
    </row>
    <row r="13">
      <c r="A13" s="4" t="n">
        <v>4515142545150</v>
      </c>
      <c r="B13" s="4" t="inlineStr">
        <is>
          <t>CX2509JKSBSTK-SJ9</t>
        </is>
      </c>
      <c r="C13" s="4" t="inlineStr">
        <is>
          <t>呪術廻戦展 渋谷事変　ブラインドダイカットステッカー（全9種）</t>
        </is>
      </c>
      <c r="D13" s="5">
        <f>SUMIFS('XTab DS_1'!$F$2:$F$95,'XTab DS_1'!$B$2:$B$95,$B13,'XTab DS_1'!$D$2:$D$95,"CX01")</f>
        <v/>
      </c>
      <c r="E13" s="5">
        <f>SUMIFS(払出リスト!$C$2:$C$42,払出リスト!$A$2:$A$42,$B13)</f>
        <v/>
      </c>
      <c r="F13" s="6">
        <f>D13-E13</f>
        <v/>
      </c>
      <c r="G13" s="5">
        <f>SUMIFS('XTab DS_1'!$F$2:$F$95,'XTab DS_1'!$B$2:$B$95,$B13,'XTab DS_1'!$D$2:$D$95,"DB00")</f>
        <v/>
      </c>
      <c r="H13" s="5">
        <f>SUMIFS('XTab DS_1'!$F$2:$F$95,'XTab DS_1'!$B$2:$B$95,$B13,'XTab DS_1'!$D$2:$D$95,"ZZ01")</f>
        <v/>
      </c>
      <c r="I13" s="5">
        <f>SUMIFS('XTab DS_1'!$F$2:$F$95,'XTab DS_1'!$B$2:$B$95,$B13)</f>
        <v/>
      </c>
      <c r="J13" s="6">
        <f>F13+G13+H13</f>
        <v/>
      </c>
      <c r="K13" s="7">
        <f>IF(E13=0,"-",IF(F13&lt;0,"不足","OK"))</f>
        <v/>
      </c>
    </row>
    <row r="14">
      <c r="A14" s="4" t="n">
        <v>4515142545174</v>
      </c>
      <c r="B14" s="4" t="inlineStr">
        <is>
          <t>CX2509JKSBMCPA-KG5</t>
        </is>
      </c>
      <c r="C14" s="4" t="inlineStr">
        <is>
          <t>呪術廻戦展 懐玉玉折　ブラインドミニ色紙（全5種）</t>
        </is>
      </c>
      <c r="D14" s="5">
        <f>SUMIFS('XTab DS_1'!$F$2:$F$95,'XTab DS_1'!$B$2:$B$95,$B14,'XTab DS_1'!$D$2:$D$95,"CX01")</f>
        <v/>
      </c>
      <c r="E14" s="5">
        <f>SUMIFS(払出リスト!$C$2:$C$42,払出リスト!$A$2:$A$42,$B14)</f>
        <v/>
      </c>
      <c r="F14" s="6">
        <f>D14-E14</f>
        <v/>
      </c>
      <c r="G14" s="5">
        <f>SUMIFS('XTab DS_1'!$F$2:$F$95,'XTab DS_1'!$B$2:$B$95,$B14,'XTab DS_1'!$D$2:$D$95,"DB00")</f>
        <v/>
      </c>
      <c r="H14" s="5">
        <f>SUMIFS('XTab DS_1'!$F$2:$F$95,'XTab DS_1'!$B$2:$B$95,$B14,'XTab DS_1'!$D$2:$D$95,"ZZ01")</f>
        <v/>
      </c>
      <c r="I14" s="5">
        <f>SUMIFS('XTab DS_1'!$F$2:$F$95,'XTab DS_1'!$B$2:$B$95,$B14)</f>
        <v/>
      </c>
      <c r="J14" s="6">
        <f>F14+G14+H14</f>
        <v/>
      </c>
      <c r="K14" s="7">
        <f>IF(E14=0,"-",IF(F14&lt;0,"不足","OK"))</f>
        <v/>
      </c>
    </row>
    <row r="15">
      <c r="A15" s="4" t="n">
        <v>4515142545181</v>
      </c>
      <c r="B15" s="4" t="inlineStr">
        <is>
          <t>CX2509JKSBMCPA-SJ5</t>
        </is>
      </c>
      <c r="C15" s="4" t="inlineStr">
        <is>
          <t>呪術廻戦展 渋谷事変　ブラインドミニ色紙（全5種）</t>
        </is>
      </c>
      <c r="D15" s="5">
        <f>SUMIFS('XTab DS_1'!$F$2:$F$95,'XTab DS_1'!$B$2:$B$95,$B15,'XTab DS_1'!$D$2:$D$95,"CX01")</f>
        <v/>
      </c>
      <c r="E15" s="5">
        <f>SUMIFS(払出リスト!$C$2:$C$42,払出リスト!$A$2:$A$42,$B15)</f>
        <v/>
      </c>
      <c r="F15" s="6">
        <f>D15-E15</f>
        <v/>
      </c>
      <c r="G15" s="5">
        <f>SUMIFS('XTab DS_1'!$F$2:$F$95,'XTab DS_1'!$B$2:$B$95,$B15,'XTab DS_1'!$D$2:$D$95,"DB00")</f>
        <v/>
      </c>
      <c r="H15" s="5">
        <f>SUMIFS('XTab DS_1'!$F$2:$F$95,'XTab DS_1'!$B$2:$B$95,$B15,'XTab DS_1'!$D$2:$D$95,"ZZ01")</f>
        <v/>
      </c>
      <c r="I15" s="5">
        <f>SUMIFS('XTab DS_1'!$F$2:$F$95,'XTab DS_1'!$B$2:$B$95,$B15)</f>
        <v/>
      </c>
      <c r="J15" s="6">
        <f>F15+G15+H15</f>
        <v/>
      </c>
      <c r="K15" s="7">
        <f>IF(E15=0,"-",IF(F15&lt;0,"不足","OK"))</f>
        <v/>
      </c>
    </row>
    <row r="16">
      <c r="A16" s="4" t="n">
        <v>4515142545198</v>
      </c>
      <c r="B16" s="4" t="inlineStr">
        <is>
          <t>CX2509JKSGOBTBALL</t>
        </is>
      </c>
      <c r="C16" s="4" t="inlineStr">
        <is>
          <t>呪術廻戦展 懐玉玉折 渋谷事変　虚式 ? バスボール</t>
        </is>
      </c>
      <c r="D16" s="5">
        <f>SUMIFS('XTab DS_1'!$F$2:$F$95,'XTab DS_1'!$B$2:$B$95,$B16,'XTab DS_1'!$D$2:$D$95,"CX01")</f>
        <v/>
      </c>
      <c r="E16" s="5">
        <f>SUMIFS(払出リスト!$C$2:$C$42,払出リスト!$A$2:$A$42,$B16)</f>
        <v/>
      </c>
      <c r="F16" s="6">
        <f>D16-E16</f>
        <v/>
      </c>
      <c r="G16" s="5">
        <f>SUMIFS('XTab DS_1'!$F$2:$F$95,'XTab DS_1'!$B$2:$B$95,$B16,'XTab DS_1'!$D$2:$D$95,"DB00")</f>
        <v/>
      </c>
      <c r="H16" s="5">
        <f>SUMIFS('XTab DS_1'!$F$2:$F$95,'XTab DS_1'!$B$2:$B$95,$B16,'XTab DS_1'!$D$2:$D$95,"ZZ01")</f>
        <v/>
      </c>
      <c r="I16" s="5">
        <f>SUMIFS('XTab DS_1'!$F$2:$F$95,'XTab DS_1'!$B$2:$B$95,$B16)</f>
        <v/>
      </c>
      <c r="J16" s="6">
        <f>F16+G16+H16</f>
        <v/>
      </c>
      <c r="K16" s="7">
        <f>IF(E16=0,"-",IF(F16&lt;0,"不足","OK"))</f>
        <v/>
      </c>
    </row>
    <row r="17">
      <c r="A17" s="4" t="n">
        <v>4515142545204</v>
      </c>
      <c r="B17" s="4" t="inlineStr">
        <is>
          <t>CX2509JKSGEHAIRBD</t>
        </is>
      </c>
      <c r="C17" s="4" t="inlineStr">
        <is>
          <t>呪術廻戦展 懐玉玉折 渋谷事変　前髪ヘアバンド</t>
        </is>
      </c>
      <c r="D17" s="5">
        <f>SUMIFS('XTab DS_1'!$F$2:$F$95,'XTab DS_1'!$B$2:$B$95,$B17,'XTab DS_1'!$D$2:$D$95,"CX01")</f>
        <v/>
      </c>
      <c r="E17" s="5">
        <f>SUMIFS(払出リスト!$C$2:$C$42,払出リスト!$A$2:$A$42,$B17)</f>
        <v/>
      </c>
      <c r="F17" s="6">
        <f>D17-E17</f>
        <v/>
      </c>
      <c r="G17" s="5">
        <f>SUMIFS('XTab DS_1'!$F$2:$F$95,'XTab DS_1'!$B$2:$B$95,$B17,'XTab DS_1'!$D$2:$D$95,"DB00")</f>
        <v/>
      </c>
      <c r="H17" s="5">
        <f>SUMIFS('XTab DS_1'!$F$2:$F$95,'XTab DS_1'!$B$2:$B$95,$B17,'XTab DS_1'!$D$2:$D$95,"ZZ01")</f>
        <v/>
      </c>
      <c r="I17" s="5">
        <f>SUMIFS('XTab DS_1'!$F$2:$F$95,'XTab DS_1'!$B$2:$B$95,$B17)</f>
        <v/>
      </c>
      <c r="J17" s="6">
        <f>F17+G17+H17</f>
        <v/>
      </c>
      <c r="K17" s="7">
        <f>IF(E17=0,"-",IF(F17&lt;0,"不足","OK"))</f>
        <v/>
      </c>
    </row>
    <row r="18">
      <c r="A18" s="4" t="n">
        <v>4515142545211</v>
      </c>
      <c r="B18" s="4" t="inlineStr">
        <is>
          <t>CX2509JKSBANDAGE</t>
        </is>
      </c>
      <c r="C18" s="4" t="inlineStr">
        <is>
          <t>呪術廻戦展 懐玉玉折 渋谷事変　反転術式絆創膏</t>
        </is>
      </c>
      <c r="D18" s="5">
        <f>SUMIFS('XTab DS_1'!$F$2:$F$95,'XTab DS_1'!$B$2:$B$95,$B18,'XTab DS_1'!$D$2:$D$95,"CX01")</f>
        <v/>
      </c>
      <c r="E18" s="5">
        <f>SUMIFS(払出リスト!$C$2:$C$42,払出リスト!$A$2:$A$42,$B18)</f>
        <v/>
      </c>
      <c r="F18" s="6">
        <f>D18-E18</f>
        <v/>
      </c>
      <c r="G18" s="5">
        <f>SUMIFS('XTab DS_1'!$F$2:$F$95,'XTab DS_1'!$B$2:$B$95,$B18,'XTab DS_1'!$D$2:$D$95,"DB00")</f>
        <v/>
      </c>
      <c r="H18" s="5">
        <f>SUMIFS('XTab DS_1'!$F$2:$F$95,'XTab DS_1'!$B$2:$B$95,$B18,'XTab DS_1'!$D$2:$D$95,"ZZ01")</f>
        <v/>
      </c>
      <c r="I18" s="5">
        <f>SUMIFS('XTab DS_1'!$F$2:$F$95,'XTab DS_1'!$B$2:$B$95,$B18)</f>
        <v/>
      </c>
      <c r="J18" s="6">
        <f>F18+G18+H18</f>
        <v/>
      </c>
      <c r="K18" s="7">
        <f>IF(E18=0,"-",IF(F18&lt;0,"不足","OK"))</f>
        <v/>
      </c>
    </row>
    <row r="19">
      <c r="A19" s="4" t="n">
        <v>4515142545228</v>
      </c>
      <c r="B19" s="4" t="inlineStr">
        <is>
          <t>CX2509JKSSKFINGER</t>
        </is>
      </c>
      <c r="C19" s="4" t="inlineStr">
        <is>
          <t>呪術廻戦展 懐玉玉折 渋谷事変　宿儺の指風お菓子</t>
        </is>
      </c>
      <c r="D19" s="5">
        <f>SUMIFS('XTab DS_1'!$F$2:$F$95,'XTab DS_1'!$B$2:$B$95,$B19,'XTab DS_1'!$D$2:$D$95,"CX01")</f>
        <v/>
      </c>
      <c r="E19" s="5">
        <f>SUMIFS(払出リスト!$C$2:$C$42,払出リスト!$A$2:$A$42,$B19)</f>
        <v/>
      </c>
      <c r="F19" s="6">
        <f>D19-E19</f>
        <v/>
      </c>
      <c r="G19" s="5">
        <f>SUMIFS('XTab DS_1'!$F$2:$F$95,'XTab DS_1'!$B$2:$B$95,$B19,'XTab DS_1'!$D$2:$D$95,"DB00")</f>
        <v/>
      </c>
      <c r="H19" s="5">
        <f>SUMIFS('XTab DS_1'!$F$2:$F$95,'XTab DS_1'!$B$2:$B$95,$B19,'XTab DS_1'!$D$2:$D$95,"ZZ01")</f>
        <v/>
      </c>
      <c r="I19" s="5">
        <f>SUMIFS('XTab DS_1'!$F$2:$F$95,'XTab DS_1'!$B$2:$B$95,$B19)</f>
        <v/>
      </c>
      <c r="J19" s="6">
        <f>F19+G19+H19</f>
        <v/>
      </c>
      <c r="K19" s="7">
        <f>IF(E19=0,"-",IF(F19&lt;0,"不足","OK"))</f>
        <v/>
      </c>
    </row>
    <row r="20">
      <c r="A20" s="4" t="n">
        <v>4515142545235</v>
      </c>
      <c r="B20" s="4" t="inlineStr">
        <is>
          <t>CX2509JKSDTPCHCLP</t>
        </is>
      </c>
      <c r="C20" s="4" t="inlineStr">
        <is>
          <t>呪術廻戦展 懐玉玉折 渋谷事変　脱兎 ポーチ入りクリップセット</t>
        </is>
      </c>
      <c r="D20" s="5">
        <f>SUMIFS('XTab DS_1'!$F$2:$F$95,'XTab DS_1'!$B$2:$B$95,$B20,'XTab DS_1'!$D$2:$D$95,"CX01")</f>
        <v/>
      </c>
      <c r="E20" s="5">
        <f>SUMIFS(払出リスト!$C$2:$C$42,払出リスト!$A$2:$A$42,$B20)</f>
        <v/>
      </c>
      <c r="F20" s="6">
        <f>D20-E20</f>
        <v/>
      </c>
      <c r="G20" s="5">
        <f>SUMIFS('XTab DS_1'!$F$2:$F$95,'XTab DS_1'!$B$2:$B$95,$B20,'XTab DS_1'!$D$2:$D$95,"DB00")</f>
        <v/>
      </c>
      <c r="H20" s="5">
        <f>SUMIFS('XTab DS_1'!$F$2:$F$95,'XTab DS_1'!$B$2:$B$95,$B20,'XTab DS_1'!$D$2:$D$95,"ZZ01")</f>
        <v/>
      </c>
      <c r="I20" s="5">
        <f>SUMIFS('XTab DS_1'!$F$2:$F$95,'XTab DS_1'!$B$2:$B$95,$B20)</f>
        <v/>
      </c>
      <c r="J20" s="6">
        <f>F20+G20+H20</f>
        <v/>
      </c>
      <c r="K20" s="7">
        <f>IF(E20=0,"-",IF(F20&lt;0,"不足","OK"))</f>
        <v/>
      </c>
    </row>
    <row r="21">
      <c r="A21" s="4" t="n">
        <v>4515142545242</v>
      </c>
      <c r="B21" s="4" t="inlineStr">
        <is>
          <t>CX2509JKSNBECOBAG</t>
        </is>
      </c>
      <c r="C21" s="4" t="inlineStr">
        <is>
          <t>呪術廻戦展 懐玉玉折 渋谷事変　釘崎のポーチ風エコバッグ</t>
        </is>
      </c>
      <c r="D21" s="5">
        <f>SUMIFS('XTab DS_1'!$F$2:$F$95,'XTab DS_1'!$B$2:$B$95,$B21,'XTab DS_1'!$D$2:$D$95,"CX01")</f>
        <v/>
      </c>
      <c r="E21" s="5">
        <f>SUMIFS(払出リスト!$C$2:$C$42,払出リスト!$A$2:$A$42,$B21)</f>
        <v/>
      </c>
      <c r="F21" s="6">
        <f>D21-E21</f>
        <v/>
      </c>
      <c r="G21" s="5">
        <f>SUMIFS('XTab DS_1'!$F$2:$F$95,'XTab DS_1'!$B$2:$B$95,$B21,'XTab DS_1'!$D$2:$D$95,"DB00")</f>
        <v/>
      </c>
      <c r="H21" s="5">
        <f>SUMIFS('XTab DS_1'!$F$2:$F$95,'XTab DS_1'!$B$2:$B$95,$B21,'XTab DS_1'!$D$2:$D$95,"ZZ01")</f>
        <v/>
      </c>
      <c r="I21" s="5">
        <f>SUMIFS('XTab DS_1'!$F$2:$F$95,'XTab DS_1'!$B$2:$B$95,$B21)</f>
        <v/>
      </c>
      <c r="J21" s="6">
        <f>F21+G21+H21</f>
        <v/>
      </c>
      <c r="K21" s="7">
        <f>IF(E21=0,"-",IF(F21&lt;0,"不足","OK"))</f>
        <v/>
      </c>
    </row>
    <row r="22">
      <c r="A22" s="4" t="n">
        <v>4515142545259</v>
      </c>
      <c r="B22" s="4" t="inlineStr">
        <is>
          <t>CX2509JKSPLANNER</t>
        </is>
      </c>
      <c r="C22" s="4" t="inlineStr">
        <is>
          <t>呪術廻戦展 懐玉玉折 渋谷事変　半年分の情報が書き込める手帳</t>
        </is>
      </c>
      <c r="D22" s="5">
        <f>SUMIFS('XTab DS_1'!$F$2:$F$95,'XTab DS_1'!$B$2:$B$95,$B22,'XTab DS_1'!$D$2:$D$95,"CX01")</f>
        <v/>
      </c>
      <c r="E22" s="5">
        <f>SUMIFS(払出リスト!$C$2:$C$42,払出リスト!$A$2:$A$42,$B22)</f>
        <v/>
      </c>
      <c r="F22" s="6">
        <f>D22-E22</f>
        <v/>
      </c>
      <c r="G22" s="5">
        <f>SUMIFS('XTab DS_1'!$F$2:$F$95,'XTab DS_1'!$B$2:$B$95,$B22,'XTab DS_1'!$D$2:$D$95,"DB00")</f>
        <v/>
      </c>
      <c r="H22" s="5">
        <f>SUMIFS('XTab DS_1'!$F$2:$F$95,'XTab DS_1'!$B$2:$B$95,$B22,'XTab DS_1'!$D$2:$D$95,"ZZ01")</f>
        <v/>
      </c>
      <c r="I22" s="5">
        <f>SUMIFS('XTab DS_1'!$F$2:$F$95,'XTab DS_1'!$B$2:$B$95,$B22)</f>
        <v/>
      </c>
      <c r="J22" s="6">
        <f>F22+G22+H22</f>
        <v/>
      </c>
      <c r="K22" s="7">
        <f>IF(E22=0,"-",IF(F22&lt;0,"不足","OK"))</f>
        <v/>
      </c>
    </row>
    <row r="23">
      <c r="A23" s="4" t="n">
        <v>4515142545266</v>
      </c>
      <c r="B23" s="4" t="inlineStr">
        <is>
          <t>CX2509JKSMUSICBOX</t>
        </is>
      </c>
      <c r="C23" s="4" t="inlineStr">
        <is>
          <t>呪術廻戦展 懐玉玉折 渋谷事変　気分リフレッシュオルゴール</t>
        </is>
      </c>
      <c r="D23" s="5">
        <f>SUMIFS('XTab DS_1'!$F$2:$F$95,'XTab DS_1'!$B$2:$B$95,$B23,'XTab DS_1'!$D$2:$D$95,"CX01")</f>
        <v/>
      </c>
      <c r="E23" s="5">
        <f>SUMIFS(払出リスト!$C$2:$C$42,払出リスト!$A$2:$A$42,$B23)</f>
        <v/>
      </c>
      <c r="F23" s="6">
        <f>D23-E23</f>
        <v/>
      </c>
      <c r="G23" s="5">
        <f>SUMIFS('XTab DS_1'!$F$2:$F$95,'XTab DS_1'!$B$2:$B$95,$B23,'XTab DS_1'!$D$2:$D$95,"DB00")</f>
        <v/>
      </c>
      <c r="H23" s="5">
        <f>SUMIFS('XTab DS_1'!$F$2:$F$95,'XTab DS_1'!$B$2:$B$95,$B23,'XTab DS_1'!$D$2:$D$95,"ZZ01")</f>
        <v/>
      </c>
      <c r="I23" s="5">
        <f>SUMIFS('XTab DS_1'!$F$2:$F$95,'XTab DS_1'!$B$2:$B$95,$B23)</f>
        <v/>
      </c>
      <c r="J23" s="6">
        <f>F23+G23+H23</f>
        <v/>
      </c>
      <c r="K23" s="7">
        <f>IF(E23=0,"-",IF(F23&lt;0,"不足","OK"))</f>
        <v/>
      </c>
    </row>
    <row r="24">
      <c r="A24" s="4" t="n">
        <v>4515142545273</v>
      </c>
      <c r="B24" s="4" t="inlineStr">
        <is>
          <t>CX2509JKSIRG-GO11</t>
        </is>
      </c>
      <c r="C24" s="4" t="inlineStr">
        <is>
          <t>呪術廻戦展 懐玉玉折 渋谷事変　五条 悟　イメージリング（#11）</t>
        </is>
      </c>
      <c r="D24" s="5">
        <f>SUMIFS('XTab DS_1'!$F$2:$F$95,'XTab DS_1'!$B$2:$B$95,$B24,'XTab DS_1'!$D$2:$D$95,"CX01")</f>
        <v/>
      </c>
      <c r="E24" s="5">
        <f>SUMIFS(払出リスト!$C$2:$C$42,払出リスト!$A$2:$A$42,$B24)</f>
        <v/>
      </c>
      <c r="F24" s="6">
        <f>D24-E24</f>
        <v/>
      </c>
      <c r="G24" s="5">
        <f>SUMIFS('XTab DS_1'!$F$2:$F$95,'XTab DS_1'!$B$2:$B$95,$B24,'XTab DS_1'!$D$2:$D$95,"DB00")</f>
        <v/>
      </c>
      <c r="H24" s="5">
        <f>SUMIFS('XTab DS_1'!$F$2:$F$95,'XTab DS_1'!$B$2:$B$95,$B24,'XTab DS_1'!$D$2:$D$95,"ZZ01")</f>
        <v/>
      </c>
      <c r="I24" s="5">
        <f>SUMIFS('XTab DS_1'!$F$2:$F$95,'XTab DS_1'!$B$2:$B$95,$B24)</f>
        <v/>
      </c>
      <c r="J24" s="6">
        <f>F24+G24+H24</f>
        <v/>
      </c>
      <c r="K24" s="7">
        <f>IF(E24=0,"-",IF(F24&lt;0,"不足","OK"))</f>
        <v/>
      </c>
    </row>
    <row r="25">
      <c r="A25" s="4" t="n">
        <v>4515142545280</v>
      </c>
      <c r="B25" s="4" t="inlineStr">
        <is>
          <t>CX2509JKSIRG-GO13</t>
        </is>
      </c>
      <c r="C25" s="4" t="inlineStr">
        <is>
          <t>呪術廻戦展 懐玉玉折 渋谷事変　五条 悟　イメージリング（#13）</t>
        </is>
      </c>
      <c r="D25" s="5">
        <f>SUMIFS('XTab DS_1'!$F$2:$F$95,'XTab DS_1'!$B$2:$B$95,$B25,'XTab DS_1'!$D$2:$D$95,"CX01")</f>
        <v/>
      </c>
      <c r="E25" s="5">
        <f>SUMIFS(払出リスト!$C$2:$C$42,払出リスト!$A$2:$A$42,$B25)</f>
        <v/>
      </c>
      <c r="F25" s="6">
        <f>D25-E25</f>
        <v/>
      </c>
      <c r="G25" s="5">
        <f>SUMIFS('XTab DS_1'!$F$2:$F$95,'XTab DS_1'!$B$2:$B$95,$B25,'XTab DS_1'!$D$2:$D$95,"DB00")</f>
        <v/>
      </c>
      <c r="H25" s="5">
        <f>SUMIFS('XTab DS_1'!$F$2:$F$95,'XTab DS_1'!$B$2:$B$95,$B25,'XTab DS_1'!$D$2:$D$95,"ZZ01")</f>
        <v/>
      </c>
      <c r="I25" s="5">
        <f>SUMIFS('XTab DS_1'!$F$2:$F$95,'XTab DS_1'!$B$2:$B$95,$B25)</f>
        <v/>
      </c>
      <c r="J25" s="6">
        <f>F25+G25+H25</f>
        <v/>
      </c>
      <c r="K25" s="7">
        <f>IF(E25=0,"-",IF(F25&lt;0,"不足","OK"))</f>
        <v/>
      </c>
    </row>
    <row r="26">
      <c r="A26" s="4" t="n">
        <v>4515142545297</v>
      </c>
      <c r="B26" s="4" t="inlineStr">
        <is>
          <t>CX2509JKSIRG-GO15</t>
        </is>
      </c>
      <c r="C26" s="4" t="inlineStr">
        <is>
          <t>呪術廻戦展 懐玉玉折 渋谷事変　五条 悟　イメージリング（#15）</t>
        </is>
      </c>
      <c r="D26" s="5">
        <f>SUMIFS('XTab DS_1'!$F$2:$F$95,'XTab DS_1'!$B$2:$B$95,$B26,'XTab DS_1'!$D$2:$D$95,"CX01")</f>
        <v/>
      </c>
      <c r="E26" s="5">
        <f>SUMIFS(払出リスト!$C$2:$C$42,払出リスト!$A$2:$A$42,$B26)</f>
        <v/>
      </c>
      <c r="F26" s="6">
        <f>D26-E26</f>
        <v/>
      </c>
      <c r="G26" s="5">
        <f>SUMIFS('XTab DS_1'!$F$2:$F$95,'XTab DS_1'!$B$2:$B$95,$B26,'XTab DS_1'!$D$2:$D$95,"DB00")</f>
        <v/>
      </c>
      <c r="H26" s="5">
        <f>SUMIFS('XTab DS_1'!$F$2:$F$95,'XTab DS_1'!$B$2:$B$95,$B26,'XTab DS_1'!$D$2:$D$95,"ZZ01")</f>
        <v/>
      </c>
      <c r="I26" s="5">
        <f>SUMIFS('XTab DS_1'!$F$2:$F$95,'XTab DS_1'!$B$2:$B$95,$B26)</f>
        <v/>
      </c>
      <c r="J26" s="6">
        <f>F26+G26+H26</f>
        <v/>
      </c>
      <c r="K26" s="7">
        <f>IF(E26=0,"-",IF(F26&lt;0,"不足","OK"))</f>
        <v/>
      </c>
    </row>
    <row r="27">
      <c r="A27" s="4" t="n">
        <v>4515142545303</v>
      </c>
      <c r="B27" s="4" t="inlineStr">
        <is>
          <t>CX2509JKSIRG-GO17</t>
        </is>
      </c>
      <c r="C27" s="4" t="inlineStr">
        <is>
          <t>呪術廻戦展 懐玉玉折 渋谷事変　五条 悟　イメージリング（#17）</t>
        </is>
      </c>
      <c r="D27" s="5">
        <f>SUMIFS('XTab DS_1'!$F$2:$F$95,'XTab DS_1'!$B$2:$B$95,$B27,'XTab DS_1'!$D$2:$D$95,"CX01")</f>
        <v/>
      </c>
      <c r="E27" s="5">
        <f>SUMIFS(払出リスト!$C$2:$C$42,払出リスト!$A$2:$A$42,$B27)</f>
        <v/>
      </c>
      <c r="F27" s="6">
        <f>D27-E27</f>
        <v/>
      </c>
      <c r="G27" s="5">
        <f>SUMIFS('XTab DS_1'!$F$2:$F$95,'XTab DS_1'!$B$2:$B$95,$B27,'XTab DS_1'!$D$2:$D$95,"DB00")</f>
        <v/>
      </c>
      <c r="H27" s="5">
        <f>SUMIFS('XTab DS_1'!$F$2:$F$95,'XTab DS_1'!$B$2:$B$95,$B27,'XTab DS_1'!$D$2:$D$95,"ZZ01")</f>
        <v/>
      </c>
      <c r="I27" s="5">
        <f>SUMIFS('XTab DS_1'!$F$2:$F$95,'XTab DS_1'!$B$2:$B$95,$B27)</f>
        <v/>
      </c>
      <c r="J27" s="6">
        <f>F27+G27+H27</f>
        <v/>
      </c>
      <c r="K27" s="7">
        <f>IF(E27=0,"-",IF(F27&lt;0,"不足","OK"))</f>
        <v/>
      </c>
    </row>
    <row r="28">
      <c r="A28" s="4" t="n">
        <v>4515142545310</v>
      </c>
      <c r="B28" s="4" t="inlineStr">
        <is>
          <t>CX2509JKSIRG-GE11</t>
        </is>
      </c>
      <c r="C28" s="4" t="inlineStr">
        <is>
          <t>呪術廻戦展 懐玉玉折 渋谷事変　夏油 傑　イメージリング（#11）</t>
        </is>
      </c>
      <c r="D28" s="5">
        <f>SUMIFS('XTab DS_1'!$F$2:$F$95,'XTab DS_1'!$B$2:$B$95,$B28,'XTab DS_1'!$D$2:$D$95,"CX01")</f>
        <v/>
      </c>
      <c r="E28" s="5">
        <f>SUMIFS(払出リスト!$C$2:$C$42,払出リスト!$A$2:$A$42,$B28)</f>
        <v/>
      </c>
      <c r="F28" s="6">
        <f>D28-E28</f>
        <v/>
      </c>
      <c r="G28" s="5">
        <f>SUMIFS('XTab DS_1'!$F$2:$F$95,'XTab DS_1'!$B$2:$B$95,$B28,'XTab DS_1'!$D$2:$D$95,"DB00")</f>
        <v/>
      </c>
      <c r="H28" s="5">
        <f>SUMIFS('XTab DS_1'!$F$2:$F$95,'XTab DS_1'!$B$2:$B$95,$B28,'XTab DS_1'!$D$2:$D$95,"ZZ01")</f>
        <v/>
      </c>
      <c r="I28" s="5">
        <f>SUMIFS('XTab DS_1'!$F$2:$F$95,'XTab DS_1'!$B$2:$B$95,$B28)</f>
        <v/>
      </c>
      <c r="J28" s="6">
        <f>F28+G28+H28</f>
        <v/>
      </c>
      <c r="K28" s="7">
        <f>IF(E28=0,"-",IF(F28&lt;0,"不足","OK"))</f>
        <v/>
      </c>
    </row>
    <row r="29">
      <c r="A29" s="4" t="n">
        <v>4515142545327</v>
      </c>
      <c r="B29" s="4" t="inlineStr">
        <is>
          <t>CX2509JKSIRG-GE13</t>
        </is>
      </c>
      <c r="C29" s="4" t="inlineStr">
        <is>
          <t>呪術廻戦展 懐玉玉折 渋谷事変　夏油 傑　イメージリング（#13）</t>
        </is>
      </c>
      <c r="D29" s="5">
        <f>SUMIFS('XTab DS_1'!$F$2:$F$95,'XTab DS_1'!$B$2:$B$95,$B29,'XTab DS_1'!$D$2:$D$95,"CX01")</f>
        <v/>
      </c>
      <c r="E29" s="5">
        <f>SUMIFS(払出リスト!$C$2:$C$42,払出リスト!$A$2:$A$42,$B29)</f>
        <v/>
      </c>
      <c r="F29" s="6">
        <f>D29-E29</f>
        <v/>
      </c>
      <c r="G29" s="5">
        <f>SUMIFS('XTab DS_1'!$F$2:$F$95,'XTab DS_1'!$B$2:$B$95,$B29,'XTab DS_1'!$D$2:$D$95,"DB00")</f>
        <v/>
      </c>
      <c r="H29" s="5">
        <f>SUMIFS('XTab DS_1'!$F$2:$F$95,'XTab DS_1'!$B$2:$B$95,$B29,'XTab DS_1'!$D$2:$D$95,"ZZ01")</f>
        <v/>
      </c>
      <c r="I29" s="5">
        <f>SUMIFS('XTab DS_1'!$F$2:$F$95,'XTab DS_1'!$B$2:$B$95,$B29)</f>
        <v/>
      </c>
      <c r="J29" s="6">
        <f>F29+G29+H29</f>
        <v/>
      </c>
      <c r="K29" s="7">
        <f>IF(E29=0,"-",IF(F29&lt;0,"不足","OK"))</f>
        <v/>
      </c>
    </row>
    <row r="30">
      <c r="A30" s="4" t="n">
        <v>4515142545334</v>
      </c>
      <c r="B30" s="4" t="inlineStr">
        <is>
          <t>CX2509JKSIRG-GE15</t>
        </is>
      </c>
      <c r="C30" s="4" t="inlineStr">
        <is>
          <t>呪術廻戦展 懐玉玉折 渋谷事変　夏油 傑　イメージリング（#15）</t>
        </is>
      </c>
      <c r="D30" s="5">
        <f>SUMIFS('XTab DS_1'!$F$2:$F$95,'XTab DS_1'!$B$2:$B$95,$B30,'XTab DS_1'!$D$2:$D$95,"CX01")</f>
        <v/>
      </c>
      <c r="E30" s="5">
        <f>SUMIFS(払出リスト!$C$2:$C$42,払出リスト!$A$2:$A$42,$B30)</f>
        <v/>
      </c>
      <c r="F30" s="6">
        <f>D30-E30</f>
        <v/>
      </c>
      <c r="G30" s="5">
        <f>SUMIFS('XTab DS_1'!$F$2:$F$95,'XTab DS_1'!$B$2:$B$95,$B30,'XTab DS_1'!$D$2:$D$95,"DB00")</f>
        <v/>
      </c>
      <c r="H30" s="5">
        <f>SUMIFS('XTab DS_1'!$F$2:$F$95,'XTab DS_1'!$B$2:$B$95,$B30,'XTab DS_1'!$D$2:$D$95,"ZZ01")</f>
        <v/>
      </c>
      <c r="I30" s="5">
        <f>SUMIFS('XTab DS_1'!$F$2:$F$95,'XTab DS_1'!$B$2:$B$95,$B30)</f>
        <v/>
      </c>
      <c r="J30" s="6">
        <f>F30+G30+H30</f>
        <v/>
      </c>
      <c r="K30" s="7">
        <f>IF(E30=0,"-",IF(F30&lt;0,"不足","OK"))</f>
        <v/>
      </c>
    </row>
    <row r="31">
      <c r="A31" s="4" t="n">
        <v>4515142545341</v>
      </c>
      <c r="B31" s="4" t="inlineStr">
        <is>
          <t>CX2509JKSIRG-GE17</t>
        </is>
      </c>
      <c r="C31" s="4" t="inlineStr">
        <is>
          <t>呪術廻戦展 懐玉玉折 渋谷事変　夏油 傑　イメージリング（#17）</t>
        </is>
      </c>
      <c r="D31" s="5">
        <f>SUMIFS('XTab DS_1'!$F$2:$F$95,'XTab DS_1'!$B$2:$B$95,$B31,'XTab DS_1'!$D$2:$D$95,"CX01")</f>
        <v/>
      </c>
      <c r="E31" s="5">
        <f>SUMIFS(払出リスト!$C$2:$C$42,払出リスト!$A$2:$A$42,$B31)</f>
        <v/>
      </c>
      <c r="F31" s="6">
        <f>D31-E31</f>
        <v/>
      </c>
      <c r="G31" s="5">
        <f>SUMIFS('XTab DS_1'!$F$2:$F$95,'XTab DS_1'!$B$2:$B$95,$B31,'XTab DS_1'!$D$2:$D$95,"DB00")</f>
        <v/>
      </c>
      <c r="H31" s="5">
        <f>SUMIFS('XTab DS_1'!$F$2:$F$95,'XTab DS_1'!$B$2:$B$95,$B31,'XTab DS_1'!$D$2:$D$95,"ZZ01")</f>
        <v/>
      </c>
      <c r="I31" s="5">
        <f>SUMIFS('XTab DS_1'!$F$2:$F$95,'XTab DS_1'!$B$2:$B$95,$B31)</f>
        <v/>
      </c>
      <c r="J31" s="6">
        <f>F31+G31+H31</f>
        <v/>
      </c>
      <c r="K31" s="7">
        <f>IF(E31=0,"-",IF(F31&lt;0,"不足","OK"))</f>
        <v/>
      </c>
    </row>
    <row r="32">
      <c r="A32" s="4" t="n">
        <v>4515142545358</v>
      </c>
      <c r="B32" s="4" t="inlineStr">
        <is>
          <t>CX2509JKSIFC-IU</t>
        </is>
      </c>
      <c r="C32" s="4" t="inlineStr">
        <is>
          <t>呪術廻戦展 懐玉玉折 渋谷事変　虎杖 悠仁　イメージフラグメントケース</t>
        </is>
      </c>
      <c r="D32" s="5">
        <f>SUMIFS('XTab DS_1'!$F$2:$F$95,'XTab DS_1'!$B$2:$B$95,$B32,'XTab DS_1'!$D$2:$D$95,"CX01")</f>
        <v/>
      </c>
      <c r="E32" s="5">
        <f>SUMIFS(払出リスト!$C$2:$C$42,払出リスト!$A$2:$A$42,$B32)</f>
        <v/>
      </c>
      <c r="F32" s="6">
        <f>D32-E32</f>
        <v/>
      </c>
      <c r="G32" s="5">
        <f>SUMIFS('XTab DS_1'!$F$2:$F$95,'XTab DS_1'!$B$2:$B$95,$B32,'XTab DS_1'!$D$2:$D$95,"DB00")</f>
        <v/>
      </c>
      <c r="H32" s="5">
        <f>SUMIFS('XTab DS_1'!$F$2:$F$95,'XTab DS_1'!$B$2:$B$95,$B32,'XTab DS_1'!$D$2:$D$95,"ZZ01")</f>
        <v/>
      </c>
      <c r="I32" s="5">
        <f>SUMIFS('XTab DS_1'!$F$2:$F$95,'XTab DS_1'!$B$2:$B$95,$B32)</f>
        <v/>
      </c>
      <c r="J32" s="6">
        <f>F32+G32+H32</f>
        <v/>
      </c>
      <c r="K32" s="7">
        <f>IF(E32=0,"-",IF(F32&lt;0,"不足","OK"))</f>
        <v/>
      </c>
    </row>
    <row r="33">
      <c r="A33" s="4" t="n">
        <v>4515142545365</v>
      </c>
      <c r="B33" s="4" t="inlineStr">
        <is>
          <t>CX2509JKSIFC-FM</t>
        </is>
      </c>
      <c r="C33" s="4" t="inlineStr">
        <is>
          <t>呪術廻戦展 懐玉玉折 渋谷事変　伏黒 恵　イメージフラグメントケース</t>
        </is>
      </c>
      <c r="D33" s="5">
        <f>SUMIFS('XTab DS_1'!$F$2:$F$95,'XTab DS_1'!$B$2:$B$95,$B33,'XTab DS_1'!$D$2:$D$95,"CX01")</f>
        <v/>
      </c>
      <c r="E33" s="5">
        <f>SUMIFS(払出リスト!$C$2:$C$42,払出リスト!$A$2:$A$42,$B33)</f>
        <v/>
      </c>
      <c r="F33" s="6">
        <f>D33-E33</f>
        <v/>
      </c>
      <c r="G33" s="5">
        <f>SUMIFS('XTab DS_1'!$F$2:$F$95,'XTab DS_1'!$B$2:$B$95,$B33,'XTab DS_1'!$D$2:$D$95,"DB00")</f>
        <v/>
      </c>
      <c r="H33" s="5">
        <f>SUMIFS('XTab DS_1'!$F$2:$F$95,'XTab DS_1'!$B$2:$B$95,$B33,'XTab DS_1'!$D$2:$D$95,"ZZ01")</f>
        <v/>
      </c>
      <c r="I33" s="5">
        <f>SUMIFS('XTab DS_1'!$F$2:$F$95,'XTab DS_1'!$B$2:$B$95,$B33)</f>
        <v/>
      </c>
      <c r="J33" s="6">
        <f>F33+G33+H33</f>
        <v/>
      </c>
      <c r="K33" s="7">
        <f>IF(E33=0,"-",IF(F33&lt;0,"不足","OK"))</f>
        <v/>
      </c>
    </row>
    <row r="34">
      <c r="A34" s="4" t="n">
        <v>4515142545372</v>
      </c>
      <c r="B34" s="4" t="inlineStr">
        <is>
          <t>CX2509JKSCF-KGGO</t>
        </is>
      </c>
      <c r="C34" s="4" t="inlineStr">
        <is>
          <t>呪術廻戦展 懐玉玉折　クリアファイル（五条 悟）</t>
        </is>
      </c>
      <c r="D34" s="5">
        <f>SUMIFS('XTab DS_1'!$F$2:$F$95,'XTab DS_1'!$B$2:$B$95,$B34,'XTab DS_1'!$D$2:$D$95,"CX01")</f>
        <v/>
      </c>
      <c r="E34" s="5">
        <f>SUMIFS(払出リスト!$C$2:$C$42,払出リスト!$A$2:$A$42,$B34)</f>
        <v/>
      </c>
      <c r="F34" s="6">
        <f>D34-E34</f>
        <v/>
      </c>
      <c r="G34" s="5">
        <f>SUMIFS('XTab DS_1'!$F$2:$F$95,'XTab DS_1'!$B$2:$B$95,$B34,'XTab DS_1'!$D$2:$D$95,"DB00")</f>
        <v/>
      </c>
      <c r="H34" s="5">
        <f>SUMIFS('XTab DS_1'!$F$2:$F$95,'XTab DS_1'!$B$2:$B$95,$B34,'XTab DS_1'!$D$2:$D$95,"ZZ01")</f>
        <v/>
      </c>
      <c r="I34" s="5">
        <f>SUMIFS('XTab DS_1'!$F$2:$F$95,'XTab DS_1'!$B$2:$B$95,$B34)</f>
        <v/>
      </c>
      <c r="J34" s="6">
        <f>F34+G34+H34</f>
        <v/>
      </c>
      <c r="K34" s="7">
        <f>IF(E34=0,"-",IF(F34&lt;0,"不足","OK"))</f>
        <v/>
      </c>
    </row>
    <row r="35">
      <c r="A35" s="4" t="n">
        <v>4515142545389</v>
      </c>
      <c r="B35" s="4" t="inlineStr">
        <is>
          <t>CX2509JKSCF-KGGE</t>
        </is>
      </c>
      <c r="C35" s="4" t="inlineStr">
        <is>
          <t>呪術廻戦展 懐玉玉折　クリアファイル（夏油 傑）</t>
        </is>
      </c>
      <c r="D35" s="5">
        <f>SUMIFS('XTab DS_1'!$F$2:$F$95,'XTab DS_1'!$B$2:$B$95,$B35,'XTab DS_1'!$D$2:$D$95,"CX01")</f>
        <v/>
      </c>
      <c r="E35" s="5">
        <f>SUMIFS(払出リスト!$C$2:$C$42,払出リスト!$A$2:$A$42,$B35)</f>
        <v/>
      </c>
      <c r="F35" s="6">
        <f>D35-E35</f>
        <v/>
      </c>
      <c r="G35" s="5">
        <f>SUMIFS('XTab DS_1'!$F$2:$F$95,'XTab DS_1'!$B$2:$B$95,$B35,'XTab DS_1'!$D$2:$D$95,"DB00")</f>
        <v/>
      </c>
      <c r="H35" s="5">
        <f>SUMIFS('XTab DS_1'!$F$2:$F$95,'XTab DS_1'!$B$2:$B$95,$B35,'XTab DS_1'!$D$2:$D$95,"ZZ01")</f>
        <v/>
      </c>
      <c r="I35" s="5">
        <f>SUMIFS('XTab DS_1'!$F$2:$F$95,'XTab DS_1'!$B$2:$B$95,$B35)</f>
        <v/>
      </c>
      <c r="J35" s="6">
        <f>F35+G35+H35</f>
        <v/>
      </c>
      <c r="K35" s="7">
        <f>IF(E35=0,"-",IF(F35&lt;0,"不足","OK"))</f>
        <v/>
      </c>
    </row>
    <row r="36">
      <c r="A36" s="4" t="n">
        <v>4515142545396</v>
      </c>
      <c r="B36" s="4" t="inlineStr">
        <is>
          <t>CX2509JKSCF-KGIS</t>
        </is>
      </c>
      <c r="C36" s="4" t="inlineStr">
        <is>
          <t>呪術廻戦展 懐玉玉折　クリアファイル（家入 硝子）</t>
        </is>
      </c>
      <c r="D36" s="5">
        <f>SUMIFS('XTab DS_1'!$F$2:$F$95,'XTab DS_1'!$B$2:$B$95,$B36,'XTab DS_1'!$D$2:$D$95,"CX01")</f>
        <v/>
      </c>
      <c r="E36" s="5">
        <f>SUMIFS(払出リスト!$C$2:$C$42,払出リスト!$A$2:$A$42,$B36)</f>
        <v/>
      </c>
      <c r="F36" s="6">
        <f>D36-E36</f>
        <v/>
      </c>
      <c r="G36" s="5">
        <f>SUMIFS('XTab DS_1'!$F$2:$F$95,'XTab DS_1'!$B$2:$B$95,$B36,'XTab DS_1'!$D$2:$D$95,"DB00")</f>
        <v/>
      </c>
      <c r="H36" s="5">
        <f>SUMIFS('XTab DS_1'!$F$2:$F$95,'XTab DS_1'!$B$2:$B$95,$B36,'XTab DS_1'!$D$2:$D$95,"ZZ01")</f>
        <v/>
      </c>
      <c r="I36" s="5">
        <f>SUMIFS('XTab DS_1'!$F$2:$F$95,'XTab DS_1'!$B$2:$B$95,$B36)</f>
        <v/>
      </c>
      <c r="J36" s="6">
        <f>F36+G36+H36</f>
        <v/>
      </c>
      <c r="K36" s="7">
        <f>IF(E36=0,"-",IF(F36&lt;0,"不足","OK"))</f>
        <v/>
      </c>
    </row>
    <row r="37">
      <c r="A37" s="4" t="n">
        <v>4515142545402</v>
      </c>
      <c r="B37" s="4" t="inlineStr">
        <is>
          <t>CX2509JKSCF-KGNM</t>
        </is>
      </c>
      <c r="C37" s="4" t="inlineStr">
        <is>
          <t>呪術廻戦展 懐玉玉折　クリアファイル（七海 建人）</t>
        </is>
      </c>
      <c r="D37" s="5">
        <f>SUMIFS('XTab DS_1'!$F$2:$F$95,'XTab DS_1'!$B$2:$B$95,$B37,'XTab DS_1'!$D$2:$D$95,"CX01")</f>
        <v/>
      </c>
      <c r="E37" s="5">
        <f>SUMIFS(払出リスト!$C$2:$C$42,払出リスト!$A$2:$A$42,$B37)</f>
        <v/>
      </c>
      <c r="F37" s="6">
        <f>D37-E37</f>
        <v/>
      </c>
      <c r="G37" s="5">
        <f>SUMIFS('XTab DS_1'!$F$2:$F$95,'XTab DS_1'!$B$2:$B$95,$B37,'XTab DS_1'!$D$2:$D$95,"DB00")</f>
        <v/>
      </c>
      <c r="H37" s="5">
        <f>SUMIFS('XTab DS_1'!$F$2:$F$95,'XTab DS_1'!$B$2:$B$95,$B37,'XTab DS_1'!$D$2:$D$95,"ZZ01")</f>
        <v/>
      </c>
      <c r="I37" s="5">
        <f>SUMIFS('XTab DS_1'!$F$2:$F$95,'XTab DS_1'!$B$2:$B$95,$B37)</f>
        <v/>
      </c>
      <c r="J37" s="6">
        <f>F37+G37+H37</f>
        <v/>
      </c>
      <c r="K37" s="7">
        <f>IF(E37=0,"-",IF(F37&lt;0,"不足","OK"))</f>
        <v/>
      </c>
    </row>
    <row r="38">
      <c r="A38" s="4" t="n">
        <v>4515142545419</v>
      </c>
      <c r="B38" s="4" t="inlineStr">
        <is>
          <t>CX2509JKSCF-KGHU</t>
        </is>
      </c>
      <c r="C38" s="4" t="inlineStr">
        <is>
          <t>呪術廻戦展 懐玉玉折　クリアファイル（灰原 雄）</t>
        </is>
      </c>
      <c r="D38" s="5">
        <f>SUMIFS('XTab DS_1'!$F$2:$F$95,'XTab DS_1'!$B$2:$B$95,$B38,'XTab DS_1'!$D$2:$D$95,"CX01")</f>
        <v/>
      </c>
      <c r="E38" s="5">
        <f>SUMIFS(払出リスト!$C$2:$C$42,払出リスト!$A$2:$A$42,$B38)</f>
        <v/>
      </c>
      <c r="F38" s="6">
        <f>D38-E38</f>
        <v/>
      </c>
      <c r="G38" s="5">
        <f>SUMIFS('XTab DS_1'!$F$2:$F$95,'XTab DS_1'!$B$2:$B$95,$B38,'XTab DS_1'!$D$2:$D$95,"DB00")</f>
        <v/>
      </c>
      <c r="H38" s="5">
        <f>SUMIFS('XTab DS_1'!$F$2:$F$95,'XTab DS_1'!$B$2:$B$95,$B38,'XTab DS_1'!$D$2:$D$95,"ZZ01")</f>
        <v/>
      </c>
      <c r="I38" s="5">
        <f>SUMIFS('XTab DS_1'!$F$2:$F$95,'XTab DS_1'!$B$2:$B$95,$B38)</f>
        <v/>
      </c>
      <c r="J38" s="6">
        <f>F38+G38+H38</f>
        <v/>
      </c>
      <c r="K38" s="7">
        <f>IF(E38=0,"-",IF(F38&lt;0,"不足","OK"))</f>
        <v/>
      </c>
    </row>
    <row r="39">
      <c r="A39" s="4" t="n">
        <v>4515142545426</v>
      </c>
      <c r="B39" s="4" t="inlineStr">
        <is>
          <t>CX2509JKSCF-SJIU</t>
        </is>
      </c>
      <c r="C39" s="4" t="inlineStr">
        <is>
          <t>呪術廻戦展 渋谷事変　クリアファイル（虎杖 悠仁）</t>
        </is>
      </c>
      <c r="D39" s="5">
        <f>SUMIFS('XTab DS_1'!$F$2:$F$95,'XTab DS_1'!$B$2:$B$95,$B39,'XTab DS_1'!$D$2:$D$95,"CX01")</f>
        <v/>
      </c>
      <c r="E39" s="5">
        <f>SUMIFS(払出リスト!$C$2:$C$42,払出リスト!$A$2:$A$42,$B39)</f>
        <v/>
      </c>
      <c r="F39" s="6">
        <f>D39-E39</f>
        <v/>
      </c>
      <c r="G39" s="5">
        <f>SUMIFS('XTab DS_1'!$F$2:$F$95,'XTab DS_1'!$B$2:$B$95,$B39,'XTab DS_1'!$D$2:$D$95,"DB00")</f>
        <v/>
      </c>
      <c r="H39" s="5">
        <f>SUMIFS('XTab DS_1'!$F$2:$F$95,'XTab DS_1'!$B$2:$B$95,$B39,'XTab DS_1'!$D$2:$D$95,"ZZ01")</f>
        <v/>
      </c>
      <c r="I39" s="5">
        <f>SUMIFS('XTab DS_1'!$F$2:$F$95,'XTab DS_1'!$B$2:$B$95,$B39)</f>
        <v/>
      </c>
      <c r="J39" s="6">
        <f>F39+G39+H39</f>
        <v/>
      </c>
      <c r="K39" s="7">
        <f>IF(E39=0,"-",IF(F39&lt;0,"不足","OK"))</f>
        <v/>
      </c>
    </row>
    <row r="40">
      <c r="A40" s="4" t="n">
        <v>4515142545433</v>
      </c>
      <c r="B40" s="4" t="inlineStr">
        <is>
          <t>CX2509JKSCF-SJFM</t>
        </is>
      </c>
      <c r="C40" s="4" t="inlineStr">
        <is>
          <t>呪術廻戦展 渋谷事変　クリアファイル（伏黒 恵）</t>
        </is>
      </c>
      <c r="D40" s="5">
        <f>SUMIFS('XTab DS_1'!$F$2:$F$95,'XTab DS_1'!$B$2:$B$95,$B40,'XTab DS_1'!$D$2:$D$95,"CX01")</f>
        <v/>
      </c>
      <c r="E40" s="5">
        <f>SUMIFS(払出リスト!$C$2:$C$42,払出リスト!$A$2:$A$42,$B40)</f>
        <v/>
      </c>
      <c r="F40" s="6">
        <f>D40-E40</f>
        <v/>
      </c>
      <c r="G40" s="5">
        <f>SUMIFS('XTab DS_1'!$F$2:$F$95,'XTab DS_1'!$B$2:$B$95,$B40,'XTab DS_1'!$D$2:$D$95,"DB00")</f>
        <v/>
      </c>
      <c r="H40" s="5">
        <f>SUMIFS('XTab DS_1'!$F$2:$F$95,'XTab DS_1'!$B$2:$B$95,$B40,'XTab DS_1'!$D$2:$D$95,"ZZ01")</f>
        <v/>
      </c>
      <c r="I40" s="5">
        <f>SUMIFS('XTab DS_1'!$F$2:$F$95,'XTab DS_1'!$B$2:$B$95,$B40)</f>
        <v/>
      </c>
      <c r="J40" s="6">
        <f>F40+G40+H40</f>
        <v/>
      </c>
      <c r="K40" s="7">
        <f>IF(E40=0,"-",IF(F40&lt;0,"不足","OK"))</f>
        <v/>
      </c>
    </row>
    <row r="41">
      <c r="A41" s="4" t="n">
        <v>4515142545440</v>
      </c>
      <c r="B41" s="4" t="inlineStr">
        <is>
          <t>CX2509JKSCF-SJNB</t>
        </is>
      </c>
      <c r="C41" s="4" t="inlineStr">
        <is>
          <t>呪術廻戦展 渋谷事変　クリアファイル（釘崎 野薔薇）</t>
        </is>
      </c>
      <c r="D41" s="5">
        <f>SUMIFS('XTab DS_1'!$F$2:$F$95,'XTab DS_1'!$B$2:$B$95,$B41,'XTab DS_1'!$D$2:$D$95,"CX01")</f>
        <v/>
      </c>
      <c r="E41" s="5">
        <f>SUMIFS(払出リスト!$C$2:$C$42,払出リスト!$A$2:$A$42,$B41)</f>
        <v/>
      </c>
      <c r="F41" s="6">
        <f>D41-E41</f>
        <v/>
      </c>
      <c r="G41" s="5">
        <f>SUMIFS('XTab DS_1'!$F$2:$F$95,'XTab DS_1'!$B$2:$B$95,$B41,'XTab DS_1'!$D$2:$D$95,"DB00")</f>
        <v/>
      </c>
      <c r="H41" s="5">
        <f>SUMIFS('XTab DS_1'!$F$2:$F$95,'XTab DS_1'!$B$2:$B$95,$B41,'XTab DS_1'!$D$2:$D$95,"ZZ01")</f>
        <v/>
      </c>
      <c r="I41" s="5">
        <f>SUMIFS('XTab DS_1'!$F$2:$F$95,'XTab DS_1'!$B$2:$B$95,$B41)</f>
        <v/>
      </c>
      <c r="J41" s="6">
        <f>F41+G41+H41</f>
        <v/>
      </c>
      <c r="K41" s="7">
        <f>IF(E41=0,"-",IF(F41&lt;0,"不足","OK"))</f>
        <v/>
      </c>
    </row>
    <row r="42">
      <c r="A42" s="4" t="n">
        <v>4515142545457</v>
      </c>
      <c r="B42" s="4" t="inlineStr">
        <is>
          <t>CX2509JKSCF-SJNM</t>
        </is>
      </c>
      <c r="C42" s="4" t="inlineStr">
        <is>
          <t>呪術廻戦展 渋谷事変　クリアファイル（七海 建人）</t>
        </is>
      </c>
      <c r="D42" s="5">
        <f>SUMIFS('XTab DS_1'!$F$2:$F$95,'XTab DS_1'!$B$2:$B$95,$B42,'XTab DS_1'!$D$2:$D$95,"CX01")</f>
        <v/>
      </c>
      <c r="E42" s="5">
        <f>SUMIFS(払出リスト!$C$2:$C$42,払出リスト!$A$2:$A$42,$B42)</f>
        <v/>
      </c>
      <c r="F42" s="6">
        <f>D42-E42</f>
        <v/>
      </c>
      <c r="G42" s="5">
        <f>SUMIFS('XTab DS_1'!$F$2:$F$95,'XTab DS_1'!$B$2:$B$95,$B42,'XTab DS_1'!$D$2:$D$95,"DB00")</f>
        <v/>
      </c>
      <c r="H42" s="5">
        <f>SUMIFS('XTab DS_1'!$F$2:$F$95,'XTab DS_1'!$B$2:$B$95,$B42,'XTab DS_1'!$D$2:$D$95,"ZZ01")</f>
        <v/>
      </c>
      <c r="I42" s="5">
        <f>SUMIFS('XTab DS_1'!$F$2:$F$95,'XTab DS_1'!$B$2:$B$95,$B42)</f>
        <v/>
      </c>
      <c r="J42" s="6">
        <f>F42+G42+H42</f>
        <v/>
      </c>
      <c r="K42" s="7">
        <f>IF(E42=0,"-",IF(F42&lt;0,"不足","OK"))</f>
        <v/>
      </c>
    </row>
    <row r="43">
      <c r="A43" s="4" t="n">
        <v>4515142545464</v>
      </c>
      <c r="B43" s="4" t="inlineStr">
        <is>
          <t>CX2509JKSCF-SJGO</t>
        </is>
      </c>
      <c r="C43" s="4" t="inlineStr">
        <is>
          <t>呪術廻戦展 渋谷事変　クリアファイル（五条 悟）</t>
        </is>
      </c>
      <c r="D43" s="5">
        <f>SUMIFS('XTab DS_1'!$F$2:$F$95,'XTab DS_1'!$B$2:$B$95,$B43,'XTab DS_1'!$D$2:$D$95,"CX01")</f>
        <v/>
      </c>
      <c r="E43" s="5">
        <f>SUMIFS(払出リスト!$C$2:$C$42,払出リスト!$A$2:$A$42,$B43)</f>
        <v/>
      </c>
      <c r="F43" s="6">
        <f>D43-E43</f>
        <v/>
      </c>
      <c r="G43" s="5">
        <f>SUMIFS('XTab DS_1'!$F$2:$F$95,'XTab DS_1'!$B$2:$B$95,$B43,'XTab DS_1'!$D$2:$D$95,"DB00")</f>
        <v/>
      </c>
      <c r="H43" s="5">
        <f>SUMIFS('XTab DS_1'!$F$2:$F$95,'XTab DS_1'!$B$2:$B$95,$B43,'XTab DS_1'!$D$2:$D$95,"ZZ01")</f>
        <v/>
      </c>
      <c r="I43" s="5">
        <f>SUMIFS('XTab DS_1'!$F$2:$F$95,'XTab DS_1'!$B$2:$B$95,$B43)</f>
        <v/>
      </c>
      <c r="J43" s="6">
        <f>F43+G43+H43</f>
        <v/>
      </c>
      <c r="K43" s="7">
        <f>IF(E43=0,"-",IF(F43&lt;0,"不足","OK"))</f>
        <v/>
      </c>
    </row>
    <row r="44">
      <c r="A44" s="4" t="n">
        <v>4515142545471</v>
      </c>
      <c r="B44" s="4" t="inlineStr">
        <is>
          <t>CX2509JKSCF-SJGE</t>
        </is>
      </c>
      <c r="C44" s="4" t="inlineStr">
        <is>
          <t>呪術廻戦展 渋谷事変　クリアファイル（夏油 傑）</t>
        </is>
      </c>
      <c r="D44" s="5">
        <f>SUMIFS('XTab DS_1'!$F$2:$F$95,'XTab DS_1'!$B$2:$B$95,$B44,'XTab DS_1'!$D$2:$D$95,"CX01")</f>
        <v/>
      </c>
      <c r="E44" s="5">
        <f>SUMIFS(払出リスト!$C$2:$C$42,払出リスト!$A$2:$A$42,$B44)</f>
        <v/>
      </c>
      <c r="F44" s="6">
        <f>D44-E44</f>
        <v/>
      </c>
      <c r="G44" s="5">
        <f>SUMIFS('XTab DS_1'!$F$2:$F$95,'XTab DS_1'!$B$2:$B$95,$B44,'XTab DS_1'!$D$2:$D$95,"DB00")</f>
        <v/>
      </c>
      <c r="H44" s="5">
        <f>SUMIFS('XTab DS_1'!$F$2:$F$95,'XTab DS_1'!$B$2:$B$95,$B44,'XTab DS_1'!$D$2:$D$95,"ZZ01")</f>
        <v/>
      </c>
      <c r="I44" s="5">
        <f>SUMIFS('XTab DS_1'!$F$2:$F$95,'XTab DS_1'!$B$2:$B$95,$B44)</f>
        <v/>
      </c>
      <c r="J44" s="6">
        <f>F44+G44+H44</f>
        <v/>
      </c>
      <c r="K44" s="7">
        <f>IF(E44=0,"-",IF(F44&lt;0,"不足","OK"))</f>
        <v/>
      </c>
    </row>
    <row r="45">
      <c r="A45" s="4" t="n">
        <v>4515142545488</v>
      </c>
      <c r="B45" s="4" t="inlineStr">
        <is>
          <t>CX2509JKSCF-SJMH</t>
        </is>
      </c>
      <c r="C45" s="4" t="inlineStr">
        <is>
          <t>呪術廻戦展 渋谷事変　クリアファイル（真人）</t>
        </is>
      </c>
      <c r="D45" s="5">
        <f>SUMIFS('XTab DS_1'!$F$2:$F$95,'XTab DS_1'!$B$2:$B$95,$B45,'XTab DS_1'!$D$2:$D$95,"CX01")</f>
        <v/>
      </c>
      <c r="E45" s="5">
        <f>SUMIFS(払出リスト!$C$2:$C$42,払出リスト!$A$2:$A$42,$B45)</f>
        <v/>
      </c>
      <c r="F45" s="6">
        <f>D45-E45</f>
        <v/>
      </c>
      <c r="G45" s="5">
        <f>SUMIFS('XTab DS_1'!$F$2:$F$95,'XTab DS_1'!$B$2:$B$95,$B45,'XTab DS_1'!$D$2:$D$95,"DB00")</f>
        <v/>
      </c>
      <c r="H45" s="5">
        <f>SUMIFS('XTab DS_1'!$F$2:$F$95,'XTab DS_1'!$B$2:$B$95,$B45,'XTab DS_1'!$D$2:$D$95,"ZZ01")</f>
        <v/>
      </c>
      <c r="I45" s="5">
        <f>SUMIFS('XTab DS_1'!$F$2:$F$95,'XTab DS_1'!$B$2:$B$95,$B45)</f>
        <v/>
      </c>
      <c r="J45" s="6">
        <f>F45+G45+H45</f>
        <v/>
      </c>
      <c r="K45" s="7">
        <f>IF(E45=0,"-",IF(F45&lt;0,"不足","OK"))</f>
        <v/>
      </c>
    </row>
    <row r="46">
      <c r="A46" s="4" t="n">
        <v>4515142545495</v>
      </c>
      <c r="B46" s="4" t="inlineStr">
        <is>
          <t>CX2509JKSCF-SJCS</t>
        </is>
      </c>
      <c r="C46" s="4" t="inlineStr">
        <is>
          <t>呪術廻戦展 渋谷事変　クリアファイル（脹相）</t>
        </is>
      </c>
      <c r="D46" s="5">
        <f>SUMIFS('XTab DS_1'!$F$2:$F$95,'XTab DS_1'!$B$2:$B$95,$B46,'XTab DS_1'!$D$2:$D$95,"CX01")</f>
        <v/>
      </c>
      <c r="E46" s="5">
        <f>SUMIFS(払出リスト!$C$2:$C$42,払出リスト!$A$2:$A$42,$B46)</f>
        <v/>
      </c>
      <c r="F46" s="6">
        <f>D46-E46</f>
        <v/>
      </c>
      <c r="G46" s="5">
        <f>SUMIFS('XTab DS_1'!$F$2:$F$95,'XTab DS_1'!$B$2:$B$95,$B46,'XTab DS_1'!$D$2:$D$95,"DB00")</f>
        <v/>
      </c>
      <c r="H46" s="5">
        <f>SUMIFS('XTab DS_1'!$F$2:$F$95,'XTab DS_1'!$B$2:$B$95,$B46,'XTab DS_1'!$D$2:$D$95,"ZZ01")</f>
        <v/>
      </c>
      <c r="I46" s="5">
        <f>SUMIFS('XTab DS_1'!$F$2:$F$95,'XTab DS_1'!$B$2:$B$95,$B46)</f>
        <v/>
      </c>
      <c r="J46" s="6">
        <f>F46+G46+H46</f>
        <v/>
      </c>
      <c r="K46" s="7">
        <f>IF(E46=0,"-",IF(F46&lt;0,"不足","OK"))</f>
        <v/>
      </c>
    </row>
    <row r="47">
      <c r="A47" s="4" t="n">
        <v>4515142545501</v>
      </c>
      <c r="B47" s="4" t="inlineStr">
        <is>
          <t>CX2509JKSCF-SJSK</t>
        </is>
      </c>
      <c r="C47" s="4" t="inlineStr">
        <is>
          <t>呪術廻戦展 渋谷事変　クリアファイル（宿儺）</t>
        </is>
      </c>
      <c r="D47" s="5">
        <f>SUMIFS('XTab DS_1'!$F$2:$F$95,'XTab DS_1'!$B$2:$B$95,$B47,'XTab DS_1'!$D$2:$D$95,"CX01")</f>
        <v/>
      </c>
      <c r="E47" s="5">
        <f>SUMIFS(払出リスト!$C$2:$C$42,払出リスト!$A$2:$A$42,$B47)</f>
        <v/>
      </c>
      <c r="F47" s="6">
        <f>D47-E47</f>
        <v/>
      </c>
      <c r="G47" s="5">
        <f>SUMIFS('XTab DS_1'!$F$2:$F$95,'XTab DS_1'!$B$2:$B$95,$B47,'XTab DS_1'!$D$2:$D$95,"DB00")</f>
        <v/>
      </c>
      <c r="H47" s="5">
        <f>SUMIFS('XTab DS_1'!$F$2:$F$95,'XTab DS_1'!$B$2:$B$95,$B47,'XTab DS_1'!$D$2:$D$95,"ZZ01")</f>
        <v/>
      </c>
      <c r="I47" s="5">
        <f>SUMIFS('XTab DS_1'!$F$2:$F$95,'XTab DS_1'!$B$2:$B$95,$B47)</f>
        <v/>
      </c>
      <c r="J47" s="6">
        <f>F47+G47+H47</f>
        <v/>
      </c>
      <c r="K47" s="7">
        <f>IF(E47=0,"-",IF(F47&lt;0,"不足","OK"))</f>
        <v/>
      </c>
    </row>
    <row r="48">
      <c r="A48" s="4" t="inlineStr">
        <is>
          <t>#</t>
        </is>
      </c>
      <c r="B48" s="4" t="inlineStr">
        <is>
          <t>CX2509JKSDTPCHCLP2</t>
        </is>
      </c>
      <c r="C48" s="4" t="inlineStr">
        <is>
          <t>呪術廻戦展 懐玉玉折 渋谷事変　脱兎クリップのみ(1SET 5個)</t>
        </is>
      </c>
      <c r="D48" s="5">
        <f>SUMIFS('XTab DS_1'!$F$2:$F$95,'XTab DS_1'!$B$2:$B$95,$B48,'XTab DS_1'!$D$2:$D$95,"CX01")</f>
        <v/>
      </c>
      <c r="E48" s="5">
        <f>SUMIFS(払出リスト!$C$2:$C$42,払出リスト!$A$2:$A$42,$B48)</f>
        <v/>
      </c>
      <c r="F48" s="6">
        <f>D48-E48</f>
        <v/>
      </c>
      <c r="G48" s="5">
        <f>SUMIFS('XTab DS_1'!$F$2:$F$95,'XTab DS_1'!$B$2:$B$95,$B48,'XTab DS_1'!$D$2:$D$95,"DB00")</f>
        <v/>
      </c>
      <c r="H48" s="5">
        <f>SUMIFS('XTab DS_1'!$F$2:$F$95,'XTab DS_1'!$B$2:$B$95,$B48,'XTab DS_1'!$D$2:$D$95,"ZZ01")</f>
        <v/>
      </c>
      <c r="I48" s="5">
        <f>SUMIFS('XTab DS_1'!$F$2:$F$95,'XTab DS_1'!$B$2:$B$95,$B48)</f>
        <v/>
      </c>
      <c r="J48" s="6">
        <f>F48+G48+H48</f>
        <v/>
      </c>
      <c r="K48" s="7">
        <f>IF(E48=0,"-",IF(F48&lt;0,"不足","OK"))</f>
        <v/>
      </c>
    </row>
    <row r="49">
      <c r="A49" s="4" t="inlineStr">
        <is>
          <t>#</t>
        </is>
      </c>
      <c r="B49" s="4" t="inlineStr">
        <is>
          <t>QCX2509JKS2FN-10</t>
        </is>
      </c>
      <c r="C49" s="4" t="inlineStr">
        <is>
          <t>呪術廻戦展 懐玉玉折 渋谷事変 経費（課税10％）</t>
        </is>
      </c>
      <c r="D49" s="5">
        <f>SUMIFS('XTab DS_1'!$F$2:$F$95,'XTab DS_1'!$B$2:$B$95,$B49,'XTab DS_1'!$D$2:$D$95,"CX01")</f>
        <v/>
      </c>
      <c r="E49" s="5">
        <f>SUMIFS(払出リスト!$C$2:$C$42,払出リスト!$A$2:$A$42,$B49)</f>
        <v/>
      </c>
      <c r="F49" s="6">
        <f>D49-E49</f>
        <v/>
      </c>
      <c r="G49" s="5">
        <f>SUMIFS('XTab DS_1'!$F$2:$F$95,'XTab DS_1'!$B$2:$B$95,$B49,'XTab DS_1'!$D$2:$D$95,"DB00")</f>
        <v/>
      </c>
      <c r="H49" s="5">
        <f>SUMIFS('XTab DS_1'!$F$2:$F$95,'XTab DS_1'!$B$2:$B$95,$B49,'XTab DS_1'!$D$2:$D$95,"ZZ01")</f>
        <v/>
      </c>
      <c r="I49" s="5">
        <f>SUMIFS('XTab DS_1'!$F$2:$F$95,'XTab DS_1'!$B$2:$B$95,$B49)</f>
        <v/>
      </c>
      <c r="J49" s="6">
        <f>F49+G49+H49</f>
        <v/>
      </c>
      <c r="K49" s="7">
        <f>IF(E49=0,"-",IF(F49&lt;0,"不足","OK"))</f>
        <v/>
      </c>
    </row>
    <row r="50">
      <c r="A50" s="4" t="inlineStr">
        <is>
          <t>#</t>
        </is>
      </c>
      <c r="B50" s="4" t="inlineStr">
        <is>
          <t>QCX2509JKS2FN-8</t>
        </is>
      </c>
      <c r="C50" s="4" t="inlineStr">
        <is>
          <t>呪術廻戦展 懐玉玉折 渋谷事変 経費（課税8％）</t>
        </is>
      </c>
      <c r="D50" s="5">
        <f>SUMIFS('XTab DS_1'!$F$2:$F$95,'XTab DS_1'!$B$2:$B$95,$B50,'XTab DS_1'!$D$2:$D$95,"CX01")</f>
        <v/>
      </c>
      <c r="E50" s="5">
        <f>SUMIFS(払出リスト!$C$2:$C$42,払出リスト!$A$2:$A$42,$B50)</f>
        <v/>
      </c>
      <c r="F50" s="6">
        <f>D50-E50</f>
        <v/>
      </c>
      <c r="G50" s="5">
        <f>SUMIFS('XTab DS_1'!$F$2:$F$95,'XTab DS_1'!$B$2:$B$95,$B50,'XTab DS_1'!$D$2:$D$95,"DB00")</f>
        <v/>
      </c>
      <c r="H50" s="5">
        <f>SUMIFS('XTab DS_1'!$F$2:$F$95,'XTab DS_1'!$B$2:$B$95,$B50,'XTab DS_1'!$D$2:$D$95,"ZZ01")</f>
        <v/>
      </c>
      <c r="I50" s="5">
        <f>SUMIFS('XTab DS_1'!$F$2:$F$95,'XTab DS_1'!$B$2:$B$95,$B50)</f>
        <v/>
      </c>
      <c r="J50" s="6">
        <f>F50+G50+H50</f>
        <v/>
      </c>
      <c r="K50" s="7">
        <f>IF(E50=0,"-",IF(F50&lt;0,"不足","OK"))</f>
        <v/>
      </c>
    </row>
    <row r="51">
      <c r="A51" s="4" t="inlineStr">
        <is>
          <t>#</t>
        </is>
      </c>
      <c r="B51" s="4" t="inlineStr">
        <is>
          <t>QCX2509JKS2FN-NT</t>
        </is>
      </c>
      <c r="C51" s="4" t="inlineStr">
        <is>
          <t>呪術廻戦展 懐玉玉折 渋谷事変 経費（非課税）</t>
        </is>
      </c>
      <c r="D51" s="5">
        <f>SUMIFS('XTab DS_1'!$F$2:$F$95,'XTab DS_1'!$B$2:$B$95,$B51,'XTab DS_1'!$D$2:$D$95,"CX01")</f>
        <v/>
      </c>
      <c r="E51" s="5">
        <f>SUMIFS(払出リスト!$C$2:$C$42,払出リスト!$A$2:$A$42,$B51)</f>
        <v/>
      </c>
      <c r="F51" s="6">
        <f>D51-E51</f>
        <v/>
      </c>
      <c r="G51" s="5">
        <f>SUMIFS('XTab DS_1'!$F$2:$F$95,'XTab DS_1'!$B$2:$B$95,$B51,'XTab DS_1'!$D$2:$D$95,"DB00")</f>
        <v/>
      </c>
      <c r="H51" s="5">
        <f>SUMIFS('XTab DS_1'!$F$2:$F$95,'XTab DS_1'!$B$2:$B$95,$B51,'XTab DS_1'!$D$2:$D$95,"ZZ01")</f>
        <v/>
      </c>
      <c r="I51" s="5">
        <f>SUMIFS('XTab DS_1'!$F$2:$F$95,'XTab DS_1'!$B$2:$B$95,$B51)</f>
        <v/>
      </c>
      <c r="J51" s="6">
        <f>F51+G51+H51</f>
        <v/>
      </c>
      <c r="K51" s="7">
        <f>IF(E51=0,"-",IF(F51&lt;0,"不足","OK"))</f>
        <v/>
      </c>
    </row>
    <row r="52">
      <c r="A52" s="4" t="inlineStr">
        <is>
          <t>#</t>
        </is>
      </c>
      <c r="B52" s="4" t="inlineStr">
        <is>
          <t>QCX2509JKS2FN-RY</t>
        </is>
      </c>
      <c r="C52" s="4" t="inlineStr">
        <is>
          <t>呪術廻戦展 懐玉玉折 渋谷事変 経費（RY）</t>
        </is>
      </c>
      <c r="D52" s="5">
        <f>SUMIFS('XTab DS_1'!$F$2:$F$95,'XTab DS_1'!$B$2:$B$95,$B52,'XTab DS_1'!$D$2:$D$95,"CX01")</f>
        <v/>
      </c>
      <c r="E52" s="5">
        <f>SUMIFS(払出リスト!$C$2:$C$42,払出リスト!$A$2:$A$42,$B52)</f>
        <v/>
      </c>
      <c r="F52" s="6">
        <f>D52-E52</f>
        <v/>
      </c>
      <c r="G52" s="5">
        <f>SUMIFS('XTab DS_1'!$F$2:$F$95,'XTab DS_1'!$B$2:$B$95,$B52,'XTab DS_1'!$D$2:$D$95,"DB00")</f>
        <v/>
      </c>
      <c r="H52" s="5">
        <f>SUMIFS('XTab DS_1'!$F$2:$F$95,'XTab DS_1'!$B$2:$B$95,$B52,'XTab DS_1'!$D$2:$D$95,"ZZ01")</f>
        <v/>
      </c>
      <c r="I52" s="5">
        <f>SUMIFS('XTab DS_1'!$F$2:$F$95,'XTab DS_1'!$B$2:$B$95,$B52)</f>
        <v/>
      </c>
      <c r="J52" s="6">
        <f>F52+G52+H52</f>
        <v/>
      </c>
      <c r="K52" s="7">
        <f>IF(E52=0,"-",IF(F52&lt;0,"不足","OK"))</f>
        <v/>
      </c>
    </row>
    <row r="53">
      <c r="A53" s="8" t="n"/>
      <c r="B53" s="8" t="n"/>
      <c r="C53" s="8" t="inlineStr">
        <is>
          <t>合計</t>
        </is>
      </c>
      <c r="D53" s="9">
        <f>SUM(D6:D52)</f>
        <v/>
      </c>
      <c r="E53" s="9">
        <f>SUM(E6:E52)</f>
        <v/>
      </c>
      <c r="F53" s="9">
        <f>SUM(F6:F52)</f>
        <v/>
      </c>
      <c r="G53" s="9">
        <f>SUM(G6:G52)</f>
        <v/>
      </c>
      <c r="H53" s="9">
        <f>SUM(H6:H52)</f>
        <v/>
      </c>
      <c r="I53" s="9">
        <f>SUM(I6:I52)</f>
        <v/>
      </c>
      <c r="J53" s="9">
        <f>SUM(J6:J52)</f>
        <v/>
      </c>
      <c r="K53" s="8" t="n"/>
    </row>
    <row r="55">
      <c r="B55" s="10" t="inlineStr">
        <is>
          <t>払出対象の品目数</t>
        </is>
      </c>
      <c r="C55" s="11">
        <f>COUNTIF(K6:K52,"&lt;&gt;-")</f>
        <v/>
      </c>
    </row>
    <row r="56">
      <c r="B56" s="10" t="inlineStr">
        <is>
          <t>不足（マイナス）品目数</t>
        </is>
      </c>
      <c r="C56" s="11">
        <f>COUNTIF(K6:K52,"不足")</f>
        <v/>
      </c>
    </row>
    <row r="57">
      <c r="B57" s="10" t="inlineStr">
        <is>
          <t>払出後にCX催事が0になる品目数</t>
        </is>
      </c>
      <c r="C57" s="11">
        <f>COUNTIFS(E6:E52,"&gt;0",F6:F52,0)</f>
        <v/>
      </c>
    </row>
    <row r="58">
      <c r="B58" s="10" t="inlineStr">
        <is>
          <t>払出リストの合計（照合用）</t>
        </is>
      </c>
      <c r="C58" s="11">
        <f>払出リスト!C43</f>
        <v/>
      </c>
    </row>
  </sheetData>
  <autoFilter ref="A5:K52"/>
  <conditionalFormatting sqref="A6:K52">
    <cfRule type="expression" priority="1" dxfId="0">
      <formula>$F6&lt;0</formula>
    </cfRule>
  </conditionalFormatting>
  <conditionalFormatting sqref="A6:E52">
    <cfRule type="expression" priority="2" dxfId="1">
      <formula>$E6&gt;0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2" customWidth="1" min="3" max="3"/>
    <col width="10" customWidth="1" min="4" max="4"/>
    <col width="12" customWidth="1" min="5" max="5"/>
    <col width="12" customWidth="1" min="6" max="6"/>
    <col width="14" customWidth="1" min="7" max="7"/>
  </cols>
  <sheetData>
    <row r="1" ht="32" customHeight="1">
      <c r="A1" s="3" t="inlineStr">
        <is>
          <t>JANコード(EAN/UPC)</t>
        </is>
      </c>
      <c r="B1" s="3" t="inlineStr">
        <is>
          <t>品目コード</t>
        </is>
      </c>
      <c r="C1" s="3" t="inlineStr">
        <is>
          <t>品目テキスト</t>
        </is>
      </c>
      <c r="D1" s="3" t="inlineStr">
        <is>
          <t>保管場所</t>
        </is>
      </c>
      <c r="E1" s="3" t="inlineStr">
        <is>
          <t>保管場所名</t>
        </is>
      </c>
      <c r="F1" s="3" t="inlineStr">
        <is>
          <t>在庫数量</t>
        </is>
      </c>
      <c r="G1" s="3" t="inlineStr">
        <is>
          <t>在庫金額</t>
        </is>
      </c>
    </row>
    <row r="2">
      <c r="A2" s="12" t="n">
        <v>4515142545082</v>
      </c>
      <c r="B2" s="12" t="inlineStr">
        <is>
          <t>CX2509JKSMPOSCKV</t>
        </is>
      </c>
      <c r="C2" s="12" t="inlineStr">
        <is>
          <t>呪術廻戦展 懐玉玉折 渋谷事変　メタリックポストカード　展示会KV</t>
        </is>
      </c>
      <c r="D2" s="12" t="inlineStr">
        <is>
          <t>CX01</t>
        </is>
      </c>
      <c r="E2" s="12" t="inlineStr">
        <is>
          <t>CX催事</t>
        </is>
      </c>
      <c r="F2" s="13" t="n">
        <v>989</v>
      </c>
      <c r="G2" s="13" t="n">
        <v>89999</v>
      </c>
    </row>
    <row r="3">
      <c r="A3" s="12" t="n">
        <v>4515142545082</v>
      </c>
      <c r="B3" s="12" t="inlineStr">
        <is>
          <t>CX2509JKSMPOSCKV</t>
        </is>
      </c>
      <c r="C3" s="12" t="inlineStr">
        <is>
          <t>呪術廻戦展 懐玉玉折 渋谷事変　メタリックポストカード　展示会KV</t>
        </is>
      </c>
      <c r="D3" s="12" t="inlineStr">
        <is>
          <t>DB00</t>
        </is>
      </c>
      <c r="E3" s="12" t="inlineStr">
        <is>
          <t>DBS倉庫</t>
        </is>
      </c>
      <c r="F3" s="13" t="n">
        <v>1768</v>
      </c>
      <c r="G3" s="13" t="n">
        <v>160888</v>
      </c>
    </row>
    <row r="4">
      <c r="A4" s="12" t="n">
        <v>4515142545099</v>
      </c>
      <c r="B4" s="12" t="inlineStr">
        <is>
          <t>CX2509JKSCFKV</t>
        </is>
      </c>
      <c r="C4" s="12" t="inlineStr">
        <is>
          <t>呪術廻戦展 懐玉玉折 渋谷事変　クリアファイル　展示会KV</t>
        </is>
      </c>
      <c r="D4" s="12" t="inlineStr">
        <is>
          <t>CX01</t>
        </is>
      </c>
      <c r="E4" s="12" t="inlineStr">
        <is>
          <t>CX催事</t>
        </is>
      </c>
      <c r="F4" s="13" t="n">
        <v>1160</v>
      </c>
      <c r="G4" s="13" t="n">
        <v>38280</v>
      </c>
    </row>
    <row r="5">
      <c r="A5" s="12" t="n">
        <v>4515142545099</v>
      </c>
      <c r="B5" s="12" t="inlineStr">
        <is>
          <t>CX2509JKSCFKV</t>
        </is>
      </c>
      <c r="C5" s="12" t="inlineStr">
        <is>
          <t>呪術廻戦展 懐玉玉折 渋谷事変　クリアファイル　展示会KV</t>
        </is>
      </c>
      <c r="D5" s="12" t="inlineStr">
        <is>
          <t>DB00</t>
        </is>
      </c>
      <c r="E5" s="12" t="inlineStr">
        <is>
          <t>DBS倉庫</t>
        </is>
      </c>
      <c r="F5" s="13" t="n">
        <v>3336</v>
      </c>
      <c r="G5" s="13" t="n">
        <v>110088</v>
      </c>
    </row>
    <row r="6">
      <c r="A6" s="12" t="n">
        <v>4515142545105</v>
      </c>
      <c r="B6" s="12" t="inlineStr">
        <is>
          <t>CX2509JKSPOSC-KG5</t>
        </is>
      </c>
      <c r="C6" s="12" t="inlineStr">
        <is>
          <t>呪術廻戦展 懐玉玉折　ポストカードセット（5枚入）</t>
        </is>
      </c>
      <c r="D6" s="12" t="inlineStr">
        <is>
          <t>CX01</t>
        </is>
      </c>
      <c r="E6" s="12" t="inlineStr">
        <is>
          <t>CX催事</t>
        </is>
      </c>
      <c r="F6" s="13" t="n">
        <v>12921</v>
      </c>
      <c r="G6" s="13" t="n">
        <v>516840</v>
      </c>
    </row>
    <row r="7">
      <c r="A7" s="12" t="n">
        <v>4515142545105</v>
      </c>
      <c r="B7" s="12" t="inlineStr">
        <is>
          <t>CX2509JKSPOSC-KG5</t>
        </is>
      </c>
      <c r="C7" s="12" t="inlineStr">
        <is>
          <t>呪術廻戦展 懐玉玉折　ポストカードセット（5枚入）</t>
        </is>
      </c>
      <c r="D7" s="12" t="inlineStr">
        <is>
          <t>DB00</t>
        </is>
      </c>
      <c r="E7" s="12" t="inlineStr">
        <is>
          <t>DBS倉庫</t>
        </is>
      </c>
      <c r="F7" s="13" t="n">
        <v>1494</v>
      </c>
      <c r="G7" s="13" t="n">
        <v>59760</v>
      </c>
    </row>
    <row r="8">
      <c r="A8" s="12" t="n">
        <v>4515142545112</v>
      </c>
      <c r="B8" s="12" t="inlineStr">
        <is>
          <t>CX2509JKSPOSC-SJ9</t>
        </is>
      </c>
      <c r="C8" s="12" t="inlineStr">
        <is>
          <t>呪術廻戦展 渋谷事変　ポストカードセット（9枚入）</t>
        </is>
      </c>
      <c r="D8" s="12" t="inlineStr">
        <is>
          <t>CX01</t>
        </is>
      </c>
      <c r="E8" s="12" t="inlineStr">
        <is>
          <t>CX催事</t>
        </is>
      </c>
      <c r="F8" s="13" t="n">
        <v>37528</v>
      </c>
      <c r="G8" s="13" t="n">
        <v>863144</v>
      </c>
    </row>
    <row r="9">
      <c r="A9" s="12" t="n">
        <v>4515142545112</v>
      </c>
      <c r="B9" s="12" t="inlineStr">
        <is>
          <t>CX2509JKSPOSC-SJ9</t>
        </is>
      </c>
      <c r="C9" s="12" t="inlineStr">
        <is>
          <t>呪術廻戦展 渋谷事変　ポストカードセット（9枚入）</t>
        </is>
      </c>
      <c r="D9" s="12" t="inlineStr">
        <is>
          <t>DB00</t>
        </is>
      </c>
      <c r="E9" s="12" t="inlineStr">
        <is>
          <t>DBS倉庫</t>
        </is>
      </c>
      <c r="F9" s="13" t="n">
        <v>2515</v>
      </c>
      <c r="G9" s="13" t="n">
        <v>57845</v>
      </c>
    </row>
    <row r="10">
      <c r="A10" s="12" t="n">
        <v>4515142545129</v>
      </c>
      <c r="B10" s="12" t="inlineStr">
        <is>
          <t>CX2509JKSBBDG-KG5</t>
        </is>
      </c>
      <c r="C10" s="12" t="inlineStr">
        <is>
          <t>呪術廻戦展 懐玉玉折　ブラインド缶バッジ（全5種）</t>
        </is>
      </c>
      <c r="D10" s="12" t="inlineStr">
        <is>
          <t>CX01</t>
        </is>
      </c>
      <c r="E10" s="12" t="inlineStr">
        <is>
          <t>CX催事</t>
        </is>
      </c>
      <c r="F10" s="13" t="n">
        <v>8520</v>
      </c>
      <c r="G10" s="13" t="n">
        <v>792360</v>
      </c>
    </row>
    <row r="11">
      <c r="A11" s="12" t="n">
        <v>4515142545129</v>
      </c>
      <c r="B11" s="12" t="inlineStr">
        <is>
          <t>CX2509JKSBBDG-KG5</t>
        </is>
      </c>
      <c r="C11" s="12" t="inlineStr">
        <is>
          <t>呪術廻戦展 懐玉玉折　ブラインド缶バッジ（全5種）</t>
        </is>
      </c>
      <c r="D11" s="12" t="inlineStr">
        <is>
          <t>DB00</t>
        </is>
      </c>
      <c r="E11" s="12" t="inlineStr">
        <is>
          <t>DBS倉庫</t>
        </is>
      </c>
      <c r="F11" s="13" t="n">
        <v>30895</v>
      </c>
      <c r="G11" s="13" t="n">
        <v>2873235</v>
      </c>
    </row>
    <row r="12">
      <c r="A12" s="12" t="n">
        <v>4515142545136</v>
      </c>
      <c r="B12" s="12" t="inlineStr">
        <is>
          <t>CX2509JKSBBDG-SJ9</t>
        </is>
      </c>
      <c r="C12" s="12" t="inlineStr">
        <is>
          <t>呪術廻戦展 渋谷事変　ブラインド缶バッジ（全9種）</t>
        </is>
      </c>
      <c r="D12" s="12" t="inlineStr">
        <is>
          <t>CX01</t>
        </is>
      </c>
      <c r="E12" s="12" t="inlineStr">
        <is>
          <t>CX催事</t>
        </is>
      </c>
      <c r="F12" s="13" t="n">
        <v>12248</v>
      </c>
      <c r="G12" s="13" t="n">
        <v>1139064</v>
      </c>
    </row>
    <row r="13">
      <c r="A13" s="12" t="n">
        <v>4515142545136</v>
      </c>
      <c r="B13" s="12" t="inlineStr">
        <is>
          <t>CX2509JKSBBDG-SJ9</t>
        </is>
      </c>
      <c r="C13" s="12" t="inlineStr">
        <is>
          <t>呪術廻戦展 渋谷事変　ブラインド缶バッジ（全9種）</t>
        </is>
      </c>
      <c r="D13" s="12" t="inlineStr">
        <is>
          <t>DB00</t>
        </is>
      </c>
      <c r="E13" s="12" t="inlineStr">
        <is>
          <t>DBS倉庫</t>
        </is>
      </c>
      <c r="F13" s="13" t="n">
        <v>37544</v>
      </c>
      <c r="G13" s="13" t="n">
        <v>3491592</v>
      </c>
    </row>
    <row r="14">
      <c r="A14" s="12" t="n">
        <v>4515142545143</v>
      </c>
      <c r="B14" s="12" t="inlineStr">
        <is>
          <t>CX2509JKSBSTK-KG5</t>
        </is>
      </c>
      <c r="C14" s="12" t="inlineStr">
        <is>
          <t>呪術廻戦展 懐玉玉折　ブラインドダイカットステッカー（全5種）</t>
        </is>
      </c>
      <c r="D14" s="12" t="inlineStr">
        <is>
          <t>CX01</t>
        </is>
      </c>
      <c r="E14" s="12" t="inlineStr">
        <is>
          <t>CX催事</t>
        </is>
      </c>
      <c r="F14" s="13" t="n">
        <v>504</v>
      </c>
      <c r="G14" s="13" t="n">
        <v>50904</v>
      </c>
    </row>
    <row r="15">
      <c r="A15" s="12" t="n">
        <v>4515142545143</v>
      </c>
      <c r="B15" s="12" t="inlineStr">
        <is>
          <t>CX2509JKSBSTK-KG5</t>
        </is>
      </c>
      <c r="C15" s="12" t="inlineStr">
        <is>
          <t>呪術廻戦展 懐玉玉折　ブラインドダイカットステッカー（全5種）</t>
        </is>
      </c>
      <c r="D15" s="12" t="inlineStr">
        <is>
          <t>DB00</t>
        </is>
      </c>
      <c r="E15" s="12" t="inlineStr">
        <is>
          <t>DBS倉庫</t>
        </is>
      </c>
      <c r="F15" s="13" t="n">
        <v>3851</v>
      </c>
      <c r="G15" s="13" t="n">
        <v>388951</v>
      </c>
    </row>
    <row r="16">
      <c r="A16" s="12" t="n">
        <v>4515142545150</v>
      </c>
      <c r="B16" s="12" t="inlineStr">
        <is>
          <t>CX2509JKSBSTK-SJ9</t>
        </is>
      </c>
      <c r="C16" s="12" t="inlineStr">
        <is>
          <t>呪術廻戦展 渋谷事変　ブラインドダイカットステッカー（全9種）</t>
        </is>
      </c>
      <c r="D16" s="12" t="inlineStr">
        <is>
          <t>CX01</t>
        </is>
      </c>
      <c r="E16" s="12" t="inlineStr">
        <is>
          <t>CX催事</t>
        </is>
      </c>
      <c r="F16" s="13" t="n">
        <v>807</v>
      </c>
      <c r="G16" s="13" t="n">
        <v>73437</v>
      </c>
    </row>
    <row r="17">
      <c r="A17" s="12" t="n">
        <v>4515142545150</v>
      </c>
      <c r="B17" s="12" t="inlineStr">
        <is>
          <t>CX2509JKSBSTK-SJ9</t>
        </is>
      </c>
      <c r="C17" s="12" t="inlineStr">
        <is>
          <t>呪術廻戦展 渋谷事変　ブラインドダイカットステッカー（全9種）</t>
        </is>
      </c>
      <c r="D17" s="12" t="inlineStr">
        <is>
          <t>DB00</t>
        </is>
      </c>
      <c r="E17" s="12" t="inlineStr">
        <is>
          <t>DBS倉庫</t>
        </is>
      </c>
      <c r="F17" s="13" t="n">
        <v>7422</v>
      </c>
      <c r="G17" s="13" t="n">
        <v>675402</v>
      </c>
    </row>
    <row r="18">
      <c r="A18" s="12" t="n">
        <v>4515142545174</v>
      </c>
      <c r="B18" s="12" t="inlineStr">
        <is>
          <t>CX2509JKSBMCPA-KG5</t>
        </is>
      </c>
      <c r="C18" s="12" t="inlineStr">
        <is>
          <t>呪術廻戦展 懐玉玉折　ブラインドミニ色紙（全5種）</t>
        </is>
      </c>
      <c r="D18" s="12" t="inlineStr">
        <is>
          <t>CX01</t>
        </is>
      </c>
      <c r="E18" s="12" t="inlineStr">
        <is>
          <t>CX催事</t>
        </is>
      </c>
      <c r="F18" s="13" t="n">
        <v>8947</v>
      </c>
      <c r="G18" s="13" t="n">
        <v>715760</v>
      </c>
    </row>
    <row r="19">
      <c r="A19" s="12" t="n">
        <v>4515142545174</v>
      </c>
      <c r="B19" s="12" t="inlineStr">
        <is>
          <t>CX2509JKSBMCPA-KG5</t>
        </is>
      </c>
      <c r="C19" s="12" t="inlineStr">
        <is>
          <t>呪術廻戦展 懐玉玉折　ブラインドミニ色紙（全5種）</t>
        </is>
      </c>
      <c r="D19" s="12" t="inlineStr">
        <is>
          <t>DB00</t>
        </is>
      </c>
      <c r="E19" s="12" t="inlineStr">
        <is>
          <t>DBS倉庫</t>
        </is>
      </c>
      <c r="F19" s="13" t="n">
        <v>40696</v>
      </c>
      <c r="G19" s="13" t="n">
        <v>3255680</v>
      </c>
    </row>
    <row r="20">
      <c r="A20" s="12" t="n">
        <v>4515142545181</v>
      </c>
      <c r="B20" s="12" t="inlineStr">
        <is>
          <t>CX2509JKSBMCPA-SJ5</t>
        </is>
      </c>
      <c r="C20" s="12" t="inlineStr">
        <is>
          <t>呪術廻戦展 渋谷事変　ブラインドミニ色紙（全5種）</t>
        </is>
      </c>
      <c r="D20" s="12" t="inlineStr">
        <is>
          <t>CX01</t>
        </is>
      </c>
      <c r="E20" s="12" t="inlineStr">
        <is>
          <t>CX催事</t>
        </is>
      </c>
      <c r="F20" s="13" t="n">
        <v>7277</v>
      </c>
      <c r="G20" s="13" t="n">
        <v>603991</v>
      </c>
    </row>
    <row r="21">
      <c r="A21" s="12" t="n">
        <v>4515142545181</v>
      </c>
      <c r="B21" s="12" t="inlineStr">
        <is>
          <t>CX2509JKSBMCPA-SJ5</t>
        </is>
      </c>
      <c r="C21" s="12" t="inlineStr">
        <is>
          <t>呪術廻戦展 渋谷事変　ブラインドミニ色紙（全5種）</t>
        </is>
      </c>
      <c r="D21" s="12" t="inlineStr">
        <is>
          <t>DB00</t>
        </is>
      </c>
      <c r="E21" s="12" t="inlineStr">
        <is>
          <t>DBS倉庫</t>
        </is>
      </c>
      <c r="F21" s="13" t="n">
        <v>23711</v>
      </c>
      <c r="G21" s="13" t="n">
        <v>1968013</v>
      </c>
    </row>
    <row r="22">
      <c r="A22" s="12" t="n">
        <v>4515142545198</v>
      </c>
      <c r="B22" s="12" t="inlineStr">
        <is>
          <t>CX2509JKSGOBTBALL</t>
        </is>
      </c>
      <c r="C22" s="12" t="inlineStr">
        <is>
          <t>呪術廻戦展 懐玉玉折 渋谷事変　虚式 ? バスボール</t>
        </is>
      </c>
      <c r="D22" s="12" t="inlineStr">
        <is>
          <t>CX01</t>
        </is>
      </c>
      <c r="E22" s="12" t="inlineStr">
        <is>
          <t>CX催事</t>
        </is>
      </c>
      <c r="F22" s="13" t="n">
        <v>276</v>
      </c>
      <c r="G22" s="13" t="n">
        <v>66240</v>
      </c>
    </row>
    <row r="23">
      <c r="A23" s="12" t="n">
        <v>4515142545198</v>
      </c>
      <c r="B23" s="12" t="inlineStr">
        <is>
          <t>CX2509JKSGOBTBALL</t>
        </is>
      </c>
      <c r="C23" s="12" t="inlineStr">
        <is>
          <t>呪術廻戦展 懐玉玉折 渋谷事変　虚式 ? バスボール</t>
        </is>
      </c>
      <c r="D23" s="12" t="inlineStr">
        <is>
          <t>DB00</t>
        </is>
      </c>
      <c r="E23" s="12" t="inlineStr">
        <is>
          <t>DBS倉庫</t>
        </is>
      </c>
      <c r="F23" s="13" t="n">
        <v>3175</v>
      </c>
      <c r="G23" s="13" t="n">
        <v>762000</v>
      </c>
    </row>
    <row r="24">
      <c r="A24" s="12" t="n">
        <v>4515142545204</v>
      </c>
      <c r="B24" s="12" t="inlineStr">
        <is>
          <t>CX2509JKSGEHAIRBD</t>
        </is>
      </c>
      <c r="C24" s="12" t="inlineStr">
        <is>
          <t>呪術廻戦展 懐玉玉折 渋谷事変　前髪ヘアバンド</t>
        </is>
      </c>
      <c r="D24" s="12" t="inlineStr">
        <is>
          <t>CX01</t>
        </is>
      </c>
      <c r="E24" s="12" t="inlineStr">
        <is>
          <t>CX催事</t>
        </is>
      </c>
      <c r="F24" s="13" t="n">
        <v>118</v>
      </c>
      <c r="G24" s="13" t="n">
        <v>102896</v>
      </c>
    </row>
    <row r="25">
      <c r="A25" s="12" t="n">
        <v>4515142545204</v>
      </c>
      <c r="B25" s="12" t="inlineStr">
        <is>
          <t>CX2509JKSGEHAIRBD</t>
        </is>
      </c>
      <c r="C25" s="12" t="inlineStr">
        <is>
          <t>呪術廻戦展 懐玉玉折 渋谷事変　前髪ヘアバンド</t>
        </is>
      </c>
      <c r="D25" s="12" t="inlineStr">
        <is>
          <t>DB00</t>
        </is>
      </c>
      <c r="E25" s="12" t="inlineStr">
        <is>
          <t>DBS倉庫</t>
        </is>
      </c>
      <c r="F25" s="13" t="n">
        <v>179</v>
      </c>
      <c r="G25" s="13" t="n">
        <v>156088</v>
      </c>
    </row>
    <row r="26">
      <c r="A26" s="12" t="n">
        <v>4515142545211</v>
      </c>
      <c r="B26" s="12" t="inlineStr">
        <is>
          <t>CX2509JKSBANDAGE</t>
        </is>
      </c>
      <c r="C26" s="12" t="inlineStr">
        <is>
          <t>呪術廻戦展 懐玉玉折 渋谷事変　反転術式絆創膏</t>
        </is>
      </c>
      <c r="D26" s="12" t="inlineStr">
        <is>
          <t>CX01</t>
        </is>
      </c>
      <c r="E26" s="12" t="inlineStr">
        <is>
          <t>CX催事</t>
        </is>
      </c>
      <c r="F26" s="13" t="n">
        <v>169</v>
      </c>
      <c r="G26" s="13" t="n">
        <v>44785</v>
      </c>
    </row>
    <row r="27">
      <c r="A27" s="12" t="n">
        <v>4515142545211</v>
      </c>
      <c r="B27" s="12" t="inlineStr">
        <is>
          <t>CX2509JKSBANDAGE</t>
        </is>
      </c>
      <c r="C27" s="12" t="inlineStr">
        <is>
          <t>呪術廻戦展 懐玉玉折 渋谷事変　反転術式絆創膏</t>
        </is>
      </c>
      <c r="D27" s="12" t="inlineStr">
        <is>
          <t>DB00</t>
        </is>
      </c>
      <c r="E27" s="12" t="inlineStr">
        <is>
          <t>DBS倉庫</t>
        </is>
      </c>
      <c r="F27" s="13" t="n">
        <v>979</v>
      </c>
      <c r="G27" s="13" t="n">
        <v>259435</v>
      </c>
    </row>
    <row r="28">
      <c r="A28" s="12" t="n">
        <v>4515142545228</v>
      </c>
      <c r="B28" s="12" t="inlineStr">
        <is>
          <t>CX2509JKSSKFINGER</t>
        </is>
      </c>
      <c r="C28" s="12" t="inlineStr">
        <is>
          <t>呪術廻戦展 懐玉玉折 渋谷事変　宿儺の指風お菓子</t>
        </is>
      </c>
      <c r="D28" s="12" t="inlineStr">
        <is>
          <t>CX01</t>
        </is>
      </c>
      <c r="E28" s="12" t="inlineStr">
        <is>
          <t>CX催事</t>
        </is>
      </c>
      <c r="F28" s="13" t="n">
        <v>800</v>
      </c>
      <c r="G28" s="13" t="n">
        <v>21600</v>
      </c>
    </row>
    <row r="29">
      <c r="A29" s="12" t="n">
        <v>4515142545228</v>
      </c>
      <c r="B29" s="12" t="inlineStr">
        <is>
          <t>CX2509JKSSKFINGER</t>
        </is>
      </c>
      <c r="C29" s="12" t="inlineStr">
        <is>
          <t>呪術廻戦展 懐玉玉折 渋谷事変　宿儺の指風お菓子</t>
        </is>
      </c>
      <c r="D29" s="12" t="inlineStr">
        <is>
          <t>DB00</t>
        </is>
      </c>
      <c r="E29" s="12" t="inlineStr">
        <is>
          <t>DBS倉庫</t>
        </is>
      </c>
      <c r="F29" s="13" t="n">
        <v>0</v>
      </c>
      <c r="G29" s="13" t="n">
        <v>0</v>
      </c>
    </row>
    <row r="30">
      <c r="A30" s="12" t="n">
        <v>4515142545228</v>
      </c>
      <c r="B30" s="12" t="inlineStr">
        <is>
          <t>CX2509JKSSKFINGER</t>
        </is>
      </c>
      <c r="C30" s="12" t="inlineStr">
        <is>
          <t>呪術廻戦展 懐玉玉折 渋谷事変　宿儺の指風お菓子</t>
        </is>
      </c>
      <c r="D30" s="12" t="inlineStr">
        <is>
          <t>ZZ01</t>
        </is>
      </c>
      <c r="E30" s="12" t="inlineStr">
        <is>
          <t>その他</t>
        </is>
      </c>
      <c r="F30" s="13" t="n">
        <v>4400</v>
      </c>
      <c r="G30" s="13" t="n">
        <v>118800</v>
      </c>
    </row>
    <row r="31">
      <c r="A31" s="12" t="n">
        <v>4515142545235</v>
      </c>
      <c r="B31" s="12" t="inlineStr">
        <is>
          <t>CX2509JKSDTPCHCLP</t>
        </is>
      </c>
      <c r="C31" s="12" t="inlineStr">
        <is>
          <t>呪術廻戦展 懐玉玉折 渋谷事変　脱兎 ポーチ入りクリップセット</t>
        </is>
      </c>
      <c r="D31" s="12" t="inlineStr">
        <is>
          <t>CX01</t>
        </is>
      </c>
      <c r="E31" s="12" t="inlineStr">
        <is>
          <t>CX催事</t>
        </is>
      </c>
      <c r="F31" s="13" t="n">
        <v>220</v>
      </c>
      <c r="G31" s="13" t="n">
        <v>32560</v>
      </c>
    </row>
    <row r="32">
      <c r="A32" s="12" t="n">
        <v>4515142545235</v>
      </c>
      <c r="B32" s="12" t="inlineStr">
        <is>
          <t>CX2509JKSDTPCHCLP</t>
        </is>
      </c>
      <c r="C32" s="12" t="inlineStr">
        <is>
          <t>呪術廻戦展 懐玉玉折 渋谷事変　脱兎 ポーチ入りクリップセット</t>
        </is>
      </c>
      <c r="D32" s="12" t="inlineStr">
        <is>
          <t>DB00</t>
        </is>
      </c>
      <c r="E32" s="12" t="inlineStr">
        <is>
          <t>DBS倉庫</t>
        </is>
      </c>
      <c r="F32" s="13" t="n">
        <v>40</v>
      </c>
      <c r="G32" s="13" t="n">
        <v>5920</v>
      </c>
    </row>
    <row r="33">
      <c r="A33" s="12" t="n">
        <v>4515142545242</v>
      </c>
      <c r="B33" s="12" t="inlineStr">
        <is>
          <t>CX2509JKSNBECOBAG</t>
        </is>
      </c>
      <c r="C33" s="12" t="inlineStr">
        <is>
          <t>呪術廻戦展 懐玉玉折 渋谷事変　釘崎のポーチ風エコバッグ</t>
        </is>
      </c>
      <c r="D33" s="12" t="inlineStr">
        <is>
          <t>CX01</t>
        </is>
      </c>
      <c r="E33" s="12" t="inlineStr">
        <is>
          <t>CX催事</t>
        </is>
      </c>
      <c r="F33" s="13" t="n">
        <v>278</v>
      </c>
      <c r="G33" s="13" t="n">
        <v>121208</v>
      </c>
    </row>
    <row r="34">
      <c r="A34" s="12" t="n">
        <v>4515142545242</v>
      </c>
      <c r="B34" s="12" t="inlineStr">
        <is>
          <t>CX2509JKSNBECOBAG</t>
        </is>
      </c>
      <c r="C34" s="12" t="inlineStr">
        <is>
          <t>呪術廻戦展 懐玉玉折 渋谷事変　釘崎のポーチ風エコバッグ</t>
        </is>
      </c>
      <c r="D34" s="12" t="inlineStr">
        <is>
          <t>DB00</t>
        </is>
      </c>
      <c r="E34" s="12" t="inlineStr">
        <is>
          <t>DBS倉庫</t>
        </is>
      </c>
      <c r="F34" s="13" t="n">
        <v>548</v>
      </c>
      <c r="G34" s="13" t="n">
        <v>238928</v>
      </c>
    </row>
    <row r="35">
      <c r="A35" s="12" t="n">
        <v>4515142545259</v>
      </c>
      <c r="B35" s="12" t="inlineStr">
        <is>
          <t>CX2509JKSPLANNER</t>
        </is>
      </c>
      <c r="C35" s="12" t="inlineStr">
        <is>
          <t>呪術廻戦展 懐玉玉折 渋谷事変　半年分の情報が書き込める手帳</t>
        </is>
      </c>
      <c r="D35" s="12" t="inlineStr">
        <is>
          <t>CX01</t>
        </is>
      </c>
      <c r="E35" s="12" t="inlineStr">
        <is>
          <t>CX催事</t>
        </is>
      </c>
      <c r="F35" s="13" t="n">
        <v>248</v>
      </c>
      <c r="G35" s="13" t="n">
        <v>64480</v>
      </c>
    </row>
    <row r="36">
      <c r="A36" s="12" t="n">
        <v>4515142545259</v>
      </c>
      <c r="B36" s="12" t="inlineStr">
        <is>
          <t>CX2509JKSPLANNER</t>
        </is>
      </c>
      <c r="C36" s="12" t="inlineStr">
        <is>
          <t>呪術廻戦展 懐玉玉折 渋谷事変　半年分の情報が書き込める手帳</t>
        </is>
      </c>
      <c r="D36" s="12" t="inlineStr">
        <is>
          <t>DB00</t>
        </is>
      </c>
      <c r="E36" s="12" t="inlineStr">
        <is>
          <t>DBS倉庫</t>
        </is>
      </c>
      <c r="F36" s="13" t="n">
        <v>577</v>
      </c>
      <c r="G36" s="13" t="n">
        <v>150020</v>
      </c>
    </row>
    <row r="37">
      <c r="A37" s="12" t="n">
        <v>4515142545266</v>
      </c>
      <c r="B37" s="12" t="inlineStr">
        <is>
          <t>CX2509JKSMUSICBOX</t>
        </is>
      </c>
      <c r="C37" s="12" t="inlineStr">
        <is>
          <t>呪術廻戦展 懐玉玉折 渋谷事変　気分リフレッシュオルゴール</t>
        </is>
      </c>
      <c r="D37" s="12" t="inlineStr">
        <is>
          <t>CX01</t>
        </is>
      </c>
      <c r="E37" s="12" t="inlineStr">
        <is>
          <t>CX催事</t>
        </is>
      </c>
      <c r="F37" s="13" t="n">
        <v>12</v>
      </c>
      <c r="G37" s="13" t="n">
        <v>32400</v>
      </c>
    </row>
    <row r="38">
      <c r="A38" s="12" t="n">
        <v>4515142545266</v>
      </c>
      <c r="B38" s="12" t="inlineStr">
        <is>
          <t>CX2509JKSMUSICBOX</t>
        </is>
      </c>
      <c r="C38" s="12" t="inlineStr">
        <is>
          <t>呪術廻戦展 懐玉玉折 渋谷事変　気分リフレッシュオルゴール</t>
        </is>
      </c>
      <c r="D38" s="12" t="inlineStr">
        <is>
          <t>DB00</t>
        </is>
      </c>
      <c r="E38" s="12" t="inlineStr">
        <is>
          <t>DBS倉庫</t>
        </is>
      </c>
      <c r="F38" s="13" t="n">
        <v>10</v>
      </c>
      <c r="G38" s="13" t="n">
        <v>27000</v>
      </c>
    </row>
    <row r="39">
      <c r="A39" s="12" t="n">
        <v>4515142545273</v>
      </c>
      <c r="B39" s="12" t="inlineStr">
        <is>
          <t>CX2509JKSIRG-GO11</t>
        </is>
      </c>
      <c r="C39" s="12" t="inlineStr">
        <is>
          <t>呪術廻戦展 懐玉玉折 渋谷事変　五条 悟　イメージリング（#11）</t>
        </is>
      </c>
      <c r="D39" s="12" t="inlineStr">
        <is>
          <t>CX01</t>
        </is>
      </c>
      <c r="E39" s="12" t="inlineStr">
        <is>
          <t>CX催事</t>
        </is>
      </c>
      <c r="F39" s="13" t="n">
        <v>27</v>
      </c>
      <c r="G39" s="13" t="n">
        <v>349785</v>
      </c>
    </row>
    <row r="40">
      <c r="A40" s="12" t="n">
        <v>4515142545273</v>
      </c>
      <c r="B40" s="12" t="inlineStr">
        <is>
          <t>CX2509JKSIRG-GO11</t>
        </is>
      </c>
      <c r="C40" s="12" t="inlineStr">
        <is>
          <t>呪術廻戦展 懐玉玉折 渋谷事変　五条 悟　イメージリング（#11）</t>
        </is>
      </c>
      <c r="D40" s="12" t="inlineStr">
        <is>
          <t>DB00</t>
        </is>
      </c>
      <c r="E40" s="12" t="inlineStr">
        <is>
          <t>DBS倉庫</t>
        </is>
      </c>
      <c r="F40" s="13" t="n">
        <v>71</v>
      </c>
      <c r="G40" s="13" t="n">
        <v>919805</v>
      </c>
    </row>
    <row r="41">
      <c r="A41" s="12" t="n">
        <v>4515142545273</v>
      </c>
      <c r="B41" s="12" t="inlineStr">
        <is>
          <t>CX2509JKSIRG-GO11</t>
        </is>
      </c>
      <c r="C41" s="12" t="inlineStr">
        <is>
          <t>呪術廻戦展 懐玉玉折 渋谷事変　五条 悟　イメージリング（#11）</t>
        </is>
      </c>
      <c r="D41" s="12" t="inlineStr">
        <is>
          <t>ZZ01</t>
        </is>
      </c>
      <c r="E41" s="12" t="inlineStr">
        <is>
          <t>その他</t>
        </is>
      </c>
      <c r="F41" s="13" t="n">
        <v>5</v>
      </c>
      <c r="G41" s="13" t="n">
        <v>64775</v>
      </c>
    </row>
    <row r="42">
      <c r="A42" s="12" t="n">
        <v>4515142545280</v>
      </c>
      <c r="B42" s="12" t="inlineStr">
        <is>
          <t>CX2509JKSIRG-GO13</t>
        </is>
      </c>
      <c r="C42" s="12" t="inlineStr">
        <is>
          <t>呪術廻戦展 懐玉玉折 渋谷事変　五条 悟　イメージリング（#13）</t>
        </is>
      </c>
      <c r="D42" s="12" t="inlineStr">
        <is>
          <t>CX01</t>
        </is>
      </c>
      <c r="E42" s="12" t="inlineStr">
        <is>
          <t>CX催事</t>
        </is>
      </c>
      <c r="F42" s="13" t="n">
        <v>2</v>
      </c>
      <c r="G42" s="13" t="n">
        <v>18000</v>
      </c>
    </row>
    <row r="43">
      <c r="A43" s="12" t="n">
        <v>4515142545280</v>
      </c>
      <c r="B43" s="12" t="inlineStr">
        <is>
          <t>CX2509JKSIRG-GO13</t>
        </is>
      </c>
      <c r="C43" s="12" t="inlineStr">
        <is>
          <t>呪術廻戦展 懐玉玉折 渋谷事変　五条 悟　イメージリング（#13）</t>
        </is>
      </c>
      <c r="D43" s="12" t="inlineStr">
        <is>
          <t>DB00</t>
        </is>
      </c>
      <c r="E43" s="12" t="inlineStr">
        <is>
          <t>DBS倉庫</t>
        </is>
      </c>
      <c r="F43" s="13" t="n">
        <v>0</v>
      </c>
      <c r="G43" s="13" t="n">
        <v>0</v>
      </c>
    </row>
    <row r="44">
      <c r="A44" s="12" t="n">
        <v>4515142545297</v>
      </c>
      <c r="B44" s="12" t="inlineStr">
        <is>
          <t>CX2509JKSIRG-GO15</t>
        </is>
      </c>
      <c r="C44" s="12" t="inlineStr">
        <is>
          <t>呪術廻戦展 懐玉玉折 渋谷事変　五条 悟　イメージリング（#15）</t>
        </is>
      </c>
      <c r="D44" s="12" t="inlineStr">
        <is>
          <t>CX01</t>
        </is>
      </c>
      <c r="E44" s="12" t="inlineStr">
        <is>
          <t>CX催事</t>
        </is>
      </c>
      <c r="F44" s="13" t="n">
        <v>2</v>
      </c>
      <c r="G44" s="13" t="n">
        <v>18000</v>
      </c>
    </row>
    <row r="45">
      <c r="A45" s="12" t="n">
        <v>4515142545297</v>
      </c>
      <c r="B45" s="12" t="inlineStr">
        <is>
          <t>CX2509JKSIRG-GO15</t>
        </is>
      </c>
      <c r="C45" s="12" t="inlineStr">
        <is>
          <t>呪術廻戦展 懐玉玉折 渋谷事変　五条 悟　イメージリング（#15）</t>
        </is>
      </c>
      <c r="D45" s="12" t="inlineStr">
        <is>
          <t>DB00</t>
        </is>
      </c>
      <c r="E45" s="12" t="inlineStr">
        <is>
          <t>DBS倉庫</t>
        </is>
      </c>
      <c r="F45" s="13" t="n">
        <v>1</v>
      </c>
      <c r="G45" s="13" t="n">
        <v>9000</v>
      </c>
    </row>
    <row r="46">
      <c r="A46" s="12" t="n">
        <v>4515142545303</v>
      </c>
      <c r="B46" s="12" t="inlineStr">
        <is>
          <t>CX2509JKSIRG-GO17</t>
        </is>
      </c>
      <c r="C46" s="12" t="inlineStr">
        <is>
          <t>呪術廻戦展 懐玉玉折 渋谷事変　五条 悟　イメージリング（#17）</t>
        </is>
      </c>
      <c r="D46" s="12" t="inlineStr">
        <is>
          <t>CX01</t>
        </is>
      </c>
      <c r="E46" s="12" t="inlineStr">
        <is>
          <t>CX催事</t>
        </is>
      </c>
      <c r="F46" s="13" t="n">
        <v>2</v>
      </c>
      <c r="G46" s="13" t="n">
        <v>18000</v>
      </c>
    </row>
    <row r="47">
      <c r="A47" s="12" t="n">
        <v>4515142545303</v>
      </c>
      <c r="B47" s="12" t="inlineStr">
        <is>
          <t>CX2509JKSIRG-GO17</t>
        </is>
      </c>
      <c r="C47" s="12" t="inlineStr">
        <is>
          <t>呪術廻戦展 懐玉玉折 渋谷事変　五条 悟　イメージリング（#17）</t>
        </is>
      </c>
      <c r="D47" s="12" t="inlineStr">
        <is>
          <t>DB00</t>
        </is>
      </c>
      <c r="E47" s="12" t="inlineStr">
        <is>
          <t>DBS倉庫</t>
        </is>
      </c>
      <c r="F47" s="13" t="n">
        <v>1</v>
      </c>
      <c r="G47" s="13" t="n">
        <v>9000</v>
      </c>
    </row>
    <row r="48">
      <c r="A48" s="12" t="n">
        <v>4515142545310</v>
      </c>
      <c r="B48" s="12" t="inlineStr">
        <is>
          <t>CX2509JKSIRG-GE11</t>
        </is>
      </c>
      <c r="C48" s="12" t="inlineStr">
        <is>
          <t>呪術廻戦展 懐玉玉折 渋谷事変　夏油 傑　イメージリング（#11）</t>
        </is>
      </c>
      <c r="D48" s="12" t="inlineStr">
        <is>
          <t>CX01</t>
        </is>
      </c>
      <c r="E48" s="12" t="inlineStr">
        <is>
          <t>CX催事</t>
        </is>
      </c>
      <c r="F48" s="13" t="n">
        <v>21</v>
      </c>
      <c r="G48" s="13" t="n">
        <v>264999</v>
      </c>
    </row>
    <row r="49">
      <c r="A49" s="12" t="n">
        <v>4515142545310</v>
      </c>
      <c r="B49" s="12" t="inlineStr">
        <is>
          <t>CX2509JKSIRG-GE11</t>
        </is>
      </c>
      <c r="C49" s="12" t="inlineStr">
        <is>
          <t>呪術廻戦展 懐玉玉折 渋谷事変　夏油 傑　イメージリング（#11）</t>
        </is>
      </c>
      <c r="D49" s="12" t="inlineStr">
        <is>
          <t>DB00</t>
        </is>
      </c>
      <c r="E49" s="12" t="inlineStr">
        <is>
          <t>DBS倉庫</t>
        </is>
      </c>
      <c r="F49" s="13" t="n">
        <v>6</v>
      </c>
      <c r="G49" s="13" t="n">
        <v>75714</v>
      </c>
    </row>
    <row r="50">
      <c r="A50" s="12" t="n">
        <v>4515142545310</v>
      </c>
      <c r="B50" s="12" t="inlineStr">
        <is>
          <t>CX2509JKSIRG-GE11</t>
        </is>
      </c>
      <c r="C50" s="12" t="inlineStr">
        <is>
          <t>呪術廻戦展 懐玉玉折 渋谷事変　夏油 傑　イメージリング（#11）</t>
        </is>
      </c>
      <c r="D50" s="12" t="inlineStr">
        <is>
          <t>ZZ01</t>
        </is>
      </c>
      <c r="E50" s="12" t="inlineStr">
        <is>
          <t>その他</t>
        </is>
      </c>
      <c r="F50" s="13" t="n">
        <v>9</v>
      </c>
      <c r="G50" s="13" t="n">
        <v>113571</v>
      </c>
    </row>
    <row r="51">
      <c r="A51" s="12" t="n">
        <v>4515142545327</v>
      </c>
      <c r="B51" s="12" t="inlineStr">
        <is>
          <t>CX2509JKSIRG-GE13</t>
        </is>
      </c>
      <c r="C51" s="12" t="inlineStr">
        <is>
          <t>呪術廻戦展 懐玉玉折 渋谷事変　夏油 傑　イメージリング（#13）</t>
        </is>
      </c>
      <c r="D51" s="12" t="inlineStr">
        <is>
          <t>CX01</t>
        </is>
      </c>
      <c r="E51" s="12" t="inlineStr">
        <is>
          <t>CX催事</t>
        </is>
      </c>
      <c r="F51" s="13" t="n">
        <v>2</v>
      </c>
      <c r="G51" s="13" t="n">
        <v>18000</v>
      </c>
    </row>
    <row r="52">
      <c r="A52" s="12" t="n">
        <v>4515142545327</v>
      </c>
      <c r="B52" s="12" t="inlineStr">
        <is>
          <t>CX2509JKSIRG-GE13</t>
        </is>
      </c>
      <c r="C52" s="12" t="inlineStr">
        <is>
          <t>呪術廻戦展 懐玉玉折 渋谷事変　夏油 傑　イメージリング（#13）</t>
        </is>
      </c>
      <c r="D52" s="12" t="inlineStr">
        <is>
          <t>DB00</t>
        </is>
      </c>
      <c r="E52" s="12" t="inlineStr">
        <is>
          <t>DBS倉庫</t>
        </is>
      </c>
      <c r="F52" s="13" t="n">
        <v>0</v>
      </c>
      <c r="G52" s="13" t="n">
        <v>0</v>
      </c>
    </row>
    <row r="53">
      <c r="A53" s="12" t="n">
        <v>4515142545334</v>
      </c>
      <c r="B53" s="12" t="inlineStr">
        <is>
          <t>CX2509JKSIRG-GE15</t>
        </is>
      </c>
      <c r="C53" s="12" t="inlineStr">
        <is>
          <t>呪術廻戦展 懐玉玉折 渋谷事変　夏油 傑　イメージリング（#15）</t>
        </is>
      </c>
      <c r="D53" s="12" t="inlineStr">
        <is>
          <t>CX01</t>
        </is>
      </c>
      <c r="E53" s="12" t="inlineStr">
        <is>
          <t>CX催事</t>
        </is>
      </c>
      <c r="F53" s="13" t="n">
        <v>2</v>
      </c>
      <c r="G53" s="13" t="n">
        <v>18000</v>
      </c>
    </row>
    <row r="54">
      <c r="A54" s="12" t="n">
        <v>4515142545334</v>
      </c>
      <c r="B54" s="12" t="inlineStr">
        <is>
          <t>CX2509JKSIRG-GE15</t>
        </is>
      </c>
      <c r="C54" s="12" t="inlineStr">
        <is>
          <t>呪術廻戦展 懐玉玉折 渋谷事変　夏油 傑　イメージリング（#15）</t>
        </is>
      </c>
      <c r="D54" s="12" t="inlineStr">
        <is>
          <t>DB00</t>
        </is>
      </c>
      <c r="E54" s="12" t="inlineStr">
        <is>
          <t>DBS倉庫</t>
        </is>
      </c>
      <c r="F54" s="13" t="n">
        <v>1</v>
      </c>
      <c r="G54" s="13" t="n">
        <v>9000</v>
      </c>
    </row>
    <row r="55">
      <c r="A55" s="12" t="n">
        <v>4515142545341</v>
      </c>
      <c r="B55" s="12" t="inlineStr">
        <is>
          <t>CX2509JKSIRG-GE17</t>
        </is>
      </c>
      <c r="C55" s="12" t="inlineStr">
        <is>
          <t>呪術廻戦展 懐玉玉折 渋谷事変　夏油 傑　イメージリング（#17）</t>
        </is>
      </c>
      <c r="D55" s="12" t="inlineStr">
        <is>
          <t>CX01</t>
        </is>
      </c>
      <c r="E55" s="12" t="inlineStr">
        <is>
          <t>CX催事</t>
        </is>
      </c>
      <c r="F55" s="13" t="n">
        <v>3</v>
      </c>
      <c r="G55" s="13" t="n">
        <v>27000</v>
      </c>
    </row>
    <row r="56">
      <c r="A56" s="12" t="n">
        <v>4515142545341</v>
      </c>
      <c r="B56" s="12" t="inlineStr">
        <is>
          <t>CX2509JKSIRG-GE17</t>
        </is>
      </c>
      <c r="C56" s="12" t="inlineStr">
        <is>
          <t>呪術廻戦展 懐玉玉折 渋谷事変　夏油 傑　イメージリング（#17）</t>
        </is>
      </c>
      <c r="D56" s="12" t="inlineStr">
        <is>
          <t>DB00</t>
        </is>
      </c>
      <c r="E56" s="12" t="inlineStr">
        <is>
          <t>DBS倉庫</t>
        </is>
      </c>
      <c r="F56" s="13" t="n">
        <v>1</v>
      </c>
      <c r="G56" s="13" t="n">
        <v>9000</v>
      </c>
    </row>
    <row r="57">
      <c r="A57" s="12" t="n">
        <v>4515142545358</v>
      </c>
      <c r="B57" s="12" t="inlineStr">
        <is>
          <t>CX2509JKSIFC-IU</t>
        </is>
      </c>
      <c r="C57" s="12" t="inlineStr">
        <is>
          <t>呪術廻戦展 懐玉玉折 渋谷事変　虎杖 悠仁　イメージフラグメントケース</t>
        </is>
      </c>
      <c r="D57" s="12" t="inlineStr">
        <is>
          <t>CX01</t>
        </is>
      </c>
      <c r="E57" s="12" t="inlineStr">
        <is>
          <t>CX催事</t>
        </is>
      </c>
      <c r="F57" s="13" t="n">
        <v>13</v>
      </c>
      <c r="G57" s="13" t="n">
        <v>130000</v>
      </c>
    </row>
    <row r="58">
      <c r="A58" s="12" t="n">
        <v>4515142545358</v>
      </c>
      <c r="B58" s="12" t="inlineStr">
        <is>
          <t>CX2509JKSIFC-IU</t>
        </is>
      </c>
      <c r="C58" s="12" t="inlineStr">
        <is>
          <t>呪術廻戦展 懐玉玉折 渋谷事変　虎杖 悠仁　イメージフラグメントケース</t>
        </is>
      </c>
      <c r="D58" s="12" t="inlineStr">
        <is>
          <t>DB00</t>
        </is>
      </c>
      <c r="E58" s="12" t="inlineStr">
        <is>
          <t>DBS倉庫</t>
        </is>
      </c>
      <c r="F58" s="13" t="n">
        <v>60</v>
      </c>
      <c r="G58" s="13" t="n">
        <v>600000</v>
      </c>
    </row>
    <row r="59">
      <c r="A59" s="12" t="n">
        <v>4515142545365</v>
      </c>
      <c r="B59" s="12" t="inlineStr">
        <is>
          <t>CX2509JKSIFC-FM</t>
        </is>
      </c>
      <c r="C59" s="12" t="inlineStr">
        <is>
          <t>呪術廻戦展 懐玉玉折 渋谷事変　伏黒 恵　イメージフラグメントケース</t>
        </is>
      </c>
      <c r="D59" s="12" t="inlineStr">
        <is>
          <t>CX01</t>
        </is>
      </c>
      <c r="E59" s="12" t="inlineStr">
        <is>
          <t>CX催事</t>
        </is>
      </c>
      <c r="F59" s="13" t="n">
        <v>15</v>
      </c>
      <c r="G59" s="13" t="n">
        <v>150000</v>
      </c>
    </row>
    <row r="60">
      <c r="A60" s="12" t="n">
        <v>4515142545365</v>
      </c>
      <c r="B60" s="12" t="inlineStr">
        <is>
          <t>CX2509JKSIFC-FM</t>
        </is>
      </c>
      <c r="C60" s="12" t="inlineStr">
        <is>
          <t>呪術廻戦展 懐玉玉折 渋谷事変　伏黒 恵　イメージフラグメントケース</t>
        </is>
      </c>
      <c r="D60" s="12" t="inlineStr">
        <is>
          <t>DB00</t>
        </is>
      </c>
      <c r="E60" s="12" t="inlineStr">
        <is>
          <t>DBS倉庫</t>
        </is>
      </c>
      <c r="F60" s="13" t="n">
        <v>33</v>
      </c>
      <c r="G60" s="13" t="n">
        <v>330000</v>
      </c>
    </row>
    <row r="61">
      <c r="A61" s="12" t="n">
        <v>4515142545372</v>
      </c>
      <c r="B61" s="12" t="inlineStr">
        <is>
          <t>CX2509JKSCF-KGGO</t>
        </is>
      </c>
      <c r="C61" s="12" t="inlineStr">
        <is>
          <t>呪術廻戦展 懐玉玉折　クリアファイル（五条 悟）</t>
        </is>
      </c>
      <c r="D61" s="12" t="inlineStr">
        <is>
          <t>CX01</t>
        </is>
      </c>
      <c r="E61" s="12" t="inlineStr">
        <is>
          <t>CX催事</t>
        </is>
      </c>
      <c r="F61" s="13" t="n">
        <v>2240</v>
      </c>
      <c r="G61" s="13" t="n">
        <v>62720</v>
      </c>
    </row>
    <row r="62">
      <c r="A62" s="12" t="n">
        <v>4515142545372</v>
      </c>
      <c r="B62" s="12" t="inlineStr">
        <is>
          <t>CX2509JKSCF-KGGO</t>
        </is>
      </c>
      <c r="C62" s="12" t="inlineStr">
        <is>
          <t>呪術廻戦展 懐玉玉折　クリアファイル（五条 悟）</t>
        </is>
      </c>
      <c r="D62" s="12" t="inlineStr">
        <is>
          <t>DB00</t>
        </is>
      </c>
      <c r="E62" s="12" t="inlineStr">
        <is>
          <t>DBS倉庫</t>
        </is>
      </c>
      <c r="F62" s="13" t="n">
        <v>6358</v>
      </c>
      <c r="G62" s="13" t="n">
        <v>178024</v>
      </c>
    </row>
    <row r="63">
      <c r="A63" s="12" t="n">
        <v>4515142545389</v>
      </c>
      <c r="B63" s="12" t="inlineStr">
        <is>
          <t>CX2509JKSCF-KGGE</t>
        </is>
      </c>
      <c r="C63" s="12" t="inlineStr">
        <is>
          <t>呪術廻戦展 懐玉玉折　クリアファイル（夏油 傑）</t>
        </is>
      </c>
      <c r="D63" s="12" t="inlineStr">
        <is>
          <t>CX01</t>
        </is>
      </c>
      <c r="E63" s="12" t="inlineStr">
        <is>
          <t>CX催事</t>
        </is>
      </c>
      <c r="F63" s="13" t="n">
        <v>540</v>
      </c>
      <c r="G63" s="13" t="n">
        <v>14580</v>
      </c>
    </row>
    <row r="64">
      <c r="A64" s="12" t="n">
        <v>4515142545389</v>
      </c>
      <c r="B64" s="12" t="inlineStr">
        <is>
          <t>CX2509JKSCF-KGGE</t>
        </is>
      </c>
      <c r="C64" s="12" t="inlineStr">
        <is>
          <t>呪術廻戦展 懐玉玉折　クリアファイル（夏油 傑）</t>
        </is>
      </c>
      <c r="D64" s="12" t="inlineStr">
        <is>
          <t>DB00</t>
        </is>
      </c>
      <c r="E64" s="12" t="inlineStr">
        <is>
          <t>DBS倉庫</t>
        </is>
      </c>
      <c r="F64" s="13" t="n">
        <v>4335</v>
      </c>
      <c r="G64" s="13" t="n">
        <v>117045</v>
      </c>
    </row>
    <row r="65">
      <c r="A65" s="12" t="n">
        <v>4515142545396</v>
      </c>
      <c r="B65" s="12" t="inlineStr">
        <is>
          <t>CX2509JKSCF-KGIS</t>
        </is>
      </c>
      <c r="C65" s="12" t="inlineStr">
        <is>
          <t>呪術廻戦展 懐玉玉折　クリアファイル（家入 硝子）</t>
        </is>
      </c>
      <c r="D65" s="12" t="inlineStr">
        <is>
          <t>CX01</t>
        </is>
      </c>
      <c r="E65" s="12" t="inlineStr">
        <is>
          <t>CX催事</t>
        </is>
      </c>
      <c r="F65" s="13" t="n">
        <v>81</v>
      </c>
      <c r="G65" s="13" t="n">
        <v>2187</v>
      </c>
    </row>
    <row r="66">
      <c r="A66" s="12" t="n">
        <v>4515142545396</v>
      </c>
      <c r="B66" s="12" t="inlineStr">
        <is>
          <t>CX2509JKSCF-KGIS</t>
        </is>
      </c>
      <c r="C66" s="12" t="inlineStr">
        <is>
          <t>呪術廻戦展 懐玉玉折　クリアファイル（家入 硝子）</t>
        </is>
      </c>
      <c r="D66" s="12" t="inlineStr">
        <is>
          <t>DB00</t>
        </is>
      </c>
      <c r="E66" s="12" t="inlineStr">
        <is>
          <t>DBS倉庫</t>
        </is>
      </c>
      <c r="F66" s="13" t="n">
        <v>538</v>
      </c>
      <c r="G66" s="13" t="n">
        <v>14526</v>
      </c>
    </row>
    <row r="67">
      <c r="A67" s="12" t="n">
        <v>4515142545402</v>
      </c>
      <c r="B67" s="12" t="inlineStr">
        <is>
          <t>CX2509JKSCF-KGNM</t>
        </is>
      </c>
      <c r="C67" s="12" t="inlineStr">
        <is>
          <t>呪術廻戦展 懐玉玉折　クリアファイル（七海 建人）</t>
        </is>
      </c>
      <c r="D67" s="12" t="inlineStr">
        <is>
          <t>CX01</t>
        </is>
      </c>
      <c r="E67" s="12" t="inlineStr">
        <is>
          <t>CX催事</t>
        </is>
      </c>
      <c r="F67" s="13" t="n">
        <v>109</v>
      </c>
      <c r="G67" s="13" t="n">
        <v>3052</v>
      </c>
    </row>
    <row r="68">
      <c r="A68" s="12" t="n">
        <v>4515142545402</v>
      </c>
      <c r="B68" s="12" t="inlineStr">
        <is>
          <t>CX2509JKSCF-KGNM</t>
        </is>
      </c>
      <c r="C68" s="12" t="inlineStr">
        <is>
          <t>呪術廻戦展 懐玉玉折　クリアファイル（七海 建人）</t>
        </is>
      </c>
      <c r="D68" s="12" t="inlineStr">
        <is>
          <t>DB00</t>
        </is>
      </c>
      <c r="E68" s="12" t="inlineStr">
        <is>
          <t>DBS倉庫</t>
        </is>
      </c>
      <c r="F68" s="13" t="n">
        <v>801</v>
      </c>
      <c r="G68" s="13" t="n">
        <v>22428</v>
      </c>
    </row>
    <row r="69">
      <c r="A69" s="12" t="n">
        <v>4515142545419</v>
      </c>
      <c r="B69" s="12" t="inlineStr">
        <is>
          <t>CX2509JKSCF-KGHU</t>
        </is>
      </c>
      <c r="C69" s="12" t="inlineStr">
        <is>
          <t>呪術廻戦展 懐玉玉折　クリアファイル（灰原 雄）</t>
        </is>
      </c>
      <c r="D69" s="12" t="inlineStr">
        <is>
          <t>CX01</t>
        </is>
      </c>
      <c r="E69" s="12" t="inlineStr">
        <is>
          <t>CX催事</t>
        </is>
      </c>
      <c r="F69" s="13" t="n">
        <v>53</v>
      </c>
      <c r="G69" s="13" t="n">
        <v>1484</v>
      </c>
    </row>
    <row r="70">
      <c r="A70" s="12" t="n">
        <v>4515142545419</v>
      </c>
      <c r="B70" s="12" t="inlineStr">
        <is>
          <t>CX2509JKSCF-KGHU</t>
        </is>
      </c>
      <c r="C70" s="12" t="inlineStr">
        <is>
          <t>呪術廻戦展 懐玉玉折　クリアファイル（灰原 雄）</t>
        </is>
      </c>
      <c r="D70" s="12" t="inlineStr">
        <is>
          <t>DB00</t>
        </is>
      </c>
      <c r="E70" s="12" t="inlineStr">
        <is>
          <t>DBS倉庫</t>
        </is>
      </c>
      <c r="F70" s="13" t="n">
        <v>259</v>
      </c>
      <c r="G70" s="13" t="n">
        <v>7252</v>
      </c>
    </row>
    <row r="71">
      <c r="A71" s="12" t="n">
        <v>4515142545426</v>
      </c>
      <c r="B71" s="12" t="inlineStr">
        <is>
          <t>CX2509JKSCF-SJIU</t>
        </is>
      </c>
      <c r="C71" s="12" t="inlineStr">
        <is>
          <t>呪術廻戦展 渋谷事変　クリアファイル（虎杖 悠仁）</t>
        </is>
      </c>
      <c r="D71" s="12" t="inlineStr">
        <is>
          <t>CX01</t>
        </is>
      </c>
      <c r="E71" s="12" t="inlineStr">
        <is>
          <t>CX催事</t>
        </is>
      </c>
      <c r="F71" s="13" t="n">
        <v>153</v>
      </c>
      <c r="G71" s="13" t="n">
        <v>4131</v>
      </c>
    </row>
    <row r="72">
      <c r="A72" s="12" t="n">
        <v>4515142545426</v>
      </c>
      <c r="B72" s="12" t="inlineStr">
        <is>
          <t>CX2509JKSCF-SJIU</t>
        </is>
      </c>
      <c r="C72" s="12" t="inlineStr">
        <is>
          <t>呪術廻戦展 渋谷事変　クリアファイル（虎杖 悠仁）</t>
        </is>
      </c>
      <c r="D72" s="12" t="inlineStr">
        <is>
          <t>DB00</t>
        </is>
      </c>
      <c r="E72" s="12" t="inlineStr">
        <is>
          <t>DBS倉庫</t>
        </is>
      </c>
      <c r="F72" s="13" t="n">
        <v>1590</v>
      </c>
      <c r="G72" s="13" t="n">
        <v>42930</v>
      </c>
    </row>
    <row r="73">
      <c r="A73" s="12" t="n">
        <v>4515142545433</v>
      </c>
      <c r="B73" s="12" t="inlineStr">
        <is>
          <t>CX2509JKSCF-SJFM</t>
        </is>
      </c>
      <c r="C73" s="12" t="inlineStr">
        <is>
          <t>呪術廻戦展 渋谷事変　クリアファイル（伏黒 恵）</t>
        </is>
      </c>
      <c r="D73" s="12" t="inlineStr">
        <is>
          <t>CX01</t>
        </is>
      </c>
      <c r="E73" s="12" t="inlineStr">
        <is>
          <t>CX催事</t>
        </is>
      </c>
      <c r="F73" s="13" t="n">
        <v>196</v>
      </c>
      <c r="G73" s="13" t="n">
        <v>5292</v>
      </c>
    </row>
    <row r="74">
      <c r="A74" s="12" t="n">
        <v>4515142545433</v>
      </c>
      <c r="B74" s="12" t="inlineStr">
        <is>
          <t>CX2509JKSCF-SJFM</t>
        </is>
      </c>
      <c r="C74" s="12" t="inlineStr">
        <is>
          <t>呪術廻戦展 渋谷事変　クリアファイル（伏黒 恵）</t>
        </is>
      </c>
      <c r="D74" s="12" t="inlineStr">
        <is>
          <t>DB00</t>
        </is>
      </c>
      <c r="E74" s="12" t="inlineStr">
        <is>
          <t>DBS倉庫</t>
        </is>
      </c>
      <c r="F74" s="13" t="n">
        <v>1881</v>
      </c>
      <c r="G74" s="13" t="n">
        <v>50787</v>
      </c>
    </row>
    <row r="75">
      <c r="A75" s="12" t="n">
        <v>4515142545440</v>
      </c>
      <c r="B75" s="12" t="inlineStr">
        <is>
          <t>CX2509JKSCF-SJNB</t>
        </is>
      </c>
      <c r="C75" s="12" t="inlineStr">
        <is>
          <t>呪術廻戦展 渋谷事変　クリアファイル（釘崎 野薔薇）</t>
        </is>
      </c>
      <c r="D75" s="12" t="inlineStr">
        <is>
          <t>CX01</t>
        </is>
      </c>
      <c r="E75" s="12" t="inlineStr">
        <is>
          <t>CX催事</t>
        </is>
      </c>
      <c r="F75" s="13" t="n">
        <v>178</v>
      </c>
      <c r="G75" s="13" t="n">
        <v>4984</v>
      </c>
    </row>
    <row r="76">
      <c r="A76" s="12" t="n">
        <v>4515142545440</v>
      </c>
      <c r="B76" s="12" t="inlineStr">
        <is>
          <t>CX2509JKSCF-SJNB</t>
        </is>
      </c>
      <c r="C76" s="12" t="inlineStr">
        <is>
          <t>呪術廻戦展 渋谷事変　クリアファイル（釘崎 野薔薇）</t>
        </is>
      </c>
      <c r="D76" s="12" t="inlineStr">
        <is>
          <t>DB00</t>
        </is>
      </c>
      <c r="E76" s="12" t="inlineStr">
        <is>
          <t>DBS倉庫</t>
        </is>
      </c>
      <c r="F76" s="13" t="n">
        <v>572</v>
      </c>
      <c r="G76" s="13" t="n">
        <v>16016</v>
      </c>
    </row>
    <row r="77">
      <c r="A77" s="12" t="n">
        <v>4515142545457</v>
      </c>
      <c r="B77" s="12" t="inlineStr">
        <is>
          <t>CX2509JKSCF-SJNM</t>
        </is>
      </c>
      <c r="C77" s="12" t="inlineStr">
        <is>
          <t>呪術廻戦展 渋谷事変　クリアファイル（七海 建人）</t>
        </is>
      </c>
      <c r="D77" s="12" t="inlineStr">
        <is>
          <t>CX01</t>
        </is>
      </c>
      <c r="E77" s="12" t="inlineStr">
        <is>
          <t>CX催事</t>
        </is>
      </c>
      <c r="F77" s="13" t="n">
        <v>302</v>
      </c>
      <c r="G77" s="13" t="n">
        <v>8154</v>
      </c>
    </row>
    <row r="78">
      <c r="A78" s="12" t="n">
        <v>4515142545457</v>
      </c>
      <c r="B78" s="12" t="inlineStr">
        <is>
          <t>CX2509JKSCF-SJNM</t>
        </is>
      </c>
      <c r="C78" s="12" t="inlineStr">
        <is>
          <t>呪術廻戦展 渋谷事変　クリアファイル（七海 建人）</t>
        </is>
      </c>
      <c r="D78" s="12" t="inlineStr">
        <is>
          <t>DB00</t>
        </is>
      </c>
      <c r="E78" s="12" t="inlineStr">
        <is>
          <t>DBS倉庫</t>
        </is>
      </c>
      <c r="F78" s="13" t="n">
        <v>2121</v>
      </c>
      <c r="G78" s="13" t="n">
        <v>57267</v>
      </c>
    </row>
    <row r="79">
      <c r="A79" s="12" t="n">
        <v>4515142545464</v>
      </c>
      <c r="B79" s="12" t="inlineStr">
        <is>
          <t>CX2509JKSCF-SJGO</t>
        </is>
      </c>
      <c r="C79" s="12" t="inlineStr">
        <is>
          <t>呪術廻戦展 渋谷事変　クリアファイル（五条 悟）</t>
        </is>
      </c>
      <c r="D79" s="12" t="inlineStr">
        <is>
          <t>CX01</t>
        </is>
      </c>
      <c r="E79" s="12" t="inlineStr">
        <is>
          <t>CX催事</t>
        </is>
      </c>
      <c r="F79" s="13" t="n">
        <v>1157</v>
      </c>
      <c r="G79" s="13" t="n">
        <v>47437</v>
      </c>
    </row>
    <row r="80">
      <c r="A80" s="12" t="n">
        <v>4515142545464</v>
      </c>
      <c r="B80" s="12" t="inlineStr">
        <is>
          <t>CX2509JKSCF-SJGO</t>
        </is>
      </c>
      <c r="C80" s="12" t="inlineStr">
        <is>
          <t>呪術廻戦展 渋谷事変　クリアファイル（五条 悟）</t>
        </is>
      </c>
      <c r="D80" s="12" t="inlineStr">
        <is>
          <t>DB00</t>
        </is>
      </c>
      <c r="E80" s="12" t="inlineStr">
        <is>
          <t>DBS倉庫</t>
        </is>
      </c>
      <c r="F80" s="13" t="n">
        <v>8125</v>
      </c>
      <c r="G80" s="13" t="n">
        <v>333125</v>
      </c>
    </row>
    <row r="81">
      <c r="A81" s="12" t="n">
        <v>4515142545471</v>
      </c>
      <c r="B81" s="12" t="inlineStr">
        <is>
          <t>CX2509JKSCF-SJGE</t>
        </is>
      </c>
      <c r="C81" s="12" t="inlineStr">
        <is>
          <t>呪術廻戦展 渋谷事変　クリアファイル（夏油 傑）</t>
        </is>
      </c>
      <c r="D81" s="12" t="inlineStr">
        <is>
          <t>CX01</t>
        </is>
      </c>
      <c r="E81" s="12" t="inlineStr">
        <is>
          <t>CX催事</t>
        </is>
      </c>
      <c r="F81" s="13" t="n">
        <v>129</v>
      </c>
      <c r="G81" s="13" t="n">
        <v>3483</v>
      </c>
    </row>
    <row r="82">
      <c r="A82" s="12" t="n">
        <v>4515142545471</v>
      </c>
      <c r="B82" s="12" t="inlineStr">
        <is>
          <t>CX2509JKSCF-SJGE</t>
        </is>
      </c>
      <c r="C82" s="12" t="inlineStr">
        <is>
          <t>呪術廻戦展 渋谷事変　クリアファイル（夏油 傑）</t>
        </is>
      </c>
      <c r="D82" s="12" t="inlineStr">
        <is>
          <t>DB00</t>
        </is>
      </c>
      <c r="E82" s="12" t="inlineStr">
        <is>
          <t>DBS倉庫</t>
        </is>
      </c>
      <c r="F82" s="13" t="n">
        <v>2090</v>
      </c>
      <c r="G82" s="13" t="n">
        <v>56430</v>
      </c>
    </row>
    <row r="83">
      <c r="A83" s="12" t="n">
        <v>4515142545488</v>
      </c>
      <c r="B83" s="12" t="inlineStr">
        <is>
          <t>CX2509JKSCF-SJMH</t>
        </is>
      </c>
      <c r="C83" s="12" t="inlineStr">
        <is>
          <t>呪術廻戦展 渋谷事変　クリアファイル（真人）</t>
        </is>
      </c>
      <c r="D83" s="12" t="inlineStr">
        <is>
          <t>CX01</t>
        </is>
      </c>
      <c r="E83" s="12" t="inlineStr">
        <is>
          <t>CX催事</t>
        </is>
      </c>
      <c r="F83" s="13" t="n">
        <v>67</v>
      </c>
      <c r="G83" s="13" t="n">
        <v>1809</v>
      </c>
    </row>
    <row r="84">
      <c r="A84" s="12" t="n">
        <v>4515142545488</v>
      </c>
      <c r="B84" s="12" t="inlineStr">
        <is>
          <t>CX2509JKSCF-SJMH</t>
        </is>
      </c>
      <c r="C84" s="12" t="inlineStr">
        <is>
          <t>呪術廻戦展 渋谷事変　クリアファイル（真人）</t>
        </is>
      </c>
      <c r="D84" s="12" t="inlineStr">
        <is>
          <t>DB00</t>
        </is>
      </c>
      <c r="E84" s="12" t="inlineStr">
        <is>
          <t>DBS倉庫</t>
        </is>
      </c>
      <c r="F84" s="13" t="n">
        <v>216</v>
      </c>
      <c r="G84" s="13" t="n">
        <v>5832</v>
      </c>
    </row>
    <row r="85">
      <c r="A85" s="12" t="n">
        <v>4515142545495</v>
      </c>
      <c r="B85" s="12" t="inlineStr">
        <is>
          <t>CX2509JKSCF-SJCS</t>
        </is>
      </c>
      <c r="C85" s="12" t="inlineStr">
        <is>
          <t>呪術廻戦展 渋谷事変　クリアファイル（脹相）</t>
        </is>
      </c>
      <c r="D85" s="12" t="inlineStr">
        <is>
          <t>CX01</t>
        </is>
      </c>
      <c r="E85" s="12" t="inlineStr">
        <is>
          <t>CX催事</t>
        </is>
      </c>
      <c r="F85" s="13" t="n">
        <v>122</v>
      </c>
      <c r="G85" s="13" t="n">
        <v>17690</v>
      </c>
    </row>
    <row r="86">
      <c r="A86" s="12" t="n">
        <v>4515142545495</v>
      </c>
      <c r="B86" s="12" t="inlineStr">
        <is>
          <t>CX2509JKSCF-SJCS</t>
        </is>
      </c>
      <c r="C86" s="12" t="inlineStr">
        <is>
          <t>呪術廻戦展 渋谷事変　クリアファイル（脹相）</t>
        </is>
      </c>
      <c r="D86" s="12" t="inlineStr">
        <is>
          <t>DB00</t>
        </is>
      </c>
      <c r="E86" s="12" t="inlineStr">
        <is>
          <t>DBS倉庫</t>
        </is>
      </c>
      <c r="F86" s="13" t="n">
        <v>98</v>
      </c>
      <c r="G86" s="13" t="n">
        <v>14210</v>
      </c>
    </row>
    <row r="87">
      <c r="A87" s="12" t="n">
        <v>4515142545501</v>
      </c>
      <c r="B87" s="12" t="inlineStr">
        <is>
          <t>CX2509JKSCF-SJSK</t>
        </is>
      </c>
      <c r="C87" s="12" t="inlineStr">
        <is>
          <t>呪術廻戦展 渋谷事変　クリアファイル（宿儺）</t>
        </is>
      </c>
      <c r="D87" s="12" t="inlineStr">
        <is>
          <t>CX01</t>
        </is>
      </c>
      <c r="E87" s="12" t="inlineStr">
        <is>
          <t>CX催事</t>
        </is>
      </c>
      <c r="F87" s="13" t="n">
        <v>250</v>
      </c>
      <c r="G87" s="13" t="n">
        <v>6750</v>
      </c>
    </row>
    <row r="88">
      <c r="A88" s="12" t="n">
        <v>4515142545501</v>
      </c>
      <c r="B88" s="12" t="inlineStr">
        <is>
          <t>CX2509JKSCF-SJSK</t>
        </is>
      </c>
      <c r="C88" s="12" t="inlineStr">
        <is>
          <t>呪術廻戦展 渋谷事変　クリアファイル（宿儺）</t>
        </is>
      </c>
      <c r="D88" s="12" t="inlineStr">
        <is>
          <t>DB00</t>
        </is>
      </c>
      <c r="E88" s="12" t="inlineStr">
        <is>
          <t>DBS倉庫</t>
        </is>
      </c>
      <c r="F88" s="13" t="n">
        <v>1031</v>
      </c>
      <c r="G88" s="13" t="n">
        <v>27837</v>
      </c>
    </row>
    <row r="89">
      <c r="A89" s="12" t="inlineStr">
        <is>
          <t>#</t>
        </is>
      </c>
      <c r="B89" s="12" t="inlineStr">
        <is>
          <t>CX2509JKSDTPCHCLP2</t>
        </is>
      </c>
      <c r="C89" s="12" t="inlineStr">
        <is>
          <t>呪術廻戦展 懐玉玉折 渋谷事変　脱兎クリップのみ(1SET 5個)</t>
        </is>
      </c>
      <c r="D89" s="12" t="inlineStr">
        <is>
          <t>CX01</t>
        </is>
      </c>
      <c r="E89" s="12" t="inlineStr">
        <is>
          <t>CX催事</t>
        </is>
      </c>
      <c r="F89" s="13" t="n">
        <v>260</v>
      </c>
      <c r="G89" s="13" t="n">
        <v>80340</v>
      </c>
    </row>
    <row r="90">
      <c r="A90" s="12" t="inlineStr">
        <is>
          <t>#</t>
        </is>
      </c>
      <c r="B90" s="12" t="inlineStr">
        <is>
          <t>CX2509JKSDTPCHCLP2</t>
        </is>
      </c>
      <c r="C90" s="12" t="inlineStr">
        <is>
          <t>呪術廻戦展 懐玉玉折 渋谷事変　脱兎クリップのみ(1SET 5個)</t>
        </is>
      </c>
      <c r="D90" s="12" t="inlineStr">
        <is>
          <t>DB00</t>
        </is>
      </c>
      <c r="E90" s="12" t="inlineStr">
        <is>
          <t>DBS倉庫</t>
        </is>
      </c>
      <c r="F90" s="13" t="n">
        <v>0</v>
      </c>
      <c r="G90" s="13" t="n">
        <v>0</v>
      </c>
    </row>
    <row r="91">
      <c r="A91" s="12" t="inlineStr">
        <is>
          <t>#</t>
        </is>
      </c>
      <c r="B91" s="12" t="inlineStr">
        <is>
          <t>QCX2509JKS2FN-10</t>
        </is>
      </c>
      <c r="C91" s="12" t="inlineStr">
        <is>
          <t>呪術廻戦展 懐玉玉折 渋谷事変 経費（課税10％）</t>
        </is>
      </c>
      <c r="D91" s="12" t="inlineStr">
        <is>
          <t>CX01</t>
        </is>
      </c>
      <c r="E91" s="12" t="inlineStr">
        <is>
          <t>CX催事</t>
        </is>
      </c>
      <c r="F91" s="13" t="n">
        <v>1568374</v>
      </c>
      <c r="G91" s="13" t="n">
        <v>1568374</v>
      </c>
    </row>
    <row r="92">
      <c r="A92" s="12" t="inlineStr">
        <is>
          <t>#</t>
        </is>
      </c>
      <c r="B92" s="12" t="inlineStr">
        <is>
          <t>QCX2509JKS2FN-10</t>
        </is>
      </c>
      <c r="C92" s="12" t="inlineStr">
        <is>
          <t>呪術廻戦展 懐玉玉折 渋谷事変 経費（課税10％）</t>
        </is>
      </c>
      <c r="D92" s="12" t="inlineStr">
        <is>
          <t>ZZ01</t>
        </is>
      </c>
      <c r="E92" s="12" t="inlineStr">
        <is>
          <t>その他</t>
        </is>
      </c>
      <c r="F92" s="13" t="n">
        <v>264000</v>
      </c>
      <c r="G92" s="13" t="n">
        <v>264000</v>
      </c>
    </row>
    <row r="93">
      <c r="A93" s="12" t="inlineStr">
        <is>
          <t>#</t>
        </is>
      </c>
      <c r="B93" s="12" t="inlineStr">
        <is>
          <t>QCX2509JKS2FN-8</t>
        </is>
      </c>
      <c r="C93" s="12" t="inlineStr">
        <is>
          <t>呪術廻戦展 懐玉玉折 渋谷事変 経費（課税8％）</t>
        </is>
      </c>
      <c r="D93" s="12" t="inlineStr">
        <is>
          <t>CX01</t>
        </is>
      </c>
      <c r="E93" s="12" t="inlineStr">
        <is>
          <t>CX催事</t>
        </is>
      </c>
      <c r="F93" s="13" t="n">
        <v>902</v>
      </c>
      <c r="G93" s="13" t="n">
        <v>902</v>
      </c>
    </row>
    <row r="94">
      <c r="A94" s="12" t="inlineStr">
        <is>
          <t>#</t>
        </is>
      </c>
      <c r="B94" s="12" t="inlineStr">
        <is>
          <t>QCX2509JKS2FN-NT</t>
        </is>
      </c>
      <c r="C94" s="12" t="inlineStr">
        <is>
          <t>呪術廻戦展 懐玉玉折 渋谷事変 経費（非課税）</t>
        </is>
      </c>
      <c r="D94" s="12" t="inlineStr">
        <is>
          <t>CX01</t>
        </is>
      </c>
      <c r="E94" s="12" t="inlineStr">
        <is>
          <t>CX催事</t>
        </is>
      </c>
      <c r="F94" s="13" t="n">
        <v>12221</v>
      </c>
      <c r="G94" s="13" t="n">
        <v>12221</v>
      </c>
    </row>
    <row r="95">
      <c r="A95" s="12" t="inlineStr">
        <is>
          <t>#</t>
        </is>
      </c>
      <c r="B95" s="12" t="inlineStr">
        <is>
          <t>QCX2509JKS2FN-RY</t>
        </is>
      </c>
      <c r="C95" s="12" t="inlineStr">
        <is>
          <t>呪術廻戦展 懐玉玉折 渋谷事変 経費（RY）</t>
        </is>
      </c>
      <c r="D95" s="12" t="inlineStr">
        <is>
          <t>CX01</t>
        </is>
      </c>
      <c r="E95" s="12" t="inlineStr">
        <is>
          <t>CX催事</t>
        </is>
      </c>
      <c r="F95" s="13" t="n">
        <v>13292908</v>
      </c>
      <c r="G95" s="13" t="n">
        <v>13292908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2" customWidth="1" min="3" max="3"/>
  </cols>
  <sheetData>
    <row r="1" ht="32" customHeight="1">
      <c r="A1" s="3" t="inlineStr">
        <is>
          <t>品目コード</t>
        </is>
      </c>
      <c r="B1" s="3" t="inlineStr">
        <is>
          <t>品目名（SAP）</t>
        </is>
      </c>
      <c r="C1" s="3" t="inlineStr">
        <is>
          <t>払出数</t>
        </is>
      </c>
    </row>
    <row r="2">
      <c r="A2" s="14" t="inlineStr">
        <is>
          <t>CX2509JKSMPOSCKV</t>
        </is>
      </c>
      <c r="B2" t="inlineStr">
        <is>
          <t>呪術廻戦展 懐玉玉折 渋谷事変　メタリックポストカード　展示会KV</t>
        </is>
      </c>
      <c r="C2" s="15" t="n">
        <v>289</v>
      </c>
    </row>
    <row r="3">
      <c r="A3" s="14" t="inlineStr">
        <is>
          <t>CX2509JKSCFKV</t>
        </is>
      </c>
      <c r="B3" t="inlineStr">
        <is>
          <t>呪術廻戦展 懐玉玉折 渋谷事変　クリアファイル　展示会KV</t>
        </is>
      </c>
      <c r="C3" s="15" t="n">
        <v>312</v>
      </c>
    </row>
    <row r="4">
      <c r="A4" s="14" t="inlineStr">
        <is>
          <t>CX2509JKSPOSC-KG5</t>
        </is>
      </c>
      <c r="B4" t="inlineStr">
        <is>
          <t>呪術廻戦展 懐玉玉折　ポストカードセット（5枚入）</t>
        </is>
      </c>
      <c r="C4" s="15" t="n">
        <v>580</v>
      </c>
    </row>
    <row r="5">
      <c r="A5" s="14" t="inlineStr">
        <is>
          <t>CX2509JKSPOSC-SJ9</t>
        </is>
      </c>
      <c r="B5" t="inlineStr">
        <is>
          <t>呪術廻戦展 渋谷事変　ポストカードセット（9枚入）</t>
        </is>
      </c>
      <c r="C5" s="15" t="n">
        <v>1143</v>
      </c>
    </row>
    <row r="6">
      <c r="A6" s="14" t="inlineStr">
        <is>
          <t>CX2509JKSBBDG-KG5</t>
        </is>
      </c>
      <c r="B6" t="inlineStr">
        <is>
          <t>呪術廻戦展 懐玉玉折　ブラインド缶バッジ（全5種）</t>
        </is>
      </c>
      <c r="C6" s="15" t="n">
        <v>256</v>
      </c>
    </row>
    <row r="7">
      <c r="A7" s="14" t="inlineStr">
        <is>
          <t>CX2509JKSBBDG-SJ9</t>
        </is>
      </c>
      <c r="B7" t="inlineStr">
        <is>
          <t>呪術廻戦展 渋谷事変　ブラインド缶バッジ（全9種）</t>
        </is>
      </c>
      <c r="C7" s="15" t="n">
        <v>573</v>
      </c>
    </row>
    <row r="8">
      <c r="A8" s="14" t="inlineStr">
        <is>
          <t>CX2509JKSBSTK-KG5</t>
        </is>
      </c>
      <c r="B8" t="inlineStr">
        <is>
          <t>呪術廻戦展 懐玉玉折　ブラインドダイカットステッカー（全5種）</t>
        </is>
      </c>
      <c r="C8" s="15" t="n">
        <v>162</v>
      </c>
    </row>
    <row r="9">
      <c r="A9" s="14" t="inlineStr">
        <is>
          <t>CX2509JKSBSTK-SJ9</t>
        </is>
      </c>
      <c r="B9" t="inlineStr">
        <is>
          <t>呪術廻戦展 渋谷事変　ブラインドダイカットステッカー（全9種）</t>
        </is>
      </c>
      <c r="C9" s="15" t="n">
        <v>259</v>
      </c>
    </row>
    <row r="10">
      <c r="A10" s="14" t="inlineStr">
        <is>
          <t>CX2509JKSCF-KGGO</t>
        </is>
      </c>
      <c r="B10" t="inlineStr">
        <is>
          <t>呪術廻戦展 懐玉玉折　クリアファイル（五条 悟）</t>
        </is>
      </c>
      <c r="C10" s="15" t="n">
        <v>52</v>
      </c>
    </row>
    <row r="11">
      <c r="A11" s="14" t="inlineStr">
        <is>
          <t>CX2509JKSCF-KGGE</t>
        </is>
      </c>
      <c r="B11" t="inlineStr">
        <is>
          <t>呪術廻戦展 懐玉玉折　クリアファイル（夏油 傑）</t>
        </is>
      </c>
      <c r="C11" s="15" t="n">
        <v>20</v>
      </c>
    </row>
    <row r="12">
      <c r="A12" s="14" t="inlineStr">
        <is>
          <t>CX2509JKSCF-KGIS</t>
        </is>
      </c>
      <c r="B12" t="inlineStr">
        <is>
          <t>呪術廻戦展 懐玉玉折　クリアファイル（家入 硝子）</t>
        </is>
      </c>
      <c r="C12" s="15" t="n">
        <v>8</v>
      </c>
    </row>
    <row r="13">
      <c r="A13" s="14" t="inlineStr">
        <is>
          <t>CX2509JKSCF-KGNM</t>
        </is>
      </c>
      <c r="B13" t="inlineStr">
        <is>
          <t>呪術廻戦展 懐玉玉折　クリアファイル（七海 建人）</t>
        </is>
      </c>
      <c r="C13" s="15" t="n">
        <v>15</v>
      </c>
    </row>
    <row r="14">
      <c r="A14" s="14" t="inlineStr">
        <is>
          <t>CX2509JKSCF-KGHU</t>
        </is>
      </c>
      <c r="B14" t="inlineStr">
        <is>
          <t>呪術廻戦展 懐玉玉折　クリアファイル（灰原 雄）</t>
        </is>
      </c>
      <c r="C14" s="15" t="n">
        <v>6</v>
      </c>
    </row>
    <row r="15">
      <c r="A15" s="14" t="inlineStr">
        <is>
          <t>CX2509JKSCF-SJIU</t>
        </is>
      </c>
      <c r="B15" t="inlineStr">
        <is>
          <t>呪術廻戦展 渋谷事変　クリアファイル（虎杖 悠仁）</t>
        </is>
      </c>
      <c r="C15" s="15" t="n">
        <v>11</v>
      </c>
    </row>
    <row r="16">
      <c r="A16" s="14" t="inlineStr">
        <is>
          <t>CX2509JKSCF-SJFM</t>
        </is>
      </c>
      <c r="B16" t="inlineStr">
        <is>
          <t>呪術廻戦展 渋谷事変　クリアファイル（伏黒 恵）</t>
        </is>
      </c>
      <c r="C16" s="15" t="n">
        <v>22</v>
      </c>
    </row>
    <row r="17">
      <c r="A17" s="14" t="inlineStr">
        <is>
          <t>CX2509JKSCF-SJNB</t>
        </is>
      </c>
      <c r="B17" t="inlineStr">
        <is>
          <t>呪術廻戦展 渋谷事変　クリアファイル（釘崎 野薔薇）</t>
        </is>
      </c>
      <c r="C17" s="15" t="n">
        <v>6</v>
      </c>
    </row>
    <row r="18">
      <c r="A18" s="14" t="inlineStr">
        <is>
          <t>CX2509JKSCF-SJNM</t>
        </is>
      </c>
      <c r="B18" t="inlineStr">
        <is>
          <t>呪術廻戦展 渋谷事変　クリアファイル（七海 建人）</t>
        </is>
      </c>
      <c r="C18" s="15" t="n">
        <v>42</v>
      </c>
    </row>
    <row r="19">
      <c r="A19" s="14" t="inlineStr">
        <is>
          <t>CX2509JKSCF-SJGO</t>
        </is>
      </c>
      <c r="B19" t="inlineStr">
        <is>
          <t>呪術廻戦展 渋谷事変　クリアファイル（五条 悟）</t>
        </is>
      </c>
      <c r="C19" s="15" t="n">
        <v>152</v>
      </c>
    </row>
    <row r="20">
      <c r="A20" s="14" t="inlineStr">
        <is>
          <t>CX2509JKSCF-SJGE</t>
        </is>
      </c>
      <c r="B20" t="inlineStr">
        <is>
          <t>呪術廻戦展 渋谷事変　クリアファイル（夏油 傑）</t>
        </is>
      </c>
      <c r="C20" s="15" t="n">
        <v>4</v>
      </c>
    </row>
    <row r="21">
      <c r="A21" s="14" t="inlineStr">
        <is>
          <t>CX2509JKSCF-SJMH</t>
        </is>
      </c>
      <c r="B21" t="inlineStr">
        <is>
          <t>呪術廻戦展 渋谷事変　クリアファイル（真人）</t>
        </is>
      </c>
      <c r="C21" s="15" t="n">
        <v>5</v>
      </c>
    </row>
    <row r="22">
      <c r="A22" s="14" t="inlineStr">
        <is>
          <t>CX2509JKSCF-SJCS</t>
        </is>
      </c>
      <c r="B22" t="inlineStr">
        <is>
          <t>呪術廻戦展 渋谷事変　クリアファイル（脹相）</t>
        </is>
      </c>
      <c r="C22" s="15" t="n">
        <v>28</v>
      </c>
    </row>
    <row r="23">
      <c r="A23" s="14" t="inlineStr">
        <is>
          <t>CX2509JKSCF-SJSK</t>
        </is>
      </c>
      <c r="B23" t="inlineStr">
        <is>
          <t>呪術廻戦展 渋谷事変　クリアファイル（宿儺）</t>
        </is>
      </c>
      <c r="C23" s="15" t="n">
        <v>23</v>
      </c>
    </row>
    <row r="24">
      <c r="A24" s="14" t="inlineStr">
        <is>
          <t>CX2509JKSBMCPA-KG5</t>
        </is>
      </c>
      <c r="B24" t="inlineStr">
        <is>
          <t>呪術廻戦展 懐玉玉折　ブラインドミニ色紙（全5種）</t>
        </is>
      </c>
      <c r="C24" s="15" t="n">
        <v>1254</v>
      </c>
    </row>
    <row r="25">
      <c r="A25" s="14" t="inlineStr">
        <is>
          <t>CX2509JKSBMCPA-SJ5</t>
        </is>
      </c>
      <c r="B25" t="inlineStr">
        <is>
          <t>呪術廻戦展 渋谷事変　ブラインドミニ色紙（全5種）</t>
        </is>
      </c>
      <c r="C25" s="15" t="n">
        <v>833</v>
      </c>
    </row>
    <row r="26">
      <c r="A26" s="14" t="inlineStr">
        <is>
          <t>CX2509JKSGOBTBALL</t>
        </is>
      </c>
      <c r="B26" t="inlineStr">
        <is>
          <t>呪術廻戦展 懐玉玉折 渋谷事変　虚式 ? バスボール</t>
        </is>
      </c>
      <c r="C26" s="15" t="n">
        <v>56</v>
      </c>
    </row>
    <row r="27">
      <c r="A27" s="14" t="inlineStr">
        <is>
          <t>CX2509JKSGEHAIRBD</t>
        </is>
      </c>
      <c r="B27" t="inlineStr">
        <is>
          <t>呪術廻戦展 懐玉玉折 渋谷事変　前髪ヘアバンド</t>
        </is>
      </c>
      <c r="C27" s="15" t="n">
        <v>50</v>
      </c>
    </row>
    <row r="28">
      <c r="A28" s="14" t="inlineStr">
        <is>
          <t>CX2509JKSBANDAGE</t>
        </is>
      </c>
      <c r="B28" t="inlineStr">
        <is>
          <t>呪術廻戦展 懐玉玉折 渋谷事変　反転術式絆創膏</t>
        </is>
      </c>
      <c r="C28" s="15" t="n">
        <v>20</v>
      </c>
    </row>
    <row r="29">
      <c r="A29" s="14" t="inlineStr">
        <is>
          <t>CX2509JKSSKFINGER</t>
        </is>
      </c>
      <c r="B29" t="inlineStr">
        <is>
          <t>呪術廻戦展 懐玉玉折 渋谷事変　宿儺の指風お菓子</t>
        </is>
      </c>
      <c r="C29" s="15" t="n">
        <v>800</v>
      </c>
    </row>
    <row r="30">
      <c r="A30" s="14" t="inlineStr">
        <is>
          <t>CX2509JKSDTPCHCLP</t>
        </is>
      </c>
      <c r="B30" t="inlineStr">
        <is>
          <t>呪術廻戦展 懐玉玉折 渋谷事変　脱兎 ポーチ入りクリップセット</t>
        </is>
      </c>
      <c r="C30" s="15" t="n">
        <v>92</v>
      </c>
    </row>
    <row r="31">
      <c r="A31" s="14" t="inlineStr">
        <is>
          <t>CX2509JKSDTPCHCLP2</t>
        </is>
      </c>
      <c r="B31" t="inlineStr">
        <is>
          <t>呪術廻戦展 懐玉玉折 渋谷事変　脱兎クリップのみ(1SET 5個)</t>
        </is>
      </c>
      <c r="C31" s="15" t="n">
        <v>92</v>
      </c>
    </row>
    <row r="32">
      <c r="A32" s="14" t="inlineStr">
        <is>
          <t>CX2509JKSNBECOBAG</t>
        </is>
      </c>
      <c r="B32" t="inlineStr">
        <is>
          <t>呪術廻戦展 懐玉玉折 渋谷事変　釘崎のポーチ風エコバッグ</t>
        </is>
      </c>
      <c r="C32" s="15" t="n">
        <v>47</v>
      </c>
    </row>
    <row r="33">
      <c r="A33" s="14" t="inlineStr">
        <is>
          <t>CX2509JKSPLANNER</t>
        </is>
      </c>
      <c r="B33" t="inlineStr">
        <is>
          <t>呪術廻戦展 懐玉玉折 渋谷事変　半年分の情報が書き込める手帳</t>
        </is>
      </c>
      <c r="C33" s="15" t="n">
        <v>63</v>
      </c>
    </row>
    <row r="34">
      <c r="A34" s="14" t="inlineStr">
        <is>
          <t>CX2509JKSMUSICBOX</t>
        </is>
      </c>
      <c r="B34" t="inlineStr">
        <is>
          <t>呪術廻戦展 懐玉玉折 渋谷事変　気分リフレッシュオルゴール</t>
        </is>
      </c>
      <c r="C34" s="15" t="n">
        <v>5</v>
      </c>
    </row>
    <row r="35">
      <c r="A35" s="14" t="inlineStr">
        <is>
          <t>CX2509JKSIRG-GO11</t>
        </is>
      </c>
      <c r="B35" t="inlineStr">
        <is>
          <t>呪術廻戦展 懐玉玉折 渋谷事変　五条 悟　イメージリング（#11）</t>
        </is>
      </c>
      <c r="C35" s="15" t="n">
        <v>4</v>
      </c>
    </row>
    <row r="36">
      <c r="A36" s="14" t="inlineStr">
        <is>
          <t>CX2509JKSIRG-GO13</t>
        </is>
      </c>
      <c r="B36" t="inlineStr">
        <is>
          <t>呪術廻戦展 懐玉玉折 渋谷事変　五条 悟　イメージリング（#13）</t>
        </is>
      </c>
      <c r="C36" s="15" t="n">
        <v>1</v>
      </c>
    </row>
    <row r="37">
      <c r="A37" s="14" t="inlineStr">
        <is>
          <t>CX2509JKSIRG-GO15</t>
        </is>
      </c>
      <c r="B37" t="inlineStr">
        <is>
          <t>呪術廻戦展 懐玉玉折 渋谷事変　五条 悟　イメージリング（#15）</t>
        </is>
      </c>
      <c r="C37" s="15" t="n">
        <v>1</v>
      </c>
    </row>
    <row r="38">
      <c r="A38" s="14" t="inlineStr">
        <is>
          <t>CX2509JKSIRG-GO17</t>
        </is>
      </c>
      <c r="B38" t="inlineStr">
        <is>
          <t>呪術廻戦展 懐玉玉折 渋谷事変　五条 悟　イメージリング（#17）</t>
        </is>
      </c>
      <c r="C38" s="15" t="n">
        <v>1</v>
      </c>
    </row>
    <row r="39">
      <c r="A39" s="14" t="inlineStr">
        <is>
          <t>CX2509JKSIRG-GE11</t>
        </is>
      </c>
      <c r="B39" t="inlineStr">
        <is>
          <t>呪術廻戦展 懐玉玉折 渋谷事変　夏油 傑　イメージリング（#11）</t>
        </is>
      </c>
      <c r="C39" s="15" t="n">
        <v>5</v>
      </c>
    </row>
    <row r="40">
      <c r="A40" s="14" t="inlineStr">
        <is>
          <t>CX2509JKSIRG-GE13</t>
        </is>
      </c>
      <c r="B40" t="inlineStr">
        <is>
          <t>呪術廻戦展 懐玉玉折 渋谷事変　夏油 傑　イメージリング（#13）</t>
        </is>
      </c>
      <c r="C40" s="15" t="n">
        <v>1</v>
      </c>
    </row>
    <row r="41">
      <c r="A41" s="14" t="inlineStr">
        <is>
          <t>CX2509JKSIRG-GE15</t>
        </is>
      </c>
      <c r="B41" t="inlineStr">
        <is>
          <t>呪術廻戦展 懐玉玉折 渋谷事変　夏油 傑　イメージリング（#15）</t>
        </is>
      </c>
      <c r="C41" s="15" t="n">
        <v>1</v>
      </c>
    </row>
    <row r="42">
      <c r="A42" s="14" t="inlineStr">
        <is>
          <t>CX2509JKSIRG-GE17</t>
        </is>
      </c>
      <c r="B42" t="inlineStr">
        <is>
          <t>呪術廻戦展 懐玉玉折 渋谷事変　夏油 傑　イメージリング（#17）</t>
        </is>
      </c>
      <c r="C42" s="15" t="n">
        <v>1</v>
      </c>
    </row>
    <row r="43">
      <c r="B43" s="10" t="inlineStr">
        <is>
          <t>合計</t>
        </is>
      </c>
      <c r="C43" s="16">
        <f>SUM(C2:C42)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2026-10-29T17:34:15Z</dcterms:created>
  <dcterms:modified xsi:type="dcterms:W3CDTF">2026-10-29T17:34:15Z</dcterms:modified>
</cp:coreProperties>
</file>