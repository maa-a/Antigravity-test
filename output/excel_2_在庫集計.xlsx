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XTab DS_1" sheetId="1" state="visible" r:id="rId1"/>
    <sheet name="Filter DS_1" sheetId="2" state="visible" r:id="rId2"/>
    <sheet name="倉庫別_CX催事" sheetId="3" state="visible" r:id="rId3"/>
    <sheet name="倉庫別_DBS倉庫" sheetId="4" state="visible" r:id="rId4"/>
    <sheet name="商品別_合算" sheetId="5" state="visible" r:id="rId5"/>
  </sheets>
  <definedNames>
    <definedName name="_xlnm._FilterDatabase" localSheetId="2" hidden="1">'倉庫別_CX催事'!$A$1:$H$97</definedName>
    <definedName name="_xlnm._FilterDatabase" localSheetId="3" hidden="1">'倉庫別_DBS倉庫'!$A$1:$H$97</definedName>
    <definedName name="_xlnm._FilterDatabase" localSheetId="4" hidden="1">'商品別_合算'!$A$1:$K$97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C&quot;;-#,##0 &quot;PC&quot;"/>
    <numFmt numFmtId="165" formatCode="#,##0 &quot;JPY&quot;;-#,##0 &quot;JPY&quot;"/>
  </numFmts>
  <fonts count="8">
    <font>
      <name val="Calibri"/>
      <sz val="12"/>
    </font>
    <font>
      <name val="Calibri"/>
      <sz val="12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00FFFFFF"/>
    </font>
    <font>
      <name val="Calibri"/>
      <b val="1"/>
    </font>
    <font>
      <name val="Calibri"/>
      <i val="1"/>
      <color rgb="0059595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1" fillId="0" borderId="1"/>
  </cellStyleXfs>
  <cellXfs count="2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164" fontId="3" fillId="0" borderId="0" applyAlignment="1" pivotButton="0" quotePrefix="0" xfId="0">
      <alignment horizontal="right" vertical="top"/>
    </xf>
    <xf numFmtId="165" fontId="4" fillId="0" borderId="0" applyAlignment="1" pivotButton="0" quotePrefix="0" xfId="0">
      <alignment horizontal="right" vertical="top"/>
    </xf>
    <xf numFmtId="164" fontId="3" fillId="0" borderId="0" applyAlignment="1" pivotButton="0" quotePrefix="0" xfId="0">
      <alignment horizontal="right" vertical="top"/>
    </xf>
    <xf numFmtId="165" fontId="4" fillId="0" borderId="0" applyAlignment="1" pivotButton="0" quotePrefix="0" xfId="0">
      <alignment horizontal="right" vertical="top"/>
    </xf>
    <xf numFmtId="0" fontId="5" fillId="2" borderId="2" applyAlignment="1" pivotButton="0" quotePrefix="0" xfId="0">
      <alignment horizontal="center" vertical="center" wrapText="1"/>
    </xf>
    <xf numFmtId="49" fontId="0" fillId="3" borderId="2" pivotButton="0" quotePrefix="0" xfId="0"/>
    <xf numFmtId="0" fontId="0" fillId="3" borderId="2" applyAlignment="1" pivotButton="0" quotePrefix="0" xfId="0">
      <alignment horizontal="center"/>
    </xf>
    <xf numFmtId="164" fontId="0" fillId="3" borderId="2" pivotButton="0" quotePrefix="0" xfId="0"/>
    <xf numFmtId="165" fontId="0" fillId="3" borderId="2" pivotButton="0" quotePrefix="0" xfId="0"/>
    <xf numFmtId="0" fontId="0" fillId="4" borderId="2" pivotButton="0" quotePrefix="0" xfId="0"/>
    <xf numFmtId="0" fontId="6" fillId="4" borderId="2" pivotButton="0" quotePrefix="0" xfId="0"/>
    <xf numFmtId="164" fontId="6" fillId="4" borderId="2" pivotButton="0" quotePrefix="0" xfId="0"/>
    <xf numFmtId="165" fontId="6" fillId="4" borderId="2" pivotButton="0" quotePrefix="0" xfId="0"/>
    <xf numFmtId="0" fontId="0" fillId="5" borderId="2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164" fontId="6" fillId="3" borderId="2" pivotButton="0" quotePrefix="0" xfId="0"/>
    <xf numFmtId="165" fontId="6" fillId="3" borderId="2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showGridLines="1" tabSelected="0" workbookViewId="0">
      <selection activeCell="A1" sqref="A1"/>
    </sheetView>
  </sheetViews>
  <sheetFormatPr baseColWidth="8" defaultRowHeight="15"/>
  <sheetData>
    <row r="1">
      <c r="A1" s="3" t="inlineStr">
        <is>
          <t>JANコード(EAN/UPC)</t>
        </is>
      </c>
      <c r="B1" s="3" t="inlineStr">
        <is>
          <t>品目コード</t>
        </is>
      </c>
      <c r="C1" s="3" t="inlineStr">
        <is>
          <t>品目テキスト</t>
        </is>
      </c>
      <c r="D1" s="3" t="inlineStr">
        <is>
          <t>保管場所</t>
        </is>
      </c>
      <c r="E1" s="3" t="inlineStr">
        <is>
          <t>保管場所名</t>
        </is>
      </c>
      <c r="F1" s="3" t="inlineStr">
        <is>
          <t>在庫数量</t>
        </is>
      </c>
      <c r="G1" s="3" t="inlineStr">
        <is>
          <t>在庫金額</t>
        </is>
      </c>
    </row>
    <row r="2">
      <c r="A2" s="3" t="inlineStr">
        <is>
          <t>#</t>
        </is>
      </c>
      <c r="B2" s="3" t="inlineStr">
        <is>
          <t>CX2511ADACDKP</t>
        </is>
      </c>
      <c r="C2" s="3" t="inlineStr">
        <is>
          <t>AD　アクリルカード　コンプリート</t>
        </is>
      </c>
      <c r="D2" s="3" t="inlineStr">
        <is>
          <t>CX01</t>
        </is>
      </c>
      <c r="E2" s="3" t="inlineStr">
        <is>
          <t>CX催事</t>
        </is>
      </c>
      <c r="F2" s="6" t="n">
        <v>0</v>
      </c>
      <c r="G2" s="7" t="n">
        <v>0</v>
      </c>
    </row>
    <row r="3">
      <c r="A3" s="3" t="inlineStr">
        <is>
          <t>#</t>
        </is>
      </c>
      <c r="B3" s="3" t="inlineStr">
        <is>
          <t>CX2511ADACDKP</t>
        </is>
      </c>
      <c r="C3" s="3" t="inlineStr">
        <is>
          <t>AD　アクリルカード　コンプリート</t>
        </is>
      </c>
      <c r="D3" s="3" t="inlineStr">
        <is>
          <t>DB00</t>
        </is>
      </c>
      <c r="E3" s="3" t="inlineStr">
        <is>
          <t>DBS倉庫</t>
        </is>
      </c>
      <c r="F3" s="6" t="n">
        <v>0</v>
      </c>
      <c r="G3" s="7" t="n">
        <v>0</v>
      </c>
    </row>
    <row r="4">
      <c r="A4" s="3" t="inlineStr">
        <is>
          <t>#</t>
        </is>
      </c>
      <c r="B4" s="3" t="inlineStr">
        <is>
          <t>CX2511ADAST-ASK</t>
        </is>
      </c>
      <c r="C4" s="3" t="inlineStr">
        <is>
          <t>AD　アクリルスタンド　（アスカ）</t>
        </is>
      </c>
      <c r="D4" s="3" t="inlineStr">
        <is>
          <t>CX01</t>
        </is>
      </c>
      <c r="E4" s="3" t="inlineStr">
        <is>
          <t>CX催事</t>
        </is>
      </c>
      <c r="F4" s="6" t="n">
        <v>0</v>
      </c>
      <c r="G4" s="7" t="n">
        <v>0</v>
      </c>
    </row>
    <row r="5">
      <c r="A5" s="3" t="inlineStr">
        <is>
          <t>#</t>
        </is>
      </c>
      <c r="B5" s="3" t="inlineStr">
        <is>
          <t>CX2511ADAST-ASK</t>
        </is>
      </c>
      <c r="C5" s="3" t="inlineStr">
        <is>
          <t>AD　アクリルスタンド　（アスカ）</t>
        </is>
      </c>
      <c r="D5" s="3" t="inlineStr">
        <is>
          <t>DB00</t>
        </is>
      </c>
      <c r="E5" s="3" t="inlineStr">
        <is>
          <t>DBS倉庫</t>
        </is>
      </c>
      <c r="F5" s="6" t="n">
        <v>0</v>
      </c>
      <c r="G5" s="7" t="n">
        <v>0</v>
      </c>
    </row>
    <row r="6">
      <c r="A6" s="3" t="inlineStr">
        <is>
          <t>#</t>
        </is>
      </c>
      <c r="B6" s="3" t="inlineStr">
        <is>
          <t>CX2511ADAST-IKR</t>
        </is>
      </c>
      <c r="C6" s="3" t="inlineStr">
        <is>
          <t>AD　アクリルスタンド　（碇ゲンドウ）</t>
        </is>
      </c>
      <c r="D6" s="3" t="inlineStr">
        <is>
          <t>CX01</t>
        </is>
      </c>
      <c r="E6" s="3" t="inlineStr">
        <is>
          <t>CX催事</t>
        </is>
      </c>
      <c r="F6" s="6" t="n">
        <v>13</v>
      </c>
      <c r="G6" s="7" t="n">
        <v>6695</v>
      </c>
    </row>
    <row r="7">
      <c r="A7" s="3" t="inlineStr">
        <is>
          <t>#</t>
        </is>
      </c>
      <c r="B7" s="3" t="inlineStr">
        <is>
          <t>CX2511ADAST-IKR</t>
        </is>
      </c>
      <c r="C7" s="3" t="inlineStr">
        <is>
          <t>AD　アクリルスタンド　（碇ゲンドウ）</t>
        </is>
      </c>
      <c r="D7" s="3" t="inlineStr">
        <is>
          <t>DB00</t>
        </is>
      </c>
      <c r="E7" s="3" t="inlineStr">
        <is>
          <t>DBS倉庫</t>
        </is>
      </c>
      <c r="F7" s="6" t="n">
        <v>0</v>
      </c>
      <c r="G7" s="7" t="n">
        <v>0</v>
      </c>
    </row>
    <row r="8">
      <c r="A8" s="3" t="inlineStr">
        <is>
          <t>#</t>
        </is>
      </c>
      <c r="B8" s="3" t="inlineStr">
        <is>
          <t>CX2511ADAST-KJ</t>
        </is>
      </c>
      <c r="C8" s="3" t="inlineStr">
        <is>
          <t>AD　アクリルスタンド　（加持良治）</t>
        </is>
      </c>
      <c r="D8" s="3" t="inlineStr">
        <is>
          <t>CX01</t>
        </is>
      </c>
      <c r="E8" s="3" t="inlineStr">
        <is>
          <t>CX催事</t>
        </is>
      </c>
      <c r="F8" s="6" t="n">
        <v>0</v>
      </c>
      <c r="G8" s="7" t="n">
        <v>0</v>
      </c>
    </row>
    <row r="9">
      <c r="A9" s="3" t="inlineStr">
        <is>
          <t>#</t>
        </is>
      </c>
      <c r="B9" s="3" t="inlineStr">
        <is>
          <t>CX2511ADAST-KJ</t>
        </is>
      </c>
      <c r="C9" s="3" t="inlineStr">
        <is>
          <t>AD　アクリルスタンド　（加持良治）</t>
        </is>
      </c>
      <c r="D9" s="3" t="inlineStr">
        <is>
          <t>DB00</t>
        </is>
      </c>
      <c r="E9" s="3" t="inlineStr">
        <is>
          <t>DBS倉庫</t>
        </is>
      </c>
      <c r="F9" s="6" t="n">
        <v>0</v>
      </c>
      <c r="G9" s="7" t="n">
        <v>0</v>
      </c>
    </row>
    <row r="10">
      <c r="A10" s="3" t="inlineStr">
        <is>
          <t>#</t>
        </is>
      </c>
      <c r="B10" s="3" t="inlineStr">
        <is>
          <t>CX2511ADAST-KWR</t>
        </is>
      </c>
      <c r="C10" s="3" t="inlineStr">
        <is>
          <t>AD　アクリルスタンド　（カヲル）</t>
        </is>
      </c>
      <c r="D10" s="3" t="inlineStr">
        <is>
          <t>CX01</t>
        </is>
      </c>
      <c r="E10" s="3" t="inlineStr">
        <is>
          <t>CX催事</t>
        </is>
      </c>
      <c r="F10" s="6" t="n">
        <v>0</v>
      </c>
      <c r="G10" s="7" t="n">
        <v>0</v>
      </c>
    </row>
    <row r="11">
      <c r="A11" s="3" t="inlineStr">
        <is>
          <t>#</t>
        </is>
      </c>
      <c r="B11" s="3" t="inlineStr">
        <is>
          <t>CX2511ADAST-KWR</t>
        </is>
      </c>
      <c r="C11" s="3" t="inlineStr">
        <is>
          <t>AD　アクリルスタンド　（カヲル）</t>
        </is>
      </c>
      <c r="D11" s="3" t="inlineStr">
        <is>
          <t>DB00</t>
        </is>
      </c>
      <c r="E11" s="3" t="inlineStr">
        <is>
          <t>DBS倉庫</t>
        </is>
      </c>
      <c r="F11" s="6" t="n">
        <v>0</v>
      </c>
      <c r="G11" s="7" t="n">
        <v>0</v>
      </c>
    </row>
    <row r="12">
      <c r="A12" s="3" t="inlineStr">
        <is>
          <t>#</t>
        </is>
      </c>
      <c r="B12" s="3" t="inlineStr">
        <is>
          <t>CX2511ADAST-MR</t>
        </is>
      </c>
      <c r="C12" s="3" t="inlineStr">
        <is>
          <t>AD　アクリルスタンド　（マリ）</t>
        </is>
      </c>
      <c r="D12" s="3" t="inlineStr">
        <is>
          <t>CX01</t>
        </is>
      </c>
      <c r="E12" s="3" t="inlineStr">
        <is>
          <t>CX催事</t>
        </is>
      </c>
      <c r="F12" s="6" t="n">
        <v>0</v>
      </c>
      <c r="G12" s="7" t="n">
        <v>0</v>
      </c>
    </row>
    <row r="13">
      <c r="A13" s="3" t="inlineStr">
        <is>
          <t>#</t>
        </is>
      </c>
      <c r="B13" s="3" t="inlineStr">
        <is>
          <t>CX2511ADAST-MR</t>
        </is>
      </c>
      <c r="C13" s="3" t="inlineStr">
        <is>
          <t>AD　アクリルスタンド　（マリ）</t>
        </is>
      </c>
      <c r="D13" s="3" t="inlineStr">
        <is>
          <t>DB00</t>
        </is>
      </c>
      <c r="E13" s="3" t="inlineStr">
        <is>
          <t>DBS倉庫</t>
        </is>
      </c>
      <c r="F13" s="6" t="n">
        <v>0</v>
      </c>
      <c r="G13" s="7" t="n">
        <v>0</v>
      </c>
    </row>
    <row r="14">
      <c r="A14" s="3" t="inlineStr">
        <is>
          <t>#</t>
        </is>
      </c>
      <c r="B14" s="3" t="inlineStr">
        <is>
          <t>CX2511ADAST-MST</t>
        </is>
      </c>
      <c r="C14" s="3" t="inlineStr">
        <is>
          <t>AD　アクリルスタンド　（美里）</t>
        </is>
      </c>
      <c r="D14" s="3" t="inlineStr">
        <is>
          <t>CX01</t>
        </is>
      </c>
      <c r="E14" s="3" t="inlineStr">
        <is>
          <t>CX催事</t>
        </is>
      </c>
      <c r="F14" s="6" t="n">
        <v>0</v>
      </c>
      <c r="G14" s="7" t="n">
        <v>0</v>
      </c>
    </row>
    <row r="15">
      <c r="A15" s="3" t="inlineStr">
        <is>
          <t>#</t>
        </is>
      </c>
      <c r="B15" s="3" t="inlineStr">
        <is>
          <t>CX2511ADAST-MST</t>
        </is>
      </c>
      <c r="C15" s="3" t="inlineStr">
        <is>
          <t>AD　アクリルスタンド　（美里）</t>
        </is>
      </c>
      <c r="D15" s="3" t="inlineStr">
        <is>
          <t>DB00</t>
        </is>
      </c>
      <c r="E15" s="3" t="inlineStr">
        <is>
          <t>DBS倉庫</t>
        </is>
      </c>
      <c r="F15" s="6" t="n">
        <v>0</v>
      </c>
      <c r="G15" s="7" t="n">
        <v>0</v>
      </c>
    </row>
    <row r="16">
      <c r="A16" s="3" t="inlineStr">
        <is>
          <t>#</t>
        </is>
      </c>
      <c r="B16" s="3" t="inlineStr">
        <is>
          <t>CX2511ADAST-PP</t>
        </is>
      </c>
      <c r="C16" s="3" t="inlineStr">
        <is>
          <t>AD　アクリルスタンド　（ペンペン）</t>
        </is>
      </c>
      <c r="D16" s="3" t="inlineStr">
        <is>
          <t>CX01</t>
        </is>
      </c>
      <c r="E16" s="3" t="inlineStr">
        <is>
          <t>CX催事</t>
        </is>
      </c>
      <c r="F16" s="6" t="n">
        <v>1</v>
      </c>
      <c r="G16" s="7" t="n">
        <v>515</v>
      </c>
    </row>
    <row r="17">
      <c r="A17" s="3" t="inlineStr">
        <is>
          <t>#</t>
        </is>
      </c>
      <c r="B17" s="3" t="inlineStr">
        <is>
          <t>CX2511ADAST-PP</t>
        </is>
      </c>
      <c r="C17" s="3" t="inlineStr">
        <is>
          <t>AD　アクリルスタンド　（ペンペン）</t>
        </is>
      </c>
      <c r="D17" s="3" t="inlineStr">
        <is>
          <t>DB00</t>
        </is>
      </c>
      <c r="E17" s="3" t="inlineStr">
        <is>
          <t>DBS倉庫</t>
        </is>
      </c>
      <c r="F17" s="6" t="n">
        <v>0</v>
      </c>
      <c r="G17" s="7" t="n">
        <v>0</v>
      </c>
    </row>
    <row r="18">
      <c r="A18" s="3" t="inlineStr">
        <is>
          <t>#</t>
        </is>
      </c>
      <c r="B18" s="3" t="inlineStr">
        <is>
          <t>CX2511ADAST-RI</t>
        </is>
      </c>
      <c r="C18" s="3" t="inlineStr">
        <is>
          <t>AD　アクリルスタンド　（レイ）</t>
        </is>
      </c>
      <c r="D18" s="3" t="inlineStr">
        <is>
          <t>CX01</t>
        </is>
      </c>
      <c r="E18" s="3" t="inlineStr">
        <is>
          <t>CX催事</t>
        </is>
      </c>
      <c r="F18" s="6" t="n">
        <v>0</v>
      </c>
      <c r="G18" s="7" t="n">
        <v>0</v>
      </c>
    </row>
    <row r="19">
      <c r="A19" s="3" t="inlineStr">
        <is>
          <t>#</t>
        </is>
      </c>
      <c r="B19" s="3" t="inlineStr">
        <is>
          <t>CX2511ADAST-RI</t>
        </is>
      </c>
      <c r="C19" s="3" t="inlineStr">
        <is>
          <t>AD　アクリルスタンド　（レイ）</t>
        </is>
      </c>
      <c r="D19" s="3" t="inlineStr">
        <is>
          <t>DB00</t>
        </is>
      </c>
      <c r="E19" s="3" t="inlineStr">
        <is>
          <t>DBS倉庫</t>
        </is>
      </c>
      <c r="F19" s="6" t="n">
        <v>0</v>
      </c>
      <c r="G19" s="7" t="n">
        <v>0</v>
      </c>
    </row>
    <row r="20">
      <c r="A20" s="3" t="inlineStr">
        <is>
          <t>#</t>
        </is>
      </c>
      <c r="B20" s="3" t="inlineStr">
        <is>
          <t>CX2511ADAST-RTK</t>
        </is>
      </c>
      <c r="C20" s="3" t="inlineStr">
        <is>
          <t>AD　アクリルスタンド　（律子）</t>
        </is>
      </c>
      <c r="D20" s="3" t="inlineStr">
        <is>
          <t>CX01</t>
        </is>
      </c>
      <c r="E20" s="3" t="inlineStr">
        <is>
          <t>CX催事</t>
        </is>
      </c>
      <c r="F20" s="6" t="n">
        <v>6</v>
      </c>
      <c r="G20" s="7" t="n">
        <v>3090</v>
      </c>
    </row>
    <row r="21">
      <c r="A21" s="3" t="inlineStr">
        <is>
          <t>#</t>
        </is>
      </c>
      <c r="B21" s="3" t="inlineStr">
        <is>
          <t>CX2511ADAST-RTK</t>
        </is>
      </c>
      <c r="C21" s="3" t="inlineStr">
        <is>
          <t>AD　アクリルスタンド　（律子）</t>
        </is>
      </c>
      <c r="D21" s="3" t="inlineStr">
        <is>
          <t>DB00</t>
        </is>
      </c>
      <c r="E21" s="3" t="inlineStr">
        <is>
          <t>DBS倉庫</t>
        </is>
      </c>
      <c r="F21" s="6" t="n">
        <v>0</v>
      </c>
      <c r="G21" s="7" t="n">
        <v>0</v>
      </c>
    </row>
    <row r="22">
      <c r="A22" s="3" t="inlineStr">
        <is>
          <t>#</t>
        </is>
      </c>
      <c r="B22" s="3" t="inlineStr">
        <is>
          <t>CX2511ADAST-SJ</t>
        </is>
      </c>
      <c r="C22" s="3" t="inlineStr">
        <is>
          <t>AD　アクリルスタンド　（シンジ）</t>
        </is>
      </c>
      <c r="D22" s="3" t="inlineStr">
        <is>
          <t>CX01</t>
        </is>
      </c>
      <c r="E22" s="3" t="inlineStr">
        <is>
          <t>CX催事</t>
        </is>
      </c>
      <c r="F22" s="6" t="n">
        <v>0</v>
      </c>
      <c r="G22" s="7" t="n">
        <v>0</v>
      </c>
    </row>
    <row r="23">
      <c r="A23" s="3" t="inlineStr">
        <is>
          <t>#</t>
        </is>
      </c>
      <c r="B23" s="3" t="inlineStr">
        <is>
          <t>CX2511ADAST-SJ</t>
        </is>
      </c>
      <c r="C23" s="3" t="inlineStr">
        <is>
          <t>AD　アクリルスタンド　（シンジ）</t>
        </is>
      </c>
      <c r="D23" s="3" t="inlineStr">
        <is>
          <t>DB00</t>
        </is>
      </c>
      <c r="E23" s="3" t="inlineStr">
        <is>
          <t>DBS倉庫</t>
        </is>
      </c>
      <c r="F23" s="6" t="n">
        <v>0</v>
      </c>
      <c r="G23" s="7" t="n">
        <v>0</v>
      </c>
    </row>
    <row r="24">
      <c r="A24" s="3" t="inlineStr">
        <is>
          <t>#</t>
        </is>
      </c>
      <c r="B24" s="3" t="inlineStr">
        <is>
          <t>CX2511ADASTKV</t>
        </is>
      </c>
      <c r="C24" s="3" t="inlineStr">
        <is>
          <t>AD　アクリルスタンド　KV</t>
        </is>
      </c>
      <c r="D24" s="3" t="inlineStr">
        <is>
          <t>CX01</t>
        </is>
      </c>
      <c r="E24" s="3" t="inlineStr">
        <is>
          <t>CX催事</t>
        </is>
      </c>
      <c r="F24" s="6" t="n">
        <v>0</v>
      </c>
      <c r="G24" s="7" t="n">
        <v>0</v>
      </c>
    </row>
    <row r="25">
      <c r="A25" s="3" t="inlineStr">
        <is>
          <t>#</t>
        </is>
      </c>
      <c r="B25" s="3" t="inlineStr">
        <is>
          <t>CX2511ADASTKV</t>
        </is>
      </c>
      <c r="C25" s="3" t="inlineStr">
        <is>
          <t>AD　アクリルスタンド　KV</t>
        </is>
      </c>
      <c r="D25" s="3" t="inlineStr">
        <is>
          <t>DB00</t>
        </is>
      </c>
      <c r="E25" s="3" t="inlineStr">
        <is>
          <t>DBS倉庫</t>
        </is>
      </c>
      <c r="F25" s="6" t="n">
        <v>0</v>
      </c>
      <c r="G25" s="7" t="n">
        <v>0</v>
      </c>
    </row>
    <row r="26">
      <c r="A26" s="3" t="inlineStr">
        <is>
          <t>#</t>
        </is>
      </c>
      <c r="B26" s="3" t="inlineStr">
        <is>
          <t>CX2511ADBDGKVKP</t>
        </is>
      </c>
      <c r="C26" s="3" t="inlineStr">
        <is>
          <t>AD　缶バッジ　KV　コンプリート</t>
        </is>
      </c>
      <c r="D26" s="3" t="inlineStr">
        <is>
          <t>CX01</t>
        </is>
      </c>
      <c r="E26" s="3" t="inlineStr">
        <is>
          <t>CX催事</t>
        </is>
      </c>
      <c r="F26" s="6" t="n">
        <v>11</v>
      </c>
      <c r="G26" s="7" t="n">
        <v>18700</v>
      </c>
    </row>
    <row r="27">
      <c r="A27" s="3" t="inlineStr">
        <is>
          <t>#</t>
        </is>
      </c>
      <c r="B27" s="3" t="inlineStr">
        <is>
          <t>CX2511ADBDGKVKP</t>
        </is>
      </c>
      <c r="C27" s="3" t="inlineStr">
        <is>
          <t>AD　缶バッジ　KV　コンプリート</t>
        </is>
      </c>
      <c r="D27" s="3" t="inlineStr">
        <is>
          <t>DB00</t>
        </is>
      </c>
      <c r="E27" s="3" t="inlineStr">
        <is>
          <t>DBS倉庫</t>
        </is>
      </c>
      <c r="F27" s="6" t="n">
        <v>0</v>
      </c>
      <c r="G27" s="7" t="n">
        <v>0</v>
      </c>
    </row>
    <row r="28">
      <c r="A28" s="3" t="inlineStr">
        <is>
          <t>#</t>
        </is>
      </c>
      <c r="B28" s="3" t="inlineStr">
        <is>
          <t>CX2511ADBDGRMXKP</t>
        </is>
      </c>
      <c r="C28" s="3" t="inlineStr">
        <is>
          <t>AD　缶バッジ　2023REMIXコンプリート</t>
        </is>
      </c>
      <c r="D28" s="3" t="inlineStr">
        <is>
          <t>CX01</t>
        </is>
      </c>
      <c r="E28" s="3" t="inlineStr">
        <is>
          <t>CX催事</t>
        </is>
      </c>
      <c r="F28" s="6" t="n">
        <v>0</v>
      </c>
      <c r="G28" s="7" t="n">
        <v>0</v>
      </c>
    </row>
    <row r="29">
      <c r="A29" s="3" t="inlineStr">
        <is>
          <t>#</t>
        </is>
      </c>
      <c r="B29" s="3" t="inlineStr">
        <is>
          <t>CX2511ADBDGRMXKP</t>
        </is>
      </c>
      <c r="C29" s="3" t="inlineStr">
        <is>
          <t>AD　缶バッジ　2023REMIXコンプリート</t>
        </is>
      </c>
      <c r="D29" s="3" t="inlineStr">
        <is>
          <t>DB00</t>
        </is>
      </c>
      <c r="E29" s="3" t="inlineStr">
        <is>
          <t>DBS倉庫</t>
        </is>
      </c>
      <c r="F29" s="6" t="n">
        <v>0</v>
      </c>
      <c r="G29" s="7" t="n">
        <v>0</v>
      </c>
    </row>
    <row r="30">
      <c r="A30" s="3" t="inlineStr">
        <is>
          <t>#</t>
        </is>
      </c>
      <c r="B30" s="3" t="inlineStr">
        <is>
          <t>CX2511ADJYJ-ASK</t>
        </is>
      </c>
      <c r="C30" s="3" t="inlineStr">
        <is>
          <t>AD　ジャージ（ASUKA）F</t>
        </is>
      </c>
      <c r="D30" s="3" t="inlineStr">
        <is>
          <t>CX01</t>
        </is>
      </c>
      <c r="E30" s="3" t="inlineStr">
        <is>
          <t>CX催事</t>
        </is>
      </c>
      <c r="F30" s="6" t="n">
        <v>8</v>
      </c>
      <c r="G30" s="7" t="n">
        <v>72920</v>
      </c>
    </row>
    <row r="31">
      <c r="A31" s="3" t="inlineStr">
        <is>
          <t>#</t>
        </is>
      </c>
      <c r="B31" s="3" t="inlineStr">
        <is>
          <t>CX2511ADJYJ-ASK</t>
        </is>
      </c>
      <c r="C31" s="3" t="inlineStr">
        <is>
          <t>AD　ジャージ（ASUKA）F</t>
        </is>
      </c>
      <c r="D31" s="3" t="inlineStr">
        <is>
          <t>DB00</t>
        </is>
      </c>
      <c r="E31" s="3" t="inlineStr">
        <is>
          <t>DBS倉庫</t>
        </is>
      </c>
      <c r="F31" s="6" t="n">
        <v>0</v>
      </c>
      <c r="G31" s="7" t="n">
        <v>0</v>
      </c>
    </row>
    <row r="32">
      <c r="A32" s="3" t="inlineStr">
        <is>
          <t>#</t>
        </is>
      </c>
      <c r="B32" s="3" t="inlineStr">
        <is>
          <t>CX2511ADJYJ-KWR</t>
        </is>
      </c>
      <c r="C32" s="3" t="inlineStr">
        <is>
          <t>AD　ジャージ（KAWORU）F</t>
        </is>
      </c>
      <c r="D32" s="3" t="inlineStr">
        <is>
          <t>CX01</t>
        </is>
      </c>
      <c r="E32" s="3" t="inlineStr">
        <is>
          <t>CX催事</t>
        </is>
      </c>
      <c r="F32" s="6" t="n">
        <v>5</v>
      </c>
      <c r="G32" s="7" t="n">
        <v>45575</v>
      </c>
    </row>
    <row r="33">
      <c r="A33" s="3" t="inlineStr">
        <is>
          <t>#</t>
        </is>
      </c>
      <c r="B33" s="3" t="inlineStr">
        <is>
          <t>CX2511ADJYJ-KWR</t>
        </is>
      </c>
      <c r="C33" s="3" t="inlineStr">
        <is>
          <t>AD　ジャージ（KAWORU）F</t>
        </is>
      </c>
      <c r="D33" s="3" t="inlineStr">
        <is>
          <t>DB00</t>
        </is>
      </c>
      <c r="E33" s="3" t="inlineStr">
        <is>
          <t>DBS倉庫</t>
        </is>
      </c>
      <c r="F33" s="6" t="n">
        <v>0</v>
      </c>
      <c r="G33" s="7" t="n">
        <v>0</v>
      </c>
    </row>
    <row r="34">
      <c r="A34" s="3" t="inlineStr">
        <is>
          <t>#</t>
        </is>
      </c>
      <c r="B34" s="3" t="inlineStr">
        <is>
          <t>CX2511ADJYJ-RI</t>
        </is>
      </c>
      <c r="C34" s="3" t="inlineStr">
        <is>
          <t>AD　ジャージ（REI）F</t>
        </is>
      </c>
      <c r="D34" s="3" t="inlineStr">
        <is>
          <t>CX01</t>
        </is>
      </c>
      <c r="E34" s="3" t="inlineStr">
        <is>
          <t>CX催事</t>
        </is>
      </c>
      <c r="F34" s="6" t="n">
        <v>11</v>
      </c>
      <c r="G34" s="7" t="n">
        <v>100265</v>
      </c>
    </row>
    <row r="35">
      <c r="A35" s="3" t="inlineStr">
        <is>
          <t>#</t>
        </is>
      </c>
      <c r="B35" s="3" t="inlineStr">
        <is>
          <t>CX2511ADJYJ-RI</t>
        </is>
      </c>
      <c r="C35" s="3" t="inlineStr">
        <is>
          <t>AD　ジャージ（REI）F</t>
        </is>
      </c>
      <c r="D35" s="3" t="inlineStr">
        <is>
          <t>DB00</t>
        </is>
      </c>
      <c r="E35" s="3" t="inlineStr">
        <is>
          <t>DBS倉庫</t>
        </is>
      </c>
      <c r="F35" s="6" t="n">
        <v>0</v>
      </c>
      <c r="G35" s="7" t="n">
        <v>0</v>
      </c>
    </row>
    <row r="36">
      <c r="A36" s="3" t="inlineStr">
        <is>
          <t>#</t>
        </is>
      </c>
      <c r="B36" s="3" t="inlineStr">
        <is>
          <t>CX2511ADJYJ-SJ</t>
        </is>
      </c>
      <c r="C36" s="3" t="inlineStr">
        <is>
          <t>AD　ジャージ（SHINJI）F</t>
        </is>
      </c>
      <c r="D36" s="3" t="inlineStr">
        <is>
          <t>CX01</t>
        </is>
      </c>
      <c r="E36" s="3" t="inlineStr">
        <is>
          <t>CX催事</t>
        </is>
      </c>
      <c r="F36" s="6" t="n">
        <v>19</v>
      </c>
      <c r="G36" s="7" t="n">
        <v>173185</v>
      </c>
    </row>
    <row r="37">
      <c r="A37" s="3" t="inlineStr">
        <is>
          <t>#</t>
        </is>
      </c>
      <c r="B37" s="3" t="inlineStr">
        <is>
          <t>CX2511ADJYJ-SJ</t>
        </is>
      </c>
      <c r="C37" s="3" t="inlineStr">
        <is>
          <t>AD　ジャージ（SHINJI）F</t>
        </is>
      </c>
      <c r="D37" s="3" t="inlineStr">
        <is>
          <t>DB00</t>
        </is>
      </c>
      <c r="E37" s="3" t="inlineStr">
        <is>
          <t>DBS倉庫</t>
        </is>
      </c>
      <c r="F37" s="6" t="n">
        <v>0</v>
      </c>
      <c r="G37" s="7" t="n">
        <v>0</v>
      </c>
    </row>
    <row r="38">
      <c r="A38" s="3" t="inlineStr">
        <is>
          <t>#</t>
        </is>
      </c>
      <c r="B38" s="3" t="inlineStr">
        <is>
          <t>CX2511ADLNTSS-L</t>
        </is>
      </c>
      <c r="C38" s="3" t="inlineStr">
        <is>
          <t>AD　ロンT （初号機＆シンジ）L</t>
        </is>
      </c>
      <c r="D38" s="3" t="inlineStr">
        <is>
          <t>CX01</t>
        </is>
      </c>
      <c r="E38" s="3" t="inlineStr">
        <is>
          <t>CX催事</t>
        </is>
      </c>
      <c r="F38" s="6" t="n">
        <v>2</v>
      </c>
      <c r="G38" s="7" t="n">
        <v>7590</v>
      </c>
    </row>
    <row r="39">
      <c r="A39" s="3" t="inlineStr">
        <is>
          <t>#</t>
        </is>
      </c>
      <c r="B39" s="3" t="inlineStr">
        <is>
          <t>CX2511ADLNTSS-L</t>
        </is>
      </c>
      <c r="C39" s="3" t="inlineStr">
        <is>
          <t>AD　ロンT （初号機＆シンジ）L</t>
        </is>
      </c>
      <c r="D39" s="3" t="inlineStr">
        <is>
          <t>DB00</t>
        </is>
      </c>
      <c r="E39" s="3" t="inlineStr">
        <is>
          <t>DBS倉庫</t>
        </is>
      </c>
      <c r="F39" s="6" t="n">
        <v>0</v>
      </c>
      <c r="G39" s="7" t="n">
        <v>0</v>
      </c>
    </row>
    <row r="40">
      <c r="A40" s="3" t="inlineStr">
        <is>
          <t>#</t>
        </is>
      </c>
      <c r="B40" s="3" t="inlineStr">
        <is>
          <t>CX2511ADLNTSS-M</t>
        </is>
      </c>
      <c r="C40" s="3" t="inlineStr">
        <is>
          <t>AD　ロンT （初号機＆シンジ）M</t>
        </is>
      </c>
      <c r="D40" s="3" t="inlineStr">
        <is>
          <t>CX01</t>
        </is>
      </c>
      <c r="E40" s="3" t="inlineStr">
        <is>
          <t>CX催事</t>
        </is>
      </c>
      <c r="F40" s="6" t="n">
        <v>3</v>
      </c>
      <c r="G40" s="7" t="n">
        <v>11385</v>
      </c>
    </row>
    <row r="41">
      <c r="A41" s="3" t="inlineStr">
        <is>
          <t>#</t>
        </is>
      </c>
      <c r="B41" s="3" t="inlineStr">
        <is>
          <t>CX2511ADLNTSS-M</t>
        </is>
      </c>
      <c r="C41" s="3" t="inlineStr">
        <is>
          <t>AD　ロンT （初号機＆シンジ）M</t>
        </is>
      </c>
      <c r="D41" s="3" t="inlineStr">
        <is>
          <t>DB00</t>
        </is>
      </c>
      <c r="E41" s="3" t="inlineStr">
        <is>
          <t>DBS倉庫</t>
        </is>
      </c>
      <c r="F41" s="6" t="n">
        <v>0</v>
      </c>
      <c r="G41" s="7" t="n">
        <v>0</v>
      </c>
    </row>
    <row r="42">
      <c r="A42" s="3" t="inlineStr">
        <is>
          <t>#</t>
        </is>
      </c>
      <c r="B42" s="3" t="inlineStr">
        <is>
          <t>CX2511ADMUMKV</t>
        </is>
      </c>
      <c r="C42" s="3" t="inlineStr">
        <is>
          <t>AD　マウスマット　KV</t>
        </is>
      </c>
      <c r="D42" s="3" t="inlineStr">
        <is>
          <t>CX01</t>
        </is>
      </c>
      <c r="E42" s="3" t="inlineStr">
        <is>
          <t>CX催事</t>
        </is>
      </c>
      <c r="F42" s="6" t="n">
        <v>0</v>
      </c>
      <c r="G42" s="7" t="n">
        <v>0</v>
      </c>
    </row>
    <row r="43">
      <c r="A43" s="3" t="inlineStr">
        <is>
          <t>#</t>
        </is>
      </c>
      <c r="B43" s="3" t="inlineStr">
        <is>
          <t>CX2511ADMUMKV</t>
        </is>
      </c>
      <c r="C43" s="3" t="inlineStr">
        <is>
          <t>AD　マウスマット　KV</t>
        </is>
      </c>
      <c r="D43" s="3" t="inlineStr">
        <is>
          <t>DB00</t>
        </is>
      </c>
      <c r="E43" s="3" t="inlineStr">
        <is>
          <t>DBS倉庫</t>
        </is>
      </c>
      <c r="F43" s="6" t="n">
        <v>0</v>
      </c>
      <c r="G43" s="7" t="n">
        <v>0</v>
      </c>
    </row>
    <row r="44">
      <c r="A44" s="3" t="inlineStr">
        <is>
          <t>#</t>
        </is>
      </c>
      <c r="B44" s="3" t="inlineStr">
        <is>
          <t>CX2511ADRACD</t>
        </is>
      </c>
      <c r="C44" s="3" t="inlineStr">
        <is>
          <t>AD　ランダムアクリルカード</t>
        </is>
      </c>
      <c r="D44" s="3" t="inlineStr">
        <is>
          <t>CX01</t>
        </is>
      </c>
      <c r="E44" s="3" t="inlineStr">
        <is>
          <t>CX催事</t>
        </is>
      </c>
      <c r="F44" s="6" t="n">
        <v>10</v>
      </c>
      <c r="G44" s="7" t="n">
        <v>1920</v>
      </c>
    </row>
    <row r="45">
      <c r="A45" s="3" t="inlineStr">
        <is>
          <t>#</t>
        </is>
      </c>
      <c r="B45" s="3" t="inlineStr">
        <is>
          <t>CX2511ADRACD</t>
        </is>
      </c>
      <c r="C45" s="3" t="inlineStr">
        <is>
          <t>AD　ランダムアクリルカード</t>
        </is>
      </c>
      <c r="D45" s="3" t="inlineStr">
        <is>
          <t>DB00</t>
        </is>
      </c>
      <c r="E45" s="3" t="inlineStr">
        <is>
          <t>DBS倉庫</t>
        </is>
      </c>
      <c r="F45" s="6" t="n">
        <v>0</v>
      </c>
      <c r="G45" s="7" t="n">
        <v>0</v>
      </c>
    </row>
    <row r="46">
      <c r="A46" s="3" t="inlineStr">
        <is>
          <t>#</t>
        </is>
      </c>
      <c r="B46" s="3" t="inlineStr">
        <is>
          <t>CX2511ADRBDGKV</t>
        </is>
      </c>
      <c r="C46" s="3" t="inlineStr">
        <is>
          <t>AD　ランダム缶バッジ　KV</t>
        </is>
      </c>
      <c r="D46" s="3" t="inlineStr">
        <is>
          <t>CX01</t>
        </is>
      </c>
      <c r="E46" s="3" t="inlineStr">
        <is>
          <t>CX催事</t>
        </is>
      </c>
      <c r="F46" s="6" t="n">
        <v>159</v>
      </c>
      <c r="G46" s="7" t="n">
        <v>27030</v>
      </c>
    </row>
    <row r="47">
      <c r="A47" s="3" t="inlineStr">
        <is>
          <t>#</t>
        </is>
      </c>
      <c r="B47" s="3" t="inlineStr">
        <is>
          <t>CX2511ADRBDGKV</t>
        </is>
      </c>
      <c r="C47" s="3" t="inlineStr">
        <is>
          <t>AD　ランダム缶バッジ　KV</t>
        </is>
      </c>
      <c r="D47" s="3" t="inlineStr">
        <is>
          <t>DB00</t>
        </is>
      </c>
      <c r="E47" s="3" t="inlineStr">
        <is>
          <t>DBS倉庫</t>
        </is>
      </c>
      <c r="F47" s="6" t="n">
        <v>0</v>
      </c>
      <c r="G47" s="7" t="n">
        <v>0</v>
      </c>
    </row>
    <row r="48">
      <c r="A48" s="3" t="inlineStr">
        <is>
          <t>#</t>
        </is>
      </c>
      <c r="B48" s="3" t="inlineStr">
        <is>
          <t>CX2511ADRDBDGRMX</t>
        </is>
      </c>
      <c r="C48" s="3" t="inlineStr">
        <is>
          <t>AD　ランダム缶バッジ　2023REMIX</t>
        </is>
      </c>
      <c r="D48" s="3" t="inlineStr">
        <is>
          <t>CX01</t>
        </is>
      </c>
      <c r="E48" s="3" t="inlineStr">
        <is>
          <t>CX催事</t>
        </is>
      </c>
      <c r="F48" s="6" t="n">
        <v>215</v>
      </c>
      <c r="G48" s="7" t="n">
        <v>36550</v>
      </c>
    </row>
    <row r="49">
      <c r="A49" s="3" t="inlineStr">
        <is>
          <t>#</t>
        </is>
      </c>
      <c r="B49" s="3" t="inlineStr">
        <is>
          <t>CX2511ADRDBDGRMX</t>
        </is>
      </c>
      <c r="C49" s="3" t="inlineStr">
        <is>
          <t>AD　ランダム缶バッジ　2023REMIX</t>
        </is>
      </c>
      <c r="D49" s="3" t="inlineStr">
        <is>
          <t>DB00</t>
        </is>
      </c>
      <c r="E49" s="3" t="inlineStr">
        <is>
          <t>DBS倉庫</t>
        </is>
      </c>
      <c r="F49" s="6" t="n">
        <v>0</v>
      </c>
      <c r="G49" s="7" t="n">
        <v>0</v>
      </c>
    </row>
    <row r="50">
      <c r="A50" s="3" t="inlineStr">
        <is>
          <t>#</t>
        </is>
      </c>
      <c r="B50" s="3" t="inlineStr">
        <is>
          <t>CX2511ADRDSTK</t>
        </is>
      </c>
      <c r="C50" s="3" t="inlineStr">
        <is>
          <t>AD　ランダムステッカー</t>
        </is>
      </c>
      <c r="D50" s="3" t="inlineStr">
        <is>
          <t>CX01</t>
        </is>
      </c>
      <c r="E50" s="3" t="inlineStr">
        <is>
          <t>CX催事</t>
        </is>
      </c>
      <c r="F50" s="6" t="n">
        <v>41</v>
      </c>
      <c r="G50" s="7" t="n">
        <v>2296</v>
      </c>
    </row>
    <row r="51">
      <c r="A51" s="3" t="inlineStr">
        <is>
          <t>#</t>
        </is>
      </c>
      <c r="B51" s="3" t="inlineStr">
        <is>
          <t>CX2511ADRDSTK</t>
        </is>
      </c>
      <c r="C51" s="3" t="inlineStr">
        <is>
          <t>AD　ランダムステッカー</t>
        </is>
      </c>
      <c r="D51" s="3" t="inlineStr">
        <is>
          <t>DB00</t>
        </is>
      </c>
      <c r="E51" s="3" t="inlineStr">
        <is>
          <t>DBS倉庫</t>
        </is>
      </c>
      <c r="F51" s="6" t="n">
        <v>0</v>
      </c>
      <c r="G51" s="7" t="n">
        <v>0</v>
      </c>
    </row>
    <row r="52">
      <c r="A52" s="3" t="inlineStr">
        <is>
          <t>#</t>
        </is>
      </c>
      <c r="B52" s="3" t="inlineStr">
        <is>
          <t>CX2511ADRDSTKKP</t>
        </is>
      </c>
      <c r="C52" s="3" t="inlineStr">
        <is>
          <t>AD　ランダムステッカー コンプリート</t>
        </is>
      </c>
      <c r="D52" s="3" t="inlineStr">
        <is>
          <t>CX01</t>
        </is>
      </c>
      <c r="E52" s="3" t="inlineStr">
        <is>
          <t>CX催事</t>
        </is>
      </c>
      <c r="F52" s="6" t="n">
        <v>0</v>
      </c>
      <c r="G52" s="7" t="n">
        <v>0</v>
      </c>
    </row>
    <row r="53">
      <c r="A53" s="3" t="inlineStr">
        <is>
          <t>#</t>
        </is>
      </c>
      <c r="B53" s="3" t="inlineStr">
        <is>
          <t>CX2511ADRDSTKKP</t>
        </is>
      </c>
      <c r="C53" s="3" t="inlineStr">
        <is>
          <t>AD　ランダムステッカー コンプリート</t>
        </is>
      </c>
      <c r="D53" s="3" t="inlineStr">
        <is>
          <t>DB00</t>
        </is>
      </c>
      <c r="E53" s="3" t="inlineStr">
        <is>
          <t>DBS倉庫</t>
        </is>
      </c>
      <c r="F53" s="6" t="n">
        <v>0</v>
      </c>
      <c r="G53" s="7" t="n">
        <v>0</v>
      </c>
    </row>
    <row r="54">
      <c r="A54" s="3" t="inlineStr">
        <is>
          <t>#</t>
        </is>
      </c>
      <c r="B54" s="3" t="inlineStr">
        <is>
          <t>CX2511ADRUCK</t>
        </is>
      </c>
      <c r="C54" s="3" t="inlineStr">
        <is>
          <t>AD　リュック</t>
        </is>
      </c>
      <c r="D54" s="3" t="inlineStr">
        <is>
          <t>CX01</t>
        </is>
      </c>
      <c r="E54" s="3" t="inlineStr">
        <is>
          <t>CX催事</t>
        </is>
      </c>
      <c r="F54" s="6" t="n">
        <v>0</v>
      </c>
      <c r="G54" s="7" t="n">
        <v>0</v>
      </c>
    </row>
    <row r="55">
      <c r="A55" s="3" t="inlineStr">
        <is>
          <t>#</t>
        </is>
      </c>
      <c r="B55" s="3" t="inlineStr">
        <is>
          <t>CX2511ADRUCK</t>
        </is>
      </c>
      <c r="C55" s="3" t="inlineStr">
        <is>
          <t>AD　リュック</t>
        </is>
      </c>
      <c r="D55" s="3" t="inlineStr">
        <is>
          <t>DB00</t>
        </is>
      </c>
      <c r="E55" s="3" t="inlineStr">
        <is>
          <t>DBS倉庫</t>
        </is>
      </c>
      <c r="F55" s="6" t="n">
        <v>0</v>
      </c>
      <c r="G55" s="7" t="n">
        <v>0</v>
      </c>
    </row>
    <row r="56">
      <c r="A56" s="3" t="inlineStr">
        <is>
          <t>#</t>
        </is>
      </c>
      <c r="B56" s="3" t="inlineStr">
        <is>
          <t>CX2511ADSWTKV-L</t>
        </is>
      </c>
      <c r="C56" s="3" t="inlineStr">
        <is>
          <t>AD　スウェット（KV 少年組）L</t>
        </is>
      </c>
      <c r="D56" s="3" t="inlineStr">
        <is>
          <t>CX01</t>
        </is>
      </c>
      <c r="E56" s="3" t="inlineStr">
        <is>
          <t>CX催事</t>
        </is>
      </c>
      <c r="F56" s="6" t="n">
        <v>0</v>
      </c>
      <c r="G56" s="7" t="n">
        <v>0</v>
      </c>
    </row>
    <row r="57">
      <c r="A57" s="3" t="inlineStr">
        <is>
          <t>#</t>
        </is>
      </c>
      <c r="B57" s="3" t="inlineStr">
        <is>
          <t>CX2511ADSWTKV-L</t>
        </is>
      </c>
      <c r="C57" s="3" t="inlineStr">
        <is>
          <t>AD　スウェット（KV 少年組）L</t>
        </is>
      </c>
      <c r="D57" s="3" t="inlineStr">
        <is>
          <t>DB00</t>
        </is>
      </c>
      <c r="E57" s="3" t="inlineStr">
        <is>
          <t>DBS倉庫</t>
        </is>
      </c>
      <c r="F57" s="6" t="n">
        <v>0</v>
      </c>
      <c r="G57" s="7" t="n">
        <v>0</v>
      </c>
    </row>
    <row r="58">
      <c r="A58" s="3" t="inlineStr">
        <is>
          <t>#</t>
        </is>
      </c>
      <c r="B58" s="3" t="inlineStr">
        <is>
          <t>CX2511ADSWTKV-M</t>
        </is>
      </c>
      <c r="C58" s="3" t="inlineStr">
        <is>
          <t>AD　スウェット（KV 少年組）M</t>
        </is>
      </c>
      <c r="D58" s="3" t="inlineStr">
        <is>
          <t>CX01</t>
        </is>
      </c>
      <c r="E58" s="3" t="inlineStr">
        <is>
          <t>CX催事</t>
        </is>
      </c>
      <c r="F58" s="6" t="n">
        <v>0</v>
      </c>
      <c r="G58" s="7" t="n">
        <v>0</v>
      </c>
    </row>
    <row r="59">
      <c r="A59" s="3" t="inlineStr">
        <is>
          <t>#</t>
        </is>
      </c>
      <c r="B59" s="3" t="inlineStr">
        <is>
          <t>CX2511ADSWTKV-M</t>
        </is>
      </c>
      <c r="C59" s="3" t="inlineStr">
        <is>
          <t>AD　スウェット（KV 少年組）M</t>
        </is>
      </c>
      <c r="D59" s="3" t="inlineStr">
        <is>
          <t>DB00</t>
        </is>
      </c>
      <c r="E59" s="3" t="inlineStr">
        <is>
          <t>DBS倉庫</t>
        </is>
      </c>
      <c r="F59" s="6" t="n">
        <v>0</v>
      </c>
      <c r="G59" s="7" t="n">
        <v>0</v>
      </c>
    </row>
    <row r="60">
      <c r="A60" s="3" t="inlineStr">
        <is>
          <t>#</t>
        </is>
      </c>
      <c r="B60" s="3" t="inlineStr">
        <is>
          <t>CX2511ADSYOP</t>
        </is>
      </c>
      <c r="C60" s="3" t="inlineStr">
        <is>
          <t>AD　ショッパー</t>
        </is>
      </c>
      <c r="D60" s="3" t="inlineStr">
        <is>
          <t>CX01</t>
        </is>
      </c>
      <c r="E60" s="3" t="inlineStr">
        <is>
          <t>CX催事</t>
        </is>
      </c>
      <c r="F60" s="6" t="n">
        <v>0</v>
      </c>
      <c r="G60" s="7" t="n">
        <v>0</v>
      </c>
    </row>
    <row r="61">
      <c r="A61" s="3" t="inlineStr">
        <is>
          <t>#</t>
        </is>
      </c>
      <c r="B61" s="3" t="inlineStr">
        <is>
          <t>CX2511ADSYOP</t>
        </is>
      </c>
      <c r="C61" s="3" t="inlineStr">
        <is>
          <t>AD　ショッパー</t>
        </is>
      </c>
      <c r="D61" s="3" t="inlineStr">
        <is>
          <t>DB00</t>
        </is>
      </c>
      <c r="E61" s="3" t="inlineStr">
        <is>
          <t>DBS倉庫</t>
        </is>
      </c>
      <c r="F61" s="6" t="n">
        <v>0</v>
      </c>
      <c r="G61" s="7" t="n">
        <v>0</v>
      </c>
    </row>
    <row r="62">
      <c r="A62" s="3" t="inlineStr">
        <is>
          <t>#</t>
        </is>
      </c>
      <c r="B62" s="3" t="inlineStr">
        <is>
          <t>CX2511ADTOT</t>
        </is>
      </c>
      <c r="C62" s="3" t="inlineStr">
        <is>
          <t>AD　トートバッグ</t>
        </is>
      </c>
      <c r="D62" s="3" t="inlineStr">
        <is>
          <t>CX01</t>
        </is>
      </c>
      <c r="E62" s="3" t="inlineStr">
        <is>
          <t>CX催事</t>
        </is>
      </c>
      <c r="F62" s="6" t="n">
        <v>4</v>
      </c>
      <c r="G62" s="7" t="n">
        <v>10660</v>
      </c>
    </row>
    <row r="63">
      <c r="A63" s="3" t="inlineStr">
        <is>
          <t>#</t>
        </is>
      </c>
      <c r="B63" s="3" t="inlineStr">
        <is>
          <t>CX2511ADTOT</t>
        </is>
      </c>
      <c r="C63" s="3" t="inlineStr">
        <is>
          <t>AD　トートバッグ</t>
        </is>
      </c>
      <c r="D63" s="3" t="inlineStr">
        <is>
          <t>DB00</t>
        </is>
      </c>
      <c r="E63" s="3" t="inlineStr">
        <is>
          <t>DBS倉庫</t>
        </is>
      </c>
      <c r="F63" s="6" t="n">
        <v>0</v>
      </c>
      <c r="G63" s="7" t="n">
        <v>0</v>
      </c>
    </row>
    <row r="64">
      <c r="A64" s="3" t="inlineStr">
        <is>
          <t>#</t>
        </is>
      </c>
      <c r="B64" s="3" t="inlineStr">
        <is>
          <t>CX2511ADTSTASK-L</t>
        </is>
      </c>
      <c r="C64" s="3" t="inlineStr">
        <is>
          <t>AD　Tシャツ（アスカ）L</t>
        </is>
      </c>
      <c r="D64" s="3" t="inlineStr">
        <is>
          <t>CX01</t>
        </is>
      </c>
      <c r="E64" s="3" t="inlineStr">
        <is>
          <t>CX催事</t>
        </is>
      </c>
      <c r="F64" s="6" t="n">
        <v>2</v>
      </c>
      <c r="G64" s="7" t="n">
        <v>4848</v>
      </c>
    </row>
    <row r="65">
      <c r="A65" s="3" t="inlineStr">
        <is>
          <t>#</t>
        </is>
      </c>
      <c r="B65" s="3" t="inlineStr">
        <is>
          <t>CX2511ADTSTASK-L</t>
        </is>
      </c>
      <c r="C65" s="3" t="inlineStr">
        <is>
          <t>AD　Tシャツ（アスカ）L</t>
        </is>
      </c>
      <c r="D65" s="3" t="inlineStr">
        <is>
          <t>DB00</t>
        </is>
      </c>
      <c r="E65" s="3" t="inlineStr">
        <is>
          <t>DBS倉庫</t>
        </is>
      </c>
      <c r="F65" s="6" t="n">
        <v>0</v>
      </c>
      <c r="G65" s="7" t="n">
        <v>0</v>
      </c>
    </row>
    <row r="66">
      <c r="A66" s="3" t="inlineStr">
        <is>
          <t>#</t>
        </is>
      </c>
      <c r="B66" s="3" t="inlineStr">
        <is>
          <t>CX2511ADTSTASK-M</t>
        </is>
      </c>
      <c r="C66" s="3" t="inlineStr">
        <is>
          <t>AD　Tシャツ（アスカ）M</t>
        </is>
      </c>
      <c r="D66" s="3" t="inlineStr">
        <is>
          <t>CX01</t>
        </is>
      </c>
      <c r="E66" s="3" t="inlineStr">
        <is>
          <t>CX催事</t>
        </is>
      </c>
      <c r="F66" s="6" t="n">
        <v>10</v>
      </c>
      <c r="G66" s="7" t="n">
        <v>24240</v>
      </c>
    </row>
    <row r="67">
      <c r="A67" s="3" t="inlineStr">
        <is>
          <t>#</t>
        </is>
      </c>
      <c r="B67" s="3" t="inlineStr">
        <is>
          <t>CX2511ADTSTASK-M</t>
        </is>
      </c>
      <c r="C67" s="3" t="inlineStr">
        <is>
          <t>AD　Tシャツ（アスカ）M</t>
        </is>
      </c>
      <c r="D67" s="3" t="inlineStr">
        <is>
          <t>DB00</t>
        </is>
      </c>
      <c r="E67" s="3" t="inlineStr">
        <is>
          <t>DBS倉庫</t>
        </is>
      </c>
      <c r="F67" s="6" t="n">
        <v>0</v>
      </c>
      <c r="G67" s="7" t="n">
        <v>0</v>
      </c>
    </row>
    <row r="68">
      <c r="A68" s="3" t="inlineStr">
        <is>
          <t>#</t>
        </is>
      </c>
      <c r="B68" s="3" t="inlineStr">
        <is>
          <t>CX2511ADTSTKWR-L</t>
        </is>
      </c>
      <c r="C68" s="3" t="inlineStr">
        <is>
          <t>AD　Tシャツ（カヲル）L</t>
        </is>
      </c>
      <c r="D68" s="3" t="inlineStr">
        <is>
          <t>CX01</t>
        </is>
      </c>
      <c r="E68" s="3" t="inlineStr">
        <is>
          <t>CX催事</t>
        </is>
      </c>
      <c r="F68" s="6" t="n">
        <v>4</v>
      </c>
      <c r="G68" s="7" t="n">
        <v>9696</v>
      </c>
    </row>
    <row r="69">
      <c r="A69" s="3" t="inlineStr">
        <is>
          <t>#</t>
        </is>
      </c>
      <c r="B69" s="3" t="inlineStr">
        <is>
          <t>CX2511ADTSTKWR-L</t>
        </is>
      </c>
      <c r="C69" s="3" t="inlineStr">
        <is>
          <t>AD　Tシャツ（カヲル）L</t>
        </is>
      </c>
      <c r="D69" s="3" t="inlineStr">
        <is>
          <t>DB00</t>
        </is>
      </c>
      <c r="E69" s="3" t="inlineStr">
        <is>
          <t>DBS倉庫</t>
        </is>
      </c>
      <c r="F69" s="6" t="n">
        <v>0</v>
      </c>
      <c r="G69" s="7" t="n">
        <v>0</v>
      </c>
    </row>
    <row r="70">
      <c r="A70" s="3" t="inlineStr">
        <is>
          <t>#</t>
        </is>
      </c>
      <c r="B70" s="3" t="inlineStr">
        <is>
          <t>CX2511ADTSTKWR-M</t>
        </is>
      </c>
      <c r="C70" s="3" t="inlineStr">
        <is>
          <t>AD　Tシャツ（カヲル）M</t>
        </is>
      </c>
      <c r="D70" s="3" t="inlineStr">
        <is>
          <t>CX01</t>
        </is>
      </c>
      <c r="E70" s="3" t="inlineStr">
        <is>
          <t>CX催事</t>
        </is>
      </c>
      <c r="F70" s="6" t="n">
        <v>6</v>
      </c>
      <c r="G70" s="7" t="n">
        <v>14544</v>
      </c>
    </row>
    <row r="71">
      <c r="A71" s="3" t="inlineStr">
        <is>
          <t>#</t>
        </is>
      </c>
      <c r="B71" s="3" t="inlineStr">
        <is>
          <t>CX2511ADTSTKWR-M</t>
        </is>
      </c>
      <c r="C71" s="3" t="inlineStr">
        <is>
          <t>AD　Tシャツ（カヲル）M</t>
        </is>
      </c>
      <c r="D71" s="3" t="inlineStr">
        <is>
          <t>DB00</t>
        </is>
      </c>
      <c r="E71" s="3" t="inlineStr">
        <is>
          <t>DBS倉庫</t>
        </is>
      </c>
      <c r="F71" s="6" t="n">
        <v>0</v>
      </c>
      <c r="G71" s="7" t="n">
        <v>0</v>
      </c>
    </row>
    <row r="72">
      <c r="A72" s="3" t="inlineStr">
        <is>
          <t>#</t>
        </is>
      </c>
      <c r="B72" s="3" t="inlineStr">
        <is>
          <t>CX2511ADTSTMR-L</t>
        </is>
      </c>
      <c r="C72" s="3" t="inlineStr">
        <is>
          <t>AD　Tシャツ（マリ）L</t>
        </is>
      </c>
      <c r="D72" s="3" t="inlineStr">
        <is>
          <t>CX01</t>
        </is>
      </c>
      <c r="E72" s="3" t="inlineStr">
        <is>
          <t>CX催事</t>
        </is>
      </c>
      <c r="F72" s="6" t="n">
        <v>0</v>
      </c>
      <c r="G72" s="7" t="n">
        <v>0</v>
      </c>
    </row>
    <row r="73">
      <c r="A73" s="3" t="inlineStr">
        <is>
          <t>#</t>
        </is>
      </c>
      <c r="B73" s="3" t="inlineStr">
        <is>
          <t>CX2511ADTSTMR-L</t>
        </is>
      </c>
      <c r="C73" s="3" t="inlineStr">
        <is>
          <t>AD　Tシャツ（マリ）L</t>
        </is>
      </c>
      <c r="D73" s="3" t="inlineStr">
        <is>
          <t>DB00</t>
        </is>
      </c>
      <c r="E73" s="3" t="inlineStr">
        <is>
          <t>DBS倉庫</t>
        </is>
      </c>
      <c r="F73" s="6" t="n">
        <v>0</v>
      </c>
      <c r="G73" s="7" t="n">
        <v>0</v>
      </c>
    </row>
    <row r="74">
      <c r="A74" s="3" t="inlineStr">
        <is>
          <t>#</t>
        </is>
      </c>
      <c r="B74" s="3" t="inlineStr">
        <is>
          <t>CX2511ADTSTMR-M</t>
        </is>
      </c>
      <c r="C74" s="3" t="inlineStr">
        <is>
          <t>AD　Tシャツ（マリ）M</t>
        </is>
      </c>
      <c r="D74" s="3" t="inlineStr">
        <is>
          <t>CX01</t>
        </is>
      </c>
      <c r="E74" s="3" t="inlineStr">
        <is>
          <t>CX催事</t>
        </is>
      </c>
      <c r="F74" s="6" t="n">
        <v>4</v>
      </c>
      <c r="G74" s="7" t="n">
        <v>9696</v>
      </c>
    </row>
    <row r="75">
      <c r="A75" s="3" t="inlineStr">
        <is>
          <t>#</t>
        </is>
      </c>
      <c r="B75" s="3" t="inlineStr">
        <is>
          <t>CX2511ADTSTMR-M</t>
        </is>
      </c>
      <c r="C75" s="3" t="inlineStr">
        <is>
          <t>AD　Tシャツ（マリ）M</t>
        </is>
      </c>
      <c r="D75" s="3" t="inlineStr">
        <is>
          <t>DB00</t>
        </is>
      </c>
      <c r="E75" s="3" t="inlineStr">
        <is>
          <t>DBS倉庫</t>
        </is>
      </c>
      <c r="F75" s="6" t="n">
        <v>0</v>
      </c>
      <c r="G75" s="7" t="n">
        <v>0</v>
      </c>
    </row>
    <row r="76">
      <c r="A76" s="3" t="inlineStr">
        <is>
          <t>#</t>
        </is>
      </c>
      <c r="B76" s="3" t="inlineStr">
        <is>
          <t>CX2511ADTSTPP-L</t>
        </is>
      </c>
      <c r="C76" s="3" t="inlineStr">
        <is>
          <t>AD　Tシャツ（ペンペン）L</t>
        </is>
      </c>
      <c r="D76" s="3" t="inlineStr">
        <is>
          <t>CX01</t>
        </is>
      </c>
      <c r="E76" s="3" t="inlineStr">
        <is>
          <t>CX催事</t>
        </is>
      </c>
      <c r="F76" s="6" t="n">
        <v>1</v>
      </c>
      <c r="G76" s="7" t="n">
        <v>2424</v>
      </c>
    </row>
    <row r="77">
      <c r="A77" s="3" t="inlineStr">
        <is>
          <t>#</t>
        </is>
      </c>
      <c r="B77" s="3" t="inlineStr">
        <is>
          <t>CX2511ADTSTPP-L</t>
        </is>
      </c>
      <c r="C77" s="3" t="inlineStr">
        <is>
          <t>AD　Tシャツ（ペンペン）L</t>
        </is>
      </c>
      <c r="D77" s="3" t="inlineStr">
        <is>
          <t>DB00</t>
        </is>
      </c>
      <c r="E77" s="3" t="inlineStr">
        <is>
          <t>DBS倉庫</t>
        </is>
      </c>
      <c r="F77" s="6" t="n">
        <v>0</v>
      </c>
      <c r="G77" s="7" t="n">
        <v>0</v>
      </c>
    </row>
    <row r="78">
      <c r="A78" s="3" t="inlineStr">
        <is>
          <t>#</t>
        </is>
      </c>
      <c r="B78" s="3" t="inlineStr">
        <is>
          <t>CX2511ADTSTPP-M</t>
        </is>
      </c>
      <c r="C78" s="3" t="inlineStr">
        <is>
          <t>AD　Tシャツ（ペンペン）M</t>
        </is>
      </c>
      <c r="D78" s="3" t="inlineStr">
        <is>
          <t>CX01</t>
        </is>
      </c>
      <c r="E78" s="3" t="inlineStr">
        <is>
          <t>CX催事</t>
        </is>
      </c>
      <c r="F78" s="6" t="n">
        <v>0</v>
      </c>
      <c r="G78" s="7" t="n">
        <v>0</v>
      </c>
    </row>
    <row r="79">
      <c r="A79" s="3" t="inlineStr">
        <is>
          <t>#</t>
        </is>
      </c>
      <c r="B79" s="3" t="inlineStr">
        <is>
          <t>CX2511ADTSTPP-M</t>
        </is>
      </c>
      <c r="C79" s="3" t="inlineStr">
        <is>
          <t>AD　Tシャツ（ペンペン）M</t>
        </is>
      </c>
      <c r="D79" s="3" t="inlineStr">
        <is>
          <t>DB00</t>
        </is>
      </c>
      <c r="E79" s="3" t="inlineStr">
        <is>
          <t>DBS倉庫</t>
        </is>
      </c>
      <c r="F79" s="6" t="n">
        <v>0</v>
      </c>
      <c r="G79" s="7" t="n">
        <v>0</v>
      </c>
    </row>
    <row r="80">
      <c r="A80" s="3" t="inlineStr">
        <is>
          <t>#</t>
        </is>
      </c>
      <c r="B80" s="3" t="inlineStr">
        <is>
          <t>CX2511ADTSTRI-L</t>
        </is>
      </c>
      <c r="C80" s="3" t="inlineStr">
        <is>
          <t>AD　Tシャツ（レイ）L</t>
        </is>
      </c>
      <c r="D80" s="3" t="inlineStr">
        <is>
          <t>CX01</t>
        </is>
      </c>
      <c r="E80" s="3" t="inlineStr">
        <is>
          <t>CX催事</t>
        </is>
      </c>
      <c r="F80" s="6" t="n">
        <v>0</v>
      </c>
      <c r="G80" s="7" t="n">
        <v>0</v>
      </c>
    </row>
    <row r="81">
      <c r="A81" s="3" t="inlineStr">
        <is>
          <t>#</t>
        </is>
      </c>
      <c r="B81" s="3" t="inlineStr">
        <is>
          <t>CX2511ADTSTRI-L</t>
        </is>
      </c>
      <c r="C81" s="3" t="inlineStr">
        <is>
          <t>AD　Tシャツ（レイ）L</t>
        </is>
      </c>
      <c r="D81" s="3" t="inlineStr">
        <is>
          <t>DB00</t>
        </is>
      </c>
      <c r="E81" s="3" t="inlineStr">
        <is>
          <t>DBS倉庫</t>
        </is>
      </c>
      <c r="F81" s="6" t="n">
        <v>0</v>
      </c>
      <c r="G81" s="7" t="n">
        <v>0</v>
      </c>
    </row>
    <row r="82">
      <c r="A82" s="3" t="inlineStr">
        <is>
          <t>#</t>
        </is>
      </c>
      <c r="B82" s="3" t="inlineStr">
        <is>
          <t>CX2511ADTSTRI-M</t>
        </is>
      </c>
      <c r="C82" s="3" t="inlineStr">
        <is>
          <t>AD　Tシャツ（レイ）M</t>
        </is>
      </c>
      <c r="D82" s="3" t="inlineStr">
        <is>
          <t>CX01</t>
        </is>
      </c>
      <c r="E82" s="3" t="inlineStr">
        <is>
          <t>CX催事</t>
        </is>
      </c>
      <c r="F82" s="6" t="n">
        <v>1</v>
      </c>
      <c r="G82" s="7" t="n">
        <v>2424</v>
      </c>
    </row>
    <row r="83">
      <c r="A83" s="3" t="inlineStr">
        <is>
          <t>#</t>
        </is>
      </c>
      <c r="B83" s="3" t="inlineStr">
        <is>
          <t>CX2511ADTSTRI-M</t>
        </is>
      </c>
      <c r="C83" s="3" t="inlineStr">
        <is>
          <t>AD　Tシャツ（レイ）M</t>
        </is>
      </c>
      <c r="D83" s="3" t="inlineStr">
        <is>
          <t>DB00</t>
        </is>
      </c>
      <c r="E83" s="3" t="inlineStr">
        <is>
          <t>DBS倉庫</t>
        </is>
      </c>
      <c r="F83" s="6" t="n">
        <v>0</v>
      </c>
      <c r="G83" s="7" t="n">
        <v>0</v>
      </c>
    </row>
    <row r="84">
      <c r="A84" s="3" t="inlineStr">
        <is>
          <t>#</t>
        </is>
      </c>
      <c r="B84" s="3" t="inlineStr">
        <is>
          <t>CX2511ADTSTSJ-L</t>
        </is>
      </c>
      <c r="C84" s="3" t="inlineStr">
        <is>
          <t>AD　Tシャツ（シンジ）L</t>
        </is>
      </c>
      <c r="D84" s="3" t="inlineStr">
        <is>
          <t>CX01</t>
        </is>
      </c>
      <c r="E84" s="3" t="inlineStr">
        <is>
          <t>CX催事</t>
        </is>
      </c>
      <c r="F84" s="6" t="n">
        <v>3</v>
      </c>
      <c r="G84" s="7" t="n">
        <v>7272</v>
      </c>
    </row>
    <row r="85">
      <c r="A85" s="3" t="inlineStr">
        <is>
          <t>#</t>
        </is>
      </c>
      <c r="B85" s="3" t="inlineStr">
        <is>
          <t>CX2511ADTSTSJ-L</t>
        </is>
      </c>
      <c r="C85" s="3" t="inlineStr">
        <is>
          <t>AD　Tシャツ（シンジ）L</t>
        </is>
      </c>
      <c r="D85" s="3" t="inlineStr">
        <is>
          <t>DB00</t>
        </is>
      </c>
      <c r="E85" s="3" t="inlineStr">
        <is>
          <t>DBS倉庫</t>
        </is>
      </c>
      <c r="F85" s="6" t="n">
        <v>0</v>
      </c>
      <c r="G85" s="7" t="n">
        <v>0</v>
      </c>
    </row>
    <row r="86">
      <c r="A86" s="3" t="inlineStr">
        <is>
          <t>#</t>
        </is>
      </c>
      <c r="B86" s="3" t="inlineStr">
        <is>
          <t>CX2511ADTSTSJ-M</t>
        </is>
      </c>
      <c r="C86" s="3" t="inlineStr">
        <is>
          <t>AD　Tシャツ（シンジ）M</t>
        </is>
      </c>
      <c r="D86" s="3" t="inlineStr">
        <is>
          <t>CX01</t>
        </is>
      </c>
      <c r="E86" s="3" t="inlineStr">
        <is>
          <t>CX催事</t>
        </is>
      </c>
      <c r="F86" s="6" t="n">
        <v>3</v>
      </c>
      <c r="G86" s="7" t="n">
        <v>7272</v>
      </c>
    </row>
    <row r="87">
      <c r="A87" s="3" t="inlineStr">
        <is>
          <t>#</t>
        </is>
      </c>
      <c r="B87" s="3" t="inlineStr">
        <is>
          <t>CX2511ADTSTSJ-M</t>
        </is>
      </c>
      <c r="C87" s="3" t="inlineStr">
        <is>
          <t>AD　Tシャツ（シンジ）M</t>
        </is>
      </c>
      <c r="D87" s="3" t="inlineStr">
        <is>
          <t>DB00</t>
        </is>
      </c>
      <c r="E87" s="3" t="inlineStr">
        <is>
          <t>DBS倉庫</t>
        </is>
      </c>
      <c r="F87" s="6" t="n">
        <v>0</v>
      </c>
      <c r="G87" s="7" t="n">
        <v>0</v>
      </c>
    </row>
    <row r="88">
      <c r="A88" s="3" t="inlineStr">
        <is>
          <t>#</t>
        </is>
      </c>
      <c r="B88" s="3" t="inlineStr">
        <is>
          <t>CX2511ADUKSNKV</t>
        </is>
      </c>
      <c r="C88" s="3" t="inlineStr">
        <is>
          <t>AD　U型クッション　KV</t>
        </is>
      </c>
      <c r="D88" s="3" t="inlineStr">
        <is>
          <t>CX01</t>
        </is>
      </c>
      <c r="E88" s="3" t="inlineStr">
        <is>
          <t>CX催事</t>
        </is>
      </c>
      <c r="F88" s="6" t="n">
        <v>0</v>
      </c>
      <c r="G88" s="7" t="n">
        <v>0</v>
      </c>
    </row>
    <row r="89">
      <c r="A89" s="3" t="inlineStr">
        <is>
          <t>#</t>
        </is>
      </c>
      <c r="B89" s="3" t="inlineStr">
        <is>
          <t>CX2511ADUKSNKV</t>
        </is>
      </c>
      <c r="C89" s="3" t="inlineStr">
        <is>
          <t>AD　U型クッション　KV</t>
        </is>
      </c>
      <c r="D89" s="3" t="inlineStr">
        <is>
          <t>DB00</t>
        </is>
      </c>
      <c r="E89" s="3" t="inlineStr">
        <is>
          <t>DBS倉庫</t>
        </is>
      </c>
      <c r="F89" s="6" t="n">
        <v>0</v>
      </c>
      <c r="G89" s="7" t="n">
        <v>0</v>
      </c>
    </row>
    <row r="90">
      <c r="A90" s="3" t="inlineStr">
        <is>
          <t>#</t>
        </is>
      </c>
      <c r="B90" s="3" t="inlineStr">
        <is>
          <t>CX2511ADWBKNGUK</t>
        </is>
      </c>
      <c r="C90" s="3" t="inlineStr">
        <is>
          <t>AD　ウィンドブレーカー（２号機）F</t>
        </is>
      </c>
      <c r="D90" s="3" t="inlineStr">
        <is>
          <t>CX01</t>
        </is>
      </c>
      <c r="E90" s="3" t="inlineStr">
        <is>
          <t>CX催事</t>
        </is>
      </c>
      <c r="F90" s="6" t="n">
        <v>21</v>
      </c>
      <c r="G90" s="7" t="n">
        <v>143010</v>
      </c>
    </row>
    <row r="91">
      <c r="A91" s="3" t="inlineStr">
        <is>
          <t>#</t>
        </is>
      </c>
      <c r="B91" s="3" t="inlineStr">
        <is>
          <t>CX2511ADWBKNGUK</t>
        </is>
      </c>
      <c r="C91" s="3" t="inlineStr">
        <is>
          <t>AD　ウィンドブレーカー（２号機）F</t>
        </is>
      </c>
      <c r="D91" s="3" t="inlineStr">
        <is>
          <t>DB00</t>
        </is>
      </c>
      <c r="E91" s="3" t="inlineStr">
        <is>
          <t>DBS倉庫</t>
        </is>
      </c>
      <c r="F91" s="6" t="n">
        <v>0</v>
      </c>
      <c r="G91" s="7" t="n">
        <v>0</v>
      </c>
    </row>
    <row r="92">
      <c r="A92" s="3" t="inlineStr">
        <is>
          <t>#</t>
        </is>
      </c>
      <c r="B92" s="3" t="inlineStr">
        <is>
          <t>CX2511ADWBKSGUK</t>
        </is>
      </c>
      <c r="C92" s="3" t="inlineStr">
        <is>
          <t>AD　ウィンドブレーカー（初号機）F</t>
        </is>
      </c>
      <c r="D92" s="3" t="inlineStr">
        <is>
          <t>CX01</t>
        </is>
      </c>
      <c r="E92" s="3" t="inlineStr">
        <is>
          <t>CX催事</t>
        </is>
      </c>
      <c r="F92" s="6" t="n">
        <v>25</v>
      </c>
      <c r="G92" s="7" t="n">
        <v>170250</v>
      </c>
    </row>
    <row r="93">
      <c r="A93" s="3" t="inlineStr">
        <is>
          <t>#</t>
        </is>
      </c>
      <c r="B93" s="3" t="inlineStr">
        <is>
          <t>CX2511ADWBKSGUK</t>
        </is>
      </c>
      <c r="C93" s="3" t="inlineStr">
        <is>
          <t>AD　ウィンドブレーカー（初号機）F</t>
        </is>
      </c>
      <c r="D93" s="3" t="inlineStr">
        <is>
          <t>DB00</t>
        </is>
      </c>
      <c r="E93" s="3" t="inlineStr">
        <is>
          <t>DBS倉庫</t>
        </is>
      </c>
      <c r="F93" s="6" t="n">
        <v>0</v>
      </c>
      <c r="G93" s="7" t="n">
        <v>0</v>
      </c>
    </row>
    <row r="94">
      <c r="A94" s="3" t="inlineStr">
        <is>
          <t>#</t>
        </is>
      </c>
      <c r="B94" s="3" t="inlineStr">
        <is>
          <t>CX2511ADWBKZGUK</t>
        </is>
      </c>
      <c r="C94" s="3" t="inlineStr">
        <is>
          <t>AD　ウィンドブレーカー（ゼロ号機）F</t>
        </is>
      </c>
      <c r="D94" s="3" t="inlineStr">
        <is>
          <t>CX01</t>
        </is>
      </c>
      <c r="E94" s="3" t="inlineStr">
        <is>
          <t>CX催事</t>
        </is>
      </c>
      <c r="F94" s="6" t="n">
        <v>24</v>
      </c>
      <c r="G94" s="7" t="n">
        <v>163440</v>
      </c>
    </row>
    <row r="95">
      <c r="A95" s="3" t="inlineStr">
        <is>
          <t>#</t>
        </is>
      </c>
      <c r="B95" s="3" t="inlineStr">
        <is>
          <t>CX2511ADWBKZGUK</t>
        </is>
      </c>
      <c r="C95" s="3" t="inlineStr">
        <is>
          <t>AD　ウィンドブレーカー（ゼロ号機）F</t>
        </is>
      </c>
      <c r="D95" s="3" t="inlineStr">
        <is>
          <t>DB00</t>
        </is>
      </c>
      <c r="E95" s="3" t="inlineStr">
        <is>
          <t>DBS倉庫</t>
        </is>
      </c>
      <c r="F95" s="6" t="n">
        <v>0</v>
      </c>
      <c r="G95" s="7" t="n">
        <v>0</v>
      </c>
    </row>
    <row r="96">
      <c r="A96" s="3" t="inlineStr">
        <is>
          <t>#</t>
        </is>
      </c>
      <c r="B96" s="3" t="inlineStr">
        <is>
          <t>CX2511ADWESTPT</t>
        </is>
      </c>
      <c r="C96" s="3" t="inlineStr">
        <is>
          <t>AD　ウェストポーチ</t>
        </is>
      </c>
      <c r="D96" s="3" t="inlineStr">
        <is>
          <t>CX01</t>
        </is>
      </c>
      <c r="E96" s="3" t="inlineStr">
        <is>
          <t>CX催事</t>
        </is>
      </c>
      <c r="F96" s="6" t="n">
        <v>0</v>
      </c>
      <c r="G96" s="7" t="n">
        <v>0</v>
      </c>
    </row>
    <row r="97">
      <c r="A97" s="3" t="inlineStr">
        <is>
          <t>#</t>
        </is>
      </c>
      <c r="B97" s="3" t="inlineStr">
        <is>
          <t>CX2511ADWESTPT</t>
        </is>
      </c>
      <c r="C97" s="3" t="inlineStr">
        <is>
          <t>AD　ウェストポーチ</t>
        </is>
      </c>
      <c r="D97" s="3" t="inlineStr">
        <is>
          <t>DB00</t>
        </is>
      </c>
      <c r="E97" s="3" t="inlineStr">
        <is>
          <t>DBS倉庫</t>
        </is>
      </c>
      <c r="F97" s="6" t="n">
        <v>0</v>
      </c>
      <c r="G97" s="7" t="n">
        <v>0</v>
      </c>
    </row>
    <row r="98">
      <c r="A98" s="3" t="inlineStr">
        <is>
          <t>#</t>
        </is>
      </c>
      <c r="B98" s="3" t="inlineStr">
        <is>
          <t>CX2511ASTACDKP</t>
        </is>
      </c>
      <c r="C98" s="3" t="inlineStr">
        <is>
          <t>AST　アクリルカード　コンプリート</t>
        </is>
      </c>
      <c r="D98" s="3" t="inlineStr">
        <is>
          <t>CX01</t>
        </is>
      </c>
      <c r="E98" s="3" t="inlineStr">
        <is>
          <t>CX催事</t>
        </is>
      </c>
      <c r="F98" s="6" t="n">
        <v>4</v>
      </c>
      <c r="G98" s="7" t="n">
        <v>3840</v>
      </c>
    </row>
    <row r="99">
      <c r="A99" s="3" t="inlineStr">
        <is>
          <t>#</t>
        </is>
      </c>
      <c r="B99" s="3" t="inlineStr">
        <is>
          <t>CX2511ASTACDKP</t>
        </is>
      </c>
      <c r="C99" s="3" t="inlineStr">
        <is>
          <t>AST　アクリルカード　コンプリート</t>
        </is>
      </c>
      <c r="D99" s="3" t="inlineStr">
        <is>
          <t>DB00</t>
        </is>
      </c>
      <c r="E99" s="3" t="inlineStr">
        <is>
          <t>DBS倉庫</t>
        </is>
      </c>
      <c r="F99" s="6" t="n">
        <v>0</v>
      </c>
      <c r="G99" s="7" t="n">
        <v>0</v>
      </c>
    </row>
    <row r="100">
      <c r="A100" s="3" t="inlineStr">
        <is>
          <t>#</t>
        </is>
      </c>
      <c r="B100" s="3" t="inlineStr">
        <is>
          <t>CX2511ASTAST-ASK</t>
        </is>
      </c>
      <c r="C100" s="3" t="inlineStr">
        <is>
          <t>AST　アクリルスタンド　（アスカ）</t>
        </is>
      </c>
      <c r="D100" s="3" t="inlineStr">
        <is>
          <t>CX01</t>
        </is>
      </c>
      <c r="E100" s="3" t="inlineStr">
        <is>
          <t>CX催事</t>
        </is>
      </c>
      <c r="F100" s="6" t="n">
        <v>4</v>
      </c>
      <c r="G100" s="7" t="n">
        <v>2060</v>
      </c>
    </row>
    <row r="101">
      <c r="A101" s="3" t="inlineStr">
        <is>
          <t>#</t>
        </is>
      </c>
      <c r="B101" s="3" t="inlineStr">
        <is>
          <t>CX2511ASTAST-ASK</t>
        </is>
      </c>
      <c r="C101" s="3" t="inlineStr">
        <is>
          <t>AST　アクリルスタンド　（アスカ）</t>
        </is>
      </c>
      <c r="D101" s="3" t="inlineStr">
        <is>
          <t>DB00</t>
        </is>
      </c>
      <c r="E101" s="3" t="inlineStr">
        <is>
          <t>DBS倉庫</t>
        </is>
      </c>
      <c r="F101" s="6" t="n">
        <v>0</v>
      </c>
      <c r="G101" s="7" t="n">
        <v>0</v>
      </c>
    </row>
    <row r="102">
      <c r="A102" s="3" t="inlineStr">
        <is>
          <t>#</t>
        </is>
      </c>
      <c r="B102" s="3" t="inlineStr">
        <is>
          <t>CX2511ASTAST-IKR</t>
        </is>
      </c>
      <c r="C102" s="3" t="inlineStr">
        <is>
          <t>AST　アクリルスタンド　（碇ゲンドウ）</t>
        </is>
      </c>
      <c r="D102" s="3" t="inlineStr">
        <is>
          <t>CX01</t>
        </is>
      </c>
      <c r="E102" s="3" t="inlineStr">
        <is>
          <t>CX催事</t>
        </is>
      </c>
      <c r="F102" s="6" t="n">
        <v>31</v>
      </c>
      <c r="G102" s="7" t="n">
        <v>15965</v>
      </c>
    </row>
    <row r="103">
      <c r="A103" s="3" t="inlineStr">
        <is>
          <t>#</t>
        </is>
      </c>
      <c r="B103" s="3" t="inlineStr">
        <is>
          <t>CX2511ASTAST-IKR</t>
        </is>
      </c>
      <c r="C103" s="3" t="inlineStr">
        <is>
          <t>AST　アクリルスタンド　（碇ゲンドウ）</t>
        </is>
      </c>
      <c r="D103" s="3" t="inlineStr">
        <is>
          <t>DB00</t>
        </is>
      </c>
      <c r="E103" s="3" t="inlineStr">
        <is>
          <t>DBS倉庫</t>
        </is>
      </c>
      <c r="F103" s="6" t="n">
        <v>0</v>
      </c>
      <c r="G103" s="7" t="n">
        <v>0</v>
      </c>
    </row>
    <row r="104">
      <c r="A104" s="3" t="inlineStr">
        <is>
          <t>#</t>
        </is>
      </c>
      <c r="B104" s="3" t="inlineStr">
        <is>
          <t>CX2511ASTAST-KJ</t>
        </is>
      </c>
      <c r="C104" s="3" t="inlineStr">
        <is>
          <t>AST　アクリルスタンド　（加持良治）</t>
        </is>
      </c>
      <c r="D104" s="3" t="inlineStr">
        <is>
          <t>CX01</t>
        </is>
      </c>
      <c r="E104" s="3" t="inlineStr">
        <is>
          <t>CX催事</t>
        </is>
      </c>
      <c r="F104" s="6" t="n">
        <v>3</v>
      </c>
      <c r="G104" s="7" t="n">
        <v>1545</v>
      </c>
    </row>
    <row r="105">
      <c r="A105" s="3" t="inlineStr">
        <is>
          <t>#</t>
        </is>
      </c>
      <c r="B105" s="3" t="inlineStr">
        <is>
          <t>CX2511ASTAST-KJ</t>
        </is>
      </c>
      <c r="C105" s="3" t="inlineStr">
        <is>
          <t>AST　アクリルスタンド　（加持良治）</t>
        </is>
      </c>
      <c r="D105" s="3" t="inlineStr">
        <is>
          <t>DB00</t>
        </is>
      </c>
      <c r="E105" s="3" t="inlineStr">
        <is>
          <t>DBS倉庫</t>
        </is>
      </c>
      <c r="F105" s="6" t="n">
        <v>0</v>
      </c>
      <c r="G105" s="7" t="n">
        <v>0</v>
      </c>
    </row>
    <row r="106">
      <c r="A106" s="3" t="inlineStr">
        <is>
          <t>#</t>
        </is>
      </c>
      <c r="B106" s="3" t="inlineStr">
        <is>
          <t>CX2511ASTAST-KWR</t>
        </is>
      </c>
      <c r="C106" s="3" t="inlineStr">
        <is>
          <t>AST　アクリルスタンド　（カヲル）</t>
        </is>
      </c>
      <c r="D106" s="3" t="inlineStr">
        <is>
          <t>CX01</t>
        </is>
      </c>
      <c r="E106" s="3" t="inlineStr">
        <is>
          <t>CX催事</t>
        </is>
      </c>
      <c r="F106" s="6" t="n">
        <v>9</v>
      </c>
      <c r="G106" s="7" t="n">
        <v>4635</v>
      </c>
    </row>
    <row r="107">
      <c r="A107" s="3" t="inlineStr">
        <is>
          <t>#</t>
        </is>
      </c>
      <c r="B107" s="3" t="inlineStr">
        <is>
          <t>CX2511ASTAST-KWR</t>
        </is>
      </c>
      <c r="C107" s="3" t="inlineStr">
        <is>
          <t>AST　アクリルスタンド　（カヲル）</t>
        </is>
      </c>
      <c r="D107" s="3" t="inlineStr">
        <is>
          <t>DB00</t>
        </is>
      </c>
      <c r="E107" s="3" t="inlineStr">
        <is>
          <t>DBS倉庫</t>
        </is>
      </c>
      <c r="F107" s="6" t="n">
        <v>0</v>
      </c>
      <c r="G107" s="7" t="n">
        <v>0</v>
      </c>
    </row>
    <row r="108">
      <c r="A108" s="3" t="inlineStr">
        <is>
          <t>#</t>
        </is>
      </c>
      <c r="B108" s="3" t="inlineStr">
        <is>
          <t>CX2511ASTAST-MR</t>
        </is>
      </c>
      <c r="C108" s="3" t="inlineStr">
        <is>
          <t>AST　アクリルスタンド　（マリ）</t>
        </is>
      </c>
      <c r="D108" s="3" t="inlineStr">
        <is>
          <t>CX01</t>
        </is>
      </c>
      <c r="E108" s="3" t="inlineStr">
        <is>
          <t>CX催事</t>
        </is>
      </c>
      <c r="F108" s="6" t="n">
        <v>4</v>
      </c>
      <c r="G108" s="7" t="n">
        <v>2060</v>
      </c>
    </row>
    <row r="109">
      <c r="A109" s="3" t="inlineStr">
        <is>
          <t>#</t>
        </is>
      </c>
      <c r="B109" s="3" t="inlineStr">
        <is>
          <t>CX2511ASTAST-MR</t>
        </is>
      </c>
      <c r="C109" s="3" t="inlineStr">
        <is>
          <t>AST　アクリルスタンド　（マリ）</t>
        </is>
      </c>
      <c r="D109" s="3" t="inlineStr">
        <is>
          <t>DB00</t>
        </is>
      </c>
      <c r="E109" s="3" t="inlineStr">
        <is>
          <t>DBS倉庫</t>
        </is>
      </c>
      <c r="F109" s="6" t="n">
        <v>0</v>
      </c>
      <c r="G109" s="7" t="n">
        <v>0</v>
      </c>
    </row>
    <row r="110">
      <c r="A110" s="3" t="inlineStr">
        <is>
          <t>#</t>
        </is>
      </c>
      <c r="B110" s="3" t="inlineStr">
        <is>
          <t>CX2511ASTAST-MST</t>
        </is>
      </c>
      <c r="C110" s="3" t="inlineStr">
        <is>
          <t>AST　アクリルスタンド　（美里）</t>
        </is>
      </c>
      <c r="D110" s="3" t="inlineStr">
        <is>
          <t>CX01</t>
        </is>
      </c>
      <c r="E110" s="3" t="inlineStr">
        <is>
          <t>CX催事</t>
        </is>
      </c>
      <c r="F110" s="6" t="n">
        <v>4</v>
      </c>
      <c r="G110" s="7" t="n">
        <v>2060</v>
      </c>
    </row>
    <row r="111">
      <c r="A111" s="3" t="inlineStr">
        <is>
          <t>#</t>
        </is>
      </c>
      <c r="B111" s="3" t="inlineStr">
        <is>
          <t>CX2511ASTAST-MST</t>
        </is>
      </c>
      <c r="C111" s="3" t="inlineStr">
        <is>
          <t>AST　アクリルスタンド　（美里）</t>
        </is>
      </c>
      <c r="D111" s="3" t="inlineStr">
        <is>
          <t>DB00</t>
        </is>
      </c>
      <c r="E111" s="3" t="inlineStr">
        <is>
          <t>DBS倉庫</t>
        </is>
      </c>
      <c r="F111" s="6" t="n">
        <v>0</v>
      </c>
      <c r="G111" s="7" t="n">
        <v>0</v>
      </c>
    </row>
    <row r="112">
      <c r="A112" s="3" t="inlineStr">
        <is>
          <t>#</t>
        </is>
      </c>
      <c r="B112" s="3" t="inlineStr">
        <is>
          <t>CX2511ASTAST-PP</t>
        </is>
      </c>
      <c r="C112" s="3" t="inlineStr">
        <is>
          <t>AST　アクリルスタンド　（ペンペン）</t>
        </is>
      </c>
      <c r="D112" s="3" t="inlineStr">
        <is>
          <t>CX01</t>
        </is>
      </c>
      <c r="E112" s="3" t="inlineStr">
        <is>
          <t>CX催事</t>
        </is>
      </c>
      <c r="F112" s="6" t="n">
        <v>2</v>
      </c>
      <c r="G112" s="7" t="n">
        <v>1030</v>
      </c>
    </row>
    <row r="113">
      <c r="A113" s="3" t="inlineStr">
        <is>
          <t>#</t>
        </is>
      </c>
      <c r="B113" s="3" t="inlineStr">
        <is>
          <t>CX2511ASTAST-PP</t>
        </is>
      </c>
      <c r="C113" s="3" t="inlineStr">
        <is>
          <t>AST　アクリルスタンド　（ペンペン）</t>
        </is>
      </c>
      <c r="D113" s="3" t="inlineStr">
        <is>
          <t>DB00</t>
        </is>
      </c>
      <c r="E113" s="3" t="inlineStr">
        <is>
          <t>DBS倉庫</t>
        </is>
      </c>
      <c r="F113" s="6" t="n">
        <v>0</v>
      </c>
      <c r="G113" s="7" t="n">
        <v>0</v>
      </c>
    </row>
    <row r="114">
      <c r="A114" s="3" t="inlineStr">
        <is>
          <t>#</t>
        </is>
      </c>
      <c r="B114" s="3" t="inlineStr">
        <is>
          <t>CX2511ASTAST-RI</t>
        </is>
      </c>
      <c r="C114" s="3" t="inlineStr">
        <is>
          <t>AST　アクリルスタンド　（レイ）</t>
        </is>
      </c>
      <c r="D114" s="3" t="inlineStr">
        <is>
          <t>CX01</t>
        </is>
      </c>
      <c r="E114" s="3" t="inlineStr">
        <is>
          <t>CX催事</t>
        </is>
      </c>
      <c r="F114" s="6" t="n">
        <v>4</v>
      </c>
      <c r="G114" s="7" t="n">
        <v>2060</v>
      </c>
    </row>
    <row r="115">
      <c r="A115" s="3" t="inlineStr">
        <is>
          <t>#</t>
        </is>
      </c>
      <c r="B115" s="3" t="inlineStr">
        <is>
          <t>CX2511ASTAST-RI</t>
        </is>
      </c>
      <c r="C115" s="3" t="inlineStr">
        <is>
          <t>AST　アクリルスタンド　（レイ）</t>
        </is>
      </c>
      <c r="D115" s="3" t="inlineStr">
        <is>
          <t>DB00</t>
        </is>
      </c>
      <c r="E115" s="3" t="inlineStr">
        <is>
          <t>DBS倉庫</t>
        </is>
      </c>
      <c r="F115" s="6" t="n">
        <v>0</v>
      </c>
      <c r="G115" s="7" t="n">
        <v>0</v>
      </c>
    </row>
    <row r="116">
      <c r="A116" s="3" t="inlineStr">
        <is>
          <t>#</t>
        </is>
      </c>
      <c r="B116" s="3" t="inlineStr">
        <is>
          <t>CX2511ASTAST-RTK</t>
        </is>
      </c>
      <c r="C116" s="3" t="inlineStr">
        <is>
          <t>AST　アクリルスタンド　（律子）</t>
        </is>
      </c>
      <c r="D116" s="3" t="inlineStr">
        <is>
          <t>CX01</t>
        </is>
      </c>
      <c r="E116" s="3" t="inlineStr">
        <is>
          <t>CX催事</t>
        </is>
      </c>
      <c r="F116" s="6" t="n">
        <v>5</v>
      </c>
      <c r="G116" s="7" t="n">
        <v>2575</v>
      </c>
    </row>
    <row r="117">
      <c r="A117" s="3" t="inlineStr">
        <is>
          <t>#</t>
        </is>
      </c>
      <c r="B117" s="3" t="inlineStr">
        <is>
          <t>CX2511ASTAST-RTK</t>
        </is>
      </c>
      <c r="C117" s="3" t="inlineStr">
        <is>
          <t>AST　アクリルスタンド　（律子）</t>
        </is>
      </c>
      <c r="D117" s="3" t="inlineStr">
        <is>
          <t>DB00</t>
        </is>
      </c>
      <c r="E117" s="3" t="inlineStr">
        <is>
          <t>DBS倉庫</t>
        </is>
      </c>
      <c r="F117" s="6" t="n">
        <v>0</v>
      </c>
      <c r="G117" s="7" t="n">
        <v>0</v>
      </c>
    </row>
    <row r="118">
      <c r="A118" s="3" t="inlineStr">
        <is>
          <t>#</t>
        </is>
      </c>
      <c r="B118" s="3" t="inlineStr">
        <is>
          <t>CX2511ASTAST-SJ</t>
        </is>
      </c>
      <c r="C118" s="3" t="inlineStr">
        <is>
          <t>AST　アクリルスタンド　（シンジ）</t>
        </is>
      </c>
      <c r="D118" s="3" t="inlineStr">
        <is>
          <t>CX01</t>
        </is>
      </c>
      <c r="E118" s="3" t="inlineStr">
        <is>
          <t>CX催事</t>
        </is>
      </c>
      <c r="F118" s="6" t="n">
        <v>7</v>
      </c>
      <c r="G118" s="7" t="n">
        <v>3605</v>
      </c>
    </row>
    <row r="119">
      <c r="A119" s="3" t="inlineStr">
        <is>
          <t>#</t>
        </is>
      </c>
      <c r="B119" s="3" t="inlineStr">
        <is>
          <t>CX2511ASTAST-SJ</t>
        </is>
      </c>
      <c r="C119" s="3" t="inlineStr">
        <is>
          <t>AST　アクリルスタンド　（シンジ）</t>
        </is>
      </c>
      <c r="D119" s="3" t="inlineStr">
        <is>
          <t>DB00</t>
        </is>
      </c>
      <c r="E119" s="3" t="inlineStr">
        <is>
          <t>DBS倉庫</t>
        </is>
      </c>
      <c r="F119" s="6" t="n">
        <v>0</v>
      </c>
      <c r="G119" s="7" t="n">
        <v>0</v>
      </c>
    </row>
    <row r="120">
      <c r="A120" s="3" t="inlineStr">
        <is>
          <t>#</t>
        </is>
      </c>
      <c r="B120" s="3" t="inlineStr">
        <is>
          <t>CX2511ASTASTKV</t>
        </is>
      </c>
      <c r="C120" s="3" t="inlineStr">
        <is>
          <t>AST　アクリルスタンド　KV</t>
        </is>
      </c>
      <c r="D120" s="3" t="inlineStr">
        <is>
          <t>CX01</t>
        </is>
      </c>
      <c r="E120" s="3" t="inlineStr">
        <is>
          <t>CX催事</t>
        </is>
      </c>
      <c r="F120" s="6" t="n">
        <v>3</v>
      </c>
      <c r="G120" s="7" t="n">
        <v>3687</v>
      </c>
    </row>
    <row r="121">
      <c r="A121" s="3" t="inlineStr">
        <is>
          <t>#</t>
        </is>
      </c>
      <c r="B121" s="3" t="inlineStr">
        <is>
          <t>CX2511ASTASTKV</t>
        </is>
      </c>
      <c r="C121" s="3" t="inlineStr">
        <is>
          <t>AST　アクリルスタンド　KV</t>
        </is>
      </c>
      <c r="D121" s="3" t="inlineStr">
        <is>
          <t>DB00</t>
        </is>
      </c>
      <c r="E121" s="3" t="inlineStr">
        <is>
          <t>DBS倉庫</t>
        </is>
      </c>
      <c r="F121" s="6" t="n">
        <v>0</v>
      </c>
      <c r="G121" s="7" t="n">
        <v>0</v>
      </c>
    </row>
    <row r="122">
      <c r="A122" s="3" t="inlineStr">
        <is>
          <t>#</t>
        </is>
      </c>
      <c r="B122" s="3" t="inlineStr">
        <is>
          <t>CX2511ASTBDGKVKP</t>
        </is>
      </c>
      <c r="C122" s="3" t="inlineStr">
        <is>
          <t>AST　缶バッジ　KV　コンプリート</t>
        </is>
      </c>
      <c r="D122" s="3" t="inlineStr">
        <is>
          <t>CX01</t>
        </is>
      </c>
      <c r="E122" s="3" t="inlineStr">
        <is>
          <t>CX催事</t>
        </is>
      </c>
      <c r="F122" s="6" t="n">
        <v>54</v>
      </c>
      <c r="G122" s="7" t="n">
        <v>91800</v>
      </c>
    </row>
    <row r="123">
      <c r="A123" s="3" t="inlineStr">
        <is>
          <t>#</t>
        </is>
      </c>
      <c r="B123" s="3" t="inlineStr">
        <is>
          <t>CX2511ASTBDGKVKP</t>
        </is>
      </c>
      <c r="C123" s="3" t="inlineStr">
        <is>
          <t>AST　缶バッジ　KV　コンプリート</t>
        </is>
      </c>
      <c r="D123" s="3" t="inlineStr">
        <is>
          <t>DB00</t>
        </is>
      </c>
      <c r="E123" s="3" t="inlineStr">
        <is>
          <t>DBS倉庫</t>
        </is>
      </c>
      <c r="F123" s="6" t="n">
        <v>0</v>
      </c>
      <c r="G123" s="7" t="n">
        <v>0</v>
      </c>
    </row>
    <row r="124">
      <c r="A124" s="3" t="inlineStr">
        <is>
          <t>#</t>
        </is>
      </c>
      <c r="B124" s="3" t="inlineStr">
        <is>
          <t>CX2511ASTBDGRMXKP</t>
        </is>
      </c>
      <c r="C124" s="3" t="inlineStr">
        <is>
          <t>AST　缶バッジ　2023REMIXコンプリート</t>
        </is>
      </c>
      <c r="D124" s="3" t="inlineStr">
        <is>
          <t>CX01</t>
        </is>
      </c>
      <c r="E124" s="3" t="inlineStr">
        <is>
          <t>CX催事</t>
        </is>
      </c>
      <c r="F124" s="6" t="n">
        <v>4</v>
      </c>
      <c r="G124" s="7" t="n">
        <v>3400</v>
      </c>
    </row>
    <row r="125">
      <c r="A125" s="3" t="inlineStr">
        <is>
          <t>#</t>
        </is>
      </c>
      <c r="B125" s="3" t="inlineStr">
        <is>
          <t>CX2511ASTBDGRMXKP</t>
        </is>
      </c>
      <c r="C125" s="3" t="inlineStr">
        <is>
          <t>AST　缶バッジ　2023REMIXコンプリート</t>
        </is>
      </c>
      <c r="D125" s="3" t="inlineStr">
        <is>
          <t>DB00</t>
        </is>
      </c>
      <c r="E125" s="3" t="inlineStr">
        <is>
          <t>DBS倉庫</t>
        </is>
      </c>
      <c r="F125" s="6" t="n">
        <v>0</v>
      </c>
      <c r="G125" s="7" t="n">
        <v>0</v>
      </c>
    </row>
    <row r="126">
      <c r="A126" s="3" t="inlineStr">
        <is>
          <t>#</t>
        </is>
      </c>
      <c r="B126" s="3" t="inlineStr">
        <is>
          <t>CX2511ASTJYJ-ASK</t>
        </is>
      </c>
      <c r="C126" s="3" t="inlineStr">
        <is>
          <t>AST　ジャージ（ASUKA）F</t>
        </is>
      </c>
      <c r="D126" s="3" t="inlineStr">
        <is>
          <t>CX01</t>
        </is>
      </c>
      <c r="E126" s="3" t="inlineStr">
        <is>
          <t>CX催事</t>
        </is>
      </c>
      <c r="F126" s="6" t="n">
        <v>46</v>
      </c>
      <c r="G126" s="7" t="n">
        <v>419290</v>
      </c>
    </row>
    <row r="127">
      <c r="A127" s="3" t="inlineStr">
        <is>
          <t>#</t>
        </is>
      </c>
      <c r="B127" s="3" t="inlineStr">
        <is>
          <t>CX2511ASTJYJ-ASK</t>
        </is>
      </c>
      <c r="C127" s="3" t="inlineStr">
        <is>
          <t>AST　ジャージ（ASUKA）F</t>
        </is>
      </c>
      <c r="D127" s="3" t="inlineStr">
        <is>
          <t>DB00</t>
        </is>
      </c>
      <c r="E127" s="3" t="inlineStr">
        <is>
          <t>DBS倉庫</t>
        </is>
      </c>
      <c r="F127" s="6" t="n">
        <v>0</v>
      </c>
      <c r="G127" s="7" t="n">
        <v>0</v>
      </c>
    </row>
    <row r="128">
      <c r="A128" s="3" t="inlineStr">
        <is>
          <t>#</t>
        </is>
      </c>
      <c r="B128" s="3" t="inlineStr">
        <is>
          <t>CX2511ASTJYJ-KWR</t>
        </is>
      </c>
      <c r="C128" s="3" t="inlineStr">
        <is>
          <t>AST　ジャージ（KAWORU）F</t>
        </is>
      </c>
      <c r="D128" s="3" t="inlineStr">
        <is>
          <t>CX01</t>
        </is>
      </c>
      <c r="E128" s="3" t="inlineStr">
        <is>
          <t>CX催事</t>
        </is>
      </c>
      <c r="F128" s="6" t="n">
        <v>52</v>
      </c>
      <c r="G128" s="7" t="n">
        <v>473980</v>
      </c>
    </row>
    <row r="129">
      <c r="A129" s="3" t="inlineStr">
        <is>
          <t>#</t>
        </is>
      </c>
      <c r="B129" s="3" t="inlineStr">
        <is>
          <t>CX2511ASTJYJ-KWR</t>
        </is>
      </c>
      <c r="C129" s="3" t="inlineStr">
        <is>
          <t>AST　ジャージ（KAWORU）F</t>
        </is>
      </c>
      <c r="D129" s="3" t="inlineStr">
        <is>
          <t>DB00</t>
        </is>
      </c>
      <c r="E129" s="3" t="inlineStr">
        <is>
          <t>DBS倉庫</t>
        </is>
      </c>
      <c r="F129" s="6" t="n">
        <v>0</v>
      </c>
      <c r="G129" s="7" t="n">
        <v>0</v>
      </c>
    </row>
    <row r="130">
      <c r="A130" s="3" t="inlineStr">
        <is>
          <t>#</t>
        </is>
      </c>
      <c r="B130" s="3" t="inlineStr">
        <is>
          <t>CX2511ASTJYJ-RI</t>
        </is>
      </c>
      <c r="C130" s="3" t="inlineStr">
        <is>
          <t>AST　ジャージ（REI）F</t>
        </is>
      </c>
      <c r="D130" s="3" t="inlineStr">
        <is>
          <t>CX01</t>
        </is>
      </c>
      <c r="E130" s="3" t="inlineStr">
        <is>
          <t>CX催事</t>
        </is>
      </c>
      <c r="F130" s="6" t="n">
        <v>43</v>
      </c>
      <c r="G130" s="7" t="n">
        <v>391945</v>
      </c>
    </row>
    <row r="131">
      <c r="A131" s="3" t="inlineStr">
        <is>
          <t>#</t>
        </is>
      </c>
      <c r="B131" s="3" t="inlineStr">
        <is>
          <t>CX2511ASTJYJ-RI</t>
        </is>
      </c>
      <c r="C131" s="3" t="inlineStr">
        <is>
          <t>AST　ジャージ（REI）F</t>
        </is>
      </c>
      <c r="D131" s="3" t="inlineStr">
        <is>
          <t>DB00</t>
        </is>
      </c>
      <c r="E131" s="3" t="inlineStr">
        <is>
          <t>DBS倉庫</t>
        </is>
      </c>
      <c r="F131" s="6" t="n">
        <v>0</v>
      </c>
      <c r="G131" s="7" t="n">
        <v>0</v>
      </c>
    </row>
    <row r="132">
      <c r="A132" s="3" t="inlineStr">
        <is>
          <t>#</t>
        </is>
      </c>
      <c r="B132" s="3" t="inlineStr">
        <is>
          <t>CX2511ASTJYJ-SJ</t>
        </is>
      </c>
      <c r="C132" s="3" t="inlineStr">
        <is>
          <t>AST　ジャージ（SHINJI）F</t>
        </is>
      </c>
      <c r="D132" s="3" t="inlineStr">
        <is>
          <t>CX01</t>
        </is>
      </c>
      <c r="E132" s="3" t="inlineStr">
        <is>
          <t>CX催事</t>
        </is>
      </c>
      <c r="F132" s="6" t="n">
        <v>60</v>
      </c>
      <c r="G132" s="7" t="n">
        <v>546900</v>
      </c>
    </row>
    <row r="133">
      <c r="A133" s="3" t="inlineStr">
        <is>
          <t>#</t>
        </is>
      </c>
      <c r="B133" s="3" t="inlineStr">
        <is>
          <t>CX2511ASTJYJ-SJ</t>
        </is>
      </c>
      <c r="C133" s="3" t="inlineStr">
        <is>
          <t>AST　ジャージ（SHINJI）F</t>
        </is>
      </c>
      <c r="D133" s="3" t="inlineStr">
        <is>
          <t>DB00</t>
        </is>
      </c>
      <c r="E133" s="3" t="inlineStr">
        <is>
          <t>DBS倉庫</t>
        </is>
      </c>
      <c r="F133" s="6" t="n">
        <v>0</v>
      </c>
      <c r="G133" s="7" t="n">
        <v>0</v>
      </c>
    </row>
    <row r="134">
      <c r="A134" s="3" t="inlineStr">
        <is>
          <t>#</t>
        </is>
      </c>
      <c r="B134" s="3" t="inlineStr">
        <is>
          <t>CX2511ASTLNTSS-L</t>
        </is>
      </c>
      <c r="C134" s="3" t="inlineStr">
        <is>
          <t>AST　ロンT （初号機＆シンジ）L</t>
        </is>
      </c>
      <c r="D134" s="3" t="inlineStr">
        <is>
          <t>CX01</t>
        </is>
      </c>
      <c r="E134" s="3" t="inlineStr">
        <is>
          <t>CX催事</t>
        </is>
      </c>
      <c r="F134" s="6" t="n">
        <v>25</v>
      </c>
      <c r="G134" s="7" t="n">
        <v>94875</v>
      </c>
    </row>
    <row r="135">
      <c r="A135" s="3" t="inlineStr">
        <is>
          <t>#</t>
        </is>
      </c>
      <c r="B135" s="3" t="inlineStr">
        <is>
          <t>CX2511ASTLNTSS-L</t>
        </is>
      </c>
      <c r="C135" s="3" t="inlineStr">
        <is>
          <t>AST　ロンT （初号機＆シンジ）L</t>
        </is>
      </c>
      <c r="D135" s="3" t="inlineStr">
        <is>
          <t>DB00</t>
        </is>
      </c>
      <c r="E135" s="3" t="inlineStr">
        <is>
          <t>DBS倉庫</t>
        </is>
      </c>
      <c r="F135" s="6" t="n">
        <v>0</v>
      </c>
      <c r="G135" s="7" t="n">
        <v>0</v>
      </c>
    </row>
    <row r="136">
      <c r="A136" s="3" t="inlineStr">
        <is>
          <t>#</t>
        </is>
      </c>
      <c r="B136" s="3" t="inlineStr">
        <is>
          <t>CX2511ASTLNTSS-M</t>
        </is>
      </c>
      <c r="C136" s="3" t="inlineStr">
        <is>
          <t>AST　ロンT （初号機＆シンジ）M</t>
        </is>
      </c>
      <c r="D136" s="3" t="inlineStr">
        <is>
          <t>CX01</t>
        </is>
      </c>
      <c r="E136" s="3" t="inlineStr">
        <is>
          <t>CX催事</t>
        </is>
      </c>
      <c r="F136" s="6" t="n">
        <v>22</v>
      </c>
      <c r="G136" s="7" t="n">
        <v>83490</v>
      </c>
    </row>
    <row r="137">
      <c r="A137" s="3" t="inlineStr">
        <is>
          <t>#</t>
        </is>
      </c>
      <c r="B137" s="3" t="inlineStr">
        <is>
          <t>CX2511ASTLNTSS-M</t>
        </is>
      </c>
      <c r="C137" s="3" t="inlineStr">
        <is>
          <t>AST　ロンT （初号機＆シンジ）M</t>
        </is>
      </c>
      <c r="D137" s="3" t="inlineStr">
        <is>
          <t>DB00</t>
        </is>
      </c>
      <c r="E137" s="3" t="inlineStr">
        <is>
          <t>DBS倉庫</t>
        </is>
      </c>
      <c r="F137" s="6" t="n">
        <v>0</v>
      </c>
      <c r="G137" s="7" t="n">
        <v>0</v>
      </c>
    </row>
    <row r="138">
      <c r="A138" s="3" t="inlineStr">
        <is>
          <t>#</t>
        </is>
      </c>
      <c r="B138" s="3" t="inlineStr">
        <is>
          <t>CX2511ASTMUMKV</t>
        </is>
      </c>
      <c r="C138" s="3" t="inlineStr">
        <is>
          <t>AST　マウスマット　KV</t>
        </is>
      </c>
      <c r="D138" s="3" t="inlineStr">
        <is>
          <t>CX01</t>
        </is>
      </c>
      <c r="E138" s="3" t="inlineStr">
        <is>
          <t>CX催事</t>
        </is>
      </c>
      <c r="F138" s="6" t="n">
        <v>0</v>
      </c>
      <c r="G138" s="7" t="n">
        <v>0</v>
      </c>
    </row>
    <row r="139">
      <c r="A139" s="3" t="inlineStr">
        <is>
          <t>#</t>
        </is>
      </c>
      <c r="B139" s="3" t="inlineStr">
        <is>
          <t>CX2511ASTMUMKV</t>
        </is>
      </c>
      <c r="C139" s="3" t="inlineStr">
        <is>
          <t>AST　マウスマット　KV</t>
        </is>
      </c>
      <c r="D139" s="3" t="inlineStr">
        <is>
          <t>DB00</t>
        </is>
      </c>
      <c r="E139" s="3" t="inlineStr">
        <is>
          <t>DBS倉庫</t>
        </is>
      </c>
      <c r="F139" s="6" t="n">
        <v>0</v>
      </c>
      <c r="G139" s="7" t="n">
        <v>0</v>
      </c>
    </row>
    <row r="140">
      <c r="A140" s="3" t="inlineStr">
        <is>
          <t>#</t>
        </is>
      </c>
      <c r="B140" s="3" t="inlineStr">
        <is>
          <t>CX2511ASTRACD</t>
        </is>
      </c>
      <c r="C140" s="3" t="inlineStr">
        <is>
          <t>AST　ランダムアクリルカード</t>
        </is>
      </c>
      <c r="D140" s="3" t="inlineStr">
        <is>
          <t>CX01</t>
        </is>
      </c>
      <c r="E140" s="3" t="inlineStr">
        <is>
          <t>CX催事</t>
        </is>
      </c>
      <c r="F140" s="6" t="n">
        <v>8</v>
      </c>
      <c r="G140" s="7" t="n">
        <v>1536</v>
      </c>
    </row>
    <row r="141">
      <c r="A141" s="3" t="inlineStr">
        <is>
          <t>#</t>
        </is>
      </c>
      <c r="B141" s="3" t="inlineStr">
        <is>
          <t>CX2511ASTRACD</t>
        </is>
      </c>
      <c r="C141" s="3" t="inlineStr">
        <is>
          <t>AST　ランダムアクリルカード</t>
        </is>
      </c>
      <c r="D141" s="3" t="inlineStr">
        <is>
          <t>DB00</t>
        </is>
      </c>
      <c r="E141" s="3" t="inlineStr">
        <is>
          <t>DBS倉庫</t>
        </is>
      </c>
      <c r="F141" s="6" t="n">
        <v>0</v>
      </c>
      <c r="G141" s="7" t="n">
        <v>0</v>
      </c>
    </row>
    <row r="142">
      <c r="A142" s="3" t="inlineStr">
        <is>
          <t>#</t>
        </is>
      </c>
      <c r="B142" s="3" t="inlineStr">
        <is>
          <t>CX2511ASTRBDGKV</t>
        </is>
      </c>
      <c r="C142" s="3" t="inlineStr">
        <is>
          <t>AST　ランダム缶バッジ　KV</t>
        </is>
      </c>
      <c r="D142" s="3" t="inlineStr">
        <is>
          <t>CX01</t>
        </is>
      </c>
      <c r="E142" s="3" t="inlineStr">
        <is>
          <t>CX催事</t>
        </is>
      </c>
      <c r="F142" s="6" t="n">
        <v>1257</v>
      </c>
      <c r="G142" s="7" t="n">
        <v>213690</v>
      </c>
    </row>
    <row r="143">
      <c r="A143" s="3" t="inlineStr">
        <is>
          <t>#</t>
        </is>
      </c>
      <c r="B143" s="3" t="inlineStr">
        <is>
          <t>CX2511ASTRBDGKV</t>
        </is>
      </c>
      <c r="C143" s="3" t="inlineStr">
        <is>
          <t>AST　ランダム缶バッジ　KV</t>
        </is>
      </c>
      <c r="D143" s="3" t="inlineStr">
        <is>
          <t>DB00</t>
        </is>
      </c>
      <c r="E143" s="3" t="inlineStr">
        <is>
          <t>DBS倉庫</t>
        </is>
      </c>
      <c r="F143" s="6" t="n">
        <v>0</v>
      </c>
      <c r="G143" s="7" t="n">
        <v>0</v>
      </c>
    </row>
    <row r="144">
      <c r="A144" s="3" t="inlineStr">
        <is>
          <t>#</t>
        </is>
      </c>
      <c r="B144" s="3" t="inlineStr">
        <is>
          <t>CX2511ASTRDBDGRMX</t>
        </is>
      </c>
      <c r="C144" s="3" t="inlineStr">
        <is>
          <t>AST　ランダム缶バッジ　2023REMIX</t>
        </is>
      </c>
      <c r="D144" s="3" t="inlineStr">
        <is>
          <t>CX01</t>
        </is>
      </c>
      <c r="E144" s="3" t="inlineStr">
        <is>
          <t>CX催事</t>
        </is>
      </c>
      <c r="F144" s="6" t="n">
        <v>1342</v>
      </c>
      <c r="G144" s="7" t="n">
        <v>228140</v>
      </c>
    </row>
    <row r="145">
      <c r="A145" s="3" t="inlineStr">
        <is>
          <t>#</t>
        </is>
      </c>
      <c r="B145" s="3" t="inlineStr">
        <is>
          <t>CX2511ASTRDBDGRMX</t>
        </is>
      </c>
      <c r="C145" s="3" t="inlineStr">
        <is>
          <t>AST　ランダム缶バッジ　2023REMIX</t>
        </is>
      </c>
      <c r="D145" s="3" t="inlineStr">
        <is>
          <t>DB00</t>
        </is>
      </c>
      <c r="E145" s="3" t="inlineStr">
        <is>
          <t>DBS倉庫</t>
        </is>
      </c>
      <c r="F145" s="6" t="n">
        <v>0</v>
      </c>
      <c r="G145" s="7" t="n">
        <v>0</v>
      </c>
    </row>
    <row r="146">
      <c r="A146" s="3" t="inlineStr">
        <is>
          <t>#</t>
        </is>
      </c>
      <c r="B146" s="3" t="inlineStr">
        <is>
          <t>CX2511ASTRDSTK</t>
        </is>
      </c>
      <c r="C146" s="3" t="inlineStr">
        <is>
          <t>AST　ランダムステッカー</t>
        </is>
      </c>
      <c r="D146" s="3" t="inlineStr">
        <is>
          <t>CX01</t>
        </is>
      </c>
      <c r="E146" s="3" t="inlineStr">
        <is>
          <t>CX催事</t>
        </is>
      </c>
      <c r="F146" s="6" t="n">
        <v>26</v>
      </c>
      <c r="G146" s="7" t="n">
        <v>1456</v>
      </c>
    </row>
    <row r="147">
      <c r="A147" s="3" t="inlineStr">
        <is>
          <t>#</t>
        </is>
      </c>
      <c r="B147" s="3" t="inlineStr">
        <is>
          <t>CX2511ASTRDSTK</t>
        </is>
      </c>
      <c r="C147" s="3" t="inlineStr">
        <is>
          <t>AST　ランダムステッカー</t>
        </is>
      </c>
      <c r="D147" s="3" t="inlineStr">
        <is>
          <t>DB00</t>
        </is>
      </c>
      <c r="E147" s="3" t="inlineStr">
        <is>
          <t>DBS倉庫</t>
        </is>
      </c>
      <c r="F147" s="6" t="n">
        <v>0</v>
      </c>
      <c r="G147" s="7" t="n">
        <v>0</v>
      </c>
    </row>
    <row r="148">
      <c r="A148" s="3" t="inlineStr">
        <is>
          <t>#</t>
        </is>
      </c>
      <c r="B148" s="3" t="inlineStr">
        <is>
          <t>CX2511ASTRDSTKKP</t>
        </is>
      </c>
      <c r="C148" s="3" t="inlineStr">
        <is>
          <t>AST　ランダムステッカー コンプリート</t>
        </is>
      </c>
      <c r="D148" s="3" t="inlineStr">
        <is>
          <t>CX01</t>
        </is>
      </c>
      <c r="E148" s="3" t="inlineStr">
        <is>
          <t>CX催事</t>
        </is>
      </c>
      <c r="F148" s="6" t="n">
        <v>2</v>
      </c>
      <c r="G148" s="7" t="n">
        <v>1120</v>
      </c>
    </row>
    <row r="149">
      <c r="A149" s="3" t="inlineStr">
        <is>
          <t>#</t>
        </is>
      </c>
      <c r="B149" s="3" t="inlineStr">
        <is>
          <t>CX2511ASTRDSTKKP</t>
        </is>
      </c>
      <c r="C149" s="3" t="inlineStr">
        <is>
          <t>AST　ランダムステッカー コンプリート</t>
        </is>
      </c>
      <c r="D149" s="3" t="inlineStr">
        <is>
          <t>DB00</t>
        </is>
      </c>
      <c r="E149" s="3" t="inlineStr">
        <is>
          <t>DBS倉庫</t>
        </is>
      </c>
      <c r="F149" s="6" t="n">
        <v>0</v>
      </c>
      <c r="G149" s="7" t="n">
        <v>0</v>
      </c>
    </row>
    <row r="150">
      <c r="A150" s="3" t="inlineStr">
        <is>
          <t>#</t>
        </is>
      </c>
      <c r="B150" s="3" t="inlineStr">
        <is>
          <t>CX2511ASTRUCK</t>
        </is>
      </c>
      <c r="C150" s="3" t="inlineStr">
        <is>
          <t>AST　リュック</t>
        </is>
      </c>
      <c r="D150" s="3" t="inlineStr">
        <is>
          <t>CX01</t>
        </is>
      </c>
      <c r="E150" s="3" t="inlineStr">
        <is>
          <t>CX催事</t>
        </is>
      </c>
      <c r="F150" s="6" t="n">
        <v>19</v>
      </c>
      <c r="G150" s="7" t="n">
        <v>54340</v>
      </c>
    </row>
    <row r="151">
      <c r="A151" s="3" t="inlineStr">
        <is>
          <t>#</t>
        </is>
      </c>
      <c r="B151" s="3" t="inlineStr">
        <is>
          <t>CX2511ASTRUCK</t>
        </is>
      </c>
      <c r="C151" s="3" t="inlineStr">
        <is>
          <t>AST　リュック</t>
        </is>
      </c>
      <c r="D151" s="3" t="inlineStr">
        <is>
          <t>DB00</t>
        </is>
      </c>
      <c r="E151" s="3" t="inlineStr">
        <is>
          <t>DBS倉庫</t>
        </is>
      </c>
      <c r="F151" s="6" t="n">
        <v>0</v>
      </c>
      <c r="G151" s="7" t="n">
        <v>0</v>
      </c>
    </row>
    <row r="152">
      <c r="A152" s="3" t="inlineStr">
        <is>
          <t>#</t>
        </is>
      </c>
      <c r="B152" s="3" t="inlineStr">
        <is>
          <t>CX2511ASTSWTKV-L</t>
        </is>
      </c>
      <c r="C152" s="3" t="inlineStr">
        <is>
          <t>AST　スウェット（KV 少年組）L</t>
        </is>
      </c>
      <c r="D152" s="3" t="inlineStr">
        <is>
          <t>CX01</t>
        </is>
      </c>
      <c r="E152" s="3" t="inlineStr">
        <is>
          <t>CX催事</t>
        </is>
      </c>
      <c r="F152" s="6" t="n">
        <v>28</v>
      </c>
      <c r="G152" s="7" t="n">
        <v>161336</v>
      </c>
    </row>
    <row r="153">
      <c r="A153" s="3" t="inlineStr">
        <is>
          <t>#</t>
        </is>
      </c>
      <c r="B153" s="3" t="inlineStr">
        <is>
          <t>CX2511ASTSWTKV-L</t>
        </is>
      </c>
      <c r="C153" s="3" t="inlineStr">
        <is>
          <t>AST　スウェット（KV 少年組）L</t>
        </is>
      </c>
      <c r="D153" s="3" t="inlineStr">
        <is>
          <t>DB00</t>
        </is>
      </c>
      <c r="E153" s="3" t="inlineStr">
        <is>
          <t>DBS倉庫</t>
        </is>
      </c>
      <c r="F153" s="6" t="n">
        <v>0</v>
      </c>
      <c r="G153" s="7" t="n">
        <v>0</v>
      </c>
    </row>
    <row r="154">
      <c r="A154" s="3" t="inlineStr">
        <is>
          <t>#</t>
        </is>
      </c>
      <c r="B154" s="3" t="inlineStr">
        <is>
          <t>CX2511ASTSWTKV-M</t>
        </is>
      </c>
      <c r="C154" s="3" t="inlineStr">
        <is>
          <t>AST　スウェット（KV 少年組）M</t>
        </is>
      </c>
      <c r="D154" s="3" t="inlineStr">
        <is>
          <t>CX01</t>
        </is>
      </c>
      <c r="E154" s="3" t="inlineStr">
        <is>
          <t>CX催事</t>
        </is>
      </c>
      <c r="F154" s="6" t="n">
        <v>43</v>
      </c>
      <c r="G154" s="7" t="n">
        <v>247766</v>
      </c>
    </row>
    <row r="155">
      <c r="A155" s="3" t="inlineStr">
        <is>
          <t>#</t>
        </is>
      </c>
      <c r="B155" s="3" t="inlineStr">
        <is>
          <t>CX2511ASTSWTKV-M</t>
        </is>
      </c>
      <c r="C155" s="3" t="inlineStr">
        <is>
          <t>AST　スウェット（KV 少年組）M</t>
        </is>
      </c>
      <c r="D155" s="3" t="inlineStr">
        <is>
          <t>DB00</t>
        </is>
      </c>
      <c r="E155" s="3" t="inlineStr">
        <is>
          <t>DBS倉庫</t>
        </is>
      </c>
      <c r="F155" s="6" t="n">
        <v>0</v>
      </c>
      <c r="G155" s="7" t="n">
        <v>0</v>
      </c>
    </row>
    <row r="156">
      <c r="A156" s="3" t="inlineStr">
        <is>
          <t>#</t>
        </is>
      </c>
      <c r="B156" s="3" t="inlineStr">
        <is>
          <t>CX2511ASTSYOP</t>
        </is>
      </c>
      <c r="C156" s="3" t="inlineStr">
        <is>
          <t>AST　ショッパー</t>
        </is>
      </c>
      <c r="D156" s="3" t="inlineStr">
        <is>
          <t>CX01</t>
        </is>
      </c>
      <c r="E156" s="3" t="inlineStr">
        <is>
          <t>CX催事</t>
        </is>
      </c>
      <c r="F156" s="6" t="n">
        <v>0</v>
      </c>
      <c r="G156" s="7" t="n">
        <v>0</v>
      </c>
    </row>
    <row r="157">
      <c r="A157" s="3" t="inlineStr">
        <is>
          <t>#</t>
        </is>
      </c>
      <c r="B157" s="3" t="inlineStr">
        <is>
          <t>CX2511ASTSYOP</t>
        </is>
      </c>
      <c r="C157" s="3" t="inlineStr">
        <is>
          <t>AST　ショッパー</t>
        </is>
      </c>
      <c r="D157" s="3" t="inlineStr">
        <is>
          <t>DB00</t>
        </is>
      </c>
      <c r="E157" s="3" t="inlineStr">
        <is>
          <t>DBS倉庫</t>
        </is>
      </c>
      <c r="F157" s="6" t="n">
        <v>0</v>
      </c>
      <c r="G157" s="7" t="n">
        <v>0</v>
      </c>
    </row>
    <row r="158">
      <c r="A158" s="3" t="inlineStr">
        <is>
          <t>#</t>
        </is>
      </c>
      <c r="B158" s="3" t="inlineStr">
        <is>
          <t>CX2511ASTTOT</t>
        </is>
      </c>
      <c r="C158" s="3" t="inlineStr">
        <is>
          <t>AST　トートバッグ</t>
        </is>
      </c>
      <c r="D158" s="3" t="inlineStr">
        <is>
          <t>CX01</t>
        </is>
      </c>
      <c r="E158" s="3" t="inlineStr">
        <is>
          <t>CX催事</t>
        </is>
      </c>
      <c r="F158" s="6" t="n">
        <v>15</v>
      </c>
      <c r="G158" s="7" t="n">
        <v>39975</v>
      </c>
    </row>
    <row r="159">
      <c r="A159" s="3" t="inlineStr">
        <is>
          <t>#</t>
        </is>
      </c>
      <c r="B159" s="3" t="inlineStr">
        <is>
          <t>CX2511ASTTOT</t>
        </is>
      </c>
      <c r="C159" s="3" t="inlineStr">
        <is>
          <t>AST　トートバッグ</t>
        </is>
      </c>
      <c r="D159" s="3" t="inlineStr">
        <is>
          <t>DB00</t>
        </is>
      </c>
      <c r="E159" s="3" t="inlineStr">
        <is>
          <t>DBS倉庫</t>
        </is>
      </c>
      <c r="F159" s="6" t="n">
        <v>0</v>
      </c>
      <c r="G159" s="7" t="n">
        <v>0</v>
      </c>
    </row>
    <row r="160">
      <c r="A160" s="3" t="inlineStr">
        <is>
          <t>#</t>
        </is>
      </c>
      <c r="B160" s="3" t="inlineStr">
        <is>
          <t>CX2511ASTTSTASK-L</t>
        </is>
      </c>
      <c r="C160" s="3" t="inlineStr">
        <is>
          <t>AST　Tシャツ（アスカ）L</t>
        </is>
      </c>
      <c r="D160" s="3" t="inlineStr">
        <is>
          <t>CX01</t>
        </is>
      </c>
      <c r="E160" s="3" t="inlineStr">
        <is>
          <t>CX催事</t>
        </is>
      </c>
      <c r="F160" s="6" t="n">
        <v>64</v>
      </c>
      <c r="G160" s="7" t="n">
        <v>155136</v>
      </c>
    </row>
    <row r="161">
      <c r="A161" s="3" t="inlineStr">
        <is>
          <t>#</t>
        </is>
      </c>
      <c r="B161" s="3" t="inlineStr">
        <is>
          <t>CX2511ASTTSTASK-L</t>
        </is>
      </c>
      <c r="C161" s="3" t="inlineStr">
        <is>
          <t>AST　Tシャツ（アスカ）L</t>
        </is>
      </c>
      <c r="D161" s="3" t="inlineStr">
        <is>
          <t>DB00</t>
        </is>
      </c>
      <c r="E161" s="3" t="inlineStr">
        <is>
          <t>DBS倉庫</t>
        </is>
      </c>
      <c r="F161" s="6" t="n">
        <v>0</v>
      </c>
      <c r="G161" s="7" t="n">
        <v>0</v>
      </c>
    </row>
    <row r="162">
      <c r="A162" s="3" t="inlineStr">
        <is>
          <t>#</t>
        </is>
      </c>
      <c r="B162" s="3" t="inlineStr">
        <is>
          <t>CX2511ASTTSTASK-M</t>
        </is>
      </c>
      <c r="C162" s="3" t="inlineStr">
        <is>
          <t>AST　Tシャツ（アスカ）M</t>
        </is>
      </c>
      <c r="D162" s="3" t="inlineStr">
        <is>
          <t>CX01</t>
        </is>
      </c>
      <c r="E162" s="3" t="inlineStr">
        <is>
          <t>CX催事</t>
        </is>
      </c>
      <c r="F162" s="6" t="n">
        <v>100</v>
      </c>
      <c r="G162" s="7" t="n">
        <v>242400</v>
      </c>
    </row>
    <row r="163">
      <c r="A163" s="3" t="inlineStr">
        <is>
          <t>#</t>
        </is>
      </c>
      <c r="B163" s="3" t="inlineStr">
        <is>
          <t>CX2511ASTTSTASK-M</t>
        </is>
      </c>
      <c r="C163" s="3" t="inlineStr">
        <is>
          <t>AST　Tシャツ（アスカ）M</t>
        </is>
      </c>
      <c r="D163" s="3" t="inlineStr">
        <is>
          <t>DB00</t>
        </is>
      </c>
      <c r="E163" s="3" t="inlineStr">
        <is>
          <t>DBS倉庫</t>
        </is>
      </c>
      <c r="F163" s="6" t="n">
        <v>0</v>
      </c>
      <c r="G163" s="7" t="n">
        <v>0</v>
      </c>
    </row>
    <row r="164">
      <c r="A164" s="3" t="inlineStr">
        <is>
          <t>#</t>
        </is>
      </c>
      <c r="B164" s="3" t="inlineStr">
        <is>
          <t>CX2511ASTTSTKWR-L</t>
        </is>
      </c>
      <c r="C164" s="3" t="inlineStr">
        <is>
          <t>AST　Tシャツ（カヲル）L</t>
        </is>
      </c>
      <c r="D164" s="3" t="inlineStr">
        <is>
          <t>CX01</t>
        </is>
      </c>
      <c r="E164" s="3" t="inlineStr">
        <is>
          <t>CX催事</t>
        </is>
      </c>
      <c r="F164" s="6" t="n">
        <v>40</v>
      </c>
      <c r="G164" s="7" t="n">
        <v>96960</v>
      </c>
    </row>
    <row r="165">
      <c r="A165" s="3" t="inlineStr">
        <is>
          <t>#</t>
        </is>
      </c>
      <c r="B165" s="3" t="inlineStr">
        <is>
          <t>CX2511ASTTSTKWR-L</t>
        </is>
      </c>
      <c r="C165" s="3" t="inlineStr">
        <is>
          <t>AST　Tシャツ（カヲル）L</t>
        </is>
      </c>
      <c r="D165" s="3" t="inlineStr">
        <is>
          <t>DB00</t>
        </is>
      </c>
      <c r="E165" s="3" t="inlineStr">
        <is>
          <t>DBS倉庫</t>
        </is>
      </c>
      <c r="F165" s="6" t="n">
        <v>0</v>
      </c>
      <c r="G165" s="7" t="n">
        <v>0</v>
      </c>
    </row>
    <row r="166">
      <c r="A166" s="3" t="inlineStr">
        <is>
          <t>#</t>
        </is>
      </c>
      <c r="B166" s="3" t="inlineStr">
        <is>
          <t>CX2511ASTTSTKWR-M</t>
        </is>
      </c>
      <c r="C166" s="3" t="inlineStr">
        <is>
          <t>AST　Tシャツ（カヲル）M</t>
        </is>
      </c>
      <c r="D166" s="3" t="inlineStr">
        <is>
          <t>CX01</t>
        </is>
      </c>
      <c r="E166" s="3" t="inlineStr">
        <is>
          <t>CX催事</t>
        </is>
      </c>
      <c r="F166" s="6" t="n">
        <v>70</v>
      </c>
      <c r="G166" s="7" t="n">
        <v>169680</v>
      </c>
    </row>
    <row r="167">
      <c r="A167" s="3" t="inlineStr">
        <is>
          <t>#</t>
        </is>
      </c>
      <c r="B167" s="3" t="inlineStr">
        <is>
          <t>CX2511ASTTSTKWR-M</t>
        </is>
      </c>
      <c r="C167" s="3" t="inlineStr">
        <is>
          <t>AST　Tシャツ（カヲル）M</t>
        </is>
      </c>
      <c r="D167" s="3" t="inlineStr">
        <is>
          <t>DB00</t>
        </is>
      </c>
      <c r="E167" s="3" t="inlineStr">
        <is>
          <t>DBS倉庫</t>
        </is>
      </c>
      <c r="F167" s="6" t="n">
        <v>0</v>
      </c>
      <c r="G167" s="7" t="n">
        <v>0</v>
      </c>
    </row>
    <row r="168">
      <c r="A168" s="3" t="inlineStr">
        <is>
          <t>#</t>
        </is>
      </c>
      <c r="B168" s="3" t="inlineStr">
        <is>
          <t>CX2511ASTTSTMR-L</t>
        </is>
      </c>
      <c r="C168" s="3" t="inlineStr">
        <is>
          <t>AST　Tシャツ（マリ）L</t>
        </is>
      </c>
      <c r="D168" s="3" t="inlineStr">
        <is>
          <t>CX01</t>
        </is>
      </c>
      <c r="E168" s="3" t="inlineStr">
        <is>
          <t>CX催事</t>
        </is>
      </c>
      <c r="F168" s="6" t="n">
        <v>4</v>
      </c>
      <c r="G168" s="7" t="n">
        <v>9696</v>
      </c>
    </row>
    <row r="169">
      <c r="A169" s="3" t="inlineStr">
        <is>
          <t>#</t>
        </is>
      </c>
      <c r="B169" s="3" t="inlineStr">
        <is>
          <t>CX2511ASTTSTMR-L</t>
        </is>
      </c>
      <c r="C169" s="3" t="inlineStr">
        <is>
          <t>AST　Tシャツ（マリ）L</t>
        </is>
      </c>
      <c r="D169" s="3" t="inlineStr">
        <is>
          <t>DB00</t>
        </is>
      </c>
      <c r="E169" s="3" t="inlineStr">
        <is>
          <t>DBS倉庫</t>
        </is>
      </c>
      <c r="F169" s="6" t="n">
        <v>0</v>
      </c>
      <c r="G169" s="7" t="n">
        <v>0</v>
      </c>
    </row>
    <row r="170">
      <c r="A170" s="3" t="inlineStr">
        <is>
          <t>#</t>
        </is>
      </c>
      <c r="B170" s="3" t="inlineStr">
        <is>
          <t>CX2511ASTTSTMR-M</t>
        </is>
      </c>
      <c r="C170" s="3" t="inlineStr">
        <is>
          <t>AST　Tシャツ（マリ）M</t>
        </is>
      </c>
      <c r="D170" s="3" t="inlineStr">
        <is>
          <t>CX01</t>
        </is>
      </c>
      <c r="E170" s="3" t="inlineStr">
        <is>
          <t>CX催事</t>
        </is>
      </c>
      <c r="F170" s="6" t="n">
        <v>17</v>
      </c>
      <c r="G170" s="7" t="n">
        <v>41208</v>
      </c>
    </row>
    <row r="171">
      <c r="A171" s="3" t="inlineStr">
        <is>
          <t>#</t>
        </is>
      </c>
      <c r="B171" s="3" t="inlineStr">
        <is>
          <t>CX2511ASTTSTMR-M</t>
        </is>
      </c>
      <c r="C171" s="3" t="inlineStr">
        <is>
          <t>AST　Tシャツ（マリ）M</t>
        </is>
      </c>
      <c r="D171" s="3" t="inlineStr">
        <is>
          <t>DB00</t>
        </is>
      </c>
      <c r="E171" s="3" t="inlineStr">
        <is>
          <t>DBS倉庫</t>
        </is>
      </c>
      <c r="F171" s="6" t="n">
        <v>0</v>
      </c>
      <c r="G171" s="7" t="n">
        <v>0</v>
      </c>
    </row>
    <row r="172">
      <c r="A172" s="3" t="inlineStr">
        <is>
          <t>#</t>
        </is>
      </c>
      <c r="B172" s="3" t="inlineStr">
        <is>
          <t>CX2511ASTTSTPP-L</t>
        </is>
      </c>
      <c r="C172" s="3" t="inlineStr">
        <is>
          <t>AST　Tシャツ（ペンペン）L</t>
        </is>
      </c>
      <c r="D172" s="3" t="inlineStr">
        <is>
          <t>CX01</t>
        </is>
      </c>
      <c r="E172" s="3" t="inlineStr">
        <is>
          <t>CX催事</t>
        </is>
      </c>
      <c r="F172" s="6" t="n">
        <v>0</v>
      </c>
      <c r="G172" s="7" t="n">
        <v>0</v>
      </c>
    </row>
    <row r="173">
      <c r="A173" s="3" t="inlineStr">
        <is>
          <t>#</t>
        </is>
      </c>
      <c r="B173" s="3" t="inlineStr">
        <is>
          <t>CX2511ASTTSTPP-L</t>
        </is>
      </c>
      <c r="C173" s="3" t="inlineStr">
        <is>
          <t>AST　Tシャツ（ペンペン）L</t>
        </is>
      </c>
      <c r="D173" s="3" t="inlineStr">
        <is>
          <t>DB00</t>
        </is>
      </c>
      <c r="E173" s="3" t="inlineStr">
        <is>
          <t>DBS倉庫</t>
        </is>
      </c>
      <c r="F173" s="6" t="n">
        <v>0</v>
      </c>
      <c r="G173" s="7" t="n">
        <v>0</v>
      </c>
    </row>
    <row r="174">
      <c r="A174" s="3" t="inlineStr">
        <is>
          <t>#</t>
        </is>
      </c>
      <c r="B174" s="3" t="inlineStr">
        <is>
          <t>CX2511ASTTSTPP-M</t>
        </is>
      </c>
      <c r="C174" s="3" t="inlineStr">
        <is>
          <t>AST　Tシャツ（ペンペン）M</t>
        </is>
      </c>
      <c r="D174" s="3" t="inlineStr">
        <is>
          <t>CX01</t>
        </is>
      </c>
      <c r="E174" s="3" t="inlineStr">
        <is>
          <t>CX催事</t>
        </is>
      </c>
      <c r="F174" s="6" t="n">
        <v>0</v>
      </c>
      <c r="G174" s="7" t="n">
        <v>0</v>
      </c>
    </row>
    <row r="175">
      <c r="A175" s="3" t="inlineStr">
        <is>
          <t>#</t>
        </is>
      </c>
      <c r="B175" s="3" t="inlineStr">
        <is>
          <t>CX2511ASTTSTPP-M</t>
        </is>
      </c>
      <c r="C175" s="3" t="inlineStr">
        <is>
          <t>AST　Tシャツ（ペンペン）M</t>
        </is>
      </c>
      <c r="D175" s="3" t="inlineStr">
        <is>
          <t>DB00</t>
        </is>
      </c>
      <c r="E175" s="3" t="inlineStr">
        <is>
          <t>DBS倉庫</t>
        </is>
      </c>
      <c r="F175" s="6" t="n">
        <v>0</v>
      </c>
      <c r="G175" s="7" t="n">
        <v>0</v>
      </c>
    </row>
    <row r="176">
      <c r="A176" s="3" t="inlineStr">
        <is>
          <t>#</t>
        </is>
      </c>
      <c r="B176" s="3" t="inlineStr">
        <is>
          <t>CX2511ASTTSTRI-L</t>
        </is>
      </c>
      <c r="C176" s="3" t="inlineStr">
        <is>
          <t>AST　Tシャツ（レイ）L</t>
        </is>
      </c>
      <c r="D176" s="3" t="inlineStr">
        <is>
          <t>CX01</t>
        </is>
      </c>
      <c r="E176" s="3" t="inlineStr">
        <is>
          <t>CX催事</t>
        </is>
      </c>
      <c r="F176" s="6" t="n">
        <v>4</v>
      </c>
      <c r="G176" s="7" t="n">
        <v>9696</v>
      </c>
    </row>
    <row r="177">
      <c r="A177" s="3" t="inlineStr">
        <is>
          <t>#</t>
        </is>
      </c>
      <c r="B177" s="3" t="inlineStr">
        <is>
          <t>CX2511ASTTSTRI-L</t>
        </is>
      </c>
      <c r="C177" s="3" t="inlineStr">
        <is>
          <t>AST　Tシャツ（レイ）L</t>
        </is>
      </c>
      <c r="D177" s="3" t="inlineStr">
        <is>
          <t>DB00</t>
        </is>
      </c>
      <c r="E177" s="3" t="inlineStr">
        <is>
          <t>DBS倉庫</t>
        </is>
      </c>
      <c r="F177" s="6" t="n">
        <v>0</v>
      </c>
      <c r="G177" s="7" t="n">
        <v>0</v>
      </c>
    </row>
    <row r="178">
      <c r="A178" s="3" t="inlineStr">
        <is>
          <t>#</t>
        </is>
      </c>
      <c r="B178" s="3" t="inlineStr">
        <is>
          <t>CX2511ASTTSTRI-M</t>
        </is>
      </c>
      <c r="C178" s="3" t="inlineStr">
        <is>
          <t>AST　Tシャツ（レイ）M</t>
        </is>
      </c>
      <c r="D178" s="3" t="inlineStr">
        <is>
          <t>CX01</t>
        </is>
      </c>
      <c r="E178" s="3" t="inlineStr">
        <is>
          <t>CX催事</t>
        </is>
      </c>
      <c r="F178" s="6" t="n">
        <v>34</v>
      </c>
      <c r="G178" s="7" t="n">
        <v>82416</v>
      </c>
    </row>
    <row r="179">
      <c r="A179" s="3" t="inlineStr">
        <is>
          <t>#</t>
        </is>
      </c>
      <c r="B179" s="3" t="inlineStr">
        <is>
          <t>CX2511ASTTSTRI-M</t>
        </is>
      </c>
      <c r="C179" s="3" t="inlineStr">
        <is>
          <t>AST　Tシャツ（レイ）M</t>
        </is>
      </c>
      <c r="D179" s="3" t="inlineStr">
        <is>
          <t>DB00</t>
        </is>
      </c>
      <c r="E179" s="3" t="inlineStr">
        <is>
          <t>DBS倉庫</t>
        </is>
      </c>
      <c r="F179" s="6" t="n">
        <v>0</v>
      </c>
      <c r="G179" s="7" t="n">
        <v>0</v>
      </c>
    </row>
    <row r="180">
      <c r="A180" s="3" t="inlineStr">
        <is>
          <t>#</t>
        </is>
      </c>
      <c r="B180" s="3" t="inlineStr">
        <is>
          <t>CX2511ASTTSTSJ-L</t>
        </is>
      </c>
      <c r="C180" s="3" t="inlineStr">
        <is>
          <t>AST　Tシャツ（シンジ）L</t>
        </is>
      </c>
      <c r="D180" s="3" t="inlineStr">
        <is>
          <t>CX01</t>
        </is>
      </c>
      <c r="E180" s="3" t="inlineStr">
        <is>
          <t>CX催事</t>
        </is>
      </c>
      <c r="F180" s="6" t="n">
        <v>9</v>
      </c>
      <c r="G180" s="7" t="n">
        <v>21816</v>
      </c>
    </row>
    <row r="181">
      <c r="A181" s="3" t="inlineStr">
        <is>
          <t>#</t>
        </is>
      </c>
      <c r="B181" s="3" t="inlineStr">
        <is>
          <t>CX2511ASTTSTSJ-L</t>
        </is>
      </c>
      <c r="C181" s="3" t="inlineStr">
        <is>
          <t>AST　Tシャツ（シンジ）L</t>
        </is>
      </c>
      <c r="D181" s="3" t="inlineStr">
        <is>
          <t>DB00</t>
        </is>
      </c>
      <c r="E181" s="3" t="inlineStr">
        <is>
          <t>DBS倉庫</t>
        </is>
      </c>
      <c r="F181" s="6" t="n">
        <v>0</v>
      </c>
      <c r="G181" s="7" t="n">
        <v>0</v>
      </c>
    </row>
    <row r="182">
      <c r="A182" s="3" t="inlineStr">
        <is>
          <t>#</t>
        </is>
      </c>
      <c r="B182" s="3" t="inlineStr">
        <is>
          <t>CX2511ASTTSTSJ-M</t>
        </is>
      </c>
      <c r="C182" s="3" t="inlineStr">
        <is>
          <t>AST　Tシャツ（シンジ）M</t>
        </is>
      </c>
      <c r="D182" s="3" t="inlineStr">
        <is>
          <t>CX01</t>
        </is>
      </c>
      <c r="E182" s="3" t="inlineStr">
        <is>
          <t>CX催事</t>
        </is>
      </c>
      <c r="F182" s="6" t="n">
        <v>13</v>
      </c>
      <c r="G182" s="7" t="n">
        <v>31512</v>
      </c>
    </row>
    <row r="183">
      <c r="A183" s="3" t="inlineStr">
        <is>
          <t>#</t>
        </is>
      </c>
      <c r="B183" s="3" t="inlineStr">
        <is>
          <t>CX2511ASTTSTSJ-M</t>
        </is>
      </c>
      <c r="C183" s="3" t="inlineStr">
        <is>
          <t>AST　Tシャツ（シンジ）M</t>
        </is>
      </c>
      <c r="D183" s="3" t="inlineStr">
        <is>
          <t>DB00</t>
        </is>
      </c>
      <c r="E183" s="3" t="inlineStr">
        <is>
          <t>DBS倉庫</t>
        </is>
      </c>
      <c r="F183" s="6" t="n">
        <v>0</v>
      </c>
      <c r="G183" s="7" t="n">
        <v>0</v>
      </c>
    </row>
    <row r="184">
      <c r="A184" s="3" t="inlineStr">
        <is>
          <t>#</t>
        </is>
      </c>
      <c r="B184" s="3" t="inlineStr">
        <is>
          <t>CX2511ASTUKSNKV</t>
        </is>
      </c>
      <c r="C184" s="3" t="inlineStr">
        <is>
          <t>AST　U型クッション　KV</t>
        </is>
      </c>
      <c r="D184" s="3" t="inlineStr">
        <is>
          <t>CX01</t>
        </is>
      </c>
      <c r="E184" s="3" t="inlineStr">
        <is>
          <t>CX催事</t>
        </is>
      </c>
      <c r="F184" s="6" t="n">
        <v>1</v>
      </c>
      <c r="G184" s="7" t="n">
        <v>1308</v>
      </c>
    </row>
    <row r="185">
      <c r="A185" s="3" t="inlineStr">
        <is>
          <t>#</t>
        </is>
      </c>
      <c r="B185" s="3" t="inlineStr">
        <is>
          <t>CX2511ASTUKSNKV</t>
        </is>
      </c>
      <c r="C185" s="3" t="inlineStr">
        <is>
          <t>AST　U型クッション　KV</t>
        </is>
      </c>
      <c r="D185" s="3" t="inlineStr">
        <is>
          <t>DB00</t>
        </is>
      </c>
      <c r="E185" s="3" t="inlineStr">
        <is>
          <t>DBS倉庫</t>
        </is>
      </c>
      <c r="F185" s="6" t="n">
        <v>0</v>
      </c>
      <c r="G185" s="7" t="n">
        <v>0</v>
      </c>
    </row>
    <row r="186">
      <c r="A186" s="3" t="inlineStr">
        <is>
          <t>#</t>
        </is>
      </c>
      <c r="B186" s="3" t="inlineStr">
        <is>
          <t>CX2511ASTWBKNGUK</t>
        </is>
      </c>
      <c r="C186" s="3" t="inlineStr">
        <is>
          <t>AST　ウィンドブレーカー（２号機）F</t>
        </is>
      </c>
      <c r="D186" s="3" t="inlineStr">
        <is>
          <t>CX01</t>
        </is>
      </c>
      <c r="E186" s="3" t="inlineStr">
        <is>
          <t>CX催事</t>
        </is>
      </c>
      <c r="F186" s="6" t="n">
        <v>48</v>
      </c>
      <c r="G186" s="7" t="n">
        <v>326880</v>
      </c>
    </row>
    <row r="187">
      <c r="A187" s="3" t="inlineStr">
        <is>
          <t>#</t>
        </is>
      </c>
      <c r="B187" s="3" t="inlineStr">
        <is>
          <t>CX2511ASTWBKNGUK</t>
        </is>
      </c>
      <c r="C187" s="3" t="inlineStr">
        <is>
          <t>AST　ウィンドブレーカー（２号機）F</t>
        </is>
      </c>
      <c r="D187" s="3" t="inlineStr">
        <is>
          <t>DB00</t>
        </is>
      </c>
      <c r="E187" s="3" t="inlineStr">
        <is>
          <t>DBS倉庫</t>
        </is>
      </c>
      <c r="F187" s="6" t="n">
        <v>0</v>
      </c>
      <c r="G187" s="7" t="n">
        <v>0</v>
      </c>
    </row>
    <row r="188">
      <c r="A188" s="3" t="inlineStr">
        <is>
          <t>#</t>
        </is>
      </c>
      <c r="B188" s="3" t="inlineStr">
        <is>
          <t>CX2511ASTWBKSGUK</t>
        </is>
      </c>
      <c r="C188" s="3" t="inlineStr">
        <is>
          <t>AST　ウィンドブレーカー（初号機）F</t>
        </is>
      </c>
      <c r="D188" s="3" t="inlineStr">
        <is>
          <t>CX01</t>
        </is>
      </c>
      <c r="E188" s="3" t="inlineStr">
        <is>
          <t>CX催事</t>
        </is>
      </c>
      <c r="F188" s="6" t="n">
        <v>32</v>
      </c>
      <c r="G188" s="7" t="n">
        <v>217920</v>
      </c>
    </row>
    <row r="189">
      <c r="A189" s="3" t="inlineStr">
        <is>
          <t>#</t>
        </is>
      </c>
      <c r="B189" s="3" t="inlineStr">
        <is>
          <t>CX2511ASTWBKSGUK</t>
        </is>
      </c>
      <c r="C189" s="3" t="inlineStr">
        <is>
          <t>AST　ウィンドブレーカー（初号機）F</t>
        </is>
      </c>
      <c r="D189" s="3" t="inlineStr">
        <is>
          <t>DB00</t>
        </is>
      </c>
      <c r="E189" s="3" t="inlineStr">
        <is>
          <t>DBS倉庫</t>
        </is>
      </c>
      <c r="F189" s="6" t="n">
        <v>0</v>
      </c>
      <c r="G189" s="7" t="n">
        <v>0</v>
      </c>
    </row>
    <row r="190">
      <c r="A190" s="3" t="inlineStr">
        <is>
          <t>#</t>
        </is>
      </c>
      <c r="B190" s="3" t="inlineStr">
        <is>
          <t>CX2511ASTWBKZGUK</t>
        </is>
      </c>
      <c r="C190" s="3" t="inlineStr">
        <is>
          <t>AST　ウィンドブレーカー（ゼロ号機）F</t>
        </is>
      </c>
      <c r="D190" s="3" t="inlineStr">
        <is>
          <t>CX01</t>
        </is>
      </c>
      <c r="E190" s="3" t="inlineStr">
        <is>
          <t>CX催事</t>
        </is>
      </c>
      <c r="F190" s="6" t="n">
        <v>61</v>
      </c>
      <c r="G190" s="7" t="n">
        <v>415410</v>
      </c>
    </row>
    <row r="191">
      <c r="A191" s="3" t="inlineStr">
        <is>
          <t>#</t>
        </is>
      </c>
      <c r="B191" s="3" t="inlineStr">
        <is>
          <t>CX2511ASTWBKZGUK</t>
        </is>
      </c>
      <c r="C191" s="3" t="inlineStr">
        <is>
          <t>AST　ウィンドブレーカー（ゼロ号機）F</t>
        </is>
      </c>
      <c r="D191" s="3" t="inlineStr">
        <is>
          <t>DB00</t>
        </is>
      </c>
      <c r="E191" s="3" t="inlineStr">
        <is>
          <t>DBS倉庫</t>
        </is>
      </c>
      <c r="F191" s="6" t="n">
        <v>0</v>
      </c>
      <c r="G191" s="7" t="n">
        <v>0</v>
      </c>
    </row>
    <row r="192">
      <c r="A192" s="3" t="inlineStr">
        <is>
          <t>#</t>
        </is>
      </c>
      <c r="B192" s="3" t="inlineStr">
        <is>
          <t>CX2511ASTWESTPT</t>
        </is>
      </c>
      <c r="C192" s="3" t="inlineStr">
        <is>
          <t>AST　ウェストポーチ</t>
        </is>
      </c>
      <c r="D192" s="3" t="inlineStr">
        <is>
          <t>CX01</t>
        </is>
      </c>
      <c r="E192" s="3" t="inlineStr">
        <is>
          <t>CX催事</t>
        </is>
      </c>
      <c r="F192" s="6" t="n">
        <v>0</v>
      </c>
      <c r="G192" s="7" t="n">
        <v>0</v>
      </c>
    </row>
    <row r="193">
      <c r="A193" s="3" t="inlineStr">
        <is>
          <t>#</t>
        </is>
      </c>
      <c r="B193" s="3" t="inlineStr">
        <is>
          <t>CX2511ASTWESTPT</t>
        </is>
      </c>
      <c r="C193" s="3" t="inlineStr">
        <is>
          <t>AST　ウェストポーチ</t>
        </is>
      </c>
      <c r="D193" s="3" t="inlineStr">
        <is>
          <t>DB00</t>
        </is>
      </c>
      <c r="E193" s="3" t="inlineStr">
        <is>
          <t>DBS倉庫</t>
        </is>
      </c>
      <c r="F193" s="6" t="n">
        <v>0</v>
      </c>
      <c r="G193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1" tabSelected="0" workbookViewId="0">
      <selection activeCell="A1" sqref="A1"/>
    </sheetView>
  </sheetViews>
  <sheetFormatPr baseColWidth="8" defaultRowHeight="15"/>
  <sheetData>
    <row r="1">
      <c r="A1" s="3" t="inlineStr">
        <is>
          <t>JANコード(EAN/UPC)</t>
        </is>
      </c>
      <c r="B1" s="3" t="inlineStr"/>
    </row>
    <row r="2">
      <c r="A2" s="3" t="inlineStr">
        <is>
          <t>WBS 要素</t>
        </is>
      </c>
      <c r="B2" s="3" t="inlineStr"/>
    </row>
    <row r="3">
      <c r="A3" s="3" t="inlineStr">
        <is>
          <t>メジャー</t>
        </is>
      </c>
      <c r="B3" s="3" t="inlineStr"/>
    </row>
    <row r="4">
      <c r="A4" s="3" t="inlineStr">
        <is>
          <t>サイズ/寸法</t>
        </is>
      </c>
      <c r="B4" s="3" t="inlineStr"/>
    </row>
    <row r="5">
      <c r="A5" s="3" t="inlineStr">
        <is>
          <t>サプライヤ SID</t>
        </is>
      </c>
      <c r="B5" s="3" t="inlineStr"/>
    </row>
    <row r="6">
      <c r="A6" s="3" t="inlineStr">
        <is>
          <t>プラント</t>
        </is>
      </c>
      <c r="B6" s="3" t="inlineStr"/>
    </row>
    <row r="7">
      <c r="A7" s="3" t="inlineStr">
        <is>
          <t>プラント名</t>
        </is>
      </c>
      <c r="B7" s="3" t="inlineStr"/>
    </row>
    <row r="8">
      <c r="A8" s="3" t="inlineStr">
        <is>
          <t>ロット SID</t>
        </is>
      </c>
      <c r="B8" s="3" t="inlineStr"/>
    </row>
    <row r="9">
      <c r="A9" s="3" t="inlineStr">
        <is>
          <t>保管場所</t>
        </is>
      </c>
      <c r="B9" s="3" t="inlineStr"/>
    </row>
    <row r="10">
      <c r="A10" s="3" t="inlineStr">
        <is>
          <t>保管場所名</t>
        </is>
      </c>
      <c r="B10" s="3" t="inlineStr"/>
    </row>
    <row r="11">
      <c r="A11" s="3" t="inlineStr">
        <is>
          <t>受注明細</t>
        </is>
      </c>
      <c r="B11" s="3" t="inlineStr"/>
    </row>
    <row r="12">
      <c r="A12" s="3" t="inlineStr">
        <is>
          <t>受注番号</t>
        </is>
      </c>
      <c r="B12" s="3" t="inlineStr"/>
    </row>
    <row r="13">
      <c r="A13" s="3" t="inlineStr">
        <is>
          <t>品目コード</t>
        </is>
      </c>
      <c r="B13" s="3" t="inlineStr">
        <is>
          <t>CX2511ADACDKP; CX2511ADAST-ASK; CX2511ADAST-IKR; CX2511ADAST-KJ; CX2511ADAST-KWR; CX2511ADAST-MR; CX2511ADAST-MST; CX2511ADAST-PP; CX2511ADAST-RI; CX2511ADAST-RTK; CX2511ADAST-SJ; CX2511ADASTKV; CX2511ADBDGKVKP; CX2511ADBDGRMXKP; CX2511ADJYJ-ASK; CX2511ADJYJ-KWR; CX2511ADJYJ-RI; CX2511ADJYJ-SJ; CX2511ADLNTSS-L; CX2511ADLNTSS-M; CX2511ADMUMKV; CX2511ADRACD; CX2511ADRBDGKV; CX2511ADRDBDGRMX; CX2511ADRDSTK; CX2511ADRDSTKKP; CX2511ADRUCK; CX2511ADSWTKV-L; CX2511ADSWTKV-M; CX2511ADSYOP; CX2511ADTOT; CX2511ADTSTASK-L; CX2511ADTSTASK-M; CX2511ADTSTKWR-L; CX2511ADTSTKWR-M; CX2511ADTSTMR-L; CX2511ADTSTMR-M; CX2511ADTSTPP-L; CX2511ADTSTPP-M; CX2511ADTSTRI-L; CX2511ADTSTRI-M; CX2511ADTSTSJ-L; CX2511ADTSTSJ-M; CX2511ADUKSNKV; CX2511ADWBKNGUK; CX2511ADWBKSGUK; CX2511ADWBKZGUK; CX2511ADWESTPT; CX2511ASTACDKP; CX2511ASTAST-ASK; CX2511ASTAST-IKR; CX2511ASTAST-KJ; CX2511ASTAST-KWR; CX2511ASTAST-MR; CX2511ASTAST-MST; CX2511ASTAST-PP; CX2511ASTAST-RI; CX2511ASTAST-RTK; CX2511ASTAST-SJ; CX2511ASTASTKV; CX2511ASTBDGKVKP; CX2511ASTBDGRMXKP; CX2511ASTJYJ-ASK; CX2511ASTJYJ-KWR; CX2511ASTJYJ-RI; CX2511ASTJYJ-SJ; CX2511ASTLNTSS-L; CX2511ASTLNTSS-M; CX2511ASTMUMKV; CX2511ASTRACD; CX2511ASTRBDGKV; CX2511ASTRDBDGRMX; CX2511ASTRDSTK; CX2511ASTRDSTKKP; CX2511ASTRUCK; CX2511ASTSWTKV-L; CX2511ASTSWTKV-M; CX2511ASTSYOP; CX2511ASTTOT; CX2511ASTTSTASK-L; CX2511ASTTSTASK-M; CX2511ASTTSTKWR-L; CX2511ASTTSTKWR-M; CX2511ASTTSTMR-L; CX2511ASTTSTMR-M; CX2511ASTTSTPP-L; CX2511ASTTSTPP-M; CX2511ASTTSTRI-L; CX2511ASTTSTRI-M; CX2511ASTTSTSJ-L; CX2511ASTTSTSJ-M; CX2511ASTUKSNKV; CX2511ASTWBKNGUK; CX2511ASTWBKSGUK; CX2511ASTWBKZGUK; CX2511ASTWESTPT</t>
        </is>
      </c>
    </row>
    <row r="14">
      <c r="A14" s="3" t="inlineStr">
        <is>
          <t>品目テキスト</t>
        </is>
      </c>
      <c r="B14" s="3" t="inlineStr"/>
    </row>
    <row r="15">
      <c r="A15" s="3" t="inlineStr">
        <is>
          <t>在庫タイプ</t>
        </is>
      </c>
      <c r="B15" s="3" t="inlineStr"/>
    </row>
    <row r="16">
      <c r="A16" s="3" t="inlineStr">
        <is>
          <t>基本数量単位</t>
        </is>
      </c>
      <c r="B16" s="3" t="inlineStr"/>
    </row>
    <row r="17">
      <c r="A17" s="3" t="inlineStr">
        <is>
          <t>得意先 SID</t>
        </is>
      </c>
      <c r="B17" s="3" t="inlineStr"/>
    </row>
    <row r="18">
      <c r="A18" s="3" t="inlineStr">
        <is>
          <t>文書</t>
        </is>
      </c>
      <c r="B18" s="3" t="inlineStr"/>
    </row>
    <row r="19">
      <c r="A19" s="3" t="inlineStr">
        <is>
          <t>文書タイプ</t>
        </is>
      </c>
      <c r="B19" s="3" t="inlineStr"/>
    </row>
    <row r="20">
      <c r="A20" s="3" t="inlineStr">
        <is>
          <t>旧製品番号</t>
        </is>
      </c>
      <c r="B20" s="3" t="inlineStr"/>
    </row>
    <row r="21">
      <c r="A21" s="3" t="inlineStr">
        <is>
          <t>案件名</t>
        </is>
      </c>
      <c r="B21" s="3" t="inlineStr"/>
    </row>
    <row r="22">
      <c r="A22" s="3" t="inlineStr">
        <is>
          <t>案件担当者</t>
        </is>
      </c>
      <c r="B22" s="3" t="inlineStr"/>
    </row>
    <row r="23">
      <c r="A23" s="3" t="inlineStr">
        <is>
          <t>案件番号</t>
        </is>
      </c>
      <c r="B23" s="3" t="inlineStr"/>
    </row>
    <row r="24">
      <c r="A24" s="3" t="inlineStr">
        <is>
          <t>照会通貨</t>
        </is>
      </c>
      <c r="B24" s="3" t="inlineStr"/>
    </row>
    <row r="25">
      <c r="A25" s="3" t="inlineStr">
        <is>
          <t>特殊在庫の追加仕入先</t>
        </is>
      </c>
      <c r="B25" s="3" t="inlineStr"/>
    </row>
    <row r="26">
      <c r="A26" s="3" t="inlineStr">
        <is>
          <t>特殊在庫タイプ</t>
        </is>
      </c>
      <c r="B26" s="3" t="inlineStr"/>
    </row>
    <row r="27">
      <c r="A27" s="3" t="inlineStr">
        <is>
          <t>製品グループ</t>
        </is>
      </c>
      <c r="B27" s="3" t="inlineStr"/>
    </row>
    <row r="28">
      <c r="A28" s="3" t="inlineStr">
        <is>
          <t>通貨</t>
        </is>
      </c>
      <c r="B2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2" customWidth="1" style="2" min="5" max="5"/>
    <col width="8" customWidth="1" style="2" min="6" max="6"/>
    <col width="14" customWidth="1" style="2" min="7" max="7"/>
    <col width="16" customWidth="1" style="2" min="8" max="8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保管場所</t>
        </is>
      </c>
      <c r="E1" s="8" t="inlineStr">
        <is>
          <t>保管場所名</t>
        </is>
      </c>
      <c r="F1" s="8" t="inlineStr">
        <is>
          <t>区分</t>
        </is>
      </c>
      <c r="G1" s="8" t="inlineStr">
        <is>
          <t>在庫数量</t>
        </is>
      </c>
      <c r="H1" s="8" t="inlineStr">
        <is>
          <t>在庫金額</t>
        </is>
      </c>
    </row>
    <row r="2">
      <c r="A2" s="9" t="inlineStr">
        <is>
          <t>#</t>
        </is>
      </c>
      <c r="B2" s="9" t="inlineStr">
        <is>
          <t>CX2511ADACDKP</t>
        </is>
      </c>
      <c r="C2" s="9" t="inlineStr">
        <is>
          <t>AD　アクリルカード　コンプリート</t>
        </is>
      </c>
      <c r="D2" s="9" t="inlineStr">
        <is>
          <t>CX01</t>
        </is>
      </c>
      <c r="E2" s="9" t="inlineStr">
        <is>
          <t>CX催事</t>
        </is>
      </c>
      <c r="F2" s="10">
        <f>IF(COUNTIFS('XTab DS_1'!$B$2:$B$193,$B2)&gt;=2,"重複","単独")</f>
        <v/>
      </c>
      <c r="G2" s="11">
        <f>SUMIFS('XTab DS_1'!$F$2:$F$193,'XTab DS_1'!$B$2:$B$193,$B2,'XTab DS_1'!$D$2:$D$193,$D2)</f>
        <v/>
      </c>
      <c r="H2" s="12">
        <f>SUMIFS('XTab DS_1'!$G$2:$G$193,'XTab DS_1'!$B$2:$B$193,$B2,'XTab DS_1'!$D$2:$D$193,$D2)</f>
        <v/>
      </c>
    </row>
    <row r="3">
      <c r="A3" s="9" t="inlineStr">
        <is>
          <t>#</t>
        </is>
      </c>
      <c r="B3" s="9" t="inlineStr">
        <is>
          <t>CX2511ADAST-ASK</t>
        </is>
      </c>
      <c r="C3" s="9" t="inlineStr">
        <is>
          <t>AD　アクリルスタンド　（アスカ）</t>
        </is>
      </c>
      <c r="D3" s="9" t="inlineStr">
        <is>
          <t>CX01</t>
        </is>
      </c>
      <c r="E3" s="9" t="inlineStr">
        <is>
          <t>CX催事</t>
        </is>
      </c>
      <c r="F3" s="10">
        <f>IF(COUNTIFS('XTab DS_1'!$B$2:$B$193,$B3)&gt;=2,"重複","単独")</f>
        <v/>
      </c>
      <c r="G3" s="11">
        <f>SUMIFS('XTab DS_1'!$F$2:$F$193,'XTab DS_1'!$B$2:$B$193,$B3,'XTab DS_1'!$D$2:$D$193,$D3)</f>
        <v/>
      </c>
      <c r="H3" s="12">
        <f>SUMIFS('XTab DS_1'!$G$2:$G$193,'XTab DS_1'!$B$2:$B$193,$B3,'XTab DS_1'!$D$2:$D$193,$D3)</f>
        <v/>
      </c>
    </row>
    <row r="4">
      <c r="A4" s="9" t="inlineStr">
        <is>
          <t>#</t>
        </is>
      </c>
      <c r="B4" s="9" t="inlineStr">
        <is>
          <t>CX2511ADAST-IKR</t>
        </is>
      </c>
      <c r="C4" s="9" t="inlineStr">
        <is>
          <t>AD　アクリルスタンド　（碇ゲンドウ）</t>
        </is>
      </c>
      <c r="D4" s="9" t="inlineStr">
        <is>
          <t>CX01</t>
        </is>
      </c>
      <c r="E4" s="9" t="inlineStr">
        <is>
          <t>CX催事</t>
        </is>
      </c>
      <c r="F4" s="10">
        <f>IF(COUNTIFS('XTab DS_1'!$B$2:$B$193,$B4)&gt;=2,"重複","単独")</f>
        <v/>
      </c>
      <c r="G4" s="11">
        <f>SUMIFS('XTab DS_1'!$F$2:$F$193,'XTab DS_1'!$B$2:$B$193,$B4,'XTab DS_1'!$D$2:$D$193,$D4)</f>
        <v/>
      </c>
      <c r="H4" s="12">
        <f>SUMIFS('XTab DS_1'!$G$2:$G$193,'XTab DS_1'!$B$2:$B$193,$B4,'XTab DS_1'!$D$2:$D$193,$D4)</f>
        <v/>
      </c>
    </row>
    <row r="5">
      <c r="A5" s="9" t="inlineStr">
        <is>
          <t>#</t>
        </is>
      </c>
      <c r="B5" s="9" t="inlineStr">
        <is>
          <t>CX2511ADAST-KJ</t>
        </is>
      </c>
      <c r="C5" s="9" t="inlineStr">
        <is>
          <t>AD　アクリルスタンド　（加持良治）</t>
        </is>
      </c>
      <c r="D5" s="9" t="inlineStr">
        <is>
          <t>CX01</t>
        </is>
      </c>
      <c r="E5" s="9" t="inlineStr">
        <is>
          <t>CX催事</t>
        </is>
      </c>
      <c r="F5" s="10">
        <f>IF(COUNTIFS('XTab DS_1'!$B$2:$B$193,$B5)&gt;=2,"重複","単独")</f>
        <v/>
      </c>
      <c r="G5" s="11">
        <f>SUMIFS('XTab DS_1'!$F$2:$F$193,'XTab DS_1'!$B$2:$B$193,$B5,'XTab DS_1'!$D$2:$D$193,$D5)</f>
        <v/>
      </c>
      <c r="H5" s="12">
        <f>SUMIFS('XTab DS_1'!$G$2:$G$193,'XTab DS_1'!$B$2:$B$193,$B5,'XTab DS_1'!$D$2:$D$193,$D5)</f>
        <v/>
      </c>
    </row>
    <row r="6">
      <c r="A6" s="9" t="inlineStr">
        <is>
          <t>#</t>
        </is>
      </c>
      <c r="B6" s="9" t="inlineStr">
        <is>
          <t>CX2511ADAST-KWR</t>
        </is>
      </c>
      <c r="C6" s="9" t="inlineStr">
        <is>
          <t>AD　アクリルスタンド　（カヲル）</t>
        </is>
      </c>
      <c r="D6" s="9" t="inlineStr">
        <is>
          <t>CX01</t>
        </is>
      </c>
      <c r="E6" s="9" t="inlineStr">
        <is>
          <t>CX催事</t>
        </is>
      </c>
      <c r="F6" s="10">
        <f>IF(COUNTIFS('XTab DS_1'!$B$2:$B$193,$B6)&gt;=2,"重複","単独")</f>
        <v/>
      </c>
      <c r="G6" s="11">
        <f>SUMIFS('XTab DS_1'!$F$2:$F$193,'XTab DS_1'!$B$2:$B$193,$B6,'XTab DS_1'!$D$2:$D$193,$D6)</f>
        <v/>
      </c>
      <c r="H6" s="12">
        <f>SUMIFS('XTab DS_1'!$G$2:$G$193,'XTab DS_1'!$B$2:$B$193,$B6,'XTab DS_1'!$D$2:$D$193,$D6)</f>
        <v/>
      </c>
    </row>
    <row r="7">
      <c r="A7" s="9" t="inlineStr">
        <is>
          <t>#</t>
        </is>
      </c>
      <c r="B7" s="9" t="inlineStr">
        <is>
          <t>CX2511ADAST-MR</t>
        </is>
      </c>
      <c r="C7" s="9" t="inlineStr">
        <is>
          <t>AD　アクリルスタンド　（マリ）</t>
        </is>
      </c>
      <c r="D7" s="9" t="inlineStr">
        <is>
          <t>CX01</t>
        </is>
      </c>
      <c r="E7" s="9" t="inlineStr">
        <is>
          <t>CX催事</t>
        </is>
      </c>
      <c r="F7" s="10">
        <f>IF(COUNTIFS('XTab DS_1'!$B$2:$B$193,$B7)&gt;=2,"重複","単独")</f>
        <v/>
      </c>
      <c r="G7" s="11">
        <f>SUMIFS('XTab DS_1'!$F$2:$F$193,'XTab DS_1'!$B$2:$B$193,$B7,'XTab DS_1'!$D$2:$D$193,$D7)</f>
        <v/>
      </c>
      <c r="H7" s="12">
        <f>SUMIFS('XTab DS_1'!$G$2:$G$193,'XTab DS_1'!$B$2:$B$193,$B7,'XTab DS_1'!$D$2:$D$193,$D7)</f>
        <v/>
      </c>
    </row>
    <row r="8">
      <c r="A8" s="9" t="inlineStr">
        <is>
          <t>#</t>
        </is>
      </c>
      <c r="B8" s="9" t="inlineStr">
        <is>
          <t>CX2511ADAST-MST</t>
        </is>
      </c>
      <c r="C8" s="9" t="inlineStr">
        <is>
          <t>AD　アクリルスタンド　（美里）</t>
        </is>
      </c>
      <c r="D8" s="9" t="inlineStr">
        <is>
          <t>CX01</t>
        </is>
      </c>
      <c r="E8" s="9" t="inlineStr">
        <is>
          <t>CX催事</t>
        </is>
      </c>
      <c r="F8" s="10">
        <f>IF(COUNTIFS('XTab DS_1'!$B$2:$B$193,$B8)&gt;=2,"重複","単独")</f>
        <v/>
      </c>
      <c r="G8" s="11">
        <f>SUMIFS('XTab DS_1'!$F$2:$F$193,'XTab DS_1'!$B$2:$B$193,$B8,'XTab DS_1'!$D$2:$D$193,$D8)</f>
        <v/>
      </c>
      <c r="H8" s="12">
        <f>SUMIFS('XTab DS_1'!$G$2:$G$193,'XTab DS_1'!$B$2:$B$193,$B8,'XTab DS_1'!$D$2:$D$193,$D8)</f>
        <v/>
      </c>
    </row>
    <row r="9">
      <c r="A9" s="9" t="inlineStr">
        <is>
          <t>#</t>
        </is>
      </c>
      <c r="B9" s="9" t="inlineStr">
        <is>
          <t>CX2511ADAST-PP</t>
        </is>
      </c>
      <c r="C9" s="9" t="inlineStr">
        <is>
          <t>AD　アクリルスタンド　（ペンペン）</t>
        </is>
      </c>
      <c r="D9" s="9" t="inlineStr">
        <is>
          <t>CX01</t>
        </is>
      </c>
      <c r="E9" s="9" t="inlineStr">
        <is>
          <t>CX催事</t>
        </is>
      </c>
      <c r="F9" s="10">
        <f>IF(COUNTIFS('XTab DS_1'!$B$2:$B$193,$B9)&gt;=2,"重複","単独")</f>
        <v/>
      </c>
      <c r="G9" s="11">
        <f>SUMIFS('XTab DS_1'!$F$2:$F$193,'XTab DS_1'!$B$2:$B$193,$B9,'XTab DS_1'!$D$2:$D$193,$D9)</f>
        <v/>
      </c>
      <c r="H9" s="12">
        <f>SUMIFS('XTab DS_1'!$G$2:$G$193,'XTab DS_1'!$B$2:$B$193,$B9,'XTab DS_1'!$D$2:$D$193,$D9)</f>
        <v/>
      </c>
    </row>
    <row r="10">
      <c r="A10" s="9" t="inlineStr">
        <is>
          <t>#</t>
        </is>
      </c>
      <c r="B10" s="9" t="inlineStr">
        <is>
          <t>CX2511ADAST-RI</t>
        </is>
      </c>
      <c r="C10" s="9" t="inlineStr">
        <is>
          <t>AD　アクリルスタンド　（レイ）</t>
        </is>
      </c>
      <c r="D10" s="9" t="inlineStr">
        <is>
          <t>CX01</t>
        </is>
      </c>
      <c r="E10" s="9" t="inlineStr">
        <is>
          <t>CX催事</t>
        </is>
      </c>
      <c r="F10" s="10">
        <f>IF(COUNTIFS('XTab DS_1'!$B$2:$B$193,$B10)&gt;=2,"重複","単独")</f>
        <v/>
      </c>
      <c r="G10" s="11">
        <f>SUMIFS('XTab DS_1'!$F$2:$F$193,'XTab DS_1'!$B$2:$B$193,$B10,'XTab DS_1'!$D$2:$D$193,$D10)</f>
        <v/>
      </c>
      <c r="H10" s="12">
        <f>SUMIFS('XTab DS_1'!$G$2:$G$193,'XTab DS_1'!$B$2:$B$193,$B10,'XTab DS_1'!$D$2:$D$193,$D10)</f>
        <v/>
      </c>
    </row>
    <row r="11">
      <c r="A11" s="9" t="inlineStr">
        <is>
          <t>#</t>
        </is>
      </c>
      <c r="B11" s="9" t="inlineStr">
        <is>
          <t>CX2511ADAST-RTK</t>
        </is>
      </c>
      <c r="C11" s="9" t="inlineStr">
        <is>
          <t>AD　アクリルスタンド　（律子）</t>
        </is>
      </c>
      <c r="D11" s="9" t="inlineStr">
        <is>
          <t>CX01</t>
        </is>
      </c>
      <c r="E11" s="9" t="inlineStr">
        <is>
          <t>CX催事</t>
        </is>
      </c>
      <c r="F11" s="10">
        <f>IF(COUNTIFS('XTab DS_1'!$B$2:$B$193,$B11)&gt;=2,"重複","単独")</f>
        <v/>
      </c>
      <c r="G11" s="11">
        <f>SUMIFS('XTab DS_1'!$F$2:$F$193,'XTab DS_1'!$B$2:$B$193,$B11,'XTab DS_1'!$D$2:$D$193,$D11)</f>
        <v/>
      </c>
      <c r="H11" s="12">
        <f>SUMIFS('XTab DS_1'!$G$2:$G$193,'XTab DS_1'!$B$2:$B$193,$B11,'XTab DS_1'!$D$2:$D$193,$D11)</f>
        <v/>
      </c>
    </row>
    <row r="12">
      <c r="A12" s="9" t="inlineStr">
        <is>
          <t>#</t>
        </is>
      </c>
      <c r="B12" s="9" t="inlineStr">
        <is>
          <t>CX2511ADAST-SJ</t>
        </is>
      </c>
      <c r="C12" s="9" t="inlineStr">
        <is>
          <t>AD　アクリルスタンド　（シンジ）</t>
        </is>
      </c>
      <c r="D12" s="9" t="inlineStr">
        <is>
          <t>CX01</t>
        </is>
      </c>
      <c r="E12" s="9" t="inlineStr">
        <is>
          <t>CX催事</t>
        </is>
      </c>
      <c r="F12" s="10">
        <f>IF(COUNTIFS('XTab DS_1'!$B$2:$B$193,$B12)&gt;=2,"重複","単独")</f>
        <v/>
      </c>
      <c r="G12" s="11">
        <f>SUMIFS('XTab DS_1'!$F$2:$F$193,'XTab DS_1'!$B$2:$B$193,$B12,'XTab DS_1'!$D$2:$D$193,$D12)</f>
        <v/>
      </c>
      <c r="H12" s="12">
        <f>SUMIFS('XTab DS_1'!$G$2:$G$193,'XTab DS_1'!$B$2:$B$193,$B12,'XTab DS_1'!$D$2:$D$193,$D12)</f>
        <v/>
      </c>
    </row>
    <row r="13">
      <c r="A13" s="9" t="inlineStr">
        <is>
          <t>#</t>
        </is>
      </c>
      <c r="B13" s="9" t="inlineStr">
        <is>
          <t>CX2511ADASTKV</t>
        </is>
      </c>
      <c r="C13" s="9" t="inlineStr">
        <is>
          <t>AD　アクリルスタンド　KV</t>
        </is>
      </c>
      <c r="D13" s="9" t="inlineStr">
        <is>
          <t>CX01</t>
        </is>
      </c>
      <c r="E13" s="9" t="inlineStr">
        <is>
          <t>CX催事</t>
        </is>
      </c>
      <c r="F13" s="10">
        <f>IF(COUNTIFS('XTab DS_1'!$B$2:$B$193,$B13)&gt;=2,"重複","単独")</f>
        <v/>
      </c>
      <c r="G13" s="11">
        <f>SUMIFS('XTab DS_1'!$F$2:$F$193,'XTab DS_1'!$B$2:$B$193,$B13,'XTab DS_1'!$D$2:$D$193,$D13)</f>
        <v/>
      </c>
      <c r="H13" s="12">
        <f>SUMIFS('XTab DS_1'!$G$2:$G$193,'XTab DS_1'!$B$2:$B$193,$B13,'XTab DS_1'!$D$2:$D$193,$D13)</f>
        <v/>
      </c>
    </row>
    <row r="14">
      <c r="A14" s="9" t="inlineStr">
        <is>
          <t>#</t>
        </is>
      </c>
      <c r="B14" s="9" t="inlineStr">
        <is>
          <t>CX2511ADBDGKVKP</t>
        </is>
      </c>
      <c r="C14" s="9" t="inlineStr">
        <is>
          <t>AD　缶バッジ　KV　コンプリート</t>
        </is>
      </c>
      <c r="D14" s="9" t="inlineStr">
        <is>
          <t>CX01</t>
        </is>
      </c>
      <c r="E14" s="9" t="inlineStr">
        <is>
          <t>CX催事</t>
        </is>
      </c>
      <c r="F14" s="10">
        <f>IF(COUNTIFS('XTab DS_1'!$B$2:$B$193,$B14)&gt;=2,"重複","単独")</f>
        <v/>
      </c>
      <c r="G14" s="11">
        <f>SUMIFS('XTab DS_1'!$F$2:$F$193,'XTab DS_1'!$B$2:$B$193,$B14,'XTab DS_1'!$D$2:$D$193,$D14)</f>
        <v/>
      </c>
      <c r="H14" s="12">
        <f>SUMIFS('XTab DS_1'!$G$2:$G$193,'XTab DS_1'!$B$2:$B$193,$B14,'XTab DS_1'!$D$2:$D$193,$D14)</f>
        <v/>
      </c>
    </row>
    <row r="15">
      <c r="A15" s="9" t="inlineStr">
        <is>
          <t>#</t>
        </is>
      </c>
      <c r="B15" s="9" t="inlineStr">
        <is>
          <t>CX2511ADBDGRMXKP</t>
        </is>
      </c>
      <c r="C15" s="9" t="inlineStr">
        <is>
          <t>AD　缶バッジ　2023REMIXコンプリート</t>
        </is>
      </c>
      <c r="D15" s="9" t="inlineStr">
        <is>
          <t>CX01</t>
        </is>
      </c>
      <c r="E15" s="9" t="inlineStr">
        <is>
          <t>CX催事</t>
        </is>
      </c>
      <c r="F15" s="10">
        <f>IF(COUNTIFS('XTab DS_1'!$B$2:$B$193,$B15)&gt;=2,"重複","単独")</f>
        <v/>
      </c>
      <c r="G15" s="11">
        <f>SUMIFS('XTab DS_1'!$F$2:$F$193,'XTab DS_1'!$B$2:$B$193,$B15,'XTab DS_1'!$D$2:$D$193,$D15)</f>
        <v/>
      </c>
      <c r="H15" s="12">
        <f>SUMIFS('XTab DS_1'!$G$2:$G$193,'XTab DS_1'!$B$2:$B$193,$B15,'XTab DS_1'!$D$2:$D$193,$D15)</f>
        <v/>
      </c>
    </row>
    <row r="16">
      <c r="A16" s="9" t="inlineStr">
        <is>
          <t>#</t>
        </is>
      </c>
      <c r="B16" s="9" t="inlineStr">
        <is>
          <t>CX2511ADJYJ-ASK</t>
        </is>
      </c>
      <c r="C16" s="9" t="inlineStr">
        <is>
          <t>AD　ジャージ（ASUKA）F</t>
        </is>
      </c>
      <c r="D16" s="9" t="inlineStr">
        <is>
          <t>CX01</t>
        </is>
      </c>
      <c r="E16" s="9" t="inlineStr">
        <is>
          <t>CX催事</t>
        </is>
      </c>
      <c r="F16" s="10">
        <f>IF(COUNTIFS('XTab DS_1'!$B$2:$B$193,$B16)&gt;=2,"重複","単独")</f>
        <v/>
      </c>
      <c r="G16" s="11">
        <f>SUMIFS('XTab DS_1'!$F$2:$F$193,'XTab DS_1'!$B$2:$B$193,$B16,'XTab DS_1'!$D$2:$D$193,$D16)</f>
        <v/>
      </c>
      <c r="H16" s="12">
        <f>SUMIFS('XTab DS_1'!$G$2:$G$193,'XTab DS_1'!$B$2:$B$193,$B16,'XTab DS_1'!$D$2:$D$193,$D16)</f>
        <v/>
      </c>
    </row>
    <row r="17">
      <c r="A17" s="9" t="inlineStr">
        <is>
          <t>#</t>
        </is>
      </c>
      <c r="B17" s="9" t="inlineStr">
        <is>
          <t>CX2511ADJYJ-KWR</t>
        </is>
      </c>
      <c r="C17" s="9" t="inlineStr">
        <is>
          <t>AD　ジャージ（KAWORU）F</t>
        </is>
      </c>
      <c r="D17" s="9" t="inlineStr">
        <is>
          <t>CX01</t>
        </is>
      </c>
      <c r="E17" s="9" t="inlineStr">
        <is>
          <t>CX催事</t>
        </is>
      </c>
      <c r="F17" s="10">
        <f>IF(COUNTIFS('XTab DS_1'!$B$2:$B$193,$B17)&gt;=2,"重複","単独")</f>
        <v/>
      </c>
      <c r="G17" s="11">
        <f>SUMIFS('XTab DS_1'!$F$2:$F$193,'XTab DS_1'!$B$2:$B$193,$B17,'XTab DS_1'!$D$2:$D$193,$D17)</f>
        <v/>
      </c>
      <c r="H17" s="12">
        <f>SUMIFS('XTab DS_1'!$G$2:$G$193,'XTab DS_1'!$B$2:$B$193,$B17,'XTab DS_1'!$D$2:$D$193,$D17)</f>
        <v/>
      </c>
    </row>
    <row r="18">
      <c r="A18" s="9" t="inlineStr">
        <is>
          <t>#</t>
        </is>
      </c>
      <c r="B18" s="9" t="inlineStr">
        <is>
          <t>CX2511ADJYJ-RI</t>
        </is>
      </c>
      <c r="C18" s="9" t="inlineStr">
        <is>
          <t>AD　ジャージ（REI）F</t>
        </is>
      </c>
      <c r="D18" s="9" t="inlineStr">
        <is>
          <t>CX01</t>
        </is>
      </c>
      <c r="E18" s="9" t="inlineStr">
        <is>
          <t>CX催事</t>
        </is>
      </c>
      <c r="F18" s="10">
        <f>IF(COUNTIFS('XTab DS_1'!$B$2:$B$193,$B18)&gt;=2,"重複","単独")</f>
        <v/>
      </c>
      <c r="G18" s="11">
        <f>SUMIFS('XTab DS_1'!$F$2:$F$193,'XTab DS_1'!$B$2:$B$193,$B18,'XTab DS_1'!$D$2:$D$193,$D18)</f>
        <v/>
      </c>
      <c r="H18" s="12">
        <f>SUMIFS('XTab DS_1'!$G$2:$G$193,'XTab DS_1'!$B$2:$B$193,$B18,'XTab DS_1'!$D$2:$D$193,$D18)</f>
        <v/>
      </c>
    </row>
    <row r="19">
      <c r="A19" s="9" t="inlineStr">
        <is>
          <t>#</t>
        </is>
      </c>
      <c r="B19" s="9" t="inlineStr">
        <is>
          <t>CX2511ADJYJ-SJ</t>
        </is>
      </c>
      <c r="C19" s="9" t="inlineStr">
        <is>
          <t>AD　ジャージ（SHINJI）F</t>
        </is>
      </c>
      <c r="D19" s="9" t="inlineStr">
        <is>
          <t>CX01</t>
        </is>
      </c>
      <c r="E19" s="9" t="inlineStr">
        <is>
          <t>CX催事</t>
        </is>
      </c>
      <c r="F19" s="10">
        <f>IF(COUNTIFS('XTab DS_1'!$B$2:$B$193,$B19)&gt;=2,"重複","単独")</f>
        <v/>
      </c>
      <c r="G19" s="11">
        <f>SUMIFS('XTab DS_1'!$F$2:$F$193,'XTab DS_1'!$B$2:$B$193,$B19,'XTab DS_1'!$D$2:$D$193,$D19)</f>
        <v/>
      </c>
      <c r="H19" s="12">
        <f>SUMIFS('XTab DS_1'!$G$2:$G$193,'XTab DS_1'!$B$2:$B$193,$B19,'XTab DS_1'!$D$2:$D$193,$D19)</f>
        <v/>
      </c>
    </row>
    <row r="20">
      <c r="A20" s="9" t="inlineStr">
        <is>
          <t>#</t>
        </is>
      </c>
      <c r="B20" s="9" t="inlineStr">
        <is>
          <t>CX2511ADLNTSS-L</t>
        </is>
      </c>
      <c r="C20" s="9" t="inlineStr">
        <is>
          <t>AD　ロンT （初号機＆シンジ）L</t>
        </is>
      </c>
      <c r="D20" s="9" t="inlineStr">
        <is>
          <t>CX01</t>
        </is>
      </c>
      <c r="E20" s="9" t="inlineStr">
        <is>
          <t>CX催事</t>
        </is>
      </c>
      <c r="F20" s="10">
        <f>IF(COUNTIFS('XTab DS_1'!$B$2:$B$193,$B20)&gt;=2,"重複","単独")</f>
        <v/>
      </c>
      <c r="G20" s="11">
        <f>SUMIFS('XTab DS_1'!$F$2:$F$193,'XTab DS_1'!$B$2:$B$193,$B20,'XTab DS_1'!$D$2:$D$193,$D20)</f>
        <v/>
      </c>
      <c r="H20" s="12">
        <f>SUMIFS('XTab DS_1'!$G$2:$G$193,'XTab DS_1'!$B$2:$B$193,$B20,'XTab DS_1'!$D$2:$D$193,$D20)</f>
        <v/>
      </c>
    </row>
    <row r="21">
      <c r="A21" s="9" t="inlineStr">
        <is>
          <t>#</t>
        </is>
      </c>
      <c r="B21" s="9" t="inlineStr">
        <is>
          <t>CX2511ADLNTSS-M</t>
        </is>
      </c>
      <c r="C21" s="9" t="inlineStr">
        <is>
          <t>AD　ロンT （初号機＆シンジ）M</t>
        </is>
      </c>
      <c r="D21" s="9" t="inlineStr">
        <is>
          <t>CX01</t>
        </is>
      </c>
      <c r="E21" s="9" t="inlineStr">
        <is>
          <t>CX催事</t>
        </is>
      </c>
      <c r="F21" s="10">
        <f>IF(COUNTIFS('XTab DS_1'!$B$2:$B$193,$B21)&gt;=2,"重複","単独")</f>
        <v/>
      </c>
      <c r="G21" s="11">
        <f>SUMIFS('XTab DS_1'!$F$2:$F$193,'XTab DS_1'!$B$2:$B$193,$B21,'XTab DS_1'!$D$2:$D$193,$D21)</f>
        <v/>
      </c>
      <c r="H21" s="12">
        <f>SUMIFS('XTab DS_1'!$G$2:$G$193,'XTab DS_1'!$B$2:$B$193,$B21,'XTab DS_1'!$D$2:$D$193,$D21)</f>
        <v/>
      </c>
    </row>
    <row r="22">
      <c r="A22" s="9" t="inlineStr">
        <is>
          <t>#</t>
        </is>
      </c>
      <c r="B22" s="9" t="inlineStr">
        <is>
          <t>CX2511ADMUMKV</t>
        </is>
      </c>
      <c r="C22" s="9" t="inlineStr">
        <is>
          <t>AD　マウスマット　KV</t>
        </is>
      </c>
      <c r="D22" s="9" t="inlineStr">
        <is>
          <t>CX01</t>
        </is>
      </c>
      <c r="E22" s="9" t="inlineStr">
        <is>
          <t>CX催事</t>
        </is>
      </c>
      <c r="F22" s="10">
        <f>IF(COUNTIFS('XTab DS_1'!$B$2:$B$193,$B22)&gt;=2,"重複","単独")</f>
        <v/>
      </c>
      <c r="G22" s="11">
        <f>SUMIFS('XTab DS_1'!$F$2:$F$193,'XTab DS_1'!$B$2:$B$193,$B22,'XTab DS_1'!$D$2:$D$193,$D22)</f>
        <v/>
      </c>
      <c r="H22" s="12">
        <f>SUMIFS('XTab DS_1'!$G$2:$G$193,'XTab DS_1'!$B$2:$B$193,$B22,'XTab DS_1'!$D$2:$D$193,$D22)</f>
        <v/>
      </c>
    </row>
    <row r="23">
      <c r="A23" s="9" t="inlineStr">
        <is>
          <t>#</t>
        </is>
      </c>
      <c r="B23" s="9" t="inlineStr">
        <is>
          <t>CX2511ADRACD</t>
        </is>
      </c>
      <c r="C23" s="9" t="inlineStr">
        <is>
          <t>AD　ランダムアクリルカード</t>
        </is>
      </c>
      <c r="D23" s="9" t="inlineStr">
        <is>
          <t>CX01</t>
        </is>
      </c>
      <c r="E23" s="9" t="inlineStr">
        <is>
          <t>CX催事</t>
        </is>
      </c>
      <c r="F23" s="10">
        <f>IF(COUNTIFS('XTab DS_1'!$B$2:$B$193,$B23)&gt;=2,"重複","単独")</f>
        <v/>
      </c>
      <c r="G23" s="11">
        <f>SUMIFS('XTab DS_1'!$F$2:$F$193,'XTab DS_1'!$B$2:$B$193,$B23,'XTab DS_1'!$D$2:$D$193,$D23)</f>
        <v/>
      </c>
      <c r="H23" s="12">
        <f>SUMIFS('XTab DS_1'!$G$2:$G$193,'XTab DS_1'!$B$2:$B$193,$B23,'XTab DS_1'!$D$2:$D$193,$D23)</f>
        <v/>
      </c>
    </row>
    <row r="24">
      <c r="A24" s="9" t="inlineStr">
        <is>
          <t>#</t>
        </is>
      </c>
      <c r="B24" s="9" t="inlineStr">
        <is>
          <t>CX2511ADRBDGKV</t>
        </is>
      </c>
      <c r="C24" s="9" t="inlineStr">
        <is>
          <t>AD　ランダム缶バッジ　KV</t>
        </is>
      </c>
      <c r="D24" s="9" t="inlineStr">
        <is>
          <t>CX01</t>
        </is>
      </c>
      <c r="E24" s="9" t="inlineStr">
        <is>
          <t>CX催事</t>
        </is>
      </c>
      <c r="F24" s="10">
        <f>IF(COUNTIFS('XTab DS_1'!$B$2:$B$193,$B24)&gt;=2,"重複","単独")</f>
        <v/>
      </c>
      <c r="G24" s="11">
        <f>SUMIFS('XTab DS_1'!$F$2:$F$193,'XTab DS_1'!$B$2:$B$193,$B24,'XTab DS_1'!$D$2:$D$193,$D24)</f>
        <v/>
      </c>
      <c r="H24" s="12">
        <f>SUMIFS('XTab DS_1'!$G$2:$G$193,'XTab DS_1'!$B$2:$B$193,$B24,'XTab DS_1'!$D$2:$D$193,$D24)</f>
        <v/>
      </c>
    </row>
    <row r="25">
      <c r="A25" s="9" t="inlineStr">
        <is>
          <t>#</t>
        </is>
      </c>
      <c r="B25" s="9" t="inlineStr">
        <is>
          <t>CX2511ADRDBDGRMX</t>
        </is>
      </c>
      <c r="C25" s="9" t="inlineStr">
        <is>
          <t>AD　ランダム缶バッジ　2023REMIX</t>
        </is>
      </c>
      <c r="D25" s="9" t="inlineStr">
        <is>
          <t>CX01</t>
        </is>
      </c>
      <c r="E25" s="9" t="inlineStr">
        <is>
          <t>CX催事</t>
        </is>
      </c>
      <c r="F25" s="10">
        <f>IF(COUNTIFS('XTab DS_1'!$B$2:$B$193,$B25)&gt;=2,"重複","単独")</f>
        <v/>
      </c>
      <c r="G25" s="11">
        <f>SUMIFS('XTab DS_1'!$F$2:$F$193,'XTab DS_1'!$B$2:$B$193,$B25,'XTab DS_1'!$D$2:$D$193,$D25)</f>
        <v/>
      </c>
      <c r="H25" s="12">
        <f>SUMIFS('XTab DS_1'!$G$2:$G$193,'XTab DS_1'!$B$2:$B$193,$B25,'XTab DS_1'!$D$2:$D$193,$D25)</f>
        <v/>
      </c>
    </row>
    <row r="26">
      <c r="A26" s="9" t="inlineStr">
        <is>
          <t>#</t>
        </is>
      </c>
      <c r="B26" s="9" t="inlineStr">
        <is>
          <t>CX2511ADRDSTK</t>
        </is>
      </c>
      <c r="C26" s="9" t="inlineStr">
        <is>
          <t>AD　ランダムステッカー</t>
        </is>
      </c>
      <c r="D26" s="9" t="inlineStr">
        <is>
          <t>CX01</t>
        </is>
      </c>
      <c r="E26" s="9" t="inlineStr">
        <is>
          <t>CX催事</t>
        </is>
      </c>
      <c r="F26" s="10">
        <f>IF(COUNTIFS('XTab DS_1'!$B$2:$B$193,$B26)&gt;=2,"重複","単独")</f>
        <v/>
      </c>
      <c r="G26" s="11">
        <f>SUMIFS('XTab DS_1'!$F$2:$F$193,'XTab DS_1'!$B$2:$B$193,$B26,'XTab DS_1'!$D$2:$D$193,$D26)</f>
        <v/>
      </c>
      <c r="H26" s="12">
        <f>SUMIFS('XTab DS_1'!$G$2:$G$193,'XTab DS_1'!$B$2:$B$193,$B26,'XTab DS_1'!$D$2:$D$193,$D26)</f>
        <v/>
      </c>
    </row>
    <row r="27">
      <c r="A27" s="9" t="inlineStr">
        <is>
          <t>#</t>
        </is>
      </c>
      <c r="B27" s="9" t="inlineStr">
        <is>
          <t>CX2511ADRDSTKKP</t>
        </is>
      </c>
      <c r="C27" s="9" t="inlineStr">
        <is>
          <t>AD　ランダムステッカー コンプリート</t>
        </is>
      </c>
      <c r="D27" s="9" t="inlineStr">
        <is>
          <t>CX01</t>
        </is>
      </c>
      <c r="E27" s="9" t="inlineStr">
        <is>
          <t>CX催事</t>
        </is>
      </c>
      <c r="F27" s="10">
        <f>IF(COUNTIFS('XTab DS_1'!$B$2:$B$193,$B27)&gt;=2,"重複","単独")</f>
        <v/>
      </c>
      <c r="G27" s="11">
        <f>SUMIFS('XTab DS_1'!$F$2:$F$193,'XTab DS_1'!$B$2:$B$193,$B27,'XTab DS_1'!$D$2:$D$193,$D27)</f>
        <v/>
      </c>
      <c r="H27" s="12">
        <f>SUMIFS('XTab DS_1'!$G$2:$G$193,'XTab DS_1'!$B$2:$B$193,$B27,'XTab DS_1'!$D$2:$D$193,$D27)</f>
        <v/>
      </c>
    </row>
    <row r="28">
      <c r="A28" s="9" t="inlineStr">
        <is>
          <t>#</t>
        </is>
      </c>
      <c r="B28" s="9" t="inlineStr">
        <is>
          <t>CX2511ADRUCK</t>
        </is>
      </c>
      <c r="C28" s="9" t="inlineStr">
        <is>
          <t>AD　リュック</t>
        </is>
      </c>
      <c r="D28" s="9" t="inlineStr">
        <is>
          <t>CX01</t>
        </is>
      </c>
      <c r="E28" s="9" t="inlineStr">
        <is>
          <t>CX催事</t>
        </is>
      </c>
      <c r="F28" s="10">
        <f>IF(COUNTIFS('XTab DS_1'!$B$2:$B$193,$B28)&gt;=2,"重複","単独")</f>
        <v/>
      </c>
      <c r="G28" s="11">
        <f>SUMIFS('XTab DS_1'!$F$2:$F$193,'XTab DS_1'!$B$2:$B$193,$B28,'XTab DS_1'!$D$2:$D$193,$D28)</f>
        <v/>
      </c>
      <c r="H28" s="12">
        <f>SUMIFS('XTab DS_1'!$G$2:$G$193,'XTab DS_1'!$B$2:$B$193,$B28,'XTab DS_1'!$D$2:$D$193,$D28)</f>
        <v/>
      </c>
    </row>
    <row r="29">
      <c r="A29" s="9" t="inlineStr">
        <is>
          <t>#</t>
        </is>
      </c>
      <c r="B29" s="9" t="inlineStr">
        <is>
          <t>CX2511ADSWTKV-L</t>
        </is>
      </c>
      <c r="C29" s="9" t="inlineStr">
        <is>
          <t>AD　スウェット（KV 少年組）L</t>
        </is>
      </c>
      <c r="D29" s="9" t="inlineStr">
        <is>
          <t>CX01</t>
        </is>
      </c>
      <c r="E29" s="9" t="inlineStr">
        <is>
          <t>CX催事</t>
        </is>
      </c>
      <c r="F29" s="10">
        <f>IF(COUNTIFS('XTab DS_1'!$B$2:$B$193,$B29)&gt;=2,"重複","単独")</f>
        <v/>
      </c>
      <c r="G29" s="11">
        <f>SUMIFS('XTab DS_1'!$F$2:$F$193,'XTab DS_1'!$B$2:$B$193,$B29,'XTab DS_1'!$D$2:$D$193,$D29)</f>
        <v/>
      </c>
      <c r="H29" s="12">
        <f>SUMIFS('XTab DS_1'!$G$2:$G$193,'XTab DS_1'!$B$2:$B$193,$B29,'XTab DS_1'!$D$2:$D$193,$D29)</f>
        <v/>
      </c>
    </row>
    <row r="30">
      <c r="A30" s="9" t="inlineStr">
        <is>
          <t>#</t>
        </is>
      </c>
      <c r="B30" s="9" t="inlineStr">
        <is>
          <t>CX2511ADSWTKV-M</t>
        </is>
      </c>
      <c r="C30" s="9" t="inlineStr">
        <is>
          <t>AD　スウェット（KV 少年組）M</t>
        </is>
      </c>
      <c r="D30" s="9" t="inlineStr">
        <is>
          <t>CX01</t>
        </is>
      </c>
      <c r="E30" s="9" t="inlineStr">
        <is>
          <t>CX催事</t>
        </is>
      </c>
      <c r="F30" s="10">
        <f>IF(COUNTIFS('XTab DS_1'!$B$2:$B$193,$B30)&gt;=2,"重複","単独")</f>
        <v/>
      </c>
      <c r="G30" s="11">
        <f>SUMIFS('XTab DS_1'!$F$2:$F$193,'XTab DS_1'!$B$2:$B$193,$B30,'XTab DS_1'!$D$2:$D$193,$D30)</f>
        <v/>
      </c>
      <c r="H30" s="12">
        <f>SUMIFS('XTab DS_1'!$G$2:$G$193,'XTab DS_1'!$B$2:$B$193,$B30,'XTab DS_1'!$D$2:$D$193,$D30)</f>
        <v/>
      </c>
    </row>
    <row r="31">
      <c r="A31" s="9" t="inlineStr">
        <is>
          <t>#</t>
        </is>
      </c>
      <c r="B31" s="9" t="inlineStr">
        <is>
          <t>CX2511ADSYOP</t>
        </is>
      </c>
      <c r="C31" s="9" t="inlineStr">
        <is>
          <t>AD　ショッパー</t>
        </is>
      </c>
      <c r="D31" s="9" t="inlineStr">
        <is>
          <t>CX01</t>
        </is>
      </c>
      <c r="E31" s="9" t="inlineStr">
        <is>
          <t>CX催事</t>
        </is>
      </c>
      <c r="F31" s="10">
        <f>IF(COUNTIFS('XTab DS_1'!$B$2:$B$193,$B31)&gt;=2,"重複","単独")</f>
        <v/>
      </c>
      <c r="G31" s="11">
        <f>SUMIFS('XTab DS_1'!$F$2:$F$193,'XTab DS_1'!$B$2:$B$193,$B31,'XTab DS_1'!$D$2:$D$193,$D31)</f>
        <v/>
      </c>
      <c r="H31" s="12">
        <f>SUMIFS('XTab DS_1'!$G$2:$G$193,'XTab DS_1'!$B$2:$B$193,$B31,'XTab DS_1'!$D$2:$D$193,$D31)</f>
        <v/>
      </c>
    </row>
    <row r="32">
      <c r="A32" s="9" t="inlineStr">
        <is>
          <t>#</t>
        </is>
      </c>
      <c r="B32" s="9" t="inlineStr">
        <is>
          <t>CX2511ADTOT</t>
        </is>
      </c>
      <c r="C32" s="9" t="inlineStr">
        <is>
          <t>AD　トートバッグ</t>
        </is>
      </c>
      <c r="D32" s="9" t="inlineStr">
        <is>
          <t>CX01</t>
        </is>
      </c>
      <c r="E32" s="9" t="inlineStr">
        <is>
          <t>CX催事</t>
        </is>
      </c>
      <c r="F32" s="10">
        <f>IF(COUNTIFS('XTab DS_1'!$B$2:$B$193,$B32)&gt;=2,"重複","単独")</f>
        <v/>
      </c>
      <c r="G32" s="11">
        <f>SUMIFS('XTab DS_1'!$F$2:$F$193,'XTab DS_1'!$B$2:$B$193,$B32,'XTab DS_1'!$D$2:$D$193,$D32)</f>
        <v/>
      </c>
      <c r="H32" s="12">
        <f>SUMIFS('XTab DS_1'!$G$2:$G$193,'XTab DS_1'!$B$2:$B$193,$B32,'XTab DS_1'!$D$2:$D$193,$D32)</f>
        <v/>
      </c>
    </row>
    <row r="33">
      <c r="A33" s="9" t="inlineStr">
        <is>
          <t>#</t>
        </is>
      </c>
      <c r="B33" s="9" t="inlineStr">
        <is>
          <t>CX2511ADTSTASK-L</t>
        </is>
      </c>
      <c r="C33" s="9" t="inlineStr">
        <is>
          <t>AD　Tシャツ（アスカ）L</t>
        </is>
      </c>
      <c r="D33" s="9" t="inlineStr">
        <is>
          <t>CX01</t>
        </is>
      </c>
      <c r="E33" s="9" t="inlineStr">
        <is>
          <t>CX催事</t>
        </is>
      </c>
      <c r="F33" s="10">
        <f>IF(COUNTIFS('XTab DS_1'!$B$2:$B$193,$B33)&gt;=2,"重複","単独")</f>
        <v/>
      </c>
      <c r="G33" s="11">
        <f>SUMIFS('XTab DS_1'!$F$2:$F$193,'XTab DS_1'!$B$2:$B$193,$B33,'XTab DS_1'!$D$2:$D$193,$D33)</f>
        <v/>
      </c>
      <c r="H33" s="12">
        <f>SUMIFS('XTab DS_1'!$G$2:$G$193,'XTab DS_1'!$B$2:$B$193,$B33,'XTab DS_1'!$D$2:$D$193,$D33)</f>
        <v/>
      </c>
    </row>
    <row r="34">
      <c r="A34" s="9" t="inlineStr">
        <is>
          <t>#</t>
        </is>
      </c>
      <c r="B34" s="9" t="inlineStr">
        <is>
          <t>CX2511ADTSTASK-M</t>
        </is>
      </c>
      <c r="C34" s="9" t="inlineStr">
        <is>
          <t>AD　Tシャツ（アスカ）M</t>
        </is>
      </c>
      <c r="D34" s="9" t="inlineStr">
        <is>
          <t>CX01</t>
        </is>
      </c>
      <c r="E34" s="9" t="inlineStr">
        <is>
          <t>CX催事</t>
        </is>
      </c>
      <c r="F34" s="10">
        <f>IF(COUNTIFS('XTab DS_1'!$B$2:$B$193,$B34)&gt;=2,"重複","単独")</f>
        <v/>
      </c>
      <c r="G34" s="11">
        <f>SUMIFS('XTab DS_1'!$F$2:$F$193,'XTab DS_1'!$B$2:$B$193,$B34,'XTab DS_1'!$D$2:$D$193,$D34)</f>
        <v/>
      </c>
      <c r="H34" s="12">
        <f>SUMIFS('XTab DS_1'!$G$2:$G$193,'XTab DS_1'!$B$2:$B$193,$B34,'XTab DS_1'!$D$2:$D$193,$D34)</f>
        <v/>
      </c>
    </row>
    <row r="35">
      <c r="A35" s="9" t="inlineStr">
        <is>
          <t>#</t>
        </is>
      </c>
      <c r="B35" s="9" t="inlineStr">
        <is>
          <t>CX2511ADTSTKWR-L</t>
        </is>
      </c>
      <c r="C35" s="9" t="inlineStr">
        <is>
          <t>AD　Tシャツ（カヲル）L</t>
        </is>
      </c>
      <c r="D35" s="9" t="inlineStr">
        <is>
          <t>CX01</t>
        </is>
      </c>
      <c r="E35" s="9" t="inlineStr">
        <is>
          <t>CX催事</t>
        </is>
      </c>
      <c r="F35" s="10">
        <f>IF(COUNTIFS('XTab DS_1'!$B$2:$B$193,$B35)&gt;=2,"重複","単独")</f>
        <v/>
      </c>
      <c r="G35" s="11">
        <f>SUMIFS('XTab DS_1'!$F$2:$F$193,'XTab DS_1'!$B$2:$B$193,$B35,'XTab DS_1'!$D$2:$D$193,$D35)</f>
        <v/>
      </c>
      <c r="H35" s="12">
        <f>SUMIFS('XTab DS_1'!$G$2:$G$193,'XTab DS_1'!$B$2:$B$193,$B35,'XTab DS_1'!$D$2:$D$193,$D35)</f>
        <v/>
      </c>
    </row>
    <row r="36">
      <c r="A36" s="9" t="inlineStr">
        <is>
          <t>#</t>
        </is>
      </c>
      <c r="B36" s="9" t="inlineStr">
        <is>
          <t>CX2511ADTSTKWR-M</t>
        </is>
      </c>
      <c r="C36" s="9" t="inlineStr">
        <is>
          <t>AD　Tシャツ（カヲル）M</t>
        </is>
      </c>
      <c r="D36" s="9" t="inlineStr">
        <is>
          <t>CX01</t>
        </is>
      </c>
      <c r="E36" s="9" t="inlineStr">
        <is>
          <t>CX催事</t>
        </is>
      </c>
      <c r="F36" s="10">
        <f>IF(COUNTIFS('XTab DS_1'!$B$2:$B$193,$B36)&gt;=2,"重複","単独")</f>
        <v/>
      </c>
      <c r="G36" s="11">
        <f>SUMIFS('XTab DS_1'!$F$2:$F$193,'XTab DS_1'!$B$2:$B$193,$B36,'XTab DS_1'!$D$2:$D$193,$D36)</f>
        <v/>
      </c>
      <c r="H36" s="12">
        <f>SUMIFS('XTab DS_1'!$G$2:$G$193,'XTab DS_1'!$B$2:$B$193,$B36,'XTab DS_1'!$D$2:$D$193,$D36)</f>
        <v/>
      </c>
    </row>
    <row r="37">
      <c r="A37" s="9" t="inlineStr">
        <is>
          <t>#</t>
        </is>
      </c>
      <c r="B37" s="9" t="inlineStr">
        <is>
          <t>CX2511ADTSTMR-L</t>
        </is>
      </c>
      <c r="C37" s="9" t="inlineStr">
        <is>
          <t>AD　Tシャツ（マリ）L</t>
        </is>
      </c>
      <c r="D37" s="9" t="inlineStr">
        <is>
          <t>CX01</t>
        </is>
      </c>
      <c r="E37" s="9" t="inlineStr">
        <is>
          <t>CX催事</t>
        </is>
      </c>
      <c r="F37" s="10">
        <f>IF(COUNTIFS('XTab DS_1'!$B$2:$B$193,$B37)&gt;=2,"重複","単独")</f>
        <v/>
      </c>
      <c r="G37" s="11">
        <f>SUMIFS('XTab DS_1'!$F$2:$F$193,'XTab DS_1'!$B$2:$B$193,$B37,'XTab DS_1'!$D$2:$D$193,$D37)</f>
        <v/>
      </c>
      <c r="H37" s="12">
        <f>SUMIFS('XTab DS_1'!$G$2:$G$193,'XTab DS_1'!$B$2:$B$193,$B37,'XTab DS_1'!$D$2:$D$193,$D37)</f>
        <v/>
      </c>
    </row>
    <row r="38">
      <c r="A38" s="9" t="inlineStr">
        <is>
          <t>#</t>
        </is>
      </c>
      <c r="B38" s="9" t="inlineStr">
        <is>
          <t>CX2511ADTSTMR-M</t>
        </is>
      </c>
      <c r="C38" s="9" t="inlineStr">
        <is>
          <t>AD　Tシャツ（マリ）M</t>
        </is>
      </c>
      <c r="D38" s="9" t="inlineStr">
        <is>
          <t>CX01</t>
        </is>
      </c>
      <c r="E38" s="9" t="inlineStr">
        <is>
          <t>CX催事</t>
        </is>
      </c>
      <c r="F38" s="10">
        <f>IF(COUNTIFS('XTab DS_1'!$B$2:$B$193,$B38)&gt;=2,"重複","単独")</f>
        <v/>
      </c>
      <c r="G38" s="11">
        <f>SUMIFS('XTab DS_1'!$F$2:$F$193,'XTab DS_1'!$B$2:$B$193,$B38,'XTab DS_1'!$D$2:$D$193,$D38)</f>
        <v/>
      </c>
      <c r="H38" s="12">
        <f>SUMIFS('XTab DS_1'!$G$2:$G$193,'XTab DS_1'!$B$2:$B$193,$B38,'XTab DS_1'!$D$2:$D$193,$D38)</f>
        <v/>
      </c>
    </row>
    <row r="39">
      <c r="A39" s="9" t="inlineStr">
        <is>
          <t>#</t>
        </is>
      </c>
      <c r="B39" s="9" t="inlineStr">
        <is>
          <t>CX2511ADTSTPP-L</t>
        </is>
      </c>
      <c r="C39" s="9" t="inlineStr">
        <is>
          <t>AD　Tシャツ（ペンペン）L</t>
        </is>
      </c>
      <c r="D39" s="9" t="inlineStr">
        <is>
          <t>CX01</t>
        </is>
      </c>
      <c r="E39" s="9" t="inlineStr">
        <is>
          <t>CX催事</t>
        </is>
      </c>
      <c r="F39" s="10">
        <f>IF(COUNTIFS('XTab DS_1'!$B$2:$B$193,$B39)&gt;=2,"重複","単独")</f>
        <v/>
      </c>
      <c r="G39" s="11">
        <f>SUMIFS('XTab DS_1'!$F$2:$F$193,'XTab DS_1'!$B$2:$B$193,$B39,'XTab DS_1'!$D$2:$D$193,$D39)</f>
        <v/>
      </c>
      <c r="H39" s="12">
        <f>SUMIFS('XTab DS_1'!$G$2:$G$193,'XTab DS_1'!$B$2:$B$193,$B39,'XTab DS_1'!$D$2:$D$193,$D39)</f>
        <v/>
      </c>
    </row>
    <row r="40">
      <c r="A40" s="9" t="inlineStr">
        <is>
          <t>#</t>
        </is>
      </c>
      <c r="B40" s="9" t="inlineStr">
        <is>
          <t>CX2511ADTSTPP-M</t>
        </is>
      </c>
      <c r="C40" s="9" t="inlineStr">
        <is>
          <t>AD　Tシャツ（ペンペン）M</t>
        </is>
      </c>
      <c r="D40" s="9" t="inlineStr">
        <is>
          <t>CX01</t>
        </is>
      </c>
      <c r="E40" s="9" t="inlineStr">
        <is>
          <t>CX催事</t>
        </is>
      </c>
      <c r="F40" s="10">
        <f>IF(COUNTIFS('XTab DS_1'!$B$2:$B$193,$B40)&gt;=2,"重複","単独")</f>
        <v/>
      </c>
      <c r="G40" s="11">
        <f>SUMIFS('XTab DS_1'!$F$2:$F$193,'XTab DS_1'!$B$2:$B$193,$B40,'XTab DS_1'!$D$2:$D$193,$D40)</f>
        <v/>
      </c>
      <c r="H40" s="12">
        <f>SUMIFS('XTab DS_1'!$G$2:$G$193,'XTab DS_1'!$B$2:$B$193,$B40,'XTab DS_1'!$D$2:$D$193,$D40)</f>
        <v/>
      </c>
    </row>
    <row r="41">
      <c r="A41" s="9" t="inlineStr">
        <is>
          <t>#</t>
        </is>
      </c>
      <c r="B41" s="9" t="inlineStr">
        <is>
          <t>CX2511ADTSTRI-L</t>
        </is>
      </c>
      <c r="C41" s="9" t="inlineStr">
        <is>
          <t>AD　Tシャツ（レイ）L</t>
        </is>
      </c>
      <c r="D41" s="9" t="inlineStr">
        <is>
          <t>CX01</t>
        </is>
      </c>
      <c r="E41" s="9" t="inlineStr">
        <is>
          <t>CX催事</t>
        </is>
      </c>
      <c r="F41" s="10">
        <f>IF(COUNTIFS('XTab DS_1'!$B$2:$B$193,$B41)&gt;=2,"重複","単独")</f>
        <v/>
      </c>
      <c r="G41" s="11">
        <f>SUMIFS('XTab DS_1'!$F$2:$F$193,'XTab DS_1'!$B$2:$B$193,$B41,'XTab DS_1'!$D$2:$D$193,$D41)</f>
        <v/>
      </c>
      <c r="H41" s="12">
        <f>SUMIFS('XTab DS_1'!$G$2:$G$193,'XTab DS_1'!$B$2:$B$193,$B41,'XTab DS_1'!$D$2:$D$193,$D41)</f>
        <v/>
      </c>
    </row>
    <row r="42">
      <c r="A42" s="9" t="inlineStr">
        <is>
          <t>#</t>
        </is>
      </c>
      <c r="B42" s="9" t="inlineStr">
        <is>
          <t>CX2511ADTSTRI-M</t>
        </is>
      </c>
      <c r="C42" s="9" t="inlineStr">
        <is>
          <t>AD　Tシャツ（レイ）M</t>
        </is>
      </c>
      <c r="D42" s="9" t="inlineStr">
        <is>
          <t>CX01</t>
        </is>
      </c>
      <c r="E42" s="9" t="inlineStr">
        <is>
          <t>CX催事</t>
        </is>
      </c>
      <c r="F42" s="10">
        <f>IF(COUNTIFS('XTab DS_1'!$B$2:$B$193,$B42)&gt;=2,"重複","単独")</f>
        <v/>
      </c>
      <c r="G42" s="11">
        <f>SUMIFS('XTab DS_1'!$F$2:$F$193,'XTab DS_1'!$B$2:$B$193,$B42,'XTab DS_1'!$D$2:$D$193,$D42)</f>
        <v/>
      </c>
      <c r="H42" s="12">
        <f>SUMIFS('XTab DS_1'!$G$2:$G$193,'XTab DS_1'!$B$2:$B$193,$B42,'XTab DS_1'!$D$2:$D$193,$D42)</f>
        <v/>
      </c>
    </row>
    <row r="43">
      <c r="A43" s="9" t="inlineStr">
        <is>
          <t>#</t>
        </is>
      </c>
      <c r="B43" s="9" t="inlineStr">
        <is>
          <t>CX2511ADTSTSJ-L</t>
        </is>
      </c>
      <c r="C43" s="9" t="inlineStr">
        <is>
          <t>AD　Tシャツ（シンジ）L</t>
        </is>
      </c>
      <c r="D43" s="9" t="inlineStr">
        <is>
          <t>CX01</t>
        </is>
      </c>
      <c r="E43" s="9" t="inlineStr">
        <is>
          <t>CX催事</t>
        </is>
      </c>
      <c r="F43" s="10">
        <f>IF(COUNTIFS('XTab DS_1'!$B$2:$B$193,$B43)&gt;=2,"重複","単独")</f>
        <v/>
      </c>
      <c r="G43" s="11">
        <f>SUMIFS('XTab DS_1'!$F$2:$F$193,'XTab DS_1'!$B$2:$B$193,$B43,'XTab DS_1'!$D$2:$D$193,$D43)</f>
        <v/>
      </c>
      <c r="H43" s="12">
        <f>SUMIFS('XTab DS_1'!$G$2:$G$193,'XTab DS_1'!$B$2:$B$193,$B43,'XTab DS_1'!$D$2:$D$193,$D43)</f>
        <v/>
      </c>
    </row>
    <row r="44">
      <c r="A44" s="9" t="inlineStr">
        <is>
          <t>#</t>
        </is>
      </c>
      <c r="B44" s="9" t="inlineStr">
        <is>
          <t>CX2511ADTSTSJ-M</t>
        </is>
      </c>
      <c r="C44" s="9" t="inlineStr">
        <is>
          <t>AD　Tシャツ（シンジ）M</t>
        </is>
      </c>
      <c r="D44" s="9" t="inlineStr">
        <is>
          <t>CX01</t>
        </is>
      </c>
      <c r="E44" s="9" t="inlineStr">
        <is>
          <t>CX催事</t>
        </is>
      </c>
      <c r="F44" s="10">
        <f>IF(COUNTIFS('XTab DS_1'!$B$2:$B$193,$B44)&gt;=2,"重複","単独")</f>
        <v/>
      </c>
      <c r="G44" s="11">
        <f>SUMIFS('XTab DS_1'!$F$2:$F$193,'XTab DS_1'!$B$2:$B$193,$B44,'XTab DS_1'!$D$2:$D$193,$D44)</f>
        <v/>
      </c>
      <c r="H44" s="12">
        <f>SUMIFS('XTab DS_1'!$G$2:$G$193,'XTab DS_1'!$B$2:$B$193,$B44,'XTab DS_1'!$D$2:$D$193,$D44)</f>
        <v/>
      </c>
    </row>
    <row r="45">
      <c r="A45" s="9" t="inlineStr">
        <is>
          <t>#</t>
        </is>
      </c>
      <c r="B45" s="9" t="inlineStr">
        <is>
          <t>CX2511ADUKSNKV</t>
        </is>
      </c>
      <c r="C45" s="9" t="inlineStr">
        <is>
          <t>AD　U型クッション　KV</t>
        </is>
      </c>
      <c r="D45" s="9" t="inlineStr">
        <is>
          <t>CX01</t>
        </is>
      </c>
      <c r="E45" s="9" t="inlineStr">
        <is>
          <t>CX催事</t>
        </is>
      </c>
      <c r="F45" s="10">
        <f>IF(COUNTIFS('XTab DS_1'!$B$2:$B$193,$B45)&gt;=2,"重複","単独")</f>
        <v/>
      </c>
      <c r="G45" s="11">
        <f>SUMIFS('XTab DS_1'!$F$2:$F$193,'XTab DS_1'!$B$2:$B$193,$B45,'XTab DS_1'!$D$2:$D$193,$D45)</f>
        <v/>
      </c>
      <c r="H45" s="12">
        <f>SUMIFS('XTab DS_1'!$G$2:$G$193,'XTab DS_1'!$B$2:$B$193,$B45,'XTab DS_1'!$D$2:$D$193,$D45)</f>
        <v/>
      </c>
    </row>
    <row r="46">
      <c r="A46" s="9" t="inlineStr">
        <is>
          <t>#</t>
        </is>
      </c>
      <c r="B46" s="9" t="inlineStr">
        <is>
          <t>CX2511ADWBKNGUK</t>
        </is>
      </c>
      <c r="C46" s="9" t="inlineStr">
        <is>
          <t>AD　ウィンドブレーカー（２号機）F</t>
        </is>
      </c>
      <c r="D46" s="9" t="inlineStr">
        <is>
          <t>CX01</t>
        </is>
      </c>
      <c r="E46" s="9" t="inlineStr">
        <is>
          <t>CX催事</t>
        </is>
      </c>
      <c r="F46" s="10">
        <f>IF(COUNTIFS('XTab DS_1'!$B$2:$B$193,$B46)&gt;=2,"重複","単独")</f>
        <v/>
      </c>
      <c r="G46" s="11">
        <f>SUMIFS('XTab DS_1'!$F$2:$F$193,'XTab DS_1'!$B$2:$B$193,$B46,'XTab DS_1'!$D$2:$D$193,$D46)</f>
        <v/>
      </c>
      <c r="H46" s="12">
        <f>SUMIFS('XTab DS_1'!$G$2:$G$193,'XTab DS_1'!$B$2:$B$193,$B46,'XTab DS_1'!$D$2:$D$193,$D46)</f>
        <v/>
      </c>
    </row>
    <row r="47">
      <c r="A47" s="9" t="inlineStr">
        <is>
          <t>#</t>
        </is>
      </c>
      <c r="B47" s="9" t="inlineStr">
        <is>
          <t>CX2511ADWBKSGUK</t>
        </is>
      </c>
      <c r="C47" s="9" t="inlineStr">
        <is>
          <t>AD　ウィンドブレーカー（初号機）F</t>
        </is>
      </c>
      <c r="D47" s="9" t="inlineStr">
        <is>
          <t>CX01</t>
        </is>
      </c>
      <c r="E47" s="9" t="inlineStr">
        <is>
          <t>CX催事</t>
        </is>
      </c>
      <c r="F47" s="10">
        <f>IF(COUNTIFS('XTab DS_1'!$B$2:$B$193,$B47)&gt;=2,"重複","単独")</f>
        <v/>
      </c>
      <c r="G47" s="11">
        <f>SUMIFS('XTab DS_1'!$F$2:$F$193,'XTab DS_1'!$B$2:$B$193,$B47,'XTab DS_1'!$D$2:$D$193,$D47)</f>
        <v/>
      </c>
      <c r="H47" s="12">
        <f>SUMIFS('XTab DS_1'!$G$2:$G$193,'XTab DS_1'!$B$2:$B$193,$B47,'XTab DS_1'!$D$2:$D$193,$D47)</f>
        <v/>
      </c>
    </row>
    <row r="48">
      <c r="A48" s="9" t="inlineStr">
        <is>
          <t>#</t>
        </is>
      </c>
      <c r="B48" s="9" t="inlineStr">
        <is>
          <t>CX2511ADWBKZGUK</t>
        </is>
      </c>
      <c r="C48" s="9" t="inlineStr">
        <is>
          <t>AD　ウィンドブレーカー（ゼロ号機）F</t>
        </is>
      </c>
      <c r="D48" s="9" t="inlineStr">
        <is>
          <t>CX01</t>
        </is>
      </c>
      <c r="E48" s="9" t="inlineStr">
        <is>
          <t>CX催事</t>
        </is>
      </c>
      <c r="F48" s="10">
        <f>IF(COUNTIFS('XTab DS_1'!$B$2:$B$193,$B48)&gt;=2,"重複","単独")</f>
        <v/>
      </c>
      <c r="G48" s="11">
        <f>SUMIFS('XTab DS_1'!$F$2:$F$193,'XTab DS_1'!$B$2:$B$193,$B48,'XTab DS_1'!$D$2:$D$193,$D48)</f>
        <v/>
      </c>
      <c r="H48" s="12">
        <f>SUMIFS('XTab DS_1'!$G$2:$G$193,'XTab DS_1'!$B$2:$B$193,$B48,'XTab DS_1'!$D$2:$D$193,$D48)</f>
        <v/>
      </c>
    </row>
    <row r="49">
      <c r="A49" s="9" t="inlineStr">
        <is>
          <t>#</t>
        </is>
      </c>
      <c r="B49" s="9" t="inlineStr">
        <is>
          <t>CX2511ADWESTPT</t>
        </is>
      </c>
      <c r="C49" s="9" t="inlineStr">
        <is>
          <t>AD　ウェストポーチ</t>
        </is>
      </c>
      <c r="D49" s="9" t="inlineStr">
        <is>
          <t>CX01</t>
        </is>
      </c>
      <c r="E49" s="9" t="inlineStr">
        <is>
          <t>CX催事</t>
        </is>
      </c>
      <c r="F49" s="10">
        <f>IF(COUNTIFS('XTab DS_1'!$B$2:$B$193,$B49)&gt;=2,"重複","単独")</f>
        <v/>
      </c>
      <c r="G49" s="11">
        <f>SUMIFS('XTab DS_1'!$F$2:$F$193,'XTab DS_1'!$B$2:$B$193,$B49,'XTab DS_1'!$D$2:$D$193,$D49)</f>
        <v/>
      </c>
      <c r="H49" s="12">
        <f>SUMIFS('XTab DS_1'!$G$2:$G$193,'XTab DS_1'!$B$2:$B$193,$B49,'XTab DS_1'!$D$2:$D$193,$D49)</f>
        <v/>
      </c>
    </row>
    <row r="50">
      <c r="A50" s="9" t="inlineStr">
        <is>
          <t>#</t>
        </is>
      </c>
      <c r="B50" s="9" t="inlineStr">
        <is>
          <t>CX2511ASTACDKP</t>
        </is>
      </c>
      <c r="C50" s="9" t="inlineStr">
        <is>
          <t>AST　アクリルカード　コンプリート</t>
        </is>
      </c>
      <c r="D50" s="9" t="inlineStr">
        <is>
          <t>CX01</t>
        </is>
      </c>
      <c r="E50" s="9" t="inlineStr">
        <is>
          <t>CX催事</t>
        </is>
      </c>
      <c r="F50" s="10">
        <f>IF(COUNTIFS('XTab DS_1'!$B$2:$B$193,$B50)&gt;=2,"重複","単独")</f>
        <v/>
      </c>
      <c r="G50" s="11">
        <f>SUMIFS('XTab DS_1'!$F$2:$F$193,'XTab DS_1'!$B$2:$B$193,$B50,'XTab DS_1'!$D$2:$D$193,$D50)</f>
        <v/>
      </c>
      <c r="H50" s="12">
        <f>SUMIFS('XTab DS_1'!$G$2:$G$193,'XTab DS_1'!$B$2:$B$193,$B50,'XTab DS_1'!$D$2:$D$193,$D50)</f>
        <v/>
      </c>
    </row>
    <row r="51">
      <c r="A51" s="9" t="inlineStr">
        <is>
          <t>#</t>
        </is>
      </c>
      <c r="B51" s="9" t="inlineStr">
        <is>
          <t>CX2511ASTAST-ASK</t>
        </is>
      </c>
      <c r="C51" s="9" t="inlineStr">
        <is>
          <t>AST　アクリルスタンド　（アスカ）</t>
        </is>
      </c>
      <c r="D51" s="9" t="inlineStr">
        <is>
          <t>CX01</t>
        </is>
      </c>
      <c r="E51" s="9" t="inlineStr">
        <is>
          <t>CX催事</t>
        </is>
      </c>
      <c r="F51" s="10">
        <f>IF(COUNTIFS('XTab DS_1'!$B$2:$B$193,$B51)&gt;=2,"重複","単独")</f>
        <v/>
      </c>
      <c r="G51" s="11">
        <f>SUMIFS('XTab DS_1'!$F$2:$F$193,'XTab DS_1'!$B$2:$B$193,$B51,'XTab DS_1'!$D$2:$D$193,$D51)</f>
        <v/>
      </c>
      <c r="H51" s="12">
        <f>SUMIFS('XTab DS_1'!$G$2:$G$193,'XTab DS_1'!$B$2:$B$193,$B51,'XTab DS_1'!$D$2:$D$193,$D51)</f>
        <v/>
      </c>
    </row>
    <row r="52">
      <c r="A52" s="9" t="inlineStr">
        <is>
          <t>#</t>
        </is>
      </c>
      <c r="B52" s="9" t="inlineStr">
        <is>
          <t>CX2511ASTAST-IKR</t>
        </is>
      </c>
      <c r="C52" s="9" t="inlineStr">
        <is>
          <t>AST　アクリルスタンド　（碇ゲンドウ）</t>
        </is>
      </c>
      <c r="D52" s="9" t="inlineStr">
        <is>
          <t>CX01</t>
        </is>
      </c>
      <c r="E52" s="9" t="inlineStr">
        <is>
          <t>CX催事</t>
        </is>
      </c>
      <c r="F52" s="10">
        <f>IF(COUNTIFS('XTab DS_1'!$B$2:$B$193,$B52)&gt;=2,"重複","単独")</f>
        <v/>
      </c>
      <c r="G52" s="11">
        <f>SUMIFS('XTab DS_1'!$F$2:$F$193,'XTab DS_1'!$B$2:$B$193,$B52,'XTab DS_1'!$D$2:$D$193,$D52)</f>
        <v/>
      </c>
      <c r="H52" s="12">
        <f>SUMIFS('XTab DS_1'!$G$2:$G$193,'XTab DS_1'!$B$2:$B$193,$B52,'XTab DS_1'!$D$2:$D$193,$D52)</f>
        <v/>
      </c>
    </row>
    <row r="53">
      <c r="A53" s="9" t="inlineStr">
        <is>
          <t>#</t>
        </is>
      </c>
      <c r="B53" s="9" t="inlineStr">
        <is>
          <t>CX2511ASTAST-KJ</t>
        </is>
      </c>
      <c r="C53" s="9" t="inlineStr">
        <is>
          <t>AST　アクリルスタンド　（加持良治）</t>
        </is>
      </c>
      <c r="D53" s="9" t="inlineStr">
        <is>
          <t>CX01</t>
        </is>
      </c>
      <c r="E53" s="9" t="inlineStr">
        <is>
          <t>CX催事</t>
        </is>
      </c>
      <c r="F53" s="10">
        <f>IF(COUNTIFS('XTab DS_1'!$B$2:$B$193,$B53)&gt;=2,"重複","単独")</f>
        <v/>
      </c>
      <c r="G53" s="11">
        <f>SUMIFS('XTab DS_1'!$F$2:$F$193,'XTab DS_1'!$B$2:$B$193,$B53,'XTab DS_1'!$D$2:$D$193,$D53)</f>
        <v/>
      </c>
      <c r="H53" s="12">
        <f>SUMIFS('XTab DS_1'!$G$2:$G$193,'XTab DS_1'!$B$2:$B$193,$B53,'XTab DS_1'!$D$2:$D$193,$D53)</f>
        <v/>
      </c>
    </row>
    <row r="54">
      <c r="A54" s="9" t="inlineStr">
        <is>
          <t>#</t>
        </is>
      </c>
      <c r="B54" s="9" t="inlineStr">
        <is>
          <t>CX2511ASTAST-KWR</t>
        </is>
      </c>
      <c r="C54" s="9" t="inlineStr">
        <is>
          <t>AST　アクリルスタンド　（カヲル）</t>
        </is>
      </c>
      <c r="D54" s="9" t="inlineStr">
        <is>
          <t>CX01</t>
        </is>
      </c>
      <c r="E54" s="9" t="inlineStr">
        <is>
          <t>CX催事</t>
        </is>
      </c>
      <c r="F54" s="10">
        <f>IF(COUNTIFS('XTab DS_1'!$B$2:$B$193,$B54)&gt;=2,"重複","単独")</f>
        <v/>
      </c>
      <c r="G54" s="11">
        <f>SUMIFS('XTab DS_1'!$F$2:$F$193,'XTab DS_1'!$B$2:$B$193,$B54,'XTab DS_1'!$D$2:$D$193,$D54)</f>
        <v/>
      </c>
      <c r="H54" s="12">
        <f>SUMIFS('XTab DS_1'!$G$2:$G$193,'XTab DS_1'!$B$2:$B$193,$B54,'XTab DS_1'!$D$2:$D$193,$D54)</f>
        <v/>
      </c>
    </row>
    <row r="55">
      <c r="A55" s="9" t="inlineStr">
        <is>
          <t>#</t>
        </is>
      </c>
      <c r="B55" s="9" t="inlineStr">
        <is>
          <t>CX2511ASTAST-MR</t>
        </is>
      </c>
      <c r="C55" s="9" t="inlineStr">
        <is>
          <t>AST　アクリルスタンド　（マリ）</t>
        </is>
      </c>
      <c r="D55" s="9" t="inlineStr">
        <is>
          <t>CX01</t>
        </is>
      </c>
      <c r="E55" s="9" t="inlineStr">
        <is>
          <t>CX催事</t>
        </is>
      </c>
      <c r="F55" s="10">
        <f>IF(COUNTIFS('XTab DS_1'!$B$2:$B$193,$B55)&gt;=2,"重複","単独")</f>
        <v/>
      </c>
      <c r="G55" s="11">
        <f>SUMIFS('XTab DS_1'!$F$2:$F$193,'XTab DS_1'!$B$2:$B$193,$B55,'XTab DS_1'!$D$2:$D$193,$D55)</f>
        <v/>
      </c>
      <c r="H55" s="12">
        <f>SUMIFS('XTab DS_1'!$G$2:$G$193,'XTab DS_1'!$B$2:$B$193,$B55,'XTab DS_1'!$D$2:$D$193,$D55)</f>
        <v/>
      </c>
    </row>
    <row r="56">
      <c r="A56" s="9" t="inlineStr">
        <is>
          <t>#</t>
        </is>
      </c>
      <c r="B56" s="9" t="inlineStr">
        <is>
          <t>CX2511ASTAST-MST</t>
        </is>
      </c>
      <c r="C56" s="9" t="inlineStr">
        <is>
          <t>AST　アクリルスタンド　（美里）</t>
        </is>
      </c>
      <c r="D56" s="9" t="inlineStr">
        <is>
          <t>CX01</t>
        </is>
      </c>
      <c r="E56" s="9" t="inlineStr">
        <is>
          <t>CX催事</t>
        </is>
      </c>
      <c r="F56" s="10">
        <f>IF(COUNTIFS('XTab DS_1'!$B$2:$B$193,$B56)&gt;=2,"重複","単独")</f>
        <v/>
      </c>
      <c r="G56" s="11">
        <f>SUMIFS('XTab DS_1'!$F$2:$F$193,'XTab DS_1'!$B$2:$B$193,$B56,'XTab DS_1'!$D$2:$D$193,$D56)</f>
        <v/>
      </c>
      <c r="H56" s="12">
        <f>SUMIFS('XTab DS_1'!$G$2:$G$193,'XTab DS_1'!$B$2:$B$193,$B56,'XTab DS_1'!$D$2:$D$193,$D56)</f>
        <v/>
      </c>
    </row>
    <row r="57">
      <c r="A57" s="9" t="inlineStr">
        <is>
          <t>#</t>
        </is>
      </c>
      <c r="B57" s="9" t="inlineStr">
        <is>
          <t>CX2511ASTAST-PP</t>
        </is>
      </c>
      <c r="C57" s="9" t="inlineStr">
        <is>
          <t>AST　アクリルスタンド　（ペンペン）</t>
        </is>
      </c>
      <c r="D57" s="9" t="inlineStr">
        <is>
          <t>CX01</t>
        </is>
      </c>
      <c r="E57" s="9" t="inlineStr">
        <is>
          <t>CX催事</t>
        </is>
      </c>
      <c r="F57" s="10">
        <f>IF(COUNTIFS('XTab DS_1'!$B$2:$B$193,$B57)&gt;=2,"重複","単独")</f>
        <v/>
      </c>
      <c r="G57" s="11">
        <f>SUMIFS('XTab DS_1'!$F$2:$F$193,'XTab DS_1'!$B$2:$B$193,$B57,'XTab DS_1'!$D$2:$D$193,$D57)</f>
        <v/>
      </c>
      <c r="H57" s="12">
        <f>SUMIFS('XTab DS_1'!$G$2:$G$193,'XTab DS_1'!$B$2:$B$193,$B57,'XTab DS_1'!$D$2:$D$193,$D57)</f>
        <v/>
      </c>
    </row>
    <row r="58">
      <c r="A58" s="9" t="inlineStr">
        <is>
          <t>#</t>
        </is>
      </c>
      <c r="B58" s="9" t="inlineStr">
        <is>
          <t>CX2511ASTAST-RI</t>
        </is>
      </c>
      <c r="C58" s="9" t="inlineStr">
        <is>
          <t>AST　アクリルスタンド　（レイ）</t>
        </is>
      </c>
      <c r="D58" s="9" t="inlineStr">
        <is>
          <t>CX01</t>
        </is>
      </c>
      <c r="E58" s="9" t="inlineStr">
        <is>
          <t>CX催事</t>
        </is>
      </c>
      <c r="F58" s="10">
        <f>IF(COUNTIFS('XTab DS_1'!$B$2:$B$193,$B58)&gt;=2,"重複","単独")</f>
        <v/>
      </c>
      <c r="G58" s="11">
        <f>SUMIFS('XTab DS_1'!$F$2:$F$193,'XTab DS_1'!$B$2:$B$193,$B58,'XTab DS_1'!$D$2:$D$193,$D58)</f>
        <v/>
      </c>
      <c r="H58" s="12">
        <f>SUMIFS('XTab DS_1'!$G$2:$G$193,'XTab DS_1'!$B$2:$B$193,$B58,'XTab DS_1'!$D$2:$D$193,$D58)</f>
        <v/>
      </c>
    </row>
    <row r="59">
      <c r="A59" s="9" t="inlineStr">
        <is>
          <t>#</t>
        </is>
      </c>
      <c r="B59" s="9" t="inlineStr">
        <is>
          <t>CX2511ASTAST-RTK</t>
        </is>
      </c>
      <c r="C59" s="9" t="inlineStr">
        <is>
          <t>AST　アクリルスタンド　（律子）</t>
        </is>
      </c>
      <c r="D59" s="9" t="inlineStr">
        <is>
          <t>CX01</t>
        </is>
      </c>
      <c r="E59" s="9" t="inlineStr">
        <is>
          <t>CX催事</t>
        </is>
      </c>
      <c r="F59" s="10">
        <f>IF(COUNTIFS('XTab DS_1'!$B$2:$B$193,$B59)&gt;=2,"重複","単独")</f>
        <v/>
      </c>
      <c r="G59" s="11">
        <f>SUMIFS('XTab DS_1'!$F$2:$F$193,'XTab DS_1'!$B$2:$B$193,$B59,'XTab DS_1'!$D$2:$D$193,$D59)</f>
        <v/>
      </c>
      <c r="H59" s="12">
        <f>SUMIFS('XTab DS_1'!$G$2:$G$193,'XTab DS_1'!$B$2:$B$193,$B59,'XTab DS_1'!$D$2:$D$193,$D59)</f>
        <v/>
      </c>
    </row>
    <row r="60">
      <c r="A60" s="9" t="inlineStr">
        <is>
          <t>#</t>
        </is>
      </c>
      <c r="B60" s="9" t="inlineStr">
        <is>
          <t>CX2511ASTAST-SJ</t>
        </is>
      </c>
      <c r="C60" s="9" t="inlineStr">
        <is>
          <t>AST　アクリルスタンド　（シンジ）</t>
        </is>
      </c>
      <c r="D60" s="9" t="inlineStr">
        <is>
          <t>CX01</t>
        </is>
      </c>
      <c r="E60" s="9" t="inlineStr">
        <is>
          <t>CX催事</t>
        </is>
      </c>
      <c r="F60" s="10">
        <f>IF(COUNTIFS('XTab DS_1'!$B$2:$B$193,$B60)&gt;=2,"重複","単独")</f>
        <v/>
      </c>
      <c r="G60" s="11">
        <f>SUMIFS('XTab DS_1'!$F$2:$F$193,'XTab DS_1'!$B$2:$B$193,$B60,'XTab DS_1'!$D$2:$D$193,$D60)</f>
        <v/>
      </c>
      <c r="H60" s="12">
        <f>SUMIFS('XTab DS_1'!$G$2:$G$193,'XTab DS_1'!$B$2:$B$193,$B60,'XTab DS_1'!$D$2:$D$193,$D60)</f>
        <v/>
      </c>
    </row>
    <row r="61">
      <c r="A61" s="9" t="inlineStr">
        <is>
          <t>#</t>
        </is>
      </c>
      <c r="B61" s="9" t="inlineStr">
        <is>
          <t>CX2511ASTASTKV</t>
        </is>
      </c>
      <c r="C61" s="9" t="inlineStr">
        <is>
          <t>AST　アクリルスタンド　KV</t>
        </is>
      </c>
      <c r="D61" s="9" t="inlineStr">
        <is>
          <t>CX01</t>
        </is>
      </c>
      <c r="E61" s="9" t="inlineStr">
        <is>
          <t>CX催事</t>
        </is>
      </c>
      <c r="F61" s="10">
        <f>IF(COUNTIFS('XTab DS_1'!$B$2:$B$193,$B61)&gt;=2,"重複","単独")</f>
        <v/>
      </c>
      <c r="G61" s="11">
        <f>SUMIFS('XTab DS_1'!$F$2:$F$193,'XTab DS_1'!$B$2:$B$193,$B61,'XTab DS_1'!$D$2:$D$193,$D61)</f>
        <v/>
      </c>
      <c r="H61" s="12">
        <f>SUMIFS('XTab DS_1'!$G$2:$G$193,'XTab DS_1'!$B$2:$B$193,$B61,'XTab DS_1'!$D$2:$D$193,$D61)</f>
        <v/>
      </c>
    </row>
    <row r="62">
      <c r="A62" s="9" t="inlineStr">
        <is>
          <t>#</t>
        </is>
      </c>
      <c r="B62" s="9" t="inlineStr">
        <is>
          <t>CX2511ASTBDGKVKP</t>
        </is>
      </c>
      <c r="C62" s="9" t="inlineStr">
        <is>
          <t>AST　缶バッジ　KV　コンプリート</t>
        </is>
      </c>
      <c r="D62" s="9" t="inlineStr">
        <is>
          <t>CX01</t>
        </is>
      </c>
      <c r="E62" s="9" t="inlineStr">
        <is>
          <t>CX催事</t>
        </is>
      </c>
      <c r="F62" s="10">
        <f>IF(COUNTIFS('XTab DS_1'!$B$2:$B$193,$B62)&gt;=2,"重複","単独")</f>
        <v/>
      </c>
      <c r="G62" s="11">
        <f>SUMIFS('XTab DS_1'!$F$2:$F$193,'XTab DS_1'!$B$2:$B$193,$B62,'XTab DS_1'!$D$2:$D$193,$D62)</f>
        <v/>
      </c>
      <c r="H62" s="12">
        <f>SUMIFS('XTab DS_1'!$G$2:$G$193,'XTab DS_1'!$B$2:$B$193,$B62,'XTab DS_1'!$D$2:$D$193,$D62)</f>
        <v/>
      </c>
    </row>
    <row r="63">
      <c r="A63" s="9" t="inlineStr">
        <is>
          <t>#</t>
        </is>
      </c>
      <c r="B63" s="9" t="inlineStr">
        <is>
          <t>CX2511ASTBDGRMXKP</t>
        </is>
      </c>
      <c r="C63" s="9" t="inlineStr">
        <is>
          <t>AST　缶バッジ　2023REMIXコンプリート</t>
        </is>
      </c>
      <c r="D63" s="9" t="inlineStr">
        <is>
          <t>CX01</t>
        </is>
      </c>
      <c r="E63" s="9" t="inlineStr">
        <is>
          <t>CX催事</t>
        </is>
      </c>
      <c r="F63" s="10">
        <f>IF(COUNTIFS('XTab DS_1'!$B$2:$B$193,$B63)&gt;=2,"重複","単独")</f>
        <v/>
      </c>
      <c r="G63" s="11">
        <f>SUMIFS('XTab DS_1'!$F$2:$F$193,'XTab DS_1'!$B$2:$B$193,$B63,'XTab DS_1'!$D$2:$D$193,$D63)</f>
        <v/>
      </c>
      <c r="H63" s="12">
        <f>SUMIFS('XTab DS_1'!$G$2:$G$193,'XTab DS_1'!$B$2:$B$193,$B63,'XTab DS_1'!$D$2:$D$193,$D63)</f>
        <v/>
      </c>
    </row>
    <row r="64">
      <c r="A64" s="9" t="inlineStr">
        <is>
          <t>#</t>
        </is>
      </c>
      <c r="B64" s="9" t="inlineStr">
        <is>
          <t>CX2511ASTJYJ-ASK</t>
        </is>
      </c>
      <c r="C64" s="9" t="inlineStr">
        <is>
          <t>AST　ジャージ（ASUKA）F</t>
        </is>
      </c>
      <c r="D64" s="9" t="inlineStr">
        <is>
          <t>CX01</t>
        </is>
      </c>
      <c r="E64" s="9" t="inlineStr">
        <is>
          <t>CX催事</t>
        </is>
      </c>
      <c r="F64" s="10">
        <f>IF(COUNTIFS('XTab DS_1'!$B$2:$B$193,$B64)&gt;=2,"重複","単独")</f>
        <v/>
      </c>
      <c r="G64" s="11">
        <f>SUMIFS('XTab DS_1'!$F$2:$F$193,'XTab DS_1'!$B$2:$B$193,$B64,'XTab DS_1'!$D$2:$D$193,$D64)</f>
        <v/>
      </c>
      <c r="H64" s="12">
        <f>SUMIFS('XTab DS_1'!$G$2:$G$193,'XTab DS_1'!$B$2:$B$193,$B64,'XTab DS_1'!$D$2:$D$193,$D64)</f>
        <v/>
      </c>
    </row>
    <row r="65">
      <c r="A65" s="9" t="inlineStr">
        <is>
          <t>#</t>
        </is>
      </c>
      <c r="B65" s="9" t="inlineStr">
        <is>
          <t>CX2511ASTJYJ-KWR</t>
        </is>
      </c>
      <c r="C65" s="9" t="inlineStr">
        <is>
          <t>AST　ジャージ（KAWORU）F</t>
        </is>
      </c>
      <c r="D65" s="9" t="inlineStr">
        <is>
          <t>CX01</t>
        </is>
      </c>
      <c r="E65" s="9" t="inlineStr">
        <is>
          <t>CX催事</t>
        </is>
      </c>
      <c r="F65" s="10">
        <f>IF(COUNTIFS('XTab DS_1'!$B$2:$B$193,$B65)&gt;=2,"重複","単独")</f>
        <v/>
      </c>
      <c r="G65" s="11">
        <f>SUMIFS('XTab DS_1'!$F$2:$F$193,'XTab DS_1'!$B$2:$B$193,$B65,'XTab DS_1'!$D$2:$D$193,$D65)</f>
        <v/>
      </c>
      <c r="H65" s="12">
        <f>SUMIFS('XTab DS_1'!$G$2:$G$193,'XTab DS_1'!$B$2:$B$193,$B65,'XTab DS_1'!$D$2:$D$193,$D65)</f>
        <v/>
      </c>
    </row>
    <row r="66">
      <c r="A66" s="9" t="inlineStr">
        <is>
          <t>#</t>
        </is>
      </c>
      <c r="B66" s="9" t="inlineStr">
        <is>
          <t>CX2511ASTJYJ-RI</t>
        </is>
      </c>
      <c r="C66" s="9" t="inlineStr">
        <is>
          <t>AST　ジャージ（REI）F</t>
        </is>
      </c>
      <c r="D66" s="9" t="inlineStr">
        <is>
          <t>CX01</t>
        </is>
      </c>
      <c r="E66" s="9" t="inlineStr">
        <is>
          <t>CX催事</t>
        </is>
      </c>
      <c r="F66" s="10">
        <f>IF(COUNTIFS('XTab DS_1'!$B$2:$B$193,$B66)&gt;=2,"重複","単独")</f>
        <v/>
      </c>
      <c r="G66" s="11">
        <f>SUMIFS('XTab DS_1'!$F$2:$F$193,'XTab DS_1'!$B$2:$B$193,$B66,'XTab DS_1'!$D$2:$D$193,$D66)</f>
        <v/>
      </c>
      <c r="H66" s="12">
        <f>SUMIFS('XTab DS_1'!$G$2:$G$193,'XTab DS_1'!$B$2:$B$193,$B66,'XTab DS_1'!$D$2:$D$193,$D66)</f>
        <v/>
      </c>
    </row>
    <row r="67">
      <c r="A67" s="9" t="inlineStr">
        <is>
          <t>#</t>
        </is>
      </c>
      <c r="B67" s="9" t="inlineStr">
        <is>
          <t>CX2511ASTJYJ-SJ</t>
        </is>
      </c>
      <c r="C67" s="9" t="inlineStr">
        <is>
          <t>AST　ジャージ（SHINJI）F</t>
        </is>
      </c>
      <c r="D67" s="9" t="inlineStr">
        <is>
          <t>CX01</t>
        </is>
      </c>
      <c r="E67" s="9" t="inlineStr">
        <is>
          <t>CX催事</t>
        </is>
      </c>
      <c r="F67" s="10">
        <f>IF(COUNTIFS('XTab DS_1'!$B$2:$B$193,$B67)&gt;=2,"重複","単独")</f>
        <v/>
      </c>
      <c r="G67" s="11">
        <f>SUMIFS('XTab DS_1'!$F$2:$F$193,'XTab DS_1'!$B$2:$B$193,$B67,'XTab DS_1'!$D$2:$D$193,$D67)</f>
        <v/>
      </c>
      <c r="H67" s="12">
        <f>SUMIFS('XTab DS_1'!$G$2:$G$193,'XTab DS_1'!$B$2:$B$193,$B67,'XTab DS_1'!$D$2:$D$193,$D67)</f>
        <v/>
      </c>
    </row>
    <row r="68">
      <c r="A68" s="9" t="inlineStr">
        <is>
          <t>#</t>
        </is>
      </c>
      <c r="B68" s="9" t="inlineStr">
        <is>
          <t>CX2511ASTLNTSS-L</t>
        </is>
      </c>
      <c r="C68" s="9" t="inlineStr">
        <is>
          <t>AST　ロンT （初号機＆シンジ）L</t>
        </is>
      </c>
      <c r="D68" s="9" t="inlineStr">
        <is>
          <t>CX01</t>
        </is>
      </c>
      <c r="E68" s="9" t="inlineStr">
        <is>
          <t>CX催事</t>
        </is>
      </c>
      <c r="F68" s="10">
        <f>IF(COUNTIFS('XTab DS_1'!$B$2:$B$193,$B68)&gt;=2,"重複","単独")</f>
        <v/>
      </c>
      <c r="G68" s="11">
        <f>SUMIFS('XTab DS_1'!$F$2:$F$193,'XTab DS_1'!$B$2:$B$193,$B68,'XTab DS_1'!$D$2:$D$193,$D68)</f>
        <v/>
      </c>
      <c r="H68" s="12">
        <f>SUMIFS('XTab DS_1'!$G$2:$G$193,'XTab DS_1'!$B$2:$B$193,$B68,'XTab DS_1'!$D$2:$D$193,$D68)</f>
        <v/>
      </c>
    </row>
    <row r="69">
      <c r="A69" s="9" t="inlineStr">
        <is>
          <t>#</t>
        </is>
      </c>
      <c r="B69" s="9" t="inlineStr">
        <is>
          <t>CX2511ASTLNTSS-M</t>
        </is>
      </c>
      <c r="C69" s="9" t="inlineStr">
        <is>
          <t>AST　ロンT （初号機＆シンジ）M</t>
        </is>
      </c>
      <c r="D69" s="9" t="inlineStr">
        <is>
          <t>CX01</t>
        </is>
      </c>
      <c r="E69" s="9" t="inlineStr">
        <is>
          <t>CX催事</t>
        </is>
      </c>
      <c r="F69" s="10">
        <f>IF(COUNTIFS('XTab DS_1'!$B$2:$B$193,$B69)&gt;=2,"重複","単独")</f>
        <v/>
      </c>
      <c r="G69" s="11">
        <f>SUMIFS('XTab DS_1'!$F$2:$F$193,'XTab DS_1'!$B$2:$B$193,$B69,'XTab DS_1'!$D$2:$D$193,$D69)</f>
        <v/>
      </c>
      <c r="H69" s="12">
        <f>SUMIFS('XTab DS_1'!$G$2:$G$193,'XTab DS_1'!$B$2:$B$193,$B69,'XTab DS_1'!$D$2:$D$193,$D69)</f>
        <v/>
      </c>
    </row>
    <row r="70">
      <c r="A70" s="9" t="inlineStr">
        <is>
          <t>#</t>
        </is>
      </c>
      <c r="B70" s="9" t="inlineStr">
        <is>
          <t>CX2511ASTMUMKV</t>
        </is>
      </c>
      <c r="C70" s="9" t="inlineStr">
        <is>
          <t>AST　マウスマット　KV</t>
        </is>
      </c>
      <c r="D70" s="9" t="inlineStr">
        <is>
          <t>CX01</t>
        </is>
      </c>
      <c r="E70" s="9" t="inlineStr">
        <is>
          <t>CX催事</t>
        </is>
      </c>
      <c r="F70" s="10">
        <f>IF(COUNTIFS('XTab DS_1'!$B$2:$B$193,$B70)&gt;=2,"重複","単独")</f>
        <v/>
      </c>
      <c r="G70" s="11">
        <f>SUMIFS('XTab DS_1'!$F$2:$F$193,'XTab DS_1'!$B$2:$B$193,$B70,'XTab DS_1'!$D$2:$D$193,$D70)</f>
        <v/>
      </c>
      <c r="H70" s="12">
        <f>SUMIFS('XTab DS_1'!$G$2:$G$193,'XTab DS_1'!$B$2:$B$193,$B70,'XTab DS_1'!$D$2:$D$193,$D70)</f>
        <v/>
      </c>
    </row>
    <row r="71">
      <c r="A71" s="9" t="inlineStr">
        <is>
          <t>#</t>
        </is>
      </c>
      <c r="B71" s="9" t="inlineStr">
        <is>
          <t>CX2511ASTRACD</t>
        </is>
      </c>
      <c r="C71" s="9" t="inlineStr">
        <is>
          <t>AST　ランダムアクリルカード</t>
        </is>
      </c>
      <c r="D71" s="9" t="inlineStr">
        <is>
          <t>CX01</t>
        </is>
      </c>
      <c r="E71" s="9" t="inlineStr">
        <is>
          <t>CX催事</t>
        </is>
      </c>
      <c r="F71" s="10">
        <f>IF(COUNTIFS('XTab DS_1'!$B$2:$B$193,$B71)&gt;=2,"重複","単独")</f>
        <v/>
      </c>
      <c r="G71" s="11">
        <f>SUMIFS('XTab DS_1'!$F$2:$F$193,'XTab DS_1'!$B$2:$B$193,$B71,'XTab DS_1'!$D$2:$D$193,$D71)</f>
        <v/>
      </c>
      <c r="H71" s="12">
        <f>SUMIFS('XTab DS_1'!$G$2:$G$193,'XTab DS_1'!$B$2:$B$193,$B71,'XTab DS_1'!$D$2:$D$193,$D71)</f>
        <v/>
      </c>
    </row>
    <row r="72">
      <c r="A72" s="9" t="inlineStr">
        <is>
          <t>#</t>
        </is>
      </c>
      <c r="B72" s="9" t="inlineStr">
        <is>
          <t>CX2511ASTRBDGKV</t>
        </is>
      </c>
      <c r="C72" s="9" t="inlineStr">
        <is>
          <t>AST　ランダム缶バッジ　KV</t>
        </is>
      </c>
      <c r="D72" s="9" t="inlineStr">
        <is>
          <t>CX01</t>
        </is>
      </c>
      <c r="E72" s="9" t="inlineStr">
        <is>
          <t>CX催事</t>
        </is>
      </c>
      <c r="F72" s="10">
        <f>IF(COUNTIFS('XTab DS_1'!$B$2:$B$193,$B72)&gt;=2,"重複","単独")</f>
        <v/>
      </c>
      <c r="G72" s="11">
        <f>SUMIFS('XTab DS_1'!$F$2:$F$193,'XTab DS_1'!$B$2:$B$193,$B72,'XTab DS_1'!$D$2:$D$193,$D72)</f>
        <v/>
      </c>
      <c r="H72" s="12">
        <f>SUMIFS('XTab DS_1'!$G$2:$G$193,'XTab DS_1'!$B$2:$B$193,$B72,'XTab DS_1'!$D$2:$D$193,$D72)</f>
        <v/>
      </c>
    </row>
    <row r="73">
      <c r="A73" s="9" t="inlineStr">
        <is>
          <t>#</t>
        </is>
      </c>
      <c r="B73" s="9" t="inlineStr">
        <is>
          <t>CX2511ASTRDBDGRMX</t>
        </is>
      </c>
      <c r="C73" s="9" t="inlineStr">
        <is>
          <t>AST　ランダム缶バッジ　2023REMIX</t>
        </is>
      </c>
      <c r="D73" s="9" t="inlineStr">
        <is>
          <t>CX01</t>
        </is>
      </c>
      <c r="E73" s="9" t="inlineStr">
        <is>
          <t>CX催事</t>
        </is>
      </c>
      <c r="F73" s="10">
        <f>IF(COUNTIFS('XTab DS_1'!$B$2:$B$193,$B73)&gt;=2,"重複","単独")</f>
        <v/>
      </c>
      <c r="G73" s="11">
        <f>SUMIFS('XTab DS_1'!$F$2:$F$193,'XTab DS_1'!$B$2:$B$193,$B73,'XTab DS_1'!$D$2:$D$193,$D73)</f>
        <v/>
      </c>
      <c r="H73" s="12">
        <f>SUMIFS('XTab DS_1'!$G$2:$G$193,'XTab DS_1'!$B$2:$B$193,$B73,'XTab DS_1'!$D$2:$D$193,$D73)</f>
        <v/>
      </c>
    </row>
    <row r="74">
      <c r="A74" s="9" t="inlineStr">
        <is>
          <t>#</t>
        </is>
      </c>
      <c r="B74" s="9" t="inlineStr">
        <is>
          <t>CX2511ASTRDSTK</t>
        </is>
      </c>
      <c r="C74" s="9" t="inlineStr">
        <is>
          <t>AST　ランダムステッカー</t>
        </is>
      </c>
      <c r="D74" s="9" t="inlineStr">
        <is>
          <t>CX01</t>
        </is>
      </c>
      <c r="E74" s="9" t="inlineStr">
        <is>
          <t>CX催事</t>
        </is>
      </c>
      <c r="F74" s="10">
        <f>IF(COUNTIFS('XTab DS_1'!$B$2:$B$193,$B74)&gt;=2,"重複","単独")</f>
        <v/>
      </c>
      <c r="G74" s="11">
        <f>SUMIFS('XTab DS_1'!$F$2:$F$193,'XTab DS_1'!$B$2:$B$193,$B74,'XTab DS_1'!$D$2:$D$193,$D74)</f>
        <v/>
      </c>
      <c r="H74" s="12">
        <f>SUMIFS('XTab DS_1'!$G$2:$G$193,'XTab DS_1'!$B$2:$B$193,$B74,'XTab DS_1'!$D$2:$D$193,$D74)</f>
        <v/>
      </c>
    </row>
    <row r="75">
      <c r="A75" s="9" t="inlineStr">
        <is>
          <t>#</t>
        </is>
      </c>
      <c r="B75" s="9" t="inlineStr">
        <is>
          <t>CX2511ASTRDSTKKP</t>
        </is>
      </c>
      <c r="C75" s="9" t="inlineStr">
        <is>
          <t>AST　ランダムステッカー コンプリート</t>
        </is>
      </c>
      <c r="D75" s="9" t="inlineStr">
        <is>
          <t>CX01</t>
        </is>
      </c>
      <c r="E75" s="9" t="inlineStr">
        <is>
          <t>CX催事</t>
        </is>
      </c>
      <c r="F75" s="10">
        <f>IF(COUNTIFS('XTab DS_1'!$B$2:$B$193,$B75)&gt;=2,"重複","単独")</f>
        <v/>
      </c>
      <c r="G75" s="11">
        <f>SUMIFS('XTab DS_1'!$F$2:$F$193,'XTab DS_1'!$B$2:$B$193,$B75,'XTab DS_1'!$D$2:$D$193,$D75)</f>
        <v/>
      </c>
      <c r="H75" s="12">
        <f>SUMIFS('XTab DS_1'!$G$2:$G$193,'XTab DS_1'!$B$2:$B$193,$B75,'XTab DS_1'!$D$2:$D$193,$D75)</f>
        <v/>
      </c>
    </row>
    <row r="76">
      <c r="A76" s="9" t="inlineStr">
        <is>
          <t>#</t>
        </is>
      </c>
      <c r="B76" s="9" t="inlineStr">
        <is>
          <t>CX2511ASTRUCK</t>
        </is>
      </c>
      <c r="C76" s="9" t="inlineStr">
        <is>
          <t>AST　リュック</t>
        </is>
      </c>
      <c r="D76" s="9" t="inlineStr">
        <is>
          <t>CX01</t>
        </is>
      </c>
      <c r="E76" s="9" t="inlineStr">
        <is>
          <t>CX催事</t>
        </is>
      </c>
      <c r="F76" s="10">
        <f>IF(COUNTIFS('XTab DS_1'!$B$2:$B$193,$B76)&gt;=2,"重複","単独")</f>
        <v/>
      </c>
      <c r="G76" s="11">
        <f>SUMIFS('XTab DS_1'!$F$2:$F$193,'XTab DS_1'!$B$2:$B$193,$B76,'XTab DS_1'!$D$2:$D$193,$D76)</f>
        <v/>
      </c>
      <c r="H76" s="12">
        <f>SUMIFS('XTab DS_1'!$G$2:$G$193,'XTab DS_1'!$B$2:$B$193,$B76,'XTab DS_1'!$D$2:$D$193,$D76)</f>
        <v/>
      </c>
    </row>
    <row r="77">
      <c r="A77" s="9" t="inlineStr">
        <is>
          <t>#</t>
        </is>
      </c>
      <c r="B77" s="9" t="inlineStr">
        <is>
          <t>CX2511ASTSWTKV-L</t>
        </is>
      </c>
      <c r="C77" s="9" t="inlineStr">
        <is>
          <t>AST　スウェット（KV 少年組）L</t>
        </is>
      </c>
      <c r="D77" s="9" t="inlineStr">
        <is>
          <t>CX01</t>
        </is>
      </c>
      <c r="E77" s="9" t="inlineStr">
        <is>
          <t>CX催事</t>
        </is>
      </c>
      <c r="F77" s="10">
        <f>IF(COUNTIFS('XTab DS_1'!$B$2:$B$193,$B77)&gt;=2,"重複","単独")</f>
        <v/>
      </c>
      <c r="G77" s="11">
        <f>SUMIFS('XTab DS_1'!$F$2:$F$193,'XTab DS_1'!$B$2:$B$193,$B77,'XTab DS_1'!$D$2:$D$193,$D77)</f>
        <v/>
      </c>
      <c r="H77" s="12">
        <f>SUMIFS('XTab DS_1'!$G$2:$G$193,'XTab DS_1'!$B$2:$B$193,$B77,'XTab DS_1'!$D$2:$D$193,$D77)</f>
        <v/>
      </c>
    </row>
    <row r="78">
      <c r="A78" s="9" t="inlineStr">
        <is>
          <t>#</t>
        </is>
      </c>
      <c r="B78" s="9" t="inlineStr">
        <is>
          <t>CX2511ASTSWTKV-M</t>
        </is>
      </c>
      <c r="C78" s="9" t="inlineStr">
        <is>
          <t>AST　スウェット（KV 少年組）M</t>
        </is>
      </c>
      <c r="D78" s="9" t="inlineStr">
        <is>
          <t>CX01</t>
        </is>
      </c>
      <c r="E78" s="9" t="inlineStr">
        <is>
          <t>CX催事</t>
        </is>
      </c>
      <c r="F78" s="10">
        <f>IF(COUNTIFS('XTab DS_1'!$B$2:$B$193,$B78)&gt;=2,"重複","単独")</f>
        <v/>
      </c>
      <c r="G78" s="11">
        <f>SUMIFS('XTab DS_1'!$F$2:$F$193,'XTab DS_1'!$B$2:$B$193,$B78,'XTab DS_1'!$D$2:$D$193,$D78)</f>
        <v/>
      </c>
      <c r="H78" s="12">
        <f>SUMIFS('XTab DS_1'!$G$2:$G$193,'XTab DS_1'!$B$2:$B$193,$B78,'XTab DS_1'!$D$2:$D$193,$D78)</f>
        <v/>
      </c>
    </row>
    <row r="79">
      <c r="A79" s="9" t="inlineStr">
        <is>
          <t>#</t>
        </is>
      </c>
      <c r="B79" s="9" t="inlineStr">
        <is>
          <t>CX2511ASTSYOP</t>
        </is>
      </c>
      <c r="C79" s="9" t="inlineStr">
        <is>
          <t>AST　ショッパー</t>
        </is>
      </c>
      <c r="D79" s="9" t="inlineStr">
        <is>
          <t>CX01</t>
        </is>
      </c>
      <c r="E79" s="9" t="inlineStr">
        <is>
          <t>CX催事</t>
        </is>
      </c>
      <c r="F79" s="10">
        <f>IF(COUNTIFS('XTab DS_1'!$B$2:$B$193,$B79)&gt;=2,"重複","単独")</f>
        <v/>
      </c>
      <c r="G79" s="11">
        <f>SUMIFS('XTab DS_1'!$F$2:$F$193,'XTab DS_1'!$B$2:$B$193,$B79,'XTab DS_1'!$D$2:$D$193,$D79)</f>
        <v/>
      </c>
      <c r="H79" s="12">
        <f>SUMIFS('XTab DS_1'!$G$2:$G$193,'XTab DS_1'!$B$2:$B$193,$B79,'XTab DS_1'!$D$2:$D$193,$D79)</f>
        <v/>
      </c>
    </row>
    <row r="80">
      <c r="A80" s="9" t="inlineStr">
        <is>
          <t>#</t>
        </is>
      </c>
      <c r="B80" s="9" t="inlineStr">
        <is>
          <t>CX2511ASTTOT</t>
        </is>
      </c>
      <c r="C80" s="9" t="inlineStr">
        <is>
          <t>AST　トートバッグ</t>
        </is>
      </c>
      <c r="D80" s="9" t="inlineStr">
        <is>
          <t>CX01</t>
        </is>
      </c>
      <c r="E80" s="9" t="inlineStr">
        <is>
          <t>CX催事</t>
        </is>
      </c>
      <c r="F80" s="10">
        <f>IF(COUNTIFS('XTab DS_1'!$B$2:$B$193,$B80)&gt;=2,"重複","単独")</f>
        <v/>
      </c>
      <c r="G80" s="11">
        <f>SUMIFS('XTab DS_1'!$F$2:$F$193,'XTab DS_1'!$B$2:$B$193,$B80,'XTab DS_1'!$D$2:$D$193,$D80)</f>
        <v/>
      </c>
      <c r="H80" s="12">
        <f>SUMIFS('XTab DS_1'!$G$2:$G$193,'XTab DS_1'!$B$2:$B$193,$B80,'XTab DS_1'!$D$2:$D$193,$D80)</f>
        <v/>
      </c>
    </row>
    <row r="81">
      <c r="A81" s="9" t="inlineStr">
        <is>
          <t>#</t>
        </is>
      </c>
      <c r="B81" s="9" t="inlineStr">
        <is>
          <t>CX2511ASTTSTASK-L</t>
        </is>
      </c>
      <c r="C81" s="9" t="inlineStr">
        <is>
          <t>AST　Tシャツ（アスカ）L</t>
        </is>
      </c>
      <c r="D81" s="9" t="inlineStr">
        <is>
          <t>CX01</t>
        </is>
      </c>
      <c r="E81" s="9" t="inlineStr">
        <is>
          <t>CX催事</t>
        </is>
      </c>
      <c r="F81" s="10">
        <f>IF(COUNTIFS('XTab DS_1'!$B$2:$B$193,$B81)&gt;=2,"重複","単独")</f>
        <v/>
      </c>
      <c r="G81" s="11">
        <f>SUMIFS('XTab DS_1'!$F$2:$F$193,'XTab DS_1'!$B$2:$B$193,$B81,'XTab DS_1'!$D$2:$D$193,$D81)</f>
        <v/>
      </c>
      <c r="H81" s="12">
        <f>SUMIFS('XTab DS_1'!$G$2:$G$193,'XTab DS_1'!$B$2:$B$193,$B81,'XTab DS_1'!$D$2:$D$193,$D81)</f>
        <v/>
      </c>
    </row>
    <row r="82">
      <c r="A82" s="9" t="inlineStr">
        <is>
          <t>#</t>
        </is>
      </c>
      <c r="B82" s="9" t="inlineStr">
        <is>
          <t>CX2511ASTTSTASK-M</t>
        </is>
      </c>
      <c r="C82" s="9" t="inlineStr">
        <is>
          <t>AST　Tシャツ（アスカ）M</t>
        </is>
      </c>
      <c r="D82" s="9" t="inlineStr">
        <is>
          <t>CX01</t>
        </is>
      </c>
      <c r="E82" s="9" t="inlineStr">
        <is>
          <t>CX催事</t>
        </is>
      </c>
      <c r="F82" s="10">
        <f>IF(COUNTIFS('XTab DS_1'!$B$2:$B$193,$B82)&gt;=2,"重複","単独")</f>
        <v/>
      </c>
      <c r="G82" s="11">
        <f>SUMIFS('XTab DS_1'!$F$2:$F$193,'XTab DS_1'!$B$2:$B$193,$B82,'XTab DS_1'!$D$2:$D$193,$D82)</f>
        <v/>
      </c>
      <c r="H82" s="12">
        <f>SUMIFS('XTab DS_1'!$G$2:$G$193,'XTab DS_1'!$B$2:$B$193,$B82,'XTab DS_1'!$D$2:$D$193,$D82)</f>
        <v/>
      </c>
    </row>
    <row r="83">
      <c r="A83" s="9" t="inlineStr">
        <is>
          <t>#</t>
        </is>
      </c>
      <c r="B83" s="9" t="inlineStr">
        <is>
          <t>CX2511ASTTSTKWR-L</t>
        </is>
      </c>
      <c r="C83" s="9" t="inlineStr">
        <is>
          <t>AST　Tシャツ（カヲル）L</t>
        </is>
      </c>
      <c r="D83" s="9" t="inlineStr">
        <is>
          <t>CX01</t>
        </is>
      </c>
      <c r="E83" s="9" t="inlineStr">
        <is>
          <t>CX催事</t>
        </is>
      </c>
      <c r="F83" s="10">
        <f>IF(COUNTIFS('XTab DS_1'!$B$2:$B$193,$B83)&gt;=2,"重複","単独")</f>
        <v/>
      </c>
      <c r="G83" s="11">
        <f>SUMIFS('XTab DS_1'!$F$2:$F$193,'XTab DS_1'!$B$2:$B$193,$B83,'XTab DS_1'!$D$2:$D$193,$D83)</f>
        <v/>
      </c>
      <c r="H83" s="12">
        <f>SUMIFS('XTab DS_1'!$G$2:$G$193,'XTab DS_1'!$B$2:$B$193,$B83,'XTab DS_1'!$D$2:$D$193,$D83)</f>
        <v/>
      </c>
    </row>
    <row r="84">
      <c r="A84" s="9" t="inlineStr">
        <is>
          <t>#</t>
        </is>
      </c>
      <c r="B84" s="9" t="inlineStr">
        <is>
          <t>CX2511ASTTSTKWR-M</t>
        </is>
      </c>
      <c r="C84" s="9" t="inlineStr">
        <is>
          <t>AST　Tシャツ（カヲル）M</t>
        </is>
      </c>
      <c r="D84" s="9" t="inlineStr">
        <is>
          <t>CX01</t>
        </is>
      </c>
      <c r="E84" s="9" t="inlineStr">
        <is>
          <t>CX催事</t>
        </is>
      </c>
      <c r="F84" s="10">
        <f>IF(COUNTIFS('XTab DS_1'!$B$2:$B$193,$B84)&gt;=2,"重複","単独")</f>
        <v/>
      </c>
      <c r="G84" s="11">
        <f>SUMIFS('XTab DS_1'!$F$2:$F$193,'XTab DS_1'!$B$2:$B$193,$B84,'XTab DS_1'!$D$2:$D$193,$D84)</f>
        <v/>
      </c>
      <c r="H84" s="12">
        <f>SUMIFS('XTab DS_1'!$G$2:$G$193,'XTab DS_1'!$B$2:$B$193,$B84,'XTab DS_1'!$D$2:$D$193,$D84)</f>
        <v/>
      </c>
    </row>
    <row r="85">
      <c r="A85" s="9" t="inlineStr">
        <is>
          <t>#</t>
        </is>
      </c>
      <c r="B85" s="9" t="inlineStr">
        <is>
          <t>CX2511ASTTSTMR-L</t>
        </is>
      </c>
      <c r="C85" s="9" t="inlineStr">
        <is>
          <t>AST　Tシャツ（マリ）L</t>
        </is>
      </c>
      <c r="D85" s="9" t="inlineStr">
        <is>
          <t>CX01</t>
        </is>
      </c>
      <c r="E85" s="9" t="inlineStr">
        <is>
          <t>CX催事</t>
        </is>
      </c>
      <c r="F85" s="10">
        <f>IF(COUNTIFS('XTab DS_1'!$B$2:$B$193,$B85)&gt;=2,"重複","単独")</f>
        <v/>
      </c>
      <c r="G85" s="11">
        <f>SUMIFS('XTab DS_1'!$F$2:$F$193,'XTab DS_1'!$B$2:$B$193,$B85,'XTab DS_1'!$D$2:$D$193,$D85)</f>
        <v/>
      </c>
      <c r="H85" s="12">
        <f>SUMIFS('XTab DS_1'!$G$2:$G$193,'XTab DS_1'!$B$2:$B$193,$B85,'XTab DS_1'!$D$2:$D$193,$D85)</f>
        <v/>
      </c>
    </row>
    <row r="86">
      <c r="A86" s="9" t="inlineStr">
        <is>
          <t>#</t>
        </is>
      </c>
      <c r="B86" s="9" t="inlineStr">
        <is>
          <t>CX2511ASTTSTMR-M</t>
        </is>
      </c>
      <c r="C86" s="9" t="inlineStr">
        <is>
          <t>AST　Tシャツ（マリ）M</t>
        </is>
      </c>
      <c r="D86" s="9" t="inlineStr">
        <is>
          <t>CX01</t>
        </is>
      </c>
      <c r="E86" s="9" t="inlineStr">
        <is>
          <t>CX催事</t>
        </is>
      </c>
      <c r="F86" s="10">
        <f>IF(COUNTIFS('XTab DS_1'!$B$2:$B$193,$B86)&gt;=2,"重複","単独")</f>
        <v/>
      </c>
      <c r="G86" s="11">
        <f>SUMIFS('XTab DS_1'!$F$2:$F$193,'XTab DS_1'!$B$2:$B$193,$B86,'XTab DS_1'!$D$2:$D$193,$D86)</f>
        <v/>
      </c>
      <c r="H86" s="12">
        <f>SUMIFS('XTab DS_1'!$G$2:$G$193,'XTab DS_1'!$B$2:$B$193,$B86,'XTab DS_1'!$D$2:$D$193,$D86)</f>
        <v/>
      </c>
    </row>
    <row r="87">
      <c r="A87" s="9" t="inlineStr">
        <is>
          <t>#</t>
        </is>
      </c>
      <c r="B87" s="9" t="inlineStr">
        <is>
          <t>CX2511ASTTSTPP-L</t>
        </is>
      </c>
      <c r="C87" s="9" t="inlineStr">
        <is>
          <t>AST　Tシャツ（ペンペン）L</t>
        </is>
      </c>
      <c r="D87" s="9" t="inlineStr">
        <is>
          <t>CX01</t>
        </is>
      </c>
      <c r="E87" s="9" t="inlineStr">
        <is>
          <t>CX催事</t>
        </is>
      </c>
      <c r="F87" s="10">
        <f>IF(COUNTIFS('XTab DS_1'!$B$2:$B$193,$B87)&gt;=2,"重複","単独")</f>
        <v/>
      </c>
      <c r="G87" s="11">
        <f>SUMIFS('XTab DS_1'!$F$2:$F$193,'XTab DS_1'!$B$2:$B$193,$B87,'XTab DS_1'!$D$2:$D$193,$D87)</f>
        <v/>
      </c>
      <c r="H87" s="12">
        <f>SUMIFS('XTab DS_1'!$G$2:$G$193,'XTab DS_1'!$B$2:$B$193,$B87,'XTab DS_1'!$D$2:$D$193,$D87)</f>
        <v/>
      </c>
    </row>
    <row r="88">
      <c r="A88" s="9" t="inlineStr">
        <is>
          <t>#</t>
        </is>
      </c>
      <c r="B88" s="9" t="inlineStr">
        <is>
          <t>CX2511ASTTSTPP-M</t>
        </is>
      </c>
      <c r="C88" s="9" t="inlineStr">
        <is>
          <t>AST　Tシャツ（ペンペン）M</t>
        </is>
      </c>
      <c r="D88" s="9" t="inlineStr">
        <is>
          <t>CX01</t>
        </is>
      </c>
      <c r="E88" s="9" t="inlineStr">
        <is>
          <t>CX催事</t>
        </is>
      </c>
      <c r="F88" s="10">
        <f>IF(COUNTIFS('XTab DS_1'!$B$2:$B$193,$B88)&gt;=2,"重複","単独")</f>
        <v/>
      </c>
      <c r="G88" s="11">
        <f>SUMIFS('XTab DS_1'!$F$2:$F$193,'XTab DS_1'!$B$2:$B$193,$B88,'XTab DS_1'!$D$2:$D$193,$D88)</f>
        <v/>
      </c>
      <c r="H88" s="12">
        <f>SUMIFS('XTab DS_1'!$G$2:$G$193,'XTab DS_1'!$B$2:$B$193,$B88,'XTab DS_1'!$D$2:$D$193,$D88)</f>
        <v/>
      </c>
    </row>
    <row r="89">
      <c r="A89" s="9" t="inlineStr">
        <is>
          <t>#</t>
        </is>
      </c>
      <c r="B89" s="9" t="inlineStr">
        <is>
          <t>CX2511ASTTSTRI-L</t>
        </is>
      </c>
      <c r="C89" s="9" t="inlineStr">
        <is>
          <t>AST　Tシャツ（レイ）L</t>
        </is>
      </c>
      <c r="D89" s="9" t="inlineStr">
        <is>
          <t>CX01</t>
        </is>
      </c>
      <c r="E89" s="9" t="inlineStr">
        <is>
          <t>CX催事</t>
        </is>
      </c>
      <c r="F89" s="10">
        <f>IF(COUNTIFS('XTab DS_1'!$B$2:$B$193,$B89)&gt;=2,"重複","単独")</f>
        <v/>
      </c>
      <c r="G89" s="11">
        <f>SUMIFS('XTab DS_1'!$F$2:$F$193,'XTab DS_1'!$B$2:$B$193,$B89,'XTab DS_1'!$D$2:$D$193,$D89)</f>
        <v/>
      </c>
      <c r="H89" s="12">
        <f>SUMIFS('XTab DS_1'!$G$2:$G$193,'XTab DS_1'!$B$2:$B$193,$B89,'XTab DS_1'!$D$2:$D$193,$D89)</f>
        <v/>
      </c>
    </row>
    <row r="90">
      <c r="A90" s="9" t="inlineStr">
        <is>
          <t>#</t>
        </is>
      </c>
      <c r="B90" s="9" t="inlineStr">
        <is>
          <t>CX2511ASTTSTRI-M</t>
        </is>
      </c>
      <c r="C90" s="9" t="inlineStr">
        <is>
          <t>AST　Tシャツ（レイ）M</t>
        </is>
      </c>
      <c r="D90" s="9" t="inlineStr">
        <is>
          <t>CX01</t>
        </is>
      </c>
      <c r="E90" s="9" t="inlineStr">
        <is>
          <t>CX催事</t>
        </is>
      </c>
      <c r="F90" s="10">
        <f>IF(COUNTIFS('XTab DS_1'!$B$2:$B$193,$B90)&gt;=2,"重複","単独")</f>
        <v/>
      </c>
      <c r="G90" s="11">
        <f>SUMIFS('XTab DS_1'!$F$2:$F$193,'XTab DS_1'!$B$2:$B$193,$B90,'XTab DS_1'!$D$2:$D$193,$D90)</f>
        <v/>
      </c>
      <c r="H90" s="12">
        <f>SUMIFS('XTab DS_1'!$G$2:$G$193,'XTab DS_1'!$B$2:$B$193,$B90,'XTab DS_1'!$D$2:$D$193,$D90)</f>
        <v/>
      </c>
    </row>
    <row r="91">
      <c r="A91" s="9" t="inlineStr">
        <is>
          <t>#</t>
        </is>
      </c>
      <c r="B91" s="9" t="inlineStr">
        <is>
          <t>CX2511ASTTSTSJ-L</t>
        </is>
      </c>
      <c r="C91" s="9" t="inlineStr">
        <is>
          <t>AST　Tシャツ（シンジ）L</t>
        </is>
      </c>
      <c r="D91" s="9" t="inlineStr">
        <is>
          <t>CX01</t>
        </is>
      </c>
      <c r="E91" s="9" t="inlineStr">
        <is>
          <t>CX催事</t>
        </is>
      </c>
      <c r="F91" s="10">
        <f>IF(COUNTIFS('XTab DS_1'!$B$2:$B$193,$B91)&gt;=2,"重複","単独")</f>
        <v/>
      </c>
      <c r="G91" s="11">
        <f>SUMIFS('XTab DS_1'!$F$2:$F$193,'XTab DS_1'!$B$2:$B$193,$B91,'XTab DS_1'!$D$2:$D$193,$D91)</f>
        <v/>
      </c>
      <c r="H91" s="12">
        <f>SUMIFS('XTab DS_1'!$G$2:$G$193,'XTab DS_1'!$B$2:$B$193,$B91,'XTab DS_1'!$D$2:$D$193,$D91)</f>
        <v/>
      </c>
    </row>
    <row r="92">
      <c r="A92" s="9" t="inlineStr">
        <is>
          <t>#</t>
        </is>
      </c>
      <c r="B92" s="9" t="inlineStr">
        <is>
          <t>CX2511ASTTSTSJ-M</t>
        </is>
      </c>
      <c r="C92" s="9" t="inlineStr">
        <is>
          <t>AST　Tシャツ（シンジ）M</t>
        </is>
      </c>
      <c r="D92" s="9" t="inlineStr">
        <is>
          <t>CX01</t>
        </is>
      </c>
      <c r="E92" s="9" t="inlineStr">
        <is>
          <t>CX催事</t>
        </is>
      </c>
      <c r="F92" s="10">
        <f>IF(COUNTIFS('XTab DS_1'!$B$2:$B$193,$B92)&gt;=2,"重複","単独")</f>
        <v/>
      </c>
      <c r="G92" s="11">
        <f>SUMIFS('XTab DS_1'!$F$2:$F$193,'XTab DS_1'!$B$2:$B$193,$B92,'XTab DS_1'!$D$2:$D$193,$D92)</f>
        <v/>
      </c>
      <c r="H92" s="12">
        <f>SUMIFS('XTab DS_1'!$G$2:$G$193,'XTab DS_1'!$B$2:$B$193,$B92,'XTab DS_1'!$D$2:$D$193,$D92)</f>
        <v/>
      </c>
    </row>
    <row r="93">
      <c r="A93" s="9" t="inlineStr">
        <is>
          <t>#</t>
        </is>
      </c>
      <c r="B93" s="9" t="inlineStr">
        <is>
          <t>CX2511ASTUKSNKV</t>
        </is>
      </c>
      <c r="C93" s="9" t="inlineStr">
        <is>
          <t>AST　U型クッション　KV</t>
        </is>
      </c>
      <c r="D93" s="9" t="inlineStr">
        <is>
          <t>CX01</t>
        </is>
      </c>
      <c r="E93" s="9" t="inlineStr">
        <is>
          <t>CX催事</t>
        </is>
      </c>
      <c r="F93" s="10">
        <f>IF(COUNTIFS('XTab DS_1'!$B$2:$B$193,$B93)&gt;=2,"重複","単独")</f>
        <v/>
      </c>
      <c r="G93" s="11">
        <f>SUMIFS('XTab DS_1'!$F$2:$F$193,'XTab DS_1'!$B$2:$B$193,$B93,'XTab DS_1'!$D$2:$D$193,$D93)</f>
        <v/>
      </c>
      <c r="H93" s="12">
        <f>SUMIFS('XTab DS_1'!$G$2:$G$193,'XTab DS_1'!$B$2:$B$193,$B93,'XTab DS_1'!$D$2:$D$193,$D93)</f>
        <v/>
      </c>
    </row>
    <row r="94">
      <c r="A94" s="9" t="inlineStr">
        <is>
          <t>#</t>
        </is>
      </c>
      <c r="B94" s="9" t="inlineStr">
        <is>
          <t>CX2511ASTWBKNGUK</t>
        </is>
      </c>
      <c r="C94" s="9" t="inlineStr">
        <is>
          <t>AST　ウィンドブレーカー（２号機）F</t>
        </is>
      </c>
      <c r="D94" s="9" t="inlineStr">
        <is>
          <t>CX01</t>
        </is>
      </c>
      <c r="E94" s="9" t="inlineStr">
        <is>
          <t>CX催事</t>
        </is>
      </c>
      <c r="F94" s="10">
        <f>IF(COUNTIFS('XTab DS_1'!$B$2:$B$193,$B94)&gt;=2,"重複","単独")</f>
        <v/>
      </c>
      <c r="G94" s="11">
        <f>SUMIFS('XTab DS_1'!$F$2:$F$193,'XTab DS_1'!$B$2:$B$193,$B94,'XTab DS_1'!$D$2:$D$193,$D94)</f>
        <v/>
      </c>
      <c r="H94" s="12">
        <f>SUMIFS('XTab DS_1'!$G$2:$G$193,'XTab DS_1'!$B$2:$B$193,$B94,'XTab DS_1'!$D$2:$D$193,$D94)</f>
        <v/>
      </c>
    </row>
    <row r="95">
      <c r="A95" s="9" t="inlineStr">
        <is>
          <t>#</t>
        </is>
      </c>
      <c r="B95" s="9" t="inlineStr">
        <is>
          <t>CX2511ASTWBKSGUK</t>
        </is>
      </c>
      <c r="C95" s="9" t="inlineStr">
        <is>
          <t>AST　ウィンドブレーカー（初号機）F</t>
        </is>
      </c>
      <c r="D95" s="9" t="inlineStr">
        <is>
          <t>CX01</t>
        </is>
      </c>
      <c r="E95" s="9" t="inlineStr">
        <is>
          <t>CX催事</t>
        </is>
      </c>
      <c r="F95" s="10">
        <f>IF(COUNTIFS('XTab DS_1'!$B$2:$B$193,$B95)&gt;=2,"重複","単独")</f>
        <v/>
      </c>
      <c r="G95" s="11">
        <f>SUMIFS('XTab DS_1'!$F$2:$F$193,'XTab DS_1'!$B$2:$B$193,$B95,'XTab DS_1'!$D$2:$D$193,$D95)</f>
        <v/>
      </c>
      <c r="H95" s="12">
        <f>SUMIFS('XTab DS_1'!$G$2:$G$193,'XTab DS_1'!$B$2:$B$193,$B95,'XTab DS_1'!$D$2:$D$193,$D95)</f>
        <v/>
      </c>
    </row>
    <row r="96">
      <c r="A96" s="9" t="inlineStr">
        <is>
          <t>#</t>
        </is>
      </c>
      <c r="B96" s="9" t="inlineStr">
        <is>
          <t>CX2511ASTWBKZGUK</t>
        </is>
      </c>
      <c r="C96" s="9" t="inlineStr">
        <is>
          <t>AST　ウィンドブレーカー（ゼロ号機）F</t>
        </is>
      </c>
      <c r="D96" s="9" t="inlineStr">
        <is>
          <t>CX01</t>
        </is>
      </c>
      <c r="E96" s="9" t="inlineStr">
        <is>
          <t>CX催事</t>
        </is>
      </c>
      <c r="F96" s="10">
        <f>IF(COUNTIFS('XTab DS_1'!$B$2:$B$193,$B96)&gt;=2,"重複","単独")</f>
        <v/>
      </c>
      <c r="G96" s="11">
        <f>SUMIFS('XTab DS_1'!$F$2:$F$193,'XTab DS_1'!$B$2:$B$193,$B96,'XTab DS_1'!$D$2:$D$193,$D96)</f>
        <v/>
      </c>
      <c r="H96" s="12">
        <f>SUMIFS('XTab DS_1'!$G$2:$G$193,'XTab DS_1'!$B$2:$B$193,$B96,'XTab DS_1'!$D$2:$D$193,$D96)</f>
        <v/>
      </c>
    </row>
    <row r="97">
      <c r="A97" s="9" t="inlineStr">
        <is>
          <t>#</t>
        </is>
      </c>
      <c r="B97" s="9" t="inlineStr">
        <is>
          <t>CX2511ASTWESTPT</t>
        </is>
      </c>
      <c r="C97" s="9" t="inlineStr">
        <is>
          <t>AST　ウェストポーチ</t>
        </is>
      </c>
      <c r="D97" s="9" t="inlineStr">
        <is>
          <t>CX01</t>
        </is>
      </c>
      <c r="E97" s="9" t="inlineStr">
        <is>
          <t>CX催事</t>
        </is>
      </c>
      <c r="F97" s="10">
        <f>IF(COUNTIFS('XTab DS_1'!$B$2:$B$193,$B97)&gt;=2,"重複","単独")</f>
        <v/>
      </c>
      <c r="G97" s="11">
        <f>SUMIFS('XTab DS_1'!$F$2:$F$193,'XTab DS_1'!$B$2:$B$193,$B97,'XTab DS_1'!$D$2:$D$193,$D97)</f>
        <v/>
      </c>
      <c r="H97" s="12">
        <f>SUMIFS('XTab DS_1'!$G$2:$G$193,'XTab DS_1'!$B$2:$B$193,$B97,'XTab DS_1'!$D$2:$D$193,$D97)</f>
        <v/>
      </c>
    </row>
    <row r="98">
      <c r="A98" s="13" t="n"/>
      <c r="B98" s="13" t="n"/>
      <c r="C98" s="14" t="inlineStr">
        <is>
          <t>合計</t>
        </is>
      </c>
      <c r="D98" s="13" t="n"/>
      <c r="E98" s="13" t="n"/>
      <c r="F98" s="13" t="n"/>
      <c r="G98" s="15">
        <f>SUM(G2:G97)</f>
        <v/>
      </c>
      <c r="H98" s="16">
        <f>SUM(H2:H97)</f>
        <v/>
      </c>
    </row>
    <row r="99">
      <c r="A99" s="17" t="n"/>
      <c r="B99" s="17" t="n"/>
      <c r="C99" s="18" t="inlineStr">
        <is>
          <t>うち 重複</t>
        </is>
      </c>
      <c r="D99" s="17" t="n"/>
      <c r="E99" s="17" t="n"/>
      <c r="F99" s="17" t="n"/>
      <c r="G99" s="19">
        <f>SUMIFS(G2:G97,F2:F97,"重複")</f>
        <v/>
      </c>
      <c r="H99" s="20">
        <f>SUMIFS(H2:H97,F2:F97,"重複")</f>
        <v/>
      </c>
    </row>
    <row r="100">
      <c r="A100" s="17" t="n"/>
      <c r="B100" s="17" t="n"/>
      <c r="C100" s="18" t="inlineStr">
        <is>
          <t>うち 単独</t>
        </is>
      </c>
      <c r="D100" s="17" t="n"/>
      <c r="E100" s="17" t="n"/>
      <c r="F100" s="17" t="n"/>
      <c r="G100" s="19">
        <f>SUMIFS(G2:G97,F2:F97,"単独")</f>
        <v/>
      </c>
      <c r="H100" s="20">
        <f>SUMIFS(H2:H97,F2:F97,"単独")</f>
        <v/>
      </c>
    </row>
  </sheetData>
  <autoFilter ref="A1:H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12" customWidth="1" style="2" min="5" max="5"/>
    <col width="8" customWidth="1" style="2" min="6" max="6"/>
    <col width="14" customWidth="1" style="2" min="7" max="7"/>
    <col width="16" customWidth="1" style="2" min="8" max="8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保管場所</t>
        </is>
      </c>
      <c r="E1" s="8" t="inlineStr">
        <is>
          <t>保管場所名</t>
        </is>
      </c>
      <c r="F1" s="8" t="inlineStr">
        <is>
          <t>区分</t>
        </is>
      </c>
      <c r="G1" s="8" t="inlineStr">
        <is>
          <t>在庫数量</t>
        </is>
      </c>
      <c r="H1" s="8" t="inlineStr">
        <is>
          <t>在庫金額</t>
        </is>
      </c>
    </row>
    <row r="2">
      <c r="A2" s="9" t="inlineStr">
        <is>
          <t>#</t>
        </is>
      </c>
      <c r="B2" s="9" t="inlineStr">
        <is>
          <t>CX2511ADACDKP</t>
        </is>
      </c>
      <c r="C2" s="9" t="inlineStr">
        <is>
          <t>AD　アクリルカード　コンプリート</t>
        </is>
      </c>
      <c r="D2" s="9" t="inlineStr">
        <is>
          <t>DB00</t>
        </is>
      </c>
      <c r="E2" s="9" t="inlineStr">
        <is>
          <t>DBS倉庫</t>
        </is>
      </c>
      <c r="F2" s="10">
        <f>IF(COUNTIFS('XTab DS_1'!$B$2:$B$193,$B2)&gt;=2,"重複","単独")</f>
        <v/>
      </c>
      <c r="G2" s="11">
        <f>SUMIFS('XTab DS_1'!$F$2:$F$193,'XTab DS_1'!$B$2:$B$193,$B2,'XTab DS_1'!$D$2:$D$193,$D2)</f>
        <v/>
      </c>
      <c r="H2" s="12">
        <f>SUMIFS('XTab DS_1'!$G$2:$G$193,'XTab DS_1'!$B$2:$B$193,$B2,'XTab DS_1'!$D$2:$D$193,$D2)</f>
        <v/>
      </c>
    </row>
    <row r="3">
      <c r="A3" s="9" t="inlineStr">
        <is>
          <t>#</t>
        </is>
      </c>
      <c r="B3" s="9" t="inlineStr">
        <is>
          <t>CX2511ADAST-ASK</t>
        </is>
      </c>
      <c r="C3" s="9" t="inlineStr">
        <is>
          <t>AD　アクリルスタンド　（アスカ）</t>
        </is>
      </c>
      <c r="D3" s="9" t="inlineStr">
        <is>
          <t>DB00</t>
        </is>
      </c>
      <c r="E3" s="9" t="inlineStr">
        <is>
          <t>DBS倉庫</t>
        </is>
      </c>
      <c r="F3" s="10">
        <f>IF(COUNTIFS('XTab DS_1'!$B$2:$B$193,$B3)&gt;=2,"重複","単独")</f>
        <v/>
      </c>
      <c r="G3" s="11">
        <f>SUMIFS('XTab DS_1'!$F$2:$F$193,'XTab DS_1'!$B$2:$B$193,$B3,'XTab DS_1'!$D$2:$D$193,$D3)</f>
        <v/>
      </c>
      <c r="H3" s="12">
        <f>SUMIFS('XTab DS_1'!$G$2:$G$193,'XTab DS_1'!$B$2:$B$193,$B3,'XTab DS_1'!$D$2:$D$193,$D3)</f>
        <v/>
      </c>
    </row>
    <row r="4">
      <c r="A4" s="9" t="inlineStr">
        <is>
          <t>#</t>
        </is>
      </c>
      <c r="B4" s="9" t="inlineStr">
        <is>
          <t>CX2511ADAST-IKR</t>
        </is>
      </c>
      <c r="C4" s="9" t="inlineStr">
        <is>
          <t>AD　アクリルスタンド　（碇ゲンドウ）</t>
        </is>
      </c>
      <c r="D4" s="9" t="inlineStr">
        <is>
          <t>DB00</t>
        </is>
      </c>
      <c r="E4" s="9" t="inlineStr">
        <is>
          <t>DBS倉庫</t>
        </is>
      </c>
      <c r="F4" s="10">
        <f>IF(COUNTIFS('XTab DS_1'!$B$2:$B$193,$B4)&gt;=2,"重複","単独")</f>
        <v/>
      </c>
      <c r="G4" s="11">
        <f>SUMIFS('XTab DS_1'!$F$2:$F$193,'XTab DS_1'!$B$2:$B$193,$B4,'XTab DS_1'!$D$2:$D$193,$D4)</f>
        <v/>
      </c>
      <c r="H4" s="12">
        <f>SUMIFS('XTab DS_1'!$G$2:$G$193,'XTab DS_1'!$B$2:$B$193,$B4,'XTab DS_1'!$D$2:$D$193,$D4)</f>
        <v/>
      </c>
    </row>
    <row r="5">
      <c r="A5" s="9" t="inlineStr">
        <is>
          <t>#</t>
        </is>
      </c>
      <c r="B5" s="9" t="inlineStr">
        <is>
          <t>CX2511ADAST-KJ</t>
        </is>
      </c>
      <c r="C5" s="9" t="inlineStr">
        <is>
          <t>AD　アクリルスタンド　（加持良治）</t>
        </is>
      </c>
      <c r="D5" s="9" t="inlineStr">
        <is>
          <t>DB00</t>
        </is>
      </c>
      <c r="E5" s="9" t="inlineStr">
        <is>
          <t>DBS倉庫</t>
        </is>
      </c>
      <c r="F5" s="10">
        <f>IF(COUNTIFS('XTab DS_1'!$B$2:$B$193,$B5)&gt;=2,"重複","単独")</f>
        <v/>
      </c>
      <c r="G5" s="11">
        <f>SUMIFS('XTab DS_1'!$F$2:$F$193,'XTab DS_1'!$B$2:$B$193,$B5,'XTab DS_1'!$D$2:$D$193,$D5)</f>
        <v/>
      </c>
      <c r="H5" s="12">
        <f>SUMIFS('XTab DS_1'!$G$2:$G$193,'XTab DS_1'!$B$2:$B$193,$B5,'XTab DS_1'!$D$2:$D$193,$D5)</f>
        <v/>
      </c>
    </row>
    <row r="6">
      <c r="A6" s="9" t="inlineStr">
        <is>
          <t>#</t>
        </is>
      </c>
      <c r="B6" s="9" t="inlineStr">
        <is>
          <t>CX2511ADAST-KWR</t>
        </is>
      </c>
      <c r="C6" s="9" t="inlineStr">
        <is>
          <t>AD　アクリルスタンド　（カヲル）</t>
        </is>
      </c>
      <c r="D6" s="9" t="inlineStr">
        <is>
          <t>DB00</t>
        </is>
      </c>
      <c r="E6" s="9" t="inlineStr">
        <is>
          <t>DBS倉庫</t>
        </is>
      </c>
      <c r="F6" s="10">
        <f>IF(COUNTIFS('XTab DS_1'!$B$2:$B$193,$B6)&gt;=2,"重複","単独")</f>
        <v/>
      </c>
      <c r="G6" s="11">
        <f>SUMIFS('XTab DS_1'!$F$2:$F$193,'XTab DS_1'!$B$2:$B$193,$B6,'XTab DS_1'!$D$2:$D$193,$D6)</f>
        <v/>
      </c>
      <c r="H6" s="12">
        <f>SUMIFS('XTab DS_1'!$G$2:$G$193,'XTab DS_1'!$B$2:$B$193,$B6,'XTab DS_1'!$D$2:$D$193,$D6)</f>
        <v/>
      </c>
    </row>
    <row r="7">
      <c r="A7" s="9" t="inlineStr">
        <is>
          <t>#</t>
        </is>
      </c>
      <c r="B7" s="9" t="inlineStr">
        <is>
          <t>CX2511ADAST-MR</t>
        </is>
      </c>
      <c r="C7" s="9" t="inlineStr">
        <is>
          <t>AD　アクリルスタンド　（マリ）</t>
        </is>
      </c>
      <c r="D7" s="9" t="inlineStr">
        <is>
          <t>DB00</t>
        </is>
      </c>
      <c r="E7" s="9" t="inlineStr">
        <is>
          <t>DBS倉庫</t>
        </is>
      </c>
      <c r="F7" s="10">
        <f>IF(COUNTIFS('XTab DS_1'!$B$2:$B$193,$B7)&gt;=2,"重複","単独")</f>
        <v/>
      </c>
      <c r="G7" s="11">
        <f>SUMIFS('XTab DS_1'!$F$2:$F$193,'XTab DS_1'!$B$2:$B$193,$B7,'XTab DS_1'!$D$2:$D$193,$D7)</f>
        <v/>
      </c>
      <c r="H7" s="12">
        <f>SUMIFS('XTab DS_1'!$G$2:$G$193,'XTab DS_1'!$B$2:$B$193,$B7,'XTab DS_1'!$D$2:$D$193,$D7)</f>
        <v/>
      </c>
    </row>
    <row r="8">
      <c r="A8" s="9" t="inlineStr">
        <is>
          <t>#</t>
        </is>
      </c>
      <c r="B8" s="9" t="inlineStr">
        <is>
          <t>CX2511ADAST-MST</t>
        </is>
      </c>
      <c r="C8" s="9" t="inlineStr">
        <is>
          <t>AD　アクリルスタンド　（美里）</t>
        </is>
      </c>
      <c r="D8" s="9" t="inlineStr">
        <is>
          <t>DB00</t>
        </is>
      </c>
      <c r="E8" s="9" t="inlineStr">
        <is>
          <t>DBS倉庫</t>
        </is>
      </c>
      <c r="F8" s="10">
        <f>IF(COUNTIFS('XTab DS_1'!$B$2:$B$193,$B8)&gt;=2,"重複","単独")</f>
        <v/>
      </c>
      <c r="G8" s="11">
        <f>SUMIFS('XTab DS_1'!$F$2:$F$193,'XTab DS_1'!$B$2:$B$193,$B8,'XTab DS_1'!$D$2:$D$193,$D8)</f>
        <v/>
      </c>
      <c r="H8" s="12">
        <f>SUMIFS('XTab DS_1'!$G$2:$G$193,'XTab DS_1'!$B$2:$B$193,$B8,'XTab DS_1'!$D$2:$D$193,$D8)</f>
        <v/>
      </c>
    </row>
    <row r="9">
      <c r="A9" s="9" t="inlineStr">
        <is>
          <t>#</t>
        </is>
      </c>
      <c r="B9" s="9" t="inlineStr">
        <is>
          <t>CX2511ADAST-PP</t>
        </is>
      </c>
      <c r="C9" s="9" t="inlineStr">
        <is>
          <t>AD　アクリルスタンド　（ペンペン）</t>
        </is>
      </c>
      <c r="D9" s="9" t="inlineStr">
        <is>
          <t>DB00</t>
        </is>
      </c>
      <c r="E9" s="9" t="inlineStr">
        <is>
          <t>DBS倉庫</t>
        </is>
      </c>
      <c r="F9" s="10">
        <f>IF(COUNTIFS('XTab DS_1'!$B$2:$B$193,$B9)&gt;=2,"重複","単独")</f>
        <v/>
      </c>
      <c r="G9" s="11">
        <f>SUMIFS('XTab DS_1'!$F$2:$F$193,'XTab DS_1'!$B$2:$B$193,$B9,'XTab DS_1'!$D$2:$D$193,$D9)</f>
        <v/>
      </c>
      <c r="H9" s="12">
        <f>SUMIFS('XTab DS_1'!$G$2:$G$193,'XTab DS_1'!$B$2:$B$193,$B9,'XTab DS_1'!$D$2:$D$193,$D9)</f>
        <v/>
      </c>
    </row>
    <row r="10">
      <c r="A10" s="9" t="inlineStr">
        <is>
          <t>#</t>
        </is>
      </c>
      <c r="B10" s="9" t="inlineStr">
        <is>
          <t>CX2511ADAST-RI</t>
        </is>
      </c>
      <c r="C10" s="9" t="inlineStr">
        <is>
          <t>AD　アクリルスタンド　（レイ）</t>
        </is>
      </c>
      <c r="D10" s="9" t="inlineStr">
        <is>
          <t>DB00</t>
        </is>
      </c>
      <c r="E10" s="9" t="inlineStr">
        <is>
          <t>DBS倉庫</t>
        </is>
      </c>
      <c r="F10" s="10">
        <f>IF(COUNTIFS('XTab DS_1'!$B$2:$B$193,$B10)&gt;=2,"重複","単独")</f>
        <v/>
      </c>
      <c r="G10" s="11">
        <f>SUMIFS('XTab DS_1'!$F$2:$F$193,'XTab DS_1'!$B$2:$B$193,$B10,'XTab DS_1'!$D$2:$D$193,$D10)</f>
        <v/>
      </c>
      <c r="H10" s="12">
        <f>SUMIFS('XTab DS_1'!$G$2:$G$193,'XTab DS_1'!$B$2:$B$193,$B10,'XTab DS_1'!$D$2:$D$193,$D10)</f>
        <v/>
      </c>
    </row>
    <row r="11">
      <c r="A11" s="9" t="inlineStr">
        <is>
          <t>#</t>
        </is>
      </c>
      <c r="B11" s="9" t="inlineStr">
        <is>
          <t>CX2511ADAST-RTK</t>
        </is>
      </c>
      <c r="C11" s="9" t="inlineStr">
        <is>
          <t>AD　アクリルスタンド　（律子）</t>
        </is>
      </c>
      <c r="D11" s="9" t="inlineStr">
        <is>
          <t>DB00</t>
        </is>
      </c>
      <c r="E11" s="9" t="inlineStr">
        <is>
          <t>DBS倉庫</t>
        </is>
      </c>
      <c r="F11" s="10">
        <f>IF(COUNTIFS('XTab DS_1'!$B$2:$B$193,$B11)&gt;=2,"重複","単独")</f>
        <v/>
      </c>
      <c r="G11" s="11">
        <f>SUMIFS('XTab DS_1'!$F$2:$F$193,'XTab DS_1'!$B$2:$B$193,$B11,'XTab DS_1'!$D$2:$D$193,$D11)</f>
        <v/>
      </c>
      <c r="H11" s="12">
        <f>SUMIFS('XTab DS_1'!$G$2:$G$193,'XTab DS_1'!$B$2:$B$193,$B11,'XTab DS_1'!$D$2:$D$193,$D11)</f>
        <v/>
      </c>
    </row>
    <row r="12">
      <c r="A12" s="9" t="inlineStr">
        <is>
          <t>#</t>
        </is>
      </c>
      <c r="B12" s="9" t="inlineStr">
        <is>
          <t>CX2511ADAST-SJ</t>
        </is>
      </c>
      <c r="C12" s="9" t="inlineStr">
        <is>
          <t>AD　アクリルスタンド　（シンジ）</t>
        </is>
      </c>
      <c r="D12" s="9" t="inlineStr">
        <is>
          <t>DB00</t>
        </is>
      </c>
      <c r="E12" s="9" t="inlineStr">
        <is>
          <t>DBS倉庫</t>
        </is>
      </c>
      <c r="F12" s="10">
        <f>IF(COUNTIFS('XTab DS_1'!$B$2:$B$193,$B12)&gt;=2,"重複","単独")</f>
        <v/>
      </c>
      <c r="G12" s="11">
        <f>SUMIFS('XTab DS_1'!$F$2:$F$193,'XTab DS_1'!$B$2:$B$193,$B12,'XTab DS_1'!$D$2:$D$193,$D12)</f>
        <v/>
      </c>
      <c r="H12" s="12">
        <f>SUMIFS('XTab DS_1'!$G$2:$G$193,'XTab DS_1'!$B$2:$B$193,$B12,'XTab DS_1'!$D$2:$D$193,$D12)</f>
        <v/>
      </c>
    </row>
    <row r="13">
      <c r="A13" s="9" t="inlineStr">
        <is>
          <t>#</t>
        </is>
      </c>
      <c r="B13" s="9" t="inlineStr">
        <is>
          <t>CX2511ADASTKV</t>
        </is>
      </c>
      <c r="C13" s="9" t="inlineStr">
        <is>
          <t>AD　アクリルスタンド　KV</t>
        </is>
      </c>
      <c r="D13" s="9" t="inlineStr">
        <is>
          <t>DB00</t>
        </is>
      </c>
      <c r="E13" s="9" t="inlineStr">
        <is>
          <t>DBS倉庫</t>
        </is>
      </c>
      <c r="F13" s="10">
        <f>IF(COUNTIFS('XTab DS_1'!$B$2:$B$193,$B13)&gt;=2,"重複","単独")</f>
        <v/>
      </c>
      <c r="G13" s="11">
        <f>SUMIFS('XTab DS_1'!$F$2:$F$193,'XTab DS_1'!$B$2:$B$193,$B13,'XTab DS_1'!$D$2:$D$193,$D13)</f>
        <v/>
      </c>
      <c r="H13" s="12">
        <f>SUMIFS('XTab DS_1'!$G$2:$G$193,'XTab DS_1'!$B$2:$B$193,$B13,'XTab DS_1'!$D$2:$D$193,$D13)</f>
        <v/>
      </c>
    </row>
    <row r="14">
      <c r="A14" s="9" t="inlineStr">
        <is>
          <t>#</t>
        </is>
      </c>
      <c r="B14" s="9" t="inlineStr">
        <is>
          <t>CX2511ADBDGKVKP</t>
        </is>
      </c>
      <c r="C14" s="9" t="inlineStr">
        <is>
          <t>AD　缶バッジ　KV　コンプリート</t>
        </is>
      </c>
      <c r="D14" s="9" t="inlineStr">
        <is>
          <t>DB00</t>
        </is>
      </c>
      <c r="E14" s="9" t="inlineStr">
        <is>
          <t>DBS倉庫</t>
        </is>
      </c>
      <c r="F14" s="10">
        <f>IF(COUNTIFS('XTab DS_1'!$B$2:$B$193,$B14)&gt;=2,"重複","単独")</f>
        <v/>
      </c>
      <c r="G14" s="11">
        <f>SUMIFS('XTab DS_1'!$F$2:$F$193,'XTab DS_1'!$B$2:$B$193,$B14,'XTab DS_1'!$D$2:$D$193,$D14)</f>
        <v/>
      </c>
      <c r="H14" s="12">
        <f>SUMIFS('XTab DS_1'!$G$2:$G$193,'XTab DS_1'!$B$2:$B$193,$B14,'XTab DS_1'!$D$2:$D$193,$D14)</f>
        <v/>
      </c>
    </row>
    <row r="15">
      <c r="A15" s="9" t="inlineStr">
        <is>
          <t>#</t>
        </is>
      </c>
      <c r="B15" s="9" t="inlineStr">
        <is>
          <t>CX2511ADBDGRMXKP</t>
        </is>
      </c>
      <c r="C15" s="9" t="inlineStr">
        <is>
          <t>AD　缶バッジ　2023REMIXコンプリート</t>
        </is>
      </c>
      <c r="D15" s="9" t="inlineStr">
        <is>
          <t>DB00</t>
        </is>
      </c>
      <c r="E15" s="9" t="inlineStr">
        <is>
          <t>DBS倉庫</t>
        </is>
      </c>
      <c r="F15" s="10">
        <f>IF(COUNTIFS('XTab DS_1'!$B$2:$B$193,$B15)&gt;=2,"重複","単独")</f>
        <v/>
      </c>
      <c r="G15" s="11">
        <f>SUMIFS('XTab DS_1'!$F$2:$F$193,'XTab DS_1'!$B$2:$B$193,$B15,'XTab DS_1'!$D$2:$D$193,$D15)</f>
        <v/>
      </c>
      <c r="H15" s="12">
        <f>SUMIFS('XTab DS_1'!$G$2:$G$193,'XTab DS_1'!$B$2:$B$193,$B15,'XTab DS_1'!$D$2:$D$193,$D15)</f>
        <v/>
      </c>
    </row>
    <row r="16">
      <c r="A16" s="9" t="inlineStr">
        <is>
          <t>#</t>
        </is>
      </c>
      <c r="B16" s="9" t="inlineStr">
        <is>
          <t>CX2511ADJYJ-ASK</t>
        </is>
      </c>
      <c r="C16" s="9" t="inlineStr">
        <is>
          <t>AD　ジャージ（ASUKA）F</t>
        </is>
      </c>
      <c r="D16" s="9" t="inlineStr">
        <is>
          <t>DB00</t>
        </is>
      </c>
      <c r="E16" s="9" t="inlineStr">
        <is>
          <t>DBS倉庫</t>
        </is>
      </c>
      <c r="F16" s="10">
        <f>IF(COUNTIFS('XTab DS_1'!$B$2:$B$193,$B16)&gt;=2,"重複","単独")</f>
        <v/>
      </c>
      <c r="G16" s="11">
        <f>SUMIFS('XTab DS_1'!$F$2:$F$193,'XTab DS_1'!$B$2:$B$193,$B16,'XTab DS_1'!$D$2:$D$193,$D16)</f>
        <v/>
      </c>
      <c r="H16" s="12">
        <f>SUMIFS('XTab DS_1'!$G$2:$G$193,'XTab DS_1'!$B$2:$B$193,$B16,'XTab DS_1'!$D$2:$D$193,$D16)</f>
        <v/>
      </c>
    </row>
    <row r="17">
      <c r="A17" s="9" t="inlineStr">
        <is>
          <t>#</t>
        </is>
      </c>
      <c r="B17" s="9" t="inlineStr">
        <is>
          <t>CX2511ADJYJ-KWR</t>
        </is>
      </c>
      <c r="C17" s="9" t="inlineStr">
        <is>
          <t>AD　ジャージ（KAWORU）F</t>
        </is>
      </c>
      <c r="D17" s="9" t="inlineStr">
        <is>
          <t>DB00</t>
        </is>
      </c>
      <c r="E17" s="9" t="inlineStr">
        <is>
          <t>DBS倉庫</t>
        </is>
      </c>
      <c r="F17" s="10">
        <f>IF(COUNTIFS('XTab DS_1'!$B$2:$B$193,$B17)&gt;=2,"重複","単独")</f>
        <v/>
      </c>
      <c r="G17" s="11">
        <f>SUMIFS('XTab DS_1'!$F$2:$F$193,'XTab DS_1'!$B$2:$B$193,$B17,'XTab DS_1'!$D$2:$D$193,$D17)</f>
        <v/>
      </c>
      <c r="H17" s="12">
        <f>SUMIFS('XTab DS_1'!$G$2:$G$193,'XTab DS_1'!$B$2:$B$193,$B17,'XTab DS_1'!$D$2:$D$193,$D17)</f>
        <v/>
      </c>
    </row>
    <row r="18">
      <c r="A18" s="9" t="inlineStr">
        <is>
          <t>#</t>
        </is>
      </c>
      <c r="B18" s="9" t="inlineStr">
        <is>
          <t>CX2511ADJYJ-RI</t>
        </is>
      </c>
      <c r="C18" s="9" t="inlineStr">
        <is>
          <t>AD　ジャージ（REI）F</t>
        </is>
      </c>
      <c r="D18" s="9" t="inlineStr">
        <is>
          <t>DB00</t>
        </is>
      </c>
      <c r="E18" s="9" t="inlineStr">
        <is>
          <t>DBS倉庫</t>
        </is>
      </c>
      <c r="F18" s="10">
        <f>IF(COUNTIFS('XTab DS_1'!$B$2:$B$193,$B18)&gt;=2,"重複","単独")</f>
        <v/>
      </c>
      <c r="G18" s="11">
        <f>SUMIFS('XTab DS_1'!$F$2:$F$193,'XTab DS_1'!$B$2:$B$193,$B18,'XTab DS_1'!$D$2:$D$193,$D18)</f>
        <v/>
      </c>
      <c r="H18" s="12">
        <f>SUMIFS('XTab DS_1'!$G$2:$G$193,'XTab DS_1'!$B$2:$B$193,$B18,'XTab DS_1'!$D$2:$D$193,$D18)</f>
        <v/>
      </c>
    </row>
    <row r="19">
      <c r="A19" s="9" t="inlineStr">
        <is>
          <t>#</t>
        </is>
      </c>
      <c r="B19" s="9" t="inlineStr">
        <is>
          <t>CX2511ADJYJ-SJ</t>
        </is>
      </c>
      <c r="C19" s="9" t="inlineStr">
        <is>
          <t>AD　ジャージ（SHINJI）F</t>
        </is>
      </c>
      <c r="D19" s="9" t="inlineStr">
        <is>
          <t>DB00</t>
        </is>
      </c>
      <c r="E19" s="9" t="inlineStr">
        <is>
          <t>DBS倉庫</t>
        </is>
      </c>
      <c r="F19" s="10">
        <f>IF(COUNTIFS('XTab DS_1'!$B$2:$B$193,$B19)&gt;=2,"重複","単独")</f>
        <v/>
      </c>
      <c r="G19" s="11">
        <f>SUMIFS('XTab DS_1'!$F$2:$F$193,'XTab DS_1'!$B$2:$B$193,$B19,'XTab DS_1'!$D$2:$D$193,$D19)</f>
        <v/>
      </c>
      <c r="H19" s="12">
        <f>SUMIFS('XTab DS_1'!$G$2:$G$193,'XTab DS_1'!$B$2:$B$193,$B19,'XTab DS_1'!$D$2:$D$193,$D19)</f>
        <v/>
      </c>
    </row>
    <row r="20">
      <c r="A20" s="9" t="inlineStr">
        <is>
          <t>#</t>
        </is>
      </c>
      <c r="B20" s="9" t="inlineStr">
        <is>
          <t>CX2511ADLNTSS-L</t>
        </is>
      </c>
      <c r="C20" s="9" t="inlineStr">
        <is>
          <t>AD　ロンT （初号機＆シンジ）L</t>
        </is>
      </c>
      <c r="D20" s="9" t="inlineStr">
        <is>
          <t>DB00</t>
        </is>
      </c>
      <c r="E20" s="9" t="inlineStr">
        <is>
          <t>DBS倉庫</t>
        </is>
      </c>
      <c r="F20" s="10">
        <f>IF(COUNTIFS('XTab DS_1'!$B$2:$B$193,$B20)&gt;=2,"重複","単独")</f>
        <v/>
      </c>
      <c r="G20" s="11">
        <f>SUMIFS('XTab DS_1'!$F$2:$F$193,'XTab DS_1'!$B$2:$B$193,$B20,'XTab DS_1'!$D$2:$D$193,$D20)</f>
        <v/>
      </c>
      <c r="H20" s="12">
        <f>SUMIFS('XTab DS_1'!$G$2:$G$193,'XTab DS_1'!$B$2:$B$193,$B20,'XTab DS_1'!$D$2:$D$193,$D20)</f>
        <v/>
      </c>
    </row>
    <row r="21">
      <c r="A21" s="9" t="inlineStr">
        <is>
          <t>#</t>
        </is>
      </c>
      <c r="B21" s="9" t="inlineStr">
        <is>
          <t>CX2511ADLNTSS-M</t>
        </is>
      </c>
      <c r="C21" s="9" t="inlineStr">
        <is>
          <t>AD　ロンT （初号機＆シンジ）M</t>
        </is>
      </c>
      <c r="D21" s="9" t="inlineStr">
        <is>
          <t>DB00</t>
        </is>
      </c>
      <c r="E21" s="9" t="inlineStr">
        <is>
          <t>DBS倉庫</t>
        </is>
      </c>
      <c r="F21" s="10">
        <f>IF(COUNTIFS('XTab DS_1'!$B$2:$B$193,$B21)&gt;=2,"重複","単独")</f>
        <v/>
      </c>
      <c r="G21" s="11">
        <f>SUMIFS('XTab DS_1'!$F$2:$F$193,'XTab DS_1'!$B$2:$B$193,$B21,'XTab DS_1'!$D$2:$D$193,$D21)</f>
        <v/>
      </c>
      <c r="H21" s="12">
        <f>SUMIFS('XTab DS_1'!$G$2:$G$193,'XTab DS_1'!$B$2:$B$193,$B21,'XTab DS_1'!$D$2:$D$193,$D21)</f>
        <v/>
      </c>
    </row>
    <row r="22">
      <c r="A22" s="9" t="inlineStr">
        <is>
          <t>#</t>
        </is>
      </c>
      <c r="B22" s="9" t="inlineStr">
        <is>
          <t>CX2511ADMUMKV</t>
        </is>
      </c>
      <c r="C22" s="9" t="inlineStr">
        <is>
          <t>AD　マウスマット　KV</t>
        </is>
      </c>
      <c r="D22" s="9" t="inlineStr">
        <is>
          <t>DB00</t>
        </is>
      </c>
      <c r="E22" s="9" t="inlineStr">
        <is>
          <t>DBS倉庫</t>
        </is>
      </c>
      <c r="F22" s="10">
        <f>IF(COUNTIFS('XTab DS_1'!$B$2:$B$193,$B22)&gt;=2,"重複","単独")</f>
        <v/>
      </c>
      <c r="G22" s="11">
        <f>SUMIFS('XTab DS_1'!$F$2:$F$193,'XTab DS_1'!$B$2:$B$193,$B22,'XTab DS_1'!$D$2:$D$193,$D22)</f>
        <v/>
      </c>
      <c r="H22" s="12">
        <f>SUMIFS('XTab DS_1'!$G$2:$G$193,'XTab DS_1'!$B$2:$B$193,$B22,'XTab DS_1'!$D$2:$D$193,$D22)</f>
        <v/>
      </c>
    </row>
    <row r="23">
      <c r="A23" s="9" t="inlineStr">
        <is>
          <t>#</t>
        </is>
      </c>
      <c r="B23" s="9" t="inlineStr">
        <is>
          <t>CX2511ADRACD</t>
        </is>
      </c>
      <c r="C23" s="9" t="inlineStr">
        <is>
          <t>AD　ランダムアクリルカード</t>
        </is>
      </c>
      <c r="D23" s="9" t="inlineStr">
        <is>
          <t>DB00</t>
        </is>
      </c>
      <c r="E23" s="9" t="inlineStr">
        <is>
          <t>DBS倉庫</t>
        </is>
      </c>
      <c r="F23" s="10">
        <f>IF(COUNTIFS('XTab DS_1'!$B$2:$B$193,$B23)&gt;=2,"重複","単独")</f>
        <v/>
      </c>
      <c r="G23" s="11">
        <f>SUMIFS('XTab DS_1'!$F$2:$F$193,'XTab DS_1'!$B$2:$B$193,$B23,'XTab DS_1'!$D$2:$D$193,$D23)</f>
        <v/>
      </c>
      <c r="H23" s="12">
        <f>SUMIFS('XTab DS_1'!$G$2:$G$193,'XTab DS_1'!$B$2:$B$193,$B23,'XTab DS_1'!$D$2:$D$193,$D23)</f>
        <v/>
      </c>
    </row>
    <row r="24">
      <c r="A24" s="9" t="inlineStr">
        <is>
          <t>#</t>
        </is>
      </c>
      <c r="B24" s="9" t="inlineStr">
        <is>
          <t>CX2511ADRBDGKV</t>
        </is>
      </c>
      <c r="C24" s="9" t="inlineStr">
        <is>
          <t>AD　ランダム缶バッジ　KV</t>
        </is>
      </c>
      <c r="D24" s="9" t="inlineStr">
        <is>
          <t>DB00</t>
        </is>
      </c>
      <c r="E24" s="9" t="inlineStr">
        <is>
          <t>DBS倉庫</t>
        </is>
      </c>
      <c r="F24" s="10">
        <f>IF(COUNTIFS('XTab DS_1'!$B$2:$B$193,$B24)&gt;=2,"重複","単独")</f>
        <v/>
      </c>
      <c r="G24" s="11">
        <f>SUMIFS('XTab DS_1'!$F$2:$F$193,'XTab DS_1'!$B$2:$B$193,$B24,'XTab DS_1'!$D$2:$D$193,$D24)</f>
        <v/>
      </c>
      <c r="H24" s="12">
        <f>SUMIFS('XTab DS_1'!$G$2:$G$193,'XTab DS_1'!$B$2:$B$193,$B24,'XTab DS_1'!$D$2:$D$193,$D24)</f>
        <v/>
      </c>
    </row>
    <row r="25">
      <c r="A25" s="9" t="inlineStr">
        <is>
          <t>#</t>
        </is>
      </c>
      <c r="B25" s="9" t="inlineStr">
        <is>
          <t>CX2511ADRDBDGRMX</t>
        </is>
      </c>
      <c r="C25" s="9" t="inlineStr">
        <is>
          <t>AD　ランダム缶バッジ　2023REMIX</t>
        </is>
      </c>
      <c r="D25" s="9" t="inlineStr">
        <is>
          <t>DB00</t>
        </is>
      </c>
      <c r="E25" s="9" t="inlineStr">
        <is>
          <t>DBS倉庫</t>
        </is>
      </c>
      <c r="F25" s="10">
        <f>IF(COUNTIFS('XTab DS_1'!$B$2:$B$193,$B25)&gt;=2,"重複","単独")</f>
        <v/>
      </c>
      <c r="G25" s="11">
        <f>SUMIFS('XTab DS_1'!$F$2:$F$193,'XTab DS_1'!$B$2:$B$193,$B25,'XTab DS_1'!$D$2:$D$193,$D25)</f>
        <v/>
      </c>
      <c r="H25" s="12">
        <f>SUMIFS('XTab DS_1'!$G$2:$G$193,'XTab DS_1'!$B$2:$B$193,$B25,'XTab DS_1'!$D$2:$D$193,$D25)</f>
        <v/>
      </c>
    </row>
    <row r="26">
      <c r="A26" s="9" t="inlineStr">
        <is>
          <t>#</t>
        </is>
      </c>
      <c r="B26" s="9" t="inlineStr">
        <is>
          <t>CX2511ADRDSTK</t>
        </is>
      </c>
      <c r="C26" s="9" t="inlineStr">
        <is>
          <t>AD　ランダムステッカー</t>
        </is>
      </c>
      <c r="D26" s="9" t="inlineStr">
        <is>
          <t>DB00</t>
        </is>
      </c>
      <c r="E26" s="9" t="inlineStr">
        <is>
          <t>DBS倉庫</t>
        </is>
      </c>
      <c r="F26" s="10">
        <f>IF(COUNTIFS('XTab DS_1'!$B$2:$B$193,$B26)&gt;=2,"重複","単独")</f>
        <v/>
      </c>
      <c r="G26" s="11">
        <f>SUMIFS('XTab DS_1'!$F$2:$F$193,'XTab DS_1'!$B$2:$B$193,$B26,'XTab DS_1'!$D$2:$D$193,$D26)</f>
        <v/>
      </c>
      <c r="H26" s="12">
        <f>SUMIFS('XTab DS_1'!$G$2:$G$193,'XTab DS_1'!$B$2:$B$193,$B26,'XTab DS_1'!$D$2:$D$193,$D26)</f>
        <v/>
      </c>
    </row>
    <row r="27">
      <c r="A27" s="9" t="inlineStr">
        <is>
          <t>#</t>
        </is>
      </c>
      <c r="B27" s="9" t="inlineStr">
        <is>
          <t>CX2511ADRDSTKKP</t>
        </is>
      </c>
      <c r="C27" s="9" t="inlineStr">
        <is>
          <t>AD　ランダムステッカー コンプリート</t>
        </is>
      </c>
      <c r="D27" s="9" t="inlineStr">
        <is>
          <t>DB00</t>
        </is>
      </c>
      <c r="E27" s="9" t="inlineStr">
        <is>
          <t>DBS倉庫</t>
        </is>
      </c>
      <c r="F27" s="10">
        <f>IF(COUNTIFS('XTab DS_1'!$B$2:$B$193,$B27)&gt;=2,"重複","単独")</f>
        <v/>
      </c>
      <c r="G27" s="11">
        <f>SUMIFS('XTab DS_1'!$F$2:$F$193,'XTab DS_1'!$B$2:$B$193,$B27,'XTab DS_1'!$D$2:$D$193,$D27)</f>
        <v/>
      </c>
      <c r="H27" s="12">
        <f>SUMIFS('XTab DS_1'!$G$2:$G$193,'XTab DS_1'!$B$2:$B$193,$B27,'XTab DS_1'!$D$2:$D$193,$D27)</f>
        <v/>
      </c>
    </row>
    <row r="28">
      <c r="A28" s="9" t="inlineStr">
        <is>
          <t>#</t>
        </is>
      </c>
      <c r="B28" s="9" t="inlineStr">
        <is>
          <t>CX2511ADRUCK</t>
        </is>
      </c>
      <c r="C28" s="9" t="inlineStr">
        <is>
          <t>AD　リュック</t>
        </is>
      </c>
      <c r="D28" s="9" t="inlineStr">
        <is>
          <t>DB00</t>
        </is>
      </c>
      <c r="E28" s="9" t="inlineStr">
        <is>
          <t>DBS倉庫</t>
        </is>
      </c>
      <c r="F28" s="10">
        <f>IF(COUNTIFS('XTab DS_1'!$B$2:$B$193,$B28)&gt;=2,"重複","単独")</f>
        <v/>
      </c>
      <c r="G28" s="11">
        <f>SUMIFS('XTab DS_1'!$F$2:$F$193,'XTab DS_1'!$B$2:$B$193,$B28,'XTab DS_1'!$D$2:$D$193,$D28)</f>
        <v/>
      </c>
      <c r="H28" s="12">
        <f>SUMIFS('XTab DS_1'!$G$2:$G$193,'XTab DS_1'!$B$2:$B$193,$B28,'XTab DS_1'!$D$2:$D$193,$D28)</f>
        <v/>
      </c>
    </row>
    <row r="29">
      <c r="A29" s="9" t="inlineStr">
        <is>
          <t>#</t>
        </is>
      </c>
      <c r="B29" s="9" t="inlineStr">
        <is>
          <t>CX2511ADSWTKV-L</t>
        </is>
      </c>
      <c r="C29" s="9" t="inlineStr">
        <is>
          <t>AD　スウェット（KV 少年組）L</t>
        </is>
      </c>
      <c r="D29" s="9" t="inlineStr">
        <is>
          <t>DB00</t>
        </is>
      </c>
      <c r="E29" s="9" t="inlineStr">
        <is>
          <t>DBS倉庫</t>
        </is>
      </c>
      <c r="F29" s="10">
        <f>IF(COUNTIFS('XTab DS_1'!$B$2:$B$193,$B29)&gt;=2,"重複","単独")</f>
        <v/>
      </c>
      <c r="G29" s="11">
        <f>SUMIFS('XTab DS_1'!$F$2:$F$193,'XTab DS_1'!$B$2:$B$193,$B29,'XTab DS_1'!$D$2:$D$193,$D29)</f>
        <v/>
      </c>
      <c r="H29" s="12">
        <f>SUMIFS('XTab DS_1'!$G$2:$G$193,'XTab DS_1'!$B$2:$B$193,$B29,'XTab DS_1'!$D$2:$D$193,$D29)</f>
        <v/>
      </c>
    </row>
    <row r="30">
      <c r="A30" s="9" t="inlineStr">
        <is>
          <t>#</t>
        </is>
      </c>
      <c r="B30" s="9" t="inlineStr">
        <is>
          <t>CX2511ADSWTKV-M</t>
        </is>
      </c>
      <c r="C30" s="9" t="inlineStr">
        <is>
          <t>AD　スウェット（KV 少年組）M</t>
        </is>
      </c>
      <c r="D30" s="9" t="inlineStr">
        <is>
          <t>DB00</t>
        </is>
      </c>
      <c r="E30" s="9" t="inlineStr">
        <is>
          <t>DBS倉庫</t>
        </is>
      </c>
      <c r="F30" s="10">
        <f>IF(COUNTIFS('XTab DS_1'!$B$2:$B$193,$B30)&gt;=2,"重複","単独")</f>
        <v/>
      </c>
      <c r="G30" s="11">
        <f>SUMIFS('XTab DS_1'!$F$2:$F$193,'XTab DS_1'!$B$2:$B$193,$B30,'XTab DS_1'!$D$2:$D$193,$D30)</f>
        <v/>
      </c>
      <c r="H30" s="12">
        <f>SUMIFS('XTab DS_1'!$G$2:$G$193,'XTab DS_1'!$B$2:$B$193,$B30,'XTab DS_1'!$D$2:$D$193,$D30)</f>
        <v/>
      </c>
    </row>
    <row r="31">
      <c r="A31" s="9" t="inlineStr">
        <is>
          <t>#</t>
        </is>
      </c>
      <c r="B31" s="9" t="inlineStr">
        <is>
          <t>CX2511ADSYOP</t>
        </is>
      </c>
      <c r="C31" s="9" t="inlineStr">
        <is>
          <t>AD　ショッパー</t>
        </is>
      </c>
      <c r="D31" s="9" t="inlineStr">
        <is>
          <t>DB00</t>
        </is>
      </c>
      <c r="E31" s="9" t="inlineStr">
        <is>
          <t>DBS倉庫</t>
        </is>
      </c>
      <c r="F31" s="10">
        <f>IF(COUNTIFS('XTab DS_1'!$B$2:$B$193,$B31)&gt;=2,"重複","単独")</f>
        <v/>
      </c>
      <c r="G31" s="11">
        <f>SUMIFS('XTab DS_1'!$F$2:$F$193,'XTab DS_1'!$B$2:$B$193,$B31,'XTab DS_1'!$D$2:$D$193,$D31)</f>
        <v/>
      </c>
      <c r="H31" s="12">
        <f>SUMIFS('XTab DS_1'!$G$2:$G$193,'XTab DS_1'!$B$2:$B$193,$B31,'XTab DS_1'!$D$2:$D$193,$D31)</f>
        <v/>
      </c>
    </row>
    <row r="32">
      <c r="A32" s="9" t="inlineStr">
        <is>
          <t>#</t>
        </is>
      </c>
      <c r="B32" s="9" t="inlineStr">
        <is>
          <t>CX2511ADTOT</t>
        </is>
      </c>
      <c r="C32" s="9" t="inlineStr">
        <is>
          <t>AD　トートバッグ</t>
        </is>
      </c>
      <c r="D32" s="9" t="inlineStr">
        <is>
          <t>DB00</t>
        </is>
      </c>
      <c r="E32" s="9" t="inlineStr">
        <is>
          <t>DBS倉庫</t>
        </is>
      </c>
      <c r="F32" s="10">
        <f>IF(COUNTIFS('XTab DS_1'!$B$2:$B$193,$B32)&gt;=2,"重複","単独")</f>
        <v/>
      </c>
      <c r="G32" s="11">
        <f>SUMIFS('XTab DS_1'!$F$2:$F$193,'XTab DS_1'!$B$2:$B$193,$B32,'XTab DS_1'!$D$2:$D$193,$D32)</f>
        <v/>
      </c>
      <c r="H32" s="12">
        <f>SUMIFS('XTab DS_1'!$G$2:$G$193,'XTab DS_1'!$B$2:$B$193,$B32,'XTab DS_1'!$D$2:$D$193,$D32)</f>
        <v/>
      </c>
    </row>
    <row r="33">
      <c r="A33" s="9" t="inlineStr">
        <is>
          <t>#</t>
        </is>
      </c>
      <c r="B33" s="9" t="inlineStr">
        <is>
          <t>CX2511ADTSTASK-L</t>
        </is>
      </c>
      <c r="C33" s="9" t="inlineStr">
        <is>
          <t>AD　Tシャツ（アスカ）L</t>
        </is>
      </c>
      <c r="D33" s="9" t="inlineStr">
        <is>
          <t>DB00</t>
        </is>
      </c>
      <c r="E33" s="9" t="inlineStr">
        <is>
          <t>DBS倉庫</t>
        </is>
      </c>
      <c r="F33" s="10">
        <f>IF(COUNTIFS('XTab DS_1'!$B$2:$B$193,$B33)&gt;=2,"重複","単独")</f>
        <v/>
      </c>
      <c r="G33" s="11">
        <f>SUMIFS('XTab DS_1'!$F$2:$F$193,'XTab DS_1'!$B$2:$B$193,$B33,'XTab DS_1'!$D$2:$D$193,$D33)</f>
        <v/>
      </c>
      <c r="H33" s="12">
        <f>SUMIFS('XTab DS_1'!$G$2:$G$193,'XTab DS_1'!$B$2:$B$193,$B33,'XTab DS_1'!$D$2:$D$193,$D33)</f>
        <v/>
      </c>
    </row>
    <row r="34">
      <c r="A34" s="9" t="inlineStr">
        <is>
          <t>#</t>
        </is>
      </c>
      <c r="B34" s="9" t="inlineStr">
        <is>
          <t>CX2511ADTSTASK-M</t>
        </is>
      </c>
      <c r="C34" s="9" t="inlineStr">
        <is>
          <t>AD　Tシャツ（アスカ）M</t>
        </is>
      </c>
      <c r="D34" s="9" t="inlineStr">
        <is>
          <t>DB00</t>
        </is>
      </c>
      <c r="E34" s="9" t="inlineStr">
        <is>
          <t>DBS倉庫</t>
        </is>
      </c>
      <c r="F34" s="10">
        <f>IF(COUNTIFS('XTab DS_1'!$B$2:$B$193,$B34)&gt;=2,"重複","単独")</f>
        <v/>
      </c>
      <c r="G34" s="11">
        <f>SUMIFS('XTab DS_1'!$F$2:$F$193,'XTab DS_1'!$B$2:$B$193,$B34,'XTab DS_1'!$D$2:$D$193,$D34)</f>
        <v/>
      </c>
      <c r="H34" s="12">
        <f>SUMIFS('XTab DS_1'!$G$2:$G$193,'XTab DS_1'!$B$2:$B$193,$B34,'XTab DS_1'!$D$2:$D$193,$D34)</f>
        <v/>
      </c>
    </row>
    <row r="35">
      <c r="A35" s="9" t="inlineStr">
        <is>
          <t>#</t>
        </is>
      </c>
      <c r="B35" s="9" t="inlineStr">
        <is>
          <t>CX2511ADTSTKWR-L</t>
        </is>
      </c>
      <c r="C35" s="9" t="inlineStr">
        <is>
          <t>AD　Tシャツ（カヲル）L</t>
        </is>
      </c>
      <c r="D35" s="9" t="inlineStr">
        <is>
          <t>DB00</t>
        </is>
      </c>
      <c r="E35" s="9" t="inlineStr">
        <is>
          <t>DBS倉庫</t>
        </is>
      </c>
      <c r="F35" s="10">
        <f>IF(COUNTIFS('XTab DS_1'!$B$2:$B$193,$B35)&gt;=2,"重複","単独")</f>
        <v/>
      </c>
      <c r="G35" s="11">
        <f>SUMIFS('XTab DS_1'!$F$2:$F$193,'XTab DS_1'!$B$2:$B$193,$B35,'XTab DS_1'!$D$2:$D$193,$D35)</f>
        <v/>
      </c>
      <c r="H35" s="12">
        <f>SUMIFS('XTab DS_1'!$G$2:$G$193,'XTab DS_1'!$B$2:$B$193,$B35,'XTab DS_1'!$D$2:$D$193,$D35)</f>
        <v/>
      </c>
    </row>
    <row r="36">
      <c r="A36" s="9" t="inlineStr">
        <is>
          <t>#</t>
        </is>
      </c>
      <c r="B36" s="9" t="inlineStr">
        <is>
          <t>CX2511ADTSTKWR-M</t>
        </is>
      </c>
      <c r="C36" s="9" t="inlineStr">
        <is>
          <t>AD　Tシャツ（カヲル）M</t>
        </is>
      </c>
      <c r="D36" s="9" t="inlineStr">
        <is>
          <t>DB00</t>
        </is>
      </c>
      <c r="E36" s="9" t="inlineStr">
        <is>
          <t>DBS倉庫</t>
        </is>
      </c>
      <c r="F36" s="10">
        <f>IF(COUNTIFS('XTab DS_1'!$B$2:$B$193,$B36)&gt;=2,"重複","単独")</f>
        <v/>
      </c>
      <c r="G36" s="11">
        <f>SUMIFS('XTab DS_1'!$F$2:$F$193,'XTab DS_1'!$B$2:$B$193,$B36,'XTab DS_1'!$D$2:$D$193,$D36)</f>
        <v/>
      </c>
      <c r="H36" s="12">
        <f>SUMIFS('XTab DS_1'!$G$2:$G$193,'XTab DS_1'!$B$2:$B$193,$B36,'XTab DS_1'!$D$2:$D$193,$D36)</f>
        <v/>
      </c>
    </row>
    <row r="37">
      <c r="A37" s="9" t="inlineStr">
        <is>
          <t>#</t>
        </is>
      </c>
      <c r="B37" s="9" t="inlineStr">
        <is>
          <t>CX2511ADTSTMR-L</t>
        </is>
      </c>
      <c r="C37" s="9" t="inlineStr">
        <is>
          <t>AD　Tシャツ（マリ）L</t>
        </is>
      </c>
      <c r="D37" s="9" t="inlineStr">
        <is>
          <t>DB00</t>
        </is>
      </c>
      <c r="E37" s="9" t="inlineStr">
        <is>
          <t>DBS倉庫</t>
        </is>
      </c>
      <c r="F37" s="10">
        <f>IF(COUNTIFS('XTab DS_1'!$B$2:$B$193,$B37)&gt;=2,"重複","単独")</f>
        <v/>
      </c>
      <c r="G37" s="11">
        <f>SUMIFS('XTab DS_1'!$F$2:$F$193,'XTab DS_1'!$B$2:$B$193,$B37,'XTab DS_1'!$D$2:$D$193,$D37)</f>
        <v/>
      </c>
      <c r="H37" s="12">
        <f>SUMIFS('XTab DS_1'!$G$2:$G$193,'XTab DS_1'!$B$2:$B$193,$B37,'XTab DS_1'!$D$2:$D$193,$D37)</f>
        <v/>
      </c>
    </row>
    <row r="38">
      <c r="A38" s="9" t="inlineStr">
        <is>
          <t>#</t>
        </is>
      </c>
      <c r="B38" s="9" t="inlineStr">
        <is>
          <t>CX2511ADTSTMR-M</t>
        </is>
      </c>
      <c r="C38" s="9" t="inlineStr">
        <is>
          <t>AD　Tシャツ（マリ）M</t>
        </is>
      </c>
      <c r="D38" s="9" t="inlineStr">
        <is>
          <t>DB00</t>
        </is>
      </c>
      <c r="E38" s="9" t="inlineStr">
        <is>
          <t>DBS倉庫</t>
        </is>
      </c>
      <c r="F38" s="10">
        <f>IF(COUNTIFS('XTab DS_1'!$B$2:$B$193,$B38)&gt;=2,"重複","単独")</f>
        <v/>
      </c>
      <c r="G38" s="11">
        <f>SUMIFS('XTab DS_1'!$F$2:$F$193,'XTab DS_1'!$B$2:$B$193,$B38,'XTab DS_1'!$D$2:$D$193,$D38)</f>
        <v/>
      </c>
      <c r="H38" s="12">
        <f>SUMIFS('XTab DS_1'!$G$2:$G$193,'XTab DS_1'!$B$2:$B$193,$B38,'XTab DS_1'!$D$2:$D$193,$D38)</f>
        <v/>
      </c>
    </row>
    <row r="39">
      <c r="A39" s="9" t="inlineStr">
        <is>
          <t>#</t>
        </is>
      </c>
      <c r="B39" s="9" t="inlineStr">
        <is>
          <t>CX2511ADTSTPP-L</t>
        </is>
      </c>
      <c r="C39" s="9" t="inlineStr">
        <is>
          <t>AD　Tシャツ（ペンペン）L</t>
        </is>
      </c>
      <c r="D39" s="9" t="inlineStr">
        <is>
          <t>DB00</t>
        </is>
      </c>
      <c r="E39" s="9" t="inlineStr">
        <is>
          <t>DBS倉庫</t>
        </is>
      </c>
      <c r="F39" s="10">
        <f>IF(COUNTIFS('XTab DS_1'!$B$2:$B$193,$B39)&gt;=2,"重複","単独")</f>
        <v/>
      </c>
      <c r="G39" s="11">
        <f>SUMIFS('XTab DS_1'!$F$2:$F$193,'XTab DS_1'!$B$2:$B$193,$B39,'XTab DS_1'!$D$2:$D$193,$D39)</f>
        <v/>
      </c>
      <c r="H39" s="12">
        <f>SUMIFS('XTab DS_1'!$G$2:$G$193,'XTab DS_1'!$B$2:$B$193,$B39,'XTab DS_1'!$D$2:$D$193,$D39)</f>
        <v/>
      </c>
    </row>
    <row r="40">
      <c r="A40" s="9" t="inlineStr">
        <is>
          <t>#</t>
        </is>
      </c>
      <c r="B40" s="9" t="inlineStr">
        <is>
          <t>CX2511ADTSTPP-M</t>
        </is>
      </c>
      <c r="C40" s="9" t="inlineStr">
        <is>
          <t>AD　Tシャツ（ペンペン）M</t>
        </is>
      </c>
      <c r="D40" s="9" t="inlineStr">
        <is>
          <t>DB00</t>
        </is>
      </c>
      <c r="E40" s="9" t="inlineStr">
        <is>
          <t>DBS倉庫</t>
        </is>
      </c>
      <c r="F40" s="10">
        <f>IF(COUNTIFS('XTab DS_1'!$B$2:$B$193,$B40)&gt;=2,"重複","単独")</f>
        <v/>
      </c>
      <c r="G40" s="11">
        <f>SUMIFS('XTab DS_1'!$F$2:$F$193,'XTab DS_1'!$B$2:$B$193,$B40,'XTab DS_1'!$D$2:$D$193,$D40)</f>
        <v/>
      </c>
      <c r="H40" s="12">
        <f>SUMIFS('XTab DS_1'!$G$2:$G$193,'XTab DS_1'!$B$2:$B$193,$B40,'XTab DS_1'!$D$2:$D$193,$D40)</f>
        <v/>
      </c>
    </row>
    <row r="41">
      <c r="A41" s="9" t="inlineStr">
        <is>
          <t>#</t>
        </is>
      </c>
      <c r="B41" s="9" t="inlineStr">
        <is>
          <t>CX2511ADTSTRI-L</t>
        </is>
      </c>
      <c r="C41" s="9" t="inlineStr">
        <is>
          <t>AD　Tシャツ（レイ）L</t>
        </is>
      </c>
      <c r="D41" s="9" t="inlineStr">
        <is>
          <t>DB00</t>
        </is>
      </c>
      <c r="E41" s="9" t="inlineStr">
        <is>
          <t>DBS倉庫</t>
        </is>
      </c>
      <c r="F41" s="10">
        <f>IF(COUNTIFS('XTab DS_1'!$B$2:$B$193,$B41)&gt;=2,"重複","単独")</f>
        <v/>
      </c>
      <c r="G41" s="11">
        <f>SUMIFS('XTab DS_1'!$F$2:$F$193,'XTab DS_1'!$B$2:$B$193,$B41,'XTab DS_1'!$D$2:$D$193,$D41)</f>
        <v/>
      </c>
      <c r="H41" s="12">
        <f>SUMIFS('XTab DS_1'!$G$2:$G$193,'XTab DS_1'!$B$2:$B$193,$B41,'XTab DS_1'!$D$2:$D$193,$D41)</f>
        <v/>
      </c>
    </row>
    <row r="42">
      <c r="A42" s="9" t="inlineStr">
        <is>
          <t>#</t>
        </is>
      </c>
      <c r="B42" s="9" t="inlineStr">
        <is>
          <t>CX2511ADTSTRI-M</t>
        </is>
      </c>
      <c r="C42" s="9" t="inlineStr">
        <is>
          <t>AD　Tシャツ（レイ）M</t>
        </is>
      </c>
      <c r="D42" s="9" t="inlineStr">
        <is>
          <t>DB00</t>
        </is>
      </c>
      <c r="E42" s="9" t="inlineStr">
        <is>
          <t>DBS倉庫</t>
        </is>
      </c>
      <c r="F42" s="10">
        <f>IF(COUNTIFS('XTab DS_1'!$B$2:$B$193,$B42)&gt;=2,"重複","単独")</f>
        <v/>
      </c>
      <c r="G42" s="11">
        <f>SUMIFS('XTab DS_1'!$F$2:$F$193,'XTab DS_1'!$B$2:$B$193,$B42,'XTab DS_1'!$D$2:$D$193,$D42)</f>
        <v/>
      </c>
      <c r="H42" s="12">
        <f>SUMIFS('XTab DS_1'!$G$2:$G$193,'XTab DS_1'!$B$2:$B$193,$B42,'XTab DS_1'!$D$2:$D$193,$D42)</f>
        <v/>
      </c>
    </row>
    <row r="43">
      <c r="A43" s="9" t="inlineStr">
        <is>
          <t>#</t>
        </is>
      </c>
      <c r="B43" s="9" t="inlineStr">
        <is>
          <t>CX2511ADTSTSJ-L</t>
        </is>
      </c>
      <c r="C43" s="9" t="inlineStr">
        <is>
          <t>AD　Tシャツ（シンジ）L</t>
        </is>
      </c>
      <c r="D43" s="9" t="inlineStr">
        <is>
          <t>DB00</t>
        </is>
      </c>
      <c r="E43" s="9" t="inlineStr">
        <is>
          <t>DBS倉庫</t>
        </is>
      </c>
      <c r="F43" s="10">
        <f>IF(COUNTIFS('XTab DS_1'!$B$2:$B$193,$B43)&gt;=2,"重複","単独")</f>
        <v/>
      </c>
      <c r="G43" s="11">
        <f>SUMIFS('XTab DS_1'!$F$2:$F$193,'XTab DS_1'!$B$2:$B$193,$B43,'XTab DS_1'!$D$2:$D$193,$D43)</f>
        <v/>
      </c>
      <c r="H43" s="12">
        <f>SUMIFS('XTab DS_1'!$G$2:$G$193,'XTab DS_1'!$B$2:$B$193,$B43,'XTab DS_1'!$D$2:$D$193,$D43)</f>
        <v/>
      </c>
    </row>
    <row r="44">
      <c r="A44" s="9" t="inlineStr">
        <is>
          <t>#</t>
        </is>
      </c>
      <c r="B44" s="9" t="inlineStr">
        <is>
          <t>CX2511ADTSTSJ-M</t>
        </is>
      </c>
      <c r="C44" s="9" t="inlineStr">
        <is>
          <t>AD　Tシャツ（シンジ）M</t>
        </is>
      </c>
      <c r="D44" s="9" t="inlineStr">
        <is>
          <t>DB00</t>
        </is>
      </c>
      <c r="E44" s="9" t="inlineStr">
        <is>
          <t>DBS倉庫</t>
        </is>
      </c>
      <c r="F44" s="10">
        <f>IF(COUNTIFS('XTab DS_1'!$B$2:$B$193,$B44)&gt;=2,"重複","単独")</f>
        <v/>
      </c>
      <c r="G44" s="11">
        <f>SUMIFS('XTab DS_1'!$F$2:$F$193,'XTab DS_1'!$B$2:$B$193,$B44,'XTab DS_1'!$D$2:$D$193,$D44)</f>
        <v/>
      </c>
      <c r="H44" s="12">
        <f>SUMIFS('XTab DS_1'!$G$2:$G$193,'XTab DS_1'!$B$2:$B$193,$B44,'XTab DS_1'!$D$2:$D$193,$D44)</f>
        <v/>
      </c>
    </row>
    <row r="45">
      <c r="A45" s="9" t="inlineStr">
        <is>
          <t>#</t>
        </is>
      </c>
      <c r="B45" s="9" t="inlineStr">
        <is>
          <t>CX2511ADUKSNKV</t>
        </is>
      </c>
      <c r="C45" s="9" t="inlineStr">
        <is>
          <t>AD　U型クッション　KV</t>
        </is>
      </c>
      <c r="D45" s="9" t="inlineStr">
        <is>
          <t>DB00</t>
        </is>
      </c>
      <c r="E45" s="9" t="inlineStr">
        <is>
          <t>DBS倉庫</t>
        </is>
      </c>
      <c r="F45" s="10">
        <f>IF(COUNTIFS('XTab DS_1'!$B$2:$B$193,$B45)&gt;=2,"重複","単独")</f>
        <v/>
      </c>
      <c r="G45" s="11">
        <f>SUMIFS('XTab DS_1'!$F$2:$F$193,'XTab DS_1'!$B$2:$B$193,$B45,'XTab DS_1'!$D$2:$D$193,$D45)</f>
        <v/>
      </c>
      <c r="H45" s="12">
        <f>SUMIFS('XTab DS_1'!$G$2:$G$193,'XTab DS_1'!$B$2:$B$193,$B45,'XTab DS_1'!$D$2:$D$193,$D45)</f>
        <v/>
      </c>
    </row>
    <row r="46">
      <c r="A46" s="9" t="inlineStr">
        <is>
          <t>#</t>
        </is>
      </c>
      <c r="B46" s="9" t="inlineStr">
        <is>
          <t>CX2511ADWBKNGUK</t>
        </is>
      </c>
      <c r="C46" s="9" t="inlineStr">
        <is>
          <t>AD　ウィンドブレーカー（２号機）F</t>
        </is>
      </c>
      <c r="D46" s="9" t="inlineStr">
        <is>
          <t>DB00</t>
        </is>
      </c>
      <c r="E46" s="9" t="inlineStr">
        <is>
          <t>DBS倉庫</t>
        </is>
      </c>
      <c r="F46" s="10">
        <f>IF(COUNTIFS('XTab DS_1'!$B$2:$B$193,$B46)&gt;=2,"重複","単独")</f>
        <v/>
      </c>
      <c r="G46" s="11">
        <f>SUMIFS('XTab DS_1'!$F$2:$F$193,'XTab DS_1'!$B$2:$B$193,$B46,'XTab DS_1'!$D$2:$D$193,$D46)</f>
        <v/>
      </c>
      <c r="H46" s="12">
        <f>SUMIFS('XTab DS_1'!$G$2:$G$193,'XTab DS_1'!$B$2:$B$193,$B46,'XTab DS_1'!$D$2:$D$193,$D46)</f>
        <v/>
      </c>
    </row>
    <row r="47">
      <c r="A47" s="9" t="inlineStr">
        <is>
          <t>#</t>
        </is>
      </c>
      <c r="B47" s="9" t="inlineStr">
        <is>
          <t>CX2511ADWBKSGUK</t>
        </is>
      </c>
      <c r="C47" s="9" t="inlineStr">
        <is>
          <t>AD　ウィンドブレーカー（初号機）F</t>
        </is>
      </c>
      <c r="D47" s="9" t="inlineStr">
        <is>
          <t>DB00</t>
        </is>
      </c>
      <c r="E47" s="9" t="inlineStr">
        <is>
          <t>DBS倉庫</t>
        </is>
      </c>
      <c r="F47" s="10">
        <f>IF(COUNTIFS('XTab DS_1'!$B$2:$B$193,$B47)&gt;=2,"重複","単独")</f>
        <v/>
      </c>
      <c r="G47" s="11">
        <f>SUMIFS('XTab DS_1'!$F$2:$F$193,'XTab DS_1'!$B$2:$B$193,$B47,'XTab DS_1'!$D$2:$D$193,$D47)</f>
        <v/>
      </c>
      <c r="H47" s="12">
        <f>SUMIFS('XTab DS_1'!$G$2:$G$193,'XTab DS_1'!$B$2:$B$193,$B47,'XTab DS_1'!$D$2:$D$193,$D47)</f>
        <v/>
      </c>
    </row>
    <row r="48">
      <c r="A48" s="9" t="inlineStr">
        <is>
          <t>#</t>
        </is>
      </c>
      <c r="B48" s="9" t="inlineStr">
        <is>
          <t>CX2511ADWBKZGUK</t>
        </is>
      </c>
      <c r="C48" s="9" t="inlineStr">
        <is>
          <t>AD　ウィンドブレーカー（ゼロ号機）F</t>
        </is>
      </c>
      <c r="D48" s="9" t="inlineStr">
        <is>
          <t>DB00</t>
        </is>
      </c>
      <c r="E48" s="9" t="inlineStr">
        <is>
          <t>DBS倉庫</t>
        </is>
      </c>
      <c r="F48" s="10">
        <f>IF(COUNTIFS('XTab DS_1'!$B$2:$B$193,$B48)&gt;=2,"重複","単独")</f>
        <v/>
      </c>
      <c r="G48" s="11">
        <f>SUMIFS('XTab DS_1'!$F$2:$F$193,'XTab DS_1'!$B$2:$B$193,$B48,'XTab DS_1'!$D$2:$D$193,$D48)</f>
        <v/>
      </c>
      <c r="H48" s="12">
        <f>SUMIFS('XTab DS_1'!$G$2:$G$193,'XTab DS_1'!$B$2:$B$193,$B48,'XTab DS_1'!$D$2:$D$193,$D48)</f>
        <v/>
      </c>
    </row>
    <row r="49">
      <c r="A49" s="9" t="inlineStr">
        <is>
          <t>#</t>
        </is>
      </c>
      <c r="B49" s="9" t="inlineStr">
        <is>
          <t>CX2511ADWESTPT</t>
        </is>
      </c>
      <c r="C49" s="9" t="inlineStr">
        <is>
          <t>AD　ウェストポーチ</t>
        </is>
      </c>
      <c r="D49" s="9" t="inlineStr">
        <is>
          <t>DB00</t>
        </is>
      </c>
      <c r="E49" s="9" t="inlineStr">
        <is>
          <t>DBS倉庫</t>
        </is>
      </c>
      <c r="F49" s="10">
        <f>IF(COUNTIFS('XTab DS_1'!$B$2:$B$193,$B49)&gt;=2,"重複","単独")</f>
        <v/>
      </c>
      <c r="G49" s="11">
        <f>SUMIFS('XTab DS_1'!$F$2:$F$193,'XTab DS_1'!$B$2:$B$193,$B49,'XTab DS_1'!$D$2:$D$193,$D49)</f>
        <v/>
      </c>
      <c r="H49" s="12">
        <f>SUMIFS('XTab DS_1'!$G$2:$G$193,'XTab DS_1'!$B$2:$B$193,$B49,'XTab DS_1'!$D$2:$D$193,$D49)</f>
        <v/>
      </c>
    </row>
    <row r="50">
      <c r="A50" s="9" t="inlineStr">
        <is>
          <t>#</t>
        </is>
      </c>
      <c r="B50" s="9" t="inlineStr">
        <is>
          <t>CX2511ASTACDKP</t>
        </is>
      </c>
      <c r="C50" s="9" t="inlineStr">
        <is>
          <t>AST　アクリルカード　コンプリート</t>
        </is>
      </c>
      <c r="D50" s="9" t="inlineStr">
        <is>
          <t>DB00</t>
        </is>
      </c>
      <c r="E50" s="9" t="inlineStr">
        <is>
          <t>DBS倉庫</t>
        </is>
      </c>
      <c r="F50" s="10">
        <f>IF(COUNTIFS('XTab DS_1'!$B$2:$B$193,$B50)&gt;=2,"重複","単独")</f>
        <v/>
      </c>
      <c r="G50" s="11">
        <f>SUMIFS('XTab DS_1'!$F$2:$F$193,'XTab DS_1'!$B$2:$B$193,$B50,'XTab DS_1'!$D$2:$D$193,$D50)</f>
        <v/>
      </c>
      <c r="H50" s="12">
        <f>SUMIFS('XTab DS_1'!$G$2:$G$193,'XTab DS_1'!$B$2:$B$193,$B50,'XTab DS_1'!$D$2:$D$193,$D50)</f>
        <v/>
      </c>
    </row>
    <row r="51">
      <c r="A51" s="9" t="inlineStr">
        <is>
          <t>#</t>
        </is>
      </c>
      <c r="B51" s="9" t="inlineStr">
        <is>
          <t>CX2511ASTAST-ASK</t>
        </is>
      </c>
      <c r="C51" s="9" t="inlineStr">
        <is>
          <t>AST　アクリルスタンド　（アスカ）</t>
        </is>
      </c>
      <c r="D51" s="9" t="inlineStr">
        <is>
          <t>DB00</t>
        </is>
      </c>
      <c r="E51" s="9" t="inlineStr">
        <is>
          <t>DBS倉庫</t>
        </is>
      </c>
      <c r="F51" s="10">
        <f>IF(COUNTIFS('XTab DS_1'!$B$2:$B$193,$B51)&gt;=2,"重複","単独")</f>
        <v/>
      </c>
      <c r="G51" s="11">
        <f>SUMIFS('XTab DS_1'!$F$2:$F$193,'XTab DS_1'!$B$2:$B$193,$B51,'XTab DS_1'!$D$2:$D$193,$D51)</f>
        <v/>
      </c>
      <c r="H51" s="12">
        <f>SUMIFS('XTab DS_1'!$G$2:$G$193,'XTab DS_1'!$B$2:$B$193,$B51,'XTab DS_1'!$D$2:$D$193,$D51)</f>
        <v/>
      </c>
    </row>
    <row r="52">
      <c r="A52" s="9" t="inlineStr">
        <is>
          <t>#</t>
        </is>
      </c>
      <c r="B52" s="9" t="inlineStr">
        <is>
          <t>CX2511ASTAST-IKR</t>
        </is>
      </c>
      <c r="C52" s="9" t="inlineStr">
        <is>
          <t>AST　アクリルスタンド　（碇ゲンドウ）</t>
        </is>
      </c>
      <c r="D52" s="9" t="inlineStr">
        <is>
          <t>DB00</t>
        </is>
      </c>
      <c r="E52" s="9" t="inlineStr">
        <is>
          <t>DBS倉庫</t>
        </is>
      </c>
      <c r="F52" s="10">
        <f>IF(COUNTIFS('XTab DS_1'!$B$2:$B$193,$B52)&gt;=2,"重複","単独")</f>
        <v/>
      </c>
      <c r="G52" s="11">
        <f>SUMIFS('XTab DS_1'!$F$2:$F$193,'XTab DS_1'!$B$2:$B$193,$B52,'XTab DS_1'!$D$2:$D$193,$D52)</f>
        <v/>
      </c>
      <c r="H52" s="12">
        <f>SUMIFS('XTab DS_1'!$G$2:$G$193,'XTab DS_1'!$B$2:$B$193,$B52,'XTab DS_1'!$D$2:$D$193,$D52)</f>
        <v/>
      </c>
    </row>
    <row r="53">
      <c r="A53" s="9" t="inlineStr">
        <is>
          <t>#</t>
        </is>
      </c>
      <c r="B53" s="9" t="inlineStr">
        <is>
          <t>CX2511ASTAST-KJ</t>
        </is>
      </c>
      <c r="C53" s="9" t="inlineStr">
        <is>
          <t>AST　アクリルスタンド　（加持良治）</t>
        </is>
      </c>
      <c r="D53" s="9" t="inlineStr">
        <is>
          <t>DB00</t>
        </is>
      </c>
      <c r="E53" s="9" t="inlineStr">
        <is>
          <t>DBS倉庫</t>
        </is>
      </c>
      <c r="F53" s="10">
        <f>IF(COUNTIFS('XTab DS_1'!$B$2:$B$193,$B53)&gt;=2,"重複","単独")</f>
        <v/>
      </c>
      <c r="G53" s="11">
        <f>SUMIFS('XTab DS_1'!$F$2:$F$193,'XTab DS_1'!$B$2:$B$193,$B53,'XTab DS_1'!$D$2:$D$193,$D53)</f>
        <v/>
      </c>
      <c r="H53" s="12">
        <f>SUMIFS('XTab DS_1'!$G$2:$G$193,'XTab DS_1'!$B$2:$B$193,$B53,'XTab DS_1'!$D$2:$D$193,$D53)</f>
        <v/>
      </c>
    </row>
    <row r="54">
      <c r="A54" s="9" t="inlineStr">
        <is>
          <t>#</t>
        </is>
      </c>
      <c r="B54" s="9" t="inlineStr">
        <is>
          <t>CX2511ASTAST-KWR</t>
        </is>
      </c>
      <c r="C54" s="9" t="inlineStr">
        <is>
          <t>AST　アクリルスタンド　（カヲル）</t>
        </is>
      </c>
      <c r="D54" s="9" t="inlineStr">
        <is>
          <t>DB00</t>
        </is>
      </c>
      <c r="E54" s="9" t="inlineStr">
        <is>
          <t>DBS倉庫</t>
        </is>
      </c>
      <c r="F54" s="10">
        <f>IF(COUNTIFS('XTab DS_1'!$B$2:$B$193,$B54)&gt;=2,"重複","単独")</f>
        <v/>
      </c>
      <c r="G54" s="11">
        <f>SUMIFS('XTab DS_1'!$F$2:$F$193,'XTab DS_1'!$B$2:$B$193,$B54,'XTab DS_1'!$D$2:$D$193,$D54)</f>
        <v/>
      </c>
      <c r="H54" s="12">
        <f>SUMIFS('XTab DS_1'!$G$2:$G$193,'XTab DS_1'!$B$2:$B$193,$B54,'XTab DS_1'!$D$2:$D$193,$D54)</f>
        <v/>
      </c>
    </row>
    <row r="55">
      <c r="A55" s="9" t="inlineStr">
        <is>
          <t>#</t>
        </is>
      </c>
      <c r="B55" s="9" t="inlineStr">
        <is>
          <t>CX2511ASTAST-MR</t>
        </is>
      </c>
      <c r="C55" s="9" t="inlineStr">
        <is>
          <t>AST　アクリルスタンド　（マリ）</t>
        </is>
      </c>
      <c r="D55" s="9" t="inlineStr">
        <is>
          <t>DB00</t>
        </is>
      </c>
      <c r="E55" s="9" t="inlineStr">
        <is>
          <t>DBS倉庫</t>
        </is>
      </c>
      <c r="F55" s="10">
        <f>IF(COUNTIFS('XTab DS_1'!$B$2:$B$193,$B55)&gt;=2,"重複","単独")</f>
        <v/>
      </c>
      <c r="G55" s="11">
        <f>SUMIFS('XTab DS_1'!$F$2:$F$193,'XTab DS_1'!$B$2:$B$193,$B55,'XTab DS_1'!$D$2:$D$193,$D55)</f>
        <v/>
      </c>
      <c r="H55" s="12">
        <f>SUMIFS('XTab DS_1'!$G$2:$G$193,'XTab DS_1'!$B$2:$B$193,$B55,'XTab DS_1'!$D$2:$D$193,$D55)</f>
        <v/>
      </c>
    </row>
    <row r="56">
      <c r="A56" s="9" t="inlineStr">
        <is>
          <t>#</t>
        </is>
      </c>
      <c r="B56" s="9" t="inlineStr">
        <is>
          <t>CX2511ASTAST-MST</t>
        </is>
      </c>
      <c r="C56" s="9" t="inlineStr">
        <is>
          <t>AST　アクリルスタンド　（美里）</t>
        </is>
      </c>
      <c r="D56" s="9" t="inlineStr">
        <is>
          <t>DB00</t>
        </is>
      </c>
      <c r="E56" s="9" t="inlineStr">
        <is>
          <t>DBS倉庫</t>
        </is>
      </c>
      <c r="F56" s="10">
        <f>IF(COUNTIFS('XTab DS_1'!$B$2:$B$193,$B56)&gt;=2,"重複","単独")</f>
        <v/>
      </c>
      <c r="G56" s="11">
        <f>SUMIFS('XTab DS_1'!$F$2:$F$193,'XTab DS_1'!$B$2:$B$193,$B56,'XTab DS_1'!$D$2:$D$193,$D56)</f>
        <v/>
      </c>
      <c r="H56" s="12">
        <f>SUMIFS('XTab DS_1'!$G$2:$G$193,'XTab DS_1'!$B$2:$B$193,$B56,'XTab DS_1'!$D$2:$D$193,$D56)</f>
        <v/>
      </c>
    </row>
    <row r="57">
      <c r="A57" s="9" t="inlineStr">
        <is>
          <t>#</t>
        </is>
      </c>
      <c r="B57" s="9" t="inlineStr">
        <is>
          <t>CX2511ASTAST-PP</t>
        </is>
      </c>
      <c r="C57" s="9" t="inlineStr">
        <is>
          <t>AST　アクリルスタンド　（ペンペン）</t>
        </is>
      </c>
      <c r="D57" s="9" t="inlineStr">
        <is>
          <t>DB00</t>
        </is>
      </c>
      <c r="E57" s="9" t="inlineStr">
        <is>
          <t>DBS倉庫</t>
        </is>
      </c>
      <c r="F57" s="10">
        <f>IF(COUNTIFS('XTab DS_1'!$B$2:$B$193,$B57)&gt;=2,"重複","単独")</f>
        <v/>
      </c>
      <c r="G57" s="11">
        <f>SUMIFS('XTab DS_1'!$F$2:$F$193,'XTab DS_1'!$B$2:$B$193,$B57,'XTab DS_1'!$D$2:$D$193,$D57)</f>
        <v/>
      </c>
      <c r="H57" s="12">
        <f>SUMIFS('XTab DS_1'!$G$2:$G$193,'XTab DS_1'!$B$2:$B$193,$B57,'XTab DS_1'!$D$2:$D$193,$D57)</f>
        <v/>
      </c>
    </row>
    <row r="58">
      <c r="A58" s="9" t="inlineStr">
        <is>
          <t>#</t>
        </is>
      </c>
      <c r="B58" s="9" t="inlineStr">
        <is>
          <t>CX2511ASTAST-RI</t>
        </is>
      </c>
      <c r="C58" s="9" t="inlineStr">
        <is>
          <t>AST　アクリルスタンド　（レイ）</t>
        </is>
      </c>
      <c r="D58" s="9" t="inlineStr">
        <is>
          <t>DB00</t>
        </is>
      </c>
      <c r="E58" s="9" t="inlineStr">
        <is>
          <t>DBS倉庫</t>
        </is>
      </c>
      <c r="F58" s="10">
        <f>IF(COUNTIFS('XTab DS_1'!$B$2:$B$193,$B58)&gt;=2,"重複","単独")</f>
        <v/>
      </c>
      <c r="G58" s="11">
        <f>SUMIFS('XTab DS_1'!$F$2:$F$193,'XTab DS_1'!$B$2:$B$193,$B58,'XTab DS_1'!$D$2:$D$193,$D58)</f>
        <v/>
      </c>
      <c r="H58" s="12">
        <f>SUMIFS('XTab DS_1'!$G$2:$G$193,'XTab DS_1'!$B$2:$B$193,$B58,'XTab DS_1'!$D$2:$D$193,$D58)</f>
        <v/>
      </c>
    </row>
    <row r="59">
      <c r="A59" s="9" t="inlineStr">
        <is>
          <t>#</t>
        </is>
      </c>
      <c r="B59" s="9" t="inlineStr">
        <is>
          <t>CX2511ASTAST-RTK</t>
        </is>
      </c>
      <c r="C59" s="9" t="inlineStr">
        <is>
          <t>AST　アクリルスタンド　（律子）</t>
        </is>
      </c>
      <c r="D59" s="9" t="inlineStr">
        <is>
          <t>DB00</t>
        </is>
      </c>
      <c r="E59" s="9" t="inlineStr">
        <is>
          <t>DBS倉庫</t>
        </is>
      </c>
      <c r="F59" s="10">
        <f>IF(COUNTIFS('XTab DS_1'!$B$2:$B$193,$B59)&gt;=2,"重複","単独")</f>
        <v/>
      </c>
      <c r="G59" s="11">
        <f>SUMIFS('XTab DS_1'!$F$2:$F$193,'XTab DS_1'!$B$2:$B$193,$B59,'XTab DS_1'!$D$2:$D$193,$D59)</f>
        <v/>
      </c>
      <c r="H59" s="12">
        <f>SUMIFS('XTab DS_1'!$G$2:$G$193,'XTab DS_1'!$B$2:$B$193,$B59,'XTab DS_1'!$D$2:$D$193,$D59)</f>
        <v/>
      </c>
    </row>
    <row r="60">
      <c r="A60" s="9" t="inlineStr">
        <is>
          <t>#</t>
        </is>
      </c>
      <c r="B60" s="9" t="inlineStr">
        <is>
          <t>CX2511ASTAST-SJ</t>
        </is>
      </c>
      <c r="C60" s="9" t="inlineStr">
        <is>
          <t>AST　アクリルスタンド　（シンジ）</t>
        </is>
      </c>
      <c r="D60" s="9" t="inlineStr">
        <is>
          <t>DB00</t>
        </is>
      </c>
      <c r="E60" s="9" t="inlineStr">
        <is>
          <t>DBS倉庫</t>
        </is>
      </c>
      <c r="F60" s="10">
        <f>IF(COUNTIFS('XTab DS_1'!$B$2:$B$193,$B60)&gt;=2,"重複","単独")</f>
        <v/>
      </c>
      <c r="G60" s="11">
        <f>SUMIFS('XTab DS_1'!$F$2:$F$193,'XTab DS_1'!$B$2:$B$193,$B60,'XTab DS_1'!$D$2:$D$193,$D60)</f>
        <v/>
      </c>
      <c r="H60" s="12">
        <f>SUMIFS('XTab DS_1'!$G$2:$G$193,'XTab DS_1'!$B$2:$B$193,$B60,'XTab DS_1'!$D$2:$D$193,$D60)</f>
        <v/>
      </c>
    </row>
    <row r="61">
      <c r="A61" s="9" t="inlineStr">
        <is>
          <t>#</t>
        </is>
      </c>
      <c r="B61" s="9" t="inlineStr">
        <is>
          <t>CX2511ASTASTKV</t>
        </is>
      </c>
      <c r="C61" s="9" t="inlineStr">
        <is>
          <t>AST　アクリルスタンド　KV</t>
        </is>
      </c>
      <c r="D61" s="9" t="inlineStr">
        <is>
          <t>DB00</t>
        </is>
      </c>
      <c r="E61" s="9" t="inlineStr">
        <is>
          <t>DBS倉庫</t>
        </is>
      </c>
      <c r="F61" s="10">
        <f>IF(COUNTIFS('XTab DS_1'!$B$2:$B$193,$B61)&gt;=2,"重複","単独")</f>
        <v/>
      </c>
      <c r="G61" s="11">
        <f>SUMIFS('XTab DS_1'!$F$2:$F$193,'XTab DS_1'!$B$2:$B$193,$B61,'XTab DS_1'!$D$2:$D$193,$D61)</f>
        <v/>
      </c>
      <c r="H61" s="12">
        <f>SUMIFS('XTab DS_1'!$G$2:$G$193,'XTab DS_1'!$B$2:$B$193,$B61,'XTab DS_1'!$D$2:$D$193,$D61)</f>
        <v/>
      </c>
    </row>
    <row r="62">
      <c r="A62" s="9" t="inlineStr">
        <is>
          <t>#</t>
        </is>
      </c>
      <c r="B62" s="9" t="inlineStr">
        <is>
          <t>CX2511ASTBDGKVKP</t>
        </is>
      </c>
      <c r="C62" s="9" t="inlineStr">
        <is>
          <t>AST　缶バッジ　KV　コンプリート</t>
        </is>
      </c>
      <c r="D62" s="9" t="inlineStr">
        <is>
          <t>DB00</t>
        </is>
      </c>
      <c r="E62" s="9" t="inlineStr">
        <is>
          <t>DBS倉庫</t>
        </is>
      </c>
      <c r="F62" s="10">
        <f>IF(COUNTIFS('XTab DS_1'!$B$2:$B$193,$B62)&gt;=2,"重複","単独")</f>
        <v/>
      </c>
      <c r="G62" s="11">
        <f>SUMIFS('XTab DS_1'!$F$2:$F$193,'XTab DS_1'!$B$2:$B$193,$B62,'XTab DS_1'!$D$2:$D$193,$D62)</f>
        <v/>
      </c>
      <c r="H62" s="12">
        <f>SUMIFS('XTab DS_1'!$G$2:$G$193,'XTab DS_1'!$B$2:$B$193,$B62,'XTab DS_1'!$D$2:$D$193,$D62)</f>
        <v/>
      </c>
    </row>
    <row r="63">
      <c r="A63" s="9" t="inlineStr">
        <is>
          <t>#</t>
        </is>
      </c>
      <c r="B63" s="9" t="inlineStr">
        <is>
          <t>CX2511ASTBDGRMXKP</t>
        </is>
      </c>
      <c r="C63" s="9" t="inlineStr">
        <is>
          <t>AST　缶バッジ　2023REMIXコンプリート</t>
        </is>
      </c>
      <c r="D63" s="9" t="inlineStr">
        <is>
          <t>DB00</t>
        </is>
      </c>
      <c r="E63" s="9" t="inlineStr">
        <is>
          <t>DBS倉庫</t>
        </is>
      </c>
      <c r="F63" s="10">
        <f>IF(COUNTIFS('XTab DS_1'!$B$2:$B$193,$B63)&gt;=2,"重複","単独")</f>
        <v/>
      </c>
      <c r="G63" s="11">
        <f>SUMIFS('XTab DS_1'!$F$2:$F$193,'XTab DS_1'!$B$2:$B$193,$B63,'XTab DS_1'!$D$2:$D$193,$D63)</f>
        <v/>
      </c>
      <c r="H63" s="12">
        <f>SUMIFS('XTab DS_1'!$G$2:$G$193,'XTab DS_1'!$B$2:$B$193,$B63,'XTab DS_1'!$D$2:$D$193,$D63)</f>
        <v/>
      </c>
    </row>
    <row r="64">
      <c r="A64" s="9" t="inlineStr">
        <is>
          <t>#</t>
        </is>
      </c>
      <c r="B64" s="9" t="inlineStr">
        <is>
          <t>CX2511ASTJYJ-ASK</t>
        </is>
      </c>
      <c r="C64" s="9" t="inlineStr">
        <is>
          <t>AST　ジャージ（ASUKA）F</t>
        </is>
      </c>
      <c r="D64" s="9" t="inlineStr">
        <is>
          <t>DB00</t>
        </is>
      </c>
      <c r="E64" s="9" t="inlineStr">
        <is>
          <t>DBS倉庫</t>
        </is>
      </c>
      <c r="F64" s="10">
        <f>IF(COUNTIFS('XTab DS_1'!$B$2:$B$193,$B64)&gt;=2,"重複","単独")</f>
        <v/>
      </c>
      <c r="G64" s="11">
        <f>SUMIFS('XTab DS_1'!$F$2:$F$193,'XTab DS_1'!$B$2:$B$193,$B64,'XTab DS_1'!$D$2:$D$193,$D64)</f>
        <v/>
      </c>
      <c r="H64" s="12">
        <f>SUMIFS('XTab DS_1'!$G$2:$G$193,'XTab DS_1'!$B$2:$B$193,$B64,'XTab DS_1'!$D$2:$D$193,$D64)</f>
        <v/>
      </c>
    </row>
    <row r="65">
      <c r="A65" s="9" t="inlineStr">
        <is>
          <t>#</t>
        </is>
      </c>
      <c r="B65" s="9" t="inlineStr">
        <is>
          <t>CX2511ASTJYJ-KWR</t>
        </is>
      </c>
      <c r="C65" s="9" t="inlineStr">
        <is>
          <t>AST　ジャージ（KAWORU）F</t>
        </is>
      </c>
      <c r="D65" s="9" t="inlineStr">
        <is>
          <t>DB00</t>
        </is>
      </c>
      <c r="E65" s="9" t="inlineStr">
        <is>
          <t>DBS倉庫</t>
        </is>
      </c>
      <c r="F65" s="10">
        <f>IF(COUNTIFS('XTab DS_1'!$B$2:$B$193,$B65)&gt;=2,"重複","単独")</f>
        <v/>
      </c>
      <c r="G65" s="11">
        <f>SUMIFS('XTab DS_1'!$F$2:$F$193,'XTab DS_1'!$B$2:$B$193,$B65,'XTab DS_1'!$D$2:$D$193,$D65)</f>
        <v/>
      </c>
      <c r="H65" s="12">
        <f>SUMIFS('XTab DS_1'!$G$2:$G$193,'XTab DS_1'!$B$2:$B$193,$B65,'XTab DS_1'!$D$2:$D$193,$D65)</f>
        <v/>
      </c>
    </row>
    <row r="66">
      <c r="A66" s="9" t="inlineStr">
        <is>
          <t>#</t>
        </is>
      </c>
      <c r="B66" s="9" t="inlineStr">
        <is>
          <t>CX2511ASTJYJ-RI</t>
        </is>
      </c>
      <c r="C66" s="9" t="inlineStr">
        <is>
          <t>AST　ジャージ（REI）F</t>
        </is>
      </c>
      <c r="D66" s="9" t="inlineStr">
        <is>
          <t>DB00</t>
        </is>
      </c>
      <c r="E66" s="9" t="inlineStr">
        <is>
          <t>DBS倉庫</t>
        </is>
      </c>
      <c r="F66" s="10">
        <f>IF(COUNTIFS('XTab DS_1'!$B$2:$B$193,$B66)&gt;=2,"重複","単独")</f>
        <v/>
      </c>
      <c r="G66" s="11">
        <f>SUMIFS('XTab DS_1'!$F$2:$F$193,'XTab DS_1'!$B$2:$B$193,$B66,'XTab DS_1'!$D$2:$D$193,$D66)</f>
        <v/>
      </c>
      <c r="H66" s="12">
        <f>SUMIFS('XTab DS_1'!$G$2:$G$193,'XTab DS_1'!$B$2:$B$193,$B66,'XTab DS_1'!$D$2:$D$193,$D66)</f>
        <v/>
      </c>
    </row>
    <row r="67">
      <c r="A67" s="9" t="inlineStr">
        <is>
          <t>#</t>
        </is>
      </c>
      <c r="B67" s="9" t="inlineStr">
        <is>
          <t>CX2511ASTJYJ-SJ</t>
        </is>
      </c>
      <c r="C67" s="9" t="inlineStr">
        <is>
          <t>AST　ジャージ（SHINJI）F</t>
        </is>
      </c>
      <c r="D67" s="9" t="inlineStr">
        <is>
          <t>DB00</t>
        </is>
      </c>
      <c r="E67" s="9" t="inlineStr">
        <is>
          <t>DBS倉庫</t>
        </is>
      </c>
      <c r="F67" s="10">
        <f>IF(COUNTIFS('XTab DS_1'!$B$2:$B$193,$B67)&gt;=2,"重複","単独")</f>
        <v/>
      </c>
      <c r="G67" s="11">
        <f>SUMIFS('XTab DS_1'!$F$2:$F$193,'XTab DS_1'!$B$2:$B$193,$B67,'XTab DS_1'!$D$2:$D$193,$D67)</f>
        <v/>
      </c>
      <c r="H67" s="12">
        <f>SUMIFS('XTab DS_1'!$G$2:$G$193,'XTab DS_1'!$B$2:$B$193,$B67,'XTab DS_1'!$D$2:$D$193,$D67)</f>
        <v/>
      </c>
    </row>
    <row r="68">
      <c r="A68" s="9" t="inlineStr">
        <is>
          <t>#</t>
        </is>
      </c>
      <c r="B68" s="9" t="inlineStr">
        <is>
          <t>CX2511ASTLNTSS-L</t>
        </is>
      </c>
      <c r="C68" s="9" t="inlineStr">
        <is>
          <t>AST　ロンT （初号機＆シンジ）L</t>
        </is>
      </c>
      <c r="D68" s="9" t="inlineStr">
        <is>
          <t>DB00</t>
        </is>
      </c>
      <c r="E68" s="9" t="inlineStr">
        <is>
          <t>DBS倉庫</t>
        </is>
      </c>
      <c r="F68" s="10">
        <f>IF(COUNTIFS('XTab DS_1'!$B$2:$B$193,$B68)&gt;=2,"重複","単独")</f>
        <v/>
      </c>
      <c r="G68" s="11">
        <f>SUMIFS('XTab DS_1'!$F$2:$F$193,'XTab DS_1'!$B$2:$B$193,$B68,'XTab DS_1'!$D$2:$D$193,$D68)</f>
        <v/>
      </c>
      <c r="H68" s="12">
        <f>SUMIFS('XTab DS_1'!$G$2:$G$193,'XTab DS_1'!$B$2:$B$193,$B68,'XTab DS_1'!$D$2:$D$193,$D68)</f>
        <v/>
      </c>
    </row>
    <row r="69">
      <c r="A69" s="9" t="inlineStr">
        <is>
          <t>#</t>
        </is>
      </c>
      <c r="B69" s="9" t="inlineStr">
        <is>
          <t>CX2511ASTLNTSS-M</t>
        </is>
      </c>
      <c r="C69" s="9" t="inlineStr">
        <is>
          <t>AST　ロンT （初号機＆シンジ）M</t>
        </is>
      </c>
      <c r="D69" s="9" t="inlineStr">
        <is>
          <t>DB00</t>
        </is>
      </c>
      <c r="E69" s="9" t="inlineStr">
        <is>
          <t>DBS倉庫</t>
        </is>
      </c>
      <c r="F69" s="10">
        <f>IF(COUNTIFS('XTab DS_1'!$B$2:$B$193,$B69)&gt;=2,"重複","単独")</f>
        <v/>
      </c>
      <c r="G69" s="11">
        <f>SUMIFS('XTab DS_1'!$F$2:$F$193,'XTab DS_1'!$B$2:$B$193,$B69,'XTab DS_1'!$D$2:$D$193,$D69)</f>
        <v/>
      </c>
      <c r="H69" s="12">
        <f>SUMIFS('XTab DS_1'!$G$2:$G$193,'XTab DS_1'!$B$2:$B$193,$B69,'XTab DS_1'!$D$2:$D$193,$D69)</f>
        <v/>
      </c>
    </row>
    <row r="70">
      <c r="A70" s="9" t="inlineStr">
        <is>
          <t>#</t>
        </is>
      </c>
      <c r="B70" s="9" t="inlineStr">
        <is>
          <t>CX2511ASTMUMKV</t>
        </is>
      </c>
      <c r="C70" s="9" t="inlineStr">
        <is>
          <t>AST　マウスマット　KV</t>
        </is>
      </c>
      <c r="D70" s="9" t="inlineStr">
        <is>
          <t>DB00</t>
        </is>
      </c>
      <c r="E70" s="9" t="inlineStr">
        <is>
          <t>DBS倉庫</t>
        </is>
      </c>
      <c r="F70" s="10">
        <f>IF(COUNTIFS('XTab DS_1'!$B$2:$B$193,$B70)&gt;=2,"重複","単独")</f>
        <v/>
      </c>
      <c r="G70" s="11">
        <f>SUMIFS('XTab DS_1'!$F$2:$F$193,'XTab DS_1'!$B$2:$B$193,$B70,'XTab DS_1'!$D$2:$D$193,$D70)</f>
        <v/>
      </c>
      <c r="H70" s="12">
        <f>SUMIFS('XTab DS_1'!$G$2:$G$193,'XTab DS_1'!$B$2:$B$193,$B70,'XTab DS_1'!$D$2:$D$193,$D70)</f>
        <v/>
      </c>
    </row>
    <row r="71">
      <c r="A71" s="9" t="inlineStr">
        <is>
          <t>#</t>
        </is>
      </c>
      <c r="B71" s="9" t="inlineStr">
        <is>
          <t>CX2511ASTRACD</t>
        </is>
      </c>
      <c r="C71" s="9" t="inlineStr">
        <is>
          <t>AST　ランダムアクリルカード</t>
        </is>
      </c>
      <c r="D71" s="9" t="inlineStr">
        <is>
          <t>DB00</t>
        </is>
      </c>
      <c r="E71" s="9" t="inlineStr">
        <is>
          <t>DBS倉庫</t>
        </is>
      </c>
      <c r="F71" s="10">
        <f>IF(COUNTIFS('XTab DS_1'!$B$2:$B$193,$B71)&gt;=2,"重複","単独")</f>
        <v/>
      </c>
      <c r="G71" s="11">
        <f>SUMIFS('XTab DS_1'!$F$2:$F$193,'XTab DS_1'!$B$2:$B$193,$B71,'XTab DS_1'!$D$2:$D$193,$D71)</f>
        <v/>
      </c>
      <c r="H71" s="12">
        <f>SUMIFS('XTab DS_1'!$G$2:$G$193,'XTab DS_1'!$B$2:$B$193,$B71,'XTab DS_1'!$D$2:$D$193,$D71)</f>
        <v/>
      </c>
    </row>
    <row r="72">
      <c r="A72" s="9" t="inlineStr">
        <is>
          <t>#</t>
        </is>
      </c>
      <c r="B72" s="9" t="inlineStr">
        <is>
          <t>CX2511ASTRBDGKV</t>
        </is>
      </c>
      <c r="C72" s="9" t="inlineStr">
        <is>
          <t>AST　ランダム缶バッジ　KV</t>
        </is>
      </c>
      <c r="D72" s="9" t="inlineStr">
        <is>
          <t>DB00</t>
        </is>
      </c>
      <c r="E72" s="9" t="inlineStr">
        <is>
          <t>DBS倉庫</t>
        </is>
      </c>
      <c r="F72" s="10">
        <f>IF(COUNTIFS('XTab DS_1'!$B$2:$B$193,$B72)&gt;=2,"重複","単独")</f>
        <v/>
      </c>
      <c r="G72" s="11">
        <f>SUMIFS('XTab DS_1'!$F$2:$F$193,'XTab DS_1'!$B$2:$B$193,$B72,'XTab DS_1'!$D$2:$D$193,$D72)</f>
        <v/>
      </c>
      <c r="H72" s="12">
        <f>SUMIFS('XTab DS_1'!$G$2:$G$193,'XTab DS_1'!$B$2:$B$193,$B72,'XTab DS_1'!$D$2:$D$193,$D72)</f>
        <v/>
      </c>
    </row>
    <row r="73">
      <c r="A73" s="9" t="inlineStr">
        <is>
          <t>#</t>
        </is>
      </c>
      <c r="B73" s="9" t="inlineStr">
        <is>
          <t>CX2511ASTRDBDGRMX</t>
        </is>
      </c>
      <c r="C73" s="9" t="inlineStr">
        <is>
          <t>AST　ランダム缶バッジ　2023REMIX</t>
        </is>
      </c>
      <c r="D73" s="9" t="inlineStr">
        <is>
          <t>DB00</t>
        </is>
      </c>
      <c r="E73" s="9" t="inlineStr">
        <is>
          <t>DBS倉庫</t>
        </is>
      </c>
      <c r="F73" s="10">
        <f>IF(COUNTIFS('XTab DS_1'!$B$2:$B$193,$B73)&gt;=2,"重複","単独")</f>
        <v/>
      </c>
      <c r="G73" s="11">
        <f>SUMIFS('XTab DS_1'!$F$2:$F$193,'XTab DS_1'!$B$2:$B$193,$B73,'XTab DS_1'!$D$2:$D$193,$D73)</f>
        <v/>
      </c>
      <c r="H73" s="12">
        <f>SUMIFS('XTab DS_1'!$G$2:$G$193,'XTab DS_1'!$B$2:$B$193,$B73,'XTab DS_1'!$D$2:$D$193,$D73)</f>
        <v/>
      </c>
    </row>
    <row r="74">
      <c r="A74" s="9" t="inlineStr">
        <is>
          <t>#</t>
        </is>
      </c>
      <c r="B74" s="9" t="inlineStr">
        <is>
          <t>CX2511ASTRDSTK</t>
        </is>
      </c>
      <c r="C74" s="9" t="inlineStr">
        <is>
          <t>AST　ランダムステッカー</t>
        </is>
      </c>
      <c r="D74" s="9" t="inlineStr">
        <is>
          <t>DB00</t>
        </is>
      </c>
      <c r="E74" s="9" t="inlineStr">
        <is>
          <t>DBS倉庫</t>
        </is>
      </c>
      <c r="F74" s="10">
        <f>IF(COUNTIFS('XTab DS_1'!$B$2:$B$193,$B74)&gt;=2,"重複","単独")</f>
        <v/>
      </c>
      <c r="G74" s="11">
        <f>SUMIFS('XTab DS_1'!$F$2:$F$193,'XTab DS_1'!$B$2:$B$193,$B74,'XTab DS_1'!$D$2:$D$193,$D74)</f>
        <v/>
      </c>
      <c r="H74" s="12">
        <f>SUMIFS('XTab DS_1'!$G$2:$G$193,'XTab DS_1'!$B$2:$B$193,$B74,'XTab DS_1'!$D$2:$D$193,$D74)</f>
        <v/>
      </c>
    </row>
    <row r="75">
      <c r="A75" s="9" t="inlineStr">
        <is>
          <t>#</t>
        </is>
      </c>
      <c r="B75" s="9" t="inlineStr">
        <is>
          <t>CX2511ASTRDSTKKP</t>
        </is>
      </c>
      <c r="C75" s="9" t="inlineStr">
        <is>
          <t>AST　ランダムステッカー コンプリート</t>
        </is>
      </c>
      <c r="D75" s="9" t="inlineStr">
        <is>
          <t>DB00</t>
        </is>
      </c>
      <c r="E75" s="9" t="inlineStr">
        <is>
          <t>DBS倉庫</t>
        </is>
      </c>
      <c r="F75" s="10">
        <f>IF(COUNTIFS('XTab DS_1'!$B$2:$B$193,$B75)&gt;=2,"重複","単独")</f>
        <v/>
      </c>
      <c r="G75" s="11">
        <f>SUMIFS('XTab DS_1'!$F$2:$F$193,'XTab DS_1'!$B$2:$B$193,$B75,'XTab DS_1'!$D$2:$D$193,$D75)</f>
        <v/>
      </c>
      <c r="H75" s="12">
        <f>SUMIFS('XTab DS_1'!$G$2:$G$193,'XTab DS_1'!$B$2:$B$193,$B75,'XTab DS_1'!$D$2:$D$193,$D75)</f>
        <v/>
      </c>
    </row>
    <row r="76">
      <c r="A76" s="9" t="inlineStr">
        <is>
          <t>#</t>
        </is>
      </c>
      <c r="B76" s="9" t="inlineStr">
        <is>
          <t>CX2511ASTRUCK</t>
        </is>
      </c>
      <c r="C76" s="9" t="inlineStr">
        <is>
          <t>AST　リュック</t>
        </is>
      </c>
      <c r="D76" s="9" t="inlineStr">
        <is>
          <t>DB00</t>
        </is>
      </c>
      <c r="E76" s="9" t="inlineStr">
        <is>
          <t>DBS倉庫</t>
        </is>
      </c>
      <c r="F76" s="10">
        <f>IF(COUNTIFS('XTab DS_1'!$B$2:$B$193,$B76)&gt;=2,"重複","単独")</f>
        <v/>
      </c>
      <c r="G76" s="11">
        <f>SUMIFS('XTab DS_1'!$F$2:$F$193,'XTab DS_1'!$B$2:$B$193,$B76,'XTab DS_1'!$D$2:$D$193,$D76)</f>
        <v/>
      </c>
      <c r="H76" s="12">
        <f>SUMIFS('XTab DS_1'!$G$2:$G$193,'XTab DS_1'!$B$2:$B$193,$B76,'XTab DS_1'!$D$2:$D$193,$D76)</f>
        <v/>
      </c>
    </row>
    <row r="77">
      <c r="A77" s="9" t="inlineStr">
        <is>
          <t>#</t>
        </is>
      </c>
      <c r="B77" s="9" t="inlineStr">
        <is>
          <t>CX2511ASTSWTKV-L</t>
        </is>
      </c>
      <c r="C77" s="9" t="inlineStr">
        <is>
          <t>AST　スウェット（KV 少年組）L</t>
        </is>
      </c>
      <c r="D77" s="9" t="inlineStr">
        <is>
          <t>DB00</t>
        </is>
      </c>
      <c r="E77" s="9" t="inlineStr">
        <is>
          <t>DBS倉庫</t>
        </is>
      </c>
      <c r="F77" s="10">
        <f>IF(COUNTIFS('XTab DS_1'!$B$2:$B$193,$B77)&gt;=2,"重複","単独")</f>
        <v/>
      </c>
      <c r="G77" s="11">
        <f>SUMIFS('XTab DS_1'!$F$2:$F$193,'XTab DS_1'!$B$2:$B$193,$B77,'XTab DS_1'!$D$2:$D$193,$D77)</f>
        <v/>
      </c>
      <c r="H77" s="12">
        <f>SUMIFS('XTab DS_1'!$G$2:$G$193,'XTab DS_1'!$B$2:$B$193,$B77,'XTab DS_1'!$D$2:$D$193,$D77)</f>
        <v/>
      </c>
    </row>
    <row r="78">
      <c r="A78" s="9" t="inlineStr">
        <is>
          <t>#</t>
        </is>
      </c>
      <c r="B78" s="9" t="inlineStr">
        <is>
          <t>CX2511ASTSWTKV-M</t>
        </is>
      </c>
      <c r="C78" s="9" t="inlineStr">
        <is>
          <t>AST　スウェット（KV 少年組）M</t>
        </is>
      </c>
      <c r="D78" s="9" t="inlineStr">
        <is>
          <t>DB00</t>
        </is>
      </c>
      <c r="E78" s="9" t="inlineStr">
        <is>
          <t>DBS倉庫</t>
        </is>
      </c>
      <c r="F78" s="10">
        <f>IF(COUNTIFS('XTab DS_1'!$B$2:$B$193,$B78)&gt;=2,"重複","単独")</f>
        <v/>
      </c>
      <c r="G78" s="11">
        <f>SUMIFS('XTab DS_1'!$F$2:$F$193,'XTab DS_1'!$B$2:$B$193,$B78,'XTab DS_1'!$D$2:$D$193,$D78)</f>
        <v/>
      </c>
      <c r="H78" s="12">
        <f>SUMIFS('XTab DS_1'!$G$2:$G$193,'XTab DS_1'!$B$2:$B$193,$B78,'XTab DS_1'!$D$2:$D$193,$D78)</f>
        <v/>
      </c>
    </row>
    <row r="79">
      <c r="A79" s="9" t="inlineStr">
        <is>
          <t>#</t>
        </is>
      </c>
      <c r="B79" s="9" t="inlineStr">
        <is>
          <t>CX2511ASTSYOP</t>
        </is>
      </c>
      <c r="C79" s="9" t="inlineStr">
        <is>
          <t>AST　ショッパー</t>
        </is>
      </c>
      <c r="D79" s="9" t="inlineStr">
        <is>
          <t>DB00</t>
        </is>
      </c>
      <c r="E79" s="9" t="inlineStr">
        <is>
          <t>DBS倉庫</t>
        </is>
      </c>
      <c r="F79" s="10">
        <f>IF(COUNTIFS('XTab DS_1'!$B$2:$B$193,$B79)&gt;=2,"重複","単独")</f>
        <v/>
      </c>
      <c r="G79" s="11">
        <f>SUMIFS('XTab DS_1'!$F$2:$F$193,'XTab DS_1'!$B$2:$B$193,$B79,'XTab DS_1'!$D$2:$D$193,$D79)</f>
        <v/>
      </c>
      <c r="H79" s="12">
        <f>SUMIFS('XTab DS_1'!$G$2:$G$193,'XTab DS_1'!$B$2:$B$193,$B79,'XTab DS_1'!$D$2:$D$193,$D79)</f>
        <v/>
      </c>
    </row>
    <row r="80">
      <c r="A80" s="9" t="inlineStr">
        <is>
          <t>#</t>
        </is>
      </c>
      <c r="B80" s="9" t="inlineStr">
        <is>
          <t>CX2511ASTTOT</t>
        </is>
      </c>
      <c r="C80" s="9" t="inlineStr">
        <is>
          <t>AST　トートバッグ</t>
        </is>
      </c>
      <c r="D80" s="9" t="inlineStr">
        <is>
          <t>DB00</t>
        </is>
      </c>
      <c r="E80" s="9" t="inlineStr">
        <is>
          <t>DBS倉庫</t>
        </is>
      </c>
      <c r="F80" s="10">
        <f>IF(COUNTIFS('XTab DS_1'!$B$2:$B$193,$B80)&gt;=2,"重複","単独")</f>
        <v/>
      </c>
      <c r="G80" s="11">
        <f>SUMIFS('XTab DS_1'!$F$2:$F$193,'XTab DS_1'!$B$2:$B$193,$B80,'XTab DS_1'!$D$2:$D$193,$D80)</f>
        <v/>
      </c>
      <c r="H80" s="12">
        <f>SUMIFS('XTab DS_1'!$G$2:$G$193,'XTab DS_1'!$B$2:$B$193,$B80,'XTab DS_1'!$D$2:$D$193,$D80)</f>
        <v/>
      </c>
    </row>
    <row r="81">
      <c r="A81" s="9" t="inlineStr">
        <is>
          <t>#</t>
        </is>
      </c>
      <c r="B81" s="9" t="inlineStr">
        <is>
          <t>CX2511ASTTSTASK-L</t>
        </is>
      </c>
      <c r="C81" s="9" t="inlineStr">
        <is>
          <t>AST　Tシャツ（アスカ）L</t>
        </is>
      </c>
      <c r="D81" s="9" t="inlineStr">
        <is>
          <t>DB00</t>
        </is>
      </c>
      <c r="E81" s="9" t="inlineStr">
        <is>
          <t>DBS倉庫</t>
        </is>
      </c>
      <c r="F81" s="10">
        <f>IF(COUNTIFS('XTab DS_1'!$B$2:$B$193,$B81)&gt;=2,"重複","単独")</f>
        <v/>
      </c>
      <c r="G81" s="11">
        <f>SUMIFS('XTab DS_1'!$F$2:$F$193,'XTab DS_1'!$B$2:$B$193,$B81,'XTab DS_1'!$D$2:$D$193,$D81)</f>
        <v/>
      </c>
      <c r="H81" s="12">
        <f>SUMIFS('XTab DS_1'!$G$2:$G$193,'XTab DS_1'!$B$2:$B$193,$B81,'XTab DS_1'!$D$2:$D$193,$D81)</f>
        <v/>
      </c>
    </row>
    <row r="82">
      <c r="A82" s="9" t="inlineStr">
        <is>
          <t>#</t>
        </is>
      </c>
      <c r="B82" s="9" t="inlineStr">
        <is>
          <t>CX2511ASTTSTASK-M</t>
        </is>
      </c>
      <c r="C82" s="9" t="inlineStr">
        <is>
          <t>AST　Tシャツ（アスカ）M</t>
        </is>
      </c>
      <c r="D82" s="9" t="inlineStr">
        <is>
          <t>DB00</t>
        </is>
      </c>
      <c r="E82" s="9" t="inlineStr">
        <is>
          <t>DBS倉庫</t>
        </is>
      </c>
      <c r="F82" s="10">
        <f>IF(COUNTIFS('XTab DS_1'!$B$2:$B$193,$B82)&gt;=2,"重複","単独")</f>
        <v/>
      </c>
      <c r="G82" s="11">
        <f>SUMIFS('XTab DS_1'!$F$2:$F$193,'XTab DS_1'!$B$2:$B$193,$B82,'XTab DS_1'!$D$2:$D$193,$D82)</f>
        <v/>
      </c>
      <c r="H82" s="12">
        <f>SUMIFS('XTab DS_1'!$G$2:$G$193,'XTab DS_1'!$B$2:$B$193,$B82,'XTab DS_1'!$D$2:$D$193,$D82)</f>
        <v/>
      </c>
    </row>
    <row r="83">
      <c r="A83" s="9" t="inlineStr">
        <is>
          <t>#</t>
        </is>
      </c>
      <c r="B83" s="9" t="inlineStr">
        <is>
          <t>CX2511ASTTSTKWR-L</t>
        </is>
      </c>
      <c r="C83" s="9" t="inlineStr">
        <is>
          <t>AST　Tシャツ（カヲル）L</t>
        </is>
      </c>
      <c r="D83" s="9" t="inlineStr">
        <is>
          <t>DB00</t>
        </is>
      </c>
      <c r="E83" s="9" t="inlineStr">
        <is>
          <t>DBS倉庫</t>
        </is>
      </c>
      <c r="F83" s="10">
        <f>IF(COUNTIFS('XTab DS_1'!$B$2:$B$193,$B83)&gt;=2,"重複","単独")</f>
        <v/>
      </c>
      <c r="G83" s="11">
        <f>SUMIFS('XTab DS_1'!$F$2:$F$193,'XTab DS_1'!$B$2:$B$193,$B83,'XTab DS_1'!$D$2:$D$193,$D83)</f>
        <v/>
      </c>
      <c r="H83" s="12">
        <f>SUMIFS('XTab DS_1'!$G$2:$G$193,'XTab DS_1'!$B$2:$B$193,$B83,'XTab DS_1'!$D$2:$D$193,$D83)</f>
        <v/>
      </c>
    </row>
    <row r="84">
      <c r="A84" s="9" t="inlineStr">
        <is>
          <t>#</t>
        </is>
      </c>
      <c r="B84" s="9" t="inlineStr">
        <is>
          <t>CX2511ASTTSTKWR-M</t>
        </is>
      </c>
      <c r="C84" s="9" t="inlineStr">
        <is>
          <t>AST　Tシャツ（カヲル）M</t>
        </is>
      </c>
      <c r="D84" s="9" t="inlineStr">
        <is>
          <t>DB00</t>
        </is>
      </c>
      <c r="E84" s="9" t="inlineStr">
        <is>
          <t>DBS倉庫</t>
        </is>
      </c>
      <c r="F84" s="10">
        <f>IF(COUNTIFS('XTab DS_1'!$B$2:$B$193,$B84)&gt;=2,"重複","単独")</f>
        <v/>
      </c>
      <c r="G84" s="11">
        <f>SUMIFS('XTab DS_1'!$F$2:$F$193,'XTab DS_1'!$B$2:$B$193,$B84,'XTab DS_1'!$D$2:$D$193,$D84)</f>
        <v/>
      </c>
      <c r="H84" s="12">
        <f>SUMIFS('XTab DS_1'!$G$2:$G$193,'XTab DS_1'!$B$2:$B$193,$B84,'XTab DS_1'!$D$2:$D$193,$D84)</f>
        <v/>
      </c>
    </row>
    <row r="85">
      <c r="A85" s="9" t="inlineStr">
        <is>
          <t>#</t>
        </is>
      </c>
      <c r="B85" s="9" t="inlineStr">
        <is>
          <t>CX2511ASTTSTMR-L</t>
        </is>
      </c>
      <c r="C85" s="9" t="inlineStr">
        <is>
          <t>AST　Tシャツ（マリ）L</t>
        </is>
      </c>
      <c r="D85" s="9" t="inlineStr">
        <is>
          <t>DB00</t>
        </is>
      </c>
      <c r="E85" s="9" t="inlineStr">
        <is>
          <t>DBS倉庫</t>
        </is>
      </c>
      <c r="F85" s="10">
        <f>IF(COUNTIFS('XTab DS_1'!$B$2:$B$193,$B85)&gt;=2,"重複","単独")</f>
        <v/>
      </c>
      <c r="G85" s="11">
        <f>SUMIFS('XTab DS_1'!$F$2:$F$193,'XTab DS_1'!$B$2:$B$193,$B85,'XTab DS_1'!$D$2:$D$193,$D85)</f>
        <v/>
      </c>
      <c r="H85" s="12">
        <f>SUMIFS('XTab DS_1'!$G$2:$G$193,'XTab DS_1'!$B$2:$B$193,$B85,'XTab DS_1'!$D$2:$D$193,$D85)</f>
        <v/>
      </c>
    </row>
    <row r="86">
      <c r="A86" s="9" t="inlineStr">
        <is>
          <t>#</t>
        </is>
      </c>
      <c r="B86" s="9" t="inlineStr">
        <is>
          <t>CX2511ASTTSTMR-M</t>
        </is>
      </c>
      <c r="C86" s="9" t="inlineStr">
        <is>
          <t>AST　Tシャツ（マリ）M</t>
        </is>
      </c>
      <c r="D86" s="9" t="inlineStr">
        <is>
          <t>DB00</t>
        </is>
      </c>
      <c r="E86" s="9" t="inlineStr">
        <is>
          <t>DBS倉庫</t>
        </is>
      </c>
      <c r="F86" s="10">
        <f>IF(COUNTIFS('XTab DS_1'!$B$2:$B$193,$B86)&gt;=2,"重複","単独")</f>
        <v/>
      </c>
      <c r="G86" s="11">
        <f>SUMIFS('XTab DS_1'!$F$2:$F$193,'XTab DS_1'!$B$2:$B$193,$B86,'XTab DS_1'!$D$2:$D$193,$D86)</f>
        <v/>
      </c>
      <c r="H86" s="12">
        <f>SUMIFS('XTab DS_1'!$G$2:$G$193,'XTab DS_1'!$B$2:$B$193,$B86,'XTab DS_1'!$D$2:$D$193,$D86)</f>
        <v/>
      </c>
    </row>
    <row r="87">
      <c r="A87" s="9" t="inlineStr">
        <is>
          <t>#</t>
        </is>
      </c>
      <c r="B87" s="9" t="inlineStr">
        <is>
          <t>CX2511ASTTSTPP-L</t>
        </is>
      </c>
      <c r="C87" s="9" t="inlineStr">
        <is>
          <t>AST　Tシャツ（ペンペン）L</t>
        </is>
      </c>
      <c r="D87" s="9" t="inlineStr">
        <is>
          <t>DB00</t>
        </is>
      </c>
      <c r="E87" s="9" t="inlineStr">
        <is>
          <t>DBS倉庫</t>
        </is>
      </c>
      <c r="F87" s="10">
        <f>IF(COUNTIFS('XTab DS_1'!$B$2:$B$193,$B87)&gt;=2,"重複","単独")</f>
        <v/>
      </c>
      <c r="G87" s="11">
        <f>SUMIFS('XTab DS_1'!$F$2:$F$193,'XTab DS_1'!$B$2:$B$193,$B87,'XTab DS_1'!$D$2:$D$193,$D87)</f>
        <v/>
      </c>
      <c r="H87" s="12">
        <f>SUMIFS('XTab DS_1'!$G$2:$G$193,'XTab DS_1'!$B$2:$B$193,$B87,'XTab DS_1'!$D$2:$D$193,$D87)</f>
        <v/>
      </c>
    </row>
    <row r="88">
      <c r="A88" s="9" t="inlineStr">
        <is>
          <t>#</t>
        </is>
      </c>
      <c r="B88" s="9" t="inlineStr">
        <is>
          <t>CX2511ASTTSTPP-M</t>
        </is>
      </c>
      <c r="C88" s="9" t="inlineStr">
        <is>
          <t>AST　Tシャツ（ペンペン）M</t>
        </is>
      </c>
      <c r="D88" s="9" t="inlineStr">
        <is>
          <t>DB00</t>
        </is>
      </c>
      <c r="E88" s="9" t="inlineStr">
        <is>
          <t>DBS倉庫</t>
        </is>
      </c>
      <c r="F88" s="10">
        <f>IF(COUNTIFS('XTab DS_1'!$B$2:$B$193,$B88)&gt;=2,"重複","単独")</f>
        <v/>
      </c>
      <c r="G88" s="11">
        <f>SUMIFS('XTab DS_1'!$F$2:$F$193,'XTab DS_1'!$B$2:$B$193,$B88,'XTab DS_1'!$D$2:$D$193,$D88)</f>
        <v/>
      </c>
      <c r="H88" s="12">
        <f>SUMIFS('XTab DS_1'!$G$2:$G$193,'XTab DS_1'!$B$2:$B$193,$B88,'XTab DS_1'!$D$2:$D$193,$D88)</f>
        <v/>
      </c>
    </row>
    <row r="89">
      <c r="A89" s="9" t="inlineStr">
        <is>
          <t>#</t>
        </is>
      </c>
      <c r="B89" s="9" t="inlineStr">
        <is>
          <t>CX2511ASTTSTRI-L</t>
        </is>
      </c>
      <c r="C89" s="9" t="inlineStr">
        <is>
          <t>AST　Tシャツ（レイ）L</t>
        </is>
      </c>
      <c r="D89" s="9" t="inlineStr">
        <is>
          <t>DB00</t>
        </is>
      </c>
      <c r="E89" s="9" t="inlineStr">
        <is>
          <t>DBS倉庫</t>
        </is>
      </c>
      <c r="F89" s="10">
        <f>IF(COUNTIFS('XTab DS_1'!$B$2:$B$193,$B89)&gt;=2,"重複","単独")</f>
        <v/>
      </c>
      <c r="G89" s="11">
        <f>SUMIFS('XTab DS_1'!$F$2:$F$193,'XTab DS_1'!$B$2:$B$193,$B89,'XTab DS_1'!$D$2:$D$193,$D89)</f>
        <v/>
      </c>
      <c r="H89" s="12">
        <f>SUMIFS('XTab DS_1'!$G$2:$G$193,'XTab DS_1'!$B$2:$B$193,$B89,'XTab DS_1'!$D$2:$D$193,$D89)</f>
        <v/>
      </c>
    </row>
    <row r="90">
      <c r="A90" s="9" t="inlineStr">
        <is>
          <t>#</t>
        </is>
      </c>
      <c r="B90" s="9" t="inlineStr">
        <is>
          <t>CX2511ASTTSTRI-M</t>
        </is>
      </c>
      <c r="C90" s="9" t="inlineStr">
        <is>
          <t>AST　Tシャツ（レイ）M</t>
        </is>
      </c>
      <c r="D90" s="9" t="inlineStr">
        <is>
          <t>DB00</t>
        </is>
      </c>
      <c r="E90" s="9" t="inlineStr">
        <is>
          <t>DBS倉庫</t>
        </is>
      </c>
      <c r="F90" s="10">
        <f>IF(COUNTIFS('XTab DS_1'!$B$2:$B$193,$B90)&gt;=2,"重複","単独")</f>
        <v/>
      </c>
      <c r="G90" s="11">
        <f>SUMIFS('XTab DS_1'!$F$2:$F$193,'XTab DS_1'!$B$2:$B$193,$B90,'XTab DS_1'!$D$2:$D$193,$D90)</f>
        <v/>
      </c>
      <c r="H90" s="12">
        <f>SUMIFS('XTab DS_1'!$G$2:$G$193,'XTab DS_1'!$B$2:$B$193,$B90,'XTab DS_1'!$D$2:$D$193,$D90)</f>
        <v/>
      </c>
    </row>
    <row r="91">
      <c r="A91" s="9" t="inlineStr">
        <is>
          <t>#</t>
        </is>
      </c>
      <c r="B91" s="9" t="inlineStr">
        <is>
          <t>CX2511ASTTSTSJ-L</t>
        </is>
      </c>
      <c r="C91" s="9" t="inlineStr">
        <is>
          <t>AST　Tシャツ（シンジ）L</t>
        </is>
      </c>
      <c r="D91" s="9" t="inlineStr">
        <is>
          <t>DB00</t>
        </is>
      </c>
      <c r="E91" s="9" t="inlineStr">
        <is>
          <t>DBS倉庫</t>
        </is>
      </c>
      <c r="F91" s="10">
        <f>IF(COUNTIFS('XTab DS_1'!$B$2:$B$193,$B91)&gt;=2,"重複","単独")</f>
        <v/>
      </c>
      <c r="G91" s="11">
        <f>SUMIFS('XTab DS_1'!$F$2:$F$193,'XTab DS_1'!$B$2:$B$193,$B91,'XTab DS_1'!$D$2:$D$193,$D91)</f>
        <v/>
      </c>
      <c r="H91" s="12">
        <f>SUMIFS('XTab DS_1'!$G$2:$G$193,'XTab DS_1'!$B$2:$B$193,$B91,'XTab DS_1'!$D$2:$D$193,$D91)</f>
        <v/>
      </c>
    </row>
    <row r="92">
      <c r="A92" s="9" t="inlineStr">
        <is>
          <t>#</t>
        </is>
      </c>
      <c r="B92" s="9" t="inlineStr">
        <is>
          <t>CX2511ASTTSTSJ-M</t>
        </is>
      </c>
      <c r="C92" s="9" t="inlineStr">
        <is>
          <t>AST　Tシャツ（シンジ）M</t>
        </is>
      </c>
      <c r="D92" s="9" t="inlineStr">
        <is>
          <t>DB00</t>
        </is>
      </c>
      <c r="E92" s="9" t="inlineStr">
        <is>
          <t>DBS倉庫</t>
        </is>
      </c>
      <c r="F92" s="10">
        <f>IF(COUNTIFS('XTab DS_1'!$B$2:$B$193,$B92)&gt;=2,"重複","単独")</f>
        <v/>
      </c>
      <c r="G92" s="11">
        <f>SUMIFS('XTab DS_1'!$F$2:$F$193,'XTab DS_1'!$B$2:$B$193,$B92,'XTab DS_1'!$D$2:$D$193,$D92)</f>
        <v/>
      </c>
      <c r="H92" s="12">
        <f>SUMIFS('XTab DS_1'!$G$2:$G$193,'XTab DS_1'!$B$2:$B$193,$B92,'XTab DS_1'!$D$2:$D$193,$D92)</f>
        <v/>
      </c>
    </row>
    <row r="93">
      <c r="A93" s="9" t="inlineStr">
        <is>
          <t>#</t>
        </is>
      </c>
      <c r="B93" s="9" t="inlineStr">
        <is>
          <t>CX2511ASTUKSNKV</t>
        </is>
      </c>
      <c r="C93" s="9" t="inlineStr">
        <is>
          <t>AST　U型クッション　KV</t>
        </is>
      </c>
      <c r="D93" s="9" t="inlineStr">
        <is>
          <t>DB00</t>
        </is>
      </c>
      <c r="E93" s="9" t="inlineStr">
        <is>
          <t>DBS倉庫</t>
        </is>
      </c>
      <c r="F93" s="10">
        <f>IF(COUNTIFS('XTab DS_1'!$B$2:$B$193,$B93)&gt;=2,"重複","単独")</f>
        <v/>
      </c>
      <c r="G93" s="11">
        <f>SUMIFS('XTab DS_1'!$F$2:$F$193,'XTab DS_1'!$B$2:$B$193,$B93,'XTab DS_1'!$D$2:$D$193,$D93)</f>
        <v/>
      </c>
      <c r="H93" s="12">
        <f>SUMIFS('XTab DS_1'!$G$2:$G$193,'XTab DS_1'!$B$2:$B$193,$B93,'XTab DS_1'!$D$2:$D$193,$D93)</f>
        <v/>
      </c>
    </row>
    <row r="94">
      <c r="A94" s="9" t="inlineStr">
        <is>
          <t>#</t>
        </is>
      </c>
      <c r="B94" s="9" t="inlineStr">
        <is>
          <t>CX2511ASTWBKNGUK</t>
        </is>
      </c>
      <c r="C94" s="9" t="inlineStr">
        <is>
          <t>AST　ウィンドブレーカー（２号機）F</t>
        </is>
      </c>
      <c r="D94" s="9" t="inlineStr">
        <is>
          <t>DB00</t>
        </is>
      </c>
      <c r="E94" s="9" t="inlineStr">
        <is>
          <t>DBS倉庫</t>
        </is>
      </c>
      <c r="F94" s="10">
        <f>IF(COUNTIFS('XTab DS_1'!$B$2:$B$193,$B94)&gt;=2,"重複","単独")</f>
        <v/>
      </c>
      <c r="G94" s="11">
        <f>SUMIFS('XTab DS_1'!$F$2:$F$193,'XTab DS_1'!$B$2:$B$193,$B94,'XTab DS_1'!$D$2:$D$193,$D94)</f>
        <v/>
      </c>
      <c r="H94" s="12">
        <f>SUMIFS('XTab DS_1'!$G$2:$G$193,'XTab DS_1'!$B$2:$B$193,$B94,'XTab DS_1'!$D$2:$D$193,$D94)</f>
        <v/>
      </c>
    </row>
    <row r="95">
      <c r="A95" s="9" t="inlineStr">
        <is>
          <t>#</t>
        </is>
      </c>
      <c r="B95" s="9" t="inlineStr">
        <is>
          <t>CX2511ASTWBKSGUK</t>
        </is>
      </c>
      <c r="C95" s="9" t="inlineStr">
        <is>
          <t>AST　ウィンドブレーカー（初号機）F</t>
        </is>
      </c>
      <c r="D95" s="9" t="inlineStr">
        <is>
          <t>DB00</t>
        </is>
      </c>
      <c r="E95" s="9" t="inlineStr">
        <is>
          <t>DBS倉庫</t>
        </is>
      </c>
      <c r="F95" s="10">
        <f>IF(COUNTIFS('XTab DS_1'!$B$2:$B$193,$B95)&gt;=2,"重複","単独")</f>
        <v/>
      </c>
      <c r="G95" s="11">
        <f>SUMIFS('XTab DS_1'!$F$2:$F$193,'XTab DS_1'!$B$2:$B$193,$B95,'XTab DS_1'!$D$2:$D$193,$D95)</f>
        <v/>
      </c>
      <c r="H95" s="12">
        <f>SUMIFS('XTab DS_1'!$G$2:$G$193,'XTab DS_1'!$B$2:$B$193,$B95,'XTab DS_1'!$D$2:$D$193,$D95)</f>
        <v/>
      </c>
    </row>
    <row r="96">
      <c r="A96" s="9" t="inlineStr">
        <is>
          <t>#</t>
        </is>
      </c>
      <c r="B96" s="9" t="inlineStr">
        <is>
          <t>CX2511ASTWBKZGUK</t>
        </is>
      </c>
      <c r="C96" s="9" t="inlineStr">
        <is>
          <t>AST　ウィンドブレーカー（ゼロ号機）F</t>
        </is>
      </c>
      <c r="D96" s="9" t="inlineStr">
        <is>
          <t>DB00</t>
        </is>
      </c>
      <c r="E96" s="9" t="inlineStr">
        <is>
          <t>DBS倉庫</t>
        </is>
      </c>
      <c r="F96" s="10">
        <f>IF(COUNTIFS('XTab DS_1'!$B$2:$B$193,$B96)&gt;=2,"重複","単独")</f>
        <v/>
      </c>
      <c r="G96" s="11">
        <f>SUMIFS('XTab DS_1'!$F$2:$F$193,'XTab DS_1'!$B$2:$B$193,$B96,'XTab DS_1'!$D$2:$D$193,$D96)</f>
        <v/>
      </c>
      <c r="H96" s="12">
        <f>SUMIFS('XTab DS_1'!$G$2:$G$193,'XTab DS_1'!$B$2:$B$193,$B96,'XTab DS_1'!$D$2:$D$193,$D96)</f>
        <v/>
      </c>
    </row>
    <row r="97">
      <c r="A97" s="9" t="inlineStr">
        <is>
          <t>#</t>
        </is>
      </c>
      <c r="B97" s="9" t="inlineStr">
        <is>
          <t>CX2511ASTWESTPT</t>
        </is>
      </c>
      <c r="C97" s="9" t="inlineStr">
        <is>
          <t>AST　ウェストポーチ</t>
        </is>
      </c>
      <c r="D97" s="9" t="inlineStr">
        <is>
          <t>DB00</t>
        </is>
      </c>
      <c r="E97" s="9" t="inlineStr">
        <is>
          <t>DBS倉庫</t>
        </is>
      </c>
      <c r="F97" s="10">
        <f>IF(COUNTIFS('XTab DS_1'!$B$2:$B$193,$B97)&gt;=2,"重複","単独")</f>
        <v/>
      </c>
      <c r="G97" s="11">
        <f>SUMIFS('XTab DS_1'!$F$2:$F$193,'XTab DS_1'!$B$2:$B$193,$B97,'XTab DS_1'!$D$2:$D$193,$D97)</f>
        <v/>
      </c>
      <c r="H97" s="12">
        <f>SUMIFS('XTab DS_1'!$G$2:$G$193,'XTab DS_1'!$B$2:$B$193,$B97,'XTab DS_1'!$D$2:$D$193,$D97)</f>
        <v/>
      </c>
    </row>
    <row r="98">
      <c r="A98" s="13" t="n"/>
      <c r="B98" s="13" t="n"/>
      <c r="C98" s="14" t="inlineStr">
        <is>
          <t>合計</t>
        </is>
      </c>
      <c r="D98" s="13" t="n"/>
      <c r="E98" s="13" t="n"/>
      <c r="F98" s="13" t="n"/>
      <c r="G98" s="15">
        <f>SUM(G2:G97)</f>
        <v/>
      </c>
      <c r="H98" s="16">
        <f>SUM(H2:H97)</f>
        <v/>
      </c>
    </row>
    <row r="99">
      <c r="A99" s="17" t="n"/>
      <c r="B99" s="17" t="n"/>
      <c r="C99" s="18" t="inlineStr">
        <is>
          <t>うち 重複</t>
        </is>
      </c>
      <c r="D99" s="17" t="n"/>
      <c r="E99" s="17" t="n"/>
      <c r="F99" s="17" t="n"/>
      <c r="G99" s="19">
        <f>SUMIFS(G2:G97,F2:F97,"重複")</f>
        <v/>
      </c>
      <c r="H99" s="20">
        <f>SUMIFS(H2:H97,F2:F97,"重複")</f>
        <v/>
      </c>
    </row>
    <row r="100">
      <c r="A100" s="17" t="n"/>
      <c r="B100" s="17" t="n"/>
      <c r="C100" s="18" t="inlineStr">
        <is>
          <t>うち 単独</t>
        </is>
      </c>
      <c r="D100" s="17" t="n"/>
      <c r="E100" s="17" t="n"/>
      <c r="F100" s="17" t="n"/>
      <c r="G100" s="19">
        <f>SUMIFS(G2:G97,F2:F97,"単独")</f>
        <v/>
      </c>
      <c r="H100" s="20">
        <f>SUMIFS(H2:H97,F2:F97,"単独")</f>
        <v/>
      </c>
    </row>
  </sheetData>
  <autoFilter ref="A1:H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" min="1" max="1"/>
    <col width="24" customWidth="1" style="2" min="2" max="2"/>
    <col width="52" customWidth="1" style="2" min="3" max="3"/>
    <col width="10" customWidth="1" style="2" min="4" max="4"/>
    <col width="8" customWidth="1" style="2" min="5" max="5"/>
    <col width="13" customWidth="1" style="2" min="6" max="6"/>
    <col width="14" customWidth="1" style="2" min="7" max="7"/>
    <col width="13" customWidth="1" style="2" min="8" max="8"/>
    <col width="14" customWidth="1" style="2" min="9" max="9"/>
    <col width="15" customWidth="1" style="2" min="10" max="10"/>
    <col width="18" customWidth="1" style="2" min="11" max="11"/>
  </cols>
  <sheetData>
    <row r="1">
      <c r="A1" s="8" t="inlineStr">
        <is>
          <t>JANコード(EAN/UPC)</t>
        </is>
      </c>
      <c r="B1" s="8" t="inlineStr">
        <is>
          <t>品目コード</t>
        </is>
      </c>
      <c r="C1" s="8" t="inlineStr">
        <is>
          <t>品目テキスト</t>
        </is>
      </c>
      <c r="D1" s="8" t="inlineStr">
        <is>
          <t>登録倉庫数</t>
        </is>
      </c>
      <c r="E1" s="8" t="inlineStr">
        <is>
          <t>区分</t>
        </is>
      </c>
      <c r="F1" s="8" t="inlineStr">
        <is>
          <t>CX催事 数量</t>
        </is>
      </c>
      <c r="G1" s="8" t="inlineStr">
        <is>
          <t>CX催事 金額</t>
        </is>
      </c>
      <c r="H1" s="8" t="inlineStr">
        <is>
          <t>DBS倉庫 数量</t>
        </is>
      </c>
      <c r="I1" s="8" t="inlineStr">
        <is>
          <t>DBS倉庫 金額</t>
        </is>
      </c>
      <c r="J1" s="8" t="inlineStr">
        <is>
          <t>合算 在庫数量</t>
        </is>
      </c>
      <c r="K1" s="8" t="inlineStr">
        <is>
          <t>合算 在庫金額(原価)</t>
        </is>
      </c>
    </row>
    <row r="2">
      <c r="A2" s="9" t="inlineStr">
        <is>
          <t>#</t>
        </is>
      </c>
      <c r="B2" s="9" t="inlineStr">
        <is>
          <t>CX2511ADACDKP</t>
        </is>
      </c>
      <c r="C2" s="9" t="inlineStr">
        <is>
          <t>AD　アクリルカード　コンプリート</t>
        </is>
      </c>
      <c r="D2" s="10">
        <f>COUNTIFS('XTab DS_1'!$B$2:$B$193,$B2)</f>
        <v/>
      </c>
      <c r="E2" s="10">
        <f>IF(D2&gt;=2,"重複","単独")</f>
        <v/>
      </c>
      <c r="F2" s="11">
        <f>SUMIFS('XTab DS_1'!$F$2:$F$193,'XTab DS_1'!$B$2:$B$193,$B2,'XTab DS_1'!$D$2:$D$193,"CX01")</f>
        <v/>
      </c>
      <c r="G2" s="12">
        <f>SUMIFS('XTab DS_1'!$G$2:$G$193,'XTab DS_1'!$B$2:$B$193,$B2,'XTab DS_1'!$D$2:$D$193,"CX01")</f>
        <v/>
      </c>
      <c r="H2" s="11">
        <f>SUMIFS('XTab DS_1'!$F$2:$F$193,'XTab DS_1'!$B$2:$B$193,$B2,'XTab DS_1'!$D$2:$D$193,"DB00")</f>
        <v/>
      </c>
      <c r="I2" s="12">
        <f>SUMIFS('XTab DS_1'!$G$2:$G$193,'XTab DS_1'!$B$2:$B$193,$B2,'XTab DS_1'!$D$2:$D$193,"DB00")</f>
        <v/>
      </c>
      <c r="J2" s="21">
        <f>SUMIFS('XTab DS_1'!$F$2:$F$193,'XTab DS_1'!$B$2:$B$193,$B2)</f>
        <v/>
      </c>
      <c r="K2" s="22">
        <f>SUMIFS('XTab DS_1'!$G$2:$G$193,'XTab DS_1'!$B$2:$B$193,$B2)</f>
        <v/>
      </c>
    </row>
    <row r="3">
      <c r="A3" s="9" t="inlineStr">
        <is>
          <t>#</t>
        </is>
      </c>
      <c r="B3" s="9" t="inlineStr">
        <is>
          <t>CX2511ADAST-ASK</t>
        </is>
      </c>
      <c r="C3" s="9" t="inlineStr">
        <is>
          <t>AD　アクリルスタンド　（アスカ）</t>
        </is>
      </c>
      <c r="D3" s="10">
        <f>COUNTIFS('XTab DS_1'!$B$2:$B$193,$B3)</f>
        <v/>
      </c>
      <c r="E3" s="10">
        <f>IF(D3&gt;=2,"重複","単独")</f>
        <v/>
      </c>
      <c r="F3" s="11">
        <f>SUMIFS('XTab DS_1'!$F$2:$F$193,'XTab DS_1'!$B$2:$B$193,$B3,'XTab DS_1'!$D$2:$D$193,"CX01")</f>
        <v/>
      </c>
      <c r="G3" s="12">
        <f>SUMIFS('XTab DS_1'!$G$2:$G$193,'XTab DS_1'!$B$2:$B$193,$B3,'XTab DS_1'!$D$2:$D$193,"CX01")</f>
        <v/>
      </c>
      <c r="H3" s="11">
        <f>SUMIFS('XTab DS_1'!$F$2:$F$193,'XTab DS_1'!$B$2:$B$193,$B3,'XTab DS_1'!$D$2:$D$193,"DB00")</f>
        <v/>
      </c>
      <c r="I3" s="12">
        <f>SUMIFS('XTab DS_1'!$G$2:$G$193,'XTab DS_1'!$B$2:$B$193,$B3,'XTab DS_1'!$D$2:$D$193,"DB00")</f>
        <v/>
      </c>
      <c r="J3" s="21">
        <f>SUMIFS('XTab DS_1'!$F$2:$F$193,'XTab DS_1'!$B$2:$B$193,$B3)</f>
        <v/>
      </c>
      <c r="K3" s="22">
        <f>SUMIFS('XTab DS_1'!$G$2:$G$193,'XTab DS_1'!$B$2:$B$193,$B3)</f>
        <v/>
      </c>
    </row>
    <row r="4">
      <c r="A4" s="9" t="inlineStr">
        <is>
          <t>#</t>
        </is>
      </c>
      <c r="B4" s="9" t="inlineStr">
        <is>
          <t>CX2511ADAST-IKR</t>
        </is>
      </c>
      <c r="C4" s="9" t="inlineStr">
        <is>
          <t>AD　アクリルスタンド　（碇ゲンドウ）</t>
        </is>
      </c>
      <c r="D4" s="10">
        <f>COUNTIFS('XTab DS_1'!$B$2:$B$193,$B4)</f>
        <v/>
      </c>
      <c r="E4" s="10">
        <f>IF(D4&gt;=2,"重複","単独")</f>
        <v/>
      </c>
      <c r="F4" s="11">
        <f>SUMIFS('XTab DS_1'!$F$2:$F$193,'XTab DS_1'!$B$2:$B$193,$B4,'XTab DS_1'!$D$2:$D$193,"CX01")</f>
        <v/>
      </c>
      <c r="G4" s="12">
        <f>SUMIFS('XTab DS_1'!$G$2:$G$193,'XTab DS_1'!$B$2:$B$193,$B4,'XTab DS_1'!$D$2:$D$193,"CX01")</f>
        <v/>
      </c>
      <c r="H4" s="11">
        <f>SUMIFS('XTab DS_1'!$F$2:$F$193,'XTab DS_1'!$B$2:$B$193,$B4,'XTab DS_1'!$D$2:$D$193,"DB00")</f>
        <v/>
      </c>
      <c r="I4" s="12">
        <f>SUMIFS('XTab DS_1'!$G$2:$G$193,'XTab DS_1'!$B$2:$B$193,$B4,'XTab DS_1'!$D$2:$D$193,"DB00")</f>
        <v/>
      </c>
      <c r="J4" s="21">
        <f>SUMIFS('XTab DS_1'!$F$2:$F$193,'XTab DS_1'!$B$2:$B$193,$B4)</f>
        <v/>
      </c>
      <c r="K4" s="22">
        <f>SUMIFS('XTab DS_1'!$G$2:$G$193,'XTab DS_1'!$B$2:$B$193,$B4)</f>
        <v/>
      </c>
    </row>
    <row r="5">
      <c r="A5" s="9" t="inlineStr">
        <is>
          <t>#</t>
        </is>
      </c>
      <c r="B5" s="9" t="inlineStr">
        <is>
          <t>CX2511ADAST-KJ</t>
        </is>
      </c>
      <c r="C5" s="9" t="inlineStr">
        <is>
          <t>AD　アクリルスタンド　（加持良治）</t>
        </is>
      </c>
      <c r="D5" s="10">
        <f>COUNTIFS('XTab DS_1'!$B$2:$B$193,$B5)</f>
        <v/>
      </c>
      <c r="E5" s="10">
        <f>IF(D5&gt;=2,"重複","単独")</f>
        <v/>
      </c>
      <c r="F5" s="11">
        <f>SUMIFS('XTab DS_1'!$F$2:$F$193,'XTab DS_1'!$B$2:$B$193,$B5,'XTab DS_1'!$D$2:$D$193,"CX01")</f>
        <v/>
      </c>
      <c r="G5" s="12">
        <f>SUMIFS('XTab DS_1'!$G$2:$G$193,'XTab DS_1'!$B$2:$B$193,$B5,'XTab DS_1'!$D$2:$D$193,"CX01")</f>
        <v/>
      </c>
      <c r="H5" s="11">
        <f>SUMIFS('XTab DS_1'!$F$2:$F$193,'XTab DS_1'!$B$2:$B$193,$B5,'XTab DS_1'!$D$2:$D$193,"DB00")</f>
        <v/>
      </c>
      <c r="I5" s="12">
        <f>SUMIFS('XTab DS_1'!$G$2:$G$193,'XTab DS_1'!$B$2:$B$193,$B5,'XTab DS_1'!$D$2:$D$193,"DB00")</f>
        <v/>
      </c>
      <c r="J5" s="21">
        <f>SUMIFS('XTab DS_1'!$F$2:$F$193,'XTab DS_1'!$B$2:$B$193,$B5)</f>
        <v/>
      </c>
      <c r="K5" s="22">
        <f>SUMIFS('XTab DS_1'!$G$2:$G$193,'XTab DS_1'!$B$2:$B$193,$B5)</f>
        <v/>
      </c>
    </row>
    <row r="6">
      <c r="A6" s="9" t="inlineStr">
        <is>
          <t>#</t>
        </is>
      </c>
      <c r="B6" s="9" t="inlineStr">
        <is>
          <t>CX2511ADAST-KWR</t>
        </is>
      </c>
      <c r="C6" s="9" t="inlineStr">
        <is>
          <t>AD　アクリルスタンド　（カヲル）</t>
        </is>
      </c>
      <c r="D6" s="10">
        <f>COUNTIFS('XTab DS_1'!$B$2:$B$193,$B6)</f>
        <v/>
      </c>
      <c r="E6" s="10">
        <f>IF(D6&gt;=2,"重複","単独")</f>
        <v/>
      </c>
      <c r="F6" s="11">
        <f>SUMIFS('XTab DS_1'!$F$2:$F$193,'XTab DS_1'!$B$2:$B$193,$B6,'XTab DS_1'!$D$2:$D$193,"CX01")</f>
        <v/>
      </c>
      <c r="G6" s="12">
        <f>SUMIFS('XTab DS_1'!$G$2:$G$193,'XTab DS_1'!$B$2:$B$193,$B6,'XTab DS_1'!$D$2:$D$193,"CX01")</f>
        <v/>
      </c>
      <c r="H6" s="11">
        <f>SUMIFS('XTab DS_1'!$F$2:$F$193,'XTab DS_1'!$B$2:$B$193,$B6,'XTab DS_1'!$D$2:$D$193,"DB00")</f>
        <v/>
      </c>
      <c r="I6" s="12">
        <f>SUMIFS('XTab DS_1'!$G$2:$G$193,'XTab DS_1'!$B$2:$B$193,$B6,'XTab DS_1'!$D$2:$D$193,"DB00")</f>
        <v/>
      </c>
      <c r="J6" s="21">
        <f>SUMIFS('XTab DS_1'!$F$2:$F$193,'XTab DS_1'!$B$2:$B$193,$B6)</f>
        <v/>
      </c>
      <c r="K6" s="22">
        <f>SUMIFS('XTab DS_1'!$G$2:$G$193,'XTab DS_1'!$B$2:$B$193,$B6)</f>
        <v/>
      </c>
    </row>
    <row r="7">
      <c r="A7" s="9" t="inlineStr">
        <is>
          <t>#</t>
        </is>
      </c>
      <c r="B7" s="9" t="inlineStr">
        <is>
          <t>CX2511ADAST-MR</t>
        </is>
      </c>
      <c r="C7" s="9" t="inlineStr">
        <is>
          <t>AD　アクリルスタンド　（マリ）</t>
        </is>
      </c>
      <c r="D7" s="10">
        <f>COUNTIFS('XTab DS_1'!$B$2:$B$193,$B7)</f>
        <v/>
      </c>
      <c r="E7" s="10">
        <f>IF(D7&gt;=2,"重複","単独")</f>
        <v/>
      </c>
      <c r="F7" s="11">
        <f>SUMIFS('XTab DS_1'!$F$2:$F$193,'XTab DS_1'!$B$2:$B$193,$B7,'XTab DS_1'!$D$2:$D$193,"CX01")</f>
        <v/>
      </c>
      <c r="G7" s="12">
        <f>SUMIFS('XTab DS_1'!$G$2:$G$193,'XTab DS_1'!$B$2:$B$193,$B7,'XTab DS_1'!$D$2:$D$193,"CX01")</f>
        <v/>
      </c>
      <c r="H7" s="11">
        <f>SUMIFS('XTab DS_1'!$F$2:$F$193,'XTab DS_1'!$B$2:$B$193,$B7,'XTab DS_1'!$D$2:$D$193,"DB00")</f>
        <v/>
      </c>
      <c r="I7" s="12">
        <f>SUMIFS('XTab DS_1'!$G$2:$G$193,'XTab DS_1'!$B$2:$B$193,$B7,'XTab DS_1'!$D$2:$D$193,"DB00")</f>
        <v/>
      </c>
      <c r="J7" s="21">
        <f>SUMIFS('XTab DS_1'!$F$2:$F$193,'XTab DS_1'!$B$2:$B$193,$B7)</f>
        <v/>
      </c>
      <c r="K7" s="22">
        <f>SUMIFS('XTab DS_1'!$G$2:$G$193,'XTab DS_1'!$B$2:$B$193,$B7)</f>
        <v/>
      </c>
    </row>
    <row r="8">
      <c r="A8" s="9" t="inlineStr">
        <is>
          <t>#</t>
        </is>
      </c>
      <c r="B8" s="9" t="inlineStr">
        <is>
          <t>CX2511ADAST-MST</t>
        </is>
      </c>
      <c r="C8" s="9" t="inlineStr">
        <is>
          <t>AD　アクリルスタンド　（美里）</t>
        </is>
      </c>
      <c r="D8" s="10">
        <f>COUNTIFS('XTab DS_1'!$B$2:$B$193,$B8)</f>
        <v/>
      </c>
      <c r="E8" s="10">
        <f>IF(D8&gt;=2,"重複","単独")</f>
        <v/>
      </c>
      <c r="F8" s="11">
        <f>SUMIFS('XTab DS_1'!$F$2:$F$193,'XTab DS_1'!$B$2:$B$193,$B8,'XTab DS_1'!$D$2:$D$193,"CX01")</f>
        <v/>
      </c>
      <c r="G8" s="12">
        <f>SUMIFS('XTab DS_1'!$G$2:$G$193,'XTab DS_1'!$B$2:$B$193,$B8,'XTab DS_1'!$D$2:$D$193,"CX01")</f>
        <v/>
      </c>
      <c r="H8" s="11">
        <f>SUMIFS('XTab DS_1'!$F$2:$F$193,'XTab DS_1'!$B$2:$B$193,$B8,'XTab DS_1'!$D$2:$D$193,"DB00")</f>
        <v/>
      </c>
      <c r="I8" s="12">
        <f>SUMIFS('XTab DS_1'!$G$2:$G$193,'XTab DS_1'!$B$2:$B$193,$B8,'XTab DS_1'!$D$2:$D$193,"DB00")</f>
        <v/>
      </c>
      <c r="J8" s="21">
        <f>SUMIFS('XTab DS_1'!$F$2:$F$193,'XTab DS_1'!$B$2:$B$193,$B8)</f>
        <v/>
      </c>
      <c r="K8" s="22">
        <f>SUMIFS('XTab DS_1'!$G$2:$G$193,'XTab DS_1'!$B$2:$B$193,$B8)</f>
        <v/>
      </c>
    </row>
    <row r="9">
      <c r="A9" s="9" t="inlineStr">
        <is>
          <t>#</t>
        </is>
      </c>
      <c r="B9" s="9" t="inlineStr">
        <is>
          <t>CX2511ADAST-PP</t>
        </is>
      </c>
      <c r="C9" s="9" t="inlineStr">
        <is>
          <t>AD　アクリルスタンド　（ペンペン）</t>
        </is>
      </c>
      <c r="D9" s="10">
        <f>COUNTIFS('XTab DS_1'!$B$2:$B$193,$B9)</f>
        <v/>
      </c>
      <c r="E9" s="10">
        <f>IF(D9&gt;=2,"重複","単独")</f>
        <v/>
      </c>
      <c r="F9" s="11">
        <f>SUMIFS('XTab DS_1'!$F$2:$F$193,'XTab DS_1'!$B$2:$B$193,$B9,'XTab DS_1'!$D$2:$D$193,"CX01")</f>
        <v/>
      </c>
      <c r="G9" s="12">
        <f>SUMIFS('XTab DS_1'!$G$2:$G$193,'XTab DS_1'!$B$2:$B$193,$B9,'XTab DS_1'!$D$2:$D$193,"CX01")</f>
        <v/>
      </c>
      <c r="H9" s="11">
        <f>SUMIFS('XTab DS_1'!$F$2:$F$193,'XTab DS_1'!$B$2:$B$193,$B9,'XTab DS_1'!$D$2:$D$193,"DB00")</f>
        <v/>
      </c>
      <c r="I9" s="12">
        <f>SUMIFS('XTab DS_1'!$G$2:$G$193,'XTab DS_1'!$B$2:$B$193,$B9,'XTab DS_1'!$D$2:$D$193,"DB00")</f>
        <v/>
      </c>
      <c r="J9" s="21">
        <f>SUMIFS('XTab DS_1'!$F$2:$F$193,'XTab DS_1'!$B$2:$B$193,$B9)</f>
        <v/>
      </c>
      <c r="K9" s="22">
        <f>SUMIFS('XTab DS_1'!$G$2:$G$193,'XTab DS_1'!$B$2:$B$193,$B9)</f>
        <v/>
      </c>
    </row>
    <row r="10">
      <c r="A10" s="9" t="inlineStr">
        <is>
          <t>#</t>
        </is>
      </c>
      <c r="B10" s="9" t="inlineStr">
        <is>
          <t>CX2511ADAST-RI</t>
        </is>
      </c>
      <c r="C10" s="9" t="inlineStr">
        <is>
          <t>AD　アクリルスタンド　（レイ）</t>
        </is>
      </c>
      <c r="D10" s="10">
        <f>COUNTIFS('XTab DS_1'!$B$2:$B$193,$B10)</f>
        <v/>
      </c>
      <c r="E10" s="10">
        <f>IF(D10&gt;=2,"重複","単独")</f>
        <v/>
      </c>
      <c r="F10" s="11">
        <f>SUMIFS('XTab DS_1'!$F$2:$F$193,'XTab DS_1'!$B$2:$B$193,$B10,'XTab DS_1'!$D$2:$D$193,"CX01")</f>
        <v/>
      </c>
      <c r="G10" s="12">
        <f>SUMIFS('XTab DS_1'!$G$2:$G$193,'XTab DS_1'!$B$2:$B$193,$B10,'XTab DS_1'!$D$2:$D$193,"CX01")</f>
        <v/>
      </c>
      <c r="H10" s="11">
        <f>SUMIFS('XTab DS_1'!$F$2:$F$193,'XTab DS_1'!$B$2:$B$193,$B10,'XTab DS_1'!$D$2:$D$193,"DB00")</f>
        <v/>
      </c>
      <c r="I10" s="12">
        <f>SUMIFS('XTab DS_1'!$G$2:$G$193,'XTab DS_1'!$B$2:$B$193,$B10,'XTab DS_1'!$D$2:$D$193,"DB00")</f>
        <v/>
      </c>
      <c r="J10" s="21">
        <f>SUMIFS('XTab DS_1'!$F$2:$F$193,'XTab DS_1'!$B$2:$B$193,$B10)</f>
        <v/>
      </c>
      <c r="K10" s="22">
        <f>SUMIFS('XTab DS_1'!$G$2:$G$193,'XTab DS_1'!$B$2:$B$193,$B10)</f>
        <v/>
      </c>
    </row>
    <row r="11">
      <c r="A11" s="9" t="inlineStr">
        <is>
          <t>#</t>
        </is>
      </c>
      <c r="B11" s="9" t="inlineStr">
        <is>
          <t>CX2511ADAST-RTK</t>
        </is>
      </c>
      <c r="C11" s="9" t="inlineStr">
        <is>
          <t>AD　アクリルスタンド　（律子）</t>
        </is>
      </c>
      <c r="D11" s="10">
        <f>COUNTIFS('XTab DS_1'!$B$2:$B$193,$B11)</f>
        <v/>
      </c>
      <c r="E11" s="10">
        <f>IF(D11&gt;=2,"重複","単独")</f>
        <v/>
      </c>
      <c r="F11" s="11">
        <f>SUMIFS('XTab DS_1'!$F$2:$F$193,'XTab DS_1'!$B$2:$B$193,$B11,'XTab DS_1'!$D$2:$D$193,"CX01")</f>
        <v/>
      </c>
      <c r="G11" s="12">
        <f>SUMIFS('XTab DS_1'!$G$2:$G$193,'XTab DS_1'!$B$2:$B$193,$B11,'XTab DS_1'!$D$2:$D$193,"CX01")</f>
        <v/>
      </c>
      <c r="H11" s="11">
        <f>SUMIFS('XTab DS_1'!$F$2:$F$193,'XTab DS_1'!$B$2:$B$193,$B11,'XTab DS_1'!$D$2:$D$193,"DB00")</f>
        <v/>
      </c>
      <c r="I11" s="12">
        <f>SUMIFS('XTab DS_1'!$G$2:$G$193,'XTab DS_1'!$B$2:$B$193,$B11,'XTab DS_1'!$D$2:$D$193,"DB00")</f>
        <v/>
      </c>
      <c r="J11" s="21">
        <f>SUMIFS('XTab DS_1'!$F$2:$F$193,'XTab DS_1'!$B$2:$B$193,$B11)</f>
        <v/>
      </c>
      <c r="K11" s="22">
        <f>SUMIFS('XTab DS_1'!$G$2:$G$193,'XTab DS_1'!$B$2:$B$193,$B11)</f>
        <v/>
      </c>
    </row>
    <row r="12">
      <c r="A12" s="9" t="inlineStr">
        <is>
          <t>#</t>
        </is>
      </c>
      <c r="B12" s="9" t="inlineStr">
        <is>
          <t>CX2511ADAST-SJ</t>
        </is>
      </c>
      <c r="C12" s="9" t="inlineStr">
        <is>
          <t>AD　アクリルスタンド　（シンジ）</t>
        </is>
      </c>
      <c r="D12" s="10">
        <f>COUNTIFS('XTab DS_1'!$B$2:$B$193,$B12)</f>
        <v/>
      </c>
      <c r="E12" s="10">
        <f>IF(D12&gt;=2,"重複","単独")</f>
        <v/>
      </c>
      <c r="F12" s="11">
        <f>SUMIFS('XTab DS_1'!$F$2:$F$193,'XTab DS_1'!$B$2:$B$193,$B12,'XTab DS_1'!$D$2:$D$193,"CX01")</f>
        <v/>
      </c>
      <c r="G12" s="12">
        <f>SUMIFS('XTab DS_1'!$G$2:$G$193,'XTab DS_1'!$B$2:$B$193,$B12,'XTab DS_1'!$D$2:$D$193,"CX01")</f>
        <v/>
      </c>
      <c r="H12" s="11">
        <f>SUMIFS('XTab DS_1'!$F$2:$F$193,'XTab DS_1'!$B$2:$B$193,$B12,'XTab DS_1'!$D$2:$D$193,"DB00")</f>
        <v/>
      </c>
      <c r="I12" s="12">
        <f>SUMIFS('XTab DS_1'!$G$2:$G$193,'XTab DS_1'!$B$2:$B$193,$B12,'XTab DS_1'!$D$2:$D$193,"DB00")</f>
        <v/>
      </c>
      <c r="J12" s="21">
        <f>SUMIFS('XTab DS_1'!$F$2:$F$193,'XTab DS_1'!$B$2:$B$193,$B12)</f>
        <v/>
      </c>
      <c r="K12" s="22">
        <f>SUMIFS('XTab DS_1'!$G$2:$G$193,'XTab DS_1'!$B$2:$B$193,$B12)</f>
        <v/>
      </c>
    </row>
    <row r="13">
      <c r="A13" s="9" t="inlineStr">
        <is>
          <t>#</t>
        </is>
      </c>
      <c r="B13" s="9" t="inlineStr">
        <is>
          <t>CX2511ADASTKV</t>
        </is>
      </c>
      <c r="C13" s="9" t="inlineStr">
        <is>
          <t>AD　アクリルスタンド　KV</t>
        </is>
      </c>
      <c r="D13" s="10">
        <f>COUNTIFS('XTab DS_1'!$B$2:$B$193,$B13)</f>
        <v/>
      </c>
      <c r="E13" s="10">
        <f>IF(D13&gt;=2,"重複","単独")</f>
        <v/>
      </c>
      <c r="F13" s="11">
        <f>SUMIFS('XTab DS_1'!$F$2:$F$193,'XTab DS_1'!$B$2:$B$193,$B13,'XTab DS_1'!$D$2:$D$193,"CX01")</f>
        <v/>
      </c>
      <c r="G13" s="12">
        <f>SUMIFS('XTab DS_1'!$G$2:$G$193,'XTab DS_1'!$B$2:$B$193,$B13,'XTab DS_1'!$D$2:$D$193,"CX01")</f>
        <v/>
      </c>
      <c r="H13" s="11">
        <f>SUMIFS('XTab DS_1'!$F$2:$F$193,'XTab DS_1'!$B$2:$B$193,$B13,'XTab DS_1'!$D$2:$D$193,"DB00")</f>
        <v/>
      </c>
      <c r="I13" s="12">
        <f>SUMIFS('XTab DS_1'!$G$2:$G$193,'XTab DS_1'!$B$2:$B$193,$B13,'XTab DS_1'!$D$2:$D$193,"DB00")</f>
        <v/>
      </c>
      <c r="J13" s="21">
        <f>SUMIFS('XTab DS_1'!$F$2:$F$193,'XTab DS_1'!$B$2:$B$193,$B13)</f>
        <v/>
      </c>
      <c r="K13" s="22">
        <f>SUMIFS('XTab DS_1'!$G$2:$G$193,'XTab DS_1'!$B$2:$B$193,$B13)</f>
        <v/>
      </c>
    </row>
    <row r="14">
      <c r="A14" s="9" t="inlineStr">
        <is>
          <t>#</t>
        </is>
      </c>
      <c r="B14" s="9" t="inlineStr">
        <is>
          <t>CX2511ADBDGKVKP</t>
        </is>
      </c>
      <c r="C14" s="9" t="inlineStr">
        <is>
          <t>AD　缶バッジ　KV　コンプリート</t>
        </is>
      </c>
      <c r="D14" s="10">
        <f>COUNTIFS('XTab DS_1'!$B$2:$B$193,$B14)</f>
        <v/>
      </c>
      <c r="E14" s="10">
        <f>IF(D14&gt;=2,"重複","単独")</f>
        <v/>
      </c>
      <c r="F14" s="11">
        <f>SUMIFS('XTab DS_1'!$F$2:$F$193,'XTab DS_1'!$B$2:$B$193,$B14,'XTab DS_1'!$D$2:$D$193,"CX01")</f>
        <v/>
      </c>
      <c r="G14" s="12">
        <f>SUMIFS('XTab DS_1'!$G$2:$G$193,'XTab DS_1'!$B$2:$B$193,$B14,'XTab DS_1'!$D$2:$D$193,"CX01")</f>
        <v/>
      </c>
      <c r="H14" s="11">
        <f>SUMIFS('XTab DS_1'!$F$2:$F$193,'XTab DS_1'!$B$2:$B$193,$B14,'XTab DS_1'!$D$2:$D$193,"DB00")</f>
        <v/>
      </c>
      <c r="I14" s="12">
        <f>SUMIFS('XTab DS_1'!$G$2:$G$193,'XTab DS_1'!$B$2:$B$193,$B14,'XTab DS_1'!$D$2:$D$193,"DB00")</f>
        <v/>
      </c>
      <c r="J14" s="21">
        <f>SUMIFS('XTab DS_1'!$F$2:$F$193,'XTab DS_1'!$B$2:$B$193,$B14)</f>
        <v/>
      </c>
      <c r="K14" s="22">
        <f>SUMIFS('XTab DS_1'!$G$2:$G$193,'XTab DS_1'!$B$2:$B$193,$B14)</f>
        <v/>
      </c>
    </row>
    <row r="15">
      <c r="A15" s="9" t="inlineStr">
        <is>
          <t>#</t>
        </is>
      </c>
      <c r="B15" s="9" t="inlineStr">
        <is>
          <t>CX2511ADBDGRMXKP</t>
        </is>
      </c>
      <c r="C15" s="9" t="inlineStr">
        <is>
          <t>AD　缶バッジ　2023REMIXコンプリート</t>
        </is>
      </c>
      <c r="D15" s="10">
        <f>COUNTIFS('XTab DS_1'!$B$2:$B$193,$B15)</f>
        <v/>
      </c>
      <c r="E15" s="10">
        <f>IF(D15&gt;=2,"重複","単独")</f>
        <v/>
      </c>
      <c r="F15" s="11">
        <f>SUMIFS('XTab DS_1'!$F$2:$F$193,'XTab DS_1'!$B$2:$B$193,$B15,'XTab DS_1'!$D$2:$D$193,"CX01")</f>
        <v/>
      </c>
      <c r="G15" s="12">
        <f>SUMIFS('XTab DS_1'!$G$2:$G$193,'XTab DS_1'!$B$2:$B$193,$B15,'XTab DS_1'!$D$2:$D$193,"CX01")</f>
        <v/>
      </c>
      <c r="H15" s="11">
        <f>SUMIFS('XTab DS_1'!$F$2:$F$193,'XTab DS_1'!$B$2:$B$193,$B15,'XTab DS_1'!$D$2:$D$193,"DB00")</f>
        <v/>
      </c>
      <c r="I15" s="12">
        <f>SUMIFS('XTab DS_1'!$G$2:$G$193,'XTab DS_1'!$B$2:$B$193,$B15,'XTab DS_1'!$D$2:$D$193,"DB00")</f>
        <v/>
      </c>
      <c r="J15" s="21">
        <f>SUMIFS('XTab DS_1'!$F$2:$F$193,'XTab DS_1'!$B$2:$B$193,$B15)</f>
        <v/>
      </c>
      <c r="K15" s="22">
        <f>SUMIFS('XTab DS_1'!$G$2:$G$193,'XTab DS_1'!$B$2:$B$193,$B15)</f>
        <v/>
      </c>
    </row>
    <row r="16">
      <c r="A16" s="9" t="inlineStr">
        <is>
          <t>#</t>
        </is>
      </c>
      <c r="B16" s="9" t="inlineStr">
        <is>
          <t>CX2511ADJYJ-ASK</t>
        </is>
      </c>
      <c r="C16" s="9" t="inlineStr">
        <is>
          <t>AD　ジャージ（ASUKA）F</t>
        </is>
      </c>
      <c r="D16" s="10">
        <f>COUNTIFS('XTab DS_1'!$B$2:$B$193,$B16)</f>
        <v/>
      </c>
      <c r="E16" s="10">
        <f>IF(D16&gt;=2,"重複","単独")</f>
        <v/>
      </c>
      <c r="F16" s="11">
        <f>SUMIFS('XTab DS_1'!$F$2:$F$193,'XTab DS_1'!$B$2:$B$193,$B16,'XTab DS_1'!$D$2:$D$193,"CX01")</f>
        <v/>
      </c>
      <c r="G16" s="12">
        <f>SUMIFS('XTab DS_1'!$G$2:$G$193,'XTab DS_1'!$B$2:$B$193,$B16,'XTab DS_1'!$D$2:$D$193,"CX01")</f>
        <v/>
      </c>
      <c r="H16" s="11">
        <f>SUMIFS('XTab DS_1'!$F$2:$F$193,'XTab DS_1'!$B$2:$B$193,$B16,'XTab DS_1'!$D$2:$D$193,"DB00")</f>
        <v/>
      </c>
      <c r="I16" s="12">
        <f>SUMIFS('XTab DS_1'!$G$2:$G$193,'XTab DS_1'!$B$2:$B$193,$B16,'XTab DS_1'!$D$2:$D$193,"DB00")</f>
        <v/>
      </c>
      <c r="J16" s="21">
        <f>SUMIFS('XTab DS_1'!$F$2:$F$193,'XTab DS_1'!$B$2:$B$193,$B16)</f>
        <v/>
      </c>
      <c r="K16" s="22">
        <f>SUMIFS('XTab DS_1'!$G$2:$G$193,'XTab DS_1'!$B$2:$B$193,$B16)</f>
        <v/>
      </c>
    </row>
    <row r="17">
      <c r="A17" s="9" t="inlineStr">
        <is>
          <t>#</t>
        </is>
      </c>
      <c r="B17" s="9" t="inlineStr">
        <is>
          <t>CX2511ADJYJ-KWR</t>
        </is>
      </c>
      <c r="C17" s="9" t="inlineStr">
        <is>
          <t>AD　ジャージ（KAWORU）F</t>
        </is>
      </c>
      <c r="D17" s="10">
        <f>COUNTIFS('XTab DS_1'!$B$2:$B$193,$B17)</f>
        <v/>
      </c>
      <c r="E17" s="10">
        <f>IF(D17&gt;=2,"重複","単独")</f>
        <v/>
      </c>
      <c r="F17" s="11">
        <f>SUMIFS('XTab DS_1'!$F$2:$F$193,'XTab DS_1'!$B$2:$B$193,$B17,'XTab DS_1'!$D$2:$D$193,"CX01")</f>
        <v/>
      </c>
      <c r="G17" s="12">
        <f>SUMIFS('XTab DS_1'!$G$2:$G$193,'XTab DS_1'!$B$2:$B$193,$B17,'XTab DS_1'!$D$2:$D$193,"CX01")</f>
        <v/>
      </c>
      <c r="H17" s="11">
        <f>SUMIFS('XTab DS_1'!$F$2:$F$193,'XTab DS_1'!$B$2:$B$193,$B17,'XTab DS_1'!$D$2:$D$193,"DB00")</f>
        <v/>
      </c>
      <c r="I17" s="12">
        <f>SUMIFS('XTab DS_1'!$G$2:$G$193,'XTab DS_1'!$B$2:$B$193,$B17,'XTab DS_1'!$D$2:$D$193,"DB00")</f>
        <v/>
      </c>
      <c r="J17" s="21">
        <f>SUMIFS('XTab DS_1'!$F$2:$F$193,'XTab DS_1'!$B$2:$B$193,$B17)</f>
        <v/>
      </c>
      <c r="K17" s="22">
        <f>SUMIFS('XTab DS_1'!$G$2:$G$193,'XTab DS_1'!$B$2:$B$193,$B17)</f>
        <v/>
      </c>
    </row>
    <row r="18">
      <c r="A18" s="9" t="inlineStr">
        <is>
          <t>#</t>
        </is>
      </c>
      <c r="B18" s="9" t="inlineStr">
        <is>
          <t>CX2511ADJYJ-RI</t>
        </is>
      </c>
      <c r="C18" s="9" t="inlineStr">
        <is>
          <t>AD　ジャージ（REI）F</t>
        </is>
      </c>
      <c r="D18" s="10">
        <f>COUNTIFS('XTab DS_1'!$B$2:$B$193,$B18)</f>
        <v/>
      </c>
      <c r="E18" s="10">
        <f>IF(D18&gt;=2,"重複","単独")</f>
        <v/>
      </c>
      <c r="F18" s="11">
        <f>SUMIFS('XTab DS_1'!$F$2:$F$193,'XTab DS_1'!$B$2:$B$193,$B18,'XTab DS_1'!$D$2:$D$193,"CX01")</f>
        <v/>
      </c>
      <c r="G18" s="12">
        <f>SUMIFS('XTab DS_1'!$G$2:$G$193,'XTab DS_1'!$B$2:$B$193,$B18,'XTab DS_1'!$D$2:$D$193,"CX01")</f>
        <v/>
      </c>
      <c r="H18" s="11">
        <f>SUMIFS('XTab DS_1'!$F$2:$F$193,'XTab DS_1'!$B$2:$B$193,$B18,'XTab DS_1'!$D$2:$D$193,"DB00")</f>
        <v/>
      </c>
      <c r="I18" s="12">
        <f>SUMIFS('XTab DS_1'!$G$2:$G$193,'XTab DS_1'!$B$2:$B$193,$B18,'XTab DS_1'!$D$2:$D$193,"DB00")</f>
        <v/>
      </c>
      <c r="J18" s="21">
        <f>SUMIFS('XTab DS_1'!$F$2:$F$193,'XTab DS_1'!$B$2:$B$193,$B18)</f>
        <v/>
      </c>
      <c r="K18" s="22">
        <f>SUMIFS('XTab DS_1'!$G$2:$G$193,'XTab DS_1'!$B$2:$B$193,$B18)</f>
        <v/>
      </c>
    </row>
    <row r="19">
      <c r="A19" s="9" t="inlineStr">
        <is>
          <t>#</t>
        </is>
      </c>
      <c r="B19" s="9" t="inlineStr">
        <is>
          <t>CX2511ADJYJ-SJ</t>
        </is>
      </c>
      <c r="C19" s="9" t="inlineStr">
        <is>
          <t>AD　ジャージ（SHINJI）F</t>
        </is>
      </c>
      <c r="D19" s="10">
        <f>COUNTIFS('XTab DS_1'!$B$2:$B$193,$B19)</f>
        <v/>
      </c>
      <c r="E19" s="10">
        <f>IF(D19&gt;=2,"重複","単独")</f>
        <v/>
      </c>
      <c r="F19" s="11">
        <f>SUMIFS('XTab DS_1'!$F$2:$F$193,'XTab DS_1'!$B$2:$B$193,$B19,'XTab DS_1'!$D$2:$D$193,"CX01")</f>
        <v/>
      </c>
      <c r="G19" s="12">
        <f>SUMIFS('XTab DS_1'!$G$2:$G$193,'XTab DS_1'!$B$2:$B$193,$B19,'XTab DS_1'!$D$2:$D$193,"CX01")</f>
        <v/>
      </c>
      <c r="H19" s="11">
        <f>SUMIFS('XTab DS_1'!$F$2:$F$193,'XTab DS_1'!$B$2:$B$193,$B19,'XTab DS_1'!$D$2:$D$193,"DB00")</f>
        <v/>
      </c>
      <c r="I19" s="12">
        <f>SUMIFS('XTab DS_1'!$G$2:$G$193,'XTab DS_1'!$B$2:$B$193,$B19,'XTab DS_1'!$D$2:$D$193,"DB00")</f>
        <v/>
      </c>
      <c r="J19" s="21">
        <f>SUMIFS('XTab DS_1'!$F$2:$F$193,'XTab DS_1'!$B$2:$B$193,$B19)</f>
        <v/>
      </c>
      <c r="K19" s="22">
        <f>SUMIFS('XTab DS_1'!$G$2:$G$193,'XTab DS_1'!$B$2:$B$193,$B19)</f>
        <v/>
      </c>
    </row>
    <row r="20">
      <c r="A20" s="9" t="inlineStr">
        <is>
          <t>#</t>
        </is>
      </c>
      <c r="B20" s="9" t="inlineStr">
        <is>
          <t>CX2511ADLNTSS-L</t>
        </is>
      </c>
      <c r="C20" s="9" t="inlineStr">
        <is>
          <t>AD　ロンT （初号機＆シンジ）L</t>
        </is>
      </c>
      <c r="D20" s="10">
        <f>COUNTIFS('XTab DS_1'!$B$2:$B$193,$B20)</f>
        <v/>
      </c>
      <c r="E20" s="10">
        <f>IF(D20&gt;=2,"重複","単独")</f>
        <v/>
      </c>
      <c r="F20" s="11">
        <f>SUMIFS('XTab DS_1'!$F$2:$F$193,'XTab DS_1'!$B$2:$B$193,$B20,'XTab DS_1'!$D$2:$D$193,"CX01")</f>
        <v/>
      </c>
      <c r="G20" s="12">
        <f>SUMIFS('XTab DS_1'!$G$2:$G$193,'XTab DS_1'!$B$2:$B$193,$B20,'XTab DS_1'!$D$2:$D$193,"CX01")</f>
        <v/>
      </c>
      <c r="H20" s="11">
        <f>SUMIFS('XTab DS_1'!$F$2:$F$193,'XTab DS_1'!$B$2:$B$193,$B20,'XTab DS_1'!$D$2:$D$193,"DB00")</f>
        <v/>
      </c>
      <c r="I20" s="12">
        <f>SUMIFS('XTab DS_1'!$G$2:$G$193,'XTab DS_1'!$B$2:$B$193,$B20,'XTab DS_1'!$D$2:$D$193,"DB00")</f>
        <v/>
      </c>
      <c r="J20" s="21">
        <f>SUMIFS('XTab DS_1'!$F$2:$F$193,'XTab DS_1'!$B$2:$B$193,$B20)</f>
        <v/>
      </c>
      <c r="K20" s="22">
        <f>SUMIFS('XTab DS_1'!$G$2:$G$193,'XTab DS_1'!$B$2:$B$193,$B20)</f>
        <v/>
      </c>
    </row>
    <row r="21">
      <c r="A21" s="9" t="inlineStr">
        <is>
          <t>#</t>
        </is>
      </c>
      <c r="B21" s="9" t="inlineStr">
        <is>
          <t>CX2511ADLNTSS-M</t>
        </is>
      </c>
      <c r="C21" s="9" t="inlineStr">
        <is>
          <t>AD　ロンT （初号機＆シンジ）M</t>
        </is>
      </c>
      <c r="D21" s="10">
        <f>COUNTIFS('XTab DS_1'!$B$2:$B$193,$B21)</f>
        <v/>
      </c>
      <c r="E21" s="10">
        <f>IF(D21&gt;=2,"重複","単独")</f>
        <v/>
      </c>
      <c r="F21" s="11">
        <f>SUMIFS('XTab DS_1'!$F$2:$F$193,'XTab DS_1'!$B$2:$B$193,$B21,'XTab DS_1'!$D$2:$D$193,"CX01")</f>
        <v/>
      </c>
      <c r="G21" s="12">
        <f>SUMIFS('XTab DS_1'!$G$2:$G$193,'XTab DS_1'!$B$2:$B$193,$B21,'XTab DS_1'!$D$2:$D$193,"CX01")</f>
        <v/>
      </c>
      <c r="H21" s="11">
        <f>SUMIFS('XTab DS_1'!$F$2:$F$193,'XTab DS_1'!$B$2:$B$193,$B21,'XTab DS_1'!$D$2:$D$193,"DB00")</f>
        <v/>
      </c>
      <c r="I21" s="12">
        <f>SUMIFS('XTab DS_1'!$G$2:$G$193,'XTab DS_1'!$B$2:$B$193,$B21,'XTab DS_1'!$D$2:$D$193,"DB00")</f>
        <v/>
      </c>
      <c r="J21" s="21">
        <f>SUMIFS('XTab DS_1'!$F$2:$F$193,'XTab DS_1'!$B$2:$B$193,$B21)</f>
        <v/>
      </c>
      <c r="K21" s="22">
        <f>SUMIFS('XTab DS_1'!$G$2:$G$193,'XTab DS_1'!$B$2:$B$193,$B21)</f>
        <v/>
      </c>
    </row>
    <row r="22">
      <c r="A22" s="9" t="inlineStr">
        <is>
          <t>#</t>
        </is>
      </c>
      <c r="B22" s="9" t="inlineStr">
        <is>
          <t>CX2511ADMUMKV</t>
        </is>
      </c>
      <c r="C22" s="9" t="inlineStr">
        <is>
          <t>AD　マウスマット　KV</t>
        </is>
      </c>
      <c r="D22" s="10">
        <f>COUNTIFS('XTab DS_1'!$B$2:$B$193,$B22)</f>
        <v/>
      </c>
      <c r="E22" s="10">
        <f>IF(D22&gt;=2,"重複","単独")</f>
        <v/>
      </c>
      <c r="F22" s="11">
        <f>SUMIFS('XTab DS_1'!$F$2:$F$193,'XTab DS_1'!$B$2:$B$193,$B22,'XTab DS_1'!$D$2:$D$193,"CX01")</f>
        <v/>
      </c>
      <c r="G22" s="12">
        <f>SUMIFS('XTab DS_1'!$G$2:$G$193,'XTab DS_1'!$B$2:$B$193,$B22,'XTab DS_1'!$D$2:$D$193,"CX01")</f>
        <v/>
      </c>
      <c r="H22" s="11">
        <f>SUMIFS('XTab DS_1'!$F$2:$F$193,'XTab DS_1'!$B$2:$B$193,$B22,'XTab DS_1'!$D$2:$D$193,"DB00")</f>
        <v/>
      </c>
      <c r="I22" s="12">
        <f>SUMIFS('XTab DS_1'!$G$2:$G$193,'XTab DS_1'!$B$2:$B$193,$B22,'XTab DS_1'!$D$2:$D$193,"DB00")</f>
        <v/>
      </c>
      <c r="J22" s="21">
        <f>SUMIFS('XTab DS_1'!$F$2:$F$193,'XTab DS_1'!$B$2:$B$193,$B22)</f>
        <v/>
      </c>
      <c r="K22" s="22">
        <f>SUMIFS('XTab DS_1'!$G$2:$G$193,'XTab DS_1'!$B$2:$B$193,$B22)</f>
        <v/>
      </c>
    </row>
    <row r="23">
      <c r="A23" s="9" t="inlineStr">
        <is>
          <t>#</t>
        </is>
      </c>
      <c r="B23" s="9" t="inlineStr">
        <is>
          <t>CX2511ADRACD</t>
        </is>
      </c>
      <c r="C23" s="9" t="inlineStr">
        <is>
          <t>AD　ランダムアクリルカード</t>
        </is>
      </c>
      <c r="D23" s="10">
        <f>COUNTIFS('XTab DS_1'!$B$2:$B$193,$B23)</f>
        <v/>
      </c>
      <c r="E23" s="10">
        <f>IF(D23&gt;=2,"重複","単独")</f>
        <v/>
      </c>
      <c r="F23" s="11">
        <f>SUMIFS('XTab DS_1'!$F$2:$F$193,'XTab DS_1'!$B$2:$B$193,$B23,'XTab DS_1'!$D$2:$D$193,"CX01")</f>
        <v/>
      </c>
      <c r="G23" s="12">
        <f>SUMIFS('XTab DS_1'!$G$2:$G$193,'XTab DS_1'!$B$2:$B$193,$B23,'XTab DS_1'!$D$2:$D$193,"CX01")</f>
        <v/>
      </c>
      <c r="H23" s="11">
        <f>SUMIFS('XTab DS_1'!$F$2:$F$193,'XTab DS_1'!$B$2:$B$193,$B23,'XTab DS_1'!$D$2:$D$193,"DB00")</f>
        <v/>
      </c>
      <c r="I23" s="12">
        <f>SUMIFS('XTab DS_1'!$G$2:$G$193,'XTab DS_1'!$B$2:$B$193,$B23,'XTab DS_1'!$D$2:$D$193,"DB00")</f>
        <v/>
      </c>
      <c r="J23" s="21">
        <f>SUMIFS('XTab DS_1'!$F$2:$F$193,'XTab DS_1'!$B$2:$B$193,$B23)</f>
        <v/>
      </c>
      <c r="K23" s="22">
        <f>SUMIFS('XTab DS_1'!$G$2:$G$193,'XTab DS_1'!$B$2:$B$193,$B23)</f>
        <v/>
      </c>
    </row>
    <row r="24">
      <c r="A24" s="9" t="inlineStr">
        <is>
          <t>#</t>
        </is>
      </c>
      <c r="B24" s="9" t="inlineStr">
        <is>
          <t>CX2511ADRBDGKV</t>
        </is>
      </c>
      <c r="C24" s="9" t="inlineStr">
        <is>
          <t>AD　ランダム缶バッジ　KV</t>
        </is>
      </c>
      <c r="D24" s="10">
        <f>COUNTIFS('XTab DS_1'!$B$2:$B$193,$B24)</f>
        <v/>
      </c>
      <c r="E24" s="10">
        <f>IF(D24&gt;=2,"重複","単独")</f>
        <v/>
      </c>
      <c r="F24" s="11">
        <f>SUMIFS('XTab DS_1'!$F$2:$F$193,'XTab DS_1'!$B$2:$B$193,$B24,'XTab DS_1'!$D$2:$D$193,"CX01")</f>
        <v/>
      </c>
      <c r="G24" s="12">
        <f>SUMIFS('XTab DS_1'!$G$2:$G$193,'XTab DS_1'!$B$2:$B$193,$B24,'XTab DS_1'!$D$2:$D$193,"CX01")</f>
        <v/>
      </c>
      <c r="H24" s="11">
        <f>SUMIFS('XTab DS_1'!$F$2:$F$193,'XTab DS_1'!$B$2:$B$193,$B24,'XTab DS_1'!$D$2:$D$193,"DB00")</f>
        <v/>
      </c>
      <c r="I24" s="12">
        <f>SUMIFS('XTab DS_1'!$G$2:$G$193,'XTab DS_1'!$B$2:$B$193,$B24,'XTab DS_1'!$D$2:$D$193,"DB00")</f>
        <v/>
      </c>
      <c r="J24" s="21">
        <f>SUMIFS('XTab DS_1'!$F$2:$F$193,'XTab DS_1'!$B$2:$B$193,$B24)</f>
        <v/>
      </c>
      <c r="K24" s="22">
        <f>SUMIFS('XTab DS_1'!$G$2:$G$193,'XTab DS_1'!$B$2:$B$193,$B24)</f>
        <v/>
      </c>
    </row>
    <row r="25">
      <c r="A25" s="9" t="inlineStr">
        <is>
          <t>#</t>
        </is>
      </c>
      <c r="B25" s="9" t="inlineStr">
        <is>
          <t>CX2511ADRDBDGRMX</t>
        </is>
      </c>
      <c r="C25" s="9" t="inlineStr">
        <is>
          <t>AD　ランダム缶バッジ　2023REMIX</t>
        </is>
      </c>
      <c r="D25" s="10">
        <f>COUNTIFS('XTab DS_1'!$B$2:$B$193,$B25)</f>
        <v/>
      </c>
      <c r="E25" s="10">
        <f>IF(D25&gt;=2,"重複","単独")</f>
        <v/>
      </c>
      <c r="F25" s="11">
        <f>SUMIFS('XTab DS_1'!$F$2:$F$193,'XTab DS_1'!$B$2:$B$193,$B25,'XTab DS_1'!$D$2:$D$193,"CX01")</f>
        <v/>
      </c>
      <c r="G25" s="12">
        <f>SUMIFS('XTab DS_1'!$G$2:$G$193,'XTab DS_1'!$B$2:$B$193,$B25,'XTab DS_1'!$D$2:$D$193,"CX01")</f>
        <v/>
      </c>
      <c r="H25" s="11">
        <f>SUMIFS('XTab DS_1'!$F$2:$F$193,'XTab DS_1'!$B$2:$B$193,$B25,'XTab DS_1'!$D$2:$D$193,"DB00")</f>
        <v/>
      </c>
      <c r="I25" s="12">
        <f>SUMIFS('XTab DS_1'!$G$2:$G$193,'XTab DS_1'!$B$2:$B$193,$B25,'XTab DS_1'!$D$2:$D$193,"DB00")</f>
        <v/>
      </c>
      <c r="J25" s="21">
        <f>SUMIFS('XTab DS_1'!$F$2:$F$193,'XTab DS_1'!$B$2:$B$193,$B25)</f>
        <v/>
      </c>
      <c r="K25" s="22">
        <f>SUMIFS('XTab DS_1'!$G$2:$G$193,'XTab DS_1'!$B$2:$B$193,$B25)</f>
        <v/>
      </c>
    </row>
    <row r="26">
      <c r="A26" s="9" t="inlineStr">
        <is>
          <t>#</t>
        </is>
      </c>
      <c r="B26" s="9" t="inlineStr">
        <is>
          <t>CX2511ADRDSTK</t>
        </is>
      </c>
      <c r="C26" s="9" t="inlineStr">
        <is>
          <t>AD　ランダムステッカー</t>
        </is>
      </c>
      <c r="D26" s="10">
        <f>COUNTIFS('XTab DS_1'!$B$2:$B$193,$B26)</f>
        <v/>
      </c>
      <c r="E26" s="10">
        <f>IF(D26&gt;=2,"重複","単独")</f>
        <v/>
      </c>
      <c r="F26" s="11">
        <f>SUMIFS('XTab DS_1'!$F$2:$F$193,'XTab DS_1'!$B$2:$B$193,$B26,'XTab DS_1'!$D$2:$D$193,"CX01")</f>
        <v/>
      </c>
      <c r="G26" s="12">
        <f>SUMIFS('XTab DS_1'!$G$2:$G$193,'XTab DS_1'!$B$2:$B$193,$B26,'XTab DS_1'!$D$2:$D$193,"CX01")</f>
        <v/>
      </c>
      <c r="H26" s="11">
        <f>SUMIFS('XTab DS_1'!$F$2:$F$193,'XTab DS_1'!$B$2:$B$193,$B26,'XTab DS_1'!$D$2:$D$193,"DB00")</f>
        <v/>
      </c>
      <c r="I26" s="12">
        <f>SUMIFS('XTab DS_1'!$G$2:$G$193,'XTab DS_1'!$B$2:$B$193,$B26,'XTab DS_1'!$D$2:$D$193,"DB00")</f>
        <v/>
      </c>
      <c r="J26" s="21">
        <f>SUMIFS('XTab DS_1'!$F$2:$F$193,'XTab DS_1'!$B$2:$B$193,$B26)</f>
        <v/>
      </c>
      <c r="K26" s="22">
        <f>SUMIFS('XTab DS_1'!$G$2:$G$193,'XTab DS_1'!$B$2:$B$193,$B26)</f>
        <v/>
      </c>
    </row>
    <row r="27">
      <c r="A27" s="9" t="inlineStr">
        <is>
          <t>#</t>
        </is>
      </c>
      <c r="B27" s="9" t="inlineStr">
        <is>
          <t>CX2511ADRDSTKKP</t>
        </is>
      </c>
      <c r="C27" s="9" t="inlineStr">
        <is>
          <t>AD　ランダムステッカー コンプリート</t>
        </is>
      </c>
      <c r="D27" s="10">
        <f>COUNTIFS('XTab DS_1'!$B$2:$B$193,$B27)</f>
        <v/>
      </c>
      <c r="E27" s="10">
        <f>IF(D27&gt;=2,"重複","単独")</f>
        <v/>
      </c>
      <c r="F27" s="11">
        <f>SUMIFS('XTab DS_1'!$F$2:$F$193,'XTab DS_1'!$B$2:$B$193,$B27,'XTab DS_1'!$D$2:$D$193,"CX01")</f>
        <v/>
      </c>
      <c r="G27" s="12">
        <f>SUMIFS('XTab DS_1'!$G$2:$G$193,'XTab DS_1'!$B$2:$B$193,$B27,'XTab DS_1'!$D$2:$D$193,"CX01")</f>
        <v/>
      </c>
      <c r="H27" s="11">
        <f>SUMIFS('XTab DS_1'!$F$2:$F$193,'XTab DS_1'!$B$2:$B$193,$B27,'XTab DS_1'!$D$2:$D$193,"DB00")</f>
        <v/>
      </c>
      <c r="I27" s="12">
        <f>SUMIFS('XTab DS_1'!$G$2:$G$193,'XTab DS_1'!$B$2:$B$193,$B27,'XTab DS_1'!$D$2:$D$193,"DB00")</f>
        <v/>
      </c>
      <c r="J27" s="21">
        <f>SUMIFS('XTab DS_1'!$F$2:$F$193,'XTab DS_1'!$B$2:$B$193,$B27)</f>
        <v/>
      </c>
      <c r="K27" s="22">
        <f>SUMIFS('XTab DS_1'!$G$2:$G$193,'XTab DS_1'!$B$2:$B$193,$B27)</f>
        <v/>
      </c>
    </row>
    <row r="28">
      <c r="A28" s="9" t="inlineStr">
        <is>
          <t>#</t>
        </is>
      </c>
      <c r="B28" s="9" t="inlineStr">
        <is>
          <t>CX2511ADRUCK</t>
        </is>
      </c>
      <c r="C28" s="9" t="inlineStr">
        <is>
          <t>AD　リュック</t>
        </is>
      </c>
      <c r="D28" s="10">
        <f>COUNTIFS('XTab DS_1'!$B$2:$B$193,$B28)</f>
        <v/>
      </c>
      <c r="E28" s="10">
        <f>IF(D28&gt;=2,"重複","単独")</f>
        <v/>
      </c>
      <c r="F28" s="11">
        <f>SUMIFS('XTab DS_1'!$F$2:$F$193,'XTab DS_1'!$B$2:$B$193,$B28,'XTab DS_1'!$D$2:$D$193,"CX01")</f>
        <v/>
      </c>
      <c r="G28" s="12">
        <f>SUMIFS('XTab DS_1'!$G$2:$G$193,'XTab DS_1'!$B$2:$B$193,$B28,'XTab DS_1'!$D$2:$D$193,"CX01")</f>
        <v/>
      </c>
      <c r="H28" s="11">
        <f>SUMIFS('XTab DS_1'!$F$2:$F$193,'XTab DS_1'!$B$2:$B$193,$B28,'XTab DS_1'!$D$2:$D$193,"DB00")</f>
        <v/>
      </c>
      <c r="I28" s="12">
        <f>SUMIFS('XTab DS_1'!$G$2:$G$193,'XTab DS_1'!$B$2:$B$193,$B28,'XTab DS_1'!$D$2:$D$193,"DB00")</f>
        <v/>
      </c>
      <c r="J28" s="21">
        <f>SUMIFS('XTab DS_1'!$F$2:$F$193,'XTab DS_1'!$B$2:$B$193,$B28)</f>
        <v/>
      </c>
      <c r="K28" s="22">
        <f>SUMIFS('XTab DS_1'!$G$2:$G$193,'XTab DS_1'!$B$2:$B$193,$B28)</f>
        <v/>
      </c>
    </row>
    <row r="29">
      <c r="A29" s="9" t="inlineStr">
        <is>
          <t>#</t>
        </is>
      </c>
      <c r="B29" s="9" t="inlineStr">
        <is>
          <t>CX2511ADSWTKV-L</t>
        </is>
      </c>
      <c r="C29" s="9" t="inlineStr">
        <is>
          <t>AD　スウェット（KV 少年組）L</t>
        </is>
      </c>
      <c r="D29" s="10">
        <f>COUNTIFS('XTab DS_1'!$B$2:$B$193,$B29)</f>
        <v/>
      </c>
      <c r="E29" s="10">
        <f>IF(D29&gt;=2,"重複","単独")</f>
        <v/>
      </c>
      <c r="F29" s="11">
        <f>SUMIFS('XTab DS_1'!$F$2:$F$193,'XTab DS_1'!$B$2:$B$193,$B29,'XTab DS_1'!$D$2:$D$193,"CX01")</f>
        <v/>
      </c>
      <c r="G29" s="12">
        <f>SUMIFS('XTab DS_1'!$G$2:$G$193,'XTab DS_1'!$B$2:$B$193,$B29,'XTab DS_1'!$D$2:$D$193,"CX01")</f>
        <v/>
      </c>
      <c r="H29" s="11">
        <f>SUMIFS('XTab DS_1'!$F$2:$F$193,'XTab DS_1'!$B$2:$B$193,$B29,'XTab DS_1'!$D$2:$D$193,"DB00")</f>
        <v/>
      </c>
      <c r="I29" s="12">
        <f>SUMIFS('XTab DS_1'!$G$2:$G$193,'XTab DS_1'!$B$2:$B$193,$B29,'XTab DS_1'!$D$2:$D$193,"DB00")</f>
        <v/>
      </c>
      <c r="J29" s="21">
        <f>SUMIFS('XTab DS_1'!$F$2:$F$193,'XTab DS_1'!$B$2:$B$193,$B29)</f>
        <v/>
      </c>
      <c r="K29" s="22">
        <f>SUMIFS('XTab DS_1'!$G$2:$G$193,'XTab DS_1'!$B$2:$B$193,$B29)</f>
        <v/>
      </c>
    </row>
    <row r="30">
      <c r="A30" s="9" t="inlineStr">
        <is>
          <t>#</t>
        </is>
      </c>
      <c r="B30" s="9" t="inlineStr">
        <is>
          <t>CX2511ADSWTKV-M</t>
        </is>
      </c>
      <c r="C30" s="9" t="inlineStr">
        <is>
          <t>AD　スウェット（KV 少年組）M</t>
        </is>
      </c>
      <c r="D30" s="10">
        <f>COUNTIFS('XTab DS_1'!$B$2:$B$193,$B30)</f>
        <v/>
      </c>
      <c r="E30" s="10">
        <f>IF(D30&gt;=2,"重複","単独")</f>
        <v/>
      </c>
      <c r="F30" s="11">
        <f>SUMIFS('XTab DS_1'!$F$2:$F$193,'XTab DS_1'!$B$2:$B$193,$B30,'XTab DS_1'!$D$2:$D$193,"CX01")</f>
        <v/>
      </c>
      <c r="G30" s="12">
        <f>SUMIFS('XTab DS_1'!$G$2:$G$193,'XTab DS_1'!$B$2:$B$193,$B30,'XTab DS_1'!$D$2:$D$193,"CX01")</f>
        <v/>
      </c>
      <c r="H30" s="11">
        <f>SUMIFS('XTab DS_1'!$F$2:$F$193,'XTab DS_1'!$B$2:$B$193,$B30,'XTab DS_1'!$D$2:$D$193,"DB00")</f>
        <v/>
      </c>
      <c r="I30" s="12">
        <f>SUMIFS('XTab DS_1'!$G$2:$G$193,'XTab DS_1'!$B$2:$B$193,$B30,'XTab DS_1'!$D$2:$D$193,"DB00")</f>
        <v/>
      </c>
      <c r="J30" s="21">
        <f>SUMIFS('XTab DS_1'!$F$2:$F$193,'XTab DS_1'!$B$2:$B$193,$B30)</f>
        <v/>
      </c>
      <c r="K30" s="22">
        <f>SUMIFS('XTab DS_1'!$G$2:$G$193,'XTab DS_1'!$B$2:$B$193,$B30)</f>
        <v/>
      </c>
    </row>
    <row r="31">
      <c r="A31" s="9" t="inlineStr">
        <is>
          <t>#</t>
        </is>
      </c>
      <c r="B31" s="9" t="inlineStr">
        <is>
          <t>CX2511ADSYOP</t>
        </is>
      </c>
      <c r="C31" s="9" t="inlineStr">
        <is>
          <t>AD　ショッパー</t>
        </is>
      </c>
      <c r="D31" s="10">
        <f>COUNTIFS('XTab DS_1'!$B$2:$B$193,$B31)</f>
        <v/>
      </c>
      <c r="E31" s="10">
        <f>IF(D31&gt;=2,"重複","単独")</f>
        <v/>
      </c>
      <c r="F31" s="11">
        <f>SUMIFS('XTab DS_1'!$F$2:$F$193,'XTab DS_1'!$B$2:$B$193,$B31,'XTab DS_1'!$D$2:$D$193,"CX01")</f>
        <v/>
      </c>
      <c r="G31" s="12">
        <f>SUMIFS('XTab DS_1'!$G$2:$G$193,'XTab DS_1'!$B$2:$B$193,$B31,'XTab DS_1'!$D$2:$D$193,"CX01")</f>
        <v/>
      </c>
      <c r="H31" s="11">
        <f>SUMIFS('XTab DS_1'!$F$2:$F$193,'XTab DS_1'!$B$2:$B$193,$B31,'XTab DS_1'!$D$2:$D$193,"DB00")</f>
        <v/>
      </c>
      <c r="I31" s="12">
        <f>SUMIFS('XTab DS_1'!$G$2:$G$193,'XTab DS_1'!$B$2:$B$193,$B31,'XTab DS_1'!$D$2:$D$193,"DB00")</f>
        <v/>
      </c>
      <c r="J31" s="21">
        <f>SUMIFS('XTab DS_1'!$F$2:$F$193,'XTab DS_1'!$B$2:$B$193,$B31)</f>
        <v/>
      </c>
      <c r="K31" s="22">
        <f>SUMIFS('XTab DS_1'!$G$2:$G$193,'XTab DS_1'!$B$2:$B$193,$B31)</f>
        <v/>
      </c>
    </row>
    <row r="32">
      <c r="A32" s="9" t="inlineStr">
        <is>
          <t>#</t>
        </is>
      </c>
      <c r="B32" s="9" t="inlineStr">
        <is>
          <t>CX2511ADTOT</t>
        </is>
      </c>
      <c r="C32" s="9" t="inlineStr">
        <is>
          <t>AD　トートバッグ</t>
        </is>
      </c>
      <c r="D32" s="10">
        <f>COUNTIFS('XTab DS_1'!$B$2:$B$193,$B32)</f>
        <v/>
      </c>
      <c r="E32" s="10">
        <f>IF(D32&gt;=2,"重複","単独")</f>
        <v/>
      </c>
      <c r="F32" s="11">
        <f>SUMIFS('XTab DS_1'!$F$2:$F$193,'XTab DS_1'!$B$2:$B$193,$B32,'XTab DS_1'!$D$2:$D$193,"CX01")</f>
        <v/>
      </c>
      <c r="G32" s="12">
        <f>SUMIFS('XTab DS_1'!$G$2:$G$193,'XTab DS_1'!$B$2:$B$193,$B32,'XTab DS_1'!$D$2:$D$193,"CX01")</f>
        <v/>
      </c>
      <c r="H32" s="11">
        <f>SUMIFS('XTab DS_1'!$F$2:$F$193,'XTab DS_1'!$B$2:$B$193,$B32,'XTab DS_1'!$D$2:$D$193,"DB00")</f>
        <v/>
      </c>
      <c r="I32" s="12">
        <f>SUMIFS('XTab DS_1'!$G$2:$G$193,'XTab DS_1'!$B$2:$B$193,$B32,'XTab DS_1'!$D$2:$D$193,"DB00")</f>
        <v/>
      </c>
      <c r="J32" s="21">
        <f>SUMIFS('XTab DS_1'!$F$2:$F$193,'XTab DS_1'!$B$2:$B$193,$B32)</f>
        <v/>
      </c>
      <c r="K32" s="22">
        <f>SUMIFS('XTab DS_1'!$G$2:$G$193,'XTab DS_1'!$B$2:$B$193,$B32)</f>
        <v/>
      </c>
    </row>
    <row r="33">
      <c r="A33" s="9" t="inlineStr">
        <is>
          <t>#</t>
        </is>
      </c>
      <c r="B33" s="9" t="inlineStr">
        <is>
          <t>CX2511ADTSTASK-L</t>
        </is>
      </c>
      <c r="C33" s="9" t="inlineStr">
        <is>
          <t>AD　Tシャツ（アスカ）L</t>
        </is>
      </c>
      <c r="D33" s="10">
        <f>COUNTIFS('XTab DS_1'!$B$2:$B$193,$B33)</f>
        <v/>
      </c>
      <c r="E33" s="10">
        <f>IF(D33&gt;=2,"重複","単独")</f>
        <v/>
      </c>
      <c r="F33" s="11">
        <f>SUMIFS('XTab DS_1'!$F$2:$F$193,'XTab DS_1'!$B$2:$B$193,$B33,'XTab DS_1'!$D$2:$D$193,"CX01")</f>
        <v/>
      </c>
      <c r="G33" s="12">
        <f>SUMIFS('XTab DS_1'!$G$2:$G$193,'XTab DS_1'!$B$2:$B$193,$B33,'XTab DS_1'!$D$2:$D$193,"CX01")</f>
        <v/>
      </c>
      <c r="H33" s="11">
        <f>SUMIFS('XTab DS_1'!$F$2:$F$193,'XTab DS_1'!$B$2:$B$193,$B33,'XTab DS_1'!$D$2:$D$193,"DB00")</f>
        <v/>
      </c>
      <c r="I33" s="12">
        <f>SUMIFS('XTab DS_1'!$G$2:$G$193,'XTab DS_1'!$B$2:$B$193,$B33,'XTab DS_1'!$D$2:$D$193,"DB00")</f>
        <v/>
      </c>
      <c r="J33" s="21">
        <f>SUMIFS('XTab DS_1'!$F$2:$F$193,'XTab DS_1'!$B$2:$B$193,$B33)</f>
        <v/>
      </c>
      <c r="K33" s="22">
        <f>SUMIFS('XTab DS_1'!$G$2:$G$193,'XTab DS_1'!$B$2:$B$193,$B33)</f>
        <v/>
      </c>
    </row>
    <row r="34">
      <c r="A34" s="9" t="inlineStr">
        <is>
          <t>#</t>
        </is>
      </c>
      <c r="B34" s="9" t="inlineStr">
        <is>
          <t>CX2511ADTSTASK-M</t>
        </is>
      </c>
      <c r="C34" s="9" t="inlineStr">
        <is>
          <t>AD　Tシャツ（アスカ）M</t>
        </is>
      </c>
      <c r="D34" s="10">
        <f>COUNTIFS('XTab DS_1'!$B$2:$B$193,$B34)</f>
        <v/>
      </c>
      <c r="E34" s="10">
        <f>IF(D34&gt;=2,"重複","単独")</f>
        <v/>
      </c>
      <c r="F34" s="11">
        <f>SUMIFS('XTab DS_1'!$F$2:$F$193,'XTab DS_1'!$B$2:$B$193,$B34,'XTab DS_1'!$D$2:$D$193,"CX01")</f>
        <v/>
      </c>
      <c r="G34" s="12">
        <f>SUMIFS('XTab DS_1'!$G$2:$G$193,'XTab DS_1'!$B$2:$B$193,$B34,'XTab DS_1'!$D$2:$D$193,"CX01")</f>
        <v/>
      </c>
      <c r="H34" s="11">
        <f>SUMIFS('XTab DS_1'!$F$2:$F$193,'XTab DS_1'!$B$2:$B$193,$B34,'XTab DS_1'!$D$2:$D$193,"DB00")</f>
        <v/>
      </c>
      <c r="I34" s="12">
        <f>SUMIFS('XTab DS_1'!$G$2:$G$193,'XTab DS_1'!$B$2:$B$193,$B34,'XTab DS_1'!$D$2:$D$193,"DB00")</f>
        <v/>
      </c>
      <c r="J34" s="21">
        <f>SUMIFS('XTab DS_1'!$F$2:$F$193,'XTab DS_1'!$B$2:$B$193,$B34)</f>
        <v/>
      </c>
      <c r="K34" s="22">
        <f>SUMIFS('XTab DS_1'!$G$2:$G$193,'XTab DS_1'!$B$2:$B$193,$B34)</f>
        <v/>
      </c>
    </row>
    <row r="35">
      <c r="A35" s="9" t="inlineStr">
        <is>
          <t>#</t>
        </is>
      </c>
      <c r="B35" s="9" t="inlineStr">
        <is>
          <t>CX2511ADTSTKWR-L</t>
        </is>
      </c>
      <c r="C35" s="9" t="inlineStr">
        <is>
          <t>AD　Tシャツ（カヲル）L</t>
        </is>
      </c>
      <c r="D35" s="10">
        <f>COUNTIFS('XTab DS_1'!$B$2:$B$193,$B35)</f>
        <v/>
      </c>
      <c r="E35" s="10">
        <f>IF(D35&gt;=2,"重複","単独")</f>
        <v/>
      </c>
      <c r="F35" s="11">
        <f>SUMIFS('XTab DS_1'!$F$2:$F$193,'XTab DS_1'!$B$2:$B$193,$B35,'XTab DS_1'!$D$2:$D$193,"CX01")</f>
        <v/>
      </c>
      <c r="G35" s="12">
        <f>SUMIFS('XTab DS_1'!$G$2:$G$193,'XTab DS_1'!$B$2:$B$193,$B35,'XTab DS_1'!$D$2:$D$193,"CX01")</f>
        <v/>
      </c>
      <c r="H35" s="11">
        <f>SUMIFS('XTab DS_1'!$F$2:$F$193,'XTab DS_1'!$B$2:$B$193,$B35,'XTab DS_1'!$D$2:$D$193,"DB00")</f>
        <v/>
      </c>
      <c r="I35" s="12">
        <f>SUMIFS('XTab DS_1'!$G$2:$G$193,'XTab DS_1'!$B$2:$B$193,$B35,'XTab DS_1'!$D$2:$D$193,"DB00")</f>
        <v/>
      </c>
      <c r="J35" s="21">
        <f>SUMIFS('XTab DS_1'!$F$2:$F$193,'XTab DS_1'!$B$2:$B$193,$B35)</f>
        <v/>
      </c>
      <c r="K35" s="22">
        <f>SUMIFS('XTab DS_1'!$G$2:$G$193,'XTab DS_1'!$B$2:$B$193,$B35)</f>
        <v/>
      </c>
    </row>
    <row r="36">
      <c r="A36" s="9" t="inlineStr">
        <is>
          <t>#</t>
        </is>
      </c>
      <c r="B36" s="9" t="inlineStr">
        <is>
          <t>CX2511ADTSTKWR-M</t>
        </is>
      </c>
      <c r="C36" s="9" t="inlineStr">
        <is>
          <t>AD　Tシャツ（カヲル）M</t>
        </is>
      </c>
      <c r="D36" s="10">
        <f>COUNTIFS('XTab DS_1'!$B$2:$B$193,$B36)</f>
        <v/>
      </c>
      <c r="E36" s="10">
        <f>IF(D36&gt;=2,"重複","単独")</f>
        <v/>
      </c>
      <c r="F36" s="11">
        <f>SUMIFS('XTab DS_1'!$F$2:$F$193,'XTab DS_1'!$B$2:$B$193,$B36,'XTab DS_1'!$D$2:$D$193,"CX01")</f>
        <v/>
      </c>
      <c r="G36" s="12">
        <f>SUMIFS('XTab DS_1'!$G$2:$G$193,'XTab DS_1'!$B$2:$B$193,$B36,'XTab DS_1'!$D$2:$D$193,"CX01")</f>
        <v/>
      </c>
      <c r="H36" s="11">
        <f>SUMIFS('XTab DS_1'!$F$2:$F$193,'XTab DS_1'!$B$2:$B$193,$B36,'XTab DS_1'!$D$2:$D$193,"DB00")</f>
        <v/>
      </c>
      <c r="I36" s="12">
        <f>SUMIFS('XTab DS_1'!$G$2:$G$193,'XTab DS_1'!$B$2:$B$193,$B36,'XTab DS_1'!$D$2:$D$193,"DB00")</f>
        <v/>
      </c>
      <c r="J36" s="21">
        <f>SUMIFS('XTab DS_1'!$F$2:$F$193,'XTab DS_1'!$B$2:$B$193,$B36)</f>
        <v/>
      </c>
      <c r="K36" s="22">
        <f>SUMIFS('XTab DS_1'!$G$2:$G$193,'XTab DS_1'!$B$2:$B$193,$B36)</f>
        <v/>
      </c>
    </row>
    <row r="37">
      <c r="A37" s="9" t="inlineStr">
        <is>
          <t>#</t>
        </is>
      </c>
      <c r="B37" s="9" t="inlineStr">
        <is>
          <t>CX2511ADTSTMR-L</t>
        </is>
      </c>
      <c r="C37" s="9" t="inlineStr">
        <is>
          <t>AD　Tシャツ（マリ）L</t>
        </is>
      </c>
      <c r="D37" s="10">
        <f>COUNTIFS('XTab DS_1'!$B$2:$B$193,$B37)</f>
        <v/>
      </c>
      <c r="E37" s="10">
        <f>IF(D37&gt;=2,"重複","単独")</f>
        <v/>
      </c>
      <c r="F37" s="11">
        <f>SUMIFS('XTab DS_1'!$F$2:$F$193,'XTab DS_1'!$B$2:$B$193,$B37,'XTab DS_1'!$D$2:$D$193,"CX01")</f>
        <v/>
      </c>
      <c r="G37" s="12">
        <f>SUMIFS('XTab DS_1'!$G$2:$G$193,'XTab DS_1'!$B$2:$B$193,$B37,'XTab DS_1'!$D$2:$D$193,"CX01")</f>
        <v/>
      </c>
      <c r="H37" s="11">
        <f>SUMIFS('XTab DS_1'!$F$2:$F$193,'XTab DS_1'!$B$2:$B$193,$B37,'XTab DS_1'!$D$2:$D$193,"DB00")</f>
        <v/>
      </c>
      <c r="I37" s="12">
        <f>SUMIFS('XTab DS_1'!$G$2:$G$193,'XTab DS_1'!$B$2:$B$193,$B37,'XTab DS_1'!$D$2:$D$193,"DB00")</f>
        <v/>
      </c>
      <c r="J37" s="21">
        <f>SUMIFS('XTab DS_1'!$F$2:$F$193,'XTab DS_1'!$B$2:$B$193,$B37)</f>
        <v/>
      </c>
      <c r="K37" s="22">
        <f>SUMIFS('XTab DS_1'!$G$2:$G$193,'XTab DS_1'!$B$2:$B$193,$B37)</f>
        <v/>
      </c>
    </row>
    <row r="38">
      <c r="A38" s="9" t="inlineStr">
        <is>
          <t>#</t>
        </is>
      </c>
      <c r="B38" s="9" t="inlineStr">
        <is>
          <t>CX2511ADTSTMR-M</t>
        </is>
      </c>
      <c r="C38" s="9" t="inlineStr">
        <is>
          <t>AD　Tシャツ（マリ）M</t>
        </is>
      </c>
      <c r="D38" s="10">
        <f>COUNTIFS('XTab DS_1'!$B$2:$B$193,$B38)</f>
        <v/>
      </c>
      <c r="E38" s="10">
        <f>IF(D38&gt;=2,"重複","単独")</f>
        <v/>
      </c>
      <c r="F38" s="11">
        <f>SUMIFS('XTab DS_1'!$F$2:$F$193,'XTab DS_1'!$B$2:$B$193,$B38,'XTab DS_1'!$D$2:$D$193,"CX01")</f>
        <v/>
      </c>
      <c r="G38" s="12">
        <f>SUMIFS('XTab DS_1'!$G$2:$G$193,'XTab DS_1'!$B$2:$B$193,$B38,'XTab DS_1'!$D$2:$D$193,"CX01")</f>
        <v/>
      </c>
      <c r="H38" s="11">
        <f>SUMIFS('XTab DS_1'!$F$2:$F$193,'XTab DS_1'!$B$2:$B$193,$B38,'XTab DS_1'!$D$2:$D$193,"DB00")</f>
        <v/>
      </c>
      <c r="I38" s="12">
        <f>SUMIFS('XTab DS_1'!$G$2:$G$193,'XTab DS_1'!$B$2:$B$193,$B38,'XTab DS_1'!$D$2:$D$193,"DB00")</f>
        <v/>
      </c>
      <c r="J38" s="21">
        <f>SUMIFS('XTab DS_1'!$F$2:$F$193,'XTab DS_1'!$B$2:$B$193,$B38)</f>
        <v/>
      </c>
      <c r="K38" s="22">
        <f>SUMIFS('XTab DS_1'!$G$2:$G$193,'XTab DS_1'!$B$2:$B$193,$B38)</f>
        <v/>
      </c>
    </row>
    <row r="39">
      <c r="A39" s="9" t="inlineStr">
        <is>
          <t>#</t>
        </is>
      </c>
      <c r="B39" s="9" t="inlineStr">
        <is>
          <t>CX2511ADTSTPP-L</t>
        </is>
      </c>
      <c r="C39" s="9" t="inlineStr">
        <is>
          <t>AD　Tシャツ（ペンペン）L</t>
        </is>
      </c>
      <c r="D39" s="10">
        <f>COUNTIFS('XTab DS_1'!$B$2:$B$193,$B39)</f>
        <v/>
      </c>
      <c r="E39" s="10">
        <f>IF(D39&gt;=2,"重複","単独")</f>
        <v/>
      </c>
      <c r="F39" s="11">
        <f>SUMIFS('XTab DS_1'!$F$2:$F$193,'XTab DS_1'!$B$2:$B$193,$B39,'XTab DS_1'!$D$2:$D$193,"CX01")</f>
        <v/>
      </c>
      <c r="G39" s="12">
        <f>SUMIFS('XTab DS_1'!$G$2:$G$193,'XTab DS_1'!$B$2:$B$193,$B39,'XTab DS_1'!$D$2:$D$193,"CX01")</f>
        <v/>
      </c>
      <c r="H39" s="11">
        <f>SUMIFS('XTab DS_1'!$F$2:$F$193,'XTab DS_1'!$B$2:$B$193,$B39,'XTab DS_1'!$D$2:$D$193,"DB00")</f>
        <v/>
      </c>
      <c r="I39" s="12">
        <f>SUMIFS('XTab DS_1'!$G$2:$G$193,'XTab DS_1'!$B$2:$B$193,$B39,'XTab DS_1'!$D$2:$D$193,"DB00")</f>
        <v/>
      </c>
      <c r="J39" s="21">
        <f>SUMIFS('XTab DS_1'!$F$2:$F$193,'XTab DS_1'!$B$2:$B$193,$B39)</f>
        <v/>
      </c>
      <c r="K39" s="22">
        <f>SUMIFS('XTab DS_1'!$G$2:$G$193,'XTab DS_1'!$B$2:$B$193,$B39)</f>
        <v/>
      </c>
    </row>
    <row r="40">
      <c r="A40" s="9" t="inlineStr">
        <is>
          <t>#</t>
        </is>
      </c>
      <c r="B40" s="9" t="inlineStr">
        <is>
          <t>CX2511ADTSTPP-M</t>
        </is>
      </c>
      <c r="C40" s="9" t="inlineStr">
        <is>
          <t>AD　Tシャツ（ペンペン）M</t>
        </is>
      </c>
      <c r="D40" s="10">
        <f>COUNTIFS('XTab DS_1'!$B$2:$B$193,$B40)</f>
        <v/>
      </c>
      <c r="E40" s="10">
        <f>IF(D40&gt;=2,"重複","単独")</f>
        <v/>
      </c>
      <c r="F40" s="11">
        <f>SUMIFS('XTab DS_1'!$F$2:$F$193,'XTab DS_1'!$B$2:$B$193,$B40,'XTab DS_1'!$D$2:$D$193,"CX01")</f>
        <v/>
      </c>
      <c r="G40" s="12">
        <f>SUMIFS('XTab DS_1'!$G$2:$G$193,'XTab DS_1'!$B$2:$B$193,$B40,'XTab DS_1'!$D$2:$D$193,"CX01")</f>
        <v/>
      </c>
      <c r="H40" s="11">
        <f>SUMIFS('XTab DS_1'!$F$2:$F$193,'XTab DS_1'!$B$2:$B$193,$B40,'XTab DS_1'!$D$2:$D$193,"DB00")</f>
        <v/>
      </c>
      <c r="I40" s="12">
        <f>SUMIFS('XTab DS_1'!$G$2:$G$193,'XTab DS_1'!$B$2:$B$193,$B40,'XTab DS_1'!$D$2:$D$193,"DB00")</f>
        <v/>
      </c>
      <c r="J40" s="21">
        <f>SUMIFS('XTab DS_1'!$F$2:$F$193,'XTab DS_1'!$B$2:$B$193,$B40)</f>
        <v/>
      </c>
      <c r="K40" s="22">
        <f>SUMIFS('XTab DS_1'!$G$2:$G$193,'XTab DS_1'!$B$2:$B$193,$B40)</f>
        <v/>
      </c>
    </row>
    <row r="41">
      <c r="A41" s="9" t="inlineStr">
        <is>
          <t>#</t>
        </is>
      </c>
      <c r="B41" s="9" t="inlineStr">
        <is>
          <t>CX2511ADTSTRI-L</t>
        </is>
      </c>
      <c r="C41" s="9" t="inlineStr">
        <is>
          <t>AD　Tシャツ（レイ）L</t>
        </is>
      </c>
      <c r="D41" s="10">
        <f>COUNTIFS('XTab DS_1'!$B$2:$B$193,$B41)</f>
        <v/>
      </c>
      <c r="E41" s="10">
        <f>IF(D41&gt;=2,"重複","単独")</f>
        <v/>
      </c>
      <c r="F41" s="11">
        <f>SUMIFS('XTab DS_1'!$F$2:$F$193,'XTab DS_1'!$B$2:$B$193,$B41,'XTab DS_1'!$D$2:$D$193,"CX01")</f>
        <v/>
      </c>
      <c r="G41" s="12">
        <f>SUMIFS('XTab DS_1'!$G$2:$G$193,'XTab DS_1'!$B$2:$B$193,$B41,'XTab DS_1'!$D$2:$D$193,"CX01")</f>
        <v/>
      </c>
      <c r="H41" s="11">
        <f>SUMIFS('XTab DS_1'!$F$2:$F$193,'XTab DS_1'!$B$2:$B$193,$B41,'XTab DS_1'!$D$2:$D$193,"DB00")</f>
        <v/>
      </c>
      <c r="I41" s="12">
        <f>SUMIFS('XTab DS_1'!$G$2:$G$193,'XTab DS_1'!$B$2:$B$193,$B41,'XTab DS_1'!$D$2:$D$193,"DB00")</f>
        <v/>
      </c>
      <c r="J41" s="21">
        <f>SUMIFS('XTab DS_1'!$F$2:$F$193,'XTab DS_1'!$B$2:$B$193,$B41)</f>
        <v/>
      </c>
      <c r="K41" s="22">
        <f>SUMIFS('XTab DS_1'!$G$2:$G$193,'XTab DS_1'!$B$2:$B$193,$B41)</f>
        <v/>
      </c>
    </row>
    <row r="42">
      <c r="A42" s="9" t="inlineStr">
        <is>
          <t>#</t>
        </is>
      </c>
      <c r="B42" s="9" t="inlineStr">
        <is>
          <t>CX2511ADTSTRI-M</t>
        </is>
      </c>
      <c r="C42" s="9" t="inlineStr">
        <is>
          <t>AD　Tシャツ（レイ）M</t>
        </is>
      </c>
      <c r="D42" s="10">
        <f>COUNTIFS('XTab DS_1'!$B$2:$B$193,$B42)</f>
        <v/>
      </c>
      <c r="E42" s="10">
        <f>IF(D42&gt;=2,"重複","単独")</f>
        <v/>
      </c>
      <c r="F42" s="11">
        <f>SUMIFS('XTab DS_1'!$F$2:$F$193,'XTab DS_1'!$B$2:$B$193,$B42,'XTab DS_1'!$D$2:$D$193,"CX01")</f>
        <v/>
      </c>
      <c r="G42" s="12">
        <f>SUMIFS('XTab DS_1'!$G$2:$G$193,'XTab DS_1'!$B$2:$B$193,$B42,'XTab DS_1'!$D$2:$D$193,"CX01")</f>
        <v/>
      </c>
      <c r="H42" s="11">
        <f>SUMIFS('XTab DS_1'!$F$2:$F$193,'XTab DS_1'!$B$2:$B$193,$B42,'XTab DS_1'!$D$2:$D$193,"DB00")</f>
        <v/>
      </c>
      <c r="I42" s="12">
        <f>SUMIFS('XTab DS_1'!$G$2:$G$193,'XTab DS_1'!$B$2:$B$193,$B42,'XTab DS_1'!$D$2:$D$193,"DB00")</f>
        <v/>
      </c>
      <c r="J42" s="21">
        <f>SUMIFS('XTab DS_1'!$F$2:$F$193,'XTab DS_1'!$B$2:$B$193,$B42)</f>
        <v/>
      </c>
      <c r="K42" s="22">
        <f>SUMIFS('XTab DS_1'!$G$2:$G$193,'XTab DS_1'!$B$2:$B$193,$B42)</f>
        <v/>
      </c>
    </row>
    <row r="43">
      <c r="A43" s="9" t="inlineStr">
        <is>
          <t>#</t>
        </is>
      </c>
      <c r="B43" s="9" t="inlineStr">
        <is>
          <t>CX2511ADTSTSJ-L</t>
        </is>
      </c>
      <c r="C43" s="9" t="inlineStr">
        <is>
          <t>AD　Tシャツ（シンジ）L</t>
        </is>
      </c>
      <c r="D43" s="10">
        <f>COUNTIFS('XTab DS_1'!$B$2:$B$193,$B43)</f>
        <v/>
      </c>
      <c r="E43" s="10">
        <f>IF(D43&gt;=2,"重複","単独")</f>
        <v/>
      </c>
      <c r="F43" s="11">
        <f>SUMIFS('XTab DS_1'!$F$2:$F$193,'XTab DS_1'!$B$2:$B$193,$B43,'XTab DS_1'!$D$2:$D$193,"CX01")</f>
        <v/>
      </c>
      <c r="G43" s="12">
        <f>SUMIFS('XTab DS_1'!$G$2:$G$193,'XTab DS_1'!$B$2:$B$193,$B43,'XTab DS_1'!$D$2:$D$193,"CX01")</f>
        <v/>
      </c>
      <c r="H43" s="11">
        <f>SUMIFS('XTab DS_1'!$F$2:$F$193,'XTab DS_1'!$B$2:$B$193,$B43,'XTab DS_1'!$D$2:$D$193,"DB00")</f>
        <v/>
      </c>
      <c r="I43" s="12">
        <f>SUMIFS('XTab DS_1'!$G$2:$G$193,'XTab DS_1'!$B$2:$B$193,$B43,'XTab DS_1'!$D$2:$D$193,"DB00")</f>
        <v/>
      </c>
      <c r="J43" s="21">
        <f>SUMIFS('XTab DS_1'!$F$2:$F$193,'XTab DS_1'!$B$2:$B$193,$B43)</f>
        <v/>
      </c>
      <c r="K43" s="22">
        <f>SUMIFS('XTab DS_1'!$G$2:$G$193,'XTab DS_1'!$B$2:$B$193,$B43)</f>
        <v/>
      </c>
    </row>
    <row r="44">
      <c r="A44" s="9" t="inlineStr">
        <is>
          <t>#</t>
        </is>
      </c>
      <c r="B44" s="9" t="inlineStr">
        <is>
          <t>CX2511ADTSTSJ-M</t>
        </is>
      </c>
      <c r="C44" s="9" t="inlineStr">
        <is>
          <t>AD　Tシャツ（シンジ）M</t>
        </is>
      </c>
      <c r="D44" s="10">
        <f>COUNTIFS('XTab DS_1'!$B$2:$B$193,$B44)</f>
        <v/>
      </c>
      <c r="E44" s="10">
        <f>IF(D44&gt;=2,"重複","単独")</f>
        <v/>
      </c>
      <c r="F44" s="11">
        <f>SUMIFS('XTab DS_1'!$F$2:$F$193,'XTab DS_1'!$B$2:$B$193,$B44,'XTab DS_1'!$D$2:$D$193,"CX01")</f>
        <v/>
      </c>
      <c r="G44" s="12">
        <f>SUMIFS('XTab DS_1'!$G$2:$G$193,'XTab DS_1'!$B$2:$B$193,$B44,'XTab DS_1'!$D$2:$D$193,"CX01")</f>
        <v/>
      </c>
      <c r="H44" s="11">
        <f>SUMIFS('XTab DS_1'!$F$2:$F$193,'XTab DS_1'!$B$2:$B$193,$B44,'XTab DS_1'!$D$2:$D$193,"DB00")</f>
        <v/>
      </c>
      <c r="I44" s="12">
        <f>SUMIFS('XTab DS_1'!$G$2:$G$193,'XTab DS_1'!$B$2:$B$193,$B44,'XTab DS_1'!$D$2:$D$193,"DB00")</f>
        <v/>
      </c>
      <c r="J44" s="21">
        <f>SUMIFS('XTab DS_1'!$F$2:$F$193,'XTab DS_1'!$B$2:$B$193,$B44)</f>
        <v/>
      </c>
      <c r="K44" s="22">
        <f>SUMIFS('XTab DS_1'!$G$2:$G$193,'XTab DS_1'!$B$2:$B$193,$B44)</f>
        <v/>
      </c>
    </row>
    <row r="45">
      <c r="A45" s="9" t="inlineStr">
        <is>
          <t>#</t>
        </is>
      </c>
      <c r="B45" s="9" t="inlineStr">
        <is>
          <t>CX2511ADUKSNKV</t>
        </is>
      </c>
      <c r="C45" s="9" t="inlineStr">
        <is>
          <t>AD　U型クッション　KV</t>
        </is>
      </c>
      <c r="D45" s="10">
        <f>COUNTIFS('XTab DS_1'!$B$2:$B$193,$B45)</f>
        <v/>
      </c>
      <c r="E45" s="10">
        <f>IF(D45&gt;=2,"重複","単独")</f>
        <v/>
      </c>
      <c r="F45" s="11">
        <f>SUMIFS('XTab DS_1'!$F$2:$F$193,'XTab DS_1'!$B$2:$B$193,$B45,'XTab DS_1'!$D$2:$D$193,"CX01")</f>
        <v/>
      </c>
      <c r="G45" s="12">
        <f>SUMIFS('XTab DS_1'!$G$2:$G$193,'XTab DS_1'!$B$2:$B$193,$B45,'XTab DS_1'!$D$2:$D$193,"CX01")</f>
        <v/>
      </c>
      <c r="H45" s="11">
        <f>SUMIFS('XTab DS_1'!$F$2:$F$193,'XTab DS_1'!$B$2:$B$193,$B45,'XTab DS_1'!$D$2:$D$193,"DB00")</f>
        <v/>
      </c>
      <c r="I45" s="12">
        <f>SUMIFS('XTab DS_1'!$G$2:$G$193,'XTab DS_1'!$B$2:$B$193,$B45,'XTab DS_1'!$D$2:$D$193,"DB00")</f>
        <v/>
      </c>
      <c r="J45" s="21">
        <f>SUMIFS('XTab DS_1'!$F$2:$F$193,'XTab DS_1'!$B$2:$B$193,$B45)</f>
        <v/>
      </c>
      <c r="K45" s="22">
        <f>SUMIFS('XTab DS_1'!$G$2:$G$193,'XTab DS_1'!$B$2:$B$193,$B45)</f>
        <v/>
      </c>
    </row>
    <row r="46">
      <c r="A46" s="9" t="inlineStr">
        <is>
          <t>#</t>
        </is>
      </c>
      <c r="B46" s="9" t="inlineStr">
        <is>
          <t>CX2511ADWBKNGUK</t>
        </is>
      </c>
      <c r="C46" s="9" t="inlineStr">
        <is>
          <t>AD　ウィンドブレーカー（２号機）F</t>
        </is>
      </c>
      <c r="D46" s="10">
        <f>COUNTIFS('XTab DS_1'!$B$2:$B$193,$B46)</f>
        <v/>
      </c>
      <c r="E46" s="10">
        <f>IF(D46&gt;=2,"重複","単独")</f>
        <v/>
      </c>
      <c r="F46" s="11">
        <f>SUMIFS('XTab DS_1'!$F$2:$F$193,'XTab DS_1'!$B$2:$B$193,$B46,'XTab DS_1'!$D$2:$D$193,"CX01")</f>
        <v/>
      </c>
      <c r="G46" s="12">
        <f>SUMIFS('XTab DS_1'!$G$2:$G$193,'XTab DS_1'!$B$2:$B$193,$B46,'XTab DS_1'!$D$2:$D$193,"CX01")</f>
        <v/>
      </c>
      <c r="H46" s="11">
        <f>SUMIFS('XTab DS_1'!$F$2:$F$193,'XTab DS_1'!$B$2:$B$193,$B46,'XTab DS_1'!$D$2:$D$193,"DB00")</f>
        <v/>
      </c>
      <c r="I46" s="12">
        <f>SUMIFS('XTab DS_1'!$G$2:$G$193,'XTab DS_1'!$B$2:$B$193,$B46,'XTab DS_1'!$D$2:$D$193,"DB00")</f>
        <v/>
      </c>
      <c r="J46" s="21">
        <f>SUMIFS('XTab DS_1'!$F$2:$F$193,'XTab DS_1'!$B$2:$B$193,$B46)</f>
        <v/>
      </c>
      <c r="K46" s="22">
        <f>SUMIFS('XTab DS_1'!$G$2:$G$193,'XTab DS_1'!$B$2:$B$193,$B46)</f>
        <v/>
      </c>
    </row>
    <row r="47">
      <c r="A47" s="9" t="inlineStr">
        <is>
          <t>#</t>
        </is>
      </c>
      <c r="B47" s="9" t="inlineStr">
        <is>
          <t>CX2511ADWBKSGUK</t>
        </is>
      </c>
      <c r="C47" s="9" t="inlineStr">
        <is>
          <t>AD　ウィンドブレーカー（初号機）F</t>
        </is>
      </c>
      <c r="D47" s="10">
        <f>COUNTIFS('XTab DS_1'!$B$2:$B$193,$B47)</f>
        <v/>
      </c>
      <c r="E47" s="10">
        <f>IF(D47&gt;=2,"重複","単独")</f>
        <v/>
      </c>
      <c r="F47" s="11">
        <f>SUMIFS('XTab DS_1'!$F$2:$F$193,'XTab DS_1'!$B$2:$B$193,$B47,'XTab DS_1'!$D$2:$D$193,"CX01")</f>
        <v/>
      </c>
      <c r="G47" s="12">
        <f>SUMIFS('XTab DS_1'!$G$2:$G$193,'XTab DS_1'!$B$2:$B$193,$B47,'XTab DS_1'!$D$2:$D$193,"CX01")</f>
        <v/>
      </c>
      <c r="H47" s="11">
        <f>SUMIFS('XTab DS_1'!$F$2:$F$193,'XTab DS_1'!$B$2:$B$193,$B47,'XTab DS_1'!$D$2:$D$193,"DB00")</f>
        <v/>
      </c>
      <c r="I47" s="12">
        <f>SUMIFS('XTab DS_1'!$G$2:$G$193,'XTab DS_1'!$B$2:$B$193,$B47,'XTab DS_1'!$D$2:$D$193,"DB00")</f>
        <v/>
      </c>
      <c r="J47" s="21">
        <f>SUMIFS('XTab DS_1'!$F$2:$F$193,'XTab DS_1'!$B$2:$B$193,$B47)</f>
        <v/>
      </c>
      <c r="K47" s="22">
        <f>SUMIFS('XTab DS_1'!$G$2:$G$193,'XTab DS_1'!$B$2:$B$193,$B47)</f>
        <v/>
      </c>
    </row>
    <row r="48">
      <c r="A48" s="9" t="inlineStr">
        <is>
          <t>#</t>
        </is>
      </c>
      <c r="B48" s="9" t="inlineStr">
        <is>
          <t>CX2511ADWBKZGUK</t>
        </is>
      </c>
      <c r="C48" s="9" t="inlineStr">
        <is>
          <t>AD　ウィンドブレーカー（ゼロ号機）F</t>
        </is>
      </c>
      <c r="D48" s="10">
        <f>COUNTIFS('XTab DS_1'!$B$2:$B$193,$B48)</f>
        <v/>
      </c>
      <c r="E48" s="10">
        <f>IF(D48&gt;=2,"重複","単独")</f>
        <v/>
      </c>
      <c r="F48" s="11">
        <f>SUMIFS('XTab DS_1'!$F$2:$F$193,'XTab DS_1'!$B$2:$B$193,$B48,'XTab DS_1'!$D$2:$D$193,"CX01")</f>
        <v/>
      </c>
      <c r="G48" s="12">
        <f>SUMIFS('XTab DS_1'!$G$2:$G$193,'XTab DS_1'!$B$2:$B$193,$B48,'XTab DS_1'!$D$2:$D$193,"CX01")</f>
        <v/>
      </c>
      <c r="H48" s="11">
        <f>SUMIFS('XTab DS_1'!$F$2:$F$193,'XTab DS_1'!$B$2:$B$193,$B48,'XTab DS_1'!$D$2:$D$193,"DB00")</f>
        <v/>
      </c>
      <c r="I48" s="12">
        <f>SUMIFS('XTab DS_1'!$G$2:$G$193,'XTab DS_1'!$B$2:$B$193,$B48,'XTab DS_1'!$D$2:$D$193,"DB00")</f>
        <v/>
      </c>
      <c r="J48" s="21">
        <f>SUMIFS('XTab DS_1'!$F$2:$F$193,'XTab DS_1'!$B$2:$B$193,$B48)</f>
        <v/>
      </c>
      <c r="K48" s="22">
        <f>SUMIFS('XTab DS_1'!$G$2:$G$193,'XTab DS_1'!$B$2:$B$193,$B48)</f>
        <v/>
      </c>
    </row>
    <row r="49">
      <c r="A49" s="9" t="inlineStr">
        <is>
          <t>#</t>
        </is>
      </c>
      <c r="B49" s="9" t="inlineStr">
        <is>
          <t>CX2511ADWESTPT</t>
        </is>
      </c>
      <c r="C49" s="9" t="inlineStr">
        <is>
          <t>AD　ウェストポーチ</t>
        </is>
      </c>
      <c r="D49" s="10">
        <f>COUNTIFS('XTab DS_1'!$B$2:$B$193,$B49)</f>
        <v/>
      </c>
      <c r="E49" s="10">
        <f>IF(D49&gt;=2,"重複","単独")</f>
        <v/>
      </c>
      <c r="F49" s="11">
        <f>SUMIFS('XTab DS_1'!$F$2:$F$193,'XTab DS_1'!$B$2:$B$193,$B49,'XTab DS_1'!$D$2:$D$193,"CX01")</f>
        <v/>
      </c>
      <c r="G49" s="12">
        <f>SUMIFS('XTab DS_1'!$G$2:$G$193,'XTab DS_1'!$B$2:$B$193,$B49,'XTab DS_1'!$D$2:$D$193,"CX01")</f>
        <v/>
      </c>
      <c r="H49" s="11">
        <f>SUMIFS('XTab DS_1'!$F$2:$F$193,'XTab DS_1'!$B$2:$B$193,$B49,'XTab DS_1'!$D$2:$D$193,"DB00")</f>
        <v/>
      </c>
      <c r="I49" s="12">
        <f>SUMIFS('XTab DS_1'!$G$2:$G$193,'XTab DS_1'!$B$2:$B$193,$B49,'XTab DS_1'!$D$2:$D$193,"DB00")</f>
        <v/>
      </c>
      <c r="J49" s="21">
        <f>SUMIFS('XTab DS_1'!$F$2:$F$193,'XTab DS_1'!$B$2:$B$193,$B49)</f>
        <v/>
      </c>
      <c r="K49" s="22">
        <f>SUMIFS('XTab DS_1'!$G$2:$G$193,'XTab DS_1'!$B$2:$B$193,$B49)</f>
        <v/>
      </c>
    </row>
    <row r="50">
      <c r="A50" s="9" t="inlineStr">
        <is>
          <t>#</t>
        </is>
      </c>
      <c r="B50" s="9" t="inlineStr">
        <is>
          <t>CX2511ASTACDKP</t>
        </is>
      </c>
      <c r="C50" s="9" t="inlineStr">
        <is>
          <t>AST　アクリルカード　コンプリート</t>
        </is>
      </c>
      <c r="D50" s="10">
        <f>COUNTIFS('XTab DS_1'!$B$2:$B$193,$B50)</f>
        <v/>
      </c>
      <c r="E50" s="10">
        <f>IF(D50&gt;=2,"重複","単独")</f>
        <v/>
      </c>
      <c r="F50" s="11">
        <f>SUMIFS('XTab DS_1'!$F$2:$F$193,'XTab DS_1'!$B$2:$B$193,$B50,'XTab DS_1'!$D$2:$D$193,"CX01")</f>
        <v/>
      </c>
      <c r="G50" s="12">
        <f>SUMIFS('XTab DS_1'!$G$2:$G$193,'XTab DS_1'!$B$2:$B$193,$B50,'XTab DS_1'!$D$2:$D$193,"CX01")</f>
        <v/>
      </c>
      <c r="H50" s="11">
        <f>SUMIFS('XTab DS_1'!$F$2:$F$193,'XTab DS_1'!$B$2:$B$193,$B50,'XTab DS_1'!$D$2:$D$193,"DB00")</f>
        <v/>
      </c>
      <c r="I50" s="12">
        <f>SUMIFS('XTab DS_1'!$G$2:$G$193,'XTab DS_1'!$B$2:$B$193,$B50,'XTab DS_1'!$D$2:$D$193,"DB00")</f>
        <v/>
      </c>
      <c r="J50" s="21">
        <f>SUMIFS('XTab DS_1'!$F$2:$F$193,'XTab DS_1'!$B$2:$B$193,$B50)</f>
        <v/>
      </c>
      <c r="K50" s="22">
        <f>SUMIFS('XTab DS_1'!$G$2:$G$193,'XTab DS_1'!$B$2:$B$193,$B50)</f>
        <v/>
      </c>
    </row>
    <row r="51">
      <c r="A51" s="9" t="inlineStr">
        <is>
          <t>#</t>
        </is>
      </c>
      <c r="B51" s="9" t="inlineStr">
        <is>
          <t>CX2511ASTAST-ASK</t>
        </is>
      </c>
      <c r="C51" s="9" t="inlineStr">
        <is>
          <t>AST　アクリルスタンド　（アスカ）</t>
        </is>
      </c>
      <c r="D51" s="10">
        <f>COUNTIFS('XTab DS_1'!$B$2:$B$193,$B51)</f>
        <v/>
      </c>
      <c r="E51" s="10">
        <f>IF(D51&gt;=2,"重複","単独")</f>
        <v/>
      </c>
      <c r="F51" s="11">
        <f>SUMIFS('XTab DS_1'!$F$2:$F$193,'XTab DS_1'!$B$2:$B$193,$B51,'XTab DS_1'!$D$2:$D$193,"CX01")</f>
        <v/>
      </c>
      <c r="G51" s="12">
        <f>SUMIFS('XTab DS_1'!$G$2:$G$193,'XTab DS_1'!$B$2:$B$193,$B51,'XTab DS_1'!$D$2:$D$193,"CX01")</f>
        <v/>
      </c>
      <c r="H51" s="11">
        <f>SUMIFS('XTab DS_1'!$F$2:$F$193,'XTab DS_1'!$B$2:$B$193,$B51,'XTab DS_1'!$D$2:$D$193,"DB00")</f>
        <v/>
      </c>
      <c r="I51" s="12">
        <f>SUMIFS('XTab DS_1'!$G$2:$G$193,'XTab DS_1'!$B$2:$B$193,$B51,'XTab DS_1'!$D$2:$D$193,"DB00")</f>
        <v/>
      </c>
      <c r="J51" s="21">
        <f>SUMIFS('XTab DS_1'!$F$2:$F$193,'XTab DS_1'!$B$2:$B$193,$B51)</f>
        <v/>
      </c>
      <c r="K51" s="22">
        <f>SUMIFS('XTab DS_1'!$G$2:$G$193,'XTab DS_1'!$B$2:$B$193,$B51)</f>
        <v/>
      </c>
    </row>
    <row r="52">
      <c r="A52" s="9" t="inlineStr">
        <is>
          <t>#</t>
        </is>
      </c>
      <c r="B52" s="9" t="inlineStr">
        <is>
          <t>CX2511ASTAST-IKR</t>
        </is>
      </c>
      <c r="C52" s="9" t="inlineStr">
        <is>
          <t>AST　アクリルスタンド　（碇ゲンドウ）</t>
        </is>
      </c>
      <c r="D52" s="10">
        <f>COUNTIFS('XTab DS_1'!$B$2:$B$193,$B52)</f>
        <v/>
      </c>
      <c r="E52" s="10">
        <f>IF(D52&gt;=2,"重複","単独")</f>
        <v/>
      </c>
      <c r="F52" s="11">
        <f>SUMIFS('XTab DS_1'!$F$2:$F$193,'XTab DS_1'!$B$2:$B$193,$B52,'XTab DS_1'!$D$2:$D$193,"CX01")</f>
        <v/>
      </c>
      <c r="G52" s="12">
        <f>SUMIFS('XTab DS_1'!$G$2:$G$193,'XTab DS_1'!$B$2:$B$193,$B52,'XTab DS_1'!$D$2:$D$193,"CX01")</f>
        <v/>
      </c>
      <c r="H52" s="11">
        <f>SUMIFS('XTab DS_1'!$F$2:$F$193,'XTab DS_1'!$B$2:$B$193,$B52,'XTab DS_1'!$D$2:$D$193,"DB00")</f>
        <v/>
      </c>
      <c r="I52" s="12">
        <f>SUMIFS('XTab DS_1'!$G$2:$G$193,'XTab DS_1'!$B$2:$B$193,$B52,'XTab DS_1'!$D$2:$D$193,"DB00")</f>
        <v/>
      </c>
      <c r="J52" s="21">
        <f>SUMIFS('XTab DS_1'!$F$2:$F$193,'XTab DS_1'!$B$2:$B$193,$B52)</f>
        <v/>
      </c>
      <c r="K52" s="22">
        <f>SUMIFS('XTab DS_1'!$G$2:$G$193,'XTab DS_1'!$B$2:$B$193,$B52)</f>
        <v/>
      </c>
    </row>
    <row r="53">
      <c r="A53" s="9" t="inlineStr">
        <is>
          <t>#</t>
        </is>
      </c>
      <c r="B53" s="9" t="inlineStr">
        <is>
          <t>CX2511ASTAST-KJ</t>
        </is>
      </c>
      <c r="C53" s="9" t="inlineStr">
        <is>
          <t>AST　アクリルスタンド　（加持良治）</t>
        </is>
      </c>
      <c r="D53" s="10">
        <f>COUNTIFS('XTab DS_1'!$B$2:$B$193,$B53)</f>
        <v/>
      </c>
      <c r="E53" s="10">
        <f>IF(D53&gt;=2,"重複","単独")</f>
        <v/>
      </c>
      <c r="F53" s="11">
        <f>SUMIFS('XTab DS_1'!$F$2:$F$193,'XTab DS_1'!$B$2:$B$193,$B53,'XTab DS_1'!$D$2:$D$193,"CX01")</f>
        <v/>
      </c>
      <c r="G53" s="12">
        <f>SUMIFS('XTab DS_1'!$G$2:$G$193,'XTab DS_1'!$B$2:$B$193,$B53,'XTab DS_1'!$D$2:$D$193,"CX01")</f>
        <v/>
      </c>
      <c r="H53" s="11">
        <f>SUMIFS('XTab DS_1'!$F$2:$F$193,'XTab DS_1'!$B$2:$B$193,$B53,'XTab DS_1'!$D$2:$D$193,"DB00")</f>
        <v/>
      </c>
      <c r="I53" s="12">
        <f>SUMIFS('XTab DS_1'!$G$2:$G$193,'XTab DS_1'!$B$2:$B$193,$B53,'XTab DS_1'!$D$2:$D$193,"DB00")</f>
        <v/>
      </c>
      <c r="J53" s="21">
        <f>SUMIFS('XTab DS_1'!$F$2:$F$193,'XTab DS_1'!$B$2:$B$193,$B53)</f>
        <v/>
      </c>
      <c r="K53" s="22">
        <f>SUMIFS('XTab DS_1'!$G$2:$G$193,'XTab DS_1'!$B$2:$B$193,$B53)</f>
        <v/>
      </c>
    </row>
    <row r="54">
      <c r="A54" s="9" t="inlineStr">
        <is>
          <t>#</t>
        </is>
      </c>
      <c r="B54" s="9" t="inlineStr">
        <is>
          <t>CX2511ASTAST-KWR</t>
        </is>
      </c>
      <c r="C54" s="9" t="inlineStr">
        <is>
          <t>AST　アクリルスタンド　（カヲル）</t>
        </is>
      </c>
      <c r="D54" s="10">
        <f>COUNTIFS('XTab DS_1'!$B$2:$B$193,$B54)</f>
        <v/>
      </c>
      <c r="E54" s="10">
        <f>IF(D54&gt;=2,"重複","単独")</f>
        <v/>
      </c>
      <c r="F54" s="11">
        <f>SUMIFS('XTab DS_1'!$F$2:$F$193,'XTab DS_1'!$B$2:$B$193,$B54,'XTab DS_1'!$D$2:$D$193,"CX01")</f>
        <v/>
      </c>
      <c r="G54" s="12">
        <f>SUMIFS('XTab DS_1'!$G$2:$G$193,'XTab DS_1'!$B$2:$B$193,$B54,'XTab DS_1'!$D$2:$D$193,"CX01")</f>
        <v/>
      </c>
      <c r="H54" s="11">
        <f>SUMIFS('XTab DS_1'!$F$2:$F$193,'XTab DS_1'!$B$2:$B$193,$B54,'XTab DS_1'!$D$2:$D$193,"DB00")</f>
        <v/>
      </c>
      <c r="I54" s="12">
        <f>SUMIFS('XTab DS_1'!$G$2:$G$193,'XTab DS_1'!$B$2:$B$193,$B54,'XTab DS_1'!$D$2:$D$193,"DB00")</f>
        <v/>
      </c>
      <c r="J54" s="21">
        <f>SUMIFS('XTab DS_1'!$F$2:$F$193,'XTab DS_1'!$B$2:$B$193,$B54)</f>
        <v/>
      </c>
      <c r="K54" s="22">
        <f>SUMIFS('XTab DS_1'!$G$2:$G$193,'XTab DS_1'!$B$2:$B$193,$B54)</f>
        <v/>
      </c>
    </row>
    <row r="55">
      <c r="A55" s="9" t="inlineStr">
        <is>
          <t>#</t>
        </is>
      </c>
      <c r="B55" s="9" t="inlineStr">
        <is>
          <t>CX2511ASTAST-MR</t>
        </is>
      </c>
      <c r="C55" s="9" t="inlineStr">
        <is>
          <t>AST　アクリルスタンド　（マリ）</t>
        </is>
      </c>
      <c r="D55" s="10">
        <f>COUNTIFS('XTab DS_1'!$B$2:$B$193,$B55)</f>
        <v/>
      </c>
      <c r="E55" s="10">
        <f>IF(D55&gt;=2,"重複","単独")</f>
        <v/>
      </c>
      <c r="F55" s="11">
        <f>SUMIFS('XTab DS_1'!$F$2:$F$193,'XTab DS_1'!$B$2:$B$193,$B55,'XTab DS_1'!$D$2:$D$193,"CX01")</f>
        <v/>
      </c>
      <c r="G55" s="12">
        <f>SUMIFS('XTab DS_1'!$G$2:$G$193,'XTab DS_1'!$B$2:$B$193,$B55,'XTab DS_1'!$D$2:$D$193,"CX01")</f>
        <v/>
      </c>
      <c r="H55" s="11">
        <f>SUMIFS('XTab DS_1'!$F$2:$F$193,'XTab DS_1'!$B$2:$B$193,$B55,'XTab DS_1'!$D$2:$D$193,"DB00")</f>
        <v/>
      </c>
      <c r="I55" s="12">
        <f>SUMIFS('XTab DS_1'!$G$2:$G$193,'XTab DS_1'!$B$2:$B$193,$B55,'XTab DS_1'!$D$2:$D$193,"DB00")</f>
        <v/>
      </c>
      <c r="J55" s="21">
        <f>SUMIFS('XTab DS_1'!$F$2:$F$193,'XTab DS_1'!$B$2:$B$193,$B55)</f>
        <v/>
      </c>
      <c r="K55" s="22">
        <f>SUMIFS('XTab DS_1'!$G$2:$G$193,'XTab DS_1'!$B$2:$B$193,$B55)</f>
        <v/>
      </c>
    </row>
    <row r="56">
      <c r="A56" s="9" t="inlineStr">
        <is>
          <t>#</t>
        </is>
      </c>
      <c r="B56" s="9" t="inlineStr">
        <is>
          <t>CX2511ASTAST-MST</t>
        </is>
      </c>
      <c r="C56" s="9" t="inlineStr">
        <is>
          <t>AST　アクリルスタンド　（美里）</t>
        </is>
      </c>
      <c r="D56" s="10">
        <f>COUNTIFS('XTab DS_1'!$B$2:$B$193,$B56)</f>
        <v/>
      </c>
      <c r="E56" s="10">
        <f>IF(D56&gt;=2,"重複","単独")</f>
        <v/>
      </c>
      <c r="F56" s="11">
        <f>SUMIFS('XTab DS_1'!$F$2:$F$193,'XTab DS_1'!$B$2:$B$193,$B56,'XTab DS_1'!$D$2:$D$193,"CX01")</f>
        <v/>
      </c>
      <c r="G56" s="12">
        <f>SUMIFS('XTab DS_1'!$G$2:$G$193,'XTab DS_1'!$B$2:$B$193,$B56,'XTab DS_1'!$D$2:$D$193,"CX01")</f>
        <v/>
      </c>
      <c r="H56" s="11">
        <f>SUMIFS('XTab DS_1'!$F$2:$F$193,'XTab DS_1'!$B$2:$B$193,$B56,'XTab DS_1'!$D$2:$D$193,"DB00")</f>
        <v/>
      </c>
      <c r="I56" s="12">
        <f>SUMIFS('XTab DS_1'!$G$2:$G$193,'XTab DS_1'!$B$2:$B$193,$B56,'XTab DS_1'!$D$2:$D$193,"DB00")</f>
        <v/>
      </c>
      <c r="J56" s="21">
        <f>SUMIFS('XTab DS_1'!$F$2:$F$193,'XTab DS_1'!$B$2:$B$193,$B56)</f>
        <v/>
      </c>
      <c r="K56" s="22">
        <f>SUMIFS('XTab DS_1'!$G$2:$G$193,'XTab DS_1'!$B$2:$B$193,$B56)</f>
        <v/>
      </c>
    </row>
    <row r="57">
      <c r="A57" s="9" t="inlineStr">
        <is>
          <t>#</t>
        </is>
      </c>
      <c r="B57" s="9" t="inlineStr">
        <is>
          <t>CX2511ASTAST-PP</t>
        </is>
      </c>
      <c r="C57" s="9" t="inlineStr">
        <is>
          <t>AST　アクリルスタンド　（ペンペン）</t>
        </is>
      </c>
      <c r="D57" s="10">
        <f>COUNTIFS('XTab DS_1'!$B$2:$B$193,$B57)</f>
        <v/>
      </c>
      <c r="E57" s="10">
        <f>IF(D57&gt;=2,"重複","単独")</f>
        <v/>
      </c>
      <c r="F57" s="11">
        <f>SUMIFS('XTab DS_1'!$F$2:$F$193,'XTab DS_1'!$B$2:$B$193,$B57,'XTab DS_1'!$D$2:$D$193,"CX01")</f>
        <v/>
      </c>
      <c r="G57" s="12">
        <f>SUMIFS('XTab DS_1'!$G$2:$G$193,'XTab DS_1'!$B$2:$B$193,$B57,'XTab DS_1'!$D$2:$D$193,"CX01")</f>
        <v/>
      </c>
      <c r="H57" s="11">
        <f>SUMIFS('XTab DS_1'!$F$2:$F$193,'XTab DS_1'!$B$2:$B$193,$B57,'XTab DS_1'!$D$2:$D$193,"DB00")</f>
        <v/>
      </c>
      <c r="I57" s="12">
        <f>SUMIFS('XTab DS_1'!$G$2:$G$193,'XTab DS_1'!$B$2:$B$193,$B57,'XTab DS_1'!$D$2:$D$193,"DB00")</f>
        <v/>
      </c>
      <c r="J57" s="21">
        <f>SUMIFS('XTab DS_1'!$F$2:$F$193,'XTab DS_1'!$B$2:$B$193,$B57)</f>
        <v/>
      </c>
      <c r="K57" s="22">
        <f>SUMIFS('XTab DS_1'!$G$2:$G$193,'XTab DS_1'!$B$2:$B$193,$B57)</f>
        <v/>
      </c>
    </row>
    <row r="58">
      <c r="A58" s="9" t="inlineStr">
        <is>
          <t>#</t>
        </is>
      </c>
      <c r="B58" s="9" t="inlineStr">
        <is>
          <t>CX2511ASTAST-RI</t>
        </is>
      </c>
      <c r="C58" s="9" t="inlineStr">
        <is>
          <t>AST　アクリルスタンド　（レイ）</t>
        </is>
      </c>
      <c r="D58" s="10">
        <f>COUNTIFS('XTab DS_1'!$B$2:$B$193,$B58)</f>
        <v/>
      </c>
      <c r="E58" s="10">
        <f>IF(D58&gt;=2,"重複","単独")</f>
        <v/>
      </c>
      <c r="F58" s="11">
        <f>SUMIFS('XTab DS_1'!$F$2:$F$193,'XTab DS_1'!$B$2:$B$193,$B58,'XTab DS_1'!$D$2:$D$193,"CX01")</f>
        <v/>
      </c>
      <c r="G58" s="12">
        <f>SUMIFS('XTab DS_1'!$G$2:$G$193,'XTab DS_1'!$B$2:$B$193,$B58,'XTab DS_1'!$D$2:$D$193,"CX01")</f>
        <v/>
      </c>
      <c r="H58" s="11">
        <f>SUMIFS('XTab DS_1'!$F$2:$F$193,'XTab DS_1'!$B$2:$B$193,$B58,'XTab DS_1'!$D$2:$D$193,"DB00")</f>
        <v/>
      </c>
      <c r="I58" s="12">
        <f>SUMIFS('XTab DS_1'!$G$2:$G$193,'XTab DS_1'!$B$2:$B$193,$B58,'XTab DS_1'!$D$2:$D$193,"DB00")</f>
        <v/>
      </c>
      <c r="J58" s="21">
        <f>SUMIFS('XTab DS_1'!$F$2:$F$193,'XTab DS_1'!$B$2:$B$193,$B58)</f>
        <v/>
      </c>
      <c r="K58" s="22">
        <f>SUMIFS('XTab DS_1'!$G$2:$G$193,'XTab DS_1'!$B$2:$B$193,$B58)</f>
        <v/>
      </c>
    </row>
    <row r="59">
      <c r="A59" s="9" t="inlineStr">
        <is>
          <t>#</t>
        </is>
      </c>
      <c r="B59" s="9" t="inlineStr">
        <is>
          <t>CX2511ASTAST-RTK</t>
        </is>
      </c>
      <c r="C59" s="9" t="inlineStr">
        <is>
          <t>AST　アクリルスタンド　（律子）</t>
        </is>
      </c>
      <c r="D59" s="10">
        <f>COUNTIFS('XTab DS_1'!$B$2:$B$193,$B59)</f>
        <v/>
      </c>
      <c r="E59" s="10">
        <f>IF(D59&gt;=2,"重複","単独")</f>
        <v/>
      </c>
      <c r="F59" s="11">
        <f>SUMIFS('XTab DS_1'!$F$2:$F$193,'XTab DS_1'!$B$2:$B$193,$B59,'XTab DS_1'!$D$2:$D$193,"CX01")</f>
        <v/>
      </c>
      <c r="G59" s="12">
        <f>SUMIFS('XTab DS_1'!$G$2:$G$193,'XTab DS_1'!$B$2:$B$193,$B59,'XTab DS_1'!$D$2:$D$193,"CX01")</f>
        <v/>
      </c>
      <c r="H59" s="11">
        <f>SUMIFS('XTab DS_1'!$F$2:$F$193,'XTab DS_1'!$B$2:$B$193,$B59,'XTab DS_1'!$D$2:$D$193,"DB00")</f>
        <v/>
      </c>
      <c r="I59" s="12">
        <f>SUMIFS('XTab DS_1'!$G$2:$G$193,'XTab DS_1'!$B$2:$B$193,$B59,'XTab DS_1'!$D$2:$D$193,"DB00")</f>
        <v/>
      </c>
      <c r="J59" s="21">
        <f>SUMIFS('XTab DS_1'!$F$2:$F$193,'XTab DS_1'!$B$2:$B$193,$B59)</f>
        <v/>
      </c>
      <c r="K59" s="22">
        <f>SUMIFS('XTab DS_1'!$G$2:$G$193,'XTab DS_1'!$B$2:$B$193,$B59)</f>
        <v/>
      </c>
    </row>
    <row r="60">
      <c r="A60" s="9" t="inlineStr">
        <is>
          <t>#</t>
        </is>
      </c>
      <c r="B60" s="9" t="inlineStr">
        <is>
          <t>CX2511ASTAST-SJ</t>
        </is>
      </c>
      <c r="C60" s="9" t="inlineStr">
        <is>
          <t>AST　アクリルスタンド　（シンジ）</t>
        </is>
      </c>
      <c r="D60" s="10">
        <f>COUNTIFS('XTab DS_1'!$B$2:$B$193,$B60)</f>
        <v/>
      </c>
      <c r="E60" s="10">
        <f>IF(D60&gt;=2,"重複","単独")</f>
        <v/>
      </c>
      <c r="F60" s="11">
        <f>SUMIFS('XTab DS_1'!$F$2:$F$193,'XTab DS_1'!$B$2:$B$193,$B60,'XTab DS_1'!$D$2:$D$193,"CX01")</f>
        <v/>
      </c>
      <c r="G60" s="12">
        <f>SUMIFS('XTab DS_1'!$G$2:$G$193,'XTab DS_1'!$B$2:$B$193,$B60,'XTab DS_1'!$D$2:$D$193,"CX01")</f>
        <v/>
      </c>
      <c r="H60" s="11">
        <f>SUMIFS('XTab DS_1'!$F$2:$F$193,'XTab DS_1'!$B$2:$B$193,$B60,'XTab DS_1'!$D$2:$D$193,"DB00")</f>
        <v/>
      </c>
      <c r="I60" s="12">
        <f>SUMIFS('XTab DS_1'!$G$2:$G$193,'XTab DS_1'!$B$2:$B$193,$B60,'XTab DS_1'!$D$2:$D$193,"DB00")</f>
        <v/>
      </c>
      <c r="J60" s="21">
        <f>SUMIFS('XTab DS_1'!$F$2:$F$193,'XTab DS_1'!$B$2:$B$193,$B60)</f>
        <v/>
      </c>
      <c r="K60" s="22">
        <f>SUMIFS('XTab DS_1'!$G$2:$G$193,'XTab DS_1'!$B$2:$B$193,$B60)</f>
        <v/>
      </c>
    </row>
    <row r="61">
      <c r="A61" s="9" t="inlineStr">
        <is>
          <t>#</t>
        </is>
      </c>
      <c r="B61" s="9" t="inlineStr">
        <is>
          <t>CX2511ASTASTKV</t>
        </is>
      </c>
      <c r="C61" s="9" t="inlineStr">
        <is>
          <t>AST　アクリルスタンド　KV</t>
        </is>
      </c>
      <c r="D61" s="10">
        <f>COUNTIFS('XTab DS_1'!$B$2:$B$193,$B61)</f>
        <v/>
      </c>
      <c r="E61" s="10">
        <f>IF(D61&gt;=2,"重複","単独")</f>
        <v/>
      </c>
      <c r="F61" s="11">
        <f>SUMIFS('XTab DS_1'!$F$2:$F$193,'XTab DS_1'!$B$2:$B$193,$B61,'XTab DS_1'!$D$2:$D$193,"CX01")</f>
        <v/>
      </c>
      <c r="G61" s="12">
        <f>SUMIFS('XTab DS_1'!$G$2:$G$193,'XTab DS_1'!$B$2:$B$193,$B61,'XTab DS_1'!$D$2:$D$193,"CX01")</f>
        <v/>
      </c>
      <c r="H61" s="11">
        <f>SUMIFS('XTab DS_1'!$F$2:$F$193,'XTab DS_1'!$B$2:$B$193,$B61,'XTab DS_1'!$D$2:$D$193,"DB00")</f>
        <v/>
      </c>
      <c r="I61" s="12">
        <f>SUMIFS('XTab DS_1'!$G$2:$G$193,'XTab DS_1'!$B$2:$B$193,$B61,'XTab DS_1'!$D$2:$D$193,"DB00")</f>
        <v/>
      </c>
      <c r="J61" s="21">
        <f>SUMIFS('XTab DS_1'!$F$2:$F$193,'XTab DS_1'!$B$2:$B$193,$B61)</f>
        <v/>
      </c>
      <c r="K61" s="22">
        <f>SUMIFS('XTab DS_1'!$G$2:$G$193,'XTab DS_1'!$B$2:$B$193,$B61)</f>
        <v/>
      </c>
    </row>
    <row r="62">
      <c r="A62" s="9" t="inlineStr">
        <is>
          <t>#</t>
        </is>
      </c>
      <c r="B62" s="9" t="inlineStr">
        <is>
          <t>CX2511ASTBDGKVKP</t>
        </is>
      </c>
      <c r="C62" s="9" t="inlineStr">
        <is>
          <t>AST　缶バッジ　KV　コンプリート</t>
        </is>
      </c>
      <c r="D62" s="10">
        <f>COUNTIFS('XTab DS_1'!$B$2:$B$193,$B62)</f>
        <v/>
      </c>
      <c r="E62" s="10">
        <f>IF(D62&gt;=2,"重複","単独")</f>
        <v/>
      </c>
      <c r="F62" s="11">
        <f>SUMIFS('XTab DS_1'!$F$2:$F$193,'XTab DS_1'!$B$2:$B$193,$B62,'XTab DS_1'!$D$2:$D$193,"CX01")</f>
        <v/>
      </c>
      <c r="G62" s="12">
        <f>SUMIFS('XTab DS_1'!$G$2:$G$193,'XTab DS_1'!$B$2:$B$193,$B62,'XTab DS_1'!$D$2:$D$193,"CX01")</f>
        <v/>
      </c>
      <c r="H62" s="11">
        <f>SUMIFS('XTab DS_1'!$F$2:$F$193,'XTab DS_1'!$B$2:$B$193,$B62,'XTab DS_1'!$D$2:$D$193,"DB00")</f>
        <v/>
      </c>
      <c r="I62" s="12">
        <f>SUMIFS('XTab DS_1'!$G$2:$G$193,'XTab DS_1'!$B$2:$B$193,$B62,'XTab DS_1'!$D$2:$D$193,"DB00")</f>
        <v/>
      </c>
      <c r="J62" s="21">
        <f>SUMIFS('XTab DS_1'!$F$2:$F$193,'XTab DS_1'!$B$2:$B$193,$B62)</f>
        <v/>
      </c>
      <c r="K62" s="22">
        <f>SUMIFS('XTab DS_1'!$G$2:$G$193,'XTab DS_1'!$B$2:$B$193,$B62)</f>
        <v/>
      </c>
    </row>
    <row r="63">
      <c r="A63" s="9" t="inlineStr">
        <is>
          <t>#</t>
        </is>
      </c>
      <c r="B63" s="9" t="inlineStr">
        <is>
          <t>CX2511ASTBDGRMXKP</t>
        </is>
      </c>
      <c r="C63" s="9" t="inlineStr">
        <is>
          <t>AST　缶バッジ　2023REMIXコンプリート</t>
        </is>
      </c>
      <c r="D63" s="10">
        <f>COUNTIFS('XTab DS_1'!$B$2:$B$193,$B63)</f>
        <v/>
      </c>
      <c r="E63" s="10">
        <f>IF(D63&gt;=2,"重複","単独")</f>
        <v/>
      </c>
      <c r="F63" s="11">
        <f>SUMIFS('XTab DS_1'!$F$2:$F$193,'XTab DS_1'!$B$2:$B$193,$B63,'XTab DS_1'!$D$2:$D$193,"CX01")</f>
        <v/>
      </c>
      <c r="G63" s="12">
        <f>SUMIFS('XTab DS_1'!$G$2:$G$193,'XTab DS_1'!$B$2:$B$193,$B63,'XTab DS_1'!$D$2:$D$193,"CX01")</f>
        <v/>
      </c>
      <c r="H63" s="11">
        <f>SUMIFS('XTab DS_1'!$F$2:$F$193,'XTab DS_1'!$B$2:$B$193,$B63,'XTab DS_1'!$D$2:$D$193,"DB00")</f>
        <v/>
      </c>
      <c r="I63" s="12">
        <f>SUMIFS('XTab DS_1'!$G$2:$G$193,'XTab DS_1'!$B$2:$B$193,$B63,'XTab DS_1'!$D$2:$D$193,"DB00")</f>
        <v/>
      </c>
      <c r="J63" s="21">
        <f>SUMIFS('XTab DS_1'!$F$2:$F$193,'XTab DS_1'!$B$2:$B$193,$B63)</f>
        <v/>
      </c>
      <c r="K63" s="22">
        <f>SUMIFS('XTab DS_1'!$G$2:$G$193,'XTab DS_1'!$B$2:$B$193,$B63)</f>
        <v/>
      </c>
    </row>
    <row r="64">
      <c r="A64" s="9" t="inlineStr">
        <is>
          <t>#</t>
        </is>
      </c>
      <c r="B64" s="9" t="inlineStr">
        <is>
          <t>CX2511ASTJYJ-ASK</t>
        </is>
      </c>
      <c r="C64" s="9" t="inlineStr">
        <is>
          <t>AST　ジャージ（ASUKA）F</t>
        </is>
      </c>
      <c r="D64" s="10">
        <f>COUNTIFS('XTab DS_1'!$B$2:$B$193,$B64)</f>
        <v/>
      </c>
      <c r="E64" s="10">
        <f>IF(D64&gt;=2,"重複","単独")</f>
        <v/>
      </c>
      <c r="F64" s="11">
        <f>SUMIFS('XTab DS_1'!$F$2:$F$193,'XTab DS_1'!$B$2:$B$193,$B64,'XTab DS_1'!$D$2:$D$193,"CX01")</f>
        <v/>
      </c>
      <c r="G64" s="12">
        <f>SUMIFS('XTab DS_1'!$G$2:$G$193,'XTab DS_1'!$B$2:$B$193,$B64,'XTab DS_1'!$D$2:$D$193,"CX01")</f>
        <v/>
      </c>
      <c r="H64" s="11">
        <f>SUMIFS('XTab DS_1'!$F$2:$F$193,'XTab DS_1'!$B$2:$B$193,$B64,'XTab DS_1'!$D$2:$D$193,"DB00")</f>
        <v/>
      </c>
      <c r="I64" s="12">
        <f>SUMIFS('XTab DS_1'!$G$2:$G$193,'XTab DS_1'!$B$2:$B$193,$B64,'XTab DS_1'!$D$2:$D$193,"DB00")</f>
        <v/>
      </c>
      <c r="J64" s="21">
        <f>SUMIFS('XTab DS_1'!$F$2:$F$193,'XTab DS_1'!$B$2:$B$193,$B64)</f>
        <v/>
      </c>
      <c r="K64" s="22">
        <f>SUMIFS('XTab DS_1'!$G$2:$G$193,'XTab DS_1'!$B$2:$B$193,$B64)</f>
        <v/>
      </c>
    </row>
    <row r="65">
      <c r="A65" s="9" t="inlineStr">
        <is>
          <t>#</t>
        </is>
      </c>
      <c r="B65" s="9" t="inlineStr">
        <is>
          <t>CX2511ASTJYJ-KWR</t>
        </is>
      </c>
      <c r="C65" s="9" t="inlineStr">
        <is>
          <t>AST　ジャージ（KAWORU）F</t>
        </is>
      </c>
      <c r="D65" s="10">
        <f>COUNTIFS('XTab DS_1'!$B$2:$B$193,$B65)</f>
        <v/>
      </c>
      <c r="E65" s="10">
        <f>IF(D65&gt;=2,"重複","単独")</f>
        <v/>
      </c>
      <c r="F65" s="11">
        <f>SUMIFS('XTab DS_1'!$F$2:$F$193,'XTab DS_1'!$B$2:$B$193,$B65,'XTab DS_1'!$D$2:$D$193,"CX01")</f>
        <v/>
      </c>
      <c r="G65" s="12">
        <f>SUMIFS('XTab DS_1'!$G$2:$G$193,'XTab DS_1'!$B$2:$B$193,$B65,'XTab DS_1'!$D$2:$D$193,"CX01")</f>
        <v/>
      </c>
      <c r="H65" s="11">
        <f>SUMIFS('XTab DS_1'!$F$2:$F$193,'XTab DS_1'!$B$2:$B$193,$B65,'XTab DS_1'!$D$2:$D$193,"DB00")</f>
        <v/>
      </c>
      <c r="I65" s="12">
        <f>SUMIFS('XTab DS_1'!$G$2:$G$193,'XTab DS_1'!$B$2:$B$193,$B65,'XTab DS_1'!$D$2:$D$193,"DB00")</f>
        <v/>
      </c>
      <c r="J65" s="21">
        <f>SUMIFS('XTab DS_1'!$F$2:$F$193,'XTab DS_1'!$B$2:$B$193,$B65)</f>
        <v/>
      </c>
      <c r="K65" s="22">
        <f>SUMIFS('XTab DS_1'!$G$2:$G$193,'XTab DS_1'!$B$2:$B$193,$B65)</f>
        <v/>
      </c>
    </row>
    <row r="66">
      <c r="A66" s="9" t="inlineStr">
        <is>
          <t>#</t>
        </is>
      </c>
      <c r="B66" s="9" t="inlineStr">
        <is>
          <t>CX2511ASTJYJ-RI</t>
        </is>
      </c>
      <c r="C66" s="9" t="inlineStr">
        <is>
          <t>AST　ジャージ（REI）F</t>
        </is>
      </c>
      <c r="D66" s="10">
        <f>COUNTIFS('XTab DS_1'!$B$2:$B$193,$B66)</f>
        <v/>
      </c>
      <c r="E66" s="10">
        <f>IF(D66&gt;=2,"重複","単独")</f>
        <v/>
      </c>
      <c r="F66" s="11">
        <f>SUMIFS('XTab DS_1'!$F$2:$F$193,'XTab DS_1'!$B$2:$B$193,$B66,'XTab DS_1'!$D$2:$D$193,"CX01")</f>
        <v/>
      </c>
      <c r="G66" s="12">
        <f>SUMIFS('XTab DS_1'!$G$2:$G$193,'XTab DS_1'!$B$2:$B$193,$B66,'XTab DS_1'!$D$2:$D$193,"CX01")</f>
        <v/>
      </c>
      <c r="H66" s="11">
        <f>SUMIFS('XTab DS_1'!$F$2:$F$193,'XTab DS_1'!$B$2:$B$193,$B66,'XTab DS_1'!$D$2:$D$193,"DB00")</f>
        <v/>
      </c>
      <c r="I66" s="12">
        <f>SUMIFS('XTab DS_1'!$G$2:$G$193,'XTab DS_1'!$B$2:$B$193,$B66,'XTab DS_1'!$D$2:$D$193,"DB00")</f>
        <v/>
      </c>
      <c r="J66" s="21">
        <f>SUMIFS('XTab DS_1'!$F$2:$F$193,'XTab DS_1'!$B$2:$B$193,$B66)</f>
        <v/>
      </c>
      <c r="K66" s="22">
        <f>SUMIFS('XTab DS_1'!$G$2:$G$193,'XTab DS_1'!$B$2:$B$193,$B66)</f>
        <v/>
      </c>
    </row>
    <row r="67">
      <c r="A67" s="9" t="inlineStr">
        <is>
          <t>#</t>
        </is>
      </c>
      <c r="B67" s="9" t="inlineStr">
        <is>
          <t>CX2511ASTJYJ-SJ</t>
        </is>
      </c>
      <c r="C67" s="9" t="inlineStr">
        <is>
          <t>AST　ジャージ（SHINJI）F</t>
        </is>
      </c>
      <c r="D67" s="10">
        <f>COUNTIFS('XTab DS_1'!$B$2:$B$193,$B67)</f>
        <v/>
      </c>
      <c r="E67" s="10">
        <f>IF(D67&gt;=2,"重複","単独")</f>
        <v/>
      </c>
      <c r="F67" s="11">
        <f>SUMIFS('XTab DS_1'!$F$2:$F$193,'XTab DS_1'!$B$2:$B$193,$B67,'XTab DS_1'!$D$2:$D$193,"CX01")</f>
        <v/>
      </c>
      <c r="G67" s="12">
        <f>SUMIFS('XTab DS_1'!$G$2:$G$193,'XTab DS_1'!$B$2:$B$193,$B67,'XTab DS_1'!$D$2:$D$193,"CX01")</f>
        <v/>
      </c>
      <c r="H67" s="11">
        <f>SUMIFS('XTab DS_1'!$F$2:$F$193,'XTab DS_1'!$B$2:$B$193,$B67,'XTab DS_1'!$D$2:$D$193,"DB00")</f>
        <v/>
      </c>
      <c r="I67" s="12">
        <f>SUMIFS('XTab DS_1'!$G$2:$G$193,'XTab DS_1'!$B$2:$B$193,$B67,'XTab DS_1'!$D$2:$D$193,"DB00")</f>
        <v/>
      </c>
      <c r="J67" s="21">
        <f>SUMIFS('XTab DS_1'!$F$2:$F$193,'XTab DS_1'!$B$2:$B$193,$B67)</f>
        <v/>
      </c>
      <c r="K67" s="22">
        <f>SUMIFS('XTab DS_1'!$G$2:$G$193,'XTab DS_1'!$B$2:$B$193,$B67)</f>
        <v/>
      </c>
    </row>
    <row r="68">
      <c r="A68" s="9" t="inlineStr">
        <is>
          <t>#</t>
        </is>
      </c>
      <c r="B68" s="9" t="inlineStr">
        <is>
          <t>CX2511ASTLNTSS-L</t>
        </is>
      </c>
      <c r="C68" s="9" t="inlineStr">
        <is>
          <t>AST　ロンT （初号機＆シンジ）L</t>
        </is>
      </c>
      <c r="D68" s="10">
        <f>COUNTIFS('XTab DS_1'!$B$2:$B$193,$B68)</f>
        <v/>
      </c>
      <c r="E68" s="10">
        <f>IF(D68&gt;=2,"重複","単独")</f>
        <v/>
      </c>
      <c r="F68" s="11">
        <f>SUMIFS('XTab DS_1'!$F$2:$F$193,'XTab DS_1'!$B$2:$B$193,$B68,'XTab DS_1'!$D$2:$D$193,"CX01")</f>
        <v/>
      </c>
      <c r="G68" s="12">
        <f>SUMIFS('XTab DS_1'!$G$2:$G$193,'XTab DS_1'!$B$2:$B$193,$B68,'XTab DS_1'!$D$2:$D$193,"CX01")</f>
        <v/>
      </c>
      <c r="H68" s="11">
        <f>SUMIFS('XTab DS_1'!$F$2:$F$193,'XTab DS_1'!$B$2:$B$193,$B68,'XTab DS_1'!$D$2:$D$193,"DB00")</f>
        <v/>
      </c>
      <c r="I68" s="12">
        <f>SUMIFS('XTab DS_1'!$G$2:$G$193,'XTab DS_1'!$B$2:$B$193,$B68,'XTab DS_1'!$D$2:$D$193,"DB00")</f>
        <v/>
      </c>
      <c r="J68" s="21">
        <f>SUMIFS('XTab DS_1'!$F$2:$F$193,'XTab DS_1'!$B$2:$B$193,$B68)</f>
        <v/>
      </c>
      <c r="K68" s="22">
        <f>SUMIFS('XTab DS_1'!$G$2:$G$193,'XTab DS_1'!$B$2:$B$193,$B68)</f>
        <v/>
      </c>
    </row>
    <row r="69">
      <c r="A69" s="9" t="inlineStr">
        <is>
          <t>#</t>
        </is>
      </c>
      <c r="B69" s="9" t="inlineStr">
        <is>
          <t>CX2511ASTLNTSS-M</t>
        </is>
      </c>
      <c r="C69" s="9" t="inlineStr">
        <is>
          <t>AST　ロンT （初号機＆シンジ）M</t>
        </is>
      </c>
      <c r="D69" s="10">
        <f>COUNTIFS('XTab DS_1'!$B$2:$B$193,$B69)</f>
        <v/>
      </c>
      <c r="E69" s="10">
        <f>IF(D69&gt;=2,"重複","単独")</f>
        <v/>
      </c>
      <c r="F69" s="11">
        <f>SUMIFS('XTab DS_1'!$F$2:$F$193,'XTab DS_1'!$B$2:$B$193,$B69,'XTab DS_1'!$D$2:$D$193,"CX01")</f>
        <v/>
      </c>
      <c r="G69" s="12">
        <f>SUMIFS('XTab DS_1'!$G$2:$G$193,'XTab DS_1'!$B$2:$B$193,$B69,'XTab DS_1'!$D$2:$D$193,"CX01")</f>
        <v/>
      </c>
      <c r="H69" s="11">
        <f>SUMIFS('XTab DS_1'!$F$2:$F$193,'XTab DS_1'!$B$2:$B$193,$B69,'XTab DS_1'!$D$2:$D$193,"DB00")</f>
        <v/>
      </c>
      <c r="I69" s="12">
        <f>SUMIFS('XTab DS_1'!$G$2:$G$193,'XTab DS_1'!$B$2:$B$193,$B69,'XTab DS_1'!$D$2:$D$193,"DB00")</f>
        <v/>
      </c>
      <c r="J69" s="21">
        <f>SUMIFS('XTab DS_1'!$F$2:$F$193,'XTab DS_1'!$B$2:$B$193,$B69)</f>
        <v/>
      </c>
      <c r="K69" s="22">
        <f>SUMIFS('XTab DS_1'!$G$2:$G$193,'XTab DS_1'!$B$2:$B$193,$B69)</f>
        <v/>
      </c>
    </row>
    <row r="70">
      <c r="A70" s="9" t="inlineStr">
        <is>
          <t>#</t>
        </is>
      </c>
      <c r="B70" s="9" t="inlineStr">
        <is>
          <t>CX2511ASTMUMKV</t>
        </is>
      </c>
      <c r="C70" s="9" t="inlineStr">
        <is>
          <t>AST　マウスマット　KV</t>
        </is>
      </c>
      <c r="D70" s="10">
        <f>COUNTIFS('XTab DS_1'!$B$2:$B$193,$B70)</f>
        <v/>
      </c>
      <c r="E70" s="10">
        <f>IF(D70&gt;=2,"重複","単独")</f>
        <v/>
      </c>
      <c r="F70" s="11">
        <f>SUMIFS('XTab DS_1'!$F$2:$F$193,'XTab DS_1'!$B$2:$B$193,$B70,'XTab DS_1'!$D$2:$D$193,"CX01")</f>
        <v/>
      </c>
      <c r="G70" s="12">
        <f>SUMIFS('XTab DS_1'!$G$2:$G$193,'XTab DS_1'!$B$2:$B$193,$B70,'XTab DS_1'!$D$2:$D$193,"CX01")</f>
        <v/>
      </c>
      <c r="H70" s="11">
        <f>SUMIFS('XTab DS_1'!$F$2:$F$193,'XTab DS_1'!$B$2:$B$193,$B70,'XTab DS_1'!$D$2:$D$193,"DB00")</f>
        <v/>
      </c>
      <c r="I70" s="12">
        <f>SUMIFS('XTab DS_1'!$G$2:$G$193,'XTab DS_1'!$B$2:$B$193,$B70,'XTab DS_1'!$D$2:$D$193,"DB00")</f>
        <v/>
      </c>
      <c r="J70" s="21">
        <f>SUMIFS('XTab DS_1'!$F$2:$F$193,'XTab DS_1'!$B$2:$B$193,$B70)</f>
        <v/>
      </c>
      <c r="K70" s="22">
        <f>SUMIFS('XTab DS_1'!$G$2:$G$193,'XTab DS_1'!$B$2:$B$193,$B70)</f>
        <v/>
      </c>
    </row>
    <row r="71">
      <c r="A71" s="9" t="inlineStr">
        <is>
          <t>#</t>
        </is>
      </c>
      <c r="B71" s="9" t="inlineStr">
        <is>
          <t>CX2511ASTRACD</t>
        </is>
      </c>
      <c r="C71" s="9" t="inlineStr">
        <is>
          <t>AST　ランダムアクリルカード</t>
        </is>
      </c>
      <c r="D71" s="10">
        <f>COUNTIFS('XTab DS_1'!$B$2:$B$193,$B71)</f>
        <v/>
      </c>
      <c r="E71" s="10">
        <f>IF(D71&gt;=2,"重複","単独")</f>
        <v/>
      </c>
      <c r="F71" s="11">
        <f>SUMIFS('XTab DS_1'!$F$2:$F$193,'XTab DS_1'!$B$2:$B$193,$B71,'XTab DS_1'!$D$2:$D$193,"CX01")</f>
        <v/>
      </c>
      <c r="G71" s="12">
        <f>SUMIFS('XTab DS_1'!$G$2:$G$193,'XTab DS_1'!$B$2:$B$193,$B71,'XTab DS_1'!$D$2:$D$193,"CX01")</f>
        <v/>
      </c>
      <c r="H71" s="11">
        <f>SUMIFS('XTab DS_1'!$F$2:$F$193,'XTab DS_1'!$B$2:$B$193,$B71,'XTab DS_1'!$D$2:$D$193,"DB00")</f>
        <v/>
      </c>
      <c r="I71" s="12">
        <f>SUMIFS('XTab DS_1'!$G$2:$G$193,'XTab DS_1'!$B$2:$B$193,$B71,'XTab DS_1'!$D$2:$D$193,"DB00")</f>
        <v/>
      </c>
      <c r="J71" s="21">
        <f>SUMIFS('XTab DS_1'!$F$2:$F$193,'XTab DS_1'!$B$2:$B$193,$B71)</f>
        <v/>
      </c>
      <c r="K71" s="22">
        <f>SUMIFS('XTab DS_1'!$G$2:$G$193,'XTab DS_1'!$B$2:$B$193,$B71)</f>
        <v/>
      </c>
    </row>
    <row r="72">
      <c r="A72" s="9" t="inlineStr">
        <is>
          <t>#</t>
        </is>
      </c>
      <c r="B72" s="9" t="inlineStr">
        <is>
          <t>CX2511ASTRBDGKV</t>
        </is>
      </c>
      <c r="C72" s="9" t="inlineStr">
        <is>
          <t>AST　ランダム缶バッジ　KV</t>
        </is>
      </c>
      <c r="D72" s="10">
        <f>COUNTIFS('XTab DS_1'!$B$2:$B$193,$B72)</f>
        <v/>
      </c>
      <c r="E72" s="10">
        <f>IF(D72&gt;=2,"重複","単独")</f>
        <v/>
      </c>
      <c r="F72" s="11">
        <f>SUMIFS('XTab DS_1'!$F$2:$F$193,'XTab DS_1'!$B$2:$B$193,$B72,'XTab DS_1'!$D$2:$D$193,"CX01")</f>
        <v/>
      </c>
      <c r="G72" s="12">
        <f>SUMIFS('XTab DS_1'!$G$2:$G$193,'XTab DS_1'!$B$2:$B$193,$B72,'XTab DS_1'!$D$2:$D$193,"CX01")</f>
        <v/>
      </c>
      <c r="H72" s="11">
        <f>SUMIFS('XTab DS_1'!$F$2:$F$193,'XTab DS_1'!$B$2:$B$193,$B72,'XTab DS_1'!$D$2:$D$193,"DB00")</f>
        <v/>
      </c>
      <c r="I72" s="12">
        <f>SUMIFS('XTab DS_1'!$G$2:$G$193,'XTab DS_1'!$B$2:$B$193,$B72,'XTab DS_1'!$D$2:$D$193,"DB00")</f>
        <v/>
      </c>
      <c r="J72" s="21">
        <f>SUMIFS('XTab DS_1'!$F$2:$F$193,'XTab DS_1'!$B$2:$B$193,$B72)</f>
        <v/>
      </c>
      <c r="K72" s="22">
        <f>SUMIFS('XTab DS_1'!$G$2:$G$193,'XTab DS_1'!$B$2:$B$193,$B72)</f>
        <v/>
      </c>
    </row>
    <row r="73">
      <c r="A73" s="9" t="inlineStr">
        <is>
          <t>#</t>
        </is>
      </c>
      <c r="B73" s="9" t="inlineStr">
        <is>
          <t>CX2511ASTRDBDGRMX</t>
        </is>
      </c>
      <c r="C73" s="9" t="inlineStr">
        <is>
          <t>AST　ランダム缶バッジ　2023REMIX</t>
        </is>
      </c>
      <c r="D73" s="10">
        <f>COUNTIFS('XTab DS_1'!$B$2:$B$193,$B73)</f>
        <v/>
      </c>
      <c r="E73" s="10">
        <f>IF(D73&gt;=2,"重複","単独")</f>
        <v/>
      </c>
      <c r="F73" s="11">
        <f>SUMIFS('XTab DS_1'!$F$2:$F$193,'XTab DS_1'!$B$2:$B$193,$B73,'XTab DS_1'!$D$2:$D$193,"CX01")</f>
        <v/>
      </c>
      <c r="G73" s="12">
        <f>SUMIFS('XTab DS_1'!$G$2:$G$193,'XTab DS_1'!$B$2:$B$193,$B73,'XTab DS_1'!$D$2:$D$193,"CX01")</f>
        <v/>
      </c>
      <c r="H73" s="11">
        <f>SUMIFS('XTab DS_1'!$F$2:$F$193,'XTab DS_1'!$B$2:$B$193,$B73,'XTab DS_1'!$D$2:$D$193,"DB00")</f>
        <v/>
      </c>
      <c r="I73" s="12">
        <f>SUMIFS('XTab DS_1'!$G$2:$G$193,'XTab DS_1'!$B$2:$B$193,$B73,'XTab DS_1'!$D$2:$D$193,"DB00")</f>
        <v/>
      </c>
      <c r="J73" s="21">
        <f>SUMIFS('XTab DS_1'!$F$2:$F$193,'XTab DS_1'!$B$2:$B$193,$B73)</f>
        <v/>
      </c>
      <c r="K73" s="22">
        <f>SUMIFS('XTab DS_1'!$G$2:$G$193,'XTab DS_1'!$B$2:$B$193,$B73)</f>
        <v/>
      </c>
    </row>
    <row r="74">
      <c r="A74" s="9" t="inlineStr">
        <is>
          <t>#</t>
        </is>
      </c>
      <c r="B74" s="9" t="inlineStr">
        <is>
          <t>CX2511ASTRDSTK</t>
        </is>
      </c>
      <c r="C74" s="9" t="inlineStr">
        <is>
          <t>AST　ランダムステッカー</t>
        </is>
      </c>
      <c r="D74" s="10">
        <f>COUNTIFS('XTab DS_1'!$B$2:$B$193,$B74)</f>
        <v/>
      </c>
      <c r="E74" s="10">
        <f>IF(D74&gt;=2,"重複","単独")</f>
        <v/>
      </c>
      <c r="F74" s="11">
        <f>SUMIFS('XTab DS_1'!$F$2:$F$193,'XTab DS_1'!$B$2:$B$193,$B74,'XTab DS_1'!$D$2:$D$193,"CX01")</f>
        <v/>
      </c>
      <c r="G74" s="12">
        <f>SUMIFS('XTab DS_1'!$G$2:$G$193,'XTab DS_1'!$B$2:$B$193,$B74,'XTab DS_1'!$D$2:$D$193,"CX01")</f>
        <v/>
      </c>
      <c r="H74" s="11">
        <f>SUMIFS('XTab DS_1'!$F$2:$F$193,'XTab DS_1'!$B$2:$B$193,$B74,'XTab DS_1'!$D$2:$D$193,"DB00")</f>
        <v/>
      </c>
      <c r="I74" s="12">
        <f>SUMIFS('XTab DS_1'!$G$2:$G$193,'XTab DS_1'!$B$2:$B$193,$B74,'XTab DS_1'!$D$2:$D$193,"DB00")</f>
        <v/>
      </c>
      <c r="J74" s="21">
        <f>SUMIFS('XTab DS_1'!$F$2:$F$193,'XTab DS_1'!$B$2:$B$193,$B74)</f>
        <v/>
      </c>
      <c r="K74" s="22">
        <f>SUMIFS('XTab DS_1'!$G$2:$G$193,'XTab DS_1'!$B$2:$B$193,$B74)</f>
        <v/>
      </c>
    </row>
    <row r="75">
      <c r="A75" s="9" t="inlineStr">
        <is>
          <t>#</t>
        </is>
      </c>
      <c r="B75" s="9" t="inlineStr">
        <is>
          <t>CX2511ASTRDSTKKP</t>
        </is>
      </c>
      <c r="C75" s="9" t="inlineStr">
        <is>
          <t>AST　ランダムステッカー コンプリート</t>
        </is>
      </c>
      <c r="D75" s="10">
        <f>COUNTIFS('XTab DS_1'!$B$2:$B$193,$B75)</f>
        <v/>
      </c>
      <c r="E75" s="10">
        <f>IF(D75&gt;=2,"重複","単独")</f>
        <v/>
      </c>
      <c r="F75" s="11">
        <f>SUMIFS('XTab DS_1'!$F$2:$F$193,'XTab DS_1'!$B$2:$B$193,$B75,'XTab DS_1'!$D$2:$D$193,"CX01")</f>
        <v/>
      </c>
      <c r="G75" s="12">
        <f>SUMIFS('XTab DS_1'!$G$2:$G$193,'XTab DS_1'!$B$2:$B$193,$B75,'XTab DS_1'!$D$2:$D$193,"CX01")</f>
        <v/>
      </c>
      <c r="H75" s="11">
        <f>SUMIFS('XTab DS_1'!$F$2:$F$193,'XTab DS_1'!$B$2:$B$193,$B75,'XTab DS_1'!$D$2:$D$193,"DB00")</f>
        <v/>
      </c>
      <c r="I75" s="12">
        <f>SUMIFS('XTab DS_1'!$G$2:$G$193,'XTab DS_1'!$B$2:$B$193,$B75,'XTab DS_1'!$D$2:$D$193,"DB00")</f>
        <v/>
      </c>
      <c r="J75" s="21">
        <f>SUMIFS('XTab DS_1'!$F$2:$F$193,'XTab DS_1'!$B$2:$B$193,$B75)</f>
        <v/>
      </c>
      <c r="K75" s="22">
        <f>SUMIFS('XTab DS_1'!$G$2:$G$193,'XTab DS_1'!$B$2:$B$193,$B75)</f>
        <v/>
      </c>
    </row>
    <row r="76">
      <c r="A76" s="9" t="inlineStr">
        <is>
          <t>#</t>
        </is>
      </c>
      <c r="B76" s="9" t="inlineStr">
        <is>
          <t>CX2511ASTRUCK</t>
        </is>
      </c>
      <c r="C76" s="9" t="inlineStr">
        <is>
          <t>AST　リュック</t>
        </is>
      </c>
      <c r="D76" s="10">
        <f>COUNTIFS('XTab DS_1'!$B$2:$B$193,$B76)</f>
        <v/>
      </c>
      <c r="E76" s="10">
        <f>IF(D76&gt;=2,"重複","単独")</f>
        <v/>
      </c>
      <c r="F76" s="11">
        <f>SUMIFS('XTab DS_1'!$F$2:$F$193,'XTab DS_1'!$B$2:$B$193,$B76,'XTab DS_1'!$D$2:$D$193,"CX01")</f>
        <v/>
      </c>
      <c r="G76" s="12">
        <f>SUMIFS('XTab DS_1'!$G$2:$G$193,'XTab DS_1'!$B$2:$B$193,$B76,'XTab DS_1'!$D$2:$D$193,"CX01")</f>
        <v/>
      </c>
      <c r="H76" s="11">
        <f>SUMIFS('XTab DS_1'!$F$2:$F$193,'XTab DS_1'!$B$2:$B$193,$B76,'XTab DS_1'!$D$2:$D$193,"DB00")</f>
        <v/>
      </c>
      <c r="I76" s="12">
        <f>SUMIFS('XTab DS_1'!$G$2:$G$193,'XTab DS_1'!$B$2:$B$193,$B76,'XTab DS_1'!$D$2:$D$193,"DB00")</f>
        <v/>
      </c>
      <c r="J76" s="21">
        <f>SUMIFS('XTab DS_1'!$F$2:$F$193,'XTab DS_1'!$B$2:$B$193,$B76)</f>
        <v/>
      </c>
      <c r="K76" s="22">
        <f>SUMIFS('XTab DS_1'!$G$2:$G$193,'XTab DS_1'!$B$2:$B$193,$B76)</f>
        <v/>
      </c>
    </row>
    <row r="77">
      <c r="A77" s="9" t="inlineStr">
        <is>
          <t>#</t>
        </is>
      </c>
      <c r="B77" s="9" t="inlineStr">
        <is>
          <t>CX2511ASTSWTKV-L</t>
        </is>
      </c>
      <c r="C77" s="9" t="inlineStr">
        <is>
          <t>AST　スウェット（KV 少年組）L</t>
        </is>
      </c>
      <c r="D77" s="10">
        <f>COUNTIFS('XTab DS_1'!$B$2:$B$193,$B77)</f>
        <v/>
      </c>
      <c r="E77" s="10">
        <f>IF(D77&gt;=2,"重複","単独")</f>
        <v/>
      </c>
      <c r="F77" s="11">
        <f>SUMIFS('XTab DS_1'!$F$2:$F$193,'XTab DS_1'!$B$2:$B$193,$B77,'XTab DS_1'!$D$2:$D$193,"CX01")</f>
        <v/>
      </c>
      <c r="G77" s="12">
        <f>SUMIFS('XTab DS_1'!$G$2:$G$193,'XTab DS_1'!$B$2:$B$193,$B77,'XTab DS_1'!$D$2:$D$193,"CX01")</f>
        <v/>
      </c>
      <c r="H77" s="11">
        <f>SUMIFS('XTab DS_1'!$F$2:$F$193,'XTab DS_1'!$B$2:$B$193,$B77,'XTab DS_1'!$D$2:$D$193,"DB00")</f>
        <v/>
      </c>
      <c r="I77" s="12">
        <f>SUMIFS('XTab DS_1'!$G$2:$G$193,'XTab DS_1'!$B$2:$B$193,$B77,'XTab DS_1'!$D$2:$D$193,"DB00")</f>
        <v/>
      </c>
      <c r="J77" s="21">
        <f>SUMIFS('XTab DS_1'!$F$2:$F$193,'XTab DS_1'!$B$2:$B$193,$B77)</f>
        <v/>
      </c>
      <c r="K77" s="22">
        <f>SUMIFS('XTab DS_1'!$G$2:$G$193,'XTab DS_1'!$B$2:$B$193,$B77)</f>
        <v/>
      </c>
    </row>
    <row r="78">
      <c r="A78" s="9" t="inlineStr">
        <is>
          <t>#</t>
        </is>
      </c>
      <c r="B78" s="9" t="inlineStr">
        <is>
          <t>CX2511ASTSWTKV-M</t>
        </is>
      </c>
      <c r="C78" s="9" t="inlineStr">
        <is>
          <t>AST　スウェット（KV 少年組）M</t>
        </is>
      </c>
      <c r="D78" s="10">
        <f>COUNTIFS('XTab DS_1'!$B$2:$B$193,$B78)</f>
        <v/>
      </c>
      <c r="E78" s="10">
        <f>IF(D78&gt;=2,"重複","単独")</f>
        <v/>
      </c>
      <c r="F78" s="11">
        <f>SUMIFS('XTab DS_1'!$F$2:$F$193,'XTab DS_1'!$B$2:$B$193,$B78,'XTab DS_1'!$D$2:$D$193,"CX01")</f>
        <v/>
      </c>
      <c r="G78" s="12">
        <f>SUMIFS('XTab DS_1'!$G$2:$G$193,'XTab DS_1'!$B$2:$B$193,$B78,'XTab DS_1'!$D$2:$D$193,"CX01")</f>
        <v/>
      </c>
      <c r="H78" s="11">
        <f>SUMIFS('XTab DS_1'!$F$2:$F$193,'XTab DS_1'!$B$2:$B$193,$B78,'XTab DS_1'!$D$2:$D$193,"DB00")</f>
        <v/>
      </c>
      <c r="I78" s="12">
        <f>SUMIFS('XTab DS_1'!$G$2:$G$193,'XTab DS_1'!$B$2:$B$193,$B78,'XTab DS_1'!$D$2:$D$193,"DB00")</f>
        <v/>
      </c>
      <c r="J78" s="21">
        <f>SUMIFS('XTab DS_1'!$F$2:$F$193,'XTab DS_1'!$B$2:$B$193,$B78)</f>
        <v/>
      </c>
      <c r="K78" s="22">
        <f>SUMIFS('XTab DS_1'!$G$2:$G$193,'XTab DS_1'!$B$2:$B$193,$B78)</f>
        <v/>
      </c>
    </row>
    <row r="79">
      <c r="A79" s="9" t="inlineStr">
        <is>
          <t>#</t>
        </is>
      </c>
      <c r="B79" s="9" t="inlineStr">
        <is>
          <t>CX2511ASTSYOP</t>
        </is>
      </c>
      <c r="C79" s="9" t="inlineStr">
        <is>
          <t>AST　ショッパー</t>
        </is>
      </c>
      <c r="D79" s="10">
        <f>COUNTIFS('XTab DS_1'!$B$2:$B$193,$B79)</f>
        <v/>
      </c>
      <c r="E79" s="10">
        <f>IF(D79&gt;=2,"重複","単独")</f>
        <v/>
      </c>
      <c r="F79" s="11">
        <f>SUMIFS('XTab DS_1'!$F$2:$F$193,'XTab DS_1'!$B$2:$B$193,$B79,'XTab DS_1'!$D$2:$D$193,"CX01")</f>
        <v/>
      </c>
      <c r="G79" s="12">
        <f>SUMIFS('XTab DS_1'!$G$2:$G$193,'XTab DS_1'!$B$2:$B$193,$B79,'XTab DS_1'!$D$2:$D$193,"CX01")</f>
        <v/>
      </c>
      <c r="H79" s="11">
        <f>SUMIFS('XTab DS_1'!$F$2:$F$193,'XTab DS_1'!$B$2:$B$193,$B79,'XTab DS_1'!$D$2:$D$193,"DB00")</f>
        <v/>
      </c>
      <c r="I79" s="12">
        <f>SUMIFS('XTab DS_1'!$G$2:$G$193,'XTab DS_1'!$B$2:$B$193,$B79,'XTab DS_1'!$D$2:$D$193,"DB00")</f>
        <v/>
      </c>
      <c r="J79" s="21">
        <f>SUMIFS('XTab DS_1'!$F$2:$F$193,'XTab DS_1'!$B$2:$B$193,$B79)</f>
        <v/>
      </c>
      <c r="K79" s="22">
        <f>SUMIFS('XTab DS_1'!$G$2:$G$193,'XTab DS_1'!$B$2:$B$193,$B79)</f>
        <v/>
      </c>
    </row>
    <row r="80">
      <c r="A80" s="9" t="inlineStr">
        <is>
          <t>#</t>
        </is>
      </c>
      <c r="B80" s="9" t="inlineStr">
        <is>
          <t>CX2511ASTTOT</t>
        </is>
      </c>
      <c r="C80" s="9" t="inlineStr">
        <is>
          <t>AST　トートバッグ</t>
        </is>
      </c>
      <c r="D80" s="10">
        <f>COUNTIFS('XTab DS_1'!$B$2:$B$193,$B80)</f>
        <v/>
      </c>
      <c r="E80" s="10">
        <f>IF(D80&gt;=2,"重複","単独")</f>
        <v/>
      </c>
      <c r="F80" s="11">
        <f>SUMIFS('XTab DS_1'!$F$2:$F$193,'XTab DS_1'!$B$2:$B$193,$B80,'XTab DS_1'!$D$2:$D$193,"CX01")</f>
        <v/>
      </c>
      <c r="G80" s="12">
        <f>SUMIFS('XTab DS_1'!$G$2:$G$193,'XTab DS_1'!$B$2:$B$193,$B80,'XTab DS_1'!$D$2:$D$193,"CX01")</f>
        <v/>
      </c>
      <c r="H80" s="11">
        <f>SUMIFS('XTab DS_1'!$F$2:$F$193,'XTab DS_1'!$B$2:$B$193,$B80,'XTab DS_1'!$D$2:$D$193,"DB00")</f>
        <v/>
      </c>
      <c r="I80" s="12">
        <f>SUMIFS('XTab DS_1'!$G$2:$G$193,'XTab DS_1'!$B$2:$B$193,$B80,'XTab DS_1'!$D$2:$D$193,"DB00")</f>
        <v/>
      </c>
      <c r="J80" s="21">
        <f>SUMIFS('XTab DS_1'!$F$2:$F$193,'XTab DS_1'!$B$2:$B$193,$B80)</f>
        <v/>
      </c>
      <c r="K80" s="22">
        <f>SUMIFS('XTab DS_1'!$G$2:$G$193,'XTab DS_1'!$B$2:$B$193,$B80)</f>
        <v/>
      </c>
    </row>
    <row r="81">
      <c r="A81" s="9" t="inlineStr">
        <is>
          <t>#</t>
        </is>
      </c>
      <c r="B81" s="9" t="inlineStr">
        <is>
          <t>CX2511ASTTSTASK-L</t>
        </is>
      </c>
      <c r="C81" s="9" t="inlineStr">
        <is>
          <t>AST　Tシャツ（アスカ）L</t>
        </is>
      </c>
      <c r="D81" s="10">
        <f>COUNTIFS('XTab DS_1'!$B$2:$B$193,$B81)</f>
        <v/>
      </c>
      <c r="E81" s="10">
        <f>IF(D81&gt;=2,"重複","単独")</f>
        <v/>
      </c>
      <c r="F81" s="11">
        <f>SUMIFS('XTab DS_1'!$F$2:$F$193,'XTab DS_1'!$B$2:$B$193,$B81,'XTab DS_1'!$D$2:$D$193,"CX01")</f>
        <v/>
      </c>
      <c r="G81" s="12">
        <f>SUMIFS('XTab DS_1'!$G$2:$G$193,'XTab DS_1'!$B$2:$B$193,$B81,'XTab DS_1'!$D$2:$D$193,"CX01")</f>
        <v/>
      </c>
      <c r="H81" s="11">
        <f>SUMIFS('XTab DS_1'!$F$2:$F$193,'XTab DS_1'!$B$2:$B$193,$B81,'XTab DS_1'!$D$2:$D$193,"DB00")</f>
        <v/>
      </c>
      <c r="I81" s="12">
        <f>SUMIFS('XTab DS_1'!$G$2:$G$193,'XTab DS_1'!$B$2:$B$193,$B81,'XTab DS_1'!$D$2:$D$193,"DB00")</f>
        <v/>
      </c>
      <c r="J81" s="21">
        <f>SUMIFS('XTab DS_1'!$F$2:$F$193,'XTab DS_1'!$B$2:$B$193,$B81)</f>
        <v/>
      </c>
      <c r="K81" s="22">
        <f>SUMIFS('XTab DS_1'!$G$2:$G$193,'XTab DS_1'!$B$2:$B$193,$B81)</f>
        <v/>
      </c>
    </row>
    <row r="82">
      <c r="A82" s="9" t="inlineStr">
        <is>
          <t>#</t>
        </is>
      </c>
      <c r="B82" s="9" t="inlineStr">
        <is>
          <t>CX2511ASTTSTASK-M</t>
        </is>
      </c>
      <c r="C82" s="9" t="inlineStr">
        <is>
          <t>AST　Tシャツ（アスカ）M</t>
        </is>
      </c>
      <c r="D82" s="10">
        <f>COUNTIFS('XTab DS_1'!$B$2:$B$193,$B82)</f>
        <v/>
      </c>
      <c r="E82" s="10">
        <f>IF(D82&gt;=2,"重複","単独")</f>
        <v/>
      </c>
      <c r="F82" s="11">
        <f>SUMIFS('XTab DS_1'!$F$2:$F$193,'XTab DS_1'!$B$2:$B$193,$B82,'XTab DS_1'!$D$2:$D$193,"CX01")</f>
        <v/>
      </c>
      <c r="G82" s="12">
        <f>SUMIFS('XTab DS_1'!$G$2:$G$193,'XTab DS_1'!$B$2:$B$193,$B82,'XTab DS_1'!$D$2:$D$193,"CX01")</f>
        <v/>
      </c>
      <c r="H82" s="11">
        <f>SUMIFS('XTab DS_1'!$F$2:$F$193,'XTab DS_1'!$B$2:$B$193,$B82,'XTab DS_1'!$D$2:$D$193,"DB00")</f>
        <v/>
      </c>
      <c r="I82" s="12">
        <f>SUMIFS('XTab DS_1'!$G$2:$G$193,'XTab DS_1'!$B$2:$B$193,$B82,'XTab DS_1'!$D$2:$D$193,"DB00")</f>
        <v/>
      </c>
      <c r="J82" s="21">
        <f>SUMIFS('XTab DS_1'!$F$2:$F$193,'XTab DS_1'!$B$2:$B$193,$B82)</f>
        <v/>
      </c>
      <c r="K82" s="22">
        <f>SUMIFS('XTab DS_1'!$G$2:$G$193,'XTab DS_1'!$B$2:$B$193,$B82)</f>
        <v/>
      </c>
    </row>
    <row r="83">
      <c r="A83" s="9" t="inlineStr">
        <is>
          <t>#</t>
        </is>
      </c>
      <c r="B83" s="9" t="inlineStr">
        <is>
          <t>CX2511ASTTSTKWR-L</t>
        </is>
      </c>
      <c r="C83" s="9" t="inlineStr">
        <is>
          <t>AST　Tシャツ（カヲル）L</t>
        </is>
      </c>
      <c r="D83" s="10">
        <f>COUNTIFS('XTab DS_1'!$B$2:$B$193,$B83)</f>
        <v/>
      </c>
      <c r="E83" s="10">
        <f>IF(D83&gt;=2,"重複","単独")</f>
        <v/>
      </c>
      <c r="F83" s="11">
        <f>SUMIFS('XTab DS_1'!$F$2:$F$193,'XTab DS_1'!$B$2:$B$193,$B83,'XTab DS_1'!$D$2:$D$193,"CX01")</f>
        <v/>
      </c>
      <c r="G83" s="12">
        <f>SUMIFS('XTab DS_1'!$G$2:$G$193,'XTab DS_1'!$B$2:$B$193,$B83,'XTab DS_1'!$D$2:$D$193,"CX01")</f>
        <v/>
      </c>
      <c r="H83" s="11">
        <f>SUMIFS('XTab DS_1'!$F$2:$F$193,'XTab DS_1'!$B$2:$B$193,$B83,'XTab DS_1'!$D$2:$D$193,"DB00")</f>
        <v/>
      </c>
      <c r="I83" s="12">
        <f>SUMIFS('XTab DS_1'!$G$2:$G$193,'XTab DS_1'!$B$2:$B$193,$B83,'XTab DS_1'!$D$2:$D$193,"DB00")</f>
        <v/>
      </c>
      <c r="J83" s="21">
        <f>SUMIFS('XTab DS_1'!$F$2:$F$193,'XTab DS_1'!$B$2:$B$193,$B83)</f>
        <v/>
      </c>
      <c r="K83" s="22">
        <f>SUMIFS('XTab DS_1'!$G$2:$G$193,'XTab DS_1'!$B$2:$B$193,$B83)</f>
        <v/>
      </c>
    </row>
    <row r="84">
      <c r="A84" s="9" t="inlineStr">
        <is>
          <t>#</t>
        </is>
      </c>
      <c r="B84" s="9" t="inlineStr">
        <is>
          <t>CX2511ASTTSTKWR-M</t>
        </is>
      </c>
      <c r="C84" s="9" t="inlineStr">
        <is>
          <t>AST　Tシャツ（カヲル）M</t>
        </is>
      </c>
      <c r="D84" s="10">
        <f>COUNTIFS('XTab DS_1'!$B$2:$B$193,$B84)</f>
        <v/>
      </c>
      <c r="E84" s="10">
        <f>IF(D84&gt;=2,"重複","単独")</f>
        <v/>
      </c>
      <c r="F84" s="11">
        <f>SUMIFS('XTab DS_1'!$F$2:$F$193,'XTab DS_1'!$B$2:$B$193,$B84,'XTab DS_1'!$D$2:$D$193,"CX01")</f>
        <v/>
      </c>
      <c r="G84" s="12">
        <f>SUMIFS('XTab DS_1'!$G$2:$G$193,'XTab DS_1'!$B$2:$B$193,$B84,'XTab DS_1'!$D$2:$D$193,"CX01")</f>
        <v/>
      </c>
      <c r="H84" s="11">
        <f>SUMIFS('XTab DS_1'!$F$2:$F$193,'XTab DS_1'!$B$2:$B$193,$B84,'XTab DS_1'!$D$2:$D$193,"DB00")</f>
        <v/>
      </c>
      <c r="I84" s="12">
        <f>SUMIFS('XTab DS_1'!$G$2:$G$193,'XTab DS_1'!$B$2:$B$193,$B84,'XTab DS_1'!$D$2:$D$193,"DB00")</f>
        <v/>
      </c>
      <c r="J84" s="21">
        <f>SUMIFS('XTab DS_1'!$F$2:$F$193,'XTab DS_1'!$B$2:$B$193,$B84)</f>
        <v/>
      </c>
      <c r="K84" s="22">
        <f>SUMIFS('XTab DS_1'!$G$2:$G$193,'XTab DS_1'!$B$2:$B$193,$B84)</f>
        <v/>
      </c>
    </row>
    <row r="85">
      <c r="A85" s="9" t="inlineStr">
        <is>
          <t>#</t>
        </is>
      </c>
      <c r="B85" s="9" t="inlineStr">
        <is>
          <t>CX2511ASTTSTMR-L</t>
        </is>
      </c>
      <c r="C85" s="9" t="inlineStr">
        <is>
          <t>AST　Tシャツ（マリ）L</t>
        </is>
      </c>
      <c r="D85" s="10">
        <f>COUNTIFS('XTab DS_1'!$B$2:$B$193,$B85)</f>
        <v/>
      </c>
      <c r="E85" s="10">
        <f>IF(D85&gt;=2,"重複","単独")</f>
        <v/>
      </c>
      <c r="F85" s="11">
        <f>SUMIFS('XTab DS_1'!$F$2:$F$193,'XTab DS_1'!$B$2:$B$193,$B85,'XTab DS_1'!$D$2:$D$193,"CX01")</f>
        <v/>
      </c>
      <c r="G85" s="12">
        <f>SUMIFS('XTab DS_1'!$G$2:$G$193,'XTab DS_1'!$B$2:$B$193,$B85,'XTab DS_1'!$D$2:$D$193,"CX01")</f>
        <v/>
      </c>
      <c r="H85" s="11">
        <f>SUMIFS('XTab DS_1'!$F$2:$F$193,'XTab DS_1'!$B$2:$B$193,$B85,'XTab DS_1'!$D$2:$D$193,"DB00")</f>
        <v/>
      </c>
      <c r="I85" s="12">
        <f>SUMIFS('XTab DS_1'!$G$2:$G$193,'XTab DS_1'!$B$2:$B$193,$B85,'XTab DS_1'!$D$2:$D$193,"DB00")</f>
        <v/>
      </c>
      <c r="J85" s="21">
        <f>SUMIFS('XTab DS_1'!$F$2:$F$193,'XTab DS_1'!$B$2:$B$193,$B85)</f>
        <v/>
      </c>
      <c r="K85" s="22">
        <f>SUMIFS('XTab DS_1'!$G$2:$G$193,'XTab DS_1'!$B$2:$B$193,$B85)</f>
        <v/>
      </c>
    </row>
    <row r="86">
      <c r="A86" s="9" t="inlineStr">
        <is>
          <t>#</t>
        </is>
      </c>
      <c r="B86" s="9" t="inlineStr">
        <is>
          <t>CX2511ASTTSTMR-M</t>
        </is>
      </c>
      <c r="C86" s="9" t="inlineStr">
        <is>
          <t>AST　Tシャツ（マリ）M</t>
        </is>
      </c>
      <c r="D86" s="10">
        <f>COUNTIFS('XTab DS_1'!$B$2:$B$193,$B86)</f>
        <v/>
      </c>
      <c r="E86" s="10">
        <f>IF(D86&gt;=2,"重複","単独")</f>
        <v/>
      </c>
      <c r="F86" s="11">
        <f>SUMIFS('XTab DS_1'!$F$2:$F$193,'XTab DS_1'!$B$2:$B$193,$B86,'XTab DS_1'!$D$2:$D$193,"CX01")</f>
        <v/>
      </c>
      <c r="G86" s="12">
        <f>SUMIFS('XTab DS_1'!$G$2:$G$193,'XTab DS_1'!$B$2:$B$193,$B86,'XTab DS_1'!$D$2:$D$193,"CX01")</f>
        <v/>
      </c>
      <c r="H86" s="11">
        <f>SUMIFS('XTab DS_1'!$F$2:$F$193,'XTab DS_1'!$B$2:$B$193,$B86,'XTab DS_1'!$D$2:$D$193,"DB00")</f>
        <v/>
      </c>
      <c r="I86" s="12">
        <f>SUMIFS('XTab DS_1'!$G$2:$G$193,'XTab DS_1'!$B$2:$B$193,$B86,'XTab DS_1'!$D$2:$D$193,"DB00")</f>
        <v/>
      </c>
      <c r="J86" s="21">
        <f>SUMIFS('XTab DS_1'!$F$2:$F$193,'XTab DS_1'!$B$2:$B$193,$B86)</f>
        <v/>
      </c>
      <c r="K86" s="22">
        <f>SUMIFS('XTab DS_1'!$G$2:$G$193,'XTab DS_1'!$B$2:$B$193,$B86)</f>
        <v/>
      </c>
    </row>
    <row r="87">
      <c r="A87" s="9" t="inlineStr">
        <is>
          <t>#</t>
        </is>
      </c>
      <c r="B87" s="9" t="inlineStr">
        <is>
          <t>CX2511ASTTSTPP-L</t>
        </is>
      </c>
      <c r="C87" s="9" t="inlineStr">
        <is>
          <t>AST　Tシャツ（ペンペン）L</t>
        </is>
      </c>
      <c r="D87" s="10">
        <f>COUNTIFS('XTab DS_1'!$B$2:$B$193,$B87)</f>
        <v/>
      </c>
      <c r="E87" s="10">
        <f>IF(D87&gt;=2,"重複","単独")</f>
        <v/>
      </c>
      <c r="F87" s="11">
        <f>SUMIFS('XTab DS_1'!$F$2:$F$193,'XTab DS_1'!$B$2:$B$193,$B87,'XTab DS_1'!$D$2:$D$193,"CX01")</f>
        <v/>
      </c>
      <c r="G87" s="12">
        <f>SUMIFS('XTab DS_1'!$G$2:$G$193,'XTab DS_1'!$B$2:$B$193,$B87,'XTab DS_1'!$D$2:$D$193,"CX01")</f>
        <v/>
      </c>
      <c r="H87" s="11">
        <f>SUMIFS('XTab DS_1'!$F$2:$F$193,'XTab DS_1'!$B$2:$B$193,$B87,'XTab DS_1'!$D$2:$D$193,"DB00")</f>
        <v/>
      </c>
      <c r="I87" s="12">
        <f>SUMIFS('XTab DS_1'!$G$2:$G$193,'XTab DS_1'!$B$2:$B$193,$B87,'XTab DS_1'!$D$2:$D$193,"DB00")</f>
        <v/>
      </c>
      <c r="J87" s="21">
        <f>SUMIFS('XTab DS_1'!$F$2:$F$193,'XTab DS_1'!$B$2:$B$193,$B87)</f>
        <v/>
      </c>
      <c r="K87" s="22">
        <f>SUMIFS('XTab DS_1'!$G$2:$G$193,'XTab DS_1'!$B$2:$B$193,$B87)</f>
        <v/>
      </c>
    </row>
    <row r="88">
      <c r="A88" s="9" t="inlineStr">
        <is>
          <t>#</t>
        </is>
      </c>
      <c r="B88" s="9" t="inlineStr">
        <is>
          <t>CX2511ASTTSTPP-M</t>
        </is>
      </c>
      <c r="C88" s="9" t="inlineStr">
        <is>
          <t>AST　Tシャツ（ペンペン）M</t>
        </is>
      </c>
      <c r="D88" s="10">
        <f>COUNTIFS('XTab DS_1'!$B$2:$B$193,$B88)</f>
        <v/>
      </c>
      <c r="E88" s="10">
        <f>IF(D88&gt;=2,"重複","単独")</f>
        <v/>
      </c>
      <c r="F88" s="11">
        <f>SUMIFS('XTab DS_1'!$F$2:$F$193,'XTab DS_1'!$B$2:$B$193,$B88,'XTab DS_1'!$D$2:$D$193,"CX01")</f>
        <v/>
      </c>
      <c r="G88" s="12">
        <f>SUMIFS('XTab DS_1'!$G$2:$G$193,'XTab DS_1'!$B$2:$B$193,$B88,'XTab DS_1'!$D$2:$D$193,"CX01")</f>
        <v/>
      </c>
      <c r="H88" s="11">
        <f>SUMIFS('XTab DS_1'!$F$2:$F$193,'XTab DS_1'!$B$2:$B$193,$B88,'XTab DS_1'!$D$2:$D$193,"DB00")</f>
        <v/>
      </c>
      <c r="I88" s="12">
        <f>SUMIFS('XTab DS_1'!$G$2:$G$193,'XTab DS_1'!$B$2:$B$193,$B88,'XTab DS_1'!$D$2:$D$193,"DB00")</f>
        <v/>
      </c>
      <c r="J88" s="21">
        <f>SUMIFS('XTab DS_1'!$F$2:$F$193,'XTab DS_1'!$B$2:$B$193,$B88)</f>
        <v/>
      </c>
      <c r="K88" s="22">
        <f>SUMIFS('XTab DS_1'!$G$2:$G$193,'XTab DS_1'!$B$2:$B$193,$B88)</f>
        <v/>
      </c>
    </row>
    <row r="89">
      <c r="A89" s="9" t="inlineStr">
        <is>
          <t>#</t>
        </is>
      </c>
      <c r="B89" s="9" t="inlineStr">
        <is>
          <t>CX2511ASTTSTRI-L</t>
        </is>
      </c>
      <c r="C89" s="9" t="inlineStr">
        <is>
          <t>AST　Tシャツ（レイ）L</t>
        </is>
      </c>
      <c r="D89" s="10">
        <f>COUNTIFS('XTab DS_1'!$B$2:$B$193,$B89)</f>
        <v/>
      </c>
      <c r="E89" s="10">
        <f>IF(D89&gt;=2,"重複","単独")</f>
        <v/>
      </c>
      <c r="F89" s="11">
        <f>SUMIFS('XTab DS_1'!$F$2:$F$193,'XTab DS_1'!$B$2:$B$193,$B89,'XTab DS_1'!$D$2:$D$193,"CX01")</f>
        <v/>
      </c>
      <c r="G89" s="12">
        <f>SUMIFS('XTab DS_1'!$G$2:$G$193,'XTab DS_1'!$B$2:$B$193,$B89,'XTab DS_1'!$D$2:$D$193,"CX01")</f>
        <v/>
      </c>
      <c r="H89" s="11">
        <f>SUMIFS('XTab DS_1'!$F$2:$F$193,'XTab DS_1'!$B$2:$B$193,$B89,'XTab DS_1'!$D$2:$D$193,"DB00")</f>
        <v/>
      </c>
      <c r="I89" s="12">
        <f>SUMIFS('XTab DS_1'!$G$2:$G$193,'XTab DS_1'!$B$2:$B$193,$B89,'XTab DS_1'!$D$2:$D$193,"DB00")</f>
        <v/>
      </c>
      <c r="J89" s="21">
        <f>SUMIFS('XTab DS_1'!$F$2:$F$193,'XTab DS_1'!$B$2:$B$193,$B89)</f>
        <v/>
      </c>
      <c r="K89" s="22">
        <f>SUMIFS('XTab DS_1'!$G$2:$G$193,'XTab DS_1'!$B$2:$B$193,$B89)</f>
        <v/>
      </c>
    </row>
    <row r="90">
      <c r="A90" s="9" t="inlineStr">
        <is>
          <t>#</t>
        </is>
      </c>
      <c r="B90" s="9" t="inlineStr">
        <is>
          <t>CX2511ASTTSTRI-M</t>
        </is>
      </c>
      <c r="C90" s="9" t="inlineStr">
        <is>
          <t>AST　Tシャツ（レイ）M</t>
        </is>
      </c>
      <c r="D90" s="10">
        <f>COUNTIFS('XTab DS_1'!$B$2:$B$193,$B90)</f>
        <v/>
      </c>
      <c r="E90" s="10">
        <f>IF(D90&gt;=2,"重複","単独")</f>
        <v/>
      </c>
      <c r="F90" s="11">
        <f>SUMIFS('XTab DS_1'!$F$2:$F$193,'XTab DS_1'!$B$2:$B$193,$B90,'XTab DS_1'!$D$2:$D$193,"CX01")</f>
        <v/>
      </c>
      <c r="G90" s="12">
        <f>SUMIFS('XTab DS_1'!$G$2:$G$193,'XTab DS_1'!$B$2:$B$193,$B90,'XTab DS_1'!$D$2:$D$193,"CX01")</f>
        <v/>
      </c>
      <c r="H90" s="11">
        <f>SUMIFS('XTab DS_1'!$F$2:$F$193,'XTab DS_1'!$B$2:$B$193,$B90,'XTab DS_1'!$D$2:$D$193,"DB00")</f>
        <v/>
      </c>
      <c r="I90" s="12">
        <f>SUMIFS('XTab DS_1'!$G$2:$G$193,'XTab DS_1'!$B$2:$B$193,$B90,'XTab DS_1'!$D$2:$D$193,"DB00")</f>
        <v/>
      </c>
      <c r="J90" s="21">
        <f>SUMIFS('XTab DS_1'!$F$2:$F$193,'XTab DS_1'!$B$2:$B$193,$B90)</f>
        <v/>
      </c>
      <c r="K90" s="22">
        <f>SUMIFS('XTab DS_1'!$G$2:$G$193,'XTab DS_1'!$B$2:$B$193,$B90)</f>
        <v/>
      </c>
    </row>
    <row r="91">
      <c r="A91" s="9" t="inlineStr">
        <is>
          <t>#</t>
        </is>
      </c>
      <c r="B91" s="9" t="inlineStr">
        <is>
          <t>CX2511ASTTSTSJ-L</t>
        </is>
      </c>
      <c r="C91" s="9" t="inlineStr">
        <is>
          <t>AST　Tシャツ（シンジ）L</t>
        </is>
      </c>
      <c r="D91" s="10">
        <f>COUNTIFS('XTab DS_1'!$B$2:$B$193,$B91)</f>
        <v/>
      </c>
      <c r="E91" s="10">
        <f>IF(D91&gt;=2,"重複","単独")</f>
        <v/>
      </c>
      <c r="F91" s="11">
        <f>SUMIFS('XTab DS_1'!$F$2:$F$193,'XTab DS_1'!$B$2:$B$193,$B91,'XTab DS_1'!$D$2:$D$193,"CX01")</f>
        <v/>
      </c>
      <c r="G91" s="12">
        <f>SUMIFS('XTab DS_1'!$G$2:$G$193,'XTab DS_1'!$B$2:$B$193,$B91,'XTab DS_1'!$D$2:$D$193,"CX01")</f>
        <v/>
      </c>
      <c r="H91" s="11">
        <f>SUMIFS('XTab DS_1'!$F$2:$F$193,'XTab DS_1'!$B$2:$B$193,$B91,'XTab DS_1'!$D$2:$D$193,"DB00")</f>
        <v/>
      </c>
      <c r="I91" s="12">
        <f>SUMIFS('XTab DS_1'!$G$2:$G$193,'XTab DS_1'!$B$2:$B$193,$B91,'XTab DS_1'!$D$2:$D$193,"DB00")</f>
        <v/>
      </c>
      <c r="J91" s="21">
        <f>SUMIFS('XTab DS_1'!$F$2:$F$193,'XTab DS_1'!$B$2:$B$193,$B91)</f>
        <v/>
      </c>
      <c r="K91" s="22">
        <f>SUMIFS('XTab DS_1'!$G$2:$G$193,'XTab DS_1'!$B$2:$B$193,$B91)</f>
        <v/>
      </c>
    </row>
    <row r="92">
      <c r="A92" s="9" t="inlineStr">
        <is>
          <t>#</t>
        </is>
      </c>
      <c r="B92" s="9" t="inlineStr">
        <is>
          <t>CX2511ASTTSTSJ-M</t>
        </is>
      </c>
      <c r="C92" s="9" t="inlineStr">
        <is>
          <t>AST　Tシャツ（シンジ）M</t>
        </is>
      </c>
      <c r="D92" s="10">
        <f>COUNTIFS('XTab DS_1'!$B$2:$B$193,$B92)</f>
        <v/>
      </c>
      <c r="E92" s="10">
        <f>IF(D92&gt;=2,"重複","単独")</f>
        <v/>
      </c>
      <c r="F92" s="11">
        <f>SUMIFS('XTab DS_1'!$F$2:$F$193,'XTab DS_1'!$B$2:$B$193,$B92,'XTab DS_1'!$D$2:$D$193,"CX01")</f>
        <v/>
      </c>
      <c r="G92" s="12">
        <f>SUMIFS('XTab DS_1'!$G$2:$G$193,'XTab DS_1'!$B$2:$B$193,$B92,'XTab DS_1'!$D$2:$D$193,"CX01")</f>
        <v/>
      </c>
      <c r="H92" s="11">
        <f>SUMIFS('XTab DS_1'!$F$2:$F$193,'XTab DS_1'!$B$2:$B$193,$B92,'XTab DS_1'!$D$2:$D$193,"DB00")</f>
        <v/>
      </c>
      <c r="I92" s="12">
        <f>SUMIFS('XTab DS_1'!$G$2:$G$193,'XTab DS_1'!$B$2:$B$193,$B92,'XTab DS_1'!$D$2:$D$193,"DB00")</f>
        <v/>
      </c>
      <c r="J92" s="21">
        <f>SUMIFS('XTab DS_1'!$F$2:$F$193,'XTab DS_1'!$B$2:$B$193,$B92)</f>
        <v/>
      </c>
      <c r="K92" s="22">
        <f>SUMIFS('XTab DS_1'!$G$2:$G$193,'XTab DS_1'!$B$2:$B$193,$B92)</f>
        <v/>
      </c>
    </row>
    <row r="93">
      <c r="A93" s="9" t="inlineStr">
        <is>
          <t>#</t>
        </is>
      </c>
      <c r="B93" s="9" t="inlineStr">
        <is>
          <t>CX2511ASTUKSNKV</t>
        </is>
      </c>
      <c r="C93" s="9" t="inlineStr">
        <is>
          <t>AST　U型クッション　KV</t>
        </is>
      </c>
      <c r="D93" s="10">
        <f>COUNTIFS('XTab DS_1'!$B$2:$B$193,$B93)</f>
        <v/>
      </c>
      <c r="E93" s="10">
        <f>IF(D93&gt;=2,"重複","単独")</f>
        <v/>
      </c>
      <c r="F93" s="11">
        <f>SUMIFS('XTab DS_1'!$F$2:$F$193,'XTab DS_1'!$B$2:$B$193,$B93,'XTab DS_1'!$D$2:$D$193,"CX01")</f>
        <v/>
      </c>
      <c r="G93" s="12">
        <f>SUMIFS('XTab DS_1'!$G$2:$G$193,'XTab DS_1'!$B$2:$B$193,$B93,'XTab DS_1'!$D$2:$D$193,"CX01")</f>
        <v/>
      </c>
      <c r="H93" s="11">
        <f>SUMIFS('XTab DS_1'!$F$2:$F$193,'XTab DS_1'!$B$2:$B$193,$B93,'XTab DS_1'!$D$2:$D$193,"DB00")</f>
        <v/>
      </c>
      <c r="I93" s="12">
        <f>SUMIFS('XTab DS_1'!$G$2:$G$193,'XTab DS_1'!$B$2:$B$193,$B93,'XTab DS_1'!$D$2:$D$193,"DB00")</f>
        <v/>
      </c>
      <c r="J93" s="21">
        <f>SUMIFS('XTab DS_1'!$F$2:$F$193,'XTab DS_1'!$B$2:$B$193,$B93)</f>
        <v/>
      </c>
      <c r="K93" s="22">
        <f>SUMIFS('XTab DS_1'!$G$2:$G$193,'XTab DS_1'!$B$2:$B$193,$B93)</f>
        <v/>
      </c>
    </row>
    <row r="94">
      <c r="A94" s="9" t="inlineStr">
        <is>
          <t>#</t>
        </is>
      </c>
      <c r="B94" s="9" t="inlineStr">
        <is>
          <t>CX2511ASTWBKNGUK</t>
        </is>
      </c>
      <c r="C94" s="9" t="inlineStr">
        <is>
          <t>AST　ウィンドブレーカー（２号機）F</t>
        </is>
      </c>
      <c r="D94" s="10">
        <f>COUNTIFS('XTab DS_1'!$B$2:$B$193,$B94)</f>
        <v/>
      </c>
      <c r="E94" s="10">
        <f>IF(D94&gt;=2,"重複","単独")</f>
        <v/>
      </c>
      <c r="F94" s="11">
        <f>SUMIFS('XTab DS_1'!$F$2:$F$193,'XTab DS_1'!$B$2:$B$193,$B94,'XTab DS_1'!$D$2:$D$193,"CX01")</f>
        <v/>
      </c>
      <c r="G94" s="12">
        <f>SUMIFS('XTab DS_1'!$G$2:$G$193,'XTab DS_1'!$B$2:$B$193,$B94,'XTab DS_1'!$D$2:$D$193,"CX01")</f>
        <v/>
      </c>
      <c r="H94" s="11">
        <f>SUMIFS('XTab DS_1'!$F$2:$F$193,'XTab DS_1'!$B$2:$B$193,$B94,'XTab DS_1'!$D$2:$D$193,"DB00")</f>
        <v/>
      </c>
      <c r="I94" s="12">
        <f>SUMIFS('XTab DS_1'!$G$2:$G$193,'XTab DS_1'!$B$2:$B$193,$B94,'XTab DS_1'!$D$2:$D$193,"DB00")</f>
        <v/>
      </c>
      <c r="J94" s="21">
        <f>SUMIFS('XTab DS_1'!$F$2:$F$193,'XTab DS_1'!$B$2:$B$193,$B94)</f>
        <v/>
      </c>
      <c r="K94" s="22">
        <f>SUMIFS('XTab DS_1'!$G$2:$G$193,'XTab DS_1'!$B$2:$B$193,$B94)</f>
        <v/>
      </c>
    </row>
    <row r="95">
      <c r="A95" s="9" t="inlineStr">
        <is>
          <t>#</t>
        </is>
      </c>
      <c r="B95" s="9" t="inlineStr">
        <is>
          <t>CX2511ASTWBKSGUK</t>
        </is>
      </c>
      <c r="C95" s="9" t="inlineStr">
        <is>
          <t>AST　ウィンドブレーカー（初号機）F</t>
        </is>
      </c>
      <c r="D95" s="10">
        <f>COUNTIFS('XTab DS_1'!$B$2:$B$193,$B95)</f>
        <v/>
      </c>
      <c r="E95" s="10">
        <f>IF(D95&gt;=2,"重複","単独")</f>
        <v/>
      </c>
      <c r="F95" s="11">
        <f>SUMIFS('XTab DS_1'!$F$2:$F$193,'XTab DS_1'!$B$2:$B$193,$B95,'XTab DS_1'!$D$2:$D$193,"CX01")</f>
        <v/>
      </c>
      <c r="G95" s="12">
        <f>SUMIFS('XTab DS_1'!$G$2:$G$193,'XTab DS_1'!$B$2:$B$193,$B95,'XTab DS_1'!$D$2:$D$193,"CX01")</f>
        <v/>
      </c>
      <c r="H95" s="11">
        <f>SUMIFS('XTab DS_1'!$F$2:$F$193,'XTab DS_1'!$B$2:$B$193,$B95,'XTab DS_1'!$D$2:$D$193,"DB00")</f>
        <v/>
      </c>
      <c r="I95" s="12">
        <f>SUMIFS('XTab DS_1'!$G$2:$G$193,'XTab DS_1'!$B$2:$B$193,$B95,'XTab DS_1'!$D$2:$D$193,"DB00")</f>
        <v/>
      </c>
      <c r="J95" s="21">
        <f>SUMIFS('XTab DS_1'!$F$2:$F$193,'XTab DS_1'!$B$2:$B$193,$B95)</f>
        <v/>
      </c>
      <c r="K95" s="22">
        <f>SUMIFS('XTab DS_1'!$G$2:$G$193,'XTab DS_1'!$B$2:$B$193,$B95)</f>
        <v/>
      </c>
    </row>
    <row r="96">
      <c r="A96" s="9" t="inlineStr">
        <is>
          <t>#</t>
        </is>
      </c>
      <c r="B96" s="9" t="inlineStr">
        <is>
          <t>CX2511ASTWBKZGUK</t>
        </is>
      </c>
      <c r="C96" s="9" t="inlineStr">
        <is>
          <t>AST　ウィンドブレーカー（ゼロ号機）F</t>
        </is>
      </c>
      <c r="D96" s="10">
        <f>COUNTIFS('XTab DS_1'!$B$2:$B$193,$B96)</f>
        <v/>
      </c>
      <c r="E96" s="10">
        <f>IF(D96&gt;=2,"重複","単独")</f>
        <v/>
      </c>
      <c r="F96" s="11">
        <f>SUMIFS('XTab DS_1'!$F$2:$F$193,'XTab DS_1'!$B$2:$B$193,$B96,'XTab DS_1'!$D$2:$D$193,"CX01")</f>
        <v/>
      </c>
      <c r="G96" s="12">
        <f>SUMIFS('XTab DS_1'!$G$2:$G$193,'XTab DS_1'!$B$2:$B$193,$B96,'XTab DS_1'!$D$2:$D$193,"CX01")</f>
        <v/>
      </c>
      <c r="H96" s="11">
        <f>SUMIFS('XTab DS_1'!$F$2:$F$193,'XTab DS_1'!$B$2:$B$193,$B96,'XTab DS_1'!$D$2:$D$193,"DB00")</f>
        <v/>
      </c>
      <c r="I96" s="12">
        <f>SUMIFS('XTab DS_1'!$G$2:$G$193,'XTab DS_1'!$B$2:$B$193,$B96,'XTab DS_1'!$D$2:$D$193,"DB00")</f>
        <v/>
      </c>
      <c r="J96" s="21">
        <f>SUMIFS('XTab DS_1'!$F$2:$F$193,'XTab DS_1'!$B$2:$B$193,$B96)</f>
        <v/>
      </c>
      <c r="K96" s="22">
        <f>SUMIFS('XTab DS_1'!$G$2:$G$193,'XTab DS_1'!$B$2:$B$193,$B96)</f>
        <v/>
      </c>
    </row>
    <row r="97">
      <c r="A97" s="9" t="inlineStr">
        <is>
          <t>#</t>
        </is>
      </c>
      <c r="B97" s="9" t="inlineStr">
        <is>
          <t>CX2511ASTWESTPT</t>
        </is>
      </c>
      <c r="C97" s="9" t="inlineStr">
        <is>
          <t>AST　ウェストポーチ</t>
        </is>
      </c>
      <c r="D97" s="10">
        <f>COUNTIFS('XTab DS_1'!$B$2:$B$193,$B97)</f>
        <v/>
      </c>
      <c r="E97" s="10">
        <f>IF(D97&gt;=2,"重複","単独")</f>
        <v/>
      </c>
      <c r="F97" s="11">
        <f>SUMIFS('XTab DS_1'!$F$2:$F$193,'XTab DS_1'!$B$2:$B$193,$B97,'XTab DS_1'!$D$2:$D$193,"CX01")</f>
        <v/>
      </c>
      <c r="G97" s="12">
        <f>SUMIFS('XTab DS_1'!$G$2:$G$193,'XTab DS_1'!$B$2:$B$193,$B97,'XTab DS_1'!$D$2:$D$193,"CX01")</f>
        <v/>
      </c>
      <c r="H97" s="11">
        <f>SUMIFS('XTab DS_1'!$F$2:$F$193,'XTab DS_1'!$B$2:$B$193,$B97,'XTab DS_1'!$D$2:$D$193,"DB00")</f>
        <v/>
      </c>
      <c r="I97" s="12">
        <f>SUMIFS('XTab DS_1'!$G$2:$G$193,'XTab DS_1'!$B$2:$B$193,$B97,'XTab DS_1'!$D$2:$D$193,"DB00")</f>
        <v/>
      </c>
      <c r="J97" s="21">
        <f>SUMIFS('XTab DS_1'!$F$2:$F$193,'XTab DS_1'!$B$2:$B$193,$B97)</f>
        <v/>
      </c>
      <c r="K97" s="22">
        <f>SUMIFS('XTab DS_1'!$G$2:$G$193,'XTab DS_1'!$B$2:$B$193,$B97)</f>
        <v/>
      </c>
    </row>
    <row r="98">
      <c r="A98" s="13" t="n"/>
      <c r="B98" s="13" t="n"/>
      <c r="C98" s="14" t="inlineStr">
        <is>
          <t>合計</t>
        </is>
      </c>
      <c r="D98" s="13" t="n"/>
      <c r="E98" s="13" t="n"/>
      <c r="F98" s="15">
        <f>SUM(F2:F97)</f>
        <v/>
      </c>
      <c r="G98" s="16">
        <f>SUM(G2:G97)</f>
        <v/>
      </c>
      <c r="H98" s="15">
        <f>SUM(H2:H97)</f>
        <v/>
      </c>
      <c r="I98" s="16">
        <f>SUM(I2:I97)</f>
        <v/>
      </c>
      <c r="J98" s="15">
        <f>SUM(J2:J97)</f>
        <v/>
      </c>
      <c r="K98" s="16">
        <f>SUM(K2:K97)</f>
        <v/>
      </c>
    </row>
    <row r="99">
      <c r="A99" s="17" t="n"/>
      <c r="B99" s="17" t="n"/>
      <c r="C99" s="18" t="inlineStr">
        <is>
          <t>うち 重複</t>
        </is>
      </c>
      <c r="D99" s="17" t="n"/>
      <c r="E99" s="17" t="n"/>
      <c r="F99" s="19">
        <f>SUMIFS(F2:F97,E2:E97,"重複")</f>
        <v/>
      </c>
      <c r="G99" s="20">
        <f>SUMIFS(G2:G97,E2:E97,"重複")</f>
        <v/>
      </c>
      <c r="H99" s="19">
        <f>SUMIFS(H2:H97,E2:E97,"重複")</f>
        <v/>
      </c>
      <c r="I99" s="20">
        <f>SUMIFS(I2:I97,E2:E97,"重複")</f>
        <v/>
      </c>
      <c r="J99" s="19">
        <f>SUMIFS(J2:J97,E2:E97,"重複")</f>
        <v/>
      </c>
      <c r="K99" s="20">
        <f>SUMIFS(K2:K97,E2:E97,"重複")</f>
        <v/>
      </c>
    </row>
    <row r="100">
      <c r="A100" s="17" t="n"/>
      <c r="B100" s="17" t="n"/>
      <c r="C100" s="18" t="inlineStr">
        <is>
          <t>うち 単独</t>
        </is>
      </c>
      <c r="D100" s="17" t="n"/>
      <c r="E100" s="17" t="n"/>
      <c r="F100" s="19">
        <f>SUMIFS(F2:F97,E2:E97,"単独")</f>
        <v/>
      </c>
      <c r="G100" s="20">
        <f>SUMIFS(G2:G97,E2:E97,"単独")</f>
        <v/>
      </c>
      <c r="H100" s="19">
        <f>SUMIFS(H2:H97,E2:E97,"単独")</f>
        <v/>
      </c>
      <c r="I100" s="20">
        <f>SUMIFS(I2:I97,E2:E97,"単独")</f>
        <v/>
      </c>
      <c r="J100" s="19">
        <f>SUMIFS(J2:J97,E2:E97,"単独")</f>
        <v/>
      </c>
      <c r="K100" s="20">
        <f>SUMIFS(K2:K97,E2:E97,"単独")</f>
        <v/>
      </c>
    </row>
    <row r="102">
      <c r="A102" s="23" t="inlineStr">
        <is>
          <t>※元データ「XTab DS_1」の全品目を掲載。2つ以上の倉庫(保管場所)に登録されている品目を「重複」（黄色）、1倉庫のみを「単独」と表示。数量・金額はSUMIFSで元データから集計（元データ変更で自動再計算）。</t>
        </is>
      </c>
    </row>
  </sheetData>
  <autoFilter ref="A1:K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2026-10-27T04:40:54Z</dcterms:created>
  <dcterms:modified xsi:type="dcterms:W3CDTF">2026-10-27T04:40:54Z</dcterms:modified>
</cp:coreProperties>
</file>