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XTab DS_1" sheetId="1" state="visible" r:id="rId1"/>
    <sheet name="Filter DS_1" sheetId="2" state="visible" r:id="rId2"/>
    <sheet name="倉庫別_CX催事" sheetId="3" state="visible" r:id="rId3"/>
    <sheet name="倉庫別_DBS倉庫" sheetId="4" state="visible" r:id="rId4"/>
    <sheet name="倉庫別_その他" sheetId="5" state="visible" r:id="rId5"/>
    <sheet name="商品別_合算" sheetId="6" state="visible" r:id="rId6"/>
  </sheets>
  <definedNames>
    <definedName name="_xlnm._FilterDatabase" localSheetId="2" hidden="1">'倉庫別_CX催事'!$A$1:$H$48</definedName>
    <definedName name="_xlnm._FilterDatabase" localSheetId="3" hidden="1">'倉庫別_DBS倉庫'!$A$1:$H$44</definedName>
    <definedName name="_xlnm._FilterDatabase" localSheetId="4" hidden="1">'倉庫別_その他'!$A$1:$H$5</definedName>
    <definedName name="_xlnm._FilterDatabase" localSheetId="5" hidden="1">'商品別_合算'!$A$1:$M$48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\ &quot;PC&quot;;\-#,##0\ &quot;PC&quot;"/>
    <numFmt numFmtId="165" formatCode="#,##0\ &quot;JPY&quot;;\-#,##0\ &quot;JPY&quot;"/>
    <numFmt numFmtId="166" formatCode="#,##0 &quot;PC&quot;;-#,##0 &quot;PC&quot;"/>
    <numFmt numFmtId="167" formatCode="#,##0 &quot;JPY&quot;;-#,##0 &quot;JPY&quot;"/>
  </numFmts>
  <fonts count="8">
    <font>
      <name val="Calibri"/>
      <sz val="12"/>
    </font>
    <font>
      <name val="Calibri"/>
      <family val="2"/>
      <sz val="11"/>
    </font>
    <font>
      <name val="Calibri"/>
      <family val="2"/>
      <sz val="11"/>
    </font>
    <font>
      <name val="Calibri"/>
      <family val="2"/>
      <sz val="11"/>
    </font>
    <font>
      <name val="ＭＳ Ｐゴシック"/>
      <charset val="128"/>
      <family val="3"/>
      <sz val="6"/>
    </font>
    <font>
      <name val="Calibri"/>
      <b val="1"/>
      <color rgb="00FFFFFF"/>
    </font>
    <font>
      <name val="Calibri"/>
      <b val="1"/>
    </font>
    <font>
      <name val="Calibri"/>
      <i val="1"/>
      <color rgb="0059595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65" fontId="3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65" fontId="3" fillId="0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3" borderId="1" applyAlignment="1" pivotButton="0" quotePrefix="0" xfId="0">
      <alignment horizontal="center"/>
    </xf>
    <xf numFmtId="166" fontId="0" fillId="3" borderId="1" pivotButton="0" quotePrefix="0" xfId="0"/>
    <xf numFmtId="167" fontId="0" fillId="3" borderId="1" pivotButton="0" quotePrefix="0" xfId="0"/>
    <xf numFmtId="49" fontId="0" fillId="0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  <xf numFmtId="167" fontId="0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166" fontId="6" fillId="4" borderId="1" pivotButton="0" quotePrefix="0" xfId="0"/>
    <xf numFmtId="167" fontId="6" fillId="4" borderId="1" pivotButton="0" quotePrefix="0" xfId="0"/>
    <xf numFmtId="0" fontId="0" fillId="5" borderId="1" pivotButton="0" quotePrefix="0" xfId="0"/>
    <xf numFmtId="0" fontId="6" fillId="5" borderId="1" pivotButton="0" quotePrefix="0" xfId="0"/>
    <xf numFmtId="166" fontId="6" fillId="5" borderId="1" pivotButton="0" quotePrefix="0" xfId="0"/>
    <xf numFmtId="167" fontId="6" fillId="5" borderId="1" pivotButton="0" quotePrefix="0" xfId="0"/>
    <xf numFmtId="166" fontId="6" fillId="3" borderId="1" pivotButton="0" quotePrefix="0" xfId="0"/>
    <xf numFmtId="167" fontId="6" fillId="3" borderId="1" pivotButton="0" quotePrefix="0" xfId="0"/>
    <xf numFmtId="166" fontId="6" fillId="0" borderId="1" pivotButton="0" quotePrefix="0" xfId="0"/>
    <xf numFmtId="167" fontId="6" fillId="0" borderId="1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tabSelected="1" workbookViewId="0">
      <selection activeCell="H1" sqref="H1"/>
    </sheetView>
  </sheetViews>
  <sheetFormatPr baseColWidth="8" defaultRowHeight="15"/>
  <sheetData>
    <row r="1" ht="15.6" customHeight="1">
      <c r="A1" s="4" t="inlineStr">
        <is>
          <t>JANコード(EAN/UPC)</t>
        </is>
      </c>
      <c r="B1" s="4" t="inlineStr">
        <is>
          <t>品目コード</t>
        </is>
      </c>
      <c r="C1" s="4" t="inlineStr">
        <is>
          <t>品目テキスト</t>
        </is>
      </c>
      <c r="D1" s="4" t="inlineStr">
        <is>
          <t>保管場所</t>
        </is>
      </c>
      <c r="E1" s="4" t="inlineStr">
        <is>
          <t>保管場所名</t>
        </is>
      </c>
      <c r="F1" s="4" t="inlineStr">
        <is>
          <t>在庫数量</t>
        </is>
      </c>
      <c r="G1" s="4" t="inlineStr">
        <is>
          <t>在庫金額</t>
        </is>
      </c>
    </row>
    <row r="2" ht="15.6" customHeight="1">
      <c r="A2" s="4" t="n">
        <v>4515142545082</v>
      </c>
      <c r="B2" s="4" t="inlineStr">
        <is>
          <t>CX2509JKSMPOSCKV</t>
        </is>
      </c>
      <c r="C2" s="4" t="inlineStr">
        <is>
          <t>呪術廻戦展 懐玉玉折 渋谷事変　メタリックポストカード　展示会KV</t>
        </is>
      </c>
      <c r="D2" s="4" t="inlineStr">
        <is>
          <t>CX01</t>
        </is>
      </c>
      <c r="E2" s="4" t="inlineStr">
        <is>
          <t>CX催事</t>
        </is>
      </c>
      <c r="F2" s="5" t="n">
        <v>989</v>
      </c>
      <c r="G2" s="6" t="n">
        <v>89999</v>
      </c>
    </row>
    <row r="3" ht="15.6" customHeight="1">
      <c r="A3" s="4" t="n">
        <v>4515142545082</v>
      </c>
      <c r="B3" s="4" t="inlineStr">
        <is>
          <t>CX2509JKSMPOSCKV</t>
        </is>
      </c>
      <c r="C3" s="4" t="inlineStr">
        <is>
          <t>呪術廻戦展 懐玉玉折 渋谷事変　メタリックポストカード　展示会KV</t>
        </is>
      </c>
      <c r="D3" s="4" t="inlineStr">
        <is>
          <t>DB00</t>
        </is>
      </c>
      <c r="E3" s="4" t="inlineStr">
        <is>
          <t>DBS倉庫</t>
        </is>
      </c>
      <c r="F3" s="5" t="n">
        <v>1768</v>
      </c>
      <c r="G3" s="6" t="n">
        <v>160888</v>
      </c>
    </row>
    <row r="4" ht="15.6" customHeight="1">
      <c r="A4" s="4" t="n">
        <v>4515142545099</v>
      </c>
      <c r="B4" s="4" t="inlineStr">
        <is>
          <t>CX2509JKSCFKV</t>
        </is>
      </c>
      <c r="C4" s="4" t="inlineStr">
        <is>
          <t>呪術廻戦展 懐玉玉折 渋谷事変　クリアファイル　展示会KV</t>
        </is>
      </c>
      <c r="D4" s="4" t="inlineStr">
        <is>
          <t>CX01</t>
        </is>
      </c>
      <c r="E4" s="4" t="inlineStr">
        <is>
          <t>CX催事</t>
        </is>
      </c>
      <c r="F4" s="5" t="n">
        <v>1160</v>
      </c>
      <c r="G4" s="6" t="n">
        <v>38280</v>
      </c>
    </row>
    <row r="5" ht="15.6" customHeight="1">
      <c r="A5" s="4" t="n">
        <v>4515142545099</v>
      </c>
      <c r="B5" s="4" t="inlineStr">
        <is>
          <t>CX2509JKSCFKV</t>
        </is>
      </c>
      <c r="C5" s="4" t="inlineStr">
        <is>
          <t>呪術廻戦展 懐玉玉折 渋谷事変　クリアファイル　展示会KV</t>
        </is>
      </c>
      <c r="D5" s="4" t="inlineStr">
        <is>
          <t>DB00</t>
        </is>
      </c>
      <c r="E5" s="4" t="inlineStr">
        <is>
          <t>DBS倉庫</t>
        </is>
      </c>
      <c r="F5" s="5" t="n">
        <v>3336</v>
      </c>
      <c r="G5" s="6" t="n">
        <v>110088</v>
      </c>
    </row>
    <row r="6" ht="15.6" customHeight="1">
      <c r="A6" s="4" t="n">
        <v>4515142545105</v>
      </c>
      <c r="B6" s="4" t="inlineStr">
        <is>
          <t>CX2509JKSPOSC-KG5</t>
        </is>
      </c>
      <c r="C6" s="4" t="inlineStr">
        <is>
          <t>呪術廻戦展 懐玉玉折　ポストカードセット（5枚入）</t>
        </is>
      </c>
      <c r="D6" s="4" t="inlineStr">
        <is>
          <t>CX01</t>
        </is>
      </c>
      <c r="E6" s="4" t="inlineStr">
        <is>
          <t>CX催事</t>
        </is>
      </c>
      <c r="F6" s="5" t="n">
        <v>12921</v>
      </c>
      <c r="G6" s="6" t="n">
        <v>516840</v>
      </c>
    </row>
    <row r="7" ht="15.6" customHeight="1">
      <c r="A7" s="4" t="n">
        <v>4515142545105</v>
      </c>
      <c r="B7" s="4" t="inlineStr">
        <is>
          <t>CX2509JKSPOSC-KG5</t>
        </is>
      </c>
      <c r="C7" s="4" t="inlineStr">
        <is>
          <t>呪術廻戦展 懐玉玉折　ポストカードセット（5枚入）</t>
        </is>
      </c>
      <c r="D7" s="4" t="inlineStr">
        <is>
          <t>DB00</t>
        </is>
      </c>
      <c r="E7" s="4" t="inlineStr">
        <is>
          <t>DBS倉庫</t>
        </is>
      </c>
      <c r="F7" s="5" t="n">
        <v>1494</v>
      </c>
      <c r="G7" s="6" t="n">
        <v>59760</v>
      </c>
    </row>
    <row r="8" ht="15.6" customHeight="1">
      <c r="A8" s="4" t="n">
        <v>4515142545112</v>
      </c>
      <c r="B8" s="4" t="inlineStr">
        <is>
          <t>CX2509JKSPOSC-SJ9</t>
        </is>
      </c>
      <c r="C8" s="4" t="inlineStr">
        <is>
          <t>呪術廻戦展 渋谷事変　ポストカードセット（9枚入）</t>
        </is>
      </c>
      <c r="D8" s="4" t="inlineStr">
        <is>
          <t>CX01</t>
        </is>
      </c>
      <c r="E8" s="4" t="inlineStr">
        <is>
          <t>CX催事</t>
        </is>
      </c>
      <c r="F8" s="5" t="n">
        <v>37528</v>
      </c>
      <c r="G8" s="6" t="n">
        <v>863144</v>
      </c>
    </row>
    <row r="9" ht="15.6" customHeight="1">
      <c r="A9" s="4" t="n">
        <v>4515142545112</v>
      </c>
      <c r="B9" s="4" t="inlineStr">
        <is>
          <t>CX2509JKSPOSC-SJ9</t>
        </is>
      </c>
      <c r="C9" s="4" t="inlineStr">
        <is>
          <t>呪術廻戦展 渋谷事変　ポストカードセット（9枚入）</t>
        </is>
      </c>
      <c r="D9" s="4" t="inlineStr">
        <is>
          <t>DB00</t>
        </is>
      </c>
      <c r="E9" s="4" t="inlineStr">
        <is>
          <t>DBS倉庫</t>
        </is>
      </c>
      <c r="F9" s="5" t="n">
        <v>2515</v>
      </c>
      <c r="G9" s="6" t="n">
        <v>57845</v>
      </c>
    </row>
    <row r="10" ht="15.6" customHeight="1">
      <c r="A10" s="4" t="n">
        <v>4515142545129</v>
      </c>
      <c r="B10" s="4" t="inlineStr">
        <is>
          <t>CX2509JKSBBDG-KG5</t>
        </is>
      </c>
      <c r="C10" s="4" t="inlineStr">
        <is>
          <t>呪術廻戦展 懐玉玉折　ブラインド缶バッジ（全5種）</t>
        </is>
      </c>
      <c r="D10" s="4" t="inlineStr">
        <is>
          <t>CX01</t>
        </is>
      </c>
      <c r="E10" s="4" t="inlineStr">
        <is>
          <t>CX催事</t>
        </is>
      </c>
      <c r="F10" s="5" t="n">
        <v>8520</v>
      </c>
      <c r="G10" s="6" t="n">
        <v>792360</v>
      </c>
    </row>
    <row r="11" ht="15.6" customHeight="1">
      <c r="A11" s="4" t="n">
        <v>4515142545129</v>
      </c>
      <c r="B11" s="4" t="inlineStr">
        <is>
          <t>CX2509JKSBBDG-KG5</t>
        </is>
      </c>
      <c r="C11" s="4" t="inlineStr">
        <is>
          <t>呪術廻戦展 懐玉玉折　ブラインド缶バッジ（全5種）</t>
        </is>
      </c>
      <c r="D11" s="4" t="inlineStr">
        <is>
          <t>DB00</t>
        </is>
      </c>
      <c r="E11" s="4" t="inlineStr">
        <is>
          <t>DBS倉庫</t>
        </is>
      </c>
      <c r="F11" s="5" t="n">
        <v>30895</v>
      </c>
      <c r="G11" s="6" t="n">
        <v>2873235</v>
      </c>
    </row>
    <row r="12" ht="15.6" customHeight="1">
      <c r="A12" s="4" t="n">
        <v>4515142545136</v>
      </c>
      <c r="B12" s="4" t="inlineStr">
        <is>
          <t>CX2509JKSBBDG-SJ9</t>
        </is>
      </c>
      <c r="C12" s="4" t="inlineStr">
        <is>
          <t>呪術廻戦展 渋谷事変　ブラインド缶バッジ（全9種）</t>
        </is>
      </c>
      <c r="D12" s="4" t="inlineStr">
        <is>
          <t>CX01</t>
        </is>
      </c>
      <c r="E12" s="4" t="inlineStr">
        <is>
          <t>CX催事</t>
        </is>
      </c>
      <c r="F12" s="5" t="n">
        <v>12248</v>
      </c>
      <c r="G12" s="6" t="n">
        <v>1139064</v>
      </c>
    </row>
    <row r="13" ht="15.6" customHeight="1">
      <c r="A13" s="4" t="n">
        <v>4515142545136</v>
      </c>
      <c r="B13" s="4" t="inlineStr">
        <is>
          <t>CX2509JKSBBDG-SJ9</t>
        </is>
      </c>
      <c r="C13" s="4" t="inlineStr">
        <is>
          <t>呪術廻戦展 渋谷事変　ブラインド缶バッジ（全9種）</t>
        </is>
      </c>
      <c r="D13" s="4" t="inlineStr">
        <is>
          <t>DB00</t>
        </is>
      </c>
      <c r="E13" s="4" t="inlineStr">
        <is>
          <t>DBS倉庫</t>
        </is>
      </c>
      <c r="F13" s="5" t="n">
        <v>37544</v>
      </c>
      <c r="G13" s="6" t="n">
        <v>3491592</v>
      </c>
    </row>
    <row r="14" ht="15.6" customHeight="1">
      <c r="A14" s="4" t="n">
        <v>4515142545143</v>
      </c>
      <c r="B14" s="4" t="inlineStr">
        <is>
          <t>CX2509JKSBSTK-KG5</t>
        </is>
      </c>
      <c r="C14" s="4" t="inlineStr">
        <is>
          <t>呪術廻戦展 懐玉玉折　ブラインドダイカットステッカー（全5種）</t>
        </is>
      </c>
      <c r="D14" s="4" t="inlineStr">
        <is>
          <t>CX01</t>
        </is>
      </c>
      <c r="E14" s="4" t="inlineStr">
        <is>
          <t>CX催事</t>
        </is>
      </c>
      <c r="F14" s="5" t="n">
        <v>504</v>
      </c>
      <c r="G14" s="6" t="n">
        <v>50904</v>
      </c>
    </row>
    <row r="15" ht="15.6" customHeight="1">
      <c r="A15" s="4" t="n">
        <v>4515142545143</v>
      </c>
      <c r="B15" s="4" t="inlineStr">
        <is>
          <t>CX2509JKSBSTK-KG5</t>
        </is>
      </c>
      <c r="C15" s="4" t="inlineStr">
        <is>
          <t>呪術廻戦展 懐玉玉折　ブラインドダイカットステッカー（全5種）</t>
        </is>
      </c>
      <c r="D15" s="4" t="inlineStr">
        <is>
          <t>DB00</t>
        </is>
      </c>
      <c r="E15" s="4" t="inlineStr">
        <is>
          <t>DBS倉庫</t>
        </is>
      </c>
      <c r="F15" s="5" t="n">
        <v>3851</v>
      </c>
      <c r="G15" s="6" t="n">
        <v>388951</v>
      </c>
    </row>
    <row r="16" ht="15.6" customHeight="1">
      <c r="A16" s="4" t="n">
        <v>4515142545150</v>
      </c>
      <c r="B16" s="4" t="inlineStr">
        <is>
          <t>CX2509JKSBSTK-SJ9</t>
        </is>
      </c>
      <c r="C16" s="4" t="inlineStr">
        <is>
          <t>呪術廻戦展 渋谷事変　ブラインドダイカットステッカー（全9種）</t>
        </is>
      </c>
      <c r="D16" s="4" t="inlineStr">
        <is>
          <t>CX01</t>
        </is>
      </c>
      <c r="E16" s="4" t="inlineStr">
        <is>
          <t>CX催事</t>
        </is>
      </c>
      <c r="F16" s="5" t="n">
        <v>807</v>
      </c>
      <c r="G16" s="6" t="n">
        <v>73437</v>
      </c>
    </row>
    <row r="17" ht="15.6" customHeight="1">
      <c r="A17" s="4" t="n">
        <v>4515142545150</v>
      </c>
      <c r="B17" s="4" t="inlineStr">
        <is>
          <t>CX2509JKSBSTK-SJ9</t>
        </is>
      </c>
      <c r="C17" s="4" t="inlineStr">
        <is>
          <t>呪術廻戦展 渋谷事変　ブラインドダイカットステッカー（全9種）</t>
        </is>
      </c>
      <c r="D17" s="4" t="inlineStr">
        <is>
          <t>DB00</t>
        </is>
      </c>
      <c r="E17" s="4" t="inlineStr">
        <is>
          <t>DBS倉庫</t>
        </is>
      </c>
      <c r="F17" s="5" t="n">
        <v>7422</v>
      </c>
      <c r="G17" s="6" t="n">
        <v>675402</v>
      </c>
    </row>
    <row r="18" ht="15.6" customHeight="1">
      <c r="A18" s="4" t="n">
        <v>4515142545174</v>
      </c>
      <c r="B18" s="4" t="inlineStr">
        <is>
          <t>CX2509JKSBMCPA-KG5</t>
        </is>
      </c>
      <c r="C18" s="4" t="inlineStr">
        <is>
          <t>呪術廻戦展 懐玉玉折　ブラインドミニ色紙（全5種）</t>
        </is>
      </c>
      <c r="D18" s="4" t="inlineStr">
        <is>
          <t>CX01</t>
        </is>
      </c>
      <c r="E18" s="4" t="inlineStr">
        <is>
          <t>CX催事</t>
        </is>
      </c>
      <c r="F18" s="5" t="n">
        <v>8947</v>
      </c>
      <c r="G18" s="6" t="n">
        <v>715760</v>
      </c>
    </row>
    <row r="19" ht="15.6" customHeight="1">
      <c r="A19" s="4" t="n">
        <v>4515142545174</v>
      </c>
      <c r="B19" s="4" t="inlineStr">
        <is>
          <t>CX2509JKSBMCPA-KG5</t>
        </is>
      </c>
      <c r="C19" s="4" t="inlineStr">
        <is>
          <t>呪術廻戦展 懐玉玉折　ブラインドミニ色紙（全5種）</t>
        </is>
      </c>
      <c r="D19" s="4" t="inlineStr">
        <is>
          <t>DB00</t>
        </is>
      </c>
      <c r="E19" s="4" t="inlineStr">
        <is>
          <t>DBS倉庫</t>
        </is>
      </c>
      <c r="F19" s="5" t="n">
        <v>40696</v>
      </c>
      <c r="G19" s="6" t="n">
        <v>3255680</v>
      </c>
    </row>
    <row r="20" ht="15.6" customHeight="1">
      <c r="A20" s="4" t="n">
        <v>4515142545181</v>
      </c>
      <c r="B20" s="4" t="inlineStr">
        <is>
          <t>CX2509JKSBMCPA-SJ5</t>
        </is>
      </c>
      <c r="C20" s="4" t="inlineStr">
        <is>
          <t>呪術廻戦展 渋谷事変　ブラインドミニ色紙（全5種）</t>
        </is>
      </c>
      <c r="D20" s="4" t="inlineStr">
        <is>
          <t>CX01</t>
        </is>
      </c>
      <c r="E20" s="4" t="inlineStr">
        <is>
          <t>CX催事</t>
        </is>
      </c>
      <c r="F20" s="5" t="n">
        <v>7277</v>
      </c>
      <c r="G20" s="6" t="n">
        <v>603991</v>
      </c>
    </row>
    <row r="21" ht="15.6" customHeight="1">
      <c r="A21" s="4" t="n">
        <v>4515142545181</v>
      </c>
      <c r="B21" s="4" t="inlineStr">
        <is>
          <t>CX2509JKSBMCPA-SJ5</t>
        </is>
      </c>
      <c r="C21" s="4" t="inlineStr">
        <is>
          <t>呪術廻戦展 渋谷事変　ブラインドミニ色紙（全5種）</t>
        </is>
      </c>
      <c r="D21" s="4" t="inlineStr">
        <is>
          <t>DB00</t>
        </is>
      </c>
      <c r="E21" s="4" t="inlineStr">
        <is>
          <t>DBS倉庫</t>
        </is>
      </c>
      <c r="F21" s="5" t="n">
        <v>23711</v>
      </c>
      <c r="G21" s="6" t="n">
        <v>1968013</v>
      </c>
    </row>
    <row r="22" ht="15.6" customHeight="1">
      <c r="A22" s="4" t="n">
        <v>4515142545198</v>
      </c>
      <c r="B22" s="4" t="inlineStr">
        <is>
          <t>CX2509JKSGOBTBALL</t>
        </is>
      </c>
      <c r="C22" s="4" t="inlineStr">
        <is>
          <t>呪術廻戦展 懐玉玉折 渋谷事変　虚式 ? バスボール</t>
        </is>
      </c>
      <c r="D22" s="4" t="inlineStr">
        <is>
          <t>CX01</t>
        </is>
      </c>
      <c r="E22" s="4" t="inlineStr">
        <is>
          <t>CX催事</t>
        </is>
      </c>
      <c r="F22" s="5" t="n">
        <v>276</v>
      </c>
      <c r="G22" s="6" t="n">
        <v>66240</v>
      </c>
    </row>
    <row r="23" ht="15.6" customHeight="1">
      <c r="A23" s="4" t="n">
        <v>4515142545198</v>
      </c>
      <c r="B23" s="4" t="inlineStr">
        <is>
          <t>CX2509JKSGOBTBALL</t>
        </is>
      </c>
      <c r="C23" s="4" t="inlineStr">
        <is>
          <t>呪術廻戦展 懐玉玉折 渋谷事変　虚式 ? バスボール</t>
        </is>
      </c>
      <c r="D23" s="4" t="inlineStr">
        <is>
          <t>DB00</t>
        </is>
      </c>
      <c r="E23" s="4" t="inlineStr">
        <is>
          <t>DBS倉庫</t>
        </is>
      </c>
      <c r="F23" s="5" t="n">
        <v>3175</v>
      </c>
      <c r="G23" s="6" t="n">
        <v>762000</v>
      </c>
    </row>
    <row r="24" ht="15.6" customHeight="1">
      <c r="A24" s="4" t="n">
        <v>4515142545204</v>
      </c>
      <c r="B24" s="4" t="inlineStr">
        <is>
          <t>CX2509JKSGEHAIRBD</t>
        </is>
      </c>
      <c r="C24" s="4" t="inlineStr">
        <is>
          <t>呪術廻戦展 懐玉玉折 渋谷事変　前髪ヘアバンド</t>
        </is>
      </c>
      <c r="D24" s="4" t="inlineStr">
        <is>
          <t>CX01</t>
        </is>
      </c>
      <c r="E24" s="4" t="inlineStr">
        <is>
          <t>CX催事</t>
        </is>
      </c>
      <c r="F24" s="5" t="n">
        <v>118</v>
      </c>
      <c r="G24" s="6" t="n">
        <v>102896</v>
      </c>
    </row>
    <row r="25" ht="15.6" customHeight="1">
      <c r="A25" s="4" t="n">
        <v>4515142545204</v>
      </c>
      <c r="B25" s="4" t="inlineStr">
        <is>
          <t>CX2509JKSGEHAIRBD</t>
        </is>
      </c>
      <c r="C25" s="4" t="inlineStr">
        <is>
          <t>呪術廻戦展 懐玉玉折 渋谷事変　前髪ヘアバンド</t>
        </is>
      </c>
      <c r="D25" s="4" t="inlineStr">
        <is>
          <t>DB00</t>
        </is>
      </c>
      <c r="E25" s="4" t="inlineStr">
        <is>
          <t>DBS倉庫</t>
        </is>
      </c>
      <c r="F25" s="5" t="n">
        <v>179</v>
      </c>
      <c r="G25" s="6" t="n">
        <v>156088</v>
      </c>
    </row>
    <row r="26" ht="15.6" customHeight="1">
      <c r="A26" s="4" t="n">
        <v>4515142545211</v>
      </c>
      <c r="B26" s="4" t="inlineStr">
        <is>
          <t>CX2509JKSBANDAGE</t>
        </is>
      </c>
      <c r="C26" s="4" t="inlineStr">
        <is>
          <t>呪術廻戦展 懐玉玉折 渋谷事変　反転術式絆創膏</t>
        </is>
      </c>
      <c r="D26" s="4" t="inlineStr">
        <is>
          <t>CX01</t>
        </is>
      </c>
      <c r="E26" s="4" t="inlineStr">
        <is>
          <t>CX催事</t>
        </is>
      </c>
      <c r="F26" s="5" t="n">
        <v>169</v>
      </c>
      <c r="G26" s="6" t="n">
        <v>44785</v>
      </c>
    </row>
    <row r="27" ht="15.6" customHeight="1">
      <c r="A27" s="4" t="n">
        <v>4515142545211</v>
      </c>
      <c r="B27" s="4" t="inlineStr">
        <is>
          <t>CX2509JKSBANDAGE</t>
        </is>
      </c>
      <c r="C27" s="4" t="inlineStr">
        <is>
          <t>呪術廻戦展 懐玉玉折 渋谷事変　反転術式絆創膏</t>
        </is>
      </c>
      <c r="D27" s="4" t="inlineStr">
        <is>
          <t>DB00</t>
        </is>
      </c>
      <c r="E27" s="4" t="inlineStr">
        <is>
          <t>DBS倉庫</t>
        </is>
      </c>
      <c r="F27" s="5" t="n">
        <v>979</v>
      </c>
      <c r="G27" s="6" t="n">
        <v>259435</v>
      </c>
    </row>
    <row r="28" ht="15.6" customHeight="1">
      <c r="A28" s="4" t="n">
        <v>4515142545228</v>
      </c>
      <c r="B28" s="4" t="inlineStr">
        <is>
          <t>CX2509JKSSKFINGER</t>
        </is>
      </c>
      <c r="C28" s="4" t="inlineStr">
        <is>
          <t>呪術廻戦展 懐玉玉折 渋谷事変　宿儺の指風お菓子</t>
        </is>
      </c>
      <c r="D28" s="4" t="inlineStr">
        <is>
          <t>CX01</t>
        </is>
      </c>
      <c r="E28" s="4" t="inlineStr">
        <is>
          <t>CX催事</t>
        </is>
      </c>
      <c r="F28" s="5" t="n">
        <v>800</v>
      </c>
      <c r="G28" s="6" t="n">
        <v>21600</v>
      </c>
    </row>
    <row r="29" ht="15.6" customHeight="1">
      <c r="A29" s="4" t="n">
        <v>4515142545228</v>
      </c>
      <c r="B29" s="4" t="inlineStr">
        <is>
          <t>CX2509JKSSKFINGER</t>
        </is>
      </c>
      <c r="C29" s="4" t="inlineStr">
        <is>
          <t>呪術廻戦展 懐玉玉折 渋谷事変　宿儺の指風お菓子</t>
        </is>
      </c>
      <c r="D29" s="4" t="inlineStr">
        <is>
          <t>DB00</t>
        </is>
      </c>
      <c r="E29" s="4" t="inlineStr">
        <is>
          <t>DBS倉庫</t>
        </is>
      </c>
      <c r="F29" s="5" t="n">
        <v>0</v>
      </c>
      <c r="G29" s="6" t="n">
        <v>0</v>
      </c>
    </row>
    <row r="30" ht="15.6" customHeight="1">
      <c r="A30" s="4" t="n">
        <v>4515142545228</v>
      </c>
      <c r="B30" s="4" t="inlineStr">
        <is>
          <t>CX2509JKSSKFINGER</t>
        </is>
      </c>
      <c r="C30" s="4" t="inlineStr">
        <is>
          <t>呪術廻戦展 懐玉玉折 渋谷事変　宿儺の指風お菓子</t>
        </is>
      </c>
      <c r="D30" s="4" t="inlineStr">
        <is>
          <t>ZZ01</t>
        </is>
      </c>
      <c r="E30" s="4" t="inlineStr">
        <is>
          <t>その他</t>
        </is>
      </c>
      <c r="F30" s="5" t="n">
        <v>4400</v>
      </c>
      <c r="G30" s="6" t="n">
        <v>118800</v>
      </c>
    </row>
    <row r="31" ht="15.6" customHeight="1">
      <c r="A31" s="4" t="n">
        <v>4515142545235</v>
      </c>
      <c r="B31" s="4" t="inlineStr">
        <is>
          <t>CX2509JKSDTPCHCLP</t>
        </is>
      </c>
      <c r="C31" s="4" t="inlineStr">
        <is>
          <t>呪術廻戦展 懐玉玉折 渋谷事変　脱兎 ポーチ入りクリップセット</t>
        </is>
      </c>
      <c r="D31" s="4" t="inlineStr">
        <is>
          <t>CX01</t>
        </is>
      </c>
      <c r="E31" s="4" t="inlineStr">
        <is>
          <t>CX催事</t>
        </is>
      </c>
      <c r="F31" s="5" t="n">
        <v>220</v>
      </c>
      <c r="G31" s="6" t="n">
        <v>32560</v>
      </c>
    </row>
    <row r="32" ht="15.6" customHeight="1">
      <c r="A32" s="4" t="n">
        <v>4515142545235</v>
      </c>
      <c r="B32" s="4" t="inlineStr">
        <is>
          <t>CX2509JKSDTPCHCLP</t>
        </is>
      </c>
      <c r="C32" s="4" t="inlineStr">
        <is>
          <t>呪術廻戦展 懐玉玉折 渋谷事変　脱兎 ポーチ入りクリップセット</t>
        </is>
      </c>
      <c r="D32" s="4" t="inlineStr">
        <is>
          <t>DB00</t>
        </is>
      </c>
      <c r="E32" s="4" t="inlineStr">
        <is>
          <t>DBS倉庫</t>
        </is>
      </c>
      <c r="F32" s="5" t="n">
        <v>40</v>
      </c>
      <c r="G32" s="6" t="n">
        <v>5920</v>
      </c>
    </row>
    <row r="33" ht="15.6" customHeight="1">
      <c r="A33" s="4" t="n">
        <v>4515142545242</v>
      </c>
      <c r="B33" s="4" t="inlineStr">
        <is>
          <t>CX2509JKSNBECOBAG</t>
        </is>
      </c>
      <c r="C33" s="4" t="inlineStr">
        <is>
          <t>呪術廻戦展 懐玉玉折 渋谷事変　釘崎のポーチ風エコバッグ</t>
        </is>
      </c>
      <c r="D33" s="4" t="inlineStr">
        <is>
          <t>CX01</t>
        </is>
      </c>
      <c r="E33" s="4" t="inlineStr">
        <is>
          <t>CX催事</t>
        </is>
      </c>
      <c r="F33" s="5" t="n">
        <v>278</v>
      </c>
      <c r="G33" s="6" t="n">
        <v>121208</v>
      </c>
    </row>
    <row r="34" ht="15.6" customHeight="1">
      <c r="A34" s="4" t="n">
        <v>4515142545242</v>
      </c>
      <c r="B34" s="4" t="inlineStr">
        <is>
          <t>CX2509JKSNBECOBAG</t>
        </is>
      </c>
      <c r="C34" s="4" t="inlineStr">
        <is>
          <t>呪術廻戦展 懐玉玉折 渋谷事変　釘崎のポーチ風エコバッグ</t>
        </is>
      </c>
      <c r="D34" s="4" t="inlineStr">
        <is>
          <t>DB00</t>
        </is>
      </c>
      <c r="E34" s="4" t="inlineStr">
        <is>
          <t>DBS倉庫</t>
        </is>
      </c>
      <c r="F34" s="5" t="n">
        <v>548</v>
      </c>
      <c r="G34" s="6" t="n">
        <v>238928</v>
      </c>
    </row>
    <row r="35" ht="15.6" customHeight="1">
      <c r="A35" s="4" t="n">
        <v>4515142545259</v>
      </c>
      <c r="B35" s="4" t="inlineStr">
        <is>
          <t>CX2509JKSPLANNER</t>
        </is>
      </c>
      <c r="C35" s="4" t="inlineStr">
        <is>
          <t>呪術廻戦展 懐玉玉折 渋谷事変　半年分の情報が書き込める手帳</t>
        </is>
      </c>
      <c r="D35" s="4" t="inlineStr">
        <is>
          <t>CX01</t>
        </is>
      </c>
      <c r="E35" s="4" t="inlineStr">
        <is>
          <t>CX催事</t>
        </is>
      </c>
      <c r="F35" s="5" t="n">
        <v>248</v>
      </c>
      <c r="G35" s="6" t="n">
        <v>64480</v>
      </c>
    </row>
    <row r="36" ht="15.6" customHeight="1">
      <c r="A36" s="4" t="n">
        <v>4515142545259</v>
      </c>
      <c r="B36" s="4" t="inlineStr">
        <is>
          <t>CX2509JKSPLANNER</t>
        </is>
      </c>
      <c r="C36" s="4" t="inlineStr">
        <is>
          <t>呪術廻戦展 懐玉玉折 渋谷事変　半年分の情報が書き込める手帳</t>
        </is>
      </c>
      <c r="D36" s="4" t="inlineStr">
        <is>
          <t>DB00</t>
        </is>
      </c>
      <c r="E36" s="4" t="inlineStr">
        <is>
          <t>DBS倉庫</t>
        </is>
      </c>
      <c r="F36" s="5" t="n">
        <v>577</v>
      </c>
      <c r="G36" s="6" t="n">
        <v>150020</v>
      </c>
    </row>
    <row r="37" ht="15.6" customHeight="1">
      <c r="A37" s="4" t="n">
        <v>4515142545266</v>
      </c>
      <c r="B37" s="4" t="inlineStr">
        <is>
          <t>CX2509JKSMUSICBOX</t>
        </is>
      </c>
      <c r="C37" s="4" t="inlineStr">
        <is>
          <t>呪術廻戦展 懐玉玉折 渋谷事変　気分リフレッシュオルゴール</t>
        </is>
      </c>
      <c r="D37" s="4" t="inlineStr">
        <is>
          <t>CX01</t>
        </is>
      </c>
      <c r="E37" s="4" t="inlineStr">
        <is>
          <t>CX催事</t>
        </is>
      </c>
      <c r="F37" s="5" t="n">
        <v>12</v>
      </c>
      <c r="G37" s="6" t="n">
        <v>32400</v>
      </c>
    </row>
    <row r="38" ht="15.6" customHeight="1">
      <c r="A38" s="4" t="n">
        <v>4515142545266</v>
      </c>
      <c r="B38" s="4" t="inlineStr">
        <is>
          <t>CX2509JKSMUSICBOX</t>
        </is>
      </c>
      <c r="C38" s="4" t="inlineStr">
        <is>
          <t>呪術廻戦展 懐玉玉折 渋谷事変　気分リフレッシュオルゴール</t>
        </is>
      </c>
      <c r="D38" s="4" t="inlineStr">
        <is>
          <t>DB00</t>
        </is>
      </c>
      <c r="E38" s="4" t="inlineStr">
        <is>
          <t>DBS倉庫</t>
        </is>
      </c>
      <c r="F38" s="5" t="n">
        <v>10</v>
      </c>
      <c r="G38" s="6" t="n">
        <v>27000</v>
      </c>
    </row>
    <row r="39" ht="15.6" customHeight="1">
      <c r="A39" s="4" t="n">
        <v>4515142545273</v>
      </c>
      <c r="B39" s="4" t="inlineStr">
        <is>
          <t>CX2509JKSIRG-GO11</t>
        </is>
      </c>
      <c r="C39" s="4" t="inlineStr">
        <is>
          <t>呪術廻戦展 懐玉玉折 渋谷事変　五条 悟　イメージリング（#11）</t>
        </is>
      </c>
      <c r="D39" s="4" t="inlineStr">
        <is>
          <t>CX01</t>
        </is>
      </c>
      <c r="E39" s="4" t="inlineStr">
        <is>
          <t>CX催事</t>
        </is>
      </c>
      <c r="F39" s="5" t="n">
        <v>27</v>
      </c>
      <c r="G39" s="6" t="n">
        <v>349785</v>
      </c>
    </row>
    <row r="40" ht="15.6" customHeight="1">
      <c r="A40" s="4" t="n">
        <v>4515142545273</v>
      </c>
      <c r="B40" s="4" t="inlineStr">
        <is>
          <t>CX2509JKSIRG-GO11</t>
        </is>
      </c>
      <c r="C40" s="4" t="inlineStr">
        <is>
          <t>呪術廻戦展 懐玉玉折 渋谷事変　五条 悟　イメージリング（#11）</t>
        </is>
      </c>
      <c r="D40" s="4" t="inlineStr">
        <is>
          <t>DB00</t>
        </is>
      </c>
      <c r="E40" s="4" t="inlineStr">
        <is>
          <t>DBS倉庫</t>
        </is>
      </c>
      <c r="F40" s="5" t="n">
        <v>71</v>
      </c>
      <c r="G40" s="6" t="n">
        <v>919805</v>
      </c>
    </row>
    <row r="41" ht="15.6" customHeight="1">
      <c r="A41" s="4" t="n">
        <v>4515142545273</v>
      </c>
      <c r="B41" s="4" t="inlineStr">
        <is>
          <t>CX2509JKSIRG-GO11</t>
        </is>
      </c>
      <c r="C41" s="4" t="inlineStr">
        <is>
          <t>呪術廻戦展 懐玉玉折 渋谷事変　五条 悟　イメージリング（#11）</t>
        </is>
      </c>
      <c r="D41" s="4" t="inlineStr">
        <is>
          <t>ZZ01</t>
        </is>
      </c>
      <c r="E41" s="4" t="inlineStr">
        <is>
          <t>その他</t>
        </is>
      </c>
      <c r="F41" s="5" t="n">
        <v>5</v>
      </c>
      <c r="G41" s="6" t="n">
        <v>64775</v>
      </c>
    </row>
    <row r="42" ht="15.6" customHeight="1">
      <c r="A42" s="4" t="n">
        <v>4515142545280</v>
      </c>
      <c r="B42" s="4" t="inlineStr">
        <is>
          <t>CX2509JKSIRG-GO13</t>
        </is>
      </c>
      <c r="C42" s="4" t="inlineStr">
        <is>
          <t>呪術廻戦展 懐玉玉折 渋谷事変　五条 悟　イメージリング（#13）</t>
        </is>
      </c>
      <c r="D42" s="4" t="inlineStr">
        <is>
          <t>CX01</t>
        </is>
      </c>
      <c r="E42" s="4" t="inlineStr">
        <is>
          <t>CX催事</t>
        </is>
      </c>
      <c r="F42" s="5" t="n">
        <v>2</v>
      </c>
      <c r="G42" s="6" t="n">
        <v>18000</v>
      </c>
    </row>
    <row r="43" ht="15.6" customHeight="1">
      <c r="A43" s="4" t="n">
        <v>4515142545280</v>
      </c>
      <c r="B43" s="4" t="inlineStr">
        <is>
          <t>CX2509JKSIRG-GO13</t>
        </is>
      </c>
      <c r="C43" s="4" t="inlineStr">
        <is>
          <t>呪術廻戦展 懐玉玉折 渋谷事変　五条 悟　イメージリング（#13）</t>
        </is>
      </c>
      <c r="D43" s="4" t="inlineStr">
        <is>
          <t>DB00</t>
        </is>
      </c>
      <c r="E43" s="4" t="inlineStr">
        <is>
          <t>DBS倉庫</t>
        </is>
      </c>
      <c r="F43" s="5" t="n">
        <v>0</v>
      </c>
      <c r="G43" s="6" t="n">
        <v>0</v>
      </c>
    </row>
    <row r="44" ht="15.6" customHeight="1">
      <c r="A44" s="4" t="n">
        <v>4515142545297</v>
      </c>
      <c r="B44" s="4" t="inlineStr">
        <is>
          <t>CX2509JKSIRG-GO15</t>
        </is>
      </c>
      <c r="C44" s="4" t="inlineStr">
        <is>
          <t>呪術廻戦展 懐玉玉折 渋谷事変　五条 悟　イメージリング（#15）</t>
        </is>
      </c>
      <c r="D44" s="4" t="inlineStr">
        <is>
          <t>CX01</t>
        </is>
      </c>
      <c r="E44" s="4" t="inlineStr">
        <is>
          <t>CX催事</t>
        </is>
      </c>
      <c r="F44" s="5" t="n">
        <v>2</v>
      </c>
      <c r="G44" s="6" t="n">
        <v>18000</v>
      </c>
    </row>
    <row r="45" ht="15.6" customHeight="1">
      <c r="A45" s="4" t="n">
        <v>4515142545297</v>
      </c>
      <c r="B45" s="4" t="inlineStr">
        <is>
          <t>CX2509JKSIRG-GO15</t>
        </is>
      </c>
      <c r="C45" s="4" t="inlineStr">
        <is>
          <t>呪術廻戦展 懐玉玉折 渋谷事変　五条 悟　イメージリング（#15）</t>
        </is>
      </c>
      <c r="D45" s="4" t="inlineStr">
        <is>
          <t>DB00</t>
        </is>
      </c>
      <c r="E45" s="4" t="inlineStr">
        <is>
          <t>DBS倉庫</t>
        </is>
      </c>
      <c r="F45" s="5" t="n">
        <v>1</v>
      </c>
      <c r="G45" s="6" t="n">
        <v>9000</v>
      </c>
    </row>
    <row r="46" ht="15.6" customHeight="1">
      <c r="A46" s="4" t="n">
        <v>4515142545303</v>
      </c>
      <c r="B46" s="4" t="inlineStr">
        <is>
          <t>CX2509JKSIRG-GO17</t>
        </is>
      </c>
      <c r="C46" s="4" t="inlineStr">
        <is>
          <t>呪術廻戦展 懐玉玉折 渋谷事変　五条 悟　イメージリング（#17）</t>
        </is>
      </c>
      <c r="D46" s="4" t="inlineStr">
        <is>
          <t>CX01</t>
        </is>
      </c>
      <c r="E46" s="4" t="inlineStr">
        <is>
          <t>CX催事</t>
        </is>
      </c>
      <c r="F46" s="5" t="n">
        <v>2</v>
      </c>
      <c r="G46" s="6" t="n">
        <v>18000</v>
      </c>
    </row>
    <row r="47" ht="15.6" customHeight="1">
      <c r="A47" s="4" t="n">
        <v>4515142545303</v>
      </c>
      <c r="B47" s="4" t="inlineStr">
        <is>
          <t>CX2509JKSIRG-GO17</t>
        </is>
      </c>
      <c r="C47" s="4" t="inlineStr">
        <is>
          <t>呪術廻戦展 懐玉玉折 渋谷事変　五条 悟　イメージリング（#17）</t>
        </is>
      </c>
      <c r="D47" s="4" t="inlineStr">
        <is>
          <t>DB00</t>
        </is>
      </c>
      <c r="E47" s="4" t="inlineStr">
        <is>
          <t>DBS倉庫</t>
        </is>
      </c>
      <c r="F47" s="5" t="n">
        <v>1</v>
      </c>
      <c r="G47" s="6" t="n">
        <v>9000</v>
      </c>
    </row>
    <row r="48" ht="15.6" customHeight="1">
      <c r="A48" s="4" t="n">
        <v>4515142545310</v>
      </c>
      <c r="B48" s="4" t="inlineStr">
        <is>
          <t>CX2509JKSIRG-GE11</t>
        </is>
      </c>
      <c r="C48" s="4" t="inlineStr">
        <is>
          <t>呪術廻戦展 懐玉玉折 渋谷事変　夏油 傑　イメージリング（#11）</t>
        </is>
      </c>
      <c r="D48" s="4" t="inlineStr">
        <is>
          <t>CX01</t>
        </is>
      </c>
      <c r="E48" s="4" t="inlineStr">
        <is>
          <t>CX催事</t>
        </is>
      </c>
      <c r="F48" s="5" t="n">
        <v>21</v>
      </c>
      <c r="G48" s="6" t="n">
        <v>264999</v>
      </c>
    </row>
    <row r="49" ht="15.6" customHeight="1">
      <c r="A49" s="4" t="n">
        <v>4515142545310</v>
      </c>
      <c r="B49" s="4" t="inlineStr">
        <is>
          <t>CX2509JKSIRG-GE11</t>
        </is>
      </c>
      <c r="C49" s="4" t="inlineStr">
        <is>
          <t>呪術廻戦展 懐玉玉折 渋谷事変　夏油 傑　イメージリング（#11）</t>
        </is>
      </c>
      <c r="D49" s="4" t="inlineStr">
        <is>
          <t>DB00</t>
        </is>
      </c>
      <c r="E49" s="4" t="inlineStr">
        <is>
          <t>DBS倉庫</t>
        </is>
      </c>
      <c r="F49" s="5" t="n">
        <v>6</v>
      </c>
      <c r="G49" s="6" t="n">
        <v>75714</v>
      </c>
    </row>
    <row r="50" ht="15.6" customHeight="1">
      <c r="A50" s="4" t="n">
        <v>4515142545310</v>
      </c>
      <c r="B50" s="4" t="inlineStr">
        <is>
          <t>CX2509JKSIRG-GE11</t>
        </is>
      </c>
      <c r="C50" s="4" t="inlineStr">
        <is>
          <t>呪術廻戦展 懐玉玉折 渋谷事変　夏油 傑　イメージリング（#11）</t>
        </is>
      </c>
      <c r="D50" s="4" t="inlineStr">
        <is>
          <t>ZZ01</t>
        </is>
      </c>
      <c r="E50" s="4" t="inlineStr">
        <is>
          <t>その他</t>
        </is>
      </c>
      <c r="F50" s="5" t="n">
        <v>9</v>
      </c>
      <c r="G50" s="6" t="n">
        <v>113571</v>
      </c>
    </row>
    <row r="51" ht="15.6" customHeight="1">
      <c r="A51" s="4" t="n">
        <v>4515142545327</v>
      </c>
      <c r="B51" s="4" t="inlineStr">
        <is>
          <t>CX2509JKSIRG-GE13</t>
        </is>
      </c>
      <c r="C51" s="4" t="inlineStr">
        <is>
          <t>呪術廻戦展 懐玉玉折 渋谷事変　夏油 傑　イメージリング（#13）</t>
        </is>
      </c>
      <c r="D51" s="4" t="inlineStr">
        <is>
          <t>CX01</t>
        </is>
      </c>
      <c r="E51" s="4" t="inlineStr">
        <is>
          <t>CX催事</t>
        </is>
      </c>
      <c r="F51" s="5" t="n">
        <v>2</v>
      </c>
      <c r="G51" s="6" t="n">
        <v>18000</v>
      </c>
    </row>
    <row r="52" ht="15.6" customHeight="1">
      <c r="A52" s="4" t="n">
        <v>4515142545327</v>
      </c>
      <c r="B52" s="4" t="inlineStr">
        <is>
          <t>CX2509JKSIRG-GE13</t>
        </is>
      </c>
      <c r="C52" s="4" t="inlineStr">
        <is>
          <t>呪術廻戦展 懐玉玉折 渋谷事変　夏油 傑　イメージリング（#13）</t>
        </is>
      </c>
      <c r="D52" s="4" t="inlineStr">
        <is>
          <t>DB00</t>
        </is>
      </c>
      <c r="E52" s="4" t="inlineStr">
        <is>
          <t>DBS倉庫</t>
        </is>
      </c>
      <c r="F52" s="5" t="n">
        <v>0</v>
      </c>
      <c r="G52" s="6" t="n">
        <v>0</v>
      </c>
    </row>
    <row r="53" ht="15.6" customHeight="1">
      <c r="A53" s="4" t="n">
        <v>4515142545334</v>
      </c>
      <c r="B53" s="4" t="inlineStr">
        <is>
          <t>CX2509JKSIRG-GE15</t>
        </is>
      </c>
      <c r="C53" s="4" t="inlineStr">
        <is>
          <t>呪術廻戦展 懐玉玉折 渋谷事変　夏油 傑　イメージリング（#15）</t>
        </is>
      </c>
      <c r="D53" s="4" t="inlineStr">
        <is>
          <t>CX01</t>
        </is>
      </c>
      <c r="E53" s="4" t="inlineStr">
        <is>
          <t>CX催事</t>
        </is>
      </c>
      <c r="F53" s="5" t="n">
        <v>2</v>
      </c>
      <c r="G53" s="6" t="n">
        <v>18000</v>
      </c>
    </row>
    <row r="54" ht="15.6" customHeight="1">
      <c r="A54" s="4" t="n">
        <v>4515142545334</v>
      </c>
      <c r="B54" s="4" t="inlineStr">
        <is>
          <t>CX2509JKSIRG-GE15</t>
        </is>
      </c>
      <c r="C54" s="4" t="inlineStr">
        <is>
          <t>呪術廻戦展 懐玉玉折 渋谷事変　夏油 傑　イメージリング（#15）</t>
        </is>
      </c>
      <c r="D54" s="4" t="inlineStr">
        <is>
          <t>DB00</t>
        </is>
      </c>
      <c r="E54" s="4" t="inlineStr">
        <is>
          <t>DBS倉庫</t>
        </is>
      </c>
      <c r="F54" s="5" t="n">
        <v>1</v>
      </c>
      <c r="G54" s="6" t="n">
        <v>9000</v>
      </c>
    </row>
    <row r="55" ht="15.6" customHeight="1">
      <c r="A55" s="4" t="n">
        <v>4515142545341</v>
      </c>
      <c r="B55" s="4" t="inlineStr">
        <is>
          <t>CX2509JKSIRG-GE17</t>
        </is>
      </c>
      <c r="C55" s="4" t="inlineStr">
        <is>
          <t>呪術廻戦展 懐玉玉折 渋谷事変　夏油 傑　イメージリング（#17）</t>
        </is>
      </c>
      <c r="D55" s="4" t="inlineStr">
        <is>
          <t>CX01</t>
        </is>
      </c>
      <c r="E55" s="4" t="inlineStr">
        <is>
          <t>CX催事</t>
        </is>
      </c>
      <c r="F55" s="5" t="n">
        <v>3</v>
      </c>
      <c r="G55" s="6" t="n">
        <v>27000</v>
      </c>
    </row>
    <row r="56" ht="15.6" customHeight="1">
      <c r="A56" s="4" t="n">
        <v>4515142545341</v>
      </c>
      <c r="B56" s="4" t="inlineStr">
        <is>
          <t>CX2509JKSIRG-GE17</t>
        </is>
      </c>
      <c r="C56" s="4" t="inlineStr">
        <is>
          <t>呪術廻戦展 懐玉玉折 渋谷事変　夏油 傑　イメージリング（#17）</t>
        </is>
      </c>
      <c r="D56" s="4" t="inlineStr">
        <is>
          <t>DB00</t>
        </is>
      </c>
      <c r="E56" s="4" t="inlineStr">
        <is>
          <t>DBS倉庫</t>
        </is>
      </c>
      <c r="F56" s="5" t="n">
        <v>1</v>
      </c>
      <c r="G56" s="6" t="n">
        <v>9000</v>
      </c>
    </row>
    <row r="57" ht="15.6" customHeight="1">
      <c r="A57" s="4" t="n">
        <v>4515142545358</v>
      </c>
      <c r="B57" s="4" t="inlineStr">
        <is>
          <t>CX2509JKSIFC-IU</t>
        </is>
      </c>
      <c r="C57" s="4" t="inlineStr">
        <is>
          <t>呪術廻戦展 懐玉玉折 渋谷事変　虎杖 悠仁　イメージフラグメントケース</t>
        </is>
      </c>
      <c r="D57" s="4" t="inlineStr">
        <is>
          <t>CX01</t>
        </is>
      </c>
      <c r="E57" s="4" t="inlineStr">
        <is>
          <t>CX催事</t>
        </is>
      </c>
      <c r="F57" s="5" t="n">
        <v>13</v>
      </c>
      <c r="G57" s="6" t="n">
        <v>130000</v>
      </c>
    </row>
    <row r="58" ht="15.6" customHeight="1">
      <c r="A58" s="4" t="n">
        <v>4515142545358</v>
      </c>
      <c r="B58" s="4" t="inlineStr">
        <is>
          <t>CX2509JKSIFC-IU</t>
        </is>
      </c>
      <c r="C58" s="4" t="inlineStr">
        <is>
          <t>呪術廻戦展 懐玉玉折 渋谷事変　虎杖 悠仁　イメージフラグメントケース</t>
        </is>
      </c>
      <c r="D58" s="4" t="inlineStr">
        <is>
          <t>DB00</t>
        </is>
      </c>
      <c r="E58" s="4" t="inlineStr">
        <is>
          <t>DBS倉庫</t>
        </is>
      </c>
      <c r="F58" s="5" t="n">
        <v>60</v>
      </c>
      <c r="G58" s="6" t="n">
        <v>600000</v>
      </c>
    </row>
    <row r="59" ht="15.6" customHeight="1">
      <c r="A59" s="4" t="n">
        <v>4515142545365</v>
      </c>
      <c r="B59" s="4" t="inlineStr">
        <is>
          <t>CX2509JKSIFC-FM</t>
        </is>
      </c>
      <c r="C59" s="4" t="inlineStr">
        <is>
          <t>呪術廻戦展 懐玉玉折 渋谷事変　伏黒 恵　イメージフラグメントケース</t>
        </is>
      </c>
      <c r="D59" s="4" t="inlineStr">
        <is>
          <t>CX01</t>
        </is>
      </c>
      <c r="E59" s="4" t="inlineStr">
        <is>
          <t>CX催事</t>
        </is>
      </c>
      <c r="F59" s="5" t="n">
        <v>15</v>
      </c>
      <c r="G59" s="6" t="n">
        <v>150000</v>
      </c>
    </row>
    <row r="60" ht="15.6" customHeight="1">
      <c r="A60" s="4" t="n">
        <v>4515142545365</v>
      </c>
      <c r="B60" s="4" t="inlineStr">
        <is>
          <t>CX2509JKSIFC-FM</t>
        </is>
      </c>
      <c r="C60" s="4" t="inlineStr">
        <is>
          <t>呪術廻戦展 懐玉玉折 渋谷事変　伏黒 恵　イメージフラグメントケース</t>
        </is>
      </c>
      <c r="D60" s="4" t="inlineStr">
        <is>
          <t>DB00</t>
        </is>
      </c>
      <c r="E60" s="4" t="inlineStr">
        <is>
          <t>DBS倉庫</t>
        </is>
      </c>
      <c r="F60" s="5" t="n">
        <v>33</v>
      </c>
      <c r="G60" s="6" t="n">
        <v>330000</v>
      </c>
    </row>
    <row r="61" ht="15.6" customHeight="1">
      <c r="A61" s="4" t="n">
        <v>4515142545372</v>
      </c>
      <c r="B61" s="4" t="inlineStr">
        <is>
          <t>CX2509JKSCF-KGGO</t>
        </is>
      </c>
      <c r="C61" s="4" t="inlineStr">
        <is>
          <t>呪術廻戦展 懐玉玉折　クリアファイル（五条 悟）</t>
        </is>
      </c>
      <c r="D61" s="4" t="inlineStr">
        <is>
          <t>CX01</t>
        </is>
      </c>
      <c r="E61" s="4" t="inlineStr">
        <is>
          <t>CX催事</t>
        </is>
      </c>
      <c r="F61" s="5" t="n">
        <v>2240</v>
      </c>
      <c r="G61" s="6" t="n">
        <v>62720</v>
      </c>
    </row>
    <row r="62" ht="15.6" customHeight="1">
      <c r="A62" s="4" t="n">
        <v>4515142545372</v>
      </c>
      <c r="B62" s="4" t="inlineStr">
        <is>
          <t>CX2509JKSCF-KGGO</t>
        </is>
      </c>
      <c r="C62" s="4" t="inlineStr">
        <is>
          <t>呪術廻戦展 懐玉玉折　クリアファイル（五条 悟）</t>
        </is>
      </c>
      <c r="D62" s="4" t="inlineStr">
        <is>
          <t>DB00</t>
        </is>
      </c>
      <c r="E62" s="4" t="inlineStr">
        <is>
          <t>DBS倉庫</t>
        </is>
      </c>
      <c r="F62" s="5" t="n">
        <v>6358</v>
      </c>
      <c r="G62" s="6" t="n">
        <v>178024</v>
      </c>
    </row>
    <row r="63" ht="15.6" customHeight="1">
      <c r="A63" s="4" t="n">
        <v>4515142545389</v>
      </c>
      <c r="B63" s="4" t="inlineStr">
        <is>
          <t>CX2509JKSCF-KGGE</t>
        </is>
      </c>
      <c r="C63" s="4" t="inlineStr">
        <is>
          <t>呪術廻戦展 懐玉玉折　クリアファイル（夏油 傑）</t>
        </is>
      </c>
      <c r="D63" s="4" t="inlineStr">
        <is>
          <t>CX01</t>
        </is>
      </c>
      <c r="E63" s="4" t="inlineStr">
        <is>
          <t>CX催事</t>
        </is>
      </c>
      <c r="F63" s="5" t="n">
        <v>540</v>
      </c>
      <c r="G63" s="6" t="n">
        <v>14580</v>
      </c>
    </row>
    <row r="64" ht="15.6" customHeight="1">
      <c r="A64" s="4" t="n">
        <v>4515142545389</v>
      </c>
      <c r="B64" s="4" t="inlineStr">
        <is>
          <t>CX2509JKSCF-KGGE</t>
        </is>
      </c>
      <c r="C64" s="4" t="inlineStr">
        <is>
          <t>呪術廻戦展 懐玉玉折　クリアファイル（夏油 傑）</t>
        </is>
      </c>
      <c r="D64" s="4" t="inlineStr">
        <is>
          <t>DB00</t>
        </is>
      </c>
      <c r="E64" s="4" t="inlineStr">
        <is>
          <t>DBS倉庫</t>
        </is>
      </c>
      <c r="F64" s="5" t="n">
        <v>4335</v>
      </c>
      <c r="G64" s="6" t="n">
        <v>117045</v>
      </c>
    </row>
    <row r="65" ht="15.6" customHeight="1">
      <c r="A65" s="4" t="n">
        <v>4515142545396</v>
      </c>
      <c r="B65" s="4" t="inlineStr">
        <is>
          <t>CX2509JKSCF-KGIS</t>
        </is>
      </c>
      <c r="C65" s="4" t="inlineStr">
        <is>
          <t>呪術廻戦展 懐玉玉折　クリアファイル（家入 硝子）</t>
        </is>
      </c>
      <c r="D65" s="4" t="inlineStr">
        <is>
          <t>CX01</t>
        </is>
      </c>
      <c r="E65" s="4" t="inlineStr">
        <is>
          <t>CX催事</t>
        </is>
      </c>
      <c r="F65" s="5" t="n">
        <v>81</v>
      </c>
      <c r="G65" s="6" t="n">
        <v>2187</v>
      </c>
    </row>
    <row r="66" ht="15.6" customHeight="1">
      <c r="A66" s="4" t="n">
        <v>4515142545396</v>
      </c>
      <c r="B66" s="4" t="inlineStr">
        <is>
          <t>CX2509JKSCF-KGIS</t>
        </is>
      </c>
      <c r="C66" s="4" t="inlineStr">
        <is>
          <t>呪術廻戦展 懐玉玉折　クリアファイル（家入 硝子）</t>
        </is>
      </c>
      <c r="D66" s="4" t="inlineStr">
        <is>
          <t>DB00</t>
        </is>
      </c>
      <c r="E66" s="4" t="inlineStr">
        <is>
          <t>DBS倉庫</t>
        </is>
      </c>
      <c r="F66" s="5" t="n">
        <v>538</v>
      </c>
      <c r="G66" s="6" t="n">
        <v>14526</v>
      </c>
    </row>
    <row r="67" ht="15.6" customHeight="1">
      <c r="A67" s="4" t="n">
        <v>4515142545402</v>
      </c>
      <c r="B67" s="4" t="inlineStr">
        <is>
          <t>CX2509JKSCF-KGNM</t>
        </is>
      </c>
      <c r="C67" s="4" t="inlineStr">
        <is>
          <t>呪術廻戦展 懐玉玉折　クリアファイル（七海 建人）</t>
        </is>
      </c>
      <c r="D67" s="4" t="inlineStr">
        <is>
          <t>CX01</t>
        </is>
      </c>
      <c r="E67" s="4" t="inlineStr">
        <is>
          <t>CX催事</t>
        </is>
      </c>
      <c r="F67" s="5" t="n">
        <v>109</v>
      </c>
      <c r="G67" s="6" t="n">
        <v>3052</v>
      </c>
    </row>
    <row r="68" ht="15.6" customHeight="1">
      <c r="A68" s="4" t="n">
        <v>4515142545402</v>
      </c>
      <c r="B68" s="4" t="inlineStr">
        <is>
          <t>CX2509JKSCF-KGNM</t>
        </is>
      </c>
      <c r="C68" s="4" t="inlineStr">
        <is>
          <t>呪術廻戦展 懐玉玉折　クリアファイル（七海 建人）</t>
        </is>
      </c>
      <c r="D68" s="4" t="inlineStr">
        <is>
          <t>DB00</t>
        </is>
      </c>
      <c r="E68" s="4" t="inlineStr">
        <is>
          <t>DBS倉庫</t>
        </is>
      </c>
      <c r="F68" s="5" t="n">
        <v>801</v>
      </c>
      <c r="G68" s="6" t="n">
        <v>22428</v>
      </c>
    </row>
    <row r="69" ht="15.6" customHeight="1">
      <c r="A69" s="4" t="n">
        <v>4515142545419</v>
      </c>
      <c r="B69" s="4" t="inlineStr">
        <is>
          <t>CX2509JKSCF-KGHU</t>
        </is>
      </c>
      <c r="C69" s="4" t="inlineStr">
        <is>
          <t>呪術廻戦展 懐玉玉折　クリアファイル（灰原 雄）</t>
        </is>
      </c>
      <c r="D69" s="4" t="inlineStr">
        <is>
          <t>CX01</t>
        </is>
      </c>
      <c r="E69" s="4" t="inlineStr">
        <is>
          <t>CX催事</t>
        </is>
      </c>
      <c r="F69" s="5" t="n">
        <v>53</v>
      </c>
      <c r="G69" s="6" t="n">
        <v>1484</v>
      </c>
    </row>
    <row r="70" ht="15.6" customHeight="1">
      <c r="A70" s="4" t="n">
        <v>4515142545419</v>
      </c>
      <c r="B70" s="4" t="inlineStr">
        <is>
          <t>CX2509JKSCF-KGHU</t>
        </is>
      </c>
      <c r="C70" s="4" t="inlineStr">
        <is>
          <t>呪術廻戦展 懐玉玉折　クリアファイル（灰原 雄）</t>
        </is>
      </c>
      <c r="D70" s="4" t="inlineStr">
        <is>
          <t>DB00</t>
        </is>
      </c>
      <c r="E70" s="4" t="inlineStr">
        <is>
          <t>DBS倉庫</t>
        </is>
      </c>
      <c r="F70" s="5" t="n">
        <v>259</v>
      </c>
      <c r="G70" s="6" t="n">
        <v>7252</v>
      </c>
    </row>
    <row r="71" ht="15.6" customHeight="1">
      <c r="A71" s="4" t="n">
        <v>4515142545426</v>
      </c>
      <c r="B71" s="4" t="inlineStr">
        <is>
          <t>CX2509JKSCF-SJIU</t>
        </is>
      </c>
      <c r="C71" s="4" t="inlineStr">
        <is>
          <t>呪術廻戦展 渋谷事変　クリアファイル（虎杖 悠仁）</t>
        </is>
      </c>
      <c r="D71" s="4" t="inlineStr">
        <is>
          <t>CX01</t>
        </is>
      </c>
      <c r="E71" s="4" t="inlineStr">
        <is>
          <t>CX催事</t>
        </is>
      </c>
      <c r="F71" s="5" t="n">
        <v>153</v>
      </c>
      <c r="G71" s="6" t="n">
        <v>4131</v>
      </c>
    </row>
    <row r="72" ht="15.6" customHeight="1">
      <c r="A72" s="4" t="n">
        <v>4515142545426</v>
      </c>
      <c r="B72" s="4" t="inlineStr">
        <is>
          <t>CX2509JKSCF-SJIU</t>
        </is>
      </c>
      <c r="C72" s="4" t="inlineStr">
        <is>
          <t>呪術廻戦展 渋谷事変　クリアファイル（虎杖 悠仁）</t>
        </is>
      </c>
      <c r="D72" s="4" t="inlineStr">
        <is>
          <t>DB00</t>
        </is>
      </c>
      <c r="E72" s="4" t="inlineStr">
        <is>
          <t>DBS倉庫</t>
        </is>
      </c>
      <c r="F72" s="5" t="n">
        <v>1590</v>
      </c>
      <c r="G72" s="6" t="n">
        <v>42930</v>
      </c>
    </row>
    <row r="73" ht="15.6" customHeight="1">
      <c r="A73" s="4" t="n">
        <v>4515142545433</v>
      </c>
      <c r="B73" s="4" t="inlineStr">
        <is>
          <t>CX2509JKSCF-SJFM</t>
        </is>
      </c>
      <c r="C73" s="4" t="inlineStr">
        <is>
          <t>呪術廻戦展 渋谷事変　クリアファイル（伏黒 恵）</t>
        </is>
      </c>
      <c r="D73" s="4" t="inlineStr">
        <is>
          <t>CX01</t>
        </is>
      </c>
      <c r="E73" s="4" t="inlineStr">
        <is>
          <t>CX催事</t>
        </is>
      </c>
      <c r="F73" s="5" t="n">
        <v>196</v>
      </c>
      <c r="G73" s="6" t="n">
        <v>5292</v>
      </c>
    </row>
    <row r="74" ht="15.6" customHeight="1">
      <c r="A74" s="4" t="n">
        <v>4515142545433</v>
      </c>
      <c r="B74" s="4" t="inlineStr">
        <is>
          <t>CX2509JKSCF-SJFM</t>
        </is>
      </c>
      <c r="C74" s="4" t="inlineStr">
        <is>
          <t>呪術廻戦展 渋谷事変　クリアファイル（伏黒 恵）</t>
        </is>
      </c>
      <c r="D74" s="4" t="inlineStr">
        <is>
          <t>DB00</t>
        </is>
      </c>
      <c r="E74" s="4" t="inlineStr">
        <is>
          <t>DBS倉庫</t>
        </is>
      </c>
      <c r="F74" s="5" t="n">
        <v>1881</v>
      </c>
      <c r="G74" s="6" t="n">
        <v>50787</v>
      </c>
    </row>
    <row r="75" ht="15.6" customHeight="1">
      <c r="A75" s="4" t="n">
        <v>4515142545440</v>
      </c>
      <c r="B75" s="4" t="inlineStr">
        <is>
          <t>CX2509JKSCF-SJNB</t>
        </is>
      </c>
      <c r="C75" s="4" t="inlineStr">
        <is>
          <t>呪術廻戦展 渋谷事変　クリアファイル（釘崎 野薔薇）</t>
        </is>
      </c>
      <c r="D75" s="4" t="inlineStr">
        <is>
          <t>CX01</t>
        </is>
      </c>
      <c r="E75" s="4" t="inlineStr">
        <is>
          <t>CX催事</t>
        </is>
      </c>
      <c r="F75" s="5" t="n">
        <v>178</v>
      </c>
      <c r="G75" s="6" t="n">
        <v>4984</v>
      </c>
    </row>
    <row r="76" ht="15.6" customHeight="1">
      <c r="A76" s="4" t="n">
        <v>4515142545440</v>
      </c>
      <c r="B76" s="4" t="inlineStr">
        <is>
          <t>CX2509JKSCF-SJNB</t>
        </is>
      </c>
      <c r="C76" s="4" t="inlineStr">
        <is>
          <t>呪術廻戦展 渋谷事変　クリアファイル（釘崎 野薔薇）</t>
        </is>
      </c>
      <c r="D76" s="4" t="inlineStr">
        <is>
          <t>DB00</t>
        </is>
      </c>
      <c r="E76" s="4" t="inlineStr">
        <is>
          <t>DBS倉庫</t>
        </is>
      </c>
      <c r="F76" s="5" t="n">
        <v>572</v>
      </c>
      <c r="G76" s="6" t="n">
        <v>16016</v>
      </c>
    </row>
    <row r="77" ht="15.6" customHeight="1">
      <c r="A77" s="4" t="n">
        <v>4515142545457</v>
      </c>
      <c r="B77" s="4" t="inlineStr">
        <is>
          <t>CX2509JKSCF-SJNM</t>
        </is>
      </c>
      <c r="C77" s="4" t="inlineStr">
        <is>
          <t>呪術廻戦展 渋谷事変　クリアファイル（七海 建人）</t>
        </is>
      </c>
      <c r="D77" s="4" t="inlineStr">
        <is>
          <t>CX01</t>
        </is>
      </c>
      <c r="E77" s="4" t="inlineStr">
        <is>
          <t>CX催事</t>
        </is>
      </c>
      <c r="F77" s="5" t="n">
        <v>302</v>
      </c>
      <c r="G77" s="6" t="n">
        <v>8154</v>
      </c>
    </row>
    <row r="78" ht="15.6" customHeight="1">
      <c r="A78" s="4" t="n">
        <v>4515142545457</v>
      </c>
      <c r="B78" s="4" t="inlineStr">
        <is>
          <t>CX2509JKSCF-SJNM</t>
        </is>
      </c>
      <c r="C78" s="4" t="inlineStr">
        <is>
          <t>呪術廻戦展 渋谷事変　クリアファイル（七海 建人）</t>
        </is>
      </c>
      <c r="D78" s="4" t="inlineStr">
        <is>
          <t>DB00</t>
        </is>
      </c>
      <c r="E78" s="4" t="inlineStr">
        <is>
          <t>DBS倉庫</t>
        </is>
      </c>
      <c r="F78" s="5" t="n">
        <v>2121</v>
      </c>
      <c r="G78" s="6" t="n">
        <v>57267</v>
      </c>
    </row>
    <row r="79" ht="15.6" customHeight="1">
      <c r="A79" s="4" t="n">
        <v>4515142545464</v>
      </c>
      <c r="B79" s="4" t="inlineStr">
        <is>
          <t>CX2509JKSCF-SJGO</t>
        </is>
      </c>
      <c r="C79" s="4" t="inlineStr">
        <is>
          <t>呪術廻戦展 渋谷事変　クリアファイル（五条 悟）</t>
        </is>
      </c>
      <c r="D79" s="4" t="inlineStr">
        <is>
          <t>CX01</t>
        </is>
      </c>
      <c r="E79" s="4" t="inlineStr">
        <is>
          <t>CX催事</t>
        </is>
      </c>
      <c r="F79" s="5" t="n">
        <v>1157</v>
      </c>
      <c r="G79" s="6" t="n">
        <v>47437</v>
      </c>
    </row>
    <row r="80" ht="15.6" customHeight="1">
      <c r="A80" s="4" t="n">
        <v>4515142545464</v>
      </c>
      <c r="B80" s="4" t="inlineStr">
        <is>
          <t>CX2509JKSCF-SJGO</t>
        </is>
      </c>
      <c r="C80" s="4" t="inlineStr">
        <is>
          <t>呪術廻戦展 渋谷事変　クリアファイル（五条 悟）</t>
        </is>
      </c>
      <c r="D80" s="4" t="inlineStr">
        <is>
          <t>DB00</t>
        </is>
      </c>
      <c r="E80" s="4" t="inlineStr">
        <is>
          <t>DBS倉庫</t>
        </is>
      </c>
      <c r="F80" s="5" t="n">
        <v>8125</v>
      </c>
      <c r="G80" s="6" t="n">
        <v>333125</v>
      </c>
    </row>
    <row r="81" ht="15.6" customHeight="1">
      <c r="A81" s="4" t="n">
        <v>4515142545471</v>
      </c>
      <c r="B81" s="4" t="inlineStr">
        <is>
          <t>CX2509JKSCF-SJGE</t>
        </is>
      </c>
      <c r="C81" s="4" t="inlineStr">
        <is>
          <t>呪術廻戦展 渋谷事変　クリアファイル（夏油 傑）</t>
        </is>
      </c>
      <c r="D81" s="4" t="inlineStr">
        <is>
          <t>CX01</t>
        </is>
      </c>
      <c r="E81" s="4" t="inlineStr">
        <is>
          <t>CX催事</t>
        </is>
      </c>
      <c r="F81" s="5" t="n">
        <v>129</v>
      </c>
      <c r="G81" s="6" t="n">
        <v>3483</v>
      </c>
    </row>
    <row r="82" ht="15.6" customHeight="1">
      <c r="A82" s="4" t="n">
        <v>4515142545471</v>
      </c>
      <c r="B82" s="4" t="inlineStr">
        <is>
          <t>CX2509JKSCF-SJGE</t>
        </is>
      </c>
      <c r="C82" s="4" t="inlineStr">
        <is>
          <t>呪術廻戦展 渋谷事変　クリアファイル（夏油 傑）</t>
        </is>
      </c>
      <c r="D82" s="4" t="inlineStr">
        <is>
          <t>DB00</t>
        </is>
      </c>
      <c r="E82" s="4" t="inlineStr">
        <is>
          <t>DBS倉庫</t>
        </is>
      </c>
      <c r="F82" s="5" t="n">
        <v>2090</v>
      </c>
      <c r="G82" s="6" t="n">
        <v>56430</v>
      </c>
    </row>
    <row r="83" ht="15.6" customHeight="1">
      <c r="A83" s="4" t="n">
        <v>4515142545488</v>
      </c>
      <c r="B83" s="4" t="inlineStr">
        <is>
          <t>CX2509JKSCF-SJMH</t>
        </is>
      </c>
      <c r="C83" s="4" t="inlineStr">
        <is>
          <t>呪術廻戦展 渋谷事変　クリアファイル（真人）</t>
        </is>
      </c>
      <c r="D83" s="4" t="inlineStr">
        <is>
          <t>CX01</t>
        </is>
      </c>
      <c r="E83" s="4" t="inlineStr">
        <is>
          <t>CX催事</t>
        </is>
      </c>
      <c r="F83" s="5" t="n">
        <v>67</v>
      </c>
      <c r="G83" s="6" t="n">
        <v>1809</v>
      </c>
    </row>
    <row r="84" ht="15.6" customHeight="1">
      <c r="A84" s="4" t="n">
        <v>4515142545488</v>
      </c>
      <c r="B84" s="4" t="inlineStr">
        <is>
          <t>CX2509JKSCF-SJMH</t>
        </is>
      </c>
      <c r="C84" s="4" t="inlineStr">
        <is>
          <t>呪術廻戦展 渋谷事変　クリアファイル（真人）</t>
        </is>
      </c>
      <c r="D84" s="4" t="inlineStr">
        <is>
          <t>DB00</t>
        </is>
      </c>
      <c r="E84" s="4" t="inlineStr">
        <is>
          <t>DBS倉庫</t>
        </is>
      </c>
      <c r="F84" s="5" t="n">
        <v>216</v>
      </c>
      <c r="G84" s="6" t="n">
        <v>5832</v>
      </c>
    </row>
    <row r="85" ht="15.6" customHeight="1">
      <c r="A85" s="4" t="n">
        <v>4515142545495</v>
      </c>
      <c r="B85" s="4" t="inlineStr">
        <is>
          <t>CX2509JKSCF-SJCS</t>
        </is>
      </c>
      <c r="C85" s="4" t="inlineStr">
        <is>
          <t>呪術廻戦展 渋谷事変　クリアファイル（脹相）</t>
        </is>
      </c>
      <c r="D85" s="4" t="inlineStr">
        <is>
          <t>CX01</t>
        </is>
      </c>
      <c r="E85" s="4" t="inlineStr">
        <is>
          <t>CX催事</t>
        </is>
      </c>
      <c r="F85" s="5" t="n">
        <v>122</v>
      </c>
      <c r="G85" s="6" t="n">
        <v>17690</v>
      </c>
    </row>
    <row r="86" ht="15.6" customHeight="1">
      <c r="A86" s="4" t="n">
        <v>4515142545495</v>
      </c>
      <c r="B86" s="4" t="inlineStr">
        <is>
          <t>CX2509JKSCF-SJCS</t>
        </is>
      </c>
      <c r="C86" s="4" t="inlineStr">
        <is>
          <t>呪術廻戦展 渋谷事変　クリアファイル（脹相）</t>
        </is>
      </c>
      <c r="D86" s="4" t="inlineStr">
        <is>
          <t>DB00</t>
        </is>
      </c>
      <c r="E86" s="4" t="inlineStr">
        <is>
          <t>DBS倉庫</t>
        </is>
      </c>
      <c r="F86" s="5" t="n">
        <v>98</v>
      </c>
      <c r="G86" s="6" t="n">
        <v>14210</v>
      </c>
    </row>
    <row r="87" ht="15.6" customHeight="1">
      <c r="A87" s="4" t="n">
        <v>4515142545501</v>
      </c>
      <c r="B87" s="4" t="inlineStr">
        <is>
          <t>CX2509JKSCF-SJSK</t>
        </is>
      </c>
      <c r="C87" s="4" t="inlineStr">
        <is>
          <t>呪術廻戦展 渋谷事変　クリアファイル（宿儺）</t>
        </is>
      </c>
      <c r="D87" s="4" t="inlineStr">
        <is>
          <t>CX01</t>
        </is>
      </c>
      <c r="E87" s="4" t="inlineStr">
        <is>
          <t>CX催事</t>
        </is>
      </c>
      <c r="F87" s="5" t="n">
        <v>250</v>
      </c>
      <c r="G87" s="6" t="n">
        <v>6750</v>
      </c>
    </row>
    <row r="88" ht="15.6" customHeight="1">
      <c r="A88" s="4" t="n">
        <v>4515142545501</v>
      </c>
      <c r="B88" s="4" t="inlineStr">
        <is>
          <t>CX2509JKSCF-SJSK</t>
        </is>
      </c>
      <c r="C88" s="4" t="inlineStr">
        <is>
          <t>呪術廻戦展 渋谷事変　クリアファイル（宿儺）</t>
        </is>
      </c>
      <c r="D88" s="4" t="inlineStr">
        <is>
          <t>DB00</t>
        </is>
      </c>
      <c r="E88" s="4" t="inlineStr">
        <is>
          <t>DBS倉庫</t>
        </is>
      </c>
      <c r="F88" s="5" t="n">
        <v>1031</v>
      </c>
      <c r="G88" s="6" t="n">
        <v>27837</v>
      </c>
    </row>
    <row r="89" ht="15.6" customHeight="1">
      <c r="A89" s="4" t="inlineStr">
        <is>
          <t>#</t>
        </is>
      </c>
      <c r="B89" s="4" t="inlineStr">
        <is>
          <t>CX2509JKSDTPCHCLP2</t>
        </is>
      </c>
      <c r="C89" s="4" t="inlineStr">
        <is>
          <t>呪術廻戦展 懐玉玉折 渋谷事変　脱兎クリップのみ(1SET 5個)</t>
        </is>
      </c>
      <c r="D89" s="4" t="inlineStr">
        <is>
          <t>CX01</t>
        </is>
      </c>
      <c r="E89" s="4" t="inlineStr">
        <is>
          <t>CX催事</t>
        </is>
      </c>
      <c r="F89" s="5" t="n">
        <v>260</v>
      </c>
      <c r="G89" s="6" t="n">
        <v>80340</v>
      </c>
    </row>
    <row r="90" ht="15.6" customHeight="1">
      <c r="A90" s="4" t="inlineStr">
        <is>
          <t>#</t>
        </is>
      </c>
      <c r="B90" s="4" t="inlineStr">
        <is>
          <t>CX2509JKSDTPCHCLP2</t>
        </is>
      </c>
      <c r="C90" s="4" t="inlineStr">
        <is>
          <t>呪術廻戦展 懐玉玉折 渋谷事変　脱兎クリップのみ(1SET 5個)</t>
        </is>
      </c>
      <c r="D90" s="4" t="inlineStr">
        <is>
          <t>DB00</t>
        </is>
      </c>
      <c r="E90" s="4" t="inlineStr">
        <is>
          <t>DBS倉庫</t>
        </is>
      </c>
      <c r="F90" s="5" t="n">
        <v>0</v>
      </c>
      <c r="G90" s="6" t="n">
        <v>0</v>
      </c>
    </row>
    <row r="91" ht="15.6" customHeight="1">
      <c r="A91" s="4" t="inlineStr">
        <is>
          <t>#</t>
        </is>
      </c>
      <c r="B91" s="4" t="inlineStr">
        <is>
          <t>QCX2509JKS2FN-10</t>
        </is>
      </c>
      <c r="C91" s="4" t="inlineStr">
        <is>
          <t>呪術廻戦展 懐玉玉折 渋谷事変 経費（課税10％）</t>
        </is>
      </c>
      <c r="D91" s="4" t="inlineStr">
        <is>
          <t>CX01</t>
        </is>
      </c>
      <c r="E91" s="4" t="inlineStr">
        <is>
          <t>CX催事</t>
        </is>
      </c>
      <c r="F91" s="5" t="n">
        <v>1568374</v>
      </c>
      <c r="G91" s="6" t="n">
        <v>1568374</v>
      </c>
    </row>
    <row r="92" ht="15.6" customHeight="1">
      <c r="A92" s="4" t="inlineStr">
        <is>
          <t>#</t>
        </is>
      </c>
      <c r="B92" s="4" t="inlineStr">
        <is>
          <t>QCX2509JKS2FN-10</t>
        </is>
      </c>
      <c r="C92" s="4" t="inlineStr">
        <is>
          <t>呪術廻戦展 懐玉玉折 渋谷事変 経費（課税10％）</t>
        </is>
      </c>
      <c r="D92" s="4" t="inlineStr">
        <is>
          <t>ZZ01</t>
        </is>
      </c>
      <c r="E92" s="4" t="inlineStr">
        <is>
          <t>その他</t>
        </is>
      </c>
      <c r="F92" s="5" t="n">
        <v>264000</v>
      </c>
      <c r="G92" s="6" t="n">
        <v>264000</v>
      </c>
    </row>
    <row r="93" ht="15.6" customHeight="1">
      <c r="A93" s="4" t="inlineStr">
        <is>
          <t>#</t>
        </is>
      </c>
      <c r="B93" s="4" t="inlineStr">
        <is>
          <t>QCX2509JKS2FN-8</t>
        </is>
      </c>
      <c r="C93" s="4" t="inlineStr">
        <is>
          <t>呪術廻戦展 懐玉玉折 渋谷事変 経費（課税8％）</t>
        </is>
      </c>
      <c r="D93" s="4" t="inlineStr">
        <is>
          <t>CX01</t>
        </is>
      </c>
      <c r="E93" s="4" t="inlineStr">
        <is>
          <t>CX催事</t>
        </is>
      </c>
      <c r="F93" s="5" t="n">
        <v>902</v>
      </c>
      <c r="G93" s="6" t="n">
        <v>902</v>
      </c>
    </row>
    <row r="94" ht="15.6" customHeight="1">
      <c r="A94" s="4" t="inlineStr">
        <is>
          <t>#</t>
        </is>
      </c>
      <c r="B94" s="4" t="inlineStr">
        <is>
          <t>QCX2509JKS2FN-NT</t>
        </is>
      </c>
      <c r="C94" s="4" t="inlineStr">
        <is>
          <t>呪術廻戦展 懐玉玉折 渋谷事変 経費（非課税）</t>
        </is>
      </c>
      <c r="D94" s="4" t="inlineStr">
        <is>
          <t>CX01</t>
        </is>
      </c>
      <c r="E94" s="4" t="inlineStr">
        <is>
          <t>CX催事</t>
        </is>
      </c>
      <c r="F94" s="5" t="n">
        <v>12221</v>
      </c>
      <c r="G94" s="6" t="n">
        <v>12221</v>
      </c>
    </row>
    <row r="95" ht="15.6" customHeight="1">
      <c r="A95" s="4" t="inlineStr">
        <is>
          <t>#</t>
        </is>
      </c>
      <c r="B95" s="4" t="inlineStr">
        <is>
          <t>QCX2509JKS2FN-RY</t>
        </is>
      </c>
      <c r="C95" s="4" t="inlineStr">
        <is>
          <t>呪術廻戦展 懐玉玉折 渋谷事変 経費（RY）</t>
        </is>
      </c>
      <c r="D95" s="4" t="inlineStr">
        <is>
          <t>CX01</t>
        </is>
      </c>
      <c r="E95" s="4" t="inlineStr">
        <is>
          <t>CX催事</t>
        </is>
      </c>
      <c r="F95" s="5" t="n">
        <v>13292908</v>
      </c>
      <c r="G95" s="6" t="n">
        <v>13292908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ht="15.6" customHeight="1">
      <c r="A1" s="4" t="inlineStr">
        <is>
          <t>JANコード(EAN/UPC)</t>
        </is>
      </c>
      <c r="B1" s="4" t="inlineStr"/>
    </row>
    <row r="2" ht="15.6" customHeight="1">
      <c r="A2" s="4" t="inlineStr">
        <is>
          <t>WBS 要素</t>
        </is>
      </c>
      <c r="B2" s="4" t="inlineStr"/>
    </row>
    <row r="3" ht="15.6" customHeight="1">
      <c r="A3" s="4" t="inlineStr">
        <is>
          <t>メジャー</t>
        </is>
      </c>
      <c r="B3" s="4" t="inlineStr"/>
    </row>
    <row r="4" ht="15.6" customHeight="1">
      <c r="A4" s="4" t="inlineStr">
        <is>
          <t>サイズ/寸法</t>
        </is>
      </c>
      <c r="B4" s="4" t="inlineStr"/>
    </row>
    <row r="5" ht="15.6" customHeight="1">
      <c r="A5" s="4" t="inlineStr">
        <is>
          <t>サプライヤ SID</t>
        </is>
      </c>
      <c r="B5" s="4" t="inlineStr"/>
    </row>
    <row r="6" ht="15.6" customHeight="1">
      <c r="A6" s="4" t="inlineStr">
        <is>
          <t>プラント</t>
        </is>
      </c>
      <c r="B6" s="4" t="inlineStr"/>
    </row>
    <row r="7" ht="15.6" customHeight="1">
      <c r="A7" s="4" t="inlineStr">
        <is>
          <t>プラント名</t>
        </is>
      </c>
      <c r="B7" s="4" t="inlineStr"/>
    </row>
    <row r="8" ht="15.6" customHeight="1">
      <c r="A8" s="4" t="inlineStr">
        <is>
          <t>ロット SID</t>
        </is>
      </c>
      <c r="B8" s="4" t="inlineStr"/>
    </row>
    <row r="9" ht="15.6" customHeight="1">
      <c r="A9" s="4" t="inlineStr">
        <is>
          <t>保管場所</t>
        </is>
      </c>
      <c r="B9" s="4" t="inlineStr"/>
    </row>
    <row r="10" ht="15.6" customHeight="1">
      <c r="A10" s="4" t="inlineStr">
        <is>
          <t>保管場所名</t>
        </is>
      </c>
      <c r="B10" s="4" t="inlineStr"/>
    </row>
    <row r="11" ht="15.6" customHeight="1">
      <c r="A11" s="4" t="inlineStr">
        <is>
          <t>受注明細</t>
        </is>
      </c>
      <c r="B11" s="4" t="inlineStr"/>
    </row>
    <row r="12" ht="15.6" customHeight="1">
      <c r="A12" s="4" t="inlineStr">
        <is>
          <t>受注番号</t>
        </is>
      </c>
      <c r="B12" s="4" t="inlineStr"/>
    </row>
    <row r="13" ht="15.6" customHeight="1">
      <c r="A13" s="4" t="inlineStr">
        <is>
          <t>品目コード</t>
        </is>
      </c>
      <c r="B13" s="4" t="inlineStr">
        <is>
          <t>CX2509JKSBANDAGE; CX2509JKSBBDG-KG5; CX2509JKSBBDG-SJ9; CX2509JKSBMCPA-KG5; CX2509JKSBMCPA-SJ5; CX2509JKSBSTK-KG5; CX2509JKSBSTK-SJ9; CX2509JKSCF-KGGE; CX2509JKSCF-KGGO; CX2509JKSCF-KGHU; CX2509JKSCF-KGIS; CX2509JKSCF-KGNM; CX2509JKSCF-SJCS; CX2509JKSCF-SJFM; CX2509JKSCF-SJGE; CX2509JKSCF-SJGO; CX2509JKSCF-SJIU; CX2509JKSCF-SJMH; CX2509JKSCF-SJNB; CX2509JKSCF-SJNM; CX2509JKSCF-SJSK; CX2509JKSCFKV; CX2509JKSDTPCHCLP; CX2509JKSDTPCHCLP2; CX2509JKSGEHAIRBD; CX2509JKSGOBTBALL; CX2509JKSIFC-FM; CX2509JKSIFC-IU; CX2509JKSIRG-GE11; CX2509JKSIRG-GE13; CX2509JKSIRG-GE15; CX2509JKSIRG-GE17; CX2509JKSIRG-GO11; CX2509JKSIRG-GO13; CX2509JKSIRG-GO15; CX2509JKSIRG-GO17; CX2509JKSMPOSCKV; CX2509JKSMUSICBOX; CX2509JKSNBECOBAG; CX2509JKSPLANNER; CX2509JKSPOSC-KG5; CX2509JKSPOSC-SJ9; CX2509JKSSKFINGER; QCX2509JKS2FN-10; QCX2509JKS2FN-8; QCX2509JKS2FN-NT; QCX2509JKS2FN-RY</t>
        </is>
      </c>
    </row>
    <row r="14" ht="15.6" customHeight="1">
      <c r="A14" s="4" t="inlineStr">
        <is>
          <t>品目テキスト</t>
        </is>
      </c>
      <c r="B14" s="4" t="inlineStr"/>
    </row>
    <row r="15" ht="15.6" customHeight="1">
      <c r="A15" s="4" t="inlineStr">
        <is>
          <t>在庫タイプ</t>
        </is>
      </c>
      <c r="B15" s="4" t="inlineStr"/>
    </row>
    <row r="16" ht="15.6" customHeight="1">
      <c r="A16" s="4" t="inlineStr">
        <is>
          <t>基本数量単位</t>
        </is>
      </c>
      <c r="B16" s="4" t="inlineStr"/>
    </row>
    <row r="17" ht="15.6" customHeight="1">
      <c r="A17" s="4" t="inlineStr">
        <is>
          <t>得意先 SID</t>
        </is>
      </c>
      <c r="B17" s="4" t="inlineStr"/>
    </row>
    <row r="18" ht="15.6" customHeight="1">
      <c r="A18" s="4" t="inlineStr">
        <is>
          <t>文書</t>
        </is>
      </c>
      <c r="B18" s="4" t="inlineStr"/>
    </row>
    <row r="19" ht="15.6" customHeight="1">
      <c r="A19" s="4" t="inlineStr">
        <is>
          <t>文書タイプ</t>
        </is>
      </c>
      <c r="B19" s="4" t="inlineStr"/>
    </row>
    <row r="20" ht="15.6" customHeight="1">
      <c r="A20" s="4" t="inlineStr">
        <is>
          <t>旧製品番号</t>
        </is>
      </c>
      <c r="B20" s="4" t="inlineStr"/>
    </row>
    <row r="21" ht="15.6" customHeight="1">
      <c r="A21" s="4" t="inlineStr">
        <is>
          <t>案件名</t>
        </is>
      </c>
      <c r="B21" s="4" t="inlineStr"/>
    </row>
    <row r="22" ht="15.6" customHeight="1">
      <c r="A22" s="4" t="inlineStr">
        <is>
          <t>案件担当者</t>
        </is>
      </c>
      <c r="B22" s="4" t="inlineStr"/>
    </row>
    <row r="23" ht="15.6" customHeight="1">
      <c r="A23" s="4" t="inlineStr">
        <is>
          <t>案件番号</t>
        </is>
      </c>
      <c r="B23" s="4" t="inlineStr"/>
    </row>
    <row r="24" ht="15.6" customHeight="1">
      <c r="A24" s="4" t="inlineStr">
        <is>
          <t>照会通貨</t>
        </is>
      </c>
      <c r="B24" s="4" t="inlineStr"/>
    </row>
    <row r="25" ht="15.6" customHeight="1">
      <c r="A25" s="4" t="inlineStr">
        <is>
          <t>特殊在庫の追加仕入先</t>
        </is>
      </c>
      <c r="B25" s="4" t="inlineStr"/>
    </row>
    <row r="26" ht="15.6" customHeight="1">
      <c r="A26" s="4" t="inlineStr">
        <is>
          <t>特殊在庫タイプ</t>
        </is>
      </c>
      <c r="B26" s="4" t="inlineStr"/>
    </row>
    <row r="27" ht="15.6" customHeight="1">
      <c r="A27" s="4" t="inlineStr">
        <is>
          <t>製品グループ</t>
        </is>
      </c>
      <c r="B27" s="4" t="inlineStr"/>
    </row>
    <row r="28" ht="15.6" customHeight="1">
      <c r="A28" s="4" t="inlineStr">
        <is>
          <t>通貨</t>
        </is>
      </c>
      <c r="B28" s="4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12" customWidth="1" min="5" max="5"/>
    <col width="8" customWidth="1" min="6" max="6"/>
    <col width="14" customWidth="1" min="7" max="7"/>
    <col width="16" customWidth="1" min="8" max="8"/>
  </cols>
  <sheetData>
    <row r="1">
      <c r="A1" s="7" t="inlineStr">
        <is>
          <t>JANコード(EAN/UPC)</t>
        </is>
      </c>
      <c r="B1" s="7" t="inlineStr">
        <is>
          <t>品目コード</t>
        </is>
      </c>
      <c r="C1" s="7" t="inlineStr">
        <is>
          <t>品目テキスト</t>
        </is>
      </c>
      <c r="D1" s="7" t="inlineStr">
        <is>
          <t>保管場所</t>
        </is>
      </c>
      <c r="E1" s="7" t="inlineStr">
        <is>
          <t>保管場所名</t>
        </is>
      </c>
      <c r="F1" s="7" t="inlineStr">
        <is>
          <t>区分</t>
        </is>
      </c>
      <c r="G1" s="7" t="inlineStr">
        <is>
          <t>在庫数量</t>
        </is>
      </c>
      <c r="H1" s="7" t="inlineStr">
        <is>
          <t>在庫金額</t>
        </is>
      </c>
    </row>
    <row r="2">
      <c r="A2" s="8" t="n">
        <v>4515142545082</v>
      </c>
      <c r="B2" s="8" t="inlineStr">
        <is>
          <t>CX2509JKSMPOSCKV</t>
        </is>
      </c>
      <c r="C2" s="8" t="inlineStr">
        <is>
          <t>呪術廻戦展 懐玉玉折 渋谷事変　メタリックポストカード　展示会KV</t>
        </is>
      </c>
      <c r="D2" s="8" t="inlineStr">
        <is>
          <t>CX01</t>
        </is>
      </c>
      <c r="E2" s="8" t="inlineStr">
        <is>
          <t>CX催事</t>
        </is>
      </c>
      <c r="F2" s="9">
        <f>IF(COUNTIFS('XTab DS_1'!$B$2:$B$95,$B2)&gt;=2,"重複","単独")</f>
        <v/>
      </c>
      <c r="G2" s="10">
        <f>SUMIFS('XTab DS_1'!$F$2:$F$95,'XTab DS_1'!$B$2:$B$95,$B2,'XTab DS_1'!$D$2:$D$95,$D2)</f>
        <v/>
      </c>
      <c r="H2" s="11">
        <f>SUMIFS('XTab DS_1'!$G$2:$G$95,'XTab DS_1'!$B$2:$B$95,$B2,'XTab DS_1'!$D$2:$D$95,$D2)</f>
        <v/>
      </c>
    </row>
    <row r="3">
      <c r="A3" s="8" t="n">
        <v>4515142545099</v>
      </c>
      <c r="B3" s="8" t="inlineStr">
        <is>
          <t>CX2509JKSCFKV</t>
        </is>
      </c>
      <c r="C3" s="8" t="inlineStr">
        <is>
          <t>呪術廻戦展 懐玉玉折 渋谷事変　クリアファイル　展示会KV</t>
        </is>
      </c>
      <c r="D3" s="8" t="inlineStr">
        <is>
          <t>CX01</t>
        </is>
      </c>
      <c r="E3" s="8" t="inlineStr">
        <is>
          <t>CX催事</t>
        </is>
      </c>
      <c r="F3" s="9">
        <f>IF(COUNTIFS('XTab DS_1'!$B$2:$B$95,$B3)&gt;=2,"重複","単独")</f>
        <v/>
      </c>
      <c r="G3" s="10">
        <f>SUMIFS('XTab DS_1'!$F$2:$F$95,'XTab DS_1'!$B$2:$B$95,$B3,'XTab DS_1'!$D$2:$D$95,$D3)</f>
        <v/>
      </c>
      <c r="H3" s="11">
        <f>SUMIFS('XTab DS_1'!$G$2:$G$95,'XTab DS_1'!$B$2:$B$95,$B3,'XTab DS_1'!$D$2:$D$95,$D3)</f>
        <v/>
      </c>
    </row>
    <row r="4">
      <c r="A4" s="8" t="n">
        <v>4515142545105</v>
      </c>
      <c r="B4" s="8" t="inlineStr">
        <is>
          <t>CX2509JKSPOSC-KG5</t>
        </is>
      </c>
      <c r="C4" s="8" t="inlineStr">
        <is>
          <t>呪術廻戦展 懐玉玉折　ポストカードセット（5枚入）</t>
        </is>
      </c>
      <c r="D4" s="8" t="inlineStr">
        <is>
          <t>CX01</t>
        </is>
      </c>
      <c r="E4" s="8" t="inlineStr">
        <is>
          <t>CX催事</t>
        </is>
      </c>
      <c r="F4" s="9">
        <f>IF(COUNTIFS('XTab DS_1'!$B$2:$B$95,$B4)&gt;=2,"重複","単独")</f>
        <v/>
      </c>
      <c r="G4" s="10">
        <f>SUMIFS('XTab DS_1'!$F$2:$F$95,'XTab DS_1'!$B$2:$B$95,$B4,'XTab DS_1'!$D$2:$D$95,$D4)</f>
        <v/>
      </c>
      <c r="H4" s="11">
        <f>SUMIFS('XTab DS_1'!$G$2:$G$95,'XTab DS_1'!$B$2:$B$95,$B4,'XTab DS_1'!$D$2:$D$95,$D4)</f>
        <v/>
      </c>
    </row>
    <row r="5">
      <c r="A5" s="8" t="n">
        <v>4515142545112</v>
      </c>
      <c r="B5" s="8" t="inlineStr">
        <is>
          <t>CX2509JKSPOSC-SJ9</t>
        </is>
      </c>
      <c r="C5" s="8" t="inlineStr">
        <is>
          <t>呪術廻戦展 渋谷事変　ポストカードセット（9枚入）</t>
        </is>
      </c>
      <c r="D5" s="8" t="inlineStr">
        <is>
          <t>CX01</t>
        </is>
      </c>
      <c r="E5" s="8" t="inlineStr">
        <is>
          <t>CX催事</t>
        </is>
      </c>
      <c r="F5" s="9">
        <f>IF(COUNTIFS('XTab DS_1'!$B$2:$B$95,$B5)&gt;=2,"重複","単独")</f>
        <v/>
      </c>
      <c r="G5" s="10">
        <f>SUMIFS('XTab DS_1'!$F$2:$F$95,'XTab DS_1'!$B$2:$B$95,$B5,'XTab DS_1'!$D$2:$D$95,$D5)</f>
        <v/>
      </c>
      <c r="H5" s="11">
        <f>SUMIFS('XTab DS_1'!$G$2:$G$95,'XTab DS_1'!$B$2:$B$95,$B5,'XTab DS_1'!$D$2:$D$95,$D5)</f>
        <v/>
      </c>
    </row>
    <row r="6">
      <c r="A6" s="8" t="n">
        <v>4515142545129</v>
      </c>
      <c r="B6" s="8" t="inlineStr">
        <is>
          <t>CX2509JKSBBDG-KG5</t>
        </is>
      </c>
      <c r="C6" s="8" t="inlineStr">
        <is>
          <t>呪術廻戦展 懐玉玉折　ブラインド缶バッジ（全5種）</t>
        </is>
      </c>
      <c r="D6" s="8" t="inlineStr">
        <is>
          <t>CX01</t>
        </is>
      </c>
      <c r="E6" s="8" t="inlineStr">
        <is>
          <t>CX催事</t>
        </is>
      </c>
      <c r="F6" s="9">
        <f>IF(COUNTIFS('XTab DS_1'!$B$2:$B$95,$B6)&gt;=2,"重複","単独")</f>
        <v/>
      </c>
      <c r="G6" s="10">
        <f>SUMIFS('XTab DS_1'!$F$2:$F$95,'XTab DS_1'!$B$2:$B$95,$B6,'XTab DS_1'!$D$2:$D$95,$D6)</f>
        <v/>
      </c>
      <c r="H6" s="11">
        <f>SUMIFS('XTab DS_1'!$G$2:$G$95,'XTab DS_1'!$B$2:$B$95,$B6,'XTab DS_1'!$D$2:$D$95,$D6)</f>
        <v/>
      </c>
    </row>
    <row r="7">
      <c r="A7" s="8" t="n">
        <v>4515142545136</v>
      </c>
      <c r="B7" s="8" t="inlineStr">
        <is>
          <t>CX2509JKSBBDG-SJ9</t>
        </is>
      </c>
      <c r="C7" s="8" t="inlineStr">
        <is>
          <t>呪術廻戦展 渋谷事変　ブラインド缶バッジ（全9種）</t>
        </is>
      </c>
      <c r="D7" s="8" t="inlineStr">
        <is>
          <t>CX01</t>
        </is>
      </c>
      <c r="E7" s="8" t="inlineStr">
        <is>
          <t>CX催事</t>
        </is>
      </c>
      <c r="F7" s="9">
        <f>IF(COUNTIFS('XTab DS_1'!$B$2:$B$95,$B7)&gt;=2,"重複","単独")</f>
        <v/>
      </c>
      <c r="G7" s="10">
        <f>SUMIFS('XTab DS_1'!$F$2:$F$95,'XTab DS_1'!$B$2:$B$95,$B7,'XTab DS_1'!$D$2:$D$95,$D7)</f>
        <v/>
      </c>
      <c r="H7" s="11">
        <f>SUMIFS('XTab DS_1'!$G$2:$G$95,'XTab DS_1'!$B$2:$B$95,$B7,'XTab DS_1'!$D$2:$D$95,$D7)</f>
        <v/>
      </c>
    </row>
    <row r="8">
      <c r="A8" s="8" t="n">
        <v>4515142545143</v>
      </c>
      <c r="B8" s="8" t="inlineStr">
        <is>
          <t>CX2509JKSBSTK-KG5</t>
        </is>
      </c>
      <c r="C8" s="8" t="inlineStr">
        <is>
          <t>呪術廻戦展 懐玉玉折　ブラインドダイカットステッカー（全5種）</t>
        </is>
      </c>
      <c r="D8" s="8" t="inlineStr">
        <is>
          <t>CX01</t>
        </is>
      </c>
      <c r="E8" s="8" t="inlineStr">
        <is>
          <t>CX催事</t>
        </is>
      </c>
      <c r="F8" s="9">
        <f>IF(COUNTIFS('XTab DS_1'!$B$2:$B$95,$B8)&gt;=2,"重複","単独")</f>
        <v/>
      </c>
      <c r="G8" s="10">
        <f>SUMIFS('XTab DS_1'!$F$2:$F$95,'XTab DS_1'!$B$2:$B$95,$B8,'XTab DS_1'!$D$2:$D$95,$D8)</f>
        <v/>
      </c>
      <c r="H8" s="11">
        <f>SUMIFS('XTab DS_1'!$G$2:$G$95,'XTab DS_1'!$B$2:$B$95,$B8,'XTab DS_1'!$D$2:$D$95,$D8)</f>
        <v/>
      </c>
    </row>
    <row r="9">
      <c r="A9" s="8" t="n">
        <v>4515142545150</v>
      </c>
      <c r="B9" s="8" t="inlineStr">
        <is>
          <t>CX2509JKSBSTK-SJ9</t>
        </is>
      </c>
      <c r="C9" s="8" t="inlineStr">
        <is>
          <t>呪術廻戦展 渋谷事変　ブラインドダイカットステッカー（全9種）</t>
        </is>
      </c>
      <c r="D9" s="8" t="inlineStr">
        <is>
          <t>CX01</t>
        </is>
      </c>
      <c r="E9" s="8" t="inlineStr">
        <is>
          <t>CX催事</t>
        </is>
      </c>
      <c r="F9" s="9">
        <f>IF(COUNTIFS('XTab DS_1'!$B$2:$B$95,$B9)&gt;=2,"重複","単独")</f>
        <v/>
      </c>
      <c r="G9" s="10">
        <f>SUMIFS('XTab DS_1'!$F$2:$F$95,'XTab DS_1'!$B$2:$B$95,$B9,'XTab DS_1'!$D$2:$D$95,$D9)</f>
        <v/>
      </c>
      <c r="H9" s="11">
        <f>SUMIFS('XTab DS_1'!$G$2:$G$95,'XTab DS_1'!$B$2:$B$95,$B9,'XTab DS_1'!$D$2:$D$95,$D9)</f>
        <v/>
      </c>
    </row>
    <row r="10">
      <c r="A10" s="8" t="n">
        <v>4515142545174</v>
      </c>
      <c r="B10" s="8" t="inlineStr">
        <is>
          <t>CX2509JKSBMCPA-KG5</t>
        </is>
      </c>
      <c r="C10" s="8" t="inlineStr">
        <is>
          <t>呪術廻戦展 懐玉玉折　ブラインドミニ色紙（全5種）</t>
        </is>
      </c>
      <c r="D10" s="8" t="inlineStr">
        <is>
          <t>CX01</t>
        </is>
      </c>
      <c r="E10" s="8" t="inlineStr">
        <is>
          <t>CX催事</t>
        </is>
      </c>
      <c r="F10" s="9">
        <f>IF(COUNTIFS('XTab DS_1'!$B$2:$B$95,$B10)&gt;=2,"重複","単独")</f>
        <v/>
      </c>
      <c r="G10" s="10">
        <f>SUMIFS('XTab DS_1'!$F$2:$F$95,'XTab DS_1'!$B$2:$B$95,$B10,'XTab DS_1'!$D$2:$D$95,$D10)</f>
        <v/>
      </c>
      <c r="H10" s="11">
        <f>SUMIFS('XTab DS_1'!$G$2:$G$95,'XTab DS_1'!$B$2:$B$95,$B10,'XTab DS_1'!$D$2:$D$95,$D10)</f>
        <v/>
      </c>
    </row>
    <row r="11">
      <c r="A11" s="8" t="n">
        <v>4515142545181</v>
      </c>
      <c r="B11" s="8" t="inlineStr">
        <is>
          <t>CX2509JKSBMCPA-SJ5</t>
        </is>
      </c>
      <c r="C11" s="8" t="inlineStr">
        <is>
          <t>呪術廻戦展 渋谷事変　ブラインドミニ色紙（全5種）</t>
        </is>
      </c>
      <c r="D11" s="8" t="inlineStr">
        <is>
          <t>CX01</t>
        </is>
      </c>
      <c r="E11" s="8" t="inlineStr">
        <is>
          <t>CX催事</t>
        </is>
      </c>
      <c r="F11" s="9">
        <f>IF(COUNTIFS('XTab DS_1'!$B$2:$B$95,$B11)&gt;=2,"重複","単独")</f>
        <v/>
      </c>
      <c r="G11" s="10">
        <f>SUMIFS('XTab DS_1'!$F$2:$F$95,'XTab DS_1'!$B$2:$B$95,$B11,'XTab DS_1'!$D$2:$D$95,$D11)</f>
        <v/>
      </c>
      <c r="H11" s="11">
        <f>SUMIFS('XTab DS_1'!$G$2:$G$95,'XTab DS_1'!$B$2:$B$95,$B11,'XTab DS_1'!$D$2:$D$95,$D11)</f>
        <v/>
      </c>
    </row>
    <row r="12">
      <c r="A12" s="8" t="n">
        <v>4515142545198</v>
      </c>
      <c r="B12" s="8" t="inlineStr">
        <is>
          <t>CX2509JKSGOBTBALL</t>
        </is>
      </c>
      <c r="C12" s="8" t="inlineStr">
        <is>
          <t>呪術廻戦展 懐玉玉折 渋谷事変　虚式 ? バスボール</t>
        </is>
      </c>
      <c r="D12" s="8" t="inlineStr">
        <is>
          <t>CX01</t>
        </is>
      </c>
      <c r="E12" s="8" t="inlineStr">
        <is>
          <t>CX催事</t>
        </is>
      </c>
      <c r="F12" s="9">
        <f>IF(COUNTIFS('XTab DS_1'!$B$2:$B$95,$B12)&gt;=2,"重複","単独")</f>
        <v/>
      </c>
      <c r="G12" s="10">
        <f>SUMIFS('XTab DS_1'!$F$2:$F$95,'XTab DS_1'!$B$2:$B$95,$B12,'XTab DS_1'!$D$2:$D$95,$D12)</f>
        <v/>
      </c>
      <c r="H12" s="11">
        <f>SUMIFS('XTab DS_1'!$G$2:$G$95,'XTab DS_1'!$B$2:$B$95,$B12,'XTab DS_1'!$D$2:$D$95,$D12)</f>
        <v/>
      </c>
    </row>
    <row r="13">
      <c r="A13" s="8" t="n">
        <v>4515142545204</v>
      </c>
      <c r="B13" s="8" t="inlineStr">
        <is>
          <t>CX2509JKSGEHAIRBD</t>
        </is>
      </c>
      <c r="C13" s="8" t="inlineStr">
        <is>
          <t>呪術廻戦展 懐玉玉折 渋谷事変　前髪ヘアバンド</t>
        </is>
      </c>
      <c r="D13" s="8" t="inlineStr">
        <is>
          <t>CX01</t>
        </is>
      </c>
      <c r="E13" s="8" t="inlineStr">
        <is>
          <t>CX催事</t>
        </is>
      </c>
      <c r="F13" s="9">
        <f>IF(COUNTIFS('XTab DS_1'!$B$2:$B$95,$B13)&gt;=2,"重複","単独")</f>
        <v/>
      </c>
      <c r="G13" s="10">
        <f>SUMIFS('XTab DS_1'!$F$2:$F$95,'XTab DS_1'!$B$2:$B$95,$B13,'XTab DS_1'!$D$2:$D$95,$D13)</f>
        <v/>
      </c>
      <c r="H13" s="11">
        <f>SUMIFS('XTab DS_1'!$G$2:$G$95,'XTab DS_1'!$B$2:$B$95,$B13,'XTab DS_1'!$D$2:$D$95,$D13)</f>
        <v/>
      </c>
    </row>
    <row r="14">
      <c r="A14" s="8" t="n">
        <v>4515142545211</v>
      </c>
      <c r="B14" s="8" t="inlineStr">
        <is>
          <t>CX2509JKSBANDAGE</t>
        </is>
      </c>
      <c r="C14" s="8" t="inlineStr">
        <is>
          <t>呪術廻戦展 懐玉玉折 渋谷事変　反転術式絆創膏</t>
        </is>
      </c>
      <c r="D14" s="8" t="inlineStr">
        <is>
          <t>CX01</t>
        </is>
      </c>
      <c r="E14" s="8" t="inlineStr">
        <is>
          <t>CX催事</t>
        </is>
      </c>
      <c r="F14" s="9">
        <f>IF(COUNTIFS('XTab DS_1'!$B$2:$B$95,$B14)&gt;=2,"重複","単独")</f>
        <v/>
      </c>
      <c r="G14" s="10">
        <f>SUMIFS('XTab DS_1'!$F$2:$F$95,'XTab DS_1'!$B$2:$B$95,$B14,'XTab DS_1'!$D$2:$D$95,$D14)</f>
        <v/>
      </c>
      <c r="H14" s="11">
        <f>SUMIFS('XTab DS_1'!$G$2:$G$95,'XTab DS_1'!$B$2:$B$95,$B14,'XTab DS_1'!$D$2:$D$95,$D14)</f>
        <v/>
      </c>
    </row>
    <row r="15">
      <c r="A15" s="8" t="n">
        <v>4515142545228</v>
      </c>
      <c r="B15" s="8" t="inlineStr">
        <is>
          <t>CX2509JKSSKFINGER</t>
        </is>
      </c>
      <c r="C15" s="8" t="inlineStr">
        <is>
          <t>呪術廻戦展 懐玉玉折 渋谷事変　宿儺の指風お菓子</t>
        </is>
      </c>
      <c r="D15" s="8" t="inlineStr">
        <is>
          <t>CX01</t>
        </is>
      </c>
      <c r="E15" s="8" t="inlineStr">
        <is>
          <t>CX催事</t>
        </is>
      </c>
      <c r="F15" s="9">
        <f>IF(COUNTIFS('XTab DS_1'!$B$2:$B$95,$B15)&gt;=2,"重複","単独")</f>
        <v/>
      </c>
      <c r="G15" s="10">
        <f>SUMIFS('XTab DS_1'!$F$2:$F$95,'XTab DS_1'!$B$2:$B$95,$B15,'XTab DS_1'!$D$2:$D$95,$D15)</f>
        <v/>
      </c>
      <c r="H15" s="11">
        <f>SUMIFS('XTab DS_1'!$G$2:$G$95,'XTab DS_1'!$B$2:$B$95,$B15,'XTab DS_1'!$D$2:$D$95,$D15)</f>
        <v/>
      </c>
    </row>
    <row r="16">
      <c r="A16" s="8" t="n">
        <v>4515142545235</v>
      </c>
      <c r="B16" s="8" t="inlineStr">
        <is>
          <t>CX2509JKSDTPCHCLP</t>
        </is>
      </c>
      <c r="C16" s="8" t="inlineStr">
        <is>
          <t>呪術廻戦展 懐玉玉折 渋谷事変　脱兎 ポーチ入りクリップセット</t>
        </is>
      </c>
      <c r="D16" s="8" t="inlineStr">
        <is>
          <t>CX01</t>
        </is>
      </c>
      <c r="E16" s="8" t="inlineStr">
        <is>
          <t>CX催事</t>
        </is>
      </c>
      <c r="F16" s="9">
        <f>IF(COUNTIFS('XTab DS_1'!$B$2:$B$95,$B16)&gt;=2,"重複","単独")</f>
        <v/>
      </c>
      <c r="G16" s="10">
        <f>SUMIFS('XTab DS_1'!$F$2:$F$95,'XTab DS_1'!$B$2:$B$95,$B16,'XTab DS_1'!$D$2:$D$95,$D16)</f>
        <v/>
      </c>
      <c r="H16" s="11">
        <f>SUMIFS('XTab DS_1'!$G$2:$G$95,'XTab DS_1'!$B$2:$B$95,$B16,'XTab DS_1'!$D$2:$D$95,$D16)</f>
        <v/>
      </c>
    </row>
    <row r="17">
      <c r="A17" s="8" t="n">
        <v>4515142545242</v>
      </c>
      <c r="B17" s="8" t="inlineStr">
        <is>
          <t>CX2509JKSNBECOBAG</t>
        </is>
      </c>
      <c r="C17" s="8" t="inlineStr">
        <is>
          <t>呪術廻戦展 懐玉玉折 渋谷事変　釘崎のポーチ風エコバッグ</t>
        </is>
      </c>
      <c r="D17" s="8" t="inlineStr">
        <is>
          <t>CX01</t>
        </is>
      </c>
      <c r="E17" s="8" t="inlineStr">
        <is>
          <t>CX催事</t>
        </is>
      </c>
      <c r="F17" s="9">
        <f>IF(COUNTIFS('XTab DS_1'!$B$2:$B$95,$B17)&gt;=2,"重複","単独")</f>
        <v/>
      </c>
      <c r="G17" s="10">
        <f>SUMIFS('XTab DS_1'!$F$2:$F$95,'XTab DS_1'!$B$2:$B$95,$B17,'XTab DS_1'!$D$2:$D$95,$D17)</f>
        <v/>
      </c>
      <c r="H17" s="11">
        <f>SUMIFS('XTab DS_1'!$G$2:$G$95,'XTab DS_1'!$B$2:$B$95,$B17,'XTab DS_1'!$D$2:$D$95,$D17)</f>
        <v/>
      </c>
    </row>
    <row r="18">
      <c r="A18" s="8" t="n">
        <v>4515142545259</v>
      </c>
      <c r="B18" s="8" t="inlineStr">
        <is>
          <t>CX2509JKSPLANNER</t>
        </is>
      </c>
      <c r="C18" s="8" t="inlineStr">
        <is>
          <t>呪術廻戦展 懐玉玉折 渋谷事変　半年分の情報が書き込める手帳</t>
        </is>
      </c>
      <c r="D18" s="8" t="inlineStr">
        <is>
          <t>CX01</t>
        </is>
      </c>
      <c r="E18" s="8" t="inlineStr">
        <is>
          <t>CX催事</t>
        </is>
      </c>
      <c r="F18" s="9">
        <f>IF(COUNTIFS('XTab DS_1'!$B$2:$B$95,$B18)&gt;=2,"重複","単独")</f>
        <v/>
      </c>
      <c r="G18" s="10">
        <f>SUMIFS('XTab DS_1'!$F$2:$F$95,'XTab DS_1'!$B$2:$B$95,$B18,'XTab DS_1'!$D$2:$D$95,$D18)</f>
        <v/>
      </c>
      <c r="H18" s="11">
        <f>SUMIFS('XTab DS_1'!$G$2:$G$95,'XTab DS_1'!$B$2:$B$95,$B18,'XTab DS_1'!$D$2:$D$95,$D18)</f>
        <v/>
      </c>
    </row>
    <row r="19">
      <c r="A19" s="8" t="n">
        <v>4515142545266</v>
      </c>
      <c r="B19" s="8" t="inlineStr">
        <is>
          <t>CX2509JKSMUSICBOX</t>
        </is>
      </c>
      <c r="C19" s="8" t="inlineStr">
        <is>
          <t>呪術廻戦展 懐玉玉折 渋谷事変　気分リフレッシュオルゴール</t>
        </is>
      </c>
      <c r="D19" s="8" t="inlineStr">
        <is>
          <t>CX01</t>
        </is>
      </c>
      <c r="E19" s="8" t="inlineStr">
        <is>
          <t>CX催事</t>
        </is>
      </c>
      <c r="F19" s="9">
        <f>IF(COUNTIFS('XTab DS_1'!$B$2:$B$95,$B19)&gt;=2,"重複","単独")</f>
        <v/>
      </c>
      <c r="G19" s="10">
        <f>SUMIFS('XTab DS_1'!$F$2:$F$95,'XTab DS_1'!$B$2:$B$95,$B19,'XTab DS_1'!$D$2:$D$95,$D19)</f>
        <v/>
      </c>
      <c r="H19" s="11">
        <f>SUMIFS('XTab DS_1'!$G$2:$G$95,'XTab DS_1'!$B$2:$B$95,$B19,'XTab DS_1'!$D$2:$D$95,$D19)</f>
        <v/>
      </c>
    </row>
    <row r="20">
      <c r="A20" s="8" t="n">
        <v>4515142545273</v>
      </c>
      <c r="B20" s="8" t="inlineStr">
        <is>
          <t>CX2509JKSIRG-GO11</t>
        </is>
      </c>
      <c r="C20" s="8" t="inlineStr">
        <is>
          <t>呪術廻戦展 懐玉玉折 渋谷事変　五条 悟　イメージリング（#11）</t>
        </is>
      </c>
      <c r="D20" s="8" t="inlineStr">
        <is>
          <t>CX01</t>
        </is>
      </c>
      <c r="E20" s="8" t="inlineStr">
        <is>
          <t>CX催事</t>
        </is>
      </c>
      <c r="F20" s="9">
        <f>IF(COUNTIFS('XTab DS_1'!$B$2:$B$95,$B20)&gt;=2,"重複","単独")</f>
        <v/>
      </c>
      <c r="G20" s="10">
        <f>SUMIFS('XTab DS_1'!$F$2:$F$95,'XTab DS_1'!$B$2:$B$95,$B20,'XTab DS_1'!$D$2:$D$95,$D20)</f>
        <v/>
      </c>
      <c r="H20" s="11">
        <f>SUMIFS('XTab DS_1'!$G$2:$G$95,'XTab DS_1'!$B$2:$B$95,$B20,'XTab DS_1'!$D$2:$D$95,$D20)</f>
        <v/>
      </c>
    </row>
    <row r="21">
      <c r="A21" s="8" t="n">
        <v>4515142545280</v>
      </c>
      <c r="B21" s="8" t="inlineStr">
        <is>
          <t>CX2509JKSIRG-GO13</t>
        </is>
      </c>
      <c r="C21" s="8" t="inlineStr">
        <is>
          <t>呪術廻戦展 懐玉玉折 渋谷事変　五条 悟　イメージリング（#13）</t>
        </is>
      </c>
      <c r="D21" s="8" t="inlineStr">
        <is>
          <t>CX01</t>
        </is>
      </c>
      <c r="E21" s="8" t="inlineStr">
        <is>
          <t>CX催事</t>
        </is>
      </c>
      <c r="F21" s="9">
        <f>IF(COUNTIFS('XTab DS_1'!$B$2:$B$95,$B21)&gt;=2,"重複","単独")</f>
        <v/>
      </c>
      <c r="G21" s="10">
        <f>SUMIFS('XTab DS_1'!$F$2:$F$95,'XTab DS_1'!$B$2:$B$95,$B21,'XTab DS_1'!$D$2:$D$95,$D21)</f>
        <v/>
      </c>
      <c r="H21" s="11">
        <f>SUMIFS('XTab DS_1'!$G$2:$G$95,'XTab DS_1'!$B$2:$B$95,$B21,'XTab DS_1'!$D$2:$D$95,$D21)</f>
        <v/>
      </c>
    </row>
    <row r="22">
      <c r="A22" s="8" t="n">
        <v>4515142545297</v>
      </c>
      <c r="B22" s="8" t="inlineStr">
        <is>
          <t>CX2509JKSIRG-GO15</t>
        </is>
      </c>
      <c r="C22" s="8" t="inlineStr">
        <is>
          <t>呪術廻戦展 懐玉玉折 渋谷事変　五条 悟　イメージリング（#15）</t>
        </is>
      </c>
      <c r="D22" s="8" t="inlineStr">
        <is>
          <t>CX01</t>
        </is>
      </c>
      <c r="E22" s="8" t="inlineStr">
        <is>
          <t>CX催事</t>
        </is>
      </c>
      <c r="F22" s="9">
        <f>IF(COUNTIFS('XTab DS_1'!$B$2:$B$95,$B22)&gt;=2,"重複","単独")</f>
        <v/>
      </c>
      <c r="G22" s="10">
        <f>SUMIFS('XTab DS_1'!$F$2:$F$95,'XTab DS_1'!$B$2:$B$95,$B22,'XTab DS_1'!$D$2:$D$95,$D22)</f>
        <v/>
      </c>
      <c r="H22" s="11">
        <f>SUMIFS('XTab DS_1'!$G$2:$G$95,'XTab DS_1'!$B$2:$B$95,$B22,'XTab DS_1'!$D$2:$D$95,$D22)</f>
        <v/>
      </c>
    </row>
    <row r="23">
      <c r="A23" s="8" t="n">
        <v>4515142545303</v>
      </c>
      <c r="B23" s="8" t="inlineStr">
        <is>
          <t>CX2509JKSIRG-GO17</t>
        </is>
      </c>
      <c r="C23" s="8" t="inlineStr">
        <is>
          <t>呪術廻戦展 懐玉玉折 渋谷事変　五条 悟　イメージリング（#17）</t>
        </is>
      </c>
      <c r="D23" s="8" t="inlineStr">
        <is>
          <t>CX01</t>
        </is>
      </c>
      <c r="E23" s="8" t="inlineStr">
        <is>
          <t>CX催事</t>
        </is>
      </c>
      <c r="F23" s="9">
        <f>IF(COUNTIFS('XTab DS_1'!$B$2:$B$95,$B23)&gt;=2,"重複","単独")</f>
        <v/>
      </c>
      <c r="G23" s="10">
        <f>SUMIFS('XTab DS_1'!$F$2:$F$95,'XTab DS_1'!$B$2:$B$95,$B23,'XTab DS_1'!$D$2:$D$95,$D23)</f>
        <v/>
      </c>
      <c r="H23" s="11">
        <f>SUMIFS('XTab DS_1'!$G$2:$G$95,'XTab DS_1'!$B$2:$B$95,$B23,'XTab DS_1'!$D$2:$D$95,$D23)</f>
        <v/>
      </c>
    </row>
    <row r="24">
      <c r="A24" s="8" t="n">
        <v>4515142545310</v>
      </c>
      <c r="B24" s="8" t="inlineStr">
        <is>
          <t>CX2509JKSIRG-GE11</t>
        </is>
      </c>
      <c r="C24" s="8" t="inlineStr">
        <is>
          <t>呪術廻戦展 懐玉玉折 渋谷事変　夏油 傑　イメージリング（#11）</t>
        </is>
      </c>
      <c r="D24" s="8" t="inlineStr">
        <is>
          <t>CX01</t>
        </is>
      </c>
      <c r="E24" s="8" t="inlineStr">
        <is>
          <t>CX催事</t>
        </is>
      </c>
      <c r="F24" s="9">
        <f>IF(COUNTIFS('XTab DS_1'!$B$2:$B$95,$B24)&gt;=2,"重複","単独")</f>
        <v/>
      </c>
      <c r="G24" s="10">
        <f>SUMIFS('XTab DS_1'!$F$2:$F$95,'XTab DS_1'!$B$2:$B$95,$B24,'XTab DS_1'!$D$2:$D$95,$D24)</f>
        <v/>
      </c>
      <c r="H24" s="11">
        <f>SUMIFS('XTab DS_1'!$G$2:$G$95,'XTab DS_1'!$B$2:$B$95,$B24,'XTab DS_1'!$D$2:$D$95,$D24)</f>
        <v/>
      </c>
    </row>
    <row r="25">
      <c r="A25" s="8" t="n">
        <v>4515142545327</v>
      </c>
      <c r="B25" s="8" t="inlineStr">
        <is>
          <t>CX2509JKSIRG-GE13</t>
        </is>
      </c>
      <c r="C25" s="8" t="inlineStr">
        <is>
          <t>呪術廻戦展 懐玉玉折 渋谷事変　夏油 傑　イメージリング（#13）</t>
        </is>
      </c>
      <c r="D25" s="8" t="inlineStr">
        <is>
          <t>CX01</t>
        </is>
      </c>
      <c r="E25" s="8" t="inlineStr">
        <is>
          <t>CX催事</t>
        </is>
      </c>
      <c r="F25" s="9">
        <f>IF(COUNTIFS('XTab DS_1'!$B$2:$B$95,$B25)&gt;=2,"重複","単独")</f>
        <v/>
      </c>
      <c r="G25" s="10">
        <f>SUMIFS('XTab DS_1'!$F$2:$F$95,'XTab DS_1'!$B$2:$B$95,$B25,'XTab DS_1'!$D$2:$D$95,$D25)</f>
        <v/>
      </c>
      <c r="H25" s="11">
        <f>SUMIFS('XTab DS_1'!$G$2:$G$95,'XTab DS_1'!$B$2:$B$95,$B25,'XTab DS_1'!$D$2:$D$95,$D25)</f>
        <v/>
      </c>
    </row>
    <row r="26">
      <c r="A26" s="8" t="n">
        <v>4515142545334</v>
      </c>
      <c r="B26" s="8" t="inlineStr">
        <is>
          <t>CX2509JKSIRG-GE15</t>
        </is>
      </c>
      <c r="C26" s="8" t="inlineStr">
        <is>
          <t>呪術廻戦展 懐玉玉折 渋谷事変　夏油 傑　イメージリング（#15）</t>
        </is>
      </c>
      <c r="D26" s="8" t="inlineStr">
        <is>
          <t>CX01</t>
        </is>
      </c>
      <c r="E26" s="8" t="inlineStr">
        <is>
          <t>CX催事</t>
        </is>
      </c>
      <c r="F26" s="9">
        <f>IF(COUNTIFS('XTab DS_1'!$B$2:$B$95,$B26)&gt;=2,"重複","単独")</f>
        <v/>
      </c>
      <c r="G26" s="10">
        <f>SUMIFS('XTab DS_1'!$F$2:$F$95,'XTab DS_1'!$B$2:$B$95,$B26,'XTab DS_1'!$D$2:$D$95,$D26)</f>
        <v/>
      </c>
      <c r="H26" s="11">
        <f>SUMIFS('XTab DS_1'!$G$2:$G$95,'XTab DS_1'!$B$2:$B$95,$B26,'XTab DS_1'!$D$2:$D$95,$D26)</f>
        <v/>
      </c>
    </row>
    <row r="27">
      <c r="A27" s="8" t="n">
        <v>4515142545341</v>
      </c>
      <c r="B27" s="8" t="inlineStr">
        <is>
          <t>CX2509JKSIRG-GE17</t>
        </is>
      </c>
      <c r="C27" s="8" t="inlineStr">
        <is>
          <t>呪術廻戦展 懐玉玉折 渋谷事変　夏油 傑　イメージリング（#17）</t>
        </is>
      </c>
      <c r="D27" s="8" t="inlineStr">
        <is>
          <t>CX01</t>
        </is>
      </c>
      <c r="E27" s="8" t="inlineStr">
        <is>
          <t>CX催事</t>
        </is>
      </c>
      <c r="F27" s="9">
        <f>IF(COUNTIFS('XTab DS_1'!$B$2:$B$95,$B27)&gt;=2,"重複","単独")</f>
        <v/>
      </c>
      <c r="G27" s="10">
        <f>SUMIFS('XTab DS_1'!$F$2:$F$95,'XTab DS_1'!$B$2:$B$95,$B27,'XTab DS_1'!$D$2:$D$95,$D27)</f>
        <v/>
      </c>
      <c r="H27" s="11">
        <f>SUMIFS('XTab DS_1'!$G$2:$G$95,'XTab DS_1'!$B$2:$B$95,$B27,'XTab DS_1'!$D$2:$D$95,$D27)</f>
        <v/>
      </c>
    </row>
    <row r="28">
      <c r="A28" s="8" t="n">
        <v>4515142545358</v>
      </c>
      <c r="B28" s="8" t="inlineStr">
        <is>
          <t>CX2509JKSIFC-IU</t>
        </is>
      </c>
      <c r="C28" s="8" t="inlineStr">
        <is>
          <t>呪術廻戦展 懐玉玉折 渋谷事変　虎杖 悠仁　イメージフラグメントケース</t>
        </is>
      </c>
      <c r="D28" s="8" t="inlineStr">
        <is>
          <t>CX01</t>
        </is>
      </c>
      <c r="E28" s="8" t="inlineStr">
        <is>
          <t>CX催事</t>
        </is>
      </c>
      <c r="F28" s="9">
        <f>IF(COUNTIFS('XTab DS_1'!$B$2:$B$95,$B28)&gt;=2,"重複","単独")</f>
        <v/>
      </c>
      <c r="G28" s="10">
        <f>SUMIFS('XTab DS_1'!$F$2:$F$95,'XTab DS_1'!$B$2:$B$95,$B28,'XTab DS_1'!$D$2:$D$95,$D28)</f>
        <v/>
      </c>
      <c r="H28" s="11">
        <f>SUMIFS('XTab DS_1'!$G$2:$G$95,'XTab DS_1'!$B$2:$B$95,$B28,'XTab DS_1'!$D$2:$D$95,$D28)</f>
        <v/>
      </c>
    </row>
    <row r="29">
      <c r="A29" s="8" t="n">
        <v>4515142545365</v>
      </c>
      <c r="B29" s="8" t="inlineStr">
        <is>
          <t>CX2509JKSIFC-FM</t>
        </is>
      </c>
      <c r="C29" s="8" t="inlineStr">
        <is>
          <t>呪術廻戦展 懐玉玉折 渋谷事変　伏黒 恵　イメージフラグメントケース</t>
        </is>
      </c>
      <c r="D29" s="8" t="inlineStr">
        <is>
          <t>CX01</t>
        </is>
      </c>
      <c r="E29" s="8" t="inlineStr">
        <is>
          <t>CX催事</t>
        </is>
      </c>
      <c r="F29" s="9">
        <f>IF(COUNTIFS('XTab DS_1'!$B$2:$B$95,$B29)&gt;=2,"重複","単独")</f>
        <v/>
      </c>
      <c r="G29" s="10">
        <f>SUMIFS('XTab DS_1'!$F$2:$F$95,'XTab DS_1'!$B$2:$B$95,$B29,'XTab DS_1'!$D$2:$D$95,$D29)</f>
        <v/>
      </c>
      <c r="H29" s="11">
        <f>SUMIFS('XTab DS_1'!$G$2:$G$95,'XTab DS_1'!$B$2:$B$95,$B29,'XTab DS_1'!$D$2:$D$95,$D29)</f>
        <v/>
      </c>
    </row>
    <row r="30">
      <c r="A30" s="8" t="n">
        <v>4515142545372</v>
      </c>
      <c r="B30" s="8" t="inlineStr">
        <is>
          <t>CX2509JKSCF-KGGO</t>
        </is>
      </c>
      <c r="C30" s="8" t="inlineStr">
        <is>
          <t>呪術廻戦展 懐玉玉折　クリアファイル（五条 悟）</t>
        </is>
      </c>
      <c r="D30" s="8" t="inlineStr">
        <is>
          <t>CX01</t>
        </is>
      </c>
      <c r="E30" s="8" t="inlineStr">
        <is>
          <t>CX催事</t>
        </is>
      </c>
      <c r="F30" s="9">
        <f>IF(COUNTIFS('XTab DS_1'!$B$2:$B$95,$B30)&gt;=2,"重複","単独")</f>
        <v/>
      </c>
      <c r="G30" s="10">
        <f>SUMIFS('XTab DS_1'!$F$2:$F$95,'XTab DS_1'!$B$2:$B$95,$B30,'XTab DS_1'!$D$2:$D$95,$D30)</f>
        <v/>
      </c>
      <c r="H30" s="11">
        <f>SUMIFS('XTab DS_1'!$G$2:$G$95,'XTab DS_1'!$B$2:$B$95,$B30,'XTab DS_1'!$D$2:$D$95,$D30)</f>
        <v/>
      </c>
    </row>
    <row r="31">
      <c r="A31" s="8" t="n">
        <v>4515142545389</v>
      </c>
      <c r="B31" s="8" t="inlineStr">
        <is>
          <t>CX2509JKSCF-KGGE</t>
        </is>
      </c>
      <c r="C31" s="8" t="inlineStr">
        <is>
          <t>呪術廻戦展 懐玉玉折　クリアファイル（夏油 傑）</t>
        </is>
      </c>
      <c r="D31" s="8" t="inlineStr">
        <is>
          <t>CX01</t>
        </is>
      </c>
      <c r="E31" s="8" t="inlineStr">
        <is>
          <t>CX催事</t>
        </is>
      </c>
      <c r="F31" s="9">
        <f>IF(COUNTIFS('XTab DS_1'!$B$2:$B$95,$B31)&gt;=2,"重複","単独")</f>
        <v/>
      </c>
      <c r="G31" s="10">
        <f>SUMIFS('XTab DS_1'!$F$2:$F$95,'XTab DS_1'!$B$2:$B$95,$B31,'XTab DS_1'!$D$2:$D$95,$D31)</f>
        <v/>
      </c>
      <c r="H31" s="11">
        <f>SUMIFS('XTab DS_1'!$G$2:$G$95,'XTab DS_1'!$B$2:$B$95,$B31,'XTab DS_1'!$D$2:$D$95,$D31)</f>
        <v/>
      </c>
    </row>
    <row r="32">
      <c r="A32" s="8" t="n">
        <v>4515142545396</v>
      </c>
      <c r="B32" s="8" t="inlineStr">
        <is>
          <t>CX2509JKSCF-KGIS</t>
        </is>
      </c>
      <c r="C32" s="8" t="inlineStr">
        <is>
          <t>呪術廻戦展 懐玉玉折　クリアファイル（家入 硝子）</t>
        </is>
      </c>
      <c r="D32" s="8" t="inlineStr">
        <is>
          <t>CX01</t>
        </is>
      </c>
      <c r="E32" s="8" t="inlineStr">
        <is>
          <t>CX催事</t>
        </is>
      </c>
      <c r="F32" s="9">
        <f>IF(COUNTIFS('XTab DS_1'!$B$2:$B$95,$B32)&gt;=2,"重複","単独")</f>
        <v/>
      </c>
      <c r="G32" s="10">
        <f>SUMIFS('XTab DS_1'!$F$2:$F$95,'XTab DS_1'!$B$2:$B$95,$B32,'XTab DS_1'!$D$2:$D$95,$D32)</f>
        <v/>
      </c>
      <c r="H32" s="11">
        <f>SUMIFS('XTab DS_1'!$G$2:$G$95,'XTab DS_1'!$B$2:$B$95,$B32,'XTab DS_1'!$D$2:$D$95,$D32)</f>
        <v/>
      </c>
    </row>
    <row r="33">
      <c r="A33" s="8" t="n">
        <v>4515142545402</v>
      </c>
      <c r="B33" s="8" t="inlineStr">
        <is>
          <t>CX2509JKSCF-KGNM</t>
        </is>
      </c>
      <c r="C33" s="8" t="inlineStr">
        <is>
          <t>呪術廻戦展 懐玉玉折　クリアファイル（七海 建人）</t>
        </is>
      </c>
      <c r="D33" s="8" t="inlineStr">
        <is>
          <t>CX01</t>
        </is>
      </c>
      <c r="E33" s="8" t="inlineStr">
        <is>
          <t>CX催事</t>
        </is>
      </c>
      <c r="F33" s="9">
        <f>IF(COUNTIFS('XTab DS_1'!$B$2:$B$95,$B33)&gt;=2,"重複","単独")</f>
        <v/>
      </c>
      <c r="G33" s="10">
        <f>SUMIFS('XTab DS_1'!$F$2:$F$95,'XTab DS_1'!$B$2:$B$95,$B33,'XTab DS_1'!$D$2:$D$95,$D33)</f>
        <v/>
      </c>
      <c r="H33" s="11">
        <f>SUMIFS('XTab DS_1'!$G$2:$G$95,'XTab DS_1'!$B$2:$B$95,$B33,'XTab DS_1'!$D$2:$D$95,$D33)</f>
        <v/>
      </c>
    </row>
    <row r="34">
      <c r="A34" s="8" t="n">
        <v>4515142545419</v>
      </c>
      <c r="B34" s="8" t="inlineStr">
        <is>
          <t>CX2509JKSCF-KGHU</t>
        </is>
      </c>
      <c r="C34" s="8" t="inlineStr">
        <is>
          <t>呪術廻戦展 懐玉玉折　クリアファイル（灰原 雄）</t>
        </is>
      </c>
      <c r="D34" s="8" t="inlineStr">
        <is>
          <t>CX01</t>
        </is>
      </c>
      <c r="E34" s="8" t="inlineStr">
        <is>
          <t>CX催事</t>
        </is>
      </c>
      <c r="F34" s="9">
        <f>IF(COUNTIFS('XTab DS_1'!$B$2:$B$95,$B34)&gt;=2,"重複","単独")</f>
        <v/>
      </c>
      <c r="G34" s="10">
        <f>SUMIFS('XTab DS_1'!$F$2:$F$95,'XTab DS_1'!$B$2:$B$95,$B34,'XTab DS_1'!$D$2:$D$95,$D34)</f>
        <v/>
      </c>
      <c r="H34" s="11">
        <f>SUMIFS('XTab DS_1'!$G$2:$G$95,'XTab DS_1'!$B$2:$B$95,$B34,'XTab DS_1'!$D$2:$D$95,$D34)</f>
        <v/>
      </c>
    </row>
    <row r="35">
      <c r="A35" s="8" t="n">
        <v>4515142545426</v>
      </c>
      <c r="B35" s="8" t="inlineStr">
        <is>
          <t>CX2509JKSCF-SJIU</t>
        </is>
      </c>
      <c r="C35" s="8" t="inlineStr">
        <is>
          <t>呪術廻戦展 渋谷事変　クリアファイル（虎杖 悠仁）</t>
        </is>
      </c>
      <c r="D35" s="8" t="inlineStr">
        <is>
          <t>CX01</t>
        </is>
      </c>
      <c r="E35" s="8" t="inlineStr">
        <is>
          <t>CX催事</t>
        </is>
      </c>
      <c r="F35" s="9">
        <f>IF(COUNTIFS('XTab DS_1'!$B$2:$B$95,$B35)&gt;=2,"重複","単独")</f>
        <v/>
      </c>
      <c r="G35" s="10">
        <f>SUMIFS('XTab DS_1'!$F$2:$F$95,'XTab DS_1'!$B$2:$B$95,$B35,'XTab DS_1'!$D$2:$D$95,$D35)</f>
        <v/>
      </c>
      <c r="H35" s="11">
        <f>SUMIFS('XTab DS_1'!$G$2:$G$95,'XTab DS_1'!$B$2:$B$95,$B35,'XTab DS_1'!$D$2:$D$95,$D35)</f>
        <v/>
      </c>
    </row>
    <row r="36">
      <c r="A36" s="8" t="n">
        <v>4515142545433</v>
      </c>
      <c r="B36" s="8" t="inlineStr">
        <is>
          <t>CX2509JKSCF-SJFM</t>
        </is>
      </c>
      <c r="C36" s="8" t="inlineStr">
        <is>
          <t>呪術廻戦展 渋谷事変　クリアファイル（伏黒 恵）</t>
        </is>
      </c>
      <c r="D36" s="8" t="inlineStr">
        <is>
          <t>CX01</t>
        </is>
      </c>
      <c r="E36" s="8" t="inlineStr">
        <is>
          <t>CX催事</t>
        </is>
      </c>
      <c r="F36" s="9">
        <f>IF(COUNTIFS('XTab DS_1'!$B$2:$B$95,$B36)&gt;=2,"重複","単独")</f>
        <v/>
      </c>
      <c r="G36" s="10">
        <f>SUMIFS('XTab DS_1'!$F$2:$F$95,'XTab DS_1'!$B$2:$B$95,$B36,'XTab DS_1'!$D$2:$D$95,$D36)</f>
        <v/>
      </c>
      <c r="H36" s="11">
        <f>SUMIFS('XTab DS_1'!$G$2:$G$95,'XTab DS_1'!$B$2:$B$95,$B36,'XTab DS_1'!$D$2:$D$95,$D36)</f>
        <v/>
      </c>
    </row>
    <row r="37">
      <c r="A37" s="8" t="n">
        <v>4515142545440</v>
      </c>
      <c r="B37" s="8" t="inlineStr">
        <is>
          <t>CX2509JKSCF-SJNB</t>
        </is>
      </c>
      <c r="C37" s="8" t="inlineStr">
        <is>
          <t>呪術廻戦展 渋谷事変　クリアファイル（釘崎 野薔薇）</t>
        </is>
      </c>
      <c r="D37" s="8" t="inlineStr">
        <is>
          <t>CX01</t>
        </is>
      </c>
      <c r="E37" s="8" t="inlineStr">
        <is>
          <t>CX催事</t>
        </is>
      </c>
      <c r="F37" s="9">
        <f>IF(COUNTIFS('XTab DS_1'!$B$2:$B$95,$B37)&gt;=2,"重複","単独")</f>
        <v/>
      </c>
      <c r="G37" s="10">
        <f>SUMIFS('XTab DS_1'!$F$2:$F$95,'XTab DS_1'!$B$2:$B$95,$B37,'XTab DS_1'!$D$2:$D$95,$D37)</f>
        <v/>
      </c>
      <c r="H37" s="11">
        <f>SUMIFS('XTab DS_1'!$G$2:$G$95,'XTab DS_1'!$B$2:$B$95,$B37,'XTab DS_1'!$D$2:$D$95,$D37)</f>
        <v/>
      </c>
    </row>
    <row r="38">
      <c r="A38" s="8" t="n">
        <v>4515142545457</v>
      </c>
      <c r="B38" s="8" t="inlineStr">
        <is>
          <t>CX2509JKSCF-SJNM</t>
        </is>
      </c>
      <c r="C38" s="8" t="inlineStr">
        <is>
          <t>呪術廻戦展 渋谷事変　クリアファイル（七海 建人）</t>
        </is>
      </c>
      <c r="D38" s="8" t="inlineStr">
        <is>
          <t>CX01</t>
        </is>
      </c>
      <c r="E38" s="8" t="inlineStr">
        <is>
          <t>CX催事</t>
        </is>
      </c>
      <c r="F38" s="9">
        <f>IF(COUNTIFS('XTab DS_1'!$B$2:$B$95,$B38)&gt;=2,"重複","単独")</f>
        <v/>
      </c>
      <c r="G38" s="10">
        <f>SUMIFS('XTab DS_1'!$F$2:$F$95,'XTab DS_1'!$B$2:$B$95,$B38,'XTab DS_1'!$D$2:$D$95,$D38)</f>
        <v/>
      </c>
      <c r="H38" s="11">
        <f>SUMIFS('XTab DS_1'!$G$2:$G$95,'XTab DS_1'!$B$2:$B$95,$B38,'XTab DS_1'!$D$2:$D$95,$D38)</f>
        <v/>
      </c>
    </row>
    <row r="39">
      <c r="A39" s="8" t="n">
        <v>4515142545464</v>
      </c>
      <c r="B39" s="8" t="inlineStr">
        <is>
          <t>CX2509JKSCF-SJGO</t>
        </is>
      </c>
      <c r="C39" s="8" t="inlineStr">
        <is>
          <t>呪術廻戦展 渋谷事変　クリアファイル（五条 悟）</t>
        </is>
      </c>
      <c r="D39" s="8" t="inlineStr">
        <is>
          <t>CX01</t>
        </is>
      </c>
      <c r="E39" s="8" t="inlineStr">
        <is>
          <t>CX催事</t>
        </is>
      </c>
      <c r="F39" s="9">
        <f>IF(COUNTIFS('XTab DS_1'!$B$2:$B$95,$B39)&gt;=2,"重複","単独")</f>
        <v/>
      </c>
      <c r="G39" s="10">
        <f>SUMIFS('XTab DS_1'!$F$2:$F$95,'XTab DS_1'!$B$2:$B$95,$B39,'XTab DS_1'!$D$2:$D$95,$D39)</f>
        <v/>
      </c>
      <c r="H39" s="11">
        <f>SUMIFS('XTab DS_1'!$G$2:$G$95,'XTab DS_1'!$B$2:$B$95,$B39,'XTab DS_1'!$D$2:$D$95,$D39)</f>
        <v/>
      </c>
    </row>
    <row r="40">
      <c r="A40" s="8" t="n">
        <v>4515142545471</v>
      </c>
      <c r="B40" s="8" t="inlineStr">
        <is>
          <t>CX2509JKSCF-SJGE</t>
        </is>
      </c>
      <c r="C40" s="8" t="inlineStr">
        <is>
          <t>呪術廻戦展 渋谷事変　クリアファイル（夏油 傑）</t>
        </is>
      </c>
      <c r="D40" s="8" t="inlineStr">
        <is>
          <t>CX01</t>
        </is>
      </c>
      <c r="E40" s="8" t="inlineStr">
        <is>
          <t>CX催事</t>
        </is>
      </c>
      <c r="F40" s="9">
        <f>IF(COUNTIFS('XTab DS_1'!$B$2:$B$95,$B40)&gt;=2,"重複","単独")</f>
        <v/>
      </c>
      <c r="G40" s="10">
        <f>SUMIFS('XTab DS_1'!$F$2:$F$95,'XTab DS_1'!$B$2:$B$95,$B40,'XTab DS_1'!$D$2:$D$95,$D40)</f>
        <v/>
      </c>
      <c r="H40" s="11">
        <f>SUMIFS('XTab DS_1'!$G$2:$G$95,'XTab DS_1'!$B$2:$B$95,$B40,'XTab DS_1'!$D$2:$D$95,$D40)</f>
        <v/>
      </c>
    </row>
    <row r="41">
      <c r="A41" s="8" t="n">
        <v>4515142545488</v>
      </c>
      <c r="B41" s="8" t="inlineStr">
        <is>
          <t>CX2509JKSCF-SJMH</t>
        </is>
      </c>
      <c r="C41" s="8" t="inlineStr">
        <is>
          <t>呪術廻戦展 渋谷事変　クリアファイル（真人）</t>
        </is>
      </c>
      <c r="D41" s="8" t="inlineStr">
        <is>
          <t>CX01</t>
        </is>
      </c>
      <c r="E41" s="8" t="inlineStr">
        <is>
          <t>CX催事</t>
        </is>
      </c>
      <c r="F41" s="9">
        <f>IF(COUNTIFS('XTab DS_1'!$B$2:$B$95,$B41)&gt;=2,"重複","単独")</f>
        <v/>
      </c>
      <c r="G41" s="10">
        <f>SUMIFS('XTab DS_1'!$F$2:$F$95,'XTab DS_1'!$B$2:$B$95,$B41,'XTab DS_1'!$D$2:$D$95,$D41)</f>
        <v/>
      </c>
      <c r="H41" s="11">
        <f>SUMIFS('XTab DS_1'!$G$2:$G$95,'XTab DS_1'!$B$2:$B$95,$B41,'XTab DS_1'!$D$2:$D$95,$D41)</f>
        <v/>
      </c>
    </row>
    <row r="42">
      <c r="A42" s="8" t="n">
        <v>4515142545495</v>
      </c>
      <c r="B42" s="8" t="inlineStr">
        <is>
          <t>CX2509JKSCF-SJCS</t>
        </is>
      </c>
      <c r="C42" s="8" t="inlineStr">
        <is>
          <t>呪術廻戦展 渋谷事変　クリアファイル（脹相）</t>
        </is>
      </c>
      <c r="D42" s="8" t="inlineStr">
        <is>
          <t>CX01</t>
        </is>
      </c>
      <c r="E42" s="8" t="inlineStr">
        <is>
          <t>CX催事</t>
        </is>
      </c>
      <c r="F42" s="9">
        <f>IF(COUNTIFS('XTab DS_1'!$B$2:$B$95,$B42)&gt;=2,"重複","単独")</f>
        <v/>
      </c>
      <c r="G42" s="10">
        <f>SUMIFS('XTab DS_1'!$F$2:$F$95,'XTab DS_1'!$B$2:$B$95,$B42,'XTab DS_1'!$D$2:$D$95,$D42)</f>
        <v/>
      </c>
      <c r="H42" s="11">
        <f>SUMIFS('XTab DS_1'!$G$2:$G$95,'XTab DS_1'!$B$2:$B$95,$B42,'XTab DS_1'!$D$2:$D$95,$D42)</f>
        <v/>
      </c>
    </row>
    <row r="43">
      <c r="A43" s="8" t="n">
        <v>4515142545501</v>
      </c>
      <c r="B43" s="8" t="inlineStr">
        <is>
          <t>CX2509JKSCF-SJSK</t>
        </is>
      </c>
      <c r="C43" s="8" t="inlineStr">
        <is>
          <t>呪術廻戦展 渋谷事変　クリアファイル（宿儺）</t>
        </is>
      </c>
      <c r="D43" s="8" t="inlineStr">
        <is>
          <t>CX01</t>
        </is>
      </c>
      <c r="E43" s="8" t="inlineStr">
        <is>
          <t>CX催事</t>
        </is>
      </c>
      <c r="F43" s="9">
        <f>IF(COUNTIFS('XTab DS_1'!$B$2:$B$95,$B43)&gt;=2,"重複","単独")</f>
        <v/>
      </c>
      <c r="G43" s="10">
        <f>SUMIFS('XTab DS_1'!$F$2:$F$95,'XTab DS_1'!$B$2:$B$95,$B43,'XTab DS_1'!$D$2:$D$95,$D43)</f>
        <v/>
      </c>
      <c r="H43" s="11">
        <f>SUMIFS('XTab DS_1'!$G$2:$G$95,'XTab DS_1'!$B$2:$B$95,$B43,'XTab DS_1'!$D$2:$D$95,$D43)</f>
        <v/>
      </c>
    </row>
    <row r="44">
      <c r="A44" s="8" t="inlineStr">
        <is>
          <t>#</t>
        </is>
      </c>
      <c r="B44" s="8" t="inlineStr">
        <is>
          <t>CX2509JKSDTPCHCLP2</t>
        </is>
      </c>
      <c r="C44" s="8" t="inlineStr">
        <is>
          <t>呪術廻戦展 懐玉玉折 渋谷事変　脱兎クリップのみ(1SET 5個)</t>
        </is>
      </c>
      <c r="D44" s="8" t="inlineStr">
        <is>
          <t>CX01</t>
        </is>
      </c>
      <c r="E44" s="8" t="inlineStr">
        <is>
          <t>CX催事</t>
        </is>
      </c>
      <c r="F44" s="9">
        <f>IF(COUNTIFS('XTab DS_1'!$B$2:$B$95,$B44)&gt;=2,"重複","単独")</f>
        <v/>
      </c>
      <c r="G44" s="10">
        <f>SUMIFS('XTab DS_1'!$F$2:$F$95,'XTab DS_1'!$B$2:$B$95,$B44,'XTab DS_1'!$D$2:$D$95,$D44)</f>
        <v/>
      </c>
      <c r="H44" s="11">
        <f>SUMIFS('XTab DS_1'!$G$2:$G$95,'XTab DS_1'!$B$2:$B$95,$B44,'XTab DS_1'!$D$2:$D$95,$D44)</f>
        <v/>
      </c>
    </row>
    <row r="45">
      <c r="A45" s="8" t="inlineStr">
        <is>
          <t>#</t>
        </is>
      </c>
      <c r="B45" s="8" t="inlineStr">
        <is>
          <t>QCX2509JKS2FN-10</t>
        </is>
      </c>
      <c r="C45" s="8" t="inlineStr">
        <is>
          <t>呪術廻戦展 懐玉玉折 渋谷事変 経費（課税10％）</t>
        </is>
      </c>
      <c r="D45" s="8" t="inlineStr">
        <is>
          <t>CX01</t>
        </is>
      </c>
      <c r="E45" s="8" t="inlineStr">
        <is>
          <t>CX催事</t>
        </is>
      </c>
      <c r="F45" s="9">
        <f>IF(COUNTIFS('XTab DS_1'!$B$2:$B$95,$B45)&gt;=2,"重複","単独")</f>
        <v/>
      </c>
      <c r="G45" s="10">
        <f>SUMIFS('XTab DS_1'!$F$2:$F$95,'XTab DS_1'!$B$2:$B$95,$B45,'XTab DS_1'!$D$2:$D$95,$D45)</f>
        <v/>
      </c>
      <c r="H45" s="11">
        <f>SUMIFS('XTab DS_1'!$G$2:$G$95,'XTab DS_1'!$B$2:$B$95,$B45,'XTab DS_1'!$D$2:$D$95,$D45)</f>
        <v/>
      </c>
    </row>
    <row r="46">
      <c r="A46" s="12" t="inlineStr">
        <is>
          <t>#</t>
        </is>
      </c>
      <c r="B46" s="12" t="inlineStr">
        <is>
          <t>QCX2509JKS2FN-8</t>
        </is>
      </c>
      <c r="C46" s="12" t="inlineStr">
        <is>
          <t>呪術廻戦展 懐玉玉折 渋谷事変 経費（課税8％）</t>
        </is>
      </c>
      <c r="D46" s="12" t="inlineStr">
        <is>
          <t>CX01</t>
        </is>
      </c>
      <c r="E46" s="12" t="inlineStr">
        <is>
          <t>CX催事</t>
        </is>
      </c>
      <c r="F46" s="13">
        <f>IF(COUNTIFS('XTab DS_1'!$B$2:$B$95,$B46)&gt;=2,"重複","単独")</f>
        <v/>
      </c>
      <c r="G46" s="14">
        <f>SUMIFS('XTab DS_1'!$F$2:$F$95,'XTab DS_1'!$B$2:$B$95,$B46,'XTab DS_1'!$D$2:$D$95,$D46)</f>
        <v/>
      </c>
      <c r="H46" s="15">
        <f>SUMIFS('XTab DS_1'!$G$2:$G$95,'XTab DS_1'!$B$2:$B$95,$B46,'XTab DS_1'!$D$2:$D$95,$D46)</f>
        <v/>
      </c>
    </row>
    <row r="47">
      <c r="A47" s="12" t="inlineStr">
        <is>
          <t>#</t>
        </is>
      </c>
      <c r="B47" s="12" t="inlineStr">
        <is>
          <t>QCX2509JKS2FN-NT</t>
        </is>
      </c>
      <c r="C47" s="12" t="inlineStr">
        <is>
          <t>呪術廻戦展 懐玉玉折 渋谷事変 経費（非課税）</t>
        </is>
      </c>
      <c r="D47" s="12" t="inlineStr">
        <is>
          <t>CX01</t>
        </is>
      </c>
      <c r="E47" s="12" t="inlineStr">
        <is>
          <t>CX催事</t>
        </is>
      </c>
      <c r="F47" s="13">
        <f>IF(COUNTIFS('XTab DS_1'!$B$2:$B$95,$B47)&gt;=2,"重複","単独")</f>
        <v/>
      </c>
      <c r="G47" s="14">
        <f>SUMIFS('XTab DS_1'!$F$2:$F$95,'XTab DS_1'!$B$2:$B$95,$B47,'XTab DS_1'!$D$2:$D$95,$D47)</f>
        <v/>
      </c>
      <c r="H47" s="15">
        <f>SUMIFS('XTab DS_1'!$G$2:$G$95,'XTab DS_1'!$B$2:$B$95,$B47,'XTab DS_1'!$D$2:$D$95,$D47)</f>
        <v/>
      </c>
    </row>
    <row r="48">
      <c r="A48" s="12" t="inlineStr">
        <is>
          <t>#</t>
        </is>
      </c>
      <c r="B48" s="12" t="inlineStr">
        <is>
          <t>QCX2509JKS2FN-RY</t>
        </is>
      </c>
      <c r="C48" s="12" t="inlineStr">
        <is>
          <t>呪術廻戦展 懐玉玉折 渋谷事変 経費（RY）</t>
        </is>
      </c>
      <c r="D48" s="12" t="inlineStr">
        <is>
          <t>CX01</t>
        </is>
      </c>
      <c r="E48" s="12" t="inlineStr">
        <is>
          <t>CX催事</t>
        </is>
      </c>
      <c r="F48" s="13">
        <f>IF(COUNTIFS('XTab DS_1'!$B$2:$B$95,$B48)&gt;=2,"重複","単独")</f>
        <v/>
      </c>
      <c r="G48" s="14">
        <f>SUMIFS('XTab DS_1'!$F$2:$F$95,'XTab DS_1'!$B$2:$B$95,$B48,'XTab DS_1'!$D$2:$D$95,$D48)</f>
        <v/>
      </c>
      <c r="H48" s="15">
        <f>SUMIFS('XTab DS_1'!$G$2:$G$95,'XTab DS_1'!$B$2:$B$95,$B48,'XTab DS_1'!$D$2:$D$95,$D48)</f>
        <v/>
      </c>
    </row>
    <row r="49">
      <c r="A49" s="16" t="n"/>
      <c r="B49" s="16" t="n"/>
      <c r="C49" s="17" t="inlineStr">
        <is>
          <t>合計</t>
        </is>
      </c>
      <c r="D49" s="16" t="n"/>
      <c r="E49" s="16" t="n"/>
      <c r="F49" s="16" t="n"/>
      <c r="G49" s="18">
        <f>SUM(G2:G48)</f>
        <v/>
      </c>
      <c r="H49" s="19">
        <f>SUM(H2:H48)</f>
        <v/>
      </c>
    </row>
    <row r="50">
      <c r="A50" s="20" t="n"/>
      <c r="B50" s="20" t="n"/>
      <c r="C50" s="21" t="inlineStr">
        <is>
          <t>うち 重複</t>
        </is>
      </c>
      <c r="D50" s="20" t="n"/>
      <c r="E50" s="20" t="n"/>
      <c r="F50" s="20" t="n"/>
      <c r="G50" s="22">
        <f>SUMIFS(G2:G48,F2:F48,"重複")</f>
        <v/>
      </c>
      <c r="H50" s="23">
        <f>SUMIFS(H2:H48,F2:F48,"重複")</f>
        <v/>
      </c>
    </row>
    <row r="51">
      <c r="A51" s="20" t="n"/>
      <c r="B51" s="20" t="n"/>
      <c r="C51" s="21" t="inlineStr">
        <is>
          <t>うち 単独</t>
        </is>
      </c>
      <c r="D51" s="20" t="n"/>
      <c r="E51" s="20" t="n"/>
      <c r="F51" s="20" t="n"/>
      <c r="G51" s="22">
        <f>SUMIFS(G2:G48,F2:F48,"単独")</f>
        <v/>
      </c>
      <c r="H51" s="23">
        <f>SUMIFS(H2:H48,F2:F48,"単独")</f>
        <v/>
      </c>
    </row>
  </sheetData>
  <autoFilter ref="A1:H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12" customWidth="1" min="5" max="5"/>
    <col width="8" customWidth="1" min="6" max="6"/>
    <col width="14" customWidth="1" min="7" max="7"/>
    <col width="16" customWidth="1" min="8" max="8"/>
  </cols>
  <sheetData>
    <row r="1">
      <c r="A1" s="7" t="inlineStr">
        <is>
          <t>JANコード(EAN/UPC)</t>
        </is>
      </c>
      <c r="B1" s="7" t="inlineStr">
        <is>
          <t>品目コード</t>
        </is>
      </c>
      <c r="C1" s="7" t="inlineStr">
        <is>
          <t>品目テキスト</t>
        </is>
      </c>
      <c r="D1" s="7" t="inlineStr">
        <is>
          <t>保管場所</t>
        </is>
      </c>
      <c r="E1" s="7" t="inlineStr">
        <is>
          <t>保管場所名</t>
        </is>
      </c>
      <c r="F1" s="7" t="inlineStr">
        <is>
          <t>区分</t>
        </is>
      </c>
      <c r="G1" s="7" t="inlineStr">
        <is>
          <t>在庫数量</t>
        </is>
      </c>
      <c r="H1" s="7" t="inlineStr">
        <is>
          <t>在庫金額</t>
        </is>
      </c>
    </row>
    <row r="2">
      <c r="A2" s="8" t="n">
        <v>4515142545082</v>
      </c>
      <c r="B2" s="8" t="inlineStr">
        <is>
          <t>CX2509JKSMPOSCKV</t>
        </is>
      </c>
      <c r="C2" s="8" t="inlineStr">
        <is>
          <t>呪術廻戦展 懐玉玉折 渋谷事変　メタリックポストカード　展示会KV</t>
        </is>
      </c>
      <c r="D2" s="8" t="inlineStr">
        <is>
          <t>DB00</t>
        </is>
      </c>
      <c r="E2" s="8" t="inlineStr">
        <is>
          <t>DBS倉庫</t>
        </is>
      </c>
      <c r="F2" s="9">
        <f>IF(COUNTIFS('XTab DS_1'!$B$2:$B$95,$B2)&gt;=2,"重複","単独")</f>
        <v/>
      </c>
      <c r="G2" s="10">
        <f>SUMIFS('XTab DS_1'!$F$2:$F$95,'XTab DS_1'!$B$2:$B$95,$B2,'XTab DS_1'!$D$2:$D$95,$D2)</f>
        <v/>
      </c>
      <c r="H2" s="11">
        <f>SUMIFS('XTab DS_1'!$G$2:$G$95,'XTab DS_1'!$B$2:$B$95,$B2,'XTab DS_1'!$D$2:$D$95,$D2)</f>
        <v/>
      </c>
    </row>
    <row r="3">
      <c r="A3" s="8" t="n">
        <v>4515142545099</v>
      </c>
      <c r="B3" s="8" t="inlineStr">
        <is>
          <t>CX2509JKSCFKV</t>
        </is>
      </c>
      <c r="C3" s="8" t="inlineStr">
        <is>
          <t>呪術廻戦展 懐玉玉折 渋谷事変　クリアファイル　展示会KV</t>
        </is>
      </c>
      <c r="D3" s="8" t="inlineStr">
        <is>
          <t>DB00</t>
        </is>
      </c>
      <c r="E3" s="8" t="inlineStr">
        <is>
          <t>DBS倉庫</t>
        </is>
      </c>
      <c r="F3" s="9">
        <f>IF(COUNTIFS('XTab DS_1'!$B$2:$B$95,$B3)&gt;=2,"重複","単独")</f>
        <v/>
      </c>
      <c r="G3" s="10">
        <f>SUMIFS('XTab DS_1'!$F$2:$F$95,'XTab DS_1'!$B$2:$B$95,$B3,'XTab DS_1'!$D$2:$D$95,$D3)</f>
        <v/>
      </c>
      <c r="H3" s="11">
        <f>SUMIFS('XTab DS_1'!$G$2:$G$95,'XTab DS_1'!$B$2:$B$95,$B3,'XTab DS_1'!$D$2:$D$95,$D3)</f>
        <v/>
      </c>
    </row>
    <row r="4">
      <c r="A4" s="8" t="n">
        <v>4515142545105</v>
      </c>
      <c r="B4" s="8" t="inlineStr">
        <is>
          <t>CX2509JKSPOSC-KG5</t>
        </is>
      </c>
      <c r="C4" s="8" t="inlineStr">
        <is>
          <t>呪術廻戦展 懐玉玉折　ポストカードセット（5枚入）</t>
        </is>
      </c>
      <c r="D4" s="8" t="inlineStr">
        <is>
          <t>DB00</t>
        </is>
      </c>
      <c r="E4" s="8" t="inlineStr">
        <is>
          <t>DBS倉庫</t>
        </is>
      </c>
      <c r="F4" s="9">
        <f>IF(COUNTIFS('XTab DS_1'!$B$2:$B$95,$B4)&gt;=2,"重複","単独")</f>
        <v/>
      </c>
      <c r="G4" s="10">
        <f>SUMIFS('XTab DS_1'!$F$2:$F$95,'XTab DS_1'!$B$2:$B$95,$B4,'XTab DS_1'!$D$2:$D$95,$D4)</f>
        <v/>
      </c>
      <c r="H4" s="11">
        <f>SUMIFS('XTab DS_1'!$G$2:$G$95,'XTab DS_1'!$B$2:$B$95,$B4,'XTab DS_1'!$D$2:$D$95,$D4)</f>
        <v/>
      </c>
    </row>
    <row r="5">
      <c r="A5" s="8" t="n">
        <v>4515142545112</v>
      </c>
      <c r="B5" s="8" t="inlineStr">
        <is>
          <t>CX2509JKSPOSC-SJ9</t>
        </is>
      </c>
      <c r="C5" s="8" t="inlineStr">
        <is>
          <t>呪術廻戦展 渋谷事変　ポストカードセット（9枚入）</t>
        </is>
      </c>
      <c r="D5" s="8" t="inlineStr">
        <is>
          <t>DB00</t>
        </is>
      </c>
      <c r="E5" s="8" t="inlineStr">
        <is>
          <t>DBS倉庫</t>
        </is>
      </c>
      <c r="F5" s="9">
        <f>IF(COUNTIFS('XTab DS_1'!$B$2:$B$95,$B5)&gt;=2,"重複","単独")</f>
        <v/>
      </c>
      <c r="G5" s="10">
        <f>SUMIFS('XTab DS_1'!$F$2:$F$95,'XTab DS_1'!$B$2:$B$95,$B5,'XTab DS_1'!$D$2:$D$95,$D5)</f>
        <v/>
      </c>
      <c r="H5" s="11">
        <f>SUMIFS('XTab DS_1'!$G$2:$G$95,'XTab DS_1'!$B$2:$B$95,$B5,'XTab DS_1'!$D$2:$D$95,$D5)</f>
        <v/>
      </c>
    </row>
    <row r="6">
      <c r="A6" s="8" t="n">
        <v>4515142545129</v>
      </c>
      <c r="B6" s="8" t="inlineStr">
        <is>
          <t>CX2509JKSBBDG-KG5</t>
        </is>
      </c>
      <c r="C6" s="8" t="inlineStr">
        <is>
          <t>呪術廻戦展 懐玉玉折　ブラインド缶バッジ（全5種）</t>
        </is>
      </c>
      <c r="D6" s="8" t="inlineStr">
        <is>
          <t>DB00</t>
        </is>
      </c>
      <c r="E6" s="8" t="inlineStr">
        <is>
          <t>DBS倉庫</t>
        </is>
      </c>
      <c r="F6" s="9">
        <f>IF(COUNTIFS('XTab DS_1'!$B$2:$B$95,$B6)&gt;=2,"重複","単独")</f>
        <v/>
      </c>
      <c r="G6" s="10">
        <f>SUMIFS('XTab DS_1'!$F$2:$F$95,'XTab DS_1'!$B$2:$B$95,$B6,'XTab DS_1'!$D$2:$D$95,$D6)</f>
        <v/>
      </c>
      <c r="H6" s="11">
        <f>SUMIFS('XTab DS_1'!$G$2:$G$95,'XTab DS_1'!$B$2:$B$95,$B6,'XTab DS_1'!$D$2:$D$95,$D6)</f>
        <v/>
      </c>
    </row>
    <row r="7">
      <c r="A7" s="8" t="n">
        <v>4515142545136</v>
      </c>
      <c r="B7" s="8" t="inlineStr">
        <is>
          <t>CX2509JKSBBDG-SJ9</t>
        </is>
      </c>
      <c r="C7" s="8" t="inlineStr">
        <is>
          <t>呪術廻戦展 渋谷事変　ブラインド缶バッジ（全9種）</t>
        </is>
      </c>
      <c r="D7" s="8" t="inlineStr">
        <is>
          <t>DB00</t>
        </is>
      </c>
      <c r="E7" s="8" t="inlineStr">
        <is>
          <t>DBS倉庫</t>
        </is>
      </c>
      <c r="F7" s="9">
        <f>IF(COUNTIFS('XTab DS_1'!$B$2:$B$95,$B7)&gt;=2,"重複","単独")</f>
        <v/>
      </c>
      <c r="G7" s="10">
        <f>SUMIFS('XTab DS_1'!$F$2:$F$95,'XTab DS_1'!$B$2:$B$95,$B7,'XTab DS_1'!$D$2:$D$95,$D7)</f>
        <v/>
      </c>
      <c r="H7" s="11">
        <f>SUMIFS('XTab DS_1'!$G$2:$G$95,'XTab DS_1'!$B$2:$B$95,$B7,'XTab DS_1'!$D$2:$D$95,$D7)</f>
        <v/>
      </c>
    </row>
    <row r="8">
      <c r="A8" s="8" t="n">
        <v>4515142545143</v>
      </c>
      <c r="B8" s="8" t="inlineStr">
        <is>
          <t>CX2509JKSBSTK-KG5</t>
        </is>
      </c>
      <c r="C8" s="8" t="inlineStr">
        <is>
          <t>呪術廻戦展 懐玉玉折　ブラインドダイカットステッカー（全5種）</t>
        </is>
      </c>
      <c r="D8" s="8" t="inlineStr">
        <is>
          <t>DB00</t>
        </is>
      </c>
      <c r="E8" s="8" t="inlineStr">
        <is>
          <t>DBS倉庫</t>
        </is>
      </c>
      <c r="F8" s="9">
        <f>IF(COUNTIFS('XTab DS_1'!$B$2:$B$95,$B8)&gt;=2,"重複","単独")</f>
        <v/>
      </c>
      <c r="G8" s="10">
        <f>SUMIFS('XTab DS_1'!$F$2:$F$95,'XTab DS_1'!$B$2:$B$95,$B8,'XTab DS_1'!$D$2:$D$95,$D8)</f>
        <v/>
      </c>
      <c r="H8" s="11">
        <f>SUMIFS('XTab DS_1'!$G$2:$G$95,'XTab DS_1'!$B$2:$B$95,$B8,'XTab DS_1'!$D$2:$D$95,$D8)</f>
        <v/>
      </c>
    </row>
    <row r="9">
      <c r="A9" s="8" t="n">
        <v>4515142545150</v>
      </c>
      <c r="B9" s="8" t="inlineStr">
        <is>
          <t>CX2509JKSBSTK-SJ9</t>
        </is>
      </c>
      <c r="C9" s="8" t="inlineStr">
        <is>
          <t>呪術廻戦展 渋谷事変　ブラインドダイカットステッカー（全9種）</t>
        </is>
      </c>
      <c r="D9" s="8" t="inlineStr">
        <is>
          <t>DB00</t>
        </is>
      </c>
      <c r="E9" s="8" t="inlineStr">
        <is>
          <t>DBS倉庫</t>
        </is>
      </c>
      <c r="F9" s="9">
        <f>IF(COUNTIFS('XTab DS_1'!$B$2:$B$95,$B9)&gt;=2,"重複","単独")</f>
        <v/>
      </c>
      <c r="G9" s="10">
        <f>SUMIFS('XTab DS_1'!$F$2:$F$95,'XTab DS_1'!$B$2:$B$95,$B9,'XTab DS_1'!$D$2:$D$95,$D9)</f>
        <v/>
      </c>
      <c r="H9" s="11">
        <f>SUMIFS('XTab DS_1'!$G$2:$G$95,'XTab DS_1'!$B$2:$B$95,$B9,'XTab DS_1'!$D$2:$D$95,$D9)</f>
        <v/>
      </c>
    </row>
    <row r="10">
      <c r="A10" s="8" t="n">
        <v>4515142545174</v>
      </c>
      <c r="B10" s="8" t="inlineStr">
        <is>
          <t>CX2509JKSBMCPA-KG5</t>
        </is>
      </c>
      <c r="C10" s="8" t="inlineStr">
        <is>
          <t>呪術廻戦展 懐玉玉折　ブラインドミニ色紙（全5種）</t>
        </is>
      </c>
      <c r="D10" s="8" t="inlineStr">
        <is>
          <t>DB00</t>
        </is>
      </c>
      <c r="E10" s="8" t="inlineStr">
        <is>
          <t>DBS倉庫</t>
        </is>
      </c>
      <c r="F10" s="9">
        <f>IF(COUNTIFS('XTab DS_1'!$B$2:$B$95,$B10)&gt;=2,"重複","単独")</f>
        <v/>
      </c>
      <c r="G10" s="10">
        <f>SUMIFS('XTab DS_1'!$F$2:$F$95,'XTab DS_1'!$B$2:$B$95,$B10,'XTab DS_1'!$D$2:$D$95,$D10)</f>
        <v/>
      </c>
      <c r="H10" s="11">
        <f>SUMIFS('XTab DS_1'!$G$2:$G$95,'XTab DS_1'!$B$2:$B$95,$B10,'XTab DS_1'!$D$2:$D$95,$D10)</f>
        <v/>
      </c>
    </row>
    <row r="11">
      <c r="A11" s="8" t="n">
        <v>4515142545181</v>
      </c>
      <c r="B11" s="8" t="inlineStr">
        <is>
          <t>CX2509JKSBMCPA-SJ5</t>
        </is>
      </c>
      <c r="C11" s="8" t="inlineStr">
        <is>
          <t>呪術廻戦展 渋谷事変　ブラインドミニ色紙（全5種）</t>
        </is>
      </c>
      <c r="D11" s="8" t="inlineStr">
        <is>
          <t>DB00</t>
        </is>
      </c>
      <c r="E11" s="8" t="inlineStr">
        <is>
          <t>DBS倉庫</t>
        </is>
      </c>
      <c r="F11" s="9">
        <f>IF(COUNTIFS('XTab DS_1'!$B$2:$B$95,$B11)&gt;=2,"重複","単独")</f>
        <v/>
      </c>
      <c r="G11" s="10">
        <f>SUMIFS('XTab DS_1'!$F$2:$F$95,'XTab DS_1'!$B$2:$B$95,$B11,'XTab DS_1'!$D$2:$D$95,$D11)</f>
        <v/>
      </c>
      <c r="H11" s="11">
        <f>SUMIFS('XTab DS_1'!$G$2:$G$95,'XTab DS_1'!$B$2:$B$95,$B11,'XTab DS_1'!$D$2:$D$95,$D11)</f>
        <v/>
      </c>
    </row>
    <row r="12">
      <c r="A12" s="8" t="n">
        <v>4515142545198</v>
      </c>
      <c r="B12" s="8" t="inlineStr">
        <is>
          <t>CX2509JKSGOBTBALL</t>
        </is>
      </c>
      <c r="C12" s="8" t="inlineStr">
        <is>
          <t>呪術廻戦展 懐玉玉折 渋谷事変　虚式 ? バスボール</t>
        </is>
      </c>
      <c r="D12" s="8" t="inlineStr">
        <is>
          <t>DB00</t>
        </is>
      </c>
      <c r="E12" s="8" t="inlineStr">
        <is>
          <t>DBS倉庫</t>
        </is>
      </c>
      <c r="F12" s="9">
        <f>IF(COUNTIFS('XTab DS_1'!$B$2:$B$95,$B12)&gt;=2,"重複","単独")</f>
        <v/>
      </c>
      <c r="G12" s="10">
        <f>SUMIFS('XTab DS_1'!$F$2:$F$95,'XTab DS_1'!$B$2:$B$95,$B12,'XTab DS_1'!$D$2:$D$95,$D12)</f>
        <v/>
      </c>
      <c r="H12" s="11">
        <f>SUMIFS('XTab DS_1'!$G$2:$G$95,'XTab DS_1'!$B$2:$B$95,$B12,'XTab DS_1'!$D$2:$D$95,$D12)</f>
        <v/>
      </c>
    </row>
    <row r="13">
      <c r="A13" s="8" t="n">
        <v>4515142545204</v>
      </c>
      <c r="B13" s="8" t="inlineStr">
        <is>
          <t>CX2509JKSGEHAIRBD</t>
        </is>
      </c>
      <c r="C13" s="8" t="inlineStr">
        <is>
          <t>呪術廻戦展 懐玉玉折 渋谷事変　前髪ヘアバンド</t>
        </is>
      </c>
      <c r="D13" s="8" t="inlineStr">
        <is>
          <t>DB00</t>
        </is>
      </c>
      <c r="E13" s="8" t="inlineStr">
        <is>
          <t>DBS倉庫</t>
        </is>
      </c>
      <c r="F13" s="9">
        <f>IF(COUNTIFS('XTab DS_1'!$B$2:$B$95,$B13)&gt;=2,"重複","単独")</f>
        <v/>
      </c>
      <c r="G13" s="10">
        <f>SUMIFS('XTab DS_1'!$F$2:$F$95,'XTab DS_1'!$B$2:$B$95,$B13,'XTab DS_1'!$D$2:$D$95,$D13)</f>
        <v/>
      </c>
      <c r="H13" s="11">
        <f>SUMIFS('XTab DS_1'!$G$2:$G$95,'XTab DS_1'!$B$2:$B$95,$B13,'XTab DS_1'!$D$2:$D$95,$D13)</f>
        <v/>
      </c>
    </row>
    <row r="14">
      <c r="A14" s="8" t="n">
        <v>4515142545211</v>
      </c>
      <c r="B14" s="8" t="inlineStr">
        <is>
          <t>CX2509JKSBANDAGE</t>
        </is>
      </c>
      <c r="C14" s="8" t="inlineStr">
        <is>
          <t>呪術廻戦展 懐玉玉折 渋谷事変　反転術式絆創膏</t>
        </is>
      </c>
      <c r="D14" s="8" t="inlineStr">
        <is>
          <t>DB00</t>
        </is>
      </c>
      <c r="E14" s="8" t="inlineStr">
        <is>
          <t>DBS倉庫</t>
        </is>
      </c>
      <c r="F14" s="9">
        <f>IF(COUNTIFS('XTab DS_1'!$B$2:$B$95,$B14)&gt;=2,"重複","単独")</f>
        <v/>
      </c>
      <c r="G14" s="10">
        <f>SUMIFS('XTab DS_1'!$F$2:$F$95,'XTab DS_1'!$B$2:$B$95,$B14,'XTab DS_1'!$D$2:$D$95,$D14)</f>
        <v/>
      </c>
      <c r="H14" s="11">
        <f>SUMIFS('XTab DS_1'!$G$2:$G$95,'XTab DS_1'!$B$2:$B$95,$B14,'XTab DS_1'!$D$2:$D$95,$D14)</f>
        <v/>
      </c>
    </row>
    <row r="15">
      <c r="A15" s="8" t="n">
        <v>4515142545228</v>
      </c>
      <c r="B15" s="8" t="inlineStr">
        <is>
          <t>CX2509JKSSKFINGER</t>
        </is>
      </c>
      <c r="C15" s="8" t="inlineStr">
        <is>
          <t>呪術廻戦展 懐玉玉折 渋谷事変　宿儺の指風お菓子</t>
        </is>
      </c>
      <c r="D15" s="8" t="inlineStr">
        <is>
          <t>DB00</t>
        </is>
      </c>
      <c r="E15" s="8" t="inlineStr">
        <is>
          <t>DBS倉庫</t>
        </is>
      </c>
      <c r="F15" s="9">
        <f>IF(COUNTIFS('XTab DS_1'!$B$2:$B$95,$B15)&gt;=2,"重複","単独")</f>
        <v/>
      </c>
      <c r="G15" s="10">
        <f>SUMIFS('XTab DS_1'!$F$2:$F$95,'XTab DS_1'!$B$2:$B$95,$B15,'XTab DS_1'!$D$2:$D$95,$D15)</f>
        <v/>
      </c>
      <c r="H15" s="11">
        <f>SUMIFS('XTab DS_1'!$G$2:$G$95,'XTab DS_1'!$B$2:$B$95,$B15,'XTab DS_1'!$D$2:$D$95,$D15)</f>
        <v/>
      </c>
    </row>
    <row r="16">
      <c r="A16" s="8" t="n">
        <v>4515142545235</v>
      </c>
      <c r="B16" s="8" t="inlineStr">
        <is>
          <t>CX2509JKSDTPCHCLP</t>
        </is>
      </c>
      <c r="C16" s="8" t="inlineStr">
        <is>
          <t>呪術廻戦展 懐玉玉折 渋谷事変　脱兎 ポーチ入りクリップセット</t>
        </is>
      </c>
      <c r="D16" s="8" t="inlineStr">
        <is>
          <t>DB00</t>
        </is>
      </c>
      <c r="E16" s="8" t="inlineStr">
        <is>
          <t>DBS倉庫</t>
        </is>
      </c>
      <c r="F16" s="9">
        <f>IF(COUNTIFS('XTab DS_1'!$B$2:$B$95,$B16)&gt;=2,"重複","単独")</f>
        <v/>
      </c>
      <c r="G16" s="10">
        <f>SUMIFS('XTab DS_1'!$F$2:$F$95,'XTab DS_1'!$B$2:$B$95,$B16,'XTab DS_1'!$D$2:$D$95,$D16)</f>
        <v/>
      </c>
      <c r="H16" s="11">
        <f>SUMIFS('XTab DS_1'!$G$2:$G$95,'XTab DS_1'!$B$2:$B$95,$B16,'XTab DS_1'!$D$2:$D$95,$D16)</f>
        <v/>
      </c>
    </row>
    <row r="17">
      <c r="A17" s="8" t="n">
        <v>4515142545242</v>
      </c>
      <c r="B17" s="8" t="inlineStr">
        <is>
          <t>CX2509JKSNBECOBAG</t>
        </is>
      </c>
      <c r="C17" s="8" t="inlineStr">
        <is>
          <t>呪術廻戦展 懐玉玉折 渋谷事変　釘崎のポーチ風エコバッグ</t>
        </is>
      </c>
      <c r="D17" s="8" t="inlineStr">
        <is>
          <t>DB00</t>
        </is>
      </c>
      <c r="E17" s="8" t="inlineStr">
        <is>
          <t>DBS倉庫</t>
        </is>
      </c>
      <c r="F17" s="9">
        <f>IF(COUNTIFS('XTab DS_1'!$B$2:$B$95,$B17)&gt;=2,"重複","単独")</f>
        <v/>
      </c>
      <c r="G17" s="10">
        <f>SUMIFS('XTab DS_1'!$F$2:$F$95,'XTab DS_1'!$B$2:$B$95,$B17,'XTab DS_1'!$D$2:$D$95,$D17)</f>
        <v/>
      </c>
      <c r="H17" s="11">
        <f>SUMIFS('XTab DS_1'!$G$2:$G$95,'XTab DS_1'!$B$2:$B$95,$B17,'XTab DS_1'!$D$2:$D$95,$D17)</f>
        <v/>
      </c>
    </row>
    <row r="18">
      <c r="A18" s="8" t="n">
        <v>4515142545259</v>
      </c>
      <c r="B18" s="8" t="inlineStr">
        <is>
          <t>CX2509JKSPLANNER</t>
        </is>
      </c>
      <c r="C18" s="8" t="inlineStr">
        <is>
          <t>呪術廻戦展 懐玉玉折 渋谷事変　半年分の情報が書き込める手帳</t>
        </is>
      </c>
      <c r="D18" s="8" t="inlineStr">
        <is>
          <t>DB00</t>
        </is>
      </c>
      <c r="E18" s="8" t="inlineStr">
        <is>
          <t>DBS倉庫</t>
        </is>
      </c>
      <c r="F18" s="9">
        <f>IF(COUNTIFS('XTab DS_1'!$B$2:$B$95,$B18)&gt;=2,"重複","単独")</f>
        <v/>
      </c>
      <c r="G18" s="10">
        <f>SUMIFS('XTab DS_1'!$F$2:$F$95,'XTab DS_1'!$B$2:$B$95,$B18,'XTab DS_1'!$D$2:$D$95,$D18)</f>
        <v/>
      </c>
      <c r="H18" s="11">
        <f>SUMIFS('XTab DS_1'!$G$2:$G$95,'XTab DS_1'!$B$2:$B$95,$B18,'XTab DS_1'!$D$2:$D$95,$D18)</f>
        <v/>
      </c>
    </row>
    <row r="19">
      <c r="A19" s="8" t="n">
        <v>4515142545266</v>
      </c>
      <c r="B19" s="8" t="inlineStr">
        <is>
          <t>CX2509JKSMUSICBOX</t>
        </is>
      </c>
      <c r="C19" s="8" t="inlineStr">
        <is>
          <t>呪術廻戦展 懐玉玉折 渋谷事変　気分リフレッシュオルゴール</t>
        </is>
      </c>
      <c r="D19" s="8" t="inlineStr">
        <is>
          <t>DB00</t>
        </is>
      </c>
      <c r="E19" s="8" t="inlineStr">
        <is>
          <t>DBS倉庫</t>
        </is>
      </c>
      <c r="F19" s="9">
        <f>IF(COUNTIFS('XTab DS_1'!$B$2:$B$95,$B19)&gt;=2,"重複","単独")</f>
        <v/>
      </c>
      <c r="G19" s="10">
        <f>SUMIFS('XTab DS_1'!$F$2:$F$95,'XTab DS_1'!$B$2:$B$95,$B19,'XTab DS_1'!$D$2:$D$95,$D19)</f>
        <v/>
      </c>
      <c r="H19" s="11">
        <f>SUMIFS('XTab DS_1'!$G$2:$G$95,'XTab DS_1'!$B$2:$B$95,$B19,'XTab DS_1'!$D$2:$D$95,$D19)</f>
        <v/>
      </c>
    </row>
    <row r="20">
      <c r="A20" s="8" t="n">
        <v>4515142545273</v>
      </c>
      <c r="B20" s="8" t="inlineStr">
        <is>
          <t>CX2509JKSIRG-GO11</t>
        </is>
      </c>
      <c r="C20" s="8" t="inlineStr">
        <is>
          <t>呪術廻戦展 懐玉玉折 渋谷事変　五条 悟　イメージリング（#11）</t>
        </is>
      </c>
      <c r="D20" s="8" t="inlineStr">
        <is>
          <t>DB00</t>
        </is>
      </c>
      <c r="E20" s="8" t="inlineStr">
        <is>
          <t>DBS倉庫</t>
        </is>
      </c>
      <c r="F20" s="9">
        <f>IF(COUNTIFS('XTab DS_1'!$B$2:$B$95,$B20)&gt;=2,"重複","単独")</f>
        <v/>
      </c>
      <c r="G20" s="10">
        <f>SUMIFS('XTab DS_1'!$F$2:$F$95,'XTab DS_1'!$B$2:$B$95,$B20,'XTab DS_1'!$D$2:$D$95,$D20)</f>
        <v/>
      </c>
      <c r="H20" s="11">
        <f>SUMIFS('XTab DS_1'!$G$2:$G$95,'XTab DS_1'!$B$2:$B$95,$B20,'XTab DS_1'!$D$2:$D$95,$D20)</f>
        <v/>
      </c>
    </row>
    <row r="21">
      <c r="A21" s="8" t="n">
        <v>4515142545280</v>
      </c>
      <c r="B21" s="8" t="inlineStr">
        <is>
          <t>CX2509JKSIRG-GO13</t>
        </is>
      </c>
      <c r="C21" s="8" t="inlineStr">
        <is>
          <t>呪術廻戦展 懐玉玉折 渋谷事変　五条 悟　イメージリング（#13）</t>
        </is>
      </c>
      <c r="D21" s="8" t="inlineStr">
        <is>
          <t>DB00</t>
        </is>
      </c>
      <c r="E21" s="8" t="inlineStr">
        <is>
          <t>DBS倉庫</t>
        </is>
      </c>
      <c r="F21" s="9">
        <f>IF(COUNTIFS('XTab DS_1'!$B$2:$B$95,$B21)&gt;=2,"重複","単独")</f>
        <v/>
      </c>
      <c r="G21" s="10">
        <f>SUMIFS('XTab DS_1'!$F$2:$F$95,'XTab DS_1'!$B$2:$B$95,$B21,'XTab DS_1'!$D$2:$D$95,$D21)</f>
        <v/>
      </c>
      <c r="H21" s="11">
        <f>SUMIFS('XTab DS_1'!$G$2:$G$95,'XTab DS_1'!$B$2:$B$95,$B21,'XTab DS_1'!$D$2:$D$95,$D21)</f>
        <v/>
      </c>
    </row>
    <row r="22">
      <c r="A22" s="8" t="n">
        <v>4515142545297</v>
      </c>
      <c r="B22" s="8" t="inlineStr">
        <is>
          <t>CX2509JKSIRG-GO15</t>
        </is>
      </c>
      <c r="C22" s="8" t="inlineStr">
        <is>
          <t>呪術廻戦展 懐玉玉折 渋谷事変　五条 悟　イメージリング（#15）</t>
        </is>
      </c>
      <c r="D22" s="8" t="inlineStr">
        <is>
          <t>DB00</t>
        </is>
      </c>
      <c r="E22" s="8" t="inlineStr">
        <is>
          <t>DBS倉庫</t>
        </is>
      </c>
      <c r="F22" s="9">
        <f>IF(COUNTIFS('XTab DS_1'!$B$2:$B$95,$B22)&gt;=2,"重複","単独")</f>
        <v/>
      </c>
      <c r="G22" s="10">
        <f>SUMIFS('XTab DS_1'!$F$2:$F$95,'XTab DS_1'!$B$2:$B$95,$B22,'XTab DS_1'!$D$2:$D$95,$D22)</f>
        <v/>
      </c>
      <c r="H22" s="11">
        <f>SUMIFS('XTab DS_1'!$G$2:$G$95,'XTab DS_1'!$B$2:$B$95,$B22,'XTab DS_1'!$D$2:$D$95,$D22)</f>
        <v/>
      </c>
    </row>
    <row r="23">
      <c r="A23" s="8" t="n">
        <v>4515142545303</v>
      </c>
      <c r="B23" s="8" t="inlineStr">
        <is>
          <t>CX2509JKSIRG-GO17</t>
        </is>
      </c>
      <c r="C23" s="8" t="inlineStr">
        <is>
          <t>呪術廻戦展 懐玉玉折 渋谷事変　五条 悟　イメージリング（#17）</t>
        </is>
      </c>
      <c r="D23" s="8" t="inlineStr">
        <is>
          <t>DB00</t>
        </is>
      </c>
      <c r="E23" s="8" t="inlineStr">
        <is>
          <t>DBS倉庫</t>
        </is>
      </c>
      <c r="F23" s="9">
        <f>IF(COUNTIFS('XTab DS_1'!$B$2:$B$95,$B23)&gt;=2,"重複","単独")</f>
        <v/>
      </c>
      <c r="G23" s="10">
        <f>SUMIFS('XTab DS_1'!$F$2:$F$95,'XTab DS_1'!$B$2:$B$95,$B23,'XTab DS_1'!$D$2:$D$95,$D23)</f>
        <v/>
      </c>
      <c r="H23" s="11">
        <f>SUMIFS('XTab DS_1'!$G$2:$G$95,'XTab DS_1'!$B$2:$B$95,$B23,'XTab DS_1'!$D$2:$D$95,$D23)</f>
        <v/>
      </c>
    </row>
    <row r="24">
      <c r="A24" s="8" t="n">
        <v>4515142545310</v>
      </c>
      <c r="B24" s="8" t="inlineStr">
        <is>
          <t>CX2509JKSIRG-GE11</t>
        </is>
      </c>
      <c r="C24" s="8" t="inlineStr">
        <is>
          <t>呪術廻戦展 懐玉玉折 渋谷事変　夏油 傑　イメージリング（#11）</t>
        </is>
      </c>
      <c r="D24" s="8" t="inlineStr">
        <is>
          <t>DB00</t>
        </is>
      </c>
      <c r="E24" s="8" t="inlineStr">
        <is>
          <t>DBS倉庫</t>
        </is>
      </c>
      <c r="F24" s="9">
        <f>IF(COUNTIFS('XTab DS_1'!$B$2:$B$95,$B24)&gt;=2,"重複","単独")</f>
        <v/>
      </c>
      <c r="G24" s="10">
        <f>SUMIFS('XTab DS_1'!$F$2:$F$95,'XTab DS_1'!$B$2:$B$95,$B24,'XTab DS_1'!$D$2:$D$95,$D24)</f>
        <v/>
      </c>
      <c r="H24" s="11">
        <f>SUMIFS('XTab DS_1'!$G$2:$G$95,'XTab DS_1'!$B$2:$B$95,$B24,'XTab DS_1'!$D$2:$D$95,$D24)</f>
        <v/>
      </c>
    </row>
    <row r="25">
      <c r="A25" s="8" t="n">
        <v>4515142545327</v>
      </c>
      <c r="B25" s="8" t="inlineStr">
        <is>
          <t>CX2509JKSIRG-GE13</t>
        </is>
      </c>
      <c r="C25" s="8" t="inlineStr">
        <is>
          <t>呪術廻戦展 懐玉玉折 渋谷事変　夏油 傑　イメージリング（#13）</t>
        </is>
      </c>
      <c r="D25" s="8" t="inlineStr">
        <is>
          <t>DB00</t>
        </is>
      </c>
      <c r="E25" s="8" t="inlineStr">
        <is>
          <t>DBS倉庫</t>
        </is>
      </c>
      <c r="F25" s="9">
        <f>IF(COUNTIFS('XTab DS_1'!$B$2:$B$95,$B25)&gt;=2,"重複","単独")</f>
        <v/>
      </c>
      <c r="G25" s="10">
        <f>SUMIFS('XTab DS_1'!$F$2:$F$95,'XTab DS_1'!$B$2:$B$95,$B25,'XTab DS_1'!$D$2:$D$95,$D25)</f>
        <v/>
      </c>
      <c r="H25" s="11">
        <f>SUMIFS('XTab DS_1'!$G$2:$G$95,'XTab DS_1'!$B$2:$B$95,$B25,'XTab DS_1'!$D$2:$D$95,$D25)</f>
        <v/>
      </c>
    </row>
    <row r="26">
      <c r="A26" s="8" t="n">
        <v>4515142545334</v>
      </c>
      <c r="B26" s="8" t="inlineStr">
        <is>
          <t>CX2509JKSIRG-GE15</t>
        </is>
      </c>
      <c r="C26" s="8" t="inlineStr">
        <is>
          <t>呪術廻戦展 懐玉玉折 渋谷事変　夏油 傑　イメージリング（#15）</t>
        </is>
      </c>
      <c r="D26" s="8" t="inlineStr">
        <is>
          <t>DB00</t>
        </is>
      </c>
      <c r="E26" s="8" t="inlineStr">
        <is>
          <t>DBS倉庫</t>
        </is>
      </c>
      <c r="F26" s="9">
        <f>IF(COUNTIFS('XTab DS_1'!$B$2:$B$95,$B26)&gt;=2,"重複","単独")</f>
        <v/>
      </c>
      <c r="G26" s="10">
        <f>SUMIFS('XTab DS_1'!$F$2:$F$95,'XTab DS_1'!$B$2:$B$95,$B26,'XTab DS_1'!$D$2:$D$95,$D26)</f>
        <v/>
      </c>
      <c r="H26" s="11">
        <f>SUMIFS('XTab DS_1'!$G$2:$G$95,'XTab DS_1'!$B$2:$B$95,$B26,'XTab DS_1'!$D$2:$D$95,$D26)</f>
        <v/>
      </c>
    </row>
    <row r="27">
      <c r="A27" s="8" t="n">
        <v>4515142545341</v>
      </c>
      <c r="B27" s="8" t="inlineStr">
        <is>
          <t>CX2509JKSIRG-GE17</t>
        </is>
      </c>
      <c r="C27" s="8" t="inlineStr">
        <is>
          <t>呪術廻戦展 懐玉玉折 渋谷事変　夏油 傑　イメージリング（#17）</t>
        </is>
      </c>
      <c r="D27" s="8" t="inlineStr">
        <is>
          <t>DB00</t>
        </is>
      </c>
      <c r="E27" s="8" t="inlineStr">
        <is>
          <t>DBS倉庫</t>
        </is>
      </c>
      <c r="F27" s="9">
        <f>IF(COUNTIFS('XTab DS_1'!$B$2:$B$95,$B27)&gt;=2,"重複","単独")</f>
        <v/>
      </c>
      <c r="G27" s="10">
        <f>SUMIFS('XTab DS_1'!$F$2:$F$95,'XTab DS_1'!$B$2:$B$95,$B27,'XTab DS_1'!$D$2:$D$95,$D27)</f>
        <v/>
      </c>
      <c r="H27" s="11">
        <f>SUMIFS('XTab DS_1'!$G$2:$G$95,'XTab DS_1'!$B$2:$B$95,$B27,'XTab DS_1'!$D$2:$D$95,$D27)</f>
        <v/>
      </c>
    </row>
    <row r="28">
      <c r="A28" s="8" t="n">
        <v>4515142545358</v>
      </c>
      <c r="B28" s="8" t="inlineStr">
        <is>
          <t>CX2509JKSIFC-IU</t>
        </is>
      </c>
      <c r="C28" s="8" t="inlineStr">
        <is>
          <t>呪術廻戦展 懐玉玉折 渋谷事変　虎杖 悠仁　イメージフラグメントケース</t>
        </is>
      </c>
      <c r="D28" s="8" t="inlineStr">
        <is>
          <t>DB00</t>
        </is>
      </c>
      <c r="E28" s="8" t="inlineStr">
        <is>
          <t>DBS倉庫</t>
        </is>
      </c>
      <c r="F28" s="9">
        <f>IF(COUNTIFS('XTab DS_1'!$B$2:$B$95,$B28)&gt;=2,"重複","単独")</f>
        <v/>
      </c>
      <c r="G28" s="10">
        <f>SUMIFS('XTab DS_1'!$F$2:$F$95,'XTab DS_1'!$B$2:$B$95,$B28,'XTab DS_1'!$D$2:$D$95,$D28)</f>
        <v/>
      </c>
      <c r="H28" s="11">
        <f>SUMIFS('XTab DS_1'!$G$2:$G$95,'XTab DS_1'!$B$2:$B$95,$B28,'XTab DS_1'!$D$2:$D$95,$D28)</f>
        <v/>
      </c>
    </row>
    <row r="29">
      <c r="A29" s="8" t="n">
        <v>4515142545365</v>
      </c>
      <c r="B29" s="8" t="inlineStr">
        <is>
          <t>CX2509JKSIFC-FM</t>
        </is>
      </c>
      <c r="C29" s="8" t="inlineStr">
        <is>
          <t>呪術廻戦展 懐玉玉折 渋谷事変　伏黒 恵　イメージフラグメントケース</t>
        </is>
      </c>
      <c r="D29" s="8" t="inlineStr">
        <is>
          <t>DB00</t>
        </is>
      </c>
      <c r="E29" s="8" t="inlineStr">
        <is>
          <t>DBS倉庫</t>
        </is>
      </c>
      <c r="F29" s="9">
        <f>IF(COUNTIFS('XTab DS_1'!$B$2:$B$95,$B29)&gt;=2,"重複","単独")</f>
        <v/>
      </c>
      <c r="G29" s="10">
        <f>SUMIFS('XTab DS_1'!$F$2:$F$95,'XTab DS_1'!$B$2:$B$95,$B29,'XTab DS_1'!$D$2:$D$95,$D29)</f>
        <v/>
      </c>
      <c r="H29" s="11">
        <f>SUMIFS('XTab DS_1'!$G$2:$G$95,'XTab DS_1'!$B$2:$B$95,$B29,'XTab DS_1'!$D$2:$D$95,$D29)</f>
        <v/>
      </c>
    </row>
    <row r="30">
      <c r="A30" s="8" t="n">
        <v>4515142545372</v>
      </c>
      <c r="B30" s="8" t="inlineStr">
        <is>
          <t>CX2509JKSCF-KGGO</t>
        </is>
      </c>
      <c r="C30" s="8" t="inlineStr">
        <is>
          <t>呪術廻戦展 懐玉玉折　クリアファイル（五条 悟）</t>
        </is>
      </c>
      <c r="D30" s="8" t="inlineStr">
        <is>
          <t>DB00</t>
        </is>
      </c>
      <c r="E30" s="8" t="inlineStr">
        <is>
          <t>DBS倉庫</t>
        </is>
      </c>
      <c r="F30" s="9">
        <f>IF(COUNTIFS('XTab DS_1'!$B$2:$B$95,$B30)&gt;=2,"重複","単独")</f>
        <v/>
      </c>
      <c r="G30" s="10">
        <f>SUMIFS('XTab DS_1'!$F$2:$F$95,'XTab DS_1'!$B$2:$B$95,$B30,'XTab DS_1'!$D$2:$D$95,$D30)</f>
        <v/>
      </c>
      <c r="H30" s="11">
        <f>SUMIFS('XTab DS_1'!$G$2:$G$95,'XTab DS_1'!$B$2:$B$95,$B30,'XTab DS_1'!$D$2:$D$95,$D30)</f>
        <v/>
      </c>
    </row>
    <row r="31">
      <c r="A31" s="8" t="n">
        <v>4515142545389</v>
      </c>
      <c r="B31" s="8" t="inlineStr">
        <is>
          <t>CX2509JKSCF-KGGE</t>
        </is>
      </c>
      <c r="C31" s="8" t="inlineStr">
        <is>
          <t>呪術廻戦展 懐玉玉折　クリアファイル（夏油 傑）</t>
        </is>
      </c>
      <c r="D31" s="8" t="inlineStr">
        <is>
          <t>DB00</t>
        </is>
      </c>
      <c r="E31" s="8" t="inlineStr">
        <is>
          <t>DBS倉庫</t>
        </is>
      </c>
      <c r="F31" s="9">
        <f>IF(COUNTIFS('XTab DS_1'!$B$2:$B$95,$B31)&gt;=2,"重複","単独")</f>
        <v/>
      </c>
      <c r="G31" s="10">
        <f>SUMIFS('XTab DS_1'!$F$2:$F$95,'XTab DS_1'!$B$2:$B$95,$B31,'XTab DS_1'!$D$2:$D$95,$D31)</f>
        <v/>
      </c>
      <c r="H31" s="11">
        <f>SUMIFS('XTab DS_1'!$G$2:$G$95,'XTab DS_1'!$B$2:$B$95,$B31,'XTab DS_1'!$D$2:$D$95,$D31)</f>
        <v/>
      </c>
    </row>
    <row r="32">
      <c r="A32" s="8" t="n">
        <v>4515142545396</v>
      </c>
      <c r="B32" s="8" t="inlineStr">
        <is>
          <t>CX2509JKSCF-KGIS</t>
        </is>
      </c>
      <c r="C32" s="8" t="inlineStr">
        <is>
          <t>呪術廻戦展 懐玉玉折　クリアファイル（家入 硝子）</t>
        </is>
      </c>
      <c r="D32" s="8" t="inlineStr">
        <is>
          <t>DB00</t>
        </is>
      </c>
      <c r="E32" s="8" t="inlineStr">
        <is>
          <t>DBS倉庫</t>
        </is>
      </c>
      <c r="F32" s="9">
        <f>IF(COUNTIFS('XTab DS_1'!$B$2:$B$95,$B32)&gt;=2,"重複","単独")</f>
        <v/>
      </c>
      <c r="G32" s="10">
        <f>SUMIFS('XTab DS_1'!$F$2:$F$95,'XTab DS_1'!$B$2:$B$95,$B32,'XTab DS_1'!$D$2:$D$95,$D32)</f>
        <v/>
      </c>
      <c r="H32" s="11">
        <f>SUMIFS('XTab DS_1'!$G$2:$G$95,'XTab DS_1'!$B$2:$B$95,$B32,'XTab DS_1'!$D$2:$D$95,$D32)</f>
        <v/>
      </c>
    </row>
    <row r="33">
      <c r="A33" s="8" t="n">
        <v>4515142545402</v>
      </c>
      <c r="B33" s="8" t="inlineStr">
        <is>
          <t>CX2509JKSCF-KGNM</t>
        </is>
      </c>
      <c r="C33" s="8" t="inlineStr">
        <is>
          <t>呪術廻戦展 懐玉玉折　クリアファイル（七海 建人）</t>
        </is>
      </c>
      <c r="D33" s="8" t="inlineStr">
        <is>
          <t>DB00</t>
        </is>
      </c>
      <c r="E33" s="8" t="inlineStr">
        <is>
          <t>DBS倉庫</t>
        </is>
      </c>
      <c r="F33" s="9">
        <f>IF(COUNTIFS('XTab DS_1'!$B$2:$B$95,$B33)&gt;=2,"重複","単独")</f>
        <v/>
      </c>
      <c r="G33" s="10">
        <f>SUMIFS('XTab DS_1'!$F$2:$F$95,'XTab DS_1'!$B$2:$B$95,$B33,'XTab DS_1'!$D$2:$D$95,$D33)</f>
        <v/>
      </c>
      <c r="H33" s="11">
        <f>SUMIFS('XTab DS_1'!$G$2:$G$95,'XTab DS_1'!$B$2:$B$95,$B33,'XTab DS_1'!$D$2:$D$95,$D33)</f>
        <v/>
      </c>
    </row>
    <row r="34">
      <c r="A34" s="8" t="n">
        <v>4515142545419</v>
      </c>
      <c r="B34" s="8" t="inlineStr">
        <is>
          <t>CX2509JKSCF-KGHU</t>
        </is>
      </c>
      <c r="C34" s="8" t="inlineStr">
        <is>
          <t>呪術廻戦展 懐玉玉折　クリアファイル（灰原 雄）</t>
        </is>
      </c>
      <c r="D34" s="8" t="inlineStr">
        <is>
          <t>DB00</t>
        </is>
      </c>
      <c r="E34" s="8" t="inlineStr">
        <is>
          <t>DBS倉庫</t>
        </is>
      </c>
      <c r="F34" s="9">
        <f>IF(COUNTIFS('XTab DS_1'!$B$2:$B$95,$B34)&gt;=2,"重複","単独")</f>
        <v/>
      </c>
      <c r="G34" s="10">
        <f>SUMIFS('XTab DS_1'!$F$2:$F$95,'XTab DS_1'!$B$2:$B$95,$B34,'XTab DS_1'!$D$2:$D$95,$D34)</f>
        <v/>
      </c>
      <c r="H34" s="11">
        <f>SUMIFS('XTab DS_1'!$G$2:$G$95,'XTab DS_1'!$B$2:$B$95,$B34,'XTab DS_1'!$D$2:$D$95,$D34)</f>
        <v/>
      </c>
    </row>
    <row r="35">
      <c r="A35" s="8" t="n">
        <v>4515142545426</v>
      </c>
      <c r="B35" s="8" t="inlineStr">
        <is>
          <t>CX2509JKSCF-SJIU</t>
        </is>
      </c>
      <c r="C35" s="8" t="inlineStr">
        <is>
          <t>呪術廻戦展 渋谷事変　クリアファイル（虎杖 悠仁）</t>
        </is>
      </c>
      <c r="D35" s="8" t="inlineStr">
        <is>
          <t>DB00</t>
        </is>
      </c>
      <c r="E35" s="8" t="inlineStr">
        <is>
          <t>DBS倉庫</t>
        </is>
      </c>
      <c r="F35" s="9">
        <f>IF(COUNTIFS('XTab DS_1'!$B$2:$B$95,$B35)&gt;=2,"重複","単独")</f>
        <v/>
      </c>
      <c r="G35" s="10">
        <f>SUMIFS('XTab DS_1'!$F$2:$F$95,'XTab DS_1'!$B$2:$B$95,$B35,'XTab DS_1'!$D$2:$D$95,$D35)</f>
        <v/>
      </c>
      <c r="H35" s="11">
        <f>SUMIFS('XTab DS_1'!$G$2:$G$95,'XTab DS_1'!$B$2:$B$95,$B35,'XTab DS_1'!$D$2:$D$95,$D35)</f>
        <v/>
      </c>
    </row>
    <row r="36">
      <c r="A36" s="8" t="n">
        <v>4515142545433</v>
      </c>
      <c r="B36" s="8" t="inlineStr">
        <is>
          <t>CX2509JKSCF-SJFM</t>
        </is>
      </c>
      <c r="C36" s="8" t="inlineStr">
        <is>
          <t>呪術廻戦展 渋谷事変　クリアファイル（伏黒 恵）</t>
        </is>
      </c>
      <c r="D36" s="8" t="inlineStr">
        <is>
          <t>DB00</t>
        </is>
      </c>
      <c r="E36" s="8" t="inlineStr">
        <is>
          <t>DBS倉庫</t>
        </is>
      </c>
      <c r="F36" s="9">
        <f>IF(COUNTIFS('XTab DS_1'!$B$2:$B$95,$B36)&gt;=2,"重複","単独")</f>
        <v/>
      </c>
      <c r="G36" s="10">
        <f>SUMIFS('XTab DS_1'!$F$2:$F$95,'XTab DS_1'!$B$2:$B$95,$B36,'XTab DS_1'!$D$2:$D$95,$D36)</f>
        <v/>
      </c>
      <c r="H36" s="11">
        <f>SUMIFS('XTab DS_1'!$G$2:$G$95,'XTab DS_1'!$B$2:$B$95,$B36,'XTab DS_1'!$D$2:$D$95,$D36)</f>
        <v/>
      </c>
    </row>
    <row r="37">
      <c r="A37" s="8" t="n">
        <v>4515142545440</v>
      </c>
      <c r="B37" s="8" t="inlineStr">
        <is>
          <t>CX2509JKSCF-SJNB</t>
        </is>
      </c>
      <c r="C37" s="8" t="inlineStr">
        <is>
          <t>呪術廻戦展 渋谷事変　クリアファイル（釘崎 野薔薇）</t>
        </is>
      </c>
      <c r="D37" s="8" t="inlineStr">
        <is>
          <t>DB00</t>
        </is>
      </c>
      <c r="E37" s="8" t="inlineStr">
        <is>
          <t>DBS倉庫</t>
        </is>
      </c>
      <c r="F37" s="9">
        <f>IF(COUNTIFS('XTab DS_1'!$B$2:$B$95,$B37)&gt;=2,"重複","単独")</f>
        <v/>
      </c>
      <c r="G37" s="10">
        <f>SUMIFS('XTab DS_1'!$F$2:$F$95,'XTab DS_1'!$B$2:$B$95,$B37,'XTab DS_1'!$D$2:$D$95,$D37)</f>
        <v/>
      </c>
      <c r="H37" s="11">
        <f>SUMIFS('XTab DS_1'!$G$2:$G$95,'XTab DS_1'!$B$2:$B$95,$B37,'XTab DS_1'!$D$2:$D$95,$D37)</f>
        <v/>
      </c>
    </row>
    <row r="38">
      <c r="A38" s="8" t="n">
        <v>4515142545457</v>
      </c>
      <c r="B38" s="8" t="inlineStr">
        <is>
          <t>CX2509JKSCF-SJNM</t>
        </is>
      </c>
      <c r="C38" s="8" t="inlineStr">
        <is>
          <t>呪術廻戦展 渋谷事変　クリアファイル（七海 建人）</t>
        </is>
      </c>
      <c r="D38" s="8" t="inlineStr">
        <is>
          <t>DB00</t>
        </is>
      </c>
      <c r="E38" s="8" t="inlineStr">
        <is>
          <t>DBS倉庫</t>
        </is>
      </c>
      <c r="F38" s="9">
        <f>IF(COUNTIFS('XTab DS_1'!$B$2:$B$95,$B38)&gt;=2,"重複","単独")</f>
        <v/>
      </c>
      <c r="G38" s="10">
        <f>SUMIFS('XTab DS_1'!$F$2:$F$95,'XTab DS_1'!$B$2:$B$95,$B38,'XTab DS_1'!$D$2:$D$95,$D38)</f>
        <v/>
      </c>
      <c r="H38" s="11">
        <f>SUMIFS('XTab DS_1'!$G$2:$G$95,'XTab DS_1'!$B$2:$B$95,$B38,'XTab DS_1'!$D$2:$D$95,$D38)</f>
        <v/>
      </c>
    </row>
    <row r="39">
      <c r="A39" s="8" t="n">
        <v>4515142545464</v>
      </c>
      <c r="B39" s="8" t="inlineStr">
        <is>
          <t>CX2509JKSCF-SJGO</t>
        </is>
      </c>
      <c r="C39" s="8" t="inlineStr">
        <is>
          <t>呪術廻戦展 渋谷事変　クリアファイル（五条 悟）</t>
        </is>
      </c>
      <c r="D39" s="8" t="inlineStr">
        <is>
          <t>DB00</t>
        </is>
      </c>
      <c r="E39" s="8" t="inlineStr">
        <is>
          <t>DBS倉庫</t>
        </is>
      </c>
      <c r="F39" s="9">
        <f>IF(COUNTIFS('XTab DS_1'!$B$2:$B$95,$B39)&gt;=2,"重複","単独")</f>
        <v/>
      </c>
      <c r="G39" s="10">
        <f>SUMIFS('XTab DS_1'!$F$2:$F$95,'XTab DS_1'!$B$2:$B$95,$B39,'XTab DS_1'!$D$2:$D$95,$D39)</f>
        <v/>
      </c>
      <c r="H39" s="11">
        <f>SUMIFS('XTab DS_1'!$G$2:$G$95,'XTab DS_1'!$B$2:$B$95,$B39,'XTab DS_1'!$D$2:$D$95,$D39)</f>
        <v/>
      </c>
    </row>
    <row r="40">
      <c r="A40" s="8" t="n">
        <v>4515142545471</v>
      </c>
      <c r="B40" s="8" t="inlineStr">
        <is>
          <t>CX2509JKSCF-SJGE</t>
        </is>
      </c>
      <c r="C40" s="8" t="inlineStr">
        <is>
          <t>呪術廻戦展 渋谷事変　クリアファイル（夏油 傑）</t>
        </is>
      </c>
      <c r="D40" s="8" t="inlineStr">
        <is>
          <t>DB00</t>
        </is>
      </c>
      <c r="E40" s="8" t="inlineStr">
        <is>
          <t>DBS倉庫</t>
        </is>
      </c>
      <c r="F40" s="9">
        <f>IF(COUNTIFS('XTab DS_1'!$B$2:$B$95,$B40)&gt;=2,"重複","単独")</f>
        <v/>
      </c>
      <c r="G40" s="10">
        <f>SUMIFS('XTab DS_1'!$F$2:$F$95,'XTab DS_1'!$B$2:$B$95,$B40,'XTab DS_1'!$D$2:$D$95,$D40)</f>
        <v/>
      </c>
      <c r="H40" s="11">
        <f>SUMIFS('XTab DS_1'!$G$2:$G$95,'XTab DS_1'!$B$2:$B$95,$B40,'XTab DS_1'!$D$2:$D$95,$D40)</f>
        <v/>
      </c>
    </row>
    <row r="41">
      <c r="A41" s="8" t="n">
        <v>4515142545488</v>
      </c>
      <c r="B41" s="8" t="inlineStr">
        <is>
          <t>CX2509JKSCF-SJMH</t>
        </is>
      </c>
      <c r="C41" s="8" t="inlineStr">
        <is>
          <t>呪術廻戦展 渋谷事変　クリアファイル（真人）</t>
        </is>
      </c>
      <c r="D41" s="8" t="inlineStr">
        <is>
          <t>DB00</t>
        </is>
      </c>
      <c r="E41" s="8" t="inlineStr">
        <is>
          <t>DBS倉庫</t>
        </is>
      </c>
      <c r="F41" s="9">
        <f>IF(COUNTIFS('XTab DS_1'!$B$2:$B$95,$B41)&gt;=2,"重複","単独")</f>
        <v/>
      </c>
      <c r="G41" s="10">
        <f>SUMIFS('XTab DS_1'!$F$2:$F$95,'XTab DS_1'!$B$2:$B$95,$B41,'XTab DS_1'!$D$2:$D$95,$D41)</f>
        <v/>
      </c>
      <c r="H41" s="11">
        <f>SUMIFS('XTab DS_1'!$G$2:$G$95,'XTab DS_1'!$B$2:$B$95,$B41,'XTab DS_1'!$D$2:$D$95,$D41)</f>
        <v/>
      </c>
    </row>
    <row r="42">
      <c r="A42" s="8" t="n">
        <v>4515142545495</v>
      </c>
      <c r="B42" s="8" t="inlineStr">
        <is>
          <t>CX2509JKSCF-SJCS</t>
        </is>
      </c>
      <c r="C42" s="8" t="inlineStr">
        <is>
          <t>呪術廻戦展 渋谷事変　クリアファイル（脹相）</t>
        </is>
      </c>
      <c r="D42" s="8" t="inlineStr">
        <is>
          <t>DB00</t>
        </is>
      </c>
      <c r="E42" s="8" t="inlineStr">
        <is>
          <t>DBS倉庫</t>
        </is>
      </c>
      <c r="F42" s="9">
        <f>IF(COUNTIFS('XTab DS_1'!$B$2:$B$95,$B42)&gt;=2,"重複","単独")</f>
        <v/>
      </c>
      <c r="G42" s="10">
        <f>SUMIFS('XTab DS_1'!$F$2:$F$95,'XTab DS_1'!$B$2:$B$95,$B42,'XTab DS_1'!$D$2:$D$95,$D42)</f>
        <v/>
      </c>
      <c r="H42" s="11">
        <f>SUMIFS('XTab DS_1'!$G$2:$G$95,'XTab DS_1'!$B$2:$B$95,$B42,'XTab DS_1'!$D$2:$D$95,$D42)</f>
        <v/>
      </c>
    </row>
    <row r="43">
      <c r="A43" s="8" t="n">
        <v>4515142545501</v>
      </c>
      <c r="B43" s="8" t="inlineStr">
        <is>
          <t>CX2509JKSCF-SJSK</t>
        </is>
      </c>
      <c r="C43" s="8" t="inlineStr">
        <is>
          <t>呪術廻戦展 渋谷事変　クリアファイル（宿儺）</t>
        </is>
      </c>
      <c r="D43" s="8" t="inlineStr">
        <is>
          <t>DB00</t>
        </is>
      </c>
      <c r="E43" s="8" t="inlineStr">
        <is>
          <t>DBS倉庫</t>
        </is>
      </c>
      <c r="F43" s="9">
        <f>IF(COUNTIFS('XTab DS_1'!$B$2:$B$95,$B43)&gt;=2,"重複","単独")</f>
        <v/>
      </c>
      <c r="G43" s="10">
        <f>SUMIFS('XTab DS_1'!$F$2:$F$95,'XTab DS_1'!$B$2:$B$95,$B43,'XTab DS_1'!$D$2:$D$95,$D43)</f>
        <v/>
      </c>
      <c r="H43" s="11">
        <f>SUMIFS('XTab DS_1'!$G$2:$G$95,'XTab DS_1'!$B$2:$B$95,$B43,'XTab DS_1'!$D$2:$D$95,$D43)</f>
        <v/>
      </c>
    </row>
    <row r="44">
      <c r="A44" s="8" t="inlineStr">
        <is>
          <t>#</t>
        </is>
      </c>
      <c r="B44" s="8" t="inlineStr">
        <is>
          <t>CX2509JKSDTPCHCLP2</t>
        </is>
      </c>
      <c r="C44" s="8" t="inlineStr">
        <is>
          <t>呪術廻戦展 懐玉玉折 渋谷事変　脱兎クリップのみ(1SET 5個)</t>
        </is>
      </c>
      <c r="D44" s="8" t="inlineStr">
        <is>
          <t>DB00</t>
        </is>
      </c>
      <c r="E44" s="8" t="inlineStr">
        <is>
          <t>DBS倉庫</t>
        </is>
      </c>
      <c r="F44" s="9">
        <f>IF(COUNTIFS('XTab DS_1'!$B$2:$B$95,$B44)&gt;=2,"重複","単独")</f>
        <v/>
      </c>
      <c r="G44" s="10">
        <f>SUMIFS('XTab DS_1'!$F$2:$F$95,'XTab DS_1'!$B$2:$B$95,$B44,'XTab DS_1'!$D$2:$D$95,$D44)</f>
        <v/>
      </c>
      <c r="H44" s="11">
        <f>SUMIFS('XTab DS_1'!$G$2:$G$95,'XTab DS_1'!$B$2:$B$95,$B44,'XTab DS_1'!$D$2:$D$95,$D44)</f>
        <v/>
      </c>
    </row>
    <row r="45">
      <c r="A45" s="16" t="n"/>
      <c r="B45" s="16" t="n"/>
      <c r="C45" s="17" t="inlineStr">
        <is>
          <t>合計</t>
        </is>
      </c>
      <c r="D45" s="16" t="n"/>
      <c r="E45" s="16" t="n"/>
      <c r="F45" s="16" t="n"/>
      <c r="G45" s="18">
        <f>SUM(G2:G44)</f>
        <v/>
      </c>
      <c r="H45" s="19">
        <f>SUM(H2:H44)</f>
        <v/>
      </c>
    </row>
    <row r="46">
      <c r="A46" s="20" t="n"/>
      <c r="B46" s="20" t="n"/>
      <c r="C46" s="21" t="inlineStr">
        <is>
          <t>うち 重複</t>
        </is>
      </c>
      <c r="D46" s="20" t="n"/>
      <c r="E46" s="20" t="n"/>
      <c r="F46" s="20" t="n"/>
      <c r="G46" s="22">
        <f>SUMIFS(G2:G44,F2:F44,"重複")</f>
        <v/>
      </c>
      <c r="H46" s="23">
        <f>SUMIFS(H2:H44,F2:F44,"重複")</f>
        <v/>
      </c>
    </row>
    <row r="47">
      <c r="A47" s="20" t="n"/>
      <c r="B47" s="20" t="n"/>
      <c r="C47" s="21" t="inlineStr">
        <is>
          <t>うち 単独</t>
        </is>
      </c>
      <c r="D47" s="20" t="n"/>
      <c r="E47" s="20" t="n"/>
      <c r="F47" s="20" t="n"/>
      <c r="G47" s="22">
        <f>SUMIFS(G2:G44,F2:F44,"単独")</f>
        <v/>
      </c>
      <c r="H47" s="23">
        <f>SUMIFS(H2:H44,F2:F44,"単独")</f>
        <v/>
      </c>
    </row>
  </sheetData>
  <autoFilter ref="A1:H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12" customWidth="1" min="5" max="5"/>
    <col width="8" customWidth="1" min="6" max="6"/>
    <col width="14" customWidth="1" min="7" max="7"/>
    <col width="16" customWidth="1" min="8" max="8"/>
  </cols>
  <sheetData>
    <row r="1">
      <c r="A1" s="7" t="inlineStr">
        <is>
          <t>JANコード(EAN/UPC)</t>
        </is>
      </c>
      <c r="B1" s="7" t="inlineStr">
        <is>
          <t>品目コード</t>
        </is>
      </c>
      <c r="C1" s="7" t="inlineStr">
        <is>
          <t>品目テキスト</t>
        </is>
      </c>
      <c r="D1" s="7" t="inlineStr">
        <is>
          <t>保管場所</t>
        </is>
      </c>
      <c r="E1" s="7" t="inlineStr">
        <is>
          <t>保管場所名</t>
        </is>
      </c>
      <c r="F1" s="7" t="inlineStr">
        <is>
          <t>区分</t>
        </is>
      </c>
      <c r="G1" s="7" t="inlineStr">
        <is>
          <t>在庫数量</t>
        </is>
      </c>
      <c r="H1" s="7" t="inlineStr">
        <is>
          <t>在庫金額</t>
        </is>
      </c>
    </row>
    <row r="2">
      <c r="A2" s="8" t="n">
        <v>4515142545228</v>
      </c>
      <c r="B2" s="8" t="inlineStr">
        <is>
          <t>CX2509JKSSKFINGER</t>
        </is>
      </c>
      <c r="C2" s="8" t="inlineStr">
        <is>
          <t>呪術廻戦展 懐玉玉折 渋谷事変　宿儺の指風お菓子</t>
        </is>
      </c>
      <c r="D2" s="8" t="inlineStr">
        <is>
          <t>ZZ01</t>
        </is>
      </c>
      <c r="E2" s="8" t="inlineStr">
        <is>
          <t>その他</t>
        </is>
      </c>
      <c r="F2" s="9">
        <f>IF(COUNTIFS('XTab DS_1'!$B$2:$B$95,$B2)&gt;=2,"重複","単独")</f>
        <v/>
      </c>
      <c r="G2" s="10">
        <f>SUMIFS('XTab DS_1'!$F$2:$F$95,'XTab DS_1'!$B$2:$B$95,$B2,'XTab DS_1'!$D$2:$D$95,$D2)</f>
        <v/>
      </c>
      <c r="H2" s="11">
        <f>SUMIFS('XTab DS_1'!$G$2:$G$95,'XTab DS_1'!$B$2:$B$95,$B2,'XTab DS_1'!$D$2:$D$95,$D2)</f>
        <v/>
      </c>
    </row>
    <row r="3">
      <c r="A3" s="8" t="n">
        <v>4515142545273</v>
      </c>
      <c r="B3" s="8" t="inlineStr">
        <is>
          <t>CX2509JKSIRG-GO11</t>
        </is>
      </c>
      <c r="C3" s="8" t="inlineStr">
        <is>
          <t>呪術廻戦展 懐玉玉折 渋谷事変　五条 悟　イメージリング（#11）</t>
        </is>
      </c>
      <c r="D3" s="8" t="inlineStr">
        <is>
          <t>ZZ01</t>
        </is>
      </c>
      <c r="E3" s="8" t="inlineStr">
        <is>
          <t>その他</t>
        </is>
      </c>
      <c r="F3" s="9">
        <f>IF(COUNTIFS('XTab DS_1'!$B$2:$B$95,$B3)&gt;=2,"重複","単独")</f>
        <v/>
      </c>
      <c r="G3" s="10">
        <f>SUMIFS('XTab DS_1'!$F$2:$F$95,'XTab DS_1'!$B$2:$B$95,$B3,'XTab DS_1'!$D$2:$D$95,$D3)</f>
        <v/>
      </c>
      <c r="H3" s="11">
        <f>SUMIFS('XTab DS_1'!$G$2:$G$95,'XTab DS_1'!$B$2:$B$95,$B3,'XTab DS_1'!$D$2:$D$95,$D3)</f>
        <v/>
      </c>
    </row>
    <row r="4">
      <c r="A4" s="8" t="n">
        <v>4515142545310</v>
      </c>
      <c r="B4" s="8" t="inlineStr">
        <is>
          <t>CX2509JKSIRG-GE11</t>
        </is>
      </c>
      <c r="C4" s="8" t="inlineStr">
        <is>
          <t>呪術廻戦展 懐玉玉折 渋谷事変　夏油 傑　イメージリング（#11）</t>
        </is>
      </c>
      <c r="D4" s="8" t="inlineStr">
        <is>
          <t>ZZ01</t>
        </is>
      </c>
      <c r="E4" s="8" t="inlineStr">
        <is>
          <t>その他</t>
        </is>
      </c>
      <c r="F4" s="9">
        <f>IF(COUNTIFS('XTab DS_1'!$B$2:$B$95,$B4)&gt;=2,"重複","単独")</f>
        <v/>
      </c>
      <c r="G4" s="10">
        <f>SUMIFS('XTab DS_1'!$F$2:$F$95,'XTab DS_1'!$B$2:$B$95,$B4,'XTab DS_1'!$D$2:$D$95,$D4)</f>
        <v/>
      </c>
      <c r="H4" s="11">
        <f>SUMIFS('XTab DS_1'!$G$2:$G$95,'XTab DS_1'!$B$2:$B$95,$B4,'XTab DS_1'!$D$2:$D$95,$D4)</f>
        <v/>
      </c>
    </row>
    <row r="5">
      <c r="A5" s="8" t="inlineStr">
        <is>
          <t>#</t>
        </is>
      </c>
      <c r="B5" s="8" t="inlineStr">
        <is>
          <t>QCX2509JKS2FN-10</t>
        </is>
      </c>
      <c r="C5" s="8" t="inlineStr">
        <is>
          <t>呪術廻戦展 懐玉玉折 渋谷事変 経費（課税10％）</t>
        </is>
      </c>
      <c r="D5" s="8" t="inlineStr">
        <is>
          <t>ZZ01</t>
        </is>
      </c>
      <c r="E5" s="8" t="inlineStr">
        <is>
          <t>その他</t>
        </is>
      </c>
      <c r="F5" s="9">
        <f>IF(COUNTIFS('XTab DS_1'!$B$2:$B$95,$B5)&gt;=2,"重複","単独")</f>
        <v/>
      </c>
      <c r="G5" s="10">
        <f>SUMIFS('XTab DS_1'!$F$2:$F$95,'XTab DS_1'!$B$2:$B$95,$B5,'XTab DS_1'!$D$2:$D$95,$D5)</f>
        <v/>
      </c>
      <c r="H5" s="11">
        <f>SUMIFS('XTab DS_1'!$G$2:$G$95,'XTab DS_1'!$B$2:$B$95,$B5,'XTab DS_1'!$D$2:$D$95,$D5)</f>
        <v/>
      </c>
    </row>
    <row r="6">
      <c r="A6" s="16" t="n"/>
      <c r="B6" s="16" t="n"/>
      <c r="C6" s="17" t="inlineStr">
        <is>
          <t>合計</t>
        </is>
      </c>
      <c r="D6" s="16" t="n"/>
      <c r="E6" s="16" t="n"/>
      <c r="F6" s="16" t="n"/>
      <c r="G6" s="18">
        <f>SUM(G2:G5)</f>
        <v/>
      </c>
      <c r="H6" s="19">
        <f>SUM(H2:H5)</f>
        <v/>
      </c>
    </row>
    <row r="7">
      <c r="A7" s="20" t="n"/>
      <c r="B7" s="20" t="n"/>
      <c r="C7" s="21" t="inlineStr">
        <is>
          <t>うち 重複</t>
        </is>
      </c>
      <c r="D7" s="20" t="n"/>
      <c r="E7" s="20" t="n"/>
      <c r="F7" s="20" t="n"/>
      <c r="G7" s="22">
        <f>SUMIFS(G2:G5,F2:F5,"重複")</f>
        <v/>
      </c>
      <c r="H7" s="23">
        <f>SUMIFS(H2:H5,F2:F5,"重複")</f>
        <v/>
      </c>
    </row>
    <row r="8">
      <c r="A8" s="20" t="n"/>
      <c r="B8" s="20" t="n"/>
      <c r="C8" s="21" t="inlineStr">
        <is>
          <t>うち 単独</t>
        </is>
      </c>
      <c r="D8" s="20" t="n"/>
      <c r="E8" s="20" t="n"/>
      <c r="F8" s="20" t="n"/>
      <c r="G8" s="22">
        <f>SUMIFS(G2:G5,F2:F5,"単独")</f>
        <v/>
      </c>
      <c r="H8" s="23">
        <f>SUMIFS(H2:H5,F2:F5,"単独")</f>
        <v/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10" customWidth="1" min="4" max="4"/>
    <col width="8" customWidth="1" min="5" max="5"/>
    <col width="13" customWidth="1" min="6" max="6"/>
    <col width="14" customWidth="1" min="7" max="7"/>
    <col width="13" customWidth="1" min="8" max="8"/>
    <col width="14" customWidth="1" min="9" max="9"/>
    <col width="13" customWidth="1" min="10" max="10"/>
    <col width="14" customWidth="1" min="11" max="11"/>
    <col width="15" customWidth="1" min="12" max="12"/>
    <col width="18" customWidth="1" min="13" max="13"/>
  </cols>
  <sheetData>
    <row r="1">
      <c r="A1" s="7" t="inlineStr">
        <is>
          <t>JANコード(EAN/UPC)</t>
        </is>
      </c>
      <c r="B1" s="7" t="inlineStr">
        <is>
          <t>品目コード</t>
        </is>
      </c>
      <c r="C1" s="7" t="inlineStr">
        <is>
          <t>品目テキスト</t>
        </is>
      </c>
      <c r="D1" s="7" t="inlineStr">
        <is>
          <t>登録倉庫数</t>
        </is>
      </c>
      <c r="E1" s="7" t="inlineStr">
        <is>
          <t>区分</t>
        </is>
      </c>
      <c r="F1" s="7" t="inlineStr">
        <is>
          <t>CX催事 数量</t>
        </is>
      </c>
      <c r="G1" s="7" t="inlineStr">
        <is>
          <t>CX催事 金額</t>
        </is>
      </c>
      <c r="H1" s="7" t="inlineStr">
        <is>
          <t>DBS倉庫 数量</t>
        </is>
      </c>
      <c r="I1" s="7" t="inlineStr">
        <is>
          <t>DBS倉庫 金額</t>
        </is>
      </c>
      <c r="J1" s="7" t="inlineStr">
        <is>
          <t>その他 数量</t>
        </is>
      </c>
      <c r="K1" s="7" t="inlineStr">
        <is>
          <t>その他 金額</t>
        </is>
      </c>
      <c r="L1" s="7" t="inlineStr">
        <is>
          <t>合算 在庫数量</t>
        </is>
      </c>
      <c r="M1" s="7" t="inlineStr">
        <is>
          <t>合算 在庫金額(原価)</t>
        </is>
      </c>
    </row>
    <row r="2">
      <c r="A2" s="8" t="n">
        <v>4515142545082</v>
      </c>
      <c r="B2" s="8" t="inlineStr">
        <is>
          <t>CX2509JKSMPOSCKV</t>
        </is>
      </c>
      <c r="C2" s="8" t="inlineStr">
        <is>
          <t>呪術廻戦展 懐玉玉折 渋谷事変　メタリックポストカード　展示会KV</t>
        </is>
      </c>
      <c r="D2" s="9">
        <f>COUNTIFS('XTab DS_1'!$B$2:$B$95,$B2)</f>
        <v/>
      </c>
      <c r="E2" s="9">
        <f>IF(D2&gt;=2,"重複","単独")</f>
        <v/>
      </c>
      <c r="F2" s="10">
        <f>SUMIFS('XTab DS_1'!$F$2:$F$95,'XTab DS_1'!$B$2:$B$95,$B2,'XTab DS_1'!$D$2:$D$95,"CX01")</f>
        <v/>
      </c>
      <c r="G2" s="11">
        <f>SUMIFS('XTab DS_1'!$G$2:$G$95,'XTab DS_1'!$B$2:$B$95,$B2,'XTab DS_1'!$D$2:$D$95,"CX01")</f>
        <v/>
      </c>
      <c r="H2" s="10">
        <f>SUMIFS('XTab DS_1'!$F$2:$F$95,'XTab DS_1'!$B$2:$B$95,$B2,'XTab DS_1'!$D$2:$D$95,"DB00")</f>
        <v/>
      </c>
      <c r="I2" s="11">
        <f>SUMIFS('XTab DS_1'!$G$2:$G$95,'XTab DS_1'!$B$2:$B$95,$B2,'XTab DS_1'!$D$2:$D$95,"DB00")</f>
        <v/>
      </c>
      <c r="J2" s="10">
        <f>SUMIFS('XTab DS_1'!$F$2:$F$95,'XTab DS_1'!$B$2:$B$95,$B2,'XTab DS_1'!$D$2:$D$95,"ZZ01")</f>
        <v/>
      </c>
      <c r="K2" s="11">
        <f>SUMIFS('XTab DS_1'!$G$2:$G$95,'XTab DS_1'!$B$2:$B$95,$B2,'XTab DS_1'!$D$2:$D$95,"ZZ01")</f>
        <v/>
      </c>
      <c r="L2" s="24">
        <f>SUMIFS('XTab DS_1'!$F$2:$F$95,'XTab DS_1'!$B$2:$B$95,$B2)</f>
        <v/>
      </c>
      <c r="M2" s="25">
        <f>SUMIFS('XTab DS_1'!$G$2:$G$95,'XTab DS_1'!$B$2:$B$95,$B2)</f>
        <v/>
      </c>
    </row>
    <row r="3">
      <c r="A3" s="8" t="n">
        <v>4515142545099</v>
      </c>
      <c r="B3" s="8" t="inlineStr">
        <is>
          <t>CX2509JKSCFKV</t>
        </is>
      </c>
      <c r="C3" s="8" t="inlineStr">
        <is>
          <t>呪術廻戦展 懐玉玉折 渋谷事変　クリアファイル　展示会KV</t>
        </is>
      </c>
      <c r="D3" s="9">
        <f>COUNTIFS('XTab DS_1'!$B$2:$B$95,$B3)</f>
        <v/>
      </c>
      <c r="E3" s="9">
        <f>IF(D3&gt;=2,"重複","単独")</f>
        <v/>
      </c>
      <c r="F3" s="10">
        <f>SUMIFS('XTab DS_1'!$F$2:$F$95,'XTab DS_1'!$B$2:$B$95,$B3,'XTab DS_1'!$D$2:$D$95,"CX01")</f>
        <v/>
      </c>
      <c r="G3" s="11">
        <f>SUMIFS('XTab DS_1'!$G$2:$G$95,'XTab DS_1'!$B$2:$B$95,$B3,'XTab DS_1'!$D$2:$D$95,"CX01")</f>
        <v/>
      </c>
      <c r="H3" s="10">
        <f>SUMIFS('XTab DS_1'!$F$2:$F$95,'XTab DS_1'!$B$2:$B$95,$B3,'XTab DS_1'!$D$2:$D$95,"DB00")</f>
        <v/>
      </c>
      <c r="I3" s="11">
        <f>SUMIFS('XTab DS_1'!$G$2:$G$95,'XTab DS_1'!$B$2:$B$95,$B3,'XTab DS_1'!$D$2:$D$95,"DB00")</f>
        <v/>
      </c>
      <c r="J3" s="10">
        <f>SUMIFS('XTab DS_1'!$F$2:$F$95,'XTab DS_1'!$B$2:$B$95,$B3,'XTab DS_1'!$D$2:$D$95,"ZZ01")</f>
        <v/>
      </c>
      <c r="K3" s="11">
        <f>SUMIFS('XTab DS_1'!$G$2:$G$95,'XTab DS_1'!$B$2:$B$95,$B3,'XTab DS_1'!$D$2:$D$95,"ZZ01")</f>
        <v/>
      </c>
      <c r="L3" s="24">
        <f>SUMIFS('XTab DS_1'!$F$2:$F$95,'XTab DS_1'!$B$2:$B$95,$B3)</f>
        <v/>
      </c>
      <c r="M3" s="25">
        <f>SUMIFS('XTab DS_1'!$G$2:$G$95,'XTab DS_1'!$B$2:$B$95,$B3)</f>
        <v/>
      </c>
    </row>
    <row r="4">
      <c r="A4" s="8" t="n">
        <v>4515142545105</v>
      </c>
      <c r="B4" s="8" t="inlineStr">
        <is>
          <t>CX2509JKSPOSC-KG5</t>
        </is>
      </c>
      <c r="C4" s="8" t="inlineStr">
        <is>
          <t>呪術廻戦展 懐玉玉折　ポストカードセット（5枚入）</t>
        </is>
      </c>
      <c r="D4" s="9">
        <f>COUNTIFS('XTab DS_1'!$B$2:$B$95,$B4)</f>
        <v/>
      </c>
      <c r="E4" s="9">
        <f>IF(D4&gt;=2,"重複","単独")</f>
        <v/>
      </c>
      <c r="F4" s="10">
        <f>SUMIFS('XTab DS_1'!$F$2:$F$95,'XTab DS_1'!$B$2:$B$95,$B4,'XTab DS_1'!$D$2:$D$95,"CX01")</f>
        <v/>
      </c>
      <c r="G4" s="11">
        <f>SUMIFS('XTab DS_1'!$G$2:$G$95,'XTab DS_1'!$B$2:$B$95,$B4,'XTab DS_1'!$D$2:$D$95,"CX01")</f>
        <v/>
      </c>
      <c r="H4" s="10">
        <f>SUMIFS('XTab DS_1'!$F$2:$F$95,'XTab DS_1'!$B$2:$B$95,$B4,'XTab DS_1'!$D$2:$D$95,"DB00")</f>
        <v/>
      </c>
      <c r="I4" s="11">
        <f>SUMIFS('XTab DS_1'!$G$2:$G$95,'XTab DS_1'!$B$2:$B$95,$B4,'XTab DS_1'!$D$2:$D$95,"DB00")</f>
        <v/>
      </c>
      <c r="J4" s="10">
        <f>SUMIFS('XTab DS_1'!$F$2:$F$95,'XTab DS_1'!$B$2:$B$95,$B4,'XTab DS_1'!$D$2:$D$95,"ZZ01")</f>
        <v/>
      </c>
      <c r="K4" s="11">
        <f>SUMIFS('XTab DS_1'!$G$2:$G$95,'XTab DS_1'!$B$2:$B$95,$B4,'XTab DS_1'!$D$2:$D$95,"ZZ01")</f>
        <v/>
      </c>
      <c r="L4" s="24">
        <f>SUMIFS('XTab DS_1'!$F$2:$F$95,'XTab DS_1'!$B$2:$B$95,$B4)</f>
        <v/>
      </c>
      <c r="M4" s="25">
        <f>SUMIFS('XTab DS_1'!$G$2:$G$95,'XTab DS_1'!$B$2:$B$95,$B4)</f>
        <v/>
      </c>
    </row>
    <row r="5">
      <c r="A5" s="8" t="n">
        <v>4515142545112</v>
      </c>
      <c r="B5" s="8" t="inlineStr">
        <is>
          <t>CX2509JKSPOSC-SJ9</t>
        </is>
      </c>
      <c r="C5" s="8" t="inlineStr">
        <is>
          <t>呪術廻戦展 渋谷事変　ポストカードセット（9枚入）</t>
        </is>
      </c>
      <c r="D5" s="9">
        <f>COUNTIFS('XTab DS_1'!$B$2:$B$95,$B5)</f>
        <v/>
      </c>
      <c r="E5" s="9">
        <f>IF(D5&gt;=2,"重複","単独")</f>
        <v/>
      </c>
      <c r="F5" s="10">
        <f>SUMIFS('XTab DS_1'!$F$2:$F$95,'XTab DS_1'!$B$2:$B$95,$B5,'XTab DS_1'!$D$2:$D$95,"CX01")</f>
        <v/>
      </c>
      <c r="G5" s="11">
        <f>SUMIFS('XTab DS_1'!$G$2:$G$95,'XTab DS_1'!$B$2:$B$95,$B5,'XTab DS_1'!$D$2:$D$95,"CX01")</f>
        <v/>
      </c>
      <c r="H5" s="10">
        <f>SUMIFS('XTab DS_1'!$F$2:$F$95,'XTab DS_1'!$B$2:$B$95,$B5,'XTab DS_1'!$D$2:$D$95,"DB00")</f>
        <v/>
      </c>
      <c r="I5" s="11">
        <f>SUMIFS('XTab DS_1'!$G$2:$G$95,'XTab DS_1'!$B$2:$B$95,$B5,'XTab DS_1'!$D$2:$D$95,"DB00")</f>
        <v/>
      </c>
      <c r="J5" s="10">
        <f>SUMIFS('XTab DS_1'!$F$2:$F$95,'XTab DS_1'!$B$2:$B$95,$B5,'XTab DS_1'!$D$2:$D$95,"ZZ01")</f>
        <v/>
      </c>
      <c r="K5" s="11">
        <f>SUMIFS('XTab DS_1'!$G$2:$G$95,'XTab DS_1'!$B$2:$B$95,$B5,'XTab DS_1'!$D$2:$D$95,"ZZ01")</f>
        <v/>
      </c>
      <c r="L5" s="24">
        <f>SUMIFS('XTab DS_1'!$F$2:$F$95,'XTab DS_1'!$B$2:$B$95,$B5)</f>
        <v/>
      </c>
      <c r="M5" s="25">
        <f>SUMIFS('XTab DS_1'!$G$2:$G$95,'XTab DS_1'!$B$2:$B$95,$B5)</f>
        <v/>
      </c>
    </row>
    <row r="6">
      <c r="A6" s="8" t="n">
        <v>4515142545129</v>
      </c>
      <c r="B6" s="8" t="inlineStr">
        <is>
          <t>CX2509JKSBBDG-KG5</t>
        </is>
      </c>
      <c r="C6" s="8" t="inlineStr">
        <is>
          <t>呪術廻戦展 懐玉玉折　ブラインド缶バッジ（全5種）</t>
        </is>
      </c>
      <c r="D6" s="9">
        <f>COUNTIFS('XTab DS_1'!$B$2:$B$95,$B6)</f>
        <v/>
      </c>
      <c r="E6" s="9">
        <f>IF(D6&gt;=2,"重複","単独")</f>
        <v/>
      </c>
      <c r="F6" s="10">
        <f>SUMIFS('XTab DS_1'!$F$2:$F$95,'XTab DS_1'!$B$2:$B$95,$B6,'XTab DS_1'!$D$2:$D$95,"CX01")</f>
        <v/>
      </c>
      <c r="G6" s="11">
        <f>SUMIFS('XTab DS_1'!$G$2:$G$95,'XTab DS_1'!$B$2:$B$95,$B6,'XTab DS_1'!$D$2:$D$95,"CX01")</f>
        <v/>
      </c>
      <c r="H6" s="10">
        <f>SUMIFS('XTab DS_1'!$F$2:$F$95,'XTab DS_1'!$B$2:$B$95,$B6,'XTab DS_1'!$D$2:$D$95,"DB00")</f>
        <v/>
      </c>
      <c r="I6" s="11">
        <f>SUMIFS('XTab DS_1'!$G$2:$G$95,'XTab DS_1'!$B$2:$B$95,$B6,'XTab DS_1'!$D$2:$D$95,"DB00")</f>
        <v/>
      </c>
      <c r="J6" s="10">
        <f>SUMIFS('XTab DS_1'!$F$2:$F$95,'XTab DS_1'!$B$2:$B$95,$B6,'XTab DS_1'!$D$2:$D$95,"ZZ01")</f>
        <v/>
      </c>
      <c r="K6" s="11">
        <f>SUMIFS('XTab DS_1'!$G$2:$G$95,'XTab DS_1'!$B$2:$B$95,$B6,'XTab DS_1'!$D$2:$D$95,"ZZ01")</f>
        <v/>
      </c>
      <c r="L6" s="24">
        <f>SUMIFS('XTab DS_1'!$F$2:$F$95,'XTab DS_1'!$B$2:$B$95,$B6)</f>
        <v/>
      </c>
      <c r="M6" s="25">
        <f>SUMIFS('XTab DS_1'!$G$2:$G$95,'XTab DS_1'!$B$2:$B$95,$B6)</f>
        <v/>
      </c>
    </row>
    <row r="7">
      <c r="A7" s="8" t="n">
        <v>4515142545136</v>
      </c>
      <c r="B7" s="8" t="inlineStr">
        <is>
          <t>CX2509JKSBBDG-SJ9</t>
        </is>
      </c>
      <c r="C7" s="8" t="inlineStr">
        <is>
          <t>呪術廻戦展 渋谷事変　ブラインド缶バッジ（全9種）</t>
        </is>
      </c>
      <c r="D7" s="9">
        <f>COUNTIFS('XTab DS_1'!$B$2:$B$95,$B7)</f>
        <v/>
      </c>
      <c r="E7" s="9">
        <f>IF(D7&gt;=2,"重複","単独")</f>
        <v/>
      </c>
      <c r="F7" s="10">
        <f>SUMIFS('XTab DS_1'!$F$2:$F$95,'XTab DS_1'!$B$2:$B$95,$B7,'XTab DS_1'!$D$2:$D$95,"CX01")</f>
        <v/>
      </c>
      <c r="G7" s="11">
        <f>SUMIFS('XTab DS_1'!$G$2:$G$95,'XTab DS_1'!$B$2:$B$95,$B7,'XTab DS_1'!$D$2:$D$95,"CX01")</f>
        <v/>
      </c>
      <c r="H7" s="10">
        <f>SUMIFS('XTab DS_1'!$F$2:$F$95,'XTab DS_1'!$B$2:$B$95,$B7,'XTab DS_1'!$D$2:$D$95,"DB00")</f>
        <v/>
      </c>
      <c r="I7" s="11">
        <f>SUMIFS('XTab DS_1'!$G$2:$G$95,'XTab DS_1'!$B$2:$B$95,$B7,'XTab DS_1'!$D$2:$D$95,"DB00")</f>
        <v/>
      </c>
      <c r="J7" s="10">
        <f>SUMIFS('XTab DS_1'!$F$2:$F$95,'XTab DS_1'!$B$2:$B$95,$B7,'XTab DS_1'!$D$2:$D$95,"ZZ01")</f>
        <v/>
      </c>
      <c r="K7" s="11">
        <f>SUMIFS('XTab DS_1'!$G$2:$G$95,'XTab DS_1'!$B$2:$B$95,$B7,'XTab DS_1'!$D$2:$D$95,"ZZ01")</f>
        <v/>
      </c>
      <c r="L7" s="24">
        <f>SUMIFS('XTab DS_1'!$F$2:$F$95,'XTab DS_1'!$B$2:$B$95,$B7)</f>
        <v/>
      </c>
      <c r="M7" s="25">
        <f>SUMIFS('XTab DS_1'!$G$2:$G$95,'XTab DS_1'!$B$2:$B$95,$B7)</f>
        <v/>
      </c>
    </row>
    <row r="8">
      <c r="A8" s="8" t="n">
        <v>4515142545143</v>
      </c>
      <c r="B8" s="8" t="inlineStr">
        <is>
          <t>CX2509JKSBSTK-KG5</t>
        </is>
      </c>
      <c r="C8" s="8" t="inlineStr">
        <is>
          <t>呪術廻戦展 懐玉玉折　ブラインドダイカットステッカー（全5種）</t>
        </is>
      </c>
      <c r="D8" s="9">
        <f>COUNTIFS('XTab DS_1'!$B$2:$B$95,$B8)</f>
        <v/>
      </c>
      <c r="E8" s="9">
        <f>IF(D8&gt;=2,"重複","単独")</f>
        <v/>
      </c>
      <c r="F8" s="10">
        <f>SUMIFS('XTab DS_1'!$F$2:$F$95,'XTab DS_1'!$B$2:$B$95,$B8,'XTab DS_1'!$D$2:$D$95,"CX01")</f>
        <v/>
      </c>
      <c r="G8" s="11">
        <f>SUMIFS('XTab DS_1'!$G$2:$G$95,'XTab DS_1'!$B$2:$B$95,$B8,'XTab DS_1'!$D$2:$D$95,"CX01")</f>
        <v/>
      </c>
      <c r="H8" s="10">
        <f>SUMIFS('XTab DS_1'!$F$2:$F$95,'XTab DS_1'!$B$2:$B$95,$B8,'XTab DS_1'!$D$2:$D$95,"DB00")</f>
        <v/>
      </c>
      <c r="I8" s="11">
        <f>SUMIFS('XTab DS_1'!$G$2:$G$95,'XTab DS_1'!$B$2:$B$95,$B8,'XTab DS_1'!$D$2:$D$95,"DB00")</f>
        <v/>
      </c>
      <c r="J8" s="10">
        <f>SUMIFS('XTab DS_1'!$F$2:$F$95,'XTab DS_1'!$B$2:$B$95,$B8,'XTab DS_1'!$D$2:$D$95,"ZZ01")</f>
        <v/>
      </c>
      <c r="K8" s="11">
        <f>SUMIFS('XTab DS_1'!$G$2:$G$95,'XTab DS_1'!$B$2:$B$95,$B8,'XTab DS_1'!$D$2:$D$95,"ZZ01")</f>
        <v/>
      </c>
      <c r="L8" s="24">
        <f>SUMIFS('XTab DS_1'!$F$2:$F$95,'XTab DS_1'!$B$2:$B$95,$B8)</f>
        <v/>
      </c>
      <c r="M8" s="25">
        <f>SUMIFS('XTab DS_1'!$G$2:$G$95,'XTab DS_1'!$B$2:$B$95,$B8)</f>
        <v/>
      </c>
    </row>
    <row r="9">
      <c r="A9" s="8" t="n">
        <v>4515142545150</v>
      </c>
      <c r="B9" s="8" t="inlineStr">
        <is>
          <t>CX2509JKSBSTK-SJ9</t>
        </is>
      </c>
      <c r="C9" s="8" t="inlineStr">
        <is>
          <t>呪術廻戦展 渋谷事変　ブラインドダイカットステッカー（全9種）</t>
        </is>
      </c>
      <c r="D9" s="9">
        <f>COUNTIFS('XTab DS_1'!$B$2:$B$95,$B9)</f>
        <v/>
      </c>
      <c r="E9" s="9">
        <f>IF(D9&gt;=2,"重複","単独")</f>
        <v/>
      </c>
      <c r="F9" s="10">
        <f>SUMIFS('XTab DS_1'!$F$2:$F$95,'XTab DS_1'!$B$2:$B$95,$B9,'XTab DS_1'!$D$2:$D$95,"CX01")</f>
        <v/>
      </c>
      <c r="G9" s="11">
        <f>SUMIFS('XTab DS_1'!$G$2:$G$95,'XTab DS_1'!$B$2:$B$95,$B9,'XTab DS_1'!$D$2:$D$95,"CX01")</f>
        <v/>
      </c>
      <c r="H9" s="10">
        <f>SUMIFS('XTab DS_1'!$F$2:$F$95,'XTab DS_1'!$B$2:$B$95,$B9,'XTab DS_1'!$D$2:$D$95,"DB00")</f>
        <v/>
      </c>
      <c r="I9" s="11">
        <f>SUMIFS('XTab DS_1'!$G$2:$G$95,'XTab DS_1'!$B$2:$B$95,$B9,'XTab DS_1'!$D$2:$D$95,"DB00")</f>
        <v/>
      </c>
      <c r="J9" s="10">
        <f>SUMIFS('XTab DS_1'!$F$2:$F$95,'XTab DS_1'!$B$2:$B$95,$B9,'XTab DS_1'!$D$2:$D$95,"ZZ01")</f>
        <v/>
      </c>
      <c r="K9" s="11">
        <f>SUMIFS('XTab DS_1'!$G$2:$G$95,'XTab DS_1'!$B$2:$B$95,$B9,'XTab DS_1'!$D$2:$D$95,"ZZ01")</f>
        <v/>
      </c>
      <c r="L9" s="24">
        <f>SUMIFS('XTab DS_1'!$F$2:$F$95,'XTab DS_1'!$B$2:$B$95,$B9)</f>
        <v/>
      </c>
      <c r="M9" s="25">
        <f>SUMIFS('XTab DS_1'!$G$2:$G$95,'XTab DS_1'!$B$2:$B$95,$B9)</f>
        <v/>
      </c>
    </row>
    <row r="10">
      <c r="A10" s="8" t="n">
        <v>4515142545174</v>
      </c>
      <c r="B10" s="8" t="inlineStr">
        <is>
          <t>CX2509JKSBMCPA-KG5</t>
        </is>
      </c>
      <c r="C10" s="8" t="inlineStr">
        <is>
          <t>呪術廻戦展 懐玉玉折　ブラインドミニ色紙（全5種）</t>
        </is>
      </c>
      <c r="D10" s="9">
        <f>COUNTIFS('XTab DS_1'!$B$2:$B$95,$B10)</f>
        <v/>
      </c>
      <c r="E10" s="9">
        <f>IF(D10&gt;=2,"重複","単独")</f>
        <v/>
      </c>
      <c r="F10" s="10">
        <f>SUMIFS('XTab DS_1'!$F$2:$F$95,'XTab DS_1'!$B$2:$B$95,$B10,'XTab DS_1'!$D$2:$D$95,"CX01")</f>
        <v/>
      </c>
      <c r="G10" s="11">
        <f>SUMIFS('XTab DS_1'!$G$2:$G$95,'XTab DS_1'!$B$2:$B$95,$B10,'XTab DS_1'!$D$2:$D$95,"CX01")</f>
        <v/>
      </c>
      <c r="H10" s="10">
        <f>SUMIFS('XTab DS_1'!$F$2:$F$95,'XTab DS_1'!$B$2:$B$95,$B10,'XTab DS_1'!$D$2:$D$95,"DB00")</f>
        <v/>
      </c>
      <c r="I10" s="11">
        <f>SUMIFS('XTab DS_1'!$G$2:$G$95,'XTab DS_1'!$B$2:$B$95,$B10,'XTab DS_1'!$D$2:$D$95,"DB00")</f>
        <v/>
      </c>
      <c r="J10" s="10">
        <f>SUMIFS('XTab DS_1'!$F$2:$F$95,'XTab DS_1'!$B$2:$B$95,$B10,'XTab DS_1'!$D$2:$D$95,"ZZ01")</f>
        <v/>
      </c>
      <c r="K10" s="11">
        <f>SUMIFS('XTab DS_1'!$G$2:$G$95,'XTab DS_1'!$B$2:$B$95,$B10,'XTab DS_1'!$D$2:$D$95,"ZZ01")</f>
        <v/>
      </c>
      <c r="L10" s="24">
        <f>SUMIFS('XTab DS_1'!$F$2:$F$95,'XTab DS_1'!$B$2:$B$95,$B10)</f>
        <v/>
      </c>
      <c r="M10" s="25">
        <f>SUMIFS('XTab DS_1'!$G$2:$G$95,'XTab DS_1'!$B$2:$B$95,$B10)</f>
        <v/>
      </c>
    </row>
    <row r="11">
      <c r="A11" s="8" t="n">
        <v>4515142545181</v>
      </c>
      <c r="B11" s="8" t="inlineStr">
        <is>
          <t>CX2509JKSBMCPA-SJ5</t>
        </is>
      </c>
      <c r="C11" s="8" t="inlineStr">
        <is>
          <t>呪術廻戦展 渋谷事変　ブラインドミニ色紙（全5種）</t>
        </is>
      </c>
      <c r="D11" s="9">
        <f>COUNTIFS('XTab DS_1'!$B$2:$B$95,$B11)</f>
        <v/>
      </c>
      <c r="E11" s="9">
        <f>IF(D11&gt;=2,"重複","単独")</f>
        <v/>
      </c>
      <c r="F11" s="10">
        <f>SUMIFS('XTab DS_1'!$F$2:$F$95,'XTab DS_1'!$B$2:$B$95,$B11,'XTab DS_1'!$D$2:$D$95,"CX01")</f>
        <v/>
      </c>
      <c r="G11" s="11">
        <f>SUMIFS('XTab DS_1'!$G$2:$G$95,'XTab DS_1'!$B$2:$B$95,$B11,'XTab DS_1'!$D$2:$D$95,"CX01")</f>
        <v/>
      </c>
      <c r="H11" s="10">
        <f>SUMIFS('XTab DS_1'!$F$2:$F$95,'XTab DS_1'!$B$2:$B$95,$B11,'XTab DS_1'!$D$2:$D$95,"DB00")</f>
        <v/>
      </c>
      <c r="I11" s="11">
        <f>SUMIFS('XTab DS_1'!$G$2:$G$95,'XTab DS_1'!$B$2:$B$95,$B11,'XTab DS_1'!$D$2:$D$95,"DB00")</f>
        <v/>
      </c>
      <c r="J11" s="10">
        <f>SUMIFS('XTab DS_1'!$F$2:$F$95,'XTab DS_1'!$B$2:$B$95,$B11,'XTab DS_1'!$D$2:$D$95,"ZZ01")</f>
        <v/>
      </c>
      <c r="K11" s="11">
        <f>SUMIFS('XTab DS_1'!$G$2:$G$95,'XTab DS_1'!$B$2:$B$95,$B11,'XTab DS_1'!$D$2:$D$95,"ZZ01")</f>
        <v/>
      </c>
      <c r="L11" s="24">
        <f>SUMIFS('XTab DS_1'!$F$2:$F$95,'XTab DS_1'!$B$2:$B$95,$B11)</f>
        <v/>
      </c>
      <c r="M11" s="25">
        <f>SUMIFS('XTab DS_1'!$G$2:$G$95,'XTab DS_1'!$B$2:$B$95,$B11)</f>
        <v/>
      </c>
    </row>
    <row r="12">
      <c r="A12" s="8" t="n">
        <v>4515142545198</v>
      </c>
      <c r="B12" s="8" t="inlineStr">
        <is>
          <t>CX2509JKSGOBTBALL</t>
        </is>
      </c>
      <c r="C12" s="8" t="inlineStr">
        <is>
          <t>呪術廻戦展 懐玉玉折 渋谷事変　虚式 ? バスボール</t>
        </is>
      </c>
      <c r="D12" s="9">
        <f>COUNTIFS('XTab DS_1'!$B$2:$B$95,$B12)</f>
        <v/>
      </c>
      <c r="E12" s="9">
        <f>IF(D12&gt;=2,"重複","単独")</f>
        <v/>
      </c>
      <c r="F12" s="10">
        <f>SUMIFS('XTab DS_1'!$F$2:$F$95,'XTab DS_1'!$B$2:$B$95,$B12,'XTab DS_1'!$D$2:$D$95,"CX01")</f>
        <v/>
      </c>
      <c r="G12" s="11">
        <f>SUMIFS('XTab DS_1'!$G$2:$G$95,'XTab DS_1'!$B$2:$B$95,$B12,'XTab DS_1'!$D$2:$D$95,"CX01")</f>
        <v/>
      </c>
      <c r="H12" s="10">
        <f>SUMIFS('XTab DS_1'!$F$2:$F$95,'XTab DS_1'!$B$2:$B$95,$B12,'XTab DS_1'!$D$2:$D$95,"DB00")</f>
        <v/>
      </c>
      <c r="I12" s="11">
        <f>SUMIFS('XTab DS_1'!$G$2:$G$95,'XTab DS_1'!$B$2:$B$95,$B12,'XTab DS_1'!$D$2:$D$95,"DB00")</f>
        <v/>
      </c>
      <c r="J12" s="10">
        <f>SUMIFS('XTab DS_1'!$F$2:$F$95,'XTab DS_1'!$B$2:$B$95,$B12,'XTab DS_1'!$D$2:$D$95,"ZZ01")</f>
        <v/>
      </c>
      <c r="K12" s="11">
        <f>SUMIFS('XTab DS_1'!$G$2:$G$95,'XTab DS_1'!$B$2:$B$95,$B12,'XTab DS_1'!$D$2:$D$95,"ZZ01")</f>
        <v/>
      </c>
      <c r="L12" s="24">
        <f>SUMIFS('XTab DS_1'!$F$2:$F$95,'XTab DS_1'!$B$2:$B$95,$B12)</f>
        <v/>
      </c>
      <c r="M12" s="25">
        <f>SUMIFS('XTab DS_1'!$G$2:$G$95,'XTab DS_1'!$B$2:$B$95,$B12)</f>
        <v/>
      </c>
    </row>
    <row r="13">
      <c r="A13" s="8" t="n">
        <v>4515142545204</v>
      </c>
      <c r="B13" s="8" t="inlineStr">
        <is>
          <t>CX2509JKSGEHAIRBD</t>
        </is>
      </c>
      <c r="C13" s="8" t="inlineStr">
        <is>
          <t>呪術廻戦展 懐玉玉折 渋谷事変　前髪ヘアバンド</t>
        </is>
      </c>
      <c r="D13" s="9">
        <f>COUNTIFS('XTab DS_1'!$B$2:$B$95,$B13)</f>
        <v/>
      </c>
      <c r="E13" s="9">
        <f>IF(D13&gt;=2,"重複","単独")</f>
        <v/>
      </c>
      <c r="F13" s="10">
        <f>SUMIFS('XTab DS_1'!$F$2:$F$95,'XTab DS_1'!$B$2:$B$95,$B13,'XTab DS_1'!$D$2:$D$95,"CX01")</f>
        <v/>
      </c>
      <c r="G13" s="11">
        <f>SUMIFS('XTab DS_1'!$G$2:$G$95,'XTab DS_1'!$B$2:$B$95,$B13,'XTab DS_1'!$D$2:$D$95,"CX01")</f>
        <v/>
      </c>
      <c r="H13" s="10">
        <f>SUMIFS('XTab DS_1'!$F$2:$F$95,'XTab DS_1'!$B$2:$B$95,$B13,'XTab DS_1'!$D$2:$D$95,"DB00")</f>
        <v/>
      </c>
      <c r="I13" s="11">
        <f>SUMIFS('XTab DS_1'!$G$2:$G$95,'XTab DS_1'!$B$2:$B$95,$B13,'XTab DS_1'!$D$2:$D$95,"DB00")</f>
        <v/>
      </c>
      <c r="J13" s="10">
        <f>SUMIFS('XTab DS_1'!$F$2:$F$95,'XTab DS_1'!$B$2:$B$95,$B13,'XTab DS_1'!$D$2:$D$95,"ZZ01")</f>
        <v/>
      </c>
      <c r="K13" s="11">
        <f>SUMIFS('XTab DS_1'!$G$2:$G$95,'XTab DS_1'!$B$2:$B$95,$B13,'XTab DS_1'!$D$2:$D$95,"ZZ01")</f>
        <v/>
      </c>
      <c r="L13" s="24">
        <f>SUMIFS('XTab DS_1'!$F$2:$F$95,'XTab DS_1'!$B$2:$B$95,$B13)</f>
        <v/>
      </c>
      <c r="M13" s="25">
        <f>SUMIFS('XTab DS_1'!$G$2:$G$95,'XTab DS_1'!$B$2:$B$95,$B13)</f>
        <v/>
      </c>
    </row>
    <row r="14">
      <c r="A14" s="8" t="n">
        <v>4515142545211</v>
      </c>
      <c r="B14" s="8" t="inlineStr">
        <is>
          <t>CX2509JKSBANDAGE</t>
        </is>
      </c>
      <c r="C14" s="8" t="inlineStr">
        <is>
          <t>呪術廻戦展 懐玉玉折 渋谷事変　反転術式絆創膏</t>
        </is>
      </c>
      <c r="D14" s="9">
        <f>COUNTIFS('XTab DS_1'!$B$2:$B$95,$B14)</f>
        <v/>
      </c>
      <c r="E14" s="9">
        <f>IF(D14&gt;=2,"重複","単独")</f>
        <v/>
      </c>
      <c r="F14" s="10">
        <f>SUMIFS('XTab DS_1'!$F$2:$F$95,'XTab DS_1'!$B$2:$B$95,$B14,'XTab DS_1'!$D$2:$D$95,"CX01")</f>
        <v/>
      </c>
      <c r="G14" s="11">
        <f>SUMIFS('XTab DS_1'!$G$2:$G$95,'XTab DS_1'!$B$2:$B$95,$B14,'XTab DS_1'!$D$2:$D$95,"CX01")</f>
        <v/>
      </c>
      <c r="H14" s="10">
        <f>SUMIFS('XTab DS_1'!$F$2:$F$95,'XTab DS_1'!$B$2:$B$95,$B14,'XTab DS_1'!$D$2:$D$95,"DB00")</f>
        <v/>
      </c>
      <c r="I14" s="11">
        <f>SUMIFS('XTab DS_1'!$G$2:$G$95,'XTab DS_1'!$B$2:$B$95,$B14,'XTab DS_1'!$D$2:$D$95,"DB00")</f>
        <v/>
      </c>
      <c r="J14" s="10">
        <f>SUMIFS('XTab DS_1'!$F$2:$F$95,'XTab DS_1'!$B$2:$B$95,$B14,'XTab DS_1'!$D$2:$D$95,"ZZ01")</f>
        <v/>
      </c>
      <c r="K14" s="11">
        <f>SUMIFS('XTab DS_1'!$G$2:$G$95,'XTab DS_1'!$B$2:$B$95,$B14,'XTab DS_1'!$D$2:$D$95,"ZZ01")</f>
        <v/>
      </c>
      <c r="L14" s="24">
        <f>SUMIFS('XTab DS_1'!$F$2:$F$95,'XTab DS_1'!$B$2:$B$95,$B14)</f>
        <v/>
      </c>
      <c r="M14" s="25">
        <f>SUMIFS('XTab DS_1'!$G$2:$G$95,'XTab DS_1'!$B$2:$B$95,$B14)</f>
        <v/>
      </c>
    </row>
    <row r="15">
      <c r="A15" s="8" t="n">
        <v>4515142545228</v>
      </c>
      <c r="B15" s="8" t="inlineStr">
        <is>
          <t>CX2509JKSSKFINGER</t>
        </is>
      </c>
      <c r="C15" s="8" t="inlineStr">
        <is>
          <t>呪術廻戦展 懐玉玉折 渋谷事変　宿儺の指風お菓子</t>
        </is>
      </c>
      <c r="D15" s="9">
        <f>COUNTIFS('XTab DS_1'!$B$2:$B$95,$B15)</f>
        <v/>
      </c>
      <c r="E15" s="9">
        <f>IF(D15&gt;=2,"重複","単独")</f>
        <v/>
      </c>
      <c r="F15" s="10">
        <f>SUMIFS('XTab DS_1'!$F$2:$F$95,'XTab DS_1'!$B$2:$B$95,$B15,'XTab DS_1'!$D$2:$D$95,"CX01")</f>
        <v/>
      </c>
      <c r="G15" s="11">
        <f>SUMIFS('XTab DS_1'!$G$2:$G$95,'XTab DS_1'!$B$2:$B$95,$B15,'XTab DS_1'!$D$2:$D$95,"CX01")</f>
        <v/>
      </c>
      <c r="H15" s="10">
        <f>SUMIFS('XTab DS_1'!$F$2:$F$95,'XTab DS_1'!$B$2:$B$95,$B15,'XTab DS_1'!$D$2:$D$95,"DB00")</f>
        <v/>
      </c>
      <c r="I15" s="11">
        <f>SUMIFS('XTab DS_1'!$G$2:$G$95,'XTab DS_1'!$B$2:$B$95,$B15,'XTab DS_1'!$D$2:$D$95,"DB00")</f>
        <v/>
      </c>
      <c r="J15" s="10">
        <f>SUMIFS('XTab DS_1'!$F$2:$F$95,'XTab DS_1'!$B$2:$B$95,$B15,'XTab DS_1'!$D$2:$D$95,"ZZ01")</f>
        <v/>
      </c>
      <c r="K15" s="11">
        <f>SUMIFS('XTab DS_1'!$G$2:$G$95,'XTab DS_1'!$B$2:$B$95,$B15,'XTab DS_1'!$D$2:$D$95,"ZZ01")</f>
        <v/>
      </c>
      <c r="L15" s="24">
        <f>SUMIFS('XTab DS_1'!$F$2:$F$95,'XTab DS_1'!$B$2:$B$95,$B15)</f>
        <v/>
      </c>
      <c r="M15" s="25">
        <f>SUMIFS('XTab DS_1'!$G$2:$G$95,'XTab DS_1'!$B$2:$B$95,$B15)</f>
        <v/>
      </c>
    </row>
    <row r="16">
      <c r="A16" s="8" t="n">
        <v>4515142545235</v>
      </c>
      <c r="B16" s="8" t="inlineStr">
        <is>
          <t>CX2509JKSDTPCHCLP</t>
        </is>
      </c>
      <c r="C16" s="8" t="inlineStr">
        <is>
          <t>呪術廻戦展 懐玉玉折 渋谷事変　脱兎 ポーチ入りクリップセット</t>
        </is>
      </c>
      <c r="D16" s="9">
        <f>COUNTIFS('XTab DS_1'!$B$2:$B$95,$B16)</f>
        <v/>
      </c>
      <c r="E16" s="9">
        <f>IF(D16&gt;=2,"重複","単独")</f>
        <v/>
      </c>
      <c r="F16" s="10">
        <f>SUMIFS('XTab DS_1'!$F$2:$F$95,'XTab DS_1'!$B$2:$B$95,$B16,'XTab DS_1'!$D$2:$D$95,"CX01")</f>
        <v/>
      </c>
      <c r="G16" s="11">
        <f>SUMIFS('XTab DS_1'!$G$2:$G$95,'XTab DS_1'!$B$2:$B$95,$B16,'XTab DS_1'!$D$2:$D$95,"CX01")</f>
        <v/>
      </c>
      <c r="H16" s="10">
        <f>SUMIFS('XTab DS_1'!$F$2:$F$95,'XTab DS_1'!$B$2:$B$95,$B16,'XTab DS_1'!$D$2:$D$95,"DB00")</f>
        <v/>
      </c>
      <c r="I16" s="11">
        <f>SUMIFS('XTab DS_1'!$G$2:$G$95,'XTab DS_1'!$B$2:$B$95,$B16,'XTab DS_1'!$D$2:$D$95,"DB00")</f>
        <v/>
      </c>
      <c r="J16" s="10">
        <f>SUMIFS('XTab DS_1'!$F$2:$F$95,'XTab DS_1'!$B$2:$B$95,$B16,'XTab DS_1'!$D$2:$D$95,"ZZ01")</f>
        <v/>
      </c>
      <c r="K16" s="11">
        <f>SUMIFS('XTab DS_1'!$G$2:$G$95,'XTab DS_1'!$B$2:$B$95,$B16,'XTab DS_1'!$D$2:$D$95,"ZZ01")</f>
        <v/>
      </c>
      <c r="L16" s="24">
        <f>SUMIFS('XTab DS_1'!$F$2:$F$95,'XTab DS_1'!$B$2:$B$95,$B16)</f>
        <v/>
      </c>
      <c r="M16" s="25">
        <f>SUMIFS('XTab DS_1'!$G$2:$G$95,'XTab DS_1'!$B$2:$B$95,$B16)</f>
        <v/>
      </c>
    </row>
    <row r="17">
      <c r="A17" s="8" t="n">
        <v>4515142545242</v>
      </c>
      <c r="B17" s="8" t="inlineStr">
        <is>
          <t>CX2509JKSNBECOBAG</t>
        </is>
      </c>
      <c r="C17" s="8" t="inlineStr">
        <is>
          <t>呪術廻戦展 懐玉玉折 渋谷事変　釘崎のポーチ風エコバッグ</t>
        </is>
      </c>
      <c r="D17" s="9">
        <f>COUNTIFS('XTab DS_1'!$B$2:$B$95,$B17)</f>
        <v/>
      </c>
      <c r="E17" s="9">
        <f>IF(D17&gt;=2,"重複","単独")</f>
        <v/>
      </c>
      <c r="F17" s="10">
        <f>SUMIFS('XTab DS_1'!$F$2:$F$95,'XTab DS_1'!$B$2:$B$95,$B17,'XTab DS_1'!$D$2:$D$95,"CX01")</f>
        <v/>
      </c>
      <c r="G17" s="11">
        <f>SUMIFS('XTab DS_1'!$G$2:$G$95,'XTab DS_1'!$B$2:$B$95,$B17,'XTab DS_1'!$D$2:$D$95,"CX01")</f>
        <v/>
      </c>
      <c r="H17" s="10">
        <f>SUMIFS('XTab DS_1'!$F$2:$F$95,'XTab DS_1'!$B$2:$B$95,$B17,'XTab DS_1'!$D$2:$D$95,"DB00")</f>
        <v/>
      </c>
      <c r="I17" s="11">
        <f>SUMIFS('XTab DS_1'!$G$2:$G$95,'XTab DS_1'!$B$2:$B$95,$B17,'XTab DS_1'!$D$2:$D$95,"DB00")</f>
        <v/>
      </c>
      <c r="J17" s="10">
        <f>SUMIFS('XTab DS_1'!$F$2:$F$95,'XTab DS_1'!$B$2:$B$95,$B17,'XTab DS_1'!$D$2:$D$95,"ZZ01")</f>
        <v/>
      </c>
      <c r="K17" s="11">
        <f>SUMIFS('XTab DS_1'!$G$2:$G$95,'XTab DS_1'!$B$2:$B$95,$B17,'XTab DS_1'!$D$2:$D$95,"ZZ01")</f>
        <v/>
      </c>
      <c r="L17" s="24">
        <f>SUMIFS('XTab DS_1'!$F$2:$F$95,'XTab DS_1'!$B$2:$B$95,$B17)</f>
        <v/>
      </c>
      <c r="M17" s="25">
        <f>SUMIFS('XTab DS_1'!$G$2:$G$95,'XTab DS_1'!$B$2:$B$95,$B17)</f>
        <v/>
      </c>
    </row>
    <row r="18">
      <c r="A18" s="8" t="n">
        <v>4515142545259</v>
      </c>
      <c r="B18" s="8" t="inlineStr">
        <is>
          <t>CX2509JKSPLANNER</t>
        </is>
      </c>
      <c r="C18" s="8" t="inlineStr">
        <is>
          <t>呪術廻戦展 懐玉玉折 渋谷事変　半年分の情報が書き込める手帳</t>
        </is>
      </c>
      <c r="D18" s="9">
        <f>COUNTIFS('XTab DS_1'!$B$2:$B$95,$B18)</f>
        <v/>
      </c>
      <c r="E18" s="9">
        <f>IF(D18&gt;=2,"重複","単独")</f>
        <v/>
      </c>
      <c r="F18" s="10">
        <f>SUMIFS('XTab DS_1'!$F$2:$F$95,'XTab DS_1'!$B$2:$B$95,$B18,'XTab DS_1'!$D$2:$D$95,"CX01")</f>
        <v/>
      </c>
      <c r="G18" s="11">
        <f>SUMIFS('XTab DS_1'!$G$2:$G$95,'XTab DS_1'!$B$2:$B$95,$B18,'XTab DS_1'!$D$2:$D$95,"CX01")</f>
        <v/>
      </c>
      <c r="H18" s="10">
        <f>SUMIFS('XTab DS_1'!$F$2:$F$95,'XTab DS_1'!$B$2:$B$95,$B18,'XTab DS_1'!$D$2:$D$95,"DB00")</f>
        <v/>
      </c>
      <c r="I18" s="11">
        <f>SUMIFS('XTab DS_1'!$G$2:$G$95,'XTab DS_1'!$B$2:$B$95,$B18,'XTab DS_1'!$D$2:$D$95,"DB00")</f>
        <v/>
      </c>
      <c r="J18" s="10">
        <f>SUMIFS('XTab DS_1'!$F$2:$F$95,'XTab DS_1'!$B$2:$B$95,$B18,'XTab DS_1'!$D$2:$D$95,"ZZ01")</f>
        <v/>
      </c>
      <c r="K18" s="11">
        <f>SUMIFS('XTab DS_1'!$G$2:$G$95,'XTab DS_1'!$B$2:$B$95,$B18,'XTab DS_1'!$D$2:$D$95,"ZZ01")</f>
        <v/>
      </c>
      <c r="L18" s="24">
        <f>SUMIFS('XTab DS_1'!$F$2:$F$95,'XTab DS_1'!$B$2:$B$95,$B18)</f>
        <v/>
      </c>
      <c r="M18" s="25">
        <f>SUMIFS('XTab DS_1'!$G$2:$G$95,'XTab DS_1'!$B$2:$B$95,$B18)</f>
        <v/>
      </c>
    </row>
    <row r="19">
      <c r="A19" s="8" t="n">
        <v>4515142545266</v>
      </c>
      <c r="B19" s="8" t="inlineStr">
        <is>
          <t>CX2509JKSMUSICBOX</t>
        </is>
      </c>
      <c r="C19" s="8" t="inlineStr">
        <is>
          <t>呪術廻戦展 懐玉玉折 渋谷事変　気分リフレッシュオルゴール</t>
        </is>
      </c>
      <c r="D19" s="9">
        <f>COUNTIFS('XTab DS_1'!$B$2:$B$95,$B19)</f>
        <v/>
      </c>
      <c r="E19" s="9">
        <f>IF(D19&gt;=2,"重複","単独")</f>
        <v/>
      </c>
      <c r="F19" s="10">
        <f>SUMIFS('XTab DS_1'!$F$2:$F$95,'XTab DS_1'!$B$2:$B$95,$B19,'XTab DS_1'!$D$2:$D$95,"CX01")</f>
        <v/>
      </c>
      <c r="G19" s="11">
        <f>SUMIFS('XTab DS_1'!$G$2:$G$95,'XTab DS_1'!$B$2:$B$95,$B19,'XTab DS_1'!$D$2:$D$95,"CX01")</f>
        <v/>
      </c>
      <c r="H19" s="10">
        <f>SUMIFS('XTab DS_1'!$F$2:$F$95,'XTab DS_1'!$B$2:$B$95,$B19,'XTab DS_1'!$D$2:$D$95,"DB00")</f>
        <v/>
      </c>
      <c r="I19" s="11">
        <f>SUMIFS('XTab DS_1'!$G$2:$G$95,'XTab DS_1'!$B$2:$B$95,$B19,'XTab DS_1'!$D$2:$D$95,"DB00")</f>
        <v/>
      </c>
      <c r="J19" s="10">
        <f>SUMIFS('XTab DS_1'!$F$2:$F$95,'XTab DS_1'!$B$2:$B$95,$B19,'XTab DS_1'!$D$2:$D$95,"ZZ01")</f>
        <v/>
      </c>
      <c r="K19" s="11">
        <f>SUMIFS('XTab DS_1'!$G$2:$G$95,'XTab DS_1'!$B$2:$B$95,$B19,'XTab DS_1'!$D$2:$D$95,"ZZ01")</f>
        <v/>
      </c>
      <c r="L19" s="24">
        <f>SUMIFS('XTab DS_1'!$F$2:$F$95,'XTab DS_1'!$B$2:$B$95,$B19)</f>
        <v/>
      </c>
      <c r="M19" s="25">
        <f>SUMIFS('XTab DS_1'!$G$2:$G$95,'XTab DS_1'!$B$2:$B$95,$B19)</f>
        <v/>
      </c>
    </row>
    <row r="20">
      <c r="A20" s="8" t="n">
        <v>4515142545273</v>
      </c>
      <c r="B20" s="8" t="inlineStr">
        <is>
          <t>CX2509JKSIRG-GO11</t>
        </is>
      </c>
      <c r="C20" s="8" t="inlineStr">
        <is>
          <t>呪術廻戦展 懐玉玉折 渋谷事変　五条 悟　イメージリング（#11）</t>
        </is>
      </c>
      <c r="D20" s="9">
        <f>COUNTIFS('XTab DS_1'!$B$2:$B$95,$B20)</f>
        <v/>
      </c>
      <c r="E20" s="9">
        <f>IF(D20&gt;=2,"重複","単独")</f>
        <v/>
      </c>
      <c r="F20" s="10">
        <f>SUMIFS('XTab DS_1'!$F$2:$F$95,'XTab DS_1'!$B$2:$B$95,$B20,'XTab DS_1'!$D$2:$D$95,"CX01")</f>
        <v/>
      </c>
      <c r="G20" s="11">
        <f>SUMIFS('XTab DS_1'!$G$2:$G$95,'XTab DS_1'!$B$2:$B$95,$B20,'XTab DS_1'!$D$2:$D$95,"CX01")</f>
        <v/>
      </c>
      <c r="H20" s="10">
        <f>SUMIFS('XTab DS_1'!$F$2:$F$95,'XTab DS_1'!$B$2:$B$95,$B20,'XTab DS_1'!$D$2:$D$95,"DB00")</f>
        <v/>
      </c>
      <c r="I20" s="11">
        <f>SUMIFS('XTab DS_1'!$G$2:$G$95,'XTab DS_1'!$B$2:$B$95,$B20,'XTab DS_1'!$D$2:$D$95,"DB00")</f>
        <v/>
      </c>
      <c r="J20" s="10">
        <f>SUMIFS('XTab DS_1'!$F$2:$F$95,'XTab DS_1'!$B$2:$B$95,$B20,'XTab DS_1'!$D$2:$D$95,"ZZ01")</f>
        <v/>
      </c>
      <c r="K20" s="11">
        <f>SUMIFS('XTab DS_1'!$G$2:$G$95,'XTab DS_1'!$B$2:$B$95,$B20,'XTab DS_1'!$D$2:$D$95,"ZZ01")</f>
        <v/>
      </c>
      <c r="L20" s="24">
        <f>SUMIFS('XTab DS_1'!$F$2:$F$95,'XTab DS_1'!$B$2:$B$95,$B20)</f>
        <v/>
      </c>
      <c r="M20" s="25">
        <f>SUMIFS('XTab DS_1'!$G$2:$G$95,'XTab DS_1'!$B$2:$B$95,$B20)</f>
        <v/>
      </c>
    </row>
    <row r="21">
      <c r="A21" s="8" t="n">
        <v>4515142545280</v>
      </c>
      <c r="B21" s="8" t="inlineStr">
        <is>
          <t>CX2509JKSIRG-GO13</t>
        </is>
      </c>
      <c r="C21" s="8" t="inlineStr">
        <is>
          <t>呪術廻戦展 懐玉玉折 渋谷事変　五条 悟　イメージリング（#13）</t>
        </is>
      </c>
      <c r="D21" s="9">
        <f>COUNTIFS('XTab DS_1'!$B$2:$B$95,$B21)</f>
        <v/>
      </c>
      <c r="E21" s="9">
        <f>IF(D21&gt;=2,"重複","単独")</f>
        <v/>
      </c>
      <c r="F21" s="10">
        <f>SUMIFS('XTab DS_1'!$F$2:$F$95,'XTab DS_1'!$B$2:$B$95,$B21,'XTab DS_1'!$D$2:$D$95,"CX01")</f>
        <v/>
      </c>
      <c r="G21" s="11">
        <f>SUMIFS('XTab DS_1'!$G$2:$G$95,'XTab DS_1'!$B$2:$B$95,$B21,'XTab DS_1'!$D$2:$D$95,"CX01")</f>
        <v/>
      </c>
      <c r="H21" s="10">
        <f>SUMIFS('XTab DS_1'!$F$2:$F$95,'XTab DS_1'!$B$2:$B$95,$B21,'XTab DS_1'!$D$2:$D$95,"DB00")</f>
        <v/>
      </c>
      <c r="I21" s="11">
        <f>SUMIFS('XTab DS_1'!$G$2:$G$95,'XTab DS_1'!$B$2:$B$95,$B21,'XTab DS_1'!$D$2:$D$95,"DB00")</f>
        <v/>
      </c>
      <c r="J21" s="10">
        <f>SUMIFS('XTab DS_1'!$F$2:$F$95,'XTab DS_1'!$B$2:$B$95,$B21,'XTab DS_1'!$D$2:$D$95,"ZZ01")</f>
        <v/>
      </c>
      <c r="K21" s="11">
        <f>SUMIFS('XTab DS_1'!$G$2:$G$95,'XTab DS_1'!$B$2:$B$95,$B21,'XTab DS_1'!$D$2:$D$95,"ZZ01")</f>
        <v/>
      </c>
      <c r="L21" s="24">
        <f>SUMIFS('XTab DS_1'!$F$2:$F$95,'XTab DS_1'!$B$2:$B$95,$B21)</f>
        <v/>
      </c>
      <c r="M21" s="25">
        <f>SUMIFS('XTab DS_1'!$G$2:$G$95,'XTab DS_1'!$B$2:$B$95,$B21)</f>
        <v/>
      </c>
    </row>
    <row r="22">
      <c r="A22" s="8" t="n">
        <v>4515142545297</v>
      </c>
      <c r="B22" s="8" t="inlineStr">
        <is>
          <t>CX2509JKSIRG-GO15</t>
        </is>
      </c>
      <c r="C22" s="8" t="inlineStr">
        <is>
          <t>呪術廻戦展 懐玉玉折 渋谷事変　五条 悟　イメージリング（#15）</t>
        </is>
      </c>
      <c r="D22" s="9">
        <f>COUNTIFS('XTab DS_1'!$B$2:$B$95,$B22)</f>
        <v/>
      </c>
      <c r="E22" s="9">
        <f>IF(D22&gt;=2,"重複","単独")</f>
        <v/>
      </c>
      <c r="F22" s="10">
        <f>SUMIFS('XTab DS_1'!$F$2:$F$95,'XTab DS_1'!$B$2:$B$95,$B22,'XTab DS_1'!$D$2:$D$95,"CX01")</f>
        <v/>
      </c>
      <c r="G22" s="11">
        <f>SUMIFS('XTab DS_1'!$G$2:$G$95,'XTab DS_1'!$B$2:$B$95,$B22,'XTab DS_1'!$D$2:$D$95,"CX01")</f>
        <v/>
      </c>
      <c r="H22" s="10">
        <f>SUMIFS('XTab DS_1'!$F$2:$F$95,'XTab DS_1'!$B$2:$B$95,$B22,'XTab DS_1'!$D$2:$D$95,"DB00")</f>
        <v/>
      </c>
      <c r="I22" s="11">
        <f>SUMIFS('XTab DS_1'!$G$2:$G$95,'XTab DS_1'!$B$2:$B$95,$B22,'XTab DS_1'!$D$2:$D$95,"DB00")</f>
        <v/>
      </c>
      <c r="J22" s="10">
        <f>SUMIFS('XTab DS_1'!$F$2:$F$95,'XTab DS_1'!$B$2:$B$95,$B22,'XTab DS_1'!$D$2:$D$95,"ZZ01")</f>
        <v/>
      </c>
      <c r="K22" s="11">
        <f>SUMIFS('XTab DS_1'!$G$2:$G$95,'XTab DS_1'!$B$2:$B$95,$B22,'XTab DS_1'!$D$2:$D$95,"ZZ01")</f>
        <v/>
      </c>
      <c r="L22" s="24">
        <f>SUMIFS('XTab DS_1'!$F$2:$F$95,'XTab DS_1'!$B$2:$B$95,$B22)</f>
        <v/>
      </c>
      <c r="M22" s="25">
        <f>SUMIFS('XTab DS_1'!$G$2:$G$95,'XTab DS_1'!$B$2:$B$95,$B22)</f>
        <v/>
      </c>
    </row>
    <row r="23">
      <c r="A23" s="8" t="n">
        <v>4515142545303</v>
      </c>
      <c r="B23" s="8" t="inlineStr">
        <is>
          <t>CX2509JKSIRG-GO17</t>
        </is>
      </c>
      <c r="C23" s="8" t="inlineStr">
        <is>
          <t>呪術廻戦展 懐玉玉折 渋谷事変　五条 悟　イメージリング（#17）</t>
        </is>
      </c>
      <c r="D23" s="9">
        <f>COUNTIFS('XTab DS_1'!$B$2:$B$95,$B23)</f>
        <v/>
      </c>
      <c r="E23" s="9">
        <f>IF(D23&gt;=2,"重複","単独")</f>
        <v/>
      </c>
      <c r="F23" s="10">
        <f>SUMIFS('XTab DS_1'!$F$2:$F$95,'XTab DS_1'!$B$2:$B$95,$B23,'XTab DS_1'!$D$2:$D$95,"CX01")</f>
        <v/>
      </c>
      <c r="G23" s="11">
        <f>SUMIFS('XTab DS_1'!$G$2:$G$95,'XTab DS_1'!$B$2:$B$95,$B23,'XTab DS_1'!$D$2:$D$95,"CX01")</f>
        <v/>
      </c>
      <c r="H23" s="10">
        <f>SUMIFS('XTab DS_1'!$F$2:$F$95,'XTab DS_1'!$B$2:$B$95,$B23,'XTab DS_1'!$D$2:$D$95,"DB00")</f>
        <v/>
      </c>
      <c r="I23" s="11">
        <f>SUMIFS('XTab DS_1'!$G$2:$G$95,'XTab DS_1'!$B$2:$B$95,$B23,'XTab DS_1'!$D$2:$D$95,"DB00")</f>
        <v/>
      </c>
      <c r="J23" s="10">
        <f>SUMIFS('XTab DS_1'!$F$2:$F$95,'XTab DS_1'!$B$2:$B$95,$B23,'XTab DS_1'!$D$2:$D$95,"ZZ01")</f>
        <v/>
      </c>
      <c r="K23" s="11">
        <f>SUMIFS('XTab DS_1'!$G$2:$G$95,'XTab DS_1'!$B$2:$B$95,$B23,'XTab DS_1'!$D$2:$D$95,"ZZ01")</f>
        <v/>
      </c>
      <c r="L23" s="24">
        <f>SUMIFS('XTab DS_1'!$F$2:$F$95,'XTab DS_1'!$B$2:$B$95,$B23)</f>
        <v/>
      </c>
      <c r="M23" s="25">
        <f>SUMIFS('XTab DS_1'!$G$2:$G$95,'XTab DS_1'!$B$2:$B$95,$B23)</f>
        <v/>
      </c>
    </row>
    <row r="24">
      <c r="A24" s="8" t="n">
        <v>4515142545310</v>
      </c>
      <c r="B24" s="8" t="inlineStr">
        <is>
          <t>CX2509JKSIRG-GE11</t>
        </is>
      </c>
      <c r="C24" s="8" t="inlineStr">
        <is>
          <t>呪術廻戦展 懐玉玉折 渋谷事変　夏油 傑　イメージリング（#11）</t>
        </is>
      </c>
      <c r="D24" s="9">
        <f>COUNTIFS('XTab DS_1'!$B$2:$B$95,$B24)</f>
        <v/>
      </c>
      <c r="E24" s="9">
        <f>IF(D24&gt;=2,"重複","単独")</f>
        <v/>
      </c>
      <c r="F24" s="10">
        <f>SUMIFS('XTab DS_1'!$F$2:$F$95,'XTab DS_1'!$B$2:$B$95,$B24,'XTab DS_1'!$D$2:$D$95,"CX01")</f>
        <v/>
      </c>
      <c r="G24" s="11">
        <f>SUMIFS('XTab DS_1'!$G$2:$G$95,'XTab DS_1'!$B$2:$B$95,$B24,'XTab DS_1'!$D$2:$D$95,"CX01")</f>
        <v/>
      </c>
      <c r="H24" s="10">
        <f>SUMIFS('XTab DS_1'!$F$2:$F$95,'XTab DS_1'!$B$2:$B$95,$B24,'XTab DS_1'!$D$2:$D$95,"DB00")</f>
        <v/>
      </c>
      <c r="I24" s="11">
        <f>SUMIFS('XTab DS_1'!$G$2:$G$95,'XTab DS_1'!$B$2:$B$95,$B24,'XTab DS_1'!$D$2:$D$95,"DB00")</f>
        <v/>
      </c>
      <c r="J24" s="10">
        <f>SUMIFS('XTab DS_1'!$F$2:$F$95,'XTab DS_1'!$B$2:$B$95,$B24,'XTab DS_1'!$D$2:$D$95,"ZZ01")</f>
        <v/>
      </c>
      <c r="K24" s="11">
        <f>SUMIFS('XTab DS_1'!$G$2:$G$95,'XTab DS_1'!$B$2:$B$95,$B24,'XTab DS_1'!$D$2:$D$95,"ZZ01")</f>
        <v/>
      </c>
      <c r="L24" s="24">
        <f>SUMIFS('XTab DS_1'!$F$2:$F$95,'XTab DS_1'!$B$2:$B$95,$B24)</f>
        <v/>
      </c>
      <c r="M24" s="25">
        <f>SUMIFS('XTab DS_1'!$G$2:$G$95,'XTab DS_1'!$B$2:$B$95,$B24)</f>
        <v/>
      </c>
    </row>
    <row r="25">
      <c r="A25" s="8" t="n">
        <v>4515142545327</v>
      </c>
      <c r="B25" s="8" t="inlineStr">
        <is>
          <t>CX2509JKSIRG-GE13</t>
        </is>
      </c>
      <c r="C25" s="8" t="inlineStr">
        <is>
          <t>呪術廻戦展 懐玉玉折 渋谷事変　夏油 傑　イメージリング（#13）</t>
        </is>
      </c>
      <c r="D25" s="9">
        <f>COUNTIFS('XTab DS_1'!$B$2:$B$95,$B25)</f>
        <v/>
      </c>
      <c r="E25" s="9">
        <f>IF(D25&gt;=2,"重複","単独")</f>
        <v/>
      </c>
      <c r="F25" s="10">
        <f>SUMIFS('XTab DS_1'!$F$2:$F$95,'XTab DS_1'!$B$2:$B$95,$B25,'XTab DS_1'!$D$2:$D$95,"CX01")</f>
        <v/>
      </c>
      <c r="G25" s="11">
        <f>SUMIFS('XTab DS_1'!$G$2:$G$95,'XTab DS_1'!$B$2:$B$95,$B25,'XTab DS_1'!$D$2:$D$95,"CX01")</f>
        <v/>
      </c>
      <c r="H25" s="10">
        <f>SUMIFS('XTab DS_1'!$F$2:$F$95,'XTab DS_1'!$B$2:$B$95,$B25,'XTab DS_1'!$D$2:$D$95,"DB00")</f>
        <v/>
      </c>
      <c r="I25" s="11">
        <f>SUMIFS('XTab DS_1'!$G$2:$G$95,'XTab DS_1'!$B$2:$B$95,$B25,'XTab DS_1'!$D$2:$D$95,"DB00")</f>
        <v/>
      </c>
      <c r="J25" s="10">
        <f>SUMIFS('XTab DS_1'!$F$2:$F$95,'XTab DS_1'!$B$2:$B$95,$B25,'XTab DS_1'!$D$2:$D$95,"ZZ01")</f>
        <v/>
      </c>
      <c r="K25" s="11">
        <f>SUMIFS('XTab DS_1'!$G$2:$G$95,'XTab DS_1'!$B$2:$B$95,$B25,'XTab DS_1'!$D$2:$D$95,"ZZ01")</f>
        <v/>
      </c>
      <c r="L25" s="24">
        <f>SUMIFS('XTab DS_1'!$F$2:$F$95,'XTab DS_1'!$B$2:$B$95,$B25)</f>
        <v/>
      </c>
      <c r="M25" s="25">
        <f>SUMIFS('XTab DS_1'!$G$2:$G$95,'XTab DS_1'!$B$2:$B$95,$B25)</f>
        <v/>
      </c>
    </row>
    <row r="26">
      <c r="A26" s="8" t="n">
        <v>4515142545334</v>
      </c>
      <c r="B26" s="8" t="inlineStr">
        <is>
          <t>CX2509JKSIRG-GE15</t>
        </is>
      </c>
      <c r="C26" s="8" t="inlineStr">
        <is>
          <t>呪術廻戦展 懐玉玉折 渋谷事変　夏油 傑　イメージリング（#15）</t>
        </is>
      </c>
      <c r="D26" s="9">
        <f>COUNTIFS('XTab DS_1'!$B$2:$B$95,$B26)</f>
        <v/>
      </c>
      <c r="E26" s="9">
        <f>IF(D26&gt;=2,"重複","単独")</f>
        <v/>
      </c>
      <c r="F26" s="10">
        <f>SUMIFS('XTab DS_1'!$F$2:$F$95,'XTab DS_1'!$B$2:$B$95,$B26,'XTab DS_1'!$D$2:$D$95,"CX01")</f>
        <v/>
      </c>
      <c r="G26" s="11">
        <f>SUMIFS('XTab DS_1'!$G$2:$G$95,'XTab DS_1'!$B$2:$B$95,$B26,'XTab DS_1'!$D$2:$D$95,"CX01")</f>
        <v/>
      </c>
      <c r="H26" s="10">
        <f>SUMIFS('XTab DS_1'!$F$2:$F$95,'XTab DS_1'!$B$2:$B$95,$B26,'XTab DS_1'!$D$2:$D$95,"DB00")</f>
        <v/>
      </c>
      <c r="I26" s="11">
        <f>SUMIFS('XTab DS_1'!$G$2:$G$95,'XTab DS_1'!$B$2:$B$95,$B26,'XTab DS_1'!$D$2:$D$95,"DB00")</f>
        <v/>
      </c>
      <c r="J26" s="10">
        <f>SUMIFS('XTab DS_1'!$F$2:$F$95,'XTab DS_1'!$B$2:$B$95,$B26,'XTab DS_1'!$D$2:$D$95,"ZZ01")</f>
        <v/>
      </c>
      <c r="K26" s="11">
        <f>SUMIFS('XTab DS_1'!$G$2:$G$95,'XTab DS_1'!$B$2:$B$95,$B26,'XTab DS_1'!$D$2:$D$95,"ZZ01")</f>
        <v/>
      </c>
      <c r="L26" s="24">
        <f>SUMIFS('XTab DS_1'!$F$2:$F$95,'XTab DS_1'!$B$2:$B$95,$B26)</f>
        <v/>
      </c>
      <c r="M26" s="25">
        <f>SUMIFS('XTab DS_1'!$G$2:$G$95,'XTab DS_1'!$B$2:$B$95,$B26)</f>
        <v/>
      </c>
    </row>
    <row r="27">
      <c r="A27" s="8" t="n">
        <v>4515142545341</v>
      </c>
      <c r="B27" s="8" t="inlineStr">
        <is>
          <t>CX2509JKSIRG-GE17</t>
        </is>
      </c>
      <c r="C27" s="8" t="inlineStr">
        <is>
          <t>呪術廻戦展 懐玉玉折 渋谷事変　夏油 傑　イメージリング（#17）</t>
        </is>
      </c>
      <c r="D27" s="9">
        <f>COUNTIFS('XTab DS_1'!$B$2:$B$95,$B27)</f>
        <v/>
      </c>
      <c r="E27" s="9">
        <f>IF(D27&gt;=2,"重複","単独")</f>
        <v/>
      </c>
      <c r="F27" s="10">
        <f>SUMIFS('XTab DS_1'!$F$2:$F$95,'XTab DS_1'!$B$2:$B$95,$B27,'XTab DS_1'!$D$2:$D$95,"CX01")</f>
        <v/>
      </c>
      <c r="G27" s="11">
        <f>SUMIFS('XTab DS_1'!$G$2:$G$95,'XTab DS_1'!$B$2:$B$95,$B27,'XTab DS_1'!$D$2:$D$95,"CX01")</f>
        <v/>
      </c>
      <c r="H27" s="10">
        <f>SUMIFS('XTab DS_1'!$F$2:$F$95,'XTab DS_1'!$B$2:$B$95,$B27,'XTab DS_1'!$D$2:$D$95,"DB00")</f>
        <v/>
      </c>
      <c r="I27" s="11">
        <f>SUMIFS('XTab DS_1'!$G$2:$G$95,'XTab DS_1'!$B$2:$B$95,$B27,'XTab DS_1'!$D$2:$D$95,"DB00")</f>
        <v/>
      </c>
      <c r="J27" s="10">
        <f>SUMIFS('XTab DS_1'!$F$2:$F$95,'XTab DS_1'!$B$2:$B$95,$B27,'XTab DS_1'!$D$2:$D$95,"ZZ01")</f>
        <v/>
      </c>
      <c r="K27" s="11">
        <f>SUMIFS('XTab DS_1'!$G$2:$G$95,'XTab DS_1'!$B$2:$B$95,$B27,'XTab DS_1'!$D$2:$D$95,"ZZ01")</f>
        <v/>
      </c>
      <c r="L27" s="24">
        <f>SUMIFS('XTab DS_1'!$F$2:$F$95,'XTab DS_1'!$B$2:$B$95,$B27)</f>
        <v/>
      </c>
      <c r="M27" s="25">
        <f>SUMIFS('XTab DS_1'!$G$2:$G$95,'XTab DS_1'!$B$2:$B$95,$B27)</f>
        <v/>
      </c>
    </row>
    <row r="28">
      <c r="A28" s="8" t="n">
        <v>4515142545358</v>
      </c>
      <c r="B28" s="8" t="inlineStr">
        <is>
          <t>CX2509JKSIFC-IU</t>
        </is>
      </c>
      <c r="C28" s="8" t="inlineStr">
        <is>
          <t>呪術廻戦展 懐玉玉折 渋谷事変　虎杖 悠仁　イメージフラグメントケース</t>
        </is>
      </c>
      <c r="D28" s="9">
        <f>COUNTIFS('XTab DS_1'!$B$2:$B$95,$B28)</f>
        <v/>
      </c>
      <c r="E28" s="9">
        <f>IF(D28&gt;=2,"重複","単独")</f>
        <v/>
      </c>
      <c r="F28" s="10">
        <f>SUMIFS('XTab DS_1'!$F$2:$F$95,'XTab DS_1'!$B$2:$B$95,$B28,'XTab DS_1'!$D$2:$D$95,"CX01")</f>
        <v/>
      </c>
      <c r="G28" s="11">
        <f>SUMIFS('XTab DS_1'!$G$2:$G$95,'XTab DS_1'!$B$2:$B$95,$B28,'XTab DS_1'!$D$2:$D$95,"CX01")</f>
        <v/>
      </c>
      <c r="H28" s="10">
        <f>SUMIFS('XTab DS_1'!$F$2:$F$95,'XTab DS_1'!$B$2:$B$95,$B28,'XTab DS_1'!$D$2:$D$95,"DB00")</f>
        <v/>
      </c>
      <c r="I28" s="11">
        <f>SUMIFS('XTab DS_1'!$G$2:$G$95,'XTab DS_1'!$B$2:$B$95,$B28,'XTab DS_1'!$D$2:$D$95,"DB00")</f>
        <v/>
      </c>
      <c r="J28" s="10">
        <f>SUMIFS('XTab DS_1'!$F$2:$F$95,'XTab DS_1'!$B$2:$B$95,$B28,'XTab DS_1'!$D$2:$D$95,"ZZ01")</f>
        <v/>
      </c>
      <c r="K28" s="11">
        <f>SUMIFS('XTab DS_1'!$G$2:$G$95,'XTab DS_1'!$B$2:$B$95,$B28,'XTab DS_1'!$D$2:$D$95,"ZZ01")</f>
        <v/>
      </c>
      <c r="L28" s="24">
        <f>SUMIFS('XTab DS_1'!$F$2:$F$95,'XTab DS_1'!$B$2:$B$95,$B28)</f>
        <v/>
      </c>
      <c r="M28" s="25">
        <f>SUMIFS('XTab DS_1'!$G$2:$G$95,'XTab DS_1'!$B$2:$B$95,$B28)</f>
        <v/>
      </c>
    </row>
    <row r="29">
      <c r="A29" s="8" t="n">
        <v>4515142545365</v>
      </c>
      <c r="B29" s="8" t="inlineStr">
        <is>
          <t>CX2509JKSIFC-FM</t>
        </is>
      </c>
      <c r="C29" s="8" t="inlineStr">
        <is>
          <t>呪術廻戦展 懐玉玉折 渋谷事変　伏黒 恵　イメージフラグメントケース</t>
        </is>
      </c>
      <c r="D29" s="9">
        <f>COUNTIFS('XTab DS_1'!$B$2:$B$95,$B29)</f>
        <v/>
      </c>
      <c r="E29" s="9">
        <f>IF(D29&gt;=2,"重複","単独")</f>
        <v/>
      </c>
      <c r="F29" s="10">
        <f>SUMIFS('XTab DS_1'!$F$2:$F$95,'XTab DS_1'!$B$2:$B$95,$B29,'XTab DS_1'!$D$2:$D$95,"CX01")</f>
        <v/>
      </c>
      <c r="G29" s="11">
        <f>SUMIFS('XTab DS_1'!$G$2:$G$95,'XTab DS_1'!$B$2:$B$95,$B29,'XTab DS_1'!$D$2:$D$95,"CX01")</f>
        <v/>
      </c>
      <c r="H29" s="10">
        <f>SUMIFS('XTab DS_1'!$F$2:$F$95,'XTab DS_1'!$B$2:$B$95,$B29,'XTab DS_1'!$D$2:$D$95,"DB00")</f>
        <v/>
      </c>
      <c r="I29" s="11">
        <f>SUMIFS('XTab DS_1'!$G$2:$G$95,'XTab DS_1'!$B$2:$B$95,$B29,'XTab DS_1'!$D$2:$D$95,"DB00")</f>
        <v/>
      </c>
      <c r="J29" s="10">
        <f>SUMIFS('XTab DS_1'!$F$2:$F$95,'XTab DS_1'!$B$2:$B$95,$B29,'XTab DS_1'!$D$2:$D$95,"ZZ01")</f>
        <v/>
      </c>
      <c r="K29" s="11">
        <f>SUMIFS('XTab DS_1'!$G$2:$G$95,'XTab DS_1'!$B$2:$B$95,$B29,'XTab DS_1'!$D$2:$D$95,"ZZ01")</f>
        <v/>
      </c>
      <c r="L29" s="24">
        <f>SUMIFS('XTab DS_1'!$F$2:$F$95,'XTab DS_1'!$B$2:$B$95,$B29)</f>
        <v/>
      </c>
      <c r="M29" s="25">
        <f>SUMIFS('XTab DS_1'!$G$2:$G$95,'XTab DS_1'!$B$2:$B$95,$B29)</f>
        <v/>
      </c>
    </row>
    <row r="30">
      <c r="A30" s="8" t="n">
        <v>4515142545372</v>
      </c>
      <c r="B30" s="8" t="inlineStr">
        <is>
          <t>CX2509JKSCF-KGGO</t>
        </is>
      </c>
      <c r="C30" s="8" t="inlineStr">
        <is>
          <t>呪術廻戦展 懐玉玉折　クリアファイル（五条 悟）</t>
        </is>
      </c>
      <c r="D30" s="9">
        <f>COUNTIFS('XTab DS_1'!$B$2:$B$95,$B30)</f>
        <v/>
      </c>
      <c r="E30" s="9">
        <f>IF(D30&gt;=2,"重複","単独")</f>
        <v/>
      </c>
      <c r="F30" s="10">
        <f>SUMIFS('XTab DS_1'!$F$2:$F$95,'XTab DS_1'!$B$2:$B$95,$B30,'XTab DS_1'!$D$2:$D$95,"CX01")</f>
        <v/>
      </c>
      <c r="G30" s="11">
        <f>SUMIFS('XTab DS_1'!$G$2:$G$95,'XTab DS_1'!$B$2:$B$95,$B30,'XTab DS_1'!$D$2:$D$95,"CX01")</f>
        <v/>
      </c>
      <c r="H30" s="10">
        <f>SUMIFS('XTab DS_1'!$F$2:$F$95,'XTab DS_1'!$B$2:$B$95,$B30,'XTab DS_1'!$D$2:$D$95,"DB00")</f>
        <v/>
      </c>
      <c r="I30" s="11">
        <f>SUMIFS('XTab DS_1'!$G$2:$G$95,'XTab DS_1'!$B$2:$B$95,$B30,'XTab DS_1'!$D$2:$D$95,"DB00")</f>
        <v/>
      </c>
      <c r="J30" s="10">
        <f>SUMIFS('XTab DS_1'!$F$2:$F$95,'XTab DS_1'!$B$2:$B$95,$B30,'XTab DS_1'!$D$2:$D$95,"ZZ01")</f>
        <v/>
      </c>
      <c r="K30" s="11">
        <f>SUMIFS('XTab DS_1'!$G$2:$G$95,'XTab DS_1'!$B$2:$B$95,$B30,'XTab DS_1'!$D$2:$D$95,"ZZ01")</f>
        <v/>
      </c>
      <c r="L30" s="24">
        <f>SUMIFS('XTab DS_1'!$F$2:$F$95,'XTab DS_1'!$B$2:$B$95,$B30)</f>
        <v/>
      </c>
      <c r="M30" s="25">
        <f>SUMIFS('XTab DS_1'!$G$2:$G$95,'XTab DS_1'!$B$2:$B$95,$B30)</f>
        <v/>
      </c>
    </row>
    <row r="31">
      <c r="A31" s="8" t="n">
        <v>4515142545389</v>
      </c>
      <c r="B31" s="8" t="inlineStr">
        <is>
          <t>CX2509JKSCF-KGGE</t>
        </is>
      </c>
      <c r="C31" s="8" t="inlineStr">
        <is>
          <t>呪術廻戦展 懐玉玉折　クリアファイル（夏油 傑）</t>
        </is>
      </c>
      <c r="D31" s="9">
        <f>COUNTIFS('XTab DS_1'!$B$2:$B$95,$B31)</f>
        <v/>
      </c>
      <c r="E31" s="9">
        <f>IF(D31&gt;=2,"重複","単独")</f>
        <v/>
      </c>
      <c r="F31" s="10">
        <f>SUMIFS('XTab DS_1'!$F$2:$F$95,'XTab DS_1'!$B$2:$B$95,$B31,'XTab DS_1'!$D$2:$D$95,"CX01")</f>
        <v/>
      </c>
      <c r="G31" s="11">
        <f>SUMIFS('XTab DS_1'!$G$2:$G$95,'XTab DS_1'!$B$2:$B$95,$B31,'XTab DS_1'!$D$2:$D$95,"CX01")</f>
        <v/>
      </c>
      <c r="H31" s="10">
        <f>SUMIFS('XTab DS_1'!$F$2:$F$95,'XTab DS_1'!$B$2:$B$95,$B31,'XTab DS_1'!$D$2:$D$95,"DB00")</f>
        <v/>
      </c>
      <c r="I31" s="11">
        <f>SUMIFS('XTab DS_1'!$G$2:$G$95,'XTab DS_1'!$B$2:$B$95,$B31,'XTab DS_1'!$D$2:$D$95,"DB00")</f>
        <v/>
      </c>
      <c r="J31" s="10">
        <f>SUMIFS('XTab DS_1'!$F$2:$F$95,'XTab DS_1'!$B$2:$B$95,$B31,'XTab DS_1'!$D$2:$D$95,"ZZ01")</f>
        <v/>
      </c>
      <c r="K31" s="11">
        <f>SUMIFS('XTab DS_1'!$G$2:$G$95,'XTab DS_1'!$B$2:$B$95,$B31,'XTab DS_1'!$D$2:$D$95,"ZZ01")</f>
        <v/>
      </c>
      <c r="L31" s="24">
        <f>SUMIFS('XTab DS_1'!$F$2:$F$95,'XTab DS_1'!$B$2:$B$95,$B31)</f>
        <v/>
      </c>
      <c r="M31" s="25">
        <f>SUMIFS('XTab DS_1'!$G$2:$G$95,'XTab DS_1'!$B$2:$B$95,$B31)</f>
        <v/>
      </c>
    </row>
    <row r="32">
      <c r="A32" s="8" t="n">
        <v>4515142545396</v>
      </c>
      <c r="B32" s="8" t="inlineStr">
        <is>
          <t>CX2509JKSCF-KGIS</t>
        </is>
      </c>
      <c r="C32" s="8" t="inlineStr">
        <is>
          <t>呪術廻戦展 懐玉玉折　クリアファイル（家入 硝子）</t>
        </is>
      </c>
      <c r="D32" s="9">
        <f>COUNTIFS('XTab DS_1'!$B$2:$B$95,$B32)</f>
        <v/>
      </c>
      <c r="E32" s="9">
        <f>IF(D32&gt;=2,"重複","単独")</f>
        <v/>
      </c>
      <c r="F32" s="10">
        <f>SUMIFS('XTab DS_1'!$F$2:$F$95,'XTab DS_1'!$B$2:$B$95,$B32,'XTab DS_1'!$D$2:$D$95,"CX01")</f>
        <v/>
      </c>
      <c r="G32" s="11">
        <f>SUMIFS('XTab DS_1'!$G$2:$G$95,'XTab DS_1'!$B$2:$B$95,$B32,'XTab DS_1'!$D$2:$D$95,"CX01")</f>
        <v/>
      </c>
      <c r="H32" s="10">
        <f>SUMIFS('XTab DS_1'!$F$2:$F$95,'XTab DS_1'!$B$2:$B$95,$B32,'XTab DS_1'!$D$2:$D$95,"DB00")</f>
        <v/>
      </c>
      <c r="I32" s="11">
        <f>SUMIFS('XTab DS_1'!$G$2:$G$95,'XTab DS_1'!$B$2:$B$95,$B32,'XTab DS_1'!$D$2:$D$95,"DB00")</f>
        <v/>
      </c>
      <c r="J32" s="10">
        <f>SUMIFS('XTab DS_1'!$F$2:$F$95,'XTab DS_1'!$B$2:$B$95,$B32,'XTab DS_1'!$D$2:$D$95,"ZZ01")</f>
        <v/>
      </c>
      <c r="K32" s="11">
        <f>SUMIFS('XTab DS_1'!$G$2:$G$95,'XTab DS_1'!$B$2:$B$95,$B32,'XTab DS_1'!$D$2:$D$95,"ZZ01")</f>
        <v/>
      </c>
      <c r="L32" s="24">
        <f>SUMIFS('XTab DS_1'!$F$2:$F$95,'XTab DS_1'!$B$2:$B$95,$B32)</f>
        <v/>
      </c>
      <c r="M32" s="25">
        <f>SUMIFS('XTab DS_1'!$G$2:$G$95,'XTab DS_1'!$B$2:$B$95,$B32)</f>
        <v/>
      </c>
    </row>
    <row r="33">
      <c r="A33" s="8" t="n">
        <v>4515142545402</v>
      </c>
      <c r="B33" s="8" t="inlineStr">
        <is>
          <t>CX2509JKSCF-KGNM</t>
        </is>
      </c>
      <c r="C33" s="8" t="inlineStr">
        <is>
          <t>呪術廻戦展 懐玉玉折　クリアファイル（七海 建人）</t>
        </is>
      </c>
      <c r="D33" s="9">
        <f>COUNTIFS('XTab DS_1'!$B$2:$B$95,$B33)</f>
        <v/>
      </c>
      <c r="E33" s="9">
        <f>IF(D33&gt;=2,"重複","単独")</f>
        <v/>
      </c>
      <c r="F33" s="10">
        <f>SUMIFS('XTab DS_1'!$F$2:$F$95,'XTab DS_1'!$B$2:$B$95,$B33,'XTab DS_1'!$D$2:$D$95,"CX01")</f>
        <v/>
      </c>
      <c r="G33" s="11">
        <f>SUMIFS('XTab DS_1'!$G$2:$G$95,'XTab DS_1'!$B$2:$B$95,$B33,'XTab DS_1'!$D$2:$D$95,"CX01")</f>
        <v/>
      </c>
      <c r="H33" s="10">
        <f>SUMIFS('XTab DS_1'!$F$2:$F$95,'XTab DS_1'!$B$2:$B$95,$B33,'XTab DS_1'!$D$2:$D$95,"DB00")</f>
        <v/>
      </c>
      <c r="I33" s="11">
        <f>SUMIFS('XTab DS_1'!$G$2:$G$95,'XTab DS_1'!$B$2:$B$95,$B33,'XTab DS_1'!$D$2:$D$95,"DB00")</f>
        <v/>
      </c>
      <c r="J33" s="10">
        <f>SUMIFS('XTab DS_1'!$F$2:$F$95,'XTab DS_1'!$B$2:$B$95,$B33,'XTab DS_1'!$D$2:$D$95,"ZZ01")</f>
        <v/>
      </c>
      <c r="K33" s="11">
        <f>SUMIFS('XTab DS_1'!$G$2:$G$95,'XTab DS_1'!$B$2:$B$95,$B33,'XTab DS_1'!$D$2:$D$95,"ZZ01")</f>
        <v/>
      </c>
      <c r="L33" s="24">
        <f>SUMIFS('XTab DS_1'!$F$2:$F$95,'XTab DS_1'!$B$2:$B$95,$B33)</f>
        <v/>
      </c>
      <c r="M33" s="25">
        <f>SUMIFS('XTab DS_1'!$G$2:$G$95,'XTab DS_1'!$B$2:$B$95,$B33)</f>
        <v/>
      </c>
    </row>
    <row r="34">
      <c r="A34" s="8" t="n">
        <v>4515142545419</v>
      </c>
      <c r="B34" s="8" t="inlineStr">
        <is>
          <t>CX2509JKSCF-KGHU</t>
        </is>
      </c>
      <c r="C34" s="8" t="inlineStr">
        <is>
          <t>呪術廻戦展 懐玉玉折　クリアファイル（灰原 雄）</t>
        </is>
      </c>
      <c r="D34" s="9">
        <f>COUNTIFS('XTab DS_1'!$B$2:$B$95,$B34)</f>
        <v/>
      </c>
      <c r="E34" s="9">
        <f>IF(D34&gt;=2,"重複","単独")</f>
        <v/>
      </c>
      <c r="F34" s="10">
        <f>SUMIFS('XTab DS_1'!$F$2:$F$95,'XTab DS_1'!$B$2:$B$95,$B34,'XTab DS_1'!$D$2:$D$95,"CX01")</f>
        <v/>
      </c>
      <c r="G34" s="11">
        <f>SUMIFS('XTab DS_1'!$G$2:$G$95,'XTab DS_1'!$B$2:$B$95,$B34,'XTab DS_1'!$D$2:$D$95,"CX01")</f>
        <v/>
      </c>
      <c r="H34" s="10">
        <f>SUMIFS('XTab DS_1'!$F$2:$F$95,'XTab DS_1'!$B$2:$B$95,$B34,'XTab DS_1'!$D$2:$D$95,"DB00")</f>
        <v/>
      </c>
      <c r="I34" s="11">
        <f>SUMIFS('XTab DS_1'!$G$2:$G$95,'XTab DS_1'!$B$2:$B$95,$B34,'XTab DS_1'!$D$2:$D$95,"DB00")</f>
        <v/>
      </c>
      <c r="J34" s="10">
        <f>SUMIFS('XTab DS_1'!$F$2:$F$95,'XTab DS_1'!$B$2:$B$95,$B34,'XTab DS_1'!$D$2:$D$95,"ZZ01")</f>
        <v/>
      </c>
      <c r="K34" s="11">
        <f>SUMIFS('XTab DS_1'!$G$2:$G$95,'XTab DS_1'!$B$2:$B$95,$B34,'XTab DS_1'!$D$2:$D$95,"ZZ01")</f>
        <v/>
      </c>
      <c r="L34" s="24">
        <f>SUMIFS('XTab DS_1'!$F$2:$F$95,'XTab DS_1'!$B$2:$B$95,$B34)</f>
        <v/>
      </c>
      <c r="M34" s="25">
        <f>SUMIFS('XTab DS_1'!$G$2:$G$95,'XTab DS_1'!$B$2:$B$95,$B34)</f>
        <v/>
      </c>
    </row>
    <row r="35">
      <c r="A35" s="8" t="n">
        <v>4515142545426</v>
      </c>
      <c r="B35" s="8" t="inlineStr">
        <is>
          <t>CX2509JKSCF-SJIU</t>
        </is>
      </c>
      <c r="C35" s="8" t="inlineStr">
        <is>
          <t>呪術廻戦展 渋谷事変　クリアファイル（虎杖 悠仁）</t>
        </is>
      </c>
      <c r="D35" s="9">
        <f>COUNTIFS('XTab DS_1'!$B$2:$B$95,$B35)</f>
        <v/>
      </c>
      <c r="E35" s="9">
        <f>IF(D35&gt;=2,"重複","単独")</f>
        <v/>
      </c>
      <c r="F35" s="10">
        <f>SUMIFS('XTab DS_1'!$F$2:$F$95,'XTab DS_1'!$B$2:$B$95,$B35,'XTab DS_1'!$D$2:$D$95,"CX01")</f>
        <v/>
      </c>
      <c r="G35" s="11">
        <f>SUMIFS('XTab DS_1'!$G$2:$G$95,'XTab DS_1'!$B$2:$B$95,$B35,'XTab DS_1'!$D$2:$D$95,"CX01")</f>
        <v/>
      </c>
      <c r="H35" s="10">
        <f>SUMIFS('XTab DS_1'!$F$2:$F$95,'XTab DS_1'!$B$2:$B$95,$B35,'XTab DS_1'!$D$2:$D$95,"DB00")</f>
        <v/>
      </c>
      <c r="I35" s="11">
        <f>SUMIFS('XTab DS_1'!$G$2:$G$95,'XTab DS_1'!$B$2:$B$95,$B35,'XTab DS_1'!$D$2:$D$95,"DB00")</f>
        <v/>
      </c>
      <c r="J35" s="10">
        <f>SUMIFS('XTab DS_1'!$F$2:$F$95,'XTab DS_1'!$B$2:$B$95,$B35,'XTab DS_1'!$D$2:$D$95,"ZZ01")</f>
        <v/>
      </c>
      <c r="K35" s="11">
        <f>SUMIFS('XTab DS_1'!$G$2:$G$95,'XTab DS_1'!$B$2:$B$95,$B35,'XTab DS_1'!$D$2:$D$95,"ZZ01")</f>
        <v/>
      </c>
      <c r="L35" s="24">
        <f>SUMIFS('XTab DS_1'!$F$2:$F$95,'XTab DS_1'!$B$2:$B$95,$B35)</f>
        <v/>
      </c>
      <c r="M35" s="25">
        <f>SUMIFS('XTab DS_1'!$G$2:$G$95,'XTab DS_1'!$B$2:$B$95,$B35)</f>
        <v/>
      </c>
    </row>
    <row r="36">
      <c r="A36" s="8" t="n">
        <v>4515142545433</v>
      </c>
      <c r="B36" s="8" t="inlineStr">
        <is>
          <t>CX2509JKSCF-SJFM</t>
        </is>
      </c>
      <c r="C36" s="8" t="inlineStr">
        <is>
          <t>呪術廻戦展 渋谷事変　クリアファイル（伏黒 恵）</t>
        </is>
      </c>
      <c r="D36" s="9">
        <f>COUNTIFS('XTab DS_1'!$B$2:$B$95,$B36)</f>
        <v/>
      </c>
      <c r="E36" s="9">
        <f>IF(D36&gt;=2,"重複","単独")</f>
        <v/>
      </c>
      <c r="F36" s="10">
        <f>SUMIFS('XTab DS_1'!$F$2:$F$95,'XTab DS_1'!$B$2:$B$95,$B36,'XTab DS_1'!$D$2:$D$95,"CX01")</f>
        <v/>
      </c>
      <c r="G36" s="11">
        <f>SUMIFS('XTab DS_1'!$G$2:$G$95,'XTab DS_1'!$B$2:$B$95,$B36,'XTab DS_1'!$D$2:$D$95,"CX01")</f>
        <v/>
      </c>
      <c r="H36" s="10">
        <f>SUMIFS('XTab DS_1'!$F$2:$F$95,'XTab DS_1'!$B$2:$B$95,$B36,'XTab DS_1'!$D$2:$D$95,"DB00")</f>
        <v/>
      </c>
      <c r="I36" s="11">
        <f>SUMIFS('XTab DS_1'!$G$2:$G$95,'XTab DS_1'!$B$2:$B$95,$B36,'XTab DS_1'!$D$2:$D$95,"DB00")</f>
        <v/>
      </c>
      <c r="J36" s="10">
        <f>SUMIFS('XTab DS_1'!$F$2:$F$95,'XTab DS_1'!$B$2:$B$95,$B36,'XTab DS_1'!$D$2:$D$95,"ZZ01")</f>
        <v/>
      </c>
      <c r="K36" s="11">
        <f>SUMIFS('XTab DS_1'!$G$2:$G$95,'XTab DS_1'!$B$2:$B$95,$B36,'XTab DS_1'!$D$2:$D$95,"ZZ01")</f>
        <v/>
      </c>
      <c r="L36" s="24">
        <f>SUMIFS('XTab DS_1'!$F$2:$F$95,'XTab DS_1'!$B$2:$B$95,$B36)</f>
        <v/>
      </c>
      <c r="M36" s="25">
        <f>SUMIFS('XTab DS_1'!$G$2:$G$95,'XTab DS_1'!$B$2:$B$95,$B36)</f>
        <v/>
      </c>
    </row>
    <row r="37">
      <c r="A37" s="8" t="n">
        <v>4515142545440</v>
      </c>
      <c r="B37" s="8" t="inlineStr">
        <is>
          <t>CX2509JKSCF-SJNB</t>
        </is>
      </c>
      <c r="C37" s="8" t="inlineStr">
        <is>
          <t>呪術廻戦展 渋谷事変　クリアファイル（釘崎 野薔薇）</t>
        </is>
      </c>
      <c r="D37" s="9">
        <f>COUNTIFS('XTab DS_1'!$B$2:$B$95,$B37)</f>
        <v/>
      </c>
      <c r="E37" s="9">
        <f>IF(D37&gt;=2,"重複","単独")</f>
        <v/>
      </c>
      <c r="F37" s="10">
        <f>SUMIFS('XTab DS_1'!$F$2:$F$95,'XTab DS_1'!$B$2:$B$95,$B37,'XTab DS_1'!$D$2:$D$95,"CX01")</f>
        <v/>
      </c>
      <c r="G37" s="11">
        <f>SUMIFS('XTab DS_1'!$G$2:$G$95,'XTab DS_1'!$B$2:$B$95,$B37,'XTab DS_1'!$D$2:$D$95,"CX01")</f>
        <v/>
      </c>
      <c r="H37" s="10">
        <f>SUMIFS('XTab DS_1'!$F$2:$F$95,'XTab DS_1'!$B$2:$B$95,$B37,'XTab DS_1'!$D$2:$D$95,"DB00")</f>
        <v/>
      </c>
      <c r="I37" s="11">
        <f>SUMIFS('XTab DS_1'!$G$2:$G$95,'XTab DS_1'!$B$2:$B$95,$B37,'XTab DS_1'!$D$2:$D$95,"DB00")</f>
        <v/>
      </c>
      <c r="J37" s="10">
        <f>SUMIFS('XTab DS_1'!$F$2:$F$95,'XTab DS_1'!$B$2:$B$95,$B37,'XTab DS_1'!$D$2:$D$95,"ZZ01")</f>
        <v/>
      </c>
      <c r="K37" s="11">
        <f>SUMIFS('XTab DS_1'!$G$2:$G$95,'XTab DS_1'!$B$2:$B$95,$B37,'XTab DS_1'!$D$2:$D$95,"ZZ01")</f>
        <v/>
      </c>
      <c r="L37" s="24">
        <f>SUMIFS('XTab DS_1'!$F$2:$F$95,'XTab DS_1'!$B$2:$B$95,$B37)</f>
        <v/>
      </c>
      <c r="M37" s="25">
        <f>SUMIFS('XTab DS_1'!$G$2:$G$95,'XTab DS_1'!$B$2:$B$95,$B37)</f>
        <v/>
      </c>
    </row>
    <row r="38">
      <c r="A38" s="8" t="n">
        <v>4515142545457</v>
      </c>
      <c r="B38" s="8" t="inlineStr">
        <is>
          <t>CX2509JKSCF-SJNM</t>
        </is>
      </c>
      <c r="C38" s="8" t="inlineStr">
        <is>
          <t>呪術廻戦展 渋谷事変　クリアファイル（七海 建人）</t>
        </is>
      </c>
      <c r="D38" s="9">
        <f>COUNTIFS('XTab DS_1'!$B$2:$B$95,$B38)</f>
        <v/>
      </c>
      <c r="E38" s="9">
        <f>IF(D38&gt;=2,"重複","単独")</f>
        <v/>
      </c>
      <c r="F38" s="10">
        <f>SUMIFS('XTab DS_1'!$F$2:$F$95,'XTab DS_1'!$B$2:$B$95,$B38,'XTab DS_1'!$D$2:$D$95,"CX01")</f>
        <v/>
      </c>
      <c r="G38" s="11">
        <f>SUMIFS('XTab DS_1'!$G$2:$G$95,'XTab DS_1'!$B$2:$B$95,$B38,'XTab DS_1'!$D$2:$D$95,"CX01")</f>
        <v/>
      </c>
      <c r="H38" s="10">
        <f>SUMIFS('XTab DS_1'!$F$2:$F$95,'XTab DS_1'!$B$2:$B$95,$B38,'XTab DS_1'!$D$2:$D$95,"DB00")</f>
        <v/>
      </c>
      <c r="I38" s="11">
        <f>SUMIFS('XTab DS_1'!$G$2:$G$95,'XTab DS_1'!$B$2:$B$95,$B38,'XTab DS_1'!$D$2:$D$95,"DB00")</f>
        <v/>
      </c>
      <c r="J38" s="10">
        <f>SUMIFS('XTab DS_1'!$F$2:$F$95,'XTab DS_1'!$B$2:$B$95,$B38,'XTab DS_1'!$D$2:$D$95,"ZZ01")</f>
        <v/>
      </c>
      <c r="K38" s="11">
        <f>SUMIFS('XTab DS_1'!$G$2:$G$95,'XTab DS_1'!$B$2:$B$95,$B38,'XTab DS_1'!$D$2:$D$95,"ZZ01")</f>
        <v/>
      </c>
      <c r="L38" s="24">
        <f>SUMIFS('XTab DS_1'!$F$2:$F$95,'XTab DS_1'!$B$2:$B$95,$B38)</f>
        <v/>
      </c>
      <c r="M38" s="25">
        <f>SUMIFS('XTab DS_1'!$G$2:$G$95,'XTab DS_1'!$B$2:$B$95,$B38)</f>
        <v/>
      </c>
    </row>
    <row r="39">
      <c r="A39" s="8" t="n">
        <v>4515142545464</v>
      </c>
      <c r="B39" s="8" t="inlineStr">
        <is>
          <t>CX2509JKSCF-SJGO</t>
        </is>
      </c>
      <c r="C39" s="8" t="inlineStr">
        <is>
          <t>呪術廻戦展 渋谷事変　クリアファイル（五条 悟）</t>
        </is>
      </c>
      <c r="D39" s="9">
        <f>COUNTIFS('XTab DS_1'!$B$2:$B$95,$B39)</f>
        <v/>
      </c>
      <c r="E39" s="9">
        <f>IF(D39&gt;=2,"重複","単独")</f>
        <v/>
      </c>
      <c r="F39" s="10">
        <f>SUMIFS('XTab DS_1'!$F$2:$F$95,'XTab DS_1'!$B$2:$B$95,$B39,'XTab DS_1'!$D$2:$D$95,"CX01")</f>
        <v/>
      </c>
      <c r="G39" s="11">
        <f>SUMIFS('XTab DS_1'!$G$2:$G$95,'XTab DS_1'!$B$2:$B$95,$B39,'XTab DS_1'!$D$2:$D$95,"CX01")</f>
        <v/>
      </c>
      <c r="H39" s="10">
        <f>SUMIFS('XTab DS_1'!$F$2:$F$95,'XTab DS_1'!$B$2:$B$95,$B39,'XTab DS_1'!$D$2:$D$95,"DB00")</f>
        <v/>
      </c>
      <c r="I39" s="11">
        <f>SUMIFS('XTab DS_1'!$G$2:$G$95,'XTab DS_1'!$B$2:$B$95,$B39,'XTab DS_1'!$D$2:$D$95,"DB00")</f>
        <v/>
      </c>
      <c r="J39" s="10">
        <f>SUMIFS('XTab DS_1'!$F$2:$F$95,'XTab DS_1'!$B$2:$B$95,$B39,'XTab DS_1'!$D$2:$D$95,"ZZ01")</f>
        <v/>
      </c>
      <c r="K39" s="11">
        <f>SUMIFS('XTab DS_1'!$G$2:$G$95,'XTab DS_1'!$B$2:$B$95,$B39,'XTab DS_1'!$D$2:$D$95,"ZZ01")</f>
        <v/>
      </c>
      <c r="L39" s="24">
        <f>SUMIFS('XTab DS_1'!$F$2:$F$95,'XTab DS_1'!$B$2:$B$95,$B39)</f>
        <v/>
      </c>
      <c r="M39" s="25">
        <f>SUMIFS('XTab DS_1'!$G$2:$G$95,'XTab DS_1'!$B$2:$B$95,$B39)</f>
        <v/>
      </c>
    </row>
    <row r="40">
      <c r="A40" s="8" t="n">
        <v>4515142545471</v>
      </c>
      <c r="B40" s="8" t="inlineStr">
        <is>
          <t>CX2509JKSCF-SJGE</t>
        </is>
      </c>
      <c r="C40" s="8" t="inlineStr">
        <is>
          <t>呪術廻戦展 渋谷事変　クリアファイル（夏油 傑）</t>
        </is>
      </c>
      <c r="D40" s="9">
        <f>COUNTIFS('XTab DS_1'!$B$2:$B$95,$B40)</f>
        <v/>
      </c>
      <c r="E40" s="9">
        <f>IF(D40&gt;=2,"重複","単独")</f>
        <v/>
      </c>
      <c r="F40" s="10">
        <f>SUMIFS('XTab DS_1'!$F$2:$F$95,'XTab DS_1'!$B$2:$B$95,$B40,'XTab DS_1'!$D$2:$D$95,"CX01")</f>
        <v/>
      </c>
      <c r="G40" s="11">
        <f>SUMIFS('XTab DS_1'!$G$2:$G$95,'XTab DS_1'!$B$2:$B$95,$B40,'XTab DS_1'!$D$2:$D$95,"CX01")</f>
        <v/>
      </c>
      <c r="H40" s="10">
        <f>SUMIFS('XTab DS_1'!$F$2:$F$95,'XTab DS_1'!$B$2:$B$95,$B40,'XTab DS_1'!$D$2:$D$95,"DB00")</f>
        <v/>
      </c>
      <c r="I40" s="11">
        <f>SUMIFS('XTab DS_1'!$G$2:$G$95,'XTab DS_1'!$B$2:$B$95,$B40,'XTab DS_1'!$D$2:$D$95,"DB00")</f>
        <v/>
      </c>
      <c r="J40" s="10">
        <f>SUMIFS('XTab DS_1'!$F$2:$F$95,'XTab DS_1'!$B$2:$B$95,$B40,'XTab DS_1'!$D$2:$D$95,"ZZ01")</f>
        <v/>
      </c>
      <c r="K40" s="11">
        <f>SUMIFS('XTab DS_1'!$G$2:$G$95,'XTab DS_1'!$B$2:$B$95,$B40,'XTab DS_1'!$D$2:$D$95,"ZZ01")</f>
        <v/>
      </c>
      <c r="L40" s="24">
        <f>SUMIFS('XTab DS_1'!$F$2:$F$95,'XTab DS_1'!$B$2:$B$95,$B40)</f>
        <v/>
      </c>
      <c r="M40" s="25">
        <f>SUMIFS('XTab DS_1'!$G$2:$G$95,'XTab DS_1'!$B$2:$B$95,$B40)</f>
        <v/>
      </c>
    </row>
    <row r="41">
      <c r="A41" s="8" t="n">
        <v>4515142545488</v>
      </c>
      <c r="B41" s="8" t="inlineStr">
        <is>
          <t>CX2509JKSCF-SJMH</t>
        </is>
      </c>
      <c r="C41" s="8" t="inlineStr">
        <is>
          <t>呪術廻戦展 渋谷事変　クリアファイル（真人）</t>
        </is>
      </c>
      <c r="D41" s="9">
        <f>COUNTIFS('XTab DS_1'!$B$2:$B$95,$B41)</f>
        <v/>
      </c>
      <c r="E41" s="9">
        <f>IF(D41&gt;=2,"重複","単独")</f>
        <v/>
      </c>
      <c r="F41" s="10">
        <f>SUMIFS('XTab DS_1'!$F$2:$F$95,'XTab DS_1'!$B$2:$B$95,$B41,'XTab DS_1'!$D$2:$D$95,"CX01")</f>
        <v/>
      </c>
      <c r="G41" s="11">
        <f>SUMIFS('XTab DS_1'!$G$2:$G$95,'XTab DS_1'!$B$2:$B$95,$B41,'XTab DS_1'!$D$2:$D$95,"CX01")</f>
        <v/>
      </c>
      <c r="H41" s="10">
        <f>SUMIFS('XTab DS_1'!$F$2:$F$95,'XTab DS_1'!$B$2:$B$95,$B41,'XTab DS_1'!$D$2:$D$95,"DB00")</f>
        <v/>
      </c>
      <c r="I41" s="11">
        <f>SUMIFS('XTab DS_1'!$G$2:$G$95,'XTab DS_1'!$B$2:$B$95,$B41,'XTab DS_1'!$D$2:$D$95,"DB00")</f>
        <v/>
      </c>
      <c r="J41" s="10">
        <f>SUMIFS('XTab DS_1'!$F$2:$F$95,'XTab DS_1'!$B$2:$B$95,$B41,'XTab DS_1'!$D$2:$D$95,"ZZ01")</f>
        <v/>
      </c>
      <c r="K41" s="11">
        <f>SUMIFS('XTab DS_1'!$G$2:$G$95,'XTab DS_1'!$B$2:$B$95,$B41,'XTab DS_1'!$D$2:$D$95,"ZZ01")</f>
        <v/>
      </c>
      <c r="L41" s="24">
        <f>SUMIFS('XTab DS_1'!$F$2:$F$95,'XTab DS_1'!$B$2:$B$95,$B41)</f>
        <v/>
      </c>
      <c r="M41" s="25">
        <f>SUMIFS('XTab DS_1'!$G$2:$G$95,'XTab DS_1'!$B$2:$B$95,$B41)</f>
        <v/>
      </c>
    </row>
    <row r="42">
      <c r="A42" s="8" t="n">
        <v>4515142545495</v>
      </c>
      <c r="B42" s="8" t="inlineStr">
        <is>
          <t>CX2509JKSCF-SJCS</t>
        </is>
      </c>
      <c r="C42" s="8" t="inlineStr">
        <is>
          <t>呪術廻戦展 渋谷事変　クリアファイル（脹相）</t>
        </is>
      </c>
      <c r="D42" s="9">
        <f>COUNTIFS('XTab DS_1'!$B$2:$B$95,$B42)</f>
        <v/>
      </c>
      <c r="E42" s="9">
        <f>IF(D42&gt;=2,"重複","単独")</f>
        <v/>
      </c>
      <c r="F42" s="10">
        <f>SUMIFS('XTab DS_1'!$F$2:$F$95,'XTab DS_1'!$B$2:$B$95,$B42,'XTab DS_1'!$D$2:$D$95,"CX01")</f>
        <v/>
      </c>
      <c r="G42" s="11">
        <f>SUMIFS('XTab DS_1'!$G$2:$G$95,'XTab DS_1'!$B$2:$B$95,$B42,'XTab DS_1'!$D$2:$D$95,"CX01")</f>
        <v/>
      </c>
      <c r="H42" s="10">
        <f>SUMIFS('XTab DS_1'!$F$2:$F$95,'XTab DS_1'!$B$2:$B$95,$B42,'XTab DS_1'!$D$2:$D$95,"DB00")</f>
        <v/>
      </c>
      <c r="I42" s="11">
        <f>SUMIFS('XTab DS_1'!$G$2:$G$95,'XTab DS_1'!$B$2:$B$95,$B42,'XTab DS_1'!$D$2:$D$95,"DB00")</f>
        <v/>
      </c>
      <c r="J42" s="10">
        <f>SUMIFS('XTab DS_1'!$F$2:$F$95,'XTab DS_1'!$B$2:$B$95,$B42,'XTab DS_1'!$D$2:$D$95,"ZZ01")</f>
        <v/>
      </c>
      <c r="K42" s="11">
        <f>SUMIFS('XTab DS_1'!$G$2:$G$95,'XTab DS_1'!$B$2:$B$95,$B42,'XTab DS_1'!$D$2:$D$95,"ZZ01")</f>
        <v/>
      </c>
      <c r="L42" s="24">
        <f>SUMIFS('XTab DS_1'!$F$2:$F$95,'XTab DS_1'!$B$2:$B$95,$B42)</f>
        <v/>
      </c>
      <c r="M42" s="25">
        <f>SUMIFS('XTab DS_1'!$G$2:$G$95,'XTab DS_1'!$B$2:$B$95,$B42)</f>
        <v/>
      </c>
    </row>
    <row r="43">
      <c r="A43" s="8" t="n">
        <v>4515142545501</v>
      </c>
      <c r="B43" s="8" t="inlineStr">
        <is>
          <t>CX2509JKSCF-SJSK</t>
        </is>
      </c>
      <c r="C43" s="8" t="inlineStr">
        <is>
          <t>呪術廻戦展 渋谷事変　クリアファイル（宿儺）</t>
        </is>
      </c>
      <c r="D43" s="9">
        <f>COUNTIFS('XTab DS_1'!$B$2:$B$95,$B43)</f>
        <v/>
      </c>
      <c r="E43" s="9">
        <f>IF(D43&gt;=2,"重複","単独")</f>
        <v/>
      </c>
      <c r="F43" s="10">
        <f>SUMIFS('XTab DS_1'!$F$2:$F$95,'XTab DS_1'!$B$2:$B$95,$B43,'XTab DS_1'!$D$2:$D$95,"CX01")</f>
        <v/>
      </c>
      <c r="G43" s="11">
        <f>SUMIFS('XTab DS_1'!$G$2:$G$95,'XTab DS_1'!$B$2:$B$95,$B43,'XTab DS_1'!$D$2:$D$95,"CX01")</f>
        <v/>
      </c>
      <c r="H43" s="10">
        <f>SUMIFS('XTab DS_1'!$F$2:$F$95,'XTab DS_1'!$B$2:$B$95,$B43,'XTab DS_1'!$D$2:$D$95,"DB00")</f>
        <v/>
      </c>
      <c r="I43" s="11">
        <f>SUMIFS('XTab DS_1'!$G$2:$G$95,'XTab DS_1'!$B$2:$B$95,$B43,'XTab DS_1'!$D$2:$D$95,"DB00")</f>
        <v/>
      </c>
      <c r="J43" s="10">
        <f>SUMIFS('XTab DS_1'!$F$2:$F$95,'XTab DS_1'!$B$2:$B$95,$B43,'XTab DS_1'!$D$2:$D$95,"ZZ01")</f>
        <v/>
      </c>
      <c r="K43" s="11">
        <f>SUMIFS('XTab DS_1'!$G$2:$G$95,'XTab DS_1'!$B$2:$B$95,$B43,'XTab DS_1'!$D$2:$D$95,"ZZ01")</f>
        <v/>
      </c>
      <c r="L43" s="24">
        <f>SUMIFS('XTab DS_1'!$F$2:$F$95,'XTab DS_1'!$B$2:$B$95,$B43)</f>
        <v/>
      </c>
      <c r="M43" s="25">
        <f>SUMIFS('XTab DS_1'!$G$2:$G$95,'XTab DS_1'!$B$2:$B$95,$B43)</f>
        <v/>
      </c>
    </row>
    <row r="44">
      <c r="A44" s="8" t="inlineStr">
        <is>
          <t>#</t>
        </is>
      </c>
      <c r="B44" s="8" t="inlineStr">
        <is>
          <t>CX2509JKSDTPCHCLP2</t>
        </is>
      </c>
      <c r="C44" s="8" t="inlineStr">
        <is>
          <t>呪術廻戦展 懐玉玉折 渋谷事変　脱兎クリップのみ(1SET 5個)</t>
        </is>
      </c>
      <c r="D44" s="9">
        <f>COUNTIFS('XTab DS_1'!$B$2:$B$95,$B44)</f>
        <v/>
      </c>
      <c r="E44" s="9">
        <f>IF(D44&gt;=2,"重複","単独")</f>
        <v/>
      </c>
      <c r="F44" s="10">
        <f>SUMIFS('XTab DS_1'!$F$2:$F$95,'XTab DS_1'!$B$2:$B$95,$B44,'XTab DS_1'!$D$2:$D$95,"CX01")</f>
        <v/>
      </c>
      <c r="G44" s="11">
        <f>SUMIFS('XTab DS_1'!$G$2:$G$95,'XTab DS_1'!$B$2:$B$95,$B44,'XTab DS_1'!$D$2:$D$95,"CX01")</f>
        <v/>
      </c>
      <c r="H44" s="10">
        <f>SUMIFS('XTab DS_1'!$F$2:$F$95,'XTab DS_1'!$B$2:$B$95,$B44,'XTab DS_1'!$D$2:$D$95,"DB00")</f>
        <v/>
      </c>
      <c r="I44" s="11">
        <f>SUMIFS('XTab DS_1'!$G$2:$G$95,'XTab DS_1'!$B$2:$B$95,$B44,'XTab DS_1'!$D$2:$D$95,"DB00")</f>
        <v/>
      </c>
      <c r="J44" s="10">
        <f>SUMIFS('XTab DS_1'!$F$2:$F$95,'XTab DS_1'!$B$2:$B$95,$B44,'XTab DS_1'!$D$2:$D$95,"ZZ01")</f>
        <v/>
      </c>
      <c r="K44" s="11">
        <f>SUMIFS('XTab DS_1'!$G$2:$G$95,'XTab DS_1'!$B$2:$B$95,$B44,'XTab DS_1'!$D$2:$D$95,"ZZ01")</f>
        <v/>
      </c>
      <c r="L44" s="24">
        <f>SUMIFS('XTab DS_1'!$F$2:$F$95,'XTab DS_1'!$B$2:$B$95,$B44)</f>
        <v/>
      </c>
      <c r="M44" s="25">
        <f>SUMIFS('XTab DS_1'!$G$2:$G$95,'XTab DS_1'!$B$2:$B$95,$B44)</f>
        <v/>
      </c>
    </row>
    <row r="45">
      <c r="A45" s="8" t="inlineStr">
        <is>
          <t>#</t>
        </is>
      </c>
      <c r="B45" s="8" t="inlineStr">
        <is>
          <t>QCX2509JKS2FN-10</t>
        </is>
      </c>
      <c r="C45" s="8" t="inlineStr">
        <is>
          <t>呪術廻戦展 懐玉玉折 渋谷事変 経費（課税10％）</t>
        </is>
      </c>
      <c r="D45" s="9">
        <f>COUNTIFS('XTab DS_1'!$B$2:$B$95,$B45)</f>
        <v/>
      </c>
      <c r="E45" s="9">
        <f>IF(D45&gt;=2,"重複","単独")</f>
        <v/>
      </c>
      <c r="F45" s="10">
        <f>SUMIFS('XTab DS_1'!$F$2:$F$95,'XTab DS_1'!$B$2:$B$95,$B45,'XTab DS_1'!$D$2:$D$95,"CX01")</f>
        <v/>
      </c>
      <c r="G45" s="11">
        <f>SUMIFS('XTab DS_1'!$G$2:$G$95,'XTab DS_1'!$B$2:$B$95,$B45,'XTab DS_1'!$D$2:$D$95,"CX01")</f>
        <v/>
      </c>
      <c r="H45" s="10">
        <f>SUMIFS('XTab DS_1'!$F$2:$F$95,'XTab DS_1'!$B$2:$B$95,$B45,'XTab DS_1'!$D$2:$D$95,"DB00")</f>
        <v/>
      </c>
      <c r="I45" s="11">
        <f>SUMIFS('XTab DS_1'!$G$2:$G$95,'XTab DS_1'!$B$2:$B$95,$B45,'XTab DS_1'!$D$2:$D$95,"DB00")</f>
        <v/>
      </c>
      <c r="J45" s="10">
        <f>SUMIFS('XTab DS_1'!$F$2:$F$95,'XTab DS_1'!$B$2:$B$95,$B45,'XTab DS_1'!$D$2:$D$95,"ZZ01")</f>
        <v/>
      </c>
      <c r="K45" s="11">
        <f>SUMIFS('XTab DS_1'!$G$2:$G$95,'XTab DS_1'!$B$2:$B$95,$B45,'XTab DS_1'!$D$2:$D$95,"ZZ01")</f>
        <v/>
      </c>
      <c r="L45" s="24">
        <f>SUMIFS('XTab DS_1'!$F$2:$F$95,'XTab DS_1'!$B$2:$B$95,$B45)</f>
        <v/>
      </c>
      <c r="M45" s="25">
        <f>SUMIFS('XTab DS_1'!$G$2:$G$95,'XTab DS_1'!$B$2:$B$95,$B45)</f>
        <v/>
      </c>
    </row>
    <row r="46">
      <c r="A46" s="12" t="inlineStr">
        <is>
          <t>#</t>
        </is>
      </c>
      <c r="B46" s="12" t="inlineStr">
        <is>
          <t>QCX2509JKS2FN-8</t>
        </is>
      </c>
      <c r="C46" s="12" t="inlineStr">
        <is>
          <t>呪術廻戦展 懐玉玉折 渋谷事変 経費（課税8％）</t>
        </is>
      </c>
      <c r="D46" s="13">
        <f>COUNTIFS('XTab DS_1'!$B$2:$B$95,$B46)</f>
        <v/>
      </c>
      <c r="E46" s="13">
        <f>IF(D46&gt;=2,"重複","単独")</f>
        <v/>
      </c>
      <c r="F46" s="14">
        <f>SUMIFS('XTab DS_1'!$F$2:$F$95,'XTab DS_1'!$B$2:$B$95,$B46,'XTab DS_1'!$D$2:$D$95,"CX01")</f>
        <v/>
      </c>
      <c r="G46" s="15">
        <f>SUMIFS('XTab DS_1'!$G$2:$G$95,'XTab DS_1'!$B$2:$B$95,$B46,'XTab DS_1'!$D$2:$D$95,"CX01")</f>
        <v/>
      </c>
      <c r="H46" s="14">
        <f>SUMIFS('XTab DS_1'!$F$2:$F$95,'XTab DS_1'!$B$2:$B$95,$B46,'XTab DS_1'!$D$2:$D$95,"DB00")</f>
        <v/>
      </c>
      <c r="I46" s="15">
        <f>SUMIFS('XTab DS_1'!$G$2:$G$95,'XTab DS_1'!$B$2:$B$95,$B46,'XTab DS_1'!$D$2:$D$95,"DB00")</f>
        <v/>
      </c>
      <c r="J46" s="14">
        <f>SUMIFS('XTab DS_1'!$F$2:$F$95,'XTab DS_1'!$B$2:$B$95,$B46,'XTab DS_1'!$D$2:$D$95,"ZZ01")</f>
        <v/>
      </c>
      <c r="K46" s="15">
        <f>SUMIFS('XTab DS_1'!$G$2:$G$95,'XTab DS_1'!$B$2:$B$95,$B46,'XTab DS_1'!$D$2:$D$95,"ZZ01")</f>
        <v/>
      </c>
      <c r="L46" s="26">
        <f>SUMIFS('XTab DS_1'!$F$2:$F$95,'XTab DS_1'!$B$2:$B$95,$B46)</f>
        <v/>
      </c>
      <c r="M46" s="27">
        <f>SUMIFS('XTab DS_1'!$G$2:$G$95,'XTab DS_1'!$B$2:$B$95,$B46)</f>
        <v/>
      </c>
    </row>
    <row r="47">
      <c r="A47" s="12" t="inlineStr">
        <is>
          <t>#</t>
        </is>
      </c>
      <c r="B47" s="12" t="inlineStr">
        <is>
          <t>QCX2509JKS2FN-NT</t>
        </is>
      </c>
      <c r="C47" s="12" t="inlineStr">
        <is>
          <t>呪術廻戦展 懐玉玉折 渋谷事変 経費（非課税）</t>
        </is>
      </c>
      <c r="D47" s="13">
        <f>COUNTIFS('XTab DS_1'!$B$2:$B$95,$B47)</f>
        <v/>
      </c>
      <c r="E47" s="13">
        <f>IF(D47&gt;=2,"重複","単独")</f>
        <v/>
      </c>
      <c r="F47" s="14">
        <f>SUMIFS('XTab DS_1'!$F$2:$F$95,'XTab DS_1'!$B$2:$B$95,$B47,'XTab DS_1'!$D$2:$D$95,"CX01")</f>
        <v/>
      </c>
      <c r="G47" s="15">
        <f>SUMIFS('XTab DS_1'!$G$2:$G$95,'XTab DS_1'!$B$2:$B$95,$B47,'XTab DS_1'!$D$2:$D$95,"CX01")</f>
        <v/>
      </c>
      <c r="H47" s="14">
        <f>SUMIFS('XTab DS_1'!$F$2:$F$95,'XTab DS_1'!$B$2:$B$95,$B47,'XTab DS_1'!$D$2:$D$95,"DB00")</f>
        <v/>
      </c>
      <c r="I47" s="15">
        <f>SUMIFS('XTab DS_1'!$G$2:$G$95,'XTab DS_1'!$B$2:$B$95,$B47,'XTab DS_1'!$D$2:$D$95,"DB00")</f>
        <v/>
      </c>
      <c r="J47" s="14">
        <f>SUMIFS('XTab DS_1'!$F$2:$F$95,'XTab DS_1'!$B$2:$B$95,$B47,'XTab DS_1'!$D$2:$D$95,"ZZ01")</f>
        <v/>
      </c>
      <c r="K47" s="15">
        <f>SUMIFS('XTab DS_1'!$G$2:$G$95,'XTab DS_1'!$B$2:$B$95,$B47,'XTab DS_1'!$D$2:$D$95,"ZZ01")</f>
        <v/>
      </c>
      <c r="L47" s="26">
        <f>SUMIFS('XTab DS_1'!$F$2:$F$95,'XTab DS_1'!$B$2:$B$95,$B47)</f>
        <v/>
      </c>
      <c r="M47" s="27">
        <f>SUMIFS('XTab DS_1'!$G$2:$G$95,'XTab DS_1'!$B$2:$B$95,$B47)</f>
        <v/>
      </c>
    </row>
    <row r="48">
      <c r="A48" s="12" t="inlineStr">
        <is>
          <t>#</t>
        </is>
      </c>
      <c r="B48" s="12" t="inlineStr">
        <is>
          <t>QCX2509JKS2FN-RY</t>
        </is>
      </c>
      <c r="C48" s="12" t="inlineStr">
        <is>
          <t>呪術廻戦展 懐玉玉折 渋谷事変 経費（RY）</t>
        </is>
      </c>
      <c r="D48" s="13">
        <f>COUNTIFS('XTab DS_1'!$B$2:$B$95,$B48)</f>
        <v/>
      </c>
      <c r="E48" s="13">
        <f>IF(D48&gt;=2,"重複","単独")</f>
        <v/>
      </c>
      <c r="F48" s="14">
        <f>SUMIFS('XTab DS_1'!$F$2:$F$95,'XTab DS_1'!$B$2:$B$95,$B48,'XTab DS_1'!$D$2:$D$95,"CX01")</f>
        <v/>
      </c>
      <c r="G48" s="15">
        <f>SUMIFS('XTab DS_1'!$G$2:$G$95,'XTab DS_1'!$B$2:$B$95,$B48,'XTab DS_1'!$D$2:$D$95,"CX01")</f>
        <v/>
      </c>
      <c r="H48" s="14">
        <f>SUMIFS('XTab DS_1'!$F$2:$F$95,'XTab DS_1'!$B$2:$B$95,$B48,'XTab DS_1'!$D$2:$D$95,"DB00")</f>
        <v/>
      </c>
      <c r="I48" s="15">
        <f>SUMIFS('XTab DS_1'!$G$2:$G$95,'XTab DS_1'!$B$2:$B$95,$B48,'XTab DS_1'!$D$2:$D$95,"DB00")</f>
        <v/>
      </c>
      <c r="J48" s="14">
        <f>SUMIFS('XTab DS_1'!$F$2:$F$95,'XTab DS_1'!$B$2:$B$95,$B48,'XTab DS_1'!$D$2:$D$95,"ZZ01")</f>
        <v/>
      </c>
      <c r="K48" s="15">
        <f>SUMIFS('XTab DS_1'!$G$2:$G$95,'XTab DS_1'!$B$2:$B$95,$B48,'XTab DS_1'!$D$2:$D$95,"ZZ01")</f>
        <v/>
      </c>
      <c r="L48" s="26">
        <f>SUMIFS('XTab DS_1'!$F$2:$F$95,'XTab DS_1'!$B$2:$B$95,$B48)</f>
        <v/>
      </c>
      <c r="M48" s="27">
        <f>SUMIFS('XTab DS_1'!$G$2:$G$95,'XTab DS_1'!$B$2:$B$95,$B48)</f>
        <v/>
      </c>
    </row>
    <row r="49">
      <c r="A49" s="16" t="n"/>
      <c r="B49" s="16" t="n"/>
      <c r="C49" s="17" t="inlineStr">
        <is>
          <t>合計</t>
        </is>
      </c>
      <c r="D49" s="16" t="n"/>
      <c r="E49" s="16" t="n"/>
      <c r="F49" s="18">
        <f>SUM(F2:F48)</f>
        <v/>
      </c>
      <c r="G49" s="19">
        <f>SUM(G2:G48)</f>
        <v/>
      </c>
      <c r="H49" s="18">
        <f>SUM(H2:H48)</f>
        <v/>
      </c>
      <c r="I49" s="19">
        <f>SUM(I2:I48)</f>
        <v/>
      </c>
      <c r="J49" s="18">
        <f>SUM(J2:J48)</f>
        <v/>
      </c>
      <c r="K49" s="19">
        <f>SUM(K2:K48)</f>
        <v/>
      </c>
      <c r="L49" s="18">
        <f>SUM(L2:L48)</f>
        <v/>
      </c>
      <c r="M49" s="19">
        <f>SUM(M2:M48)</f>
        <v/>
      </c>
    </row>
    <row r="50">
      <c r="A50" s="20" t="n"/>
      <c r="B50" s="20" t="n"/>
      <c r="C50" s="21" t="inlineStr">
        <is>
          <t>うち 重複</t>
        </is>
      </c>
      <c r="D50" s="20" t="n"/>
      <c r="E50" s="20" t="n"/>
      <c r="F50" s="22">
        <f>SUMIFS(F2:F48,E2:E48,"重複")</f>
        <v/>
      </c>
      <c r="G50" s="23">
        <f>SUMIFS(G2:G48,E2:E48,"重複")</f>
        <v/>
      </c>
      <c r="H50" s="22">
        <f>SUMIFS(H2:H48,E2:E48,"重複")</f>
        <v/>
      </c>
      <c r="I50" s="23">
        <f>SUMIFS(I2:I48,E2:E48,"重複")</f>
        <v/>
      </c>
      <c r="J50" s="22">
        <f>SUMIFS(J2:J48,E2:E48,"重複")</f>
        <v/>
      </c>
      <c r="K50" s="23">
        <f>SUMIFS(K2:K48,E2:E48,"重複")</f>
        <v/>
      </c>
      <c r="L50" s="22">
        <f>SUMIFS(L2:L48,E2:E48,"重複")</f>
        <v/>
      </c>
      <c r="M50" s="23">
        <f>SUMIFS(M2:M48,E2:E48,"重複")</f>
        <v/>
      </c>
    </row>
    <row r="51">
      <c r="A51" s="20" t="n"/>
      <c r="B51" s="20" t="n"/>
      <c r="C51" s="21" t="inlineStr">
        <is>
          <t>うち 単独</t>
        </is>
      </c>
      <c r="D51" s="20" t="n"/>
      <c r="E51" s="20" t="n"/>
      <c r="F51" s="22">
        <f>SUMIFS(F2:F48,E2:E48,"単独")</f>
        <v/>
      </c>
      <c r="G51" s="23">
        <f>SUMIFS(G2:G48,E2:E48,"単独")</f>
        <v/>
      </c>
      <c r="H51" s="22">
        <f>SUMIFS(H2:H48,E2:E48,"単独")</f>
        <v/>
      </c>
      <c r="I51" s="23">
        <f>SUMIFS(I2:I48,E2:E48,"単独")</f>
        <v/>
      </c>
      <c r="J51" s="22">
        <f>SUMIFS(J2:J48,E2:E48,"単独")</f>
        <v/>
      </c>
      <c r="K51" s="23">
        <f>SUMIFS(K2:K48,E2:E48,"単独")</f>
        <v/>
      </c>
      <c r="L51" s="22">
        <f>SUMIFS(L2:L48,E2:E48,"単独")</f>
        <v/>
      </c>
      <c r="M51" s="23">
        <f>SUMIFS(M2:M48,E2:E48,"単独")</f>
        <v/>
      </c>
    </row>
    <row r="53">
      <c r="A53" s="28" t="inlineStr">
        <is>
          <t>※元データ「XTab DS_1」の全品目を掲載。2つ以上の倉庫(保管場所)に登録されている品目を「重複」（黄色）、1倉庫のみを「単独」と表示。数量・金額はSUMIFSで元データから集計（元データ変更で自動再計算）。</t>
        </is>
      </c>
    </row>
  </sheetData>
  <autoFilter ref="A1:M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2026-10-29T17:27:40Z</dcterms:created>
  <dcterms:modified xsi:type="dcterms:W3CDTF">2026-10-29T17:27:40Z</dcterms:modified>
  <cp:lastModifiedBy>遠藤 真理</cp:lastModifiedBy>
</cp:coreProperties>
</file>