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サマリー" sheetId="1" state="visible" r:id="rId3"/>
    <sheet name="前提・入力" sheetId="2" state="visible" r:id="rId4"/>
    <sheet name="①札幌予測確定" sheetId="3" state="visible" r:id="rId5"/>
    <sheet name="②会場別構成比" sheetId="4" state="visible" r:id="rId6"/>
    <sheet name="③石川以降予測" sheetId="5" state="visible" r:id="rId7"/>
    <sheet name="④追加発注判定" sheetId="6" state="visible" r:id="rId8"/>
    <sheet name="⑤全データ統合リスト" sheetId="7" state="visible" r:id="rId9"/>
    <sheet name="⑥商品別 会場推移" sheetId="8" state="visible" r:id="rId10"/>
    <sheet name="⑦新商品影響分析" sheetId="9" state="visible" r:id="rId11"/>
    <sheet name="⑧実在庫(7-8)明細" sheetId="10" state="visible" r:id="rId12"/>
    <sheet name="⑨過去4会場 予測vs実績" sheetId="11" state="visible" r:id="rId13"/>
    <sheet name="⑩会場比率シナリオ比較" sheetId="12" state="visible" r:id="rId14"/>
    <sheet name="⑪会場別引当・発注期限"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<sst xmlns="http://schemas.openxmlformats.org/spreadsheetml/2006/main" count="1978" uniqueCount="901">
  <si>
    <t xml:space="preserve">アニメーション 呪術廻戦展「懐玉・玉折」「渋谷事変」</t>
  </si>
  <si>
    <r>
      <rPr>
        <b val="true"/>
        <sz val="11"/>
        <color rgb="FF2E5C8A"/>
        <rFont val="Meiryo UI"/>
        <family val="0"/>
        <charset val="1"/>
      </rPr>
      <t xml:space="preserve">LEGS</t>
    </r>
    <r>
      <rPr>
        <b val="true"/>
        <sz val="11"/>
        <color rgb="FF2E5C8A"/>
        <rFont val="WenQuanYi Zen Hei"/>
        <family val="2"/>
      </rPr>
      <t xml:space="preserve">／イベント記念商品 </t>
    </r>
    <r>
      <rPr>
        <b val="true"/>
        <sz val="11"/>
        <color rgb="FF2E5C8A"/>
        <rFont val="Meiryo UI"/>
        <family val="0"/>
        <charset val="1"/>
      </rPr>
      <t xml:space="preserve">42SKU</t>
    </r>
    <r>
      <rPr>
        <b val="true"/>
        <sz val="11"/>
        <color rgb="FF2E5C8A"/>
        <rFont val="WenQuanYi Zen Hei"/>
        <family val="2"/>
      </rPr>
      <t xml:space="preserve">　全会場 販売分析・札幌予測確定・石川会場以降予測・追加発注判定</t>
    </r>
  </si>
  <si>
    <r>
      <rPr>
        <sz val="8"/>
        <color rgb="FF555555"/>
        <rFont val="WenQuanYi Zen Hei"/>
        <family val="2"/>
      </rPr>
      <t xml:space="preserve">基準日：</t>
    </r>
    <r>
      <rPr>
        <sz val="8"/>
        <color rgb="FF555555"/>
        <rFont val="Meiryo UI"/>
        <family val="0"/>
        <charset val="1"/>
      </rPr>
      <t xml:space="preserve">2026</t>
    </r>
    <r>
      <rPr>
        <sz val="8"/>
        <color rgb="FF555555"/>
        <rFont val="WenQuanYi Zen Hei"/>
        <family val="2"/>
      </rPr>
      <t xml:space="preserve">年</t>
    </r>
    <r>
      <rPr>
        <sz val="8"/>
        <color rgb="FF555555"/>
        <rFont val="Meiryo UI"/>
        <family val="0"/>
        <charset val="1"/>
      </rPr>
      <t xml:space="preserve">7</t>
    </r>
    <r>
      <rPr>
        <sz val="8"/>
        <color rgb="FF555555"/>
        <rFont val="WenQuanYi Zen Hei"/>
        <family val="2"/>
      </rPr>
      <t xml:space="preserve">月</t>
    </r>
    <r>
      <rPr>
        <sz val="8"/>
        <color rgb="FF555555"/>
        <rFont val="Meiryo UI"/>
        <family val="0"/>
        <charset val="1"/>
      </rPr>
      <t xml:space="preserve">28</t>
    </r>
    <r>
      <rPr>
        <sz val="8"/>
        <color rgb="FF555555"/>
        <rFont val="WenQuanYi Zen Hei"/>
        <family val="2"/>
      </rPr>
      <t xml:space="preserve">日　／　実績データ：東京</t>
    </r>
    <r>
      <rPr>
        <sz val="8"/>
        <color rgb="FF555555"/>
        <rFont val="Meiryo UI"/>
        <family val="0"/>
        <charset val="1"/>
      </rPr>
      <t xml:space="preserve">(25</t>
    </r>
    <r>
      <rPr>
        <sz val="8"/>
        <color rgb="FF555555"/>
        <rFont val="WenQuanYi Zen Hei"/>
        <family val="2"/>
      </rPr>
      <t xml:space="preserve">日</t>
    </r>
    <r>
      <rPr>
        <sz val="8"/>
        <color rgb="FF555555"/>
        <rFont val="Meiryo UI"/>
        <family val="0"/>
        <charset val="1"/>
      </rPr>
      <t xml:space="preserve">)</t>
    </r>
    <r>
      <rPr>
        <sz val="8"/>
        <color rgb="FF555555"/>
        <rFont val="WenQuanYi Zen Hei"/>
        <family val="2"/>
      </rPr>
      <t xml:space="preserve">・名古屋</t>
    </r>
    <r>
      <rPr>
        <sz val="8"/>
        <color rgb="FF555555"/>
        <rFont val="Meiryo UI"/>
        <family val="0"/>
        <charset val="1"/>
      </rPr>
      <t xml:space="preserve">(19</t>
    </r>
    <r>
      <rPr>
        <sz val="8"/>
        <color rgb="FF555555"/>
        <rFont val="WenQuanYi Zen Hei"/>
        <family val="2"/>
      </rPr>
      <t xml:space="preserve">日</t>
    </r>
    <r>
      <rPr>
        <sz val="8"/>
        <color rgb="FF555555"/>
        <rFont val="Meiryo UI"/>
        <family val="0"/>
        <charset val="1"/>
      </rPr>
      <t xml:space="preserve">)</t>
    </r>
    <r>
      <rPr>
        <sz val="8"/>
        <color rgb="FF555555"/>
        <rFont val="WenQuanYi Zen Hei"/>
        <family val="2"/>
      </rPr>
      <t xml:space="preserve">・博多</t>
    </r>
    <r>
      <rPr>
        <sz val="8"/>
        <color rgb="FF555555"/>
        <rFont val="Meiryo UI"/>
        <family val="0"/>
        <charset val="1"/>
      </rPr>
      <t xml:space="preserve">(26</t>
    </r>
    <r>
      <rPr>
        <sz val="8"/>
        <color rgb="FF555555"/>
        <rFont val="WenQuanYi Zen Hei"/>
        <family val="2"/>
      </rPr>
      <t xml:space="preserve">日</t>
    </r>
    <r>
      <rPr>
        <sz val="8"/>
        <color rgb="FF555555"/>
        <rFont val="Meiryo UI"/>
        <family val="0"/>
        <charset val="1"/>
      </rPr>
      <t xml:space="preserve">)</t>
    </r>
    <r>
      <rPr>
        <sz val="8"/>
        <color rgb="FF555555"/>
        <rFont val="WenQuanYi Zen Hei"/>
        <family val="2"/>
      </rPr>
      <t xml:space="preserve">・大阪</t>
    </r>
    <r>
      <rPr>
        <sz val="8"/>
        <color rgb="FF555555"/>
        <rFont val="Meiryo UI"/>
        <family val="0"/>
        <charset val="1"/>
      </rPr>
      <t xml:space="preserve">(20</t>
    </r>
    <r>
      <rPr>
        <sz val="8"/>
        <color rgb="FF555555"/>
        <rFont val="WenQuanYi Zen Hei"/>
        <family val="2"/>
      </rPr>
      <t xml:space="preserve">日</t>
    </r>
    <r>
      <rPr>
        <sz val="8"/>
        <color rgb="FF555555"/>
        <rFont val="Meiryo UI"/>
        <family val="0"/>
        <charset val="1"/>
      </rPr>
      <t xml:space="preserve">)</t>
    </r>
    <r>
      <rPr>
        <sz val="8"/>
        <color rgb="FF555555"/>
        <rFont val="WenQuanYi Zen Hei"/>
        <family val="2"/>
      </rPr>
      <t xml:space="preserve">＝全会期、札幌＝</t>
    </r>
    <r>
      <rPr>
        <sz val="8"/>
        <color rgb="FF555555"/>
        <rFont val="Meiryo UI"/>
        <family val="0"/>
        <charset val="1"/>
      </rPr>
      <t xml:space="preserve">7/27(</t>
    </r>
    <r>
      <rPr>
        <sz val="8"/>
        <color rgb="FF555555"/>
        <rFont val="WenQuanYi Zen Hei"/>
        <family val="2"/>
      </rPr>
      <t xml:space="preserve">会期</t>
    </r>
    <r>
      <rPr>
        <sz val="8"/>
        <color rgb="FF555555"/>
        <rFont val="Meiryo UI"/>
        <family val="0"/>
        <charset val="1"/>
      </rPr>
      <t xml:space="preserve">6</t>
    </r>
    <r>
      <rPr>
        <sz val="8"/>
        <color rgb="FF555555"/>
        <rFont val="WenQuanYi Zen Hei"/>
        <family val="2"/>
      </rPr>
      <t xml:space="preserve">日目</t>
    </r>
    <r>
      <rPr>
        <sz val="8"/>
        <color rgb="FF555555"/>
        <rFont val="Meiryo UI"/>
        <family val="0"/>
        <charset val="1"/>
      </rPr>
      <t xml:space="preserve">)</t>
    </r>
    <r>
      <rPr>
        <sz val="8"/>
        <color rgb="FF555555"/>
        <rFont val="WenQuanYi Zen Hei"/>
        <family val="2"/>
      </rPr>
      <t xml:space="preserve">まで　＋ </t>
    </r>
    <r>
      <rPr>
        <sz val="8"/>
        <color rgb="FF555555"/>
        <rFont val="Meiryo UI"/>
        <family val="0"/>
        <charset val="1"/>
      </rPr>
      <t xml:space="preserve">2026/7/28 SPJ</t>
    </r>
    <r>
      <rPr>
        <sz val="8"/>
        <color rgb="FF555555"/>
        <rFont val="WenQuanYi Zen Hei"/>
        <family val="2"/>
      </rPr>
      <t xml:space="preserve">様 欠品報告メール</t>
    </r>
  </si>
  <si>
    <t xml:space="preserve">■ 結論サマリー</t>
  </si>
  <si>
    <r>
      <rPr>
        <b val="true"/>
        <sz val="9"/>
        <rFont val="WenQuanYi Zen Hei"/>
        <family val="2"/>
      </rPr>
      <t xml:space="preserve">① 札幌 会期</t>
    </r>
    <r>
      <rPr>
        <b val="true"/>
        <sz val="9"/>
        <rFont val="Meiryo UI"/>
        <family val="0"/>
        <charset val="1"/>
      </rPr>
      <t xml:space="preserve">20</t>
    </r>
    <r>
      <rPr>
        <b val="true"/>
        <sz val="9"/>
        <rFont val="WenQuanYi Zen Hei"/>
        <family val="2"/>
      </rPr>
      <t xml:space="preserve">日予測（確定値）</t>
    </r>
  </si>
  <si>
    <r>
      <rPr>
        <sz val="9"/>
        <rFont val="Meiryo UI"/>
        <family val="0"/>
        <charset val="1"/>
      </rPr>
      <t xml:space="preserve">LEGS42SKU </t>
    </r>
    <r>
      <rPr>
        <sz val="9"/>
        <rFont val="WenQuanYi Zen Hei"/>
        <family val="2"/>
      </rPr>
      <t xml:space="preserve">販売数 </t>
    </r>
    <r>
      <rPr>
        <sz val="9"/>
        <rFont val="Meiryo UI"/>
        <family val="0"/>
        <charset val="1"/>
      </rPr>
      <t xml:space="preserve">8,740</t>
    </r>
    <r>
      <rPr>
        <sz val="9"/>
        <rFont val="WenQuanYi Zen Hei"/>
        <family val="2"/>
      </rPr>
      <t xml:space="preserve">個／販売金額 </t>
    </r>
    <r>
      <rPr>
        <sz val="9"/>
        <rFont val="Meiryo UI"/>
        <family val="0"/>
        <charset val="1"/>
      </rPr>
      <t xml:space="preserve">6,680,400</t>
    </r>
    <r>
      <rPr>
        <sz val="9"/>
        <rFont val="WenQuanYi Zen Hei"/>
        <family val="2"/>
      </rPr>
      <t xml:space="preserve">円　※東京を除く名古屋・博多・大阪の実績倍率から算出</t>
    </r>
  </si>
  <si>
    <t xml:space="preserve">　札幌 全物販予測</t>
  </si>
  <si>
    <r>
      <rPr>
        <sz val="9"/>
        <rFont val="WenQuanYi Zen Hei"/>
        <family val="2"/>
      </rPr>
      <t xml:space="preserve">数量 </t>
    </r>
    <r>
      <rPr>
        <sz val="9"/>
        <rFont val="Meiryo UI"/>
        <family val="0"/>
        <charset val="1"/>
      </rPr>
      <t xml:space="preserve">37,254</t>
    </r>
    <r>
      <rPr>
        <sz val="9"/>
        <rFont val="WenQuanYi Zen Hei"/>
        <family val="2"/>
      </rPr>
      <t xml:space="preserve">個／金額 </t>
    </r>
    <r>
      <rPr>
        <sz val="9"/>
        <rFont val="Meiryo UI"/>
        <family val="0"/>
        <charset val="1"/>
      </rPr>
      <t xml:space="preserve">36,375,678</t>
    </r>
    <r>
      <rPr>
        <sz val="9"/>
        <rFont val="WenQuanYi Zen Hei"/>
        <family val="2"/>
      </rPr>
      <t xml:space="preserve">円　→ 東京</t>
    </r>
    <r>
      <rPr>
        <sz val="9"/>
        <rFont val="Meiryo UI"/>
        <family val="0"/>
        <charset val="1"/>
      </rPr>
      <t xml:space="preserve">(</t>
    </r>
    <r>
      <rPr>
        <sz val="9"/>
        <rFont val="WenQuanYi Zen Hei"/>
        <family val="2"/>
      </rPr>
      <t xml:space="preserve">初回</t>
    </r>
    <r>
      <rPr>
        <sz val="9"/>
        <rFont val="Meiryo UI"/>
        <family val="0"/>
        <charset val="1"/>
      </rPr>
      <t xml:space="preserve">)</t>
    </r>
    <r>
      <rPr>
        <sz val="9"/>
        <rFont val="WenQuanYi Zen Hei"/>
        <family val="2"/>
      </rPr>
      <t xml:space="preserve">対比 </t>
    </r>
    <r>
      <rPr>
        <sz val="9"/>
        <rFont val="Meiryo UI"/>
        <family val="0"/>
        <charset val="1"/>
      </rPr>
      <t xml:space="preserve">10.2%</t>
    </r>
    <r>
      <rPr>
        <sz val="9"/>
        <rFont val="WenQuanYi Zen Hei"/>
        <family val="2"/>
      </rPr>
      <t xml:space="preserve">　※コナン実績の北海道</t>
    </r>
    <r>
      <rPr>
        <sz val="9"/>
        <rFont val="Meiryo UI"/>
        <family val="0"/>
        <charset val="1"/>
      </rPr>
      <t xml:space="preserve">13.3%</t>
    </r>
    <r>
      <rPr>
        <sz val="9"/>
        <rFont val="WenQuanYi Zen Hei"/>
        <family val="2"/>
      </rPr>
      <t xml:space="preserve">を下回る水準</t>
    </r>
  </si>
  <si>
    <t xml:space="preserve">　札幌 入場者予測</t>
  </si>
  <si>
    <r>
      <rPr>
        <sz val="9"/>
        <rFont val="Meiryo UI"/>
        <family val="0"/>
        <charset val="1"/>
      </rPr>
      <t xml:space="preserve">7,784</t>
    </r>
    <r>
      <rPr>
        <sz val="9"/>
        <rFont val="WenQuanYi Zen Hei"/>
        <family val="2"/>
      </rPr>
      <t xml:space="preserve">人（委員会予測</t>
    </r>
    <r>
      <rPr>
        <sz val="9"/>
        <rFont val="Meiryo UI"/>
        <family val="0"/>
        <charset val="1"/>
      </rPr>
      <t xml:space="preserve">18,000</t>
    </r>
    <r>
      <rPr>
        <sz val="9"/>
        <rFont val="WenQuanYi Zen Hei"/>
        <family val="2"/>
      </rPr>
      <t xml:space="preserve">人の</t>
    </r>
    <r>
      <rPr>
        <sz val="9"/>
        <rFont val="Meiryo UI"/>
        <family val="0"/>
        <charset val="1"/>
      </rPr>
      <t xml:space="preserve">43%</t>
    </r>
    <r>
      <rPr>
        <sz val="9"/>
        <rFont val="WenQuanYi Zen Hei"/>
        <family val="2"/>
      </rPr>
      <t xml:space="preserve">／</t>
    </r>
    <r>
      <rPr>
        <sz val="9"/>
        <rFont val="Meiryo UI"/>
        <family val="0"/>
        <charset val="1"/>
      </rPr>
      <t xml:space="preserve">LEGS</t>
    </r>
    <r>
      <rPr>
        <sz val="9"/>
        <rFont val="WenQuanYi Zen Hei"/>
        <family val="2"/>
      </rPr>
      <t xml:space="preserve">予測</t>
    </r>
    <r>
      <rPr>
        <sz val="9"/>
        <rFont val="Meiryo UI"/>
        <family val="0"/>
        <charset val="1"/>
      </rPr>
      <t xml:space="preserve">14,000</t>
    </r>
    <r>
      <rPr>
        <sz val="9"/>
        <rFont val="WenQuanYi Zen Hei"/>
        <family val="2"/>
      </rPr>
      <t xml:space="preserve">人の</t>
    </r>
    <r>
      <rPr>
        <sz val="9"/>
        <rFont val="Meiryo UI"/>
        <family val="0"/>
        <charset val="1"/>
      </rPr>
      <t xml:space="preserve">56%</t>
    </r>
    <r>
      <rPr>
        <sz val="9"/>
        <rFont val="WenQuanYi Zen Hei"/>
        <family val="2"/>
      </rPr>
      <t xml:space="preserve">）＝計画を大幅に下回る</t>
    </r>
  </si>
  <si>
    <r>
      <rPr>
        <b val="true"/>
        <sz val="9"/>
        <rFont val="Meiryo UI"/>
        <family val="0"/>
        <charset val="1"/>
      </rPr>
      <t xml:space="preserve">② LEGS</t>
    </r>
    <r>
      <rPr>
        <b val="true"/>
        <sz val="9"/>
        <rFont val="WenQuanYi Zen Hei"/>
        <family val="2"/>
      </rPr>
      <t xml:space="preserve">物販構成比の推移</t>
    </r>
  </si>
  <si>
    <r>
      <rPr>
        <sz val="9"/>
        <rFont val="WenQuanYi Zen Hei"/>
        <family val="2"/>
      </rPr>
      <t xml:space="preserve">金額：東京</t>
    </r>
    <r>
      <rPr>
        <sz val="9"/>
        <rFont val="Meiryo UI"/>
        <family val="0"/>
        <charset val="1"/>
      </rPr>
      <t xml:space="preserve">28.5%→</t>
    </r>
    <r>
      <rPr>
        <sz val="9"/>
        <rFont val="WenQuanYi Zen Hei"/>
        <family val="2"/>
      </rPr>
      <t xml:space="preserve">名古屋</t>
    </r>
    <r>
      <rPr>
        <sz val="9"/>
        <rFont val="Meiryo UI"/>
        <family val="0"/>
        <charset val="1"/>
      </rPr>
      <t xml:space="preserve">29.9%→</t>
    </r>
    <r>
      <rPr>
        <sz val="9"/>
        <rFont val="WenQuanYi Zen Hei"/>
        <family val="2"/>
      </rPr>
      <t xml:space="preserve">博多</t>
    </r>
    <r>
      <rPr>
        <sz val="9"/>
        <rFont val="Meiryo UI"/>
        <family val="0"/>
        <charset val="1"/>
      </rPr>
      <t xml:space="preserve">29.4%→</t>
    </r>
    <r>
      <rPr>
        <sz val="9"/>
        <rFont val="WenQuanYi Zen Hei"/>
        <family val="2"/>
      </rPr>
      <t xml:space="preserve">大阪</t>
    </r>
    <r>
      <rPr>
        <sz val="9"/>
        <rFont val="Meiryo UI"/>
        <family val="0"/>
        <charset val="1"/>
      </rPr>
      <t xml:space="preserve">21.1%→</t>
    </r>
    <r>
      <rPr>
        <sz val="9"/>
        <rFont val="WenQuanYi Zen Hei"/>
        <family val="2"/>
      </rPr>
      <t xml:space="preserve">札幌</t>
    </r>
    <r>
      <rPr>
        <sz val="9"/>
        <rFont val="Meiryo UI"/>
        <family val="0"/>
        <charset val="1"/>
      </rPr>
      <t xml:space="preserve">18.4%(</t>
    </r>
    <r>
      <rPr>
        <sz val="9"/>
        <rFont val="WenQuanYi Zen Hei"/>
        <family val="2"/>
      </rPr>
      <t xml:space="preserve">予測</t>
    </r>
    <r>
      <rPr>
        <sz val="9"/>
        <rFont val="Meiryo UI"/>
        <family val="0"/>
        <charset val="1"/>
      </rPr>
      <t xml:space="preserve">)</t>
    </r>
    <r>
      <rPr>
        <sz val="9"/>
        <rFont val="WenQuanYi Zen Hei"/>
        <family val="2"/>
      </rPr>
      <t xml:space="preserve">　数量：</t>
    </r>
    <r>
      <rPr>
        <sz val="9"/>
        <rFont val="Meiryo UI"/>
        <family val="0"/>
        <charset val="1"/>
      </rPr>
      <t xml:space="preserve">38.7%→34.5%→40.0%→26.7%→</t>
    </r>
    <r>
      <rPr>
        <sz val="9"/>
        <rFont val="WenQuanYi Zen Hei"/>
        <family val="2"/>
      </rPr>
      <t xml:space="preserve">札幌</t>
    </r>
    <r>
      <rPr>
        <sz val="9"/>
        <rFont val="Meiryo UI"/>
        <family val="0"/>
        <charset val="1"/>
      </rPr>
      <t xml:space="preserve">23.5%(</t>
    </r>
    <r>
      <rPr>
        <sz val="9"/>
        <rFont val="WenQuanYi Zen Hei"/>
        <family val="2"/>
      </rPr>
      <t xml:space="preserve">予測</t>
    </r>
    <r>
      <rPr>
        <sz val="9"/>
        <rFont val="Meiryo UI"/>
        <family val="0"/>
        <charset val="1"/>
      </rPr>
      <t xml:space="preserve">)</t>
    </r>
  </si>
  <si>
    <t xml:space="preserve">　構成比低下の主因</t>
  </si>
  <si>
    <r>
      <rPr>
        <sz val="9"/>
        <rFont val="WenQuanYi Zen Hei"/>
        <family val="2"/>
      </rPr>
      <t xml:space="preserve">大阪会場からの新商品</t>
    </r>
    <r>
      <rPr>
        <sz val="9"/>
        <rFont val="Meiryo UI"/>
        <family val="0"/>
        <charset val="1"/>
      </rPr>
      <t xml:space="preserve">106SKU</t>
    </r>
    <r>
      <rPr>
        <sz val="9"/>
        <rFont val="WenQuanYi Zen Hei"/>
        <family val="2"/>
      </rPr>
      <t xml:space="preserve">投入（大阪の会期</t>
    </r>
    <r>
      <rPr>
        <sz val="9"/>
        <rFont val="Meiryo UI"/>
        <family val="0"/>
        <charset val="1"/>
      </rPr>
      <t xml:space="preserve">20</t>
    </r>
    <r>
      <rPr>
        <sz val="9"/>
        <rFont val="WenQuanYi Zen Hei"/>
        <family val="2"/>
      </rPr>
      <t xml:space="preserve">日 金額シェア</t>
    </r>
    <r>
      <rPr>
        <sz val="9"/>
        <rFont val="Meiryo UI"/>
        <family val="0"/>
        <charset val="1"/>
      </rPr>
      <t xml:space="preserve">19.8%</t>
    </r>
    <r>
      <rPr>
        <sz val="9"/>
        <rFont val="WenQuanYi Zen Hei"/>
        <family val="2"/>
      </rPr>
      <t xml:space="preserve">）。札幌は新規</t>
    </r>
    <r>
      <rPr>
        <sz val="9"/>
        <rFont val="Meiryo UI"/>
        <family val="0"/>
        <charset val="1"/>
      </rPr>
      <t xml:space="preserve">SKU 0</t>
    </r>
    <r>
      <rPr>
        <sz val="9"/>
        <rFont val="WenQuanYi Zen Hei"/>
        <family val="2"/>
      </rPr>
      <t xml:space="preserve">で品揃えは大阪と同一</t>
    </r>
  </si>
  <si>
    <r>
      <rPr>
        <b val="true"/>
        <sz val="9"/>
        <rFont val="WenQuanYi Zen Hei"/>
        <family val="2"/>
      </rPr>
      <t xml:space="preserve">③ 石川以降</t>
    </r>
    <r>
      <rPr>
        <b val="true"/>
        <sz val="9"/>
        <rFont val="Meiryo UI"/>
        <family val="0"/>
        <charset val="1"/>
      </rPr>
      <t xml:space="preserve">5</t>
    </r>
    <r>
      <rPr>
        <b val="true"/>
        <sz val="9"/>
        <rFont val="WenQuanYi Zen Hei"/>
        <family val="2"/>
      </rPr>
      <t xml:space="preserve">会場 </t>
    </r>
    <r>
      <rPr>
        <b val="true"/>
        <sz val="9"/>
        <rFont val="Meiryo UI"/>
        <family val="0"/>
        <charset val="1"/>
      </rPr>
      <t xml:space="preserve">LEGS</t>
    </r>
    <r>
      <rPr>
        <b val="true"/>
        <sz val="9"/>
        <rFont val="WenQuanYi Zen Hei"/>
        <family val="2"/>
      </rPr>
      <t xml:space="preserve">必要数</t>
    </r>
  </si>
  <si>
    <r>
      <rPr>
        <sz val="9"/>
        <rFont val="Meiryo UI"/>
        <family val="0"/>
        <charset val="1"/>
      </rPr>
      <t xml:space="preserve">81,760</t>
    </r>
    <r>
      <rPr>
        <sz val="9"/>
        <rFont val="WenQuanYi Zen Hei"/>
        <family val="2"/>
      </rPr>
      <t xml:space="preserve">個（シナリオ①ユーザー指定：石川</t>
    </r>
    <r>
      <rPr>
        <sz val="9"/>
        <rFont val="Meiryo UI"/>
        <family val="0"/>
        <charset val="1"/>
      </rPr>
      <t xml:space="preserve">11%</t>
    </r>
    <r>
      <rPr>
        <sz val="9"/>
        <rFont val="WenQuanYi Zen Hei"/>
        <family val="2"/>
      </rPr>
      <t xml:space="preserve">・仙台</t>
    </r>
    <r>
      <rPr>
        <sz val="9"/>
        <rFont val="Meiryo UI"/>
        <family val="0"/>
        <charset val="1"/>
      </rPr>
      <t xml:space="preserve">13%</t>
    </r>
    <r>
      <rPr>
        <sz val="9"/>
        <rFont val="WenQuanYi Zen Hei"/>
        <family val="2"/>
      </rPr>
      <t xml:space="preserve">・神戸</t>
    </r>
    <r>
      <rPr>
        <sz val="9"/>
        <rFont val="Meiryo UI"/>
        <family val="0"/>
        <charset val="1"/>
      </rPr>
      <t xml:space="preserve">12%(</t>
    </r>
    <r>
      <rPr>
        <sz val="9"/>
        <rFont val="WenQuanYi Zen Hei"/>
        <family val="2"/>
      </rPr>
      <t xml:space="preserve">仮</t>
    </r>
    <r>
      <rPr>
        <sz val="9"/>
        <rFont val="Meiryo UI"/>
        <family val="0"/>
        <charset val="1"/>
      </rPr>
      <t xml:space="preserve">)</t>
    </r>
    <r>
      <rPr>
        <sz val="9"/>
        <rFont val="WenQuanYi Zen Hei"/>
        <family val="2"/>
      </rPr>
      <t xml:space="preserve">・鳥取</t>
    </r>
    <r>
      <rPr>
        <sz val="9"/>
        <rFont val="Meiryo UI"/>
        <family val="0"/>
        <charset val="1"/>
      </rPr>
      <t xml:space="preserve">9%</t>
    </r>
    <r>
      <rPr>
        <sz val="9"/>
        <rFont val="WenQuanYi Zen Hei"/>
        <family val="2"/>
      </rPr>
      <t xml:space="preserve">・東京凱旋</t>
    </r>
    <r>
      <rPr>
        <sz val="9"/>
        <rFont val="Meiryo UI"/>
        <family val="0"/>
        <charset val="1"/>
      </rPr>
      <t xml:space="preserve">50%</t>
    </r>
    <r>
      <rPr>
        <sz val="9"/>
        <rFont val="WenQuanYi Zen Hei"/>
        <family val="2"/>
      </rPr>
      <t xml:space="preserve">）</t>
    </r>
  </si>
  <si>
    <t xml:space="preserve">　シナリオ②企画概要書ベース</t>
  </si>
  <si>
    <r>
      <rPr>
        <sz val="9"/>
        <rFont val="WenQuanYi Zen Hei"/>
        <family val="2"/>
      </rPr>
      <t xml:space="preserve">石川</t>
    </r>
    <r>
      <rPr>
        <sz val="9"/>
        <rFont val="Meiryo UI"/>
        <family val="0"/>
        <charset val="1"/>
      </rPr>
      <t xml:space="preserve">12.48%</t>
    </r>
    <r>
      <rPr>
        <sz val="9"/>
        <rFont val="WenQuanYi Zen Hei"/>
        <family val="2"/>
      </rPr>
      <t xml:space="preserve">・仙台</t>
    </r>
    <r>
      <rPr>
        <sz val="9"/>
        <rFont val="Meiryo UI"/>
        <family val="0"/>
        <charset val="1"/>
      </rPr>
      <t xml:space="preserve">15.60%</t>
    </r>
    <r>
      <rPr>
        <sz val="9"/>
        <rFont val="WenQuanYi Zen Hei"/>
        <family val="2"/>
      </rPr>
      <t xml:space="preserve">（企画概要書グッズ売上</t>
    </r>
    <r>
      <rPr>
        <sz val="9"/>
        <rFont val="Meiryo UI"/>
        <family val="0"/>
        <charset val="1"/>
      </rPr>
      <t xml:space="preserve">÷</t>
    </r>
    <r>
      <rPr>
        <sz val="9"/>
        <rFont val="WenQuanYi Zen Hei"/>
        <family val="2"/>
      </rPr>
      <t xml:space="preserve">東京）→ 必要数 </t>
    </r>
    <r>
      <rPr>
        <sz val="9"/>
        <rFont val="Meiryo UI"/>
        <family val="0"/>
        <charset val="1"/>
      </rPr>
      <t xml:space="preserve">85,272</t>
    </r>
    <r>
      <rPr>
        <sz val="9"/>
        <rFont val="WenQuanYi Zen Hei"/>
        <family val="2"/>
      </rPr>
      <t xml:space="preserve">個</t>
    </r>
  </si>
  <si>
    <r>
      <rPr>
        <b val="true"/>
        <sz val="9"/>
        <rFont val="WenQuanYi Zen Hei"/>
        <family val="2"/>
      </rPr>
      <t xml:space="preserve">　シナリオ③札幌実績連動</t>
    </r>
    <r>
      <rPr>
        <b val="true"/>
        <sz val="9"/>
        <rFont val="Meiryo UI"/>
        <family val="0"/>
        <charset val="1"/>
      </rPr>
      <t xml:space="preserve">(</t>
    </r>
    <r>
      <rPr>
        <b val="true"/>
        <sz val="9"/>
        <rFont val="WenQuanYi Zen Hei"/>
        <family val="2"/>
      </rPr>
      <t xml:space="preserve">保守</t>
    </r>
    <r>
      <rPr>
        <b val="true"/>
        <sz val="9"/>
        <rFont val="Meiryo UI"/>
        <family val="0"/>
        <charset val="1"/>
      </rPr>
      <t xml:space="preserve">)</t>
    </r>
  </si>
  <si>
    <r>
      <rPr>
        <sz val="9"/>
        <rFont val="WenQuanYi Zen Hei"/>
        <family val="2"/>
      </rPr>
      <t xml:space="preserve">②に札幌の計画比達成率</t>
    </r>
    <r>
      <rPr>
        <sz val="9"/>
        <rFont val="Meiryo UI"/>
        <family val="0"/>
        <charset val="1"/>
      </rPr>
      <t xml:space="preserve">46.5%</t>
    </r>
    <r>
      <rPr>
        <sz val="9"/>
        <rFont val="WenQuanYi Zen Hei"/>
        <family val="2"/>
      </rPr>
      <t xml:space="preserve">を乗算 → 石川</t>
    </r>
    <r>
      <rPr>
        <sz val="9"/>
        <rFont val="Meiryo UI"/>
        <family val="0"/>
        <charset val="1"/>
      </rPr>
      <t xml:space="preserve">5.83%</t>
    </r>
    <r>
      <rPr>
        <sz val="9"/>
        <rFont val="WenQuanYi Zen Hei"/>
        <family val="2"/>
      </rPr>
      <t xml:space="preserve">・仙台</t>
    </r>
    <r>
      <rPr>
        <sz val="9"/>
        <rFont val="Meiryo UI"/>
        <family val="0"/>
        <charset val="1"/>
      </rPr>
      <t xml:space="preserve">7.29%</t>
    </r>
    <r>
      <rPr>
        <sz val="9"/>
        <rFont val="WenQuanYi Zen Hei"/>
        <family val="2"/>
      </rPr>
      <t xml:space="preserve">・神戸</t>
    </r>
    <r>
      <rPr>
        <sz val="9"/>
        <rFont val="Meiryo UI"/>
        <family val="0"/>
        <charset val="1"/>
      </rPr>
      <t xml:space="preserve">5.61%</t>
    </r>
    <r>
      <rPr>
        <sz val="9"/>
        <rFont val="WenQuanYi Zen Hei"/>
        <family val="2"/>
      </rPr>
      <t xml:space="preserve">・鳥取</t>
    </r>
    <r>
      <rPr>
        <sz val="9"/>
        <rFont val="Meiryo UI"/>
        <family val="0"/>
        <charset val="1"/>
      </rPr>
      <t xml:space="preserve">4.21%</t>
    </r>
    <r>
      <rPr>
        <sz val="9"/>
        <rFont val="WenQuanYi Zen Hei"/>
        <family val="2"/>
      </rPr>
      <t xml:space="preserve">（凱旋</t>
    </r>
    <r>
      <rPr>
        <sz val="9"/>
        <rFont val="Meiryo UI"/>
        <family val="0"/>
        <charset val="1"/>
      </rPr>
      <t xml:space="preserve">50%</t>
    </r>
    <r>
      <rPr>
        <sz val="9"/>
        <rFont val="WenQuanYi Zen Hei"/>
        <family val="2"/>
      </rPr>
      <t xml:space="preserve">据置）→ 必要数 </t>
    </r>
    <r>
      <rPr>
        <sz val="9"/>
        <rFont val="Meiryo UI"/>
        <family val="0"/>
        <charset val="1"/>
      </rPr>
      <t xml:space="preserve">62,673</t>
    </r>
    <r>
      <rPr>
        <sz val="9"/>
        <rFont val="WenQuanYi Zen Hei"/>
        <family val="2"/>
      </rPr>
      <t xml:space="preserve">個</t>
    </r>
  </si>
  <si>
    <t xml:space="preserve">★残在庫想定の反映</t>
  </si>
  <si>
    <r>
      <rPr>
        <sz val="9"/>
        <rFont val="WenQuanYi Zen Hei"/>
        <family val="2"/>
      </rPr>
      <t xml:space="preserve">在庫フロー台帳の「梅田まで</t>
    </r>
    <r>
      <rPr>
        <sz val="9"/>
        <rFont val="Meiryo UI"/>
        <family val="0"/>
        <charset val="1"/>
      </rPr>
      <t xml:space="preserve">(SET)</t>
    </r>
    <r>
      <rPr>
        <sz val="9"/>
        <rFont val="WenQuanYi Zen Hei"/>
        <family val="2"/>
      </rPr>
      <t xml:space="preserve">」列 </t>
    </r>
    <r>
      <rPr>
        <sz val="9"/>
        <rFont val="Meiryo UI"/>
        <family val="0"/>
        <charset val="1"/>
      </rPr>
      <t xml:space="preserve">274,688</t>
    </r>
    <r>
      <rPr>
        <sz val="9"/>
        <rFont val="WenQuanYi Zen Hei"/>
        <family val="2"/>
      </rPr>
      <t xml:space="preserve">個を採用（梅田会場後の検品結果まで反映済み）。</t>
    </r>
  </si>
  <si>
    <t xml:space="preserve">★札幌への追納（実施済）</t>
  </si>
  <si>
    <r>
      <rPr>
        <sz val="9"/>
        <rFont val="Meiryo UI"/>
        <family val="0"/>
        <charset val="1"/>
      </rPr>
      <t xml:space="preserve">2026/7/31</t>
    </r>
    <r>
      <rPr>
        <sz val="9"/>
        <rFont val="WenQuanYi Zen Hei"/>
        <family val="2"/>
      </rPr>
      <t xml:space="preserve">・</t>
    </r>
    <r>
      <rPr>
        <sz val="9"/>
        <rFont val="Meiryo UI"/>
        <family val="0"/>
        <charset val="1"/>
      </rPr>
      <t xml:space="preserve">8/1 </t>
    </r>
    <r>
      <rPr>
        <sz val="9"/>
        <rFont val="WenQuanYi Zen Hei"/>
        <family val="2"/>
      </rPr>
      <t xml:space="preserve">札幌会場追納リスト（レッグス商品分のみ抜粋）：呪術廻戦 渋谷事変 クリアファイル（脹相） </t>
    </r>
    <r>
      <rPr>
        <sz val="9"/>
        <rFont val="Meiryo UI"/>
        <family val="0"/>
        <charset val="1"/>
      </rPr>
      <t xml:space="preserve">50</t>
    </r>
    <r>
      <rPr>
        <sz val="9"/>
        <rFont val="WenQuanYi Zen Hei"/>
        <family val="2"/>
      </rPr>
      <t xml:space="preserve">個／前髪ヘアバンド </t>
    </r>
    <r>
      <rPr>
        <sz val="9"/>
        <rFont val="Meiryo UI"/>
        <family val="0"/>
        <charset val="1"/>
      </rPr>
      <t xml:space="preserve">100</t>
    </r>
    <r>
      <rPr>
        <sz val="9"/>
        <rFont val="WenQuanYi Zen Hei"/>
        <family val="2"/>
      </rPr>
      <t xml:space="preserve">個／脱兎！ポーチ入りクリップセット </t>
    </r>
    <r>
      <rPr>
        <sz val="9"/>
        <rFont val="Meiryo UI"/>
        <family val="0"/>
        <charset val="1"/>
      </rPr>
      <t xml:space="preserve">60</t>
    </r>
    <r>
      <rPr>
        <sz val="9"/>
        <rFont val="WenQuanYi Zen Hei"/>
        <family val="2"/>
      </rPr>
      <t xml:space="preserve">個／宿儺の指風お菓子 </t>
    </r>
    <r>
      <rPr>
        <sz val="9"/>
        <rFont val="Meiryo UI"/>
        <family val="0"/>
        <charset val="1"/>
      </rPr>
      <t xml:space="preserve">100</t>
    </r>
    <r>
      <rPr>
        <sz val="9"/>
        <rFont val="WenQuanYi Zen Hei"/>
        <family val="2"/>
      </rPr>
      <t xml:space="preserve">個　計</t>
    </r>
    <r>
      <rPr>
        <sz val="9"/>
        <rFont val="Meiryo UI"/>
        <family val="0"/>
        <charset val="1"/>
      </rPr>
      <t xml:space="preserve">310</t>
    </r>
    <r>
      <rPr>
        <sz val="9"/>
        <rFont val="WenQuanYi Zen Hei"/>
        <family val="2"/>
      </rPr>
      <t xml:space="preserve">個。倉庫在庫からの出荷なので全社在庫は不変</t>
    </r>
  </si>
  <si>
    <t xml:space="preserve">　追納後になお必要な追納</t>
  </si>
  <si>
    <r>
      <rPr>
        <sz val="9"/>
        <rFont val="Meiryo UI"/>
        <family val="0"/>
        <charset val="1"/>
      </rPr>
      <t xml:space="preserve">2</t>
    </r>
    <r>
      <rPr>
        <sz val="9"/>
        <rFont val="WenQuanYi Zen Hei"/>
        <family val="2"/>
      </rPr>
      <t xml:space="preserve">個（会期</t>
    </r>
    <r>
      <rPr>
        <sz val="9"/>
        <rFont val="Meiryo UI"/>
        <family val="0"/>
        <charset val="1"/>
      </rPr>
      <t xml:space="preserve">20</t>
    </r>
    <r>
      <rPr>
        <sz val="9"/>
        <rFont val="WenQuanYi Zen Hei"/>
        <family val="2"/>
      </rPr>
      <t xml:space="preserve">日予測が販売可能数を上回る残差）</t>
    </r>
  </si>
  <si>
    <t xml:space="preserve">　石川以降 供給可能在庫</t>
  </si>
  <si>
    <r>
      <rPr>
        <sz val="9"/>
        <rFont val="Meiryo UI"/>
        <family val="0"/>
        <charset val="1"/>
      </rPr>
      <t xml:space="preserve">265,948</t>
    </r>
    <r>
      <rPr>
        <sz val="9"/>
        <rFont val="WenQuanYi Zen Hei"/>
        <family val="2"/>
      </rPr>
      <t xml:space="preserve">個 ＝ 残在庫</t>
    </r>
    <r>
      <rPr>
        <sz val="9"/>
        <rFont val="Meiryo UI"/>
        <family val="0"/>
        <charset val="1"/>
      </rPr>
      <t xml:space="preserve">274,688</t>
    </r>
    <r>
      <rPr>
        <sz val="9"/>
        <rFont val="WenQuanYi Zen Hei"/>
        <family val="2"/>
      </rPr>
      <t xml:space="preserve">個 − 札幌 会期</t>
    </r>
    <r>
      <rPr>
        <sz val="9"/>
        <rFont val="Meiryo UI"/>
        <family val="0"/>
        <charset val="1"/>
      </rPr>
      <t xml:space="preserve">20</t>
    </r>
    <r>
      <rPr>
        <sz val="9"/>
        <rFont val="WenQuanYi Zen Hei"/>
        <family val="2"/>
      </rPr>
      <t xml:space="preserve">日予測販売</t>
    </r>
    <r>
      <rPr>
        <sz val="9"/>
        <rFont val="Meiryo UI"/>
        <family val="0"/>
        <charset val="1"/>
      </rPr>
      <t xml:space="preserve">8,740</t>
    </r>
    <r>
      <rPr>
        <sz val="9"/>
        <rFont val="WenQuanYi Zen Hei"/>
        <family val="2"/>
      </rPr>
      <t xml:space="preserve">個（札幌への追納と会期末返送を相殺した正味）</t>
    </r>
  </si>
  <si>
    <t xml:space="preserve">　全体過不足</t>
  </si>
  <si>
    <r>
      <rPr>
        <sz val="9"/>
        <rFont val="WenQuanYi Zen Hei"/>
        <family val="2"/>
      </rPr>
      <t xml:space="preserve">供給可能</t>
    </r>
    <r>
      <rPr>
        <sz val="9"/>
        <rFont val="Meiryo UI"/>
        <family val="0"/>
        <charset val="1"/>
      </rPr>
      <t xml:space="preserve">265,948</t>
    </r>
    <r>
      <rPr>
        <sz val="9"/>
        <rFont val="WenQuanYi Zen Hei"/>
        <family val="2"/>
      </rPr>
      <t xml:space="preserve">個 − 必要</t>
    </r>
    <r>
      <rPr>
        <sz val="9"/>
        <rFont val="Meiryo UI"/>
        <family val="0"/>
        <charset val="1"/>
      </rPr>
      <t xml:space="preserve">81,760</t>
    </r>
    <r>
      <rPr>
        <sz val="9"/>
        <rFont val="WenQuanYi Zen Hei"/>
        <family val="2"/>
      </rPr>
      <t xml:space="preserve">個 ＝ </t>
    </r>
    <r>
      <rPr>
        <sz val="9"/>
        <rFont val="Meiryo UI"/>
        <family val="0"/>
        <charset val="1"/>
      </rPr>
      <t xml:space="preserve">+184,188</t>
    </r>
    <r>
      <rPr>
        <sz val="9"/>
        <rFont val="WenQuanYi Zen Hei"/>
        <family val="2"/>
      </rPr>
      <t xml:space="preserve">個の余剰。全体では追加生産は不要な水準。</t>
    </r>
  </si>
  <si>
    <t xml:space="preserve">★追加発注が必要な商品と会場</t>
  </si>
  <si>
    <r>
      <rPr>
        <sz val="9"/>
        <rFont val="Meiryo UI"/>
        <family val="0"/>
        <charset val="1"/>
      </rPr>
      <t xml:space="preserve">8</t>
    </r>
    <r>
      <rPr>
        <sz val="9"/>
        <rFont val="WenQuanYi Zen Hei"/>
        <family val="2"/>
      </rPr>
      <t xml:space="preserve">品目・</t>
    </r>
    <r>
      <rPr>
        <sz val="9"/>
        <rFont val="Meiryo UI"/>
        <family val="0"/>
        <charset val="1"/>
      </rPr>
      <t xml:space="preserve">2,552</t>
    </r>
    <r>
      <rPr>
        <sz val="9"/>
        <rFont val="WenQuanYi Zen Hei"/>
        <family val="2"/>
      </rPr>
      <t xml:space="preserve">個（会場順に在庫を引き当て、在庫が尽きる会場を特定）</t>
    </r>
  </si>
  <si>
    <t xml:space="preserve">　　前髪ヘアバンド</t>
  </si>
  <si>
    <r>
      <rPr>
        <sz val="9"/>
        <rFont val="WenQuanYi Zen Hei"/>
        <family val="2"/>
      </rPr>
      <t xml:space="preserve">不足</t>
    </r>
    <r>
      <rPr>
        <sz val="9"/>
        <rFont val="Meiryo UI"/>
        <family val="0"/>
        <charset val="1"/>
      </rPr>
      <t xml:space="preserve">928</t>
    </r>
    <r>
      <rPr>
        <sz val="9"/>
        <rFont val="WenQuanYi Zen Hei"/>
        <family val="2"/>
      </rPr>
      <t xml:space="preserve">個／欠品発生会場：神戸阪急（</t>
    </r>
    <r>
      <rPr>
        <sz val="9"/>
        <rFont val="Meiryo UI"/>
        <family val="0"/>
        <charset val="1"/>
      </rPr>
      <t xml:space="preserve">2026/12/16</t>
    </r>
    <r>
      <rPr>
        <sz val="9"/>
        <rFont val="WenQuanYi Zen Hei"/>
        <family val="2"/>
      </rPr>
      <t xml:space="preserve">開始）／生産</t>
    </r>
    <r>
      <rPr>
        <sz val="9"/>
        <rFont val="Meiryo UI"/>
        <family val="0"/>
        <charset val="1"/>
      </rPr>
      <t xml:space="preserve">2.5</t>
    </r>
    <r>
      <rPr>
        <sz val="9"/>
        <rFont val="WenQuanYi Zen Hei"/>
        <family val="2"/>
      </rPr>
      <t xml:space="preserve">か月 → 最終発注期限 </t>
    </r>
    <r>
      <rPr>
        <sz val="9"/>
        <rFont val="Meiryo UI"/>
        <family val="0"/>
        <charset val="1"/>
      </rPr>
      <t xml:space="preserve">2026/09/18</t>
    </r>
  </si>
  <si>
    <t xml:space="preserve">　　呪術廻戦 メタリックポストカード 展示会キービジュアル</t>
  </si>
  <si>
    <r>
      <rPr>
        <sz val="9"/>
        <rFont val="WenQuanYi Zen Hei"/>
        <family val="2"/>
      </rPr>
      <t xml:space="preserve">不足</t>
    </r>
    <r>
      <rPr>
        <sz val="9"/>
        <rFont val="Meiryo UI"/>
        <family val="0"/>
        <charset val="1"/>
      </rPr>
      <t xml:space="preserve">878</t>
    </r>
    <r>
      <rPr>
        <sz val="9"/>
        <rFont val="WenQuanYi Zen Hei"/>
        <family val="2"/>
      </rPr>
      <t xml:space="preserve">個／欠品発生会場：東京凱旋 東京建物ぴあホール（</t>
    </r>
    <r>
      <rPr>
        <sz val="9"/>
        <rFont val="Meiryo UI"/>
        <family val="0"/>
        <charset val="1"/>
      </rPr>
      <t xml:space="preserve">2027/04/01</t>
    </r>
    <r>
      <rPr>
        <sz val="9"/>
        <rFont val="WenQuanYi Zen Hei"/>
        <family val="2"/>
      </rPr>
      <t xml:space="preserve">開始）／生産</t>
    </r>
    <r>
      <rPr>
        <sz val="9"/>
        <rFont val="Meiryo UI"/>
        <family val="0"/>
        <charset val="1"/>
      </rPr>
      <t xml:space="preserve">1</t>
    </r>
    <r>
      <rPr>
        <sz val="9"/>
        <rFont val="WenQuanYi Zen Hei"/>
        <family val="2"/>
      </rPr>
      <t xml:space="preserve">か月 → 最終発注期限 </t>
    </r>
    <r>
      <rPr>
        <sz val="9"/>
        <rFont val="Meiryo UI"/>
        <family val="0"/>
        <charset val="1"/>
      </rPr>
      <t xml:space="preserve">2027/02/16</t>
    </r>
  </si>
  <si>
    <t xml:space="preserve">　　呪術廻戦 渋谷事変 クリアファイル（脹相）</t>
  </si>
  <si>
    <r>
      <rPr>
        <sz val="9"/>
        <rFont val="WenQuanYi Zen Hei"/>
        <family val="2"/>
      </rPr>
      <t xml:space="preserve">不足</t>
    </r>
    <r>
      <rPr>
        <sz val="9"/>
        <rFont val="Meiryo UI"/>
        <family val="0"/>
        <charset val="1"/>
      </rPr>
      <t xml:space="preserve">365</t>
    </r>
    <r>
      <rPr>
        <sz val="9"/>
        <rFont val="WenQuanYi Zen Hei"/>
        <family val="2"/>
      </rPr>
      <t xml:space="preserve">個／欠品発生会場：神戸阪急（</t>
    </r>
    <r>
      <rPr>
        <sz val="9"/>
        <rFont val="Meiryo UI"/>
        <family val="0"/>
        <charset val="1"/>
      </rPr>
      <t xml:space="preserve">2026/12/16</t>
    </r>
    <r>
      <rPr>
        <sz val="9"/>
        <rFont val="WenQuanYi Zen Hei"/>
        <family val="2"/>
      </rPr>
      <t xml:space="preserve">開始）／生産</t>
    </r>
    <r>
      <rPr>
        <sz val="9"/>
        <rFont val="Meiryo UI"/>
        <family val="0"/>
        <charset val="1"/>
      </rPr>
      <t xml:space="preserve">1</t>
    </r>
    <r>
      <rPr>
        <sz val="9"/>
        <rFont val="WenQuanYi Zen Hei"/>
        <family val="2"/>
      </rPr>
      <t xml:space="preserve">か月 → 最終発注期限 </t>
    </r>
    <r>
      <rPr>
        <sz val="9"/>
        <rFont val="Meiryo UI"/>
        <family val="0"/>
        <charset val="1"/>
      </rPr>
      <t xml:space="preserve">2026/11/02</t>
    </r>
  </si>
  <si>
    <t xml:space="preserve">　　脱兎！ポーチ入りクリップセット</t>
  </si>
  <si>
    <r>
      <rPr>
        <sz val="9"/>
        <rFont val="WenQuanYi Zen Hei"/>
        <family val="2"/>
      </rPr>
      <t xml:space="preserve">不足</t>
    </r>
    <r>
      <rPr>
        <sz val="9"/>
        <rFont val="Meiryo UI"/>
        <family val="0"/>
        <charset val="1"/>
      </rPr>
      <t xml:space="preserve">316</t>
    </r>
    <r>
      <rPr>
        <sz val="9"/>
        <rFont val="WenQuanYi Zen Hei"/>
        <family val="2"/>
      </rPr>
      <t xml:space="preserve">個／欠品発生会場：東京凱旋 東京建物ぴあホール（</t>
    </r>
    <r>
      <rPr>
        <sz val="9"/>
        <rFont val="Meiryo UI"/>
        <family val="0"/>
        <charset val="1"/>
      </rPr>
      <t xml:space="preserve">2027/04/01</t>
    </r>
    <r>
      <rPr>
        <sz val="9"/>
        <rFont val="WenQuanYi Zen Hei"/>
        <family val="2"/>
      </rPr>
      <t xml:space="preserve">開始）／生産</t>
    </r>
    <r>
      <rPr>
        <sz val="9"/>
        <rFont val="Meiryo UI"/>
        <family val="0"/>
        <charset val="1"/>
      </rPr>
      <t xml:space="preserve">3</t>
    </r>
    <r>
      <rPr>
        <sz val="9"/>
        <rFont val="WenQuanYi Zen Hei"/>
        <family val="2"/>
      </rPr>
      <t xml:space="preserve">か月 → 最終発注期限 </t>
    </r>
    <r>
      <rPr>
        <sz val="9"/>
        <rFont val="Meiryo UI"/>
        <family val="0"/>
        <charset val="1"/>
      </rPr>
      <t xml:space="preserve">2026/12/18</t>
    </r>
  </si>
  <si>
    <t xml:space="preserve">　　気分リフレッシュオルゴール</t>
  </si>
  <si>
    <r>
      <rPr>
        <sz val="9"/>
        <rFont val="WenQuanYi Zen Hei"/>
        <family val="2"/>
      </rPr>
      <t xml:space="preserve">不足</t>
    </r>
    <r>
      <rPr>
        <sz val="9"/>
        <rFont val="Meiryo UI"/>
        <family val="0"/>
        <charset val="1"/>
      </rPr>
      <t xml:space="preserve">49</t>
    </r>
    <r>
      <rPr>
        <sz val="9"/>
        <rFont val="WenQuanYi Zen Hei"/>
        <family val="2"/>
      </rPr>
      <t xml:space="preserve">個／欠品発生会場：神戸阪急（</t>
    </r>
    <r>
      <rPr>
        <sz val="9"/>
        <rFont val="Meiryo UI"/>
        <family val="0"/>
        <charset val="1"/>
      </rPr>
      <t xml:space="preserve">2026/12/16</t>
    </r>
    <r>
      <rPr>
        <sz val="9"/>
        <rFont val="WenQuanYi Zen Hei"/>
        <family val="2"/>
      </rPr>
      <t xml:space="preserve">開始）／生産</t>
    </r>
    <r>
      <rPr>
        <sz val="9"/>
        <rFont val="Meiryo UI"/>
        <family val="0"/>
        <charset val="1"/>
      </rPr>
      <t xml:space="preserve">3</t>
    </r>
    <r>
      <rPr>
        <sz val="9"/>
        <rFont val="WenQuanYi Zen Hei"/>
        <family val="2"/>
      </rPr>
      <t xml:space="preserve">か月 → 最終発注期限 </t>
    </r>
    <r>
      <rPr>
        <sz val="9"/>
        <rFont val="Meiryo UI"/>
        <family val="0"/>
        <charset val="1"/>
      </rPr>
      <t xml:space="preserve">2026/09/03</t>
    </r>
  </si>
  <si>
    <r>
      <rPr>
        <b val="true"/>
        <sz val="9"/>
        <rFont val="WenQuanYi Zen Hei"/>
        <family val="2"/>
      </rPr>
      <t xml:space="preserve">　　夏油 傑 イメージリング（</t>
    </r>
    <r>
      <rPr>
        <b val="true"/>
        <sz val="9"/>
        <rFont val="Meiryo UI"/>
        <family val="0"/>
        <charset val="1"/>
      </rPr>
      <t xml:space="preserve">#13</t>
    </r>
    <r>
      <rPr>
        <b val="true"/>
        <sz val="9"/>
        <rFont val="WenQuanYi Zen Hei"/>
        <family val="2"/>
      </rPr>
      <t xml:space="preserve">）</t>
    </r>
  </si>
  <si>
    <r>
      <rPr>
        <sz val="9"/>
        <rFont val="WenQuanYi Zen Hei"/>
        <family val="2"/>
      </rPr>
      <t xml:space="preserve">不足</t>
    </r>
    <r>
      <rPr>
        <sz val="9"/>
        <rFont val="Meiryo UI"/>
        <family val="0"/>
        <charset val="1"/>
      </rPr>
      <t xml:space="preserve">9</t>
    </r>
    <r>
      <rPr>
        <sz val="9"/>
        <rFont val="WenQuanYi Zen Hei"/>
        <family val="2"/>
      </rPr>
      <t xml:space="preserve">個／欠品発生会場：仙台 </t>
    </r>
    <r>
      <rPr>
        <sz val="9"/>
        <rFont val="Meiryo UI"/>
        <family val="0"/>
        <charset val="1"/>
      </rPr>
      <t xml:space="preserve">Ebeans</t>
    </r>
    <r>
      <rPr>
        <sz val="9"/>
        <rFont val="WenQuanYi Zen Hei"/>
        <family val="2"/>
      </rPr>
      <t xml:space="preserve">（</t>
    </r>
    <r>
      <rPr>
        <sz val="9"/>
        <rFont val="Meiryo UI"/>
        <family val="0"/>
        <charset val="1"/>
      </rPr>
      <t xml:space="preserve">2026/09/05</t>
    </r>
    <r>
      <rPr>
        <sz val="9"/>
        <rFont val="WenQuanYi Zen Hei"/>
        <family val="2"/>
      </rPr>
      <t xml:space="preserve">開始）／生産</t>
    </r>
    <r>
      <rPr>
        <sz val="9"/>
        <rFont val="Meiryo UI"/>
        <family val="0"/>
        <charset val="1"/>
      </rPr>
      <t xml:space="preserve">3</t>
    </r>
    <r>
      <rPr>
        <sz val="9"/>
        <rFont val="WenQuanYi Zen Hei"/>
        <family val="2"/>
      </rPr>
      <t xml:space="preserve">か月 → 最終発注期限 </t>
    </r>
    <r>
      <rPr>
        <sz val="9"/>
        <rFont val="Meiryo UI"/>
        <family val="0"/>
        <charset val="1"/>
      </rPr>
      <t xml:space="preserve">2026/05/24</t>
    </r>
  </si>
  <si>
    <r>
      <rPr>
        <b val="true"/>
        <sz val="9"/>
        <rFont val="WenQuanYi Zen Hei"/>
        <family val="2"/>
      </rPr>
      <t xml:space="preserve">　　五条 悟 イメージリング（</t>
    </r>
    <r>
      <rPr>
        <b val="true"/>
        <sz val="9"/>
        <rFont val="Meiryo UI"/>
        <family val="0"/>
        <charset val="1"/>
      </rPr>
      <t xml:space="preserve">#13</t>
    </r>
    <r>
      <rPr>
        <b val="true"/>
        <sz val="9"/>
        <rFont val="WenQuanYi Zen Hei"/>
        <family val="2"/>
      </rPr>
      <t xml:space="preserve">）</t>
    </r>
  </si>
  <si>
    <r>
      <rPr>
        <sz val="9"/>
        <rFont val="WenQuanYi Zen Hei"/>
        <family val="2"/>
      </rPr>
      <t xml:space="preserve">不足</t>
    </r>
    <r>
      <rPr>
        <sz val="9"/>
        <rFont val="Meiryo UI"/>
        <family val="0"/>
        <charset val="1"/>
      </rPr>
      <t xml:space="preserve">4</t>
    </r>
    <r>
      <rPr>
        <sz val="9"/>
        <rFont val="WenQuanYi Zen Hei"/>
        <family val="2"/>
      </rPr>
      <t xml:space="preserve">個／欠品発生会場：鳥取島根 夢みなとタワー（</t>
    </r>
    <r>
      <rPr>
        <sz val="9"/>
        <rFont val="Meiryo UI"/>
        <family val="0"/>
        <charset val="1"/>
      </rPr>
      <t xml:space="preserve">2027/03/15</t>
    </r>
    <r>
      <rPr>
        <sz val="9"/>
        <rFont val="WenQuanYi Zen Hei"/>
        <family val="2"/>
      </rPr>
      <t xml:space="preserve">開始）／生産</t>
    </r>
    <r>
      <rPr>
        <sz val="9"/>
        <rFont val="Meiryo UI"/>
        <family val="0"/>
        <charset val="1"/>
      </rPr>
      <t xml:space="preserve">3</t>
    </r>
    <r>
      <rPr>
        <sz val="9"/>
        <rFont val="WenQuanYi Zen Hei"/>
        <family val="2"/>
      </rPr>
      <t xml:space="preserve">か月 → 最終発注期限 </t>
    </r>
    <r>
      <rPr>
        <sz val="9"/>
        <rFont val="Meiryo UI"/>
        <family val="0"/>
        <charset val="1"/>
      </rPr>
      <t xml:space="preserve">2026/12/01</t>
    </r>
  </si>
  <si>
    <r>
      <rPr>
        <b val="true"/>
        <sz val="9"/>
        <rFont val="WenQuanYi Zen Hei"/>
        <family val="2"/>
      </rPr>
      <t xml:space="preserve">　　夏油 傑 イメージリング（</t>
    </r>
    <r>
      <rPr>
        <b val="true"/>
        <sz val="9"/>
        <rFont val="Meiryo UI"/>
        <family val="0"/>
        <charset val="1"/>
      </rPr>
      <t xml:space="preserve">#15</t>
    </r>
    <r>
      <rPr>
        <b val="true"/>
        <sz val="9"/>
        <rFont val="WenQuanYi Zen Hei"/>
        <family val="2"/>
      </rPr>
      <t xml:space="preserve">）</t>
    </r>
  </si>
  <si>
    <r>
      <rPr>
        <sz val="9"/>
        <rFont val="WenQuanYi Zen Hei"/>
        <family val="2"/>
      </rPr>
      <t xml:space="preserve">不足</t>
    </r>
    <r>
      <rPr>
        <sz val="9"/>
        <rFont val="Meiryo UI"/>
        <family val="0"/>
        <charset val="1"/>
      </rPr>
      <t xml:space="preserve">3</t>
    </r>
    <r>
      <rPr>
        <sz val="9"/>
        <rFont val="WenQuanYi Zen Hei"/>
        <family val="2"/>
      </rPr>
      <t xml:space="preserve">個／欠品発生会場：東京凱旋 東京建物ぴあホール（</t>
    </r>
    <r>
      <rPr>
        <sz val="9"/>
        <rFont val="Meiryo UI"/>
        <family val="0"/>
        <charset val="1"/>
      </rPr>
      <t xml:space="preserve">2027/04/01</t>
    </r>
    <r>
      <rPr>
        <sz val="9"/>
        <rFont val="WenQuanYi Zen Hei"/>
        <family val="2"/>
      </rPr>
      <t xml:space="preserve">開始）／生産</t>
    </r>
    <r>
      <rPr>
        <sz val="9"/>
        <rFont val="Meiryo UI"/>
        <family val="0"/>
        <charset val="1"/>
      </rPr>
      <t xml:space="preserve">3</t>
    </r>
    <r>
      <rPr>
        <sz val="9"/>
        <rFont val="WenQuanYi Zen Hei"/>
        <family val="2"/>
      </rPr>
      <t xml:space="preserve">か月 → 最終発注期限 </t>
    </r>
    <r>
      <rPr>
        <sz val="9"/>
        <rFont val="Meiryo UI"/>
        <family val="0"/>
        <charset val="1"/>
      </rPr>
      <t xml:space="preserve">2026/12/18</t>
    </r>
  </si>
  <si>
    <t xml:space="preserve">　発注の緊急度</t>
  </si>
  <si>
    <r>
      <rPr>
        <sz val="9"/>
        <rFont val="WenQuanYi Zen Hei"/>
        <family val="2"/>
      </rPr>
      <t xml:space="preserve">最も早い期限でも</t>
    </r>
    <r>
      <rPr>
        <sz val="9"/>
        <rFont val="Meiryo UI"/>
        <family val="0"/>
        <charset val="1"/>
      </rPr>
      <t xml:space="preserve">2026/05/24</t>
    </r>
    <r>
      <rPr>
        <sz val="9"/>
        <rFont val="WenQuanYi Zen Hei"/>
        <family val="2"/>
      </rPr>
      <t xml:space="preserve">（基準日</t>
    </r>
    <r>
      <rPr>
        <sz val="9"/>
        <rFont val="Meiryo UI"/>
        <family val="0"/>
        <charset val="1"/>
      </rPr>
      <t xml:space="preserve">2026/7/28</t>
    </r>
    <r>
      <rPr>
        <sz val="9"/>
        <rFont val="WenQuanYi Zen Hei"/>
        <family val="2"/>
      </rPr>
      <t xml:space="preserve">から</t>
    </r>
    <r>
      <rPr>
        <sz val="9"/>
        <rFont val="Meiryo UI"/>
        <family val="0"/>
        <charset val="1"/>
      </rPr>
      <t xml:space="preserve">-67</t>
    </r>
    <r>
      <rPr>
        <sz val="9"/>
        <rFont val="WenQuanYi Zen Hei"/>
        <family val="2"/>
      </rPr>
      <t xml:space="preserve">日後）。現時点で期限超過の商品はない。</t>
    </r>
  </si>
  <si>
    <t xml:space="preserve">　札幌 会期中の追加発注</t>
  </si>
  <si>
    <r>
      <rPr>
        <sz val="9"/>
        <rFont val="Meiryo UI"/>
        <family val="0"/>
        <charset val="1"/>
      </rPr>
      <t xml:space="preserve">1</t>
    </r>
    <r>
      <rPr>
        <sz val="9"/>
        <rFont val="WenQuanYi Zen Hei"/>
        <family val="2"/>
      </rPr>
      <t xml:space="preserve">品目が会期内に在庫切れ見込：呪術廻戦 渋谷事変 クリアファイル（宿儺）</t>
    </r>
    <r>
      <rPr>
        <sz val="9"/>
        <rFont val="Meiryo UI"/>
        <family val="0"/>
        <charset val="1"/>
      </rPr>
      <t xml:space="preserve">(</t>
    </r>
    <r>
      <rPr>
        <sz val="9"/>
        <rFont val="WenQuanYi Zen Hei"/>
        <family val="2"/>
      </rPr>
      <t xml:space="preserve">不足</t>
    </r>
    <r>
      <rPr>
        <sz val="9"/>
        <rFont val="Meiryo UI"/>
        <family val="0"/>
        <charset val="1"/>
      </rPr>
      <t xml:space="preserve">2)</t>
    </r>
  </si>
  <si>
    <r>
      <rPr>
        <b val="true"/>
        <sz val="11"/>
        <color rgb="FFC00000"/>
        <rFont val="WenQuanYi Zen Hei"/>
        <family val="2"/>
      </rPr>
      <t xml:space="preserve">■ 運営（</t>
    </r>
    <r>
      <rPr>
        <b val="true"/>
        <sz val="11"/>
        <color rgb="FFC00000"/>
        <rFont val="Meiryo UI"/>
        <family val="0"/>
        <charset val="1"/>
      </rPr>
      <t xml:space="preserve">SPJ</t>
    </r>
    <r>
      <rPr>
        <b val="true"/>
        <sz val="11"/>
        <color rgb="FFC00000"/>
        <rFont val="WenQuanYi Zen Hei"/>
        <family val="2"/>
      </rPr>
      <t xml:space="preserve">様）欠品報告との突合 ※</t>
    </r>
    <r>
      <rPr>
        <b val="true"/>
        <sz val="11"/>
        <color rgb="FFC00000"/>
        <rFont val="Meiryo UI"/>
        <family val="0"/>
        <charset val="1"/>
      </rPr>
      <t xml:space="preserve">2026/7/28</t>
    </r>
    <r>
      <rPr>
        <b val="true"/>
        <sz val="11"/>
        <color rgb="FFC00000"/>
        <rFont val="WenQuanYi Zen Hei"/>
        <family val="2"/>
      </rPr>
      <t xml:space="preserve">受領メール</t>
    </r>
  </si>
  <si>
    <t xml:space="preserve">報告された欠品／近々欠品</t>
  </si>
  <si>
    <r>
      <rPr>
        <sz val="9"/>
        <rFont val="Meiryo UI"/>
        <family val="0"/>
        <charset val="1"/>
      </rPr>
      <t xml:space="preserve">8</t>
    </r>
    <r>
      <rPr>
        <sz val="9"/>
        <rFont val="WenQuanYi Zen Hei"/>
        <family val="2"/>
      </rPr>
      <t xml:space="preserve">品目：呪術廻戦 渋谷事変 クリアファイル（虎杖 悠仁）　呪術廻戦 渋谷事変 クリアファイル（七海 建人）　呪術廻戦 渋谷事変 クリアファイル（脹相）　呪術廻戦 渋谷事変 クリアファイル（宿儺）　前髪ヘアバンド　宿儺の指風お菓子　脱兎！ポーチ入りクリップセット　気分リフレッシュオルゴール</t>
    </r>
  </si>
  <si>
    <t xml:space="preserve">◎ モデルも会期中欠品を検知</t>
  </si>
  <si>
    <r>
      <rPr>
        <sz val="9"/>
        <rFont val="Meiryo UI"/>
        <family val="0"/>
        <charset val="1"/>
      </rPr>
      <t xml:space="preserve">1</t>
    </r>
    <r>
      <rPr>
        <sz val="9"/>
        <rFont val="WenQuanYi Zen Hei"/>
        <family val="2"/>
      </rPr>
      <t xml:space="preserve">品目：呪術廻戦 渋谷事変 クリアファイル（宿儺）</t>
    </r>
  </si>
  <si>
    <t xml:space="preserve">○ モデルは高消化率で整合</t>
  </si>
  <si>
    <r>
      <rPr>
        <sz val="9"/>
        <rFont val="Meiryo UI"/>
        <family val="0"/>
        <charset val="1"/>
      </rPr>
      <t xml:space="preserve">6</t>
    </r>
    <r>
      <rPr>
        <sz val="9"/>
        <rFont val="WenQuanYi Zen Hei"/>
        <family val="2"/>
      </rPr>
      <t xml:space="preserve">品目：呪術廻戦 渋谷事変 クリアファイル（虎杖 悠仁）　呪術廻戦 渋谷事変 クリアファイル（七海 建人）　呪術廻戦 渋谷事変 クリアファイル（脹相）　前髪ヘアバンド　宿儺の指風お菓子　気分リフレッシュオルゴール（予測消化率</t>
    </r>
    <r>
      <rPr>
        <sz val="9"/>
        <rFont val="Meiryo UI"/>
        <family val="0"/>
        <charset val="1"/>
      </rPr>
      <t xml:space="preserve">70%</t>
    </r>
    <r>
      <rPr>
        <sz val="9"/>
        <rFont val="WenQuanYi Zen Hei"/>
        <family val="2"/>
      </rPr>
      <t xml:space="preserve">超。会期末までに枯渇する水準）</t>
    </r>
  </si>
  <si>
    <t xml:space="preserve">△ モデル未検知（現場優先）</t>
  </si>
  <si>
    <r>
      <rPr>
        <sz val="9"/>
        <rFont val="Meiryo UI"/>
        <family val="0"/>
        <charset val="1"/>
      </rPr>
      <t xml:space="preserve">1</t>
    </r>
    <r>
      <rPr>
        <sz val="9"/>
        <rFont val="WenQuanYi Zen Hei"/>
        <family val="2"/>
      </rPr>
      <t xml:space="preserve">品目：脱兎！ポーチ入りクリップセット</t>
    </r>
    <r>
      <rPr>
        <sz val="9"/>
        <rFont val="Meiryo UI"/>
        <family val="0"/>
        <charset val="1"/>
      </rPr>
      <t xml:space="preserve">(</t>
    </r>
    <r>
      <rPr>
        <sz val="9"/>
        <rFont val="WenQuanYi Zen Hei"/>
        <family val="2"/>
      </rPr>
      <t xml:space="preserve">予測消化率</t>
    </r>
    <r>
      <rPr>
        <sz val="9"/>
        <rFont val="Meiryo UI"/>
        <family val="0"/>
        <charset val="1"/>
      </rPr>
      <t xml:space="preserve">67%)</t>
    </r>
  </si>
  <si>
    <t xml:space="preserve">▲ モデルのみ検知（現場未報告）</t>
  </si>
  <si>
    <r>
      <rPr>
        <sz val="9"/>
        <rFont val="Meiryo UI"/>
        <family val="0"/>
        <charset val="1"/>
      </rPr>
      <t xml:space="preserve">0</t>
    </r>
    <r>
      <rPr>
        <sz val="9"/>
        <rFont val="WenQuanYi Zen Hei"/>
        <family val="2"/>
      </rPr>
      <t xml:space="preserve">品目：なし　→ 現場に実在庫の確認を推奨</t>
    </r>
  </si>
  <si>
    <t xml:space="preserve">★追納不可と回答された品目</t>
  </si>
  <si>
    <r>
      <rPr>
        <sz val="9"/>
        <rFont val="WenQuanYi Zen Hei"/>
        <family val="2"/>
      </rPr>
      <t xml:space="preserve">気分リフレッシュオルゴール　＝ 前会場時点で「追納困難」と回答済。ただし</t>
    </r>
    <r>
      <rPr>
        <sz val="9"/>
        <rFont val="Meiryo UI"/>
        <family val="0"/>
        <charset val="1"/>
      </rPr>
      <t xml:space="preserve">7/8</t>
    </r>
    <r>
      <rPr>
        <sz val="9"/>
        <rFont val="WenQuanYi Zen Hei"/>
        <family val="2"/>
      </rPr>
      <t xml:space="preserve">実在庫では倉庫残</t>
    </r>
    <r>
      <rPr>
        <sz val="9"/>
        <rFont val="Meiryo UI"/>
        <family val="0"/>
        <charset val="1"/>
      </rPr>
      <t xml:space="preserve">23</t>
    </r>
    <r>
      <rPr>
        <sz val="9"/>
        <rFont val="WenQuanYi Zen Hei"/>
        <family val="2"/>
      </rPr>
      <t xml:space="preserve">個が確認できるため、下記の要確認事項を参照</t>
    </r>
  </si>
  <si>
    <t xml:space="preserve">突合の結論</t>
  </si>
  <si>
    <r>
      <rPr>
        <sz val="9"/>
        <rFont val="WenQuanYi Zen Hei"/>
        <family val="2"/>
      </rPr>
      <t xml:space="preserve">現場報告</t>
    </r>
    <r>
      <rPr>
        <sz val="9"/>
        <rFont val="Meiryo UI"/>
        <family val="0"/>
        <charset val="1"/>
      </rPr>
      <t xml:space="preserve">8</t>
    </r>
    <r>
      <rPr>
        <sz val="9"/>
        <rFont val="WenQuanYi Zen Hei"/>
        <family val="2"/>
      </rPr>
      <t xml:space="preserve">品目のうち</t>
    </r>
    <r>
      <rPr>
        <sz val="9"/>
        <rFont val="Meiryo UI"/>
        <family val="0"/>
        <charset val="1"/>
      </rPr>
      <t xml:space="preserve">7</t>
    </r>
    <r>
      <rPr>
        <sz val="9"/>
        <rFont val="WenQuanYi Zen Hei"/>
        <family val="2"/>
      </rPr>
      <t xml:space="preserve">品目がモデル側でも欠品または高消化率として検知されており、見落とし</t>
    </r>
    <r>
      <rPr>
        <sz val="9"/>
        <rFont val="Meiryo UI"/>
        <family val="0"/>
        <charset val="1"/>
      </rPr>
      <t xml:space="preserve">0</t>
    </r>
    <r>
      <rPr>
        <sz val="9"/>
        <rFont val="WenQuanYi Zen Hei"/>
        <family val="2"/>
      </rPr>
      <t xml:space="preserve">・空振り</t>
    </r>
    <r>
      <rPr>
        <sz val="9"/>
        <rFont val="Meiryo UI"/>
        <family val="0"/>
        <charset val="1"/>
      </rPr>
      <t xml:space="preserve">0</t>
    </r>
    <r>
      <rPr>
        <sz val="9"/>
        <rFont val="WenQuanYi Zen Hei"/>
        <family val="2"/>
      </rPr>
      <t xml:space="preserve">で完全に整合。</t>
    </r>
  </si>
  <si>
    <r>
      <rPr>
        <sz val="9"/>
        <rFont val="Meiryo UI"/>
        <family val="0"/>
        <charset val="1"/>
      </rPr>
      <t xml:space="preserve">7/27</t>
    </r>
    <r>
      <rPr>
        <sz val="9"/>
        <rFont val="WenQuanYi Zen Hei"/>
        <family val="2"/>
      </rPr>
      <t xml:space="preserve">（</t>
    </r>
    <r>
      <rPr>
        <sz val="9"/>
        <rFont val="Meiryo UI"/>
        <family val="0"/>
        <charset val="1"/>
      </rPr>
      <t xml:space="preserve">6</t>
    </r>
    <r>
      <rPr>
        <sz val="9"/>
        <rFont val="WenQuanYi Zen Hei"/>
        <family val="2"/>
      </rPr>
      <t xml:space="preserve">日目）実績を織り込んだことで検知精度が上がり、予測モデルは現場実感と一致する水準にある。</t>
    </r>
  </si>
  <si>
    <r>
      <rPr>
        <sz val="9"/>
        <rFont val="WenQuanYi Zen Hei"/>
        <family val="2"/>
      </rPr>
      <t xml:space="preserve">④シートの</t>
    </r>
    <r>
      <rPr>
        <sz val="9"/>
        <rFont val="Meiryo UI"/>
        <family val="0"/>
        <charset val="1"/>
      </rPr>
      <t xml:space="preserve">U</t>
    </r>
    <r>
      <rPr>
        <sz val="9"/>
        <rFont val="WenQuanYi Zen Hei"/>
        <family val="2"/>
      </rPr>
      <t xml:space="preserve">列（運営 欠品報告）・</t>
    </r>
    <r>
      <rPr>
        <sz val="9"/>
        <rFont val="Meiryo UI"/>
        <family val="0"/>
        <charset val="1"/>
      </rPr>
      <t xml:space="preserve">V</t>
    </r>
    <r>
      <rPr>
        <sz val="9"/>
        <rFont val="WenQuanYi Zen Hei"/>
        <family val="2"/>
      </rPr>
      <t xml:space="preserve">列（モデル</t>
    </r>
    <r>
      <rPr>
        <sz val="9"/>
        <rFont val="Meiryo UI"/>
        <family val="0"/>
        <charset val="1"/>
      </rPr>
      <t xml:space="preserve">×</t>
    </r>
    <r>
      <rPr>
        <sz val="9"/>
        <rFont val="WenQuanYi Zen Hei"/>
        <family val="2"/>
      </rPr>
      <t xml:space="preserve">現場 突合）で商品別に明示している。</t>
    </r>
  </si>
  <si>
    <t xml:space="preserve">★倉庫在庫による解決可否</t>
  </si>
  <si>
    <r>
      <rPr>
        <sz val="9"/>
        <rFont val="WenQuanYi Zen Hei"/>
        <family val="2"/>
      </rPr>
      <t xml:space="preserve">報告</t>
    </r>
    <r>
      <rPr>
        <sz val="9"/>
        <rFont val="Meiryo UI"/>
        <family val="0"/>
        <charset val="1"/>
      </rPr>
      <t xml:space="preserve">8</t>
    </r>
    <r>
      <rPr>
        <sz val="9"/>
        <rFont val="WenQuanYi Zen Hei"/>
        <family val="2"/>
      </rPr>
      <t xml:space="preserve">品目すべて</t>
    </r>
    <r>
      <rPr>
        <sz val="9"/>
        <rFont val="Meiryo UI"/>
        <family val="0"/>
        <charset val="1"/>
      </rPr>
      <t xml:space="preserve">2026/7/8</t>
    </r>
    <r>
      <rPr>
        <sz val="9"/>
        <rFont val="WenQuanYi Zen Hei"/>
        <family val="2"/>
      </rPr>
      <t xml:space="preserve">時点で倉庫に在庫が残っており、追加生産ではなく倉庫からの追加納品で対応可能。</t>
    </r>
  </si>
  <si>
    <t xml:space="preserve">　倉庫残（札幌納品を除く）</t>
  </si>
  <si>
    <r>
      <rPr>
        <sz val="9"/>
        <rFont val="WenQuanYi Zen Hei"/>
        <family val="2"/>
      </rPr>
      <t xml:space="preserve">呪術廻戦 渋谷事変 クリアファイル（虎杖 悠仁）</t>
    </r>
    <r>
      <rPr>
        <sz val="9"/>
        <rFont val="Meiryo UI"/>
        <family val="0"/>
        <charset val="1"/>
      </rPr>
      <t xml:space="preserve">:1,740</t>
    </r>
    <r>
      <rPr>
        <sz val="9"/>
        <rFont val="WenQuanYi Zen Hei"/>
        <family val="2"/>
      </rPr>
      <t xml:space="preserve">個　呪術廻戦 渋谷事変 クリアファイル（七海 建人）</t>
    </r>
    <r>
      <rPr>
        <sz val="9"/>
        <rFont val="Meiryo UI"/>
        <family val="0"/>
        <charset val="1"/>
      </rPr>
      <t xml:space="preserve">:2,423</t>
    </r>
    <r>
      <rPr>
        <sz val="9"/>
        <rFont val="WenQuanYi Zen Hei"/>
        <family val="2"/>
      </rPr>
      <t xml:space="preserve">個　呪術廻戦 渋谷事変 クリアファイル（脹相）</t>
    </r>
    <r>
      <rPr>
        <sz val="9"/>
        <rFont val="Meiryo UI"/>
        <family val="0"/>
        <charset val="1"/>
      </rPr>
      <t xml:space="preserve">:208</t>
    </r>
    <r>
      <rPr>
        <sz val="9"/>
        <rFont val="WenQuanYi Zen Hei"/>
        <family val="2"/>
      </rPr>
      <t xml:space="preserve">個　呪術廻戦 渋谷事変 クリアファイル（宿儺）</t>
    </r>
    <r>
      <rPr>
        <sz val="9"/>
        <rFont val="Meiryo UI"/>
        <family val="0"/>
        <charset val="1"/>
      </rPr>
      <t xml:space="preserve">:1,281</t>
    </r>
    <r>
      <rPr>
        <sz val="9"/>
        <rFont val="WenQuanYi Zen Hei"/>
        <family val="2"/>
      </rPr>
      <t xml:space="preserve">個　前髪ヘアバンド</t>
    </r>
    <r>
      <rPr>
        <sz val="9"/>
        <rFont val="Meiryo UI"/>
        <family val="0"/>
        <charset val="1"/>
      </rPr>
      <t xml:space="preserve">:297</t>
    </r>
    <r>
      <rPr>
        <sz val="9"/>
        <rFont val="WenQuanYi Zen Hei"/>
        <family val="2"/>
      </rPr>
      <t xml:space="preserve">個　宿儺の指風お菓子</t>
    </r>
    <r>
      <rPr>
        <sz val="9"/>
        <rFont val="Meiryo UI"/>
        <family val="0"/>
        <charset val="1"/>
      </rPr>
      <t xml:space="preserve">:160</t>
    </r>
    <r>
      <rPr>
        <sz val="9"/>
        <rFont val="WenQuanYi Zen Hei"/>
        <family val="2"/>
      </rPr>
      <t xml:space="preserve">個　脱兎！ポーチ入りクリップセット</t>
    </r>
    <r>
      <rPr>
        <sz val="9"/>
        <rFont val="Meiryo UI"/>
        <family val="0"/>
        <charset val="1"/>
      </rPr>
      <t xml:space="preserve">:260</t>
    </r>
    <r>
      <rPr>
        <sz val="9"/>
        <rFont val="WenQuanYi Zen Hei"/>
        <family val="2"/>
      </rPr>
      <t xml:space="preserve">個　気分リフレッシュオルゴール</t>
    </r>
    <r>
      <rPr>
        <sz val="9"/>
        <rFont val="Meiryo UI"/>
        <family val="0"/>
        <charset val="1"/>
      </rPr>
      <t xml:space="preserve">:23</t>
    </r>
    <r>
      <rPr>
        <sz val="9"/>
        <rFont val="WenQuanYi Zen Hei"/>
        <family val="2"/>
      </rPr>
      <t xml:space="preserve">個</t>
    </r>
  </si>
  <si>
    <t xml:space="preserve">　※要確認</t>
  </si>
  <si>
    <r>
      <rPr>
        <sz val="9"/>
        <rFont val="WenQuanYi Zen Hei"/>
        <family val="2"/>
      </rPr>
      <t xml:space="preserve">「気分リフレッシュオルゴール」は倉庫残</t>
    </r>
    <r>
      <rPr>
        <sz val="9"/>
        <rFont val="Meiryo UI"/>
        <family val="0"/>
        <charset val="1"/>
      </rPr>
      <t xml:space="preserve">28</t>
    </r>
    <r>
      <rPr>
        <sz val="9"/>
        <rFont val="WenQuanYi Zen Hei"/>
        <family val="2"/>
      </rPr>
      <t xml:space="preserve">個が存在する。前会場時の「追納困難」回答と実在庫が食い違うため、</t>
    </r>
  </si>
  <si>
    <r>
      <rPr>
        <sz val="9"/>
        <rFont val="Meiryo UI"/>
        <family val="0"/>
        <charset val="1"/>
      </rPr>
      <t xml:space="preserve">28</t>
    </r>
    <r>
      <rPr>
        <sz val="9"/>
        <rFont val="WenQuanYi Zen Hei"/>
        <family val="2"/>
      </rPr>
      <t xml:space="preserve">個が出荷可能か</t>
    </r>
    <r>
      <rPr>
        <sz val="9"/>
        <rFont val="Meiryo UI"/>
        <family val="0"/>
        <charset val="1"/>
      </rPr>
      <t xml:space="preserve">SPJ</t>
    </r>
    <r>
      <rPr>
        <sz val="9"/>
        <rFont val="WenQuanYi Zen Hei"/>
        <family val="2"/>
      </rPr>
      <t xml:space="preserve">様・倉庫に再確認のうえ、可能なら札幌へ充当することを推奨。</t>
    </r>
  </si>
  <si>
    <t xml:space="preserve">■ 最重要リスクと打ち手</t>
  </si>
  <si>
    <r>
      <rPr>
        <b val="true"/>
        <sz val="9"/>
        <rFont val="WenQuanYi Zen Hei"/>
        <family val="2"/>
      </rPr>
      <t xml:space="preserve">札幌の動員が計画比</t>
    </r>
    <r>
      <rPr>
        <b val="true"/>
        <sz val="9"/>
        <rFont val="Meiryo UI"/>
        <family val="0"/>
        <charset val="1"/>
      </rPr>
      <t xml:space="preserve">43%</t>
    </r>
  </si>
  <si>
    <r>
      <rPr>
        <sz val="9"/>
        <rFont val="WenQuanYi Zen Hei"/>
        <family val="2"/>
      </rPr>
      <t xml:space="preserve">初</t>
    </r>
    <r>
      <rPr>
        <sz val="9"/>
        <rFont val="Meiryo UI"/>
        <family val="0"/>
        <charset val="1"/>
      </rPr>
      <t xml:space="preserve">6</t>
    </r>
    <r>
      <rPr>
        <sz val="9"/>
        <rFont val="WenQuanYi Zen Hei"/>
        <family val="2"/>
      </rPr>
      <t xml:space="preserve">日入場者</t>
    </r>
    <r>
      <rPr>
        <sz val="9"/>
        <rFont val="Meiryo UI"/>
        <family val="0"/>
        <charset val="1"/>
      </rPr>
      <t xml:space="preserve">3,880</t>
    </r>
    <r>
      <rPr>
        <sz val="9"/>
        <rFont val="WenQuanYi Zen Hei"/>
        <family val="2"/>
      </rPr>
      <t xml:space="preserve">人（大阪同期間</t>
    </r>
    <r>
      <rPr>
        <sz val="9"/>
        <rFont val="Meiryo UI"/>
        <family val="0"/>
        <charset val="1"/>
      </rPr>
      <t xml:space="preserve">14,703</t>
    </r>
    <r>
      <rPr>
        <sz val="9"/>
        <rFont val="WenQuanYi Zen Hei"/>
        <family val="2"/>
      </rPr>
      <t xml:space="preserve">人の</t>
    </r>
    <r>
      <rPr>
        <sz val="9"/>
        <rFont val="Meiryo UI"/>
        <family val="0"/>
        <charset val="1"/>
      </rPr>
      <t xml:space="preserve">26.4%</t>
    </r>
    <r>
      <rPr>
        <sz val="9"/>
        <rFont val="WenQuanYi Zen Hei"/>
        <family val="2"/>
      </rPr>
      <t xml:space="preserve">）。物販売上も東京対比</t>
    </r>
    <r>
      <rPr>
        <sz val="9"/>
        <rFont val="Meiryo UI"/>
        <family val="0"/>
        <charset val="1"/>
      </rPr>
      <t xml:space="preserve">10.2%</t>
    </r>
    <r>
      <rPr>
        <sz val="9"/>
        <rFont val="WenQuanYi Zen Hei"/>
        <family val="2"/>
      </rPr>
      <t xml:space="preserve">と、</t>
    </r>
  </si>
  <si>
    <r>
      <rPr>
        <sz val="9"/>
        <rFont val="WenQuanYi Zen Hei"/>
        <family val="2"/>
      </rPr>
      <t xml:space="preserve">石川</t>
    </r>
    <r>
      <rPr>
        <sz val="9"/>
        <rFont val="Meiryo UI"/>
        <family val="0"/>
        <charset val="1"/>
      </rPr>
      <t xml:space="preserve">11%</t>
    </r>
    <r>
      <rPr>
        <sz val="9"/>
        <rFont val="WenQuanYi Zen Hei"/>
        <family val="2"/>
      </rPr>
      <t xml:space="preserve">・鳥取</t>
    </r>
    <r>
      <rPr>
        <sz val="9"/>
        <rFont val="Meiryo UI"/>
        <family val="0"/>
        <charset val="1"/>
      </rPr>
      <t xml:space="preserve">9%</t>
    </r>
    <r>
      <rPr>
        <sz val="9"/>
        <rFont val="WenQuanYi Zen Hei"/>
        <family val="2"/>
      </rPr>
      <t xml:space="preserve">として設定された「格下」会場と同水準。石川以降の会場比率も下方修正を検討すべき。</t>
    </r>
  </si>
  <si>
    <r>
      <rPr>
        <b val="true"/>
        <sz val="9"/>
        <rFont val="WenQuanYi Zen Hei"/>
        <family val="2"/>
      </rPr>
      <t xml:space="preserve">東京凱旋が必要数の</t>
    </r>
    <r>
      <rPr>
        <b val="true"/>
        <sz val="9"/>
        <rFont val="Meiryo UI"/>
        <family val="0"/>
        <charset val="1"/>
      </rPr>
      <t xml:space="preserve">53%</t>
    </r>
  </si>
  <si>
    <r>
      <rPr>
        <sz val="9"/>
        <rFont val="WenQuanYi Zen Hei"/>
        <family val="2"/>
      </rPr>
      <t xml:space="preserve">石川以降必要数</t>
    </r>
    <r>
      <rPr>
        <sz val="9"/>
        <rFont val="Meiryo UI"/>
        <family val="0"/>
        <charset val="1"/>
      </rPr>
      <t xml:space="preserve">81,760</t>
    </r>
    <r>
      <rPr>
        <sz val="9"/>
        <rFont val="WenQuanYi Zen Hei"/>
        <family val="2"/>
      </rPr>
      <t xml:space="preserve">個のうち</t>
    </r>
    <r>
      <rPr>
        <sz val="9"/>
        <rFont val="Meiryo UI"/>
        <family val="0"/>
        <charset val="1"/>
      </rPr>
      <t xml:space="preserve">43,032</t>
    </r>
    <r>
      <rPr>
        <sz val="9"/>
        <rFont val="WenQuanYi Zen Hei"/>
        <family val="2"/>
      </rPr>
      <t xml:space="preserve">個</t>
    </r>
    <r>
      <rPr>
        <sz val="9"/>
        <rFont val="Meiryo UI"/>
        <family val="0"/>
        <charset val="1"/>
      </rPr>
      <t xml:space="preserve">(53%)</t>
    </r>
    <r>
      <rPr>
        <sz val="9"/>
        <rFont val="WenQuanYi Zen Hei"/>
        <family val="2"/>
      </rPr>
      <t xml:space="preserve">が東京凱旋。凱旋の</t>
    </r>
    <r>
      <rPr>
        <sz val="9"/>
        <rFont val="Meiryo UI"/>
        <family val="0"/>
        <charset val="1"/>
      </rPr>
      <t xml:space="preserve">50%</t>
    </r>
    <r>
      <rPr>
        <sz val="9"/>
        <rFont val="WenQuanYi Zen Hei"/>
        <family val="2"/>
      </rPr>
      <t xml:space="preserve">前提が外れると発注量が大きくブレる。</t>
    </r>
  </si>
  <si>
    <r>
      <rPr>
        <sz val="9"/>
        <rFont val="WenQuanYi Zen Hei"/>
        <family val="2"/>
      </rPr>
      <t xml:space="preserve">発注は「石川〜鳥取</t>
    </r>
    <r>
      <rPr>
        <sz val="9"/>
        <rFont val="Meiryo UI"/>
        <family val="0"/>
        <charset val="1"/>
      </rPr>
      <t xml:space="preserve">(4</t>
    </r>
    <r>
      <rPr>
        <sz val="9"/>
        <rFont val="WenQuanYi Zen Hei"/>
        <family val="2"/>
      </rPr>
      <t xml:space="preserve">会場・</t>
    </r>
    <r>
      <rPr>
        <sz val="9"/>
        <rFont val="Meiryo UI"/>
        <family val="0"/>
        <charset val="1"/>
      </rPr>
      <t xml:space="preserve">38,729</t>
    </r>
    <r>
      <rPr>
        <sz val="9"/>
        <rFont val="WenQuanYi Zen Hei"/>
        <family val="2"/>
      </rPr>
      <t xml:space="preserve">個</t>
    </r>
    <r>
      <rPr>
        <sz val="9"/>
        <rFont val="Meiryo UI"/>
        <family val="0"/>
        <charset val="1"/>
      </rPr>
      <t xml:space="preserve">)</t>
    </r>
    <r>
      <rPr>
        <sz val="9"/>
        <rFont val="WenQuanYi Zen Hei"/>
        <family val="2"/>
      </rPr>
      <t xml:space="preserve">」を先行確定し、凱旋分は会期確定後に第</t>
    </r>
    <r>
      <rPr>
        <sz val="9"/>
        <rFont val="Meiryo UI"/>
        <family val="0"/>
        <charset val="1"/>
      </rPr>
      <t xml:space="preserve">2</t>
    </r>
    <r>
      <rPr>
        <sz val="9"/>
        <rFont val="WenQuanYi Zen Hei"/>
        <family val="2"/>
      </rPr>
      <t xml:space="preserve">弾発注とするのが安全。</t>
    </r>
  </si>
  <si>
    <t xml:space="preserve">★過剰在庫のほうが深刻</t>
  </si>
  <si>
    <r>
      <rPr>
        <sz val="9"/>
        <rFont val="WenQuanYi Zen Hei"/>
        <family val="2"/>
      </rPr>
      <t xml:space="preserve">残在庫</t>
    </r>
    <r>
      <rPr>
        <sz val="9"/>
        <rFont val="Meiryo UI"/>
        <family val="0"/>
        <charset val="1"/>
      </rPr>
      <t xml:space="preserve">274,688</t>
    </r>
    <r>
      <rPr>
        <sz val="9"/>
        <rFont val="WenQuanYi Zen Hei"/>
        <family val="2"/>
      </rPr>
      <t xml:space="preserve">個に対し石川以降の必要数は</t>
    </r>
    <r>
      <rPr>
        <sz val="9"/>
        <rFont val="Meiryo UI"/>
        <family val="0"/>
        <charset val="1"/>
      </rPr>
      <t xml:space="preserve">81,760</t>
    </r>
    <r>
      <rPr>
        <sz val="9"/>
        <rFont val="WenQuanYi Zen Hei"/>
        <family val="2"/>
      </rPr>
      <t xml:space="preserve">個。差引</t>
    </r>
    <r>
      <rPr>
        <sz val="9"/>
        <rFont val="Meiryo UI"/>
        <family val="0"/>
        <charset val="1"/>
      </rPr>
      <t xml:space="preserve">184,188</t>
    </r>
    <r>
      <rPr>
        <sz val="9"/>
        <rFont val="WenQuanYi Zen Hei"/>
        <family val="2"/>
      </rPr>
      <t xml:space="preserve">個（残在庫の</t>
    </r>
    <r>
      <rPr>
        <sz val="9"/>
        <rFont val="Meiryo UI"/>
        <family val="0"/>
        <charset val="1"/>
      </rPr>
      <t xml:space="preserve">67%</t>
    </r>
    <r>
      <rPr>
        <sz val="9"/>
        <rFont val="WenQuanYi Zen Hei"/>
        <family val="2"/>
      </rPr>
      <t xml:space="preserve">）が余剰となる見込み。</t>
    </r>
  </si>
  <si>
    <r>
      <rPr>
        <sz val="9"/>
        <rFont val="WenQuanYi Zen Hei"/>
        <family val="2"/>
      </rPr>
      <t xml:space="preserve">特に渋谷事変ポストカードセット</t>
    </r>
    <r>
      <rPr>
        <sz val="9"/>
        <rFont val="Meiryo UI"/>
        <family val="0"/>
        <charset val="1"/>
      </rPr>
      <t xml:space="preserve">(</t>
    </r>
    <r>
      <rPr>
        <sz val="9"/>
        <rFont val="WenQuanYi Zen Hei"/>
        <family val="2"/>
      </rPr>
      <t xml:space="preserve">供給可能</t>
    </r>
    <r>
      <rPr>
        <sz val="9"/>
        <rFont val="Meiryo UI"/>
        <family val="0"/>
        <charset val="1"/>
      </rPr>
      <t xml:space="preserve">27,282</t>
    </r>
    <r>
      <rPr>
        <sz val="9"/>
        <rFont val="WenQuanYi Zen Hei"/>
        <family val="2"/>
      </rPr>
      <t xml:space="preserve">個 </t>
    </r>
    <r>
      <rPr>
        <sz val="9"/>
        <rFont val="Meiryo UI"/>
        <family val="0"/>
        <charset val="1"/>
      </rPr>
      <t xml:space="preserve">vs </t>
    </r>
    <r>
      <rPr>
        <sz val="9"/>
        <rFont val="WenQuanYi Zen Hei"/>
        <family val="2"/>
      </rPr>
      <t xml:space="preserve">必要</t>
    </r>
    <r>
      <rPr>
        <sz val="9"/>
        <rFont val="Meiryo UI"/>
        <family val="0"/>
        <charset val="1"/>
      </rPr>
      <t xml:space="preserve">1,911</t>
    </r>
    <r>
      <rPr>
        <sz val="9"/>
        <rFont val="WenQuanYi Zen Hei"/>
        <family val="2"/>
      </rPr>
      <t xml:space="preserve">個</t>
    </r>
    <r>
      <rPr>
        <sz val="9"/>
        <rFont val="Meiryo UI"/>
        <family val="0"/>
        <charset val="1"/>
      </rPr>
      <t xml:space="preserve">)</t>
    </r>
    <r>
      <rPr>
        <sz val="9"/>
        <rFont val="WenQuanYi Zen Hei"/>
        <family val="2"/>
      </rPr>
      <t xml:space="preserve">、懐玉・玉折ポストカードセット</t>
    </r>
    <r>
      <rPr>
        <sz val="9"/>
        <rFont val="Meiryo UI"/>
        <family val="0"/>
        <charset val="1"/>
      </rPr>
      <t xml:space="preserve">(5,977 vs 1,488)</t>
    </r>
    <r>
      <rPr>
        <sz val="9"/>
        <rFont val="WenQuanYi Zen Hei"/>
        <family val="2"/>
      </rPr>
      <t xml:space="preserve">は</t>
    </r>
  </si>
  <si>
    <r>
      <rPr>
        <sz val="9"/>
        <rFont val="Meiryo UI"/>
        <family val="0"/>
        <charset val="1"/>
      </rPr>
      <t xml:space="preserve">20</t>
    </r>
    <r>
      <rPr>
        <sz val="9"/>
        <rFont val="WenQuanYi Zen Hei"/>
        <family val="2"/>
      </rPr>
      <t xml:space="preserve">倍超の在庫を抱えている。追加発注よりも、余剰在庫の消化策（セット販売・ノベルティ転用等）の検討が急務。</t>
    </r>
  </si>
  <si>
    <t xml:space="preserve">不足はごく一部</t>
  </si>
  <si>
    <r>
      <rPr>
        <sz val="9"/>
        <rFont val="WenQuanYi Zen Hei"/>
        <family val="2"/>
      </rPr>
      <t xml:space="preserve">追加生産が必要なのは</t>
    </r>
    <r>
      <rPr>
        <sz val="9"/>
        <rFont val="Meiryo UI"/>
        <family val="0"/>
        <charset val="1"/>
      </rPr>
      <t xml:space="preserve">8</t>
    </r>
    <r>
      <rPr>
        <sz val="9"/>
        <rFont val="WenQuanYi Zen Hei"/>
        <family val="2"/>
      </rPr>
      <t xml:space="preserve">品目・</t>
    </r>
    <r>
      <rPr>
        <sz val="9"/>
        <rFont val="Meiryo UI"/>
        <family val="0"/>
        <charset val="1"/>
      </rPr>
      <t xml:space="preserve">2,552</t>
    </r>
    <r>
      <rPr>
        <sz val="9"/>
        <rFont val="WenQuanYi Zen Hei"/>
        <family val="2"/>
      </rPr>
      <t xml:space="preserve">個のみ。うち展示会キービジュアル クリアファイルが</t>
    </r>
    <r>
      <rPr>
        <sz val="9"/>
        <rFont val="Meiryo UI"/>
        <family val="0"/>
        <charset val="1"/>
      </rPr>
      <t xml:space="preserve">928</t>
    </r>
    <r>
      <rPr>
        <sz val="9"/>
        <rFont val="WenQuanYi Zen Hei"/>
        <family val="2"/>
      </rPr>
      <t xml:space="preserve">個で全体の</t>
    </r>
    <r>
      <rPr>
        <sz val="9"/>
        <rFont val="Meiryo UI"/>
        <family val="0"/>
        <charset val="1"/>
      </rPr>
      <t xml:space="preserve">36%</t>
    </r>
    <r>
      <rPr>
        <sz val="9"/>
        <rFont val="WenQuanYi Zen Hei"/>
        <family val="2"/>
      </rPr>
      <t xml:space="preserve">を占める。</t>
    </r>
  </si>
  <si>
    <t xml:space="preserve">生産リードタイムの制約</t>
  </si>
  <si>
    <r>
      <rPr>
        <sz val="9"/>
        <rFont val="WenQuanYi Zen Hei"/>
        <family val="2"/>
      </rPr>
      <t xml:space="preserve">生産日数は</t>
    </r>
    <r>
      <rPr>
        <sz val="9"/>
        <rFont val="Meiryo UI"/>
        <family val="0"/>
        <charset val="1"/>
      </rPr>
      <t xml:space="preserve">1</t>
    </r>
    <r>
      <rPr>
        <sz val="9"/>
        <rFont val="WenQuanYi Zen Hei"/>
        <family val="2"/>
      </rPr>
      <t xml:space="preserve">か月（クリアファイル・ポストカード・缶バッジ・ステッカー系）、</t>
    </r>
    <r>
      <rPr>
        <sz val="9"/>
        <rFont val="Meiryo UI"/>
        <family val="0"/>
        <charset val="1"/>
      </rPr>
      <t xml:space="preserve">2.5</t>
    </r>
    <r>
      <rPr>
        <sz val="9"/>
        <rFont val="WenQuanYi Zen Hei"/>
        <family val="2"/>
      </rPr>
      <t xml:space="preserve">か月（ミニ色紙</t>
    </r>
    <r>
      <rPr>
        <sz val="9"/>
        <rFont val="Meiryo UI"/>
        <family val="0"/>
        <charset val="1"/>
      </rPr>
      <t xml:space="preserve">2</t>
    </r>
    <r>
      <rPr>
        <sz val="9"/>
        <rFont val="WenQuanYi Zen Hei"/>
        <family val="2"/>
      </rPr>
      <t xml:space="preserve">種・前髪ヘアバンド）、</t>
    </r>
  </si>
  <si>
    <r>
      <rPr>
        <sz val="9"/>
        <rFont val="Meiryo UI"/>
        <family val="0"/>
        <charset val="1"/>
      </rPr>
      <t xml:space="preserve">3</t>
    </r>
    <r>
      <rPr>
        <sz val="9"/>
        <rFont val="WenQuanYi Zen Hei"/>
        <family val="2"/>
      </rPr>
      <t xml:space="preserve">か月（絆創膏・お菓子・クリップ・エコバッグ・オルゴール・リング</t>
    </r>
    <r>
      <rPr>
        <sz val="9"/>
        <rFont val="Meiryo UI"/>
        <family val="0"/>
        <charset val="1"/>
      </rPr>
      <t xml:space="preserve">/</t>
    </r>
    <r>
      <rPr>
        <sz val="9"/>
        <rFont val="WenQuanYi Zen Hei"/>
        <family val="2"/>
      </rPr>
      <t xml:space="preserve">フラグメント系）。バスボールは「－」＝再生産不可のため現有在庫で会場配分を組む必要がある。</t>
    </r>
  </si>
  <si>
    <t xml:space="preserve">賞味期限の制約</t>
  </si>
  <si>
    <r>
      <rPr>
        <sz val="9"/>
        <rFont val="WenQuanYi Zen Hei"/>
        <family val="2"/>
      </rPr>
      <t xml:space="preserve">宿儺の指風お菓子は賞味期限</t>
    </r>
    <r>
      <rPr>
        <sz val="9"/>
        <rFont val="Meiryo UI"/>
        <family val="0"/>
        <charset val="1"/>
      </rPr>
      <t xml:space="preserve">4</t>
    </r>
    <r>
      <rPr>
        <sz val="9"/>
        <rFont val="WenQuanYi Zen Hei"/>
        <family val="2"/>
      </rPr>
      <t xml:space="preserve">か月以内の在庫が販売不可。仙台以降向けは</t>
    </r>
    <r>
      <rPr>
        <sz val="9"/>
        <rFont val="Meiryo UI"/>
        <family val="0"/>
        <charset val="1"/>
      </rPr>
      <t xml:space="preserve">2026/5/15</t>
    </r>
    <r>
      <rPr>
        <sz val="9"/>
        <rFont val="WenQuanYi Zen Hei"/>
        <family val="2"/>
      </rPr>
      <t xml:space="preserve">手配済だが、</t>
    </r>
  </si>
  <si>
    <r>
      <rPr>
        <sz val="9"/>
        <rFont val="WenQuanYi Zen Hei"/>
        <family val="2"/>
      </rPr>
      <t xml:space="preserve">鳥取</t>
    </r>
    <r>
      <rPr>
        <sz val="9"/>
        <rFont val="Meiryo UI"/>
        <family val="0"/>
        <charset val="1"/>
      </rPr>
      <t xml:space="preserve">(27</t>
    </r>
    <r>
      <rPr>
        <sz val="9"/>
        <rFont val="WenQuanYi Zen Hei"/>
        <family val="2"/>
      </rPr>
      <t xml:space="preserve">年</t>
    </r>
    <r>
      <rPr>
        <sz val="9"/>
        <rFont val="Meiryo UI"/>
        <family val="0"/>
        <charset val="1"/>
      </rPr>
      <t xml:space="preserve">3</t>
    </r>
    <r>
      <rPr>
        <sz val="9"/>
        <rFont val="WenQuanYi Zen Hei"/>
        <family val="2"/>
      </rPr>
      <t xml:space="preserve">月</t>
    </r>
    <r>
      <rPr>
        <sz val="9"/>
        <rFont val="Meiryo UI"/>
        <family val="0"/>
        <charset val="1"/>
      </rPr>
      <t xml:space="preserve">)</t>
    </r>
    <r>
      <rPr>
        <sz val="9"/>
        <rFont val="WenQuanYi Zen Hei"/>
        <family val="2"/>
      </rPr>
      <t xml:space="preserve">・東京凱旋</t>
    </r>
    <r>
      <rPr>
        <sz val="9"/>
        <rFont val="Meiryo UI"/>
        <family val="0"/>
        <charset val="1"/>
      </rPr>
      <t xml:space="preserve">(27</t>
    </r>
    <r>
      <rPr>
        <sz val="9"/>
        <rFont val="WenQuanYi Zen Hei"/>
        <family val="2"/>
      </rPr>
      <t xml:space="preserve">年</t>
    </r>
    <r>
      <rPr>
        <sz val="9"/>
        <rFont val="Meiryo UI"/>
        <family val="0"/>
        <charset val="1"/>
      </rPr>
      <t xml:space="preserve">4</t>
    </r>
    <r>
      <rPr>
        <sz val="9"/>
        <rFont val="WenQuanYi Zen Hei"/>
        <family val="2"/>
      </rPr>
      <t xml:space="preserve">月</t>
    </r>
    <r>
      <rPr>
        <sz val="9"/>
        <rFont val="Meiryo UI"/>
        <family val="0"/>
        <charset val="1"/>
      </rPr>
      <t xml:space="preserve">)</t>
    </r>
    <r>
      <rPr>
        <sz val="9"/>
        <rFont val="WenQuanYi Zen Hei"/>
        <family val="2"/>
      </rPr>
      <t xml:space="preserve">向けは賞味期限の逆算で再手配の要否を要確認。</t>
    </r>
  </si>
  <si>
    <t xml:space="preserve">■ 算出モデル（①札幌予測）</t>
  </si>
  <si>
    <t xml:space="preserve">基本式</t>
  </si>
  <si>
    <r>
      <rPr>
        <sz val="9"/>
        <rFont val="WenQuanYi Zen Hei"/>
        <family val="2"/>
      </rPr>
      <t xml:space="preserve">札幌 会期</t>
    </r>
    <r>
      <rPr>
        <sz val="9"/>
        <rFont val="Meiryo UI"/>
        <family val="0"/>
        <charset val="1"/>
      </rPr>
      <t xml:space="preserve">20</t>
    </r>
    <r>
      <rPr>
        <sz val="9"/>
        <rFont val="WenQuanYi Zen Hei"/>
        <family val="2"/>
      </rPr>
      <t xml:space="preserve">日予測販売数 ＝ 札幌 初</t>
    </r>
    <r>
      <rPr>
        <sz val="9"/>
        <rFont val="Meiryo UI"/>
        <family val="0"/>
        <charset val="1"/>
      </rPr>
      <t xml:space="preserve">6</t>
    </r>
    <r>
      <rPr>
        <sz val="9"/>
        <rFont val="WenQuanYi Zen Hei"/>
        <family val="2"/>
      </rPr>
      <t xml:space="preserve">日</t>
    </r>
    <r>
      <rPr>
        <sz val="9"/>
        <rFont val="Meiryo UI"/>
        <family val="0"/>
        <charset val="1"/>
      </rPr>
      <t xml:space="preserve">(7/22-7/27)</t>
    </r>
    <r>
      <rPr>
        <sz val="9"/>
        <rFont val="WenQuanYi Zen Hei"/>
        <family val="2"/>
      </rPr>
      <t xml:space="preserve">販売数 </t>
    </r>
    <r>
      <rPr>
        <sz val="9"/>
        <rFont val="Meiryo UI"/>
        <family val="0"/>
        <charset val="1"/>
      </rPr>
      <t xml:space="preserve">× </t>
    </r>
    <r>
      <rPr>
        <sz val="9"/>
        <rFont val="WenQuanYi Zen Hei"/>
        <family val="2"/>
      </rPr>
      <t xml:space="preserve">会期倍率 </t>
    </r>
    <r>
      <rPr>
        <sz val="9"/>
        <rFont val="Meiryo UI"/>
        <family val="0"/>
        <charset val="1"/>
      </rPr>
      <t xml:space="preserve">g</t>
    </r>
  </si>
  <si>
    <r>
      <rPr>
        <b val="true"/>
        <sz val="9"/>
        <rFont val="WenQuanYi Zen Hei"/>
        <family val="2"/>
      </rPr>
      <t xml:space="preserve">会期倍率 </t>
    </r>
    <r>
      <rPr>
        <b val="true"/>
        <sz val="9"/>
        <rFont val="Meiryo UI"/>
        <family val="0"/>
        <charset val="1"/>
      </rPr>
      <t xml:space="preserve">g</t>
    </r>
  </si>
  <si>
    <r>
      <rPr>
        <sz val="9"/>
        <rFont val="Meiryo UI"/>
        <family val="0"/>
        <charset val="1"/>
      </rPr>
      <t xml:space="preserve">g </t>
    </r>
    <r>
      <rPr>
        <sz val="9"/>
        <rFont val="WenQuanYi Zen Hei"/>
        <family val="2"/>
      </rPr>
      <t xml:space="preserve">＝ 各会場の「</t>
    </r>
    <r>
      <rPr>
        <sz val="9"/>
        <rFont val="Meiryo UI"/>
        <family val="0"/>
        <charset val="1"/>
      </rPr>
      <t xml:space="preserve">20</t>
    </r>
    <r>
      <rPr>
        <sz val="9"/>
        <rFont val="WenQuanYi Zen Hei"/>
        <family val="2"/>
      </rPr>
      <t xml:space="preserve">日累計販売数 </t>
    </r>
    <r>
      <rPr>
        <sz val="9"/>
        <rFont val="Meiryo UI"/>
        <family val="0"/>
        <charset val="1"/>
      </rPr>
      <t xml:space="preserve">÷ </t>
    </r>
    <r>
      <rPr>
        <sz val="9"/>
        <rFont val="WenQuanYi Zen Hei"/>
        <family val="2"/>
      </rPr>
      <t xml:space="preserve">初</t>
    </r>
    <r>
      <rPr>
        <sz val="9"/>
        <rFont val="Meiryo UI"/>
        <family val="0"/>
        <charset val="1"/>
      </rPr>
      <t xml:space="preserve">6</t>
    </r>
    <r>
      <rPr>
        <sz val="9"/>
        <rFont val="WenQuanYi Zen Hei"/>
        <family val="2"/>
      </rPr>
      <t xml:space="preserve">日販売数」を商品別に算出し加重平均</t>
    </r>
  </si>
  <si>
    <t xml:space="preserve">採用会場と加重</t>
  </si>
  <si>
    <r>
      <rPr>
        <sz val="9"/>
        <rFont val="WenQuanYi Zen Hei"/>
        <family val="2"/>
      </rPr>
      <t xml:space="preserve">大阪</t>
    </r>
    <r>
      <rPr>
        <sz val="9"/>
        <rFont val="Meiryo UI"/>
        <family val="0"/>
        <charset val="1"/>
      </rPr>
      <t xml:space="preserve">×2</t>
    </r>
    <r>
      <rPr>
        <sz val="9"/>
        <rFont val="WenQuanYi Zen Hei"/>
        <family val="2"/>
      </rPr>
      <t xml:space="preserve">（</t>
    </r>
    <r>
      <rPr>
        <sz val="9"/>
        <rFont val="Meiryo UI"/>
        <family val="0"/>
        <charset val="1"/>
      </rPr>
      <t xml:space="preserve">20</t>
    </r>
    <r>
      <rPr>
        <sz val="9"/>
        <rFont val="WenQuanYi Zen Hei"/>
        <family val="2"/>
      </rPr>
      <t xml:space="preserve">日会期・水曜開始・新商品投入後で札幌と同条件）、博多</t>
    </r>
    <r>
      <rPr>
        <sz val="9"/>
        <rFont val="Meiryo UI"/>
        <family val="0"/>
        <charset val="1"/>
      </rPr>
      <t xml:space="preserve">×1</t>
    </r>
    <r>
      <rPr>
        <sz val="9"/>
        <rFont val="WenQuanYi Zen Hei"/>
        <family val="2"/>
      </rPr>
      <t xml:space="preserve">、名古屋</t>
    </r>
    <r>
      <rPr>
        <sz val="9"/>
        <rFont val="Meiryo UI"/>
        <family val="0"/>
        <charset val="1"/>
      </rPr>
      <t xml:space="preserve">×1</t>
    </r>
    <r>
      <rPr>
        <sz val="9"/>
        <rFont val="WenQuanYi Zen Hei"/>
        <family val="2"/>
      </rPr>
      <t xml:space="preserve">。東京は除外</t>
    </r>
  </si>
  <si>
    <t xml:space="preserve">名古屋の換算</t>
  </si>
  <si>
    <r>
      <rPr>
        <sz val="9"/>
        <rFont val="WenQuanYi Zen Hei"/>
        <family val="2"/>
      </rPr>
      <t xml:space="preserve">名古屋は</t>
    </r>
    <r>
      <rPr>
        <sz val="9"/>
        <rFont val="Meiryo UI"/>
        <family val="0"/>
        <charset val="1"/>
      </rPr>
      <t xml:space="preserve">19</t>
    </r>
    <r>
      <rPr>
        <sz val="9"/>
        <rFont val="WenQuanYi Zen Hei"/>
        <family val="2"/>
      </rPr>
      <t xml:space="preserve">日会期の全日実績あり。札幌</t>
    </r>
    <r>
      <rPr>
        <sz val="9"/>
        <rFont val="Meiryo UI"/>
        <family val="0"/>
        <charset val="1"/>
      </rPr>
      <t xml:space="preserve">20</t>
    </r>
    <r>
      <rPr>
        <sz val="9"/>
        <rFont val="WenQuanYi Zen Hei"/>
        <family val="2"/>
      </rPr>
      <t xml:space="preserve">日会期と揃えるため</t>
    </r>
    <r>
      <rPr>
        <sz val="9"/>
        <rFont val="Meiryo UI"/>
        <family val="0"/>
        <charset val="1"/>
      </rPr>
      <t xml:space="preserve">20</t>
    </r>
    <r>
      <rPr>
        <sz val="9"/>
        <rFont val="WenQuanYi Zen Hei"/>
        <family val="2"/>
      </rPr>
      <t xml:space="preserve">日目分 </t>
    </r>
    <r>
      <rPr>
        <sz val="9"/>
        <rFont val="Meiryo UI"/>
        <family val="0"/>
        <charset val="1"/>
      </rPr>
      <t xml:space="preserve">+4.83%</t>
    </r>
    <r>
      <rPr>
        <sz val="9"/>
        <rFont val="WenQuanYi Zen Hei"/>
        <family val="2"/>
      </rPr>
      <t xml:space="preserve">（大阪・博多の実績比率）のみ補完</t>
    </r>
  </si>
  <si>
    <r>
      <rPr>
        <b val="true"/>
        <sz val="9"/>
        <rFont val="Meiryo UI"/>
        <family val="0"/>
        <charset val="1"/>
      </rPr>
      <t xml:space="preserve">42</t>
    </r>
    <r>
      <rPr>
        <b val="true"/>
        <sz val="9"/>
        <rFont val="WenQuanYi Zen Hei"/>
        <family val="2"/>
      </rPr>
      <t xml:space="preserve">品計の実効倍率</t>
    </r>
  </si>
  <si>
    <r>
      <rPr>
        <sz val="9"/>
        <rFont val="WenQuanYi Zen Hei"/>
        <family val="2"/>
      </rPr>
      <t xml:space="preserve">大阪</t>
    </r>
    <r>
      <rPr>
        <sz val="9"/>
        <rFont val="Meiryo UI"/>
        <family val="0"/>
        <charset val="1"/>
      </rPr>
      <t xml:space="preserve">1.659</t>
    </r>
    <r>
      <rPr>
        <sz val="9"/>
        <rFont val="WenQuanYi Zen Hei"/>
        <family val="2"/>
      </rPr>
      <t xml:space="preserve">倍・博多</t>
    </r>
    <r>
      <rPr>
        <sz val="9"/>
        <rFont val="Meiryo UI"/>
        <family val="0"/>
        <charset val="1"/>
      </rPr>
      <t xml:space="preserve">2.108</t>
    </r>
    <r>
      <rPr>
        <sz val="9"/>
        <rFont val="WenQuanYi Zen Hei"/>
        <family val="2"/>
      </rPr>
      <t xml:space="preserve">倍・名古屋</t>
    </r>
    <r>
      <rPr>
        <sz val="9"/>
        <rFont val="Meiryo UI"/>
        <family val="0"/>
        <charset val="1"/>
      </rPr>
      <t xml:space="preserve">1.581</t>
    </r>
    <r>
      <rPr>
        <sz val="9"/>
        <rFont val="WenQuanYi Zen Hei"/>
        <family val="2"/>
      </rPr>
      <t xml:space="preserve">倍</t>
    </r>
    <r>
      <rPr>
        <sz val="9"/>
        <rFont val="Meiryo UI"/>
        <family val="0"/>
        <charset val="1"/>
      </rPr>
      <t xml:space="preserve">(20</t>
    </r>
    <r>
      <rPr>
        <sz val="9"/>
        <rFont val="WenQuanYi Zen Hei"/>
        <family val="2"/>
      </rPr>
      <t xml:space="preserve">日換算後</t>
    </r>
    <r>
      <rPr>
        <sz val="9"/>
        <rFont val="Meiryo UI"/>
        <family val="0"/>
        <charset val="1"/>
      </rPr>
      <t xml:space="preserve">) → </t>
    </r>
    <r>
      <rPr>
        <sz val="9"/>
        <rFont val="WenQuanYi Zen Hei"/>
        <family val="2"/>
      </rPr>
      <t xml:space="preserve">加重平均 </t>
    </r>
    <r>
      <rPr>
        <sz val="9"/>
        <rFont val="Meiryo UI"/>
        <family val="0"/>
        <charset val="1"/>
      </rPr>
      <t xml:space="preserve">1.752</t>
    </r>
    <r>
      <rPr>
        <sz val="9"/>
        <rFont val="WenQuanYi Zen Hei"/>
        <family val="2"/>
      </rPr>
      <t xml:space="preserve">倍</t>
    </r>
  </si>
  <si>
    <t xml:space="preserve">■ 算出モデル（③石川以降）</t>
  </si>
  <si>
    <t xml:space="preserve">会場物販売上</t>
  </si>
  <si>
    <r>
      <rPr>
        <sz val="9"/>
        <rFont val="WenQuanYi Zen Hei"/>
        <family val="2"/>
      </rPr>
      <t xml:space="preserve">東京</t>
    </r>
    <r>
      <rPr>
        <sz val="9"/>
        <rFont val="Meiryo UI"/>
        <family val="0"/>
        <charset val="1"/>
      </rPr>
      <t xml:space="preserve">(</t>
    </r>
    <r>
      <rPr>
        <sz val="9"/>
        <rFont val="WenQuanYi Zen Hei"/>
        <family val="2"/>
      </rPr>
      <t xml:space="preserve">初回</t>
    </r>
    <r>
      <rPr>
        <sz val="9"/>
        <rFont val="Meiryo UI"/>
        <family val="0"/>
        <charset val="1"/>
      </rPr>
      <t xml:space="preserve">)</t>
    </r>
    <r>
      <rPr>
        <sz val="9"/>
        <rFont val="WenQuanYi Zen Hei"/>
        <family val="2"/>
      </rPr>
      <t xml:space="preserve">全物販売上 </t>
    </r>
    <r>
      <rPr>
        <sz val="9"/>
        <rFont val="Meiryo UI"/>
        <family val="0"/>
        <charset val="1"/>
      </rPr>
      <t xml:space="preserve">358,193,925</t>
    </r>
    <r>
      <rPr>
        <sz val="9"/>
        <rFont val="WenQuanYi Zen Hei"/>
        <family val="2"/>
      </rPr>
      <t xml:space="preserve">円 </t>
    </r>
    <r>
      <rPr>
        <sz val="9"/>
        <rFont val="Meiryo UI"/>
        <family val="0"/>
        <charset val="1"/>
      </rPr>
      <t xml:space="preserve">× </t>
    </r>
    <r>
      <rPr>
        <sz val="9"/>
        <rFont val="WenQuanYi Zen Hei"/>
        <family val="2"/>
      </rPr>
      <t xml:space="preserve">東京対比比率</t>
    </r>
  </si>
  <si>
    <r>
      <rPr>
        <b val="true"/>
        <sz val="9"/>
        <rFont val="Meiryo UI"/>
        <family val="0"/>
        <charset val="1"/>
      </rPr>
      <t xml:space="preserve">LEGS</t>
    </r>
    <r>
      <rPr>
        <b val="true"/>
        <sz val="9"/>
        <rFont val="WenQuanYi Zen Hei"/>
        <family val="2"/>
      </rPr>
      <t xml:space="preserve">売上</t>
    </r>
  </si>
  <si>
    <r>
      <rPr>
        <sz val="9"/>
        <rFont val="WenQuanYi Zen Hei"/>
        <family val="2"/>
      </rPr>
      <t xml:space="preserve">会場物販売上 </t>
    </r>
    <r>
      <rPr>
        <sz val="9"/>
        <rFont val="Meiryo UI"/>
        <family val="0"/>
        <charset val="1"/>
      </rPr>
      <t xml:space="preserve">× LEGS</t>
    </r>
    <r>
      <rPr>
        <sz val="9"/>
        <rFont val="WenQuanYi Zen Hei"/>
        <family val="2"/>
      </rPr>
      <t xml:space="preserve">金額構成比 </t>
    </r>
    <r>
      <rPr>
        <sz val="9"/>
        <rFont val="Meiryo UI"/>
        <family val="0"/>
        <charset val="1"/>
      </rPr>
      <t xml:space="preserve">18.4%</t>
    </r>
    <r>
      <rPr>
        <sz val="9"/>
        <rFont val="WenQuanYi Zen Hei"/>
        <family val="2"/>
      </rPr>
      <t xml:space="preserve">（札幌予測値＝大阪以降の推移の到達点を採用）</t>
    </r>
  </si>
  <si>
    <r>
      <rPr>
        <b val="true"/>
        <sz val="9"/>
        <rFont val="Meiryo UI"/>
        <family val="0"/>
        <charset val="1"/>
      </rPr>
      <t xml:space="preserve">LEGS</t>
    </r>
    <r>
      <rPr>
        <b val="true"/>
        <sz val="9"/>
        <rFont val="WenQuanYi Zen Hei"/>
        <family val="2"/>
      </rPr>
      <t xml:space="preserve">数量</t>
    </r>
  </si>
  <si>
    <r>
      <rPr>
        <sz val="9"/>
        <rFont val="Meiryo UI"/>
        <family val="0"/>
        <charset val="1"/>
      </rPr>
      <t xml:space="preserve">LEGS</t>
    </r>
    <r>
      <rPr>
        <sz val="9"/>
        <rFont val="WenQuanYi Zen Hei"/>
        <family val="2"/>
      </rPr>
      <t xml:space="preserve">売上 </t>
    </r>
    <r>
      <rPr>
        <sz val="9"/>
        <rFont val="Meiryo UI"/>
        <family val="0"/>
        <charset val="1"/>
      </rPr>
      <t xml:space="preserve">÷ LEGS</t>
    </r>
    <r>
      <rPr>
        <sz val="9"/>
        <rFont val="WenQuanYi Zen Hei"/>
        <family val="2"/>
      </rPr>
      <t xml:space="preserve">平均単価 </t>
    </r>
    <r>
      <rPr>
        <sz val="9"/>
        <rFont val="Meiryo UI"/>
        <family val="0"/>
        <charset val="1"/>
      </rPr>
      <t xml:space="preserve">764</t>
    </r>
    <r>
      <rPr>
        <sz val="9"/>
        <rFont val="WenQuanYi Zen Hei"/>
        <family val="2"/>
      </rPr>
      <t xml:space="preserve">円（札幌予測ミックスベース）</t>
    </r>
  </si>
  <si>
    <t xml:space="preserve">商品別按分</t>
  </si>
  <si>
    <r>
      <rPr>
        <sz val="9"/>
        <rFont val="WenQuanYi Zen Hei"/>
        <family val="2"/>
      </rPr>
      <t xml:space="preserve">大阪</t>
    </r>
    <r>
      <rPr>
        <sz val="9"/>
        <rFont val="Meiryo UI"/>
        <family val="0"/>
        <charset val="1"/>
      </rPr>
      <t xml:space="preserve">20</t>
    </r>
    <r>
      <rPr>
        <sz val="9"/>
        <rFont val="WenQuanYi Zen Hei"/>
        <family val="2"/>
      </rPr>
      <t xml:space="preserve">日実績の数量構成比</t>
    </r>
    <r>
      <rPr>
        <sz val="9"/>
        <rFont val="Meiryo UI"/>
        <family val="0"/>
        <charset val="1"/>
      </rPr>
      <t xml:space="preserve">50%</t>
    </r>
    <r>
      <rPr>
        <sz val="9"/>
        <rFont val="WenQuanYi Zen Hei"/>
        <family val="2"/>
      </rPr>
      <t xml:space="preserve">＋札幌</t>
    </r>
    <r>
      <rPr>
        <sz val="9"/>
        <rFont val="Meiryo UI"/>
        <family val="0"/>
        <charset val="1"/>
      </rPr>
      <t xml:space="preserve">20</t>
    </r>
    <r>
      <rPr>
        <sz val="9"/>
        <rFont val="WenQuanYi Zen Hei"/>
        <family val="2"/>
      </rPr>
      <t xml:space="preserve">日予測の数量構成比</t>
    </r>
    <r>
      <rPr>
        <sz val="9"/>
        <rFont val="Meiryo UI"/>
        <family val="0"/>
        <charset val="1"/>
      </rPr>
      <t xml:space="preserve">50%</t>
    </r>
    <r>
      <rPr>
        <sz val="9"/>
        <rFont val="WenQuanYi Zen Hei"/>
        <family val="2"/>
      </rPr>
      <t xml:space="preserve">のブレンド</t>
    </r>
  </si>
  <si>
    <t xml:space="preserve">比率はすべて入力値</t>
  </si>
  <si>
    <t xml:space="preserve">「前提・入力」シートの青字セルを変更すると全シートが再計算されます</t>
  </si>
  <si>
    <r>
      <rPr>
        <b val="true"/>
        <sz val="11"/>
        <color rgb="FFC00000"/>
        <rFont val="WenQuanYi Zen Hei"/>
        <family val="2"/>
      </rPr>
      <t xml:space="preserve">■ 追加商品による</t>
    </r>
    <r>
      <rPr>
        <b val="true"/>
        <sz val="11"/>
        <color rgb="FFC00000"/>
        <rFont val="Meiryo UI"/>
        <family val="0"/>
        <charset val="1"/>
      </rPr>
      <t xml:space="preserve">LEGS</t>
    </r>
    <r>
      <rPr>
        <b val="true"/>
        <sz val="11"/>
        <color rgb="FFC00000"/>
        <rFont val="WenQuanYi Zen Hei"/>
        <family val="2"/>
      </rPr>
      <t xml:space="preserve">売上低下（⑦）</t>
    </r>
  </si>
  <si>
    <t xml:space="preserve">市場は縮んでいない</t>
  </si>
  <si>
    <r>
      <rPr>
        <sz val="9"/>
        <rFont val="WenQuanYi Zen Hei"/>
        <family val="2"/>
      </rPr>
      <t xml:space="preserve">物販客単価（全商品）は名古屋</t>
    </r>
    <r>
      <rPr>
        <sz val="9"/>
        <rFont val="Meiryo UI"/>
        <family val="0"/>
        <charset val="1"/>
      </rPr>
      <t xml:space="preserve">7,012</t>
    </r>
    <r>
      <rPr>
        <sz val="9"/>
        <rFont val="WenQuanYi Zen Hei"/>
        <family val="2"/>
      </rPr>
      <t xml:space="preserve">円</t>
    </r>
    <r>
      <rPr>
        <sz val="9"/>
        <rFont val="Meiryo UI"/>
        <family val="0"/>
        <charset val="1"/>
      </rPr>
      <t xml:space="preserve">/</t>
    </r>
    <r>
      <rPr>
        <sz val="9"/>
        <rFont val="WenQuanYi Zen Hei"/>
        <family val="2"/>
      </rPr>
      <t xml:space="preserve">人→大阪</t>
    </r>
    <r>
      <rPr>
        <sz val="9"/>
        <rFont val="Meiryo UI"/>
        <family val="0"/>
        <charset val="1"/>
      </rPr>
      <t xml:space="preserve">6,882</t>
    </r>
    <r>
      <rPr>
        <sz val="9"/>
        <rFont val="WenQuanYi Zen Hei"/>
        <family val="2"/>
      </rPr>
      <t xml:space="preserve">円</t>
    </r>
    <r>
      <rPr>
        <sz val="9"/>
        <rFont val="Meiryo UI"/>
        <family val="0"/>
        <charset val="1"/>
      </rPr>
      <t xml:space="preserve">/</t>
    </r>
    <r>
      <rPr>
        <sz val="9"/>
        <rFont val="WenQuanYi Zen Hei"/>
        <family val="2"/>
      </rPr>
      <t xml:space="preserve">人と▲</t>
    </r>
    <r>
      <rPr>
        <sz val="9"/>
        <rFont val="Meiryo UI"/>
        <family val="0"/>
        <charset val="1"/>
      </rPr>
      <t xml:space="preserve">1.8%</t>
    </r>
    <r>
      <rPr>
        <sz val="9"/>
        <rFont val="WenQuanYi Zen Hei"/>
        <family val="2"/>
      </rPr>
      <t xml:space="preserve">でほぼ横ばい。</t>
    </r>
  </si>
  <si>
    <r>
      <rPr>
        <sz val="9"/>
        <rFont val="WenQuanYi Zen Hei"/>
        <family val="2"/>
      </rPr>
      <t xml:space="preserve">同期間に</t>
    </r>
    <r>
      <rPr>
        <sz val="9"/>
        <rFont val="Meiryo UI"/>
        <family val="0"/>
        <charset val="1"/>
      </rPr>
      <t xml:space="preserve">LEGS</t>
    </r>
    <r>
      <rPr>
        <sz val="9"/>
        <rFont val="WenQuanYi Zen Hei"/>
        <family val="2"/>
      </rPr>
      <t xml:space="preserve">は</t>
    </r>
    <r>
      <rPr>
        <sz val="9"/>
        <rFont val="Meiryo UI"/>
        <family val="0"/>
        <charset val="1"/>
      </rPr>
      <t xml:space="preserve">2,099</t>
    </r>
    <r>
      <rPr>
        <sz val="9"/>
        <rFont val="WenQuanYi Zen Hei"/>
        <family val="2"/>
      </rPr>
      <t xml:space="preserve">円</t>
    </r>
    <r>
      <rPr>
        <sz val="9"/>
        <rFont val="Meiryo UI"/>
        <family val="0"/>
        <charset val="1"/>
      </rPr>
      <t xml:space="preserve">/</t>
    </r>
    <r>
      <rPr>
        <sz val="9"/>
        <rFont val="WenQuanYi Zen Hei"/>
        <family val="2"/>
      </rPr>
      <t xml:space="preserve">人→</t>
    </r>
    <r>
      <rPr>
        <sz val="9"/>
        <rFont val="Meiryo UI"/>
        <family val="0"/>
        <charset val="1"/>
      </rPr>
      <t xml:space="preserve">1,455</t>
    </r>
    <r>
      <rPr>
        <sz val="9"/>
        <rFont val="WenQuanYi Zen Hei"/>
        <family val="2"/>
      </rPr>
      <t xml:space="preserve">円</t>
    </r>
    <r>
      <rPr>
        <sz val="9"/>
        <rFont val="Meiryo UI"/>
        <family val="0"/>
        <charset val="1"/>
      </rPr>
      <t xml:space="preserve">/</t>
    </r>
    <r>
      <rPr>
        <sz val="9"/>
        <rFont val="WenQuanYi Zen Hei"/>
        <family val="2"/>
      </rPr>
      <t xml:space="preserve">人と▲</t>
    </r>
    <r>
      <rPr>
        <sz val="9"/>
        <rFont val="Meiryo UI"/>
        <family val="0"/>
        <charset val="1"/>
      </rPr>
      <t xml:space="preserve">30.7%</t>
    </r>
    <r>
      <rPr>
        <sz val="9"/>
        <rFont val="WenQuanYi Zen Hei"/>
        <family val="2"/>
      </rPr>
      <t xml:space="preserve">（▲</t>
    </r>
    <r>
      <rPr>
        <sz val="9"/>
        <rFont val="Meiryo UI"/>
        <family val="0"/>
        <charset val="1"/>
      </rPr>
      <t xml:space="preserve">643</t>
    </r>
    <r>
      <rPr>
        <sz val="9"/>
        <rFont val="WenQuanYi Zen Hei"/>
        <family val="2"/>
      </rPr>
      <t xml:space="preserve">円</t>
    </r>
    <r>
      <rPr>
        <sz val="9"/>
        <rFont val="Meiryo UI"/>
        <family val="0"/>
        <charset val="1"/>
      </rPr>
      <t xml:space="preserve">/</t>
    </r>
    <r>
      <rPr>
        <sz val="9"/>
        <rFont val="WenQuanYi Zen Hei"/>
        <family val="2"/>
      </rPr>
      <t xml:space="preserve">人）。純粋なカニバリゼーション。</t>
    </r>
  </si>
  <si>
    <r>
      <rPr>
        <b val="true"/>
        <sz val="9"/>
        <rFont val="WenQuanYi Zen Hei"/>
        <family val="2"/>
      </rPr>
      <t xml:space="preserve">新商品の約</t>
    </r>
    <r>
      <rPr>
        <b val="true"/>
        <sz val="9"/>
        <rFont val="Meiryo UI"/>
        <family val="0"/>
        <charset val="1"/>
      </rPr>
      <t xml:space="preserve">47%</t>
    </r>
    <r>
      <rPr>
        <b val="true"/>
        <sz val="9"/>
        <rFont val="WenQuanYi Zen Hei"/>
        <family val="2"/>
      </rPr>
      <t xml:space="preserve">が食い合い</t>
    </r>
  </si>
  <si>
    <r>
      <rPr>
        <sz val="9"/>
        <rFont val="WenQuanYi Zen Hei"/>
        <family val="2"/>
      </rPr>
      <t xml:space="preserve">大阪の新商品</t>
    </r>
    <r>
      <rPr>
        <sz val="9"/>
        <rFont val="Meiryo UI"/>
        <family val="0"/>
        <charset val="1"/>
      </rPr>
      <t xml:space="preserve">106SKU</t>
    </r>
    <r>
      <rPr>
        <sz val="9"/>
        <rFont val="WenQuanYi Zen Hei"/>
        <family val="2"/>
      </rPr>
      <t xml:space="preserve">は</t>
    </r>
    <r>
      <rPr>
        <sz val="9"/>
        <rFont val="Meiryo UI"/>
        <family val="0"/>
        <charset val="1"/>
      </rPr>
      <t xml:space="preserve">1,360</t>
    </r>
    <r>
      <rPr>
        <sz val="9"/>
        <rFont val="WenQuanYi Zen Hei"/>
        <family val="2"/>
      </rPr>
      <t xml:space="preserve">円</t>
    </r>
    <r>
      <rPr>
        <sz val="9"/>
        <rFont val="Meiryo UI"/>
        <family val="0"/>
        <charset val="1"/>
      </rPr>
      <t xml:space="preserve">/</t>
    </r>
    <r>
      <rPr>
        <sz val="9"/>
        <rFont val="WenQuanYi Zen Hei"/>
        <family val="2"/>
      </rPr>
      <t xml:space="preserve">人を稼いだが、</t>
    </r>
    <r>
      <rPr>
        <sz val="9"/>
        <rFont val="Meiryo UI"/>
        <family val="0"/>
        <charset val="1"/>
      </rPr>
      <t xml:space="preserve">LEGS</t>
    </r>
    <r>
      <rPr>
        <sz val="9"/>
        <rFont val="WenQuanYi Zen Hei"/>
        <family val="2"/>
      </rPr>
      <t xml:space="preserve">減少</t>
    </r>
    <r>
      <rPr>
        <sz val="9"/>
        <rFont val="Meiryo UI"/>
        <family val="0"/>
        <charset val="1"/>
      </rPr>
      <t xml:space="preserve">643</t>
    </r>
    <r>
      <rPr>
        <sz val="9"/>
        <rFont val="WenQuanYi Zen Hei"/>
        <family val="2"/>
      </rPr>
      <t xml:space="preserve">円</t>
    </r>
    <r>
      <rPr>
        <sz val="9"/>
        <rFont val="Meiryo UI"/>
        <family val="0"/>
        <charset val="1"/>
      </rPr>
      <t xml:space="preserve">/</t>
    </r>
    <r>
      <rPr>
        <sz val="9"/>
        <rFont val="WenQuanYi Zen Hei"/>
        <family val="2"/>
      </rPr>
      <t xml:space="preserve">人はその</t>
    </r>
    <r>
      <rPr>
        <sz val="9"/>
        <rFont val="Meiryo UI"/>
        <family val="0"/>
        <charset val="1"/>
      </rPr>
      <t xml:space="preserve">47%</t>
    </r>
    <r>
      <rPr>
        <sz val="9"/>
        <rFont val="WenQuanYi Zen Hei"/>
        <family val="2"/>
      </rPr>
      <t xml:space="preserve">に相当。</t>
    </r>
  </si>
  <si>
    <r>
      <rPr>
        <b val="true"/>
        <sz val="9"/>
        <rFont val="Meiryo UI"/>
        <family val="0"/>
        <charset val="1"/>
      </rPr>
      <t xml:space="preserve">LEGS</t>
    </r>
    <r>
      <rPr>
        <b val="true"/>
        <sz val="9"/>
        <rFont val="WenQuanYi Zen Hei"/>
        <family val="2"/>
      </rPr>
      <t xml:space="preserve">が削られ始めたのは博多</t>
    </r>
  </si>
  <si>
    <r>
      <rPr>
        <sz val="9"/>
        <rFont val="WenQuanYi Zen Hei"/>
        <family val="2"/>
      </rPr>
      <t xml:space="preserve">博多で「おすわりぬいぐるみ全</t>
    </r>
    <r>
      <rPr>
        <sz val="9"/>
        <rFont val="Meiryo UI"/>
        <family val="0"/>
        <charset val="1"/>
      </rPr>
      <t xml:space="preserve">8</t>
    </r>
    <r>
      <rPr>
        <sz val="9"/>
        <rFont val="WenQuanYi Zen Hei"/>
        <family val="2"/>
      </rPr>
      <t xml:space="preserve">種」</t>
    </r>
    <r>
      <rPr>
        <sz val="9"/>
        <rFont val="Meiryo UI"/>
        <family val="0"/>
        <charset val="1"/>
      </rPr>
      <t xml:space="preserve">(230</t>
    </r>
    <r>
      <rPr>
        <sz val="9"/>
        <rFont val="WenQuanYi Zen Hei"/>
        <family val="2"/>
      </rPr>
      <t xml:space="preserve">円</t>
    </r>
    <r>
      <rPr>
        <sz val="9"/>
        <rFont val="Meiryo UI"/>
        <family val="0"/>
        <charset val="1"/>
      </rPr>
      <t xml:space="preserve">/</t>
    </r>
    <r>
      <rPr>
        <sz val="9"/>
        <rFont val="WenQuanYi Zen Hei"/>
        <family val="2"/>
      </rPr>
      <t xml:space="preserve">人</t>
    </r>
    <r>
      <rPr>
        <sz val="9"/>
        <rFont val="Meiryo UI"/>
        <family val="0"/>
        <charset val="1"/>
      </rPr>
      <t xml:space="preserve">)</t>
    </r>
    <r>
      <rPr>
        <sz val="9"/>
        <rFont val="WenQuanYi Zen Hei"/>
        <family val="2"/>
      </rPr>
      <t xml:space="preserve">＋アクリルカードスタンド</t>
    </r>
    <r>
      <rPr>
        <sz val="9"/>
        <rFont val="Meiryo UI"/>
        <family val="0"/>
        <charset val="1"/>
      </rPr>
      <t xml:space="preserve">(233</t>
    </r>
    <r>
      <rPr>
        <sz val="9"/>
        <rFont val="WenQuanYi Zen Hei"/>
        <family val="2"/>
      </rPr>
      <t xml:space="preserve">円</t>
    </r>
    <r>
      <rPr>
        <sz val="9"/>
        <rFont val="Meiryo UI"/>
        <family val="0"/>
        <charset val="1"/>
      </rPr>
      <t xml:space="preserve">/</t>
    </r>
    <r>
      <rPr>
        <sz val="9"/>
        <rFont val="WenQuanYi Zen Hei"/>
        <family val="2"/>
      </rPr>
      <t xml:space="preserve">人</t>
    </r>
    <r>
      <rPr>
        <sz val="9"/>
        <rFont val="Meiryo UI"/>
        <family val="0"/>
        <charset val="1"/>
      </rPr>
      <t xml:space="preserve">)</t>
    </r>
    <r>
      <rPr>
        <sz val="9"/>
        <rFont val="WenQuanYi Zen Hei"/>
        <family val="2"/>
      </rPr>
      <t xml:space="preserve">を投入し、</t>
    </r>
  </si>
  <si>
    <r>
      <rPr>
        <sz val="9"/>
        <rFont val="Meiryo UI"/>
        <family val="0"/>
        <charset val="1"/>
      </rPr>
      <t xml:space="preserve">LEGS</t>
    </r>
    <r>
      <rPr>
        <sz val="9"/>
        <rFont val="WenQuanYi Zen Hei"/>
        <family val="2"/>
      </rPr>
      <t xml:space="preserve">は</t>
    </r>
    <r>
      <rPr>
        <sz val="9"/>
        <rFont val="Meiryo UI"/>
        <family val="0"/>
        <charset val="1"/>
      </rPr>
      <t xml:space="preserve">2,099→1,634</t>
    </r>
    <r>
      <rPr>
        <sz val="9"/>
        <rFont val="WenQuanYi Zen Hei"/>
        <family val="2"/>
      </rPr>
      <t xml:space="preserve">円</t>
    </r>
    <r>
      <rPr>
        <sz val="9"/>
        <rFont val="Meiryo UI"/>
        <family val="0"/>
        <charset val="1"/>
      </rPr>
      <t xml:space="preserve">/</t>
    </r>
    <r>
      <rPr>
        <sz val="9"/>
        <rFont val="WenQuanYi Zen Hei"/>
        <family val="2"/>
      </rPr>
      <t xml:space="preserve">人（▲</t>
    </r>
    <r>
      <rPr>
        <sz val="9"/>
        <rFont val="Meiryo UI"/>
        <family val="0"/>
        <charset val="1"/>
      </rPr>
      <t xml:space="preserve">465</t>
    </r>
    <r>
      <rPr>
        <sz val="9"/>
        <rFont val="WenQuanYi Zen Hei"/>
        <family val="2"/>
      </rPr>
      <t xml:space="preserve">）。大阪のうちわ</t>
    </r>
    <r>
      <rPr>
        <sz val="9"/>
        <rFont val="Meiryo UI"/>
        <family val="0"/>
        <charset val="1"/>
      </rPr>
      <t xml:space="preserve">14</t>
    </r>
    <r>
      <rPr>
        <sz val="9"/>
        <rFont val="WenQuanYi Zen Hei"/>
        <family val="2"/>
      </rPr>
      <t xml:space="preserve">種・アクリル系</t>
    </r>
    <r>
      <rPr>
        <sz val="9"/>
        <rFont val="Meiryo UI"/>
        <family val="0"/>
        <charset val="1"/>
      </rPr>
      <t xml:space="preserve">39</t>
    </r>
    <r>
      <rPr>
        <sz val="9"/>
        <rFont val="WenQuanYi Zen Hei"/>
        <family val="2"/>
      </rPr>
      <t xml:space="preserve">種でさらに▲</t>
    </r>
    <r>
      <rPr>
        <sz val="9"/>
        <rFont val="Meiryo UI"/>
        <family val="0"/>
        <charset val="1"/>
      </rPr>
      <t xml:space="preserve">179</t>
    </r>
    <r>
      <rPr>
        <sz val="9"/>
        <rFont val="WenQuanYi Zen Hei"/>
        <family val="2"/>
      </rPr>
      <t xml:space="preserve">円</t>
    </r>
    <r>
      <rPr>
        <sz val="9"/>
        <rFont val="Meiryo UI"/>
        <family val="0"/>
        <charset val="1"/>
      </rPr>
      <t xml:space="preserve">/</t>
    </r>
    <r>
      <rPr>
        <sz val="9"/>
        <rFont val="WenQuanYi Zen Hei"/>
        <family val="2"/>
      </rPr>
      <t xml:space="preserve">人。</t>
    </r>
  </si>
  <si>
    <t xml:space="preserve">被害はブラインド系に集中</t>
  </si>
  <si>
    <r>
      <rPr>
        <sz val="9"/>
        <rFont val="WenQuanYi Zen Hei"/>
        <family val="2"/>
      </rPr>
      <t xml:space="preserve">ブラインド缶バッジ▲</t>
    </r>
    <r>
      <rPr>
        <sz val="9"/>
        <rFont val="Meiryo UI"/>
        <family val="0"/>
        <charset val="1"/>
      </rPr>
      <t xml:space="preserve">272</t>
    </r>
    <r>
      <rPr>
        <sz val="9"/>
        <rFont val="WenQuanYi Zen Hei"/>
        <family val="2"/>
      </rPr>
      <t xml:space="preserve">円</t>
    </r>
    <r>
      <rPr>
        <sz val="9"/>
        <rFont val="Meiryo UI"/>
        <family val="0"/>
        <charset val="1"/>
      </rPr>
      <t xml:space="preserve">/</t>
    </r>
    <r>
      <rPr>
        <sz val="9"/>
        <rFont val="WenQuanYi Zen Hei"/>
        <family val="2"/>
      </rPr>
      <t xml:space="preserve">人・ブラインドミニ色紙▲</t>
    </r>
    <r>
      <rPr>
        <sz val="9"/>
        <rFont val="Meiryo UI"/>
        <family val="0"/>
        <charset val="1"/>
      </rPr>
      <t xml:space="preserve">284</t>
    </r>
    <r>
      <rPr>
        <sz val="9"/>
        <rFont val="WenQuanYi Zen Hei"/>
        <family val="2"/>
      </rPr>
      <t xml:space="preserve">円</t>
    </r>
    <r>
      <rPr>
        <sz val="9"/>
        <rFont val="Meiryo UI"/>
        <family val="0"/>
        <charset val="1"/>
      </rPr>
      <t xml:space="preserve">/</t>
    </r>
    <r>
      <rPr>
        <sz val="9"/>
        <rFont val="WenQuanYi Zen Hei"/>
        <family val="2"/>
      </rPr>
      <t xml:space="preserve">人の</t>
    </r>
    <r>
      <rPr>
        <sz val="9"/>
        <rFont val="Meiryo UI"/>
        <family val="0"/>
        <charset val="1"/>
      </rPr>
      <t xml:space="preserve">2</t>
    </r>
    <r>
      <rPr>
        <sz val="9"/>
        <rFont val="WenQuanYi Zen Hei"/>
        <family val="2"/>
      </rPr>
      <t xml:space="preserve">タイプで</t>
    </r>
    <r>
      <rPr>
        <sz val="9"/>
        <rFont val="Meiryo UI"/>
        <family val="0"/>
        <charset val="1"/>
      </rPr>
      <t xml:space="preserve">LEGS</t>
    </r>
    <r>
      <rPr>
        <sz val="9"/>
        <rFont val="WenQuanYi Zen Hei"/>
        <family val="2"/>
      </rPr>
      <t xml:space="preserve">減少の</t>
    </r>
    <r>
      <rPr>
        <sz val="9"/>
        <rFont val="Meiryo UI"/>
        <family val="0"/>
        <charset val="1"/>
      </rPr>
      <t xml:space="preserve">87%</t>
    </r>
    <r>
      <rPr>
        <sz val="9"/>
        <rFont val="WenQuanYi Zen Hei"/>
        <family val="2"/>
      </rPr>
      <t xml:space="preserve">。</t>
    </r>
  </si>
  <si>
    <t xml:space="preserve">クリアファイル・ポストカード類は横ばい〜微増で影響なし。追加生産はブラインド系を抑制すべき。</t>
  </si>
  <si>
    <t xml:space="preserve">★石川以降の最大リスク</t>
  </si>
  <si>
    <r>
      <rPr>
        <sz val="9"/>
        <rFont val="WenQuanYi Zen Hei"/>
        <family val="2"/>
      </rPr>
      <t xml:space="preserve">同規模の新商品を石川以降に追加投入すると③の必要数</t>
    </r>
    <r>
      <rPr>
        <sz val="9"/>
        <rFont val="Meiryo UI"/>
        <family val="0"/>
        <charset val="1"/>
      </rPr>
      <t xml:space="preserve">86,000</t>
    </r>
    <r>
      <rPr>
        <sz val="9"/>
        <rFont val="WenQuanYi Zen Hei"/>
        <family val="2"/>
      </rPr>
      <t xml:space="preserve">個は最大</t>
    </r>
    <r>
      <rPr>
        <sz val="9"/>
        <rFont val="Meiryo UI"/>
        <family val="0"/>
        <charset val="1"/>
      </rPr>
      <t xml:space="preserve">30%</t>
    </r>
    <r>
      <rPr>
        <sz val="9"/>
        <rFont val="WenQuanYi Zen Hei"/>
        <family val="2"/>
      </rPr>
      <t xml:space="preserve">過大になる。</t>
    </r>
  </si>
  <si>
    <t xml:space="preserve">追加生産を確定する前に、石川以降の新商品投入計画（有無・規模）を必ず確認すること。</t>
  </si>
  <si>
    <t xml:space="preserve">■ シート構成</t>
  </si>
  <si>
    <t xml:space="preserve">前提・入力</t>
  </si>
  <si>
    <t xml:space="preserve">会場比率・構成比・加重など全パラメータの入力（青字＝編集可）</t>
  </si>
  <si>
    <t xml:space="preserve">①札幌予測確定</t>
  </si>
  <si>
    <r>
      <rPr>
        <sz val="9"/>
        <rFont val="WenQuanYi Zen Hei"/>
        <family val="2"/>
      </rPr>
      <t xml:space="preserve">商品別 会期</t>
    </r>
    <r>
      <rPr>
        <sz val="9"/>
        <rFont val="Meiryo UI"/>
        <family val="0"/>
        <charset val="1"/>
      </rPr>
      <t xml:space="preserve">20</t>
    </r>
    <r>
      <rPr>
        <sz val="9"/>
        <rFont val="WenQuanYi Zen Hei"/>
        <family val="2"/>
      </rPr>
      <t xml:space="preserve">日予測（会場別</t>
    </r>
    <r>
      <rPr>
        <sz val="9"/>
        <rFont val="Meiryo UI"/>
        <family val="0"/>
        <charset val="1"/>
      </rPr>
      <t xml:space="preserve">g</t>
    </r>
    <r>
      <rPr>
        <sz val="9"/>
        <rFont val="WenQuanYi Zen Hei"/>
        <family val="2"/>
      </rPr>
      <t xml:space="preserve">・予測数量</t>
    </r>
    <r>
      <rPr>
        <sz val="9"/>
        <rFont val="Meiryo UI"/>
        <family val="0"/>
        <charset val="1"/>
      </rPr>
      <t xml:space="preserve">/</t>
    </r>
    <r>
      <rPr>
        <sz val="9"/>
        <rFont val="WenQuanYi Zen Hei"/>
        <family val="2"/>
      </rPr>
      <t xml:space="preserve">金額・消化率・会期末残在庫）</t>
    </r>
  </si>
  <si>
    <t xml:space="preserve">②会場別構成比</t>
  </si>
  <si>
    <r>
      <rPr>
        <sz val="9"/>
        <rFont val="WenQuanYi Zen Hei"/>
        <family val="2"/>
      </rPr>
      <t xml:space="preserve">全会場の</t>
    </r>
    <r>
      <rPr>
        <sz val="9"/>
        <rFont val="Meiryo UI"/>
        <family val="0"/>
        <charset val="1"/>
      </rPr>
      <t xml:space="preserve">LEGS</t>
    </r>
    <r>
      <rPr>
        <sz val="9"/>
        <rFont val="WenQuanYi Zen Hei"/>
        <family val="2"/>
      </rPr>
      <t xml:space="preserve">物販構成比（数量・金額）、供給元別構成比、東京対比 会場比率</t>
    </r>
  </si>
  <si>
    <t xml:space="preserve">③石川以降予測</t>
  </si>
  <si>
    <r>
      <rPr>
        <sz val="9"/>
        <rFont val="WenQuanYi Zen Hei"/>
        <family val="2"/>
      </rPr>
      <t xml:space="preserve">残</t>
    </r>
    <r>
      <rPr>
        <sz val="9"/>
        <rFont val="Meiryo UI"/>
        <family val="0"/>
        <charset val="1"/>
      </rPr>
      <t xml:space="preserve">5</t>
    </r>
    <r>
      <rPr>
        <sz val="9"/>
        <rFont val="WenQuanYi Zen Hei"/>
        <family val="2"/>
      </rPr>
      <t xml:space="preserve">会場の</t>
    </r>
    <r>
      <rPr>
        <sz val="9"/>
        <rFont val="Meiryo UI"/>
        <family val="0"/>
        <charset val="1"/>
      </rPr>
      <t xml:space="preserve">LEGS</t>
    </r>
    <r>
      <rPr>
        <sz val="9"/>
        <rFont val="WenQuanYi Zen Hei"/>
        <family val="2"/>
      </rPr>
      <t xml:space="preserve">売上</t>
    </r>
    <r>
      <rPr>
        <sz val="9"/>
        <rFont val="Meiryo UI"/>
        <family val="0"/>
        <charset val="1"/>
      </rPr>
      <t xml:space="preserve">/</t>
    </r>
    <r>
      <rPr>
        <sz val="9"/>
        <rFont val="WenQuanYi Zen Hei"/>
        <family val="2"/>
      </rPr>
      <t xml:space="preserve">数量予測と商品別必要数</t>
    </r>
  </si>
  <si>
    <t xml:space="preserve">④追加発注判定</t>
  </si>
  <si>
    <t xml:space="preserve">札幌会期中／石川以降 の商品別 発注要否・推奨数量</t>
  </si>
  <si>
    <t xml:space="preserve">⑤全データ統合リスト</t>
  </si>
  <si>
    <r>
      <rPr>
        <sz val="9"/>
        <rFont val="Meiryo UI"/>
        <family val="0"/>
        <charset val="1"/>
      </rPr>
      <t xml:space="preserve">5</t>
    </r>
    <r>
      <rPr>
        <sz val="9"/>
        <rFont val="WenQuanYi Zen Hei"/>
        <family val="2"/>
      </rPr>
      <t xml:space="preserve">会場</t>
    </r>
    <r>
      <rPr>
        <sz val="9"/>
        <rFont val="Meiryo UI"/>
        <family val="0"/>
        <charset val="1"/>
      </rPr>
      <t xml:space="preserve">×42</t>
    </r>
    <r>
      <rPr>
        <sz val="9"/>
        <rFont val="WenQuanYi Zen Hei"/>
        <family val="2"/>
      </rPr>
      <t xml:space="preserve">商品の全実績・構成比・消化率・予測を</t>
    </r>
    <r>
      <rPr>
        <sz val="9"/>
        <rFont val="Meiryo UI"/>
        <family val="0"/>
        <charset val="1"/>
      </rPr>
      <t xml:space="preserve">1</t>
    </r>
    <r>
      <rPr>
        <sz val="9"/>
        <rFont val="WenQuanYi Zen Hei"/>
        <family val="2"/>
      </rPr>
      <t xml:space="preserve">行に集約</t>
    </r>
  </si>
  <si>
    <t xml:space="preserve">⑥商品別 会場推移</t>
  </si>
  <si>
    <t xml:space="preserve">商品別の会場ごと販売数・構成比の推移（トレンド確認用）</t>
  </si>
  <si>
    <t xml:space="preserve">⑦新商品影響分析</t>
  </si>
  <si>
    <r>
      <rPr>
        <sz val="9"/>
        <rFont val="WenQuanYi Zen Hei"/>
        <family val="2"/>
      </rPr>
      <t xml:space="preserve">梅田以降の追加商品（ぬいぐるみ・うちわ等）による</t>
    </r>
    <r>
      <rPr>
        <sz val="9"/>
        <rFont val="Meiryo UI"/>
        <family val="0"/>
        <charset val="1"/>
      </rPr>
      <t xml:space="preserve">LEGS</t>
    </r>
    <r>
      <rPr>
        <sz val="9"/>
        <rFont val="WenQuanYi Zen Hei"/>
        <family val="2"/>
      </rPr>
      <t xml:space="preserve">売上低下の要因分析</t>
    </r>
  </si>
  <si>
    <r>
      <rPr>
        <b val="true"/>
        <sz val="9"/>
        <rFont val="WenQuanYi Zen Hei"/>
        <family val="2"/>
      </rPr>
      <t xml:space="preserve">⑧実在庫</t>
    </r>
    <r>
      <rPr>
        <b val="true"/>
        <sz val="9"/>
        <rFont val="Meiryo UI"/>
        <family val="0"/>
        <charset val="1"/>
      </rPr>
      <t xml:space="preserve">(7-8)</t>
    </r>
    <r>
      <rPr>
        <b val="true"/>
        <sz val="9"/>
        <rFont val="WenQuanYi Zen Hei"/>
        <family val="2"/>
      </rPr>
      <t xml:space="preserve">明細</t>
    </r>
  </si>
  <si>
    <r>
      <rPr>
        <sz val="9"/>
        <rFont val="Meiryo UI"/>
        <family val="0"/>
        <charset val="1"/>
      </rPr>
      <t xml:space="preserve">2026/7/8</t>
    </r>
    <r>
      <rPr>
        <sz val="9"/>
        <rFont val="WenQuanYi Zen Hei"/>
        <family val="2"/>
      </rPr>
      <t xml:space="preserve">時点の実在庫（</t>
    </r>
    <r>
      <rPr>
        <sz val="9"/>
        <rFont val="Meiryo UI"/>
        <family val="0"/>
        <charset val="1"/>
      </rPr>
      <t xml:space="preserve">CX</t>
    </r>
    <r>
      <rPr>
        <sz val="9"/>
        <rFont val="WenQuanYi Zen Hei"/>
        <family val="2"/>
      </rPr>
      <t xml:space="preserve">催事＋</t>
    </r>
    <r>
      <rPr>
        <sz val="9"/>
        <rFont val="Meiryo UI"/>
        <family val="0"/>
        <charset val="1"/>
      </rPr>
      <t xml:space="preserve">DBS</t>
    </r>
    <r>
      <rPr>
        <sz val="9"/>
        <rFont val="WenQuanYi Zen Hei"/>
        <family val="2"/>
      </rPr>
      <t xml:space="preserve">倉庫＋梅田返送良品）と商品別の欠品算出</t>
    </r>
  </si>
  <si>
    <r>
      <rPr>
        <b val="true"/>
        <sz val="9"/>
        <rFont val="WenQuanYi Zen Hei"/>
        <family val="2"/>
      </rPr>
      <t xml:space="preserve">⑨過去</t>
    </r>
    <r>
      <rPr>
        <b val="true"/>
        <sz val="9"/>
        <rFont val="Meiryo UI"/>
        <family val="0"/>
        <charset val="1"/>
      </rPr>
      <t xml:space="preserve">4</t>
    </r>
    <r>
      <rPr>
        <b val="true"/>
        <sz val="9"/>
        <rFont val="WenQuanYi Zen Hei"/>
        <family val="2"/>
      </rPr>
      <t xml:space="preserve">会場 予測</t>
    </r>
    <r>
      <rPr>
        <b val="true"/>
        <sz val="9"/>
        <rFont val="Meiryo UI"/>
        <family val="0"/>
        <charset val="1"/>
      </rPr>
      <t xml:space="preserve">vs</t>
    </r>
    <r>
      <rPr>
        <b val="true"/>
        <sz val="9"/>
        <rFont val="WenQuanYi Zen Hei"/>
        <family val="2"/>
      </rPr>
      <t xml:space="preserve">実績</t>
    </r>
  </si>
  <si>
    <t xml:space="preserve">池袋・名古屋・博多・梅田の商品別 販売予測／実績／予測時構成比／実績後の構成比修正</t>
  </si>
  <si>
    <t xml:space="preserve">⑩会場比率シナリオ比較</t>
  </si>
  <si>
    <r>
      <rPr>
        <sz val="9"/>
        <rFont val="WenQuanYi Zen Hei"/>
        <family val="2"/>
      </rPr>
      <t xml:space="preserve">石川以降の東京対比比率 </t>
    </r>
    <r>
      <rPr>
        <sz val="9"/>
        <rFont val="Meiryo UI"/>
        <family val="0"/>
        <charset val="1"/>
      </rPr>
      <t xml:space="preserve">4</t>
    </r>
    <r>
      <rPr>
        <sz val="9"/>
        <rFont val="WenQuanYi Zen Hei"/>
        <family val="2"/>
      </rPr>
      <t xml:space="preserve">シナリオ（ユーザー指定／企画概要書／札幌実績連動／手動）の比較</t>
    </r>
  </si>
  <si>
    <t xml:space="preserve">⑪会場別引当・発注期限</t>
  </si>
  <si>
    <t xml:space="preserve">会場順の在庫引当、欠品発生会場の特定、生産日数から逆算した最終発注期限</t>
  </si>
  <si>
    <t xml:space="preserve">運営欠品報告の反映先</t>
  </si>
  <si>
    <r>
      <rPr>
        <sz val="9"/>
        <rFont val="WenQuanYi Zen Hei"/>
        <family val="2"/>
      </rPr>
      <t xml:space="preserve">④追加発注判定シートの</t>
    </r>
    <r>
      <rPr>
        <sz val="9"/>
        <rFont val="Meiryo UI"/>
        <family val="0"/>
        <charset val="1"/>
      </rPr>
      <t xml:space="preserve">U</t>
    </r>
    <r>
      <rPr>
        <sz val="9"/>
        <rFont val="WenQuanYi Zen Hei"/>
        <family val="2"/>
      </rPr>
      <t xml:space="preserve">列・</t>
    </r>
    <r>
      <rPr>
        <sz val="9"/>
        <rFont val="Meiryo UI"/>
        <family val="0"/>
        <charset val="1"/>
      </rPr>
      <t xml:space="preserve">V</t>
    </r>
    <r>
      <rPr>
        <sz val="9"/>
        <rFont val="WenQuanYi Zen Hei"/>
        <family val="2"/>
      </rPr>
      <t xml:space="preserve">列、および⑧シートの</t>
    </r>
    <r>
      <rPr>
        <sz val="9"/>
        <rFont val="Meiryo UI"/>
        <family val="0"/>
        <charset val="1"/>
      </rPr>
      <t xml:space="preserve">T</t>
    </r>
    <r>
      <rPr>
        <sz val="9"/>
        <rFont val="WenQuanYi Zen Hei"/>
        <family val="2"/>
      </rPr>
      <t xml:space="preserve">列・備考欄</t>
    </r>
  </si>
  <si>
    <t xml:space="preserve">■ 前提と留意事項</t>
  </si>
  <si>
    <t xml:space="preserve">データ再読込</t>
  </si>
  <si>
    <r>
      <rPr>
        <sz val="9"/>
        <rFont val="WenQuanYi Zen Hei"/>
        <family val="2"/>
      </rPr>
      <t xml:space="preserve">全</t>
    </r>
    <r>
      <rPr>
        <sz val="9"/>
        <rFont val="Meiryo UI"/>
        <family val="0"/>
        <charset val="1"/>
      </rPr>
      <t xml:space="preserve">5</t>
    </r>
    <r>
      <rPr>
        <sz val="9"/>
        <rFont val="WenQuanYi Zen Hei"/>
        <family val="2"/>
      </rPr>
      <t xml:space="preserve">会場のレジ通過単品売上を全件再読込・再集計。名古屋は後半</t>
    </r>
    <r>
      <rPr>
        <sz val="9"/>
        <rFont val="Meiryo UI"/>
        <family val="0"/>
        <charset val="1"/>
      </rPr>
      <t xml:space="preserve">4/1-4/5</t>
    </r>
    <r>
      <rPr>
        <sz val="9"/>
        <rFont val="WenQuanYi Zen Hei"/>
        <family val="2"/>
      </rPr>
      <t xml:space="preserve">の追加提供データを反映し、</t>
    </r>
  </si>
  <si>
    <r>
      <rPr>
        <sz val="9"/>
        <rFont val="WenQuanYi Zen Hei"/>
        <family val="2"/>
      </rPr>
      <t xml:space="preserve">会期</t>
    </r>
    <r>
      <rPr>
        <sz val="9"/>
        <rFont val="Meiryo UI"/>
        <family val="0"/>
        <charset val="1"/>
      </rPr>
      <t xml:space="preserve">19</t>
    </r>
    <r>
      <rPr>
        <sz val="9"/>
        <rFont val="WenQuanYi Zen Hei"/>
        <family val="2"/>
      </rPr>
      <t xml:space="preserve">日間（</t>
    </r>
    <r>
      <rPr>
        <sz val="9"/>
        <rFont val="Meiryo UI"/>
        <family val="0"/>
        <charset val="1"/>
      </rPr>
      <t xml:space="preserve">3/18-4/5</t>
    </r>
    <r>
      <rPr>
        <sz val="9"/>
        <rFont val="WenQuanYi Zen Hei"/>
        <family val="2"/>
      </rPr>
      <t xml:space="preserve">）の完全実績となった。これに伴い名古屋の会期倍率</t>
    </r>
    <r>
      <rPr>
        <sz val="9"/>
        <rFont val="Meiryo UI"/>
        <family val="0"/>
        <charset val="1"/>
      </rPr>
      <t xml:space="preserve">g</t>
    </r>
    <r>
      <rPr>
        <sz val="9"/>
        <rFont val="WenQuanYi Zen Hei"/>
        <family val="2"/>
      </rPr>
      <t xml:space="preserve">は推計</t>
    </r>
    <r>
      <rPr>
        <sz val="9"/>
        <rFont val="Meiryo UI"/>
        <family val="0"/>
        <charset val="1"/>
      </rPr>
      <t xml:space="preserve">2.438</t>
    </r>
    <r>
      <rPr>
        <sz val="9"/>
        <rFont val="WenQuanYi Zen Hei"/>
        <family val="2"/>
      </rPr>
      <t xml:space="preserve">倍→実績</t>
    </r>
    <r>
      <rPr>
        <sz val="9"/>
        <rFont val="Meiryo UI"/>
        <family val="0"/>
        <charset val="1"/>
      </rPr>
      <t xml:space="preserve">2.215</t>
    </r>
    <r>
      <rPr>
        <sz val="9"/>
        <rFont val="WenQuanYi Zen Hei"/>
        <family val="2"/>
      </rPr>
      <t xml:space="preserve">倍に修正。</t>
    </r>
  </si>
  <si>
    <r>
      <rPr>
        <b val="true"/>
        <sz val="9"/>
        <rFont val="Meiryo UI"/>
        <family val="0"/>
        <charset val="1"/>
      </rPr>
      <t xml:space="preserve">LEGS</t>
    </r>
    <r>
      <rPr>
        <b val="true"/>
        <sz val="9"/>
        <rFont val="WenQuanYi Zen Hei"/>
        <family val="2"/>
      </rPr>
      <t xml:space="preserve">＝</t>
    </r>
    <r>
      <rPr>
        <b val="true"/>
        <sz val="9"/>
        <rFont val="Meiryo UI"/>
        <family val="0"/>
        <charset val="1"/>
      </rPr>
      <t xml:space="preserve">42SKU</t>
    </r>
  </si>
  <si>
    <r>
      <rPr>
        <sz val="9"/>
        <rFont val="WenQuanYi Zen Hei"/>
        <family val="2"/>
      </rPr>
      <t xml:space="preserve">各会場の商品分類「記念商品</t>
    </r>
    <r>
      <rPr>
        <sz val="9"/>
        <rFont val="Meiryo UI"/>
        <family val="0"/>
        <charset val="1"/>
      </rPr>
      <t xml:space="preserve">/</t>
    </r>
    <r>
      <rPr>
        <sz val="9"/>
        <rFont val="WenQuanYi Zen Hei"/>
        <family val="2"/>
      </rPr>
      <t xml:space="preserve">レッグス」「レッグス</t>
    </r>
    <r>
      <rPr>
        <sz val="9"/>
        <rFont val="Meiryo UI"/>
        <family val="0"/>
        <charset val="1"/>
      </rPr>
      <t xml:space="preserve">/</t>
    </r>
    <r>
      <rPr>
        <sz val="9"/>
        <rFont val="WenQuanYi Zen Hei"/>
        <family val="2"/>
      </rPr>
      <t xml:space="preserve">イベント記念」は全会場で本</t>
    </r>
    <r>
      <rPr>
        <sz val="9"/>
        <rFont val="Meiryo UI"/>
        <family val="0"/>
        <charset val="1"/>
      </rPr>
      <t xml:space="preserve">42SKU</t>
    </r>
    <r>
      <rPr>
        <sz val="9"/>
        <rFont val="WenQuanYi Zen Hei"/>
        <family val="2"/>
      </rPr>
      <t xml:space="preserve">と完全一致</t>
    </r>
  </si>
  <si>
    <t xml:space="preserve">物販売上の定義</t>
  </si>
  <si>
    <t xml:space="preserve">レジ袋代・音声ガイド・当日券を除いた商品売上（税込）。会場報告の総売上とは一致しない場合がある</t>
  </si>
  <si>
    <t xml:space="preserve">残在庫の出所</t>
  </si>
  <si>
    <t xml:space="preserve">在庫フロー台帳（会場ごとの追加発注→販売→レッグス検品を積み上げた表）の最終実在庫列。</t>
  </si>
  <si>
    <t xml:space="preserve">実際の発注前に倉庫在庫と過去会場の返品在庫を相殺すること（前提・入力シートで控除可能）。</t>
  </si>
  <si>
    <t xml:space="preserve">神戸阪急の会場比率</t>
  </si>
  <si>
    <r>
      <rPr>
        <sz val="9"/>
        <rFont val="WenQuanYi Zen Hei"/>
        <family val="2"/>
      </rPr>
      <t xml:space="preserve">東京対比の指定が無いため</t>
    </r>
    <r>
      <rPr>
        <sz val="9"/>
        <rFont val="Meiryo UI"/>
        <family val="0"/>
        <charset val="1"/>
      </rPr>
      <t xml:space="preserve">12%</t>
    </r>
    <r>
      <rPr>
        <sz val="9"/>
        <rFont val="WenQuanYi Zen Hei"/>
        <family val="2"/>
      </rPr>
      <t xml:space="preserve">を仮置き。要確認事項。</t>
    </r>
  </si>
  <si>
    <t xml:space="preserve">仙台の会場比率</t>
  </si>
  <si>
    <r>
      <rPr>
        <sz val="9"/>
        <rFont val="WenQuanYi Zen Hei"/>
        <family val="2"/>
      </rPr>
      <t xml:space="preserve">ユーザー指定</t>
    </r>
    <r>
      <rPr>
        <sz val="9"/>
        <rFont val="Meiryo UI"/>
        <family val="0"/>
        <charset val="1"/>
      </rPr>
      <t xml:space="preserve">13%</t>
    </r>
    <r>
      <rPr>
        <sz val="9"/>
        <rFont val="WenQuanYi Zen Hei"/>
        <family val="2"/>
      </rPr>
      <t xml:space="preserve">を採用。コナンカフェ</t>
    </r>
    <r>
      <rPr>
        <sz val="9"/>
        <rFont val="Meiryo UI"/>
        <family val="0"/>
        <charset val="1"/>
      </rPr>
      <t xml:space="preserve">2026</t>
    </r>
    <r>
      <rPr>
        <sz val="9"/>
        <rFont val="WenQuanYi Zen Hei"/>
        <family val="2"/>
      </rPr>
      <t xml:space="preserve">実績（東京対比</t>
    </r>
    <r>
      <rPr>
        <sz val="9"/>
        <rFont val="Meiryo UI"/>
        <family val="0"/>
        <charset val="1"/>
      </rPr>
      <t xml:space="preserve">10.5%</t>
    </r>
    <r>
      <rPr>
        <sz val="9"/>
        <rFont val="WenQuanYi Zen Hei"/>
        <family val="2"/>
      </rPr>
      <t xml:space="preserve">）とは</t>
    </r>
    <r>
      <rPr>
        <sz val="9"/>
        <rFont val="Meiryo UI"/>
        <family val="0"/>
        <charset val="1"/>
      </rPr>
      <t xml:space="preserve">2.5pt</t>
    </r>
    <r>
      <rPr>
        <sz val="9"/>
        <rFont val="WenQuanYi Zen Hei"/>
        <family val="2"/>
      </rPr>
      <t xml:space="preserve">乖離あり。</t>
    </r>
  </si>
  <si>
    <t xml:space="preserve">鳥取会場</t>
  </si>
  <si>
    <r>
      <rPr>
        <sz val="9"/>
        <rFont val="WenQuanYi Zen Hei"/>
        <family val="2"/>
      </rPr>
      <t xml:space="preserve">会期</t>
    </r>
    <r>
      <rPr>
        <sz val="9"/>
        <rFont val="Meiryo UI"/>
        <family val="0"/>
        <charset val="1"/>
      </rPr>
      <t xml:space="preserve">3/15-4/4</t>
    </r>
    <r>
      <rPr>
        <sz val="9"/>
        <rFont val="WenQuanYi Zen Hei"/>
        <family val="2"/>
      </rPr>
      <t xml:space="preserve">を</t>
    </r>
    <r>
      <rPr>
        <sz val="9"/>
        <rFont val="Meiryo UI"/>
        <family val="0"/>
        <charset val="1"/>
      </rPr>
      <t xml:space="preserve">21</t>
    </r>
    <r>
      <rPr>
        <sz val="9"/>
        <rFont val="WenQuanYi Zen Hei"/>
        <family val="2"/>
      </rPr>
      <t xml:space="preserve">日間として計上。</t>
    </r>
  </si>
  <si>
    <t xml:space="preserve">価格改定</t>
  </si>
  <si>
    <r>
      <rPr>
        <sz val="9"/>
        <rFont val="WenQuanYi Zen Hei"/>
        <family val="2"/>
      </rPr>
      <t xml:space="preserve">イメージリング</t>
    </r>
    <r>
      <rPr>
        <sz val="9"/>
        <rFont val="Meiryo UI"/>
        <family val="0"/>
        <charset val="1"/>
      </rPr>
      <t xml:space="preserve">8</t>
    </r>
    <r>
      <rPr>
        <sz val="9"/>
        <rFont val="WenQuanYi Zen Hei"/>
        <family val="2"/>
      </rPr>
      <t xml:space="preserve">種は東京</t>
    </r>
    <r>
      <rPr>
        <sz val="9"/>
        <rFont val="Meiryo UI"/>
        <family val="0"/>
        <charset val="1"/>
      </rPr>
      <t xml:space="preserve">¥22,000→</t>
    </r>
    <r>
      <rPr>
        <sz val="9"/>
        <rFont val="WenQuanYi Zen Hei"/>
        <family val="2"/>
      </rPr>
      <t xml:space="preserve">名古屋以降</t>
    </r>
    <r>
      <rPr>
        <sz val="9"/>
        <rFont val="Meiryo UI"/>
        <family val="0"/>
        <charset val="1"/>
      </rPr>
      <t xml:space="preserve">¥27,500</t>
    </r>
    <r>
      <rPr>
        <sz val="9"/>
        <rFont val="WenQuanYi Zen Hei"/>
        <family val="2"/>
      </rPr>
      <t xml:space="preserve">に改定。⑤では会場別の実売単価で金額を算出。</t>
    </r>
  </si>
  <si>
    <t xml:space="preserve">元データの小数値</t>
  </si>
  <si>
    <r>
      <rPr>
        <sz val="9"/>
        <rFont val="WenQuanYi Zen Hei"/>
        <family val="2"/>
      </rPr>
      <t xml:space="preserve">名古屋の販売可能数に小数を含む商品が</t>
    </r>
    <r>
      <rPr>
        <sz val="9"/>
        <rFont val="Meiryo UI"/>
        <family val="0"/>
        <charset val="1"/>
      </rPr>
      <t xml:space="preserve">3</t>
    </r>
    <r>
      <rPr>
        <sz val="9"/>
        <rFont val="WenQuanYi Zen Hei"/>
        <family val="2"/>
      </rPr>
      <t xml:space="preserve">件あるため整数に丸めて処理している（合計への影響は</t>
    </r>
    <r>
      <rPr>
        <sz val="9"/>
        <rFont val="Meiryo UI"/>
        <family val="0"/>
        <charset val="1"/>
      </rPr>
      <t xml:space="preserve">1</t>
    </r>
    <r>
      <rPr>
        <sz val="9"/>
        <rFont val="WenQuanYi Zen Hei"/>
        <family val="2"/>
      </rPr>
      <t xml:space="preserve">個未満）。</t>
    </r>
  </si>
  <si>
    <t xml:space="preserve">東京の内覧会</t>
  </si>
  <si>
    <r>
      <rPr>
        <sz val="9"/>
        <rFont val="WenQuanYi Zen Hei"/>
        <family val="2"/>
      </rPr>
      <t xml:space="preserve">東京の</t>
    </r>
    <r>
      <rPr>
        <sz val="9"/>
        <rFont val="Meiryo UI"/>
        <family val="0"/>
        <charset val="1"/>
      </rPr>
      <t xml:space="preserve">12/4</t>
    </r>
    <r>
      <rPr>
        <sz val="9"/>
        <rFont val="WenQuanYi Zen Hei"/>
        <family val="2"/>
      </rPr>
      <t xml:space="preserve">内覧会分（全商品計</t>
    </r>
    <r>
      <rPr>
        <sz val="9"/>
        <rFont val="Meiryo UI"/>
        <family val="0"/>
        <charset val="1"/>
      </rPr>
      <t xml:space="preserve">142</t>
    </r>
    <r>
      <rPr>
        <sz val="9"/>
        <rFont val="WenQuanYi Zen Hei"/>
        <family val="2"/>
      </rPr>
      <t xml:space="preserve">個）は会期実績から除外して会場間比較している。</t>
    </r>
  </si>
  <si>
    <t xml:space="preserve">前提・入力パラメータ</t>
  </si>
  <si>
    <t xml:space="preserve">青字・黄色セルが入力値です。変更すると①③④⑤シートの予測が自動再計算されます。</t>
  </si>
  <si>
    <t xml:space="preserve">■ ①札幌予測 モデルパラメータ</t>
  </si>
  <si>
    <r>
      <rPr>
        <b val="true"/>
        <sz val="9"/>
        <rFont val="WenQuanYi Zen Hei"/>
        <family val="2"/>
      </rPr>
      <t xml:space="preserve">会期倍率</t>
    </r>
    <r>
      <rPr>
        <b val="true"/>
        <sz val="9"/>
        <rFont val="Meiryo UI"/>
        <family val="0"/>
        <charset val="1"/>
      </rPr>
      <t xml:space="preserve">g </t>
    </r>
    <r>
      <rPr>
        <b val="true"/>
        <sz val="9"/>
        <rFont val="WenQuanYi Zen Hei"/>
        <family val="2"/>
      </rPr>
      <t xml:space="preserve">加重：大阪</t>
    </r>
  </si>
  <si>
    <r>
      <rPr>
        <sz val="8"/>
        <color rgb="FF555555"/>
        <rFont val="Meiryo UI"/>
        <family val="0"/>
        <charset val="1"/>
      </rPr>
      <t xml:space="preserve">20</t>
    </r>
    <r>
      <rPr>
        <sz val="8"/>
        <color rgb="FF555555"/>
        <rFont val="WenQuanYi Zen Hei"/>
        <family val="2"/>
      </rPr>
      <t xml:space="preserve">日会期・水曜開始・新商品投入後で札幌と同条件のため</t>
    </r>
    <r>
      <rPr>
        <sz val="8"/>
        <color rgb="FF555555"/>
        <rFont val="Meiryo UI"/>
        <family val="0"/>
        <charset val="1"/>
      </rPr>
      <t xml:space="preserve">2</t>
    </r>
    <r>
      <rPr>
        <sz val="8"/>
        <color rgb="FF555555"/>
        <rFont val="WenQuanYi Zen Hei"/>
        <family val="2"/>
      </rPr>
      <t xml:space="preserve">倍加重</t>
    </r>
  </si>
  <si>
    <r>
      <rPr>
        <b val="true"/>
        <sz val="9"/>
        <rFont val="WenQuanYi Zen Hei"/>
        <family val="2"/>
      </rPr>
      <t xml:space="preserve">会期倍率</t>
    </r>
    <r>
      <rPr>
        <b val="true"/>
        <sz val="9"/>
        <rFont val="Meiryo UI"/>
        <family val="0"/>
        <charset val="1"/>
      </rPr>
      <t xml:space="preserve">g </t>
    </r>
    <r>
      <rPr>
        <b val="true"/>
        <sz val="9"/>
        <rFont val="WenQuanYi Zen Hei"/>
        <family val="2"/>
      </rPr>
      <t xml:space="preserve">加重：博多</t>
    </r>
  </si>
  <si>
    <r>
      <rPr>
        <sz val="8"/>
        <color rgb="FF555555"/>
        <rFont val="Meiryo UI"/>
        <family val="0"/>
        <charset val="1"/>
      </rPr>
      <t xml:space="preserve">26</t>
    </r>
    <r>
      <rPr>
        <sz val="8"/>
        <color rgb="FF555555"/>
        <rFont val="WenQuanYi Zen Hei"/>
        <family val="2"/>
      </rPr>
      <t xml:space="preserve">日会期のうち初</t>
    </r>
    <r>
      <rPr>
        <sz val="8"/>
        <color rgb="FF555555"/>
        <rFont val="Meiryo UI"/>
        <family val="0"/>
        <charset val="1"/>
      </rPr>
      <t xml:space="preserve">20</t>
    </r>
    <r>
      <rPr>
        <sz val="8"/>
        <color rgb="FF555555"/>
        <rFont val="WenQuanYi Zen Hei"/>
        <family val="2"/>
      </rPr>
      <t xml:space="preserve">日で算出</t>
    </r>
  </si>
  <si>
    <r>
      <rPr>
        <b val="true"/>
        <sz val="9"/>
        <rFont val="WenQuanYi Zen Hei"/>
        <family val="2"/>
      </rPr>
      <t xml:space="preserve">会期倍率</t>
    </r>
    <r>
      <rPr>
        <b val="true"/>
        <sz val="9"/>
        <rFont val="Meiryo UI"/>
        <family val="0"/>
        <charset val="1"/>
      </rPr>
      <t xml:space="preserve">g </t>
    </r>
    <r>
      <rPr>
        <b val="true"/>
        <sz val="9"/>
        <rFont val="WenQuanYi Zen Hei"/>
        <family val="2"/>
      </rPr>
      <t xml:space="preserve">加重：名古屋</t>
    </r>
  </si>
  <si>
    <r>
      <rPr>
        <sz val="8"/>
        <color rgb="FF555555"/>
        <rFont val="Meiryo UI"/>
        <family val="0"/>
        <charset val="1"/>
      </rPr>
      <t xml:space="preserve">19</t>
    </r>
    <r>
      <rPr>
        <sz val="8"/>
        <color rgb="FF555555"/>
        <rFont val="WenQuanYi Zen Hei"/>
        <family val="2"/>
      </rPr>
      <t xml:space="preserve">日会期・全日実績あり。</t>
    </r>
    <r>
      <rPr>
        <sz val="8"/>
        <color rgb="FF555555"/>
        <rFont val="Meiryo UI"/>
        <family val="0"/>
        <charset val="1"/>
      </rPr>
      <t xml:space="preserve">20</t>
    </r>
    <r>
      <rPr>
        <sz val="8"/>
        <color rgb="FF555555"/>
        <rFont val="WenQuanYi Zen Hei"/>
        <family val="2"/>
      </rPr>
      <t xml:space="preserve">日目分のみ補完して札幌</t>
    </r>
    <r>
      <rPr>
        <sz val="8"/>
        <color rgb="FF555555"/>
        <rFont val="Meiryo UI"/>
        <family val="0"/>
        <charset val="1"/>
      </rPr>
      <t xml:space="preserve">20</t>
    </r>
    <r>
      <rPr>
        <sz val="8"/>
        <color rgb="FF555555"/>
        <rFont val="WenQuanYi Zen Hei"/>
        <family val="2"/>
      </rPr>
      <t xml:space="preserve">日と揃える</t>
    </r>
  </si>
  <si>
    <r>
      <rPr>
        <b val="true"/>
        <sz val="9"/>
        <rFont val="WenQuanYi Zen Hei"/>
        <family val="2"/>
      </rPr>
      <t xml:space="preserve">会期倍率</t>
    </r>
    <r>
      <rPr>
        <b val="true"/>
        <sz val="9"/>
        <rFont val="Meiryo UI"/>
        <family val="0"/>
        <charset val="1"/>
      </rPr>
      <t xml:space="preserve">g </t>
    </r>
    <r>
      <rPr>
        <b val="true"/>
        <sz val="9"/>
        <rFont val="WenQuanYi Zen Hei"/>
        <family val="2"/>
      </rPr>
      <t xml:space="preserve">加重：東京</t>
    </r>
  </si>
  <si>
    <r>
      <rPr>
        <sz val="8"/>
        <color rgb="FF555555"/>
        <rFont val="WenQuanYi Zen Hei"/>
        <family val="2"/>
      </rPr>
      <t xml:space="preserve">ユーザー指示により東京は算出根拠から除外（</t>
    </r>
    <r>
      <rPr>
        <sz val="8"/>
        <color rgb="FF555555"/>
        <rFont val="Meiryo UI"/>
        <family val="0"/>
        <charset val="1"/>
      </rPr>
      <t xml:space="preserve">0</t>
    </r>
    <r>
      <rPr>
        <sz val="8"/>
        <color rgb="FF555555"/>
        <rFont val="WenQuanYi Zen Hei"/>
        <family val="2"/>
      </rPr>
      <t xml:space="preserve">固定）</t>
    </r>
  </si>
  <si>
    <r>
      <rPr>
        <b val="true"/>
        <sz val="9"/>
        <rFont val="WenQuanYi Zen Hei"/>
        <family val="2"/>
      </rPr>
      <t xml:space="preserve">名古屋 </t>
    </r>
    <r>
      <rPr>
        <b val="true"/>
        <sz val="9"/>
        <rFont val="Meiryo UI"/>
        <family val="0"/>
        <charset val="1"/>
      </rPr>
      <t xml:space="preserve">20</t>
    </r>
    <r>
      <rPr>
        <b val="true"/>
        <sz val="9"/>
        <rFont val="WenQuanYi Zen Hei"/>
        <family val="2"/>
      </rPr>
      <t xml:space="preserve">日目 補完率</t>
    </r>
  </si>
  <si>
    <r>
      <rPr>
        <sz val="8"/>
        <color rgb="FF555555"/>
        <rFont val="WenQuanYi Zen Hei"/>
        <family val="2"/>
      </rPr>
      <t xml:space="preserve">大阪・博多の「</t>
    </r>
    <r>
      <rPr>
        <sz val="8"/>
        <color rgb="FF555555"/>
        <rFont val="Meiryo UI"/>
        <family val="0"/>
        <charset val="1"/>
      </rPr>
      <t xml:space="preserve">20</t>
    </r>
    <r>
      <rPr>
        <sz val="8"/>
        <color rgb="FF555555"/>
        <rFont val="WenQuanYi Zen Hei"/>
        <family val="2"/>
      </rPr>
      <t xml:space="preserve">日目</t>
    </r>
    <r>
      <rPr>
        <sz val="8"/>
        <color rgb="FF555555"/>
        <rFont val="Meiryo UI"/>
        <family val="0"/>
        <charset val="1"/>
      </rPr>
      <t xml:space="preserve">÷1-19</t>
    </r>
    <r>
      <rPr>
        <sz val="8"/>
        <color rgb="FF555555"/>
        <rFont val="WenQuanYi Zen Hei"/>
        <family val="2"/>
      </rPr>
      <t xml:space="preserve">日累計」平均。名古屋</t>
    </r>
    <r>
      <rPr>
        <sz val="8"/>
        <color rgb="FF555555"/>
        <rFont val="Meiryo UI"/>
        <family val="0"/>
        <charset val="1"/>
      </rPr>
      <t xml:space="preserve">19</t>
    </r>
    <r>
      <rPr>
        <sz val="8"/>
        <color rgb="FF555555"/>
        <rFont val="WenQuanYi Zen Hei"/>
        <family val="2"/>
      </rPr>
      <t xml:space="preserve">日会期を</t>
    </r>
    <r>
      <rPr>
        <sz val="8"/>
        <color rgb="FF555555"/>
        <rFont val="Meiryo UI"/>
        <family val="0"/>
        <charset val="1"/>
      </rPr>
      <t xml:space="preserve">20</t>
    </r>
    <r>
      <rPr>
        <sz val="8"/>
        <color rgb="FF555555"/>
        <rFont val="WenQuanYi Zen Hei"/>
        <family val="2"/>
      </rPr>
      <t xml:space="preserve">日相当に換算</t>
    </r>
  </si>
  <si>
    <r>
      <rPr>
        <b val="true"/>
        <sz val="9"/>
        <rFont val="WenQuanYi Zen Hei"/>
        <family val="2"/>
      </rPr>
      <t xml:space="preserve">全体倍率</t>
    </r>
    <r>
      <rPr>
        <b val="true"/>
        <sz val="9"/>
        <rFont val="Meiryo UI"/>
        <family val="0"/>
        <charset val="1"/>
      </rPr>
      <t xml:space="preserve">g</t>
    </r>
    <r>
      <rPr>
        <b val="true"/>
        <sz val="9"/>
        <rFont val="WenQuanYi Zen Hei"/>
        <family val="2"/>
      </rPr>
      <t xml:space="preserve">（実績ゼロ品のフォールバック）</t>
    </r>
  </si>
  <si>
    <r>
      <rPr>
        <sz val="8"/>
        <color rgb="FF555555"/>
        <rFont val="Meiryo UI"/>
        <family val="0"/>
        <charset val="1"/>
      </rPr>
      <t xml:space="preserve">42</t>
    </r>
    <r>
      <rPr>
        <sz val="8"/>
        <color rgb="FF555555"/>
        <rFont val="WenQuanYi Zen Hei"/>
        <family val="2"/>
      </rPr>
      <t xml:space="preserve">品計の加重平均倍率</t>
    </r>
  </si>
  <si>
    <t xml:space="preserve">■ ②③会場比率 前提</t>
  </si>
  <si>
    <r>
      <rPr>
        <b val="true"/>
        <sz val="9"/>
        <rFont val="WenQuanYi Zen Hei"/>
        <family val="2"/>
      </rPr>
      <t xml:space="preserve">東京</t>
    </r>
    <r>
      <rPr>
        <b val="true"/>
        <sz val="9"/>
        <rFont val="Meiryo UI"/>
        <family val="0"/>
        <charset val="1"/>
      </rPr>
      <t xml:space="preserve">(</t>
    </r>
    <r>
      <rPr>
        <b val="true"/>
        <sz val="9"/>
        <rFont val="WenQuanYi Zen Hei"/>
        <family val="2"/>
      </rPr>
      <t xml:space="preserve">初回</t>
    </r>
    <r>
      <rPr>
        <b val="true"/>
        <sz val="9"/>
        <rFont val="Meiryo UI"/>
        <family val="0"/>
        <charset val="1"/>
      </rPr>
      <t xml:space="preserve">) </t>
    </r>
    <r>
      <rPr>
        <b val="true"/>
        <sz val="9"/>
        <rFont val="WenQuanYi Zen Hei"/>
        <family val="2"/>
      </rPr>
      <t xml:space="preserve">全物販売上（税込）</t>
    </r>
  </si>
  <si>
    <r>
      <rPr>
        <sz val="8"/>
        <color rgb="FF555555"/>
        <rFont val="WenQuanYi Zen Hei"/>
        <family val="2"/>
      </rPr>
      <t xml:space="preserve">池袋サンシャイン</t>
    </r>
    <r>
      <rPr>
        <sz val="8"/>
        <color rgb="FF555555"/>
        <rFont val="Meiryo UI"/>
        <family val="0"/>
        <charset val="1"/>
      </rPr>
      <t xml:space="preserve">25</t>
    </r>
    <r>
      <rPr>
        <sz val="8"/>
        <color rgb="FF555555"/>
        <rFont val="WenQuanYi Zen Hei"/>
        <family val="2"/>
      </rPr>
      <t xml:space="preserve">日間・レジ袋</t>
    </r>
    <r>
      <rPr>
        <sz val="8"/>
        <color rgb="FF555555"/>
        <rFont val="Meiryo UI"/>
        <family val="0"/>
        <charset val="1"/>
      </rPr>
      <t xml:space="preserve">/</t>
    </r>
    <r>
      <rPr>
        <sz val="8"/>
        <color rgb="FF555555"/>
        <rFont val="WenQuanYi Zen Hei"/>
        <family val="2"/>
      </rPr>
      <t xml:space="preserve">音声ガイド</t>
    </r>
    <r>
      <rPr>
        <sz val="8"/>
        <color rgb="FF555555"/>
        <rFont val="Meiryo UI"/>
        <family val="0"/>
        <charset val="1"/>
      </rPr>
      <t xml:space="preserve">/</t>
    </r>
    <r>
      <rPr>
        <sz val="8"/>
        <color rgb="FF555555"/>
        <rFont val="WenQuanYi Zen Hei"/>
        <family val="2"/>
      </rPr>
      <t xml:space="preserve">当日券を除く</t>
    </r>
  </si>
  <si>
    <r>
      <rPr>
        <b val="true"/>
        <sz val="9"/>
        <rFont val="WenQuanYi Zen Hei"/>
        <family val="2"/>
      </rPr>
      <t xml:space="preserve">東京</t>
    </r>
    <r>
      <rPr>
        <b val="true"/>
        <sz val="9"/>
        <rFont val="Meiryo UI"/>
        <family val="0"/>
        <charset val="1"/>
      </rPr>
      <t xml:space="preserve">(</t>
    </r>
    <r>
      <rPr>
        <b val="true"/>
        <sz val="9"/>
        <rFont val="WenQuanYi Zen Hei"/>
        <family val="2"/>
      </rPr>
      <t xml:space="preserve">初回</t>
    </r>
    <r>
      <rPr>
        <b val="true"/>
        <sz val="9"/>
        <rFont val="Meiryo UI"/>
        <family val="0"/>
        <charset val="1"/>
      </rPr>
      <t xml:space="preserve">) </t>
    </r>
    <r>
      <rPr>
        <b val="true"/>
        <sz val="9"/>
        <rFont val="WenQuanYi Zen Hei"/>
        <family val="2"/>
      </rPr>
      <t xml:space="preserve">全物販 販売数量</t>
    </r>
  </si>
  <si>
    <t xml:space="preserve">同上</t>
  </si>
  <si>
    <r>
      <rPr>
        <b val="true"/>
        <sz val="9"/>
        <rFont val="WenQuanYi Zen Hei"/>
        <family val="2"/>
      </rPr>
      <t xml:space="preserve">★シナリオ選択（</t>
    </r>
    <r>
      <rPr>
        <b val="true"/>
        <sz val="9"/>
        <rFont val="Meiryo UI"/>
        <family val="0"/>
        <charset val="1"/>
      </rPr>
      <t xml:space="preserve">1</t>
    </r>
    <r>
      <rPr>
        <b val="true"/>
        <sz val="9"/>
        <rFont val="WenQuanYi Zen Hei"/>
        <family val="2"/>
      </rPr>
      <t xml:space="preserve">〜</t>
    </r>
    <r>
      <rPr>
        <b val="true"/>
        <sz val="9"/>
        <rFont val="Meiryo UI"/>
        <family val="0"/>
        <charset val="1"/>
      </rPr>
      <t xml:space="preserve">4</t>
    </r>
    <r>
      <rPr>
        <b val="true"/>
        <sz val="9"/>
        <rFont val="WenQuanYi Zen Hei"/>
        <family val="2"/>
      </rPr>
      <t xml:space="preserve">）</t>
    </r>
  </si>
  <si>
    <r>
      <rPr>
        <sz val="8"/>
        <color rgb="FF555555"/>
        <rFont val="Meiryo UI"/>
        <family val="0"/>
        <charset val="1"/>
      </rPr>
      <t xml:space="preserve">1=</t>
    </r>
    <r>
      <rPr>
        <sz val="8"/>
        <color rgb="FF555555"/>
        <rFont val="WenQuanYi Zen Hei"/>
        <family val="2"/>
      </rPr>
      <t xml:space="preserve">ユーザー指定／</t>
    </r>
    <r>
      <rPr>
        <sz val="8"/>
        <color rgb="FF555555"/>
        <rFont val="Meiryo UI"/>
        <family val="0"/>
        <charset val="1"/>
      </rPr>
      <t xml:space="preserve">2=</t>
    </r>
    <r>
      <rPr>
        <sz val="8"/>
        <color rgb="FF555555"/>
        <rFont val="WenQuanYi Zen Hei"/>
        <family val="2"/>
      </rPr>
      <t xml:space="preserve">企画概要書ベース／</t>
    </r>
    <r>
      <rPr>
        <sz val="8"/>
        <color rgb="FF555555"/>
        <rFont val="Meiryo UI"/>
        <family val="0"/>
        <charset val="1"/>
      </rPr>
      <t xml:space="preserve">3=</t>
    </r>
    <r>
      <rPr>
        <sz val="8"/>
        <color rgb="FF555555"/>
        <rFont val="WenQuanYi Zen Hei"/>
        <family val="2"/>
      </rPr>
      <t xml:space="preserve">札幌実績連動</t>
    </r>
    <r>
      <rPr>
        <sz val="8"/>
        <color rgb="FF555555"/>
        <rFont val="Meiryo UI"/>
        <family val="0"/>
        <charset val="1"/>
      </rPr>
      <t xml:space="preserve">(</t>
    </r>
    <r>
      <rPr>
        <sz val="8"/>
        <color rgb="FF555555"/>
        <rFont val="WenQuanYi Zen Hei"/>
        <family val="2"/>
      </rPr>
      <t xml:space="preserve">保守</t>
    </r>
    <r>
      <rPr>
        <sz val="8"/>
        <color rgb="FF555555"/>
        <rFont val="Meiryo UI"/>
        <family val="0"/>
        <charset val="1"/>
      </rPr>
      <t xml:space="preserve">)</t>
    </r>
    <r>
      <rPr>
        <sz val="8"/>
        <color rgb="FF555555"/>
        <rFont val="WenQuanYi Zen Hei"/>
        <family val="2"/>
      </rPr>
      <t xml:space="preserve">／</t>
    </r>
    <r>
      <rPr>
        <sz val="8"/>
        <color rgb="FF555555"/>
        <rFont val="Meiryo UI"/>
        <family val="0"/>
        <charset val="1"/>
      </rPr>
      <t xml:space="preserve">4=</t>
    </r>
    <r>
      <rPr>
        <sz val="8"/>
        <color rgb="FF555555"/>
        <rFont val="WenQuanYi Zen Hei"/>
        <family val="2"/>
      </rPr>
      <t xml:space="preserve">手動入力（下の手動値を使用）</t>
    </r>
  </si>
  <si>
    <t xml:space="preserve">　シナリオ別 東京対比比率</t>
  </si>
  <si>
    <t xml:space="preserve">①ユーザー指定</t>
  </si>
  <si>
    <t xml:space="preserve">②企画概要書ベース</t>
  </si>
  <si>
    <r>
      <rPr>
        <b val="true"/>
        <sz val="9"/>
        <color rgb="FFFFFFFF"/>
        <rFont val="WenQuanYi Zen Hei"/>
        <family val="2"/>
      </rPr>
      <t xml:space="preserve">③札幌実績連動</t>
    </r>
    <r>
      <rPr>
        <b val="true"/>
        <sz val="9"/>
        <color rgb="FFFFFFFF"/>
        <rFont val="Meiryo UI"/>
        <family val="0"/>
        <charset val="1"/>
      </rPr>
      <t xml:space="preserve">(</t>
    </r>
    <r>
      <rPr>
        <b val="true"/>
        <sz val="9"/>
        <color rgb="FFFFFFFF"/>
        <rFont val="WenQuanYi Zen Hei"/>
        <family val="2"/>
      </rPr>
      <t xml:space="preserve">保守</t>
    </r>
    <r>
      <rPr>
        <b val="true"/>
        <sz val="9"/>
        <color rgb="FFFFFFFF"/>
        <rFont val="Meiryo UI"/>
        <family val="0"/>
        <charset val="1"/>
      </rPr>
      <t xml:space="preserve">)</t>
    </r>
  </si>
  <si>
    <t xml:space="preserve">④手動入力</t>
  </si>
  <si>
    <t xml:space="preserve">　　石川 香林坊大和</t>
  </si>
  <si>
    <r>
      <rPr>
        <sz val="8"/>
        <color rgb="FF555555"/>
        <rFont val="Meiryo UI"/>
        <family val="0"/>
        <charset val="1"/>
      </rPr>
      <t xml:space="preserve">26/8/14(</t>
    </r>
    <r>
      <rPr>
        <sz val="8"/>
        <color rgb="FF555555"/>
        <rFont val="WenQuanYi Zen Hei"/>
        <family val="2"/>
      </rPr>
      <t xml:space="preserve">金</t>
    </r>
    <r>
      <rPr>
        <sz val="8"/>
        <color rgb="FF555555"/>
        <rFont val="Meiryo UI"/>
        <family val="0"/>
        <charset val="1"/>
      </rPr>
      <t xml:space="preserve">)-8/31(</t>
    </r>
    <r>
      <rPr>
        <sz val="8"/>
        <color rgb="FF555555"/>
        <rFont val="WenQuanYi Zen Hei"/>
        <family val="2"/>
      </rPr>
      <t xml:space="preserve">月</t>
    </r>
    <r>
      <rPr>
        <sz val="8"/>
        <color rgb="FF555555"/>
        <rFont val="Meiryo UI"/>
        <family val="0"/>
        <charset val="1"/>
      </rPr>
      <t xml:space="preserve">)</t>
    </r>
    <r>
      <rPr>
        <sz val="8"/>
        <color rgb="FF555555"/>
        <rFont val="WenQuanYi Zen Hei"/>
        <family val="2"/>
      </rPr>
      <t xml:space="preserve">（</t>
    </r>
    <r>
      <rPr>
        <sz val="8"/>
        <color rgb="FF555555"/>
        <rFont val="Meiryo UI"/>
        <family val="0"/>
        <charset val="1"/>
      </rPr>
      <t xml:space="preserve">18</t>
    </r>
    <r>
      <rPr>
        <sz val="8"/>
        <color rgb="FF555555"/>
        <rFont val="WenQuanYi Zen Hei"/>
        <family val="2"/>
      </rPr>
      <t xml:space="preserve">日間）</t>
    </r>
  </si>
  <si>
    <r>
      <rPr>
        <sz val="9"/>
        <rFont val="WenQuanYi Zen Hei"/>
        <family val="2"/>
      </rPr>
      <t xml:space="preserve">　　仙台 </t>
    </r>
    <r>
      <rPr>
        <sz val="9"/>
        <rFont val="Meiryo UI"/>
        <family val="0"/>
        <charset val="1"/>
      </rPr>
      <t xml:space="preserve">Ebeans</t>
    </r>
  </si>
  <si>
    <r>
      <rPr>
        <sz val="8"/>
        <color rgb="FF555555"/>
        <rFont val="Meiryo UI"/>
        <family val="0"/>
        <charset val="1"/>
      </rPr>
      <t xml:space="preserve">26/9/5(</t>
    </r>
    <r>
      <rPr>
        <sz val="8"/>
        <color rgb="FF555555"/>
        <rFont val="WenQuanYi Zen Hei"/>
        <family val="2"/>
      </rPr>
      <t xml:space="preserve">土</t>
    </r>
    <r>
      <rPr>
        <sz val="8"/>
        <color rgb="FF555555"/>
        <rFont val="Meiryo UI"/>
        <family val="0"/>
        <charset val="1"/>
      </rPr>
      <t xml:space="preserve">)-10/4(</t>
    </r>
    <r>
      <rPr>
        <sz val="8"/>
        <color rgb="FF555555"/>
        <rFont val="WenQuanYi Zen Hei"/>
        <family val="2"/>
      </rPr>
      <t xml:space="preserve">日</t>
    </r>
    <r>
      <rPr>
        <sz val="8"/>
        <color rgb="FF555555"/>
        <rFont val="Meiryo UI"/>
        <family val="0"/>
        <charset val="1"/>
      </rPr>
      <t xml:space="preserve">)</t>
    </r>
    <r>
      <rPr>
        <sz val="8"/>
        <color rgb="FF555555"/>
        <rFont val="WenQuanYi Zen Hei"/>
        <family val="2"/>
      </rPr>
      <t xml:space="preserve">（</t>
    </r>
    <r>
      <rPr>
        <sz val="8"/>
        <color rgb="FF555555"/>
        <rFont val="Meiryo UI"/>
        <family val="0"/>
        <charset val="1"/>
      </rPr>
      <t xml:space="preserve">30</t>
    </r>
    <r>
      <rPr>
        <sz val="8"/>
        <color rgb="FF555555"/>
        <rFont val="WenQuanYi Zen Hei"/>
        <family val="2"/>
      </rPr>
      <t xml:space="preserve">日間）</t>
    </r>
  </si>
  <si>
    <t xml:space="preserve">　　神戸阪急</t>
  </si>
  <si>
    <r>
      <rPr>
        <sz val="8"/>
        <color rgb="FF555555"/>
        <rFont val="Meiryo UI"/>
        <family val="0"/>
        <charset val="1"/>
      </rPr>
      <t xml:space="preserve">26/12/16(</t>
    </r>
    <r>
      <rPr>
        <sz val="8"/>
        <color rgb="FF555555"/>
        <rFont val="WenQuanYi Zen Hei"/>
        <family val="2"/>
      </rPr>
      <t xml:space="preserve">水</t>
    </r>
    <r>
      <rPr>
        <sz val="8"/>
        <color rgb="FF555555"/>
        <rFont val="Meiryo UI"/>
        <family val="0"/>
        <charset val="1"/>
      </rPr>
      <t xml:space="preserve">)-27/1/7(</t>
    </r>
    <r>
      <rPr>
        <sz val="8"/>
        <color rgb="FF555555"/>
        <rFont val="WenQuanYi Zen Hei"/>
        <family val="2"/>
      </rPr>
      <t xml:space="preserve">木</t>
    </r>
    <r>
      <rPr>
        <sz val="8"/>
        <color rgb="FF555555"/>
        <rFont val="Meiryo UI"/>
        <family val="0"/>
        <charset val="1"/>
      </rPr>
      <t xml:space="preserve">)</t>
    </r>
    <r>
      <rPr>
        <sz val="8"/>
        <color rgb="FF555555"/>
        <rFont val="WenQuanYi Zen Hei"/>
        <family val="2"/>
      </rPr>
      <t xml:space="preserve">（</t>
    </r>
    <r>
      <rPr>
        <sz val="8"/>
        <color rgb="FF555555"/>
        <rFont val="Meiryo UI"/>
        <family val="0"/>
        <charset val="1"/>
      </rPr>
      <t xml:space="preserve">21</t>
    </r>
    <r>
      <rPr>
        <sz val="8"/>
        <color rgb="FF555555"/>
        <rFont val="WenQuanYi Zen Hei"/>
        <family val="2"/>
      </rPr>
      <t xml:space="preserve">日間）</t>
    </r>
  </si>
  <si>
    <t xml:space="preserve">　　鳥取島根 夢みなとタワー</t>
  </si>
  <si>
    <r>
      <rPr>
        <sz val="8"/>
        <color rgb="FF555555"/>
        <rFont val="Meiryo UI"/>
        <family val="0"/>
        <charset val="1"/>
      </rPr>
      <t xml:space="preserve">27/3/15-4/4</t>
    </r>
    <r>
      <rPr>
        <sz val="8"/>
        <color rgb="FF555555"/>
        <rFont val="WenQuanYi Zen Hei"/>
        <family val="2"/>
      </rPr>
      <t xml:space="preserve">（</t>
    </r>
    <r>
      <rPr>
        <sz val="8"/>
        <color rgb="FF555555"/>
        <rFont val="Meiryo UI"/>
        <family val="0"/>
        <charset val="1"/>
      </rPr>
      <t xml:space="preserve">21</t>
    </r>
    <r>
      <rPr>
        <sz val="8"/>
        <color rgb="FF555555"/>
        <rFont val="WenQuanYi Zen Hei"/>
        <family val="2"/>
      </rPr>
      <t xml:space="preserve">日間）</t>
    </r>
  </si>
  <si>
    <t xml:space="preserve">　　東京凱旋 東京建物ぴあホール</t>
  </si>
  <si>
    <r>
      <rPr>
        <sz val="8"/>
        <color rgb="FF555555"/>
        <rFont val="Meiryo UI"/>
        <family val="0"/>
        <charset val="1"/>
      </rPr>
      <t xml:space="preserve">27</t>
    </r>
    <r>
      <rPr>
        <sz val="8"/>
        <color rgb="FF555555"/>
        <rFont val="WenQuanYi Zen Hei"/>
        <family val="2"/>
      </rPr>
      <t xml:space="preserve">年</t>
    </r>
    <r>
      <rPr>
        <sz val="8"/>
        <color rgb="FF555555"/>
        <rFont val="Meiryo UI"/>
        <family val="0"/>
        <charset val="1"/>
      </rPr>
      <t xml:space="preserve">4-5</t>
    </r>
    <r>
      <rPr>
        <sz val="8"/>
        <color rgb="FF555555"/>
        <rFont val="WenQuanYi Zen Hei"/>
        <family val="2"/>
      </rPr>
      <t xml:space="preserve">月（</t>
    </r>
    <r>
      <rPr>
        <sz val="8"/>
        <color rgb="FF555555"/>
        <rFont val="Meiryo UI"/>
        <family val="0"/>
        <charset val="1"/>
      </rPr>
      <t xml:space="preserve">25</t>
    </r>
    <r>
      <rPr>
        <sz val="8"/>
        <color rgb="FF555555"/>
        <rFont val="WenQuanYi Zen Hei"/>
        <family val="2"/>
      </rPr>
      <t xml:space="preserve">日間）</t>
    </r>
  </si>
  <si>
    <r>
      <rPr>
        <sz val="8"/>
        <color rgb="FF555555"/>
        <rFont val="WenQuanYi Zen Hei"/>
        <family val="2"/>
      </rPr>
      <t xml:space="preserve">　　※③は企画概要書の計画値に札幌の計画比達成率 </t>
    </r>
    <r>
      <rPr>
        <sz val="8"/>
        <color rgb="FF555555"/>
        <rFont val="Meiryo UI"/>
        <family val="0"/>
        <charset val="1"/>
      </rPr>
      <t xml:space="preserve">46.5% </t>
    </r>
    <r>
      <rPr>
        <sz val="8"/>
        <color rgb="FF555555"/>
        <rFont val="WenQuanYi Zen Hei"/>
        <family val="2"/>
      </rPr>
      <t xml:space="preserve">を乗じたもの（凱旋は据置）</t>
    </r>
  </si>
  <si>
    <t xml:space="preserve">東京対比：石川 香林坊大和</t>
  </si>
  <si>
    <t xml:space="preserve">緑字＝シナリオ選択で自動決定　／　ユーザー指定</t>
  </si>
  <si>
    <r>
      <rPr>
        <b val="true"/>
        <sz val="9"/>
        <rFont val="WenQuanYi Zen Hei"/>
        <family val="2"/>
      </rPr>
      <t xml:space="preserve">東京対比：仙台 </t>
    </r>
    <r>
      <rPr>
        <b val="true"/>
        <sz val="9"/>
        <rFont val="Meiryo UI"/>
        <family val="0"/>
        <charset val="1"/>
      </rPr>
      <t xml:space="preserve">Ebeans</t>
    </r>
  </si>
  <si>
    <r>
      <rPr>
        <sz val="8"/>
        <color rgb="FF555555"/>
        <rFont val="WenQuanYi Zen Hei"/>
        <family val="2"/>
      </rPr>
      <t xml:space="preserve">緑字＝シナリオ選択で自動決定　／　ユーザー指定（コナン実績は</t>
    </r>
    <r>
      <rPr>
        <sz val="8"/>
        <color rgb="FF555555"/>
        <rFont val="Meiryo UI"/>
        <family val="0"/>
        <charset val="1"/>
      </rPr>
      <t xml:space="preserve">10.5%</t>
    </r>
    <r>
      <rPr>
        <sz val="8"/>
        <color rgb="FF555555"/>
        <rFont val="WenQuanYi Zen Hei"/>
        <family val="2"/>
      </rPr>
      <t xml:space="preserve">）</t>
    </r>
  </si>
  <si>
    <t xml:space="preserve">東京対比：神戸阪急</t>
  </si>
  <si>
    <t xml:space="preserve">緑字＝シナリオ選択で自動決定　／　★要確認：指定なきため仮置き</t>
  </si>
  <si>
    <t xml:space="preserve">東京対比：鳥取島根 夢みなとタワー</t>
  </si>
  <si>
    <t xml:space="preserve">東京対比：東京凱旋 東京建物ぴあホール</t>
  </si>
  <si>
    <r>
      <rPr>
        <sz val="8"/>
        <color rgb="FF555555"/>
        <rFont val="WenQuanYi Zen Hei"/>
        <family val="2"/>
      </rPr>
      <t xml:space="preserve">緑字＝シナリオ選択で自動決定　／　ユーザー指定（初回東京の</t>
    </r>
    <r>
      <rPr>
        <sz val="8"/>
        <color rgb="FF555555"/>
        <rFont val="Meiryo UI"/>
        <family val="0"/>
        <charset val="1"/>
      </rPr>
      <t xml:space="preserve">50%</t>
    </r>
    <r>
      <rPr>
        <sz val="8"/>
        <color rgb="FF555555"/>
        <rFont val="WenQuanYi Zen Hei"/>
        <family val="2"/>
      </rPr>
      <t xml:space="preserve">）</t>
    </r>
  </si>
  <si>
    <r>
      <rPr>
        <b val="true"/>
        <sz val="9"/>
        <rFont val="WenQuanYi Zen Hei"/>
        <family val="2"/>
      </rPr>
      <t xml:space="preserve">［参考］コナンカフェ</t>
    </r>
    <r>
      <rPr>
        <b val="true"/>
        <sz val="9"/>
        <rFont val="Meiryo UI"/>
        <family val="0"/>
        <charset val="1"/>
      </rPr>
      <t xml:space="preserve">2026 </t>
    </r>
    <r>
      <rPr>
        <b val="true"/>
        <sz val="9"/>
        <rFont val="WenQuanYi Zen Hei"/>
        <family val="2"/>
      </rPr>
      <t xml:space="preserve">東京対比</t>
    </r>
  </si>
  <si>
    <r>
      <rPr>
        <sz val="8"/>
        <color rgb="FF555555"/>
        <rFont val="WenQuanYi Zen Hei"/>
        <family val="2"/>
      </rPr>
      <t xml:space="preserve">大阪</t>
    </r>
    <r>
      <rPr>
        <sz val="8"/>
        <color rgb="FF555555"/>
        <rFont val="Meiryo UI"/>
        <family val="0"/>
        <charset val="1"/>
      </rPr>
      <t xml:space="preserve">53.6% </t>
    </r>
    <r>
      <rPr>
        <sz val="8"/>
        <color rgb="FF555555"/>
        <rFont val="WenQuanYi Zen Hei"/>
        <family val="2"/>
      </rPr>
      <t xml:space="preserve">名古屋</t>
    </r>
    <r>
      <rPr>
        <sz val="8"/>
        <color rgb="FF555555"/>
        <rFont val="Meiryo UI"/>
        <family val="0"/>
        <charset val="1"/>
      </rPr>
      <t xml:space="preserve">26.8% </t>
    </r>
    <r>
      <rPr>
        <sz val="8"/>
        <color rgb="FF555555"/>
        <rFont val="WenQuanYi Zen Hei"/>
        <family val="2"/>
      </rPr>
      <t xml:space="preserve">神奈川</t>
    </r>
    <r>
      <rPr>
        <sz val="8"/>
        <color rgb="FF555555"/>
        <rFont val="Meiryo UI"/>
        <family val="0"/>
        <charset val="1"/>
      </rPr>
      <t xml:space="preserve">19.1% </t>
    </r>
    <r>
      <rPr>
        <sz val="8"/>
        <color rgb="FF555555"/>
        <rFont val="WenQuanYi Zen Hei"/>
        <family val="2"/>
      </rPr>
      <t xml:space="preserve">北海道</t>
    </r>
    <r>
      <rPr>
        <sz val="8"/>
        <color rgb="FF555555"/>
        <rFont val="Meiryo UI"/>
        <family val="0"/>
        <charset val="1"/>
      </rPr>
      <t xml:space="preserve">13.3% </t>
    </r>
    <r>
      <rPr>
        <sz val="8"/>
        <color rgb="FF555555"/>
        <rFont val="WenQuanYi Zen Hei"/>
        <family val="2"/>
      </rPr>
      <t xml:space="preserve">仙台</t>
    </r>
    <r>
      <rPr>
        <sz val="8"/>
        <color rgb="FF555555"/>
        <rFont val="Meiryo UI"/>
        <family val="0"/>
        <charset val="1"/>
      </rPr>
      <t xml:space="preserve">10.5%</t>
    </r>
  </si>
  <si>
    <r>
      <rPr>
        <b val="true"/>
        <sz val="11"/>
        <color rgb="FFC00000"/>
        <rFont val="WenQuanYi Zen Hei"/>
        <family val="2"/>
      </rPr>
      <t xml:space="preserve">■ ③石川以降 </t>
    </r>
    <r>
      <rPr>
        <b val="true"/>
        <sz val="11"/>
        <color rgb="FFC00000"/>
        <rFont val="Meiryo UI"/>
        <family val="0"/>
        <charset val="1"/>
      </rPr>
      <t xml:space="preserve">LEGS</t>
    </r>
    <r>
      <rPr>
        <b val="true"/>
        <sz val="11"/>
        <color rgb="FFC00000"/>
        <rFont val="WenQuanYi Zen Hei"/>
        <family val="2"/>
      </rPr>
      <t xml:space="preserve">構成比 前提</t>
    </r>
  </si>
  <si>
    <r>
      <rPr>
        <b val="true"/>
        <sz val="9"/>
        <rFont val="Meiryo UI"/>
        <family val="0"/>
        <charset val="1"/>
      </rPr>
      <t xml:space="preserve">LEGS </t>
    </r>
    <r>
      <rPr>
        <b val="true"/>
        <sz val="9"/>
        <rFont val="WenQuanYi Zen Hei"/>
        <family val="2"/>
      </rPr>
      <t xml:space="preserve">金額構成比（石川以降）</t>
    </r>
  </si>
  <si>
    <r>
      <rPr>
        <sz val="8"/>
        <color rgb="FF555555"/>
        <rFont val="WenQuanYi Zen Hei"/>
        <family val="2"/>
      </rPr>
      <t xml:space="preserve">札幌の会期</t>
    </r>
    <r>
      <rPr>
        <sz val="8"/>
        <color rgb="FF555555"/>
        <rFont val="Meiryo UI"/>
        <family val="0"/>
        <charset val="1"/>
      </rPr>
      <t xml:space="preserve">20</t>
    </r>
    <r>
      <rPr>
        <sz val="8"/>
        <color rgb="FF555555"/>
        <rFont val="WenQuanYi Zen Hei"/>
        <family val="2"/>
      </rPr>
      <t xml:space="preserve">日予測値。大阪</t>
    </r>
    <r>
      <rPr>
        <sz val="8"/>
        <color rgb="FF555555"/>
        <rFont val="Meiryo UI"/>
        <family val="0"/>
        <charset val="1"/>
      </rPr>
      <t xml:space="preserve">21.1%→</t>
    </r>
    <r>
      <rPr>
        <sz val="8"/>
        <color rgb="FF555555"/>
        <rFont val="WenQuanYi Zen Hei"/>
        <family val="2"/>
      </rPr>
      <t xml:space="preserve">札幌</t>
    </r>
    <r>
      <rPr>
        <sz val="8"/>
        <color rgb="FF555555"/>
        <rFont val="Meiryo UI"/>
        <family val="0"/>
        <charset val="1"/>
      </rPr>
      <t xml:space="preserve">19.6%</t>
    </r>
    <r>
      <rPr>
        <sz val="8"/>
        <color rgb="FF555555"/>
        <rFont val="WenQuanYi Zen Hei"/>
        <family val="2"/>
      </rPr>
      <t xml:space="preserve">の到達点を採用</t>
    </r>
  </si>
  <si>
    <r>
      <rPr>
        <b val="true"/>
        <sz val="9"/>
        <rFont val="Meiryo UI"/>
        <family val="0"/>
        <charset val="1"/>
      </rPr>
      <t xml:space="preserve">LEGS </t>
    </r>
    <r>
      <rPr>
        <b val="true"/>
        <sz val="9"/>
        <rFont val="WenQuanYi Zen Hei"/>
        <family val="2"/>
      </rPr>
      <t xml:space="preserve">平均単価（税込）</t>
    </r>
  </si>
  <si>
    <r>
      <rPr>
        <sz val="8"/>
        <color rgb="FF555555"/>
        <rFont val="WenQuanYi Zen Hei"/>
        <family val="2"/>
      </rPr>
      <t xml:space="preserve">札幌</t>
    </r>
    <r>
      <rPr>
        <sz val="8"/>
        <color rgb="FF555555"/>
        <rFont val="Meiryo UI"/>
        <family val="0"/>
        <charset val="1"/>
      </rPr>
      <t xml:space="preserve">20</t>
    </r>
    <r>
      <rPr>
        <sz val="8"/>
        <color rgb="FF555555"/>
        <rFont val="WenQuanYi Zen Hei"/>
        <family val="2"/>
      </rPr>
      <t xml:space="preserve">日予測ミックスの加重平均単価</t>
    </r>
  </si>
  <si>
    <r>
      <rPr>
        <b val="true"/>
        <sz val="9"/>
        <rFont val="WenQuanYi Zen Hei"/>
        <family val="2"/>
      </rPr>
      <t xml:space="preserve">商品別按分：大阪</t>
    </r>
    <r>
      <rPr>
        <b val="true"/>
        <sz val="9"/>
        <rFont val="Meiryo UI"/>
        <family val="0"/>
        <charset val="1"/>
      </rPr>
      <t xml:space="preserve">20</t>
    </r>
    <r>
      <rPr>
        <b val="true"/>
        <sz val="9"/>
        <rFont val="WenQuanYi Zen Hei"/>
        <family val="2"/>
      </rPr>
      <t xml:space="preserve">日実績の構成比ウェイト</t>
    </r>
  </si>
  <si>
    <r>
      <rPr>
        <b val="true"/>
        <sz val="9"/>
        <rFont val="WenQuanYi Zen Hei"/>
        <family val="2"/>
      </rPr>
      <t xml:space="preserve">商品別按分：札幌</t>
    </r>
    <r>
      <rPr>
        <b val="true"/>
        <sz val="9"/>
        <rFont val="Meiryo UI"/>
        <family val="0"/>
        <charset val="1"/>
      </rPr>
      <t xml:space="preserve">20</t>
    </r>
    <r>
      <rPr>
        <b val="true"/>
        <sz val="9"/>
        <rFont val="WenQuanYi Zen Hei"/>
        <family val="2"/>
      </rPr>
      <t xml:space="preserve">日予測の構成比ウェイト</t>
    </r>
  </si>
  <si>
    <r>
      <rPr>
        <sz val="8"/>
        <color rgb="FF555555"/>
        <rFont val="WenQuanYi Zen Hei"/>
        <family val="2"/>
      </rPr>
      <t xml:space="preserve">大阪ウェイトとの合計が</t>
    </r>
    <r>
      <rPr>
        <sz val="8"/>
        <color rgb="FF555555"/>
        <rFont val="Meiryo UI"/>
        <family val="0"/>
        <charset val="1"/>
      </rPr>
      <t xml:space="preserve">100%</t>
    </r>
    <r>
      <rPr>
        <sz val="8"/>
        <color rgb="FF555555"/>
        <rFont val="WenQuanYi Zen Hei"/>
        <family val="2"/>
      </rPr>
      <t xml:space="preserve">になるよう設定</t>
    </r>
  </si>
  <si>
    <t xml:space="preserve">■ ④追加発注 前提</t>
  </si>
  <si>
    <t xml:space="preserve">安全率（不足数に対する上乗せ）</t>
  </si>
  <si>
    <r>
      <rPr>
        <sz val="8"/>
        <color rgb="FF555555"/>
        <rFont val="WenQuanYi Zen Hei"/>
        <family val="2"/>
      </rPr>
      <t xml:space="preserve">推奨発注数＝不足数</t>
    </r>
    <r>
      <rPr>
        <sz val="8"/>
        <color rgb="FF555555"/>
        <rFont val="Meiryo UI"/>
        <family val="0"/>
        <charset val="1"/>
      </rPr>
      <t xml:space="preserve">×(1+</t>
    </r>
    <r>
      <rPr>
        <sz val="8"/>
        <color rgb="FF555555"/>
        <rFont val="WenQuanYi Zen Hei"/>
        <family val="2"/>
      </rPr>
      <t xml:space="preserve">安全率</t>
    </r>
    <r>
      <rPr>
        <sz val="8"/>
        <color rgb="FF555555"/>
        <rFont val="Meiryo UI"/>
        <family val="0"/>
        <charset val="1"/>
      </rPr>
      <t xml:space="preserve">)</t>
    </r>
    <r>
      <rPr>
        <sz val="8"/>
        <color rgb="FF555555"/>
        <rFont val="WenQuanYi Zen Hei"/>
        <family val="2"/>
      </rPr>
      <t xml:space="preserve">を切り上げ</t>
    </r>
  </si>
  <si>
    <r>
      <rPr>
        <b val="true"/>
        <sz val="9"/>
        <rFont val="WenQuanYi Zen Hei"/>
        <family val="2"/>
      </rPr>
      <t xml:space="preserve">［参考］残在庫想定 全品計（梅田まで</t>
    </r>
    <r>
      <rPr>
        <b val="true"/>
        <sz val="9"/>
        <rFont val="Meiryo UI"/>
        <family val="0"/>
        <charset val="1"/>
      </rPr>
      <t xml:space="preserve">(SET)</t>
    </r>
    <r>
      <rPr>
        <b val="true"/>
        <sz val="9"/>
        <rFont val="WenQuanYi Zen Hei"/>
        <family val="2"/>
      </rPr>
      <t xml:space="preserve">）</t>
    </r>
  </si>
  <si>
    <t xml:space="preserve">在庫フロー台帳の最終実在庫列。商品別の実数を③⑧⑩⑪シートで直接使用</t>
  </si>
  <si>
    <t xml:space="preserve">札幌 会期末残在庫のスライド率</t>
  </si>
  <si>
    <t xml:space="preserve">札幌終了在庫を石川以降へ回せる割合</t>
  </si>
  <si>
    <t xml:space="preserve">発注〜納品バッファ日数（輸送・検品）</t>
  </si>
  <si>
    <t xml:space="preserve">発注期限＝会場初日 − 生産日数 − 本バッファ。⑪シートで使用</t>
  </si>
  <si>
    <t xml:space="preserve">基準日</t>
  </si>
  <si>
    <r>
      <rPr>
        <sz val="8"/>
        <color rgb="FF555555"/>
        <rFont val="WenQuanYi Zen Hei"/>
        <family val="2"/>
      </rPr>
      <t xml:space="preserve">生産日数の提示日＝</t>
    </r>
    <r>
      <rPr>
        <sz val="8"/>
        <color rgb="FF555555"/>
        <rFont val="Meiryo UI"/>
        <family val="0"/>
        <charset val="1"/>
      </rPr>
      <t xml:space="preserve">2026/7/28</t>
    </r>
    <r>
      <rPr>
        <sz val="8"/>
        <color rgb="FF555555"/>
        <rFont val="WenQuanYi Zen Hei"/>
        <family val="2"/>
      </rPr>
      <t xml:space="preserve">。残日数の起点</t>
    </r>
  </si>
  <si>
    <r>
      <rPr>
        <b val="true"/>
        <sz val="15"/>
        <color rgb="FF1F3864"/>
        <rFont val="WenQuanYi Zen Hei"/>
        <family val="2"/>
      </rPr>
      <t xml:space="preserve">① 札幌会場 会期</t>
    </r>
    <r>
      <rPr>
        <b val="true"/>
        <sz val="15"/>
        <color rgb="FF1F3864"/>
        <rFont val="Meiryo UI"/>
        <family val="0"/>
        <charset val="1"/>
      </rPr>
      <t xml:space="preserve">20</t>
    </r>
    <r>
      <rPr>
        <b val="true"/>
        <sz val="15"/>
        <color rgb="FF1F3864"/>
        <rFont val="WenQuanYi Zen Hei"/>
        <family val="2"/>
      </rPr>
      <t xml:space="preserve">日間（</t>
    </r>
    <r>
      <rPr>
        <b val="true"/>
        <sz val="15"/>
        <color rgb="FF1F3864"/>
        <rFont val="Meiryo UI"/>
        <family val="0"/>
        <charset val="1"/>
      </rPr>
      <t xml:space="preserve">7/22-8/10</t>
    </r>
    <r>
      <rPr>
        <b val="true"/>
        <sz val="15"/>
        <color rgb="FF1F3864"/>
        <rFont val="WenQuanYi Zen Hei"/>
        <family val="2"/>
      </rPr>
      <t xml:space="preserve">）商品別 販売予測【確定値】</t>
    </r>
  </si>
  <si>
    <r>
      <rPr>
        <sz val="8"/>
        <color rgb="FF555555"/>
        <rFont val="WenQuanYi Zen Hei"/>
        <family val="2"/>
      </rPr>
      <t xml:space="preserve">算出根拠：東京を除く名古屋①・博多②・大阪④の「</t>
    </r>
    <r>
      <rPr>
        <sz val="8"/>
        <color rgb="FF555555"/>
        <rFont val="Meiryo UI"/>
        <family val="0"/>
        <charset val="1"/>
      </rPr>
      <t xml:space="preserve">20</t>
    </r>
    <r>
      <rPr>
        <sz val="8"/>
        <color rgb="FF555555"/>
        <rFont val="WenQuanYi Zen Hei"/>
        <family val="2"/>
      </rPr>
      <t xml:space="preserve">日累計 </t>
    </r>
    <r>
      <rPr>
        <sz val="8"/>
        <color rgb="FF555555"/>
        <rFont val="Meiryo UI"/>
        <family val="0"/>
        <charset val="1"/>
      </rPr>
      <t xml:space="preserve">÷ </t>
    </r>
    <r>
      <rPr>
        <sz val="8"/>
        <color rgb="FF555555"/>
        <rFont val="WenQuanYi Zen Hei"/>
        <family val="2"/>
      </rPr>
      <t xml:space="preserve">初</t>
    </r>
    <r>
      <rPr>
        <sz val="8"/>
        <color rgb="FF555555"/>
        <rFont val="Meiryo UI"/>
        <family val="0"/>
        <charset val="1"/>
      </rPr>
      <t xml:space="preserve">6</t>
    </r>
    <r>
      <rPr>
        <sz val="8"/>
        <color rgb="FF555555"/>
        <rFont val="WenQuanYi Zen Hei"/>
        <family val="2"/>
      </rPr>
      <t xml:space="preserve">日」倍率を商品別に加重平均し、札幌の初</t>
    </r>
    <r>
      <rPr>
        <sz val="8"/>
        <color rgb="FF555555"/>
        <rFont val="Meiryo UI"/>
        <family val="0"/>
        <charset val="1"/>
      </rPr>
      <t xml:space="preserve">6</t>
    </r>
    <r>
      <rPr>
        <sz val="8"/>
        <color rgb="FF555555"/>
        <rFont val="WenQuanYi Zen Hei"/>
        <family val="2"/>
      </rPr>
      <t xml:space="preserve">日</t>
    </r>
    <r>
      <rPr>
        <sz val="8"/>
        <color rgb="FF555555"/>
        <rFont val="Meiryo UI"/>
        <family val="0"/>
        <charset val="1"/>
      </rPr>
      <t xml:space="preserve">(7/22-7/27)</t>
    </r>
    <r>
      <rPr>
        <sz val="8"/>
        <color rgb="FF555555"/>
        <rFont val="WenQuanYi Zen Hei"/>
        <family val="2"/>
      </rPr>
      <t xml:space="preserve">実績に乗算</t>
    </r>
  </si>
  <si>
    <r>
      <rPr>
        <sz val="8"/>
        <color rgb="FF555555"/>
        <rFont val="WenQuanYi Zen Hei"/>
        <family val="2"/>
      </rPr>
      <t xml:space="preserve">加重：大阪</t>
    </r>
    <r>
      <rPr>
        <sz val="8"/>
        <color rgb="FF555555"/>
        <rFont val="Meiryo UI"/>
        <family val="0"/>
        <charset val="1"/>
      </rPr>
      <t xml:space="preserve">2</t>
    </r>
    <r>
      <rPr>
        <sz val="8"/>
        <color rgb="FF555555"/>
        <rFont val="WenQuanYi Zen Hei"/>
        <family val="2"/>
      </rPr>
      <t xml:space="preserve">・博多</t>
    </r>
    <r>
      <rPr>
        <sz val="8"/>
        <color rgb="FF555555"/>
        <rFont val="Meiryo UI"/>
        <family val="0"/>
        <charset val="1"/>
      </rPr>
      <t xml:space="preserve">1</t>
    </r>
    <r>
      <rPr>
        <sz val="8"/>
        <color rgb="FF555555"/>
        <rFont val="WenQuanYi Zen Hei"/>
        <family val="2"/>
      </rPr>
      <t xml:space="preserve">・名古屋</t>
    </r>
    <r>
      <rPr>
        <sz val="8"/>
        <color rgb="FF555555"/>
        <rFont val="Meiryo UI"/>
        <family val="0"/>
        <charset val="1"/>
      </rPr>
      <t xml:space="preserve">1</t>
    </r>
    <r>
      <rPr>
        <sz val="8"/>
        <color rgb="FF555555"/>
        <rFont val="WenQuanYi Zen Hei"/>
        <family val="2"/>
      </rPr>
      <t xml:space="preserve">（「前提・入力」シートで変更可）／名古屋は</t>
    </r>
    <r>
      <rPr>
        <sz val="8"/>
        <color rgb="FF555555"/>
        <rFont val="Meiryo UI"/>
        <family val="0"/>
        <charset val="1"/>
      </rPr>
      <t xml:space="preserve">19</t>
    </r>
    <r>
      <rPr>
        <sz val="8"/>
        <color rgb="FF555555"/>
        <rFont val="WenQuanYi Zen Hei"/>
        <family val="2"/>
      </rPr>
      <t xml:space="preserve">日全会期実績を</t>
    </r>
    <r>
      <rPr>
        <sz val="8"/>
        <color rgb="FF555555"/>
        <rFont val="Meiryo UI"/>
        <family val="0"/>
        <charset val="1"/>
      </rPr>
      <t xml:space="preserve">20</t>
    </r>
    <r>
      <rPr>
        <sz val="8"/>
        <color rgb="FF555555"/>
        <rFont val="WenQuanYi Zen Hei"/>
        <family val="2"/>
      </rPr>
      <t xml:space="preserve">日相当に換算（</t>
    </r>
    <r>
      <rPr>
        <sz val="8"/>
        <color rgb="FF555555"/>
        <rFont val="Meiryo UI"/>
        <family val="0"/>
        <charset val="1"/>
      </rPr>
      <t xml:space="preserve">+4.83%</t>
    </r>
    <r>
      <rPr>
        <sz val="8"/>
        <color rgb="FF555555"/>
        <rFont val="WenQuanYi Zen Hei"/>
        <family val="2"/>
      </rPr>
      <t xml:space="preserve">）</t>
    </r>
  </si>
  <si>
    <t xml:space="preserve">No.</t>
  </si>
  <si>
    <t xml:space="preserve">JAN</t>
  </si>
  <si>
    <t xml:space="preserve">商品名</t>
  </si>
  <si>
    <t xml:space="preserve">税込
単価</t>
  </si>
  <si>
    <r>
      <rPr>
        <b val="true"/>
        <sz val="9"/>
        <color rgb="FFFFFFFF"/>
        <rFont val="WenQuanYi Zen Hei"/>
        <family val="2"/>
      </rPr>
      <t xml:space="preserve">札幌
初</t>
    </r>
    <r>
      <rPr>
        <b val="true"/>
        <sz val="9"/>
        <color rgb="FFFFFFFF"/>
        <rFont val="Meiryo UI"/>
        <family val="0"/>
        <charset val="1"/>
      </rPr>
      <t xml:space="preserve">6</t>
    </r>
    <r>
      <rPr>
        <b val="true"/>
        <sz val="9"/>
        <color rgb="FFFFFFFF"/>
        <rFont val="WenQuanYi Zen Hei"/>
        <family val="2"/>
      </rPr>
      <t xml:space="preserve">日
</t>
    </r>
    <r>
      <rPr>
        <b val="true"/>
        <sz val="9"/>
        <color rgb="FFFFFFFF"/>
        <rFont val="Meiryo UI"/>
        <family val="0"/>
        <charset val="1"/>
      </rPr>
      <t xml:space="preserve">7/22-27</t>
    </r>
  </si>
  <si>
    <r>
      <rPr>
        <b val="true"/>
        <sz val="9"/>
        <color rgb="FFFFFFFF"/>
        <rFont val="WenQuanYi Zen Hei"/>
        <family val="2"/>
      </rPr>
      <t xml:space="preserve">名古屋①
初</t>
    </r>
    <r>
      <rPr>
        <b val="true"/>
        <sz val="9"/>
        <color rgb="FFFFFFFF"/>
        <rFont val="Meiryo UI"/>
        <family val="0"/>
        <charset val="1"/>
      </rPr>
      <t xml:space="preserve">6</t>
    </r>
    <r>
      <rPr>
        <b val="true"/>
        <sz val="9"/>
        <color rgb="FFFFFFFF"/>
        <rFont val="WenQuanYi Zen Hei"/>
        <family val="2"/>
      </rPr>
      <t xml:space="preserve">日</t>
    </r>
  </si>
  <si>
    <r>
      <rPr>
        <b val="true"/>
        <sz val="9"/>
        <color rgb="FFFFFFFF"/>
        <rFont val="WenQuanYi Zen Hei"/>
        <family val="2"/>
      </rPr>
      <t xml:space="preserve">名古屋①
</t>
    </r>
    <r>
      <rPr>
        <b val="true"/>
        <sz val="9"/>
        <color rgb="FFFFFFFF"/>
        <rFont val="Meiryo UI"/>
        <family val="0"/>
        <charset val="1"/>
      </rPr>
      <t xml:space="preserve">19</t>
    </r>
    <r>
      <rPr>
        <b val="true"/>
        <sz val="9"/>
        <color rgb="FFFFFFFF"/>
        <rFont val="WenQuanYi Zen Hei"/>
        <family val="2"/>
      </rPr>
      <t xml:space="preserve">日累計
</t>
    </r>
    <r>
      <rPr>
        <b val="true"/>
        <sz val="9"/>
        <color rgb="FFFFFFFF"/>
        <rFont val="Meiryo UI"/>
        <family val="0"/>
        <charset val="1"/>
      </rPr>
      <t xml:space="preserve">(</t>
    </r>
    <r>
      <rPr>
        <b val="true"/>
        <sz val="9"/>
        <color rgb="FFFFFFFF"/>
        <rFont val="WenQuanYi Zen Hei"/>
        <family val="2"/>
      </rPr>
      <t xml:space="preserve">全会期</t>
    </r>
    <r>
      <rPr>
        <b val="true"/>
        <sz val="9"/>
        <color rgb="FFFFFFFF"/>
        <rFont val="Meiryo UI"/>
        <family val="0"/>
        <charset val="1"/>
      </rPr>
      <t xml:space="preserve">)</t>
    </r>
  </si>
  <si>
    <r>
      <rPr>
        <b val="true"/>
        <sz val="9"/>
        <color rgb="FFFFFFFF"/>
        <rFont val="WenQuanYi Zen Hei"/>
        <family val="2"/>
      </rPr>
      <t xml:space="preserve">名古屋
倍率</t>
    </r>
    <r>
      <rPr>
        <b val="true"/>
        <sz val="9"/>
        <color rgb="FFFFFFFF"/>
        <rFont val="Meiryo UI"/>
        <family val="0"/>
        <charset val="1"/>
      </rPr>
      <t xml:space="preserve">g</t>
    </r>
  </si>
  <si>
    <r>
      <rPr>
        <b val="true"/>
        <sz val="9"/>
        <color rgb="FFFFFFFF"/>
        <rFont val="WenQuanYi Zen Hei"/>
        <family val="2"/>
      </rPr>
      <t xml:space="preserve">博多②
初</t>
    </r>
    <r>
      <rPr>
        <b val="true"/>
        <sz val="9"/>
        <color rgb="FFFFFFFF"/>
        <rFont val="Meiryo UI"/>
        <family val="0"/>
        <charset val="1"/>
      </rPr>
      <t xml:space="preserve">6</t>
    </r>
    <r>
      <rPr>
        <b val="true"/>
        <sz val="9"/>
        <color rgb="FFFFFFFF"/>
        <rFont val="WenQuanYi Zen Hei"/>
        <family val="2"/>
      </rPr>
      <t xml:space="preserve">日</t>
    </r>
  </si>
  <si>
    <r>
      <rPr>
        <b val="true"/>
        <sz val="9"/>
        <color rgb="FFFFFFFF"/>
        <rFont val="WenQuanYi Zen Hei"/>
        <family val="2"/>
      </rPr>
      <t xml:space="preserve">博多②
</t>
    </r>
    <r>
      <rPr>
        <b val="true"/>
        <sz val="9"/>
        <color rgb="FFFFFFFF"/>
        <rFont val="Meiryo UI"/>
        <family val="0"/>
        <charset val="1"/>
      </rPr>
      <t xml:space="preserve">20</t>
    </r>
    <r>
      <rPr>
        <b val="true"/>
        <sz val="9"/>
        <color rgb="FFFFFFFF"/>
        <rFont val="WenQuanYi Zen Hei"/>
        <family val="2"/>
      </rPr>
      <t xml:space="preserve">日累計</t>
    </r>
  </si>
  <si>
    <r>
      <rPr>
        <b val="true"/>
        <sz val="9"/>
        <color rgb="FFFFFFFF"/>
        <rFont val="WenQuanYi Zen Hei"/>
        <family val="2"/>
      </rPr>
      <t xml:space="preserve">博多
倍率</t>
    </r>
    <r>
      <rPr>
        <b val="true"/>
        <sz val="9"/>
        <color rgb="FFFFFFFF"/>
        <rFont val="Meiryo UI"/>
        <family val="0"/>
        <charset val="1"/>
      </rPr>
      <t xml:space="preserve">g</t>
    </r>
  </si>
  <si>
    <r>
      <rPr>
        <b val="true"/>
        <sz val="9"/>
        <color rgb="FFFFFFFF"/>
        <rFont val="WenQuanYi Zen Hei"/>
        <family val="2"/>
      </rPr>
      <t xml:space="preserve">大阪④
初</t>
    </r>
    <r>
      <rPr>
        <b val="true"/>
        <sz val="9"/>
        <color rgb="FFFFFFFF"/>
        <rFont val="Meiryo UI"/>
        <family val="0"/>
        <charset val="1"/>
      </rPr>
      <t xml:space="preserve">6</t>
    </r>
    <r>
      <rPr>
        <b val="true"/>
        <sz val="9"/>
        <color rgb="FFFFFFFF"/>
        <rFont val="WenQuanYi Zen Hei"/>
        <family val="2"/>
      </rPr>
      <t xml:space="preserve">日</t>
    </r>
  </si>
  <si>
    <r>
      <rPr>
        <b val="true"/>
        <sz val="9"/>
        <color rgb="FFFFFFFF"/>
        <rFont val="WenQuanYi Zen Hei"/>
        <family val="2"/>
      </rPr>
      <t xml:space="preserve">大阪④
</t>
    </r>
    <r>
      <rPr>
        <b val="true"/>
        <sz val="9"/>
        <color rgb="FFFFFFFF"/>
        <rFont val="Meiryo UI"/>
        <family val="0"/>
        <charset val="1"/>
      </rPr>
      <t xml:space="preserve">20</t>
    </r>
    <r>
      <rPr>
        <b val="true"/>
        <sz val="9"/>
        <color rgb="FFFFFFFF"/>
        <rFont val="WenQuanYi Zen Hei"/>
        <family val="2"/>
      </rPr>
      <t xml:space="preserve">日累計</t>
    </r>
  </si>
  <si>
    <r>
      <rPr>
        <b val="true"/>
        <sz val="9"/>
        <color rgb="FFFFFFFF"/>
        <rFont val="WenQuanYi Zen Hei"/>
        <family val="2"/>
      </rPr>
      <t xml:space="preserve">大阪
倍率</t>
    </r>
    <r>
      <rPr>
        <b val="true"/>
        <sz val="9"/>
        <color rgb="FFFFFFFF"/>
        <rFont val="Meiryo UI"/>
        <family val="0"/>
        <charset val="1"/>
      </rPr>
      <t xml:space="preserve">g</t>
    </r>
  </si>
  <si>
    <r>
      <rPr>
        <b val="true"/>
        <sz val="9"/>
        <color rgb="FFFFFFFF"/>
        <rFont val="WenQuanYi Zen Hei"/>
        <family val="2"/>
      </rPr>
      <t xml:space="preserve">採用
倍率</t>
    </r>
    <r>
      <rPr>
        <b val="true"/>
        <sz val="9"/>
        <color rgb="FFFFFFFF"/>
        <rFont val="Meiryo UI"/>
        <family val="0"/>
        <charset val="1"/>
      </rPr>
      <t xml:space="preserve">g</t>
    </r>
  </si>
  <si>
    <r>
      <rPr>
        <b val="true"/>
        <sz val="9"/>
        <color rgb="FFFFFFFF"/>
        <rFont val="WenQuanYi Zen Hei"/>
        <family val="2"/>
      </rPr>
      <t xml:space="preserve">札幌
会期</t>
    </r>
    <r>
      <rPr>
        <b val="true"/>
        <sz val="9"/>
        <color rgb="FFFFFFFF"/>
        <rFont val="Meiryo UI"/>
        <family val="0"/>
        <charset val="1"/>
      </rPr>
      <t xml:space="preserve">20</t>
    </r>
    <r>
      <rPr>
        <b val="true"/>
        <sz val="9"/>
        <color rgb="FFFFFFFF"/>
        <rFont val="WenQuanYi Zen Hei"/>
        <family val="2"/>
      </rPr>
      <t xml:space="preserve">日
予測販売数</t>
    </r>
  </si>
  <si>
    <t xml:space="preserve">札幌
予測販売金額</t>
  </si>
  <si>
    <t xml:space="preserve">札幌
数量構成比</t>
  </si>
  <si>
    <r>
      <rPr>
        <b val="true"/>
        <sz val="9"/>
        <color rgb="FFFFFFFF"/>
        <rFont val="WenQuanYi Zen Hei"/>
        <family val="2"/>
      </rPr>
      <t xml:space="preserve">札幌
販売可能数
</t>
    </r>
    <r>
      <rPr>
        <b val="true"/>
        <sz val="9"/>
        <color rgb="FFFFFFFF"/>
        <rFont val="Meiryo UI"/>
        <family val="0"/>
        <charset val="1"/>
      </rPr>
      <t xml:space="preserve">(</t>
    </r>
    <r>
      <rPr>
        <b val="true"/>
        <sz val="9"/>
        <color rgb="FFFFFFFF"/>
        <rFont val="WenQuanYi Zen Hei"/>
        <family val="2"/>
      </rPr>
      <t xml:space="preserve">追納込</t>
    </r>
    <r>
      <rPr>
        <b val="true"/>
        <sz val="9"/>
        <color rgb="FFFFFFFF"/>
        <rFont val="Meiryo UI"/>
        <family val="0"/>
        <charset val="1"/>
      </rPr>
      <t xml:space="preserve">)</t>
    </r>
  </si>
  <si>
    <t xml:space="preserve">予測
消化率</t>
  </si>
  <si>
    <t xml:space="preserve">会期末
残在庫</t>
  </si>
  <si>
    <t xml:space="preserve">会期中
過不足</t>
  </si>
  <si>
    <t xml:space="preserve">会期中
在庫判定</t>
  </si>
  <si>
    <t xml:space="preserve">4515142545082</t>
  </si>
  <si>
    <t xml:space="preserve">呪術廻戦 メタリックポストカード 展示会キービジュアル</t>
  </si>
  <si>
    <t xml:space="preserve">4515142545099</t>
  </si>
  <si>
    <t xml:space="preserve">呪術廻戦 クリアファイル 展示会キービジュアル</t>
  </si>
  <si>
    <t xml:space="preserve">4515142545105</t>
  </si>
  <si>
    <r>
      <rPr>
        <sz val="9"/>
        <rFont val="WenQuanYi Zen Hei"/>
        <family val="2"/>
      </rPr>
      <t xml:space="preserve">呪術廻戦 懐玉・玉折 ポストカードセット（</t>
    </r>
    <r>
      <rPr>
        <sz val="9"/>
        <rFont val="Meiryo UI"/>
        <family val="0"/>
        <charset val="1"/>
      </rPr>
      <t xml:space="preserve">5</t>
    </r>
    <r>
      <rPr>
        <sz val="9"/>
        <rFont val="WenQuanYi Zen Hei"/>
        <family val="2"/>
      </rPr>
      <t xml:space="preserve">枚入）</t>
    </r>
  </si>
  <si>
    <t xml:space="preserve">4515142545112</t>
  </si>
  <si>
    <r>
      <rPr>
        <sz val="9"/>
        <rFont val="WenQuanYi Zen Hei"/>
        <family val="2"/>
      </rPr>
      <t xml:space="preserve">呪術廻戦 渋谷事変 ポストカードセット（</t>
    </r>
    <r>
      <rPr>
        <sz val="9"/>
        <rFont val="Meiryo UI"/>
        <family val="0"/>
        <charset val="1"/>
      </rPr>
      <t xml:space="preserve">9</t>
    </r>
    <r>
      <rPr>
        <sz val="9"/>
        <rFont val="WenQuanYi Zen Hei"/>
        <family val="2"/>
      </rPr>
      <t xml:space="preserve">枚入）</t>
    </r>
  </si>
  <si>
    <t xml:space="preserve">4515142545129</t>
  </si>
  <si>
    <r>
      <rPr>
        <sz val="9"/>
        <rFont val="WenQuanYi Zen Hei"/>
        <family val="2"/>
      </rPr>
      <t xml:space="preserve">呪術廻戦 懐玉・玉折 ブラインド缶バッジ（全</t>
    </r>
    <r>
      <rPr>
        <sz val="9"/>
        <rFont val="Meiryo UI"/>
        <family val="0"/>
        <charset val="1"/>
      </rPr>
      <t xml:space="preserve">5</t>
    </r>
    <r>
      <rPr>
        <sz val="9"/>
        <rFont val="WenQuanYi Zen Hei"/>
        <family val="2"/>
      </rPr>
      <t xml:space="preserve">種）</t>
    </r>
  </si>
  <si>
    <t xml:space="preserve">4515142545136</t>
  </si>
  <si>
    <r>
      <rPr>
        <sz val="9"/>
        <rFont val="WenQuanYi Zen Hei"/>
        <family val="2"/>
      </rPr>
      <t xml:space="preserve">呪術廻戦 渋谷事変 ブラインド缶バッジ（全</t>
    </r>
    <r>
      <rPr>
        <sz val="9"/>
        <rFont val="Meiryo UI"/>
        <family val="0"/>
        <charset val="1"/>
      </rPr>
      <t xml:space="preserve">9</t>
    </r>
    <r>
      <rPr>
        <sz val="9"/>
        <rFont val="WenQuanYi Zen Hei"/>
        <family val="2"/>
      </rPr>
      <t xml:space="preserve">種）</t>
    </r>
  </si>
  <si>
    <t xml:space="preserve">4515142545143</t>
  </si>
  <si>
    <r>
      <rPr>
        <sz val="9"/>
        <rFont val="WenQuanYi Zen Hei"/>
        <family val="2"/>
      </rPr>
      <t xml:space="preserve">呪術廻戦 懐玉・玉折 ブラインドダイカットステッカー（全</t>
    </r>
    <r>
      <rPr>
        <sz val="9"/>
        <rFont val="Meiryo UI"/>
        <family val="0"/>
        <charset val="1"/>
      </rPr>
      <t xml:space="preserve">5</t>
    </r>
    <r>
      <rPr>
        <sz val="9"/>
        <rFont val="WenQuanYi Zen Hei"/>
        <family val="2"/>
      </rPr>
      <t xml:space="preserve">種）</t>
    </r>
  </si>
  <si>
    <t xml:space="preserve">4515142545150</t>
  </si>
  <si>
    <r>
      <rPr>
        <sz val="9"/>
        <rFont val="WenQuanYi Zen Hei"/>
        <family val="2"/>
      </rPr>
      <t xml:space="preserve">呪術廻戦 渋谷事変 ブラインドダイカットステッカー（全</t>
    </r>
    <r>
      <rPr>
        <sz val="9"/>
        <rFont val="Meiryo UI"/>
        <family val="0"/>
        <charset val="1"/>
      </rPr>
      <t xml:space="preserve">9</t>
    </r>
    <r>
      <rPr>
        <sz val="9"/>
        <rFont val="WenQuanYi Zen Hei"/>
        <family val="2"/>
      </rPr>
      <t xml:space="preserve">種）</t>
    </r>
  </si>
  <si>
    <t xml:space="preserve">4515142545372</t>
  </si>
  <si>
    <t xml:space="preserve">呪術廻戦 懐玉・玉折 クリアファイル（五条 悟）</t>
  </si>
  <si>
    <t xml:space="preserve">4515142545389</t>
  </si>
  <si>
    <t xml:space="preserve">呪術廻戦 懐玉・玉折 クリアファイル（夏油 傑）</t>
  </si>
  <si>
    <t xml:space="preserve">4515142545396</t>
  </si>
  <si>
    <t xml:space="preserve">呪術廻戦 懐玉・玉折 クリアファイル（家入 硝子）</t>
  </si>
  <si>
    <t xml:space="preserve">4515142545402</t>
  </si>
  <si>
    <t xml:space="preserve">呪術廻戦 懐玉・玉折 クリアファイル（七海 建人）</t>
  </si>
  <si>
    <t xml:space="preserve">4515142545419</t>
  </si>
  <si>
    <t xml:space="preserve">呪術廻戦 懐玉・玉折 クリアファイル（灰原 雄）</t>
  </si>
  <si>
    <t xml:space="preserve">4515142545426</t>
  </si>
  <si>
    <t xml:space="preserve">呪術廻戦 渋谷事変 クリアファイル（虎杖 悠仁）</t>
  </si>
  <si>
    <t xml:space="preserve">4515142545433</t>
  </si>
  <si>
    <t xml:space="preserve">呪術廻戦 渋谷事変 クリアファイル（伏黒 恵）</t>
  </si>
  <si>
    <t xml:space="preserve">4515142545440</t>
  </si>
  <si>
    <t xml:space="preserve">呪術廻戦 渋谷事変 クリアファイル（釘崎 野薔薇）</t>
  </si>
  <si>
    <t xml:space="preserve">4515142545457</t>
  </si>
  <si>
    <t xml:space="preserve">呪術廻戦 渋谷事変 クリアファイル（七海 建人）</t>
  </si>
  <si>
    <t xml:space="preserve">4515142545464</t>
  </si>
  <si>
    <t xml:space="preserve">呪術廻戦 渋谷事変 クリアファイル（五条 悟）</t>
  </si>
  <si>
    <t xml:space="preserve">4515142545471</t>
  </si>
  <si>
    <t xml:space="preserve">呪術廻戦 渋谷事変 クリアファイル（夏油 傑）</t>
  </si>
  <si>
    <t xml:space="preserve">4515142545488</t>
  </si>
  <si>
    <t xml:space="preserve">呪術廻戦 渋谷事変 クリアファイル（真人）</t>
  </si>
  <si>
    <t xml:space="preserve">4515142545495</t>
  </si>
  <si>
    <t xml:space="preserve">呪術廻戦 渋谷事変 クリアファイル（脹相）</t>
  </si>
  <si>
    <t xml:space="preserve">4515142545501</t>
  </si>
  <si>
    <t xml:space="preserve">呪術廻戦 渋谷事変 クリアファイル（宿儺）</t>
  </si>
  <si>
    <t xml:space="preserve">4515142545174</t>
  </si>
  <si>
    <r>
      <rPr>
        <sz val="9"/>
        <rFont val="WenQuanYi Zen Hei"/>
        <family val="2"/>
      </rPr>
      <t xml:space="preserve">呪術廻戦 懐玉・玉折 ブラインドミニ色紙（全</t>
    </r>
    <r>
      <rPr>
        <sz val="9"/>
        <rFont val="Meiryo UI"/>
        <family val="0"/>
        <charset val="1"/>
      </rPr>
      <t xml:space="preserve">5</t>
    </r>
    <r>
      <rPr>
        <sz val="9"/>
        <rFont val="WenQuanYi Zen Hei"/>
        <family val="2"/>
      </rPr>
      <t xml:space="preserve">種）</t>
    </r>
  </si>
  <si>
    <t xml:space="preserve">4515142545181</t>
  </si>
  <si>
    <r>
      <rPr>
        <sz val="9"/>
        <rFont val="WenQuanYi Zen Hei"/>
        <family val="2"/>
      </rPr>
      <t xml:space="preserve">呪術廻戦 渋谷事変 ブラインドミニ色紙（全</t>
    </r>
    <r>
      <rPr>
        <sz val="9"/>
        <rFont val="Meiryo UI"/>
        <family val="0"/>
        <charset val="1"/>
      </rPr>
      <t xml:space="preserve">5</t>
    </r>
    <r>
      <rPr>
        <sz val="9"/>
        <rFont val="WenQuanYi Zen Hei"/>
        <family val="2"/>
      </rPr>
      <t xml:space="preserve">種）</t>
    </r>
  </si>
  <si>
    <t xml:space="preserve">4515142545198</t>
  </si>
  <si>
    <t xml:space="preserve">虚式『茈』バスボール</t>
  </si>
  <si>
    <t xml:space="preserve">4515142545204</t>
  </si>
  <si>
    <t xml:space="preserve">前髪ヘアバンド</t>
  </si>
  <si>
    <t xml:space="preserve">4515142545211</t>
  </si>
  <si>
    <t xml:space="preserve">反転術式絆創膏</t>
  </si>
  <si>
    <t xml:space="preserve">4515142545228</t>
  </si>
  <si>
    <t xml:space="preserve">宿儺の指風お菓子</t>
  </si>
  <si>
    <t xml:space="preserve">4515142545235</t>
  </si>
  <si>
    <t xml:space="preserve">脱兎！ポーチ入りクリップセット</t>
  </si>
  <si>
    <t xml:space="preserve">4515142545242</t>
  </si>
  <si>
    <t xml:space="preserve">釘崎のポーチ風エコバッグ</t>
  </si>
  <si>
    <t xml:space="preserve">4515142545259</t>
  </si>
  <si>
    <t xml:space="preserve">半年分の情報が書き込める手帳</t>
  </si>
  <si>
    <t xml:space="preserve">4515142545266</t>
  </si>
  <si>
    <t xml:space="preserve">気分リフレッシュオルゴール</t>
  </si>
  <si>
    <t xml:space="preserve">4515142545273</t>
  </si>
  <si>
    <r>
      <rPr>
        <sz val="9"/>
        <rFont val="WenQuanYi Zen Hei"/>
        <family val="2"/>
      </rPr>
      <t xml:space="preserve">五条 悟 イメージリング（</t>
    </r>
    <r>
      <rPr>
        <sz val="9"/>
        <rFont val="Meiryo UI"/>
        <family val="0"/>
        <charset val="1"/>
      </rPr>
      <t xml:space="preserve">#11</t>
    </r>
    <r>
      <rPr>
        <sz val="9"/>
        <rFont val="WenQuanYi Zen Hei"/>
        <family val="2"/>
      </rPr>
      <t xml:space="preserve">）</t>
    </r>
  </si>
  <si>
    <t xml:space="preserve">4515142545280</t>
  </si>
  <si>
    <r>
      <rPr>
        <sz val="9"/>
        <rFont val="WenQuanYi Zen Hei"/>
        <family val="2"/>
      </rPr>
      <t xml:space="preserve">五条 悟 イメージリング（</t>
    </r>
    <r>
      <rPr>
        <sz val="9"/>
        <rFont val="Meiryo UI"/>
        <family val="0"/>
        <charset val="1"/>
      </rPr>
      <t xml:space="preserve">#13</t>
    </r>
    <r>
      <rPr>
        <sz val="9"/>
        <rFont val="WenQuanYi Zen Hei"/>
        <family val="2"/>
      </rPr>
      <t xml:space="preserve">）</t>
    </r>
  </si>
  <si>
    <t xml:space="preserve">4515142545297</t>
  </si>
  <si>
    <r>
      <rPr>
        <sz val="9"/>
        <rFont val="WenQuanYi Zen Hei"/>
        <family val="2"/>
      </rPr>
      <t xml:space="preserve">五条 悟 イメージリング（</t>
    </r>
    <r>
      <rPr>
        <sz val="9"/>
        <rFont val="Meiryo UI"/>
        <family val="0"/>
        <charset val="1"/>
      </rPr>
      <t xml:space="preserve">#15</t>
    </r>
    <r>
      <rPr>
        <sz val="9"/>
        <rFont val="WenQuanYi Zen Hei"/>
        <family val="2"/>
      </rPr>
      <t xml:space="preserve">）</t>
    </r>
  </si>
  <si>
    <t xml:space="preserve">4515142545303</t>
  </si>
  <si>
    <r>
      <rPr>
        <sz val="9"/>
        <rFont val="WenQuanYi Zen Hei"/>
        <family val="2"/>
      </rPr>
      <t xml:space="preserve">五条 悟 イメージリング（</t>
    </r>
    <r>
      <rPr>
        <sz val="9"/>
        <rFont val="Meiryo UI"/>
        <family val="0"/>
        <charset val="1"/>
      </rPr>
      <t xml:space="preserve">#17</t>
    </r>
    <r>
      <rPr>
        <sz val="9"/>
        <rFont val="WenQuanYi Zen Hei"/>
        <family val="2"/>
      </rPr>
      <t xml:space="preserve">）</t>
    </r>
  </si>
  <si>
    <t xml:space="preserve">4515142545310</t>
  </si>
  <si>
    <r>
      <rPr>
        <sz val="9"/>
        <rFont val="WenQuanYi Zen Hei"/>
        <family val="2"/>
      </rPr>
      <t xml:space="preserve">夏油 傑 イメージリング（</t>
    </r>
    <r>
      <rPr>
        <sz val="9"/>
        <rFont val="Meiryo UI"/>
        <family val="0"/>
        <charset val="1"/>
      </rPr>
      <t xml:space="preserve">#11</t>
    </r>
    <r>
      <rPr>
        <sz val="9"/>
        <rFont val="WenQuanYi Zen Hei"/>
        <family val="2"/>
      </rPr>
      <t xml:space="preserve">）</t>
    </r>
  </si>
  <si>
    <t xml:space="preserve">4515142545327</t>
  </si>
  <si>
    <r>
      <rPr>
        <sz val="9"/>
        <rFont val="WenQuanYi Zen Hei"/>
        <family val="2"/>
      </rPr>
      <t xml:space="preserve">夏油 傑 イメージリング（</t>
    </r>
    <r>
      <rPr>
        <sz val="9"/>
        <rFont val="Meiryo UI"/>
        <family val="0"/>
        <charset val="1"/>
      </rPr>
      <t xml:space="preserve">#13</t>
    </r>
    <r>
      <rPr>
        <sz val="9"/>
        <rFont val="WenQuanYi Zen Hei"/>
        <family val="2"/>
      </rPr>
      <t xml:space="preserve">）</t>
    </r>
  </si>
  <si>
    <t xml:space="preserve">4515142545334</t>
  </si>
  <si>
    <r>
      <rPr>
        <sz val="9"/>
        <rFont val="WenQuanYi Zen Hei"/>
        <family val="2"/>
      </rPr>
      <t xml:space="preserve">夏油 傑 イメージリング（</t>
    </r>
    <r>
      <rPr>
        <sz val="9"/>
        <rFont val="Meiryo UI"/>
        <family val="0"/>
        <charset val="1"/>
      </rPr>
      <t xml:space="preserve">#15</t>
    </r>
    <r>
      <rPr>
        <sz val="9"/>
        <rFont val="WenQuanYi Zen Hei"/>
        <family val="2"/>
      </rPr>
      <t xml:space="preserve">）</t>
    </r>
  </si>
  <si>
    <t xml:space="preserve">4515142545341</t>
  </si>
  <si>
    <r>
      <rPr>
        <sz val="9"/>
        <rFont val="WenQuanYi Zen Hei"/>
        <family val="2"/>
      </rPr>
      <t xml:space="preserve">夏油 傑 イメージリング（</t>
    </r>
    <r>
      <rPr>
        <sz val="9"/>
        <rFont val="Meiryo UI"/>
        <family val="0"/>
        <charset val="1"/>
      </rPr>
      <t xml:space="preserve">#17</t>
    </r>
    <r>
      <rPr>
        <sz val="9"/>
        <rFont val="WenQuanYi Zen Hei"/>
        <family val="2"/>
      </rPr>
      <t xml:space="preserve">）</t>
    </r>
  </si>
  <si>
    <t xml:space="preserve">4515142545358</t>
  </si>
  <si>
    <t xml:space="preserve">虎杖 悠仁 イメージフラグメントケース</t>
  </si>
  <si>
    <t xml:space="preserve">4515142545365</t>
  </si>
  <si>
    <t xml:space="preserve">伏黒 恵 イメージフラグメントケース</t>
  </si>
  <si>
    <r>
      <rPr>
        <b val="true"/>
        <sz val="9"/>
        <rFont val="WenQuanYi Zen Hei"/>
        <family val="2"/>
      </rPr>
      <t xml:space="preserve">合計（</t>
    </r>
    <r>
      <rPr>
        <b val="true"/>
        <sz val="9"/>
        <rFont val="Meiryo UI"/>
        <family val="0"/>
        <charset val="1"/>
      </rPr>
      <t xml:space="preserve">LEGS 42SKU</t>
    </r>
    <r>
      <rPr>
        <b val="true"/>
        <sz val="9"/>
        <rFont val="WenQuanYi Zen Hei"/>
        <family val="2"/>
      </rPr>
      <t xml:space="preserve">）</t>
    </r>
  </si>
  <si>
    <r>
      <rPr>
        <b val="true"/>
        <sz val="15"/>
        <color rgb="FF1F3864"/>
        <rFont val="WenQuanYi Zen Hei"/>
        <family val="2"/>
      </rPr>
      <t xml:space="preserve">② 会場別 物販実績と</t>
    </r>
    <r>
      <rPr>
        <b val="true"/>
        <sz val="15"/>
        <color rgb="FF1F3864"/>
        <rFont val="Meiryo UI"/>
        <family val="0"/>
        <charset val="1"/>
      </rPr>
      <t xml:space="preserve">LEGS</t>
    </r>
    <r>
      <rPr>
        <b val="true"/>
        <sz val="15"/>
        <color rgb="FF1F3864"/>
        <rFont val="WenQuanYi Zen Hei"/>
        <family val="2"/>
      </rPr>
      <t xml:space="preserve">構成比／東京対比 会場比率</t>
    </r>
  </si>
  <si>
    <r>
      <rPr>
        <sz val="8"/>
        <color rgb="FF555555"/>
        <rFont val="WenQuanYi Zen Hei"/>
        <family val="2"/>
      </rPr>
      <t xml:space="preserve">物販売上＝レジ袋代・音声ガイド・当日券を除く商品売上（税込）。</t>
    </r>
    <r>
      <rPr>
        <sz val="8"/>
        <color rgb="FF555555"/>
        <rFont val="Meiryo UI"/>
        <family val="0"/>
        <charset val="1"/>
      </rPr>
      <t xml:space="preserve">LEGS</t>
    </r>
    <r>
      <rPr>
        <sz val="8"/>
        <color rgb="FF555555"/>
        <rFont val="WenQuanYi Zen Hei"/>
        <family val="2"/>
      </rPr>
      <t xml:space="preserve">＝本</t>
    </r>
    <r>
      <rPr>
        <sz val="8"/>
        <color rgb="FF555555"/>
        <rFont val="Meiryo UI"/>
        <family val="0"/>
        <charset val="1"/>
      </rPr>
      <t xml:space="preserve">42SKU</t>
    </r>
    <r>
      <rPr>
        <sz val="8"/>
        <color rgb="FF555555"/>
        <rFont val="WenQuanYi Zen Hei"/>
        <family val="2"/>
      </rPr>
      <t xml:space="preserve">（各会場の商品分類「レッグス」と完全一致）</t>
    </r>
  </si>
  <si>
    <t xml:space="preserve">■ 会場別 実績・予測サマリー</t>
  </si>
  <si>
    <t xml:space="preserve">項目</t>
  </si>
  <si>
    <t xml:space="preserve">東京対比
算出根拠</t>
  </si>
  <si>
    <t xml:space="preserve">東京</t>
  </si>
  <si>
    <t xml:space="preserve">名古屋</t>
  </si>
  <si>
    <t xml:space="preserve">博多</t>
  </si>
  <si>
    <t xml:space="preserve">大阪</t>
  </si>
  <si>
    <t xml:space="preserve">札幌</t>
  </si>
  <si>
    <r>
      <rPr>
        <b val="true"/>
        <sz val="9"/>
        <color rgb="FFFFFFFF"/>
        <rFont val="WenQuanYi Zen Hei"/>
        <family val="2"/>
      </rPr>
      <t xml:space="preserve">札幌</t>
    </r>
    <r>
      <rPr>
        <b val="true"/>
        <sz val="9"/>
        <color rgb="FFFFFFFF"/>
        <rFont val="Meiryo UI"/>
        <family val="0"/>
        <charset val="1"/>
      </rPr>
      <t xml:space="preserve">(</t>
    </r>
    <r>
      <rPr>
        <b val="true"/>
        <sz val="9"/>
        <color rgb="FFFFFFFF"/>
        <rFont val="WenQuanYi Zen Hei"/>
        <family val="2"/>
      </rPr>
      <t xml:space="preserve">予測</t>
    </r>
    <r>
      <rPr>
        <b val="true"/>
        <sz val="9"/>
        <color rgb="FFFFFFFF"/>
        <rFont val="Meiryo UI"/>
        <family val="0"/>
        <charset val="1"/>
      </rPr>
      <t xml:space="preserve">)</t>
    </r>
  </si>
  <si>
    <t xml:space="preserve">石川 香林坊大和</t>
  </si>
  <si>
    <r>
      <rPr>
        <b val="true"/>
        <sz val="9"/>
        <color rgb="FFFFFFFF"/>
        <rFont val="WenQuanYi Zen Hei"/>
        <family val="2"/>
      </rPr>
      <t xml:space="preserve">仙台 </t>
    </r>
    <r>
      <rPr>
        <b val="true"/>
        <sz val="9"/>
        <color rgb="FFFFFFFF"/>
        <rFont val="Meiryo UI"/>
        <family val="0"/>
        <charset val="1"/>
      </rPr>
      <t xml:space="preserve">Ebeans</t>
    </r>
  </si>
  <si>
    <t xml:space="preserve">神戸阪急</t>
  </si>
  <si>
    <t xml:space="preserve">鳥取島根 夢みなとタワー</t>
  </si>
  <si>
    <t xml:space="preserve">東京凱旋 東京建物ぴあホール</t>
  </si>
  <si>
    <t xml:space="preserve">会期</t>
  </si>
  <si>
    <r>
      <rPr>
        <sz val="9"/>
        <rFont val="Meiryo UI"/>
        <family val="0"/>
        <charset val="1"/>
      </rPr>
      <t xml:space="preserve">25/12/5(</t>
    </r>
    <r>
      <rPr>
        <sz val="9"/>
        <rFont val="WenQuanYi Zen Hei"/>
        <family val="2"/>
      </rPr>
      <t xml:space="preserve">金</t>
    </r>
    <r>
      <rPr>
        <sz val="9"/>
        <rFont val="Meiryo UI"/>
        <family val="0"/>
        <charset val="1"/>
      </rPr>
      <t xml:space="preserve">)-12/29(</t>
    </r>
    <r>
      <rPr>
        <sz val="9"/>
        <rFont val="WenQuanYi Zen Hei"/>
        <family val="2"/>
      </rPr>
      <t xml:space="preserve">月</t>
    </r>
    <r>
      <rPr>
        <sz val="9"/>
        <rFont val="Meiryo UI"/>
        <family val="0"/>
        <charset val="1"/>
      </rPr>
      <t xml:space="preserve">)
</t>
    </r>
    <r>
      <rPr>
        <sz val="9"/>
        <rFont val="WenQuanYi Zen Hei"/>
        <family val="2"/>
      </rPr>
      <t xml:space="preserve">池袋サンシャインシティ</t>
    </r>
  </si>
  <si>
    <r>
      <rPr>
        <sz val="9"/>
        <rFont val="Meiryo UI"/>
        <family val="0"/>
        <charset val="1"/>
      </rPr>
      <t xml:space="preserve">26/3/18(</t>
    </r>
    <r>
      <rPr>
        <sz val="9"/>
        <rFont val="WenQuanYi Zen Hei"/>
        <family val="2"/>
      </rPr>
      <t xml:space="preserve">水</t>
    </r>
    <r>
      <rPr>
        <sz val="9"/>
        <rFont val="Meiryo UI"/>
        <family val="0"/>
        <charset val="1"/>
      </rPr>
      <t xml:space="preserve">)-4/5(</t>
    </r>
    <r>
      <rPr>
        <sz val="9"/>
        <rFont val="WenQuanYi Zen Hei"/>
        <family val="2"/>
      </rPr>
      <t xml:space="preserve">日</t>
    </r>
    <r>
      <rPr>
        <sz val="9"/>
        <rFont val="Meiryo UI"/>
        <family val="0"/>
        <charset val="1"/>
      </rPr>
      <t xml:space="preserve">)
</t>
    </r>
    <r>
      <rPr>
        <sz val="9"/>
        <rFont val="WenQuanYi Zen Hei"/>
        <family val="2"/>
      </rPr>
      <t xml:space="preserve">松坂屋</t>
    </r>
  </si>
  <si>
    <r>
      <rPr>
        <sz val="9"/>
        <rFont val="Meiryo UI"/>
        <family val="0"/>
        <charset val="1"/>
      </rPr>
      <t xml:space="preserve">26/4/23(</t>
    </r>
    <r>
      <rPr>
        <sz val="9"/>
        <rFont val="WenQuanYi Zen Hei"/>
        <family val="2"/>
      </rPr>
      <t xml:space="preserve">木</t>
    </r>
    <r>
      <rPr>
        <sz val="9"/>
        <rFont val="Meiryo UI"/>
        <family val="0"/>
        <charset val="1"/>
      </rPr>
      <t xml:space="preserve">)-5/18(</t>
    </r>
    <r>
      <rPr>
        <sz val="9"/>
        <rFont val="WenQuanYi Zen Hei"/>
        <family val="2"/>
      </rPr>
      <t xml:space="preserve">月</t>
    </r>
    <r>
      <rPr>
        <sz val="9"/>
        <rFont val="Meiryo UI"/>
        <family val="0"/>
        <charset val="1"/>
      </rPr>
      <t xml:space="preserve">)
</t>
    </r>
    <r>
      <rPr>
        <sz val="9"/>
        <rFont val="WenQuanYi Zen Hei"/>
        <family val="2"/>
      </rPr>
      <t xml:space="preserve">博多阪急</t>
    </r>
  </si>
  <si>
    <r>
      <rPr>
        <sz val="9"/>
        <rFont val="Meiryo UI"/>
        <family val="0"/>
        <charset val="1"/>
      </rPr>
      <t xml:space="preserve">26/6/10(</t>
    </r>
    <r>
      <rPr>
        <sz val="9"/>
        <rFont val="WenQuanYi Zen Hei"/>
        <family val="2"/>
      </rPr>
      <t xml:space="preserve">水</t>
    </r>
    <r>
      <rPr>
        <sz val="9"/>
        <rFont val="Meiryo UI"/>
        <family val="0"/>
        <charset val="1"/>
      </rPr>
      <t xml:space="preserve">)-6/29(</t>
    </r>
    <r>
      <rPr>
        <sz val="9"/>
        <rFont val="WenQuanYi Zen Hei"/>
        <family val="2"/>
      </rPr>
      <t xml:space="preserve">月</t>
    </r>
    <r>
      <rPr>
        <sz val="9"/>
        <rFont val="Meiryo UI"/>
        <family val="0"/>
        <charset val="1"/>
      </rPr>
      <t xml:space="preserve">)
</t>
    </r>
    <r>
      <rPr>
        <sz val="9"/>
        <rFont val="WenQuanYi Zen Hei"/>
        <family val="2"/>
      </rPr>
      <t xml:space="preserve">阪急梅田</t>
    </r>
  </si>
  <si>
    <r>
      <rPr>
        <sz val="9"/>
        <rFont val="Meiryo UI"/>
        <family val="0"/>
        <charset val="1"/>
      </rPr>
      <t xml:space="preserve">26/7/22(</t>
    </r>
    <r>
      <rPr>
        <sz val="9"/>
        <rFont val="WenQuanYi Zen Hei"/>
        <family val="2"/>
      </rPr>
      <t xml:space="preserve">水</t>
    </r>
    <r>
      <rPr>
        <sz val="9"/>
        <rFont val="Meiryo UI"/>
        <family val="0"/>
        <charset val="1"/>
      </rPr>
      <t xml:space="preserve">)-8/10(</t>
    </r>
    <r>
      <rPr>
        <sz val="9"/>
        <rFont val="WenQuanYi Zen Hei"/>
        <family val="2"/>
      </rPr>
      <t xml:space="preserve">月</t>
    </r>
    <r>
      <rPr>
        <sz val="9"/>
        <rFont val="Meiryo UI"/>
        <family val="0"/>
        <charset val="1"/>
      </rPr>
      <t xml:space="preserve">)
</t>
    </r>
    <r>
      <rPr>
        <sz val="9"/>
        <rFont val="WenQuanYi Zen Hei"/>
        <family val="2"/>
      </rPr>
      <t xml:space="preserve">札幌大丸</t>
    </r>
  </si>
  <si>
    <r>
      <rPr>
        <sz val="9"/>
        <rFont val="Meiryo UI"/>
        <family val="0"/>
        <charset val="1"/>
      </rPr>
      <t xml:space="preserve">26/7/22(</t>
    </r>
    <r>
      <rPr>
        <sz val="9"/>
        <rFont val="WenQuanYi Zen Hei"/>
        <family val="2"/>
      </rPr>
      <t xml:space="preserve">水</t>
    </r>
    <r>
      <rPr>
        <sz val="9"/>
        <rFont val="Meiryo UI"/>
        <family val="0"/>
        <charset val="1"/>
      </rPr>
      <t xml:space="preserve">)-8/10(</t>
    </r>
    <r>
      <rPr>
        <sz val="9"/>
        <rFont val="WenQuanYi Zen Hei"/>
        <family val="2"/>
      </rPr>
      <t xml:space="preserve">月</t>
    </r>
    <r>
      <rPr>
        <sz val="9"/>
        <rFont val="Meiryo UI"/>
        <family val="0"/>
        <charset val="1"/>
      </rPr>
      <t xml:space="preserve">)
</t>
    </r>
    <r>
      <rPr>
        <sz val="9"/>
        <rFont val="WenQuanYi Zen Hei"/>
        <family val="2"/>
      </rPr>
      <t xml:space="preserve">会期</t>
    </r>
    <r>
      <rPr>
        <sz val="9"/>
        <rFont val="Meiryo UI"/>
        <family val="0"/>
        <charset val="1"/>
      </rPr>
      <t xml:space="preserve">20</t>
    </r>
    <r>
      <rPr>
        <sz val="9"/>
        <rFont val="WenQuanYi Zen Hei"/>
        <family val="2"/>
      </rPr>
      <t xml:space="preserve">日 予測</t>
    </r>
  </si>
  <si>
    <r>
      <rPr>
        <sz val="9"/>
        <rFont val="Meiryo UI"/>
        <family val="0"/>
        <charset val="1"/>
      </rPr>
      <t xml:space="preserve">26/8/14(</t>
    </r>
    <r>
      <rPr>
        <sz val="9"/>
        <rFont val="WenQuanYi Zen Hei"/>
        <family val="2"/>
      </rPr>
      <t xml:space="preserve">金</t>
    </r>
    <r>
      <rPr>
        <sz val="9"/>
        <rFont val="Meiryo UI"/>
        <family val="0"/>
        <charset val="1"/>
      </rPr>
      <t xml:space="preserve">)-8/31(</t>
    </r>
    <r>
      <rPr>
        <sz val="9"/>
        <rFont val="WenQuanYi Zen Hei"/>
        <family val="2"/>
      </rPr>
      <t xml:space="preserve">月</t>
    </r>
    <r>
      <rPr>
        <sz val="9"/>
        <rFont val="Meiryo UI"/>
        <family val="0"/>
        <charset val="1"/>
      </rPr>
      <t xml:space="preserve">)
</t>
    </r>
    <r>
      <rPr>
        <sz val="9"/>
        <rFont val="WenQuanYi Zen Hei"/>
        <family val="2"/>
      </rPr>
      <t xml:space="preserve">石川 香林坊大和</t>
    </r>
  </si>
  <si>
    <r>
      <rPr>
        <sz val="9"/>
        <rFont val="Meiryo UI"/>
        <family val="0"/>
        <charset val="1"/>
      </rPr>
      <t xml:space="preserve">26/9/5(</t>
    </r>
    <r>
      <rPr>
        <sz val="9"/>
        <rFont val="WenQuanYi Zen Hei"/>
        <family val="2"/>
      </rPr>
      <t xml:space="preserve">土</t>
    </r>
    <r>
      <rPr>
        <sz val="9"/>
        <rFont val="Meiryo UI"/>
        <family val="0"/>
        <charset val="1"/>
      </rPr>
      <t xml:space="preserve">)-10/4(</t>
    </r>
    <r>
      <rPr>
        <sz val="9"/>
        <rFont val="WenQuanYi Zen Hei"/>
        <family val="2"/>
      </rPr>
      <t xml:space="preserve">日</t>
    </r>
    <r>
      <rPr>
        <sz val="9"/>
        <rFont val="Meiryo UI"/>
        <family val="0"/>
        <charset val="1"/>
      </rPr>
      <t xml:space="preserve">)
</t>
    </r>
    <r>
      <rPr>
        <sz val="9"/>
        <rFont val="WenQuanYi Zen Hei"/>
        <family val="2"/>
      </rPr>
      <t xml:space="preserve">仙台 </t>
    </r>
    <r>
      <rPr>
        <sz val="9"/>
        <rFont val="Meiryo UI"/>
        <family val="0"/>
        <charset val="1"/>
      </rPr>
      <t xml:space="preserve">Ebeans</t>
    </r>
  </si>
  <si>
    <r>
      <rPr>
        <sz val="9"/>
        <rFont val="Meiryo UI"/>
        <family val="0"/>
        <charset val="1"/>
      </rPr>
      <t xml:space="preserve">26/12/16(</t>
    </r>
    <r>
      <rPr>
        <sz val="9"/>
        <rFont val="WenQuanYi Zen Hei"/>
        <family val="2"/>
      </rPr>
      <t xml:space="preserve">水</t>
    </r>
    <r>
      <rPr>
        <sz val="9"/>
        <rFont val="Meiryo UI"/>
        <family val="0"/>
        <charset val="1"/>
      </rPr>
      <t xml:space="preserve">)-27/1/7(</t>
    </r>
    <r>
      <rPr>
        <sz val="9"/>
        <rFont val="WenQuanYi Zen Hei"/>
        <family val="2"/>
      </rPr>
      <t xml:space="preserve">木</t>
    </r>
    <r>
      <rPr>
        <sz val="9"/>
        <rFont val="Meiryo UI"/>
        <family val="0"/>
        <charset val="1"/>
      </rPr>
      <t xml:space="preserve">)
</t>
    </r>
    <r>
      <rPr>
        <sz val="9"/>
        <rFont val="WenQuanYi Zen Hei"/>
        <family val="2"/>
      </rPr>
      <t xml:space="preserve">神戸阪急</t>
    </r>
  </si>
  <si>
    <r>
      <rPr>
        <sz val="9"/>
        <rFont val="Meiryo UI"/>
        <family val="0"/>
        <charset val="1"/>
      </rPr>
      <t xml:space="preserve">27/3/15-4/4
</t>
    </r>
    <r>
      <rPr>
        <sz val="9"/>
        <rFont val="WenQuanYi Zen Hei"/>
        <family val="2"/>
      </rPr>
      <t xml:space="preserve">鳥取島根 夢みなとタワー</t>
    </r>
  </si>
  <si>
    <r>
      <rPr>
        <sz val="9"/>
        <rFont val="Meiryo UI"/>
        <family val="0"/>
        <charset val="1"/>
      </rPr>
      <t xml:space="preserve">27</t>
    </r>
    <r>
      <rPr>
        <sz val="9"/>
        <rFont val="WenQuanYi Zen Hei"/>
        <family val="2"/>
      </rPr>
      <t xml:space="preserve">年</t>
    </r>
    <r>
      <rPr>
        <sz val="9"/>
        <rFont val="Meiryo UI"/>
        <family val="0"/>
        <charset val="1"/>
      </rPr>
      <t xml:space="preserve">4-5</t>
    </r>
    <r>
      <rPr>
        <sz val="9"/>
        <rFont val="WenQuanYi Zen Hei"/>
        <family val="2"/>
      </rPr>
      <t xml:space="preserve">月
東京凱旋 東京建物ぴあホール</t>
    </r>
  </si>
  <si>
    <t xml:space="preserve">会期日数</t>
  </si>
  <si>
    <t xml:space="preserve">データ実績日数</t>
  </si>
  <si>
    <t xml:space="preserve">予測</t>
  </si>
  <si>
    <t xml:space="preserve">入場者数</t>
  </si>
  <si>
    <t xml:space="preserve">全物販 販売数量</t>
  </si>
  <si>
    <r>
      <rPr>
        <b val="true"/>
        <sz val="9"/>
        <rFont val="WenQuanYi Zen Hei"/>
        <family val="2"/>
      </rPr>
      <t xml:space="preserve">全物販 販売金額</t>
    </r>
    <r>
      <rPr>
        <b val="true"/>
        <sz val="9"/>
        <rFont val="Meiryo UI"/>
        <family val="0"/>
        <charset val="1"/>
      </rPr>
      <t xml:space="preserve">(</t>
    </r>
    <r>
      <rPr>
        <b val="true"/>
        <sz val="9"/>
        <rFont val="WenQuanYi Zen Hei"/>
        <family val="2"/>
      </rPr>
      <t xml:space="preserve">税込</t>
    </r>
    <r>
      <rPr>
        <b val="true"/>
        <sz val="9"/>
        <rFont val="Meiryo UI"/>
        <family val="0"/>
        <charset val="1"/>
      </rPr>
      <t xml:space="preserve">)</t>
    </r>
  </si>
  <si>
    <r>
      <rPr>
        <b val="true"/>
        <sz val="9"/>
        <rFont val="Meiryo UI"/>
        <family val="0"/>
        <charset val="1"/>
      </rPr>
      <t xml:space="preserve">LEGS </t>
    </r>
    <r>
      <rPr>
        <b val="true"/>
        <sz val="9"/>
        <rFont val="WenQuanYi Zen Hei"/>
        <family val="2"/>
      </rPr>
      <t xml:space="preserve">販売数量</t>
    </r>
  </si>
  <si>
    <r>
      <rPr>
        <b val="true"/>
        <sz val="9"/>
        <rFont val="Meiryo UI"/>
        <family val="0"/>
        <charset val="1"/>
      </rPr>
      <t xml:space="preserve">LEGS </t>
    </r>
    <r>
      <rPr>
        <b val="true"/>
        <sz val="9"/>
        <rFont val="WenQuanYi Zen Hei"/>
        <family val="2"/>
      </rPr>
      <t xml:space="preserve">販売金額</t>
    </r>
    <r>
      <rPr>
        <b val="true"/>
        <sz val="9"/>
        <rFont val="Meiryo UI"/>
        <family val="0"/>
        <charset val="1"/>
      </rPr>
      <t xml:space="preserve">(</t>
    </r>
    <r>
      <rPr>
        <b val="true"/>
        <sz val="9"/>
        <rFont val="WenQuanYi Zen Hei"/>
        <family val="2"/>
      </rPr>
      <t xml:space="preserve">税込</t>
    </r>
    <r>
      <rPr>
        <b val="true"/>
        <sz val="9"/>
        <rFont val="Meiryo UI"/>
        <family val="0"/>
        <charset val="1"/>
      </rPr>
      <t xml:space="preserve">)</t>
    </r>
  </si>
  <si>
    <r>
      <rPr>
        <b val="true"/>
        <sz val="9"/>
        <rFont val="Meiryo UI"/>
        <family val="0"/>
        <charset val="1"/>
      </rPr>
      <t xml:space="preserve">LEGS </t>
    </r>
    <r>
      <rPr>
        <b val="true"/>
        <sz val="9"/>
        <rFont val="WenQuanYi Zen Hei"/>
        <family val="2"/>
      </rPr>
      <t xml:space="preserve">数量構成比</t>
    </r>
  </si>
  <si>
    <r>
      <rPr>
        <b val="true"/>
        <sz val="9"/>
        <rFont val="Meiryo UI"/>
        <family val="0"/>
        <charset val="1"/>
      </rPr>
      <t xml:space="preserve">LEGS </t>
    </r>
    <r>
      <rPr>
        <b val="true"/>
        <sz val="9"/>
        <rFont val="WenQuanYi Zen Hei"/>
        <family val="2"/>
      </rPr>
      <t xml:space="preserve">金額構成比</t>
    </r>
  </si>
  <si>
    <t xml:space="preserve">東京対比（数量）</t>
  </si>
  <si>
    <t xml:space="preserve">東京対比（金額）</t>
  </si>
  <si>
    <t xml:space="preserve">ユーザー指定／入力値</t>
  </si>
  <si>
    <r>
      <rPr>
        <b val="true"/>
        <sz val="9"/>
        <rFont val="Meiryo UI"/>
        <family val="0"/>
        <charset val="1"/>
      </rPr>
      <t xml:space="preserve">LEGS</t>
    </r>
    <r>
      <rPr>
        <b val="true"/>
        <sz val="9"/>
        <rFont val="WenQuanYi Zen Hei"/>
        <family val="2"/>
      </rPr>
      <t xml:space="preserve">平均単価</t>
    </r>
  </si>
  <si>
    <r>
      <rPr>
        <b val="true"/>
        <sz val="11"/>
        <color rgb="FFC00000"/>
        <rFont val="WenQuanYi Zen Hei"/>
        <family val="2"/>
      </rPr>
      <t xml:space="preserve">■ 供給元別 金額構成比（各会場 会期全体。札幌は初</t>
    </r>
    <r>
      <rPr>
        <b val="true"/>
        <sz val="11"/>
        <color rgb="FFC00000"/>
        <rFont val="Meiryo UI"/>
        <family val="0"/>
        <charset val="1"/>
      </rPr>
      <t xml:space="preserve">6</t>
    </r>
    <r>
      <rPr>
        <b val="true"/>
        <sz val="11"/>
        <color rgb="FFC00000"/>
        <rFont val="WenQuanYi Zen Hei"/>
        <family val="2"/>
      </rPr>
      <t xml:space="preserve">日実績）</t>
    </r>
  </si>
  <si>
    <t xml:space="preserve">供給元</t>
  </si>
  <si>
    <t xml:space="preserve">LEGS(42SKU)</t>
  </si>
  <si>
    <t xml:space="preserve">ムービック</t>
  </si>
  <si>
    <t xml:space="preserve">東宝</t>
  </si>
  <si>
    <t xml:space="preserve">MAPPA</t>
  </si>
  <si>
    <t xml:space="preserve">MBS</t>
  </si>
  <si>
    <t xml:space="preserve">書籍</t>
  </si>
  <si>
    <t xml:space="preserve">その他</t>
  </si>
  <si>
    <t xml:space="preserve">合計</t>
  </si>
  <si>
    <r>
      <rPr>
        <b val="true"/>
        <sz val="11"/>
        <color rgb="FFC00000"/>
        <rFont val="WenQuanYi Zen Hei"/>
        <family val="2"/>
      </rPr>
      <t xml:space="preserve">■ 新規</t>
    </r>
    <r>
      <rPr>
        <b val="true"/>
        <sz val="11"/>
        <color rgb="FFC00000"/>
        <rFont val="Meiryo UI"/>
        <family val="0"/>
        <charset val="1"/>
      </rPr>
      <t xml:space="preserve">SKU</t>
    </r>
    <r>
      <rPr>
        <b val="true"/>
        <sz val="11"/>
        <color rgb="FFC00000"/>
        <rFont val="WenQuanYi Zen Hei"/>
        <family val="2"/>
      </rPr>
      <t xml:space="preserve">投入状況（前会場までに存在しなかった</t>
    </r>
    <r>
      <rPr>
        <b val="true"/>
        <sz val="11"/>
        <color rgb="FFC00000"/>
        <rFont val="Meiryo UI"/>
        <family val="0"/>
        <charset val="1"/>
      </rPr>
      <t xml:space="preserve">JAN</t>
    </r>
    <r>
      <rPr>
        <b val="true"/>
        <sz val="11"/>
        <color rgb="FFC00000"/>
        <rFont val="WenQuanYi Zen Hei"/>
        <family val="2"/>
      </rPr>
      <t xml:space="preserve">）</t>
    </r>
  </si>
  <si>
    <t xml:space="preserve">会場</t>
  </si>
  <si>
    <r>
      <rPr>
        <b val="true"/>
        <sz val="9"/>
        <color rgb="FFFFFFFF"/>
        <rFont val="WenQuanYi Zen Hei"/>
        <family val="2"/>
      </rPr>
      <t xml:space="preserve">総</t>
    </r>
    <r>
      <rPr>
        <b val="true"/>
        <sz val="9"/>
        <color rgb="FFFFFFFF"/>
        <rFont val="Meiryo UI"/>
        <family val="0"/>
        <charset val="1"/>
      </rPr>
      <t xml:space="preserve">SKU</t>
    </r>
    <r>
      <rPr>
        <b val="true"/>
        <sz val="9"/>
        <color rgb="FFFFFFFF"/>
        <rFont val="WenQuanYi Zen Hei"/>
        <family val="2"/>
      </rPr>
      <t xml:space="preserve">数</t>
    </r>
  </si>
  <si>
    <r>
      <rPr>
        <b val="true"/>
        <sz val="9"/>
        <color rgb="FFFFFFFF"/>
        <rFont val="WenQuanYi Zen Hei"/>
        <family val="2"/>
      </rPr>
      <t xml:space="preserve">新規</t>
    </r>
    <r>
      <rPr>
        <b val="true"/>
        <sz val="9"/>
        <color rgb="FFFFFFFF"/>
        <rFont val="Meiryo UI"/>
        <family val="0"/>
        <charset val="1"/>
      </rPr>
      <t xml:space="preserve">SKU</t>
    </r>
    <r>
      <rPr>
        <b val="true"/>
        <sz val="9"/>
        <color rgb="FFFFFFFF"/>
        <rFont val="WenQuanYi Zen Hei"/>
        <family val="2"/>
      </rPr>
      <t xml:space="preserve">数</t>
    </r>
  </si>
  <si>
    <r>
      <rPr>
        <b val="true"/>
        <sz val="9"/>
        <color rgb="FFFFFFFF"/>
        <rFont val="WenQuanYi Zen Hei"/>
        <family val="2"/>
      </rPr>
      <t xml:space="preserve">新規の金額シェア</t>
    </r>
    <r>
      <rPr>
        <b val="true"/>
        <sz val="9"/>
        <color rgb="FFFFFFFF"/>
        <rFont val="Meiryo UI"/>
        <family val="0"/>
        <charset val="1"/>
      </rPr>
      <t xml:space="preserve">(</t>
    </r>
    <r>
      <rPr>
        <b val="true"/>
        <sz val="9"/>
        <color rgb="FFFFFFFF"/>
        <rFont val="WenQuanYi Zen Hei"/>
        <family val="2"/>
      </rPr>
      <t xml:space="preserve">初</t>
    </r>
    <r>
      <rPr>
        <b val="true"/>
        <sz val="9"/>
        <color rgb="FFFFFFFF"/>
        <rFont val="Meiryo UI"/>
        <family val="0"/>
        <charset val="1"/>
      </rPr>
      <t xml:space="preserve">6</t>
    </r>
    <r>
      <rPr>
        <b val="true"/>
        <sz val="9"/>
        <color rgb="FFFFFFFF"/>
        <rFont val="WenQuanYi Zen Hei"/>
        <family val="2"/>
      </rPr>
      <t xml:space="preserve">日</t>
    </r>
    <r>
      <rPr>
        <b val="true"/>
        <sz val="9"/>
        <color rgb="FFFFFFFF"/>
        <rFont val="Meiryo UI"/>
        <family val="0"/>
        <charset val="1"/>
      </rPr>
      <t xml:space="preserve">)</t>
    </r>
  </si>
  <si>
    <r>
      <rPr>
        <b val="true"/>
        <sz val="9"/>
        <color rgb="FFFFFFFF"/>
        <rFont val="Meiryo UI"/>
        <family val="0"/>
        <charset val="1"/>
      </rPr>
      <t xml:space="preserve">LEGS</t>
    </r>
    <r>
      <rPr>
        <b val="true"/>
        <sz val="9"/>
        <color rgb="FFFFFFFF"/>
        <rFont val="WenQuanYi Zen Hei"/>
        <family val="2"/>
      </rPr>
      <t xml:space="preserve">金額構成比</t>
    </r>
    <r>
      <rPr>
        <b val="true"/>
        <sz val="9"/>
        <color rgb="FFFFFFFF"/>
        <rFont val="Meiryo UI"/>
        <family val="0"/>
        <charset val="1"/>
      </rPr>
      <t xml:space="preserve">(</t>
    </r>
    <r>
      <rPr>
        <b val="true"/>
        <sz val="9"/>
        <color rgb="FFFFFFFF"/>
        <rFont val="WenQuanYi Zen Hei"/>
        <family val="2"/>
      </rPr>
      <t xml:space="preserve">初</t>
    </r>
    <r>
      <rPr>
        <b val="true"/>
        <sz val="9"/>
        <color rgb="FFFFFFFF"/>
        <rFont val="Meiryo UI"/>
        <family val="0"/>
        <charset val="1"/>
      </rPr>
      <t xml:space="preserve">6</t>
    </r>
    <r>
      <rPr>
        <b val="true"/>
        <sz val="9"/>
        <color rgb="FFFFFFFF"/>
        <rFont val="WenQuanYi Zen Hei"/>
        <family val="2"/>
      </rPr>
      <t xml:space="preserve">日</t>
    </r>
    <r>
      <rPr>
        <b val="true"/>
        <sz val="9"/>
        <color rgb="FFFFFFFF"/>
        <rFont val="Meiryo UI"/>
        <family val="0"/>
        <charset val="1"/>
      </rPr>
      <t xml:space="preserve">)</t>
    </r>
  </si>
  <si>
    <t xml:space="preserve">備考</t>
  </si>
  <si>
    <t xml:space="preserve">初回会場</t>
  </si>
  <si>
    <r>
      <rPr>
        <sz val="9"/>
        <rFont val="Meiryo UI"/>
        <family val="0"/>
        <charset val="1"/>
      </rPr>
      <t xml:space="preserve">MAPPA</t>
    </r>
    <r>
      <rPr>
        <sz val="9"/>
        <rFont val="WenQuanYi Zen Hei"/>
        <family val="2"/>
      </rPr>
      <t xml:space="preserve">記念商品</t>
    </r>
    <r>
      <rPr>
        <sz val="9"/>
        <rFont val="Meiryo UI"/>
        <family val="0"/>
        <charset val="1"/>
      </rPr>
      <t xml:space="preserve">26SKU</t>
    </r>
    <r>
      <rPr>
        <sz val="9"/>
        <rFont val="WenQuanYi Zen Hei"/>
        <family val="2"/>
      </rPr>
      <t xml:space="preserve">等を追加投入</t>
    </r>
  </si>
  <si>
    <t xml:space="preserve">小幅追加</t>
  </si>
  <si>
    <r>
      <rPr>
        <sz val="9"/>
        <rFont val="WenQuanYi Zen Hei"/>
        <family val="2"/>
      </rPr>
      <t xml:space="preserve">★新商品</t>
    </r>
    <r>
      <rPr>
        <sz val="9"/>
        <rFont val="Meiryo UI"/>
        <family val="0"/>
        <charset val="1"/>
      </rPr>
      <t xml:space="preserve">106SKU</t>
    </r>
    <r>
      <rPr>
        <sz val="9"/>
        <rFont val="WenQuanYi Zen Hei"/>
        <family val="2"/>
      </rPr>
      <t xml:space="preserve">投入（東宝一般</t>
    </r>
    <r>
      <rPr>
        <sz val="9"/>
        <rFont val="Meiryo UI"/>
        <family val="0"/>
        <charset val="1"/>
      </rPr>
      <t xml:space="preserve">66</t>
    </r>
    <r>
      <rPr>
        <sz val="9"/>
        <rFont val="WenQuanYi Zen Hei"/>
        <family val="2"/>
      </rPr>
      <t xml:space="preserve">・ムービック</t>
    </r>
    <r>
      <rPr>
        <sz val="9"/>
        <rFont val="Meiryo UI"/>
        <family val="0"/>
        <charset val="1"/>
      </rPr>
      <t xml:space="preserve">23</t>
    </r>
    <r>
      <rPr>
        <sz val="9"/>
        <rFont val="WenQuanYi Zen Hei"/>
        <family val="2"/>
      </rPr>
      <t xml:space="preserve">・</t>
    </r>
    <r>
      <rPr>
        <sz val="9"/>
        <rFont val="Meiryo UI"/>
        <family val="0"/>
        <charset val="1"/>
      </rPr>
      <t xml:space="preserve">MAPPA16</t>
    </r>
    <r>
      <rPr>
        <sz val="9"/>
        <rFont val="WenQuanYi Zen Hei"/>
        <family val="2"/>
      </rPr>
      <t xml:space="preserve">）</t>
    </r>
  </si>
  <si>
    <t xml:space="preserve">新規なし。品揃えは大阪と同一</t>
  </si>
  <si>
    <r>
      <rPr>
        <b val="true"/>
        <sz val="15"/>
        <color rgb="FF1F3864"/>
        <rFont val="WenQuanYi Zen Hei"/>
        <family val="2"/>
      </rPr>
      <t xml:space="preserve">③ 石川会場以降 </t>
    </r>
    <r>
      <rPr>
        <b val="true"/>
        <sz val="15"/>
        <color rgb="FF1F3864"/>
        <rFont val="Meiryo UI"/>
        <family val="0"/>
        <charset val="1"/>
      </rPr>
      <t xml:space="preserve">5</t>
    </r>
    <r>
      <rPr>
        <b val="true"/>
        <sz val="15"/>
        <color rgb="FF1F3864"/>
        <rFont val="WenQuanYi Zen Hei"/>
        <family val="2"/>
      </rPr>
      <t xml:space="preserve">会場 </t>
    </r>
    <r>
      <rPr>
        <b val="true"/>
        <sz val="15"/>
        <color rgb="FF1F3864"/>
        <rFont val="Meiryo UI"/>
        <family val="0"/>
        <charset val="1"/>
      </rPr>
      <t xml:space="preserve">LEGS</t>
    </r>
    <r>
      <rPr>
        <b val="true"/>
        <sz val="15"/>
        <color rgb="FF1F3864"/>
        <rFont val="WenQuanYi Zen Hei"/>
        <family val="2"/>
      </rPr>
      <t xml:space="preserve">商品 需要予測</t>
    </r>
  </si>
  <si>
    <r>
      <rPr>
        <sz val="8"/>
        <color rgb="FF555555"/>
        <rFont val="WenQuanYi Zen Hei"/>
        <family val="2"/>
      </rPr>
      <t xml:space="preserve">会場物販売上＝東京</t>
    </r>
    <r>
      <rPr>
        <sz val="8"/>
        <color rgb="FF555555"/>
        <rFont val="Meiryo UI"/>
        <family val="0"/>
        <charset val="1"/>
      </rPr>
      <t xml:space="preserve">(</t>
    </r>
    <r>
      <rPr>
        <sz val="8"/>
        <color rgb="FF555555"/>
        <rFont val="WenQuanYi Zen Hei"/>
        <family val="2"/>
      </rPr>
      <t xml:space="preserve">初回</t>
    </r>
    <r>
      <rPr>
        <sz val="8"/>
        <color rgb="FF555555"/>
        <rFont val="Meiryo UI"/>
        <family val="0"/>
        <charset val="1"/>
      </rPr>
      <t xml:space="preserve">)</t>
    </r>
    <r>
      <rPr>
        <sz val="8"/>
        <color rgb="FF555555"/>
        <rFont val="WenQuanYi Zen Hei"/>
        <family val="2"/>
      </rPr>
      <t xml:space="preserve">実績 </t>
    </r>
    <r>
      <rPr>
        <sz val="8"/>
        <color rgb="FF555555"/>
        <rFont val="Meiryo UI"/>
        <family val="0"/>
        <charset val="1"/>
      </rPr>
      <t xml:space="preserve">× </t>
    </r>
    <r>
      <rPr>
        <sz val="8"/>
        <color rgb="FF555555"/>
        <rFont val="WenQuanYi Zen Hei"/>
        <family val="2"/>
      </rPr>
      <t xml:space="preserve">東京対比比率　／　</t>
    </r>
    <r>
      <rPr>
        <sz val="8"/>
        <color rgb="FF555555"/>
        <rFont val="Meiryo UI"/>
        <family val="0"/>
        <charset val="1"/>
      </rPr>
      <t xml:space="preserve">LEGS</t>
    </r>
    <r>
      <rPr>
        <sz val="8"/>
        <color rgb="FF555555"/>
        <rFont val="WenQuanYi Zen Hei"/>
        <family val="2"/>
      </rPr>
      <t xml:space="preserve">売上＝会場物販売上 </t>
    </r>
    <r>
      <rPr>
        <sz val="8"/>
        <color rgb="FF555555"/>
        <rFont val="Meiryo UI"/>
        <family val="0"/>
        <charset val="1"/>
      </rPr>
      <t xml:space="preserve">× LEGS</t>
    </r>
    <r>
      <rPr>
        <sz val="8"/>
        <color rgb="FF555555"/>
        <rFont val="WenQuanYi Zen Hei"/>
        <family val="2"/>
      </rPr>
      <t xml:space="preserve">金額構成比　／　</t>
    </r>
    <r>
      <rPr>
        <sz val="8"/>
        <color rgb="FF555555"/>
        <rFont val="Meiryo UI"/>
        <family val="0"/>
        <charset val="1"/>
      </rPr>
      <t xml:space="preserve">LEGS</t>
    </r>
    <r>
      <rPr>
        <sz val="8"/>
        <color rgb="FF555555"/>
        <rFont val="WenQuanYi Zen Hei"/>
        <family val="2"/>
      </rPr>
      <t xml:space="preserve">数量＝</t>
    </r>
    <r>
      <rPr>
        <sz val="8"/>
        <color rgb="FF555555"/>
        <rFont val="Meiryo UI"/>
        <family val="0"/>
        <charset val="1"/>
      </rPr>
      <t xml:space="preserve">LEGS</t>
    </r>
    <r>
      <rPr>
        <sz val="8"/>
        <color rgb="FF555555"/>
        <rFont val="WenQuanYi Zen Hei"/>
        <family val="2"/>
      </rPr>
      <t xml:space="preserve">売上 </t>
    </r>
    <r>
      <rPr>
        <sz val="8"/>
        <color rgb="FF555555"/>
        <rFont val="Meiryo UI"/>
        <family val="0"/>
        <charset val="1"/>
      </rPr>
      <t xml:space="preserve">÷ LEGS</t>
    </r>
    <r>
      <rPr>
        <sz val="8"/>
        <color rgb="FF555555"/>
        <rFont val="WenQuanYi Zen Hei"/>
        <family val="2"/>
      </rPr>
      <t xml:space="preserve">平均単価</t>
    </r>
  </si>
  <si>
    <r>
      <rPr>
        <sz val="8"/>
        <color rgb="FF555555"/>
        <rFont val="WenQuanYi Zen Hei"/>
        <family val="2"/>
      </rPr>
      <t xml:space="preserve">商品別按分＝大阪</t>
    </r>
    <r>
      <rPr>
        <sz val="8"/>
        <color rgb="FF555555"/>
        <rFont val="Meiryo UI"/>
        <family val="0"/>
        <charset val="1"/>
      </rPr>
      <t xml:space="preserve">20</t>
    </r>
    <r>
      <rPr>
        <sz val="8"/>
        <color rgb="FF555555"/>
        <rFont val="WenQuanYi Zen Hei"/>
        <family val="2"/>
      </rPr>
      <t xml:space="preserve">日実績の数量構成比 </t>
    </r>
    <r>
      <rPr>
        <sz val="8"/>
        <color rgb="FF555555"/>
        <rFont val="Meiryo UI"/>
        <family val="0"/>
        <charset val="1"/>
      </rPr>
      <t xml:space="preserve">× </t>
    </r>
    <r>
      <rPr>
        <sz val="8"/>
        <color rgb="FF555555"/>
        <rFont val="WenQuanYi Zen Hei"/>
        <family val="2"/>
      </rPr>
      <t xml:space="preserve">ウェイト ＋ 札幌</t>
    </r>
    <r>
      <rPr>
        <sz val="8"/>
        <color rgb="FF555555"/>
        <rFont val="Meiryo UI"/>
        <family val="0"/>
        <charset val="1"/>
      </rPr>
      <t xml:space="preserve">20</t>
    </r>
    <r>
      <rPr>
        <sz val="8"/>
        <color rgb="FF555555"/>
        <rFont val="WenQuanYi Zen Hei"/>
        <family val="2"/>
      </rPr>
      <t xml:space="preserve">日予測の数量構成比 </t>
    </r>
    <r>
      <rPr>
        <sz val="8"/>
        <color rgb="FF555555"/>
        <rFont val="Meiryo UI"/>
        <family val="0"/>
        <charset val="1"/>
      </rPr>
      <t xml:space="preserve">× </t>
    </r>
    <r>
      <rPr>
        <sz val="8"/>
        <color rgb="FF555555"/>
        <rFont val="WenQuanYi Zen Hei"/>
        <family val="2"/>
      </rPr>
      <t xml:space="preserve">ウェイト（「前提・入力」で調整可）</t>
    </r>
  </si>
  <si>
    <r>
      <rPr>
        <sz val="8"/>
        <color rgb="FF555555"/>
        <rFont val="WenQuanYi Zen Hei"/>
        <family val="2"/>
      </rPr>
      <t xml:space="preserve">※商品別表の必要数合計は、会場</t>
    </r>
    <r>
      <rPr>
        <sz val="8"/>
        <color rgb="FF555555"/>
        <rFont val="Meiryo UI"/>
        <family val="0"/>
        <charset val="1"/>
      </rPr>
      <t xml:space="preserve">×</t>
    </r>
    <r>
      <rPr>
        <sz val="8"/>
        <color rgb="FF555555"/>
        <rFont val="WenQuanYi Zen Hei"/>
        <family val="2"/>
      </rPr>
      <t xml:space="preserve">商品ごとに整数丸めを行うため会場別表の合計と数個の差が生じる（発注判断に影響しない範囲）</t>
    </r>
  </si>
  <si>
    <t xml:space="preserve">■ 会場別 需要予測</t>
  </si>
  <si>
    <t xml:space="preserve">日数</t>
  </si>
  <si>
    <t xml:space="preserve">東京対比</t>
  </si>
  <si>
    <t xml:space="preserve">会場 全物販売上</t>
  </si>
  <si>
    <r>
      <rPr>
        <b val="true"/>
        <sz val="9"/>
        <color rgb="FFFFFFFF"/>
        <rFont val="Meiryo UI"/>
        <family val="0"/>
        <charset val="1"/>
      </rPr>
      <t xml:space="preserve">LEGS </t>
    </r>
    <r>
      <rPr>
        <b val="true"/>
        <sz val="9"/>
        <color rgb="FFFFFFFF"/>
        <rFont val="WenQuanYi Zen Hei"/>
        <family val="2"/>
      </rPr>
      <t xml:space="preserve">売上</t>
    </r>
  </si>
  <si>
    <r>
      <rPr>
        <b val="true"/>
        <sz val="9"/>
        <color rgb="FFFFFFFF"/>
        <rFont val="Meiryo UI"/>
        <family val="0"/>
        <charset val="1"/>
      </rPr>
      <t xml:space="preserve">LEGS </t>
    </r>
    <r>
      <rPr>
        <b val="true"/>
        <sz val="9"/>
        <color rgb="FFFFFFFF"/>
        <rFont val="WenQuanYi Zen Hei"/>
        <family val="2"/>
      </rPr>
      <t xml:space="preserve">数量</t>
    </r>
  </si>
  <si>
    <t xml:space="preserve">構成比根拠</t>
  </si>
  <si>
    <r>
      <rPr>
        <sz val="9"/>
        <rFont val="Meiryo UI"/>
        <family val="0"/>
        <charset val="1"/>
      </rPr>
      <t xml:space="preserve">26/8/14(</t>
    </r>
    <r>
      <rPr>
        <sz val="9"/>
        <rFont val="WenQuanYi Zen Hei"/>
        <family val="2"/>
      </rPr>
      <t xml:space="preserve">金</t>
    </r>
    <r>
      <rPr>
        <sz val="9"/>
        <rFont val="Meiryo UI"/>
        <family val="0"/>
        <charset val="1"/>
      </rPr>
      <t xml:space="preserve">)-8/31(</t>
    </r>
    <r>
      <rPr>
        <sz val="9"/>
        <rFont val="WenQuanYi Zen Hei"/>
        <family val="2"/>
      </rPr>
      <t xml:space="preserve">月</t>
    </r>
    <r>
      <rPr>
        <sz val="9"/>
        <rFont val="Meiryo UI"/>
        <family val="0"/>
        <charset val="1"/>
      </rPr>
      <t xml:space="preserve">)</t>
    </r>
  </si>
  <si>
    <t xml:space="preserve">ユーザー指定</t>
  </si>
  <si>
    <r>
      <rPr>
        <b val="true"/>
        <sz val="9"/>
        <rFont val="WenQuanYi Zen Hei"/>
        <family val="2"/>
      </rPr>
      <t xml:space="preserve">仙台 </t>
    </r>
    <r>
      <rPr>
        <b val="true"/>
        <sz val="9"/>
        <rFont val="Meiryo UI"/>
        <family val="0"/>
        <charset val="1"/>
      </rPr>
      <t xml:space="preserve">Ebeans</t>
    </r>
  </si>
  <si>
    <r>
      <rPr>
        <sz val="9"/>
        <rFont val="Meiryo UI"/>
        <family val="0"/>
        <charset val="1"/>
      </rPr>
      <t xml:space="preserve">26/9/5(</t>
    </r>
    <r>
      <rPr>
        <sz val="9"/>
        <rFont val="WenQuanYi Zen Hei"/>
        <family val="2"/>
      </rPr>
      <t xml:space="preserve">土</t>
    </r>
    <r>
      <rPr>
        <sz val="9"/>
        <rFont val="Meiryo UI"/>
        <family val="0"/>
        <charset val="1"/>
      </rPr>
      <t xml:space="preserve">)-10/4(</t>
    </r>
    <r>
      <rPr>
        <sz val="9"/>
        <rFont val="WenQuanYi Zen Hei"/>
        <family val="2"/>
      </rPr>
      <t xml:space="preserve">日</t>
    </r>
    <r>
      <rPr>
        <sz val="9"/>
        <rFont val="Meiryo UI"/>
        <family val="0"/>
        <charset val="1"/>
      </rPr>
      <t xml:space="preserve">)</t>
    </r>
  </si>
  <si>
    <r>
      <rPr>
        <sz val="9"/>
        <rFont val="WenQuanYi Zen Hei"/>
        <family val="2"/>
      </rPr>
      <t xml:space="preserve">ユーザー指定（コナン実績は</t>
    </r>
    <r>
      <rPr>
        <sz val="9"/>
        <rFont val="Meiryo UI"/>
        <family val="0"/>
        <charset val="1"/>
      </rPr>
      <t xml:space="preserve">10.5%</t>
    </r>
    <r>
      <rPr>
        <sz val="9"/>
        <rFont val="WenQuanYi Zen Hei"/>
        <family val="2"/>
      </rPr>
      <t xml:space="preserve">）</t>
    </r>
  </si>
  <si>
    <r>
      <rPr>
        <sz val="9"/>
        <rFont val="Meiryo UI"/>
        <family val="0"/>
        <charset val="1"/>
      </rPr>
      <t xml:space="preserve">26/12/16(</t>
    </r>
    <r>
      <rPr>
        <sz val="9"/>
        <rFont val="WenQuanYi Zen Hei"/>
        <family val="2"/>
      </rPr>
      <t xml:space="preserve">水</t>
    </r>
    <r>
      <rPr>
        <sz val="9"/>
        <rFont val="Meiryo UI"/>
        <family val="0"/>
        <charset val="1"/>
      </rPr>
      <t xml:space="preserve">)-27/1/7(</t>
    </r>
    <r>
      <rPr>
        <sz val="9"/>
        <rFont val="WenQuanYi Zen Hei"/>
        <family val="2"/>
      </rPr>
      <t xml:space="preserve">木</t>
    </r>
    <r>
      <rPr>
        <sz val="9"/>
        <rFont val="Meiryo UI"/>
        <family val="0"/>
        <charset val="1"/>
      </rPr>
      <t xml:space="preserve">)</t>
    </r>
  </si>
  <si>
    <t xml:space="preserve">★要確認：指定なきため仮置き</t>
  </si>
  <si>
    <t xml:space="preserve">27/3/15-4/4</t>
  </si>
  <si>
    <r>
      <rPr>
        <sz val="9"/>
        <rFont val="Meiryo UI"/>
        <family val="0"/>
        <charset val="1"/>
      </rPr>
      <t xml:space="preserve">27</t>
    </r>
    <r>
      <rPr>
        <sz val="9"/>
        <rFont val="WenQuanYi Zen Hei"/>
        <family val="2"/>
      </rPr>
      <t xml:space="preserve">年</t>
    </r>
    <r>
      <rPr>
        <sz val="9"/>
        <rFont val="Meiryo UI"/>
        <family val="0"/>
        <charset val="1"/>
      </rPr>
      <t xml:space="preserve">4-5</t>
    </r>
    <r>
      <rPr>
        <sz val="9"/>
        <rFont val="WenQuanYi Zen Hei"/>
        <family val="2"/>
      </rPr>
      <t xml:space="preserve">月</t>
    </r>
  </si>
  <si>
    <r>
      <rPr>
        <sz val="9"/>
        <rFont val="WenQuanYi Zen Hei"/>
        <family val="2"/>
      </rPr>
      <t xml:space="preserve">ユーザー指定（初回東京の</t>
    </r>
    <r>
      <rPr>
        <sz val="9"/>
        <rFont val="Meiryo UI"/>
        <family val="0"/>
        <charset val="1"/>
      </rPr>
      <t xml:space="preserve">50%</t>
    </r>
    <r>
      <rPr>
        <sz val="9"/>
        <rFont val="WenQuanYi Zen Hei"/>
        <family val="2"/>
      </rPr>
      <t xml:space="preserve">）</t>
    </r>
  </si>
  <si>
    <r>
      <rPr>
        <b val="true"/>
        <sz val="9"/>
        <rFont val="WenQuanYi Zen Hei"/>
        <family val="2"/>
      </rPr>
      <t xml:space="preserve">石川以降 </t>
    </r>
    <r>
      <rPr>
        <b val="true"/>
        <sz val="9"/>
        <rFont val="Meiryo UI"/>
        <family val="0"/>
        <charset val="1"/>
      </rPr>
      <t xml:space="preserve">5</t>
    </r>
    <r>
      <rPr>
        <b val="true"/>
        <sz val="9"/>
        <rFont val="WenQuanYi Zen Hei"/>
        <family val="2"/>
      </rPr>
      <t xml:space="preserve">会場 合計</t>
    </r>
  </si>
  <si>
    <r>
      <rPr>
        <b val="true"/>
        <sz val="11"/>
        <color rgb="FFC00000"/>
        <rFont val="WenQuanYi Zen Hei"/>
        <family val="2"/>
      </rPr>
      <t xml:space="preserve">■ 在庫収支（</t>
    </r>
    <r>
      <rPr>
        <b val="true"/>
        <sz val="11"/>
        <color rgb="FFC00000"/>
        <rFont val="Meiryo UI"/>
        <family val="0"/>
        <charset val="1"/>
      </rPr>
      <t xml:space="preserve">LEGS 42SKU </t>
    </r>
    <r>
      <rPr>
        <b val="true"/>
        <sz val="11"/>
        <color rgb="FFC00000"/>
        <rFont val="WenQuanYi Zen Hei"/>
        <family val="2"/>
      </rPr>
      <t xml:space="preserve">合計）</t>
    </r>
  </si>
  <si>
    <r>
      <rPr>
        <b val="true"/>
        <sz val="9"/>
        <rFont val="WenQuanYi Zen Hei"/>
        <family val="2"/>
      </rPr>
      <t xml:space="preserve">残在庫想定（梅田まで</t>
    </r>
    <r>
      <rPr>
        <b val="true"/>
        <sz val="9"/>
        <rFont val="Meiryo UI"/>
        <family val="0"/>
        <charset val="1"/>
      </rPr>
      <t xml:space="preserve">(SET)</t>
    </r>
    <r>
      <rPr>
        <b val="true"/>
        <sz val="9"/>
        <rFont val="WenQuanYi Zen Hei"/>
        <family val="2"/>
      </rPr>
      <t xml:space="preserve">／総計）</t>
    </r>
  </si>
  <si>
    <t xml:space="preserve">在庫フロー台帳の最終「実在庫」列。会場ごとの追加発注→販売→検品を積み上げた値</t>
  </si>
  <si>
    <t xml:space="preserve">　うち札幌会場へ納品（初回＋追納）</t>
  </si>
  <si>
    <r>
      <rPr>
        <sz val="8"/>
        <color rgb="FF555555"/>
        <rFont val="WenQuanYi Zen Hei"/>
        <family val="2"/>
      </rPr>
      <t xml:space="preserve">札幌の販売可能数。</t>
    </r>
    <r>
      <rPr>
        <sz val="8"/>
        <color rgb="FF555555"/>
        <rFont val="Meiryo UI"/>
        <family val="0"/>
        <charset val="1"/>
      </rPr>
      <t xml:space="preserve">2026/7/31</t>
    </r>
    <r>
      <rPr>
        <sz val="8"/>
        <color rgb="FF555555"/>
        <rFont val="WenQuanYi Zen Hei"/>
        <family val="2"/>
      </rPr>
      <t xml:space="preserve">・</t>
    </r>
    <r>
      <rPr>
        <sz val="8"/>
        <color rgb="FF555555"/>
        <rFont val="Meiryo UI"/>
        <family val="0"/>
        <charset val="1"/>
      </rPr>
      <t xml:space="preserve">8/1 </t>
    </r>
    <r>
      <rPr>
        <sz val="8"/>
        <color rgb="FF555555"/>
        <rFont val="WenQuanYi Zen Hei"/>
        <family val="2"/>
      </rPr>
      <t xml:space="preserve">札幌会場追納リスト（レッグス商品分のみ抜粋）（</t>
    </r>
    <r>
      <rPr>
        <sz val="8"/>
        <color rgb="FF555555"/>
        <rFont val="Meiryo UI"/>
        <family val="0"/>
        <charset val="1"/>
      </rPr>
      <t xml:space="preserve">LEGS</t>
    </r>
    <r>
      <rPr>
        <sz val="8"/>
        <color rgb="FF555555"/>
        <rFont val="WenQuanYi Zen Hei"/>
        <family val="2"/>
      </rPr>
      <t xml:space="preserve">計</t>
    </r>
    <r>
      <rPr>
        <sz val="8"/>
        <color rgb="FF555555"/>
        <rFont val="Meiryo UI"/>
        <family val="0"/>
        <charset val="1"/>
      </rPr>
      <t xml:space="preserve">310</t>
    </r>
    <r>
      <rPr>
        <sz val="8"/>
        <color rgb="FF555555"/>
        <rFont val="WenQuanYi Zen Hei"/>
        <family val="2"/>
      </rPr>
      <t xml:space="preserve">個）を含む</t>
    </r>
  </si>
  <si>
    <t xml:space="preserve">　差引 倉庫残（石川以降へ即出荷可）</t>
  </si>
  <si>
    <t xml:space="preserve">札幌へ引き当てた分を除いた手元在庫</t>
  </si>
  <si>
    <r>
      <rPr>
        <b val="true"/>
        <sz val="9"/>
        <rFont val="WenQuanYi Zen Hei"/>
        <family val="2"/>
      </rPr>
      <t xml:space="preserve">札幌 会期</t>
    </r>
    <r>
      <rPr>
        <b val="true"/>
        <sz val="9"/>
        <rFont val="Meiryo UI"/>
        <family val="0"/>
        <charset val="1"/>
      </rPr>
      <t xml:space="preserve">20</t>
    </r>
    <r>
      <rPr>
        <b val="true"/>
        <sz val="9"/>
        <rFont val="WenQuanYi Zen Hei"/>
        <family val="2"/>
      </rPr>
      <t xml:space="preserve">日 予測販売数</t>
    </r>
  </si>
  <si>
    <t xml:space="preserve">　うち札幌へ追納が必要</t>
  </si>
  <si>
    <r>
      <rPr>
        <sz val="8"/>
        <color rgb="FF555555"/>
        <rFont val="WenQuanYi Zen Hei"/>
        <family val="2"/>
      </rPr>
      <t xml:space="preserve">札幌の会期</t>
    </r>
    <r>
      <rPr>
        <sz val="8"/>
        <color rgb="FF555555"/>
        <rFont val="Meiryo UI"/>
        <family val="0"/>
        <charset val="1"/>
      </rPr>
      <t xml:space="preserve">20</t>
    </r>
    <r>
      <rPr>
        <sz val="8"/>
        <color rgb="FF555555"/>
        <rFont val="WenQuanYi Zen Hei"/>
        <family val="2"/>
      </rPr>
      <t xml:space="preserve">日予測が納品済数を上回る分。倉庫残から充当する（運営欠品報告への対応分）</t>
    </r>
  </si>
  <si>
    <t xml:space="preserve">札幌 会期末 残在庫（返送見込）</t>
  </si>
  <si>
    <r>
      <rPr>
        <sz val="8"/>
        <color rgb="FF555555"/>
        <rFont val="WenQuanYi Zen Hei"/>
        <family val="2"/>
      </rPr>
      <t xml:space="preserve">品目別に下限</t>
    </r>
    <r>
      <rPr>
        <sz val="8"/>
        <color rgb="FF555555"/>
        <rFont val="Meiryo UI"/>
        <family val="0"/>
        <charset val="1"/>
      </rPr>
      <t xml:space="preserve">0</t>
    </r>
    <r>
      <rPr>
        <sz val="8"/>
        <color rgb="FF555555"/>
        <rFont val="WenQuanYi Zen Hei"/>
        <family val="2"/>
      </rPr>
      <t xml:space="preserve">で集計（在庫切れ品はマイナスにしない）</t>
    </r>
  </si>
  <si>
    <t xml:space="preserve">　うち石川以降へスライド可能</t>
  </si>
  <si>
    <t xml:space="preserve">スライド率は「前提・入力」で調整</t>
  </si>
  <si>
    <t xml:space="preserve">石川以降 供給可能在庫 合計</t>
  </si>
  <si>
    <t xml:space="preserve">＝倉庫残 − 札幌への追納 ＋ 札幌からの返送スライド</t>
  </si>
  <si>
    <t xml:space="preserve">確定済み追加発注（入荷予定）</t>
  </si>
  <si>
    <r>
      <rPr>
        <sz val="8"/>
        <color rgb="FF555555"/>
        <rFont val="WenQuanYi Zen Hei"/>
        <family val="2"/>
      </rPr>
      <t xml:space="preserve">発注判断済みの分。宿儺の指風お菓子 </t>
    </r>
    <r>
      <rPr>
        <sz val="8"/>
        <color rgb="FF555555"/>
        <rFont val="Meiryo UI"/>
        <family val="0"/>
        <charset val="1"/>
      </rPr>
      <t xml:space="preserve">1,200SET</t>
    </r>
    <r>
      <rPr>
        <sz val="8"/>
        <color rgb="FF555555"/>
        <rFont val="WenQuanYi Zen Hei"/>
        <family val="2"/>
      </rPr>
      <t xml:space="preserve">（仙台 </t>
    </r>
    <r>
      <rPr>
        <sz val="8"/>
        <color rgb="FF555555"/>
        <rFont val="Meiryo UI"/>
        <family val="0"/>
        <charset val="1"/>
      </rPr>
      <t xml:space="preserve">Ebeans</t>
    </r>
    <r>
      <rPr>
        <sz val="8"/>
        <color rgb="FF555555"/>
        <rFont val="WenQuanYi Zen Hei"/>
        <family val="2"/>
      </rPr>
      <t xml:space="preserve">入荷）</t>
    </r>
  </si>
  <si>
    <r>
      <rPr>
        <b val="true"/>
        <sz val="9"/>
        <rFont val="WenQuanYi Zen Hei"/>
        <family val="2"/>
      </rPr>
      <t xml:space="preserve">石川以降 </t>
    </r>
    <r>
      <rPr>
        <b val="true"/>
        <sz val="9"/>
        <rFont val="Meiryo UI"/>
        <family val="0"/>
        <charset val="1"/>
      </rPr>
      <t xml:space="preserve">5</t>
    </r>
    <r>
      <rPr>
        <b val="true"/>
        <sz val="9"/>
        <rFont val="WenQuanYi Zen Hei"/>
        <family val="2"/>
      </rPr>
      <t xml:space="preserve">会場 必要数</t>
    </r>
  </si>
  <si>
    <t xml:space="preserve">全体過不足（供給可能＋確定発注−必要）</t>
  </si>
  <si>
    <t xml:space="preserve">プラス＝全体では在庫充足。ただし商品別には過不足が生じる</t>
  </si>
  <si>
    <t xml:space="preserve">追加生産 必要数（商品別不足の合計）</t>
  </si>
  <si>
    <t xml:space="preserve">下表の商品別「追加生産必要数」の合計。全体余剰でも品目別には不足が出る</t>
  </si>
  <si>
    <t xml:space="preserve">■ 商品別 石川以降 必要数と在庫過不足</t>
  </si>
  <si>
    <r>
      <rPr>
        <b val="true"/>
        <sz val="9"/>
        <color rgb="FFFFFFFF"/>
        <rFont val="WenQuanYi Zen Hei"/>
        <family val="2"/>
      </rPr>
      <t xml:space="preserve">大阪④
</t>
    </r>
    <r>
      <rPr>
        <b val="true"/>
        <sz val="9"/>
        <color rgb="FFFFFFFF"/>
        <rFont val="Meiryo UI"/>
        <family val="0"/>
        <charset val="1"/>
      </rPr>
      <t xml:space="preserve">20</t>
    </r>
    <r>
      <rPr>
        <b val="true"/>
        <sz val="9"/>
        <color rgb="FFFFFFFF"/>
        <rFont val="WenQuanYi Zen Hei"/>
        <family val="2"/>
      </rPr>
      <t xml:space="preserve">日実績</t>
    </r>
  </si>
  <si>
    <t xml:space="preserve">大阪
構成比</t>
  </si>
  <si>
    <r>
      <rPr>
        <b val="true"/>
        <sz val="9"/>
        <color rgb="FFFFFFFF"/>
        <rFont val="WenQuanYi Zen Hei"/>
        <family val="2"/>
      </rPr>
      <t xml:space="preserve">札幌⑤
</t>
    </r>
    <r>
      <rPr>
        <b val="true"/>
        <sz val="9"/>
        <color rgb="FFFFFFFF"/>
        <rFont val="Meiryo UI"/>
        <family val="0"/>
        <charset val="1"/>
      </rPr>
      <t xml:space="preserve">20</t>
    </r>
    <r>
      <rPr>
        <b val="true"/>
        <sz val="9"/>
        <color rgb="FFFFFFFF"/>
        <rFont val="WenQuanYi Zen Hei"/>
        <family val="2"/>
      </rPr>
      <t xml:space="preserve">日予測</t>
    </r>
  </si>
  <si>
    <t xml:space="preserve">札幌
構成比</t>
  </si>
  <si>
    <t xml:space="preserve">採用
按分構成比</t>
  </si>
  <si>
    <t xml:space="preserve">石川
必要数</t>
  </si>
  <si>
    <t xml:space="preserve">仙台
必要数</t>
  </si>
  <si>
    <t xml:space="preserve">神戸阪急
必要数</t>
  </si>
  <si>
    <t xml:space="preserve">鳥取島根
必要数</t>
  </si>
  <si>
    <t xml:space="preserve">東京凱旋
必要数</t>
  </si>
  <si>
    <t xml:space="preserve">石川以降
必要数 計</t>
  </si>
  <si>
    <r>
      <rPr>
        <b val="true"/>
        <sz val="9"/>
        <color rgb="FFFFFFFF"/>
        <rFont val="WenQuanYi Zen Hei"/>
        <family val="2"/>
      </rPr>
      <t xml:space="preserve">★残在庫想定
</t>
    </r>
    <r>
      <rPr>
        <b val="true"/>
        <sz val="9"/>
        <color rgb="FFFFFFFF"/>
        <rFont val="Meiryo UI"/>
        <family val="0"/>
        <charset val="1"/>
      </rPr>
      <t xml:space="preserve">(</t>
    </r>
    <r>
      <rPr>
        <b val="true"/>
        <sz val="9"/>
        <color rgb="FFFFFFFF"/>
        <rFont val="WenQuanYi Zen Hei"/>
        <family val="2"/>
      </rPr>
      <t xml:space="preserve">梅田会場後</t>
    </r>
    <r>
      <rPr>
        <b val="true"/>
        <sz val="9"/>
        <color rgb="FFFFFFFF"/>
        <rFont val="Meiryo UI"/>
        <family val="0"/>
        <charset val="1"/>
      </rPr>
      <t xml:space="preserve">)</t>
    </r>
  </si>
  <si>
    <t xml:space="preserve">うち札幌
納品済</t>
  </si>
  <si>
    <t xml:space="preserve">差引
倉庫残</t>
  </si>
  <si>
    <t xml:space="preserve">札幌へ
追納必要数</t>
  </si>
  <si>
    <r>
      <rPr>
        <b val="true"/>
        <sz val="9"/>
        <color rgb="FFFFFFFF"/>
        <rFont val="WenQuanYi Zen Hei"/>
        <family val="2"/>
      </rPr>
      <t xml:space="preserve">札幌会期末
返送</t>
    </r>
    <r>
      <rPr>
        <b val="true"/>
        <sz val="9"/>
        <color rgb="FFFFFFFF"/>
        <rFont val="Meiryo UI"/>
        <family val="0"/>
        <charset val="1"/>
      </rPr>
      <t xml:space="preserve">(</t>
    </r>
    <r>
      <rPr>
        <b val="true"/>
        <sz val="9"/>
        <color rgb="FFFFFFFF"/>
        <rFont val="WenQuanYi Zen Hei"/>
        <family val="2"/>
      </rPr>
      <t xml:space="preserve">スライド</t>
    </r>
    <r>
      <rPr>
        <b val="true"/>
        <sz val="9"/>
        <color rgb="FFFFFFFF"/>
        <rFont val="Meiryo UI"/>
        <family val="0"/>
        <charset val="1"/>
      </rPr>
      <t xml:space="preserve">)</t>
    </r>
  </si>
  <si>
    <t xml:space="preserve">石川以降
供給可能計</t>
  </si>
  <si>
    <r>
      <rPr>
        <b val="true"/>
        <sz val="9"/>
        <color rgb="FFFFFFFF"/>
        <rFont val="WenQuanYi Zen Hei"/>
        <family val="2"/>
      </rPr>
      <t xml:space="preserve">確定発注
</t>
    </r>
    <r>
      <rPr>
        <b val="true"/>
        <sz val="9"/>
        <color rgb="FFFFFFFF"/>
        <rFont val="Meiryo UI"/>
        <family val="0"/>
        <charset val="1"/>
      </rPr>
      <t xml:space="preserve">(</t>
    </r>
    <r>
      <rPr>
        <b val="true"/>
        <sz val="9"/>
        <color rgb="FFFFFFFF"/>
        <rFont val="WenQuanYi Zen Hei"/>
        <family val="2"/>
      </rPr>
      <t xml:space="preserve">入荷予定</t>
    </r>
    <r>
      <rPr>
        <b val="true"/>
        <sz val="9"/>
        <color rgb="FFFFFFFF"/>
        <rFont val="Meiryo UI"/>
        <family val="0"/>
        <charset val="1"/>
      </rPr>
      <t xml:space="preserve">)</t>
    </r>
  </si>
  <si>
    <r>
      <rPr>
        <b val="true"/>
        <sz val="9"/>
        <color rgb="FFFFFFFF"/>
        <rFont val="WenQuanYi Zen Hei"/>
        <family val="2"/>
      </rPr>
      <t xml:space="preserve">過不足
</t>
    </r>
    <r>
      <rPr>
        <b val="true"/>
        <sz val="9"/>
        <color rgb="FFFFFFFF"/>
        <rFont val="Meiryo UI"/>
        <family val="0"/>
        <charset val="1"/>
      </rPr>
      <t xml:space="preserve">(</t>
    </r>
    <r>
      <rPr>
        <b val="true"/>
        <sz val="9"/>
        <color rgb="FFFFFFFF"/>
        <rFont val="WenQuanYi Zen Hei"/>
        <family val="2"/>
      </rPr>
      <t xml:space="preserve">必要−供給可能−確定</t>
    </r>
    <r>
      <rPr>
        <b val="true"/>
        <sz val="9"/>
        <color rgb="FFFFFFFF"/>
        <rFont val="Meiryo UI"/>
        <family val="0"/>
        <charset val="1"/>
      </rPr>
      <t xml:space="preserve">)</t>
    </r>
  </si>
  <si>
    <t xml:space="preserve">追加生産
必要数</t>
  </si>
  <si>
    <r>
      <rPr>
        <b val="true"/>
        <sz val="9"/>
        <color rgb="FFFFFFFF"/>
        <rFont val="WenQuanYi Zen Hei"/>
        <family val="2"/>
      </rPr>
      <t xml:space="preserve">推奨発注数
</t>
    </r>
    <r>
      <rPr>
        <b val="true"/>
        <sz val="9"/>
        <color rgb="FFFFFFFF"/>
        <rFont val="Meiryo UI"/>
        <family val="0"/>
        <charset val="1"/>
      </rPr>
      <t xml:space="preserve">(</t>
    </r>
    <r>
      <rPr>
        <b val="true"/>
        <sz val="9"/>
        <color rgb="FFFFFFFF"/>
        <rFont val="WenQuanYi Zen Hei"/>
        <family val="2"/>
      </rPr>
      <t xml:space="preserve">安全率込</t>
    </r>
    <r>
      <rPr>
        <b val="true"/>
        <sz val="9"/>
        <color rgb="FFFFFFFF"/>
        <rFont val="Meiryo UI"/>
        <family val="0"/>
        <charset val="1"/>
      </rPr>
      <t xml:space="preserve">)</t>
    </r>
  </si>
  <si>
    <r>
      <rPr>
        <b val="true"/>
        <sz val="15"/>
        <color rgb="FF1F3864"/>
        <rFont val="WenQuanYi Zen Hei"/>
        <family val="2"/>
      </rPr>
      <t xml:space="preserve">④ 追加発注 必要有無の判定（札幌会期中 ＋ 石川以降</t>
    </r>
    <r>
      <rPr>
        <b val="true"/>
        <sz val="15"/>
        <color rgb="FF1F3864"/>
        <rFont val="Meiryo UI"/>
        <family val="0"/>
        <charset val="1"/>
      </rPr>
      <t xml:space="preserve">5</t>
    </r>
    <r>
      <rPr>
        <b val="true"/>
        <sz val="15"/>
        <color rgb="FF1F3864"/>
        <rFont val="WenQuanYi Zen Hei"/>
        <family val="2"/>
      </rPr>
      <t xml:space="preserve">会場）</t>
    </r>
  </si>
  <si>
    <r>
      <rPr>
        <sz val="8"/>
        <color rgb="FF555555"/>
        <rFont val="WenQuanYi Zen Hei"/>
        <family val="2"/>
      </rPr>
      <t xml:space="preserve">【札幌会期中】会期</t>
    </r>
    <r>
      <rPr>
        <sz val="8"/>
        <color rgb="FF555555"/>
        <rFont val="Meiryo UI"/>
        <family val="0"/>
        <charset val="1"/>
      </rPr>
      <t xml:space="preserve">20</t>
    </r>
    <r>
      <rPr>
        <sz val="8"/>
        <color rgb="FF555555"/>
        <rFont val="WenQuanYi Zen Hei"/>
        <family val="2"/>
      </rPr>
      <t xml:space="preserve">日予測 </t>
    </r>
    <r>
      <rPr>
        <sz val="8"/>
        <color rgb="FF555555"/>
        <rFont val="Meiryo UI"/>
        <family val="0"/>
        <charset val="1"/>
      </rPr>
      <t xml:space="preserve">vs </t>
    </r>
    <r>
      <rPr>
        <sz val="8"/>
        <color rgb="FF555555"/>
        <rFont val="WenQuanYi Zen Hei"/>
        <family val="2"/>
      </rPr>
      <t xml:space="preserve">札幌への納品済 販売可能数　／　【石川以降】</t>
    </r>
    <r>
      <rPr>
        <sz val="8"/>
        <color rgb="FF555555"/>
        <rFont val="Meiryo UI"/>
        <family val="0"/>
        <charset val="1"/>
      </rPr>
      <t xml:space="preserve">5</t>
    </r>
    <r>
      <rPr>
        <sz val="8"/>
        <color rgb="FF555555"/>
        <rFont val="WenQuanYi Zen Hei"/>
        <family val="2"/>
      </rPr>
      <t xml:space="preserve">会場必要数 </t>
    </r>
    <r>
      <rPr>
        <sz val="8"/>
        <color rgb="FF555555"/>
        <rFont val="Meiryo UI"/>
        <family val="0"/>
        <charset val="1"/>
      </rPr>
      <t xml:space="preserve">vs </t>
    </r>
    <r>
      <rPr>
        <sz val="8"/>
        <color rgb="FF555555"/>
        <rFont val="WenQuanYi Zen Hei"/>
        <family val="2"/>
      </rPr>
      <t xml:space="preserve">札幌会期末残在庫＋倉庫在庫　※</t>
    </r>
    <r>
      <rPr>
        <sz val="8"/>
        <color rgb="FF555555"/>
        <rFont val="Meiryo UI"/>
        <family val="0"/>
        <charset val="1"/>
      </rPr>
      <t xml:space="preserve">2026/7/28 SPJ</t>
    </r>
    <r>
      <rPr>
        <sz val="8"/>
        <color rgb="FF555555"/>
        <rFont val="WenQuanYi Zen Hei"/>
        <family val="2"/>
      </rPr>
      <t xml:space="preserve">様欠品報告を突合</t>
    </r>
  </si>
  <si>
    <r>
      <rPr>
        <sz val="8"/>
        <color rgb="FF555555"/>
        <rFont val="WenQuanYi Zen Hei"/>
        <family val="2"/>
      </rPr>
      <t xml:space="preserve">推奨発注数＝不足数</t>
    </r>
    <r>
      <rPr>
        <sz val="8"/>
        <color rgb="FF555555"/>
        <rFont val="Meiryo UI"/>
        <family val="0"/>
        <charset val="1"/>
      </rPr>
      <t xml:space="preserve">×(1+</t>
    </r>
    <r>
      <rPr>
        <sz val="8"/>
        <color rgb="FF555555"/>
        <rFont val="WenQuanYi Zen Hei"/>
        <family val="2"/>
      </rPr>
      <t xml:space="preserve">安全率</t>
    </r>
    <r>
      <rPr>
        <sz val="8"/>
        <color rgb="FF555555"/>
        <rFont val="Meiryo UI"/>
        <family val="0"/>
        <charset val="1"/>
      </rPr>
      <t xml:space="preserve">10%)</t>
    </r>
    <r>
      <rPr>
        <sz val="8"/>
        <color rgb="FF555555"/>
        <rFont val="WenQuanYi Zen Hei"/>
        <family val="2"/>
      </rPr>
      <t xml:space="preserve">を切り上げ。</t>
    </r>
    <r>
      <rPr>
        <sz val="8"/>
        <color rgb="FF555555"/>
        <rFont val="Meiryo UI"/>
        <family val="0"/>
        <charset val="1"/>
      </rPr>
      <t xml:space="preserve">T</t>
    </r>
    <r>
      <rPr>
        <sz val="8"/>
        <color rgb="FF555555"/>
        <rFont val="WenQuanYi Zen Hei"/>
        <family val="2"/>
      </rPr>
      <t xml:space="preserve">〜</t>
    </r>
    <r>
      <rPr>
        <sz val="8"/>
        <color rgb="FF555555"/>
        <rFont val="Meiryo UI"/>
        <family val="0"/>
        <charset val="1"/>
      </rPr>
      <t xml:space="preserve">W</t>
    </r>
    <r>
      <rPr>
        <sz val="8"/>
        <color rgb="FF555555"/>
        <rFont val="WenQuanYi Zen Hei"/>
        <family val="2"/>
      </rPr>
      <t xml:space="preserve">列に欠品発生会場・最終発注期限（会期初日−生産日数−バッファ）・残日数・緊急度を記載</t>
    </r>
  </si>
  <si>
    <t xml:space="preserve">税込単価</t>
  </si>
  <si>
    <r>
      <rPr>
        <b val="true"/>
        <sz val="9"/>
        <color rgb="FFFFFFFF"/>
        <rFont val="WenQuanYi Zen Hei"/>
        <family val="2"/>
      </rPr>
      <t xml:space="preserve">札幌
初</t>
    </r>
    <r>
      <rPr>
        <b val="true"/>
        <sz val="9"/>
        <color rgb="FFFFFFFF"/>
        <rFont val="Meiryo UI"/>
        <family val="0"/>
        <charset val="1"/>
      </rPr>
      <t xml:space="preserve">6</t>
    </r>
    <r>
      <rPr>
        <b val="true"/>
        <sz val="9"/>
        <color rgb="FFFFFFFF"/>
        <rFont val="WenQuanYi Zen Hei"/>
        <family val="2"/>
      </rPr>
      <t xml:space="preserve">日実績</t>
    </r>
  </si>
  <si>
    <r>
      <rPr>
        <b val="true"/>
        <sz val="9"/>
        <color rgb="FFFFFFFF"/>
        <rFont val="WenQuanYi Zen Hei"/>
        <family val="2"/>
      </rPr>
      <t xml:space="preserve">札幌
会期</t>
    </r>
    <r>
      <rPr>
        <b val="true"/>
        <sz val="9"/>
        <color rgb="FFFFFFFF"/>
        <rFont val="Meiryo UI"/>
        <family val="0"/>
        <charset val="1"/>
      </rPr>
      <t xml:space="preserve">20</t>
    </r>
    <r>
      <rPr>
        <b val="true"/>
        <sz val="9"/>
        <color rgb="FFFFFFFF"/>
        <rFont val="WenQuanYi Zen Hei"/>
        <family val="2"/>
      </rPr>
      <t xml:space="preserve">日予測</t>
    </r>
  </si>
  <si>
    <t xml:space="preserve">札幌
予測消化率</t>
  </si>
  <si>
    <t xml:space="preserve">札幌会期中
過不足</t>
  </si>
  <si>
    <t xml:space="preserve">札幌会期中
判定</t>
  </si>
  <si>
    <t xml:space="preserve">札幌会期中
推奨発注数</t>
  </si>
  <si>
    <t xml:space="preserve">石川以降
必要数</t>
  </si>
  <si>
    <t xml:space="preserve">札幌からの
スライド</t>
  </si>
  <si>
    <r>
      <rPr>
        <b val="true"/>
        <sz val="9"/>
        <color rgb="FFFFFFFF"/>
        <rFont val="Meiryo UI"/>
        <family val="0"/>
        <charset val="1"/>
      </rPr>
      <t xml:space="preserve">7/8</t>
    </r>
    <r>
      <rPr>
        <b val="true"/>
        <sz val="9"/>
        <color rgb="FFFFFFFF"/>
        <rFont val="WenQuanYi Zen Hei"/>
        <family val="2"/>
      </rPr>
      <t xml:space="preserve">実在庫の
倉庫残</t>
    </r>
  </si>
  <si>
    <t xml:space="preserve">石川以降
過不足</t>
  </si>
  <si>
    <t xml:space="preserve">石川以降
判定</t>
  </si>
  <si>
    <t xml:space="preserve">石川以降
推奨発注数</t>
  </si>
  <si>
    <r>
      <rPr>
        <b val="true"/>
        <sz val="9"/>
        <color rgb="FFFFFFFF"/>
        <rFont val="WenQuanYi Zen Hei"/>
        <family val="2"/>
      </rPr>
      <t xml:space="preserve">発注合計
</t>
    </r>
    <r>
      <rPr>
        <b val="true"/>
        <sz val="9"/>
        <color rgb="FFFFFFFF"/>
        <rFont val="Meiryo UI"/>
        <family val="0"/>
        <charset val="1"/>
      </rPr>
      <t xml:space="preserve">(</t>
    </r>
    <r>
      <rPr>
        <b val="true"/>
        <sz val="9"/>
        <color rgb="FFFFFFFF"/>
        <rFont val="WenQuanYi Zen Hei"/>
        <family val="2"/>
      </rPr>
      <t xml:space="preserve">札幌</t>
    </r>
    <r>
      <rPr>
        <b val="true"/>
        <sz val="9"/>
        <color rgb="FFFFFFFF"/>
        <rFont val="Meiryo UI"/>
        <family val="0"/>
        <charset val="1"/>
      </rPr>
      <t xml:space="preserve">+</t>
    </r>
    <r>
      <rPr>
        <b val="true"/>
        <sz val="9"/>
        <color rgb="FFFFFFFF"/>
        <rFont val="WenQuanYi Zen Hei"/>
        <family val="2"/>
      </rPr>
      <t xml:space="preserve">石川以降</t>
    </r>
    <r>
      <rPr>
        <b val="true"/>
        <sz val="9"/>
        <color rgb="FFFFFFFF"/>
        <rFont val="Meiryo UI"/>
        <family val="0"/>
        <charset val="1"/>
      </rPr>
      <t xml:space="preserve">)</t>
    </r>
  </si>
  <si>
    <r>
      <rPr>
        <b val="true"/>
        <sz val="9"/>
        <color rgb="FFFFFFFF"/>
        <rFont val="WenQuanYi Zen Hei"/>
        <family val="2"/>
      </rPr>
      <t xml:space="preserve">発注金額
</t>
    </r>
    <r>
      <rPr>
        <b val="true"/>
        <sz val="9"/>
        <color rgb="FFFFFFFF"/>
        <rFont val="Meiryo UI"/>
        <family val="0"/>
        <charset val="1"/>
      </rPr>
      <t xml:space="preserve">(</t>
    </r>
    <r>
      <rPr>
        <b val="true"/>
        <sz val="9"/>
        <color rgb="FFFFFFFF"/>
        <rFont val="WenQuanYi Zen Hei"/>
        <family val="2"/>
      </rPr>
      <t xml:space="preserve">税込小売換算</t>
    </r>
    <r>
      <rPr>
        <b val="true"/>
        <sz val="9"/>
        <color rgb="FFFFFFFF"/>
        <rFont val="Meiryo UI"/>
        <family val="0"/>
        <charset val="1"/>
      </rPr>
      <t xml:space="preserve">)</t>
    </r>
  </si>
  <si>
    <t xml:space="preserve">欠品発生
会場</t>
  </si>
  <si>
    <t xml:space="preserve">最終発注期限</t>
  </si>
  <si>
    <t xml:space="preserve">基準日からの
残日数</t>
  </si>
  <si>
    <t xml:space="preserve">発注の緊急度</t>
  </si>
  <si>
    <t xml:space="preserve">優先度</t>
  </si>
  <si>
    <r>
      <rPr>
        <b val="true"/>
        <sz val="9"/>
        <color rgb="FF333333"/>
        <rFont val="WenQuanYi Zen Hei"/>
        <family val="2"/>
      </rPr>
      <t xml:space="preserve">運営 欠品報告
</t>
    </r>
    <r>
      <rPr>
        <b val="true"/>
        <sz val="9"/>
        <color rgb="FF333333"/>
        <rFont val="Meiryo UI"/>
        <family val="0"/>
        <charset val="1"/>
      </rPr>
      <t xml:space="preserve">(7/28 SPJ</t>
    </r>
    <r>
      <rPr>
        <b val="true"/>
        <sz val="9"/>
        <color rgb="FF333333"/>
        <rFont val="WenQuanYi Zen Hei"/>
        <family val="2"/>
      </rPr>
      <t xml:space="preserve">様</t>
    </r>
    <r>
      <rPr>
        <b val="true"/>
        <sz val="9"/>
        <color rgb="FF333333"/>
        <rFont val="Meiryo UI"/>
        <family val="0"/>
        <charset val="1"/>
      </rPr>
      <t xml:space="preserve">)</t>
    </r>
  </si>
  <si>
    <r>
      <rPr>
        <b val="true"/>
        <sz val="9"/>
        <color rgb="FF333333"/>
        <rFont val="WenQuanYi Zen Hei"/>
        <family val="2"/>
      </rPr>
      <t xml:space="preserve">モデル</t>
    </r>
    <r>
      <rPr>
        <b val="true"/>
        <sz val="9"/>
        <color rgb="FF333333"/>
        <rFont val="Meiryo UI"/>
        <family val="0"/>
        <charset val="1"/>
      </rPr>
      <t xml:space="preserve">×</t>
    </r>
    <r>
      <rPr>
        <b val="true"/>
        <sz val="9"/>
        <color rgb="FF333333"/>
        <rFont val="WenQuanYi Zen Hei"/>
        <family val="2"/>
      </rPr>
      <t xml:space="preserve">現場
突合</t>
    </r>
  </si>
  <si>
    <t xml:space="preserve">博多会場で完売（実績が在庫上限で頭打ち＝予測は控えめ）</t>
  </si>
  <si>
    <t xml:space="preserve">—</t>
  </si>
  <si>
    <t xml:space="preserve">欠品／近々欠品</t>
  </si>
  <si>
    <r>
      <rPr>
        <sz val="9"/>
        <rFont val="WenQuanYi Zen Hei"/>
        <family val="2"/>
      </rPr>
      <t xml:space="preserve">【</t>
    </r>
    <r>
      <rPr>
        <sz val="9"/>
        <rFont val="Meiryo UI"/>
        <family val="0"/>
        <charset val="1"/>
      </rPr>
      <t xml:space="preserve">7/28 </t>
    </r>
    <r>
      <rPr>
        <sz val="9"/>
        <rFont val="WenQuanYi Zen Hei"/>
        <family val="2"/>
      </rPr>
      <t xml:space="preserve">運営報告】欠品／近々欠品 ／ 倉庫残</t>
    </r>
    <r>
      <rPr>
        <sz val="9"/>
        <rFont val="Meiryo UI"/>
        <family val="0"/>
        <charset val="1"/>
      </rPr>
      <t xml:space="preserve">1,740</t>
    </r>
    <r>
      <rPr>
        <sz val="9"/>
        <rFont val="WenQuanYi Zen Hei"/>
        <family val="2"/>
      </rPr>
      <t xml:space="preserve">個 → ◎倉庫からの追加納品で対応可能（追加生産は不要） ／ 博多会場で完売（実績が在庫上限で頭打ち＝予測は控えめ）</t>
    </r>
  </si>
  <si>
    <t xml:space="preserve">名古屋会場で完売（実績が在庫上限で頭打ち＝予測は控えめ） ／ 博多会場で完売（実績が在庫上限で頭打ち＝予測は控えめ）</t>
  </si>
  <si>
    <r>
      <rPr>
        <sz val="9"/>
        <rFont val="WenQuanYi Zen Hei"/>
        <family val="2"/>
      </rPr>
      <t xml:space="preserve">【</t>
    </r>
    <r>
      <rPr>
        <sz val="9"/>
        <rFont val="Meiryo UI"/>
        <family val="0"/>
        <charset val="1"/>
      </rPr>
      <t xml:space="preserve">7/28 </t>
    </r>
    <r>
      <rPr>
        <sz val="9"/>
        <rFont val="WenQuanYi Zen Hei"/>
        <family val="2"/>
      </rPr>
      <t xml:space="preserve">運営報告】欠品／近々欠品 ／ 倉庫残</t>
    </r>
    <r>
      <rPr>
        <sz val="9"/>
        <rFont val="Meiryo UI"/>
        <family val="0"/>
        <charset val="1"/>
      </rPr>
      <t xml:space="preserve">2,423</t>
    </r>
    <r>
      <rPr>
        <sz val="9"/>
        <rFont val="WenQuanYi Zen Hei"/>
        <family val="2"/>
      </rPr>
      <t xml:space="preserve">個 → ◎倉庫からの追加納品で対応可能（追加生産は不要） ／ 博多会場で完売（実績が在庫上限で頭打ち＝予測は控えめ）</t>
    </r>
  </si>
  <si>
    <r>
      <rPr>
        <sz val="9"/>
        <rFont val="WenQuanYi Zen Hei"/>
        <family val="2"/>
      </rPr>
      <t xml:space="preserve">【</t>
    </r>
    <r>
      <rPr>
        <sz val="9"/>
        <rFont val="Meiryo UI"/>
        <family val="0"/>
        <charset val="1"/>
      </rPr>
      <t xml:space="preserve">7/28 </t>
    </r>
    <r>
      <rPr>
        <sz val="9"/>
        <rFont val="WenQuanYi Zen Hei"/>
        <family val="2"/>
      </rPr>
      <t xml:space="preserve">運営報告】欠品／近々欠品 ／ 倉庫残</t>
    </r>
    <r>
      <rPr>
        <sz val="9"/>
        <rFont val="Meiryo UI"/>
        <family val="0"/>
        <charset val="1"/>
      </rPr>
      <t xml:space="preserve">208</t>
    </r>
    <r>
      <rPr>
        <sz val="9"/>
        <rFont val="WenQuanYi Zen Hei"/>
        <family val="2"/>
      </rPr>
      <t xml:space="preserve">個 → ◎倉庫からの追加納品で対応可能（追加生産は不要） ／ 名古屋会場で完売（実績が在庫上限で頭打ち＝予測は控えめ） ／ 博多会場で完売（実績が在庫上限で頭打ち＝予測は控えめ）</t>
    </r>
  </si>
  <si>
    <r>
      <rPr>
        <sz val="9"/>
        <rFont val="WenQuanYi Zen Hei"/>
        <family val="2"/>
      </rPr>
      <t xml:space="preserve">【</t>
    </r>
    <r>
      <rPr>
        <sz val="9"/>
        <rFont val="Meiryo UI"/>
        <family val="0"/>
        <charset val="1"/>
      </rPr>
      <t xml:space="preserve">7/28 </t>
    </r>
    <r>
      <rPr>
        <sz val="9"/>
        <rFont val="WenQuanYi Zen Hei"/>
        <family val="2"/>
      </rPr>
      <t xml:space="preserve">運営報告】欠品／近々欠品 ／ 倉庫残</t>
    </r>
    <r>
      <rPr>
        <sz val="9"/>
        <rFont val="Meiryo UI"/>
        <family val="0"/>
        <charset val="1"/>
      </rPr>
      <t xml:space="preserve">1,281</t>
    </r>
    <r>
      <rPr>
        <sz val="9"/>
        <rFont val="WenQuanYi Zen Hei"/>
        <family val="2"/>
      </rPr>
      <t xml:space="preserve">個 → ◎倉庫からの追加納品で対応可能（追加生産は不要） ／ 札幌会期中に欠品見込。至急スライド納品または追加発注 ／ 博多会場で完売（実績が在庫上限で頭打ち＝予測は控えめ）</t>
    </r>
  </si>
  <si>
    <r>
      <rPr>
        <sz val="9"/>
        <rFont val="WenQuanYi Zen Hei"/>
        <family val="2"/>
      </rPr>
      <t xml:space="preserve">【</t>
    </r>
    <r>
      <rPr>
        <sz val="9"/>
        <rFont val="Meiryo UI"/>
        <family val="0"/>
        <charset val="1"/>
      </rPr>
      <t xml:space="preserve">7/28 </t>
    </r>
    <r>
      <rPr>
        <sz val="9"/>
        <rFont val="WenQuanYi Zen Hei"/>
        <family val="2"/>
      </rPr>
      <t xml:space="preserve">運営報告】欠品／近々欠品 ／ 倉庫残</t>
    </r>
    <r>
      <rPr>
        <sz val="9"/>
        <rFont val="Meiryo UI"/>
        <family val="0"/>
        <charset val="1"/>
      </rPr>
      <t xml:space="preserve">297</t>
    </r>
    <r>
      <rPr>
        <sz val="9"/>
        <rFont val="WenQuanYi Zen Hei"/>
        <family val="2"/>
      </rPr>
      <t xml:space="preserve">個 → ◎倉庫からの追加納品で対応可能（追加生産は不要） ／ 名古屋会場で完売（実績が在庫上限で頭打ち＝予測は控えめ）</t>
    </r>
  </si>
  <si>
    <t xml:space="preserve">◎発注確定済</t>
  </si>
  <si>
    <r>
      <rPr>
        <sz val="9"/>
        <rFont val="WenQuanYi Zen Hei"/>
        <family val="2"/>
      </rPr>
      <t xml:space="preserve">【</t>
    </r>
    <r>
      <rPr>
        <sz val="9"/>
        <rFont val="Meiryo UI"/>
        <family val="0"/>
        <charset val="1"/>
      </rPr>
      <t xml:space="preserve">7/28 </t>
    </r>
    <r>
      <rPr>
        <sz val="9"/>
        <rFont val="WenQuanYi Zen Hei"/>
        <family val="2"/>
      </rPr>
      <t xml:space="preserve">運営報告】欠品／近々欠品 ／ 倉庫残</t>
    </r>
    <r>
      <rPr>
        <sz val="9"/>
        <rFont val="Meiryo UI"/>
        <family val="0"/>
        <charset val="1"/>
      </rPr>
      <t xml:space="preserve">160</t>
    </r>
    <r>
      <rPr>
        <sz val="9"/>
        <rFont val="WenQuanYi Zen Hei"/>
        <family val="2"/>
      </rPr>
      <t xml:space="preserve">個 → ◎倉庫からの追加納品で対応可能（追加生産は不要） ／ 名古屋会場で完売（実績が在庫上限で頭打ち＝予測は控えめ） ／ 博多会場で完売（実績が在庫上限で頭打ち＝予測は控えめ） ／ 大阪会場で完売（実績が在庫上限で頭打ち＝予測は控えめ）</t>
    </r>
  </si>
  <si>
    <r>
      <rPr>
        <sz val="9"/>
        <rFont val="WenQuanYi Zen Hei"/>
        <family val="2"/>
      </rPr>
      <t xml:space="preserve">【</t>
    </r>
    <r>
      <rPr>
        <sz val="9"/>
        <rFont val="Meiryo UI"/>
        <family val="0"/>
        <charset val="1"/>
      </rPr>
      <t xml:space="preserve">7/28 </t>
    </r>
    <r>
      <rPr>
        <sz val="9"/>
        <rFont val="WenQuanYi Zen Hei"/>
        <family val="2"/>
      </rPr>
      <t xml:space="preserve">運営報告】欠品／近々欠品 ／ 倉庫残</t>
    </r>
    <r>
      <rPr>
        <sz val="9"/>
        <rFont val="Meiryo UI"/>
        <family val="0"/>
        <charset val="1"/>
      </rPr>
      <t xml:space="preserve">260</t>
    </r>
    <r>
      <rPr>
        <sz val="9"/>
        <rFont val="WenQuanYi Zen Hei"/>
        <family val="2"/>
      </rPr>
      <t xml:space="preserve">個 → ◎倉庫からの追加納品で対応可能（追加生産は不要） ／ 名古屋会場で完売（実績が在庫上限で頭打ち＝予測は控えめ） ／ 博多会場で完売（実績が在庫上限で頭打ち＝予測は控えめ） ／ 大阪会場で完売（実績が在庫上限で頭打ち＝予測は控えめ）</t>
    </r>
  </si>
  <si>
    <t xml:space="preserve">欠品（※前会場時に追納困難と回答済）</t>
  </si>
  <si>
    <r>
      <rPr>
        <sz val="9"/>
        <rFont val="WenQuanYi Zen Hei"/>
        <family val="2"/>
      </rPr>
      <t xml:space="preserve">【</t>
    </r>
    <r>
      <rPr>
        <sz val="9"/>
        <rFont val="Meiryo UI"/>
        <family val="0"/>
        <charset val="1"/>
      </rPr>
      <t xml:space="preserve">7/28 </t>
    </r>
    <r>
      <rPr>
        <sz val="9"/>
        <rFont val="WenQuanYi Zen Hei"/>
        <family val="2"/>
      </rPr>
      <t xml:space="preserve">運営報告】欠品（※前会場時に追納困難と回答済） ／ 倉庫残</t>
    </r>
    <r>
      <rPr>
        <sz val="9"/>
        <rFont val="Meiryo UI"/>
        <family val="0"/>
        <charset val="1"/>
      </rPr>
      <t xml:space="preserve">23</t>
    </r>
    <r>
      <rPr>
        <sz val="9"/>
        <rFont val="WenQuanYi Zen Hei"/>
        <family val="2"/>
      </rPr>
      <t xml:space="preserve">個 → ◎倉庫からの追加納品で対応可能（追加生産は不要） ／ ★追納不可のため発注推奨は</t>
    </r>
    <r>
      <rPr>
        <sz val="9"/>
        <rFont val="Meiryo UI"/>
        <family val="0"/>
        <charset val="1"/>
      </rPr>
      <t xml:space="preserve">0</t>
    </r>
    <r>
      <rPr>
        <sz val="9"/>
        <rFont val="WenQuanYi Zen Hei"/>
        <family val="2"/>
      </rPr>
      <t xml:space="preserve">。石川以降は欠品前提で販売計画を組むか代替商品を手配 ／ 札幌納品数が極小</t>
    </r>
    <r>
      <rPr>
        <sz val="9"/>
        <rFont val="Meiryo UI"/>
        <family val="0"/>
        <charset val="1"/>
      </rPr>
      <t xml:space="preserve">(10</t>
    </r>
    <r>
      <rPr>
        <sz val="9"/>
        <rFont val="WenQuanYi Zen Hei"/>
        <family val="2"/>
      </rPr>
      <t xml:space="preserve">個</t>
    </r>
    <r>
      <rPr>
        <sz val="9"/>
        <rFont val="Meiryo UI"/>
        <family val="0"/>
        <charset val="1"/>
      </rPr>
      <t xml:space="preserve">) </t>
    </r>
    <r>
      <rPr>
        <sz val="9"/>
        <rFont val="WenQuanYi Zen Hei"/>
        <family val="2"/>
      </rPr>
      <t xml:space="preserve">／ 名古屋会場で完売（実績が在庫上限で頭打ち＝予測は控えめ） ／ 博多会場で完売（実績が在庫上限で頭打ち＝予測は控えめ） ／ 大阪会場で完売（実績が在庫上限で頭打ち＝予測は控えめ）</t>
    </r>
  </si>
  <si>
    <r>
      <rPr>
        <sz val="9"/>
        <rFont val="WenQuanYi Zen Hei"/>
        <family val="2"/>
      </rPr>
      <t xml:space="preserve">札幌初</t>
    </r>
    <r>
      <rPr>
        <sz val="9"/>
        <rFont val="Meiryo UI"/>
        <family val="0"/>
        <charset val="1"/>
      </rPr>
      <t xml:space="preserve">6</t>
    </r>
    <r>
      <rPr>
        <sz val="9"/>
        <rFont val="WenQuanYi Zen Hei"/>
        <family val="2"/>
      </rPr>
      <t xml:space="preserve">日の販売実績ゼロ（予測は大阪・博多構成比で按分）</t>
    </r>
  </si>
  <si>
    <r>
      <rPr>
        <sz val="9"/>
        <rFont val="WenQuanYi Zen Hei"/>
        <family val="2"/>
      </rPr>
      <t xml:space="preserve">札幌納品数が極小</t>
    </r>
    <r>
      <rPr>
        <sz val="9"/>
        <rFont val="Meiryo UI"/>
        <family val="0"/>
        <charset val="1"/>
      </rPr>
      <t xml:space="preserve">(2</t>
    </r>
    <r>
      <rPr>
        <sz val="9"/>
        <rFont val="WenQuanYi Zen Hei"/>
        <family val="2"/>
      </rPr>
      <t xml:space="preserve">個</t>
    </r>
    <r>
      <rPr>
        <sz val="9"/>
        <rFont val="Meiryo UI"/>
        <family val="0"/>
        <charset val="1"/>
      </rPr>
      <t xml:space="preserve">) </t>
    </r>
    <r>
      <rPr>
        <sz val="9"/>
        <rFont val="WenQuanYi Zen Hei"/>
        <family val="2"/>
      </rPr>
      <t xml:space="preserve">／ 名古屋会場で完売（実績が在庫上限で頭打ち＝予測は控えめ） ／ 博多会場で完売（実績が在庫上限で頭打ち＝予測は控えめ） ／ 大阪会場で完売（実績が在庫上限で頭打ち＝予測は控えめ）</t>
    </r>
  </si>
  <si>
    <r>
      <rPr>
        <sz val="9"/>
        <rFont val="WenQuanYi Zen Hei"/>
        <family val="2"/>
      </rPr>
      <t xml:space="preserve">札幌納品数が極小</t>
    </r>
    <r>
      <rPr>
        <sz val="9"/>
        <rFont val="Meiryo UI"/>
        <family val="0"/>
        <charset val="1"/>
      </rPr>
      <t xml:space="preserve">(2</t>
    </r>
    <r>
      <rPr>
        <sz val="9"/>
        <rFont val="WenQuanYi Zen Hei"/>
        <family val="2"/>
      </rPr>
      <t xml:space="preserve">個</t>
    </r>
    <r>
      <rPr>
        <sz val="9"/>
        <rFont val="Meiryo UI"/>
        <family val="0"/>
        <charset val="1"/>
      </rPr>
      <t xml:space="preserve">) </t>
    </r>
    <r>
      <rPr>
        <sz val="9"/>
        <rFont val="WenQuanYi Zen Hei"/>
        <family val="2"/>
      </rPr>
      <t xml:space="preserve">／ 札幌初</t>
    </r>
    <r>
      <rPr>
        <sz val="9"/>
        <rFont val="Meiryo UI"/>
        <family val="0"/>
        <charset val="1"/>
      </rPr>
      <t xml:space="preserve">6</t>
    </r>
    <r>
      <rPr>
        <sz val="9"/>
        <rFont val="WenQuanYi Zen Hei"/>
        <family val="2"/>
      </rPr>
      <t xml:space="preserve">日の販売実績ゼロ（予測は大阪・博多構成比で按分） ／ 名古屋会場で完売（実績が在庫上限で頭打ち＝予測は控えめ） ／ 博多会場で完売（実績が在庫上限で頭打ち＝予測は控えめ） ／ 大阪会場で完売（実績が在庫上限で頭打ち＝予測は控えめ）</t>
    </r>
  </si>
  <si>
    <r>
      <rPr>
        <sz val="9"/>
        <rFont val="WenQuanYi Zen Hei"/>
        <family val="2"/>
      </rPr>
      <t xml:space="preserve">札幌納品数が極小</t>
    </r>
    <r>
      <rPr>
        <sz val="9"/>
        <rFont val="Meiryo UI"/>
        <family val="0"/>
        <charset val="1"/>
      </rPr>
      <t xml:space="preserve">(8</t>
    </r>
    <r>
      <rPr>
        <sz val="9"/>
        <rFont val="WenQuanYi Zen Hei"/>
        <family val="2"/>
      </rPr>
      <t xml:space="preserve">個</t>
    </r>
    <r>
      <rPr>
        <sz val="9"/>
        <rFont val="Meiryo UI"/>
        <family val="0"/>
        <charset val="1"/>
      </rPr>
      <t xml:space="preserve">) </t>
    </r>
    <r>
      <rPr>
        <sz val="9"/>
        <rFont val="WenQuanYi Zen Hei"/>
        <family val="2"/>
      </rPr>
      <t xml:space="preserve">／ 札幌初</t>
    </r>
    <r>
      <rPr>
        <sz val="9"/>
        <rFont val="Meiryo UI"/>
        <family val="0"/>
        <charset val="1"/>
      </rPr>
      <t xml:space="preserve">6</t>
    </r>
    <r>
      <rPr>
        <sz val="9"/>
        <rFont val="WenQuanYi Zen Hei"/>
        <family val="2"/>
      </rPr>
      <t xml:space="preserve">日の販売実績ゼロ（予測は大阪・博多構成比で按分） ／ 名古屋会場で完売（実績が在庫上限で頭打ち＝予測は控えめ）</t>
    </r>
  </si>
  <si>
    <r>
      <rPr>
        <sz val="9"/>
        <rFont val="WenQuanYi Zen Hei"/>
        <family val="2"/>
      </rPr>
      <t xml:space="preserve">仙台 </t>
    </r>
    <r>
      <rPr>
        <sz val="9"/>
        <rFont val="Meiryo UI"/>
        <family val="0"/>
        <charset val="1"/>
      </rPr>
      <t xml:space="preserve">Ebeans</t>
    </r>
  </si>
  <si>
    <r>
      <rPr>
        <sz val="9"/>
        <rFont val="WenQuanYi Zen Hei"/>
        <family val="2"/>
      </rPr>
      <t xml:space="preserve">札幌納品数が極小</t>
    </r>
    <r>
      <rPr>
        <sz val="9"/>
        <rFont val="Meiryo UI"/>
        <family val="0"/>
        <charset val="1"/>
      </rPr>
      <t xml:space="preserve">(4</t>
    </r>
    <r>
      <rPr>
        <sz val="9"/>
        <rFont val="WenQuanYi Zen Hei"/>
        <family val="2"/>
      </rPr>
      <t xml:space="preserve">個</t>
    </r>
    <r>
      <rPr>
        <sz val="9"/>
        <rFont val="Meiryo UI"/>
        <family val="0"/>
        <charset val="1"/>
      </rPr>
      <t xml:space="preserve">) </t>
    </r>
    <r>
      <rPr>
        <sz val="9"/>
        <rFont val="WenQuanYi Zen Hei"/>
        <family val="2"/>
      </rPr>
      <t xml:space="preserve">／ 札幌初</t>
    </r>
    <r>
      <rPr>
        <sz val="9"/>
        <rFont val="Meiryo UI"/>
        <family val="0"/>
        <charset val="1"/>
      </rPr>
      <t xml:space="preserve">6</t>
    </r>
    <r>
      <rPr>
        <sz val="9"/>
        <rFont val="WenQuanYi Zen Hei"/>
        <family val="2"/>
      </rPr>
      <t xml:space="preserve">日の販売実績ゼロ（予測は大阪・博多構成比で按分）</t>
    </r>
  </si>
  <si>
    <r>
      <rPr>
        <sz val="9"/>
        <rFont val="WenQuanYi Zen Hei"/>
        <family val="2"/>
      </rPr>
      <t xml:space="preserve">札幌納品数が極小</t>
    </r>
    <r>
      <rPr>
        <sz val="9"/>
        <rFont val="Meiryo UI"/>
        <family val="0"/>
        <charset val="1"/>
      </rPr>
      <t xml:space="preserve">(6</t>
    </r>
    <r>
      <rPr>
        <sz val="9"/>
        <rFont val="WenQuanYi Zen Hei"/>
        <family val="2"/>
      </rPr>
      <t xml:space="preserve">個</t>
    </r>
    <r>
      <rPr>
        <sz val="9"/>
        <rFont val="Meiryo UI"/>
        <family val="0"/>
        <charset val="1"/>
      </rPr>
      <t xml:space="preserve">)</t>
    </r>
  </si>
  <si>
    <r>
      <rPr>
        <b val="true"/>
        <sz val="15"/>
        <color rgb="FF1F3864"/>
        <rFont val="WenQuanYi Zen Hei"/>
        <family val="2"/>
      </rPr>
      <t xml:space="preserve">⑤ 商品別 全データ統合リスト（</t>
    </r>
    <r>
      <rPr>
        <b val="true"/>
        <sz val="15"/>
        <color rgb="FF1F3864"/>
        <rFont val="Meiryo UI"/>
        <family val="0"/>
        <charset val="1"/>
      </rPr>
      <t xml:space="preserve">5</t>
    </r>
    <r>
      <rPr>
        <b val="true"/>
        <sz val="15"/>
        <color rgb="FF1F3864"/>
        <rFont val="WenQuanYi Zen Hei"/>
        <family val="2"/>
      </rPr>
      <t xml:space="preserve">会場実績 ＋ 札幌予測 ＋ 石川以降予測）</t>
    </r>
  </si>
  <si>
    <r>
      <rPr>
        <sz val="8"/>
        <color rgb="FF555555"/>
        <rFont val="WenQuanYi Zen Hei"/>
        <family val="2"/>
      </rPr>
      <t xml:space="preserve">構成比＝</t>
    </r>
    <r>
      <rPr>
        <sz val="8"/>
        <color rgb="FF555555"/>
        <rFont val="Meiryo UI"/>
        <family val="0"/>
        <charset val="1"/>
      </rPr>
      <t xml:space="preserve">LEGS 42SKU</t>
    </r>
    <r>
      <rPr>
        <sz val="8"/>
        <color rgb="FF555555"/>
        <rFont val="WenQuanYi Zen Hei"/>
        <family val="2"/>
      </rPr>
      <t xml:space="preserve">内シェア（数量・金額）。消化率＝販売数</t>
    </r>
    <r>
      <rPr>
        <sz val="8"/>
        <color rgb="FF555555"/>
        <rFont val="Meiryo UI"/>
        <family val="0"/>
        <charset val="1"/>
      </rPr>
      <t xml:space="preserve">÷</t>
    </r>
    <r>
      <rPr>
        <sz val="8"/>
        <color rgb="FF555555"/>
        <rFont val="WenQuanYi Zen Hei"/>
        <family val="2"/>
      </rPr>
      <t xml:space="preserve">販売可能数。札幌のみ</t>
    </r>
    <r>
      <rPr>
        <sz val="8"/>
        <color rgb="FF555555"/>
        <rFont val="Meiryo UI"/>
        <family val="0"/>
        <charset val="1"/>
      </rPr>
      <t xml:space="preserve">7/27(6</t>
    </r>
    <r>
      <rPr>
        <sz val="8"/>
        <color rgb="FF555555"/>
        <rFont val="WenQuanYi Zen Hei"/>
        <family val="2"/>
      </rPr>
      <t xml:space="preserve">日目</t>
    </r>
    <r>
      <rPr>
        <sz val="8"/>
        <color rgb="FF555555"/>
        <rFont val="Meiryo UI"/>
        <family val="0"/>
        <charset val="1"/>
      </rPr>
      <t xml:space="preserve">)</t>
    </r>
    <r>
      <rPr>
        <sz val="8"/>
        <color rgb="FF555555"/>
        <rFont val="WenQuanYi Zen Hei"/>
        <family val="2"/>
      </rPr>
      <t xml:space="preserve">時点の実績</t>
    </r>
  </si>
  <si>
    <r>
      <rPr>
        <sz val="8"/>
        <color rgb="FF555555"/>
        <rFont val="WenQuanYi Zen Hei"/>
        <family val="2"/>
      </rPr>
      <t xml:space="preserve">※イメージリング</t>
    </r>
    <r>
      <rPr>
        <sz val="8"/>
        <color rgb="FF555555"/>
        <rFont val="Meiryo UI"/>
        <family val="0"/>
        <charset val="1"/>
      </rPr>
      <t xml:space="preserve">8</t>
    </r>
    <r>
      <rPr>
        <sz val="8"/>
        <color rgb="FF555555"/>
        <rFont val="WenQuanYi Zen Hei"/>
        <family val="2"/>
      </rPr>
      <t xml:space="preserve">種は東京</t>
    </r>
    <r>
      <rPr>
        <sz val="8"/>
        <color rgb="FF555555"/>
        <rFont val="Meiryo UI"/>
        <family val="0"/>
        <charset val="1"/>
      </rPr>
      <t xml:space="preserve">¥22,000→</t>
    </r>
    <r>
      <rPr>
        <sz val="8"/>
        <color rgb="FF555555"/>
        <rFont val="WenQuanYi Zen Hei"/>
        <family val="2"/>
      </rPr>
      <t xml:space="preserve">名古屋以降</t>
    </r>
    <r>
      <rPr>
        <sz val="8"/>
        <color rgb="FF555555"/>
        <rFont val="Meiryo UI"/>
        <family val="0"/>
        <charset val="1"/>
      </rPr>
      <t xml:space="preserve">¥27,500</t>
    </r>
    <r>
      <rPr>
        <sz val="8"/>
        <color rgb="FF555555"/>
        <rFont val="WenQuanYi Zen Hei"/>
        <family val="2"/>
      </rPr>
      <t xml:space="preserve">に改定。販売金額は各会場の実売単価で算出している</t>
    </r>
  </si>
  <si>
    <t xml:space="preserve">基本情報</t>
  </si>
  <si>
    <r>
      <rPr>
        <b val="true"/>
        <sz val="11"/>
        <color rgb="FFFFFFFF"/>
        <rFont val="WenQuanYi Zen Hei"/>
        <family val="2"/>
      </rPr>
      <t xml:space="preserve">東京（</t>
    </r>
    <r>
      <rPr>
        <b val="true"/>
        <sz val="11"/>
        <color rgb="FFFFFFFF"/>
        <rFont val="Meiryo UI"/>
        <family val="0"/>
        <charset val="1"/>
      </rPr>
      <t xml:space="preserve">25/12/5(</t>
    </r>
    <r>
      <rPr>
        <b val="true"/>
        <sz val="11"/>
        <color rgb="FFFFFFFF"/>
        <rFont val="WenQuanYi Zen Hei"/>
        <family val="2"/>
      </rPr>
      <t xml:space="preserve">金</t>
    </r>
    <r>
      <rPr>
        <b val="true"/>
        <sz val="11"/>
        <color rgb="FFFFFFFF"/>
        <rFont val="Meiryo UI"/>
        <family val="0"/>
        <charset val="1"/>
      </rPr>
      <t xml:space="preserve">)</t>
    </r>
    <r>
      <rPr>
        <b val="true"/>
        <sz val="11"/>
        <color rgb="FFFFFFFF"/>
        <rFont val="WenQuanYi Zen Hei"/>
        <family val="2"/>
      </rPr>
      <t xml:space="preserve">・</t>
    </r>
    <r>
      <rPr>
        <b val="true"/>
        <sz val="11"/>
        <color rgb="FFFFFFFF"/>
        <rFont val="Meiryo UI"/>
        <family val="0"/>
        <charset val="1"/>
      </rPr>
      <t xml:space="preserve">25</t>
    </r>
    <r>
      <rPr>
        <b val="true"/>
        <sz val="11"/>
        <color rgb="FFFFFFFF"/>
        <rFont val="WenQuanYi Zen Hei"/>
        <family val="2"/>
      </rPr>
      <t xml:space="preserve">日）</t>
    </r>
  </si>
  <si>
    <r>
      <rPr>
        <b val="true"/>
        <sz val="11"/>
        <color rgb="FFFFFFFF"/>
        <rFont val="WenQuanYi Zen Hei"/>
        <family val="2"/>
      </rPr>
      <t xml:space="preserve">名古屋（</t>
    </r>
    <r>
      <rPr>
        <b val="true"/>
        <sz val="11"/>
        <color rgb="FFFFFFFF"/>
        <rFont val="Meiryo UI"/>
        <family val="0"/>
        <charset val="1"/>
      </rPr>
      <t xml:space="preserve">26/3/18(</t>
    </r>
    <r>
      <rPr>
        <b val="true"/>
        <sz val="11"/>
        <color rgb="FFFFFFFF"/>
        <rFont val="WenQuanYi Zen Hei"/>
        <family val="2"/>
      </rPr>
      <t xml:space="preserve">水</t>
    </r>
    <r>
      <rPr>
        <b val="true"/>
        <sz val="11"/>
        <color rgb="FFFFFFFF"/>
        <rFont val="Meiryo UI"/>
        <family val="0"/>
        <charset val="1"/>
      </rPr>
      <t xml:space="preserve">)</t>
    </r>
    <r>
      <rPr>
        <b val="true"/>
        <sz val="11"/>
        <color rgb="FFFFFFFF"/>
        <rFont val="WenQuanYi Zen Hei"/>
        <family val="2"/>
      </rPr>
      <t xml:space="preserve">・</t>
    </r>
    <r>
      <rPr>
        <b val="true"/>
        <sz val="11"/>
        <color rgb="FFFFFFFF"/>
        <rFont val="Meiryo UI"/>
        <family val="0"/>
        <charset val="1"/>
      </rPr>
      <t xml:space="preserve">19</t>
    </r>
    <r>
      <rPr>
        <b val="true"/>
        <sz val="11"/>
        <color rgb="FFFFFFFF"/>
        <rFont val="WenQuanYi Zen Hei"/>
        <family val="2"/>
      </rPr>
      <t xml:space="preserve">日）</t>
    </r>
  </si>
  <si>
    <r>
      <rPr>
        <b val="true"/>
        <sz val="11"/>
        <color rgb="FFFFFFFF"/>
        <rFont val="WenQuanYi Zen Hei"/>
        <family val="2"/>
      </rPr>
      <t xml:space="preserve">博多（</t>
    </r>
    <r>
      <rPr>
        <b val="true"/>
        <sz val="11"/>
        <color rgb="FFFFFFFF"/>
        <rFont val="Meiryo UI"/>
        <family val="0"/>
        <charset val="1"/>
      </rPr>
      <t xml:space="preserve">26/4/23(</t>
    </r>
    <r>
      <rPr>
        <b val="true"/>
        <sz val="11"/>
        <color rgb="FFFFFFFF"/>
        <rFont val="WenQuanYi Zen Hei"/>
        <family val="2"/>
      </rPr>
      <t xml:space="preserve">木</t>
    </r>
    <r>
      <rPr>
        <b val="true"/>
        <sz val="11"/>
        <color rgb="FFFFFFFF"/>
        <rFont val="Meiryo UI"/>
        <family val="0"/>
        <charset val="1"/>
      </rPr>
      <t xml:space="preserve">)</t>
    </r>
    <r>
      <rPr>
        <b val="true"/>
        <sz val="11"/>
        <color rgb="FFFFFFFF"/>
        <rFont val="WenQuanYi Zen Hei"/>
        <family val="2"/>
      </rPr>
      <t xml:space="preserve">・</t>
    </r>
    <r>
      <rPr>
        <b val="true"/>
        <sz val="11"/>
        <color rgb="FFFFFFFF"/>
        <rFont val="Meiryo UI"/>
        <family val="0"/>
        <charset val="1"/>
      </rPr>
      <t xml:space="preserve">26</t>
    </r>
    <r>
      <rPr>
        <b val="true"/>
        <sz val="11"/>
        <color rgb="FFFFFFFF"/>
        <rFont val="WenQuanYi Zen Hei"/>
        <family val="2"/>
      </rPr>
      <t xml:space="preserve">日）</t>
    </r>
  </si>
  <si>
    <r>
      <rPr>
        <b val="true"/>
        <sz val="11"/>
        <color rgb="FFFFFFFF"/>
        <rFont val="WenQuanYi Zen Hei"/>
        <family val="2"/>
      </rPr>
      <t xml:space="preserve">大阪（</t>
    </r>
    <r>
      <rPr>
        <b val="true"/>
        <sz val="11"/>
        <color rgb="FFFFFFFF"/>
        <rFont val="Meiryo UI"/>
        <family val="0"/>
        <charset val="1"/>
      </rPr>
      <t xml:space="preserve">26/6/10(</t>
    </r>
    <r>
      <rPr>
        <b val="true"/>
        <sz val="11"/>
        <color rgb="FFFFFFFF"/>
        <rFont val="WenQuanYi Zen Hei"/>
        <family val="2"/>
      </rPr>
      <t xml:space="preserve">水</t>
    </r>
    <r>
      <rPr>
        <b val="true"/>
        <sz val="11"/>
        <color rgb="FFFFFFFF"/>
        <rFont val="Meiryo UI"/>
        <family val="0"/>
        <charset val="1"/>
      </rPr>
      <t xml:space="preserve">)</t>
    </r>
    <r>
      <rPr>
        <b val="true"/>
        <sz val="11"/>
        <color rgb="FFFFFFFF"/>
        <rFont val="WenQuanYi Zen Hei"/>
        <family val="2"/>
      </rPr>
      <t xml:space="preserve">・</t>
    </r>
    <r>
      <rPr>
        <b val="true"/>
        <sz val="11"/>
        <color rgb="FFFFFFFF"/>
        <rFont val="Meiryo UI"/>
        <family val="0"/>
        <charset val="1"/>
      </rPr>
      <t xml:space="preserve">20</t>
    </r>
    <r>
      <rPr>
        <b val="true"/>
        <sz val="11"/>
        <color rgb="FFFFFFFF"/>
        <rFont val="WenQuanYi Zen Hei"/>
        <family val="2"/>
      </rPr>
      <t xml:space="preserve">日）</t>
    </r>
  </si>
  <si>
    <r>
      <rPr>
        <b val="true"/>
        <sz val="11"/>
        <color rgb="FFFFFFFF"/>
        <rFont val="WenQuanYi Zen Hei"/>
        <family val="2"/>
      </rPr>
      <t xml:space="preserve">札幌（</t>
    </r>
    <r>
      <rPr>
        <b val="true"/>
        <sz val="11"/>
        <color rgb="FFFFFFFF"/>
        <rFont val="Meiryo UI"/>
        <family val="0"/>
        <charset val="1"/>
      </rPr>
      <t xml:space="preserve">7/22-7/27 </t>
    </r>
    <r>
      <rPr>
        <b val="true"/>
        <sz val="11"/>
        <color rgb="FFFFFFFF"/>
        <rFont val="WenQuanYi Zen Hei"/>
        <family val="2"/>
      </rPr>
      <t xml:space="preserve">実績</t>
    </r>
    <r>
      <rPr>
        <b val="true"/>
        <sz val="11"/>
        <color rgb="FFFFFFFF"/>
        <rFont val="Meiryo UI"/>
        <family val="0"/>
        <charset val="1"/>
      </rPr>
      <t xml:space="preserve">6</t>
    </r>
    <r>
      <rPr>
        <b val="true"/>
        <sz val="11"/>
        <color rgb="FFFFFFFF"/>
        <rFont val="WenQuanYi Zen Hei"/>
        <family val="2"/>
      </rPr>
      <t xml:space="preserve">日）</t>
    </r>
  </si>
  <si>
    <r>
      <rPr>
        <b val="true"/>
        <sz val="11"/>
        <color rgb="FFFFFFFF"/>
        <rFont val="WenQuanYi Zen Hei"/>
        <family val="2"/>
      </rPr>
      <t xml:space="preserve">札幌 会期</t>
    </r>
    <r>
      <rPr>
        <b val="true"/>
        <sz val="11"/>
        <color rgb="FFFFFFFF"/>
        <rFont val="Meiryo UI"/>
        <family val="0"/>
        <charset val="1"/>
      </rPr>
      <t xml:space="preserve">20</t>
    </r>
    <r>
      <rPr>
        <b val="true"/>
        <sz val="11"/>
        <color rgb="FFFFFFFF"/>
        <rFont val="WenQuanYi Zen Hei"/>
        <family val="2"/>
      </rPr>
      <t xml:space="preserve">日予測</t>
    </r>
  </si>
  <si>
    <r>
      <rPr>
        <b val="true"/>
        <sz val="11"/>
        <color rgb="FFFFFFFF"/>
        <rFont val="WenQuanYi Zen Hei"/>
        <family val="2"/>
      </rPr>
      <t xml:space="preserve">石川以降 </t>
    </r>
    <r>
      <rPr>
        <b val="true"/>
        <sz val="11"/>
        <color rgb="FFFFFFFF"/>
        <rFont val="Meiryo UI"/>
        <family val="0"/>
        <charset val="1"/>
      </rPr>
      <t xml:space="preserve">5</t>
    </r>
    <r>
      <rPr>
        <b val="true"/>
        <sz val="11"/>
        <color rgb="FFFFFFFF"/>
        <rFont val="WenQuanYi Zen Hei"/>
        <family val="2"/>
      </rPr>
      <t xml:space="preserve">会場</t>
    </r>
  </si>
  <si>
    <t xml:space="preserve">発注判定</t>
  </si>
  <si>
    <t xml:space="preserve">現行
税込単価</t>
  </si>
  <si>
    <t xml:space="preserve">販売数</t>
  </si>
  <si>
    <t xml:space="preserve">数量
構成比</t>
  </si>
  <si>
    <t xml:space="preserve">販売金額</t>
  </si>
  <si>
    <t xml:space="preserve">金額
構成比</t>
  </si>
  <si>
    <t xml:space="preserve">販売
可能数</t>
  </si>
  <si>
    <t xml:space="preserve">消化率</t>
  </si>
  <si>
    <t xml:space="preserve">予測
販売数</t>
  </si>
  <si>
    <t xml:space="preserve">予測
販売金額</t>
  </si>
  <si>
    <t xml:space="preserve">必要数</t>
  </si>
  <si>
    <t xml:space="preserve">供給可能
在庫</t>
  </si>
  <si>
    <t xml:space="preserve">過不足</t>
  </si>
  <si>
    <t xml:space="preserve">発注合計</t>
  </si>
  <si>
    <r>
      <rPr>
        <b val="true"/>
        <sz val="15"/>
        <color rgb="FF1F3864"/>
        <rFont val="WenQuanYi Zen Hei"/>
        <family val="2"/>
      </rPr>
      <t xml:space="preserve">⑥ 商品別 会場推移（</t>
    </r>
    <r>
      <rPr>
        <b val="true"/>
        <sz val="15"/>
        <color rgb="FF1F3864"/>
        <rFont val="Meiryo UI"/>
        <family val="0"/>
        <charset val="1"/>
      </rPr>
      <t xml:space="preserve">LEGS 42SKU</t>
    </r>
    <r>
      <rPr>
        <b val="true"/>
        <sz val="15"/>
        <color rgb="FF1F3864"/>
        <rFont val="WenQuanYi Zen Hei"/>
        <family val="2"/>
      </rPr>
      <t xml:space="preserve">内 数量構成比の会場間トレンド）</t>
    </r>
  </si>
  <si>
    <r>
      <rPr>
        <sz val="8"/>
        <color rgb="FF555555"/>
        <rFont val="WenQuanYi Zen Hei"/>
        <family val="2"/>
      </rPr>
      <t xml:space="preserve">各会場の会期全体（札幌は初</t>
    </r>
    <r>
      <rPr>
        <sz val="8"/>
        <color rgb="FF555555"/>
        <rFont val="Meiryo UI"/>
        <family val="0"/>
        <charset val="1"/>
      </rPr>
      <t xml:space="preserve">6</t>
    </r>
    <r>
      <rPr>
        <sz val="8"/>
        <color rgb="FF555555"/>
        <rFont val="WenQuanYi Zen Hei"/>
        <family val="2"/>
      </rPr>
      <t xml:space="preserve">日実績と</t>
    </r>
    <r>
      <rPr>
        <sz val="8"/>
        <color rgb="FF555555"/>
        <rFont val="Meiryo UI"/>
        <family val="0"/>
        <charset val="1"/>
      </rPr>
      <t xml:space="preserve">20</t>
    </r>
    <r>
      <rPr>
        <sz val="8"/>
        <color rgb="FF555555"/>
        <rFont val="WenQuanYi Zen Hei"/>
        <family val="2"/>
      </rPr>
      <t xml:space="preserve">日予測）。構成比の伸び／減退から石川以降の重点商品を判断</t>
    </r>
  </si>
  <si>
    <t xml:space="preserve">東京
販売数</t>
  </si>
  <si>
    <t xml:space="preserve">名古屋
販売数</t>
  </si>
  <si>
    <t xml:space="preserve">博多
販売数</t>
  </si>
  <si>
    <t xml:space="preserve">大阪
販売数</t>
  </si>
  <si>
    <t xml:space="preserve">札幌
販売数</t>
  </si>
  <si>
    <t xml:space="preserve">東京
構成比</t>
  </si>
  <si>
    <t xml:space="preserve">名古屋
構成比</t>
  </si>
  <si>
    <t xml:space="preserve">博多
構成比</t>
  </si>
  <si>
    <r>
      <rPr>
        <b val="true"/>
        <sz val="9"/>
        <color rgb="FFFFFFFF"/>
        <rFont val="WenQuanYi Zen Hei"/>
        <family val="2"/>
      </rPr>
      <t xml:space="preserve">札幌</t>
    </r>
    <r>
      <rPr>
        <b val="true"/>
        <sz val="9"/>
        <color rgb="FFFFFFFF"/>
        <rFont val="Meiryo UI"/>
        <family val="0"/>
        <charset val="1"/>
      </rPr>
      <t xml:space="preserve">20</t>
    </r>
    <r>
      <rPr>
        <b val="true"/>
        <sz val="9"/>
        <color rgb="FFFFFFFF"/>
        <rFont val="WenQuanYi Zen Hei"/>
        <family val="2"/>
      </rPr>
      <t xml:space="preserve">日
予測構成比</t>
    </r>
  </si>
  <si>
    <t xml:space="preserve">大阪→札幌
構成比変化</t>
  </si>
  <si>
    <t xml:space="preserve">東京→大阪
構成比変化</t>
  </si>
  <si>
    <t xml:space="preserve">トレンド</t>
  </si>
  <si>
    <r>
      <rPr>
        <b val="true"/>
        <sz val="15"/>
        <color rgb="FF1F3864"/>
        <rFont val="WenQuanYi Zen Hei"/>
        <family val="2"/>
      </rPr>
      <t xml:space="preserve">⑦ 梅田</t>
    </r>
    <r>
      <rPr>
        <b val="true"/>
        <sz val="15"/>
        <color rgb="FF1F3864"/>
        <rFont val="Meiryo UI"/>
        <family val="0"/>
        <charset val="1"/>
      </rPr>
      <t xml:space="preserve">(</t>
    </r>
    <r>
      <rPr>
        <b val="true"/>
        <sz val="15"/>
        <color rgb="FF1F3864"/>
        <rFont val="WenQuanYi Zen Hei"/>
        <family val="2"/>
      </rPr>
      <t xml:space="preserve">大阪</t>
    </r>
    <r>
      <rPr>
        <b val="true"/>
        <sz val="15"/>
        <color rgb="FF1F3864"/>
        <rFont val="Meiryo UI"/>
        <family val="0"/>
        <charset val="1"/>
      </rPr>
      <t xml:space="preserve">)</t>
    </r>
    <r>
      <rPr>
        <b val="true"/>
        <sz val="15"/>
        <color rgb="FF1F3864"/>
        <rFont val="WenQuanYi Zen Hei"/>
        <family val="2"/>
      </rPr>
      <t xml:space="preserve">会場以降の追加商品による </t>
    </r>
    <r>
      <rPr>
        <b val="true"/>
        <sz val="15"/>
        <color rgb="FF1F3864"/>
        <rFont val="Meiryo UI"/>
        <family val="0"/>
        <charset val="1"/>
      </rPr>
      <t xml:space="preserve">LEGS</t>
    </r>
    <r>
      <rPr>
        <b val="true"/>
        <sz val="15"/>
        <color rgb="FF1F3864"/>
        <rFont val="WenQuanYi Zen Hei"/>
        <family val="2"/>
      </rPr>
      <t xml:space="preserve">売上低下の要因分析</t>
    </r>
  </si>
  <si>
    <r>
      <rPr>
        <sz val="8"/>
        <color rgb="FF555555"/>
        <rFont val="WenQuanYi Zen Hei"/>
        <family val="2"/>
      </rPr>
      <t xml:space="preserve">会場ごとに規模が違うため、すべて「入場者</t>
    </r>
    <r>
      <rPr>
        <sz val="8"/>
        <color rgb="FF555555"/>
        <rFont val="Meiryo UI"/>
        <family val="0"/>
        <charset val="1"/>
      </rPr>
      <t xml:space="preserve">1</t>
    </r>
    <r>
      <rPr>
        <sz val="8"/>
        <color rgb="FF555555"/>
        <rFont val="WenQuanYi Zen Hei"/>
        <family val="2"/>
      </rPr>
      <t xml:space="preserve">人あたり売上（円</t>
    </r>
    <r>
      <rPr>
        <sz val="8"/>
        <color rgb="FF555555"/>
        <rFont val="Meiryo UI"/>
        <family val="0"/>
        <charset val="1"/>
      </rPr>
      <t xml:space="preserve">/</t>
    </r>
    <r>
      <rPr>
        <sz val="8"/>
        <color rgb="FF555555"/>
        <rFont val="WenQuanYi Zen Hei"/>
        <family val="2"/>
      </rPr>
      <t xml:space="preserve">人）」に正規化して比較する（札幌は</t>
    </r>
    <r>
      <rPr>
        <sz val="8"/>
        <color rgb="FF555555"/>
        <rFont val="Meiryo UI"/>
        <family val="0"/>
        <charset val="1"/>
      </rPr>
      <t xml:space="preserve">7/27</t>
    </r>
    <r>
      <rPr>
        <sz val="8"/>
        <color rgb="FF555555"/>
        <rFont val="WenQuanYi Zen Hei"/>
        <family val="2"/>
      </rPr>
      <t xml:space="preserve">までの</t>
    </r>
    <r>
      <rPr>
        <sz val="8"/>
        <color rgb="FF555555"/>
        <rFont val="Meiryo UI"/>
        <family val="0"/>
        <charset val="1"/>
      </rPr>
      <t xml:space="preserve">6</t>
    </r>
    <r>
      <rPr>
        <sz val="8"/>
        <color rgb="FF555555"/>
        <rFont val="WenQuanYi Zen Hei"/>
        <family val="2"/>
      </rPr>
      <t xml:space="preserve">日実績）</t>
    </r>
  </si>
  <si>
    <r>
      <rPr>
        <b val="true"/>
        <sz val="11"/>
        <color rgb="FFC00000"/>
        <rFont val="WenQuanYi Zen Hei"/>
        <family val="2"/>
      </rPr>
      <t xml:space="preserve">■ 結論：市場は縮んでいない。</t>
    </r>
    <r>
      <rPr>
        <b val="true"/>
        <sz val="11"/>
        <color rgb="FFC00000"/>
        <rFont val="Meiryo UI"/>
        <family val="0"/>
        <charset val="1"/>
      </rPr>
      <t xml:space="preserve">LEGS</t>
    </r>
    <r>
      <rPr>
        <b val="true"/>
        <sz val="11"/>
        <color rgb="FFC00000"/>
        <rFont val="WenQuanYi Zen Hei"/>
        <family val="2"/>
      </rPr>
      <t xml:space="preserve">の財布が新商品に奪われた（カニバリゼーション）</t>
    </r>
  </si>
  <si>
    <r>
      <rPr>
        <sz val="9"/>
        <rFont val="WenQuanYi Zen Hei"/>
        <family val="2"/>
      </rPr>
      <t xml:space="preserve">・物販客単価（全商品）は名古屋</t>
    </r>
    <r>
      <rPr>
        <sz val="9"/>
        <rFont val="Meiryo UI"/>
        <family val="0"/>
        <charset val="1"/>
      </rPr>
      <t xml:space="preserve">7,012</t>
    </r>
    <r>
      <rPr>
        <sz val="9"/>
        <rFont val="WenQuanYi Zen Hei"/>
        <family val="2"/>
      </rPr>
      <t xml:space="preserve">円</t>
    </r>
    <r>
      <rPr>
        <sz val="9"/>
        <rFont val="Meiryo UI"/>
        <family val="0"/>
        <charset val="1"/>
      </rPr>
      <t xml:space="preserve">/</t>
    </r>
    <r>
      <rPr>
        <sz val="9"/>
        <rFont val="WenQuanYi Zen Hei"/>
        <family val="2"/>
      </rPr>
      <t xml:space="preserve">人 → 大阪</t>
    </r>
    <r>
      <rPr>
        <sz val="9"/>
        <rFont val="Meiryo UI"/>
        <family val="0"/>
        <charset val="1"/>
      </rPr>
      <t xml:space="preserve">6,882</t>
    </r>
    <r>
      <rPr>
        <sz val="9"/>
        <rFont val="WenQuanYi Zen Hei"/>
        <family val="2"/>
      </rPr>
      <t xml:space="preserve">円</t>
    </r>
    <r>
      <rPr>
        <sz val="9"/>
        <rFont val="Meiryo UI"/>
        <family val="0"/>
        <charset val="1"/>
      </rPr>
      <t xml:space="preserve">/</t>
    </r>
    <r>
      <rPr>
        <sz val="9"/>
        <rFont val="WenQuanYi Zen Hei"/>
        <family val="2"/>
      </rPr>
      <t xml:space="preserve">人 と ▲</t>
    </r>
    <r>
      <rPr>
        <sz val="9"/>
        <rFont val="Meiryo UI"/>
        <family val="0"/>
        <charset val="1"/>
      </rPr>
      <t xml:space="preserve">1.8% </t>
    </r>
    <r>
      <rPr>
        <sz val="9"/>
        <rFont val="WenQuanYi Zen Hei"/>
        <family val="2"/>
      </rPr>
      <t xml:space="preserve">でほぼ横ばい。</t>
    </r>
  </si>
  <si>
    <r>
      <rPr>
        <sz val="9"/>
        <rFont val="WenQuanYi Zen Hei"/>
        <family val="2"/>
      </rPr>
      <t xml:space="preserve">・同期間に</t>
    </r>
    <r>
      <rPr>
        <sz val="9"/>
        <rFont val="Meiryo UI"/>
        <family val="0"/>
        <charset val="1"/>
      </rPr>
      <t xml:space="preserve">LEGS</t>
    </r>
    <r>
      <rPr>
        <sz val="9"/>
        <rFont val="WenQuanYi Zen Hei"/>
        <family val="2"/>
      </rPr>
      <t xml:space="preserve">は</t>
    </r>
    <r>
      <rPr>
        <sz val="9"/>
        <rFont val="Meiryo UI"/>
        <family val="0"/>
        <charset val="1"/>
      </rPr>
      <t xml:space="preserve">2,099</t>
    </r>
    <r>
      <rPr>
        <sz val="9"/>
        <rFont val="WenQuanYi Zen Hei"/>
        <family val="2"/>
      </rPr>
      <t xml:space="preserve">円</t>
    </r>
    <r>
      <rPr>
        <sz val="9"/>
        <rFont val="Meiryo UI"/>
        <family val="0"/>
        <charset val="1"/>
      </rPr>
      <t xml:space="preserve">/</t>
    </r>
    <r>
      <rPr>
        <sz val="9"/>
        <rFont val="WenQuanYi Zen Hei"/>
        <family val="2"/>
      </rPr>
      <t xml:space="preserve">人 → </t>
    </r>
    <r>
      <rPr>
        <sz val="9"/>
        <rFont val="Meiryo UI"/>
        <family val="0"/>
        <charset val="1"/>
      </rPr>
      <t xml:space="preserve">1,455</t>
    </r>
    <r>
      <rPr>
        <sz val="9"/>
        <rFont val="WenQuanYi Zen Hei"/>
        <family val="2"/>
      </rPr>
      <t xml:space="preserve">円</t>
    </r>
    <r>
      <rPr>
        <sz val="9"/>
        <rFont val="Meiryo UI"/>
        <family val="0"/>
        <charset val="1"/>
      </rPr>
      <t xml:space="preserve">/</t>
    </r>
    <r>
      <rPr>
        <sz val="9"/>
        <rFont val="WenQuanYi Zen Hei"/>
        <family val="2"/>
      </rPr>
      <t xml:space="preserve">人 と ▲</t>
    </r>
    <r>
      <rPr>
        <sz val="9"/>
        <rFont val="Meiryo UI"/>
        <family val="0"/>
        <charset val="1"/>
      </rPr>
      <t xml:space="preserve">30.7%</t>
    </r>
    <r>
      <rPr>
        <sz val="9"/>
        <rFont val="WenQuanYi Zen Hei"/>
        <family val="2"/>
      </rPr>
      <t xml:space="preserve">（▲</t>
    </r>
    <r>
      <rPr>
        <sz val="9"/>
        <rFont val="Meiryo UI"/>
        <family val="0"/>
        <charset val="1"/>
      </rPr>
      <t xml:space="preserve">643</t>
    </r>
    <r>
      <rPr>
        <sz val="9"/>
        <rFont val="WenQuanYi Zen Hei"/>
        <family val="2"/>
      </rPr>
      <t xml:space="preserve">円</t>
    </r>
    <r>
      <rPr>
        <sz val="9"/>
        <rFont val="Meiryo UI"/>
        <family val="0"/>
        <charset val="1"/>
      </rPr>
      <t xml:space="preserve">/</t>
    </r>
    <r>
      <rPr>
        <sz val="9"/>
        <rFont val="WenQuanYi Zen Hei"/>
        <family val="2"/>
      </rPr>
      <t xml:space="preserve">人）。会場全体の購買力は落ちていない。</t>
    </r>
  </si>
  <si>
    <r>
      <rPr>
        <sz val="9"/>
        <rFont val="WenQuanYi Zen Hei"/>
        <family val="2"/>
      </rPr>
      <t xml:space="preserve">・大阪の新商品</t>
    </r>
    <r>
      <rPr>
        <sz val="9"/>
        <rFont val="Meiryo UI"/>
        <family val="0"/>
        <charset val="1"/>
      </rPr>
      <t xml:space="preserve">106SKU</t>
    </r>
    <r>
      <rPr>
        <sz val="9"/>
        <rFont val="WenQuanYi Zen Hei"/>
        <family val="2"/>
      </rPr>
      <t xml:space="preserve">は</t>
    </r>
    <r>
      <rPr>
        <sz val="9"/>
        <rFont val="Meiryo UI"/>
        <family val="0"/>
        <charset val="1"/>
      </rPr>
      <t xml:space="preserve">1,360</t>
    </r>
    <r>
      <rPr>
        <sz val="9"/>
        <rFont val="WenQuanYi Zen Hei"/>
        <family val="2"/>
      </rPr>
      <t xml:space="preserve">円</t>
    </r>
    <r>
      <rPr>
        <sz val="9"/>
        <rFont val="Meiryo UI"/>
        <family val="0"/>
        <charset val="1"/>
      </rPr>
      <t xml:space="preserve">/</t>
    </r>
    <r>
      <rPr>
        <sz val="9"/>
        <rFont val="WenQuanYi Zen Hei"/>
        <family val="2"/>
      </rPr>
      <t xml:space="preserve">人を稼いでおり、</t>
    </r>
    <r>
      <rPr>
        <sz val="9"/>
        <rFont val="Meiryo UI"/>
        <family val="0"/>
        <charset val="1"/>
      </rPr>
      <t xml:space="preserve">LEGS</t>
    </r>
    <r>
      <rPr>
        <sz val="9"/>
        <rFont val="WenQuanYi Zen Hei"/>
        <family val="2"/>
      </rPr>
      <t xml:space="preserve">の減少分</t>
    </r>
    <r>
      <rPr>
        <sz val="9"/>
        <rFont val="Meiryo UI"/>
        <family val="0"/>
        <charset val="1"/>
      </rPr>
      <t xml:space="preserve">643</t>
    </r>
    <r>
      <rPr>
        <sz val="9"/>
        <rFont val="WenQuanYi Zen Hei"/>
        <family val="2"/>
      </rPr>
      <t xml:space="preserve">円</t>
    </r>
    <r>
      <rPr>
        <sz val="9"/>
        <rFont val="Meiryo UI"/>
        <family val="0"/>
        <charset val="1"/>
      </rPr>
      <t xml:space="preserve">/</t>
    </r>
    <r>
      <rPr>
        <sz val="9"/>
        <rFont val="WenQuanYi Zen Hei"/>
        <family val="2"/>
      </rPr>
      <t xml:space="preserve">人はその約</t>
    </r>
    <r>
      <rPr>
        <sz val="9"/>
        <rFont val="Meiryo UI"/>
        <family val="0"/>
        <charset val="1"/>
      </rPr>
      <t xml:space="preserve">47%</t>
    </r>
    <r>
      <rPr>
        <sz val="9"/>
        <rFont val="WenQuanYi Zen Hei"/>
        <family val="2"/>
      </rPr>
      <t xml:space="preserve">に相当する。</t>
    </r>
  </si>
  <si>
    <r>
      <rPr>
        <sz val="9"/>
        <rFont val="WenQuanYi Zen Hei"/>
        <family val="2"/>
      </rPr>
      <t xml:space="preserve">・つまり新商品売上のおよそ半分は「純増」ではなく既存商品（特に</t>
    </r>
    <r>
      <rPr>
        <sz val="9"/>
        <rFont val="Meiryo UI"/>
        <family val="0"/>
        <charset val="1"/>
      </rPr>
      <t xml:space="preserve">LEGS</t>
    </r>
    <r>
      <rPr>
        <sz val="9"/>
        <rFont val="WenQuanYi Zen Hei"/>
        <family val="2"/>
      </rPr>
      <t xml:space="preserve">と</t>
    </r>
    <r>
      <rPr>
        <sz val="9"/>
        <rFont val="Meiryo UI"/>
        <family val="0"/>
        <charset val="1"/>
      </rPr>
      <t xml:space="preserve">MAPPA</t>
    </r>
    <r>
      <rPr>
        <sz val="9"/>
        <rFont val="WenQuanYi Zen Hei"/>
        <family val="2"/>
      </rPr>
      <t xml:space="preserve">）からの移動である。</t>
    </r>
  </si>
  <si>
    <r>
      <rPr>
        <b val="true"/>
        <sz val="11"/>
        <color rgb="FFC00000"/>
        <rFont val="WenQuanYi Zen Hei"/>
        <family val="2"/>
      </rPr>
      <t xml:space="preserve">■ ① 入場者</t>
    </r>
    <r>
      <rPr>
        <b val="true"/>
        <sz val="11"/>
        <color rgb="FFC00000"/>
        <rFont val="Meiryo UI"/>
        <family val="0"/>
        <charset val="1"/>
      </rPr>
      <t xml:space="preserve">1</t>
    </r>
    <r>
      <rPr>
        <b val="true"/>
        <sz val="11"/>
        <color rgb="FFC00000"/>
        <rFont val="WenQuanYi Zen Hei"/>
        <family val="2"/>
      </rPr>
      <t xml:space="preserve">人あたり売上（円</t>
    </r>
    <r>
      <rPr>
        <b val="true"/>
        <sz val="11"/>
        <color rgb="FFC00000"/>
        <rFont val="Meiryo UI"/>
        <family val="0"/>
        <charset val="1"/>
      </rPr>
      <t xml:space="preserve">/</t>
    </r>
    <r>
      <rPr>
        <b val="true"/>
        <sz val="11"/>
        <color rgb="FFC00000"/>
        <rFont val="WenQuanYi Zen Hei"/>
        <family val="2"/>
      </rPr>
      <t xml:space="preserve">人）の会場推移　供給元別</t>
    </r>
  </si>
  <si>
    <t xml:space="preserve">名古屋→大阪
増減</t>
  </si>
  <si>
    <t xml:space="preserve">増減率</t>
  </si>
  <si>
    <t xml:space="preserve">評価</t>
  </si>
  <si>
    <t xml:space="preserve">★最大の被害。新商品に置き換わった</t>
  </si>
  <si>
    <t xml:space="preserve">新商品投入側。大きく増加</t>
  </si>
  <si>
    <t xml:space="preserve">新商品投入側。ほぼ倍増</t>
  </si>
  <si>
    <r>
      <rPr>
        <sz val="9"/>
        <rFont val="Meiryo UI"/>
        <family val="0"/>
        <charset val="1"/>
      </rPr>
      <t xml:space="preserve">LEGS</t>
    </r>
    <r>
      <rPr>
        <sz val="9"/>
        <rFont val="WenQuanYi Zen Hei"/>
        <family val="2"/>
      </rPr>
      <t xml:space="preserve">と並ぶ被害。自社新商品にも食われた</t>
    </r>
  </si>
  <si>
    <t xml:space="preserve">新商品投入側。増加</t>
  </si>
  <si>
    <t xml:space="preserve">大阪では取扱なし</t>
  </si>
  <si>
    <t xml:space="preserve">物販客単価（全商品計）</t>
  </si>
  <si>
    <t xml:space="preserve">会場全体では ほぼ横ばい ＝ 市場は縮んでいない</t>
  </si>
  <si>
    <r>
      <rPr>
        <b val="true"/>
        <sz val="11"/>
        <color rgb="FFC00000"/>
        <rFont val="WenQuanYi Zen Hei"/>
        <family val="2"/>
      </rPr>
      <t xml:space="preserve">■ ② 会場ごとの新商品投入と</t>
    </r>
    <r>
      <rPr>
        <b val="true"/>
        <sz val="11"/>
        <color rgb="FFC00000"/>
        <rFont val="Meiryo UI"/>
        <family val="0"/>
        <charset val="1"/>
      </rPr>
      <t xml:space="preserve">1</t>
    </r>
    <r>
      <rPr>
        <b val="true"/>
        <sz val="11"/>
        <color rgb="FFC00000"/>
        <rFont val="WenQuanYi Zen Hei"/>
        <family val="2"/>
      </rPr>
      <t xml:space="preserve">人あたり売上（</t>
    </r>
    <r>
      <rPr>
        <b val="true"/>
        <sz val="11"/>
        <color rgb="FFC00000"/>
        <rFont val="Meiryo UI"/>
        <family val="0"/>
        <charset val="1"/>
      </rPr>
      <t xml:space="preserve">LEGS</t>
    </r>
    <r>
      <rPr>
        <b val="true"/>
        <sz val="11"/>
        <color rgb="FFC00000"/>
        <rFont val="WenQuanYi Zen Hei"/>
        <family val="2"/>
      </rPr>
      <t xml:space="preserve">がいつ削られ始めたか）</t>
    </r>
  </si>
  <si>
    <r>
      <rPr>
        <b val="true"/>
        <sz val="9"/>
        <color rgb="FFFFFFFF"/>
        <rFont val="WenQuanYi Zen Hei"/>
        <family val="2"/>
      </rPr>
      <t xml:space="preserve">新商品
売上</t>
    </r>
    <r>
      <rPr>
        <b val="true"/>
        <sz val="9"/>
        <color rgb="FFFFFFFF"/>
        <rFont val="Meiryo UI"/>
        <family val="0"/>
        <charset val="1"/>
      </rPr>
      <t xml:space="preserve">(</t>
    </r>
    <r>
      <rPr>
        <b val="true"/>
        <sz val="9"/>
        <color rgb="FFFFFFFF"/>
        <rFont val="WenQuanYi Zen Hei"/>
        <family val="2"/>
      </rPr>
      <t xml:space="preserve">円</t>
    </r>
    <r>
      <rPr>
        <b val="true"/>
        <sz val="9"/>
        <color rgb="FFFFFFFF"/>
        <rFont val="Meiryo UI"/>
        <family val="0"/>
        <charset val="1"/>
      </rPr>
      <t xml:space="preserve">/</t>
    </r>
    <r>
      <rPr>
        <b val="true"/>
        <sz val="9"/>
        <color rgb="FFFFFFFF"/>
        <rFont val="WenQuanYi Zen Hei"/>
        <family val="2"/>
      </rPr>
      <t xml:space="preserve">人</t>
    </r>
    <r>
      <rPr>
        <b val="true"/>
        <sz val="9"/>
        <color rgb="FFFFFFFF"/>
        <rFont val="Meiryo UI"/>
        <family val="0"/>
        <charset val="1"/>
      </rPr>
      <t xml:space="preserve">)</t>
    </r>
  </si>
  <si>
    <r>
      <rPr>
        <b val="true"/>
        <sz val="9"/>
        <color rgb="FFFFFFFF"/>
        <rFont val="Meiryo UI"/>
        <family val="0"/>
        <charset val="1"/>
      </rPr>
      <t xml:space="preserve">LEGS
</t>
    </r>
    <r>
      <rPr>
        <b val="true"/>
        <sz val="9"/>
        <color rgb="FFFFFFFF"/>
        <rFont val="WenQuanYi Zen Hei"/>
        <family val="2"/>
      </rPr>
      <t xml:space="preserve">売上</t>
    </r>
    <r>
      <rPr>
        <b val="true"/>
        <sz val="9"/>
        <color rgb="FFFFFFFF"/>
        <rFont val="Meiryo UI"/>
        <family val="0"/>
        <charset val="1"/>
      </rPr>
      <t xml:space="preserve">(</t>
    </r>
    <r>
      <rPr>
        <b val="true"/>
        <sz val="9"/>
        <color rgb="FFFFFFFF"/>
        <rFont val="WenQuanYi Zen Hei"/>
        <family val="2"/>
      </rPr>
      <t xml:space="preserve">円</t>
    </r>
    <r>
      <rPr>
        <b val="true"/>
        <sz val="9"/>
        <color rgb="FFFFFFFF"/>
        <rFont val="Meiryo UI"/>
        <family val="0"/>
        <charset val="1"/>
      </rPr>
      <t xml:space="preserve">/</t>
    </r>
    <r>
      <rPr>
        <b val="true"/>
        <sz val="9"/>
        <color rgb="FFFFFFFF"/>
        <rFont val="WenQuanYi Zen Hei"/>
        <family val="2"/>
      </rPr>
      <t xml:space="preserve">人</t>
    </r>
    <r>
      <rPr>
        <b val="true"/>
        <sz val="9"/>
        <color rgb="FFFFFFFF"/>
        <rFont val="Meiryo UI"/>
        <family val="0"/>
        <charset val="1"/>
      </rPr>
      <t xml:space="preserve">)</t>
    </r>
  </si>
  <si>
    <r>
      <rPr>
        <b val="true"/>
        <sz val="9"/>
        <color rgb="FFFFFFFF"/>
        <rFont val="Meiryo UI"/>
        <family val="0"/>
        <charset val="1"/>
      </rPr>
      <t xml:space="preserve">LEGS
</t>
    </r>
    <r>
      <rPr>
        <b val="true"/>
        <sz val="9"/>
        <color rgb="FFFFFFFF"/>
        <rFont val="WenQuanYi Zen Hei"/>
        <family val="2"/>
      </rPr>
      <t xml:space="preserve">前会場差</t>
    </r>
  </si>
  <si>
    <r>
      <rPr>
        <b val="true"/>
        <sz val="9"/>
        <color rgb="FFFFFFFF"/>
        <rFont val="WenQuanYi Zen Hei"/>
        <family val="2"/>
      </rPr>
      <t xml:space="preserve">物販客単価
</t>
    </r>
    <r>
      <rPr>
        <b val="true"/>
        <sz val="9"/>
        <color rgb="FFFFFFFF"/>
        <rFont val="Meiryo UI"/>
        <family val="0"/>
        <charset val="1"/>
      </rPr>
      <t xml:space="preserve">(</t>
    </r>
    <r>
      <rPr>
        <b val="true"/>
        <sz val="9"/>
        <color rgb="FFFFFFFF"/>
        <rFont val="WenQuanYi Zen Hei"/>
        <family val="2"/>
      </rPr>
      <t xml:space="preserve">全商品</t>
    </r>
    <r>
      <rPr>
        <b val="true"/>
        <sz val="9"/>
        <color rgb="FFFFFFFF"/>
        <rFont val="Meiryo UI"/>
        <family val="0"/>
        <charset val="1"/>
      </rPr>
      <t xml:space="preserve">)</t>
    </r>
  </si>
  <si>
    <t xml:space="preserve">主な新商品</t>
  </si>
  <si>
    <t xml:space="preserve">（初回：全商品が新規）</t>
  </si>
  <si>
    <r>
      <rPr>
        <sz val="9"/>
        <rFont val="Meiryo UI"/>
        <family val="0"/>
        <charset val="1"/>
      </rPr>
      <t xml:space="preserve">MAPPA</t>
    </r>
    <r>
      <rPr>
        <sz val="9"/>
        <rFont val="WenQuanYi Zen Hei"/>
        <family val="2"/>
      </rPr>
      <t xml:space="preserve">ブラインドカード</t>
    </r>
    <r>
      <rPr>
        <sz val="9"/>
        <rFont val="Meiryo UI"/>
        <family val="0"/>
        <charset val="1"/>
      </rPr>
      <t xml:space="preserve">4</t>
    </r>
    <r>
      <rPr>
        <sz val="9"/>
        <rFont val="WenQuanYi Zen Hei"/>
        <family val="2"/>
      </rPr>
      <t xml:space="preserve">種（フォト風カード・原画クリアカード）＝</t>
    </r>
    <r>
      <rPr>
        <sz val="9"/>
        <rFont val="Meiryo UI"/>
        <family val="0"/>
        <charset val="1"/>
      </rPr>
      <t xml:space="preserve">1,014</t>
    </r>
    <r>
      <rPr>
        <sz val="9"/>
        <rFont val="WenQuanYi Zen Hei"/>
        <family val="2"/>
      </rPr>
      <t xml:space="preserve">円</t>
    </r>
    <r>
      <rPr>
        <sz val="9"/>
        <rFont val="Meiryo UI"/>
        <family val="0"/>
        <charset val="1"/>
      </rPr>
      <t xml:space="preserve">/</t>
    </r>
    <r>
      <rPr>
        <sz val="9"/>
        <rFont val="WenQuanYi Zen Hei"/>
        <family val="2"/>
      </rPr>
      <t xml:space="preserve">人</t>
    </r>
  </si>
  <si>
    <r>
      <rPr>
        <sz val="9"/>
        <rFont val="WenQuanYi Zen Hei"/>
        <family val="2"/>
      </rPr>
      <t xml:space="preserve">★おすわりぬいぐるみ全</t>
    </r>
    <r>
      <rPr>
        <sz val="9"/>
        <rFont val="Meiryo UI"/>
        <family val="0"/>
        <charset val="1"/>
      </rPr>
      <t xml:space="preserve">8</t>
    </r>
    <r>
      <rPr>
        <sz val="9"/>
        <rFont val="WenQuanYi Zen Hei"/>
        <family val="2"/>
      </rPr>
      <t xml:space="preserve">種（</t>
    </r>
    <r>
      <rPr>
        <sz val="9"/>
        <rFont val="Meiryo UI"/>
        <family val="0"/>
        <charset val="1"/>
      </rPr>
      <t xml:space="preserve">230</t>
    </r>
    <r>
      <rPr>
        <sz val="9"/>
        <rFont val="WenQuanYi Zen Hei"/>
        <family val="2"/>
      </rPr>
      <t xml:space="preserve">円</t>
    </r>
    <r>
      <rPr>
        <sz val="9"/>
        <rFont val="Meiryo UI"/>
        <family val="0"/>
        <charset val="1"/>
      </rPr>
      <t xml:space="preserve">/</t>
    </r>
    <r>
      <rPr>
        <sz val="9"/>
        <rFont val="WenQuanYi Zen Hei"/>
        <family val="2"/>
      </rPr>
      <t xml:space="preserve">人）、アクリルカードスタンド（</t>
    </r>
    <r>
      <rPr>
        <sz val="9"/>
        <rFont val="Meiryo UI"/>
        <family val="0"/>
        <charset val="1"/>
      </rPr>
      <t xml:space="preserve">233</t>
    </r>
    <r>
      <rPr>
        <sz val="9"/>
        <rFont val="WenQuanYi Zen Hei"/>
        <family val="2"/>
      </rPr>
      <t xml:space="preserve">円</t>
    </r>
    <r>
      <rPr>
        <sz val="9"/>
        <rFont val="Meiryo UI"/>
        <family val="0"/>
        <charset val="1"/>
      </rPr>
      <t xml:space="preserve">/</t>
    </r>
    <r>
      <rPr>
        <sz val="9"/>
        <rFont val="WenQuanYi Zen Hei"/>
        <family val="2"/>
      </rPr>
      <t xml:space="preserve">人）、原画ポストカードセット（</t>
    </r>
    <r>
      <rPr>
        <sz val="9"/>
        <rFont val="Meiryo UI"/>
        <family val="0"/>
        <charset val="1"/>
      </rPr>
      <t xml:space="preserve">178</t>
    </r>
    <r>
      <rPr>
        <sz val="9"/>
        <rFont val="WenQuanYi Zen Hei"/>
        <family val="2"/>
      </rPr>
      <t xml:space="preserve">円</t>
    </r>
    <r>
      <rPr>
        <sz val="9"/>
        <rFont val="Meiryo UI"/>
        <family val="0"/>
        <charset val="1"/>
      </rPr>
      <t xml:space="preserve">/</t>
    </r>
    <r>
      <rPr>
        <sz val="9"/>
        <rFont val="WenQuanYi Zen Hei"/>
        <family val="2"/>
      </rPr>
      <t xml:space="preserve">人）</t>
    </r>
  </si>
  <si>
    <r>
      <rPr>
        <sz val="9"/>
        <rFont val="WenQuanYi Zen Hei"/>
        <family val="2"/>
      </rPr>
      <t xml:space="preserve">★うちわ</t>
    </r>
    <r>
      <rPr>
        <sz val="9"/>
        <rFont val="Meiryo UI"/>
        <family val="0"/>
        <charset val="1"/>
      </rPr>
      <t xml:space="preserve">14</t>
    </r>
    <r>
      <rPr>
        <sz val="9"/>
        <rFont val="WenQuanYi Zen Hei"/>
        <family val="2"/>
      </rPr>
      <t xml:space="preserve">種（</t>
    </r>
    <r>
      <rPr>
        <sz val="9"/>
        <rFont val="Meiryo UI"/>
        <family val="0"/>
        <charset val="1"/>
      </rPr>
      <t xml:space="preserve">195</t>
    </r>
    <r>
      <rPr>
        <sz val="9"/>
        <rFont val="WenQuanYi Zen Hei"/>
        <family val="2"/>
      </rPr>
      <t xml:space="preserve">円</t>
    </r>
    <r>
      <rPr>
        <sz val="9"/>
        <rFont val="Meiryo UI"/>
        <family val="0"/>
        <charset val="1"/>
      </rPr>
      <t xml:space="preserve">/</t>
    </r>
    <r>
      <rPr>
        <sz val="9"/>
        <rFont val="WenQuanYi Zen Hei"/>
        <family val="2"/>
      </rPr>
      <t xml:space="preserve">人）、アクリル系</t>
    </r>
    <r>
      <rPr>
        <sz val="9"/>
        <rFont val="Meiryo UI"/>
        <family val="0"/>
        <charset val="1"/>
      </rPr>
      <t xml:space="preserve">39</t>
    </r>
    <r>
      <rPr>
        <sz val="9"/>
        <rFont val="WenQuanYi Zen Hei"/>
        <family val="2"/>
      </rPr>
      <t xml:space="preserve">種（</t>
    </r>
    <r>
      <rPr>
        <sz val="9"/>
        <rFont val="Meiryo UI"/>
        <family val="0"/>
        <charset val="1"/>
      </rPr>
      <t xml:space="preserve">450</t>
    </r>
    <r>
      <rPr>
        <sz val="9"/>
        <rFont val="WenQuanYi Zen Hei"/>
        <family val="2"/>
      </rPr>
      <t xml:space="preserve">円</t>
    </r>
    <r>
      <rPr>
        <sz val="9"/>
        <rFont val="Meiryo UI"/>
        <family val="0"/>
        <charset val="1"/>
      </rPr>
      <t xml:space="preserve">/</t>
    </r>
    <r>
      <rPr>
        <sz val="9"/>
        <rFont val="WenQuanYi Zen Hei"/>
        <family val="2"/>
      </rPr>
      <t xml:space="preserve">人）、劇場版</t>
    </r>
    <r>
      <rPr>
        <sz val="9"/>
        <rFont val="Meiryo UI"/>
        <family val="0"/>
        <charset val="1"/>
      </rPr>
      <t xml:space="preserve">ED</t>
    </r>
    <r>
      <rPr>
        <sz val="9"/>
        <rFont val="WenQuanYi Zen Hei"/>
        <family val="2"/>
      </rPr>
      <t xml:space="preserve">系カード</t>
    </r>
    <r>
      <rPr>
        <sz val="9"/>
        <rFont val="Meiryo UI"/>
        <family val="0"/>
        <charset val="1"/>
      </rPr>
      <t xml:space="preserve">/</t>
    </r>
    <r>
      <rPr>
        <sz val="9"/>
        <rFont val="WenQuanYi Zen Hei"/>
        <family val="2"/>
      </rPr>
      <t xml:space="preserve">ファイル（</t>
    </r>
    <r>
      <rPr>
        <sz val="9"/>
        <rFont val="Meiryo UI"/>
        <family val="0"/>
        <charset val="1"/>
      </rPr>
      <t xml:space="preserve">500</t>
    </r>
    <r>
      <rPr>
        <sz val="9"/>
        <rFont val="WenQuanYi Zen Hei"/>
        <family val="2"/>
      </rPr>
      <t xml:space="preserve">円</t>
    </r>
    <r>
      <rPr>
        <sz val="9"/>
        <rFont val="Meiryo UI"/>
        <family val="0"/>
        <charset val="1"/>
      </rPr>
      <t xml:space="preserve">/</t>
    </r>
    <r>
      <rPr>
        <sz val="9"/>
        <rFont val="WenQuanYi Zen Hei"/>
        <family val="2"/>
      </rPr>
      <t xml:space="preserve">人）、ぐみっとシール（</t>
    </r>
    <r>
      <rPr>
        <sz val="9"/>
        <rFont val="Meiryo UI"/>
        <family val="0"/>
        <charset val="1"/>
      </rPr>
      <t xml:space="preserve">101</t>
    </r>
    <r>
      <rPr>
        <sz val="9"/>
        <rFont val="WenQuanYi Zen Hei"/>
        <family val="2"/>
      </rPr>
      <t xml:space="preserve">円</t>
    </r>
    <r>
      <rPr>
        <sz val="9"/>
        <rFont val="Meiryo UI"/>
        <family val="0"/>
        <charset val="1"/>
      </rPr>
      <t xml:space="preserve">/</t>
    </r>
    <r>
      <rPr>
        <sz val="9"/>
        <rFont val="WenQuanYi Zen Hei"/>
        <family val="2"/>
      </rPr>
      <t xml:space="preserve">人）</t>
    </r>
  </si>
  <si>
    <t xml:space="preserve">新規なし（品揃えは大阪と同一）</t>
  </si>
  <si>
    <r>
      <rPr>
        <b val="true"/>
        <sz val="11"/>
        <color rgb="FFC00000"/>
        <rFont val="Meiryo UI"/>
        <family val="0"/>
        <charset val="1"/>
      </rPr>
      <t xml:space="preserve">■ ③ LEGS </t>
    </r>
    <r>
      <rPr>
        <b val="true"/>
        <sz val="11"/>
        <color rgb="FFC00000"/>
        <rFont val="WenQuanYi Zen Hei"/>
        <family val="2"/>
      </rPr>
      <t xml:space="preserve">商品タイプ別 </t>
    </r>
    <r>
      <rPr>
        <b val="true"/>
        <sz val="11"/>
        <color rgb="FFC00000"/>
        <rFont val="Meiryo UI"/>
        <family val="0"/>
        <charset val="1"/>
      </rPr>
      <t xml:space="preserve">1</t>
    </r>
    <r>
      <rPr>
        <b val="true"/>
        <sz val="11"/>
        <color rgb="FFC00000"/>
        <rFont val="WenQuanYi Zen Hei"/>
        <family val="2"/>
      </rPr>
      <t xml:space="preserve">人あたり売上（円</t>
    </r>
    <r>
      <rPr>
        <b val="true"/>
        <sz val="11"/>
        <color rgb="FFC00000"/>
        <rFont val="Meiryo UI"/>
        <family val="0"/>
        <charset val="1"/>
      </rPr>
      <t xml:space="preserve">/</t>
    </r>
    <r>
      <rPr>
        <b val="true"/>
        <sz val="11"/>
        <color rgb="FFC00000"/>
        <rFont val="WenQuanYi Zen Hei"/>
        <family val="2"/>
      </rPr>
      <t xml:space="preserve">人）— どのタイプが削られたか</t>
    </r>
  </si>
  <si>
    <r>
      <rPr>
        <b val="true"/>
        <sz val="9"/>
        <color rgb="FFFFFFFF"/>
        <rFont val="Meiryo UI"/>
        <family val="0"/>
        <charset val="1"/>
      </rPr>
      <t xml:space="preserve">LEGS </t>
    </r>
    <r>
      <rPr>
        <b val="true"/>
        <sz val="9"/>
        <color rgb="FFFFFFFF"/>
        <rFont val="WenQuanYi Zen Hei"/>
        <family val="2"/>
      </rPr>
      <t xml:space="preserve">商品タイプ</t>
    </r>
  </si>
  <si>
    <r>
      <rPr>
        <b val="true"/>
        <sz val="9"/>
        <color rgb="FFFFFFFF"/>
        <rFont val="Meiryo UI"/>
        <family val="0"/>
        <charset val="1"/>
      </rPr>
      <t xml:space="preserve">LEGS</t>
    </r>
    <r>
      <rPr>
        <b val="true"/>
        <sz val="9"/>
        <color rgb="FFFFFFFF"/>
        <rFont val="WenQuanYi Zen Hei"/>
        <family val="2"/>
      </rPr>
      <t xml:space="preserve">減少への
寄与度</t>
    </r>
  </si>
  <si>
    <t xml:space="preserve">競合した新商品</t>
  </si>
  <si>
    <t xml:space="preserve">ブラインド缶バッジ</t>
  </si>
  <si>
    <r>
      <rPr>
        <sz val="9"/>
        <rFont val="WenQuanYi Zen Hei"/>
        <family val="2"/>
      </rPr>
      <t xml:space="preserve">★アクリル系</t>
    </r>
    <r>
      <rPr>
        <sz val="9"/>
        <rFont val="Meiryo UI"/>
        <family val="0"/>
        <charset val="1"/>
      </rPr>
      <t xml:space="preserve">39SKU</t>
    </r>
    <r>
      <rPr>
        <sz val="9"/>
        <rFont val="WenQuanYi Zen Hei"/>
        <family val="2"/>
      </rPr>
      <t xml:space="preserve">（</t>
    </r>
    <r>
      <rPr>
        <sz val="9"/>
        <rFont val="Meiryo UI"/>
        <family val="0"/>
        <charset val="1"/>
      </rPr>
      <t xml:space="preserve">450</t>
    </r>
    <r>
      <rPr>
        <sz val="9"/>
        <rFont val="WenQuanYi Zen Hei"/>
        <family val="2"/>
      </rPr>
      <t xml:space="preserve">円</t>
    </r>
    <r>
      <rPr>
        <sz val="9"/>
        <rFont val="Meiryo UI"/>
        <family val="0"/>
        <charset val="1"/>
      </rPr>
      <t xml:space="preserve">/</t>
    </r>
    <r>
      <rPr>
        <sz val="9"/>
        <rFont val="WenQuanYi Zen Hei"/>
        <family val="2"/>
      </rPr>
      <t xml:space="preserve">人）・ぬいぐるみ全</t>
    </r>
    <r>
      <rPr>
        <sz val="9"/>
        <rFont val="Meiryo UI"/>
        <family val="0"/>
        <charset val="1"/>
      </rPr>
      <t xml:space="preserve">8</t>
    </r>
    <r>
      <rPr>
        <sz val="9"/>
        <rFont val="WenQuanYi Zen Hei"/>
        <family val="2"/>
      </rPr>
      <t xml:space="preserve">種。同じ「引く／集める」コレクション需要が直撃</t>
    </r>
  </si>
  <si>
    <t xml:space="preserve">ブラインドミニ色紙</t>
  </si>
  <si>
    <r>
      <rPr>
        <sz val="9"/>
        <rFont val="WenQuanYi Zen Hei"/>
        <family val="2"/>
      </rPr>
      <t xml:space="preserve">★アクリル系・劇場版</t>
    </r>
    <r>
      <rPr>
        <sz val="9"/>
        <rFont val="Meiryo UI"/>
        <family val="0"/>
        <charset val="1"/>
      </rPr>
      <t xml:space="preserve">ED</t>
    </r>
    <r>
      <rPr>
        <sz val="9"/>
        <rFont val="WenQuanYi Zen Hei"/>
        <family val="2"/>
      </rPr>
      <t xml:space="preserve">カード類（</t>
    </r>
    <r>
      <rPr>
        <sz val="9"/>
        <rFont val="Meiryo UI"/>
        <family val="0"/>
        <charset val="1"/>
      </rPr>
      <t xml:space="preserve">293</t>
    </r>
    <r>
      <rPr>
        <sz val="9"/>
        <rFont val="WenQuanYi Zen Hei"/>
        <family val="2"/>
      </rPr>
      <t xml:space="preserve">円</t>
    </r>
    <r>
      <rPr>
        <sz val="9"/>
        <rFont val="Meiryo UI"/>
        <family val="0"/>
        <charset val="1"/>
      </rPr>
      <t xml:space="preserve">/</t>
    </r>
    <r>
      <rPr>
        <sz val="9"/>
        <rFont val="WenQuanYi Zen Hei"/>
        <family val="2"/>
      </rPr>
      <t xml:space="preserve">人）。ブラインド飽和＋新規コレクション商材へ移行</t>
    </r>
  </si>
  <si>
    <t xml:space="preserve">クリアファイル</t>
  </si>
  <si>
    <r>
      <rPr>
        <sz val="9"/>
        <rFont val="WenQuanYi Zen Hei"/>
        <family val="2"/>
      </rPr>
      <t xml:space="preserve">劇場版</t>
    </r>
    <r>
      <rPr>
        <sz val="9"/>
        <rFont val="Meiryo UI"/>
        <family val="0"/>
        <charset val="1"/>
      </rPr>
      <t xml:space="preserve">ED</t>
    </r>
    <r>
      <rPr>
        <sz val="9"/>
        <rFont val="WenQuanYi Zen Hei"/>
        <family val="2"/>
      </rPr>
      <t xml:space="preserve">クリアファイル</t>
    </r>
    <r>
      <rPr>
        <sz val="9"/>
        <rFont val="Meiryo UI"/>
        <family val="0"/>
        <charset val="1"/>
      </rPr>
      <t xml:space="preserve">10SKU</t>
    </r>
    <r>
      <rPr>
        <sz val="9"/>
        <rFont val="WenQuanYi Zen Hei"/>
        <family val="2"/>
      </rPr>
      <t xml:space="preserve">（</t>
    </r>
    <r>
      <rPr>
        <sz val="9"/>
        <rFont val="Meiryo UI"/>
        <family val="0"/>
        <charset val="1"/>
      </rPr>
      <t xml:space="preserve">207</t>
    </r>
    <r>
      <rPr>
        <sz val="9"/>
        <rFont val="WenQuanYi Zen Hei"/>
        <family val="2"/>
      </rPr>
      <t xml:space="preserve">円</t>
    </r>
    <r>
      <rPr>
        <sz val="9"/>
        <rFont val="Meiryo UI"/>
        <family val="0"/>
        <charset val="1"/>
      </rPr>
      <t xml:space="preserve">/</t>
    </r>
    <r>
      <rPr>
        <sz val="9"/>
        <rFont val="WenQuanYi Zen Hei"/>
        <family val="2"/>
      </rPr>
      <t xml:space="preserve">人）と競合するが、</t>
    </r>
    <r>
      <rPr>
        <sz val="9"/>
        <rFont val="Meiryo UI"/>
        <family val="0"/>
        <charset val="1"/>
      </rPr>
      <t xml:space="preserve">LEGS</t>
    </r>
    <r>
      <rPr>
        <sz val="9"/>
        <rFont val="WenQuanYi Zen Hei"/>
        <family val="2"/>
      </rPr>
      <t xml:space="preserve">側は横ばいを維持</t>
    </r>
  </si>
  <si>
    <t xml:space="preserve">ポストカード類</t>
  </si>
  <si>
    <r>
      <rPr>
        <sz val="9"/>
        <rFont val="WenQuanYi Zen Hei"/>
        <family val="2"/>
      </rPr>
      <t xml:space="preserve">劇場版</t>
    </r>
    <r>
      <rPr>
        <sz val="9"/>
        <rFont val="Meiryo UI"/>
        <family val="0"/>
        <charset val="1"/>
      </rPr>
      <t xml:space="preserve">ED</t>
    </r>
    <r>
      <rPr>
        <sz val="9"/>
        <rFont val="WenQuanYi Zen Hei"/>
        <family val="2"/>
      </rPr>
      <t xml:space="preserve">ポストカード</t>
    </r>
    <r>
      <rPr>
        <sz val="9"/>
        <rFont val="Meiryo UI"/>
        <family val="0"/>
        <charset val="1"/>
      </rPr>
      <t xml:space="preserve">/Pictas</t>
    </r>
    <r>
      <rPr>
        <sz val="9"/>
        <rFont val="WenQuanYi Zen Hei"/>
        <family val="2"/>
      </rPr>
      <t xml:space="preserve">（</t>
    </r>
    <r>
      <rPr>
        <sz val="9"/>
        <rFont val="Meiryo UI"/>
        <family val="0"/>
        <charset val="1"/>
      </rPr>
      <t xml:space="preserve">199</t>
    </r>
    <r>
      <rPr>
        <sz val="9"/>
        <rFont val="WenQuanYi Zen Hei"/>
        <family val="2"/>
      </rPr>
      <t xml:space="preserve">円</t>
    </r>
    <r>
      <rPr>
        <sz val="9"/>
        <rFont val="Meiryo UI"/>
        <family val="0"/>
        <charset val="1"/>
      </rPr>
      <t xml:space="preserve">/</t>
    </r>
    <r>
      <rPr>
        <sz val="9"/>
        <rFont val="WenQuanYi Zen Hei"/>
        <family val="2"/>
      </rPr>
      <t xml:space="preserve">人）と競合。</t>
    </r>
    <r>
      <rPr>
        <sz val="9"/>
        <rFont val="Meiryo UI"/>
        <family val="0"/>
        <charset val="1"/>
      </rPr>
      <t xml:space="preserve">LEGS</t>
    </r>
    <r>
      <rPr>
        <sz val="9"/>
        <rFont val="WenQuanYi Zen Hei"/>
        <family val="2"/>
      </rPr>
      <t xml:space="preserve">側は横ばい</t>
    </r>
  </si>
  <si>
    <t xml:space="preserve">ブラインドステッカー</t>
  </si>
  <si>
    <r>
      <rPr>
        <sz val="9"/>
        <rFont val="WenQuanYi Zen Hei"/>
        <family val="2"/>
      </rPr>
      <t xml:space="preserve">ぐみっとシール等</t>
    </r>
    <r>
      <rPr>
        <sz val="9"/>
        <rFont val="Meiryo UI"/>
        <family val="0"/>
        <charset val="1"/>
      </rPr>
      <t xml:space="preserve">9SKU</t>
    </r>
    <r>
      <rPr>
        <sz val="9"/>
        <rFont val="WenQuanYi Zen Hei"/>
        <family val="2"/>
      </rPr>
      <t xml:space="preserve">（</t>
    </r>
    <r>
      <rPr>
        <sz val="9"/>
        <rFont val="Meiryo UI"/>
        <family val="0"/>
        <charset val="1"/>
      </rPr>
      <t xml:space="preserve">121</t>
    </r>
    <r>
      <rPr>
        <sz val="9"/>
        <rFont val="WenQuanYi Zen Hei"/>
        <family val="2"/>
      </rPr>
      <t xml:space="preserve">円</t>
    </r>
    <r>
      <rPr>
        <sz val="9"/>
        <rFont val="Meiryo UI"/>
        <family val="0"/>
        <charset val="1"/>
      </rPr>
      <t xml:space="preserve">/</t>
    </r>
    <r>
      <rPr>
        <sz val="9"/>
        <rFont val="WenQuanYi Zen Hei"/>
        <family val="2"/>
      </rPr>
      <t xml:space="preserve">人）。影響軽微</t>
    </r>
  </si>
  <si>
    <t xml:space="preserve">雑貨・その他</t>
  </si>
  <si>
    <r>
      <rPr>
        <sz val="9"/>
        <rFont val="WenQuanYi Zen Hei"/>
        <family val="2"/>
      </rPr>
      <t xml:space="preserve">うちわ</t>
    </r>
    <r>
      <rPr>
        <sz val="9"/>
        <rFont val="Meiryo UI"/>
        <family val="0"/>
        <charset val="1"/>
      </rPr>
      <t xml:space="preserve">14SKU</t>
    </r>
    <r>
      <rPr>
        <sz val="9"/>
        <rFont val="WenQuanYi Zen Hei"/>
        <family val="2"/>
      </rPr>
      <t xml:space="preserve">（</t>
    </r>
    <r>
      <rPr>
        <sz val="9"/>
        <rFont val="Meiryo UI"/>
        <family val="0"/>
        <charset val="1"/>
      </rPr>
      <t xml:space="preserve">195</t>
    </r>
    <r>
      <rPr>
        <sz val="9"/>
        <rFont val="WenQuanYi Zen Hei"/>
        <family val="2"/>
      </rPr>
      <t xml:space="preserve">円</t>
    </r>
    <r>
      <rPr>
        <sz val="9"/>
        <rFont val="Meiryo UI"/>
        <family val="0"/>
        <charset val="1"/>
      </rPr>
      <t xml:space="preserve">/</t>
    </r>
    <r>
      <rPr>
        <sz val="9"/>
        <rFont val="WenQuanYi Zen Hei"/>
        <family val="2"/>
      </rPr>
      <t xml:space="preserve">人）が近い衝動買い枠。バスボール・お菓子等が微減</t>
    </r>
  </si>
  <si>
    <r>
      <rPr>
        <b val="true"/>
        <sz val="9"/>
        <rFont val="WenQuanYi Zen Hei"/>
        <family val="2"/>
      </rPr>
      <t xml:space="preserve">アクセサリー</t>
    </r>
    <r>
      <rPr>
        <b val="true"/>
        <sz val="9"/>
        <rFont val="Meiryo UI"/>
        <family val="0"/>
        <charset val="1"/>
      </rPr>
      <t xml:space="preserve">(</t>
    </r>
    <r>
      <rPr>
        <b val="true"/>
        <sz val="9"/>
        <rFont val="WenQuanYi Zen Hei"/>
        <family val="2"/>
      </rPr>
      <t xml:space="preserve">リング等</t>
    </r>
    <r>
      <rPr>
        <b val="true"/>
        <sz val="9"/>
        <rFont val="Meiryo UI"/>
        <family val="0"/>
        <charset val="1"/>
      </rPr>
      <t xml:space="preserve">)</t>
    </r>
  </si>
  <si>
    <r>
      <rPr>
        <sz val="9"/>
        <rFont val="WenQuanYi Zen Hei"/>
        <family val="2"/>
      </rPr>
      <t xml:space="preserve">高単価アクセ。ぬいぐるみコンプリート</t>
    </r>
    <r>
      <rPr>
        <sz val="9"/>
        <rFont val="Meiryo UI"/>
        <family val="0"/>
        <charset val="1"/>
      </rPr>
      <t xml:space="preserve">(¥19,840)</t>
    </r>
    <r>
      <rPr>
        <sz val="9"/>
        <rFont val="WenQuanYi Zen Hei"/>
        <family val="2"/>
      </rPr>
      <t xml:space="preserve">等の高単価枠と競合</t>
    </r>
  </si>
  <si>
    <r>
      <rPr>
        <b val="true"/>
        <sz val="9"/>
        <rFont val="Meiryo UI"/>
        <family val="0"/>
        <charset val="1"/>
      </rPr>
      <t xml:space="preserve">LEGS </t>
    </r>
    <r>
      <rPr>
        <b val="true"/>
        <sz val="9"/>
        <rFont val="WenQuanYi Zen Hei"/>
        <family val="2"/>
      </rPr>
      <t xml:space="preserve">合計</t>
    </r>
  </si>
  <si>
    <r>
      <rPr>
        <b val="true"/>
        <sz val="11"/>
        <color rgb="FFC00000"/>
        <rFont val="WenQuanYi Zen Hei"/>
        <family val="2"/>
      </rPr>
      <t xml:space="preserve">■ ④ 大阪 新商品</t>
    </r>
    <r>
      <rPr>
        <b val="true"/>
        <sz val="11"/>
        <color rgb="FFC00000"/>
        <rFont val="Meiryo UI"/>
        <family val="0"/>
        <charset val="1"/>
      </rPr>
      <t xml:space="preserve">106SKU </t>
    </r>
    <r>
      <rPr>
        <b val="true"/>
        <sz val="11"/>
        <color rgb="FFC00000"/>
        <rFont val="WenQuanYi Zen Hei"/>
        <family val="2"/>
      </rPr>
      <t xml:space="preserve">の内訳（タイプ別）</t>
    </r>
  </si>
  <si>
    <t xml:space="preserve">新商品タイプ</t>
  </si>
  <si>
    <r>
      <rPr>
        <b val="true"/>
        <sz val="9"/>
        <color rgb="FFFFFFFF"/>
        <rFont val="Meiryo UI"/>
        <family val="0"/>
        <charset val="1"/>
      </rPr>
      <t xml:space="preserve">SKU</t>
    </r>
    <r>
      <rPr>
        <b val="true"/>
        <sz val="9"/>
        <color rgb="FFFFFFFF"/>
        <rFont val="WenQuanYi Zen Hei"/>
        <family val="2"/>
      </rPr>
      <t xml:space="preserve">数</t>
    </r>
  </si>
  <si>
    <t xml:space="preserve">販売数量</t>
  </si>
  <si>
    <r>
      <rPr>
        <b val="true"/>
        <sz val="9"/>
        <color rgb="FFFFFFFF"/>
        <rFont val="WenQuanYi Zen Hei"/>
        <family val="2"/>
      </rPr>
      <t xml:space="preserve">販売金額</t>
    </r>
    <r>
      <rPr>
        <b val="true"/>
        <sz val="9"/>
        <color rgb="FFFFFFFF"/>
        <rFont val="Meiryo UI"/>
        <family val="0"/>
        <charset val="1"/>
      </rPr>
      <t xml:space="preserve">(</t>
    </r>
    <r>
      <rPr>
        <b val="true"/>
        <sz val="9"/>
        <color rgb="FFFFFFFF"/>
        <rFont val="WenQuanYi Zen Hei"/>
        <family val="2"/>
      </rPr>
      <t xml:space="preserve">税込</t>
    </r>
    <r>
      <rPr>
        <b val="true"/>
        <sz val="9"/>
        <color rgb="FFFFFFFF"/>
        <rFont val="Meiryo UI"/>
        <family val="0"/>
        <charset val="1"/>
      </rPr>
      <t xml:space="preserve">)</t>
    </r>
  </si>
  <si>
    <t xml:space="preserve">会場売上
構成比</t>
  </si>
  <si>
    <r>
      <rPr>
        <b val="true"/>
        <sz val="9"/>
        <color rgb="FFFFFFFF"/>
        <rFont val="Meiryo UI"/>
        <family val="0"/>
        <charset val="1"/>
      </rPr>
      <t xml:space="preserve">1</t>
    </r>
    <r>
      <rPr>
        <b val="true"/>
        <sz val="9"/>
        <color rgb="FFFFFFFF"/>
        <rFont val="WenQuanYi Zen Hei"/>
        <family val="2"/>
      </rPr>
      <t xml:space="preserve">人あたり
売上</t>
    </r>
  </si>
  <si>
    <r>
      <rPr>
        <b val="true"/>
        <sz val="9"/>
        <color rgb="FFFFFFFF"/>
        <rFont val="WenQuanYi Zen Hei"/>
        <family val="2"/>
      </rPr>
      <t xml:space="preserve">競合する</t>
    </r>
    <r>
      <rPr>
        <b val="true"/>
        <sz val="9"/>
        <color rgb="FFFFFFFF"/>
        <rFont val="Meiryo UI"/>
        <family val="0"/>
        <charset val="1"/>
      </rPr>
      <t xml:space="preserve">LEGS</t>
    </r>
    <r>
      <rPr>
        <b val="true"/>
        <sz val="9"/>
        <color rgb="FFFFFFFF"/>
        <rFont val="WenQuanYi Zen Hei"/>
        <family val="2"/>
      </rPr>
      <t xml:space="preserve">商品</t>
    </r>
  </si>
  <si>
    <t xml:space="preserve">アクリル系（コレクション）</t>
  </si>
  <si>
    <t xml:space="preserve">★ブラインド缶バッジ・ブラインドミニ色紙（直接競合）</t>
  </si>
  <si>
    <t xml:space="preserve">カード・ポストカード類</t>
  </si>
  <si>
    <r>
      <rPr>
        <sz val="9"/>
        <rFont val="WenQuanYi Zen Hei"/>
        <family val="2"/>
      </rPr>
      <t xml:space="preserve">ポストカードセット</t>
    </r>
    <r>
      <rPr>
        <sz val="9"/>
        <rFont val="Meiryo UI"/>
        <family val="0"/>
        <charset val="1"/>
      </rPr>
      <t xml:space="preserve">2</t>
    </r>
    <r>
      <rPr>
        <sz val="9"/>
        <rFont val="WenQuanYi Zen Hei"/>
        <family val="2"/>
      </rPr>
      <t xml:space="preserve">種・メタリックポストカード</t>
    </r>
  </si>
  <si>
    <r>
      <rPr>
        <sz val="9"/>
        <rFont val="WenQuanYi Zen Hei"/>
        <family val="2"/>
      </rPr>
      <t xml:space="preserve">クリアファイル</t>
    </r>
    <r>
      <rPr>
        <sz val="9"/>
        <rFont val="Meiryo UI"/>
        <family val="0"/>
        <charset val="1"/>
      </rPr>
      <t xml:space="preserve">14</t>
    </r>
    <r>
      <rPr>
        <sz val="9"/>
        <rFont val="WenQuanYi Zen Hei"/>
        <family val="2"/>
      </rPr>
      <t xml:space="preserve">種（展示会</t>
    </r>
    <r>
      <rPr>
        <sz val="9"/>
        <rFont val="Meiryo UI"/>
        <family val="0"/>
        <charset val="1"/>
      </rPr>
      <t xml:space="preserve">KV</t>
    </r>
    <r>
      <rPr>
        <sz val="9"/>
        <rFont val="WenQuanYi Zen Hei"/>
        <family val="2"/>
      </rPr>
      <t xml:space="preserve">・キャラ別）</t>
    </r>
  </si>
  <si>
    <t xml:space="preserve">うちわ（新カテゴリ）</t>
  </si>
  <si>
    <r>
      <rPr>
        <sz val="9"/>
        <rFont val="WenQuanYi Zen Hei"/>
        <family val="2"/>
      </rPr>
      <t xml:space="preserve">直接競合なし。ただし</t>
    </r>
    <r>
      <rPr>
        <sz val="9"/>
        <rFont val="Meiryo UI"/>
        <family val="0"/>
        <charset val="1"/>
      </rPr>
      <t xml:space="preserve">1,100</t>
    </r>
    <r>
      <rPr>
        <sz val="9"/>
        <rFont val="WenQuanYi Zen Hei"/>
        <family val="2"/>
      </rPr>
      <t xml:space="preserve">円の衝動買い枠を奪う</t>
    </r>
  </si>
  <si>
    <t xml:space="preserve">シール・ステッカー</t>
  </si>
  <si>
    <r>
      <rPr>
        <sz val="9"/>
        <rFont val="WenQuanYi Zen Hei"/>
        <family val="2"/>
      </rPr>
      <t xml:space="preserve">ブラインドダイカットステッカー</t>
    </r>
    <r>
      <rPr>
        <sz val="9"/>
        <rFont val="Meiryo UI"/>
        <family val="0"/>
        <charset val="1"/>
      </rPr>
      <t xml:space="preserve">2</t>
    </r>
    <r>
      <rPr>
        <sz val="9"/>
        <rFont val="WenQuanYi Zen Hei"/>
        <family val="2"/>
      </rPr>
      <t xml:space="preserve">種</t>
    </r>
  </si>
  <si>
    <t xml:space="preserve">その他新商品</t>
  </si>
  <si>
    <t xml:space="preserve">缶バッジ</t>
  </si>
  <si>
    <r>
      <rPr>
        <sz val="9"/>
        <rFont val="WenQuanYi Zen Hei"/>
        <family val="2"/>
      </rPr>
      <t xml:space="preserve">★ブラインド缶バッジ</t>
    </r>
    <r>
      <rPr>
        <sz val="9"/>
        <rFont val="Meiryo UI"/>
        <family val="0"/>
        <charset val="1"/>
      </rPr>
      <t xml:space="preserve">2</t>
    </r>
    <r>
      <rPr>
        <sz val="9"/>
        <rFont val="WenQuanYi Zen Hei"/>
        <family val="2"/>
      </rPr>
      <t xml:space="preserve">種（直接競合）</t>
    </r>
  </si>
  <si>
    <t xml:space="preserve">新商品 合計</t>
  </si>
  <si>
    <r>
      <rPr>
        <b val="true"/>
        <sz val="9"/>
        <rFont val="WenQuanYi Zen Hei"/>
        <family val="2"/>
      </rPr>
      <t xml:space="preserve">うち約</t>
    </r>
    <r>
      <rPr>
        <b val="true"/>
        <sz val="9"/>
        <rFont val="Meiryo UI"/>
        <family val="0"/>
        <charset val="1"/>
      </rPr>
      <t xml:space="preserve">47%</t>
    </r>
    <r>
      <rPr>
        <b val="true"/>
        <sz val="9"/>
        <rFont val="WenQuanYi Zen Hei"/>
        <family val="2"/>
      </rPr>
      <t xml:space="preserve">が</t>
    </r>
    <r>
      <rPr>
        <b val="true"/>
        <sz val="9"/>
        <rFont val="Meiryo UI"/>
        <family val="0"/>
        <charset val="1"/>
      </rPr>
      <t xml:space="preserve">LEGS</t>
    </r>
    <r>
      <rPr>
        <b val="true"/>
        <sz val="9"/>
        <rFont val="WenQuanYi Zen Hei"/>
        <family val="2"/>
      </rPr>
      <t xml:space="preserve">からの移動と推定</t>
    </r>
  </si>
  <si>
    <t xml:space="preserve">■ ⑤ 石川会場以降への示唆</t>
  </si>
  <si>
    <r>
      <rPr>
        <b val="true"/>
        <sz val="9"/>
        <rFont val="Meiryo UI"/>
        <family val="0"/>
        <charset val="1"/>
      </rPr>
      <t xml:space="preserve">LEGS</t>
    </r>
    <r>
      <rPr>
        <b val="true"/>
        <sz val="9"/>
        <rFont val="WenQuanYi Zen Hei"/>
        <family val="2"/>
      </rPr>
      <t xml:space="preserve">構成比は底打ちの見込み</t>
    </r>
  </si>
  <si>
    <r>
      <rPr>
        <sz val="9"/>
        <rFont val="WenQuanYi Zen Hei"/>
        <family val="2"/>
      </rPr>
      <t xml:space="preserve">札幌は新規</t>
    </r>
    <r>
      <rPr>
        <sz val="9"/>
        <rFont val="Meiryo UI"/>
        <family val="0"/>
        <charset val="1"/>
      </rPr>
      <t xml:space="preserve">SKU 0</t>
    </r>
    <r>
      <rPr>
        <sz val="9"/>
        <rFont val="WenQuanYi Zen Hei"/>
        <family val="2"/>
      </rPr>
      <t xml:space="preserve">で品揃えが大阪と同一。</t>
    </r>
    <r>
      <rPr>
        <sz val="9"/>
        <rFont val="Meiryo UI"/>
        <family val="0"/>
        <charset val="1"/>
      </rPr>
      <t xml:space="preserve">LEGS</t>
    </r>
    <r>
      <rPr>
        <sz val="9"/>
        <rFont val="WenQuanYi Zen Hei"/>
        <family val="2"/>
      </rPr>
      <t xml:space="preserve">金額構成比 大阪</t>
    </r>
    <r>
      <rPr>
        <sz val="9"/>
        <rFont val="Meiryo UI"/>
        <family val="0"/>
        <charset val="1"/>
      </rPr>
      <t xml:space="preserve">21.1%→</t>
    </r>
    <r>
      <rPr>
        <sz val="9"/>
        <rFont val="WenQuanYi Zen Hei"/>
        <family val="2"/>
      </rPr>
      <t xml:space="preserve">札幌</t>
    </r>
    <r>
      <rPr>
        <sz val="9"/>
        <rFont val="Meiryo UI"/>
        <family val="0"/>
        <charset val="1"/>
      </rPr>
      <t xml:space="preserve">19.6%(</t>
    </r>
    <r>
      <rPr>
        <sz val="9"/>
        <rFont val="WenQuanYi Zen Hei"/>
        <family val="2"/>
      </rPr>
      <t xml:space="preserve">予測</t>
    </r>
    <r>
      <rPr>
        <sz val="9"/>
        <rFont val="Meiryo UI"/>
        <family val="0"/>
        <charset val="1"/>
      </rPr>
      <t xml:space="preserve">)</t>
    </r>
    <r>
      <rPr>
        <sz val="9"/>
        <rFont val="WenQuanYi Zen Hei"/>
        <family val="2"/>
      </rPr>
      <t xml:space="preserve">で減少幅は縮小しており、石川以降も新商品の追加が無ければ</t>
    </r>
    <r>
      <rPr>
        <sz val="9"/>
        <rFont val="Meiryo UI"/>
        <family val="0"/>
        <charset val="1"/>
      </rPr>
      <t xml:space="preserve">19</t>
    </r>
    <r>
      <rPr>
        <sz val="9"/>
        <rFont val="WenQuanYi Zen Hei"/>
        <family val="2"/>
      </rPr>
      <t xml:space="preserve">〜</t>
    </r>
    <r>
      <rPr>
        <sz val="9"/>
        <rFont val="Meiryo UI"/>
        <family val="0"/>
        <charset val="1"/>
      </rPr>
      <t xml:space="preserve">20%</t>
    </r>
    <r>
      <rPr>
        <sz val="9"/>
        <rFont val="WenQuanYi Zen Hei"/>
        <family val="2"/>
      </rPr>
      <t xml:space="preserve">で安定すると想定。③の予測はこの水準を採用している。</t>
    </r>
  </si>
  <si>
    <t xml:space="preserve">★最大のリスクは「石川以降の新商品追加」</t>
  </si>
  <si>
    <r>
      <rPr>
        <sz val="9"/>
        <rFont val="WenQuanYi Zen Hei"/>
        <family val="2"/>
      </rPr>
      <t xml:space="preserve">大阪の実績では新商品</t>
    </r>
    <r>
      <rPr>
        <sz val="9"/>
        <rFont val="Meiryo UI"/>
        <family val="0"/>
        <charset val="1"/>
      </rPr>
      <t xml:space="preserve">1,360</t>
    </r>
    <r>
      <rPr>
        <sz val="9"/>
        <rFont val="WenQuanYi Zen Hei"/>
        <family val="2"/>
      </rPr>
      <t xml:space="preserve">円</t>
    </r>
    <r>
      <rPr>
        <sz val="9"/>
        <rFont val="Meiryo UI"/>
        <family val="0"/>
        <charset val="1"/>
      </rPr>
      <t xml:space="preserve">/</t>
    </r>
    <r>
      <rPr>
        <sz val="9"/>
        <rFont val="WenQuanYi Zen Hei"/>
        <family val="2"/>
      </rPr>
      <t xml:space="preserve">人の投入に対し</t>
    </r>
    <r>
      <rPr>
        <sz val="9"/>
        <rFont val="Meiryo UI"/>
        <family val="0"/>
        <charset val="1"/>
      </rPr>
      <t xml:space="preserve">LEGS</t>
    </r>
    <r>
      <rPr>
        <sz val="9"/>
        <rFont val="WenQuanYi Zen Hei"/>
        <family val="2"/>
      </rPr>
      <t xml:space="preserve">が</t>
    </r>
    <r>
      <rPr>
        <sz val="9"/>
        <rFont val="Meiryo UI"/>
        <family val="0"/>
        <charset val="1"/>
      </rPr>
      <t xml:space="preserve">643</t>
    </r>
    <r>
      <rPr>
        <sz val="9"/>
        <rFont val="WenQuanYi Zen Hei"/>
        <family val="2"/>
      </rPr>
      <t xml:space="preserve">円</t>
    </r>
    <r>
      <rPr>
        <sz val="9"/>
        <rFont val="Meiryo UI"/>
        <family val="0"/>
        <charset val="1"/>
      </rPr>
      <t xml:space="preserve">/</t>
    </r>
    <r>
      <rPr>
        <sz val="9"/>
        <rFont val="WenQuanYi Zen Hei"/>
        <family val="2"/>
      </rPr>
      <t xml:space="preserve">人失われた。同規模の新商品を石川以降に投入すると、</t>
    </r>
    <r>
      <rPr>
        <sz val="9"/>
        <rFont val="Meiryo UI"/>
        <family val="0"/>
        <charset val="1"/>
      </rPr>
      <t xml:space="preserve">LEGS</t>
    </r>
    <r>
      <rPr>
        <sz val="9"/>
        <rFont val="WenQuanYi Zen Hei"/>
        <family val="2"/>
      </rPr>
      <t xml:space="preserve">構成比はさらに</t>
    </r>
    <r>
      <rPr>
        <sz val="9"/>
        <rFont val="Meiryo UI"/>
        <family val="0"/>
        <charset val="1"/>
      </rPr>
      <t xml:space="preserve">5</t>
    </r>
    <r>
      <rPr>
        <sz val="9"/>
        <rFont val="WenQuanYi Zen Hei"/>
        <family val="2"/>
      </rPr>
      <t xml:space="preserve">〜</t>
    </r>
    <r>
      <rPr>
        <sz val="9"/>
        <rFont val="Meiryo UI"/>
        <family val="0"/>
        <charset val="1"/>
      </rPr>
      <t xml:space="preserve">7pt</t>
    </r>
    <r>
      <rPr>
        <sz val="9"/>
        <rFont val="WenQuanYi Zen Hei"/>
        <family val="2"/>
      </rPr>
      <t xml:space="preserve">下がり、③の必要数</t>
    </r>
    <r>
      <rPr>
        <sz val="9"/>
        <rFont val="Meiryo UI"/>
        <family val="0"/>
        <charset val="1"/>
      </rPr>
      <t xml:space="preserve">86,000</t>
    </r>
    <r>
      <rPr>
        <sz val="9"/>
        <rFont val="WenQuanYi Zen Hei"/>
        <family val="2"/>
      </rPr>
      <t xml:space="preserve">個は最大で</t>
    </r>
    <r>
      <rPr>
        <sz val="9"/>
        <rFont val="Meiryo UI"/>
        <family val="0"/>
        <charset val="1"/>
      </rPr>
      <t xml:space="preserve">30%</t>
    </r>
    <r>
      <rPr>
        <sz val="9"/>
        <rFont val="WenQuanYi Zen Hei"/>
        <family val="2"/>
      </rPr>
      <t xml:space="preserve">程度過大になる。</t>
    </r>
  </si>
  <si>
    <t xml:space="preserve">　→ 発注前の必須確認事項</t>
  </si>
  <si>
    <r>
      <rPr>
        <sz val="9"/>
        <rFont val="WenQuanYi Zen Hei"/>
        <family val="2"/>
      </rPr>
      <t xml:space="preserve">石川以降に新商品（ぬいぐるみ第</t>
    </r>
    <r>
      <rPr>
        <sz val="9"/>
        <rFont val="Meiryo UI"/>
        <family val="0"/>
        <charset val="1"/>
      </rPr>
      <t xml:space="preserve">2</t>
    </r>
    <r>
      <rPr>
        <sz val="9"/>
        <rFont val="WenQuanYi Zen Hei"/>
        <family val="2"/>
      </rPr>
      <t xml:space="preserve">弾・うちわ第</t>
    </r>
    <r>
      <rPr>
        <sz val="9"/>
        <rFont val="Meiryo UI"/>
        <family val="0"/>
        <charset val="1"/>
      </rPr>
      <t xml:space="preserve">2</t>
    </r>
    <r>
      <rPr>
        <sz val="9"/>
        <rFont val="WenQuanYi Zen Hei"/>
        <family val="2"/>
      </rPr>
      <t xml:space="preserve">弾等）の投入計画があるか、あるなら規模はどの程度か。これを確認せずに追加生産</t>
    </r>
    <r>
      <rPr>
        <sz val="9"/>
        <rFont val="Meiryo UI"/>
        <family val="0"/>
        <charset val="1"/>
      </rPr>
      <t xml:space="preserve">46,000</t>
    </r>
    <r>
      <rPr>
        <sz val="9"/>
        <rFont val="WenQuanYi Zen Hei"/>
        <family val="2"/>
      </rPr>
      <t xml:space="preserve">個を確定するのは危険。</t>
    </r>
  </si>
  <si>
    <t xml:space="preserve">ブラインド系は減産、定番系は維持</t>
  </si>
  <si>
    <r>
      <rPr>
        <sz val="9"/>
        <rFont val="WenQuanYi Zen Hei"/>
        <family val="2"/>
      </rPr>
      <t xml:space="preserve">ブラインド缶バッジ▲</t>
    </r>
    <r>
      <rPr>
        <sz val="9"/>
        <rFont val="Meiryo UI"/>
        <family val="0"/>
        <charset val="1"/>
      </rPr>
      <t xml:space="preserve">272</t>
    </r>
    <r>
      <rPr>
        <sz val="9"/>
        <rFont val="WenQuanYi Zen Hei"/>
        <family val="2"/>
      </rPr>
      <t xml:space="preserve">円</t>
    </r>
    <r>
      <rPr>
        <sz val="9"/>
        <rFont val="Meiryo UI"/>
        <family val="0"/>
        <charset val="1"/>
      </rPr>
      <t xml:space="preserve">/</t>
    </r>
    <r>
      <rPr>
        <sz val="9"/>
        <rFont val="WenQuanYi Zen Hei"/>
        <family val="2"/>
      </rPr>
      <t xml:space="preserve">人・ミニ色紙▲</t>
    </r>
    <r>
      <rPr>
        <sz val="9"/>
        <rFont val="Meiryo UI"/>
        <family val="0"/>
        <charset val="1"/>
      </rPr>
      <t xml:space="preserve">284</t>
    </r>
    <r>
      <rPr>
        <sz val="9"/>
        <rFont val="WenQuanYi Zen Hei"/>
        <family val="2"/>
      </rPr>
      <t xml:space="preserve">円</t>
    </r>
    <r>
      <rPr>
        <sz val="9"/>
        <rFont val="Meiryo UI"/>
        <family val="0"/>
        <charset val="1"/>
      </rPr>
      <t xml:space="preserve">/</t>
    </r>
    <r>
      <rPr>
        <sz val="9"/>
        <rFont val="WenQuanYi Zen Hei"/>
        <family val="2"/>
      </rPr>
      <t xml:space="preserve">人で</t>
    </r>
    <r>
      <rPr>
        <sz val="9"/>
        <rFont val="Meiryo UI"/>
        <family val="0"/>
        <charset val="1"/>
      </rPr>
      <t xml:space="preserve">LEGS</t>
    </r>
    <r>
      <rPr>
        <sz val="9"/>
        <rFont val="WenQuanYi Zen Hei"/>
        <family val="2"/>
      </rPr>
      <t xml:space="preserve">減少の</t>
    </r>
    <r>
      <rPr>
        <sz val="9"/>
        <rFont val="Meiryo UI"/>
        <family val="0"/>
        <charset val="1"/>
      </rPr>
      <t xml:space="preserve">87%</t>
    </r>
    <r>
      <rPr>
        <sz val="9"/>
        <rFont val="WenQuanYi Zen Hei"/>
        <family val="2"/>
      </rPr>
      <t xml:space="preserve">を占める一方、クリアファイル・ポストカード類はほぼ横ばい。追加生産はブラインド系を抑え、クリアファイル系を優先すべき。</t>
    </r>
  </si>
  <si>
    <t xml:space="preserve">高単価コレクション商材が主戦場</t>
  </si>
  <si>
    <r>
      <rPr>
        <sz val="9"/>
        <rFont val="WenQuanYi Zen Hei"/>
        <family val="2"/>
      </rPr>
      <t xml:space="preserve">おすわりぬいぐるみコンプリート</t>
    </r>
    <r>
      <rPr>
        <sz val="9"/>
        <rFont val="Meiryo UI"/>
        <family val="0"/>
        <charset val="1"/>
      </rPr>
      <t xml:space="preserve">(¥19,840)</t>
    </r>
    <r>
      <rPr>
        <sz val="9"/>
        <rFont val="WenQuanYi Zen Hei"/>
        <family val="2"/>
      </rPr>
      <t xml:space="preserve">が大阪で</t>
    </r>
    <r>
      <rPr>
        <sz val="9"/>
        <rFont val="Meiryo UI"/>
        <family val="0"/>
        <charset val="1"/>
      </rPr>
      <t xml:space="preserve">203</t>
    </r>
    <r>
      <rPr>
        <sz val="9"/>
        <rFont val="WenQuanYi Zen Hei"/>
        <family val="2"/>
      </rPr>
      <t xml:space="preserve">個、アクリル系</t>
    </r>
    <r>
      <rPr>
        <sz val="9"/>
        <rFont val="Meiryo UI"/>
        <family val="0"/>
        <charset val="1"/>
      </rPr>
      <t xml:space="preserve">39SKU</t>
    </r>
    <r>
      <rPr>
        <sz val="9"/>
        <rFont val="WenQuanYi Zen Hei"/>
        <family val="2"/>
      </rPr>
      <t xml:space="preserve">で</t>
    </r>
    <r>
      <rPr>
        <sz val="9"/>
        <rFont val="Meiryo UI"/>
        <family val="0"/>
        <charset val="1"/>
      </rPr>
      <t xml:space="preserve">450</t>
    </r>
    <r>
      <rPr>
        <sz val="9"/>
        <rFont val="WenQuanYi Zen Hei"/>
        <family val="2"/>
      </rPr>
      <t xml:space="preserve">円</t>
    </r>
    <r>
      <rPr>
        <sz val="9"/>
        <rFont val="Meiryo UI"/>
        <family val="0"/>
        <charset val="1"/>
      </rPr>
      <t xml:space="preserve">/</t>
    </r>
    <r>
      <rPr>
        <sz val="9"/>
        <rFont val="WenQuanYi Zen Hei"/>
        <family val="2"/>
      </rPr>
      <t xml:space="preserve">人。「引く」から「選んで揃える」へ需要が移行している。</t>
    </r>
    <r>
      <rPr>
        <sz val="9"/>
        <rFont val="Meiryo UI"/>
        <family val="0"/>
        <charset val="1"/>
      </rPr>
      <t xml:space="preserve">LEGS</t>
    </r>
    <r>
      <rPr>
        <sz val="9"/>
        <rFont val="WenQuanYi Zen Hei"/>
        <family val="2"/>
      </rPr>
      <t xml:space="preserve">側もブラインド偏重の見直しが必要。</t>
    </r>
  </si>
  <si>
    <r>
      <rPr>
        <b val="true"/>
        <sz val="15"/>
        <color rgb="FF1F3864"/>
        <rFont val="WenQuanYi Zen Hei"/>
        <family val="2"/>
      </rPr>
      <t xml:space="preserve">⑧ 残在庫想定（梅田まで</t>
    </r>
    <r>
      <rPr>
        <b val="true"/>
        <sz val="15"/>
        <color rgb="FF1F3864"/>
        <rFont val="Meiryo UI"/>
        <family val="0"/>
        <charset val="1"/>
      </rPr>
      <t xml:space="preserve">(SET)</t>
    </r>
    <r>
      <rPr>
        <b val="true"/>
        <sz val="15"/>
        <color rgb="FF1F3864"/>
        <rFont val="WenQuanYi Zen Hei"/>
        <family val="2"/>
      </rPr>
      <t xml:space="preserve">）の明細と欠品算出</t>
    </r>
  </si>
  <si>
    <r>
      <rPr>
        <sz val="8"/>
        <color rgb="FF555555"/>
        <rFont val="WenQuanYi Zen Hei"/>
        <family val="2"/>
      </rPr>
      <t xml:space="preserve">残在庫想定 ＝ 在庫フロー台帳（【清算</t>
    </r>
    <r>
      <rPr>
        <sz val="8"/>
        <color rgb="FF555555"/>
        <rFont val="Meiryo UI"/>
        <family val="0"/>
        <charset val="1"/>
      </rPr>
      <t xml:space="preserve">(</t>
    </r>
    <r>
      <rPr>
        <sz val="8"/>
        <color rgb="FF555555"/>
        <rFont val="WenQuanYi Zen Hei"/>
        <family val="2"/>
      </rPr>
      <t xml:space="preserve">卸値</t>
    </r>
    <r>
      <rPr>
        <sz val="8"/>
        <color rgb="FF555555"/>
        <rFont val="Meiryo UI"/>
        <family val="0"/>
        <charset val="1"/>
      </rPr>
      <t xml:space="preserve">67</t>
    </r>
    <r>
      <rPr>
        <sz val="8"/>
        <color rgb="FF555555"/>
        <rFont val="WenQuanYi Zen Hei"/>
        <family val="2"/>
      </rPr>
      <t xml:space="preserve">％</t>
    </r>
    <r>
      <rPr>
        <sz val="8"/>
        <color rgb="FF555555"/>
        <rFont val="Meiryo UI"/>
        <family val="0"/>
        <charset val="1"/>
      </rPr>
      <t xml:space="preserve">)</t>
    </r>
    <r>
      <rPr>
        <sz val="8"/>
        <color rgb="FF555555"/>
        <rFont val="WenQuanYi Zen Hei"/>
        <family val="2"/>
      </rPr>
      <t xml:space="preserve">】…</t>
    </r>
    <r>
      <rPr>
        <sz val="8"/>
        <color rgb="FF555555"/>
        <rFont val="Meiryo UI"/>
        <family val="0"/>
        <charset val="1"/>
      </rPr>
      <t xml:space="preserve">_</t>
    </r>
    <r>
      <rPr>
        <sz val="8"/>
        <color rgb="FF555555"/>
        <rFont val="WenQuanYi Zen Hei"/>
        <family val="2"/>
      </rPr>
      <t xml:space="preserve">検品差異）の「梅田まで</t>
    </r>
    <r>
      <rPr>
        <sz val="8"/>
        <color rgb="FF555555"/>
        <rFont val="Meiryo UI"/>
        <family val="0"/>
        <charset val="1"/>
      </rPr>
      <t xml:space="preserve">(SET)</t>
    </r>
    <r>
      <rPr>
        <sz val="8"/>
        <color rgb="FF555555"/>
        <rFont val="WenQuanYi Zen Hei"/>
        <family val="2"/>
      </rPr>
      <t xml:space="preserve">」列。会場ごとの 追加発注→販売→レッグス検品 を積み上げた最終値で、梅田会場後の検品結果まで反映済み</t>
    </r>
  </si>
  <si>
    <r>
      <rPr>
        <sz val="8"/>
        <color rgb="FF555555"/>
        <rFont val="WenQuanYi Zen Hei"/>
        <family val="2"/>
      </rPr>
      <t xml:space="preserve">この残在庫から札幌会場へ</t>
    </r>
    <r>
      <rPr>
        <sz val="8"/>
        <color rgb="FF555555"/>
        <rFont val="Meiryo UI"/>
        <family val="0"/>
        <charset val="1"/>
      </rPr>
      <t xml:space="preserve">7/21</t>
    </r>
    <r>
      <rPr>
        <sz val="8"/>
        <color rgb="FF555555"/>
        <rFont val="WenQuanYi Zen Hei"/>
        <family val="2"/>
      </rPr>
      <t xml:space="preserve">に出荷（＝札幌の販売可能数）。石川以降に使えるのは「倉庫残 − 札幌への追納 ＋ 札幌会期末の返送見込」＝ 残在庫 − 札幌会期予測販売数</t>
    </r>
  </si>
  <si>
    <r>
      <rPr>
        <sz val="8"/>
        <color rgb="FF555555"/>
        <rFont val="WenQuanYi Zen Hei"/>
        <family val="2"/>
      </rPr>
      <t xml:space="preserve">※同ファイルの「元データ」「在庫合算」「在庫元データ</t>
    </r>
    <r>
      <rPr>
        <sz val="8"/>
        <color rgb="FF555555"/>
        <rFont val="Meiryo UI"/>
        <family val="0"/>
        <charset val="1"/>
      </rPr>
      <t xml:space="preserve">(12</t>
    </r>
    <r>
      <rPr>
        <sz val="8"/>
        <color rgb="FF555555"/>
        <rFont val="WenQuanYi Zen Hei"/>
        <family val="2"/>
      </rPr>
      <t xml:space="preserve">月清算後</t>
    </r>
    <r>
      <rPr>
        <sz val="8"/>
        <color rgb="FF555555"/>
        <rFont val="Meiryo UI"/>
        <family val="0"/>
        <charset val="1"/>
      </rPr>
      <t xml:space="preserve">)</t>
    </r>
    <r>
      <rPr>
        <sz val="8"/>
        <color rgb="FF555555"/>
        <rFont val="WenQuanYi Zen Hei"/>
        <family val="2"/>
      </rPr>
      <t xml:space="preserve">」シートは池袋終了時点の古いスナップショット（合計</t>
    </r>
    <r>
      <rPr>
        <sz val="8"/>
        <color rgb="FF555555"/>
        <rFont val="Meiryo UI"/>
        <family val="0"/>
        <charset val="1"/>
      </rPr>
      <t xml:space="preserve">183,696</t>
    </r>
    <r>
      <rPr>
        <sz val="8"/>
        <color rgb="FF555555"/>
        <rFont val="WenQuanYi Zen Hei"/>
        <family val="2"/>
      </rPr>
      <t xml:space="preserve">個）であり、残在庫として使ってはいけない。ポストカードセット</t>
    </r>
    <r>
      <rPr>
        <sz val="8"/>
        <color rgb="FF555555"/>
        <rFont val="Meiryo UI"/>
        <family val="0"/>
        <charset val="1"/>
      </rPr>
      <t xml:space="preserve">2</t>
    </r>
    <r>
      <rPr>
        <sz val="8"/>
        <color rgb="FF555555"/>
        <rFont val="WenQuanYi Zen Hei"/>
        <family val="2"/>
      </rPr>
      <t xml:space="preserve">種・宿儺の指風お菓子は</t>
    </r>
    <r>
      <rPr>
        <sz val="8"/>
        <color rgb="FF555555"/>
        <rFont val="Meiryo UI"/>
        <family val="0"/>
        <charset val="1"/>
      </rPr>
      <t xml:space="preserve">SET</t>
    </r>
    <r>
      <rPr>
        <sz val="8"/>
        <color rgb="FF555555"/>
        <rFont val="WenQuanYi Zen Hei"/>
        <family val="2"/>
      </rPr>
      <t xml:space="preserve">商品で、台帳の発注数はバラ単位・実在庫は</t>
    </r>
    <r>
      <rPr>
        <sz val="8"/>
        <color rgb="FF555555"/>
        <rFont val="Meiryo UI"/>
        <family val="0"/>
        <charset val="1"/>
      </rPr>
      <t xml:space="preserve">SET</t>
    </r>
    <r>
      <rPr>
        <sz val="8"/>
        <color rgb="FF555555"/>
        <rFont val="WenQuanYi Zen Hei"/>
        <family val="2"/>
      </rPr>
      <t xml:space="preserve">単位</t>
    </r>
  </si>
  <si>
    <r>
      <rPr>
        <sz val="8"/>
        <color rgb="FF555555"/>
        <rFont val="Meiryo UI"/>
        <family val="0"/>
        <charset val="1"/>
      </rPr>
      <t xml:space="preserve">※P</t>
    </r>
    <r>
      <rPr>
        <sz val="8"/>
        <color rgb="FF555555"/>
        <rFont val="WenQuanYi Zen Hei"/>
        <family val="2"/>
      </rPr>
      <t xml:space="preserve">列の過不足には確定済み追加発注（宿儺の指風お菓子 </t>
    </r>
    <r>
      <rPr>
        <sz val="8"/>
        <color rgb="FF555555"/>
        <rFont val="Meiryo UI"/>
        <family val="0"/>
        <charset val="1"/>
      </rPr>
      <t xml:space="preserve">1,200SET</t>
    </r>
    <r>
      <rPr>
        <sz val="8"/>
        <color rgb="FF555555"/>
        <rFont val="WenQuanYi Zen Hei"/>
        <family val="2"/>
      </rPr>
      <t xml:space="preserve">）を加算している</t>
    </r>
  </si>
  <si>
    <t xml:space="preserve">実在庫
池袋まで</t>
  </si>
  <si>
    <t xml:space="preserve">実在庫
名古屋まで</t>
  </si>
  <si>
    <t xml:space="preserve">実在庫
福岡まで</t>
  </si>
  <si>
    <t xml:space="preserve">★残在庫想定
梅田まで</t>
  </si>
  <si>
    <r>
      <rPr>
        <b val="true"/>
        <sz val="9"/>
        <color rgb="FFFFFFFF"/>
        <rFont val="WenQuanYi Zen Hei"/>
        <family val="2"/>
      </rPr>
      <t xml:space="preserve">残在庫
金額</t>
    </r>
    <r>
      <rPr>
        <b val="true"/>
        <sz val="9"/>
        <color rgb="FFFFFFFF"/>
        <rFont val="Meiryo UI"/>
        <family val="0"/>
        <charset val="1"/>
      </rPr>
      <t xml:space="preserve">(</t>
    </r>
    <r>
      <rPr>
        <b val="true"/>
        <sz val="9"/>
        <color rgb="FFFFFFFF"/>
        <rFont val="WenQuanYi Zen Hei"/>
        <family val="2"/>
      </rPr>
      <t xml:space="preserve">税込</t>
    </r>
    <r>
      <rPr>
        <b val="true"/>
        <sz val="9"/>
        <color rgb="FFFFFFFF"/>
        <rFont val="Meiryo UI"/>
        <family val="0"/>
        <charset val="1"/>
      </rPr>
      <t xml:space="preserve">)</t>
    </r>
  </si>
  <si>
    <r>
      <rPr>
        <b val="true"/>
        <sz val="9"/>
        <color rgb="FFFFFFFF"/>
        <rFont val="WenQuanYi Zen Hei"/>
        <family val="2"/>
      </rPr>
      <t xml:space="preserve">札幌へ納品
</t>
    </r>
    <r>
      <rPr>
        <b val="true"/>
        <sz val="9"/>
        <color rgb="FFFFFFFF"/>
        <rFont val="Meiryo UI"/>
        <family val="0"/>
        <charset val="1"/>
      </rPr>
      <t xml:space="preserve">(7/21)</t>
    </r>
  </si>
  <si>
    <r>
      <rPr>
        <b val="true"/>
        <sz val="9"/>
        <color rgb="FFFFFFFF"/>
        <rFont val="WenQuanYi Zen Hei"/>
        <family val="2"/>
      </rPr>
      <t xml:space="preserve">札幌 会期</t>
    </r>
    <r>
      <rPr>
        <b val="true"/>
        <sz val="9"/>
        <color rgb="FFFFFFFF"/>
        <rFont val="Meiryo UI"/>
        <family val="0"/>
        <charset val="1"/>
      </rPr>
      <t xml:space="preserve">20</t>
    </r>
    <r>
      <rPr>
        <b val="true"/>
        <sz val="9"/>
        <color rgb="FFFFFFFF"/>
        <rFont val="WenQuanYi Zen Hei"/>
        <family val="2"/>
      </rPr>
      <t xml:space="preserve">日
予測販売</t>
    </r>
  </si>
  <si>
    <t xml:space="preserve">札幌 会期末
返送見込</t>
  </si>
  <si>
    <r>
      <rPr>
        <b val="true"/>
        <sz val="9"/>
        <color rgb="FFFFFFFF"/>
        <rFont val="WenQuanYi Zen Hei"/>
        <family val="2"/>
      </rPr>
      <t xml:space="preserve">差引 倉庫残
</t>
    </r>
    <r>
      <rPr>
        <b val="true"/>
        <sz val="9"/>
        <color rgb="FFFFFFFF"/>
        <rFont val="Meiryo UI"/>
        <family val="0"/>
        <charset val="1"/>
      </rPr>
      <t xml:space="preserve">(</t>
    </r>
    <r>
      <rPr>
        <b val="true"/>
        <sz val="9"/>
        <color rgb="FFFFFFFF"/>
        <rFont val="WenQuanYi Zen Hei"/>
        <family val="2"/>
      </rPr>
      <t xml:space="preserve">即出荷可</t>
    </r>
    <r>
      <rPr>
        <b val="true"/>
        <sz val="9"/>
        <color rgb="FFFFFFFF"/>
        <rFont val="Meiryo UI"/>
        <family val="0"/>
        <charset val="1"/>
      </rPr>
      <t xml:space="preserve">)</t>
    </r>
  </si>
  <si>
    <r>
      <rPr>
        <b val="true"/>
        <sz val="9"/>
        <color rgb="FFFFFFFF"/>
        <rFont val="WenQuanYi Zen Hei"/>
        <family val="2"/>
      </rPr>
      <t xml:space="preserve">過不足
</t>
    </r>
    <r>
      <rPr>
        <b val="true"/>
        <sz val="9"/>
        <color rgb="FFFFFFFF"/>
        <rFont val="Meiryo UI"/>
        <family val="0"/>
        <charset val="1"/>
      </rPr>
      <t xml:space="preserve">(</t>
    </r>
    <r>
      <rPr>
        <b val="true"/>
        <sz val="9"/>
        <color rgb="FFFFFFFF"/>
        <rFont val="WenQuanYi Zen Hei"/>
        <family val="2"/>
      </rPr>
      <t xml:space="preserve">供給−必要</t>
    </r>
    <r>
      <rPr>
        <b val="true"/>
        <sz val="9"/>
        <color rgb="FFFFFFFF"/>
        <rFont val="Meiryo UI"/>
        <family val="0"/>
        <charset val="1"/>
      </rPr>
      <t xml:space="preserve">)</t>
    </r>
  </si>
  <si>
    <r>
      <rPr>
        <b val="true"/>
        <sz val="9"/>
        <color rgb="FFFFFFFF"/>
        <rFont val="WenQuanYi Zen Hei"/>
        <family val="2"/>
      </rPr>
      <t xml:space="preserve">欠品
</t>
    </r>
    <r>
      <rPr>
        <b val="true"/>
        <sz val="9"/>
        <color rgb="FFFFFFFF"/>
        <rFont val="Meiryo UI"/>
        <family val="0"/>
        <charset val="1"/>
      </rPr>
      <t xml:space="preserve">(</t>
    </r>
    <r>
      <rPr>
        <b val="true"/>
        <sz val="9"/>
        <color rgb="FFFFFFFF"/>
        <rFont val="WenQuanYi Zen Hei"/>
        <family val="2"/>
      </rPr>
      <t xml:space="preserve">追加生産必要数</t>
    </r>
    <r>
      <rPr>
        <b val="true"/>
        <sz val="9"/>
        <color rgb="FFFFFFFF"/>
        <rFont val="Meiryo UI"/>
        <family val="0"/>
        <charset val="1"/>
      </rPr>
      <t xml:space="preserve">)</t>
    </r>
  </si>
  <si>
    <t xml:space="preserve">判定</t>
  </si>
  <si>
    <r>
      <rPr>
        <b val="true"/>
        <sz val="9"/>
        <color rgb="FF333333"/>
        <rFont val="WenQuanYi Zen Hei"/>
        <family val="2"/>
      </rPr>
      <t xml:space="preserve">運営欠品報告
</t>
    </r>
    <r>
      <rPr>
        <b val="true"/>
        <sz val="9"/>
        <color rgb="FF333333"/>
        <rFont val="Meiryo UI"/>
        <family val="0"/>
        <charset val="1"/>
      </rPr>
      <t xml:space="preserve">(7/28)</t>
    </r>
  </si>
  <si>
    <r>
      <rPr>
        <sz val="9"/>
        <rFont val="Meiryo UI"/>
        <family val="0"/>
        <charset val="1"/>
      </rPr>
      <t xml:space="preserve">SET</t>
    </r>
    <r>
      <rPr>
        <sz val="9"/>
        <rFont val="WenQuanYi Zen Hei"/>
        <family val="2"/>
      </rPr>
      <t xml:space="preserve">商品（</t>
    </r>
    <r>
      <rPr>
        <sz val="9"/>
        <rFont val="Meiryo UI"/>
        <family val="0"/>
        <charset val="1"/>
      </rPr>
      <t xml:space="preserve">1</t>
    </r>
    <r>
      <rPr>
        <sz val="9"/>
        <rFont val="WenQuanYi Zen Hei"/>
        <family val="2"/>
      </rPr>
      <t xml:space="preserve">販売単位＝</t>
    </r>
    <r>
      <rPr>
        <sz val="9"/>
        <rFont val="Meiryo UI"/>
        <family val="0"/>
        <charset val="1"/>
      </rPr>
      <t xml:space="preserve">5</t>
    </r>
    <r>
      <rPr>
        <sz val="9"/>
        <rFont val="WenQuanYi Zen Hei"/>
        <family val="2"/>
      </rPr>
      <t xml:space="preserve">個）。台帳の発注数はバラ単位</t>
    </r>
  </si>
  <si>
    <r>
      <rPr>
        <sz val="9"/>
        <rFont val="Meiryo UI"/>
        <family val="0"/>
        <charset val="1"/>
      </rPr>
      <t xml:space="preserve">SET</t>
    </r>
    <r>
      <rPr>
        <sz val="9"/>
        <rFont val="WenQuanYi Zen Hei"/>
        <family val="2"/>
      </rPr>
      <t xml:space="preserve">商品（</t>
    </r>
    <r>
      <rPr>
        <sz val="9"/>
        <rFont val="Meiryo UI"/>
        <family val="0"/>
        <charset val="1"/>
      </rPr>
      <t xml:space="preserve">1</t>
    </r>
    <r>
      <rPr>
        <sz val="9"/>
        <rFont val="WenQuanYi Zen Hei"/>
        <family val="2"/>
      </rPr>
      <t xml:space="preserve">販売単位＝</t>
    </r>
    <r>
      <rPr>
        <sz val="9"/>
        <rFont val="Meiryo UI"/>
        <family val="0"/>
        <charset val="1"/>
      </rPr>
      <t xml:space="preserve">9</t>
    </r>
    <r>
      <rPr>
        <sz val="9"/>
        <rFont val="WenQuanYi Zen Hei"/>
        <family val="2"/>
      </rPr>
      <t xml:space="preserve">個）。台帳の発注数はバラ単位</t>
    </r>
  </si>
  <si>
    <t xml:space="preserve">欠品報告あり</t>
  </si>
  <si>
    <r>
      <rPr>
        <sz val="9"/>
        <rFont val="WenQuanYi Zen Hei"/>
        <family val="2"/>
      </rPr>
      <t xml:space="preserve">倉庫残</t>
    </r>
    <r>
      <rPr>
        <sz val="9"/>
        <rFont val="Meiryo UI"/>
        <family val="0"/>
        <charset val="1"/>
      </rPr>
      <t xml:space="preserve">1,740</t>
    </r>
    <r>
      <rPr>
        <sz val="9"/>
        <rFont val="WenQuanYi Zen Hei"/>
        <family val="2"/>
      </rPr>
      <t xml:space="preserve">個 → ◎倉庫からの追加納品で即対応可能</t>
    </r>
  </si>
  <si>
    <r>
      <rPr>
        <sz val="9"/>
        <rFont val="WenQuanYi Zen Hei"/>
        <family val="2"/>
      </rPr>
      <t xml:space="preserve">倉庫残</t>
    </r>
    <r>
      <rPr>
        <sz val="9"/>
        <rFont val="Meiryo UI"/>
        <family val="0"/>
        <charset val="1"/>
      </rPr>
      <t xml:space="preserve">2,423</t>
    </r>
    <r>
      <rPr>
        <sz val="9"/>
        <rFont val="WenQuanYi Zen Hei"/>
        <family val="2"/>
      </rPr>
      <t xml:space="preserve">個 → ◎倉庫からの追加納品で即対応可能</t>
    </r>
  </si>
  <si>
    <r>
      <rPr>
        <sz val="9"/>
        <rFont val="WenQuanYi Zen Hei"/>
        <family val="2"/>
      </rPr>
      <t xml:space="preserve">倉庫残</t>
    </r>
    <r>
      <rPr>
        <sz val="9"/>
        <rFont val="Meiryo UI"/>
        <family val="0"/>
        <charset val="1"/>
      </rPr>
      <t xml:space="preserve">208</t>
    </r>
    <r>
      <rPr>
        <sz val="9"/>
        <rFont val="WenQuanYi Zen Hei"/>
        <family val="2"/>
      </rPr>
      <t xml:space="preserve">個 → ◎倉庫からの追加納品で即対応可能</t>
    </r>
  </si>
  <si>
    <r>
      <rPr>
        <sz val="9"/>
        <rFont val="WenQuanYi Zen Hei"/>
        <family val="2"/>
      </rPr>
      <t xml:space="preserve">倉庫残</t>
    </r>
    <r>
      <rPr>
        <sz val="9"/>
        <rFont val="Meiryo UI"/>
        <family val="0"/>
        <charset val="1"/>
      </rPr>
      <t xml:space="preserve">1,281</t>
    </r>
    <r>
      <rPr>
        <sz val="9"/>
        <rFont val="WenQuanYi Zen Hei"/>
        <family val="2"/>
      </rPr>
      <t xml:space="preserve">個 → ◎倉庫からの追加納品で即対応可能</t>
    </r>
  </si>
  <si>
    <r>
      <rPr>
        <sz val="9"/>
        <rFont val="WenQuanYi Zen Hei"/>
        <family val="2"/>
      </rPr>
      <t xml:space="preserve">倉庫残</t>
    </r>
    <r>
      <rPr>
        <sz val="9"/>
        <rFont val="Meiryo UI"/>
        <family val="0"/>
        <charset val="1"/>
      </rPr>
      <t xml:space="preserve">297</t>
    </r>
    <r>
      <rPr>
        <sz val="9"/>
        <rFont val="WenQuanYi Zen Hei"/>
        <family val="2"/>
      </rPr>
      <t xml:space="preserve">個 → ◎倉庫からの追加納品で即対応可能</t>
    </r>
  </si>
  <si>
    <r>
      <rPr>
        <sz val="9"/>
        <rFont val="WenQuanYi Zen Hei"/>
        <family val="2"/>
      </rPr>
      <t xml:space="preserve">◎追加発注 確定済 </t>
    </r>
    <r>
      <rPr>
        <sz val="9"/>
        <rFont val="Meiryo UI"/>
        <family val="0"/>
        <charset val="1"/>
      </rPr>
      <t xml:space="preserve">1,200SET</t>
    </r>
    <r>
      <rPr>
        <sz val="9"/>
        <rFont val="WenQuanYi Zen Hei"/>
        <family val="2"/>
      </rPr>
      <t xml:space="preserve">（仙台 </t>
    </r>
    <r>
      <rPr>
        <sz val="9"/>
        <rFont val="Meiryo UI"/>
        <family val="0"/>
        <charset val="1"/>
      </rPr>
      <t xml:space="preserve">Ebeans</t>
    </r>
    <r>
      <rPr>
        <sz val="9"/>
        <rFont val="WenQuanYi Zen Hei"/>
        <family val="2"/>
      </rPr>
      <t xml:space="preserve">入荷）を過不足に加算済／ミニマム</t>
    </r>
    <r>
      <rPr>
        <sz val="9"/>
        <rFont val="Meiryo UI"/>
        <family val="0"/>
        <charset val="1"/>
      </rPr>
      <t xml:space="preserve">1,200</t>
    </r>
    <r>
      <rPr>
        <sz val="9"/>
        <rFont val="WenQuanYi Zen Hei"/>
        <family val="2"/>
      </rPr>
      <t xml:space="preserve">〜</t>
    </r>
    <r>
      <rPr>
        <sz val="9"/>
        <rFont val="Meiryo UI"/>
        <family val="0"/>
        <charset val="1"/>
      </rPr>
      <t xml:space="preserve">1,500SET</t>
    </r>
    <r>
      <rPr>
        <sz val="9"/>
        <rFont val="WenQuanYi Zen Hei"/>
        <family val="2"/>
      </rPr>
      <t xml:space="preserve">（</t>
    </r>
    <r>
      <rPr>
        <sz val="9"/>
        <rFont val="Meiryo UI"/>
        <family val="0"/>
        <charset val="1"/>
      </rPr>
      <t xml:space="preserve">12,000</t>
    </r>
    <r>
      <rPr>
        <sz val="9"/>
        <rFont val="WenQuanYi Zen Hei"/>
        <family val="2"/>
      </rPr>
      <t xml:space="preserve">〜</t>
    </r>
    <r>
      <rPr>
        <sz val="9"/>
        <rFont val="Meiryo UI"/>
        <family val="0"/>
        <charset val="1"/>
      </rPr>
      <t xml:space="preserve">15,000</t>
    </r>
    <r>
      <rPr>
        <sz val="9"/>
        <rFont val="WenQuanYi Zen Hei"/>
        <family val="2"/>
      </rPr>
      <t xml:space="preserve">本） ／ 【賞味期限】賞味期限</t>
    </r>
    <r>
      <rPr>
        <sz val="9"/>
        <rFont val="Meiryo UI"/>
        <family val="0"/>
        <charset val="1"/>
      </rPr>
      <t xml:space="preserve">4</t>
    </r>
    <r>
      <rPr>
        <sz val="9"/>
        <rFont val="WenQuanYi Zen Hei"/>
        <family val="2"/>
      </rPr>
      <t xml:space="preserve">か月以内は販売不可。現在庫は金沢</t>
    </r>
    <r>
      <rPr>
        <sz val="9"/>
        <rFont val="Meiryo UI"/>
        <family val="0"/>
        <charset val="1"/>
      </rPr>
      <t xml:space="preserve">(</t>
    </r>
    <r>
      <rPr>
        <sz val="9"/>
        <rFont val="WenQuanYi Zen Hei"/>
        <family val="2"/>
      </rPr>
      <t xml:space="preserve">石川</t>
    </r>
    <r>
      <rPr>
        <sz val="9"/>
        <rFont val="Meiryo UI"/>
        <family val="0"/>
        <charset val="1"/>
      </rPr>
      <t xml:space="preserve">)</t>
    </r>
    <r>
      <rPr>
        <sz val="9"/>
        <rFont val="WenQuanYi Zen Hei"/>
        <family val="2"/>
      </rPr>
      <t xml:space="preserve">会場までは賞味期限</t>
    </r>
    <r>
      <rPr>
        <sz val="9"/>
        <rFont val="Meiryo UI"/>
        <family val="0"/>
        <charset val="1"/>
      </rPr>
      <t xml:space="preserve">OK</t>
    </r>
    <r>
      <rPr>
        <sz val="9"/>
        <rFont val="WenQuanYi Zen Hei"/>
        <family val="2"/>
      </rPr>
      <t xml:space="preserve">。残すと廃棄になるため石川会期内での売り切りを目標にする ／ 倉庫残</t>
    </r>
    <r>
      <rPr>
        <sz val="9"/>
        <rFont val="Meiryo UI"/>
        <family val="0"/>
        <charset val="1"/>
      </rPr>
      <t xml:space="preserve">160</t>
    </r>
    <r>
      <rPr>
        <sz val="9"/>
        <rFont val="WenQuanYi Zen Hei"/>
        <family val="2"/>
      </rPr>
      <t xml:space="preserve">個 → ◎倉庫からの追加納品で即対応可能 ／ </t>
    </r>
    <r>
      <rPr>
        <sz val="9"/>
        <rFont val="Meiryo UI"/>
        <family val="0"/>
        <charset val="1"/>
      </rPr>
      <t xml:space="preserve">SET</t>
    </r>
    <r>
      <rPr>
        <sz val="9"/>
        <rFont val="WenQuanYi Zen Hei"/>
        <family val="2"/>
      </rPr>
      <t xml:space="preserve">商品（</t>
    </r>
    <r>
      <rPr>
        <sz val="9"/>
        <rFont val="Meiryo UI"/>
        <family val="0"/>
        <charset val="1"/>
      </rPr>
      <t xml:space="preserve">1</t>
    </r>
    <r>
      <rPr>
        <sz val="9"/>
        <rFont val="WenQuanYi Zen Hei"/>
        <family val="2"/>
      </rPr>
      <t xml:space="preserve">販売単位＝</t>
    </r>
    <r>
      <rPr>
        <sz val="9"/>
        <rFont val="Meiryo UI"/>
        <family val="0"/>
        <charset val="1"/>
      </rPr>
      <t xml:space="preserve">10</t>
    </r>
    <r>
      <rPr>
        <sz val="9"/>
        <rFont val="WenQuanYi Zen Hei"/>
        <family val="2"/>
      </rPr>
      <t xml:space="preserve">個）。台帳の発注数はバラ単位</t>
    </r>
  </si>
  <si>
    <r>
      <rPr>
        <sz val="9"/>
        <rFont val="WenQuanYi Zen Hei"/>
        <family val="2"/>
      </rPr>
      <t xml:space="preserve">倉庫残</t>
    </r>
    <r>
      <rPr>
        <sz val="9"/>
        <rFont val="Meiryo UI"/>
        <family val="0"/>
        <charset val="1"/>
      </rPr>
      <t xml:space="preserve">260</t>
    </r>
    <r>
      <rPr>
        <sz val="9"/>
        <rFont val="WenQuanYi Zen Hei"/>
        <family val="2"/>
      </rPr>
      <t xml:space="preserve">個 → ◎倉庫からの追加納品で即対応可能</t>
    </r>
  </si>
  <si>
    <r>
      <rPr>
        <sz val="9"/>
        <rFont val="WenQuanYi Zen Hei"/>
        <family val="2"/>
      </rPr>
      <t xml:space="preserve">倉庫残</t>
    </r>
    <r>
      <rPr>
        <sz val="9"/>
        <rFont val="Meiryo UI"/>
        <family val="0"/>
        <charset val="1"/>
      </rPr>
      <t xml:space="preserve">23</t>
    </r>
    <r>
      <rPr>
        <sz val="9"/>
        <rFont val="WenQuanYi Zen Hei"/>
        <family val="2"/>
      </rPr>
      <t xml:space="preserve">個 → ◎倉庫からの追加納品で即対応可能 ／ ★「追納困難」との回答だが実在庫</t>
    </r>
    <r>
      <rPr>
        <sz val="9"/>
        <rFont val="Meiryo UI"/>
        <family val="0"/>
        <charset val="1"/>
      </rPr>
      <t xml:space="preserve">23</t>
    </r>
    <r>
      <rPr>
        <sz val="9"/>
        <rFont val="WenQuanYi Zen Hei"/>
        <family val="2"/>
      </rPr>
      <t xml:space="preserve">個あり。出荷可否を要再確認</t>
    </r>
  </si>
  <si>
    <r>
      <rPr>
        <b val="true"/>
        <sz val="15"/>
        <color rgb="FF1F3864"/>
        <rFont val="WenQuanYi Zen Hei"/>
        <family val="2"/>
      </rPr>
      <t xml:space="preserve">⑨ 過去</t>
    </r>
    <r>
      <rPr>
        <b val="true"/>
        <sz val="15"/>
        <color rgb="FF1F3864"/>
        <rFont val="Meiryo UI"/>
        <family val="0"/>
        <charset val="1"/>
      </rPr>
      <t xml:space="preserve">4</t>
    </r>
    <r>
      <rPr>
        <b val="true"/>
        <sz val="15"/>
        <color rgb="FF1F3864"/>
        <rFont val="WenQuanYi Zen Hei"/>
        <family val="2"/>
      </rPr>
      <t xml:space="preserve">会場（①池袋・②名古屋・③博多阪急・④梅田阪急）商品別 販売予測 </t>
    </r>
    <r>
      <rPr>
        <b val="true"/>
        <sz val="15"/>
        <color rgb="FF1F3864"/>
        <rFont val="Meiryo UI"/>
        <family val="0"/>
        <charset val="1"/>
      </rPr>
      <t xml:space="preserve">vs </t>
    </r>
    <r>
      <rPr>
        <b val="true"/>
        <sz val="15"/>
        <color rgb="FF1F3864"/>
        <rFont val="WenQuanYi Zen Hei"/>
        <family val="2"/>
      </rPr>
      <t xml:space="preserve">実績販売・構成比の修正</t>
    </r>
  </si>
  <si>
    <r>
      <rPr>
        <sz val="8"/>
        <color rgb="FF555555"/>
        <rFont val="WenQuanYi Zen Hei"/>
        <family val="2"/>
      </rPr>
      <t xml:space="preserve">販売予測＝各会場の「初</t>
    </r>
    <r>
      <rPr>
        <sz val="8"/>
        <color rgb="FF555555"/>
        <rFont val="Meiryo UI"/>
        <family val="0"/>
        <charset val="1"/>
      </rPr>
      <t xml:space="preserve">6</t>
    </r>
    <r>
      <rPr>
        <sz val="8"/>
        <color rgb="FF555555"/>
        <rFont val="WenQuanYi Zen Hei"/>
        <family val="2"/>
      </rPr>
      <t xml:space="preserve">日実績 </t>
    </r>
    <r>
      <rPr>
        <sz val="8"/>
        <color rgb="FF555555"/>
        <rFont val="Meiryo UI"/>
        <family val="0"/>
        <charset val="1"/>
      </rPr>
      <t xml:space="preserve">× </t>
    </r>
    <r>
      <rPr>
        <sz val="8"/>
        <color rgb="FF555555"/>
        <rFont val="WenQuanYi Zen Hei"/>
        <family val="2"/>
      </rPr>
      <t xml:space="preserve">会期倍率</t>
    </r>
    <r>
      <rPr>
        <sz val="8"/>
        <color rgb="FF555555"/>
        <rFont val="Meiryo UI"/>
        <family val="0"/>
        <charset val="1"/>
      </rPr>
      <t xml:space="preserve">g</t>
    </r>
    <r>
      <rPr>
        <sz val="8"/>
        <color rgb="FF555555"/>
        <rFont val="WenQuanYi Zen Hei"/>
        <family val="2"/>
      </rPr>
      <t xml:space="preserve">」。</t>
    </r>
    <r>
      <rPr>
        <sz val="8"/>
        <color rgb="FF555555"/>
        <rFont val="Meiryo UI"/>
        <family val="0"/>
        <charset val="1"/>
      </rPr>
      <t xml:space="preserve">g</t>
    </r>
    <r>
      <rPr>
        <sz val="8"/>
        <color rgb="FF555555"/>
        <rFont val="WenQuanYi Zen Hei"/>
        <family val="2"/>
      </rPr>
      <t xml:space="preserve">はその時点で判明していた過去会場のみから算出（直近会場を</t>
    </r>
    <r>
      <rPr>
        <sz val="8"/>
        <color rgb="FF555555"/>
        <rFont val="Meiryo UI"/>
        <family val="0"/>
        <charset val="1"/>
      </rPr>
      <t xml:space="preserve">2</t>
    </r>
    <r>
      <rPr>
        <sz val="8"/>
        <color rgb="FF555555"/>
        <rFont val="WenQuanYi Zen Hei"/>
        <family val="2"/>
      </rPr>
      <t xml:space="preserve">倍加重）。池袋は初回会場のため予測不能で、投入数（販売可能数）を計画値として表示</t>
    </r>
  </si>
  <si>
    <r>
      <rPr>
        <sz val="8"/>
        <color rgb="FF555555"/>
        <rFont val="WenQuanYi Zen Hei"/>
        <family val="2"/>
      </rPr>
      <t xml:space="preserve">予測時構成比＝予測販売数の</t>
    </r>
    <r>
      <rPr>
        <sz val="8"/>
        <color rgb="FF555555"/>
        <rFont val="Meiryo UI"/>
        <family val="0"/>
        <charset val="1"/>
      </rPr>
      <t xml:space="preserve">LEGS42SKU</t>
    </r>
    <r>
      <rPr>
        <sz val="8"/>
        <color rgb="FF555555"/>
        <rFont val="WenQuanYi Zen Hei"/>
        <family val="2"/>
      </rPr>
      <t xml:space="preserve">内シェア（池袋は投入数シェア）／実績構成比＝実績販売数のシェア／構成比修正＝実績構成比 − 予測時構成比（ポイント）</t>
    </r>
  </si>
  <si>
    <r>
      <rPr>
        <sz val="8"/>
        <color rgb="FF555555"/>
        <rFont val="WenQuanYi Zen Hei"/>
        <family val="2"/>
      </rPr>
      <t xml:space="preserve">会期日数が異なるため、過去会場の累計は博多</t>
    </r>
    <r>
      <rPr>
        <sz val="8"/>
        <color rgb="FF555555"/>
        <rFont val="Meiryo UI"/>
        <family val="0"/>
        <charset val="1"/>
      </rPr>
      <t xml:space="preserve">26</t>
    </r>
    <r>
      <rPr>
        <sz val="8"/>
        <color rgb="FF555555"/>
        <rFont val="WenQuanYi Zen Hei"/>
        <family val="2"/>
      </rPr>
      <t xml:space="preserve">日間の日次消化カーブで対象会場の会期日数に換算している／名古屋の販売可能数は元データに小数値が含まれるため整数に丸めている（</t>
    </r>
    <r>
      <rPr>
        <sz val="8"/>
        <color rgb="FF555555"/>
        <rFont val="Meiryo UI"/>
        <family val="0"/>
        <charset val="1"/>
      </rPr>
      <t xml:space="preserve">3</t>
    </r>
    <r>
      <rPr>
        <sz val="8"/>
        <color rgb="FF555555"/>
        <rFont val="WenQuanYi Zen Hei"/>
        <family val="2"/>
      </rPr>
      <t xml:space="preserve">品目）</t>
    </r>
  </si>
  <si>
    <r>
      <rPr>
        <b val="true"/>
        <sz val="11"/>
        <color rgb="FFC00000"/>
        <rFont val="WenQuanYi Zen Hei"/>
        <family val="2"/>
      </rPr>
      <t xml:space="preserve">■ 会場別 予測精度サマリー（</t>
    </r>
    <r>
      <rPr>
        <b val="true"/>
        <sz val="11"/>
        <color rgb="FFC00000"/>
        <rFont val="Meiryo UI"/>
        <family val="0"/>
        <charset val="1"/>
      </rPr>
      <t xml:space="preserve">LEGS 42SKU </t>
    </r>
    <r>
      <rPr>
        <b val="true"/>
        <sz val="11"/>
        <color rgb="FFC00000"/>
        <rFont val="WenQuanYi Zen Hei"/>
        <family val="2"/>
      </rPr>
      <t xml:space="preserve">合計）</t>
    </r>
  </si>
  <si>
    <t xml:space="preserve">参照した過去会場（加重）</t>
  </si>
  <si>
    <r>
      <rPr>
        <b val="true"/>
        <sz val="9"/>
        <color rgb="FFFFFFFF"/>
        <rFont val="WenQuanYi Zen Hei"/>
        <family val="2"/>
      </rPr>
      <t xml:space="preserve">会期倍率</t>
    </r>
    <r>
      <rPr>
        <b val="true"/>
        <sz val="9"/>
        <color rgb="FFFFFFFF"/>
        <rFont val="Meiryo UI"/>
        <family val="0"/>
        <charset val="1"/>
      </rPr>
      <t xml:space="preserve">g</t>
    </r>
  </si>
  <si>
    <r>
      <rPr>
        <b val="true"/>
        <sz val="9"/>
        <color rgb="FFFFFFFF"/>
        <rFont val="WenQuanYi Zen Hei"/>
        <family val="2"/>
      </rPr>
      <t xml:space="preserve">投入数
</t>
    </r>
    <r>
      <rPr>
        <b val="true"/>
        <sz val="9"/>
        <color rgb="FFFFFFFF"/>
        <rFont val="Meiryo UI"/>
        <family val="0"/>
        <charset val="1"/>
      </rPr>
      <t xml:space="preserve">(</t>
    </r>
    <r>
      <rPr>
        <b val="true"/>
        <sz val="9"/>
        <color rgb="FFFFFFFF"/>
        <rFont val="WenQuanYi Zen Hei"/>
        <family val="2"/>
      </rPr>
      <t xml:space="preserve">販売可能数</t>
    </r>
    <r>
      <rPr>
        <b val="true"/>
        <sz val="9"/>
        <color rgb="FFFFFFFF"/>
        <rFont val="Meiryo UI"/>
        <family val="0"/>
        <charset val="1"/>
      </rPr>
      <t xml:space="preserve">)</t>
    </r>
  </si>
  <si>
    <t xml:space="preserve">モデル
予測販売数</t>
  </si>
  <si>
    <t xml:space="preserve">実績
販売数</t>
  </si>
  <si>
    <r>
      <rPr>
        <b val="true"/>
        <sz val="9"/>
        <color rgb="FFFFFFFF"/>
        <rFont val="WenQuanYi Zen Hei"/>
        <family val="2"/>
      </rPr>
      <t xml:space="preserve">予測誤差
</t>
    </r>
    <r>
      <rPr>
        <b val="true"/>
        <sz val="9"/>
        <color rgb="FFFFFFFF"/>
        <rFont val="Meiryo UI"/>
        <family val="0"/>
        <charset val="1"/>
      </rPr>
      <t xml:space="preserve">(</t>
    </r>
    <r>
      <rPr>
        <b val="true"/>
        <sz val="9"/>
        <color rgb="FFFFFFFF"/>
        <rFont val="WenQuanYi Zen Hei"/>
        <family val="2"/>
      </rPr>
      <t xml:space="preserve">実績−予測</t>
    </r>
    <r>
      <rPr>
        <b val="true"/>
        <sz val="9"/>
        <color rgb="FFFFFFFF"/>
        <rFont val="Meiryo UI"/>
        <family val="0"/>
        <charset val="1"/>
      </rPr>
      <t xml:space="preserve">)</t>
    </r>
  </si>
  <si>
    <t xml:space="preserve">誤差率</t>
  </si>
  <si>
    <t xml:space="preserve">商品別
絶対誤差率</t>
  </si>
  <si>
    <r>
      <rPr>
        <b val="true"/>
        <sz val="9"/>
        <color rgb="FFFFFFFF"/>
        <rFont val="WenQuanYi Zen Hei"/>
        <family val="2"/>
      </rPr>
      <t xml:space="preserve">消化率
</t>
    </r>
    <r>
      <rPr>
        <b val="true"/>
        <sz val="9"/>
        <color rgb="FFFFFFFF"/>
        <rFont val="Meiryo UI"/>
        <family val="0"/>
        <charset val="1"/>
      </rPr>
      <t xml:space="preserve">(</t>
    </r>
    <r>
      <rPr>
        <b val="true"/>
        <sz val="9"/>
        <color rgb="FFFFFFFF"/>
        <rFont val="WenQuanYi Zen Hei"/>
        <family val="2"/>
      </rPr>
      <t xml:space="preserve">実績</t>
    </r>
    <r>
      <rPr>
        <b val="true"/>
        <sz val="9"/>
        <color rgb="FFFFFFFF"/>
        <rFont val="Meiryo UI"/>
        <family val="0"/>
        <charset val="1"/>
      </rPr>
      <t xml:space="preserve">/</t>
    </r>
    <r>
      <rPr>
        <b val="true"/>
        <sz val="9"/>
        <color rgb="FFFFFFFF"/>
        <rFont val="WenQuanYi Zen Hei"/>
        <family val="2"/>
      </rPr>
      <t xml:space="preserve">投入</t>
    </r>
    <r>
      <rPr>
        <b val="true"/>
        <sz val="9"/>
        <color rgb="FFFFFFFF"/>
        <rFont val="Meiryo UI"/>
        <family val="0"/>
        <charset val="1"/>
      </rPr>
      <t xml:space="preserve">)</t>
    </r>
  </si>
  <si>
    <t xml:space="preserve">—（初回会場）</t>
  </si>
  <si>
    <t xml:space="preserve">初回会場。予測モデルの参照元が無いため投入数のみ</t>
  </si>
  <si>
    <r>
      <rPr>
        <sz val="9"/>
        <rFont val="WenQuanYi Zen Hei"/>
        <family val="2"/>
      </rPr>
      <t xml:space="preserve">東京</t>
    </r>
    <r>
      <rPr>
        <sz val="9"/>
        <rFont val="Meiryo UI"/>
        <family val="0"/>
        <charset val="1"/>
      </rPr>
      <t xml:space="preserve">×2</t>
    </r>
  </si>
  <si>
    <t xml:space="preserve">池袋のみを参照。実績が予測を上回り、やや保守的な予測だった</t>
  </si>
  <si>
    <r>
      <rPr>
        <sz val="9"/>
        <rFont val="WenQuanYi Zen Hei"/>
        <family val="2"/>
      </rPr>
      <t xml:space="preserve">東京</t>
    </r>
    <r>
      <rPr>
        <sz val="9"/>
        <rFont val="Meiryo UI"/>
        <family val="0"/>
        <charset val="1"/>
      </rPr>
      <t xml:space="preserve">×1</t>
    </r>
    <r>
      <rPr>
        <sz val="9"/>
        <rFont val="WenQuanYi Zen Hei"/>
        <family val="2"/>
      </rPr>
      <t xml:space="preserve">・名古屋</t>
    </r>
    <r>
      <rPr>
        <sz val="9"/>
        <rFont val="Meiryo UI"/>
        <family val="0"/>
        <charset val="1"/>
      </rPr>
      <t xml:space="preserve">×2</t>
    </r>
  </si>
  <si>
    <r>
      <rPr>
        <sz val="9"/>
        <rFont val="Meiryo UI"/>
        <family val="0"/>
        <charset val="1"/>
      </rPr>
      <t xml:space="preserve">26</t>
    </r>
    <r>
      <rPr>
        <sz val="9"/>
        <rFont val="WenQuanYi Zen Hei"/>
        <family val="2"/>
      </rPr>
      <t xml:space="preserve">日間の長期会期で後半にブラインド系が伸び、予測を大きく上回った</t>
    </r>
  </si>
  <si>
    <r>
      <rPr>
        <sz val="9"/>
        <rFont val="WenQuanYi Zen Hei"/>
        <family val="2"/>
      </rPr>
      <t xml:space="preserve">東京</t>
    </r>
    <r>
      <rPr>
        <sz val="9"/>
        <rFont val="Meiryo UI"/>
        <family val="0"/>
        <charset val="1"/>
      </rPr>
      <t xml:space="preserve">×1</t>
    </r>
    <r>
      <rPr>
        <sz val="9"/>
        <rFont val="WenQuanYi Zen Hei"/>
        <family val="2"/>
      </rPr>
      <t xml:space="preserve">・名古屋</t>
    </r>
    <r>
      <rPr>
        <sz val="9"/>
        <rFont val="Meiryo UI"/>
        <family val="0"/>
        <charset val="1"/>
      </rPr>
      <t xml:space="preserve">×1</t>
    </r>
    <r>
      <rPr>
        <sz val="9"/>
        <rFont val="WenQuanYi Zen Hei"/>
        <family val="2"/>
      </rPr>
      <t xml:space="preserve">・博多</t>
    </r>
    <r>
      <rPr>
        <sz val="9"/>
        <rFont val="Meiryo UI"/>
        <family val="0"/>
        <charset val="1"/>
      </rPr>
      <t xml:space="preserve">×2</t>
    </r>
  </si>
  <si>
    <r>
      <rPr>
        <sz val="9"/>
        <rFont val="WenQuanYi Zen Hei"/>
        <family val="2"/>
      </rPr>
      <t xml:space="preserve">博多の高い伸長率を引き継いだため予測が上振れ。新商品</t>
    </r>
    <r>
      <rPr>
        <sz val="9"/>
        <rFont val="Meiryo UI"/>
        <family val="0"/>
        <charset val="1"/>
      </rPr>
      <t xml:space="preserve">106SKU</t>
    </r>
    <r>
      <rPr>
        <sz val="9"/>
        <rFont val="WenQuanYi Zen Hei"/>
        <family val="2"/>
      </rPr>
      <t xml:space="preserve">投入で</t>
    </r>
    <r>
      <rPr>
        <sz val="9"/>
        <rFont val="Meiryo UI"/>
        <family val="0"/>
        <charset val="1"/>
      </rPr>
      <t xml:space="preserve">LEGS</t>
    </r>
    <r>
      <rPr>
        <sz val="9"/>
        <rFont val="WenQuanYi Zen Hei"/>
        <family val="2"/>
      </rPr>
      <t xml:space="preserve">が想定より抑制された</t>
    </r>
  </si>
  <si>
    <r>
      <rPr>
        <b val="true"/>
        <sz val="9"/>
        <rFont val="Meiryo UI"/>
        <family val="0"/>
        <charset val="1"/>
      </rPr>
      <t xml:space="preserve">4</t>
    </r>
    <r>
      <rPr>
        <b val="true"/>
        <sz val="9"/>
        <rFont val="WenQuanYi Zen Hei"/>
        <family val="2"/>
      </rPr>
      <t xml:space="preserve">会場 合計</t>
    </r>
  </si>
  <si>
    <r>
      <rPr>
        <b val="true"/>
        <sz val="9"/>
        <rFont val="WenQuanYi Zen Hei"/>
        <family val="2"/>
      </rPr>
      <t xml:space="preserve">池袋は予測対象外のため、予測計・誤差は名古屋以降</t>
    </r>
    <r>
      <rPr>
        <b val="true"/>
        <sz val="9"/>
        <rFont val="Meiryo UI"/>
        <family val="0"/>
        <charset val="1"/>
      </rPr>
      <t xml:space="preserve">3</t>
    </r>
    <r>
      <rPr>
        <b val="true"/>
        <sz val="9"/>
        <rFont val="WenQuanYi Zen Hei"/>
        <family val="2"/>
      </rPr>
      <t xml:space="preserve">会場の合計</t>
    </r>
  </si>
  <si>
    <r>
      <rPr>
        <b val="true"/>
        <sz val="11"/>
        <color rgb="FFC00000"/>
        <rFont val="WenQuanYi Zen Hei"/>
        <family val="2"/>
      </rPr>
      <t xml:space="preserve">■ 商品別 予測 </t>
    </r>
    <r>
      <rPr>
        <b val="true"/>
        <sz val="11"/>
        <color rgb="FFC00000"/>
        <rFont val="Meiryo UI"/>
        <family val="0"/>
        <charset val="1"/>
      </rPr>
      <t xml:space="preserve">vs </t>
    </r>
    <r>
      <rPr>
        <b val="true"/>
        <sz val="11"/>
        <color rgb="FFC00000"/>
        <rFont val="WenQuanYi Zen Hei"/>
        <family val="2"/>
      </rPr>
      <t xml:space="preserve">実績・構成比の修正</t>
    </r>
  </si>
  <si>
    <t xml:space="preserve">東京
投入数</t>
  </si>
  <si>
    <t xml:space="preserve">東京
予測販売数</t>
  </si>
  <si>
    <t xml:space="preserve">東京
実績販売数</t>
  </si>
  <si>
    <t xml:space="preserve">東京
予測誤差</t>
  </si>
  <si>
    <t xml:space="preserve">東京
予測時構成比</t>
  </si>
  <si>
    <t xml:space="preserve">東京
実績構成比</t>
  </si>
  <si>
    <t xml:space="preserve">東京
構成比修正</t>
  </si>
  <si>
    <t xml:space="preserve">名古屋
投入数</t>
  </si>
  <si>
    <t xml:space="preserve">名古屋
予測販売数</t>
  </si>
  <si>
    <t xml:space="preserve">名古屋
実績販売数</t>
  </si>
  <si>
    <t xml:space="preserve">名古屋
予測誤差</t>
  </si>
  <si>
    <t xml:space="preserve">名古屋
予測時構成比</t>
  </si>
  <si>
    <t xml:space="preserve">名古屋
実績構成比</t>
  </si>
  <si>
    <t xml:space="preserve">名古屋
構成比修正</t>
  </si>
  <si>
    <t xml:space="preserve">博多
投入数</t>
  </si>
  <si>
    <t xml:space="preserve">博多
予測販売数</t>
  </si>
  <si>
    <t xml:space="preserve">博多
実績販売数</t>
  </si>
  <si>
    <t xml:space="preserve">博多
予測誤差</t>
  </si>
  <si>
    <t xml:space="preserve">博多
予測時構成比</t>
  </si>
  <si>
    <t xml:space="preserve">博多
実績構成比</t>
  </si>
  <si>
    <t xml:space="preserve">博多
構成比修正</t>
  </si>
  <si>
    <t xml:space="preserve">大阪
投入数</t>
  </si>
  <si>
    <t xml:space="preserve">大阪
予測販売数</t>
  </si>
  <si>
    <t xml:space="preserve">大阪
実績販売数</t>
  </si>
  <si>
    <t xml:space="preserve">大阪
予測誤差</t>
  </si>
  <si>
    <t xml:space="preserve">大阪
予測時構成比</t>
  </si>
  <si>
    <t xml:space="preserve">大阪
実績構成比</t>
  </si>
  <si>
    <t xml:space="preserve">大阪
構成比修正</t>
  </si>
  <si>
    <r>
      <rPr>
        <b val="true"/>
        <sz val="9"/>
        <color rgb="FFFFFFFF"/>
        <rFont val="Meiryo UI"/>
        <family val="0"/>
        <charset val="1"/>
      </rPr>
      <t xml:space="preserve">4</t>
    </r>
    <r>
      <rPr>
        <b val="true"/>
        <sz val="9"/>
        <color rgb="FFFFFFFF"/>
        <rFont val="WenQuanYi Zen Hei"/>
        <family val="2"/>
      </rPr>
      <t xml:space="preserve">会場
実績合計</t>
    </r>
  </si>
  <si>
    <r>
      <rPr>
        <b val="true"/>
        <sz val="9"/>
        <color rgb="FFFFFFFF"/>
        <rFont val="Meiryo UI"/>
        <family val="0"/>
        <charset val="1"/>
      </rPr>
      <t xml:space="preserve">4</t>
    </r>
    <r>
      <rPr>
        <b val="true"/>
        <sz val="9"/>
        <color rgb="FFFFFFFF"/>
        <rFont val="WenQuanYi Zen Hei"/>
        <family val="2"/>
      </rPr>
      <t xml:space="preserve">会場
実績構成比</t>
    </r>
  </si>
  <si>
    <t xml:space="preserve">札幌
予測構成比</t>
  </si>
  <si>
    <t xml:space="preserve">石川以降
適用構成比</t>
  </si>
  <si>
    <t xml:space="preserve">構成比トレンド</t>
  </si>
  <si>
    <t xml:space="preserve">■ 構成比修正の考え方と次会場への反映</t>
  </si>
  <si>
    <t xml:space="preserve">予測時構成比</t>
  </si>
  <si>
    <r>
      <rPr>
        <sz val="9"/>
        <rFont val="WenQuanYi Zen Hei"/>
        <family val="2"/>
      </rPr>
      <t xml:space="preserve">各会場の会期前〜初</t>
    </r>
    <r>
      <rPr>
        <sz val="9"/>
        <rFont val="Meiryo UI"/>
        <family val="0"/>
        <charset val="1"/>
      </rPr>
      <t xml:space="preserve">6</t>
    </r>
    <r>
      <rPr>
        <sz val="9"/>
        <rFont val="WenQuanYi Zen Hei"/>
        <family val="2"/>
      </rPr>
      <t xml:space="preserve">日時点で、過去会場の実績から見込んでいた商品別シェア。池袋のみ実績データが無いため投入数（販売可能数）のシェアを計画値として採用している。</t>
    </r>
  </si>
  <si>
    <t xml:space="preserve">実績構成比</t>
  </si>
  <si>
    <t xml:space="preserve">各会場の会期全体の実績販売数に基づく商品別シェア。</t>
  </si>
  <si>
    <t xml:space="preserve">構成比修正</t>
  </si>
  <si>
    <t xml:space="preserve">実績構成比 − 予測時構成比（ポイント）。プラスは想定より売れた＝次会場で構成比を引き上げるべき商品。</t>
  </si>
  <si>
    <t xml:space="preserve">石川以降 適用構成比</t>
  </si>
  <si>
    <r>
      <rPr>
        <sz val="9"/>
        <rFont val="WenQuanYi Zen Hei"/>
        <family val="2"/>
      </rPr>
      <t xml:space="preserve">大阪</t>
    </r>
    <r>
      <rPr>
        <sz val="9"/>
        <rFont val="Meiryo UI"/>
        <family val="0"/>
        <charset val="1"/>
      </rPr>
      <t xml:space="preserve">20</t>
    </r>
    <r>
      <rPr>
        <sz val="9"/>
        <rFont val="WenQuanYi Zen Hei"/>
        <family val="2"/>
      </rPr>
      <t xml:space="preserve">日実績のシェア</t>
    </r>
    <r>
      <rPr>
        <sz val="9"/>
        <rFont val="Meiryo UI"/>
        <family val="0"/>
        <charset val="1"/>
      </rPr>
      <t xml:space="preserve">50% </t>
    </r>
    <r>
      <rPr>
        <sz val="9"/>
        <rFont val="WenQuanYi Zen Hei"/>
        <family val="2"/>
      </rPr>
      <t xml:space="preserve">＋ 札幌</t>
    </r>
    <r>
      <rPr>
        <sz val="9"/>
        <rFont val="Meiryo UI"/>
        <family val="0"/>
        <charset val="1"/>
      </rPr>
      <t xml:space="preserve">20</t>
    </r>
    <r>
      <rPr>
        <sz val="9"/>
        <rFont val="WenQuanYi Zen Hei"/>
        <family val="2"/>
      </rPr>
      <t xml:space="preserve">日予測のシェア</t>
    </r>
    <r>
      <rPr>
        <sz val="9"/>
        <rFont val="Meiryo UI"/>
        <family val="0"/>
        <charset val="1"/>
      </rPr>
      <t xml:space="preserve">50%</t>
    </r>
    <r>
      <rPr>
        <sz val="9"/>
        <rFont val="WenQuanYi Zen Hei"/>
        <family val="2"/>
      </rPr>
      <t xml:space="preserve">のブレンド（③シートで算出）。直近</t>
    </r>
    <r>
      <rPr>
        <sz val="9"/>
        <rFont val="Meiryo UI"/>
        <family val="0"/>
        <charset val="1"/>
      </rPr>
      <t xml:space="preserve">2</t>
    </r>
    <r>
      <rPr>
        <sz val="9"/>
        <rFont val="WenQuanYi Zen Hei"/>
        <family val="2"/>
      </rPr>
      <t xml:space="preserve">会場は品揃えが同一のため、この</t>
    </r>
    <r>
      <rPr>
        <sz val="9"/>
        <rFont val="Meiryo UI"/>
        <family val="0"/>
        <charset val="1"/>
      </rPr>
      <t xml:space="preserve">2</t>
    </r>
    <r>
      <rPr>
        <sz val="9"/>
        <rFont val="WenQuanYi Zen Hei"/>
        <family val="2"/>
      </rPr>
      <t xml:space="preserve">会場に絞って重み付けしている。</t>
    </r>
  </si>
  <si>
    <t xml:space="preserve">モデル精度の読み方</t>
  </si>
  <si>
    <r>
      <rPr>
        <sz val="9"/>
        <rFont val="Meiryo UI"/>
        <family val="0"/>
        <charset val="1"/>
      </rPr>
      <t xml:space="preserve">3</t>
    </r>
    <r>
      <rPr>
        <sz val="9"/>
        <rFont val="WenQuanYi Zen Hei"/>
        <family val="2"/>
      </rPr>
      <t xml:space="preserve">会場の絶対誤差率は</t>
    </r>
    <r>
      <rPr>
        <sz val="9"/>
        <rFont val="Meiryo UI"/>
        <family val="0"/>
        <charset val="1"/>
      </rPr>
      <t xml:space="preserve">10</t>
    </r>
    <r>
      <rPr>
        <sz val="9"/>
        <rFont val="WenQuanYi Zen Hei"/>
        <family val="2"/>
      </rPr>
      <t xml:space="preserve">〜</t>
    </r>
    <r>
      <rPr>
        <sz val="9"/>
        <rFont val="Meiryo UI"/>
        <family val="0"/>
        <charset val="1"/>
      </rPr>
      <t xml:space="preserve">27%</t>
    </r>
    <r>
      <rPr>
        <sz val="9"/>
        <rFont val="WenQuanYi Zen Hei"/>
        <family val="2"/>
      </rPr>
      <t xml:space="preserve">。ブラインド系など会期後半に伸びる商品ほど予測が下振れしやすく、</t>
    </r>
  </si>
  <si>
    <t xml:space="preserve">定番のクリアファイル・ポストカード系は誤差が小さい。発注量は絶対誤差率を織り込んだ安全率で調整すること。</t>
  </si>
  <si>
    <t xml:space="preserve">⑩ 石川会場以降の 東京対比 会場比率 シナリオ比較</t>
  </si>
  <si>
    <r>
      <rPr>
        <sz val="8"/>
        <color rgb="FF555555"/>
        <rFont val="WenQuanYi Zen Hei"/>
        <family val="2"/>
      </rPr>
      <t xml:space="preserve">「前提・入力」シートのシナリオ選択セルで①〜④を切り替えると、③④⑤⑧シートの予測がすべて連動して再計算される。本シートは</t>
    </r>
    <r>
      <rPr>
        <sz val="8"/>
        <color rgb="FF555555"/>
        <rFont val="Meiryo UI"/>
        <family val="0"/>
        <charset val="1"/>
      </rPr>
      <t xml:space="preserve">4</t>
    </r>
    <r>
      <rPr>
        <sz val="8"/>
        <color rgb="FF555555"/>
        <rFont val="WenQuanYi Zen Hei"/>
        <family val="2"/>
      </rPr>
      <t xml:space="preserve">シナリオを並べて比較するためのもの</t>
    </r>
  </si>
  <si>
    <r>
      <rPr>
        <sz val="8"/>
        <color rgb="FF555555"/>
        <rFont val="WenQuanYi Zen Hei"/>
        <family val="2"/>
      </rPr>
      <t xml:space="preserve">②企画概要書ベースは、企画概要書「グッズ売上</t>
    </r>
    <r>
      <rPr>
        <sz val="8"/>
        <color rgb="FF555555"/>
        <rFont val="Meiryo UI"/>
        <family val="0"/>
        <charset val="1"/>
      </rPr>
      <t xml:space="preserve">(LEGS</t>
    </r>
    <r>
      <rPr>
        <sz val="8"/>
        <color rgb="FF555555"/>
        <rFont val="WenQuanYi Zen Hei"/>
        <family val="2"/>
      </rPr>
      <t xml:space="preserve">予測値</t>
    </r>
    <r>
      <rPr>
        <sz val="8"/>
        <color rgb="FF555555"/>
        <rFont val="Meiryo UI"/>
        <family val="0"/>
        <charset val="1"/>
      </rPr>
      <t xml:space="preserve">)</t>
    </r>
    <r>
      <rPr>
        <sz val="8"/>
        <color rgb="FF555555"/>
        <rFont val="WenQuanYi Zen Hei"/>
        <family val="2"/>
      </rPr>
      <t xml:space="preserve">」の 各会場</t>
    </r>
    <r>
      <rPr>
        <sz val="8"/>
        <color rgb="FF555555"/>
        <rFont val="Meiryo UI"/>
        <family val="0"/>
        <charset val="1"/>
      </rPr>
      <t xml:space="preserve">÷</t>
    </r>
    <r>
      <rPr>
        <sz val="8"/>
        <color rgb="FF555555"/>
        <rFont val="WenQuanYi Zen Hei"/>
        <family val="2"/>
      </rPr>
      <t xml:space="preserve">東京 で算出（石川 </t>
    </r>
    <r>
      <rPr>
        <sz val="8"/>
        <color rgb="FF555555"/>
        <rFont val="Meiryo UI"/>
        <family val="0"/>
        <charset val="1"/>
      </rPr>
      <t xml:space="preserve">31,200</t>
    </r>
    <r>
      <rPr>
        <sz val="8"/>
        <color rgb="FF555555"/>
        <rFont val="WenQuanYi Zen Hei"/>
        <family val="2"/>
      </rPr>
      <t xml:space="preserve">千円</t>
    </r>
    <r>
      <rPr>
        <sz val="8"/>
        <color rgb="FF555555"/>
        <rFont val="Meiryo UI"/>
        <family val="0"/>
        <charset val="1"/>
      </rPr>
      <t xml:space="preserve">÷250,000</t>
    </r>
    <r>
      <rPr>
        <sz val="8"/>
        <color rgb="FF555555"/>
        <rFont val="WenQuanYi Zen Hei"/>
        <family val="2"/>
      </rPr>
      <t xml:space="preserve">千円＝</t>
    </r>
    <r>
      <rPr>
        <sz val="8"/>
        <color rgb="FF555555"/>
        <rFont val="Meiryo UI"/>
        <family val="0"/>
        <charset val="1"/>
      </rPr>
      <t xml:space="preserve">12.48%</t>
    </r>
    <r>
      <rPr>
        <sz val="8"/>
        <color rgb="FF555555"/>
        <rFont val="WenQuanYi Zen Hei"/>
        <family val="2"/>
      </rPr>
      <t xml:space="preserve">、仙台 </t>
    </r>
    <r>
      <rPr>
        <sz val="8"/>
        <color rgb="FF555555"/>
        <rFont val="Meiryo UI"/>
        <family val="0"/>
        <charset val="1"/>
      </rPr>
      <t xml:space="preserve">39,000</t>
    </r>
    <r>
      <rPr>
        <sz val="8"/>
        <color rgb="FF555555"/>
        <rFont val="WenQuanYi Zen Hei"/>
        <family val="2"/>
      </rPr>
      <t xml:space="preserve">千円</t>
    </r>
    <r>
      <rPr>
        <sz val="8"/>
        <color rgb="FF555555"/>
        <rFont val="Meiryo UI"/>
        <family val="0"/>
        <charset val="1"/>
      </rPr>
      <t xml:space="preserve">÷250,000</t>
    </r>
    <r>
      <rPr>
        <sz val="8"/>
        <color rgb="FF555555"/>
        <rFont val="WenQuanYi Zen Hei"/>
        <family val="2"/>
      </rPr>
      <t xml:space="preserve">千円＝</t>
    </r>
    <r>
      <rPr>
        <sz val="8"/>
        <color rgb="FF555555"/>
        <rFont val="Meiryo UI"/>
        <family val="0"/>
        <charset val="1"/>
      </rPr>
      <t xml:space="preserve">15.60%</t>
    </r>
    <r>
      <rPr>
        <sz val="8"/>
        <color rgb="FF555555"/>
        <rFont val="WenQuanYi Zen Hei"/>
        <family val="2"/>
      </rPr>
      <t xml:space="preserve">）</t>
    </r>
  </si>
  <si>
    <r>
      <rPr>
        <sz val="8"/>
        <color rgb="FF555555"/>
        <rFont val="WenQuanYi Zen Hei"/>
        <family val="2"/>
      </rPr>
      <t xml:space="preserve">③札幌実績連動は、②に札幌の計画比達成率 </t>
    </r>
    <r>
      <rPr>
        <sz val="8"/>
        <color rgb="FF555555"/>
        <rFont val="Meiryo UI"/>
        <family val="0"/>
        <charset val="1"/>
      </rPr>
      <t xml:space="preserve">46.5%</t>
    </r>
    <r>
      <rPr>
        <sz val="8"/>
        <color rgb="FF555555"/>
        <rFont val="WenQuanYi Zen Hei"/>
        <family val="2"/>
      </rPr>
      <t xml:space="preserve">（予測東京対比</t>
    </r>
    <r>
      <rPr>
        <sz val="8"/>
        <color rgb="FF555555"/>
        <rFont val="Meiryo UI"/>
        <family val="0"/>
        <charset val="1"/>
      </rPr>
      <t xml:space="preserve">10.16% ÷ </t>
    </r>
    <r>
      <rPr>
        <sz val="8"/>
        <color rgb="FF555555"/>
        <rFont val="WenQuanYi Zen Hei"/>
        <family val="2"/>
      </rPr>
      <t xml:space="preserve">企画概要書</t>
    </r>
    <r>
      <rPr>
        <sz val="8"/>
        <color rgb="FF555555"/>
        <rFont val="Meiryo UI"/>
        <family val="0"/>
        <charset val="1"/>
      </rPr>
      <t xml:space="preserve">21.84%</t>
    </r>
    <r>
      <rPr>
        <sz val="8"/>
        <color rgb="FF555555"/>
        <rFont val="WenQuanYi Zen Hei"/>
        <family val="2"/>
      </rPr>
      <t xml:space="preserve">）を乗じた保守シナリオ。東京凱旋のみ</t>
    </r>
    <r>
      <rPr>
        <sz val="8"/>
        <color rgb="FF555555"/>
        <rFont val="Meiryo UI"/>
        <family val="0"/>
        <charset val="1"/>
      </rPr>
      <t xml:space="preserve">50%</t>
    </r>
    <r>
      <rPr>
        <sz val="8"/>
        <color rgb="FF555555"/>
        <rFont val="WenQuanYi Zen Hei"/>
        <family val="2"/>
      </rPr>
      <t xml:space="preserve">で据置</t>
    </r>
  </si>
  <si>
    <t xml:space="preserve">■ 企画概要書の計画値と実績の乖離（東京対比・物販売上ベース）</t>
  </si>
  <si>
    <t xml:space="preserve">企画概要書
グッズ売上予測</t>
  </si>
  <si>
    <t xml:space="preserve">企画概要書
東京対比</t>
  </si>
  <si>
    <t xml:space="preserve">実績／予測
物販売上</t>
  </si>
  <si>
    <t xml:space="preserve">実績／予測
東京対比</t>
  </si>
  <si>
    <t xml:space="preserve">計画比
達成率</t>
  </si>
  <si>
    <t xml:space="preserve">基準会場</t>
  </si>
  <si>
    <t xml:space="preserve">計画を大幅超過</t>
  </si>
  <si>
    <r>
      <rPr>
        <sz val="9"/>
        <rFont val="WenQuanYi Zen Hei"/>
        <family val="2"/>
      </rPr>
      <t xml:space="preserve">計画の</t>
    </r>
    <r>
      <rPr>
        <sz val="9"/>
        <rFont val="Meiryo UI"/>
        <family val="0"/>
        <charset val="1"/>
      </rPr>
      <t xml:space="preserve">1.9</t>
    </r>
    <r>
      <rPr>
        <sz val="9"/>
        <rFont val="WenQuanYi Zen Hei"/>
        <family val="2"/>
      </rPr>
      <t xml:space="preserve">倍。新商品投入で会場全体が伸びた</t>
    </r>
  </si>
  <si>
    <t xml:space="preserve">札幌（予測）</t>
  </si>
  <si>
    <r>
      <rPr>
        <sz val="9"/>
        <rFont val="WenQuanYi Zen Hei"/>
        <family val="2"/>
      </rPr>
      <t xml:space="preserve">★計画の</t>
    </r>
    <r>
      <rPr>
        <sz val="9"/>
        <rFont val="Meiryo UI"/>
        <family val="0"/>
        <charset val="1"/>
      </rPr>
      <t xml:space="preserve">47%</t>
    </r>
    <r>
      <rPr>
        <sz val="9"/>
        <rFont val="WenQuanYi Zen Hei"/>
        <family val="2"/>
      </rPr>
      <t xml:space="preserve">。動員が大きく下振れ</t>
    </r>
  </si>
  <si>
    <t xml:space="preserve">石川</t>
  </si>
  <si>
    <t xml:space="preserve">実績未確定。②はこの計画値を採用</t>
  </si>
  <si>
    <t xml:space="preserve">仙台</t>
  </si>
  <si>
    <r>
      <rPr>
        <b val="true"/>
        <sz val="11"/>
        <color rgb="FFC00000"/>
        <rFont val="WenQuanYi Zen Hei"/>
        <family val="2"/>
      </rPr>
      <t xml:space="preserve">■ シナリオ別 東京対比比率と </t>
    </r>
    <r>
      <rPr>
        <b val="true"/>
        <sz val="11"/>
        <color rgb="FFC00000"/>
        <rFont val="Meiryo UI"/>
        <family val="0"/>
        <charset val="1"/>
      </rPr>
      <t xml:space="preserve">LEGS</t>
    </r>
    <r>
      <rPr>
        <b val="true"/>
        <sz val="11"/>
        <color rgb="FFC00000"/>
        <rFont val="WenQuanYi Zen Hei"/>
        <family val="2"/>
      </rPr>
      <t xml:space="preserve">必要数</t>
    </r>
  </si>
  <si>
    <t xml:space="preserve">①ユーザー指定
東京対比</t>
  </si>
  <si>
    <r>
      <rPr>
        <b val="true"/>
        <sz val="9"/>
        <color rgb="FFFFFFFF"/>
        <rFont val="WenQuanYi Zen Hei"/>
        <family val="2"/>
      </rPr>
      <t xml:space="preserve">①ユーザー指定
</t>
    </r>
    <r>
      <rPr>
        <b val="true"/>
        <sz val="9"/>
        <color rgb="FFFFFFFF"/>
        <rFont val="Meiryo UI"/>
        <family val="0"/>
        <charset val="1"/>
      </rPr>
      <t xml:space="preserve">LEGS</t>
    </r>
    <r>
      <rPr>
        <b val="true"/>
        <sz val="9"/>
        <color rgb="FFFFFFFF"/>
        <rFont val="WenQuanYi Zen Hei"/>
        <family val="2"/>
      </rPr>
      <t xml:space="preserve">必要数</t>
    </r>
  </si>
  <si>
    <t xml:space="preserve">②企画概要書ベース
東京対比</t>
  </si>
  <si>
    <r>
      <rPr>
        <b val="true"/>
        <sz val="9"/>
        <color rgb="FFFFFFFF"/>
        <rFont val="WenQuanYi Zen Hei"/>
        <family val="2"/>
      </rPr>
      <t xml:space="preserve">②企画概要書ベース
</t>
    </r>
    <r>
      <rPr>
        <b val="true"/>
        <sz val="9"/>
        <color rgb="FFFFFFFF"/>
        <rFont val="Meiryo UI"/>
        <family val="0"/>
        <charset val="1"/>
      </rPr>
      <t xml:space="preserve">LEGS</t>
    </r>
    <r>
      <rPr>
        <b val="true"/>
        <sz val="9"/>
        <color rgb="FFFFFFFF"/>
        <rFont val="WenQuanYi Zen Hei"/>
        <family val="2"/>
      </rPr>
      <t xml:space="preserve">必要数</t>
    </r>
  </si>
  <si>
    <r>
      <rPr>
        <b val="true"/>
        <sz val="9"/>
        <color rgb="FFFFFFFF"/>
        <rFont val="WenQuanYi Zen Hei"/>
        <family val="2"/>
      </rPr>
      <t xml:space="preserve">③札幌実績連動</t>
    </r>
    <r>
      <rPr>
        <b val="true"/>
        <sz val="9"/>
        <color rgb="FFFFFFFF"/>
        <rFont val="Meiryo UI"/>
        <family val="0"/>
        <charset val="1"/>
      </rPr>
      <t xml:space="preserve">(</t>
    </r>
    <r>
      <rPr>
        <b val="true"/>
        <sz val="9"/>
        <color rgb="FFFFFFFF"/>
        <rFont val="WenQuanYi Zen Hei"/>
        <family val="2"/>
      </rPr>
      <t xml:space="preserve">保守</t>
    </r>
    <r>
      <rPr>
        <b val="true"/>
        <sz val="9"/>
        <color rgb="FFFFFFFF"/>
        <rFont val="Meiryo UI"/>
        <family val="0"/>
        <charset val="1"/>
      </rPr>
      <t xml:space="preserve">)
</t>
    </r>
    <r>
      <rPr>
        <b val="true"/>
        <sz val="9"/>
        <color rgb="FFFFFFFF"/>
        <rFont val="WenQuanYi Zen Hei"/>
        <family val="2"/>
      </rPr>
      <t xml:space="preserve">東京対比</t>
    </r>
  </si>
  <si>
    <r>
      <rPr>
        <b val="true"/>
        <sz val="9"/>
        <color rgb="FFFFFFFF"/>
        <rFont val="WenQuanYi Zen Hei"/>
        <family val="2"/>
      </rPr>
      <t xml:space="preserve">③札幌実績連動</t>
    </r>
    <r>
      <rPr>
        <b val="true"/>
        <sz val="9"/>
        <color rgb="FFFFFFFF"/>
        <rFont val="Meiryo UI"/>
        <family val="0"/>
        <charset val="1"/>
      </rPr>
      <t xml:space="preserve">(</t>
    </r>
    <r>
      <rPr>
        <b val="true"/>
        <sz val="9"/>
        <color rgb="FFFFFFFF"/>
        <rFont val="WenQuanYi Zen Hei"/>
        <family val="2"/>
      </rPr>
      <t xml:space="preserve">保守</t>
    </r>
    <r>
      <rPr>
        <b val="true"/>
        <sz val="9"/>
        <color rgb="FFFFFFFF"/>
        <rFont val="Meiryo UI"/>
        <family val="0"/>
        <charset val="1"/>
      </rPr>
      <t xml:space="preserve">)
LEGS</t>
    </r>
    <r>
      <rPr>
        <b val="true"/>
        <sz val="9"/>
        <color rgb="FFFFFFFF"/>
        <rFont val="WenQuanYi Zen Hei"/>
        <family val="2"/>
      </rPr>
      <t xml:space="preserve">必要数</t>
    </r>
  </si>
  <si>
    <t xml:space="preserve">④手動入力
東京対比</t>
  </si>
  <si>
    <r>
      <rPr>
        <b val="true"/>
        <sz val="9"/>
        <color rgb="FFFFFFFF"/>
        <rFont val="WenQuanYi Zen Hei"/>
        <family val="2"/>
      </rPr>
      <t xml:space="preserve">④手動入力
</t>
    </r>
    <r>
      <rPr>
        <b val="true"/>
        <sz val="9"/>
        <color rgb="FFFFFFFF"/>
        <rFont val="Meiryo UI"/>
        <family val="0"/>
        <charset val="1"/>
      </rPr>
      <t xml:space="preserve">LEGS</t>
    </r>
    <r>
      <rPr>
        <b val="true"/>
        <sz val="9"/>
        <color rgb="FFFFFFFF"/>
        <rFont val="WenQuanYi Zen Hei"/>
        <family val="2"/>
      </rPr>
      <t xml:space="preserve">必要数</t>
    </r>
  </si>
  <si>
    <r>
      <rPr>
        <b val="true"/>
        <sz val="9"/>
        <rFont val="Meiryo UI"/>
        <family val="0"/>
        <charset val="1"/>
      </rPr>
      <t xml:space="preserve">5</t>
    </r>
    <r>
      <rPr>
        <b val="true"/>
        <sz val="9"/>
        <rFont val="WenQuanYi Zen Hei"/>
        <family val="2"/>
      </rPr>
      <t xml:space="preserve">会場 合計</t>
    </r>
  </si>
  <si>
    <t xml:space="preserve">■ 商品別 シナリオ別 必要数と追加生産必要数（供給可能在庫はシナリオ共通）</t>
  </si>
  <si>
    <t xml:space="preserve">按分
構成比</t>
  </si>
  <si>
    <t xml:space="preserve">石川以降
供給可能在庫</t>
  </si>
  <si>
    <t xml:space="preserve">①ユーザー指定
必要数</t>
  </si>
  <si>
    <t xml:space="preserve">①ユーザー指定
追加生産</t>
  </si>
  <si>
    <t xml:space="preserve">②企画概要書ベース
必要数</t>
  </si>
  <si>
    <t xml:space="preserve">②企画概要書ベース
追加生産</t>
  </si>
  <si>
    <r>
      <rPr>
        <b val="true"/>
        <sz val="9"/>
        <color rgb="FFFFFFFF"/>
        <rFont val="WenQuanYi Zen Hei"/>
        <family val="2"/>
      </rPr>
      <t xml:space="preserve">③札幌実績連動</t>
    </r>
    <r>
      <rPr>
        <b val="true"/>
        <sz val="9"/>
        <color rgb="FFFFFFFF"/>
        <rFont val="Meiryo UI"/>
        <family val="0"/>
        <charset val="1"/>
      </rPr>
      <t xml:space="preserve">(</t>
    </r>
    <r>
      <rPr>
        <b val="true"/>
        <sz val="9"/>
        <color rgb="FFFFFFFF"/>
        <rFont val="WenQuanYi Zen Hei"/>
        <family val="2"/>
      </rPr>
      <t xml:space="preserve">保守</t>
    </r>
    <r>
      <rPr>
        <b val="true"/>
        <sz val="9"/>
        <color rgb="FFFFFFFF"/>
        <rFont val="Meiryo UI"/>
        <family val="0"/>
        <charset val="1"/>
      </rPr>
      <t xml:space="preserve">)
</t>
    </r>
    <r>
      <rPr>
        <b val="true"/>
        <sz val="9"/>
        <color rgb="FFFFFFFF"/>
        <rFont val="WenQuanYi Zen Hei"/>
        <family val="2"/>
      </rPr>
      <t xml:space="preserve">必要数</t>
    </r>
  </si>
  <si>
    <r>
      <rPr>
        <b val="true"/>
        <sz val="9"/>
        <color rgb="FFFFFFFF"/>
        <rFont val="WenQuanYi Zen Hei"/>
        <family val="2"/>
      </rPr>
      <t xml:space="preserve">③札幌実績連動</t>
    </r>
    <r>
      <rPr>
        <b val="true"/>
        <sz val="9"/>
        <color rgb="FFFFFFFF"/>
        <rFont val="Meiryo UI"/>
        <family val="0"/>
        <charset val="1"/>
      </rPr>
      <t xml:space="preserve">(</t>
    </r>
    <r>
      <rPr>
        <b val="true"/>
        <sz val="9"/>
        <color rgb="FFFFFFFF"/>
        <rFont val="WenQuanYi Zen Hei"/>
        <family val="2"/>
      </rPr>
      <t xml:space="preserve">保守</t>
    </r>
    <r>
      <rPr>
        <b val="true"/>
        <sz val="9"/>
        <color rgb="FFFFFFFF"/>
        <rFont val="Meiryo UI"/>
        <family val="0"/>
        <charset val="1"/>
      </rPr>
      <t xml:space="preserve">)
</t>
    </r>
    <r>
      <rPr>
        <b val="true"/>
        <sz val="9"/>
        <color rgb="FFFFFFFF"/>
        <rFont val="WenQuanYi Zen Hei"/>
        <family val="2"/>
      </rPr>
      <t xml:space="preserve">追加生産</t>
    </r>
  </si>
  <si>
    <t xml:space="preserve">④手動入力
必要数</t>
  </si>
  <si>
    <t xml:space="preserve">④手動入力
追加生産</t>
  </si>
  <si>
    <t xml:space="preserve">■ シナリオ別 結論</t>
  </si>
  <si>
    <r>
      <rPr>
        <b val="true"/>
        <sz val="9"/>
        <rFont val="WenQuanYi Zen Hei"/>
        <family val="2"/>
      </rPr>
      <t xml:space="preserve">石川以降 </t>
    </r>
    <r>
      <rPr>
        <b val="true"/>
        <sz val="9"/>
        <rFont val="Meiryo UI"/>
        <family val="0"/>
        <charset val="1"/>
      </rPr>
      <t xml:space="preserve">LEGS</t>
    </r>
    <r>
      <rPr>
        <b val="true"/>
        <sz val="9"/>
        <rFont val="WenQuanYi Zen Hei"/>
        <family val="2"/>
      </rPr>
      <t xml:space="preserve">必要数</t>
    </r>
  </si>
  <si>
    <t xml:space="preserve">石川以降 供給可能在庫</t>
  </si>
  <si>
    <t xml:space="preserve">全体過不足</t>
  </si>
  <si>
    <t xml:space="preserve">追加生産 必要数</t>
  </si>
  <si>
    <t xml:space="preserve">不足品目数</t>
  </si>
  <si>
    <r>
      <rPr>
        <b val="true"/>
        <sz val="9"/>
        <rFont val="WenQuanYi Zen Hei"/>
        <family val="2"/>
      </rPr>
      <t xml:space="preserve">推奨発注数</t>
    </r>
    <r>
      <rPr>
        <b val="true"/>
        <sz val="9"/>
        <rFont val="Meiryo UI"/>
        <family val="0"/>
        <charset val="1"/>
      </rPr>
      <t xml:space="preserve">(</t>
    </r>
    <r>
      <rPr>
        <b val="true"/>
        <sz val="9"/>
        <rFont val="WenQuanYi Zen Hei"/>
        <family val="2"/>
      </rPr>
      <t xml:space="preserve">安全率込</t>
    </r>
    <r>
      <rPr>
        <b val="true"/>
        <sz val="9"/>
        <rFont val="Meiryo UI"/>
        <family val="0"/>
        <charset val="1"/>
      </rPr>
      <t xml:space="preserve">)</t>
    </r>
  </si>
  <si>
    <t xml:space="preserve">推奨</t>
  </si>
  <si>
    <r>
      <rPr>
        <sz val="9"/>
        <rFont val="WenQuanYi Zen Hei"/>
        <family val="2"/>
      </rPr>
      <t xml:space="preserve">②企画概要書ベースは石川</t>
    </r>
    <r>
      <rPr>
        <sz val="9"/>
        <rFont val="Meiryo UI"/>
        <family val="0"/>
        <charset val="1"/>
      </rPr>
      <t xml:space="preserve">12.48%</t>
    </r>
    <r>
      <rPr>
        <sz val="9"/>
        <rFont val="WenQuanYi Zen Hei"/>
        <family val="2"/>
      </rPr>
      <t xml:space="preserve">・仙台</t>
    </r>
    <r>
      <rPr>
        <sz val="9"/>
        <rFont val="Meiryo UI"/>
        <family val="0"/>
        <charset val="1"/>
      </rPr>
      <t xml:space="preserve">15.60%</t>
    </r>
    <r>
      <rPr>
        <sz val="9"/>
        <rFont val="WenQuanYi Zen Hei"/>
        <family val="2"/>
      </rPr>
      <t xml:space="preserve">と①より強気。ただし札幌が計画の</t>
    </r>
    <r>
      <rPr>
        <sz val="9"/>
        <rFont val="Meiryo UI"/>
        <family val="0"/>
        <charset val="1"/>
      </rPr>
      <t xml:space="preserve">47%</t>
    </r>
    <r>
      <rPr>
        <sz val="9"/>
        <rFont val="WenQuanYi Zen Hei"/>
        <family val="2"/>
      </rPr>
      <t xml:space="preserve">に留まっている実態を踏まえると、</t>
    </r>
  </si>
  <si>
    <t xml:space="preserve">発注量の意思決定は③札幌実績連動（保守）を下限、②企画概要書ベースを上限としたレンジで持つのが妥当。</t>
  </si>
  <si>
    <t xml:space="preserve">留意</t>
  </si>
  <si>
    <r>
      <rPr>
        <sz val="9"/>
        <rFont val="WenQuanYi Zen Hei"/>
        <family val="2"/>
      </rPr>
      <t xml:space="preserve">名古屋</t>
    </r>
    <r>
      <rPr>
        <sz val="9"/>
        <rFont val="Meiryo UI"/>
        <family val="0"/>
        <charset val="1"/>
      </rPr>
      <t xml:space="preserve">134%</t>
    </r>
    <r>
      <rPr>
        <sz val="9"/>
        <rFont val="WenQuanYi Zen Hei"/>
        <family val="2"/>
      </rPr>
      <t xml:space="preserve">・博多</t>
    </r>
    <r>
      <rPr>
        <sz val="9"/>
        <rFont val="Meiryo UI"/>
        <family val="0"/>
        <charset val="1"/>
      </rPr>
      <t xml:space="preserve">132%</t>
    </r>
    <r>
      <rPr>
        <sz val="9"/>
        <rFont val="WenQuanYi Zen Hei"/>
        <family val="2"/>
      </rPr>
      <t xml:space="preserve">・大阪</t>
    </r>
    <r>
      <rPr>
        <sz val="9"/>
        <rFont val="Meiryo UI"/>
        <family val="0"/>
        <charset val="1"/>
      </rPr>
      <t xml:space="preserve">188%</t>
    </r>
    <r>
      <rPr>
        <sz val="9"/>
        <rFont val="WenQuanYi Zen Hei"/>
        <family val="2"/>
      </rPr>
      <t xml:space="preserve">と、札幌以前の</t>
    </r>
    <r>
      <rPr>
        <sz val="9"/>
        <rFont val="Meiryo UI"/>
        <family val="0"/>
        <charset val="1"/>
      </rPr>
      <t xml:space="preserve">3</t>
    </r>
    <r>
      <rPr>
        <sz val="9"/>
        <rFont val="WenQuanYi Zen Hei"/>
        <family val="2"/>
      </rPr>
      <t xml:space="preserve">会場はいずれも計画を大きく超過している。</t>
    </r>
  </si>
  <si>
    <r>
      <rPr>
        <sz val="9"/>
        <rFont val="WenQuanYi Zen Hei"/>
        <family val="2"/>
      </rPr>
      <t xml:space="preserve">札幌だけが</t>
    </r>
    <r>
      <rPr>
        <sz val="9"/>
        <rFont val="Meiryo UI"/>
        <family val="0"/>
        <charset val="1"/>
      </rPr>
      <t xml:space="preserve">47%</t>
    </r>
    <r>
      <rPr>
        <sz val="9"/>
        <rFont val="WenQuanYi Zen Hei"/>
        <family val="2"/>
      </rPr>
      <t xml:space="preserve">と外れ値であり、これが札幌固有の要因（会場規模・立地）か地方会場全体の傾向かで判断が分かれる。</t>
    </r>
  </si>
  <si>
    <r>
      <rPr>
        <sz val="9"/>
        <rFont val="WenQuanYi Zen Hei"/>
        <family val="2"/>
      </rPr>
      <t xml:space="preserve">石川・仙台の前売</t>
    </r>
    <r>
      <rPr>
        <sz val="9"/>
        <rFont val="Meiryo UI"/>
        <family val="0"/>
        <charset val="1"/>
      </rPr>
      <t xml:space="preserve">/</t>
    </r>
    <r>
      <rPr>
        <sz val="9"/>
        <rFont val="WenQuanYi Zen Hei"/>
        <family val="2"/>
      </rPr>
      <t xml:space="preserve">予約状況が判明した時点でシナリオを確定させることを推奨する。</t>
    </r>
  </si>
  <si>
    <t xml:space="preserve">⑪ 石川以降 会場別 在庫引当シミュレーションと 最終追加発注期限</t>
  </si>
  <si>
    <r>
      <rPr>
        <sz val="8"/>
        <color rgb="FF555555"/>
        <rFont val="WenQuanYi Zen Hei"/>
        <family val="2"/>
      </rPr>
      <t xml:space="preserve">札幌の欠品分は倉庫在庫から追納する前提。石川以降の供給可能在庫（＝</t>
    </r>
    <r>
      <rPr>
        <sz val="8"/>
        <color rgb="FF555555"/>
        <rFont val="Meiryo UI"/>
        <family val="0"/>
        <charset val="1"/>
      </rPr>
      <t xml:space="preserve">7/8</t>
    </r>
    <r>
      <rPr>
        <sz val="8"/>
        <color rgb="FF555555"/>
        <rFont val="WenQuanYi Zen Hei"/>
        <family val="2"/>
      </rPr>
      <t xml:space="preserve">実在庫 − 札幌会期</t>
    </r>
    <r>
      <rPr>
        <sz val="8"/>
        <color rgb="FF555555"/>
        <rFont val="Meiryo UI"/>
        <family val="0"/>
        <charset val="1"/>
      </rPr>
      <t xml:space="preserve">20</t>
    </r>
    <r>
      <rPr>
        <sz val="8"/>
        <color rgb="FF555555"/>
        <rFont val="WenQuanYi Zen Hei"/>
        <family val="2"/>
      </rPr>
      <t xml:space="preserve">日予測販売数）を会場順に引き当て、在庫が尽きる会場＝「欠品発生会場」を特定する</t>
    </r>
  </si>
  <si>
    <r>
      <rPr>
        <sz val="8"/>
        <color rgb="FF555555"/>
        <rFont val="WenQuanYi Zen Hei"/>
        <family val="2"/>
      </rPr>
      <t xml:space="preserve">発注期限 ＝ 欠品発生会場の会期初日 − 生産日数 − 発注〜納品バッファ（既定</t>
    </r>
    <r>
      <rPr>
        <sz val="8"/>
        <color rgb="FF555555"/>
        <rFont val="Meiryo UI"/>
        <family val="0"/>
        <charset val="1"/>
      </rPr>
      <t xml:space="preserve">14</t>
    </r>
    <r>
      <rPr>
        <sz val="8"/>
        <color rgb="FF555555"/>
        <rFont val="WenQuanYi Zen Hei"/>
        <family val="2"/>
      </rPr>
      <t xml:space="preserve">日）。生産日数は</t>
    </r>
    <r>
      <rPr>
        <sz val="8"/>
        <color rgb="FF555555"/>
        <rFont val="Meiryo UI"/>
        <family val="0"/>
        <charset val="1"/>
      </rPr>
      <t xml:space="preserve">2026/7/28</t>
    </r>
    <r>
      <rPr>
        <sz val="8"/>
        <color rgb="FF555555"/>
        <rFont val="WenQuanYi Zen Hei"/>
        <family val="2"/>
      </rPr>
      <t xml:space="preserve">時点の提示値で、物価高騰・素材</t>
    </r>
    <r>
      <rPr>
        <sz val="8"/>
        <color rgb="FF555555"/>
        <rFont val="Meiryo UI"/>
        <family val="0"/>
        <charset val="1"/>
      </rPr>
      <t xml:space="preserve">/</t>
    </r>
    <r>
      <rPr>
        <sz val="8"/>
        <color rgb="FF555555"/>
        <rFont val="WenQuanYi Zen Hei"/>
        <family val="2"/>
      </rPr>
      <t xml:space="preserve">材料の入手困難等により変動の可能性あり</t>
    </r>
  </si>
  <si>
    <t xml:space="preserve">■ 既に手配済みの追加発注（参考）</t>
  </si>
  <si>
    <t xml:space="preserve">商品</t>
  </si>
  <si>
    <t xml:space="preserve">発注／納品日</t>
  </si>
  <si>
    <t xml:space="preserve">充当先</t>
  </si>
  <si>
    <t xml:space="preserve">呪術廻戦 渋谷事変／懐玉・玉折 ブラインド缶バッジ</t>
  </si>
  <si>
    <r>
      <rPr>
        <sz val="9"/>
        <rFont val="Meiryo UI"/>
        <family val="0"/>
        <charset val="1"/>
      </rPr>
      <t xml:space="preserve">2026/4/24(</t>
    </r>
    <r>
      <rPr>
        <sz val="9"/>
        <rFont val="WenQuanYi Zen Hei"/>
        <family val="2"/>
      </rPr>
      <t xml:space="preserve">金</t>
    </r>
    <r>
      <rPr>
        <sz val="9"/>
        <rFont val="Meiryo UI"/>
        <family val="0"/>
        <charset val="1"/>
      </rPr>
      <t xml:space="preserve">)</t>
    </r>
  </si>
  <si>
    <r>
      <rPr>
        <sz val="9"/>
        <rFont val="WenQuanYi Zen Hei"/>
        <family val="2"/>
      </rPr>
      <t xml:space="preserve">一部 大阪＆北海道</t>
    </r>
    <r>
      <rPr>
        <sz val="9"/>
        <rFont val="Meiryo UI"/>
        <family val="0"/>
        <charset val="1"/>
      </rPr>
      <t xml:space="preserve">(</t>
    </r>
    <r>
      <rPr>
        <sz val="9"/>
        <rFont val="WenQuanYi Zen Hei"/>
        <family val="2"/>
      </rPr>
      <t xml:space="preserve">札幌</t>
    </r>
    <r>
      <rPr>
        <sz val="9"/>
        <rFont val="Meiryo UI"/>
        <family val="0"/>
        <charset val="1"/>
      </rPr>
      <t xml:space="preserve">)</t>
    </r>
    <r>
      <rPr>
        <sz val="9"/>
        <rFont val="WenQuanYi Zen Hei"/>
        <family val="2"/>
      </rPr>
      <t xml:space="preserve">以降用</t>
    </r>
  </si>
  <si>
    <r>
      <rPr>
        <sz val="9"/>
        <rFont val="Meiryo UI"/>
        <family val="0"/>
        <charset val="1"/>
      </rPr>
      <t xml:space="preserve">2026/5/8(</t>
    </r>
    <r>
      <rPr>
        <sz val="9"/>
        <rFont val="WenQuanYi Zen Hei"/>
        <family val="2"/>
      </rPr>
      <t xml:space="preserve">金</t>
    </r>
    <r>
      <rPr>
        <sz val="9"/>
        <rFont val="Meiryo UI"/>
        <family val="0"/>
        <charset val="1"/>
      </rPr>
      <t xml:space="preserve">)</t>
    </r>
  </si>
  <si>
    <r>
      <rPr>
        <sz val="9"/>
        <rFont val="WenQuanYi Zen Hei"/>
        <family val="2"/>
      </rPr>
      <t xml:space="preserve">北海道</t>
    </r>
    <r>
      <rPr>
        <sz val="9"/>
        <rFont val="Meiryo UI"/>
        <family val="0"/>
        <charset val="1"/>
      </rPr>
      <t xml:space="preserve">(</t>
    </r>
    <r>
      <rPr>
        <sz val="9"/>
        <rFont val="WenQuanYi Zen Hei"/>
        <family val="2"/>
      </rPr>
      <t xml:space="preserve">札幌</t>
    </r>
    <r>
      <rPr>
        <sz val="9"/>
        <rFont val="Meiryo UI"/>
        <family val="0"/>
        <charset val="1"/>
      </rPr>
      <t xml:space="preserve">)</t>
    </r>
    <r>
      <rPr>
        <sz val="9"/>
        <rFont val="WenQuanYi Zen Hei"/>
        <family val="2"/>
      </rPr>
      <t xml:space="preserve">会場以降用</t>
    </r>
  </si>
  <si>
    <r>
      <rPr>
        <sz val="9"/>
        <rFont val="Meiryo UI"/>
        <family val="0"/>
        <charset val="1"/>
      </rPr>
      <t xml:space="preserve">2026/5/15(</t>
    </r>
    <r>
      <rPr>
        <sz val="9"/>
        <rFont val="WenQuanYi Zen Hei"/>
        <family val="2"/>
      </rPr>
      <t xml:space="preserve">金</t>
    </r>
    <r>
      <rPr>
        <sz val="9"/>
        <rFont val="Meiryo UI"/>
        <family val="0"/>
        <charset val="1"/>
      </rPr>
      <t xml:space="preserve">)</t>
    </r>
  </si>
  <si>
    <t xml:space="preserve">仙台会場以降</t>
  </si>
  <si>
    <r>
      <rPr>
        <sz val="9"/>
        <rFont val="WenQuanYi Zen Hei"/>
        <family val="2"/>
      </rPr>
      <t xml:space="preserve">★賞味期限</t>
    </r>
    <r>
      <rPr>
        <sz val="9"/>
        <rFont val="Meiryo UI"/>
        <family val="0"/>
        <charset val="1"/>
      </rPr>
      <t xml:space="preserve">4</t>
    </r>
    <r>
      <rPr>
        <sz val="9"/>
        <rFont val="WenQuanYi Zen Hei"/>
        <family val="2"/>
      </rPr>
      <t xml:space="preserve">か月以内のものは販売不可</t>
    </r>
  </si>
  <si>
    <t xml:space="preserve">― 開催中会場への追納 ―</t>
  </si>
  <si>
    <r>
      <rPr>
        <sz val="9"/>
        <rFont val="Meiryo UI"/>
        <family val="0"/>
        <charset val="1"/>
      </rPr>
      <t xml:space="preserve">2026/7/31</t>
    </r>
    <r>
      <rPr>
        <sz val="9"/>
        <rFont val="WenQuanYi Zen Hei"/>
        <family val="2"/>
      </rPr>
      <t xml:space="preserve">・</t>
    </r>
    <r>
      <rPr>
        <sz val="9"/>
        <rFont val="Meiryo UI"/>
        <family val="0"/>
        <charset val="1"/>
      </rPr>
      <t xml:space="preserve">8/1 </t>
    </r>
    <r>
      <rPr>
        <sz val="9"/>
        <rFont val="WenQuanYi Zen Hei"/>
        <family val="2"/>
      </rPr>
      <t xml:space="preserve">札幌会場追納リスト（レッグス商品分のみ抜粋）</t>
    </r>
  </si>
  <si>
    <t xml:space="preserve">2026/7/31</t>
  </si>
  <si>
    <r>
      <rPr>
        <sz val="9"/>
        <rFont val="WenQuanYi Zen Hei"/>
        <family val="2"/>
      </rPr>
      <t xml:space="preserve">札幌会場（</t>
    </r>
    <r>
      <rPr>
        <sz val="9"/>
        <rFont val="Meiryo UI"/>
        <family val="0"/>
        <charset val="1"/>
      </rPr>
      <t xml:space="preserve">50</t>
    </r>
    <r>
      <rPr>
        <sz val="9"/>
        <rFont val="WenQuanYi Zen Hei"/>
        <family val="2"/>
      </rPr>
      <t xml:space="preserve">個）</t>
    </r>
  </si>
  <si>
    <r>
      <rPr>
        <sz val="9"/>
        <rFont val="Meiryo UI"/>
        <family val="0"/>
        <charset val="1"/>
      </rPr>
      <t xml:space="preserve">4</t>
    </r>
    <r>
      <rPr>
        <sz val="9"/>
        <rFont val="WenQuanYi Zen Hei"/>
        <family val="2"/>
      </rPr>
      <t xml:space="preserve">個口／</t>
    </r>
    <r>
      <rPr>
        <sz val="9"/>
        <rFont val="Meiryo UI"/>
        <family val="0"/>
        <charset val="1"/>
      </rPr>
      <t xml:space="preserve">17</t>
    </r>
    <r>
      <rPr>
        <sz val="9"/>
        <rFont val="WenQuanYi Zen Hei"/>
        <family val="2"/>
      </rPr>
      <t xml:space="preserve">時着予定</t>
    </r>
  </si>
  <si>
    <r>
      <rPr>
        <sz val="9"/>
        <rFont val="WenQuanYi Zen Hei"/>
        <family val="2"/>
      </rPr>
      <t xml:space="preserve">札幌会場（</t>
    </r>
    <r>
      <rPr>
        <sz val="9"/>
        <rFont val="Meiryo UI"/>
        <family val="0"/>
        <charset val="1"/>
      </rPr>
      <t xml:space="preserve">100</t>
    </r>
    <r>
      <rPr>
        <sz val="9"/>
        <rFont val="WenQuanYi Zen Hei"/>
        <family val="2"/>
      </rPr>
      <t xml:space="preserve">個）</t>
    </r>
  </si>
  <si>
    <r>
      <rPr>
        <sz val="9"/>
        <rFont val="WenQuanYi Zen Hei"/>
        <family val="2"/>
      </rPr>
      <t xml:space="preserve">札幌会場（</t>
    </r>
    <r>
      <rPr>
        <sz val="9"/>
        <rFont val="Meiryo UI"/>
        <family val="0"/>
        <charset val="1"/>
      </rPr>
      <t xml:space="preserve">60</t>
    </r>
    <r>
      <rPr>
        <sz val="9"/>
        <rFont val="WenQuanYi Zen Hei"/>
        <family val="2"/>
      </rPr>
      <t xml:space="preserve">個）</t>
    </r>
  </si>
  <si>
    <t xml:space="preserve">路線伝票 確認中</t>
  </si>
  <si>
    <t xml:space="preserve">（レッグス商品の追納なし）</t>
  </si>
  <si>
    <t xml:space="preserve">2026/8/1</t>
  </si>
  <si>
    <r>
      <rPr>
        <sz val="9"/>
        <rFont val="WenQuanYi Zen Hei"/>
        <family val="2"/>
      </rPr>
      <t xml:space="preserve">札幌会場（</t>
    </r>
    <r>
      <rPr>
        <sz val="9"/>
        <rFont val="Meiryo UI"/>
        <family val="0"/>
        <charset val="1"/>
      </rPr>
      <t xml:space="preserve">0</t>
    </r>
    <r>
      <rPr>
        <sz val="9"/>
        <rFont val="WenQuanYi Zen Hei"/>
        <family val="2"/>
      </rPr>
      <t xml:space="preserve">個）</t>
    </r>
  </si>
  <si>
    <r>
      <rPr>
        <sz val="9"/>
        <rFont val="WenQuanYi Zen Hei"/>
        <family val="2"/>
      </rPr>
      <t xml:space="preserve">ムービック商品・</t>
    </r>
    <r>
      <rPr>
        <sz val="9"/>
        <rFont val="Meiryo UI"/>
        <family val="0"/>
        <charset val="1"/>
      </rPr>
      <t xml:space="preserve">MAPPA</t>
    </r>
    <r>
      <rPr>
        <sz val="9"/>
        <rFont val="WenQuanYi Zen Hei"/>
        <family val="2"/>
      </rPr>
      <t xml:space="preserve">原画集のみ</t>
    </r>
  </si>
  <si>
    <t xml:space="preserve">■ 商品別 会場別 在庫引当と発注期限</t>
  </si>
  <si>
    <r>
      <rPr>
        <b val="true"/>
        <sz val="9"/>
        <color rgb="FFFFFFFF"/>
        <rFont val="WenQuanYi Zen Hei"/>
        <family val="2"/>
      </rPr>
      <t xml:space="preserve">生産日数
</t>
    </r>
    <r>
      <rPr>
        <b val="true"/>
        <sz val="9"/>
        <color rgb="FFFFFFFF"/>
        <rFont val="Meiryo UI"/>
        <family val="0"/>
        <charset val="1"/>
      </rPr>
      <t xml:space="preserve">(</t>
    </r>
    <r>
      <rPr>
        <b val="true"/>
        <sz val="9"/>
        <color rgb="FFFFFFFF"/>
        <rFont val="WenQuanYi Zen Hei"/>
        <family val="2"/>
      </rPr>
      <t xml:space="preserve">か月</t>
    </r>
    <r>
      <rPr>
        <b val="true"/>
        <sz val="9"/>
        <color rgb="FFFFFFFF"/>
        <rFont val="Meiryo UI"/>
        <family val="0"/>
        <charset val="1"/>
      </rPr>
      <t xml:space="preserve">)</t>
    </r>
  </si>
  <si>
    <r>
      <rPr>
        <b val="true"/>
        <sz val="9"/>
        <color rgb="FFFFFFFF"/>
        <rFont val="WenQuanYi Zen Hei"/>
        <family val="2"/>
      </rPr>
      <t xml:space="preserve">生産日数
</t>
    </r>
    <r>
      <rPr>
        <b val="true"/>
        <sz val="9"/>
        <color rgb="FFFFFFFF"/>
        <rFont val="Meiryo UI"/>
        <family val="0"/>
        <charset val="1"/>
      </rPr>
      <t xml:space="preserve">(</t>
    </r>
    <r>
      <rPr>
        <b val="true"/>
        <sz val="9"/>
        <color rgb="FFFFFFFF"/>
        <rFont val="WenQuanYi Zen Hei"/>
        <family val="2"/>
      </rPr>
      <t xml:space="preserve">日換算</t>
    </r>
    <r>
      <rPr>
        <b val="true"/>
        <sz val="9"/>
        <color rgb="FFFFFFFF"/>
        <rFont val="Meiryo UI"/>
        <family val="0"/>
        <charset val="1"/>
      </rPr>
      <t xml:space="preserve">)</t>
    </r>
  </si>
  <si>
    <t xml:space="preserve">石川
引当後残</t>
  </si>
  <si>
    <t xml:space="preserve">仙台
引当後残</t>
  </si>
  <si>
    <t xml:space="preserve">神戸阪急
引当後残</t>
  </si>
  <si>
    <t xml:space="preserve">鳥取島根
引当後残</t>
  </si>
  <si>
    <t xml:space="preserve">東京凱旋
引当後残</t>
  </si>
  <si>
    <t xml:space="preserve">欠品発生会場</t>
  </si>
  <si>
    <t xml:space="preserve">欠品会場
会期初日</t>
  </si>
  <si>
    <r>
      <rPr>
        <b val="true"/>
        <sz val="9"/>
        <color rgb="FF333333"/>
        <rFont val="WenQuanYi Zen Hei"/>
        <family val="2"/>
      </rPr>
      <t xml:space="preserve">不足数
</t>
    </r>
    <r>
      <rPr>
        <b val="true"/>
        <sz val="9"/>
        <color rgb="FF333333"/>
        <rFont val="Meiryo UI"/>
        <family val="0"/>
        <charset val="1"/>
      </rPr>
      <t xml:space="preserve">(</t>
    </r>
    <r>
      <rPr>
        <b val="true"/>
        <sz val="9"/>
        <color rgb="FF333333"/>
        <rFont val="WenQuanYi Zen Hei"/>
        <family val="2"/>
      </rPr>
      <t xml:space="preserve">会期末まで</t>
    </r>
    <r>
      <rPr>
        <b val="true"/>
        <sz val="9"/>
        <color rgb="FF333333"/>
        <rFont val="Meiryo UI"/>
        <family val="0"/>
        <charset val="1"/>
      </rPr>
      <t xml:space="preserve">)</t>
    </r>
  </si>
  <si>
    <t xml:space="preserve">緊急度</t>
  </si>
  <si>
    <r>
      <rPr>
        <sz val="9"/>
        <rFont val="Meiryo UI"/>
        <family val="0"/>
        <charset val="1"/>
      </rPr>
      <t xml:space="preserve">7/28 </t>
    </r>
    <r>
      <rPr>
        <sz val="9"/>
        <rFont val="WenQuanYi Zen Hei"/>
        <family val="2"/>
      </rPr>
      <t xml:space="preserve">運営欠品報告あり（札幌へ倉庫から追納）</t>
    </r>
  </si>
  <si>
    <t xml:space="preserve">－</t>
  </si>
  <si>
    <t xml:space="preserve">再生産不可（生産日数「－」）。現有在庫のみで運用</t>
  </si>
  <si>
    <r>
      <rPr>
        <sz val="9"/>
        <rFont val="WenQuanYi Zen Hei"/>
        <family val="2"/>
      </rPr>
      <t xml:space="preserve">★追加発注 確定済：</t>
    </r>
    <r>
      <rPr>
        <sz val="9"/>
        <rFont val="Meiryo UI"/>
        <family val="0"/>
        <charset val="1"/>
      </rPr>
      <t xml:space="preserve">1,200SET </t>
    </r>
    <r>
      <rPr>
        <sz val="9"/>
        <rFont val="WenQuanYi Zen Hei"/>
        <family val="2"/>
      </rPr>
      <t xml:space="preserve">を 仙台 </t>
    </r>
    <r>
      <rPr>
        <sz val="9"/>
        <rFont val="Meiryo UI"/>
        <family val="0"/>
        <charset val="1"/>
      </rPr>
      <t xml:space="preserve">Ebeans </t>
    </r>
    <r>
      <rPr>
        <sz val="9"/>
        <rFont val="WenQuanYi Zen Hei"/>
        <family val="2"/>
      </rPr>
      <t xml:space="preserve">入荷予定（ミニマム</t>
    </r>
    <r>
      <rPr>
        <sz val="9"/>
        <rFont val="Meiryo UI"/>
        <family val="0"/>
        <charset val="1"/>
      </rPr>
      <t xml:space="preserve">1,200</t>
    </r>
    <r>
      <rPr>
        <sz val="9"/>
        <rFont val="WenQuanYi Zen Hei"/>
        <family val="2"/>
      </rPr>
      <t xml:space="preserve">〜</t>
    </r>
    <r>
      <rPr>
        <sz val="9"/>
        <rFont val="Meiryo UI"/>
        <family val="0"/>
        <charset val="1"/>
      </rPr>
      <t xml:space="preserve">1,500SET</t>
    </r>
    <r>
      <rPr>
        <sz val="9"/>
        <rFont val="WenQuanYi Zen Hei"/>
        <family val="2"/>
      </rPr>
      <t xml:space="preserve">（</t>
    </r>
    <r>
      <rPr>
        <sz val="9"/>
        <rFont val="Meiryo UI"/>
        <family val="0"/>
        <charset val="1"/>
      </rPr>
      <t xml:space="preserve">12,000</t>
    </r>
    <r>
      <rPr>
        <sz val="9"/>
        <rFont val="WenQuanYi Zen Hei"/>
        <family val="2"/>
      </rPr>
      <t xml:space="preserve">〜</t>
    </r>
    <r>
      <rPr>
        <sz val="9"/>
        <rFont val="Meiryo UI"/>
        <family val="0"/>
        <charset val="1"/>
      </rPr>
      <t xml:space="preserve">15,000</t>
    </r>
    <r>
      <rPr>
        <sz val="9"/>
        <rFont val="WenQuanYi Zen Hei"/>
        <family val="2"/>
      </rPr>
      <t xml:space="preserve">本）） ／ 賞味期限</t>
    </r>
    <r>
      <rPr>
        <sz val="9"/>
        <rFont val="Meiryo UI"/>
        <family val="0"/>
        <charset val="1"/>
      </rPr>
      <t xml:space="preserve">4</t>
    </r>
    <r>
      <rPr>
        <sz val="9"/>
        <rFont val="WenQuanYi Zen Hei"/>
        <family val="2"/>
      </rPr>
      <t xml:space="preserve">か月以内は販売不可。現在庫は金沢</t>
    </r>
    <r>
      <rPr>
        <sz val="9"/>
        <rFont val="Meiryo UI"/>
        <family val="0"/>
        <charset val="1"/>
      </rPr>
      <t xml:space="preserve">(</t>
    </r>
    <r>
      <rPr>
        <sz val="9"/>
        <rFont val="WenQuanYi Zen Hei"/>
        <family val="2"/>
      </rPr>
      <t xml:space="preserve">石川</t>
    </r>
    <r>
      <rPr>
        <sz val="9"/>
        <rFont val="Meiryo UI"/>
        <family val="0"/>
        <charset val="1"/>
      </rPr>
      <t xml:space="preserve">)</t>
    </r>
    <r>
      <rPr>
        <sz val="9"/>
        <rFont val="WenQuanYi Zen Hei"/>
        <family val="2"/>
      </rPr>
      <t xml:space="preserve">会場までは賞味期限</t>
    </r>
    <r>
      <rPr>
        <sz val="9"/>
        <rFont val="Meiryo UI"/>
        <family val="0"/>
        <charset val="1"/>
      </rPr>
      <t xml:space="preserve">OK</t>
    </r>
    <r>
      <rPr>
        <sz val="9"/>
        <rFont val="WenQuanYi Zen Hei"/>
        <family val="2"/>
      </rPr>
      <t xml:space="preserve">。残すと廃棄になるため石川会期内での売り切りを目標にする ／ </t>
    </r>
    <r>
      <rPr>
        <sz val="9"/>
        <rFont val="Meiryo UI"/>
        <family val="0"/>
        <charset val="1"/>
      </rPr>
      <t xml:space="preserve">7/28 </t>
    </r>
    <r>
      <rPr>
        <sz val="9"/>
        <rFont val="WenQuanYi Zen Hei"/>
        <family val="2"/>
      </rPr>
      <t xml:space="preserve">運営欠品報告あり（札幌へ倉庫から追納）</t>
    </r>
  </si>
  <si>
    <r>
      <rPr>
        <sz val="9"/>
        <rFont val="WenQuanYi Zen Hei"/>
        <family val="2"/>
      </rPr>
      <t xml:space="preserve">元データ空欄のため虎杖と同条件（</t>
    </r>
    <r>
      <rPr>
        <sz val="9"/>
        <rFont val="Meiryo UI"/>
        <family val="0"/>
        <charset val="1"/>
      </rPr>
      <t xml:space="preserve">3</t>
    </r>
    <r>
      <rPr>
        <sz val="9"/>
        <rFont val="WenQuanYi Zen Hei"/>
        <family val="2"/>
      </rPr>
      <t xml:space="preserve">か月）と仮定。★要確認</t>
    </r>
  </si>
  <si>
    <t xml:space="preserve">■ 会場別 発注デッドライン早見</t>
  </si>
  <si>
    <t xml:space="preserve">会期初日</t>
  </si>
  <si>
    <r>
      <rPr>
        <b val="true"/>
        <sz val="9"/>
        <color rgb="FFFFFFFF"/>
        <rFont val="WenQuanYi Zen Hei"/>
        <family val="2"/>
      </rPr>
      <t xml:space="preserve">生産</t>
    </r>
    <r>
      <rPr>
        <b val="true"/>
        <sz val="9"/>
        <color rgb="FFFFFFFF"/>
        <rFont val="Meiryo UI"/>
        <family val="0"/>
        <charset val="1"/>
      </rPr>
      <t xml:space="preserve">1</t>
    </r>
    <r>
      <rPr>
        <b val="true"/>
        <sz val="9"/>
        <color rgb="FFFFFFFF"/>
        <rFont val="WenQuanYi Zen Hei"/>
        <family val="2"/>
      </rPr>
      <t xml:space="preserve">か月品
発注期限</t>
    </r>
  </si>
  <si>
    <r>
      <rPr>
        <b val="true"/>
        <sz val="9"/>
        <color rgb="FFFFFFFF"/>
        <rFont val="WenQuanYi Zen Hei"/>
        <family val="2"/>
      </rPr>
      <t xml:space="preserve">生産</t>
    </r>
    <r>
      <rPr>
        <b val="true"/>
        <sz val="9"/>
        <color rgb="FFFFFFFF"/>
        <rFont val="Meiryo UI"/>
        <family val="0"/>
        <charset val="1"/>
      </rPr>
      <t xml:space="preserve">2.5</t>
    </r>
    <r>
      <rPr>
        <b val="true"/>
        <sz val="9"/>
        <color rgb="FFFFFFFF"/>
        <rFont val="WenQuanYi Zen Hei"/>
        <family val="2"/>
      </rPr>
      <t xml:space="preserve">か月品
発注期限</t>
    </r>
  </si>
  <si>
    <r>
      <rPr>
        <b val="true"/>
        <sz val="9"/>
        <color rgb="FFFFFFFF"/>
        <rFont val="WenQuanYi Zen Hei"/>
        <family val="2"/>
      </rPr>
      <t xml:space="preserve">生産</t>
    </r>
    <r>
      <rPr>
        <b val="true"/>
        <sz val="9"/>
        <color rgb="FFFFFFFF"/>
        <rFont val="Meiryo UI"/>
        <family val="0"/>
        <charset val="1"/>
      </rPr>
      <t xml:space="preserve">3</t>
    </r>
    <r>
      <rPr>
        <b val="true"/>
        <sz val="9"/>
        <color rgb="FFFFFFFF"/>
        <rFont val="WenQuanYi Zen Hei"/>
        <family val="2"/>
      </rPr>
      <t xml:space="preserve">か月品
発注期限</t>
    </r>
  </si>
  <si>
    <r>
      <rPr>
        <b val="true"/>
        <sz val="9"/>
        <color rgb="FFFFFFFF"/>
        <rFont val="WenQuanYi Zen Hei"/>
        <family val="2"/>
      </rPr>
      <t xml:space="preserve">基準日からの残日数
</t>
    </r>
    <r>
      <rPr>
        <b val="true"/>
        <sz val="9"/>
        <color rgb="FFFFFFFF"/>
        <rFont val="Meiryo UI"/>
        <family val="0"/>
        <charset val="1"/>
      </rPr>
      <t xml:space="preserve">(3</t>
    </r>
    <r>
      <rPr>
        <b val="true"/>
        <sz val="9"/>
        <color rgb="FFFFFFFF"/>
        <rFont val="WenQuanYi Zen Hei"/>
        <family val="2"/>
      </rPr>
      <t xml:space="preserve">か月品</t>
    </r>
    <r>
      <rPr>
        <b val="true"/>
        <sz val="9"/>
        <color rgb="FFFFFFFF"/>
        <rFont val="Meiryo UI"/>
        <family val="0"/>
        <charset val="1"/>
      </rPr>
      <t xml:space="preserve">)</t>
    </r>
  </si>
  <si>
    <r>
      <rPr>
        <sz val="9"/>
        <rFont val="WenQuanYi Zen Hei"/>
        <family val="2"/>
      </rPr>
      <t xml:space="preserve">会期</t>
    </r>
    <r>
      <rPr>
        <sz val="9"/>
        <rFont val="Meiryo UI"/>
        <family val="0"/>
        <charset val="1"/>
      </rPr>
      <t xml:space="preserve">18</t>
    </r>
    <r>
      <rPr>
        <sz val="9"/>
        <rFont val="WenQuanYi Zen Hei"/>
        <family val="2"/>
      </rPr>
      <t xml:space="preserve">日間</t>
    </r>
  </si>
  <si>
    <r>
      <rPr>
        <sz val="9"/>
        <rFont val="WenQuanYi Zen Hei"/>
        <family val="2"/>
      </rPr>
      <t xml:space="preserve">会期</t>
    </r>
    <r>
      <rPr>
        <sz val="9"/>
        <rFont val="Meiryo UI"/>
        <family val="0"/>
        <charset val="1"/>
      </rPr>
      <t xml:space="preserve">30</t>
    </r>
    <r>
      <rPr>
        <sz val="9"/>
        <rFont val="WenQuanYi Zen Hei"/>
        <family val="2"/>
      </rPr>
      <t xml:space="preserve">日間</t>
    </r>
  </si>
  <si>
    <r>
      <rPr>
        <sz val="9"/>
        <rFont val="WenQuanYi Zen Hei"/>
        <family val="2"/>
      </rPr>
      <t xml:space="preserve">会期</t>
    </r>
    <r>
      <rPr>
        <sz val="9"/>
        <rFont val="Meiryo UI"/>
        <family val="0"/>
        <charset val="1"/>
      </rPr>
      <t xml:space="preserve">21</t>
    </r>
    <r>
      <rPr>
        <sz val="9"/>
        <rFont val="WenQuanYi Zen Hei"/>
        <family val="2"/>
      </rPr>
      <t xml:space="preserve">日間</t>
    </r>
  </si>
  <si>
    <r>
      <rPr>
        <sz val="9"/>
        <rFont val="WenQuanYi Zen Hei"/>
        <family val="2"/>
      </rPr>
      <t xml:space="preserve">会期</t>
    </r>
    <r>
      <rPr>
        <sz val="9"/>
        <rFont val="Meiryo UI"/>
        <family val="0"/>
        <charset val="1"/>
      </rPr>
      <t xml:space="preserve">25</t>
    </r>
    <r>
      <rPr>
        <sz val="9"/>
        <rFont val="WenQuanYi Zen Hei"/>
        <family val="2"/>
      </rPr>
      <t xml:space="preserve">日間</t>
    </r>
  </si>
  <si>
    <t xml:space="preserve">■ 賞味期限のある商品／確定済み追加発注の売り切り管理</t>
  </si>
  <si>
    <t xml:space="preserve">「発注数の消化率」は全会期（東京凱旋）が終わった時点の累計。会場ごとの到達度は右側の「累計消化率 ○○終了時」列で確認する</t>
  </si>
  <si>
    <t xml:space="preserve">現在庫で賞味期限が
持つ最後の会場</t>
  </si>
  <si>
    <t xml:space="preserve">その会場までの
必要数</t>
  </si>
  <si>
    <t xml:space="preserve">会期内に売り切れ
なかった場合の残</t>
  </si>
  <si>
    <r>
      <rPr>
        <b val="true"/>
        <sz val="9"/>
        <color rgb="FFFFFFFF"/>
        <rFont val="WenQuanYi Zen Hei"/>
        <family val="2"/>
      </rPr>
      <t xml:space="preserve">廃棄見込金額
</t>
    </r>
    <r>
      <rPr>
        <b val="true"/>
        <sz val="9"/>
        <color rgb="FFFFFFFF"/>
        <rFont val="Meiryo UI"/>
        <family val="0"/>
        <charset val="1"/>
      </rPr>
      <t xml:space="preserve">(</t>
    </r>
    <r>
      <rPr>
        <b val="true"/>
        <sz val="9"/>
        <color rgb="FFFFFFFF"/>
        <rFont val="WenQuanYi Zen Hei"/>
        <family val="2"/>
      </rPr>
      <t xml:space="preserve">上代</t>
    </r>
    <r>
      <rPr>
        <b val="true"/>
        <sz val="9"/>
        <color rgb="FFFFFFFF"/>
        <rFont val="Meiryo UI"/>
        <family val="0"/>
        <charset val="1"/>
      </rPr>
      <t xml:space="preserve">)</t>
    </r>
  </si>
  <si>
    <t xml:space="preserve">確定発注</t>
  </si>
  <si>
    <t xml:space="preserve">入荷会場</t>
  </si>
  <si>
    <t xml:space="preserve">入荷後の必要数</t>
  </si>
  <si>
    <r>
      <rPr>
        <b val="true"/>
        <sz val="9"/>
        <color rgb="FFFFFFFF"/>
        <rFont val="WenQuanYi Zen Hei"/>
        <family val="2"/>
      </rPr>
      <t xml:space="preserve">発注数の消化率
</t>
    </r>
    <r>
      <rPr>
        <b val="true"/>
        <sz val="9"/>
        <color rgb="FFFFFFFF"/>
        <rFont val="Meiryo UI"/>
        <family val="0"/>
        <charset val="1"/>
      </rPr>
      <t xml:space="preserve">(</t>
    </r>
    <r>
      <rPr>
        <b val="true"/>
        <sz val="9"/>
        <color rgb="FFFFFFFF"/>
        <rFont val="WenQuanYi Zen Hei"/>
        <family val="2"/>
      </rPr>
      <t xml:space="preserve">全会期終了時</t>
    </r>
    <r>
      <rPr>
        <b val="true"/>
        <sz val="9"/>
        <color rgb="FFFFFFFF"/>
        <rFont val="Meiryo UI"/>
        <family val="0"/>
        <charset val="1"/>
      </rPr>
      <t xml:space="preserve">)</t>
    </r>
  </si>
  <si>
    <t xml:space="preserve">過剰見込</t>
  </si>
  <si>
    <t xml:space="preserve">累計消化率
石川終了時</t>
  </si>
  <si>
    <t xml:space="preserve">累計消化率
仙台終了時</t>
  </si>
  <si>
    <t xml:space="preserve">累計消化率
神戸阪急終了時</t>
  </si>
  <si>
    <t xml:space="preserve">累計消化率
鳥取島根終了時</t>
  </si>
  <si>
    <t xml:space="preserve">累計消化率
東京凱旋終了時</t>
  </si>
  <si>
    <t xml:space="preserve">打ち手</t>
  </si>
  <si>
    <t xml:space="preserve">1,200SET</t>
  </si>
  <si>
    <r>
      <rPr>
        <sz val="9"/>
        <rFont val="WenQuanYi Zen Hei"/>
        <family val="2"/>
      </rPr>
      <t xml:space="preserve">石川会期内で現在庫を売り切る（セット販売・</t>
    </r>
    <r>
      <rPr>
        <sz val="9"/>
        <rFont val="Meiryo UI"/>
        <family val="0"/>
        <charset val="1"/>
      </rPr>
      <t xml:space="preserve">POP</t>
    </r>
    <r>
      <rPr>
        <sz val="9"/>
        <rFont val="WenQuanYi Zen Hei"/>
        <family val="2"/>
      </rPr>
      <t xml:space="preserve">強化・値引き検討）。残ると廃棄 ／ 確定発注</t>
    </r>
    <r>
      <rPr>
        <sz val="9"/>
        <rFont val="Meiryo UI"/>
        <family val="0"/>
        <charset val="1"/>
      </rPr>
      <t xml:space="preserve">1,200SET</t>
    </r>
    <r>
      <rPr>
        <sz val="9"/>
        <rFont val="WenQuanYi Zen Hei"/>
        <family val="2"/>
      </rPr>
      <t xml:space="preserve">は最低ロット。消化率が</t>
    </r>
    <r>
      <rPr>
        <sz val="9"/>
        <rFont val="Meiryo UI"/>
        <family val="0"/>
        <charset val="1"/>
      </rPr>
      <t xml:space="preserve">9</t>
    </r>
    <r>
      <rPr>
        <sz val="9"/>
        <rFont val="WenQuanYi Zen Hei"/>
        <family val="2"/>
      </rPr>
      <t xml:space="preserve">割超なら妥当、下回るなら会場配分の再検討</t>
    </r>
  </si>
  <si>
    <t xml:space="preserve">■ 結論</t>
  </si>
  <si>
    <t xml:space="preserve">札幌への対応</t>
  </si>
  <si>
    <r>
      <rPr>
        <sz val="9"/>
        <rFont val="WenQuanYi Zen Hei"/>
        <family val="2"/>
      </rPr>
      <t xml:space="preserve">欠品報告</t>
    </r>
    <r>
      <rPr>
        <sz val="9"/>
        <rFont val="Meiryo UI"/>
        <family val="0"/>
        <charset val="1"/>
      </rPr>
      <t xml:space="preserve">8</t>
    </r>
    <r>
      <rPr>
        <sz val="9"/>
        <rFont val="WenQuanYi Zen Hei"/>
        <family val="2"/>
      </rPr>
      <t xml:space="preserve">品目はすべて倉庫在庫から追納可能。追加生産は不要で、追納数量は⑧⑪シートに算出済み。</t>
    </r>
  </si>
  <si>
    <t xml:space="preserve">石川以降の考え方</t>
  </si>
  <si>
    <t xml:space="preserve">まず既存在庫を会場順に引き当て、在庫が尽きた会場で初めて追加発注を検討する。</t>
  </si>
  <si>
    <t xml:space="preserve">その会場の会期初日から生産日数＋バッファを逆算した日が「最終発注期限」となる。</t>
  </si>
  <si>
    <t xml:space="preserve">緊急度の判定</t>
  </si>
  <si>
    <r>
      <rPr>
        <sz val="9"/>
        <rFont val="WenQuanYi Zen Hei"/>
        <family val="2"/>
      </rPr>
      <t xml:space="preserve">★期限超過＝すでに間に合わない／★至急＝</t>
    </r>
    <r>
      <rPr>
        <sz val="9"/>
        <rFont val="Meiryo UI"/>
        <family val="0"/>
        <charset val="1"/>
      </rPr>
      <t xml:space="preserve">30</t>
    </r>
    <r>
      <rPr>
        <sz val="9"/>
        <rFont val="WenQuanYi Zen Hei"/>
        <family val="2"/>
      </rPr>
      <t xml:space="preserve">日以内／要着手＝</t>
    </r>
    <r>
      <rPr>
        <sz val="9"/>
        <rFont val="Meiryo UI"/>
        <family val="0"/>
        <charset val="1"/>
      </rPr>
      <t xml:space="preserve">90</t>
    </r>
    <r>
      <rPr>
        <sz val="9"/>
        <rFont val="WenQuanYi Zen Hei"/>
        <family val="2"/>
      </rPr>
      <t xml:space="preserve">日以内／余裕あり＝</t>
    </r>
    <r>
      <rPr>
        <sz val="9"/>
        <rFont val="Meiryo UI"/>
        <family val="0"/>
        <charset val="1"/>
      </rPr>
      <t xml:space="preserve">91</t>
    </r>
    <r>
      <rPr>
        <sz val="9"/>
        <rFont val="WenQuanYi Zen Hei"/>
        <family val="2"/>
      </rPr>
      <t xml:space="preserve">日以上。</t>
    </r>
  </si>
  <si>
    <t xml:space="preserve">生産日数の変動リスク</t>
  </si>
  <si>
    <r>
      <rPr>
        <sz val="9"/>
        <rFont val="Meiryo UI"/>
        <family val="0"/>
        <charset val="1"/>
      </rPr>
      <t xml:space="preserve">2026/7/28</t>
    </r>
    <r>
      <rPr>
        <sz val="9"/>
        <rFont val="WenQuanYi Zen Hei"/>
        <family val="2"/>
      </rPr>
      <t xml:space="preserve">時点の提示値。物価高騰・素材</t>
    </r>
    <r>
      <rPr>
        <sz val="9"/>
        <rFont val="Meiryo UI"/>
        <family val="0"/>
        <charset val="1"/>
      </rPr>
      <t xml:space="preserve">/</t>
    </r>
    <r>
      <rPr>
        <sz val="9"/>
        <rFont val="WenQuanYi Zen Hei"/>
        <family val="2"/>
      </rPr>
      <t xml:space="preserve">材料の入手困難により変動しうるため、</t>
    </r>
  </si>
  <si>
    <r>
      <rPr>
        <sz val="9"/>
        <rFont val="WenQuanYi Zen Hei"/>
        <family val="2"/>
      </rPr>
      <t xml:space="preserve">実際の発注判断では期限に対して</t>
    </r>
    <r>
      <rPr>
        <sz val="9"/>
        <rFont val="Meiryo UI"/>
        <family val="0"/>
        <charset val="1"/>
      </rPr>
      <t xml:space="preserve">30</t>
    </r>
    <r>
      <rPr>
        <sz val="9"/>
        <rFont val="WenQuanYi Zen Hei"/>
        <family val="2"/>
      </rPr>
      <t xml:space="preserve">日程度の余裕を見込むことを推奨。</t>
    </r>
  </si>
  <si>
    <r>
      <rPr>
        <sz val="9"/>
        <rFont val="WenQuanYi Zen Hei"/>
        <family val="2"/>
      </rPr>
      <t xml:space="preserve">宿儺の指風お菓子は賞味期限</t>
    </r>
    <r>
      <rPr>
        <sz val="9"/>
        <rFont val="Meiryo UI"/>
        <family val="0"/>
        <charset val="1"/>
      </rPr>
      <t xml:space="preserve">4</t>
    </r>
    <r>
      <rPr>
        <sz val="9"/>
        <rFont val="WenQuanYi Zen Hei"/>
        <family val="2"/>
      </rPr>
      <t xml:space="preserve">か月以内が販売不可。現在庫は金沢</t>
    </r>
    <r>
      <rPr>
        <sz val="9"/>
        <rFont val="Meiryo UI"/>
        <family val="0"/>
        <charset val="1"/>
      </rPr>
      <t xml:space="preserve">(</t>
    </r>
    <r>
      <rPr>
        <sz val="9"/>
        <rFont val="WenQuanYi Zen Hei"/>
        <family val="2"/>
      </rPr>
      <t xml:space="preserve">石川</t>
    </r>
    <r>
      <rPr>
        <sz val="9"/>
        <rFont val="Meiryo UI"/>
        <family val="0"/>
        <charset val="1"/>
      </rPr>
      <t xml:space="preserve">)</t>
    </r>
    <r>
      <rPr>
        <sz val="9"/>
        <rFont val="WenQuanYi Zen Hei"/>
        <family val="2"/>
      </rPr>
      <t xml:space="preserve">会場までは賞味期限</t>
    </r>
    <r>
      <rPr>
        <sz val="9"/>
        <rFont val="Meiryo UI"/>
        <family val="0"/>
        <charset val="1"/>
      </rPr>
      <t xml:space="preserve">OK</t>
    </r>
    <r>
      <rPr>
        <sz val="9"/>
        <rFont val="WenQuanYi Zen Hei"/>
        <family val="2"/>
      </rPr>
      <t xml:space="preserve">。</t>
    </r>
  </si>
  <si>
    <t xml:space="preserve">残すと廃棄になるため、石川会期内での売り切りを目標にする（上表の「売り切れなかった場合の残」参照）。</t>
  </si>
  <si>
    <r>
      <rPr>
        <sz val="9"/>
        <rFont val="WenQuanYi Zen Hei"/>
        <family val="2"/>
      </rPr>
      <t xml:space="preserve">仙台以降向けは</t>
    </r>
    <r>
      <rPr>
        <sz val="9"/>
        <rFont val="Meiryo UI"/>
        <family val="0"/>
        <charset val="1"/>
      </rPr>
      <t xml:space="preserve">1,200SET(12,000</t>
    </r>
    <r>
      <rPr>
        <sz val="9"/>
        <rFont val="WenQuanYi Zen Hei"/>
        <family val="2"/>
      </rPr>
      <t xml:space="preserve">本</t>
    </r>
    <r>
      <rPr>
        <sz val="9"/>
        <rFont val="Meiryo UI"/>
        <family val="0"/>
        <charset val="1"/>
      </rPr>
      <t xml:space="preserve">)</t>
    </r>
    <r>
      <rPr>
        <sz val="9"/>
        <rFont val="WenQuanYi Zen Hei"/>
        <family val="2"/>
      </rPr>
      <t xml:space="preserve">で発注確定済み。最低ロットのため数量調整の余地はない。</t>
    </r>
  </si>
  <si>
    <r>
      <rPr>
        <sz val="9"/>
        <rFont val="WenQuanYi Zen Hei"/>
        <family val="2"/>
      </rPr>
      <t xml:space="preserve">東京凱旋</t>
    </r>
    <r>
      <rPr>
        <sz val="9"/>
        <rFont val="Meiryo UI"/>
        <family val="0"/>
        <charset val="1"/>
      </rPr>
      <t xml:space="preserve">(27</t>
    </r>
    <r>
      <rPr>
        <sz val="9"/>
        <rFont val="WenQuanYi Zen Hei"/>
        <family val="2"/>
      </rPr>
      <t xml:space="preserve">年</t>
    </r>
    <r>
      <rPr>
        <sz val="9"/>
        <rFont val="Meiryo UI"/>
        <family val="0"/>
        <charset val="1"/>
      </rPr>
      <t xml:space="preserve">4</t>
    </r>
    <r>
      <rPr>
        <sz val="9"/>
        <rFont val="WenQuanYi Zen Hei"/>
        <family val="2"/>
      </rPr>
      <t xml:space="preserve">月</t>
    </r>
    <r>
      <rPr>
        <sz val="9"/>
        <rFont val="Meiryo UI"/>
        <family val="0"/>
        <charset val="1"/>
      </rPr>
      <t xml:space="preserve">)</t>
    </r>
    <r>
      <rPr>
        <sz val="9"/>
        <rFont val="WenQuanYi Zen Hei"/>
        <family val="2"/>
      </rPr>
      <t xml:space="preserve">まで賞味期限が持つか、製造日から逆算した確認が必要。</t>
    </r>
  </si>
  <si>
    <t xml:space="preserve">再生産不可品</t>
  </si>
  <si>
    <t xml:space="preserve">虚式『茈』バスボールは生産日数が「－」＝再生産不可。現有在庫の範囲で会場配分を組む必要がある。</t>
  </si>
</sst>
</file>

<file path=xl/styles.xml><?xml version="1.0" encoding="utf-8"?>
<styleSheet xmlns="http://schemas.openxmlformats.org/spreadsheetml/2006/main">
  <numFmts count="16">
    <numFmt numFmtId="164" formatCode="General"/>
    <numFmt numFmtId="165" formatCode="0"/>
    <numFmt numFmtId="166" formatCode="0.0%"/>
    <numFmt numFmtId="167" formatCode="0.000\倍"/>
    <numFmt numFmtId="168" formatCode="\¥#,##0"/>
    <numFmt numFmtId="169" formatCode="#,##0"/>
    <numFmt numFmtId="170" formatCode="0\日"/>
    <numFmt numFmtId="171" formatCode="yyyy/m/d"/>
    <numFmt numFmtId="172" formatCode="\+#,##0;\-#,##0;0"/>
    <numFmt numFmtId="173" formatCode="0.00%"/>
    <numFmt numFmtId="174" formatCode="#,##0\日"/>
    <numFmt numFmtId="175" formatCode="\+0.0%;\-0.0%;0.0%"/>
    <numFmt numFmtId="176" formatCode="&quot;+¥&quot;#,##0;&quot;-¥&quot;#,##0;\-"/>
    <numFmt numFmtId="177" formatCode="\+0.0%;\-0.0%;\-"/>
    <numFmt numFmtId="178" formatCode="\+0.00%;\-0.00%;0.00%"/>
    <numFmt numFmtId="179" formatCode="#,##0;\-#,##0;0"/>
  </numFmts>
  <fonts count="24">
    <font>
      <sz val="11"/>
      <color theme="1"/>
      <name val="Meiryo UI"/>
      <family val="2"/>
      <charset val="1"/>
    </font>
    <font>
      <sz val="10"/>
      <name val="Meiryo UI"/>
      <family val="0"/>
    </font>
    <font>
      <sz val="10"/>
      <name val="Meiryo UI"/>
      <family val="0"/>
    </font>
    <font>
      <sz val="10"/>
      <name val="Meiryo UI"/>
      <family val="0"/>
    </font>
    <font>
      <b val="true"/>
      <sz val="15"/>
      <color rgb="FF1F3864"/>
      <name val="Meiryo UI"/>
      <family val="2"/>
    </font>
    <font>
      <b val="true"/>
      <sz val="11"/>
      <color rgb="FF2E5C8A"/>
      <name val="Meiryo UI"/>
      <family val="0"/>
      <charset val="1"/>
    </font>
    <font>
      <b val="true"/>
      <sz val="11"/>
      <color rgb="FF2E5C8A"/>
      <name val="Meiryo UI"/>
      <family val="2"/>
    </font>
    <font>
      <sz val="8"/>
      <color rgb="FF555555"/>
      <name val="Meiryo UI"/>
      <family val="2"/>
    </font>
    <font>
      <sz val="8"/>
      <color rgb="FF555555"/>
      <name val="Meiryo UI"/>
      <family val="0"/>
      <charset val="1"/>
    </font>
    <font>
      <b val="true"/>
      <sz val="11"/>
      <color rgb="FFC00000"/>
      <name val="Meiryo UI"/>
      <family val="2"/>
    </font>
    <font>
      <b val="true"/>
      <sz val="9"/>
      <name val="Meiryo UI"/>
      <family val="2"/>
    </font>
    <font>
      <b val="true"/>
      <sz val="9"/>
      <name val="Meiryo UI"/>
      <family val="0"/>
      <charset val="1"/>
    </font>
    <font>
      <sz val="9"/>
      <name val="Meiryo UI"/>
      <family val="0"/>
      <charset val="1"/>
    </font>
    <font>
      <sz val="9"/>
      <name val="Meiryo UI"/>
      <family val="2"/>
    </font>
    <font>
      <b val="true"/>
      <sz val="11"/>
      <color rgb="FFC00000"/>
      <name val="Meiryo UI"/>
      <family val="0"/>
      <charset val="1"/>
    </font>
    <font>
      <b val="true"/>
      <sz val="10"/>
      <color rgb="FF0000FF"/>
      <name val="Meiryo UI"/>
      <family val="0"/>
      <charset val="1"/>
    </font>
    <font>
      <b val="true"/>
      <sz val="9"/>
      <color rgb="FFFFFFFF"/>
      <name val="Meiryo UI"/>
      <family val="2"/>
    </font>
    <font>
      <b val="true"/>
      <sz val="9"/>
      <color rgb="FFFFFFFF"/>
      <name val="Meiryo UI"/>
      <family val="0"/>
      <charset val="1"/>
    </font>
    <font>
      <b val="true"/>
      <sz val="10"/>
      <color rgb="FF008000"/>
      <name val="Meiryo UI"/>
      <family val="0"/>
      <charset val="1"/>
    </font>
    <font>
      <b val="true"/>
      <sz val="15"/>
      <color rgb="FF1F3864"/>
      <name val="Meiryo UI"/>
      <family val="0"/>
      <charset val="1"/>
    </font>
    <font>
      <b val="true"/>
      <sz val="9"/>
      <color rgb="FF333333"/>
      <name val="Meiryo UI"/>
      <family val="2"/>
    </font>
    <font>
      <b val="true"/>
      <sz val="9"/>
      <color rgb="FF333333"/>
      <name val="Meiryo UI"/>
      <family val="0"/>
      <charset val="1"/>
    </font>
    <font>
      <b val="true"/>
      <sz val="11"/>
      <color rgb="FFFFFFFF"/>
      <name val="Meiryo UI"/>
      <family val="2"/>
    </font>
    <font>
      <b val="true"/>
      <sz val="11"/>
      <color rgb="FFFFFFFF"/>
      <name val="Meiryo UI"/>
      <family val="0"/>
      <charset val="1"/>
    </font>
  </fonts>
  <fills count="18">
    <fill>
      <patternFill patternType="none"/>
    </fill>
    <fill>
      <patternFill patternType="gray125"/>
    </fill>
    <fill>
      <patternFill patternType="solid">
        <fgColor rgb="FFFFFF00"/>
        <bgColor rgb="FFFFFF00"/>
      </patternFill>
    </fill>
    <fill>
      <patternFill patternType="solid">
        <fgColor rgb="FF2E5C8A"/>
        <bgColor rgb="FF1F6FB5"/>
      </patternFill>
    </fill>
    <fill>
      <patternFill patternType="solid">
        <fgColor rgb="FFE2EFDA"/>
        <bgColor rgb="FFF2F2F2"/>
      </patternFill>
    </fill>
    <fill>
      <patternFill patternType="solid">
        <fgColor rgb="FF1F3864"/>
        <bgColor rgb="FF333333"/>
      </patternFill>
    </fill>
    <fill>
      <patternFill patternType="solid">
        <fgColor rgb="FFC00000"/>
        <bgColor rgb="FF9C0006"/>
      </patternFill>
    </fill>
    <fill>
      <patternFill patternType="solid">
        <fgColor rgb="FF548235"/>
        <bgColor rgb="FF339966"/>
      </patternFill>
    </fill>
    <fill>
      <patternFill patternType="solid">
        <fgColor rgb="FF7030A0"/>
        <bgColor rgb="FF993366"/>
      </patternFill>
    </fill>
    <fill>
      <patternFill patternType="solid">
        <fgColor rgb="FF1F6FB5"/>
        <bgColor rgb="FF2E5C8A"/>
      </patternFill>
    </fill>
    <fill>
      <patternFill patternType="solid">
        <fgColor rgb="FFBF8F00"/>
        <bgColor rgb="FFC55A11"/>
      </patternFill>
    </fill>
    <fill>
      <patternFill patternType="solid">
        <fgColor rgb="FFF2F2F2"/>
        <bgColor rgb="FFE2EFDA"/>
      </patternFill>
    </fill>
    <fill>
      <patternFill patternType="solid">
        <fgColor rgb="FFA6A6A6"/>
        <bgColor rgb="FFBFBFBF"/>
      </patternFill>
    </fill>
    <fill>
      <patternFill patternType="solid">
        <fgColor rgb="FF7B3F00"/>
        <bgColor rgb="FF993366"/>
      </patternFill>
    </fill>
    <fill>
      <patternFill patternType="solid">
        <fgColor rgb="FFFFC7CE"/>
        <bgColor rgb="FFFFEB9C"/>
      </patternFill>
    </fill>
    <fill>
      <patternFill patternType="solid">
        <fgColor rgb="FF375623"/>
        <bgColor rgb="FF555555"/>
      </patternFill>
    </fill>
    <fill>
      <patternFill patternType="solid">
        <fgColor rgb="FFC55A11"/>
        <bgColor rgb="FFBF8F00"/>
      </patternFill>
    </fill>
    <fill>
      <patternFill patternType="solid">
        <fgColor rgb="FF7B7B7B"/>
        <bgColor rgb="FF548235"/>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15" fillId="2"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6" fontId="15" fillId="2" borderId="1" xfId="0" applyFont="true" applyBorder="true" applyAlignment="true" applyProtection="false">
      <alignment horizontal="center" vertical="center" textRotation="0" wrapText="true" indent="0" shrinkToFit="false"/>
      <protection locked="true" hidden="false"/>
    </xf>
    <xf numFmtId="167" fontId="15" fillId="2" borderId="1" xfId="0" applyFont="true" applyBorder="true" applyAlignment="true" applyProtection="false">
      <alignment horizontal="center" vertical="center" textRotation="0" wrapText="true" indent="0" shrinkToFit="false"/>
      <protection locked="true" hidden="false"/>
    </xf>
    <xf numFmtId="168" fontId="15" fillId="2" borderId="1" xfId="0" applyFont="true" applyBorder="true" applyAlignment="true" applyProtection="false">
      <alignment horizontal="center" vertical="center" textRotation="0" wrapText="true" indent="0" shrinkToFit="false"/>
      <protection locked="true" hidden="false"/>
    </xf>
    <xf numFmtId="169" fontId="15" fillId="2" borderId="1" xfId="0" applyFont="true" applyBorder="true" applyAlignment="true" applyProtection="false">
      <alignment horizontal="center" vertical="center" textRotation="0" wrapText="true" indent="0" shrinkToFit="false"/>
      <protection locked="true" hidden="false"/>
    </xf>
    <xf numFmtId="164" fontId="16" fillId="3"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12" fillId="0" borderId="1" xfId="0" applyFont="true" applyBorder="true" applyAlignment="true" applyProtection="false">
      <alignment horizontal="center" vertical="center" textRotation="0" wrapText="true" indent="0" shrinkToFit="false"/>
      <protection locked="true" hidden="false"/>
    </xf>
    <xf numFmtId="166" fontId="18" fillId="4" borderId="1" xfId="0" applyFont="true" applyBorder="true" applyAlignment="true" applyProtection="false">
      <alignment horizontal="center" vertical="center" textRotation="0" wrapText="true" indent="0" shrinkToFit="false"/>
      <protection locked="true" hidden="false"/>
    </xf>
    <xf numFmtId="169" fontId="12" fillId="0" borderId="1" xfId="0" applyFont="true" applyBorder="true" applyAlignment="true" applyProtection="false">
      <alignment horizontal="center" vertical="center" textRotation="0" wrapText="true" indent="0" shrinkToFit="false"/>
      <protection locked="true" hidden="false"/>
    </xf>
    <xf numFmtId="170" fontId="15" fillId="2" borderId="1" xfId="0" applyFont="true" applyBorder="true" applyAlignment="true" applyProtection="false">
      <alignment horizontal="center" vertical="center" textRotation="0" wrapText="true" indent="0" shrinkToFit="false"/>
      <protection locked="true" hidden="false"/>
    </xf>
    <xf numFmtId="171" fontId="12" fillId="0" borderId="1" xfId="0" applyFont="true" applyBorder="true" applyAlignment="true" applyProtection="false">
      <alignment horizontal="center" vertical="center" textRotation="0" wrapText="true" indent="0" shrinkToFit="false"/>
      <protection locked="true" hidden="false"/>
    </xf>
    <xf numFmtId="164" fontId="17" fillId="5" borderId="1" xfId="0" applyFont="true" applyBorder="true" applyAlignment="true" applyProtection="false">
      <alignment horizontal="center" vertical="center" textRotation="0" wrapText="true" indent="0" shrinkToFit="false"/>
      <protection locked="true" hidden="false"/>
    </xf>
    <xf numFmtId="164" fontId="16" fillId="5" borderId="1" xfId="0" applyFont="true" applyBorder="true" applyAlignment="true" applyProtection="false">
      <alignment horizontal="center" vertical="center" textRotation="0" wrapText="true" indent="0" shrinkToFit="false"/>
      <protection locked="true" hidden="false"/>
    </xf>
    <xf numFmtId="164" fontId="16" fillId="6" borderId="1" xfId="0" applyFont="true" applyBorder="true" applyAlignment="true" applyProtection="false">
      <alignment horizontal="center" vertical="center" textRotation="0" wrapText="true" indent="0" shrinkToFit="false"/>
      <protection locked="true" hidden="false"/>
    </xf>
    <xf numFmtId="164" fontId="16" fillId="7" borderId="1" xfId="0" applyFont="true" applyBorder="true" applyAlignment="true" applyProtection="false">
      <alignment horizontal="center" vertical="center" textRotation="0" wrapText="true" indent="0" shrinkToFit="false"/>
      <protection locked="true" hidden="false"/>
    </xf>
    <xf numFmtId="164" fontId="16" fillId="8" borderId="1" xfId="0" applyFont="true" applyBorder="true" applyAlignment="true" applyProtection="false">
      <alignment horizontal="center" vertical="center" textRotation="0" wrapText="true" indent="0" shrinkToFit="false"/>
      <protection locked="true" hidden="false"/>
    </xf>
    <xf numFmtId="164" fontId="16" fillId="9" borderId="1" xfId="0" applyFont="true" applyBorder="true" applyAlignment="true" applyProtection="false">
      <alignment horizontal="center" vertical="center" textRotation="0" wrapText="true" indent="0" shrinkToFit="false"/>
      <protection locked="true" hidden="false"/>
    </xf>
    <xf numFmtId="164" fontId="16" fillId="10"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left" vertical="center" textRotation="0" wrapText="false" indent="0" shrinkToFit="false"/>
      <protection locked="true" hidden="false"/>
    </xf>
    <xf numFmtId="168" fontId="12" fillId="0" borderId="1" xfId="0" applyFont="true" applyBorder="true" applyAlignment="true" applyProtection="false">
      <alignment horizontal="center" vertical="center" textRotation="0" wrapText="false" indent="0" shrinkToFit="false"/>
      <protection locked="true" hidden="false"/>
    </xf>
    <xf numFmtId="169" fontId="12" fillId="0" borderId="1" xfId="0" applyFont="true" applyBorder="true" applyAlignment="true" applyProtection="false">
      <alignment horizontal="center" vertical="center" textRotation="0" wrapText="false" indent="0" shrinkToFit="false"/>
      <protection locked="true" hidden="false"/>
    </xf>
    <xf numFmtId="167" fontId="12" fillId="0" borderId="1" xfId="0" applyFont="true" applyBorder="true" applyAlignment="true" applyProtection="false">
      <alignment horizontal="center" vertical="center" textRotation="0" wrapText="false" indent="0" shrinkToFit="false"/>
      <protection locked="true" hidden="false"/>
    </xf>
    <xf numFmtId="166" fontId="12" fillId="0" borderId="1" xfId="0" applyFont="true" applyBorder="true" applyAlignment="true" applyProtection="false">
      <alignment horizontal="center" vertical="center" textRotation="0" wrapText="false" indent="0" shrinkToFit="false"/>
      <protection locked="true" hidden="false"/>
    </xf>
    <xf numFmtId="172" fontId="12" fillId="0"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11" fillId="11" borderId="1" xfId="0" applyFont="true" applyBorder="true" applyAlignment="true" applyProtection="false">
      <alignment horizontal="center" vertical="center" textRotation="0" wrapText="false" indent="0" shrinkToFit="false"/>
      <protection locked="true" hidden="false"/>
    </xf>
    <xf numFmtId="164" fontId="10" fillId="11" borderId="1" xfId="0" applyFont="true" applyBorder="true" applyAlignment="true" applyProtection="false">
      <alignment horizontal="left" vertical="center" textRotation="0" wrapText="false" indent="0" shrinkToFit="false"/>
      <protection locked="true" hidden="false"/>
    </xf>
    <xf numFmtId="169" fontId="11" fillId="11" borderId="1" xfId="0" applyFont="true" applyBorder="true" applyAlignment="true" applyProtection="false">
      <alignment horizontal="center" vertical="center" textRotation="0" wrapText="false" indent="0" shrinkToFit="false"/>
      <protection locked="true" hidden="false"/>
    </xf>
    <xf numFmtId="167" fontId="11" fillId="11" borderId="1" xfId="0" applyFont="true" applyBorder="true" applyAlignment="true" applyProtection="false">
      <alignment horizontal="center" vertical="center" textRotation="0" wrapText="false" indent="0" shrinkToFit="false"/>
      <protection locked="true" hidden="false"/>
    </xf>
    <xf numFmtId="168" fontId="11" fillId="11" borderId="1" xfId="0" applyFont="true" applyBorder="true" applyAlignment="true" applyProtection="false">
      <alignment horizontal="center" vertical="center" textRotation="0" wrapText="false" indent="0" shrinkToFit="false"/>
      <protection locked="true" hidden="false"/>
    </xf>
    <xf numFmtId="166" fontId="11" fillId="11" borderId="1" xfId="0" applyFont="true" applyBorder="true" applyAlignment="true" applyProtection="false">
      <alignment horizontal="center" vertical="center" textRotation="0" wrapText="false" indent="0" shrinkToFit="false"/>
      <protection locked="true" hidden="false"/>
    </xf>
    <xf numFmtId="172" fontId="11" fillId="11" borderId="1" xfId="0" applyFont="true" applyBorder="true" applyAlignment="true" applyProtection="false">
      <alignment horizontal="center" vertical="center" textRotation="0" wrapText="false" indent="0" shrinkToFit="false"/>
      <protection locked="true" hidden="false"/>
    </xf>
    <xf numFmtId="164" fontId="16" fillId="12" borderId="1" xfId="0" applyFont="true" applyBorder="true" applyAlignment="true" applyProtection="false">
      <alignment horizontal="center" vertical="center" textRotation="0" wrapText="true" indent="0" shrinkToFit="false"/>
      <protection locked="true" hidden="false"/>
    </xf>
    <xf numFmtId="164" fontId="16" fillId="13"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fals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left" vertical="center" textRotation="0" wrapText="false" indent="0" shrinkToFit="false"/>
      <protection locked="true" hidden="false"/>
    </xf>
    <xf numFmtId="164" fontId="17" fillId="13" borderId="1" xfId="0" applyFont="true" applyBorder="true" applyAlignment="true" applyProtection="false">
      <alignment horizontal="center" vertical="center" textRotation="0" wrapText="true" indent="0" shrinkToFit="false"/>
      <protection locked="true" hidden="false"/>
    </xf>
    <xf numFmtId="169" fontId="12" fillId="4" borderId="1" xfId="0" applyFont="true" applyBorder="true" applyAlignment="true" applyProtection="false">
      <alignment horizontal="center" vertical="center" textRotation="0" wrapText="true" indent="0" shrinkToFit="false"/>
      <protection locked="true" hidden="false"/>
    </xf>
    <xf numFmtId="172" fontId="12" fillId="4" borderId="1" xfId="0" applyFont="true" applyBorder="true" applyAlignment="true" applyProtection="false">
      <alignment horizontal="center" vertical="center" textRotation="0" wrapText="true" indent="0" shrinkToFit="false"/>
      <protection locked="true" hidden="false"/>
    </xf>
    <xf numFmtId="169" fontId="11" fillId="14" borderId="1" xfId="0" applyFont="true" applyBorder="true" applyAlignment="true" applyProtection="false">
      <alignment horizontal="center" vertical="center" textRotation="0" wrapText="true" indent="0" shrinkToFit="false"/>
      <protection locked="true" hidden="false"/>
    </xf>
    <xf numFmtId="164" fontId="16" fillId="15" borderId="1" xfId="0" applyFont="true" applyBorder="true" applyAlignment="true" applyProtection="false">
      <alignment horizontal="center" vertical="center" textRotation="0" wrapText="true" indent="0" shrinkToFit="false"/>
      <protection locked="true" hidden="false"/>
    </xf>
    <xf numFmtId="164" fontId="16" fillId="14" borderId="1" xfId="0" applyFont="true" applyBorder="true" applyAlignment="true" applyProtection="false">
      <alignment horizontal="center" vertical="center" textRotation="0" wrapText="true" indent="0" shrinkToFit="false"/>
      <protection locked="true" hidden="false"/>
    </xf>
    <xf numFmtId="164" fontId="16" fillId="16" borderId="1" xfId="0" applyFont="true" applyBorder="true" applyAlignment="true" applyProtection="false">
      <alignment horizontal="center" vertical="center" textRotation="0" wrapText="true" indent="0" shrinkToFit="false"/>
      <protection locked="true" hidden="false"/>
    </xf>
    <xf numFmtId="173" fontId="12" fillId="0" borderId="1" xfId="0" applyFont="true" applyBorder="true" applyAlignment="true" applyProtection="false">
      <alignment horizontal="center" vertical="center" textRotation="0" wrapText="false" indent="0" shrinkToFit="false"/>
      <protection locked="true" hidden="false"/>
    </xf>
    <xf numFmtId="173" fontId="11" fillId="11" borderId="1" xfId="0" applyFont="true" applyBorder="true" applyAlignment="true" applyProtection="false">
      <alignment horizontal="center" vertical="center" textRotation="0" wrapText="false" indent="0" shrinkToFit="false"/>
      <protection locked="true" hidden="false"/>
    </xf>
    <xf numFmtId="164" fontId="20" fillId="14" borderId="1" xfId="0" applyFont="true" applyBorder="true" applyAlignment="true" applyProtection="false">
      <alignment horizontal="center" vertical="center" textRotation="0" wrapText="true" indent="0" shrinkToFit="false"/>
      <protection locked="true" hidden="false"/>
    </xf>
    <xf numFmtId="164" fontId="20" fillId="11"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left" vertical="center" textRotation="0" wrapText="true" indent="0" shrinkToFit="false"/>
      <protection locked="true" hidden="false"/>
    </xf>
    <xf numFmtId="171" fontId="12" fillId="0" borderId="1" xfId="0" applyFont="true" applyBorder="true" applyAlignment="true" applyProtection="false">
      <alignment horizontal="center" vertical="center" textRotation="0" wrapText="false" indent="0" shrinkToFit="false"/>
      <protection locked="true" hidden="false"/>
    </xf>
    <xf numFmtId="174" fontId="12"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22" fillId="5" borderId="1" xfId="0" applyFont="true" applyBorder="true" applyAlignment="true" applyProtection="false">
      <alignment horizontal="center" vertical="center" textRotation="0" wrapText="true" indent="0" shrinkToFit="false"/>
      <protection locked="true" hidden="false"/>
    </xf>
    <xf numFmtId="164" fontId="22" fillId="12" borderId="1" xfId="0" applyFont="true" applyBorder="true" applyAlignment="true" applyProtection="false">
      <alignment horizontal="center" vertical="center" textRotation="0" wrapText="true" indent="0" shrinkToFit="false"/>
      <protection locked="true" hidden="false"/>
    </xf>
    <xf numFmtId="164" fontId="22" fillId="7" borderId="1" xfId="0" applyFont="true" applyBorder="true" applyAlignment="true" applyProtection="false">
      <alignment horizontal="center" vertical="center" textRotation="0" wrapText="true" indent="0" shrinkToFit="false"/>
      <protection locked="true" hidden="false"/>
    </xf>
    <xf numFmtId="164" fontId="22" fillId="8" borderId="1" xfId="0" applyFont="true" applyBorder="true" applyAlignment="true" applyProtection="false">
      <alignment horizontal="center" vertical="center" textRotation="0" wrapText="true" indent="0" shrinkToFit="false"/>
      <protection locked="true" hidden="false"/>
    </xf>
    <xf numFmtId="164" fontId="22" fillId="9" borderId="1" xfId="0" applyFont="true" applyBorder="true" applyAlignment="true" applyProtection="false">
      <alignment horizontal="center" vertical="center" textRotation="0" wrapText="true" indent="0" shrinkToFit="false"/>
      <protection locked="true" hidden="false"/>
    </xf>
    <xf numFmtId="164" fontId="22" fillId="6" borderId="1" xfId="0" applyFont="true" applyBorder="true" applyAlignment="true" applyProtection="false">
      <alignment horizontal="center" vertical="center" textRotation="0" wrapText="true" indent="0" shrinkToFit="false"/>
      <protection locked="true" hidden="false"/>
    </xf>
    <xf numFmtId="164" fontId="22" fillId="13" borderId="1" xfId="0" applyFont="true" applyBorder="true" applyAlignment="true" applyProtection="false">
      <alignment horizontal="center" vertical="center" textRotation="0" wrapText="true" indent="0" shrinkToFit="false"/>
      <protection locked="true" hidden="false"/>
    </xf>
    <xf numFmtId="164" fontId="22" fillId="10" borderId="1" xfId="0" applyFont="true" applyBorder="true" applyAlignment="true" applyProtection="false">
      <alignment horizontal="center" vertical="center" textRotation="0" wrapText="true" indent="0" shrinkToFit="false"/>
      <protection locked="true" hidden="false"/>
    </xf>
    <xf numFmtId="175" fontId="12" fillId="0" borderId="1" xfId="0" applyFont="true" applyBorder="true" applyAlignment="true" applyProtection="false">
      <alignment horizontal="center" vertical="center" textRotation="0" wrapText="false" indent="0" shrinkToFit="false"/>
      <protection locked="true" hidden="false"/>
    </xf>
    <xf numFmtId="176" fontId="12" fillId="0" borderId="1" xfId="0" applyFont="true" applyBorder="true" applyAlignment="true" applyProtection="false">
      <alignment horizontal="center" vertical="center" textRotation="0" wrapText="false" indent="0" shrinkToFit="false"/>
      <protection locked="true" hidden="false"/>
    </xf>
    <xf numFmtId="177" fontId="12" fillId="0" borderId="1" xfId="0" applyFont="true" applyBorder="true" applyAlignment="true" applyProtection="false">
      <alignment horizontal="center" vertical="center" textRotation="0" wrapText="false" indent="0" shrinkToFit="false"/>
      <protection locked="true" hidden="false"/>
    </xf>
    <xf numFmtId="176" fontId="11" fillId="11" borderId="1" xfId="0" applyFont="true" applyBorder="true" applyAlignment="true" applyProtection="false">
      <alignment horizontal="center" vertical="center" textRotation="0" wrapText="false" indent="0" shrinkToFit="false"/>
      <protection locked="true" hidden="false"/>
    </xf>
    <xf numFmtId="177" fontId="11" fillId="11" borderId="1"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7" fillId="10" borderId="1" xfId="0" applyFont="true" applyBorder="true" applyAlignment="true" applyProtection="false">
      <alignment horizontal="center" vertical="center" textRotation="0" wrapText="true" indent="0" shrinkToFit="false"/>
      <protection locked="true" hidden="false"/>
    </xf>
    <xf numFmtId="164" fontId="11" fillId="11" borderId="1" xfId="0" applyFont="true" applyBorder="true" applyAlignment="true" applyProtection="false">
      <alignment horizontal="left" vertical="center" textRotation="0" wrapText="false" indent="0" shrinkToFit="false"/>
      <protection locked="true" hidden="false"/>
    </xf>
    <xf numFmtId="164" fontId="11" fillId="11" borderId="1" xfId="0" applyFont="true" applyBorder="true" applyAlignment="true" applyProtection="false">
      <alignment horizontal="left" vertical="center" textRotation="0" wrapText="true" indent="0" shrinkToFit="false"/>
      <protection locked="true" hidden="false"/>
    </xf>
    <xf numFmtId="164" fontId="10" fillId="11" borderId="1" xfId="0" applyFont="true" applyBorder="true" applyAlignment="true" applyProtection="false">
      <alignment horizontal="left" vertical="center" textRotation="0" wrapText="true" indent="0" shrinkToFit="false"/>
      <protection locked="true" hidden="false"/>
    </xf>
    <xf numFmtId="164" fontId="13" fillId="0" borderId="0" xfId="0" applyFont="true" applyBorder="true" applyAlignment="true" applyProtection="false">
      <alignment horizontal="left" vertical="center" textRotation="0" wrapText="false" indent="0" shrinkToFit="false"/>
      <protection locked="true" hidden="false"/>
    </xf>
    <xf numFmtId="164" fontId="16" fillId="17" borderId="1" xfId="0" applyFont="true" applyBorder="true" applyAlignment="true" applyProtection="false">
      <alignment horizontal="center" vertical="center" textRotation="0" wrapText="true" indent="0" shrinkToFit="false"/>
      <protection locked="true" hidden="false"/>
    </xf>
    <xf numFmtId="175" fontId="11" fillId="11" borderId="1" xfId="0" applyFont="true" applyBorder="true" applyAlignment="true" applyProtection="false">
      <alignment horizontal="center" vertical="center" textRotation="0" wrapText="false" indent="0" shrinkToFit="false"/>
      <protection locked="true" hidden="false"/>
    </xf>
    <xf numFmtId="178" fontId="12" fillId="0" borderId="1" xfId="0" applyFont="true" applyBorder="true" applyAlignment="true" applyProtection="false">
      <alignment horizontal="center" vertical="center" textRotation="0" wrapText="false" indent="0" shrinkToFit="false"/>
      <protection locked="true" hidden="false"/>
    </xf>
    <xf numFmtId="178" fontId="11" fillId="11" borderId="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left" vertical="center" textRotation="0" wrapText="false" indent="0" shrinkToFit="false"/>
      <protection locked="true" hidden="false"/>
    </xf>
    <xf numFmtId="164" fontId="10" fillId="14" borderId="1" xfId="0" applyFont="true" applyBorder="true" applyAlignment="true" applyProtection="false">
      <alignment horizontal="left" vertical="center" textRotation="0" wrapText="false" indent="0" shrinkToFit="false"/>
      <protection locked="true" hidden="false"/>
    </xf>
    <xf numFmtId="169" fontId="12" fillId="14" borderId="1" xfId="0" applyFont="true" applyBorder="true" applyAlignment="true" applyProtection="false">
      <alignment horizontal="center" vertical="center" textRotation="0" wrapText="false" indent="0" shrinkToFit="false"/>
      <protection locked="true" hidden="false"/>
    </xf>
    <xf numFmtId="179" fontId="12" fillId="0" borderId="1" xfId="0" applyFont="true" applyBorder="true" applyAlignment="true" applyProtection="false">
      <alignment horizontal="center" vertical="center" textRotation="0" wrapText="false" indent="0" shrinkToFit="false"/>
      <protection locked="true" hidden="false"/>
    </xf>
    <xf numFmtId="179" fontId="12" fillId="4"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name val="Meiryo UI"/>
        <charset val="1"/>
        <family val="0"/>
        <b val="1"/>
        <color rgb="FF9C0006"/>
        <sz val="9"/>
      </font>
      <fill>
        <patternFill>
          <bgColor rgb="FFFFC7CE"/>
        </patternFill>
      </fill>
    </dxf>
    <dxf>
      <fill>
        <patternFill>
          <bgColor rgb="FFFFEB9C"/>
        </patternFill>
      </fill>
    </dxf>
    <dxf>
      <fill>
        <patternFill>
          <bgColor rgb="FFE2EFDA"/>
        </patternFill>
      </fill>
    </dxf>
    <dxf>
      <fill>
        <patternFill>
          <bgColor rgb="FFFFC7CE"/>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FF548235"/>
      <rgbColor rgb="FF800080"/>
      <rgbColor rgb="FF008080"/>
      <rgbColor rgb="FFBFBFBF"/>
      <rgbColor rgb="FF7B7B7B"/>
      <rgbColor rgb="FF9999FF"/>
      <rgbColor rgb="FF7030A0"/>
      <rgbColor rgb="FFF2F2F2"/>
      <rgbColor rgb="FFCCFFFF"/>
      <rgbColor rgb="FF660066"/>
      <rgbColor rgb="FFFF8080"/>
      <rgbColor rgb="FF1F6FB5"/>
      <rgbColor rgb="FFCCCCFF"/>
      <rgbColor rgb="FF000080"/>
      <rgbColor rgb="FFFF00FF"/>
      <rgbColor rgb="FFFFFF00"/>
      <rgbColor rgb="FF00FFFF"/>
      <rgbColor rgb="FF800080"/>
      <rgbColor rgb="FF800000"/>
      <rgbColor rgb="FF008080"/>
      <rgbColor rgb="FF0000FF"/>
      <rgbColor rgb="FF00CCFF"/>
      <rgbColor rgb="FFCCFFFF"/>
      <rgbColor rgb="FFE2EFDA"/>
      <rgbColor rgb="FFFFEB9C"/>
      <rgbColor rgb="FF99CCFF"/>
      <rgbColor rgb="FFFF99CC"/>
      <rgbColor rgb="FFCC99FF"/>
      <rgbColor rgb="FFFFC7CE"/>
      <rgbColor rgb="FF3366FF"/>
      <rgbColor rgb="FF33CCCC"/>
      <rgbColor rgb="FF99CC00"/>
      <rgbColor rgb="FFFFCC00"/>
      <rgbColor rgb="FFBF8F00"/>
      <rgbColor rgb="FFC55A11"/>
      <rgbColor rgb="FF555555"/>
      <rgbColor rgb="FFA6A6A6"/>
      <rgbColor rgb="FF1F3864"/>
      <rgbColor rgb="FF339966"/>
      <rgbColor rgb="FF003300"/>
      <rgbColor rgb="FF375623"/>
      <rgbColor rgb="FF7B3F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Meiryo U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118"/>
  </cols>
  <sheetData>
    <row r="1" customFormat="false" ht="18.5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15" hidden="false" customHeight="false" outlineLevel="0" collapsed="false">
      <c r="A5" s="4" t="s">
        <v>3</v>
      </c>
    </row>
    <row r="6" customFormat="false" ht="13.4" hidden="false" customHeight="false" outlineLevel="0" collapsed="false">
      <c r="A6" s="5" t="s">
        <v>4</v>
      </c>
      <c r="B6" s="6" t="s">
        <v>5</v>
      </c>
    </row>
    <row r="7" customFormat="false" ht="15" hidden="false" customHeight="false" outlineLevel="0" collapsed="false">
      <c r="A7" s="5" t="s">
        <v>6</v>
      </c>
      <c r="B7" s="7" t="s">
        <v>7</v>
      </c>
    </row>
    <row r="8" customFormat="false" ht="15" hidden="false" customHeight="false" outlineLevel="0" collapsed="false">
      <c r="A8" s="5" t="s">
        <v>8</v>
      </c>
      <c r="B8" s="6" t="s">
        <v>9</v>
      </c>
    </row>
    <row r="9" customFormat="false" ht="13.4" hidden="false" customHeight="false" outlineLevel="0" collapsed="false">
      <c r="A9" s="8" t="s">
        <v>10</v>
      </c>
      <c r="B9" s="7" t="s">
        <v>11</v>
      </c>
    </row>
    <row r="10" customFormat="false" ht="15" hidden="false" customHeight="false" outlineLevel="0" collapsed="false">
      <c r="A10" s="5" t="s">
        <v>12</v>
      </c>
      <c r="B10" s="7" t="s">
        <v>13</v>
      </c>
    </row>
    <row r="11" customFormat="false" ht="13.4" hidden="false" customHeight="false" outlineLevel="0" collapsed="false">
      <c r="A11" s="5" t="s">
        <v>14</v>
      </c>
      <c r="B11" s="6" t="s">
        <v>15</v>
      </c>
    </row>
    <row r="12" customFormat="false" ht="15" hidden="false" customHeight="false" outlineLevel="0" collapsed="false">
      <c r="A12" s="5" t="s">
        <v>16</v>
      </c>
      <c r="B12" s="7" t="s">
        <v>17</v>
      </c>
    </row>
    <row r="13" customFormat="false" ht="13.4" hidden="false" customHeight="false" outlineLevel="0" collapsed="false">
      <c r="A13" s="5" t="s">
        <v>18</v>
      </c>
      <c r="B13" s="7" t="s">
        <v>19</v>
      </c>
    </row>
    <row r="14" customFormat="false" ht="15" hidden="false" customHeight="false" outlineLevel="0" collapsed="false">
      <c r="A14" s="5" t="s">
        <v>20</v>
      </c>
      <c r="B14" s="7" t="s">
        <v>21</v>
      </c>
    </row>
    <row r="15" customFormat="false" ht="15" hidden="false" customHeight="false" outlineLevel="0" collapsed="false">
      <c r="A15" s="5" t="s">
        <v>22</v>
      </c>
      <c r="B15" s="6" t="s">
        <v>23</v>
      </c>
    </row>
    <row r="16" customFormat="false" ht="15" hidden="false" customHeight="false" outlineLevel="0" collapsed="false">
      <c r="A16" s="5" t="s">
        <v>24</v>
      </c>
      <c r="B16" s="6" t="s">
        <v>25</v>
      </c>
    </row>
    <row r="17" customFormat="false" ht="15" hidden="false" customHeight="false" outlineLevel="0" collapsed="false">
      <c r="A17" s="5" t="s">
        <v>26</v>
      </c>
      <c r="B17" s="6" t="s">
        <v>27</v>
      </c>
    </row>
    <row r="18" customFormat="false" ht="15" hidden="false" customHeight="false" outlineLevel="0" collapsed="false">
      <c r="A18" s="5" t="s">
        <v>28</v>
      </c>
      <c r="B18" s="7" t="s">
        <v>29</v>
      </c>
    </row>
    <row r="19" customFormat="false" ht="15" hidden="false" customHeight="false" outlineLevel="0" collapsed="false">
      <c r="A19" s="5" t="s">
        <v>30</v>
      </c>
      <c r="B19" s="6" t="s">
        <v>31</v>
      </c>
    </row>
    <row r="20" customFormat="false" ht="15" hidden="false" customHeight="false" outlineLevel="0" collapsed="false">
      <c r="A20" s="5" t="s">
        <v>32</v>
      </c>
      <c r="B20" s="7" t="s">
        <v>33</v>
      </c>
    </row>
    <row r="21" customFormat="false" ht="15" hidden="false" customHeight="false" outlineLevel="0" collapsed="false">
      <c r="A21" s="5" t="s">
        <v>34</v>
      </c>
      <c r="B21" s="7" t="s">
        <v>35</v>
      </c>
    </row>
    <row r="22" customFormat="false" ht="15" hidden="false" customHeight="false" outlineLevel="0" collapsed="false">
      <c r="A22" s="5" t="s">
        <v>36</v>
      </c>
      <c r="B22" s="7" t="s">
        <v>37</v>
      </c>
    </row>
    <row r="23" customFormat="false" ht="15" hidden="false" customHeight="false" outlineLevel="0" collapsed="false">
      <c r="A23" s="5" t="s">
        <v>38</v>
      </c>
      <c r="B23" s="7" t="s">
        <v>39</v>
      </c>
    </row>
    <row r="24" customFormat="false" ht="15" hidden="false" customHeight="false" outlineLevel="0" collapsed="false">
      <c r="A24" s="5" t="s">
        <v>40</v>
      </c>
      <c r="B24" s="7" t="s">
        <v>41</v>
      </c>
    </row>
    <row r="25" customFormat="false" ht="13.4" hidden="false" customHeight="false" outlineLevel="0" collapsed="false">
      <c r="A25" s="5" t="s">
        <v>42</v>
      </c>
      <c r="B25" s="7" t="s">
        <v>43</v>
      </c>
    </row>
    <row r="26" customFormat="false" ht="13.4" hidden="false" customHeight="false" outlineLevel="0" collapsed="false">
      <c r="A26" s="5" t="s">
        <v>44</v>
      </c>
      <c r="B26" s="7" t="s">
        <v>45</v>
      </c>
    </row>
    <row r="27" customFormat="false" ht="13.4" hidden="false" customHeight="false" outlineLevel="0" collapsed="false">
      <c r="A27" s="5" t="s">
        <v>46</v>
      </c>
      <c r="B27" s="7" t="s">
        <v>47</v>
      </c>
    </row>
    <row r="28" customFormat="false" ht="15" hidden="false" customHeight="false" outlineLevel="0" collapsed="false">
      <c r="A28" s="5" t="s">
        <v>48</v>
      </c>
      <c r="B28" s="7" t="s">
        <v>49</v>
      </c>
    </row>
    <row r="29" customFormat="false" ht="15" hidden="false" customHeight="false" outlineLevel="0" collapsed="false">
      <c r="A29" s="5" t="s">
        <v>50</v>
      </c>
      <c r="B29" s="6" t="s">
        <v>51</v>
      </c>
    </row>
    <row r="31" customFormat="false" ht="15" hidden="false" customHeight="false" outlineLevel="0" collapsed="false">
      <c r="A31" s="4" t="s">
        <v>52</v>
      </c>
    </row>
    <row r="32" customFormat="false" ht="15" hidden="false" customHeight="false" outlineLevel="0" collapsed="false">
      <c r="A32" s="5" t="s">
        <v>53</v>
      </c>
      <c r="B32" s="6" t="s">
        <v>54</v>
      </c>
    </row>
    <row r="33" customFormat="false" ht="15" hidden="false" customHeight="false" outlineLevel="0" collapsed="false">
      <c r="A33" s="5" t="s">
        <v>55</v>
      </c>
      <c r="B33" s="6" t="s">
        <v>56</v>
      </c>
    </row>
    <row r="34" customFormat="false" ht="15" hidden="false" customHeight="false" outlineLevel="0" collapsed="false">
      <c r="A34" s="5" t="s">
        <v>57</v>
      </c>
      <c r="B34" s="6" t="s">
        <v>58</v>
      </c>
    </row>
    <row r="35" customFormat="false" ht="15" hidden="false" customHeight="false" outlineLevel="0" collapsed="false">
      <c r="A35" s="5" t="s">
        <v>59</v>
      </c>
      <c r="B35" s="6" t="s">
        <v>60</v>
      </c>
    </row>
    <row r="36" customFormat="false" ht="15" hidden="false" customHeight="false" outlineLevel="0" collapsed="false">
      <c r="A36" s="5" t="s">
        <v>61</v>
      </c>
      <c r="B36" s="6" t="s">
        <v>62</v>
      </c>
    </row>
    <row r="37" customFormat="false" ht="15" hidden="false" customHeight="false" outlineLevel="0" collapsed="false">
      <c r="A37" s="5" t="s">
        <v>63</v>
      </c>
      <c r="B37" s="7" t="s">
        <v>64</v>
      </c>
    </row>
    <row r="38" customFormat="false" ht="15" hidden="false" customHeight="false" outlineLevel="0" collapsed="false">
      <c r="A38" s="5" t="s">
        <v>65</v>
      </c>
      <c r="B38" s="7" t="s">
        <v>66</v>
      </c>
    </row>
    <row r="39" customFormat="false" ht="15" hidden="false" customHeight="false" outlineLevel="0" collapsed="false">
      <c r="A39" s="9"/>
      <c r="B39" s="6" t="s">
        <v>67</v>
      </c>
    </row>
    <row r="40" customFormat="false" ht="15" hidden="false" customHeight="false" outlineLevel="0" collapsed="false">
      <c r="A40" s="9"/>
      <c r="B40" s="7" t="s">
        <v>68</v>
      </c>
    </row>
    <row r="41" customFormat="false" ht="15" hidden="false" customHeight="false" outlineLevel="0" collapsed="false">
      <c r="A41" s="5" t="s">
        <v>69</v>
      </c>
      <c r="B41" s="7" t="s">
        <v>70</v>
      </c>
    </row>
    <row r="42" customFormat="false" ht="15" hidden="false" customHeight="false" outlineLevel="0" collapsed="false">
      <c r="A42" s="5" t="s">
        <v>71</v>
      </c>
      <c r="B42" s="7" t="s">
        <v>72</v>
      </c>
    </row>
    <row r="43" customFormat="false" ht="15" hidden="false" customHeight="false" outlineLevel="0" collapsed="false">
      <c r="A43" s="5" t="s">
        <v>73</v>
      </c>
      <c r="B43" s="7" t="s">
        <v>74</v>
      </c>
    </row>
    <row r="44" customFormat="false" ht="15" hidden="false" customHeight="false" outlineLevel="0" collapsed="false">
      <c r="A44" s="9"/>
      <c r="B44" s="6" t="s">
        <v>75</v>
      </c>
    </row>
    <row r="46" customFormat="false" ht="15" hidden="false" customHeight="false" outlineLevel="0" collapsed="false">
      <c r="A46" s="4" t="s">
        <v>76</v>
      </c>
    </row>
    <row r="47" customFormat="false" ht="13.4" hidden="false" customHeight="false" outlineLevel="0" collapsed="false">
      <c r="A47" s="5" t="s">
        <v>77</v>
      </c>
      <c r="B47" s="7" t="s">
        <v>78</v>
      </c>
    </row>
    <row r="48" customFormat="false" ht="15" hidden="false" customHeight="false" outlineLevel="0" collapsed="false">
      <c r="A48" s="9"/>
      <c r="B48" s="7" t="s">
        <v>79</v>
      </c>
    </row>
    <row r="49" customFormat="false" ht="13.4" hidden="false" customHeight="false" outlineLevel="0" collapsed="false">
      <c r="A49" s="5" t="s">
        <v>80</v>
      </c>
      <c r="B49" s="7" t="s">
        <v>81</v>
      </c>
    </row>
    <row r="50" customFormat="false" ht="15" hidden="false" customHeight="false" outlineLevel="0" collapsed="false">
      <c r="A50" s="9"/>
      <c r="B50" s="7" t="s">
        <v>82</v>
      </c>
    </row>
    <row r="51" customFormat="false" ht="15" hidden="false" customHeight="false" outlineLevel="0" collapsed="false">
      <c r="A51" s="5" t="s">
        <v>83</v>
      </c>
      <c r="B51" s="7" t="s">
        <v>84</v>
      </c>
    </row>
    <row r="52" customFormat="false" ht="15" hidden="false" customHeight="false" outlineLevel="0" collapsed="false">
      <c r="A52" s="9"/>
      <c r="B52" s="7" t="s">
        <v>85</v>
      </c>
    </row>
    <row r="53" customFormat="false" ht="15" hidden="false" customHeight="false" outlineLevel="0" collapsed="false">
      <c r="A53" s="9"/>
      <c r="B53" s="6" t="s">
        <v>86</v>
      </c>
    </row>
    <row r="54" customFormat="false" ht="15" hidden="false" customHeight="false" outlineLevel="0" collapsed="false">
      <c r="A54" s="5" t="s">
        <v>87</v>
      </c>
      <c r="B54" s="7" t="s">
        <v>88</v>
      </c>
    </row>
    <row r="55" customFormat="false" ht="15" hidden="false" customHeight="false" outlineLevel="0" collapsed="false">
      <c r="A55" s="5" t="s">
        <v>89</v>
      </c>
      <c r="B55" s="7" t="s">
        <v>90</v>
      </c>
    </row>
    <row r="56" customFormat="false" ht="15" hidden="false" customHeight="false" outlineLevel="0" collapsed="false">
      <c r="A56" s="9"/>
      <c r="B56" s="6" t="s">
        <v>91</v>
      </c>
    </row>
    <row r="57" customFormat="false" ht="15" hidden="false" customHeight="false" outlineLevel="0" collapsed="false">
      <c r="A57" s="5" t="s">
        <v>92</v>
      </c>
      <c r="B57" s="7" t="s">
        <v>93</v>
      </c>
    </row>
    <row r="58" customFormat="false" ht="15" hidden="false" customHeight="false" outlineLevel="0" collapsed="false">
      <c r="A58" s="9"/>
      <c r="B58" s="7" t="s">
        <v>94</v>
      </c>
    </row>
    <row r="60" customFormat="false" ht="15" hidden="false" customHeight="false" outlineLevel="0" collapsed="false">
      <c r="A60" s="4" t="s">
        <v>95</v>
      </c>
    </row>
    <row r="61" customFormat="false" ht="15" hidden="false" customHeight="false" outlineLevel="0" collapsed="false">
      <c r="A61" s="5" t="s">
        <v>96</v>
      </c>
      <c r="B61" s="7" t="s">
        <v>97</v>
      </c>
    </row>
    <row r="62" customFormat="false" ht="13.4" hidden="false" customHeight="false" outlineLevel="0" collapsed="false">
      <c r="A62" s="5" t="s">
        <v>98</v>
      </c>
      <c r="B62" s="6" t="s">
        <v>99</v>
      </c>
    </row>
    <row r="63" customFormat="false" ht="15" hidden="false" customHeight="false" outlineLevel="0" collapsed="false">
      <c r="A63" s="5" t="s">
        <v>100</v>
      </c>
      <c r="B63" s="7" t="s">
        <v>101</v>
      </c>
    </row>
    <row r="64" customFormat="false" ht="15" hidden="false" customHeight="false" outlineLevel="0" collapsed="false">
      <c r="A64" s="5" t="s">
        <v>102</v>
      </c>
      <c r="B64" s="7" t="s">
        <v>103</v>
      </c>
    </row>
    <row r="65" customFormat="false" ht="13.4" hidden="false" customHeight="false" outlineLevel="0" collapsed="false">
      <c r="A65" s="8" t="s">
        <v>104</v>
      </c>
      <c r="B65" s="7" t="s">
        <v>105</v>
      </c>
    </row>
    <row r="67" customFormat="false" ht="15" hidden="false" customHeight="false" outlineLevel="0" collapsed="false">
      <c r="A67" s="4" t="s">
        <v>106</v>
      </c>
    </row>
    <row r="68" customFormat="false" ht="15" hidden="false" customHeight="false" outlineLevel="0" collapsed="false">
      <c r="A68" s="5" t="s">
        <v>107</v>
      </c>
      <c r="B68" s="7" t="s">
        <v>108</v>
      </c>
    </row>
    <row r="69" customFormat="false" ht="13.4" hidden="false" customHeight="false" outlineLevel="0" collapsed="false">
      <c r="A69" s="8" t="s">
        <v>109</v>
      </c>
      <c r="B69" s="7" t="s">
        <v>110</v>
      </c>
    </row>
    <row r="70" customFormat="false" ht="13.4" hidden="false" customHeight="false" outlineLevel="0" collapsed="false">
      <c r="A70" s="8" t="s">
        <v>111</v>
      </c>
      <c r="B70" s="6" t="s">
        <v>112</v>
      </c>
    </row>
    <row r="71" customFormat="false" ht="15" hidden="false" customHeight="false" outlineLevel="0" collapsed="false">
      <c r="A71" s="5" t="s">
        <v>113</v>
      </c>
      <c r="B71" s="7" t="s">
        <v>114</v>
      </c>
    </row>
    <row r="72" customFormat="false" ht="15" hidden="false" customHeight="false" outlineLevel="0" collapsed="false">
      <c r="A72" s="5" t="s">
        <v>115</v>
      </c>
      <c r="B72" s="7" t="s">
        <v>116</v>
      </c>
    </row>
    <row r="74" customFormat="false" ht="15" hidden="false" customHeight="false" outlineLevel="0" collapsed="false">
      <c r="A74" s="4" t="s">
        <v>117</v>
      </c>
    </row>
    <row r="75" customFormat="false" ht="15" hidden="false" customHeight="false" outlineLevel="0" collapsed="false">
      <c r="A75" s="5" t="s">
        <v>118</v>
      </c>
      <c r="B75" s="7" t="s">
        <v>119</v>
      </c>
    </row>
    <row r="76" customFormat="false" ht="15" hidden="false" customHeight="false" outlineLevel="0" collapsed="false">
      <c r="A76" s="9"/>
      <c r="B76" s="7" t="s">
        <v>120</v>
      </c>
    </row>
    <row r="77" customFormat="false" ht="13.4" hidden="false" customHeight="false" outlineLevel="0" collapsed="false">
      <c r="A77" s="5" t="s">
        <v>121</v>
      </c>
      <c r="B77" s="7" t="s">
        <v>122</v>
      </c>
    </row>
    <row r="78" customFormat="false" ht="13.4" hidden="false" customHeight="false" outlineLevel="0" collapsed="false">
      <c r="A78" s="8" t="s">
        <v>123</v>
      </c>
      <c r="B78" s="7" t="s">
        <v>124</v>
      </c>
    </row>
    <row r="79" customFormat="false" ht="15" hidden="false" customHeight="false" outlineLevel="0" collapsed="false">
      <c r="A79" s="9"/>
      <c r="B79" s="6" t="s">
        <v>125</v>
      </c>
    </row>
    <row r="80" customFormat="false" ht="15" hidden="false" customHeight="false" outlineLevel="0" collapsed="false">
      <c r="A80" s="5" t="s">
        <v>126</v>
      </c>
      <c r="B80" s="7" t="s">
        <v>127</v>
      </c>
    </row>
    <row r="81" customFormat="false" ht="15" hidden="false" customHeight="false" outlineLevel="0" collapsed="false">
      <c r="A81" s="9"/>
      <c r="B81" s="7" t="s">
        <v>128</v>
      </c>
    </row>
    <row r="82" customFormat="false" ht="15" hidden="false" customHeight="false" outlineLevel="0" collapsed="false">
      <c r="A82" s="5" t="s">
        <v>129</v>
      </c>
      <c r="B82" s="7" t="s">
        <v>130</v>
      </c>
    </row>
    <row r="83" customFormat="false" ht="15" hidden="false" customHeight="false" outlineLevel="0" collapsed="false">
      <c r="A83" s="9"/>
      <c r="B83" s="7" t="s">
        <v>131</v>
      </c>
    </row>
    <row r="85" customFormat="false" ht="15" hidden="false" customHeight="false" outlineLevel="0" collapsed="false">
      <c r="A85" s="4" t="s">
        <v>132</v>
      </c>
    </row>
    <row r="86" customFormat="false" ht="15" hidden="false" customHeight="false" outlineLevel="0" collapsed="false">
      <c r="A86" s="5" t="s">
        <v>133</v>
      </c>
      <c r="B86" s="7" t="s">
        <v>134</v>
      </c>
    </row>
    <row r="87" customFormat="false" ht="15" hidden="false" customHeight="false" outlineLevel="0" collapsed="false">
      <c r="A87" s="5" t="s">
        <v>135</v>
      </c>
      <c r="B87" s="7" t="s">
        <v>136</v>
      </c>
    </row>
    <row r="88" customFormat="false" ht="15" hidden="false" customHeight="false" outlineLevel="0" collapsed="false">
      <c r="A88" s="5" t="s">
        <v>137</v>
      </c>
      <c r="B88" s="7" t="s">
        <v>138</v>
      </c>
    </row>
    <row r="89" customFormat="false" ht="15" hidden="false" customHeight="false" outlineLevel="0" collapsed="false">
      <c r="A89" s="5" t="s">
        <v>139</v>
      </c>
      <c r="B89" s="7" t="s">
        <v>140</v>
      </c>
    </row>
    <row r="90" customFormat="false" ht="15" hidden="false" customHeight="false" outlineLevel="0" collapsed="false">
      <c r="A90" s="5" t="s">
        <v>141</v>
      </c>
      <c r="B90" s="7" t="s">
        <v>142</v>
      </c>
    </row>
    <row r="91" customFormat="false" ht="15" hidden="false" customHeight="false" outlineLevel="0" collapsed="false">
      <c r="A91" s="5" t="s">
        <v>143</v>
      </c>
      <c r="B91" s="6" t="s">
        <v>144</v>
      </c>
    </row>
    <row r="92" customFormat="false" ht="15" hidden="false" customHeight="false" outlineLevel="0" collapsed="false">
      <c r="A92" s="5" t="s">
        <v>145</v>
      </c>
      <c r="B92" s="7" t="s">
        <v>146</v>
      </c>
    </row>
    <row r="93" customFormat="false" ht="15" hidden="false" customHeight="false" outlineLevel="0" collapsed="false">
      <c r="A93" s="5" t="s">
        <v>147</v>
      </c>
      <c r="B93" s="7" t="s">
        <v>148</v>
      </c>
    </row>
    <row r="94" customFormat="false" ht="13.4" hidden="false" customHeight="false" outlineLevel="0" collapsed="false">
      <c r="A94" s="5" t="s">
        <v>149</v>
      </c>
      <c r="B94" s="6" t="s">
        <v>150</v>
      </c>
    </row>
    <row r="95" customFormat="false" ht="15" hidden="false" customHeight="false" outlineLevel="0" collapsed="false">
      <c r="A95" s="5" t="s">
        <v>151</v>
      </c>
      <c r="B95" s="7" t="s">
        <v>152</v>
      </c>
    </row>
    <row r="96" customFormat="false" ht="15" hidden="false" customHeight="false" outlineLevel="0" collapsed="false">
      <c r="A96" s="5" t="s">
        <v>153</v>
      </c>
      <c r="B96" s="7" t="s">
        <v>154</v>
      </c>
    </row>
    <row r="97" customFormat="false" ht="15" hidden="false" customHeight="false" outlineLevel="0" collapsed="false">
      <c r="A97" s="5" t="s">
        <v>155</v>
      </c>
      <c r="B97" s="7" t="s">
        <v>156</v>
      </c>
    </row>
    <row r="98" customFormat="false" ht="15" hidden="false" customHeight="false" outlineLevel="0" collapsed="false">
      <c r="A98" s="5" t="s">
        <v>157</v>
      </c>
      <c r="B98" s="7" t="s">
        <v>158</v>
      </c>
    </row>
    <row r="100" customFormat="false" ht="15" hidden="false" customHeight="false" outlineLevel="0" collapsed="false">
      <c r="A100" s="4" t="s">
        <v>159</v>
      </c>
    </row>
    <row r="101" customFormat="false" ht="15" hidden="false" customHeight="false" outlineLevel="0" collapsed="false">
      <c r="A101" s="5" t="s">
        <v>160</v>
      </c>
      <c r="B101" s="7" t="s">
        <v>161</v>
      </c>
    </row>
    <row r="102" customFormat="false" ht="15" hidden="false" customHeight="false" outlineLevel="0" collapsed="false">
      <c r="A102" s="9"/>
      <c r="B102" s="7" t="s">
        <v>162</v>
      </c>
    </row>
    <row r="103" customFormat="false" ht="13.4" hidden="false" customHeight="false" outlineLevel="0" collapsed="false">
      <c r="A103" s="8" t="s">
        <v>163</v>
      </c>
      <c r="B103" s="7" t="s">
        <v>164</v>
      </c>
    </row>
    <row r="104" customFormat="false" ht="15" hidden="false" customHeight="false" outlineLevel="0" collapsed="false">
      <c r="A104" s="5" t="s">
        <v>165</v>
      </c>
      <c r="B104" s="7" t="s">
        <v>166</v>
      </c>
    </row>
    <row r="105" customFormat="false" ht="15" hidden="false" customHeight="false" outlineLevel="0" collapsed="false">
      <c r="A105" s="5" t="s">
        <v>167</v>
      </c>
      <c r="B105" s="7" t="s">
        <v>168</v>
      </c>
    </row>
    <row r="106" customFormat="false" ht="15" hidden="false" customHeight="false" outlineLevel="0" collapsed="false">
      <c r="A106" s="9"/>
      <c r="B106" s="7" t="s">
        <v>169</v>
      </c>
    </row>
    <row r="107" customFormat="false" ht="15" hidden="false" customHeight="false" outlineLevel="0" collapsed="false">
      <c r="A107" s="5" t="s">
        <v>170</v>
      </c>
      <c r="B107" s="7" t="s">
        <v>171</v>
      </c>
    </row>
    <row r="108" customFormat="false" ht="15" hidden="false" customHeight="false" outlineLevel="0" collapsed="false">
      <c r="A108" s="5" t="s">
        <v>172</v>
      </c>
      <c r="B108" s="7" t="s">
        <v>173</v>
      </c>
    </row>
    <row r="109" customFormat="false" ht="15" hidden="false" customHeight="false" outlineLevel="0" collapsed="false">
      <c r="A109" s="5" t="s">
        <v>174</v>
      </c>
      <c r="B109" s="7" t="s">
        <v>175</v>
      </c>
    </row>
    <row r="110" customFormat="false" ht="15" hidden="false" customHeight="false" outlineLevel="0" collapsed="false">
      <c r="A110" s="5" t="s">
        <v>176</v>
      </c>
      <c r="B110" s="7" t="s">
        <v>177</v>
      </c>
    </row>
    <row r="111" customFormat="false" ht="15" hidden="false" customHeight="false" outlineLevel="0" collapsed="false">
      <c r="A111" s="5" t="s">
        <v>178</v>
      </c>
      <c r="B111" s="7" t="s">
        <v>179</v>
      </c>
    </row>
    <row r="112" customFormat="false" ht="15" hidden="false" customHeight="false" outlineLevel="0" collapsed="false">
      <c r="A112" s="5" t="s">
        <v>180</v>
      </c>
      <c r="B112" s="7" t="s">
        <v>181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2"/>
    <col collapsed="false" customWidth="true" hidden="false" outlineLevel="0" max="2" min="2" style="0" width="18"/>
    <col collapsed="false" customWidth="true" hidden="false" outlineLevel="0" max="3" min="3" style="0" width="92"/>
    <col collapsed="false" customWidth="true" hidden="false" outlineLevel="0" max="6" min="4" style="0" width="18"/>
  </cols>
  <sheetData>
    <row r="1" customFormat="false" ht="18.55" hidden="false" customHeight="false" outlineLevel="0" collapsed="false">
      <c r="A1" s="1" t="s">
        <v>182</v>
      </c>
    </row>
    <row r="2" customFormat="false" ht="15" hidden="false" customHeight="false" outlineLevel="0" collapsed="false">
      <c r="A2" s="3" t="s">
        <v>183</v>
      </c>
    </row>
    <row r="4" customFormat="false" ht="15" hidden="false" customHeight="false" outlineLevel="0" collapsed="false">
      <c r="A4" s="4" t="s">
        <v>184</v>
      </c>
    </row>
    <row r="5" customFormat="false" ht="15" hidden="false" customHeight="false" outlineLevel="0" collapsed="false">
      <c r="A5" s="5" t="s">
        <v>185</v>
      </c>
      <c r="B5" s="10" t="n">
        <v>2</v>
      </c>
      <c r="C5" s="11" t="s">
        <v>186</v>
      </c>
    </row>
    <row r="6" customFormat="false" ht="15" hidden="false" customHeight="false" outlineLevel="0" collapsed="false">
      <c r="A6" s="5" t="s">
        <v>187</v>
      </c>
      <c r="B6" s="10" t="n">
        <v>1</v>
      </c>
      <c r="C6" s="11" t="s">
        <v>188</v>
      </c>
    </row>
    <row r="7" customFormat="false" ht="15" hidden="false" customHeight="false" outlineLevel="0" collapsed="false">
      <c r="A7" s="5" t="s">
        <v>189</v>
      </c>
      <c r="B7" s="10" t="n">
        <v>1</v>
      </c>
      <c r="C7" s="11" t="s">
        <v>190</v>
      </c>
    </row>
    <row r="8" customFormat="false" ht="15" hidden="false" customHeight="false" outlineLevel="0" collapsed="false">
      <c r="A8" s="5" t="s">
        <v>191</v>
      </c>
      <c r="B8" s="10" t="n">
        <v>0</v>
      </c>
      <c r="C8" s="12" t="s">
        <v>192</v>
      </c>
    </row>
    <row r="9" customFormat="false" ht="15" hidden="false" customHeight="false" outlineLevel="0" collapsed="false">
      <c r="A9" s="5" t="s">
        <v>193</v>
      </c>
      <c r="B9" s="13" t="n">
        <v>0.0482920309178245</v>
      </c>
      <c r="C9" s="12" t="s">
        <v>194</v>
      </c>
    </row>
    <row r="10" customFormat="false" ht="15" hidden="false" customHeight="false" outlineLevel="0" collapsed="false">
      <c r="A10" s="5" t="s">
        <v>195</v>
      </c>
      <c r="B10" s="14" t="n">
        <v>1.75192466689594</v>
      </c>
      <c r="C10" s="11" t="s">
        <v>196</v>
      </c>
    </row>
    <row r="11" customFormat="false" ht="15" hidden="false" customHeight="false" outlineLevel="0" collapsed="false">
      <c r="A11" s="4" t="s">
        <v>197</v>
      </c>
    </row>
    <row r="12" customFormat="false" ht="15" hidden="false" customHeight="false" outlineLevel="0" collapsed="false">
      <c r="A12" s="5" t="s">
        <v>198</v>
      </c>
      <c r="B12" s="15" t="n">
        <v>358193925</v>
      </c>
      <c r="C12" s="12" t="s">
        <v>199</v>
      </c>
    </row>
    <row r="13" customFormat="false" ht="15" hidden="false" customHeight="false" outlineLevel="0" collapsed="false">
      <c r="A13" s="5" t="s">
        <v>200</v>
      </c>
      <c r="B13" s="16" t="n">
        <v>383342</v>
      </c>
      <c r="C13" s="12" t="s">
        <v>201</v>
      </c>
    </row>
    <row r="14" customFormat="false" ht="15" hidden="false" customHeight="false" outlineLevel="0" collapsed="false">
      <c r="A14" s="5" t="s">
        <v>202</v>
      </c>
      <c r="B14" s="10" t="n">
        <v>1</v>
      </c>
      <c r="C14" s="11" t="s">
        <v>203</v>
      </c>
    </row>
    <row r="15" customFormat="false" ht="15" hidden="false" customHeight="false" outlineLevel="0" collapsed="false">
      <c r="A15" s="5" t="s">
        <v>204</v>
      </c>
      <c r="C15" s="17" t="s">
        <v>205</v>
      </c>
      <c r="D15" s="17" t="s">
        <v>206</v>
      </c>
      <c r="E15" s="17" t="s">
        <v>207</v>
      </c>
      <c r="F15" s="17" t="s">
        <v>208</v>
      </c>
    </row>
    <row r="16" customFormat="false" ht="15" hidden="false" customHeight="false" outlineLevel="0" collapsed="false">
      <c r="A16" s="18" t="s">
        <v>209</v>
      </c>
      <c r="B16" s="19" t="s">
        <v>210</v>
      </c>
      <c r="C16" s="20" t="n">
        <v>0.11</v>
      </c>
      <c r="D16" s="20" t="n">
        <v>0.1248</v>
      </c>
      <c r="E16" s="20" t="n">
        <v>0.0580303025717001</v>
      </c>
      <c r="F16" s="13" t="n">
        <v>0.11</v>
      </c>
    </row>
    <row r="17" customFormat="false" ht="15" hidden="false" customHeight="false" outlineLevel="0" collapsed="false">
      <c r="A17" s="18" t="s">
        <v>211</v>
      </c>
      <c r="B17" s="19" t="s">
        <v>212</v>
      </c>
      <c r="C17" s="20" t="n">
        <v>0.13</v>
      </c>
      <c r="D17" s="20" t="n">
        <v>0.156</v>
      </c>
      <c r="E17" s="20" t="n">
        <v>0.0725378782146252</v>
      </c>
      <c r="F17" s="13" t="n">
        <v>0.13</v>
      </c>
    </row>
    <row r="18" customFormat="false" ht="15" hidden="false" customHeight="false" outlineLevel="0" collapsed="false">
      <c r="A18" s="18" t="s">
        <v>213</v>
      </c>
      <c r="B18" s="19" t="s">
        <v>214</v>
      </c>
      <c r="C18" s="20" t="n">
        <v>0.12</v>
      </c>
      <c r="D18" s="20" t="n">
        <v>0.12</v>
      </c>
      <c r="E18" s="20" t="n">
        <v>0.055798367857404</v>
      </c>
      <c r="F18" s="13" t="n">
        <v>0.12</v>
      </c>
    </row>
    <row r="19" customFormat="false" ht="15" hidden="false" customHeight="false" outlineLevel="0" collapsed="false">
      <c r="A19" s="18" t="s">
        <v>215</v>
      </c>
      <c r="B19" s="19" t="s">
        <v>216</v>
      </c>
      <c r="C19" s="20" t="n">
        <v>0.09</v>
      </c>
      <c r="D19" s="20" t="n">
        <v>0.09</v>
      </c>
      <c r="E19" s="20" t="n">
        <v>0.041848775893053</v>
      </c>
      <c r="F19" s="13" t="n">
        <v>0.09</v>
      </c>
    </row>
    <row r="20" customFormat="false" ht="15" hidden="false" customHeight="false" outlineLevel="0" collapsed="false">
      <c r="A20" s="18" t="s">
        <v>217</v>
      </c>
      <c r="B20" s="19" t="s">
        <v>218</v>
      </c>
      <c r="C20" s="20" t="n">
        <v>0.5</v>
      </c>
      <c r="D20" s="20" t="n">
        <v>0.5</v>
      </c>
      <c r="E20" s="20" t="n">
        <v>0.5</v>
      </c>
      <c r="F20" s="13" t="n">
        <v>0.5</v>
      </c>
    </row>
    <row r="21" customFormat="false" ht="15" hidden="false" customHeight="false" outlineLevel="0" collapsed="false">
      <c r="A21" s="3" t="s">
        <v>219</v>
      </c>
    </row>
    <row r="23" customFormat="false" ht="15" hidden="false" customHeight="false" outlineLevel="0" collapsed="false">
      <c r="A23" s="5" t="s">
        <v>220</v>
      </c>
      <c r="B23" s="21" t="n">
        <f aca="false">INDEX(C16:F16,前提・入力!$B$14)</f>
        <v>0.11</v>
      </c>
      <c r="C23" s="12" t="s">
        <v>221</v>
      </c>
    </row>
    <row r="24" customFormat="false" ht="15" hidden="false" customHeight="false" outlineLevel="0" collapsed="false">
      <c r="A24" s="5" t="s">
        <v>222</v>
      </c>
      <c r="B24" s="21" t="n">
        <f aca="false">INDEX(C17:F17,前提・入力!$B$14)</f>
        <v>0.13</v>
      </c>
      <c r="C24" s="12" t="s">
        <v>223</v>
      </c>
    </row>
    <row r="25" customFormat="false" ht="15" hidden="false" customHeight="false" outlineLevel="0" collapsed="false">
      <c r="A25" s="5" t="s">
        <v>224</v>
      </c>
      <c r="B25" s="21" t="n">
        <f aca="false">INDEX(C18:F18,前提・入力!$B$14)</f>
        <v>0.12</v>
      </c>
      <c r="C25" s="12" t="s">
        <v>225</v>
      </c>
    </row>
    <row r="26" customFormat="false" ht="15" hidden="false" customHeight="false" outlineLevel="0" collapsed="false">
      <c r="A26" s="5" t="s">
        <v>226</v>
      </c>
      <c r="B26" s="21" t="n">
        <f aca="false">INDEX(C19:F19,前提・入力!$B$14)</f>
        <v>0.09</v>
      </c>
      <c r="C26" s="12" t="s">
        <v>221</v>
      </c>
    </row>
    <row r="27" customFormat="false" ht="15" hidden="false" customHeight="false" outlineLevel="0" collapsed="false">
      <c r="A27" s="5" t="s">
        <v>227</v>
      </c>
      <c r="B27" s="21" t="n">
        <f aca="false">INDEX(C20:F20,前提・入力!$B$14)</f>
        <v>0.5</v>
      </c>
      <c r="C27" s="12" t="s">
        <v>228</v>
      </c>
    </row>
    <row r="28" customFormat="false" ht="15" hidden="false" customHeight="false" outlineLevel="0" collapsed="false">
      <c r="A28" s="5" t="s">
        <v>229</v>
      </c>
      <c r="B28" s="20"/>
      <c r="C28" s="12" t="s">
        <v>230</v>
      </c>
    </row>
    <row r="29" customFormat="false" ht="15" hidden="false" customHeight="false" outlineLevel="0" collapsed="false">
      <c r="A29" s="4" t="s">
        <v>231</v>
      </c>
    </row>
    <row r="30" customFormat="false" ht="15" hidden="false" customHeight="false" outlineLevel="0" collapsed="false">
      <c r="A30" s="8" t="s">
        <v>232</v>
      </c>
      <c r="B30" s="13" t="n">
        <v>0.183650183986035</v>
      </c>
      <c r="C30" s="12" t="s">
        <v>233</v>
      </c>
    </row>
    <row r="31" customFormat="false" ht="15" hidden="false" customHeight="false" outlineLevel="0" collapsed="false">
      <c r="A31" s="8" t="s">
        <v>234</v>
      </c>
      <c r="B31" s="15" t="n">
        <v>764</v>
      </c>
      <c r="C31" s="12" t="s">
        <v>235</v>
      </c>
    </row>
    <row r="32" customFormat="false" ht="15" hidden="false" customHeight="false" outlineLevel="0" collapsed="false">
      <c r="A32" s="5" t="s">
        <v>236</v>
      </c>
      <c r="B32" s="13" t="n">
        <v>0.5</v>
      </c>
      <c r="C32" s="12"/>
    </row>
    <row r="33" customFormat="false" ht="15" hidden="false" customHeight="false" outlineLevel="0" collapsed="false">
      <c r="A33" s="5" t="s">
        <v>237</v>
      </c>
      <c r="B33" s="13" t="n">
        <v>0.5</v>
      </c>
      <c r="C33" s="12" t="s">
        <v>238</v>
      </c>
    </row>
    <row r="34" customFormat="false" ht="15" hidden="false" customHeight="false" outlineLevel="0" collapsed="false">
      <c r="A34" s="4" t="s">
        <v>239</v>
      </c>
    </row>
    <row r="35" customFormat="false" ht="15" hidden="false" customHeight="false" outlineLevel="0" collapsed="false">
      <c r="A35" s="5" t="s">
        <v>240</v>
      </c>
      <c r="B35" s="13" t="n">
        <v>0.1</v>
      </c>
      <c r="C35" s="12" t="s">
        <v>241</v>
      </c>
    </row>
    <row r="36" customFormat="false" ht="15" hidden="false" customHeight="false" outlineLevel="0" collapsed="false">
      <c r="A36" s="5" t="s">
        <v>242</v>
      </c>
      <c r="B36" s="22" t="n">
        <v>274688</v>
      </c>
      <c r="C36" s="12" t="s">
        <v>243</v>
      </c>
    </row>
    <row r="37" customFormat="false" ht="15" hidden="false" customHeight="false" outlineLevel="0" collapsed="false">
      <c r="A37" s="5" t="s">
        <v>244</v>
      </c>
      <c r="B37" s="13" t="n">
        <v>1</v>
      </c>
      <c r="C37" s="12" t="s">
        <v>245</v>
      </c>
    </row>
    <row r="38" customFormat="false" ht="15" hidden="false" customHeight="false" outlineLevel="0" collapsed="false">
      <c r="A38" s="5" t="s">
        <v>246</v>
      </c>
      <c r="B38" s="23" t="n">
        <v>14</v>
      </c>
      <c r="C38" s="12" t="s">
        <v>247</v>
      </c>
    </row>
    <row r="39" customFormat="false" ht="15" hidden="false" customHeight="false" outlineLevel="0" collapsed="false">
      <c r="A39" s="5" t="s">
        <v>248</v>
      </c>
      <c r="B39" s="24" t="n">
        <v>46233</v>
      </c>
      <c r="C39" s="12" t="s">
        <v>249</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W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5"/>
    <col collapsed="false" customWidth="true" hidden="false" outlineLevel="0" max="3" min="3" style="0" width="44"/>
    <col collapsed="false" customWidth="true" hidden="false" outlineLevel="0" max="4" min="4" style="0" width="9"/>
    <col collapsed="false" customWidth="true" hidden="false" outlineLevel="0" max="5" min="5" style="0" width="10"/>
    <col collapsed="false" customWidth="true" hidden="false" outlineLevel="0" max="6" min="6" style="0" width="9"/>
    <col collapsed="false" customWidth="true" hidden="false" outlineLevel="0" max="7" min="7" style="0" width="10"/>
    <col collapsed="false" customWidth="true" hidden="false" outlineLevel="0" max="9" min="8" style="0" width="9"/>
    <col collapsed="false" customWidth="true" hidden="false" outlineLevel="0" max="10" min="10" style="0" width="10"/>
    <col collapsed="false" customWidth="true" hidden="false" outlineLevel="0" max="12" min="11" style="0" width="9"/>
    <col collapsed="false" customWidth="true" hidden="false" outlineLevel="0" max="13" min="13" style="0" width="10"/>
    <col collapsed="false" customWidth="true" hidden="false" outlineLevel="0" max="15" min="14" style="0" width="9"/>
    <col collapsed="false" customWidth="true" hidden="false" outlineLevel="0" max="16" min="16" style="0" width="12"/>
    <col collapsed="false" customWidth="true" hidden="false" outlineLevel="0" max="17" min="17" style="0" width="13"/>
    <col collapsed="false" customWidth="true" hidden="false" outlineLevel="0" max="18" min="18" style="0" width="10"/>
    <col collapsed="false" customWidth="true" hidden="false" outlineLevel="0" max="19" min="19" style="0" width="12"/>
    <col collapsed="false" customWidth="true" hidden="false" outlineLevel="0" max="20" min="20" style="0" width="9"/>
    <col collapsed="false" customWidth="true" hidden="false" outlineLevel="0" max="22" min="21" style="0" width="10"/>
    <col collapsed="false" customWidth="true" hidden="false" outlineLevel="0" max="23" min="23" style="0" width="13"/>
  </cols>
  <sheetData>
    <row r="1" customFormat="false" ht="20.1" hidden="false" customHeight="false" outlineLevel="0" collapsed="false">
      <c r="A1" s="1" t="s">
        <v>250</v>
      </c>
    </row>
    <row r="2" customFormat="false" ht="15" hidden="false" customHeight="false" outlineLevel="0" collapsed="false">
      <c r="A2" s="3" t="s">
        <v>251</v>
      </c>
    </row>
    <row r="3" customFormat="false" ht="15" hidden="false" customHeight="false" outlineLevel="0" collapsed="false">
      <c r="A3" s="3" t="s">
        <v>252</v>
      </c>
    </row>
    <row r="6" customFormat="false" ht="45.75" hidden="false" customHeight="true" outlineLevel="0" collapsed="false">
      <c r="A6" s="25" t="s">
        <v>253</v>
      </c>
      <c r="B6" s="25" t="s">
        <v>254</v>
      </c>
      <c r="C6" s="26" t="s">
        <v>255</v>
      </c>
      <c r="D6" s="26" t="s">
        <v>256</v>
      </c>
      <c r="E6" s="27" t="s">
        <v>257</v>
      </c>
      <c r="F6" s="28" t="s">
        <v>258</v>
      </c>
      <c r="G6" s="28" t="s">
        <v>259</v>
      </c>
      <c r="H6" s="28" t="s">
        <v>260</v>
      </c>
      <c r="I6" s="29" t="s">
        <v>261</v>
      </c>
      <c r="J6" s="29" t="s">
        <v>262</v>
      </c>
      <c r="K6" s="29" t="s">
        <v>263</v>
      </c>
      <c r="L6" s="30" t="s">
        <v>264</v>
      </c>
      <c r="M6" s="30" t="s">
        <v>265</v>
      </c>
      <c r="N6" s="30" t="s">
        <v>266</v>
      </c>
      <c r="O6" s="17" t="s">
        <v>267</v>
      </c>
      <c r="P6" s="31" t="s">
        <v>268</v>
      </c>
      <c r="Q6" s="31" t="s">
        <v>269</v>
      </c>
      <c r="R6" s="31" t="s">
        <v>270</v>
      </c>
      <c r="S6" s="31" t="s">
        <v>271</v>
      </c>
      <c r="T6" s="31" t="s">
        <v>272</v>
      </c>
      <c r="U6" s="31" t="s">
        <v>273</v>
      </c>
      <c r="V6" s="31" t="s">
        <v>274</v>
      </c>
      <c r="W6" s="31" t="s">
        <v>275</v>
      </c>
    </row>
    <row r="7" customFormat="false" ht="15" hidden="false" customHeight="false" outlineLevel="0" collapsed="false">
      <c r="A7" s="32" t="n">
        <v>1</v>
      </c>
      <c r="B7" s="32" t="s">
        <v>276</v>
      </c>
      <c r="C7" s="33" t="s">
        <v>277</v>
      </c>
      <c r="D7" s="34" t="n">
        <v>500</v>
      </c>
      <c r="E7" s="35" t="n">
        <v>261</v>
      </c>
      <c r="F7" s="35" t="n">
        <v>790</v>
      </c>
      <c r="G7" s="35" t="n">
        <v>1316</v>
      </c>
      <c r="H7" s="36" t="n">
        <f aca="false">IF(F7=0,"",G7*(1+前提・入力!$B$9)/F7)</f>
        <v>1.74626875023779</v>
      </c>
      <c r="I7" s="35" t="n">
        <v>559</v>
      </c>
      <c r="J7" s="35" t="n">
        <v>987</v>
      </c>
      <c r="K7" s="36" t="n">
        <f aca="false">IF(I7=0,"",J7/I7)</f>
        <v>1.76565295169946</v>
      </c>
      <c r="L7" s="35" t="n">
        <v>1277</v>
      </c>
      <c r="M7" s="35" t="n">
        <v>2325</v>
      </c>
      <c r="N7" s="36" t="n">
        <f aca="false">IF(L7=0,"",M7/L7)</f>
        <v>1.82067345340642</v>
      </c>
      <c r="O7" s="36" t="n">
        <f aca="false">IFERROR((IF(N7="",0,N7*前提・入力!$B$5)+IF(K7="",0,K7*前提・入力!$B$6)+IF(H7="",0,H7*前提・入力!$B$7))/(IF(N7="",0,前提・入力!$B$5)+IF(K7="",0,前提・入力!$B$6)+IF(H7="",0,前提・入力!$B$7)),前提・入力!$B$10)</f>
        <v>1.78831715218752</v>
      </c>
      <c r="P7" s="35" t="n">
        <f aca="false">ROUND(E7*O7,0)</f>
        <v>467</v>
      </c>
      <c r="Q7" s="34" t="n">
        <f aca="false">P7*D7</f>
        <v>233500</v>
      </c>
      <c r="R7" s="37" t="n">
        <f aca="false">IFERROR(P7/P$49,0)</f>
        <v>0.0534324942791762</v>
      </c>
      <c r="S7" s="35" t="n">
        <v>1000</v>
      </c>
      <c r="T7" s="37" t="n">
        <f aca="false">IFERROR(P7/S7,0)</f>
        <v>0.467</v>
      </c>
      <c r="U7" s="35" t="n">
        <f aca="false">MAX(0,S7-P7)</f>
        <v>533</v>
      </c>
      <c r="V7" s="38" t="n">
        <f aca="false">P7-S7</f>
        <v>-533</v>
      </c>
      <c r="W7" s="39" t="str">
        <f aca="false">IF(V7&gt;0,"会期中に在庫切れ",IF(T7&gt;=0.9,"要注意(90%超)",IF(T7&gt;=0.5,"適正","在庫余剰")))</f>
        <v>在庫余剰</v>
      </c>
    </row>
    <row r="8" customFormat="false" ht="15" hidden="false" customHeight="false" outlineLevel="0" collapsed="false">
      <c r="A8" s="32" t="n">
        <v>2</v>
      </c>
      <c r="B8" s="32" t="s">
        <v>278</v>
      </c>
      <c r="C8" s="33" t="s">
        <v>279</v>
      </c>
      <c r="D8" s="34" t="n">
        <v>600</v>
      </c>
      <c r="E8" s="35" t="n">
        <v>283</v>
      </c>
      <c r="F8" s="35" t="n">
        <v>812</v>
      </c>
      <c r="G8" s="35" t="n">
        <v>1466</v>
      </c>
      <c r="H8" s="36" t="n">
        <f aca="false">IF(F8=0,"",G8*(1+前提・入力!$B$9)/F8)</f>
        <v>1.89260605581962</v>
      </c>
      <c r="I8" s="35" t="n">
        <v>486</v>
      </c>
      <c r="J8" s="35" t="n">
        <v>898</v>
      </c>
      <c r="K8" s="36" t="n">
        <f aca="false">IF(I8=0,"",J8/I8)</f>
        <v>1.8477366255144</v>
      </c>
      <c r="L8" s="35" t="n">
        <v>1137</v>
      </c>
      <c r="M8" s="35" t="n">
        <v>1965</v>
      </c>
      <c r="N8" s="36" t="n">
        <f aca="false">IF(L8=0,"",M8/L8)</f>
        <v>1.72823218997361</v>
      </c>
      <c r="O8" s="36" t="n">
        <f aca="false">IFERROR((IF(N8="",0,N8*前提・入力!$B$5)+IF(K8="",0,K8*前提・入力!$B$6)+IF(H8="",0,H8*前提・入力!$B$7))/(IF(N8="",0,前提・入力!$B$5)+IF(K8="",0,前提・入力!$B$6)+IF(H8="",0,前提・入力!$B$7)),前提・入力!$B$10)</f>
        <v>1.79920176532031</v>
      </c>
      <c r="P8" s="35" t="n">
        <f aca="false">ROUND(E8*O8,0)</f>
        <v>509</v>
      </c>
      <c r="Q8" s="34" t="n">
        <f aca="false">P8*D8</f>
        <v>305400</v>
      </c>
      <c r="R8" s="37" t="n">
        <f aca="false">IFERROR(P8/P$49,0)</f>
        <v>0.0582379862700229</v>
      </c>
      <c r="S8" s="35" t="n">
        <v>1000</v>
      </c>
      <c r="T8" s="37" t="n">
        <f aca="false">IFERROR(P8/S8,0)</f>
        <v>0.509</v>
      </c>
      <c r="U8" s="35" t="n">
        <f aca="false">MAX(0,S8-P8)</f>
        <v>491</v>
      </c>
      <c r="V8" s="38" t="n">
        <f aca="false">P8-S8</f>
        <v>-491</v>
      </c>
      <c r="W8" s="39" t="str">
        <f aca="false">IF(V8&gt;0,"会期中に在庫切れ",IF(T8&gt;=0.9,"要注意(90%超)",IF(T8&gt;=0.5,"適正","在庫余剰")))</f>
        <v>適正</v>
      </c>
    </row>
    <row r="9" customFormat="false" ht="15" hidden="false" customHeight="false" outlineLevel="0" collapsed="false">
      <c r="A9" s="32" t="n">
        <v>3</v>
      </c>
      <c r="B9" s="32" t="s">
        <v>280</v>
      </c>
      <c r="C9" s="33" t="s">
        <v>281</v>
      </c>
      <c r="D9" s="34" t="n">
        <v>1000</v>
      </c>
      <c r="E9" s="35" t="n">
        <v>102</v>
      </c>
      <c r="F9" s="35" t="n">
        <v>430</v>
      </c>
      <c r="G9" s="35" t="n">
        <v>601</v>
      </c>
      <c r="H9" s="36" t="n">
        <f aca="false">IF(F9=0,"",G9*(1+前提・入力!$B$9)/F9)</f>
        <v>1.46517095484096</v>
      </c>
      <c r="I9" s="35" t="n">
        <v>217</v>
      </c>
      <c r="J9" s="35" t="n">
        <v>384</v>
      </c>
      <c r="K9" s="36" t="n">
        <f aca="false">IF(I9=0,"",J9/I9)</f>
        <v>1.76958525345622</v>
      </c>
      <c r="L9" s="35" t="n">
        <v>715</v>
      </c>
      <c r="M9" s="35" t="n">
        <v>1132</v>
      </c>
      <c r="N9" s="36" t="n">
        <f aca="false">IF(L9=0,"",M9/L9)</f>
        <v>1.58321678321678</v>
      </c>
      <c r="O9" s="36" t="n">
        <f aca="false">IFERROR((IF(N9="",0,N9*前提・入力!$B$5)+IF(K9="",0,K9*前提・入力!$B$6)+IF(H9="",0,H9*前提・入力!$B$7))/(IF(N9="",0,前提・入力!$B$5)+IF(K9="",0,前提・入力!$B$6)+IF(H9="",0,前提・入力!$B$7)),前提・入力!$B$10)</f>
        <v>1.60029744368269</v>
      </c>
      <c r="P9" s="35" t="n">
        <f aca="false">ROUND(E9*O9,0)</f>
        <v>163</v>
      </c>
      <c r="Q9" s="34" t="n">
        <f aca="false">P9*D9</f>
        <v>163000</v>
      </c>
      <c r="R9" s="37" t="n">
        <f aca="false">IFERROR(P9/P$49,0)</f>
        <v>0.018649885583524</v>
      </c>
      <c r="S9" s="35" t="n">
        <v>450</v>
      </c>
      <c r="T9" s="37" t="n">
        <f aca="false">IFERROR(P9/S9,0)</f>
        <v>0.362222222222222</v>
      </c>
      <c r="U9" s="35" t="n">
        <f aca="false">MAX(0,S9-P9)</f>
        <v>287</v>
      </c>
      <c r="V9" s="38" t="n">
        <f aca="false">P9-S9</f>
        <v>-287</v>
      </c>
      <c r="W9" s="39" t="str">
        <f aca="false">IF(V9&gt;0,"会期中に在庫切れ",IF(T9&gt;=0.9,"要注意(90%超)",IF(T9&gt;=0.5,"適正","在庫余剰")))</f>
        <v>在庫余剰</v>
      </c>
    </row>
    <row r="10" customFormat="false" ht="15" hidden="false" customHeight="false" outlineLevel="0" collapsed="false">
      <c r="A10" s="32" t="n">
        <v>4</v>
      </c>
      <c r="B10" s="32" t="s">
        <v>282</v>
      </c>
      <c r="C10" s="33" t="s">
        <v>283</v>
      </c>
      <c r="D10" s="34" t="n">
        <v>1800</v>
      </c>
      <c r="E10" s="35" t="n">
        <v>144</v>
      </c>
      <c r="F10" s="35" t="n">
        <v>666</v>
      </c>
      <c r="G10" s="35" t="n">
        <v>922</v>
      </c>
      <c r="H10" s="36" t="n">
        <f aca="false">IF(F10=0,"",G10*(1+前提・入力!$B$9)/F10)</f>
        <v>1.45123911787723</v>
      </c>
      <c r="I10" s="35" t="n">
        <v>280</v>
      </c>
      <c r="J10" s="35" t="n">
        <v>442</v>
      </c>
      <c r="K10" s="36" t="n">
        <f aca="false">IF(I10=0,"",J10/I10)</f>
        <v>1.57857142857143</v>
      </c>
      <c r="L10" s="35" t="n">
        <v>784</v>
      </c>
      <c r="M10" s="35" t="n">
        <v>1310</v>
      </c>
      <c r="N10" s="36" t="n">
        <f aca="false">IF(L10=0,"",M10/L10)</f>
        <v>1.67091836734694</v>
      </c>
      <c r="O10" s="36" t="n">
        <f aca="false">IFERROR((IF(N10="",0,N10*前提・入力!$B$5)+IF(K10="",0,K10*前提・入力!$B$6)+IF(H10="",0,H10*前提・入力!$B$7))/(IF(N10="",0,前提・入力!$B$5)+IF(K10="",0,前提・入力!$B$6)+IF(H10="",0,前提・入力!$B$7)),前提・入力!$B$10)</f>
        <v>1.59291182028563</v>
      </c>
      <c r="P10" s="35" t="n">
        <f aca="false">ROUND(E10*O10,0)</f>
        <v>229</v>
      </c>
      <c r="Q10" s="34" t="n">
        <f aca="false">P10*D10</f>
        <v>412200</v>
      </c>
      <c r="R10" s="37" t="n">
        <f aca="false">IFERROR(P10/P$49,0)</f>
        <v>0.0262013729977117</v>
      </c>
      <c r="S10" s="35" t="n">
        <v>800</v>
      </c>
      <c r="T10" s="37" t="n">
        <f aca="false">IFERROR(P10/S10,0)</f>
        <v>0.28625</v>
      </c>
      <c r="U10" s="35" t="n">
        <f aca="false">MAX(0,S10-P10)</f>
        <v>571</v>
      </c>
      <c r="V10" s="38" t="n">
        <f aca="false">P10-S10</f>
        <v>-571</v>
      </c>
      <c r="W10" s="39" t="str">
        <f aca="false">IF(V10&gt;0,"会期中に在庫切れ",IF(T10&gt;=0.9,"要注意(90%超)",IF(T10&gt;=0.5,"適正","在庫余剰")))</f>
        <v>在庫余剰</v>
      </c>
    </row>
    <row r="11" customFormat="false" ht="15" hidden="false" customHeight="false" outlineLevel="0" collapsed="false">
      <c r="A11" s="32" t="n">
        <v>5</v>
      </c>
      <c r="B11" s="32" t="s">
        <v>284</v>
      </c>
      <c r="C11" s="33" t="s">
        <v>285</v>
      </c>
      <c r="D11" s="34" t="n">
        <v>600</v>
      </c>
      <c r="E11" s="35" t="n">
        <v>268</v>
      </c>
      <c r="F11" s="35" t="n">
        <v>7505</v>
      </c>
      <c r="G11" s="35" t="n">
        <v>10777</v>
      </c>
      <c r="H11" s="36" t="n">
        <f aca="false">IF(F11=0,"",G11*(1+前提・入力!$B$9)/F11)</f>
        <v>1.50532221415075</v>
      </c>
      <c r="I11" s="35" t="n">
        <v>2716</v>
      </c>
      <c r="J11" s="35" t="n">
        <v>6948</v>
      </c>
      <c r="K11" s="36" t="n">
        <f aca="false">IF(I11=0,"",J11/I11)</f>
        <v>2.55817378497791</v>
      </c>
      <c r="L11" s="35" t="n">
        <v>6209</v>
      </c>
      <c r="M11" s="35" t="n">
        <v>8936</v>
      </c>
      <c r="N11" s="36" t="n">
        <f aca="false">IF(L11=0,"",M11/L11)</f>
        <v>1.43920115960702</v>
      </c>
      <c r="O11" s="36" t="n">
        <f aca="false">IFERROR((IF(N11="",0,N11*前提・入力!$B$5)+IF(K11="",0,K11*前提・入力!$B$6)+IF(H11="",0,H11*前提・入力!$B$7))/(IF(N11="",0,前提・入力!$B$5)+IF(K11="",0,前提・入力!$B$6)+IF(H11="",0,前提・入力!$B$7)),前提・入力!$B$10)</f>
        <v>1.73547457958568</v>
      </c>
      <c r="P11" s="35" t="n">
        <f aca="false">ROUND(E11*O11,0)</f>
        <v>465</v>
      </c>
      <c r="Q11" s="34" t="n">
        <f aca="false">P11*D11</f>
        <v>279000</v>
      </c>
      <c r="R11" s="37" t="n">
        <f aca="false">IFERROR(P11/P$49,0)</f>
        <v>0.0532036613272311</v>
      </c>
      <c r="S11" s="35" t="n">
        <v>9000</v>
      </c>
      <c r="T11" s="37" t="n">
        <f aca="false">IFERROR(P11/S11,0)</f>
        <v>0.0516666666666667</v>
      </c>
      <c r="U11" s="35" t="n">
        <f aca="false">MAX(0,S11-P11)</f>
        <v>8535</v>
      </c>
      <c r="V11" s="38" t="n">
        <f aca="false">P11-S11</f>
        <v>-8535</v>
      </c>
      <c r="W11" s="39" t="str">
        <f aca="false">IF(V11&gt;0,"会期中に在庫切れ",IF(T11&gt;=0.9,"要注意(90%超)",IF(T11&gt;=0.5,"適正","在庫余剰")))</f>
        <v>在庫余剰</v>
      </c>
    </row>
    <row r="12" customFormat="false" ht="15" hidden="false" customHeight="false" outlineLevel="0" collapsed="false">
      <c r="A12" s="32" t="n">
        <v>6</v>
      </c>
      <c r="B12" s="32" t="s">
        <v>286</v>
      </c>
      <c r="C12" s="33" t="s">
        <v>287</v>
      </c>
      <c r="D12" s="34" t="n">
        <v>600</v>
      </c>
      <c r="E12" s="35" t="n">
        <v>704</v>
      </c>
      <c r="F12" s="35" t="n">
        <v>10406</v>
      </c>
      <c r="G12" s="35" t="n">
        <v>15602</v>
      </c>
      <c r="H12" s="36" t="n">
        <f aca="false">IF(F12=0,"",G12*(1+前提・入力!$B$9)/F12)</f>
        <v>1.57173287203343</v>
      </c>
      <c r="I12" s="35" t="n">
        <v>3521</v>
      </c>
      <c r="J12" s="35" t="n">
        <v>8314</v>
      </c>
      <c r="K12" s="36" t="n">
        <f aca="false">IF(I12=0,"",J12/I12)</f>
        <v>2.36126100539619</v>
      </c>
      <c r="L12" s="35" t="n">
        <v>10485</v>
      </c>
      <c r="M12" s="35" t="n">
        <v>18611</v>
      </c>
      <c r="N12" s="36" t="n">
        <f aca="false">IF(L12=0,"",M12/L12)</f>
        <v>1.77501192179304</v>
      </c>
      <c r="O12" s="36" t="n">
        <f aca="false">IFERROR((IF(N12="",0,N12*前提・入力!$B$5)+IF(K12="",0,K12*前提・入力!$B$6)+IF(H12="",0,H12*前提・入力!$B$7))/(IF(N12="",0,前提・入力!$B$5)+IF(K12="",0,前提・入力!$B$6)+IF(H12="",0,前提・入力!$B$7)),前提・入力!$B$10)</f>
        <v>1.87075443025393</v>
      </c>
      <c r="P12" s="35" t="n">
        <f aca="false">ROUND(E12*O12,0)</f>
        <v>1317</v>
      </c>
      <c r="Q12" s="34" t="n">
        <f aca="false">P12*D12</f>
        <v>790200</v>
      </c>
      <c r="R12" s="37" t="n">
        <f aca="false">IFERROR(P12/P$49,0)</f>
        <v>0.150686498855835</v>
      </c>
      <c r="S12" s="35" t="n">
        <v>13991</v>
      </c>
      <c r="T12" s="37" t="n">
        <f aca="false">IFERROR(P12/S12,0)</f>
        <v>0.0941319419626903</v>
      </c>
      <c r="U12" s="35" t="n">
        <f aca="false">MAX(0,S12-P12)</f>
        <v>12674</v>
      </c>
      <c r="V12" s="38" t="n">
        <f aca="false">P12-S12</f>
        <v>-12674</v>
      </c>
      <c r="W12" s="39" t="str">
        <f aca="false">IF(V12&gt;0,"会期中に在庫切れ",IF(T12&gt;=0.9,"要注意(90%超)",IF(T12&gt;=0.5,"適正","在庫余剰")))</f>
        <v>在庫余剰</v>
      </c>
    </row>
    <row r="13" customFormat="false" ht="15" hidden="false" customHeight="false" outlineLevel="0" collapsed="false">
      <c r="A13" s="32" t="n">
        <v>7</v>
      </c>
      <c r="B13" s="32" t="s">
        <v>288</v>
      </c>
      <c r="C13" s="33" t="s">
        <v>289</v>
      </c>
      <c r="D13" s="34" t="n">
        <v>600</v>
      </c>
      <c r="E13" s="35" t="n">
        <v>108</v>
      </c>
      <c r="F13" s="35" t="n">
        <v>282</v>
      </c>
      <c r="G13" s="35" t="n">
        <v>520</v>
      </c>
      <c r="H13" s="36" t="n">
        <f aca="false">IF(F13=0,"",G13*(1+前提・入力!$B$9)/F13)</f>
        <v>1.93302076623145</v>
      </c>
      <c r="I13" s="35" t="n">
        <v>190</v>
      </c>
      <c r="J13" s="35" t="n">
        <v>349</v>
      </c>
      <c r="K13" s="36" t="n">
        <f aca="false">IF(I13=0,"",J13/I13)</f>
        <v>1.83684210526316</v>
      </c>
      <c r="L13" s="35" t="n">
        <v>551</v>
      </c>
      <c r="M13" s="35" t="n">
        <v>940</v>
      </c>
      <c r="N13" s="36" t="n">
        <f aca="false">IF(L13=0,"",M13/L13)</f>
        <v>1.7059891107078</v>
      </c>
      <c r="O13" s="36" t="n">
        <f aca="false">IFERROR((IF(N13="",0,N13*前提・入力!$B$5)+IF(K13="",0,K13*前提・入力!$B$6)+IF(H13="",0,H13*前提・入力!$B$7))/(IF(N13="",0,前提・入力!$B$5)+IF(K13="",0,前提・入力!$B$6)+IF(H13="",0,前提・入力!$B$7)),前提・入力!$B$10)</f>
        <v>1.79546027322755</v>
      </c>
      <c r="P13" s="35" t="n">
        <f aca="false">ROUND(E13*O13,0)</f>
        <v>194</v>
      </c>
      <c r="Q13" s="34" t="n">
        <f aca="false">P13*D13</f>
        <v>116400</v>
      </c>
      <c r="R13" s="37" t="n">
        <f aca="false">IFERROR(P13/P$49,0)</f>
        <v>0.0221967963386728</v>
      </c>
      <c r="S13" s="35" t="n">
        <v>350</v>
      </c>
      <c r="T13" s="37" t="n">
        <f aca="false">IFERROR(P13/S13,0)</f>
        <v>0.554285714285714</v>
      </c>
      <c r="U13" s="35" t="n">
        <f aca="false">MAX(0,S13-P13)</f>
        <v>156</v>
      </c>
      <c r="V13" s="38" t="n">
        <f aca="false">P13-S13</f>
        <v>-156</v>
      </c>
      <c r="W13" s="39" t="str">
        <f aca="false">IF(V13&gt;0,"会期中に在庫切れ",IF(T13&gt;=0.9,"要注意(90%超)",IF(T13&gt;=0.5,"適正","在庫余剰")))</f>
        <v>適正</v>
      </c>
    </row>
    <row r="14" customFormat="false" ht="15" hidden="false" customHeight="false" outlineLevel="0" collapsed="false">
      <c r="A14" s="32" t="n">
        <v>8</v>
      </c>
      <c r="B14" s="32" t="s">
        <v>290</v>
      </c>
      <c r="C14" s="33" t="s">
        <v>291</v>
      </c>
      <c r="D14" s="34" t="n">
        <v>600</v>
      </c>
      <c r="E14" s="35" t="n">
        <v>173</v>
      </c>
      <c r="F14" s="35" t="n">
        <v>588</v>
      </c>
      <c r="G14" s="35" t="n">
        <v>1107</v>
      </c>
      <c r="H14" s="36" t="n">
        <f aca="false">IF(F14=0,"",G14*(1+前提・入力!$B$9)/F14)</f>
        <v>1.97357020106468</v>
      </c>
      <c r="I14" s="35" t="n">
        <v>330</v>
      </c>
      <c r="J14" s="35" t="n">
        <v>608</v>
      </c>
      <c r="K14" s="36" t="n">
        <f aca="false">IF(I14=0,"",J14/I14)</f>
        <v>1.84242424242424</v>
      </c>
      <c r="L14" s="35" t="n">
        <v>972</v>
      </c>
      <c r="M14" s="35" t="n">
        <v>1758</v>
      </c>
      <c r="N14" s="36" t="n">
        <f aca="false">IF(L14=0,"",M14/L14)</f>
        <v>1.80864197530864</v>
      </c>
      <c r="O14" s="36" t="n">
        <f aca="false">IFERROR((IF(N14="",0,N14*前提・入力!$B$5)+IF(K14="",0,K14*前提・入力!$B$6)+IF(H14="",0,H14*前提・入力!$B$7))/(IF(N14="",0,前提・入力!$B$5)+IF(K14="",0,前提・入力!$B$6)+IF(H14="",0,前提・入力!$B$7)),前提・入力!$B$10)</f>
        <v>1.85831959852655</v>
      </c>
      <c r="P14" s="35" t="n">
        <f aca="false">ROUND(E14*O14,0)</f>
        <v>321</v>
      </c>
      <c r="Q14" s="34" t="n">
        <f aca="false">P14*D14</f>
        <v>192600</v>
      </c>
      <c r="R14" s="37" t="n">
        <f aca="false">IFERROR(P14/P$49,0)</f>
        <v>0.0367276887871854</v>
      </c>
      <c r="S14" s="35" t="n">
        <v>900</v>
      </c>
      <c r="T14" s="37" t="n">
        <f aca="false">IFERROR(P14/S14,0)</f>
        <v>0.356666666666667</v>
      </c>
      <c r="U14" s="35" t="n">
        <f aca="false">MAX(0,S14-P14)</f>
        <v>579</v>
      </c>
      <c r="V14" s="38" t="n">
        <f aca="false">P14-S14</f>
        <v>-579</v>
      </c>
      <c r="W14" s="39" t="str">
        <f aca="false">IF(V14&gt;0,"会期中に在庫切れ",IF(T14&gt;=0.9,"要注意(90%超)",IF(T14&gt;=0.5,"適正","在庫余剰")))</f>
        <v>在庫余剰</v>
      </c>
    </row>
    <row r="15" customFormat="false" ht="15" hidden="false" customHeight="false" outlineLevel="0" collapsed="false">
      <c r="A15" s="32" t="n">
        <v>9</v>
      </c>
      <c r="B15" s="32" t="s">
        <v>292</v>
      </c>
      <c r="C15" s="33" t="s">
        <v>293</v>
      </c>
      <c r="D15" s="34" t="n">
        <v>600</v>
      </c>
      <c r="E15" s="35" t="n">
        <v>87</v>
      </c>
      <c r="F15" s="35" t="n">
        <v>225</v>
      </c>
      <c r="G15" s="35" t="n">
        <v>313</v>
      </c>
      <c r="H15" s="36" t="n">
        <f aca="false">IF(F15=0,"",G15*(1+前提・入力!$B$9)/F15)</f>
        <v>1.45829069189902</v>
      </c>
      <c r="I15" s="35" t="n">
        <v>185</v>
      </c>
      <c r="J15" s="35" t="n">
        <v>265</v>
      </c>
      <c r="K15" s="36" t="n">
        <f aca="false">IF(I15=0,"",J15/I15)</f>
        <v>1.43243243243243</v>
      </c>
      <c r="L15" s="35" t="n">
        <v>494</v>
      </c>
      <c r="M15" s="35" t="n">
        <v>743</v>
      </c>
      <c r="N15" s="36" t="n">
        <f aca="false">IF(L15=0,"",M15/L15)</f>
        <v>1.50404858299595</v>
      </c>
      <c r="O15" s="36" t="n">
        <f aca="false">IFERROR((IF(N15="",0,N15*前提・入力!$B$5)+IF(K15="",0,K15*前提・入力!$B$6)+IF(H15="",0,H15*前提・入力!$B$7))/(IF(N15="",0,前提・入力!$B$5)+IF(K15="",0,前提・入力!$B$6)+IF(H15="",0,前提・入力!$B$7)),前提・入力!$B$10)</f>
        <v>1.47470507258084</v>
      </c>
      <c r="P15" s="35" t="n">
        <f aca="false">ROUND(E15*O15,0)</f>
        <v>128</v>
      </c>
      <c r="Q15" s="34" t="n">
        <f aca="false">P15*D15</f>
        <v>76800</v>
      </c>
      <c r="R15" s="37" t="n">
        <f aca="false">IFERROR(P15/P$49,0)</f>
        <v>0.0146453089244851</v>
      </c>
      <c r="S15" s="35" t="n">
        <v>300</v>
      </c>
      <c r="T15" s="37" t="n">
        <f aca="false">IFERROR(P15/S15,0)</f>
        <v>0.426666666666667</v>
      </c>
      <c r="U15" s="35" t="n">
        <f aca="false">MAX(0,S15-P15)</f>
        <v>172</v>
      </c>
      <c r="V15" s="38" t="n">
        <f aca="false">P15-S15</f>
        <v>-172</v>
      </c>
      <c r="W15" s="39" t="str">
        <f aca="false">IF(V15&gt;0,"会期中に在庫切れ",IF(T15&gt;=0.9,"要注意(90%超)",IF(T15&gt;=0.5,"適正","在庫余剰")))</f>
        <v>在庫余剰</v>
      </c>
    </row>
    <row r="16" customFormat="false" ht="15" hidden="false" customHeight="false" outlineLevel="0" collapsed="false">
      <c r="A16" s="32" t="n">
        <v>10</v>
      </c>
      <c r="B16" s="32" t="s">
        <v>294</v>
      </c>
      <c r="C16" s="33" t="s">
        <v>295</v>
      </c>
      <c r="D16" s="34" t="n">
        <v>600</v>
      </c>
      <c r="E16" s="35" t="n">
        <v>33</v>
      </c>
      <c r="F16" s="35" t="n">
        <v>96</v>
      </c>
      <c r="G16" s="35" t="n">
        <v>141</v>
      </c>
      <c r="H16" s="36" t="n">
        <f aca="false">IF(F16=0,"",G16*(1+前提・入力!$B$9)/F16)</f>
        <v>1.53967892041056</v>
      </c>
      <c r="I16" s="35" t="n">
        <v>80</v>
      </c>
      <c r="J16" s="35" t="n">
        <v>108</v>
      </c>
      <c r="K16" s="36" t="n">
        <f aca="false">IF(I16=0,"",J16/I16)</f>
        <v>1.35</v>
      </c>
      <c r="L16" s="35" t="n">
        <v>187</v>
      </c>
      <c r="M16" s="35" t="n">
        <v>277</v>
      </c>
      <c r="N16" s="36" t="n">
        <f aca="false">IF(L16=0,"",M16/L16)</f>
        <v>1.48128342245989</v>
      </c>
      <c r="O16" s="36" t="n">
        <f aca="false">IFERROR((IF(N16="",0,N16*前提・入力!$B$5)+IF(K16="",0,K16*前提・入力!$B$6)+IF(H16="",0,H16*前提・入力!$B$7))/(IF(N16="",0,前提・入力!$B$5)+IF(K16="",0,前提・入力!$B$6)+IF(H16="",0,前提・入力!$B$7)),前提・入力!$B$10)</f>
        <v>1.46306144133259</v>
      </c>
      <c r="P16" s="35" t="n">
        <f aca="false">ROUND(E16*O16,0)</f>
        <v>48</v>
      </c>
      <c r="Q16" s="34" t="n">
        <f aca="false">P16*D16</f>
        <v>28800</v>
      </c>
      <c r="R16" s="37" t="n">
        <f aca="false">IFERROR(P16/P$49,0)</f>
        <v>0.00549199084668192</v>
      </c>
      <c r="S16" s="35" t="n">
        <v>100</v>
      </c>
      <c r="T16" s="37" t="n">
        <f aca="false">IFERROR(P16/S16,0)</f>
        <v>0.48</v>
      </c>
      <c r="U16" s="35" t="n">
        <f aca="false">MAX(0,S16-P16)</f>
        <v>52</v>
      </c>
      <c r="V16" s="38" t="n">
        <f aca="false">P16-S16</f>
        <v>-52</v>
      </c>
      <c r="W16" s="39" t="str">
        <f aca="false">IF(V16&gt;0,"会期中に在庫切れ",IF(T16&gt;=0.9,"要注意(90%超)",IF(T16&gt;=0.5,"適正","在庫余剰")))</f>
        <v>在庫余剰</v>
      </c>
    </row>
    <row r="17" customFormat="false" ht="15" hidden="false" customHeight="false" outlineLevel="0" collapsed="false">
      <c r="A17" s="32" t="n">
        <v>11</v>
      </c>
      <c r="B17" s="32" t="s">
        <v>296</v>
      </c>
      <c r="C17" s="33" t="s">
        <v>297</v>
      </c>
      <c r="D17" s="34" t="n">
        <v>600</v>
      </c>
      <c r="E17" s="35" t="n">
        <v>10</v>
      </c>
      <c r="F17" s="35" t="n">
        <v>11</v>
      </c>
      <c r="G17" s="35" t="n">
        <v>37</v>
      </c>
      <c r="H17" s="36" t="n">
        <f aca="false">IF(F17=0,"",G17*(1+前提・入力!$B$9)/F17)</f>
        <v>3.52607319490541</v>
      </c>
      <c r="I17" s="35" t="n">
        <v>17</v>
      </c>
      <c r="J17" s="35" t="n">
        <v>30</v>
      </c>
      <c r="K17" s="36" t="n">
        <f aca="false">IF(I17=0,"",J17/I17)</f>
        <v>1.76470588235294</v>
      </c>
      <c r="L17" s="35" t="n">
        <v>36</v>
      </c>
      <c r="M17" s="35" t="n">
        <v>78</v>
      </c>
      <c r="N17" s="36" t="n">
        <f aca="false">IF(L17=0,"",M17/L17)</f>
        <v>2.16666666666667</v>
      </c>
      <c r="O17" s="36" t="n">
        <f aca="false">IFERROR((IF(N17="",0,N17*前提・入力!$B$5)+IF(K17="",0,K17*前提・入力!$B$6)+IF(H17="",0,H17*前提・入力!$B$7))/(IF(N17="",0,前提・入力!$B$5)+IF(K17="",0,前提・入力!$B$6)+IF(H17="",0,前提・入力!$B$7)),前提・入力!$B$10)</f>
        <v>2.40602810264792</v>
      </c>
      <c r="P17" s="35" t="n">
        <f aca="false">ROUND(E17*O17,0)</f>
        <v>24</v>
      </c>
      <c r="Q17" s="34" t="n">
        <f aca="false">P17*D17</f>
        <v>14400</v>
      </c>
      <c r="R17" s="37" t="n">
        <f aca="false">IFERROR(P17/P$49,0)</f>
        <v>0.00274599542334096</v>
      </c>
      <c r="S17" s="35" t="n">
        <v>50</v>
      </c>
      <c r="T17" s="37" t="n">
        <f aca="false">IFERROR(P17/S17,0)</f>
        <v>0.48</v>
      </c>
      <c r="U17" s="35" t="n">
        <f aca="false">MAX(0,S17-P17)</f>
        <v>26</v>
      </c>
      <c r="V17" s="38" t="n">
        <f aca="false">P17-S17</f>
        <v>-26</v>
      </c>
      <c r="W17" s="39" t="str">
        <f aca="false">IF(V17&gt;0,"会期中に在庫切れ",IF(T17&gt;=0.9,"要注意(90%超)",IF(T17&gt;=0.5,"適正","在庫余剰")))</f>
        <v>在庫余剰</v>
      </c>
    </row>
    <row r="18" customFormat="false" ht="15" hidden="false" customHeight="false" outlineLevel="0" collapsed="false">
      <c r="A18" s="32" t="n">
        <v>12</v>
      </c>
      <c r="B18" s="32" t="s">
        <v>298</v>
      </c>
      <c r="C18" s="33" t="s">
        <v>299</v>
      </c>
      <c r="D18" s="34" t="n">
        <v>600</v>
      </c>
      <c r="E18" s="35" t="n">
        <v>19</v>
      </c>
      <c r="F18" s="35" t="n">
        <v>41</v>
      </c>
      <c r="G18" s="35" t="n">
        <v>58</v>
      </c>
      <c r="H18" s="36" t="n">
        <f aca="false">IF(F18=0,"",G18*(1+前提・入力!$B$9)/F18)</f>
        <v>1.482949702274</v>
      </c>
      <c r="I18" s="35" t="n">
        <v>20</v>
      </c>
      <c r="J18" s="35" t="n">
        <v>43</v>
      </c>
      <c r="K18" s="36" t="n">
        <f aca="false">IF(I18=0,"",J18/I18)</f>
        <v>2.15</v>
      </c>
      <c r="L18" s="35" t="n">
        <v>83</v>
      </c>
      <c r="M18" s="35" t="n">
        <v>142</v>
      </c>
      <c r="N18" s="36" t="n">
        <f aca="false">IF(L18=0,"",M18/L18)</f>
        <v>1.71084337349398</v>
      </c>
      <c r="O18" s="36" t="n">
        <f aca="false">IFERROR((IF(N18="",0,N18*前提・入力!$B$5)+IF(K18="",0,K18*前提・入力!$B$6)+IF(H18="",0,H18*前提・入力!$B$7))/(IF(N18="",0,前提・入力!$B$5)+IF(K18="",0,前提・入力!$B$6)+IF(H18="",0,前提・入力!$B$7)),前提・入力!$B$10)</f>
        <v>1.76365911231549</v>
      </c>
      <c r="P18" s="35" t="n">
        <f aca="false">ROUND(E18*O18,0)</f>
        <v>34</v>
      </c>
      <c r="Q18" s="34" t="n">
        <f aca="false">P18*D18</f>
        <v>20400</v>
      </c>
      <c r="R18" s="37" t="n">
        <f aca="false">IFERROR(P18/P$49,0)</f>
        <v>0.00389016018306636</v>
      </c>
      <c r="S18" s="35" t="n">
        <v>50</v>
      </c>
      <c r="T18" s="37" t="n">
        <f aca="false">IFERROR(P18/S18,0)</f>
        <v>0.68</v>
      </c>
      <c r="U18" s="35" t="n">
        <f aca="false">MAX(0,S18-P18)</f>
        <v>16</v>
      </c>
      <c r="V18" s="38" t="n">
        <f aca="false">P18-S18</f>
        <v>-16</v>
      </c>
      <c r="W18" s="39" t="str">
        <f aca="false">IF(V18&gt;0,"会期中に在庫切れ",IF(T18&gt;=0.9,"要注意(90%超)",IF(T18&gt;=0.5,"適正","在庫余剰")))</f>
        <v>適正</v>
      </c>
    </row>
    <row r="19" customFormat="false" ht="15" hidden="false" customHeight="false" outlineLevel="0" collapsed="false">
      <c r="A19" s="32" t="n">
        <v>13</v>
      </c>
      <c r="B19" s="32" t="s">
        <v>300</v>
      </c>
      <c r="C19" s="33" t="s">
        <v>301</v>
      </c>
      <c r="D19" s="34" t="n">
        <v>600</v>
      </c>
      <c r="E19" s="35" t="n">
        <v>3</v>
      </c>
      <c r="F19" s="35" t="n">
        <v>11</v>
      </c>
      <c r="G19" s="35" t="n">
        <v>16</v>
      </c>
      <c r="H19" s="36" t="n">
        <f aca="false">IF(F19=0,"",G19*(1+前提・入力!$B$9)/F19)</f>
        <v>1.52478840860774</v>
      </c>
      <c r="I19" s="35" t="n">
        <v>7</v>
      </c>
      <c r="J19" s="35" t="n">
        <v>18</v>
      </c>
      <c r="K19" s="36" t="n">
        <f aca="false">IF(I19=0,"",J19/I19)</f>
        <v>2.57142857142857</v>
      </c>
      <c r="L19" s="35" t="n">
        <v>28</v>
      </c>
      <c r="M19" s="35" t="n">
        <v>43</v>
      </c>
      <c r="N19" s="36" t="n">
        <f aca="false">IF(L19=0,"",M19/L19)</f>
        <v>1.53571428571429</v>
      </c>
      <c r="O19" s="36" t="n">
        <f aca="false">IFERROR((IF(N19="",0,N19*前提・入力!$B$5)+IF(K19="",0,K19*前提・入力!$B$6)+IF(H19="",0,H19*前提・入力!$B$7))/(IF(N19="",0,前提・入力!$B$5)+IF(K19="",0,前提・入力!$B$6)+IF(H19="",0,前提・入力!$B$7)),前提・入力!$B$10)</f>
        <v>1.79191138786622</v>
      </c>
      <c r="P19" s="35" t="n">
        <f aca="false">ROUND(E19*O19,0)</f>
        <v>5</v>
      </c>
      <c r="Q19" s="34" t="n">
        <f aca="false">P19*D19</f>
        <v>3000</v>
      </c>
      <c r="R19" s="37" t="n">
        <f aca="false">IFERROR(P19/P$49,0)</f>
        <v>0.0005720823798627</v>
      </c>
      <c r="S19" s="35" t="n">
        <v>50</v>
      </c>
      <c r="T19" s="37" t="n">
        <f aca="false">IFERROR(P19/S19,0)</f>
        <v>0.1</v>
      </c>
      <c r="U19" s="35" t="n">
        <f aca="false">MAX(0,S19-P19)</f>
        <v>45</v>
      </c>
      <c r="V19" s="38" t="n">
        <f aca="false">P19-S19</f>
        <v>-45</v>
      </c>
      <c r="W19" s="39" t="str">
        <f aca="false">IF(V19&gt;0,"会期中に在庫切れ",IF(T19&gt;=0.9,"要注意(90%超)",IF(T19&gt;=0.5,"適正","在庫余剰")))</f>
        <v>在庫余剰</v>
      </c>
    </row>
    <row r="20" customFormat="false" ht="15" hidden="false" customHeight="false" outlineLevel="0" collapsed="false">
      <c r="A20" s="32" t="n">
        <v>14</v>
      </c>
      <c r="B20" s="32" t="s">
        <v>302</v>
      </c>
      <c r="C20" s="33" t="s">
        <v>303</v>
      </c>
      <c r="D20" s="34" t="n">
        <v>600</v>
      </c>
      <c r="E20" s="35" t="n">
        <v>21</v>
      </c>
      <c r="F20" s="35" t="n">
        <v>43</v>
      </c>
      <c r="G20" s="35" t="n">
        <v>73</v>
      </c>
      <c r="H20" s="36" t="n">
        <f aca="false">IF(F20=0,"",G20*(1+前提・入力!$B$9)/F20)</f>
        <v>1.77965856411631</v>
      </c>
      <c r="I20" s="35" t="n">
        <v>38</v>
      </c>
      <c r="J20" s="35" t="n">
        <v>62</v>
      </c>
      <c r="K20" s="36" t="n">
        <f aca="false">IF(I20=0,"",J20/I20)</f>
        <v>1.63157894736842</v>
      </c>
      <c r="L20" s="35" t="n">
        <v>75</v>
      </c>
      <c r="M20" s="35" t="n">
        <v>146</v>
      </c>
      <c r="N20" s="36" t="n">
        <f aca="false">IF(L20=0,"",M20/L20)</f>
        <v>1.94666666666667</v>
      </c>
      <c r="O20" s="36" t="n">
        <f aca="false">IFERROR((IF(N20="",0,N20*前提・入力!$B$5)+IF(K20="",0,K20*前提・入力!$B$6)+IF(H20="",0,H20*前提・入力!$B$7))/(IF(N20="",0,前提・入力!$B$5)+IF(K20="",0,前提・入力!$B$6)+IF(H20="",0,前提・入力!$B$7)),前提・入力!$B$10)</f>
        <v>1.82614271120452</v>
      </c>
      <c r="P20" s="35" t="n">
        <f aca="false">ROUND(E20*O20,0)</f>
        <v>38</v>
      </c>
      <c r="Q20" s="34" t="n">
        <f aca="false">P20*D20</f>
        <v>22800</v>
      </c>
      <c r="R20" s="37" t="n">
        <f aca="false">IFERROR(P20/P$49,0)</f>
        <v>0.00434782608695652</v>
      </c>
      <c r="S20" s="35" t="n">
        <v>50</v>
      </c>
      <c r="T20" s="37" t="n">
        <f aca="false">IFERROR(P20/S20,0)</f>
        <v>0.76</v>
      </c>
      <c r="U20" s="35" t="n">
        <f aca="false">MAX(0,S20-P20)</f>
        <v>12</v>
      </c>
      <c r="V20" s="38" t="n">
        <f aca="false">P20-S20</f>
        <v>-12</v>
      </c>
      <c r="W20" s="39" t="str">
        <f aca="false">IF(V20&gt;0,"会期中に在庫切れ",IF(T20&gt;=0.9,"要注意(90%超)",IF(T20&gt;=0.5,"適正","在庫余剰")))</f>
        <v>適正</v>
      </c>
    </row>
    <row r="21" customFormat="false" ht="15" hidden="false" customHeight="false" outlineLevel="0" collapsed="false">
      <c r="A21" s="32" t="n">
        <v>15</v>
      </c>
      <c r="B21" s="32" t="s">
        <v>304</v>
      </c>
      <c r="C21" s="33" t="s">
        <v>305</v>
      </c>
      <c r="D21" s="34" t="n">
        <v>600</v>
      </c>
      <c r="E21" s="35" t="n">
        <v>32</v>
      </c>
      <c r="F21" s="35" t="n">
        <v>56</v>
      </c>
      <c r="G21" s="35" t="n">
        <v>100</v>
      </c>
      <c r="H21" s="36" t="n">
        <f aca="false">IF(F21=0,"",G21*(1+前提・入力!$B$9)/F21)</f>
        <v>1.8719500552104</v>
      </c>
      <c r="I21" s="35" t="n">
        <v>47</v>
      </c>
      <c r="J21" s="35" t="n">
        <v>91</v>
      </c>
      <c r="K21" s="36" t="n">
        <f aca="false">IF(I21=0,"",J21/I21)</f>
        <v>1.93617021276596</v>
      </c>
      <c r="L21" s="35" t="n">
        <v>110</v>
      </c>
      <c r="M21" s="35" t="n">
        <v>198</v>
      </c>
      <c r="N21" s="36" t="n">
        <f aca="false">IF(L21=0,"",M21/L21)</f>
        <v>1.8</v>
      </c>
      <c r="O21" s="36" t="n">
        <f aca="false">IFERROR((IF(N21="",0,N21*前提・入力!$B$5)+IF(K21="",0,K21*前提・入力!$B$6)+IF(H21="",0,H21*前提・入力!$B$7))/(IF(N21="",0,前提・入力!$B$5)+IF(K21="",0,前提・入力!$B$6)+IF(H21="",0,前提・入力!$B$7)),前提・入力!$B$10)</f>
        <v>1.85203006699409</v>
      </c>
      <c r="P21" s="35" t="n">
        <f aca="false">ROUND(E21*O21,0)</f>
        <v>59</v>
      </c>
      <c r="Q21" s="34" t="n">
        <f aca="false">P21*D21</f>
        <v>35400</v>
      </c>
      <c r="R21" s="37" t="n">
        <f aca="false">IFERROR(P21/P$49,0)</f>
        <v>0.00675057208237986</v>
      </c>
      <c r="S21" s="35" t="n">
        <v>100</v>
      </c>
      <c r="T21" s="37" t="n">
        <f aca="false">IFERROR(P21/S21,0)</f>
        <v>0.59</v>
      </c>
      <c r="U21" s="35" t="n">
        <f aca="false">MAX(0,S21-P21)</f>
        <v>41</v>
      </c>
      <c r="V21" s="38" t="n">
        <f aca="false">P21-S21</f>
        <v>-41</v>
      </c>
      <c r="W21" s="39" t="str">
        <f aca="false">IF(V21&gt;0,"会期中に在庫切れ",IF(T21&gt;=0.9,"要注意(90%超)",IF(T21&gt;=0.5,"適正","在庫余剰")))</f>
        <v>適正</v>
      </c>
    </row>
    <row r="22" customFormat="false" ht="15" hidden="false" customHeight="false" outlineLevel="0" collapsed="false">
      <c r="A22" s="32" t="n">
        <v>16</v>
      </c>
      <c r="B22" s="32" t="s">
        <v>306</v>
      </c>
      <c r="C22" s="33" t="s">
        <v>307</v>
      </c>
      <c r="D22" s="34" t="n">
        <v>600</v>
      </c>
      <c r="E22" s="35" t="n">
        <v>7</v>
      </c>
      <c r="F22" s="35" t="n">
        <v>16</v>
      </c>
      <c r="G22" s="35" t="n">
        <v>38</v>
      </c>
      <c r="H22" s="36" t="n">
        <f aca="false">IF(F22=0,"",G22*(1+前提・入力!$B$9)/F22)</f>
        <v>2.48969357342983</v>
      </c>
      <c r="I22" s="35" t="n">
        <v>13</v>
      </c>
      <c r="J22" s="35" t="n">
        <v>26</v>
      </c>
      <c r="K22" s="36" t="n">
        <f aca="false">IF(I22=0,"",J22/I22)</f>
        <v>2</v>
      </c>
      <c r="L22" s="35" t="n">
        <v>33</v>
      </c>
      <c r="M22" s="35" t="n">
        <v>65</v>
      </c>
      <c r="N22" s="36" t="n">
        <f aca="false">IF(L22=0,"",M22/L22)</f>
        <v>1.96969696969697</v>
      </c>
      <c r="O22" s="36" t="n">
        <f aca="false">IFERROR((IF(N22="",0,N22*前提・入力!$B$5)+IF(K22="",0,K22*前提・入力!$B$6)+IF(H22="",0,H22*前提・入力!$B$7))/(IF(N22="",0,前提・入力!$B$5)+IF(K22="",0,前提・入力!$B$6)+IF(H22="",0,前提・入力!$B$7)),前提・入力!$B$10)</f>
        <v>2.10727187820594</v>
      </c>
      <c r="P22" s="35" t="n">
        <f aca="false">ROUND(E22*O22,0)</f>
        <v>15</v>
      </c>
      <c r="Q22" s="34" t="n">
        <f aca="false">P22*D22</f>
        <v>9000</v>
      </c>
      <c r="R22" s="37" t="n">
        <f aca="false">IFERROR(P22/P$49,0)</f>
        <v>0.0017162471395881</v>
      </c>
      <c r="S22" s="35" t="n">
        <v>50</v>
      </c>
      <c r="T22" s="37" t="n">
        <f aca="false">IFERROR(P22/S22,0)</f>
        <v>0.3</v>
      </c>
      <c r="U22" s="35" t="n">
        <f aca="false">MAX(0,S22-P22)</f>
        <v>35</v>
      </c>
      <c r="V22" s="38" t="n">
        <f aca="false">P22-S22</f>
        <v>-35</v>
      </c>
      <c r="W22" s="39" t="str">
        <f aca="false">IF(V22&gt;0,"会期中に在庫切れ",IF(T22&gt;=0.9,"要注意(90%超)",IF(T22&gt;=0.5,"適正","在庫余剰")))</f>
        <v>在庫余剰</v>
      </c>
    </row>
    <row r="23" customFormat="false" ht="15" hidden="false" customHeight="false" outlineLevel="0" collapsed="false">
      <c r="A23" s="32" t="n">
        <v>17</v>
      </c>
      <c r="B23" s="32" t="s">
        <v>308</v>
      </c>
      <c r="C23" s="33" t="s">
        <v>309</v>
      </c>
      <c r="D23" s="34" t="n">
        <v>600</v>
      </c>
      <c r="E23" s="35" t="n">
        <v>53</v>
      </c>
      <c r="F23" s="35" t="n">
        <v>78</v>
      </c>
      <c r="G23" s="35" t="n">
        <v>124</v>
      </c>
      <c r="H23" s="36" t="n">
        <f aca="false">IF(F23=0,"",G23*(1+前提・入力!$B$9)/F23)</f>
        <v>1.6665155363309</v>
      </c>
      <c r="I23" s="35" t="n">
        <v>53</v>
      </c>
      <c r="J23" s="35" t="n">
        <v>94</v>
      </c>
      <c r="K23" s="36" t="n">
        <f aca="false">IF(I23=0,"",J23/I23)</f>
        <v>1.77358490566038</v>
      </c>
      <c r="L23" s="35" t="n">
        <v>145</v>
      </c>
      <c r="M23" s="35" t="n">
        <v>261</v>
      </c>
      <c r="N23" s="36" t="n">
        <f aca="false">IF(L23=0,"",M23/L23)</f>
        <v>1.8</v>
      </c>
      <c r="O23" s="36" t="n">
        <f aca="false">IFERROR((IF(N23="",0,N23*前提・入力!$B$5)+IF(K23="",0,K23*前提・入力!$B$6)+IF(H23="",0,H23*前提・入力!$B$7))/(IF(N23="",0,前提・入力!$B$5)+IF(K23="",0,前提・入力!$B$6)+IF(H23="",0,前提・入力!$B$7)),前提・入力!$B$10)</f>
        <v>1.76002511049782</v>
      </c>
      <c r="P23" s="35" t="n">
        <f aca="false">ROUND(E23*O23,0)</f>
        <v>93</v>
      </c>
      <c r="Q23" s="34" t="n">
        <f aca="false">P23*D23</f>
        <v>55800</v>
      </c>
      <c r="R23" s="37" t="n">
        <f aca="false">IFERROR(P23/P$49,0)</f>
        <v>0.0106407322654462</v>
      </c>
      <c r="S23" s="35" t="n">
        <v>100</v>
      </c>
      <c r="T23" s="37" t="n">
        <f aca="false">IFERROR(P23/S23,0)</f>
        <v>0.93</v>
      </c>
      <c r="U23" s="35" t="n">
        <f aca="false">MAX(0,S23-P23)</f>
        <v>7</v>
      </c>
      <c r="V23" s="38" t="n">
        <f aca="false">P23-S23</f>
        <v>-7</v>
      </c>
      <c r="W23" s="39" t="str">
        <f aca="false">IF(V23&gt;0,"会期中に在庫切れ",IF(T23&gt;=0.9,"要注意(90%超)",IF(T23&gt;=0.5,"適正","在庫余剰")))</f>
        <v>要注意(90%超)</v>
      </c>
    </row>
    <row r="24" customFormat="false" ht="15" hidden="false" customHeight="false" outlineLevel="0" collapsed="false">
      <c r="A24" s="32" t="n">
        <v>18</v>
      </c>
      <c r="B24" s="32" t="s">
        <v>310</v>
      </c>
      <c r="C24" s="33" t="s">
        <v>311</v>
      </c>
      <c r="D24" s="34" t="n">
        <v>600</v>
      </c>
      <c r="E24" s="35" t="n">
        <v>259</v>
      </c>
      <c r="F24" s="35" t="n">
        <v>771</v>
      </c>
      <c r="G24" s="35" t="n">
        <v>1187</v>
      </c>
      <c r="H24" s="36" t="n">
        <f aca="false">IF(F24=0,"",G24*(1+前提・入力!$B$9)/F24)</f>
        <v>1.61390744578399</v>
      </c>
      <c r="I24" s="35" t="n">
        <v>502</v>
      </c>
      <c r="J24" s="35" t="n">
        <v>743</v>
      </c>
      <c r="K24" s="36" t="n">
        <f aca="false">IF(I24=0,"",J24/I24)</f>
        <v>1.4800796812749</v>
      </c>
      <c r="L24" s="35" t="n">
        <v>1268</v>
      </c>
      <c r="M24" s="35" t="n">
        <v>2021</v>
      </c>
      <c r="N24" s="36" t="n">
        <f aca="false">IF(L24=0,"",M24/L24)</f>
        <v>1.59384858044164</v>
      </c>
      <c r="O24" s="36" t="n">
        <f aca="false">IFERROR((IF(N24="",0,N24*前提・入力!$B$5)+IF(K24="",0,K24*前提・入力!$B$6)+IF(H24="",0,H24*前提・入力!$B$7))/(IF(N24="",0,前提・入力!$B$5)+IF(K24="",0,前提・入力!$B$6)+IF(H24="",0,前提・入力!$B$7)),前提・入力!$B$10)</f>
        <v>1.57042107198554</v>
      </c>
      <c r="P24" s="35" t="n">
        <f aca="false">ROUND(E24*O24,0)</f>
        <v>407</v>
      </c>
      <c r="Q24" s="34" t="n">
        <f aca="false">P24*D24</f>
        <v>244200</v>
      </c>
      <c r="R24" s="37" t="n">
        <f aca="false">IFERROR(P24/P$49,0)</f>
        <v>0.0465675057208238</v>
      </c>
      <c r="S24" s="35" t="n">
        <v>1500</v>
      </c>
      <c r="T24" s="37" t="n">
        <f aca="false">IFERROR(P24/S24,0)</f>
        <v>0.271333333333333</v>
      </c>
      <c r="U24" s="35" t="n">
        <f aca="false">MAX(0,S24-P24)</f>
        <v>1093</v>
      </c>
      <c r="V24" s="38" t="n">
        <f aca="false">P24-S24</f>
        <v>-1093</v>
      </c>
      <c r="W24" s="39" t="str">
        <f aca="false">IF(V24&gt;0,"会期中に在庫切れ",IF(T24&gt;=0.9,"要注意(90%超)",IF(T24&gt;=0.5,"適正","在庫余剰")))</f>
        <v>在庫余剰</v>
      </c>
    </row>
    <row r="25" customFormat="false" ht="15" hidden="false" customHeight="false" outlineLevel="0" collapsed="false">
      <c r="A25" s="32" t="n">
        <v>19</v>
      </c>
      <c r="B25" s="32" t="s">
        <v>312</v>
      </c>
      <c r="C25" s="33" t="s">
        <v>313</v>
      </c>
      <c r="D25" s="34" t="n">
        <v>600</v>
      </c>
      <c r="E25" s="35" t="n">
        <v>10</v>
      </c>
      <c r="F25" s="35" t="n">
        <v>19</v>
      </c>
      <c r="G25" s="35" t="n">
        <v>27</v>
      </c>
      <c r="H25" s="36" t="n">
        <f aca="false">IF(F25=0,"",G25*(1+前提・入力!$B$9)/F25)</f>
        <v>1.48967814919901</v>
      </c>
      <c r="I25" s="35" t="n">
        <v>11</v>
      </c>
      <c r="J25" s="35" t="n">
        <v>19</v>
      </c>
      <c r="K25" s="36" t="n">
        <f aca="false">IF(I25=0,"",J25/I25)</f>
        <v>1.72727272727273</v>
      </c>
      <c r="L25" s="35" t="n">
        <v>29</v>
      </c>
      <c r="M25" s="35" t="n">
        <v>45</v>
      </c>
      <c r="N25" s="36" t="n">
        <f aca="false">IF(L25=0,"",M25/L25)</f>
        <v>1.55172413793103</v>
      </c>
      <c r="O25" s="36" t="n">
        <f aca="false">IFERROR((IF(N25="",0,N25*前提・入力!$B$5)+IF(K25="",0,K25*前提・入力!$B$6)+IF(H25="",0,H25*前提・入力!$B$7))/(IF(N25="",0,前提・入力!$B$5)+IF(K25="",0,前提・入力!$B$6)+IF(H25="",0,前提・入力!$B$7)),前提・入力!$B$10)</f>
        <v>1.58009978808345</v>
      </c>
      <c r="P25" s="35" t="n">
        <f aca="false">ROUND(E25*O25,0)</f>
        <v>16</v>
      </c>
      <c r="Q25" s="34" t="n">
        <f aca="false">P25*D25</f>
        <v>9600</v>
      </c>
      <c r="R25" s="37" t="n">
        <f aca="false">IFERROR(P25/P$49,0)</f>
        <v>0.00183066361556064</v>
      </c>
      <c r="S25" s="35" t="n">
        <v>50</v>
      </c>
      <c r="T25" s="37" t="n">
        <f aca="false">IFERROR(P25/S25,0)</f>
        <v>0.32</v>
      </c>
      <c r="U25" s="35" t="n">
        <f aca="false">MAX(0,S25-P25)</f>
        <v>34</v>
      </c>
      <c r="V25" s="38" t="n">
        <f aca="false">P25-S25</f>
        <v>-34</v>
      </c>
      <c r="W25" s="39" t="str">
        <f aca="false">IF(V25&gt;0,"会期中に在庫切れ",IF(T25&gt;=0.9,"要注意(90%超)",IF(T25&gt;=0.5,"適正","在庫余剰")))</f>
        <v>在庫余剰</v>
      </c>
    </row>
    <row r="26" customFormat="false" ht="15" hidden="false" customHeight="false" outlineLevel="0" collapsed="false">
      <c r="A26" s="32" t="n">
        <v>20</v>
      </c>
      <c r="B26" s="32" t="s">
        <v>314</v>
      </c>
      <c r="C26" s="33" t="s">
        <v>315</v>
      </c>
      <c r="D26" s="34" t="n">
        <v>600</v>
      </c>
      <c r="E26" s="35" t="n">
        <v>8</v>
      </c>
      <c r="F26" s="35" t="n">
        <v>12</v>
      </c>
      <c r="G26" s="35" t="n">
        <v>23</v>
      </c>
      <c r="H26" s="36" t="n">
        <f aca="false">IF(F26=0,"",G26*(1+前提・入力!$B$9)/F26)</f>
        <v>2.0092263925925</v>
      </c>
      <c r="I26" s="35" t="n">
        <v>13</v>
      </c>
      <c r="J26" s="35" t="n">
        <v>15</v>
      </c>
      <c r="K26" s="36" t="n">
        <f aca="false">IF(I26=0,"",J26/I26)</f>
        <v>1.15384615384615</v>
      </c>
      <c r="L26" s="35" t="n">
        <v>21</v>
      </c>
      <c r="M26" s="35" t="n">
        <v>42</v>
      </c>
      <c r="N26" s="36" t="n">
        <f aca="false">IF(L26=0,"",M26/L26)</f>
        <v>2</v>
      </c>
      <c r="O26" s="36" t="n">
        <f aca="false">IFERROR((IF(N26="",0,N26*前提・入力!$B$5)+IF(K26="",0,K26*前提・入力!$B$6)+IF(H26="",0,H26*前提・入力!$B$7))/(IF(N26="",0,前提・入力!$B$5)+IF(K26="",0,前提・入力!$B$6)+IF(H26="",0,前提・入力!$B$7)),前提・入力!$B$10)</f>
        <v>1.79076813660966</v>
      </c>
      <c r="P26" s="35" t="n">
        <f aca="false">ROUND(E26*O26,0)</f>
        <v>14</v>
      </c>
      <c r="Q26" s="34" t="n">
        <f aca="false">P26*D26</f>
        <v>8400</v>
      </c>
      <c r="R26" s="37" t="n">
        <f aca="false">IFERROR(P26/P$49,0)</f>
        <v>0.00160183066361556</v>
      </c>
      <c r="S26" s="35" t="n">
        <v>30</v>
      </c>
      <c r="T26" s="37" t="n">
        <f aca="false">IFERROR(P26/S26,0)</f>
        <v>0.466666666666667</v>
      </c>
      <c r="U26" s="35" t="n">
        <f aca="false">MAX(0,S26-P26)</f>
        <v>16</v>
      </c>
      <c r="V26" s="38" t="n">
        <f aca="false">P26-S26</f>
        <v>-16</v>
      </c>
      <c r="W26" s="39" t="str">
        <f aca="false">IF(V26&gt;0,"会期中に在庫切れ",IF(T26&gt;=0.9,"要注意(90%超)",IF(T26&gt;=0.5,"適正","在庫余剰")))</f>
        <v>在庫余剰</v>
      </c>
    </row>
    <row r="27" customFormat="false" ht="15" hidden="false" customHeight="false" outlineLevel="0" collapsed="false">
      <c r="A27" s="32" t="n">
        <v>21</v>
      </c>
      <c r="B27" s="32" t="s">
        <v>316</v>
      </c>
      <c r="C27" s="33" t="s">
        <v>317</v>
      </c>
      <c r="D27" s="34" t="n">
        <v>600</v>
      </c>
      <c r="E27" s="35" t="n">
        <v>50</v>
      </c>
      <c r="F27" s="35" t="n">
        <v>111</v>
      </c>
      <c r="G27" s="35" t="n">
        <v>139</v>
      </c>
      <c r="H27" s="36" t="n">
        <f aca="false">IF(F27=0,"",G27*(1+前提・入力!$B$9)/F27)</f>
        <v>1.31272605673493</v>
      </c>
      <c r="I27" s="35" t="n">
        <v>84</v>
      </c>
      <c r="J27" s="35" t="n">
        <v>139</v>
      </c>
      <c r="K27" s="36" t="n">
        <f aca="false">IF(I27=0,"",J27/I27)</f>
        <v>1.6547619047619</v>
      </c>
      <c r="L27" s="35" t="n">
        <v>120</v>
      </c>
      <c r="M27" s="35" t="n">
        <v>252</v>
      </c>
      <c r="N27" s="36" t="n">
        <f aca="false">IF(L27=0,"",M27/L27)</f>
        <v>2.1</v>
      </c>
      <c r="O27" s="36" t="n">
        <f aca="false">IFERROR((IF(N27="",0,N27*前提・入力!$B$5)+IF(K27="",0,K27*前提・入力!$B$6)+IF(H27="",0,H27*前提・入力!$B$7))/(IF(N27="",0,前提・入力!$B$5)+IF(K27="",0,前提・入力!$B$6)+IF(H27="",0,前提・入力!$B$7)),前提・入力!$B$10)</f>
        <v>1.79187199037421</v>
      </c>
      <c r="P27" s="35" t="n">
        <f aca="false">ROUND(E27*O27,0)</f>
        <v>90</v>
      </c>
      <c r="Q27" s="34" t="n">
        <f aca="false">P27*D27</f>
        <v>54000</v>
      </c>
      <c r="R27" s="37" t="n">
        <f aca="false">IFERROR(P27/P$49,0)</f>
        <v>0.0102974828375286</v>
      </c>
      <c r="S27" s="35" t="n">
        <v>100</v>
      </c>
      <c r="T27" s="37" t="n">
        <f aca="false">IFERROR(P27/S27,0)</f>
        <v>0.9</v>
      </c>
      <c r="U27" s="35" t="n">
        <f aca="false">MAX(0,S27-P27)</f>
        <v>10</v>
      </c>
      <c r="V27" s="38" t="n">
        <f aca="false">P27-S27</f>
        <v>-10</v>
      </c>
      <c r="W27" s="39" t="str">
        <f aca="false">IF(V27&gt;0,"会期中に在庫切れ",IF(T27&gt;=0.9,"要注意(90%超)",IF(T27&gt;=0.5,"適正","在庫余剰")))</f>
        <v>要注意(90%超)</v>
      </c>
    </row>
    <row r="28" customFormat="false" ht="15" hidden="false" customHeight="false" outlineLevel="0" collapsed="false">
      <c r="A28" s="32" t="n">
        <v>22</v>
      </c>
      <c r="B28" s="32" t="s">
        <v>318</v>
      </c>
      <c r="C28" s="33" t="s">
        <v>319</v>
      </c>
      <c r="D28" s="34" t="n">
        <v>600</v>
      </c>
      <c r="E28" s="35" t="n">
        <v>23</v>
      </c>
      <c r="F28" s="35" t="n">
        <v>47</v>
      </c>
      <c r="G28" s="35" t="n">
        <v>99</v>
      </c>
      <c r="H28" s="36" t="n">
        <f aca="false">IF(F28=0,"",G28*(1+前提・入力!$B$9)/F28)</f>
        <v>2.20810449065669</v>
      </c>
      <c r="I28" s="35" t="n">
        <v>27</v>
      </c>
      <c r="J28" s="35" t="n">
        <v>77</v>
      </c>
      <c r="K28" s="36" t="n">
        <f aca="false">IF(I28=0,"",J28/I28)</f>
        <v>2.85185185185185</v>
      </c>
      <c r="L28" s="35" t="n">
        <v>86</v>
      </c>
      <c r="M28" s="35" t="n">
        <v>171</v>
      </c>
      <c r="N28" s="36" t="n">
        <f aca="false">IF(L28=0,"",M28/L28)</f>
        <v>1.98837209302326</v>
      </c>
      <c r="O28" s="36" t="n">
        <f aca="false">IFERROR((IF(N28="",0,N28*前提・入力!$B$5)+IF(K28="",0,K28*前提・入力!$B$6)+IF(H28="",0,H28*前提・入力!$B$7))/(IF(N28="",0,前提・入力!$B$5)+IF(K28="",0,前提・入力!$B$6)+IF(H28="",0,前提・入力!$B$7)),前提・入力!$B$10)</f>
        <v>2.25917513213876</v>
      </c>
      <c r="P28" s="35" t="n">
        <f aca="false">ROUND(E28*O28,0)</f>
        <v>52</v>
      </c>
      <c r="Q28" s="34" t="n">
        <f aca="false">P28*D28</f>
        <v>31200</v>
      </c>
      <c r="R28" s="37" t="n">
        <f aca="false">IFERROR(P28/P$49,0)</f>
        <v>0.00594965675057208</v>
      </c>
      <c r="S28" s="35" t="n">
        <v>50</v>
      </c>
      <c r="T28" s="37" t="n">
        <f aca="false">IFERROR(P28/S28,0)</f>
        <v>1.04</v>
      </c>
      <c r="U28" s="35" t="n">
        <f aca="false">MAX(0,S28-P28)</f>
        <v>0</v>
      </c>
      <c r="V28" s="38" t="n">
        <f aca="false">P28-S28</f>
        <v>2</v>
      </c>
      <c r="W28" s="39" t="str">
        <f aca="false">IF(V28&gt;0,"会期中に在庫切れ",IF(T28&gt;=0.9,"要注意(90%超)",IF(T28&gt;=0.5,"適正","在庫余剰")))</f>
        <v>会期中に在庫切れ</v>
      </c>
    </row>
    <row r="29" customFormat="false" ht="15" hidden="false" customHeight="false" outlineLevel="0" collapsed="false">
      <c r="A29" s="32" t="n">
        <v>23</v>
      </c>
      <c r="B29" s="32" t="s">
        <v>320</v>
      </c>
      <c r="C29" s="33" t="s">
        <v>321</v>
      </c>
      <c r="D29" s="34" t="n">
        <v>600</v>
      </c>
      <c r="E29" s="35" t="n">
        <v>1220</v>
      </c>
      <c r="F29" s="35" t="n">
        <v>8772</v>
      </c>
      <c r="G29" s="35" t="n">
        <v>13583</v>
      </c>
      <c r="H29" s="36" t="n">
        <f aca="false">IF(F29=0,"",G29*(1+前提・入力!$B$9)/F29)</f>
        <v>1.62322738895996</v>
      </c>
      <c r="I29" s="35" t="n">
        <v>3502</v>
      </c>
      <c r="J29" s="35" t="n">
        <v>6933</v>
      </c>
      <c r="K29" s="36" t="n">
        <f aca="false">IF(I29=0,"",J29/I29)</f>
        <v>1.9797258709309</v>
      </c>
      <c r="L29" s="35" t="n">
        <v>7752</v>
      </c>
      <c r="M29" s="35" t="n">
        <v>12724</v>
      </c>
      <c r="N29" s="36" t="n">
        <f aca="false">IF(L29=0,"",M29/L29)</f>
        <v>1.64138286893705</v>
      </c>
      <c r="O29" s="36" t="n">
        <f aca="false">IFERROR((IF(N29="",0,N29*前提・入力!$B$5)+IF(K29="",0,K29*前提・入力!$B$6)+IF(H29="",0,H29*前提・入力!$B$7))/(IF(N29="",0,前提・入力!$B$5)+IF(K29="",0,前提・入力!$B$6)+IF(H29="",0,前提・入力!$B$7)),前提・入力!$B$10)</f>
        <v>1.72142974944124</v>
      </c>
      <c r="P29" s="35" t="n">
        <f aca="false">ROUND(E29*O29,0)</f>
        <v>2100</v>
      </c>
      <c r="Q29" s="34" t="n">
        <f aca="false">P29*D29</f>
        <v>1260000</v>
      </c>
      <c r="R29" s="37" t="n">
        <f aca="false">IFERROR(P29/P$49,0)</f>
        <v>0.240274599542334</v>
      </c>
      <c r="S29" s="35" t="n">
        <v>11000</v>
      </c>
      <c r="T29" s="37" t="n">
        <f aca="false">IFERROR(P29/S29,0)</f>
        <v>0.190909090909091</v>
      </c>
      <c r="U29" s="35" t="n">
        <f aca="false">MAX(0,S29-P29)</f>
        <v>8900</v>
      </c>
      <c r="V29" s="38" t="n">
        <f aca="false">P29-S29</f>
        <v>-8900</v>
      </c>
      <c r="W29" s="39" t="str">
        <f aca="false">IF(V29&gt;0,"会期中に在庫切れ",IF(T29&gt;=0.9,"要注意(90%超)",IF(T29&gt;=0.5,"適正","在庫余剰")))</f>
        <v>在庫余剰</v>
      </c>
    </row>
    <row r="30" customFormat="false" ht="15" hidden="false" customHeight="false" outlineLevel="0" collapsed="false">
      <c r="A30" s="32" t="n">
        <v>24</v>
      </c>
      <c r="B30" s="32" t="s">
        <v>322</v>
      </c>
      <c r="C30" s="33" t="s">
        <v>323</v>
      </c>
      <c r="D30" s="34" t="n">
        <v>600</v>
      </c>
      <c r="E30" s="35" t="n">
        <v>682</v>
      </c>
      <c r="F30" s="35" t="n">
        <v>5350</v>
      </c>
      <c r="G30" s="35" t="n">
        <v>8213</v>
      </c>
      <c r="H30" s="36" t="n">
        <f aca="false">IF(F30=0,"",G30*(1+前提・入力!$B$9)/F30)</f>
        <v>1.60927522428562</v>
      </c>
      <c r="I30" s="35" t="n">
        <v>1993</v>
      </c>
      <c r="J30" s="35" t="n">
        <v>4202</v>
      </c>
      <c r="K30" s="36" t="n">
        <f aca="false">IF(I30=0,"",J30/I30)</f>
        <v>2.10837932764676</v>
      </c>
      <c r="L30" s="35" t="n">
        <v>4109</v>
      </c>
      <c r="M30" s="35" t="n">
        <v>6978</v>
      </c>
      <c r="N30" s="36" t="n">
        <f aca="false">IF(L30=0,"",M30/L30)</f>
        <v>1.69822341202239</v>
      </c>
      <c r="O30" s="36" t="n">
        <f aca="false">IFERROR((IF(N30="",0,N30*前提・入力!$B$5)+IF(K30="",0,K30*前提・入力!$B$6)+IF(H30="",0,H30*前提・入力!$B$7))/(IF(N30="",0,前提・入力!$B$5)+IF(K30="",0,前提・入力!$B$6)+IF(H30="",0,前提・入力!$B$7)),前提・入力!$B$10)</f>
        <v>1.77852534399429</v>
      </c>
      <c r="P30" s="35" t="n">
        <f aca="false">ROUND(E30*O30,0)</f>
        <v>1213</v>
      </c>
      <c r="Q30" s="34" t="n">
        <f aca="false">P30*D30</f>
        <v>727800</v>
      </c>
      <c r="R30" s="37" t="n">
        <f aca="false">IFERROR(P30/P$49,0)</f>
        <v>0.138787185354691</v>
      </c>
      <c r="S30" s="35" t="n">
        <v>8000</v>
      </c>
      <c r="T30" s="37" t="n">
        <f aca="false">IFERROR(P30/S30,0)</f>
        <v>0.151625</v>
      </c>
      <c r="U30" s="35" t="n">
        <f aca="false">MAX(0,S30-P30)</f>
        <v>6787</v>
      </c>
      <c r="V30" s="38" t="n">
        <f aca="false">P30-S30</f>
        <v>-6787</v>
      </c>
      <c r="W30" s="39" t="str">
        <f aca="false">IF(V30&gt;0,"会期中に在庫切れ",IF(T30&gt;=0.9,"要注意(90%超)",IF(T30&gt;=0.5,"適正","在庫余剰")))</f>
        <v>在庫余剰</v>
      </c>
    </row>
    <row r="31" customFormat="false" ht="15" hidden="false" customHeight="false" outlineLevel="0" collapsed="false">
      <c r="A31" s="32" t="n">
        <v>25</v>
      </c>
      <c r="B31" s="32" t="s">
        <v>324</v>
      </c>
      <c r="C31" s="33" t="s">
        <v>325</v>
      </c>
      <c r="D31" s="34" t="n">
        <v>1500</v>
      </c>
      <c r="E31" s="35" t="n">
        <v>29</v>
      </c>
      <c r="F31" s="35" t="n">
        <v>120</v>
      </c>
      <c r="G31" s="35" t="n">
        <v>221</v>
      </c>
      <c r="H31" s="36" t="n">
        <f aca="false">IF(F31=0,"",G31*(1+前提・入力!$B$9)/F31)</f>
        <v>1.93060449027366</v>
      </c>
      <c r="I31" s="35" t="n">
        <v>73</v>
      </c>
      <c r="J31" s="35" t="n">
        <v>140</v>
      </c>
      <c r="K31" s="36" t="n">
        <f aca="false">IF(I31=0,"",J31/I31)</f>
        <v>1.91780821917808</v>
      </c>
      <c r="L31" s="35" t="n">
        <v>134</v>
      </c>
      <c r="M31" s="35" t="n">
        <v>243</v>
      </c>
      <c r="N31" s="36" t="n">
        <f aca="false">IF(L31=0,"",M31/L31)</f>
        <v>1.8134328358209</v>
      </c>
      <c r="O31" s="36" t="n">
        <f aca="false">IFERROR((IF(N31="",0,N31*前提・入力!$B$5)+IF(K31="",0,K31*前提・入力!$B$6)+IF(H31="",0,H31*前提・入力!$B$7))/(IF(N31="",0,前提・入力!$B$5)+IF(K31="",0,前提・入力!$B$6)+IF(H31="",0,前提・入力!$B$7)),前提・入力!$B$10)</f>
        <v>1.86881959527338</v>
      </c>
      <c r="P31" s="35" t="n">
        <f aca="false">ROUND(E31*O31,0)</f>
        <v>54</v>
      </c>
      <c r="Q31" s="34" t="n">
        <f aca="false">P31*D31</f>
        <v>81000</v>
      </c>
      <c r="R31" s="37" t="n">
        <f aca="false">IFERROR(P31/P$49,0)</f>
        <v>0.00617848970251716</v>
      </c>
      <c r="S31" s="35" t="n">
        <v>200</v>
      </c>
      <c r="T31" s="37" t="n">
        <f aca="false">IFERROR(P31/S31,0)</f>
        <v>0.27</v>
      </c>
      <c r="U31" s="35" t="n">
        <f aca="false">MAX(0,S31-P31)</f>
        <v>146</v>
      </c>
      <c r="V31" s="38" t="n">
        <f aca="false">P31-S31</f>
        <v>-146</v>
      </c>
      <c r="W31" s="39" t="str">
        <f aca="false">IF(V31&gt;0,"会期中に在庫切れ",IF(T31&gt;=0.9,"要注意(90%超)",IF(T31&gt;=0.5,"適正","在庫余剰")))</f>
        <v>在庫余剰</v>
      </c>
    </row>
    <row r="32" customFormat="false" ht="15" hidden="false" customHeight="false" outlineLevel="0" collapsed="false">
      <c r="A32" s="32" t="n">
        <v>26</v>
      </c>
      <c r="B32" s="32" t="s">
        <v>326</v>
      </c>
      <c r="C32" s="33" t="s">
        <v>327</v>
      </c>
      <c r="D32" s="34" t="n">
        <v>2200</v>
      </c>
      <c r="E32" s="35" t="n">
        <v>100</v>
      </c>
      <c r="F32" s="35" t="n">
        <v>470</v>
      </c>
      <c r="G32" s="35" t="n">
        <v>513</v>
      </c>
      <c r="H32" s="36" t="n">
        <f aca="false">IF(F32=0,"",G32*(1+前提・入力!$B$9)/F32)</f>
        <v>1.14419959970392</v>
      </c>
      <c r="I32" s="35" t="n">
        <v>202</v>
      </c>
      <c r="J32" s="35" t="n">
        <v>353</v>
      </c>
      <c r="K32" s="36" t="n">
        <f aca="false">IF(I32=0,"",J32/I32)</f>
        <v>1.74752475247525</v>
      </c>
      <c r="L32" s="35" t="n">
        <v>503</v>
      </c>
      <c r="M32" s="35" t="n">
        <v>842</v>
      </c>
      <c r="N32" s="36" t="n">
        <f aca="false">IF(L32=0,"",M32/L32)</f>
        <v>1.67395626242545</v>
      </c>
      <c r="O32" s="36" t="n">
        <f aca="false">IFERROR((IF(N32="",0,N32*前提・入力!$B$5)+IF(K32="",0,K32*前提・入力!$B$6)+IF(H32="",0,H32*前提・入力!$B$7))/(IF(N32="",0,前提・入力!$B$5)+IF(K32="",0,前提・入力!$B$6)+IF(H32="",0,前提・入力!$B$7)),前提・入力!$B$10)</f>
        <v>1.55990921925752</v>
      </c>
      <c r="P32" s="35" t="n">
        <f aca="false">ROUND(E32*O32,0)</f>
        <v>156</v>
      </c>
      <c r="Q32" s="34" t="n">
        <f aca="false">P32*D32</f>
        <v>343200</v>
      </c>
      <c r="R32" s="37" t="n">
        <f aca="false">IFERROR(P32/P$49,0)</f>
        <v>0.0178489702517162</v>
      </c>
      <c r="S32" s="35" t="n">
        <v>200</v>
      </c>
      <c r="T32" s="37" t="n">
        <f aca="false">IFERROR(P32/S32,0)</f>
        <v>0.78</v>
      </c>
      <c r="U32" s="35" t="n">
        <f aca="false">MAX(0,S32-P32)</f>
        <v>44</v>
      </c>
      <c r="V32" s="38" t="n">
        <f aca="false">P32-S32</f>
        <v>-44</v>
      </c>
      <c r="W32" s="39" t="str">
        <f aca="false">IF(V32&gt;0,"会期中に在庫切れ",IF(T32&gt;=0.9,"要注意(90%超)",IF(T32&gt;=0.5,"適正","在庫余剰")))</f>
        <v>適正</v>
      </c>
    </row>
    <row r="33" customFormat="false" ht="15" hidden="false" customHeight="false" outlineLevel="0" collapsed="false">
      <c r="A33" s="32" t="n">
        <v>27</v>
      </c>
      <c r="B33" s="32" t="s">
        <v>328</v>
      </c>
      <c r="C33" s="33" t="s">
        <v>329</v>
      </c>
      <c r="D33" s="34" t="n">
        <v>1100</v>
      </c>
      <c r="E33" s="35" t="n">
        <v>20</v>
      </c>
      <c r="F33" s="35" t="n">
        <v>48</v>
      </c>
      <c r="G33" s="35" t="n">
        <v>103</v>
      </c>
      <c r="H33" s="36" t="n">
        <f aca="false">IF(F33=0,"",G33*(1+前提・入力!$B$9)/F33)</f>
        <v>2.24945998301117</v>
      </c>
      <c r="I33" s="35" t="n">
        <v>33</v>
      </c>
      <c r="J33" s="35" t="n">
        <v>69</v>
      </c>
      <c r="K33" s="36" t="n">
        <f aca="false">IF(I33=0,"",J33/I33)</f>
        <v>2.09090909090909</v>
      </c>
      <c r="L33" s="35" t="n">
        <v>78</v>
      </c>
      <c r="M33" s="35" t="n">
        <v>145</v>
      </c>
      <c r="N33" s="36" t="n">
        <f aca="false">IF(L33=0,"",M33/L33)</f>
        <v>1.85897435897436</v>
      </c>
      <c r="O33" s="36" t="n">
        <f aca="false">IFERROR((IF(N33="",0,N33*前提・入力!$B$5)+IF(K33="",0,K33*前提・入力!$B$6)+IF(H33="",0,H33*前提・入力!$B$7))/(IF(N33="",0,前提・入力!$B$5)+IF(K33="",0,前提・入力!$B$6)+IF(H33="",0,前提・入力!$B$7)),前提・入力!$B$10)</f>
        <v>2.01457944796724</v>
      </c>
      <c r="P33" s="35" t="n">
        <f aca="false">ROUND(E33*O33,0)</f>
        <v>40</v>
      </c>
      <c r="Q33" s="34" t="n">
        <f aca="false">P33*D33</f>
        <v>44000</v>
      </c>
      <c r="R33" s="37" t="n">
        <f aca="false">IFERROR(P33/P$49,0)</f>
        <v>0.0045766590389016</v>
      </c>
      <c r="S33" s="35" t="n">
        <v>70</v>
      </c>
      <c r="T33" s="37" t="n">
        <f aca="false">IFERROR(P33/S33,0)</f>
        <v>0.571428571428571</v>
      </c>
      <c r="U33" s="35" t="n">
        <f aca="false">MAX(0,S33-P33)</f>
        <v>30</v>
      </c>
      <c r="V33" s="38" t="n">
        <f aca="false">P33-S33</f>
        <v>-30</v>
      </c>
      <c r="W33" s="39" t="str">
        <f aca="false">IF(V33&gt;0,"会期中に在庫切れ",IF(T33&gt;=0.9,"要注意(90%超)",IF(T33&gt;=0.5,"適正","在庫余剰")))</f>
        <v>適正</v>
      </c>
    </row>
    <row r="34" customFormat="false" ht="15" hidden="false" customHeight="false" outlineLevel="0" collapsed="false">
      <c r="A34" s="32" t="n">
        <v>28</v>
      </c>
      <c r="B34" s="32" t="s">
        <v>330</v>
      </c>
      <c r="C34" s="33" t="s">
        <v>331</v>
      </c>
      <c r="D34" s="34" t="n">
        <v>1800</v>
      </c>
      <c r="E34" s="35" t="n">
        <v>184</v>
      </c>
      <c r="F34" s="35" t="n">
        <v>417</v>
      </c>
      <c r="G34" s="35" t="n">
        <v>436</v>
      </c>
      <c r="H34" s="36" t="n">
        <f aca="false">IF(F34=0,"",G34*(1+前提・入力!$B$9)/F34)</f>
        <v>1.09605593640329</v>
      </c>
      <c r="I34" s="35" t="n">
        <v>240</v>
      </c>
      <c r="J34" s="35" t="n">
        <v>333</v>
      </c>
      <c r="K34" s="36" t="n">
        <f aca="false">IF(I34=0,"",J34/I34)</f>
        <v>1.3875</v>
      </c>
      <c r="L34" s="35" t="n">
        <v>361</v>
      </c>
      <c r="M34" s="35" t="n">
        <v>400</v>
      </c>
      <c r="N34" s="36" t="n">
        <f aca="false">IF(L34=0,"",M34/L34)</f>
        <v>1.10803324099723</v>
      </c>
      <c r="O34" s="36" t="n">
        <f aca="false">IFERROR((IF(N34="",0,N34*前提・入力!$B$5)+IF(K34="",0,K34*前提・入力!$B$6)+IF(H34="",0,H34*前提・入力!$B$7))/(IF(N34="",0,前提・入力!$B$5)+IF(K34="",0,前提・入力!$B$6)+IF(H34="",0,前提・入力!$B$7)),前提・入力!$B$10)</f>
        <v>1.17490560459944</v>
      </c>
      <c r="P34" s="35" t="n">
        <f aca="false">ROUND(E34*O34,0)</f>
        <v>216</v>
      </c>
      <c r="Q34" s="34" t="n">
        <f aca="false">P34*D34</f>
        <v>388800</v>
      </c>
      <c r="R34" s="37" t="n">
        <f aca="false">IFERROR(P34/P$49,0)</f>
        <v>0.0247139588100687</v>
      </c>
      <c r="S34" s="35" t="n">
        <v>300</v>
      </c>
      <c r="T34" s="37" t="n">
        <f aca="false">IFERROR(P34/S34,0)</f>
        <v>0.72</v>
      </c>
      <c r="U34" s="35" t="n">
        <f aca="false">MAX(0,S34-P34)</f>
        <v>84</v>
      </c>
      <c r="V34" s="38" t="n">
        <f aca="false">P34-S34</f>
        <v>-84</v>
      </c>
      <c r="W34" s="39" t="str">
        <f aca="false">IF(V34&gt;0,"会期中に在庫切れ",IF(T34&gt;=0.9,"要注意(90%超)",IF(T34&gt;=0.5,"適正","在庫余剰")))</f>
        <v>適正</v>
      </c>
    </row>
    <row r="35" customFormat="false" ht="15" hidden="false" customHeight="false" outlineLevel="0" collapsed="false">
      <c r="A35" s="32" t="n">
        <v>29</v>
      </c>
      <c r="B35" s="32" t="s">
        <v>332</v>
      </c>
      <c r="C35" s="33" t="s">
        <v>333</v>
      </c>
      <c r="D35" s="34" t="n">
        <v>1500</v>
      </c>
      <c r="E35" s="35" t="n">
        <v>89</v>
      </c>
      <c r="F35" s="35" t="n">
        <v>305</v>
      </c>
      <c r="G35" s="35" t="n">
        <v>318</v>
      </c>
      <c r="H35" s="36" t="n">
        <f aca="false">IF(F35=0,"",G35*(1+前提・入力!$B$9)/F35)</f>
        <v>1.09297333059629</v>
      </c>
      <c r="I35" s="35" t="n">
        <v>144</v>
      </c>
      <c r="J35" s="35" t="n">
        <v>249</v>
      </c>
      <c r="K35" s="36" t="n">
        <f aca="false">IF(I35=0,"",J35/I35)</f>
        <v>1.72916666666667</v>
      </c>
      <c r="L35" s="35" t="n">
        <v>200</v>
      </c>
      <c r="M35" s="35" t="n">
        <v>200</v>
      </c>
      <c r="N35" s="36" t="n">
        <f aca="false">IF(L35=0,"",M35/L35)</f>
        <v>1</v>
      </c>
      <c r="O35" s="36" t="n">
        <f aca="false">IFERROR((IF(N35="",0,N35*前提・入力!$B$5)+IF(K35="",0,K35*前提・入力!$B$6)+IF(H35="",0,H35*前提・入力!$B$7))/(IF(N35="",0,前提・入力!$B$5)+IF(K35="",0,前提・入力!$B$6)+IF(H35="",0,前提・入力!$B$7)),前提・入力!$B$10)</f>
        <v>1.20553499931574</v>
      </c>
      <c r="P35" s="35" t="n">
        <f aca="false">ROUND(E35*O35,0)</f>
        <v>107</v>
      </c>
      <c r="Q35" s="34" t="n">
        <f aca="false">P35*D35</f>
        <v>160500</v>
      </c>
      <c r="R35" s="37" t="n">
        <f aca="false">IFERROR(P35/P$49,0)</f>
        <v>0.0122425629290618</v>
      </c>
      <c r="S35" s="35" t="n">
        <v>160</v>
      </c>
      <c r="T35" s="37" t="n">
        <f aca="false">IFERROR(P35/S35,0)</f>
        <v>0.66875</v>
      </c>
      <c r="U35" s="35" t="n">
        <f aca="false">MAX(0,S35-P35)</f>
        <v>53</v>
      </c>
      <c r="V35" s="38" t="n">
        <f aca="false">P35-S35</f>
        <v>-53</v>
      </c>
      <c r="W35" s="39" t="str">
        <f aca="false">IF(V35&gt;0,"会期中に在庫切れ",IF(T35&gt;=0.9,"要注意(90%超)",IF(T35&gt;=0.5,"適正","在庫余剰")))</f>
        <v>適正</v>
      </c>
    </row>
    <row r="36" customFormat="false" ht="15" hidden="false" customHeight="false" outlineLevel="0" collapsed="false">
      <c r="A36" s="32" t="n">
        <v>30</v>
      </c>
      <c r="B36" s="32" t="s">
        <v>334</v>
      </c>
      <c r="C36" s="33" t="s">
        <v>335</v>
      </c>
      <c r="D36" s="34" t="n">
        <v>3300</v>
      </c>
      <c r="E36" s="35" t="n">
        <v>29</v>
      </c>
      <c r="F36" s="35" t="n">
        <v>90</v>
      </c>
      <c r="G36" s="35" t="n">
        <v>169</v>
      </c>
      <c r="H36" s="36" t="n">
        <f aca="false">IF(F36=0,"",G36*(1+前提・入力!$B$9)/F36)</f>
        <v>1.96845948027903</v>
      </c>
      <c r="I36" s="35" t="n">
        <v>26</v>
      </c>
      <c r="J36" s="35" t="n">
        <v>63</v>
      </c>
      <c r="K36" s="36" t="n">
        <f aca="false">IF(I36=0,"",J36/I36)</f>
        <v>2.42307692307692</v>
      </c>
      <c r="L36" s="35" t="n">
        <v>94</v>
      </c>
      <c r="M36" s="35" t="n">
        <v>205</v>
      </c>
      <c r="N36" s="36" t="n">
        <f aca="false">IF(L36=0,"",M36/L36)</f>
        <v>2.18085106382979</v>
      </c>
      <c r="O36" s="36" t="n">
        <f aca="false">IFERROR((IF(N36="",0,N36*前提・入力!$B$5)+IF(K36="",0,K36*前提・入力!$B$6)+IF(H36="",0,H36*前提・入力!$B$7))/(IF(N36="",0,前提・入力!$B$5)+IF(K36="",0,前提・入力!$B$6)+IF(H36="",0,前提・入力!$B$7)),前提・入力!$B$10)</f>
        <v>2.18830963275388</v>
      </c>
      <c r="P36" s="35" t="n">
        <f aca="false">ROUND(E36*O36,0)</f>
        <v>63</v>
      </c>
      <c r="Q36" s="34" t="n">
        <f aca="false">P36*D36</f>
        <v>207900</v>
      </c>
      <c r="R36" s="37" t="n">
        <f aca="false">IFERROR(P36/P$49,0)</f>
        <v>0.00720823798627002</v>
      </c>
      <c r="S36" s="35" t="n">
        <v>250</v>
      </c>
      <c r="T36" s="37" t="n">
        <f aca="false">IFERROR(P36/S36,0)</f>
        <v>0.252</v>
      </c>
      <c r="U36" s="35" t="n">
        <f aca="false">MAX(0,S36-P36)</f>
        <v>187</v>
      </c>
      <c r="V36" s="38" t="n">
        <f aca="false">P36-S36</f>
        <v>-187</v>
      </c>
      <c r="W36" s="39" t="str">
        <f aca="false">IF(V36&gt;0,"会期中に在庫切れ",IF(T36&gt;=0.9,"要注意(90%超)",IF(T36&gt;=0.5,"適正","在庫余剰")))</f>
        <v>在庫余剰</v>
      </c>
    </row>
    <row r="37" customFormat="false" ht="15" hidden="false" customHeight="false" outlineLevel="0" collapsed="false">
      <c r="A37" s="32" t="n">
        <v>31</v>
      </c>
      <c r="B37" s="32" t="s">
        <v>336</v>
      </c>
      <c r="C37" s="33" t="s">
        <v>337</v>
      </c>
      <c r="D37" s="34" t="n">
        <v>1300</v>
      </c>
      <c r="E37" s="35" t="n">
        <v>51</v>
      </c>
      <c r="F37" s="35" t="n">
        <v>148</v>
      </c>
      <c r="G37" s="35" t="n">
        <v>235</v>
      </c>
      <c r="H37" s="36" t="n">
        <f aca="false">IF(F37=0,"",G37*(1+前提・入力!$B$9)/F37)</f>
        <v>1.66451775179519</v>
      </c>
      <c r="I37" s="35" t="n">
        <v>96</v>
      </c>
      <c r="J37" s="35" t="n">
        <v>160</v>
      </c>
      <c r="K37" s="36" t="n">
        <f aca="false">IF(I37=0,"",J37/I37)</f>
        <v>1.66666666666667</v>
      </c>
      <c r="L37" s="35" t="n">
        <v>247</v>
      </c>
      <c r="M37" s="35" t="n">
        <v>427</v>
      </c>
      <c r="N37" s="36" t="n">
        <f aca="false">IF(L37=0,"",M37/L37)</f>
        <v>1.72874493927126</v>
      </c>
      <c r="O37" s="36" t="n">
        <f aca="false">IFERROR((IF(N37="",0,N37*前提・入力!$B$5)+IF(K37="",0,K37*前提・入力!$B$6)+IF(H37="",0,H37*前提・入力!$B$7))/(IF(N37="",0,前提・入力!$B$5)+IF(K37="",0,前提・入力!$B$6)+IF(H37="",0,前提・入力!$B$7)),前提・入力!$B$10)</f>
        <v>1.69716857425109</v>
      </c>
      <c r="P37" s="35" t="n">
        <f aca="false">ROUND(E37*O37,0)</f>
        <v>87</v>
      </c>
      <c r="Q37" s="34" t="n">
        <f aca="false">P37*D37</f>
        <v>113100</v>
      </c>
      <c r="R37" s="37" t="n">
        <f aca="false">IFERROR(P37/P$49,0)</f>
        <v>0.00995423340961098</v>
      </c>
      <c r="S37" s="35" t="n">
        <v>200</v>
      </c>
      <c r="T37" s="37" t="n">
        <f aca="false">IFERROR(P37/S37,0)</f>
        <v>0.435</v>
      </c>
      <c r="U37" s="35" t="n">
        <f aca="false">MAX(0,S37-P37)</f>
        <v>113</v>
      </c>
      <c r="V37" s="38" t="n">
        <f aca="false">P37-S37</f>
        <v>-113</v>
      </c>
      <c r="W37" s="39" t="str">
        <f aca="false">IF(V37&gt;0,"会期中に在庫切れ",IF(T37&gt;=0.9,"要注意(90%超)",IF(T37&gt;=0.5,"適正","在庫余剰")))</f>
        <v>在庫余剰</v>
      </c>
    </row>
    <row r="38" customFormat="false" ht="15" hidden="false" customHeight="false" outlineLevel="0" collapsed="false">
      <c r="A38" s="32" t="n">
        <v>32</v>
      </c>
      <c r="B38" s="32" t="s">
        <v>338</v>
      </c>
      <c r="C38" s="33" t="s">
        <v>339</v>
      </c>
      <c r="D38" s="34" t="n">
        <v>8800</v>
      </c>
      <c r="E38" s="35" t="n">
        <v>10</v>
      </c>
      <c r="F38" s="35" t="n">
        <v>36</v>
      </c>
      <c r="G38" s="35" t="n">
        <v>36</v>
      </c>
      <c r="H38" s="36" t="n">
        <f aca="false">IF(F38=0,"",G38*(1+前提・入力!$B$9)/F38)</f>
        <v>1.04829203091782</v>
      </c>
      <c r="I38" s="35" t="n">
        <v>30</v>
      </c>
      <c r="J38" s="35" t="n">
        <v>30</v>
      </c>
      <c r="K38" s="36" t="n">
        <f aca="false">IF(I38=0,"",J38/I38)</f>
        <v>1</v>
      </c>
      <c r="L38" s="35" t="n">
        <v>40</v>
      </c>
      <c r="M38" s="35" t="n">
        <v>40</v>
      </c>
      <c r="N38" s="36" t="n">
        <f aca="false">IF(L38=0,"",M38/L38)</f>
        <v>1</v>
      </c>
      <c r="O38" s="36" t="n">
        <f aca="false">IFERROR((IF(N38="",0,N38*前提・入力!$B$5)+IF(K38="",0,K38*前提・入力!$B$6)+IF(H38="",0,H38*前提・入力!$B$7))/(IF(N38="",0,前提・入力!$B$5)+IF(K38="",0,前提・入力!$B$6)+IF(H38="",0,前提・入力!$B$7)),前提・入力!$B$10)</f>
        <v>1.01207300772946</v>
      </c>
      <c r="P38" s="35" t="n">
        <f aca="false">ROUND(E38*O38,0)</f>
        <v>10</v>
      </c>
      <c r="Q38" s="34" t="n">
        <f aca="false">P38*D38</f>
        <v>88000</v>
      </c>
      <c r="R38" s="37" t="n">
        <f aca="false">IFERROR(P38/P$49,0)</f>
        <v>0.0011441647597254</v>
      </c>
      <c r="S38" s="35" t="n">
        <v>10</v>
      </c>
      <c r="T38" s="37" t="n">
        <f aca="false">IFERROR(P38/S38,0)</f>
        <v>1</v>
      </c>
      <c r="U38" s="35" t="n">
        <f aca="false">MAX(0,S38-P38)</f>
        <v>0</v>
      </c>
      <c r="V38" s="38" t="n">
        <f aca="false">P38-S38</f>
        <v>0</v>
      </c>
      <c r="W38" s="39" t="str">
        <f aca="false">IF(V38&gt;0,"会期中に在庫切れ",IF(T38&gt;=0.9,"要注意(90%超)",IF(T38&gt;=0.5,"適正","在庫余剰")))</f>
        <v>要注意(90%超)</v>
      </c>
    </row>
    <row r="39" customFormat="false" ht="15" hidden="false" customHeight="false" outlineLevel="0" collapsed="false">
      <c r="A39" s="32" t="n">
        <v>33</v>
      </c>
      <c r="B39" s="32" t="s">
        <v>340</v>
      </c>
      <c r="C39" s="33" t="s">
        <v>341</v>
      </c>
      <c r="D39" s="34" t="n">
        <v>27500</v>
      </c>
      <c r="E39" s="35" t="n">
        <v>0</v>
      </c>
      <c r="F39" s="35" t="n">
        <v>31</v>
      </c>
      <c r="G39" s="35" t="n">
        <v>37</v>
      </c>
      <c r="H39" s="36" t="n">
        <f aca="false">IF(F39=0,"",G39*(1+前提・入力!$B$9)/F39)</f>
        <v>1.25118726270837</v>
      </c>
      <c r="I39" s="35" t="n">
        <v>8</v>
      </c>
      <c r="J39" s="35" t="n">
        <v>13</v>
      </c>
      <c r="K39" s="36" t="n">
        <f aca="false">IF(I39=0,"",J39/I39)</f>
        <v>1.625</v>
      </c>
      <c r="L39" s="35" t="n">
        <v>14</v>
      </c>
      <c r="M39" s="35" t="n">
        <v>21</v>
      </c>
      <c r="N39" s="36" t="n">
        <f aca="false">IF(L39=0,"",M39/L39)</f>
        <v>1.5</v>
      </c>
      <c r="O39" s="36" t="n">
        <f aca="false">IFERROR((IF(N39="",0,N39*前提・入力!$B$5)+IF(K39="",0,K39*前提・入力!$B$6)+IF(H39="",0,H39*前提・入力!$B$7))/(IF(N39="",0,前提・入力!$B$5)+IF(K39="",0,前提・入力!$B$6)+IF(H39="",0,前提・入力!$B$7)),前提・入力!$B$10)</f>
        <v>1.46904681567709</v>
      </c>
      <c r="P39" s="35" t="n">
        <f aca="false">ROUND(E39*O39,0)</f>
        <v>0</v>
      </c>
      <c r="Q39" s="34" t="n">
        <f aca="false">P39*D39</f>
        <v>0</v>
      </c>
      <c r="R39" s="37" t="n">
        <f aca="false">IFERROR(P39/P$49,0)</f>
        <v>0</v>
      </c>
      <c r="S39" s="35" t="n">
        <v>15</v>
      </c>
      <c r="T39" s="37" t="n">
        <f aca="false">IFERROR(P39/S39,0)</f>
        <v>0</v>
      </c>
      <c r="U39" s="35" t="n">
        <f aca="false">MAX(0,S39-P39)</f>
        <v>15</v>
      </c>
      <c r="V39" s="38" t="n">
        <f aca="false">P39-S39</f>
        <v>-15</v>
      </c>
      <c r="W39" s="39" t="str">
        <f aca="false">IF(V39&gt;0,"会期中に在庫切れ",IF(T39&gt;=0.9,"要注意(90%超)",IF(T39&gt;=0.5,"適正","在庫余剰")))</f>
        <v>在庫余剰</v>
      </c>
    </row>
    <row r="40" customFormat="false" ht="15" hidden="false" customHeight="false" outlineLevel="0" collapsed="false">
      <c r="A40" s="32" t="n">
        <v>34</v>
      </c>
      <c r="B40" s="32" t="s">
        <v>342</v>
      </c>
      <c r="C40" s="33" t="s">
        <v>343</v>
      </c>
      <c r="D40" s="34" t="n">
        <v>27500</v>
      </c>
      <c r="E40" s="35" t="n">
        <v>1</v>
      </c>
      <c r="F40" s="35" t="n">
        <v>3</v>
      </c>
      <c r="G40" s="35" t="n">
        <v>3</v>
      </c>
      <c r="H40" s="36" t="n">
        <f aca="false">IF(F40=0,"",G40*(1+前提・入力!$B$9)/F40)</f>
        <v>1.04829203091782</v>
      </c>
      <c r="I40" s="35" t="n">
        <v>3</v>
      </c>
      <c r="J40" s="35" t="n">
        <v>3</v>
      </c>
      <c r="K40" s="36" t="n">
        <f aca="false">IF(I40=0,"",J40/I40)</f>
        <v>1</v>
      </c>
      <c r="L40" s="35" t="n">
        <v>3</v>
      </c>
      <c r="M40" s="35" t="n">
        <v>3</v>
      </c>
      <c r="N40" s="36" t="n">
        <f aca="false">IF(L40=0,"",M40/L40)</f>
        <v>1</v>
      </c>
      <c r="O40" s="36" t="n">
        <f aca="false">IFERROR((IF(N40="",0,N40*前提・入力!$B$5)+IF(K40="",0,K40*前提・入力!$B$6)+IF(H40="",0,H40*前提・入力!$B$7))/(IF(N40="",0,前提・入力!$B$5)+IF(K40="",0,前提・入力!$B$6)+IF(H40="",0,前提・入力!$B$7)),前提・入力!$B$10)</f>
        <v>1.01207300772946</v>
      </c>
      <c r="P40" s="35" t="n">
        <f aca="false">ROUND(E40*O40,0)</f>
        <v>1</v>
      </c>
      <c r="Q40" s="34" t="n">
        <f aca="false">P40*D40</f>
        <v>27500</v>
      </c>
      <c r="R40" s="37" t="n">
        <f aca="false">IFERROR(P40/P$49,0)</f>
        <v>0.00011441647597254</v>
      </c>
      <c r="S40" s="35" t="n">
        <v>2</v>
      </c>
      <c r="T40" s="37" t="n">
        <f aca="false">IFERROR(P40/S40,0)</f>
        <v>0.5</v>
      </c>
      <c r="U40" s="35" t="n">
        <f aca="false">MAX(0,S40-P40)</f>
        <v>1</v>
      </c>
      <c r="V40" s="38" t="n">
        <f aca="false">P40-S40</f>
        <v>-1</v>
      </c>
      <c r="W40" s="39" t="str">
        <f aca="false">IF(V40&gt;0,"会期中に在庫切れ",IF(T40&gt;=0.9,"要注意(90%超)",IF(T40&gt;=0.5,"適正","在庫余剰")))</f>
        <v>適正</v>
      </c>
    </row>
    <row r="41" customFormat="false" ht="15" hidden="false" customHeight="false" outlineLevel="0" collapsed="false">
      <c r="A41" s="32" t="n">
        <v>35</v>
      </c>
      <c r="B41" s="32" t="s">
        <v>344</v>
      </c>
      <c r="C41" s="33" t="s">
        <v>345</v>
      </c>
      <c r="D41" s="34" t="n">
        <v>27500</v>
      </c>
      <c r="E41" s="35" t="n">
        <v>0</v>
      </c>
      <c r="F41" s="35" t="n">
        <v>3</v>
      </c>
      <c r="G41" s="35" t="n">
        <v>3</v>
      </c>
      <c r="H41" s="36" t="n">
        <f aca="false">IF(F41=0,"",G41*(1+前提・入力!$B$9)/F41)</f>
        <v>1.04829203091782</v>
      </c>
      <c r="I41" s="35" t="n">
        <v>3</v>
      </c>
      <c r="J41" s="35" t="n">
        <v>3</v>
      </c>
      <c r="K41" s="36" t="n">
        <f aca="false">IF(I41=0,"",J41/I41)</f>
        <v>1</v>
      </c>
      <c r="L41" s="35" t="n">
        <v>3</v>
      </c>
      <c r="M41" s="35" t="n">
        <v>3</v>
      </c>
      <c r="N41" s="36" t="n">
        <f aca="false">IF(L41=0,"",M41/L41)</f>
        <v>1</v>
      </c>
      <c r="O41" s="36" t="n">
        <f aca="false">IFERROR((IF(N41="",0,N41*前提・入力!$B$5)+IF(K41="",0,K41*前提・入力!$B$6)+IF(H41="",0,H41*前提・入力!$B$7))/(IF(N41="",0,前提・入力!$B$5)+IF(K41="",0,前提・入力!$B$6)+IF(H41="",0,前提・入力!$B$7)),前提・入力!$B$10)</f>
        <v>1.01207300772946</v>
      </c>
      <c r="P41" s="35" t="n">
        <f aca="false">ROUND(E41*O41,0)</f>
        <v>0</v>
      </c>
      <c r="Q41" s="34" t="n">
        <f aca="false">P41*D41</f>
        <v>0</v>
      </c>
      <c r="R41" s="37" t="n">
        <f aca="false">IFERROR(P41/P$49,0)</f>
        <v>0</v>
      </c>
      <c r="S41" s="35" t="n">
        <v>2</v>
      </c>
      <c r="T41" s="37" t="n">
        <f aca="false">IFERROR(P41/S41,0)</f>
        <v>0</v>
      </c>
      <c r="U41" s="35" t="n">
        <f aca="false">MAX(0,S41-P41)</f>
        <v>2</v>
      </c>
      <c r="V41" s="38" t="n">
        <f aca="false">P41-S41</f>
        <v>-2</v>
      </c>
      <c r="W41" s="39" t="str">
        <f aca="false">IF(V41&gt;0,"会期中に在庫切れ",IF(T41&gt;=0.9,"要注意(90%超)",IF(T41&gt;=0.5,"適正","在庫余剰")))</f>
        <v>在庫余剰</v>
      </c>
    </row>
    <row r="42" customFormat="false" ht="15" hidden="false" customHeight="false" outlineLevel="0" collapsed="false">
      <c r="A42" s="32" t="n">
        <v>36</v>
      </c>
      <c r="B42" s="32" t="s">
        <v>346</v>
      </c>
      <c r="C42" s="33" t="s">
        <v>347</v>
      </c>
      <c r="D42" s="34" t="n">
        <v>27500</v>
      </c>
      <c r="E42" s="35" t="n">
        <v>0</v>
      </c>
      <c r="F42" s="35" t="n">
        <v>3</v>
      </c>
      <c r="G42" s="35" t="n">
        <v>3</v>
      </c>
      <c r="H42" s="36" t="n">
        <f aca="false">IF(F42=0,"",G42*(1+前提・入力!$B$9)/F42)</f>
        <v>1.04829203091782</v>
      </c>
      <c r="I42" s="35" t="n">
        <v>3</v>
      </c>
      <c r="J42" s="35" t="n">
        <v>3</v>
      </c>
      <c r="K42" s="36" t="n">
        <f aca="false">IF(I42=0,"",J42/I42)</f>
        <v>1</v>
      </c>
      <c r="L42" s="35" t="n">
        <v>3</v>
      </c>
      <c r="M42" s="35" t="n">
        <v>3</v>
      </c>
      <c r="N42" s="36" t="n">
        <f aca="false">IF(L42=0,"",M42/L42)</f>
        <v>1</v>
      </c>
      <c r="O42" s="36" t="n">
        <f aca="false">IFERROR((IF(N42="",0,N42*前提・入力!$B$5)+IF(K42="",0,K42*前提・入力!$B$6)+IF(H42="",0,H42*前提・入力!$B$7))/(IF(N42="",0,前提・入力!$B$5)+IF(K42="",0,前提・入力!$B$6)+IF(H42="",0,前提・入力!$B$7)),前提・入力!$B$10)</f>
        <v>1.01207300772946</v>
      </c>
      <c r="P42" s="35" t="n">
        <f aca="false">ROUND(E42*O42,0)</f>
        <v>0</v>
      </c>
      <c r="Q42" s="34" t="n">
        <f aca="false">P42*D42</f>
        <v>0</v>
      </c>
      <c r="R42" s="37" t="n">
        <f aca="false">IFERROR(P42/P$49,0)</f>
        <v>0</v>
      </c>
      <c r="S42" s="35" t="n">
        <v>2</v>
      </c>
      <c r="T42" s="37" t="n">
        <f aca="false">IFERROR(P42/S42,0)</f>
        <v>0</v>
      </c>
      <c r="U42" s="35" t="n">
        <f aca="false">MAX(0,S42-P42)</f>
        <v>2</v>
      </c>
      <c r="V42" s="38" t="n">
        <f aca="false">P42-S42</f>
        <v>-2</v>
      </c>
      <c r="W42" s="39" t="str">
        <f aca="false">IF(V42&gt;0,"会期中に在庫切れ",IF(T42&gt;=0.9,"要注意(90%超)",IF(T42&gt;=0.5,"適正","在庫余剰")))</f>
        <v>在庫余剰</v>
      </c>
    </row>
    <row r="43" customFormat="false" ht="15" hidden="false" customHeight="false" outlineLevel="0" collapsed="false">
      <c r="A43" s="32" t="n">
        <v>37</v>
      </c>
      <c r="B43" s="32" t="s">
        <v>348</v>
      </c>
      <c r="C43" s="33" t="s">
        <v>349</v>
      </c>
      <c r="D43" s="34" t="n">
        <v>27500</v>
      </c>
      <c r="E43" s="35" t="n">
        <v>0</v>
      </c>
      <c r="F43" s="35" t="n">
        <v>14</v>
      </c>
      <c r="G43" s="35" t="n">
        <v>19</v>
      </c>
      <c r="H43" s="36" t="n">
        <f aca="false">IF(F43=0,"",G43*(1+前提・入力!$B$9)/F43)</f>
        <v>1.4226820419599</v>
      </c>
      <c r="I43" s="35" t="n">
        <v>5</v>
      </c>
      <c r="J43" s="35" t="n">
        <v>10</v>
      </c>
      <c r="K43" s="36" t="n">
        <f aca="false">IF(I43=0,"",J43/I43)</f>
        <v>2</v>
      </c>
      <c r="L43" s="35" t="n">
        <v>17</v>
      </c>
      <c r="M43" s="35" t="n">
        <v>26</v>
      </c>
      <c r="N43" s="36" t="n">
        <f aca="false">IF(L43=0,"",M43/L43)</f>
        <v>1.52941176470588</v>
      </c>
      <c r="O43" s="36" t="n">
        <f aca="false">IFERROR((IF(N43="",0,N43*前提・入力!$B$5)+IF(K43="",0,K43*前提・入力!$B$6)+IF(H43="",0,H43*前提・入力!$B$7))/(IF(N43="",0,前提・入力!$B$5)+IF(K43="",0,前提・入力!$B$6)+IF(H43="",0,前提・入力!$B$7)),前提・入力!$B$10)</f>
        <v>1.62037639284292</v>
      </c>
      <c r="P43" s="35" t="n">
        <f aca="false">ROUND(E43*O43,0)</f>
        <v>0</v>
      </c>
      <c r="Q43" s="34" t="n">
        <f aca="false">P43*D43</f>
        <v>0</v>
      </c>
      <c r="R43" s="37" t="n">
        <f aca="false">IFERROR(P43/P$49,0)</f>
        <v>0</v>
      </c>
      <c r="S43" s="35" t="n">
        <v>8</v>
      </c>
      <c r="T43" s="37" t="n">
        <f aca="false">IFERROR(P43/S43,0)</f>
        <v>0</v>
      </c>
      <c r="U43" s="35" t="n">
        <f aca="false">MAX(0,S43-P43)</f>
        <v>8</v>
      </c>
      <c r="V43" s="38" t="n">
        <f aca="false">P43-S43</f>
        <v>-8</v>
      </c>
      <c r="W43" s="39" t="str">
        <f aca="false">IF(V43&gt;0,"会期中に在庫切れ",IF(T43&gt;=0.9,"要注意(90%超)",IF(T43&gt;=0.5,"適正","在庫余剰")))</f>
        <v>在庫余剰</v>
      </c>
    </row>
    <row r="44" customFormat="false" ht="15" hidden="false" customHeight="false" outlineLevel="0" collapsed="false">
      <c r="A44" s="32" t="n">
        <v>38</v>
      </c>
      <c r="B44" s="32" t="s">
        <v>350</v>
      </c>
      <c r="C44" s="33" t="s">
        <v>351</v>
      </c>
      <c r="D44" s="34" t="n">
        <v>27500</v>
      </c>
      <c r="E44" s="35" t="n">
        <v>2</v>
      </c>
      <c r="F44" s="35" t="n">
        <v>3</v>
      </c>
      <c r="G44" s="35" t="n">
        <v>3</v>
      </c>
      <c r="H44" s="36" t="n">
        <f aca="false">IF(F44=0,"",G44*(1+前提・入力!$B$9)/F44)</f>
        <v>1.04829203091782</v>
      </c>
      <c r="I44" s="35" t="n">
        <v>3</v>
      </c>
      <c r="J44" s="35" t="n">
        <v>3</v>
      </c>
      <c r="K44" s="36" t="n">
        <f aca="false">IF(I44=0,"",J44/I44)</f>
        <v>1</v>
      </c>
      <c r="L44" s="35" t="n">
        <v>3</v>
      </c>
      <c r="M44" s="35" t="n">
        <v>3</v>
      </c>
      <c r="N44" s="36" t="n">
        <f aca="false">IF(L44=0,"",M44/L44)</f>
        <v>1</v>
      </c>
      <c r="O44" s="36" t="n">
        <f aca="false">IFERROR((IF(N44="",0,N44*前提・入力!$B$5)+IF(K44="",0,K44*前提・入力!$B$6)+IF(H44="",0,H44*前提・入力!$B$7))/(IF(N44="",0,前提・入力!$B$5)+IF(K44="",0,前提・入力!$B$6)+IF(H44="",0,前提・入力!$B$7)),前提・入力!$B$10)</f>
        <v>1.01207300772946</v>
      </c>
      <c r="P44" s="35" t="n">
        <f aca="false">ROUND(E44*O44,0)</f>
        <v>2</v>
      </c>
      <c r="Q44" s="34" t="n">
        <f aca="false">P44*D44</f>
        <v>55000</v>
      </c>
      <c r="R44" s="37" t="n">
        <f aca="false">IFERROR(P44/P$49,0)</f>
        <v>0.00022883295194508</v>
      </c>
      <c r="S44" s="35" t="n">
        <v>2</v>
      </c>
      <c r="T44" s="37" t="n">
        <f aca="false">IFERROR(P44/S44,0)</f>
        <v>1</v>
      </c>
      <c r="U44" s="35" t="n">
        <f aca="false">MAX(0,S44-P44)</f>
        <v>0</v>
      </c>
      <c r="V44" s="38" t="n">
        <f aca="false">P44-S44</f>
        <v>0</v>
      </c>
      <c r="W44" s="39" t="str">
        <f aca="false">IF(V44&gt;0,"会期中に在庫切れ",IF(T44&gt;=0.9,"要注意(90%超)",IF(T44&gt;=0.5,"適正","在庫余剰")))</f>
        <v>要注意(90%超)</v>
      </c>
    </row>
    <row r="45" customFormat="false" ht="15" hidden="false" customHeight="false" outlineLevel="0" collapsed="false">
      <c r="A45" s="32" t="n">
        <v>39</v>
      </c>
      <c r="B45" s="32" t="s">
        <v>352</v>
      </c>
      <c r="C45" s="33" t="s">
        <v>353</v>
      </c>
      <c r="D45" s="34" t="n">
        <v>27500</v>
      </c>
      <c r="E45" s="35" t="n">
        <v>1</v>
      </c>
      <c r="F45" s="35" t="n">
        <v>3</v>
      </c>
      <c r="G45" s="35" t="n">
        <v>3</v>
      </c>
      <c r="H45" s="36" t="n">
        <f aca="false">IF(F45=0,"",G45*(1+前提・入力!$B$9)/F45)</f>
        <v>1.04829203091782</v>
      </c>
      <c r="I45" s="35" t="n">
        <v>2</v>
      </c>
      <c r="J45" s="35" t="n">
        <v>2</v>
      </c>
      <c r="K45" s="36" t="n">
        <f aca="false">IF(I45=0,"",J45/I45)</f>
        <v>1</v>
      </c>
      <c r="L45" s="35" t="n">
        <v>3</v>
      </c>
      <c r="M45" s="35" t="n">
        <v>3</v>
      </c>
      <c r="N45" s="36" t="n">
        <f aca="false">IF(L45=0,"",M45/L45)</f>
        <v>1</v>
      </c>
      <c r="O45" s="36" t="n">
        <f aca="false">IFERROR((IF(N45="",0,N45*前提・入力!$B$5)+IF(K45="",0,K45*前提・入力!$B$6)+IF(H45="",0,H45*前提・入力!$B$7))/(IF(N45="",0,前提・入力!$B$5)+IF(K45="",0,前提・入力!$B$6)+IF(H45="",0,前提・入力!$B$7)),前提・入力!$B$10)</f>
        <v>1.01207300772946</v>
      </c>
      <c r="P45" s="35" t="n">
        <f aca="false">ROUND(E45*O45,0)</f>
        <v>1</v>
      </c>
      <c r="Q45" s="34" t="n">
        <f aca="false">P45*D45</f>
        <v>27500</v>
      </c>
      <c r="R45" s="37" t="n">
        <f aca="false">IFERROR(P45/P$49,0)</f>
        <v>0.00011441647597254</v>
      </c>
      <c r="S45" s="35" t="n">
        <v>2</v>
      </c>
      <c r="T45" s="37" t="n">
        <f aca="false">IFERROR(P45/S45,0)</f>
        <v>0.5</v>
      </c>
      <c r="U45" s="35" t="n">
        <f aca="false">MAX(0,S45-P45)</f>
        <v>1</v>
      </c>
      <c r="V45" s="38" t="n">
        <f aca="false">P45-S45</f>
        <v>-1</v>
      </c>
      <c r="W45" s="39" t="str">
        <f aca="false">IF(V45&gt;0,"会期中に在庫切れ",IF(T45&gt;=0.9,"要注意(90%超)",IF(T45&gt;=0.5,"適正","在庫余剰")))</f>
        <v>適正</v>
      </c>
    </row>
    <row r="46" customFormat="false" ht="15" hidden="false" customHeight="false" outlineLevel="0" collapsed="false">
      <c r="A46" s="32" t="n">
        <v>40</v>
      </c>
      <c r="B46" s="32" t="s">
        <v>354</v>
      </c>
      <c r="C46" s="33" t="s">
        <v>355</v>
      </c>
      <c r="D46" s="34" t="n">
        <v>27500</v>
      </c>
      <c r="E46" s="35" t="n">
        <v>0</v>
      </c>
      <c r="F46" s="35" t="n">
        <v>3</v>
      </c>
      <c r="G46" s="35" t="n">
        <v>3</v>
      </c>
      <c r="H46" s="36" t="n">
        <f aca="false">IF(F46=0,"",G46*(1+前提・入力!$B$9)/F46)</f>
        <v>1.04829203091782</v>
      </c>
      <c r="I46" s="35" t="n">
        <v>3</v>
      </c>
      <c r="J46" s="35" t="n">
        <v>3</v>
      </c>
      <c r="K46" s="36" t="n">
        <f aca="false">IF(I46=0,"",J46/I46)</f>
        <v>1</v>
      </c>
      <c r="L46" s="35" t="n">
        <v>3</v>
      </c>
      <c r="M46" s="35" t="n">
        <v>3</v>
      </c>
      <c r="N46" s="36" t="n">
        <f aca="false">IF(L46=0,"",M46/L46)</f>
        <v>1</v>
      </c>
      <c r="O46" s="36" t="n">
        <f aca="false">IFERROR((IF(N46="",0,N46*前提・入力!$B$5)+IF(K46="",0,K46*前提・入力!$B$6)+IF(H46="",0,H46*前提・入力!$B$7))/(IF(N46="",0,前提・入力!$B$5)+IF(K46="",0,前提・入力!$B$6)+IF(H46="",0,前提・入力!$B$7)),前提・入力!$B$10)</f>
        <v>1.01207300772946</v>
      </c>
      <c r="P46" s="35" t="n">
        <f aca="false">ROUND(E46*O46,0)</f>
        <v>0</v>
      </c>
      <c r="Q46" s="34" t="n">
        <f aca="false">P46*D46</f>
        <v>0</v>
      </c>
      <c r="R46" s="37" t="n">
        <f aca="false">IFERROR(P46/P$49,0)</f>
        <v>0</v>
      </c>
      <c r="S46" s="35" t="n">
        <v>2</v>
      </c>
      <c r="T46" s="37" t="n">
        <f aca="false">IFERROR(P46/S46,0)</f>
        <v>0</v>
      </c>
      <c r="U46" s="35" t="n">
        <f aca="false">MAX(0,S46-P46)</f>
        <v>2</v>
      </c>
      <c r="V46" s="38" t="n">
        <f aca="false">P46-S46</f>
        <v>-2</v>
      </c>
      <c r="W46" s="39" t="str">
        <f aca="false">IF(V46&gt;0,"会期中に在庫切れ",IF(T46&gt;=0.9,"要注意(90%超)",IF(T46&gt;=0.5,"適正","在庫余剰")))</f>
        <v>在庫余剰</v>
      </c>
    </row>
    <row r="47" customFormat="false" ht="15" hidden="false" customHeight="false" outlineLevel="0" collapsed="false">
      <c r="A47" s="32" t="n">
        <v>41</v>
      </c>
      <c r="B47" s="32" t="s">
        <v>356</v>
      </c>
      <c r="C47" s="33" t="s">
        <v>357</v>
      </c>
      <c r="D47" s="34" t="n">
        <v>25000</v>
      </c>
      <c r="E47" s="35" t="n">
        <v>0</v>
      </c>
      <c r="F47" s="35" t="n">
        <v>4</v>
      </c>
      <c r="G47" s="35" t="n">
        <v>5</v>
      </c>
      <c r="H47" s="36" t="n">
        <f aca="false">IF(F47=0,"",G47*(1+前提・入力!$B$9)/F47)</f>
        <v>1.31036503864728</v>
      </c>
      <c r="I47" s="35" t="n">
        <v>1</v>
      </c>
      <c r="J47" s="35" t="n">
        <v>1</v>
      </c>
      <c r="K47" s="36" t="n">
        <f aca="false">IF(I47=0,"",J47/I47)</f>
        <v>1</v>
      </c>
      <c r="L47" s="35" t="n">
        <v>1</v>
      </c>
      <c r="M47" s="35" t="n">
        <v>2</v>
      </c>
      <c r="N47" s="36" t="n">
        <f aca="false">IF(L47=0,"",M47/L47)</f>
        <v>2</v>
      </c>
      <c r="O47" s="36" t="n">
        <f aca="false">IFERROR((IF(N47="",0,N47*前提・入力!$B$5)+IF(K47="",0,K47*前提・入力!$B$6)+IF(H47="",0,H47*前提・入力!$B$7))/(IF(N47="",0,前提・入力!$B$5)+IF(K47="",0,前提・入力!$B$6)+IF(H47="",0,前提・入力!$B$7)),前提・入力!$B$10)</f>
        <v>1.57759125966182</v>
      </c>
      <c r="P47" s="35" t="n">
        <f aca="false">ROUND(E47*O47,0)</f>
        <v>0</v>
      </c>
      <c r="Q47" s="34" t="n">
        <f aca="false">P47*D47</f>
        <v>0</v>
      </c>
      <c r="R47" s="37" t="n">
        <f aca="false">IFERROR(P47/P$49,0)</f>
        <v>0</v>
      </c>
      <c r="S47" s="35" t="n">
        <v>4</v>
      </c>
      <c r="T47" s="37" t="n">
        <f aca="false">IFERROR(P47/S47,0)</f>
        <v>0</v>
      </c>
      <c r="U47" s="35" t="n">
        <f aca="false">MAX(0,S47-P47)</f>
        <v>4</v>
      </c>
      <c r="V47" s="38" t="n">
        <f aca="false">P47-S47</f>
        <v>-4</v>
      </c>
      <c r="W47" s="39" t="str">
        <f aca="false">IF(V47&gt;0,"会期中に在庫切れ",IF(T47&gt;=0.9,"要注意(90%超)",IF(T47&gt;=0.5,"適正","在庫余剰")))</f>
        <v>在庫余剰</v>
      </c>
    </row>
    <row r="48" customFormat="false" ht="15" hidden="false" customHeight="false" outlineLevel="0" collapsed="false">
      <c r="A48" s="32" t="n">
        <v>42</v>
      </c>
      <c r="B48" s="32" t="s">
        <v>358</v>
      </c>
      <c r="C48" s="33" t="s">
        <v>359</v>
      </c>
      <c r="D48" s="34" t="n">
        <v>25000</v>
      </c>
      <c r="E48" s="35" t="n">
        <v>1</v>
      </c>
      <c r="F48" s="35" t="n">
        <v>4</v>
      </c>
      <c r="G48" s="35" t="n">
        <v>8</v>
      </c>
      <c r="H48" s="36" t="n">
        <f aca="false">IF(F48=0,"",G48*(1+前提・入力!$B$9)/F48)</f>
        <v>2.09658406183565</v>
      </c>
      <c r="I48" s="35" t="n">
        <v>1</v>
      </c>
      <c r="J48" s="35" t="n">
        <v>2</v>
      </c>
      <c r="K48" s="36" t="n">
        <f aca="false">IF(I48=0,"",J48/I48)</f>
        <v>2</v>
      </c>
      <c r="L48" s="35" t="n">
        <v>4</v>
      </c>
      <c r="M48" s="35" t="n">
        <v>8</v>
      </c>
      <c r="N48" s="36" t="n">
        <f aca="false">IF(L48=0,"",M48/L48)</f>
        <v>2</v>
      </c>
      <c r="O48" s="36" t="n">
        <f aca="false">IFERROR((IF(N48="",0,N48*前提・入力!$B$5)+IF(K48="",0,K48*前提・入力!$B$6)+IF(H48="",0,H48*前提・入力!$B$7))/(IF(N48="",0,前提・入力!$B$5)+IF(K48="",0,前提・入力!$B$6)+IF(H48="",0,前提・入力!$B$7)),前提・入力!$B$10)</f>
        <v>2.02414601545891</v>
      </c>
      <c r="P48" s="35" t="n">
        <f aca="false">ROUND(E48*O48,0)</f>
        <v>2</v>
      </c>
      <c r="Q48" s="34" t="n">
        <f aca="false">P48*D48</f>
        <v>50000</v>
      </c>
      <c r="R48" s="37" t="n">
        <f aca="false">IFERROR(P48/P$49,0)</f>
        <v>0.00022883295194508</v>
      </c>
      <c r="S48" s="35" t="n">
        <v>6</v>
      </c>
      <c r="T48" s="37" t="n">
        <f aca="false">IFERROR(P48/S48,0)</f>
        <v>0.333333333333333</v>
      </c>
      <c r="U48" s="35" t="n">
        <f aca="false">MAX(0,S48-P48)</f>
        <v>4</v>
      </c>
      <c r="V48" s="38" t="n">
        <f aca="false">P48-S48</f>
        <v>-4</v>
      </c>
      <c r="W48" s="39" t="str">
        <f aca="false">IF(V48&gt;0,"会期中に在庫切れ",IF(T48&gt;=0.9,"要注意(90%超)",IF(T48&gt;=0.5,"適正","在庫余剰")))</f>
        <v>在庫余剰</v>
      </c>
    </row>
    <row r="49" customFormat="false" ht="15" hidden="false" customHeight="false" outlineLevel="0" collapsed="false">
      <c r="A49" s="40"/>
      <c r="B49" s="40"/>
      <c r="C49" s="41" t="s">
        <v>360</v>
      </c>
      <c r="D49" s="40"/>
      <c r="E49" s="42" t="n">
        <f aca="false">SUM(E7:E48)</f>
        <v>5077</v>
      </c>
      <c r="F49" s="42" t="n">
        <f aca="false">SUM(F7:F48)</f>
        <v>38843</v>
      </c>
      <c r="G49" s="42" t="n">
        <f aca="false">SUM(G7:G48)</f>
        <v>58600</v>
      </c>
      <c r="H49" s="40"/>
      <c r="I49" s="42" t="n">
        <f aca="false">SUM(I7:I48)</f>
        <v>15767</v>
      </c>
      <c r="J49" s="42" t="n">
        <f aca="false">SUM(J7:J48)</f>
        <v>33235</v>
      </c>
      <c r="K49" s="40"/>
      <c r="L49" s="42" t="n">
        <f aca="false">SUM(L7:L48)</f>
        <v>38417</v>
      </c>
      <c r="M49" s="42" t="n">
        <f aca="false">SUM(M7:M48)</f>
        <v>63740</v>
      </c>
      <c r="N49" s="40"/>
      <c r="O49" s="43" t="n">
        <f aca="false">IFERROR(P49/E49,0)</f>
        <v>1.72148906834745</v>
      </c>
      <c r="P49" s="42" t="n">
        <f aca="false">SUM(P7:P48)</f>
        <v>8740</v>
      </c>
      <c r="Q49" s="44" t="n">
        <f aca="false">SUM(Q7:Q48)</f>
        <v>6680400</v>
      </c>
      <c r="R49" s="45" t="n">
        <v>1</v>
      </c>
      <c r="S49" s="42" t="n">
        <f aca="false">SUM(S7:S48)</f>
        <v>50506</v>
      </c>
      <c r="T49" s="45" t="n">
        <f aca="false">IFERROR(P49/S49,0)</f>
        <v>0.173048746683562</v>
      </c>
      <c r="U49" s="42" t="n">
        <f aca="false">SUM(U7:U48)</f>
        <v>41768</v>
      </c>
      <c r="V49" s="46" t="n">
        <f aca="false">SUM(V7:V48)</f>
        <v>-41766</v>
      </c>
      <c r="W49" s="40" t="str">
        <f aca="false">COUNTIF(W7:W48,"会期中に在庫切れ")&amp;"品目"</f>
        <v>1品目</v>
      </c>
    </row>
  </sheetData>
  <conditionalFormatting sqref="W7:W48">
    <cfRule type="expression" priority="2" aboveAverage="0" equalAverage="0" bottom="0" percent="0" rank="0" text="" dxfId="0">
      <formula>$W7="会期中に在庫切れ"</formula>
    </cfRule>
    <cfRule type="expression" priority="3" aboveAverage="0" equalAverage="0" bottom="0" percent="0" rank="0" text="" dxfId="1">
      <formula>$W7="要注意(90%超)"</formula>
    </cfRule>
    <cfRule type="expression" priority="4" aboveAverage="0" equalAverage="0" bottom="0" percent="0" rank="0" text="" dxfId="2">
      <formula>$W7="適正"</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6" min="3" style="0" width="15"/>
    <col collapsed="false" customWidth="true" hidden="false" outlineLevel="0" max="7" min="7" style="0" width="52"/>
    <col collapsed="false" customWidth="true" hidden="false" outlineLevel="0" max="13" min="8" style="0" width="15"/>
  </cols>
  <sheetData>
    <row r="1" customFormat="false" ht="20.1" hidden="false" customHeight="false" outlineLevel="0" collapsed="false">
      <c r="A1" s="1" t="s">
        <v>361</v>
      </c>
    </row>
    <row r="2" customFormat="false" ht="15" hidden="false" customHeight="false" outlineLevel="0" collapsed="false">
      <c r="A2" s="3" t="s">
        <v>362</v>
      </c>
    </row>
    <row r="4" customFormat="false" ht="15" hidden="false" customHeight="false" outlineLevel="0" collapsed="false">
      <c r="A4" s="4" t="s">
        <v>363</v>
      </c>
    </row>
    <row r="5" customFormat="false" ht="33.75" hidden="false" customHeight="true" outlineLevel="0" collapsed="false">
      <c r="A5" s="26" t="s">
        <v>364</v>
      </c>
      <c r="B5" s="26" t="s">
        <v>365</v>
      </c>
      <c r="C5" s="47" t="s">
        <v>366</v>
      </c>
      <c r="D5" s="28" t="s">
        <v>367</v>
      </c>
      <c r="E5" s="29" t="s">
        <v>368</v>
      </c>
      <c r="F5" s="30" t="s">
        <v>369</v>
      </c>
      <c r="G5" s="27" t="s">
        <v>370</v>
      </c>
      <c r="H5" s="27" t="s">
        <v>371</v>
      </c>
      <c r="I5" s="48" t="s">
        <v>372</v>
      </c>
      <c r="J5" s="48" t="s">
        <v>373</v>
      </c>
      <c r="K5" s="48" t="s">
        <v>374</v>
      </c>
      <c r="L5" s="48" t="s">
        <v>375</v>
      </c>
      <c r="M5" s="48" t="s">
        <v>376</v>
      </c>
    </row>
    <row r="6" customFormat="false" ht="39.75" hidden="false" customHeight="true" outlineLevel="0" collapsed="false">
      <c r="A6" s="49" t="s">
        <v>377</v>
      </c>
      <c r="B6" s="32"/>
      <c r="C6" s="22" t="s">
        <v>378</v>
      </c>
      <c r="D6" s="22" t="s">
        <v>379</v>
      </c>
      <c r="E6" s="22" t="s">
        <v>380</v>
      </c>
      <c r="F6" s="22" t="s">
        <v>381</v>
      </c>
      <c r="G6" s="22" t="s">
        <v>382</v>
      </c>
      <c r="H6" s="50" t="s">
        <v>383</v>
      </c>
      <c r="I6" s="50" t="s">
        <v>384</v>
      </c>
      <c r="J6" s="50" t="s">
        <v>385</v>
      </c>
      <c r="K6" s="50" t="s">
        <v>386</v>
      </c>
      <c r="L6" s="50" t="s">
        <v>387</v>
      </c>
      <c r="M6" s="50" t="s">
        <v>388</v>
      </c>
    </row>
    <row r="7" customFormat="false" ht="15" hidden="false" customHeight="false" outlineLevel="0" collapsed="false">
      <c r="A7" s="49" t="s">
        <v>389</v>
      </c>
      <c r="B7" s="32"/>
      <c r="C7" s="35" t="n">
        <v>25</v>
      </c>
      <c r="D7" s="35" t="n">
        <v>19</v>
      </c>
      <c r="E7" s="35" t="n">
        <v>26</v>
      </c>
      <c r="F7" s="35" t="n">
        <v>20</v>
      </c>
      <c r="G7" s="35" t="n">
        <v>20</v>
      </c>
      <c r="H7" s="32" t="n">
        <v>20</v>
      </c>
      <c r="I7" s="32" t="n">
        <v>18</v>
      </c>
      <c r="J7" s="32" t="n">
        <v>30</v>
      </c>
      <c r="K7" s="32" t="n">
        <v>21</v>
      </c>
      <c r="L7" s="32" t="n">
        <v>21</v>
      </c>
      <c r="M7" s="32" t="n">
        <v>25</v>
      </c>
    </row>
    <row r="8" customFormat="false" ht="15" hidden="false" customHeight="false" outlineLevel="0" collapsed="false">
      <c r="A8" s="49" t="s">
        <v>390</v>
      </c>
      <c r="B8" s="32"/>
      <c r="C8" s="35" t="n">
        <v>25</v>
      </c>
      <c r="D8" s="35" t="n">
        <v>19</v>
      </c>
      <c r="E8" s="35" t="n">
        <v>26</v>
      </c>
      <c r="F8" s="35" t="n">
        <v>20</v>
      </c>
      <c r="G8" s="35" t="n">
        <v>8</v>
      </c>
      <c r="H8" s="39" t="s">
        <v>391</v>
      </c>
      <c r="I8" s="39" t="s">
        <v>391</v>
      </c>
      <c r="J8" s="39" t="s">
        <v>391</v>
      </c>
      <c r="K8" s="39" t="s">
        <v>391</v>
      </c>
      <c r="L8" s="39" t="s">
        <v>391</v>
      </c>
      <c r="M8" s="39" t="s">
        <v>391</v>
      </c>
    </row>
    <row r="9" customFormat="false" ht="15" hidden="false" customHeight="false" outlineLevel="0" collapsed="false">
      <c r="A9" s="49" t="s">
        <v>392</v>
      </c>
      <c r="B9" s="32"/>
      <c r="C9" s="35" t="n">
        <v>47339</v>
      </c>
      <c r="D9" s="35" t="n">
        <v>19764</v>
      </c>
      <c r="E9" s="35" t="n">
        <v>18993</v>
      </c>
      <c r="F9" s="35" t="n">
        <v>31267</v>
      </c>
      <c r="G9" s="35" t="n">
        <v>3880</v>
      </c>
      <c r="H9" s="35" t="n">
        <v>7784</v>
      </c>
      <c r="I9" s="32"/>
      <c r="J9" s="32"/>
      <c r="K9" s="32"/>
      <c r="L9" s="32"/>
      <c r="M9" s="32"/>
    </row>
    <row r="10" customFormat="false" ht="15" hidden="false" customHeight="false" outlineLevel="0" collapsed="false">
      <c r="A10" s="49" t="s">
        <v>393</v>
      </c>
      <c r="B10" s="32"/>
      <c r="C10" s="35" t="n">
        <v>383342</v>
      </c>
      <c r="D10" s="35" t="n">
        <v>169802</v>
      </c>
      <c r="E10" s="35" t="n">
        <v>112198</v>
      </c>
      <c r="F10" s="35" t="n">
        <v>238658</v>
      </c>
      <c r="G10" s="35" t="n">
        <v>22685</v>
      </c>
      <c r="H10" s="35" t="n">
        <f aca="false">G10*1.642236</f>
        <v>37254.12366</v>
      </c>
      <c r="I10" s="35" t="n">
        <f aca="false">前提・入力!$B$13*前提・入力!$B$23</f>
        <v>42167.62</v>
      </c>
      <c r="J10" s="35" t="n">
        <f aca="false">前提・入力!$B$13*前提・入力!$B$24</f>
        <v>49834.46</v>
      </c>
      <c r="K10" s="35" t="n">
        <f aca="false">前提・入力!$B$13*前提・入力!$B$25</f>
        <v>46001.04</v>
      </c>
      <c r="L10" s="35" t="n">
        <f aca="false">前提・入力!$B$13*前提・入力!$B$26</f>
        <v>34500.78</v>
      </c>
      <c r="M10" s="35" t="n">
        <f aca="false">前提・入力!$B$13*前提・入力!$B$27</f>
        <v>191671</v>
      </c>
    </row>
    <row r="11" customFormat="false" ht="15" hidden="false" customHeight="false" outlineLevel="0" collapsed="false">
      <c r="A11" s="49" t="s">
        <v>394</v>
      </c>
      <c r="B11" s="32"/>
      <c r="C11" s="34" t="n">
        <v>358193925</v>
      </c>
      <c r="D11" s="34" t="n">
        <v>138575410</v>
      </c>
      <c r="E11" s="34" t="n">
        <v>105540655</v>
      </c>
      <c r="F11" s="34" t="n">
        <v>215184570</v>
      </c>
      <c r="G11" s="34" t="n">
        <v>22859680</v>
      </c>
      <c r="H11" s="34" t="n">
        <f aca="false">G11*1.591259</f>
        <v>36375671.53712</v>
      </c>
      <c r="I11" s="34" t="n">
        <f aca="false">前提・入力!$B$12*前提・入力!$B$23</f>
        <v>39401331.75</v>
      </c>
      <c r="J11" s="34" t="n">
        <f aca="false">前提・入力!$B$12*前提・入力!$B$24</f>
        <v>46565210.25</v>
      </c>
      <c r="K11" s="34" t="n">
        <f aca="false">前提・入力!$B$12*前提・入力!$B$25</f>
        <v>42983271</v>
      </c>
      <c r="L11" s="34" t="n">
        <f aca="false">前提・入力!$B$12*前提・入力!$B$26</f>
        <v>32237453.25</v>
      </c>
      <c r="M11" s="34" t="n">
        <f aca="false">前提・入力!$B$12*前提・入力!$B$27</f>
        <v>179096962.5</v>
      </c>
    </row>
    <row r="12" customFormat="false" ht="15" hidden="false" customHeight="false" outlineLevel="0" collapsed="false">
      <c r="A12" s="51" t="s">
        <v>395</v>
      </c>
      <c r="B12" s="32"/>
      <c r="C12" s="35" t="n">
        <v>148185</v>
      </c>
      <c r="D12" s="35" t="n">
        <v>58600</v>
      </c>
      <c r="E12" s="35" t="n">
        <v>44871</v>
      </c>
      <c r="F12" s="35" t="n">
        <v>63740</v>
      </c>
      <c r="G12" s="35" t="n">
        <v>5077</v>
      </c>
      <c r="H12" s="35" t="n">
        <f aca="false">①札幌予測確定!P49</f>
        <v>8740</v>
      </c>
      <c r="I12" s="35" t="n">
        <f aca="false">ROUND(I13/前提・入力!$B$31,0)</f>
        <v>9471</v>
      </c>
      <c r="J12" s="35" t="n">
        <f aca="false">ROUND(J13/前提・入力!$B$31,0)</f>
        <v>11193</v>
      </c>
      <c r="K12" s="35" t="n">
        <f aca="false">ROUND(K13/前提・入力!$B$31,0)</f>
        <v>10332</v>
      </c>
      <c r="L12" s="35" t="n">
        <f aca="false">ROUND(L13/前提・入力!$B$31,0)</f>
        <v>7749</v>
      </c>
      <c r="M12" s="35" t="n">
        <f aca="false">ROUND(M13/前提・入力!$B$31,0)</f>
        <v>43051</v>
      </c>
    </row>
    <row r="13" customFormat="false" ht="15" hidden="false" customHeight="false" outlineLevel="0" collapsed="false">
      <c r="A13" s="51" t="s">
        <v>396</v>
      </c>
      <c r="B13" s="32"/>
      <c r="C13" s="34" t="n">
        <v>102186200</v>
      </c>
      <c r="D13" s="34" t="n">
        <v>41479600</v>
      </c>
      <c r="E13" s="34" t="n">
        <v>31026800</v>
      </c>
      <c r="F13" s="34" t="n">
        <v>45507600</v>
      </c>
      <c r="G13" s="34" t="n">
        <v>4058700</v>
      </c>
      <c r="H13" s="34" t="n">
        <f aca="false">①札幌予測確定!Q49</f>
        <v>6680400</v>
      </c>
      <c r="I13" s="34" t="n">
        <f aca="false">I11*前提・入力!$B$30</f>
        <v>7236061.82518229</v>
      </c>
      <c r="J13" s="34" t="n">
        <f aca="false">J11*前提・入力!$B$30</f>
        <v>8551709.42976089</v>
      </c>
      <c r="K13" s="34" t="n">
        <f aca="false">K11*前提・入力!$B$30</f>
        <v>7893885.62747159</v>
      </c>
      <c r="L13" s="34" t="n">
        <f aca="false">L11*前提・入力!$B$30</f>
        <v>5920414.22060369</v>
      </c>
      <c r="M13" s="34" t="n">
        <f aca="false">M11*前提・入力!$B$30</f>
        <v>32891190.114465</v>
      </c>
    </row>
    <row r="14" customFormat="false" ht="15" hidden="false" customHeight="false" outlineLevel="0" collapsed="false">
      <c r="A14" s="51" t="s">
        <v>397</v>
      </c>
      <c r="B14" s="32"/>
      <c r="C14" s="37" t="n">
        <f aca="false">C12/C10</f>
        <v>0.386560825581335</v>
      </c>
      <c r="D14" s="37" t="n">
        <f aca="false">D12/D10</f>
        <v>0.345107831474305</v>
      </c>
      <c r="E14" s="37" t="n">
        <f aca="false">E12/E10</f>
        <v>0.39992691491827</v>
      </c>
      <c r="F14" s="37" t="n">
        <f aca="false">F12/F10</f>
        <v>0.267076737423426</v>
      </c>
      <c r="G14" s="37" t="n">
        <f aca="false">G12/G10</f>
        <v>0.223804275953273</v>
      </c>
      <c r="H14" s="37" t="n">
        <f aca="false">H12/H10</f>
        <v>0.23460490118532</v>
      </c>
      <c r="I14" s="37" t="n">
        <f aca="false">I12/I10</f>
        <v>0.22460361765734</v>
      </c>
      <c r="J14" s="37" t="n">
        <f aca="false">J12/J10</f>
        <v>0.22460361765734</v>
      </c>
      <c r="K14" s="37" t="n">
        <f aca="false">K12/K10</f>
        <v>0.22460361765734</v>
      </c>
      <c r="L14" s="37" t="n">
        <f aca="false">L12/L10</f>
        <v>0.22460361765734</v>
      </c>
      <c r="M14" s="37" t="n">
        <f aca="false">M12/M10</f>
        <v>0.224608834930689</v>
      </c>
    </row>
    <row r="15" customFormat="false" ht="15" hidden="false" customHeight="false" outlineLevel="0" collapsed="false">
      <c r="A15" s="51" t="s">
        <v>398</v>
      </c>
      <c r="B15" s="32"/>
      <c r="C15" s="37" t="n">
        <f aca="false">C13/C11</f>
        <v>0.285281778578461</v>
      </c>
      <c r="D15" s="37" t="n">
        <f aca="false">D13/D11</f>
        <v>0.29932871928721</v>
      </c>
      <c r="E15" s="37" t="n">
        <f aca="false">E13/E11</f>
        <v>0.293979604352465</v>
      </c>
      <c r="F15" s="37" t="n">
        <f aca="false">F13/F11</f>
        <v>0.211481706146496</v>
      </c>
      <c r="G15" s="37" t="n">
        <f aca="false">G13/G11</f>
        <v>0.177548417125699</v>
      </c>
      <c r="H15" s="37" t="n">
        <f aca="false">H13/H11</f>
        <v>0.183650217788637</v>
      </c>
      <c r="I15" s="37" t="n">
        <f aca="false">I13/I11</f>
        <v>0.183650183986035</v>
      </c>
      <c r="J15" s="37" t="n">
        <f aca="false">J13/J11</f>
        <v>0.183650183986035</v>
      </c>
      <c r="K15" s="37" t="n">
        <f aca="false">K13/K11</f>
        <v>0.183650183986035</v>
      </c>
      <c r="L15" s="37" t="n">
        <f aca="false">L13/L11</f>
        <v>0.183650183986035</v>
      </c>
      <c r="M15" s="37" t="n">
        <f aca="false">M13/M11</f>
        <v>0.183650183986035</v>
      </c>
    </row>
    <row r="16" customFormat="false" ht="15" hidden="false" customHeight="false" outlineLevel="0" collapsed="false">
      <c r="A16" s="49" t="s">
        <v>399</v>
      </c>
      <c r="B16" s="32"/>
      <c r="C16" s="37" t="n">
        <f aca="false">C10/$C$10</f>
        <v>1</v>
      </c>
      <c r="D16" s="37" t="n">
        <f aca="false">D10/$C$10</f>
        <v>0.442951724569705</v>
      </c>
      <c r="E16" s="37" t="n">
        <f aca="false">E10/$C$10</f>
        <v>0.292683817583255</v>
      </c>
      <c r="F16" s="37" t="n">
        <f aca="false">F10/$C$10</f>
        <v>0.622572011415394</v>
      </c>
      <c r="G16" s="37" t="n">
        <f aca="false">G10/$C$10</f>
        <v>0.0591769229565245</v>
      </c>
      <c r="H16" s="37" t="n">
        <f aca="false">H10/$C$10</f>
        <v>0.0971824732484309</v>
      </c>
      <c r="I16" s="37" t="n">
        <f aca="false">I10/$C$10</f>
        <v>0.11</v>
      </c>
      <c r="J16" s="37" t="n">
        <f aca="false">J10/$C$10</f>
        <v>0.13</v>
      </c>
      <c r="K16" s="37" t="n">
        <f aca="false">K10/$C$10</f>
        <v>0.12</v>
      </c>
      <c r="L16" s="37" t="n">
        <f aca="false">L10/$C$10</f>
        <v>0.09</v>
      </c>
      <c r="M16" s="37" t="n">
        <f aca="false">M10/$C$10</f>
        <v>0.5</v>
      </c>
    </row>
    <row r="17" customFormat="false" ht="15" hidden="false" customHeight="false" outlineLevel="0" collapsed="false">
      <c r="A17" s="49" t="s">
        <v>400</v>
      </c>
      <c r="B17" s="39" t="s">
        <v>401</v>
      </c>
      <c r="C17" s="37" t="n">
        <f aca="false">C11/$C$11</f>
        <v>1</v>
      </c>
      <c r="D17" s="37" t="n">
        <f aca="false">D11/$C$11</f>
        <v>0.386872585848574</v>
      </c>
      <c r="E17" s="37" t="n">
        <f aca="false">E11/$C$11</f>
        <v>0.294646691732698</v>
      </c>
      <c r="F17" s="37" t="n">
        <f aca="false">F11/$C$11</f>
        <v>0.600748798294108</v>
      </c>
      <c r="G17" s="37" t="n">
        <f aca="false">G11/$C$11</f>
        <v>0.0638192844839566</v>
      </c>
      <c r="H17" s="37" t="n">
        <f aca="false">H11/$C$11</f>
        <v>0.101553010808656</v>
      </c>
      <c r="I17" s="37" t="n">
        <f aca="false">前提・入力!$B$23</f>
        <v>0.11</v>
      </c>
      <c r="J17" s="37" t="n">
        <f aca="false">前提・入力!$B$24</f>
        <v>0.13</v>
      </c>
      <c r="K17" s="37" t="n">
        <f aca="false">前提・入力!$B$25</f>
        <v>0.12</v>
      </c>
      <c r="L17" s="37" t="n">
        <f aca="false">前提・入力!$B$26</f>
        <v>0.09</v>
      </c>
      <c r="M17" s="37" t="n">
        <f aca="false">前提・入力!$B$27</f>
        <v>0.5</v>
      </c>
    </row>
    <row r="18" customFormat="false" ht="15" hidden="false" customHeight="false" outlineLevel="0" collapsed="false">
      <c r="A18" s="51" t="s">
        <v>402</v>
      </c>
      <c r="B18" s="32"/>
      <c r="C18" s="34" t="n">
        <f aca="false">IFERROR(C13/C12,0)</f>
        <v>689.585315652731</v>
      </c>
      <c r="D18" s="34" t="n">
        <f aca="false">IFERROR(D13/D12,0)</f>
        <v>707.843003412969</v>
      </c>
      <c r="E18" s="34" t="n">
        <f aca="false">IFERROR(E13/E12,0)</f>
        <v>691.466648837779</v>
      </c>
      <c r="F18" s="34" t="n">
        <f aca="false">IFERROR(F13/F12,0)</f>
        <v>713.956699090053</v>
      </c>
      <c r="G18" s="34" t="n">
        <f aca="false">IFERROR(G13/G12,0)</f>
        <v>799.428796533386</v>
      </c>
      <c r="H18" s="34" t="n">
        <f aca="false">H13/H12</f>
        <v>764.347826086957</v>
      </c>
      <c r="I18" s="34" t="n">
        <f aca="false">I13/I12</f>
        <v>764.022999174563</v>
      </c>
      <c r="J18" s="34" t="n">
        <f aca="false">J13/J12</f>
        <v>764.022999174563</v>
      </c>
      <c r="K18" s="34" t="n">
        <f aca="false">K13/K12</f>
        <v>764.022999174563</v>
      </c>
      <c r="L18" s="34" t="n">
        <f aca="false">L13/L12</f>
        <v>764.022999174563</v>
      </c>
      <c r="M18" s="34" t="n">
        <f aca="false">M13/M12</f>
        <v>764.005252246521</v>
      </c>
    </row>
    <row r="21" customFormat="false" ht="15" hidden="false" customHeight="false" outlineLevel="0" collapsed="false">
      <c r="A21" s="4" t="s">
        <v>403</v>
      </c>
    </row>
    <row r="22" customFormat="false" ht="15" hidden="false" customHeight="false" outlineLevel="0" collapsed="false">
      <c r="A22" s="26" t="s">
        <v>404</v>
      </c>
      <c r="B22" s="52"/>
      <c r="C22" s="47" t="s">
        <v>366</v>
      </c>
      <c r="D22" s="28" t="s">
        <v>367</v>
      </c>
      <c r="E22" s="29" t="s">
        <v>368</v>
      </c>
      <c r="F22" s="30" t="s">
        <v>369</v>
      </c>
      <c r="G22" s="27" t="s">
        <v>370</v>
      </c>
    </row>
    <row r="23" customFormat="false" ht="15" hidden="false" customHeight="false" outlineLevel="0" collapsed="false">
      <c r="A23" s="51" t="s">
        <v>405</v>
      </c>
      <c r="B23" s="32"/>
      <c r="C23" s="37" t="n">
        <v>0.285281778578461</v>
      </c>
      <c r="D23" s="37" t="n">
        <v>0.29932871928721</v>
      </c>
      <c r="E23" s="37" t="n">
        <v>0.293979604352465</v>
      </c>
      <c r="F23" s="37" t="n">
        <v>0.211481706146496</v>
      </c>
      <c r="G23" s="37" t="n">
        <v>0.177548417125699</v>
      </c>
    </row>
    <row r="24" customFormat="false" ht="15" hidden="false" customHeight="false" outlineLevel="0" collapsed="false">
      <c r="A24" s="49" t="s">
        <v>406</v>
      </c>
      <c r="B24" s="32"/>
      <c r="C24" s="37" t="n">
        <v>0.533839232477212</v>
      </c>
      <c r="D24" s="37" t="n">
        <v>0.351384419501267</v>
      </c>
      <c r="E24" s="37" t="n">
        <v>0.321055426461016</v>
      </c>
      <c r="F24" s="37" t="n">
        <v>0.418945187380303</v>
      </c>
      <c r="G24" s="37" t="n">
        <v>0.410059545890406</v>
      </c>
    </row>
    <row r="25" customFormat="false" ht="15" hidden="false" customHeight="false" outlineLevel="0" collapsed="false">
      <c r="A25" s="49" t="s">
        <v>407</v>
      </c>
      <c r="B25" s="32"/>
      <c r="C25" s="37" t="n">
        <v>0.092163721090468</v>
      </c>
      <c r="D25" s="37" t="n">
        <v>0.0783654906739948</v>
      </c>
      <c r="E25" s="37" t="n">
        <v>0.0782893094608897</v>
      </c>
      <c r="F25" s="37" t="n">
        <v>0.15216207184372</v>
      </c>
      <c r="G25" s="37" t="n">
        <v>0.161301907988213</v>
      </c>
    </row>
    <row r="26" customFormat="false" ht="15" hidden="false" customHeight="false" outlineLevel="0" collapsed="false">
      <c r="A26" s="51" t="s">
        <v>408</v>
      </c>
      <c r="B26" s="32"/>
      <c r="C26" s="37" t="n">
        <v>0</v>
      </c>
      <c r="D26" s="37" t="n">
        <v>0.236180719219954</v>
      </c>
      <c r="E26" s="37" t="n">
        <v>0.232523476379789</v>
      </c>
      <c r="F26" s="37" t="n">
        <v>0.143011090432739</v>
      </c>
      <c r="G26" s="37" t="n">
        <v>0.183142546177374</v>
      </c>
    </row>
    <row r="27" customFormat="false" ht="15" hidden="false" customHeight="false" outlineLevel="0" collapsed="false">
      <c r="A27" s="51" t="s">
        <v>409</v>
      </c>
      <c r="B27" s="32"/>
      <c r="C27" s="37" t="n">
        <v>0.0332721164938797</v>
      </c>
      <c r="D27" s="37" t="n">
        <v>0.034740651317575</v>
      </c>
      <c r="E27" s="37" t="n">
        <v>0.0741521833458396</v>
      </c>
      <c r="F27" s="37" t="n">
        <v>0.0743999441967424</v>
      </c>
      <c r="G27" s="37" t="n">
        <v>0.0679475828183072</v>
      </c>
    </row>
    <row r="28" customFormat="false" ht="15" hidden="false" customHeight="false" outlineLevel="0" collapsed="false">
      <c r="A28" s="49" t="s">
        <v>410</v>
      </c>
      <c r="B28" s="32"/>
      <c r="C28" s="37" t="n">
        <v>0.0554431513599791</v>
      </c>
      <c r="D28" s="37" t="n">
        <v>0</v>
      </c>
      <c r="E28" s="37" t="n">
        <v>0</v>
      </c>
      <c r="F28" s="37" t="n">
        <v>0</v>
      </c>
      <c r="G28" s="37" t="n">
        <v>0</v>
      </c>
    </row>
    <row r="29" customFormat="false" ht="15" hidden="false" customHeight="false" outlineLevel="0" collapsed="false">
      <c r="A29" s="49" t="s">
        <v>411</v>
      </c>
      <c r="B29" s="32"/>
      <c r="C29" s="37" t="n">
        <v>0</v>
      </c>
      <c r="D29" s="37" t="n">
        <v>0</v>
      </c>
      <c r="E29" s="37" t="n">
        <v>0</v>
      </c>
      <c r="F29" s="37" t="n">
        <v>0</v>
      </c>
      <c r="G29" s="37" t="n">
        <v>0</v>
      </c>
    </row>
    <row r="30" customFormat="false" ht="15" hidden="false" customHeight="false" outlineLevel="0" collapsed="false">
      <c r="A30" s="41" t="s">
        <v>412</v>
      </c>
      <c r="B30" s="40"/>
      <c r="C30" s="45" t="n">
        <f aca="false">SUM(C23:C29)</f>
        <v>1</v>
      </c>
      <c r="D30" s="45" t="n">
        <f aca="false">SUM(D23:D29)</f>
        <v>1</v>
      </c>
      <c r="E30" s="45" t="n">
        <f aca="false">SUM(E23:E29)</f>
        <v>1</v>
      </c>
      <c r="F30" s="45" t="n">
        <f aca="false">SUM(F23:F29)</f>
        <v>1</v>
      </c>
      <c r="G30" s="45" t="n">
        <f aca="false">SUM(G23:G29)</f>
        <v>1</v>
      </c>
    </row>
    <row r="32" customFormat="false" ht="15" hidden="false" customHeight="false" outlineLevel="0" collapsed="false">
      <c r="A32" s="4" t="s">
        <v>413</v>
      </c>
    </row>
    <row r="33" customFormat="false" ht="25.35" hidden="false" customHeight="false" outlineLevel="0" collapsed="false">
      <c r="A33" s="26" t="s">
        <v>414</v>
      </c>
      <c r="B33" s="26"/>
      <c r="C33" s="26" t="s">
        <v>415</v>
      </c>
      <c r="D33" s="26" t="s">
        <v>416</v>
      </c>
      <c r="E33" s="26" t="s">
        <v>417</v>
      </c>
      <c r="F33" s="25" t="s">
        <v>418</v>
      </c>
      <c r="G33" s="26" t="s">
        <v>419</v>
      </c>
    </row>
    <row r="34" customFormat="false" ht="15" hidden="false" customHeight="false" outlineLevel="0" collapsed="false">
      <c r="A34" s="53" t="s">
        <v>366</v>
      </c>
      <c r="B34" s="32"/>
      <c r="C34" s="35" t="n">
        <v>332</v>
      </c>
      <c r="D34" s="35" t="n">
        <v>332</v>
      </c>
      <c r="E34" s="37" t="n">
        <v>1</v>
      </c>
      <c r="F34" s="37" t="n">
        <v>0.294431424654405</v>
      </c>
      <c r="G34" s="33" t="s">
        <v>420</v>
      </c>
    </row>
    <row r="35" customFormat="false" ht="15" hidden="false" customHeight="false" outlineLevel="0" collapsed="false">
      <c r="A35" s="53" t="s">
        <v>367</v>
      </c>
      <c r="B35" s="32"/>
      <c r="C35" s="35" t="n">
        <v>416</v>
      </c>
      <c r="D35" s="35" t="n">
        <v>85</v>
      </c>
      <c r="E35" s="37" t="n">
        <v>0.215587580205619</v>
      </c>
      <c r="F35" s="37" t="n">
        <v>0.314780476083765</v>
      </c>
      <c r="G35" s="54" t="s">
        <v>421</v>
      </c>
    </row>
    <row r="36" customFormat="false" ht="15" hidden="false" customHeight="false" outlineLevel="0" collapsed="false">
      <c r="A36" s="53" t="s">
        <v>368</v>
      </c>
      <c r="B36" s="32"/>
      <c r="C36" s="35" t="n">
        <v>435</v>
      </c>
      <c r="D36" s="35" t="n">
        <v>19</v>
      </c>
      <c r="E36" s="37" t="n">
        <v>0.151702405278318</v>
      </c>
      <c r="F36" s="37" t="n">
        <v>0.243919101898127</v>
      </c>
      <c r="G36" s="33" t="s">
        <v>422</v>
      </c>
    </row>
    <row r="37" customFormat="false" ht="15" hidden="false" customHeight="false" outlineLevel="0" collapsed="false">
      <c r="A37" s="53" t="s">
        <v>369</v>
      </c>
      <c r="B37" s="32"/>
      <c r="C37" s="35" t="n">
        <v>515</v>
      </c>
      <c r="D37" s="35" t="n">
        <v>106</v>
      </c>
      <c r="E37" s="37" t="n">
        <v>0.191212683098065</v>
      </c>
      <c r="F37" s="37" t="n">
        <v>0.206477000642724</v>
      </c>
      <c r="G37" s="33" t="s">
        <v>423</v>
      </c>
    </row>
    <row r="38" customFormat="false" ht="15" hidden="false" customHeight="false" outlineLevel="0" collapsed="false">
      <c r="A38" s="53" t="s">
        <v>370</v>
      </c>
      <c r="B38" s="32"/>
      <c r="C38" s="35" t="n">
        <v>382</v>
      </c>
      <c r="D38" s="35" t="n">
        <v>0</v>
      </c>
      <c r="E38" s="37" t="n">
        <v>0</v>
      </c>
      <c r="F38" s="37" t="n">
        <v>0.177548417125699</v>
      </c>
      <c r="G38" s="33" t="s">
        <v>424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5"/>
    <col collapsed="false" customWidth="true" hidden="false" outlineLevel="0" max="3" min="3" style="0" width="44"/>
    <col collapsed="false" customWidth="true" hidden="false" outlineLevel="0" max="4" min="4" style="0" width="11"/>
    <col collapsed="false" customWidth="true" hidden="false" outlineLevel="0" max="5" min="5" style="0" width="9"/>
    <col collapsed="false" customWidth="true" hidden="false" outlineLevel="0" max="6" min="6" style="0" width="11"/>
    <col collapsed="false" customWidth="true" hidden="false" outlineLevel="0" max="7" min="7" style="0" width="9"/>
    <col collapsed="false" customWidth="true" hidden="false" outlineLevel="0" max="13" min="8" style="0" width="11"/>
    <col collapsed="false" customWidth="true" hidden="false" outlineLevel="0" max="14" min="14" style="0" width="12"/>
    <col collapsed="false" customWidth="true" hidden="false" outlineLevel="0" max="15" min="15" style="0" width="11"/>
    <col collapsed="false" customWidth="true" hidden="false" outlineLevel="0" max="17" min="16" style="0" width="10"/>
    <col collapsed="false" customWidth="true" hidden="false" outlineLevel="0" max="18" min="18" style="0" width="11"/>
    <col collapsed="false" customWidth="true" hidden="false" outlineLevel="0" max="20" min="19" style="0" width="12"/>
    <col collapsed="false" customWidth="true" hidden="false" outlineLevel="0" max="21" min="21" style="0" width="11"/>
    <col collapsed="false" customWidth="true" hidden="false" outlineLevel="0" max="22" min="22" style="0" width="15"/>
    <col collapsed="false" customWidth="true" hidden="false" outlineLevel="0" max="23" min="23" style="0" width="11"/>
    <col collapsed="false" customWidth="true" hidden="false" outlineLevel="0" max="24" min="24" style="0" width="12"/>
  </cols>
  <sheetData>
    <row r="1" customFormat="false" ht="20.1" hidden="false" customHeight="false" outlineLevel="0" collapsed="false">
      <c r="A1" s="1" t="s">
        <v>425</v>
      </c>
    </row>
    <row r="2" customFormat="false" ht="15" hidden="false" customHeight="false" outlineLevel="0" collapsed="false">
      <c r="A2" s="3" t="s">
        <v>426</v>
      </c>
    </row>
    <row r="3" customFormat="false" ht="15" hidden="false" customHeight="false" outlineLevel="0" collapsed="false">
      <c r="A3" s="3" t="s">
        <v>427</v>
      </c>
    </row>
    <row r="4" customFormat="false" ht="15" hidden="false" customHeight="false" outlineLevel="0" collapsed="false">
      <c r="A4" s="3" t="s">
        <v>428</v>
      </c>
    </row>
    <row r="5" customFormat="false" ht="15" hidden="false" customHeight="false" outlineLevel="0" collapsed="false">
      <c r="A5" s="4" t="s">
        <v>429</v>
      </c>
    </row>
    <row r="6" customFormat="false" ht="25.35" hidden="false" customHeight="false" outlineLevel="0" collapsed="false">
      <c r="A6" s="48" t="s">
        <v>414</v>
      </c>
      <c r="B6" s="48" t="s">
        <v>377</v>
      </c>
      <c r="C6" s="48" t="s">
        <v>430</v>
      </c>
      <c r="D6" s="48" t="s">
        <v>431</v>
      </c>
      <c r="E6" s="48" t="s">
        <v>432</v>
      </c>
      <c r="F6" s="55" t="s">
        <v>433</v>
      </c>
      <c r="G6" s="55" t="s">
        <v>434</v>
      </c>
      <c r="H6" s="48" t="s">
        <v>435</v>
      </c>
    </row>
    <row r="7" customFormat="false" ht="15" hidden="false" customHeight="false" outlineLevel="0" collapsed="false">
      <c r="A7" s="49" t="s">
        <v>372</v>
      </c>
      <c r="B7" s="32" t="s">
        <v>436</v>
      </c>
      <c r="C7" s="32" t="n">
        <v>18</v>
      </c>
      <c r="D7" s="37" t="n">
        <f aca="false">前提・入力!$B$23</f>
        <v>0.11</v>
      </c>
      <c r="E7" s="34" t="n">
        <f aca="false">前提・入力!$B$12*D7</f>
        <v>39401331.75</v>
      </c>
      <c r="F7" s="34" t="n">
        <f aca="false">E7*前提・入力!$B$30</f>
        <v>7236061.82518229</v>
      </c>
      <c r="G7" s="35" t="n">
        <f aca="false">ROUND(F7/前提・入力!$B$31,0)</f>
        <v>9471</v>
      </c>
      <c r="H7" s="33" t="s">
        <v>437</v>
      </c>
    </row>
    <row r="8" customFormat="false" ht="15" hidden="false" customHeight="false" outlineLevel="0" collapsed="false">
      <c r="A8" s="49" t="s">
        <v>438</v>
      </c>
      <c r="B8" s="32" t="s">
        <v>439</v>
      </c>
      <c r="C8" s="32" t="n">
        <v>30</v>
      </c>
      <c r="D8" s="37" t="n">
        <f aca="false">前提・入力!$B$24</f>
        <v>0.13</v>
      </c>
      <c r="E8" s="34" t="n">
        <f aca="false">前提・入力!$B$12*D8</f>
        <v>46565210.25</v>
      </c>
      <c r="F8" s="34" t="n">
        <f aca="false">E8*前提・入力!$B$30</f>
        <v>8551709.42976089</v>
      </c>
      <c r="G8" s="35" t="n">
        <f aca="false">ROUND(F8/前提・入力!$B$31,0)</f>
        <v>11193</v>
      </c>
      <c r="H8" s="33" t="s">
        <v>440</v>
      </c>
    </row>
    <row r="9" customFormat="false" ht="15" hidden="false" customHeight="false" outlineLevel="0" collapsed="false">
      <c r="A9" s="49" t="s">
        <v>374</v>
      </c>
      <c r="B9" s="32" t="s">
        <v>441</v>
      </c>
      <c r="C9" s="32" t="n">
        <v>21</v>
      </c>
      <c r="D9" s="37" t="n">
        <f aca="false">前提・入力!$B$25</f>
        <v>0.12</v>
      </c>
      <c r="E9" s="34" t="n">
        <f aca="false">前提・入力!$B$12*D9</f>
        <v>42983271</v>
      </c>
      <c r="F9" s="34" t="n">
        <f aca="false">E9*前提・入力!$B$30</f>
        <v>7893885.62747159</v>
      </c>
      <c r="G9" s="35" t="n">
        <f aca="false">ROUND(F9/前提・入力!$B$31,0)</f>
        <v>10332</v>
      </c>
      <c r="H9" s="33" t="s">
        <v>442</v>
      </c>
    </row>
    <row r="10" customFormat="false" ht="15" hidden="false" customHeight="false" outlineLevel="0" collapsed="false">
      <c r="A10" s="49" t="s">
        <v>375</v>
      </c>
      <c r="B10" s="32" t="s">
        <v>443</v>
      </c>
      <c r="C10" s="32" t="n">
        <v>21</v>
      </c>
      <c r="D10" s="37" t="n">
        <f aca="false">前提・入力!$B$26</f>
        <v>0.09</v>
      </c>
      <c r="E10" s="34" t="n">
        <f aca="false">前提・入力!$B$12*D10</f>
        <v>32237453.25</v>
      </c>
      <c r="F10" s="34" t="n">
        <f aca="false">E10*前提・入力!$B$30</f>
        <v>5920414.22060369</v>
      </c>
      <c r="G10" s="35" t="n">
        <f aca="false">ROUND(F10/前提・入力!$B$31,0)</f>
        <v>7749</v>
      </c>
      <c r="H10" s="33" t="s">
        <v>437</v>
      </c>
    </row>
    <row r="11" customFormat="false" ht="15" hidden="false" customHeight="false" outlineLevel="0" collapsed="false">
      <c r="A11" s="49" t="s">
        <v>376</v>
      </c>
      <c r="B11" s="32" t="s">
        <v>444</v>
      </c>
      <c r="C11" s="32" t="n">
        <v>25</v>
      </c>
      <c r="D11" s="37" t="n">
        <f aca="false">前提・入力!$B$27</f>
        <v>0.5</v>
      </c>
      <c r="E11" s="34" t="n">
        <f aca="false">前提・入力!$B$12*D11</f>
        <v>179096962.5</v>
      </c>
      <c r="F11" s="34" t="n">
        <f aca="false">E11*前提・入力!$B$30</f>
        <v>32891190.114465</v>
      </c>
      <c r="G11" s="35" t="n">
        <f aca="false">ROUND(F11/前提・入力!$B$31,0)</f>
        <v>43051</v>
      </c>
      <c r="H11" s="33" t="s">
        <v>445</v>
      </c>
    </row>
    <row r="12" customFormat="false" ht="15" hidden="false" customHeight="false" outlineLevel="0" collapsed="false">
      <c r="A12" s="41" t="s">
        <v>446</v>
      </c>
      <c r="B12" s="40"/>
      <c r="C12" s="40"/>
      <c r="D12" s="45" t="n">
        <f aca="false">SUM(D7:D11)</f>
        <v>0.95</v>
      </c>
      <c r="E12" s="44" t="n">
        <f aca="false">SUM(E7:E11)</f>
        <v>340284228.75</v>
      </c>
      <c r="F12" s="44" t="n">
        <f aca="false">SUM(F7:F11)</f>
        <v>62493261.2174834</v>
      </c>
      <c r="G12" s="42" t="n">
        <f aca="false">SUM(G7:G11)</f>
        <v>81796</v>
      </c>
      <c r="H12" s="41"/>
    </row>
    <row r="14" customFormat="false" ht="15" hidden="false" customHeight="false" outlineLevel="0" collapsed="false">
      <c r="A14" s="4" t="s">
        <v>447</v>
      </c>
    </row>
    <row r="15" customFormat="false" ht="15" hidden="false" customHeight="false" outlineLevel="0" collapsed="false">
      <c r="A15" s="5" t="s">
        <v>448</v>
      </c>
      <c r="B15" s="22" t="n">
        <v>274688</v>
      </c>
      <c r="C15" s="12" t="s">
        <v>449</v>
      </c>
    </row>
    <row r="16" customFormat="false" ht="15" hidden="false" customHeight="false" outlineLevel="0" collapsed="false">
      <c r="A16" s="5" t="s">
        <v>450</v>
      </c>
      <c r="B16" s="22" t="n">
        <f aca="false">①札幌予測確定!S49</f>
        <v>50506</v>
      </c>
      <c r="C16" s="12" t="s">
        <v>451</v>
      </c>
    </row>
    <row r="17" customFormat="false" ht="15" hidden="false" customHeight="false" outlineLevel="0" collapsed="false">
      <c r="A17" s="5" t="s">
        <v>452</v>
      </c>
      <c r="B17" s="22" t="n">
        <f aca="false">B15-B16</f>
        <v>224182</v>
      </c>
      <c r="C17" s="12" t="s">
        <v>453</v>
      </c>
    </row>
    <row r="18" customFormat="false" ht="15" hidden="false" customHeight="false" outlineLevel="0" collapsed="false">
      <c r="A18" s="5" t="s">
        <v>454</v>
      </c>
      <c r="B18" s="22" t="n">
        <f aca="false">①札幌予測確定!P49</f>
        <v>8740</v>
      </c>
      <c r="C18" s="12"/>
    </row>
    <row r="19" customFormat="false" ht="15" hidden="false" customHeight="false" outlineLevel="0" collapsed="false">
      <c r="A19" s="5" t="s">
        <v>455</v>
      </c>
      <c r="B19" s="22" t="n">
        <f aca="false">R72</f>
        <v>2</v>
      </c>
      <c r="C19" s="12" t="s">
        <v>456</v>
      </c>
    </row>
    <row r="20" customFormat="false" ht="15" hidden="false" customHeight="false" outlineLevel="0" collapsed="false">
      <c r="A20" s="5" t="s">
        <v>457</v>
      </c>
      <c r="B20" s="22" t="n">
        <f aca="false">①札幌予測確定!U49</f>
        <v>41768</v>
      </c>
      <c r="C20" s="12" t="s">
        <v>458</v>
      </c>
    </row>
    <row r="21" customFormat="false" ht="15" hidden="false" customHeight="false" outlineLevel="0" collapsed="false">
      <c r="A21" s="5" t="s">
        <v>459</v>
      </c>
      <c r="B21" s="22" t="n">
        <f aca="false">B20*前提・入力!$B$37</f>
        <v>41768</v>
      </c>
      <c r="C21" s="12" t="s">
        <v>460</v>
      </c>
    </row>
    <row r="22" customFormat="false" ht="15" hidden="false" customHeight="false" outlineLevel="0" collapsed="false">
      <c r="A22" s="5" t="s">
        <v>461</v>
      </c>
      <c r="B22" s="56" t="n">
        <f aca="false">B17-B19+B21</f>
        <v>265948</v>
      </c>
      <c r="C22" s="12" t="s">
        <v>462</v>
      </c>
    </row>
    <row r="23" customFormat="false" ht="15" hidden="false" customHeight="false" outlineLevel="0" collapsed="false">
      <c r="A23" s="5" t="s">
        <v>463</v>
      </c>
      <c r="B23" s="22" t="n">
        <v>1200</v>
      </c>
      <c r="C23" s="12" t="s">
        <v>464</v>
      </c>
    </row>
    <row r="24" customFormat="false" ht="15" hidden="false" customHeight="false" outlineLevel="0" collapsed="false">
      <c r="A24" s="5" t="s">
        <v>465</v>
      </c>
      <c r="B24" s="22" t="n">
        <f aca="false">G12</f>
        <v>81796</v>
      </c>
      <c r="C24" s="12"/>
    </row>
    <row r="25" customFormat="false" ht="15" hidden="false" customHeight="false" outlineLevel="0" collapsed="false">
      <c r="A25" s="5" t="s">
        <v>466</v>
      </c>
      <c r="B25" s="57" t="n">
        <f aca="false">B22+B23-B24</f>
        <v>185352</v>
      </c>
      <c r="C25" s="12" t="s">
        <v>467</v>
      </c>
    </row>
    <row r="26" customFormat="false" ht="15" hidden="false" customHeight="false" outlineLevel="0" collapsed="false">
      <c r="A26" s="5" t="s">
        <v>468</v>
      </c>
      <c r="B26" s="58" t="n">
        <f aca="false">W72</f>
        <v>2554</v>
      </c>
      <c r="C26" s="12" t="s">
        <v>469</v>
      </c>
    </row>
    <row r="28" customFormat="false" ht="15" hidden="false" customHeight="false" outlineLevel="0" collapsed="false">
      <c r="A28" s="4" t="s">
        <v>470</v>
      </c>
    </row>
    <row r="29" customFormat="false" ht="42" hidden="false" customHeight="true" outlineLevel="0" collapsed="false">
      <c r="A29" s="25" t="s">
        <v>253</v>
      </c>
      <c r="B29" s="25" t="s">
        <v>254</v>
      </c>
      <c r="C29" s="26" t="s">
        <v>255</v>
      </c>
      <c r="D29" s="30" t="s">
        <v>471</v>
      </c>
      <c r="E29" s="30" t="s">
        <v>472</v>
      </c>
      <c r="F29" s="27" t="s">
        <v>473</v>
      </c>
      <c r="G29" s="27" t="s">
        <v>474</v>
      </c>
      <c r="H29" s="17" t="s">
        <v>475</v>
      </c>
      <c r="I29" s="48" t="s">
        <v>476</v>
      </c>
      <c r="J29" s="48" t="s">
        <v>477</v>
      </c>
      <c r="K29" s="48" t="s">
        <v>478</v>
      </c>
      <c r="L29" s="48" t="s">
        <v>479</v>
      </c>
      <c r="M29" s="48" t="s">
        <v>480</v>
      </c>
      <c r="N29" s="31" t="s">
        <v>481</v>
      </c>
      <c r="O29" s="59" t="s">
        <v>482</v>
      </c>
      <c r="P29" s="59" t="s">
        <v>483</v>
      </c>
      <c r="Q29" s="59" t="s">
        <v>484</v>
      </c>
      <c r="R29" s="60" t="s">
        <v>485</v>
      </c>
      <c r="S29" s="31" t="s">
        <v>486</v>
      </c>
      <c r="T29" s="31" t="s">
        <v>487</v>
      </c>
      <c r="U29" s="61" t="s">
        <v>488</v>
      </c>
      <c r="V29" s="31" t="s">
        <v>489</v>
      </c>
      <c r="W29" s="31" t="s">
        <v>490</v>
      </c>
      <c r="X29" s="31" t="s">
        <v>491</v>
      </c>
    </row>
    <row r="30" customFormat="false" ht="15" hidden="false" customHeight="false" outlineLevel="0" collapsed="false">
      <c r="A30" s="32" t="n">
        <v>1</v>
      </c>
      <c r="B30" s="32" t="s">
        <v>276</v>
      </c>
      <c r="C30" s="33" t="s">
        <v>277</v>
      </c>
      <c r="D30" s="35" t="n">
        <v>2325</v>
      </c>
      <c r="E30" s="62" t="n">
        <f aca="false">IFERROR(D30/D$72,0)</f>
        <v>0.0364763100094132</v>
      </c>
      <c r="F30" s="35" t="n">
        <f aca="false">①札幌予測確定!P7</f>
        <v>467</v>
      </c>
      <c r="G30" s="62" t="n">
        <f aca="false">IFERROR(F30/F$72,0)</f>
        <v>0.0534324942791762</v>
      </c>
      <c r="H30" s="62" t="n">
        <f aca="false">E30*前提・入力!$B$32+G30*前提・入力!$B$33</f>
        <v>0.0449544021442947</v>
      </c>
      <c r="I30" s="35" t="n">
        <f aca="false">ROUND($H30*③石川以降予測!$G$7,0)</f>
        <v>426</v>
      </c>
      <c r="J30" s="35" t="n">
        <f aca="false">ROUND($H30*③石川以降予測!$G$8,0)</f>
        <v>503</v>
      </c>
      <c r="K30" s="35" t="n">
        <f aca="false">ROUND($H30*③石川以降予測!$G$9,0)</f>
        <v>464</v>
      </c>
      <c r="L30" s="35" t="n">
        <f aca="false">ROUND($H30*③石川以降予測!$G$10,0)</f>
        <v>348</v>
      </c>
      <c r="M30" s="35" t="n">
        <f aca="false">ROUND($H30*③石川以降予測!$G$11,0)</f>
        <v>1935</v>
      </c>
      <c r="N30" s="35" t="n">
        <f aca="false">SUM(I30:M30)</f>
        <v>3676</v>
      </c>
      <c r="O30" s="35" t="n">
        <v>3264</v>
      </c>
      <c r="P30" s="35" t="n">
        <f aca="false">①札幌予測確定!S7</f>
        <v>1000</v>
      </c>
      <c r="Q30" s="35" t="n">
        <f aca="false">O30-P30</f>
        <v>2264</v>
      </c>
      <c r="R30" s="35" t="n">
        <f aca="false">MAX(0,①札幌予測確定!P7-①札幌予測確定!S7)</f>
        <v>0</v>
      </c>
      <c r="S30" s="35" t="n">
        <f aca="false">ROUND(①札幌予測確定!U7*前提・入力!$B$37,0)</f>
        <v>533</v>
      </c>
      <c r="T30" s="35" t="n">
        <f aca="false">Q30-R30+S30</f>
        <v>2797</v>
      </c>
      <c r="U30" s="35" t="n">
        <v>0</v>
      </c>
      <c r="V30" s="38" t="n">
        <f aca="false">N30-T30-U30</f>
        <v>879</v>
      </c>
      <c r="W30" s="35" t="n">
        <f aca="false">MAX(0,V30)</f>
        <v>879</v>
      </c>
      <c r="X30" s="35" t="n">
        <f aca="false">IF(W30&gt;0,ROUNDUP(W30*(1+前提・入力!$B$35),0),0)</f>
        <v>967</v>
      </c>
    </row>
    <row r="31" customFormat="false" ht="15" hidden="false" customHeight="false" outlineLevel="0" collapsed="false">
      <c r="A31" s="32" t="n">
        <v>2</v>
      </c>
      <c r="B31" s="32" t="s">
        <v>278</v>
      </c>
      <c r="C31" s="33" t="s">
        <v>279</v>
      </c>
      <c r="D31" s="35" t="n">
        <v>1965</v>
      </c>
      <c r="E31" s="62" t="n">
        <f aca="false">IFERROR(D31/D$72,0)</f>
        <v>0.0308283652337622</v>
      </c>
      <c r="F31" s="35" t="n">
        <f aca="false">①札幌予測確定!P8</f>
        <v>509</v>
      </c>
      <c r="G31" s="62" t="n">
        <f aca="false">IFERROR(F31/F$72,0)</f>
        <v>0.0582379862700229</v>
      </c>
      <c r="H31" s="62" t="n">
        <f aca="false">E31*前提・入力!$B$32+G31*前提・入力!$B$33</f>
        <v>0.0445331757518925</v>
      </c>
      <c r="I31" s="35" t="n">
        <f aca="false">ROUND($H31*③石川以降予測!$G$7,0)</f>
        <v>422</v>
      </c>
      <c r="J31" s="35" t="n">
        <f aca="false">ROUND($H31*③石川以降予測!$G$8,0)</f>
        <v>498</v>
      </c>
      <c r="K31" s="35" t="n">
        <f aca="false">ROUND($H31*③石川以降予測!$G$9,0)</f>
        <v>460</v>
      </c>
      <c r="L31" s="35" t="n">
        <f aca="false">ROUND($H31*③石川以降予測!$G$10,0)</f>
        <v>345</v>
      </c>
      <c r="M31" s="35" t="n">
        <f aca="false">ROUND($H31*③石川以降予測!$G$11,0)</f>
        <v>1917</v>
      </c>
      <c r="N31" s="35" t="n">
        <f aca="false">SUM(I31:M31)</f>
        <v>3642</v>
      </c>
      <c r="O31" s="35" t="n">
        <v>5037</v>
      </c>
      <c r="P31" s="35" t="n">
        <f aca="false">①札幌予測確定!S8</f>
        <v>1000</v>
      </c>
      <c r="Q31" s="35" t="n">
        <f aca="false">O31-P31</f>
        <v>4037</v>
      </c>
      <c r="R31" s="35" t="n">
        <f aca="false">MAX(0,①札幌予測確定!P8-①札幌予測確定!S8)</f>
        <v>0</v>
      </c>
      <c r="S31" s="35" t="n">
        <f aca="false">ROUND(①札幌予測確定!U8*前提・入力!$B$37,0)</f>
        <v>491</v>
      </c>
      <c r="T31" s="35" t="n">
        <f aca="false">Q31-R31+S31</f>
        <v>4528</v>
      </c>
      <c r="U31" s="35" t="n">
        <v>0</v>
      </c>
      <c r="V31" s="38" t="n">
        <f aca="false">N31-T31-U31</f>
        <v>-886</v>
      </c>
      <c r="W31" s="35" t="n">
        <f aca="false">MAX(0,V31)</f>
        <v>0</v>
      </c>
      <c r="X31" s="35" t="n">
        <f aca="false">IF(W31&gt;0,ROUNDUP(W31*(1+前提・入力!$B$35),0),0)</f>
        <v>0</v>
      </c>
    </row>
    <row r="32" customFormat="false" ht="15" hidden="false" customHeight="false" outlineLevel="0" collapsed="false">
      <c r="A32" s="32" t="n">
        <v>3</v>
      </c>
      <c r="B32" s="32" t="s">
        <v>280</v>
      </c>
      <c r="C32" s="33" t="s">
        <v>281</v>
      </c>
      <c r="D32" s="35" t="n">
        <v>1132</v>
      </c>
      <c r="E32" s="62" t="n">
        <f aca="false">IFERROR(D32/D$72,0)</f>
        <v>0.0177596485723251</v>
      </c>
      <c r="F32" s="35" t="n">
        <f aca="false">①札幌予測確定!P9</f>
        <v>163</v>
      </c>
      <c r="G32" s="62" t="n">
        <f aca="false">IFERROR(F32/F$72,0)</f>
        <v>0.018649885583524</v>
      </c>
      <c r="H32" s="62" t="n">
        <f aca="false">E32*前提・入力!$B$32+G32*前提・入力!$B$33</f>
        <v>0.0182047670779246</v>
      </c>
      <c r="I32" s="35" t="n">
        <f aca="false">ROUND($H32*③石川以降予測!$G$7,0)</f>
        <v>172</v>
      </c>
      <c r="J32" s="35" t="n">
        <f aca="false">ROUND($H32*③石川以降予測!$G$8,0)</f>
        <v>204</v>
      </c>
      <c r="K32" s="35" t="n">
        <f aca="false">ROUND($H32*③石川以降予測!$G$9,0)</f>
        <v>188</v>
      </c>
      <c r="L32" s="35" t="n">
        <f aca="false">ROUND($H32*③石川以降予測!$G$10,0)</f>
        <v>141</v>
      </c>
      <c r="M32" s="35" t="n">
        <f aca="false">ROUND($H32*③石川以降予測!$G$11,0)</f>
        <v>784</v>
      </c>
      <c r="N32" s="35" t="n">
        <f aca="false">SUM(I32:M32)</f>
        <v>1489</v>
      </c>
      <c r="O32" s="35" t="n">
        <v>6140</v>
      </c>
      <c r="P32" s="35" t="n">
        <f aca="false">①札幌予測確定!S9</f>
        <v>450</v>
      </c>
      <c r="Q32" s="35" t="n">
        <f aca="false">O32-P32</f>
        <v>5690</v>
      </c>
      <c r="R32" s="35" t="n">
        <f aca="false">MAX(0,①札幌予測確定!P9-①札幌予測確定!S9)</f>
        <v>0</v>
      </c>
      <c r="S32" s="35" t="n">
        <f aca="false">ROUND(①札幌予測確定!U9*前提・入力!$B$37,0)</f>
        <v>287</v>
      </c>
      <c r="T32" s="35" t="n">
        <f aca="false">Q32-R32+S32</f>
        <v>5977</v>
      </c>
      <c r="U32" s="35" t="n">
        <v>0</v>
      </c>
      <c r="V32" s="38" t="n">
        <f aca="false">N32-T32-U32</f>
        <v>-4488</v>
      </c>
      <c r="W32" s="35" t="n">
        <f aca="false">MAX(0,V32)</f>
        <v>0</v>
      </c>
      <c r="X32" s="35" t="n">
        <f aca="false">IF(W32&gt;0,ROUNDUP(W32*(1+前提・入力!$B$35),0),0)</f>
        <v>0</v>
      </c>
    </row>
    <row r="33" customFormat="false" ht="15" hidden="false" customHeight="false" outlineLevel="0" collapsed="false">
      <c r="A33" s="32" t="n">
        <v>4</v>
      </c>
      <c r="B33" s="32" t="s">
        <v>282</v>
      </c>
      <c r="C33" s="33" t="s">
        <v>283</v>
      </c>
      <c r="D33" s="35" t="n">
        <v>1310</v>
      </c>
      <c r="E33" s="62" t="n">
        <f aca="false">IFERROR(D33/D$72,0)</f>
        <v>0.0205522434891748</v>
      </c>
      <c r="F33" s="35" t="n">
        <f aca="false">①札幌予測確定!P10</f>
        <v>229</v>
      </c>
      <c r="G33" s="62" t="n">
        <f aca="false">IFERROR(F33/F$72,0)</f>
        <v>0.0262013729977117</v>
      </c>
      <c r="H33" s="62" t="n">
        <f aca="false">E33*前提・入力!$B$32+G33*前提・入力!$B$33</f>
        <v>0.0233768082434432</v>
      </c>
      <c r="I33" s="35" t="n">
        <f aca="false">ROUND($H33*③石川以降予測!$G$7,0)</f>
        <v>221</v>
      </c>
      <c r="J33" s="35" t="n">
        <f aca="false">ROUND($H33*③石川以降予測!$G$8,0)</f>
        <v>262</v>
      </c>
      <c r="K33" s="35" t="n">
        <f aca="false">ROUND($H33*③石川以降予測!$G$9,0)</f>
        <v>242</v>
      </c>
      <c r="L33" s="35" t="n">
        <f aca="false">ROUND($H33*③石川以降予測!$G$10,0)</f>
        <v>181</v>
      </c>
      <c r="M33" s="35" t="n">
        <f aca="false">ROUND($H33*③石川以降予測!$G$11,0)</f>
        <v>1006</v>
      </c>
      <c r="N33" s="35" t="n">
        <f aca="false">SUM(I33:M33)</f>
        <v>1912</v>
      </c>
      <c r="O33" s="35" t="n">
        <v>27511</v>
      </c>
      <c r="P33" s="35" t="n">
        <f aca="false">①札幌予測確定!S10</f>
        <v>800</v>
      </c>
      <c r="Q33" s="35" t="n">
        <f aca="false">O33-P33</f>
        <v>26711</v>
      </c>
      <c r="R33" s="35" t="n">
        <f aca="false">MAX(0,①札幌予測確定!P10-①札幌予測確定!S10)</f>
        <v>0</v>
      </c>
      <c r="S33" s="35" t="n">
        <f aca="false">ROUND(①札幌予測確定!U10*前提・入力!$B$37,0)</f>
        <v>571</v>
      </c>
      <c r="T33" s="35" t="n">
        <f aca="false">Q33-R33+S33</f>
        <v>27282</v>
      </c>
      <c r="U33" s="35" t="n">
        <v>0</v>
      </c>
      <c r="V33" s="38" t="n">
        <f aca="false">N33-T33-U33</f>
        <v>-25370</v>
      </c>
      <c r="W33" s="35" t="n">
        <f aca="false">MAX(0,V33)</f>
        <v>0</v>
      </c>
      <c r="X33" s="35" t="n">
        <f aca="false">IF(W33&gt;0,ROUNDUP(W33*(1+前提・入力!$B$35),0),0)</f>
        <v>0</v>
      </c>
    </row>
    <row r="34" customFormat="false" ht="15" hidden="false" customHeight="false" outlineLevel="0" collapsed="false">
      <c r="A34" s="32" t="n">
        <v>5</v>
      </c>
      <c r="B34" s="32" t="s">
        <v>284</v>
      </c>
      <c r="C34" s="33" t="s">
        <v>285</v>
      </c>
      <c r="D34" s="35" t="n">
        <v>8936</v>
      </c>
      <c r="E34" s="62" t="n">
        <f aca="false">IFERROR(D34/D$72,0)</f>
        <v>0.14019454032005</v>
      </c>
      <c r="F34" s="35" t="n">
        <f aca="false">①札幌予測確定!P11</f>
        <v>465</v>
      </c>
      <c r="G34" s="62" t="n">
        <f aca="false">IFERROR(F34/F$72,0)</f>
        <v>0.0532036613272311</v>
      </c>
      <c r="H34" s="62" t="n">
        <f aca="false">E34*前提・入力!$B$32+G34*前提・入力!$B$33</f>
        <v>0.0966991008236407</v>
      </c>
      <c r="I34" s="35" t="n">
        <f aca="false">ROUND($H34*③石川以降予測!$G$7,0)</f>
        <v>916</v>
      </c>
      <c r="J34" s="35" t="n">
        <f aca="false">ROUND($H34*③石川以降予測!$G$8,0)</f>
        <v>1082</v>
      </c>
      <c r="K34" s="35" t="n">
        <f aca="false">ROUND($H34*③石川以降予測!$G$9,0)</f>
        <v>999</v>
      </c>
      <c r="L34" s="35" t="n">
        <f aca="false">ROUND($H34*③石川以降予測!$G$10,0)</f>
        <v>749</v>
      </c>
      <c r="M34" s="35" t="n">
        <f aca="false">ROUND($H34*③石川以降予測!$G$11,0)</f>
        <v>4163</v>
      </c>
      <c r="N34" s="35" t="n">
        <f aca="false">SUM(I34:M34)</f>
        <v>7909</v>
      </c>
      <c r="O34" s="35" t="n">
        <v>39825</v>
      </c>
      <c r="P34" s="35" t="n">
        <f aca="false">①札幌予測確定!S11</f>
        <v>9000</v>
      </c>
      <c r="Q34" s="35" t="n">
        <f aca="false">O34-P34</f>
        <v>30825</v>
      </c>
      <c r="R34" s="35" t="n">
        <f aca="false">MAX(0,①札幌予測確定!P11-①札幌予測確定!S11)</f>
        <v>0</v>
      </c>
      <c r="S34" s="35" t="n">
        <f aca="false">ROUND(①札幌予測確定!U11*前提・入力!$B$37,0)</f>
        <v>8535</v>
      </c>
      <c r="T34" s="35" t="n">
        <f aca="false">Q34-R34+S34</f>
        <v>39360</v>
      </c>
      <c r="U34" s="35" t="n">
        <v>0</v>
      </c>
      <c r="V34" s="38" t="n">
        <f aca="false">N34-T34-U34</f>
        <v>-31451</v>
      </c>
      <c r="W34" s="35" t="n">
        <f aca="false">MAX(0,V34)</f>
        <v>0</v>
      </c>
      <c r="X34" s="35" t="n">
        <f aca="false">IF(W34&gt;0,ROUNDUP(W34*(1+前提・入力!$B$35),0),0)</f>
        <v>0</v>
      </c>
    </row>
    <row r="35" customFormat="false" ht="15" hidden="false" customHeight="false" outlineLevel="0" collapsed="false">
      <c r="A35" s="32" t="n">
        <v>6</v>
      </c>
      <c r="B35" s="32" t="s">
        <v>286</v>
      </c>
      <c r="C35" s="33" t="s">
        <v>287</v>
      </c>
      <c r="D35" s="35" t="n">
        <v>18611</v>
      </c>
      <c r="E35" s="62" t="n">
        <f aca="false">IFERROR(D35/D$72,0)</f>
        <v>0.291983056165673</v>
      </c>
      <c r="F35" s="35" t="n">
        <f aca="false">①札幌予測確定!P12</f>
        <v>1317</v>
      </c>
      <c r="G35" s="62" t="n">
        <f aca="false">IFERROR(F35/F$72,0)</f>
        <v>0.150686498855835</v>
      </c>
      <c r="H35" s="62" t="n">
        <f aca="false">E35*前提・入力!$B$32+G35*前提・入力!$B$33</f>
        <v>0.221334777510754</v>
      </c>
      <c r="I35" s="35" t="n">
        <f aca="false">ROUND($H35*③石川以降予測!$G$7,0)</f>
        <v>2096</v>
      </c>
      <c r="J35" s="35" t="n">
        <f aca="false">ROUND($H35*③石川以降予測!$G$8,0)</f>
        <v>2477</v>
      </c>
      <c r="K35" s="35" t="n">
        <f aca="false">ROUND($H35*③石川以降予測!$G$9,0)</f>
        <v>2287</v>
      </c>
      <c r="L35" s="35" t="n">
        <f aca="false">ROUND($H35*③石川以降予測!$G$10,0)</f>
        <v>1715</v>
      </c>
      <c r="M35" s="35" t="n">
        <f aca="false">ROUND($H35*③石川以降予測!$G$11,0)</f>
        <v>9529</v>
      </c>
      <c r="N35" s="35" t="n">
        <f aca="false">SUM(I35:M35)</f>
        <v>18104</v>
      </c>
      <c r="O35" s="35" t="n">
        <v>50834</v>
      </c>
      <c r="P35" s="35" t="n">
        <f aca="false">①札幌予測確定!S12</f>
        <v>13991</v>
      </c>
      <c r="Q35" s="35" t="n">
        <f aca="false">O35-P35</f>
        <v>36843</v>
      </c>
      <c r="R35" s="35" t="n">
        <f aca="false">MAX(0,①札幌予測確定!P12-①札幌予測確定!S12)</f>
        <v>0</v>
      </c>
      <c r="S35" s="35" t="n">
        <f aca="false">ROUND(①札幌予測確定!U12*前提・入力!$B$37,0)</f>
        <v>12674</v>
      </c>
      <c r="T35" s="35" t="n">
        <f aca="false">Q35-R35+S35</f>
        <v>49517</v>
      </c>
      <c r="U35" s="35" t="n">
        <v>0</v>
      </c>
      <c r="V35" s="38" t="n">
        <f aca="false">N35-T35-U35</f>
        <v>-31413</v>
      </c>
      <c r="W35" s="35" t="n">
        <f aca="false">MAX(0,V35)</f>
        <v>0</v>
      </c>
      <c r="X35" s="35" t="n">
        <f aca="false">IF(W35&gt;0,ROUNDUP(W35*(1+前提・入力!$B$35),0),0)</f>
        <v>0</v>
      </c>
    </row>
    <row r="36" customFormat="false" ht="15" hidden="false" customHeight="false" outlineLevel="0" collapsed="false">
      <c r="A36" s="32" t="n">
        <v>7</v>
      </c>
      <c r="B36" s="32" t="s">
        <v>288</v>
      </c>
      <c r="C36" s="33" t="s">
        <v>289</v>
      </c>
      <c r="D36" s="35" t="n">
        <v>940</v>
      </c>
      <c r="E36" s="62" t="n">
        <f aca="false">IFERROR(D36/D$72,0)</f>
        <v>0.0147474113586445</v>
      </c>
      <c r="F36" s="35" t="n">
        <f aca="false">①札幌予測確定!P13</f>
        <v>194</v>
      </c>
      <c r="G36" s="62" t="n">
        <f aca="false">IFERROR(F36/F$72,0)</f>
        <v>0.0221967963386728</v>
      </c>
      <c r="H36" s="62" t="n">
        <f aca="false">E36*前提・入力!$B$32+G36*前提・入力!$B$33</f>
        <v>0.0184721038486586</v>
      </c>
      <c r="I36" s="35" t="n">
        <f aca="false">ROUND($H36*③石川以降予測!$G$7,0)</f>
        <v>175</v>
      </c>
      <c r="J36" s="35" t="n">
        <f aca="false">ROUND($H36*③石川以降予測!$G$8,0)</f>
        <v>207</v>
      </c>
      <c r="K36" s="35" t="n">
        <f aca="false">ROUND($H36*③石川以降予測!$G$9,0)</f>
        <v>191</v>
      </c>
      <c r="L36" s="35" t="n">
        <f aca="false">ROUND($H36*③石川以降予測!$G$10,0)</f>
        <v>143</v>
      </c>
      <c r="M36" s="35" t="n">
        <f aca="false">ROUND($H36*③石川以降予測!$G$11,0)</f>
        <v>795</v>
      </c>
      <c r="N36" s="35" t="n">
        <f aca="false">SUM(I36:M36)</f>
        <v>1511</v>
      </c>
      <c r="O36" s="35" t="n">
        <v>4542</v>
      </c>
      <c r="P36" s="35" t="n">
        <f aca="false">①札幌予測確定!S13</f>
        <v>350</v>
      </c>
      <c r="Q36" s="35" t="n">
        <f aca="false">O36-P36</f>
        <v>4192</v>
      </c>
      <c r="R36" s="35" t="n">
        <f aca="false">MAX(0,①札幌予測確定!P13-①札幌予測確定!S13)</f>
        <v>0</v>
      </c>
      <c r="S36" s="35" t="n">
        <f aca="false">ROUND(①札幌予測確定!U13*前提・入力!$B$37,0)</f>
        <v>156</v>
      </c>
      <c r="T36" s="35" t="n">
        <f aca="false">Q36-R36+S36</f>
        <v>4348</v>
      </c>
      <c r="U36" s="35" t="n">
        <v>0</v>
      </c>
      <c r="V36" s="38" t="n">
        <f aca="false">N36-T36-U36</f>
        <v>-2837</v>
      </c>
      <c r="W36" s="35" t="n">
        <f aca="false">MAX(0,V36)</f>
        <v>0</v>
      </c>
      <c r="X36" s="35" t="n">
        <f aca="false">IF(W36&gt;0,ROUNDUP(W36*(1+前提・入力!$B$35),0),0)</f>
        <v>0</v>
      </c>
    </row>
    <row r="37" customFormat="false" ht="15" hidden="false" customHeight="false" outlineLevel="0" collapsed="false">
      <c r="A37" s="32" t="n">
        <v>8</v>
      </c>
      <c r="B37" s="32" t="s">
        <v>290</v>
      </c>
      <c r="C37" s="33" t="s">
        <v>291</v>
      </c>
      <c r="D37" s="35" t="n">
        <v>1758</v>
      </c>
      <c r="E37" s="62" t="n">
        <f aca="false">IFERROR(D37/D$72,0)</f>
        <v>0.0275807969877628</v>
      </c>
      <c r="F37" s="35" t="n">
        <f aca="false">①札幌予測確定!P14</f>
        <v>321</v>
      </c>
      <c r="G37" s="62" t="n">
        <f aca="false">IFERROR(F37/F$72,0)</f>
        <v>0.0367276887871854</v>
      </c>
      <c r="H37" s="62" t="n">
        <f aca="false">E37*前提・入力!$B$32+G37*前提・入力!$B$33</f>
        <v>0.0321542428874741</v>
      </c>
      <c r="I37" s="35" t="n">
        <f aca="false">ROUND($H37*③石川以降予測!$G$7,0)</f>
        <v>305</v>
      </c>
      <c r="J37" s="35" t="n">
        <f aca="false">ROUND($H37*③石川以降予測!$G$8,0)</f>
        <v>360</v>
      </c>
      <c r="K37" s="35" t="n">
        <f aca="false">ROUND($H37*③石川以降予測!$G$9,0)</f>
        <v>332</v>
      </c>
      <c r="L37" s="35" t="n">
        <f aca="false">ROUND($H37*③石川以降予測!$G$10,0)</f>
        <v>249</v>
      </c>
      <c r="M37" s="35" t="n">
        <f aca="false">ROUND($H37*③石川以降予測!$G$11,0)</f>
        <v>1384</v>
      </c>
      <c r="N37" s="35" t="n">
        <f aca="false">SUM(I37:M37)</f>
        <v>2630</v>
      </c>
      <c r="O37" s="35" t="n">
        <v>8551</v>
      </c>
      <c r="P37" s="35" t="n">
        <f aca="false">①札幌予測確定!S14</f>
        <v>900</v>
      </c>
      <c r="Q37" s="35" t="n">
        <f aca="false">O37-P37</f>
        <v>7651</v>
      </c>
      <c r="R37" s="35" t="n">
        <f aca="false">MAX(0,①札幌予測確定!P14-①札幌予測確定!S14)</f>
        <v>0</v>
      </c>
      <c r="S37" s="35" t="n">
        <f aca="false">ROUND(①札幌予測確定!U14*前提・入力!$B$37,0)</f>
        <v>579</v>
      </c>
      <c r="T37" s="35" t="n">
        <f aca="false">Q37-R37+S37</f>
        <v>8230</v>
      </c>
      <c r="U37" s="35" t="n">
        <v>0</v>
      </c>
      <c r="V37" s="38" t="n">
        <f aca="false">N37-T37-U37</f>
        <v>-5600</v>
      </c>
      <c r="W37" s="35" t="n">
        <f aca="false">MAX(0,V37)</f>
        <v>0</v>
      </c>
      <c r="X37" s="35" t="n">
        <f aca="false">IF(W37&gt;0,ROUNDUP(W37*(1+前提・入力!$B$35),0),0)</f>
        <v>0</v>
      </c>
    </row>
    <row r="38" customFormat="false" ht="15" hidden="false" customHeight="false" outlineLevel="0" collapsed="false">
      <c r="A38" s="32" t="n">
        <v>9</v>
      </c>
      <c r="B38" s="32" t="s">
        <v>292</v>
      </c>
      <c r="C38" s="33" t="s">
        <v>293</v>
      </c>
      <c r="D38" s="35" t="n">
        <v>743</v>
      </c>
      <c r="E38" s="62" t="n">
        <f aca="false">IFERROR(D38/D$72,0)</f>
        <v>0.0116567304675243</v>
      </c>
      <c r="F38" s="35" t="n">
        <f aca="false">①札幌予測確定!P15</f>
        <v>128</v>
      </c>
      <c r="G38" s="62" t="n">
        <f aca="false">IFERROR(F38/F$72,0)</f>
        <v>0.0146453089244851</v>
      </c>
      <c r="H38" s="62" t="n">
        <f aca="false">E38*前提・入力!$B$32+G38*前提・入力!$B$33</f>
        <v>0.0131510196960047</v>
      </c>
      <c r="I38" s="35" t="n">
        <f aca="false">ROUND($H38*③石川以降予測!$G$7,0)</f>
        <v>125</v>
      </c>
      <c r="J38" s="35" t="n">
        <f aca="false">ROUND($H38*③石川以降予測!$G$8,0)</f>
        <v>147</v>
      </c>
      <c r="K38" s="35" t="n">
        <f aca="false">ROUND($H38*③石川以降予測!$G$9,0)</f>
        <v>136</v>
      </c>
      <c r="L38" s="35" t="n">
        <f aca="false">ROUND($H38*③石川以降予測!$G$10,0)</f>
        <v>102</v>
      </c>
      <c r="M38" s="35" t="n">
        <f aca="false">ROUND($H38*③石川以降予測!$G$11,0)</f>
        <v>566</v>
      </c>
      <c r="N38" s="35" t="n">
        <f aca="false">SUM(I38:M38)</f>
        <v>1076</v>
      </c>
      <c r="O38" s="35" t="n">
        <v>8759</v>
      </c>
      <c r="P38" s="35" t="n">
        <f aca="false">①札幌予測確定!S15</f>
        <v>300</v>
      </c>
      <c r="Q38" s="35" t="n">
        <f aca="false">O38-P38</f>
        <v>8459</v>
      </c>
      <c r="R38" s="35" t="n">
        <f aca="false">MAX(0,①札幌予測確定!P15-①札幌予測確定!S15)</f>
        <v>0</v>
      </c>
      <c r="S38" s="35" t="n">
        <f aca="false">ROUND(①札幌予測確定!U15*前提・入力!$B$37,0)</f>
        <v>172</v>
      </c>
      <c r="T38" s="35" t="n">
        <f aca="false">Q38-R38+S38</f>
        <v>8631</v>
      </c>
      <c r="U38" s="35" t="n">
        <v>0</v>
      </c>
      <c r="V38" s="38" t="n">
        <f aca="false">N38-T38-U38</f>
        <v>-7555</v>
      </c>
      <c r="W38" s="35" t="n">
        <f aca="false">MAX(0,V38)</f>
        <v>0</v>
      </c>
      <c r="X38" s="35" t="n">
        <f aca="false">IF(W38&gt;0,ROUNDUP(W38*(1+前提・入力!$B$35),0),0)</f>
        <v>0</v>
      </c>
    </row>
    <row r="39" customFormat="false" ht="15" hidden="false" customHeight="false" outlineLevel="0" collapsed="false">
      <c r="A39" s="32" t="n">
        <v>10</v>
      </c>
      <c r="B39" s="32" t="s">
        <v>294</v>
      </c>
      <c r="C39" s="33" t="s">
        <v>295</v>
      </c>
      <c r="D39" s="35" t="n">
        <v>277</v>
      </c>
      <c r="E39" s="62" t="n">
        <f aca="false">IFERROR(D39/D$72,0)</f>
        <v>0.00434577973015375</v>
      </c>
      <c r="F39" s="35" t="n">
        <f aca="false">①札幌予測確定!P16</f>
        <v>48</v>
      </c>
      <c r="G39" s="62" t="n">
        <f aca="false">IFERROR(F39/F$72,0)</f>
        <v>0.00549199084668192</v>
      </c>
      <c r="H39" s="62" t="n">
        <f aca="false">E39*前提・入力!$B$32+G39*前提・入力!$B$33</f>
        <v>0.00491888528841784</v>
      </c>
      <c r="I39" s="35" t="n">
        <f aca="false">ROUND($H39*③石川以降予測!$G$7,0)</f>
        <v>47</v>
      </c>
      <c r="J39" s="35" t="n">
        <f aca="false">ROUND($H39*③石川以降予測!$G$8,0)</f>
        <v>55</v>
      </c>
      <c r="K39" s="35" t="n">
        <f aca="false">ROUND($H39*③石川以降予測!$G$9,0)</f>
        <v>51</v>
      </c>
      <c r="L39" s="35" t="n">
        <f aca="false">ROUND($H39*③石川以降予測!$G$10,0)</f>
        <v>38</v>
      </c>
      <c r="M39" s="35" t="n">
        <f aca="false">ROUND($H39*③石川以降予測!$G$11,0)</f>
        <v>212</v>
      </c>
      <c r="N39" s="35" t="n">
        <f aca="false">SUM(I39:M39)</f>
        <v>403</v>
      </c>
      <c r="O39" s="35" t="n">
        <v>4935</v>
      </c>
      <c r="P39" s="35" t="n">
        <f aca="false">①札幌予測確定!S16</f>
        <v>100</v>
      </c>
      <c r="Q39" s="35" t="n">
        <f aca="false">O39-P39</f>
        <v>4835</v>
      </c>
      <c r="R39" s="35" t="n">
        <f aca="false">MAX(0,①札幌予測確定!P16-①札幌予測確定!S16)</f>
        <v>0</v>
      </c>
      <c r="S39" s="35" t="n">
        <f aca="false">ROUND(①札幌予測確定!U16*前提・入力!$B$37,0)</f>
        <v>52</v>
      </c>
      <c r="T39" s="35" t="n">
        <f aca="false">Q39-R39+S39</f>
        <v>4887</v>
      </c>
      <c r="U39" s="35" t="n">
        <v>0</v>
      </c>
      <c r="V39" s="38" t="n">
        <f aca="false">N39-T39-U39</f>
        <v>-4484</v>
      </c>
      <c r="W39" s="35" t="n">
        <f aca="false">MAX(0,V39)</f>
        <v>0</v>
      </c>
      <c r="X39" s="35" t="n">
        <f aca="false">IF(W39&gt;0,ROUNDUP(W39*(1+前提・入力!$B$35),0),0)</f>
        <v>0</v>
      </c>
    </row>
    <row r="40" customFormat="false" ht="15" hidden="false" customHeight="false" outlineLevel="0" collapsed="false">
      <c r="A40" s="32" t="n">
        <v>11</v>
      </c>
      <c r="B40" s="32" t="s">
        <v>296</v>
      </c>
      <c r="C40" s="33" t="s">
        <v>297</v>
      </c>
      <c r="D40" s="35" t="n">
        <v>78</v>
      </c>
      <c r="E40" s="62" t="n">
        <f aca="false">IFERROR(D40/D$72,0)</f>
        <v>0.00122372136805773</v>
      </c>
      <c r="F40" s="35" t="n">
        <f aca="false">①札幌予測確定!P17</f>
        <v>24</v>
      </c>
      <c r="G40" s="62" t="n">
        <f aca="false">IFERROR(F40/F$72,0)</f>
        <v>0.00274599542334096</v>
      </c>
      <c r="H40" s="62" t="n">
        <f aca="false">E40*前提・入力!$B$32+G40*前提・入力!$B$33</f>
        <v>0.00198485839569935</v>
      </c>
      <c r="I40" s="35" t="n">
        <f aca="false">ROUND($H40*③石川以降予測!$G$7,0)</f>
        <v>19</v>
      </c>
      <c r="J40" s="35" t="n">
        <f aca="false">ROUND($H40*③石川以降予測!$G$8,0)</f>
        <v>22</v>
      </c>
      <c r="K40" s="35" t="n">
        <f aca="false">ROUND($H40*③石川以降予測!$G$9,0)</f>
        <v>21</v>
      </c>
      <c r="L40" s="35" t="n">
        <f aca="false">ROUND($H40*③石川以降予測!$G$10,0)</f>
        <v>15</v>
      </c>
      <c r="M40" s="35" t="n">
        <f aca="false">ROUND($H40*③石川以降予測!$G$11,0)</f>
        <v>85</v>
      </c>
      <c r="N40" s="35" t="n">
        <f aca="false">SUM(I40:M40)</f>
        <v>162</v>
      </c>
      <c r="O40" s="35" t="n">
        <v>640</v>
      </c>
      <c r="P40" s="35" t="n">
        <f aca="false">①札幌予測確定!S17</f>
        <v>50</v>
      </c>
      <c r="Q40" s="35" t="n">
        <f aca="false">O40-P40</f>
        <v>590</v>
      </c>
      <c r="R40" s="35" t="n">
        <f aca="false">MAX(0,①札幌予測確定!P17-①札幌予測確定!S17)</f>
        <v>0</v>
      </c>
      <c r="S40" s="35" t="n">
        <f aca="false">ROUND(①札幌予測確定!U17*前提・入力!$B$37,0)</f>
        <v>26</v>
      </c>
      <c r="T40" s="35" t="n">
        <f aca="false">Q40-R40+S40</f>
        <v>616</v>
      </c>
      <c r="U40" s="35" t="n">
        <v>0</v>
      </c>
      <c r="V40" s="38" t="n">
        <f aca="false">N40-T40-U40</f>
        <v>-454</v>
      </c>
      <c r="W40" s="35" t="n">
        <f aca="false">MAX(0,V40)</f>
        <v>0</v>
      </c>
      <c r="X40" s="35" t="n">
        <f aca="false">IF(W40&gt;0,ROUNDUP(W40*(1+前提・入力!$B$35),0),0)</f>
        <v>0</v>
      </c>
    </row>
    <row r="41" customFormat="false" ht="15" hidden="false" customHeight="false" outlineLevel="0" collapsed="false">
      <c r="A41" s="32" t="n">
        <v>12</v>
      </c>
      <c r="B41" s="32" t="s">
        <v>298</v>
      </c>
      <c r="C41" s="33" t="s">
        <v>299</v>
      </c>
      <c r="D41" s="35" t="n">
        <v>142</v>
      </c>
      <c r="E41" s="62" t="n">
        <f aca="false">IFERROR(D41/D$72,0)</f>
        <v>0.00222780043928459</v>
      </c>
      <c r="F41" s="35" t="n">
        <f aca="false">①札幌予測確定!P18</f>
        <v>34</v>
      </c>
      <c r="G41" s="62" t="n">
        <f aca="false">IFERROR(F41/F$72,0)</f>
        <v>0.00389016018306636</v>
      </c>
      <c r="H41" s="62" t="n">
        <f aca="false">E41*前提・入力!$B$32+G41*前提・入力!$B$33</f>
        <v>0.00305898031117548</v>
      </c>
      <c r="I41" s="35" t="n">
        <f aca="false">ROUND($H41*③石川以降予測!$G$7,0)</f>
        <v>29</v>
      </c>
      <c r="J41" s="35" t="n">
        <f aca="false">ROUND($H41*③石川以降予測!$G$8,0)</f>
        <v>34</v>
      </c>
      <c r="K41" s="35" t="n">
        <f aca="false">ROUND($H41*③石川以降予測!$G$9,0)</f>
        <v>32</v>
      </c>
      <c r="L41" s="35" t="n">
        <f aca="false">ROUND($H41*③石川以降予測!$G$10,0)</f>
        <v>24</v>
      </c>
      <c r="M41" s="35" t="n">
        <f aca="false">ROUND($H41*③石川以降予測!$G$11,0)</f>
        <v>132</v>
      </c>
      <c r="N41" s="35" t="n">
        <f aca="false">SUM(I41:M41)</f>
        <v>251</v>
      </c>
      <c r="O41" s="35" t="n">
        <v>953</v>
      </c>
      <c r="P41" s="35" t="n">
        <f aca="false">①札幌予測確定!S18</f>
        <v>50</v>
      </c>
      <c r="Q41" s="35" t="n">
        <f aca="false">O41-P41</f>
        <v>903</v>
      </c>
      <c r="R41" s="35" t="n">
        <f aca="false">MAX(0,①札幌予測確定!P18-①札幌予測確定!S18)</f>
        <v>0</v>
      </c>
      <c r="S41" s="35" t="n">
        <f aca="false">ROUND(①札幌予測確定!U18*前提・入力!$B$37,0)</f>
        <v>16</v>
      </c>
      <c r="T41" s="35" t="n">
        <f aca="false">Q41-R41+S41</f>
        <v>919</v>
      </c>
      <c r="U41" s="35" t="n">
        <v>0</v>
      </c>
      <c r="V41" s="38" t="n">
        <f aca="false">N41-T41-U41</f>
        <v>-668</v>
      </c>
      <c r="W41" s="35" t="n">
        <f aca="false">MAX(0,V41)</f>
        <v>0</v>
      </c>
      <c r="X41" s="35" t="n">
        <f aca="false">IF(W41&gt;0,ROUNDUP(W41*(1+前提・入力!$B$35),0),0)</f>
        <v>0</v>
      </c>
    </row>
    <row r="42" customFormat="false" ht="15" hidden="false" customHeight="false" outlineLevel="0" collapsed="false">
      <c r="A42" s="32" t="n">
        <v>13</v>
      </c>
      <c r="B42" s="32" t="s">
        <v>300</v>
      </c>
      <c r="C42" s="33" t="s">
        <v>301</v>
      </c>
      <c r="D42" s="35" t="n">
        <v>43</v>
      </c>
      <c r="E42" s="62" t="n">
        <f aca="false">IFERROR(D42/D$72,0)</f>
        <v>0.000674615625980546</v>
      </c>
      <c r="F42" s="35" t="n">
        <f aca="false">①札幌予測確定!P19</f>
        <v>5</v>
      </c>
      <c r="G42" s="62" t="n">
        <f aca="false">IFERROR(F42/F$72,0)</f>
        <v>0.0005720823798627</v>
      </c>
      <c r="H42" s="62" t="n">
        <f aca="false">E42*前提・入力!$B$32+G42*前提・入力!$B$33</f>
        <v>0.000623349002921623</v>
      </c>
      <c r="I42" s="35" t="n">
        <f aca="false">ROUND($H42*③石川以降予測!$G$7,0)</f>
        <v>6</v>
      </c>
      <c r="J42" s="35" t="n">
        <f aca="false">ROUND($H42*③石川以降予測!$G$8,0)</f>
        <v>7</v>
      </c>
      <c r="K42" s="35" t="n">
        <f aca="false">ROUND($H42*③石川以降予測!$G$9,0)</f>
        <v>6</v>
      </c>
      <c r="L42" s="35" t="n">
        <f aca="false">ROUND($H42*③石川以降予測!$G$10,0)</f>
        <v>5</v>
      </c>
      <c r="M42" s="35" t="n">
        <f aca="false">ROUND($H42*③石川以降予測!$G$11,0)</f>
        <v>27</v>
      </c>
      <c r="N42" s="35" t="n">
        <f aca="false">SUM(I42:M42)</f>
        <v>51</v>
      </c>
      <c r="O42" s="35" t="n">
        <v>320</v>
      </c>
      <c r="P42" s="35" t="n">
        <f aca="false">①札幌予測確定!S19</f>
        <v>50</v>
      </c>
      <c r="Q42" s="35" t="n">
        <f aca="false">O42-P42</f>
        <v>270</v>
      </c>
      <c r="R42" s="35" t="n">
        <f aca="false">MAX(0,①札幌予測確定!P19-①札幌予測確定!S19)</f>
        <v>0</v>
      </c>
      <c r="S42" s="35" t="n">
        <f aca="false">ROUND(①札幌予測確定!U19*前提・入力!$B$37,0)</f>
        <v>45</v>
      </c>
      <c r="T42" s="35" t="n">
        <f aca="false">Q42-R42+S42</f>
        <v>315</v>
      </c>
      <c r="U42" s="35" t="n">
        <v>0</v>
      </c>
      <c r="V42" s="38" t="n">
        <f aca="false">N42-T42-U42</f>
        <v>-264</v>
      </c>
      <c r="W42" s="35" t="n">
        <f aca="false">MAX(0,V42)</f>
        <v>0</v>
      </c>
      <c r="X42" s="35" t="n">
        <f aca="false">IF(W42&gt;0,ROUNDUP(W42*(1+前提・入力!$B$35),0),0)</f>
        <v>0</v>
      </c>
    </row>
    <row r="43" customFormat="false" ht="15" hidden="false" customHeight="false" outlineLevel="0" collapsed="false">
      <c r="A43" s="32" t="n">
        <v>14</v>
      </c>
      <c r="B43" s="32" t="s">
        <v>302</v>
      </c>
      <c r="C43" s="33" t="s">
        <v>303</v>
      </c>
      <c r="D43" s="35" t="n">
        <v>146</v>
      </c>
      <c r="E43" s="62" t="n">
        <f aca="false">IFERROR(D43/D$72,0)</f>
        <v>0.00229055538123627</v>
      </c>
      <c r="F43" s="35" t="n">
        <f aca="false">①札幌予測確定!P20</f>
        <v>38</v>
      </c>
      <c r="G43" s="62" t="n">
        <f aca="false">IFERROR(F43/F$72,0)</f>
        <v>0.00434782608695652</v>
      </c>
      <c r="H43" s="62" t="n">
        <f aca="false">E43*前提・入力!$B$32+G43*前提・入力!$B$33</f>
        <v>0.0033191907340964</v>
      </c>
      <c r="I43" s="35" t="n">
        <f aca="false">ROUND($H43*③石川以降予測!$G$7,0)</f>
        <v>31</v>
      </c>
      <c r="J43" s="35" t="n">
        <f aca="false">ROUND($H43*③石川以降予測!$G$8,0)</f>
        <v>37</v>
      </c>
      <c r="K43" s="35" t="n">
        <f aca="false">ROUND($H43*③石川以降予測!$G$9,0)</f>
        <v>34</v>
      </c>
      <c r="L43" s="35" t="n">
        <f aca="false">ROUND($H43*③石川以降予測!$G$10,0)</f>
        <v>26</v>
      </c>
      <c r="M43" s="35" t="n">
        <f aca="false">ROUND($H43*③石川以降予測!$G$11,0)</f>
        <v>143</v>
      </c>
      <c r="N43" s="35" t="n">
        <f aca="false">SUM(I43:M43)</f>
        <v>271</v>
      </c>
      <c r="O43" s="35" t="n">
        <v>1790</v>
      </c>
      <c r="P43" s="35" t="n">
        <f aca="false">①札幌予測確定!S20</f>
        <v>50</v>
      </c>
      <c r="Q43" s="35" t="n">
        <f aca="false">O43-P43</f>
        <v>1740</v>
      </c>
      <c r="R43" s="35" t="n">
        <f aca="false">MAX(0,①札幌予測確定!P20-①札幌予測確定!S20)</f>
        <v>0</v>
      </c>
      <c r="S43" s="35" t="n">
        <f aca="false">ROUND(①札幌予測確定!U20*前提・入力!$B$37,0)</f>
        <v>12</v>
      </c>
      <c r="T43" s="35" t="n">
        <f aca="false">Q43-R43+S43</f>
        <v>1752</v>
      </c>
      <c r="U43" s="35" t="n">
        <v>0</v>
      </c>
      <c r="V43" s="38" t="n">
        <f aca="false">N43-T43-U43</f>
        <v>-1481</v>
      </c>
      <c r="W43" s="35" t="n">
        <f aca="false">MAX(0,V43)</f>
        <v>0</v>
      </c>
      <c r="X43" s="35" t="n">
        <f aca="false">IF(W43&gt;0,ROUNDUP(W43*(1+前提・入力!$B$35),0),0)</f>
        <v>0</v>
      </c>
    </row>
    <row r="44" customFormat="false" ht="15" hidden="false" customHeight="false" outlineLevel="0" collapsed="false">
      <c r="A44" s="32" t="n">
        <v>15</v>
      </c>
      <c r="B44" s="32" t="s">
        <v>304</v>
      </c>
      <c r="C44" s="33" t="s">
        <v>305</v>
      </c>
      <c r="D44" s="35" t="n">
        <v>198</v>
      </c>
      <c r="E44" s="62" t="n">
        <f aca="false">IFERROR(D44/D$72,0)</f>
        <v>0.0031063696266081</v>
      </c>
      <c r="F44" s="35" t="n">
        <f aca="false">①札幌予測確定!P21</f>
        <v>59</v>
      </c>
      <c r="G44" s="62" t="n">
        <f aca="false">IFERROR(F44/F$72,0)</f>
        <v>0.00675057208237986</v>
      </c>
      <c r="H44" s="62" t="n">
        <f aca="false">E44*前提・入力!$B$32+G44*前提・入力!$B$33</f>
        <v>0.00492847085449398</v>
      </c>
      <c r="I44" s="35" t="n">
        <f aca="false">ROUND($H44*③石川以降予測!$G$7,0)</f>
        <v>47</v>
      </c>
      <c r="J44" s="35" t="n">
        <f aca="false">ROUND($H44*③石川以降予測!$G$8,0)</f>
        <v>55</v>
      </c>
      <c r="K44" s="35" t="n">
        <f aca="false">ROUND($H44*③石川以降予測!$G$9,0)</f>
        <v>51</v>
      </c>
      <c r="L44" s="35" t="n">
        <f aca="false">ROUND($H44*③石川以降予測!$G$10,0)</f>
        <v>38</v>
      </c>
      <c r="M44" s="35" t="n">
        <f aca="false">ROUND($H44*③石川以降予測!$G$11,0)</f>
        <v>212</v>
      </c>
      <c r="N44" s="35" t="n">
        <f aca="false">SUM(I44:M44)</f>
        <v>403</v>
      </c>
      <c r="O44" s="35" t="n">
        <v>2131</v>
      </c>
      <c r="P44" s="35" t="n">
        <f aca="false">①札幌予測確定!S21</f>
        <v>100</v>
      </c>
      <c r="Q44" s="35" t="n">
        <f aca="false">O44-P44</f>
        <v>2031</v>
      </c>
      <c r="R44" s="35" t="n">
        <f aca="false">MAX(0,①札幌予測確定!P21-①札幌予測確定!S21)</f>
        <v>0</v>
      </c>
      <c r="S44" s="35" t="n">
        <f aca="false">ROUND(①札幌予測確定!U21*前提・入力!$B$37,0)</f>
        <v>41</v>
      </c>
      <c r="T44" s="35" t="n">
        <f aca="false">Q44-R44+S44</f>
        <v>2072</v>
      </c>
      <c r="U44" s="35" t="n">
        <v>0</v>
      </c>
      <c r="V44" s="38" t="n">
        <f aca="false">N44-T44-U44</f>
        <v>-1669</v>
      </c>
      <c r="W44" s="35" t="n">
        <f aca="false">MAX(0,V44)</f>
        <v>0</v>
      </c>
      <c r="X44" s="35" t="n">
        <f aca="false">IF(W44&gt;0,ROUNDUP(W44*(1+前提・入力!$B$35),0),0)</f>
        <v>0</v>
      </c>
    </row>
    <row r="45" customFormat="false" ht="15" hidden="false" customHeight="false" outlineLevel="0" collapsed="false">
      <c r="A45" s="32" t="n">
        <v>16</v>
      </c>
      <c r="B45" s="32" t="s">
        <v>306</v>
      </c>
      <c r="C45" s="33" t="s">
        <v>307</v>
      </c>
      <c r="D45" s="35" t="n">
        <v>65</v>
      </c>
      <c r="E45" s="62" t="n">
        <f aca="false">IFERROR(D45/D$72,0)</f>
        <v>0.00101976780671478</v>
      </c>
      <c r="F45" s="35" t="n">
        <f aca="false">①札幌予測確定!P22</f>
        <v>15</v>
      </c>
      <c r="G45" s="62" t="n">
        <f aca="false">IFERROR(F45/F$72,0)</f>
        <v>0.0017162471395881</v>
      </c>
      <c r="H45" s="62" t="n">
        <f aca="false">E45*前提・入力!$B$32+G45*前提・入力!$B$33</f>
        <v>0.00136800747315144</v>
      </c>
      <c r="I45" s="35" t="n">
        <f aca="false">ROUND($H45*③石川以降予測!$G$7,0)</f>
        <v>13</v>
      </c>
      <c r="J45" s="35" t="n">
        <f aca="false">ROUND($H45*③石川以降予測!$G$8,0)</f>
        <v>15</v>
      </c>
      <c r="K45" s="35" t="n">
        <f aca="false">ROUND($H45*③石川以降予測!$G$9,0)</f>
        <v>14</v>
      </c>
      <c r="L45" s="35" t="n">
        <f aca="false">ROUND($H45*③石川以降予測!$G$10,0)</f>
        <v>11</v>
      </c>
      <c r="M45" s="35" t="n">
        <f aca="false">ROUND($H45*③石川以降予測!$G$11,0)</f>
        <v>59</v>
      </c>
      <c r="N45" s="35" t="n">
        <f aca="false">SUM(I45:M45)</f>
        <v>112</v>
      </c>
      <c r="O45" s="35" t="n">
        <v>772</v>
      </c>
      <c r="P45" s="35" t="n">
        <f aca="false">①札幌予測確定!S22</f>
        <v>50</v>
      </c>
      <c r="Q45" s="35" t="n">
        <f aca="false">O45-P45</f>
        <v>722</v>
      </c>
      <c r="R45" s="35" t="n">
        <f aca="false">MAX(0,①札幌予測確定!P22-①札幌予測確定!S22)</f>
        <v>0</v>
      </c>
      <c r="S45" s="35" t="n">
        <f aca="false">ROUND(①札幌予測確定!U22*前提・入力!$B$37,0)</f>
        <v>35</v>
      </c>
      <c r="T45" s="35" t="n">
        <f aca="false">Q45-R45+S45</f>
        <v>757</v>
      </c>
      <c r="U45" s="35" t="n">
        <v>0</v>
      </c>
      <c r="V45" s="38" t="n">
        <f aca="false">N45-T45-U45</f>
        <v>-645</v>
      </c>
      <c r="W45" s="35" t="n">
        <f aca="false">MAX(0,V45)</f>
        <v>0</v>
      </c>
      <c r="X45" s="35" t="n">
        <f aca="false">IF(W45&gt;0,ROUNDUP(W45*(1+前提・入力!$B$35),0),0)</f>
        <v>0</v>
      </c>
    </row>
    <row r="46" customFormat="false" ht="15" hidden="false" customHeight="false" outlineLevel="0" collapsed="false">
      <c r="A46" s="32" t="n">
        <v>17</v>
      </c>
      <c r="B46" s="32" t="s">
        <v>308</v>
      </c>
      <c r="C46" s="33" t="s">
        <v>309</v>
      </c>
      <c r="D46" s="35" t="n">
        <v>261</v>
      </c>
      <c r="E46" s="62" t="n">
        <f aca="false">IFERROR(D46/D$72,0)</f>
        <v>0.00409475996234703</v>
      </c>
      <c r="F46" s="35" t="n">
        <f aca="false">①札幌予測確定!P23</f>
        <v>93</v>
      </c>
      <c r="G46" s="62" t="n">
        <f aca="false">IFERROR(F46/F$72,0)</f>
        <v>0.0106407322654462</v>
      </c>
      <c r="H46" s="62" t="n">
        <f aca="false">E46*前提・入力!$B$32+G46*前提・入力!$B$33</f>
        <v>0.00736774611389663</v>
      </c>
      <c r="I46" s="35" t="n">
        <f aca="false">ROUND($H46*③石川以降予測!$G$7,0)</f>
        <v>70</v>
      </c>
      <c r="J46" s="35" t="n">
        <f aca="false">ROUND($H46*③石川以降予測!$G$8,0)</f>
        <v>82</v>
      </c>
      <c r="K46" s="35" t="n">
        <f aca="false">ROUND($H46*③石川以降予測!$G$9,0)</f>
        <v>76</v>
      </c>
      <c r="L46" s="35" t="n">
        <f aca="false">ROUND($H46*③石川以降予測!$G$10,0)</f>
        <v>57</v>
      </c>
      <c r="M46" s="35" t="n">
        <f aca="false">ROUND($H46*③石川以降予測!$G$11,0)</f>
        <v>317</v>
      </c>
      <c r="N46" s="35" t="n">
        <f aca="false">SUM(I46:M46)</f>
        <v>602</v>
      </c>
      <c r="O46" s="35" t="n">
        <v>2523</v>
      </c>
      <c r="P46" s="35" t="n">
        <f aca="false">①札幌予測確定!S23</f>
        <v>100</v>
      </c>
      <c r="Q46" s="35" t="n">
        <f aca="false">O46-P46</f>
        <v>2423</v>
      </c>
      <c r="R46" s="35" t="n">
        <f aca="false">MAX(0,①札幌予測確定!P23-①札幌予測確定!S23)</f>
        <v>0</v>
      </c>
      <c r="S46" s="35" t="n">
        <f aca="false">ROUND(①札幌予測確定!U23*前提・入力!$B$37,0)</f>
        <v>7</v>
      </c>
      <c r="T46" s="35" t="n">
        <f aca="false">Q46-R46+S46</f>
        <v>2430</v>
      </c>
      <c r="U46" s="35" t="n">
        <v>0</v>
      </c>
      <c r="V46" s="38" t="n">
        <f aca="false">N46-T46-U46</f>
        <v>-1828</v>
      </c>
      <c r="W46" s="35" t="n">
        <f aca="false">MAX(0,V46)</f>
        <v>0</v>
      </c>
      <c r="X46" s="35" t="n">
        <f aca="false">IF(W46&gt;0,ROUNDUP(W46*(1+前提・入力!$B$35),0),0)</f>
        <v>0</v>
      </c>
    </row>
    <row r="47" customFormat="false" ht="15" hidden="false" customHeight="false" outlineLevel="0" collapsed="false">
      <c r="A47" s="32" t="n">
        <v>18</v>
      </c>
      <c r="B47" s="32" t="s">
        <v>310</v>
      </c>
      <c r="C47" s="33" t="s">
        <v>311</v>
      </c>
      <c r="D47" s="35" t="n">
        <v>2021</v>
      </c>
      <c r="E47" s="62" t="n">
        <f aca="false">IFERROR(D47/D$72,0)</f>
        <v>0.0317069344210857</v>
      </c>
      <c r="F47" s="35" t="n">
        <f aca="false">①札幌予測確定!P24</f>
        <v>407</v>
      </c>
      <c r="G47" s="62" t="n">
        <f aca="false">IFERROR(F47/F$72,0)</f>
        <v>0.0465675057208238</v>
      </c>
      <c r="H47" s="62" t="n">
        <f aca="false">E47*前提・入力!$B$32+G47*前提・入力!$B$33</f>
        <v>0.0391372200709547</v>
      </c>
      <c r="I47" s="35" t="n">
        <f aca="false">ROUND($H47*③石川以降予測!$G$7,0)</f>
        <v>371</v>
      </c>
      <c r="J47" s="35" t="n">
        <f aca="false">ROUND($H47*③石川以降予測!$G$8,0)</f>
        <v>438</v>
      </c>
      <c r="K47" s="35" t="n">
        <f aca="false">ROUND($H47*③石川以降予測!$G$9,0)</f>
        <v>404</v>
      </c>
      <c r="L47" s="35" t="n">
        <f aca="false">ROUND($H47*③石川以降予測!$G$10,0)</f>
        <v>303</v>
      </c>
      <c r="M47" s="35" t="n">
        <f aca="false">ROUND($H47*③石川以降予測!$G$11,0)</f>
        <v>1685</v>
      </c>
      <c r="N47" s="35" t="n">
        <f aca="false">SUM(I47:M47)</f>
        <v>3201</v>
      </c>
      <c r="O47" s="35" t="n">
        <v>9725</v>
      </c>
      <c r="P47" s="35" t="n">
        <f aca="false">①札幌予測確定!S24</f>
        <v>1500</v>
      </c>
      <c r="Q47" s="35" t="n">
        <f aca="false">O47-P47</f>
        <v>8225</v>
      </c>
      <c r="R47" s="35" t="n">
        <f aca="false">MAX(0,①札幌予測確定!P24-①札幌予測確定!S24)</f>
        <v>0</v>
      </c>
      <c r="S47" s="35" t="n">
        <f aca="false">ROUND(①札幌予測確定!U24*前提・入力!$B$37,0)</f>
        <v>1093</v>
      </c>
      <c r="T47" s="35" t="n">
        <f aca="false">Q47-R47+S47</f>
        <v>9318</v>
      </c>
      <c r="U47" s="35" t="n">
        <v>0</v>
      </c>
      <c r="V47" s="38" t="n">
        <f aca="false">N47-T47-U47</f>
        <v>-6117</v>
      </c>
      <c r="W47" s="35" t="n">
        <f aca="false">MAX(0,V47)</f>
        <v>0</v>
      </c>
      <c r="X47" s="35" t="n">
        <f aca="false">IF(W47&gt;0,ROUNDUP(W47*(1+前提・入力!$B$35),0),0)</f>
        <v>0</v>
      </c>
    </row>
    <row r="48" customFormat="false" ht="15" hidden="false" customHeight="false" outlineLevel="0" collapsed="false">
      <c r="A48" s="32" t="n">
        <v>19</v>
      </c>
      <c r="B48" s="32" t="s">
        <v>312</v>
      </c>
      <c r="C48" s="33" t="s">
        <v>313</v>
      </c>
      <c r="D48" s="35" t="n">
        <v>45</v>
      </c>
      <c r="E48" s="62" t="n">
        <f aca="false">IFERROR(D48/D$72,0)</f>
        <v>0.000705993096956385</v>
      </c>
      <c r="F48" s="35" t="n">
        <f aca="false">①札幌予測確定!P25</f>
        <v>16</v>
      </c>
      <c r="G48" s="62" t="n">
        <f aca="false">IFERROR(F48/F$72,0)</f>
        <v>0.00183066361556064</v>
      </c>
      <c r="H48" s="62" t="n">
        <f aca="false">E48*前提・入力!$B$32+G48*前提・入力!$B$33</f>
        <v>0.00126832835625851</v>
      </c>
      <c r="I48" s="35" t="n">
        <f aca="false">ROUND($H48*③石川以降予測!$G$7,0)</f>
        <v>12</v>
      </c>
      <c r="J48" s="35" t="n">
        <f aca="false">ROUND($H48*③石川以降予測!$G$8,0)</f>
        <v>14</v>
      </c>
      <c r="K48" s="35" t="n">
        <f aca="false">ROUND($H48*③石川以降予測!$G$9,0)</f>
        <v>13</v>
      </c>
      <c r="L48" s="35" t="n">
        <f aca="false">ROUND($H48*③石川以降予測!$G$10,0)</f>
        <v>10</v>
      </c>
      <c r="M48" s="35" t="n">
        <f aca="false">ROUND($H48*③石川以降予測!$G$11,0)</f>
        <v>55</v>
      </c>
      <c r="N48" s="35" t="n">
        <f aca="false">SUM(I48:M48)</f>
        <v>104</v>
      </c>
      <c r="O48" s="35" t="n">
        <v>2240</v>
      </c>
      <c r="P48" s="35" t="n">
        <f aca="false">①札幌予測確定!S25</f>
        <v>50</v>
      </c>
      <c r="Q48" s="35" t="n">
        <f aca="false">O48-P48</f>
        <v>2190</v>
      </c>
      <c r="R48" s="35" t="n">
        <f aca="false">MAX(0,①札幌予測確定!P25-①札幌予測確定!S25)</f>
        <v>0</v>
      </c>
      <c r="S48" s="35" t="n">
        <f aca="false">ROUND(①札幌予測確定!U25*前提・入力!$B$37,0)</f>
        <v>34</v>
      </c>
      <c r="T48" s="35" t="n">
        <f aca="false">Q48-R48+S48</f>
        <v>2224</v>
      </c>
      <c r="U48" s="35" t="n">
        <v>0</v>
      </c>
      <c r="V48" s="38" t="n">
        <f aca="false">N48-T48-U48</f>
        <v>-2120</v>
      </c>
      <c r="W48" s="35" t="n">
        <f aca="false">MAX(0,V48)</f>
        <v>0</v>
      </c>
      <c r="X48" s="35" t="n">
        <f aca="false">IF(W48&gt;0,ROUNDUP(W48*(1+前提・入力!$B$35),0),0)</f>
        <v>0</v>
      </c>
    </row>
    <row r="49" customFormat="false" ht="15" hidden="false" customHeight="false" outlineLevel="0" collapsed="false">
      <c r="A49" s="32" t="n">
        <v>20</v>
      </c>
      <c r="B49" s="32" t="s">
        <v>314</v>
      </c>
      <c r="C49" s="33" t="s">
        <v>315</v>
      </c>
      <c r="D49" s="35" t="n">
        <v>42</v>
      </c>
      <c r="E49" s="62" t="n">
        <f aca="false">IFERROR(D49/D$72,0)</f>
        <v>0.000658926890492626</v>
      </c>
      <c r="F49" s="35" t="n">
        <f aca="false">①札幌予測確定!P26</f>
        <v>14</v>
      </c>
      <c r="G49" s="62" t="n">
        <f aca="false">IFERROR(F49/F$72,0)</f>
        <v>0.00160183066361556</v>
      </c>
      <c r="H49" s="62" t="n">
        <f aca="false">E49*前提・入力!$B$32+G49*前提・入力!$B$33</f>
        <v>0.00113037877705409</v>
      </c>
      <c r="I49" s="35" t="n">
        <f aca="false">ROUND($H49*③石川以降予測!$G$7,0)</f>
        <v>11</v>
      </c>
      <c r="J49" s="35" t="n">
        <f aca="false">ROUND($H49*③石川以降予測!$G$8,0)</f>
        <v>13</v>
      </c>
      <c r="K49" s="35" t="n">
        <f aca="false">ROUND($H49*③石川以降予測!$G$9,0)</f>
        <v>12</v>
      </c>
      <c r="L49" s="35" t="n">
        <f aca="false">ROUND($H49*③石川以降予測!$G$10,0)</f>
        <v>9</v>
      </c>
      <c r="M49" s="35" t="n">
        <f aca="false">ROUND($H49*③石川以降予測!$G$11,0)</f>
        <v>49</v>
      </c>
      <c r="N49" s="35" t="n">
        <f aca="false">SUM(I49:M49)</f>
        <v>94</v>
      </c>
      <c r="O49" s="35" t="n">
        <v>301</v>
      </c>
      <c r="P49" s="35" t="n">
        <f aca="false">①札幌予測確定!S26</f>
        <v>30</v>
      </c>
      <c r="Q49" s="35" t="n">
        <f aca="false">O49-P49</f>
        <v>271</v>
      </c>
      <c r="R49" s="35" t="n">
        <f aca="false">MAX(0,①札幌予測確定!P26-①札幌予測確定!S26)</f>
        <v>0</v>
      </c>
      <c r="S49" s="35" t="n">
        <f aca="false">ROUND(①札幌予測確定!U26*前提・入力!$B$37,0)</f>
        <v>16</v>
      </c>
      <c r="T49" s="35" t="n">
        <f aca="false">Q49-R49+S49</f>
        <v>287</v>
      </c>
      <c r="U49" s="35" t="n">
        <v>0</v>
      </c>
      <c r="V49" s="38" t="n">
        <f aca="false">N49-T49-U49</f>
        <v>-193</v>
      </c>
      <c r="W49" s="35" t="n">
        <f aca="false">MAX(0,V49)</f>
        <v>0</v>
      </c>
      <c r="X49" s="35" t="n">
        <f aca="false">IF(W49&gt;0,ROUNDUP(W49*(1+前提・入力!$B$35),0),0)</f>
        <v>0</v>
      </c>
    </row>
    <row r="50" customFormat="false" ht="15" hidden="false" customHeight="false" outlineLevel="0" collapsed="false">
      <c r="A50" s="32" t="n">
        <v>21</v>
      </c>
      <c r="B50" s="32" t="s">
        <v>316</v>
      </c>
      <c r="C50" s="33" t="s">
        <v>317</v>
      </c>
      <c r="D50" s="35" t="n">
        <v>252</v>
      </c>
      <c r="E50" s="62" t="n">
        <f aca="false">IFERROR(D50/D$72,0)</f>
        <v>0.00395356134295576</v>
      </c>
      <c r="F50" s="35" t="n">
        <f aca="false">①札幌予測確定!P27</f>
        <v>90</v>
      </c>
      <c r="G50" s="62" t="n">
        <f aca="false">IFERROR(F50/F$72,0)</f>
        <v>0.0102974828375286</v>
      </c>
      <c r="H50" s="62" t="n">
        <f aca="false">E50*前提・入力!$B$32+G50*前提・入力!$B$33</f>
        <v>0.00712552209024218</v>
      </c>
      <c r="I50" s="35" t="n">
        <f aca="false">ROUND($H50*③石川以降予測!$G$7,0)</f>
        <v>67</v>
      </c>
      <c r="J50" s="35" t="n">
        <f aca="false">ROUND($H50*③石川以降予測!$G$8,0)</f>
        <v>80</v>
      </c>
      <c r="K50" s="35" t="n">
        <f aca="false">ROUND($H50*③石川以降予測!$G$9,0)</f>
        <v>74</v>
      </c>
      <c r="L50" s="35" t="n">
        <f aca="false">ROUND($H50*③石川以降予測!$G$10,0)</f>
        <v>55</v>
      </c>
      <c r="M50" s="35" t="n">
        <f aca="false">ROUND($H50*③石川以降予測!$G$11,0)</f>
        <v>307</v>
      </c>
      <c r="N50" s="35" t="n">
        <f aca="false">SUM(I50:M50)</f>
        <v>583</v>
      </c>
      <c r="O50" s="35" t="n">
        <v>308</v>
      </c>
      <c r="P50" s="35" t="n">
        <f aca="false">①札幌予測確定!S27</f>
        <v>100</v>
      </c>
      <c r="Q50" s="35" t="n">
        <f aca="false">O50-P50</f>
        <v>208</v>
      </c>
      <c r="R50" s="35" t="n">
        <f aca="false">MAX(0,①札幌予測確定!P27-①札幌予測確定!S27)</f>
        <v>0</v>
      </c>
      <c r="S50" s="35" t="n">
        <f aca="false">ROUND(①札幌予測確定!U27*前提・入力!$B$37,0)</f>
        <v>10</v>
      </c>
      <c r="T50" s="35" t="n">
        <f aca="false">Q50-R50+S50</f>
        <v>218</v>
      </c>
      <c r="U50" s="35" t="n">
        <v>0</v>
      </c>
      <c r="V50" s="38" t="n">
        <f aca="false">N50-T50-U50</f>
        <v>365</v>
      </c>
      <c r="W50" s="35" t="n">
        <f aca="false">MAX(0,V50)</f>
        <v>365</v>
      </c>
      <c r="X50" s="35" t="n">
        <f aca="false">IF(W50&gt;0,ROUNDUP(W50*(1+前提・入力!$B$35),0),0)</f>
        <v>402</v>
      </c>
    </row>
    <row r="51" customFormat="false" ht="15" hidden="false" customHeight="false" outlineLevel="0" collapsed="false">
      <c r="A51" s="32" t="n">
        <v>22</v>
      </c>
      <c r="B51" s="32" t="s">
        <v>318</v>
      </c>
      <c r="C51" s="33" t="s">
        <v>319</v>
      </c>
      <c r="D51" s="35" t="n">
        <v>171</v>
      </c>
      <c r="E51" s="62" t="n">
        <f aca="false">IFERROR(D51/D$72,0)</f>
        <v>0.00268277376843426</v>
      </c>
      <c r="F51" s="35" t="n">
        <f aca="false">①札幌予測確定!P28</f>
        <v>52</v>
      </c>
      <c r="G51" s="62" t="n">
        <f aca="false">IFERROR(F51/F$72,0)</f>
        <v>0.00594965675057208</v>
      </c>
      <c r="H51" s="62" t="n">
        <f aca="false">E51*前提・入力!$B$32+G51*前提・入力!$B$33</f>
        <v>0.00431621525950317</v>
      </c>
      <c r="I51" s="35" t="n">
        <f aca="false">ROUND($H51*③石川以降予測!$G$7,0)</f>
        <v>41</v>
      </c>
      <c r="J51" s="35" t="n">
        <f aca="false">ROUND($H51*③石川以降予測!$G$8,0)</f>
        <v>48</v>
      </c>
      <c r="K51" s="35" t="n">
        <f aca="false">ROUND($H51*③石川以降予測!$G$9,0)</f>
        <v>45</v>
      </c>
      <c r="L51" s="35" t="n">
        <f aca="false">ROUND($H51*③石川以降予測!$G$10,0)</f>
        <v>33</v>
      </c>
      <c r="M51" s="35" t="n">
        <f aca="false">ROUND($H51*③石川以降予測!$G$11,0)</f>
        <v>186</v>
      </c>
      <c r="N51" s="35" t="n">
        <f aca="false">SUM(I51:M51)</f>
        <v>353</v>
      </c>
      <c r="O51" s="35" t="n">
        <v>1331</v>
      </c>
      <c r="P51" s="35" t="n">
        <f aca="false">①札幌予測確定!S28</f>
        <v>50</v>
      </c>
      <c r="Q51" s="35" t="n">
        <f aca="false">O51-P51</f>
        <v>1281</v>
      </c>
      <c r="R51" s="35" t="n">
        <f aca="false">MAX(0,①札幌予測確定!P28-①札幌予測確定!S28)</f>
        <v>2</v>
      </c>
      <c r="S51" s="35" t="n">
        <f aca="false">ROUND(①札幌予測確定!U28*前提・入力!$B$37,0)</f>
        <v>0</v>
      </c>
      <c r="T51" s="35" t="n">
        <f aca="false">Q51-R51+S51</f>
        <v>1279</v>
      </c>
      <c r="U51" s="35" t="n">
        <v>0</v>
      </c>
      <c r="V51" s="38" t="n">
        <f aca="false">N51-T51-U51</f>
        <v>-926</v>
      </c>
      <c r="W51" s="35" t="n">
        <f aca="false">MAX(0,V51)</f>
        <v>0</v>
      </c>
      <c r="X51" s="35" t="n">
        <f aca="false">IF(W51&gt;0,ROUNDUP(W51*(1+前提・入力!$B$35),0),0)</f>
        <v>0</v>
      </c>
    </row>
    <row r="52" customFormat="false" ht="15" hidden="false" customHeight="false" outlineLevel="0" collapsed="false">
      <c r="A52" s="32" t="n">
        <v>23</v>
      </c>
      <c r="B52" s="32" t="s">
        <v>320</v>
      </c>
      <c r="C52" s="33" t="s">
        <v>321</v>
      </c>
      <c r="D52" s="35" t="n">
        <v>12724</v>
      </c>
      <c r="E52" s="62" t="n">
        <f aca="false">IFERROR(D52/D$72,0)</f>
        <v>0.19962347034829</v>
      </c>
      <c r="F52" s="35" t="n">
        <f aca="false">①札幌予測確定!P29</f>
        <v>2100</v>
      </c>
      <c r="G52" s="62" t="n">
        <f aca="false">IFERROR(F52/F$72,0)</f>
        <v>0.240274599542334</v>
      </c>
      <c r="H52" s="62" t="n">
        <f aca="false">E52*前提・入力!$B$32+G52*前提・入力!$B$33</f>
        <v>0.219949034945312</v>
      </c>
      <c r="I52" s="35" t="n">
        <f aca="false">ROUND($H52*③石川以降予測!$G$7,0)</f>
        <v>2083</v>
      </c>
      <c r="J52" s="35" t="n">
        <f aca="false">ROUND($H52*③石川以降予測!$G$8,0)</f>
        <v>2462</v>
      </c>
      <c r="K52" s="35" t="n">
        <f aca="false">ROUND($H52*③石川以降予測!$G$9,0)</f>
        <v>2273</v>
      </c>
      <c r="L52" s="35" t="n">
        <f aca="false">ROUND($H52*③石川以降予測!$G$10,0)</f>
        <v>1704</v>
      </c>
      <c r="M52" s="35" t="n">
        <f aca="false">ROUND($H52*③石川以降予測!$G$11,0)</f>
        <v>9469</v>
      </c>
      <c r="N52" s="35" t="n">
        <f aca="false">SUM(I52:M52)</f>
        <v>17991</v>
      </c>
      <c r="O52" s="35" t="n">
        <v>51818</v>
      </c>
      <c r="P52" s="35" t="n">
        <f aca="false">①札幌予測確定!S29</f>
        <v>11000</v>
      </c>
      <c r="Q52" s="35" t="n">
        <f aca="false">O52-P52</f>
        <v>40818</v>
      </c>
      <c r="R52" s="35" t="n">
        <f aca="false">MAX(0,①札幌予測確定!P29-①札幌予測確定!S29)</f>
        <v>0</v>
      </c>
      <c r="S52" s="35" t="n">
        <f aca="false">ROUND(①札幌予測確定!U29*前提・入力!$B$37,0)</f>
        <v>8900</v>
      </c>
      <c r="T52" s="35" t="n">
        <f aca="false">Q52-R52+S52</f>
        <v>49718</v>
      </c>
      <c r="U52" s="35" t="n">
        <v>0</v>
      </c>
      <c r="V52" s="38" t="n">
        <f aca="false">N52-T52-U52</f>
        <v>-31727</v>
      </c>
      <c r="W52" s="35" t="n">
        <f aca="false">MAX(0,V52)</f>
        <v>0</v>
      </c>
      <c r="X52" s="35" t="n">
        <f aca="false">IF(W52&gt;0,ROUNDUP(W52*(1+前提・入力!$B$35),0),0)</f>
        <v>0</v>
      </c>
    </row>
    <row r="53" customFormat="false" ht="15" hidden="false" customHeight="false" outlineLevel="0" collapsed="false">
      <c r="A53" s="32" t="n">
        <v>24</v>
      </c>
      <c r="B53" s="32" t="s">
        <v>322</v>
      </c>
      <c r="C53" s="33" t="s">
        <v>323</v>
      </c>
      <c r="D53" s="35" t="n">
        <v>6978</v>
      </c>
      <c r="E53" s="62" t="n">
        <f aca="false">IFERROR(D53/D$72,0)</f>
        <v>0.109475996234703</v>
      </c>
      <c r="F53" s="35" t="n">
        <f aca="false">①札幌予測確定!P30</f>
        <v>1213</v>
      </c>
      <c r="G53" s="62" t="n">
        <f aca="false">IFERROR(F53/F$72,0)</f>
        <v>0.138787185354691</v>
      </c>
      <c r="H53" s="62" t="n">
        <f aca="false">E53*前提・入力!$B$32+G53*前提・入力!$B$33</f>
        <v>0.124131590794697</v>
      </c>
      <c r="I53" s="35" t="n">
        <f aca="false">ROUND($H53*③石川以降予測!$G$7,0)</f>
        <v>1176</v>
      </c>
      <c r="J53" s="35" t="n">
        <f aca="false">ROUND($H53*③石川以降予測!$G$8,0)</f>
        <v>1389</v>
      </c>
      <c r="K53" s="35" t="n">
        <f aca="false">ROUND($H53*③石川以降予測!$G$9,0)</f>
        <v>1283</v>
      </c>
      <c r="L53" s="35" t="n">
        <f aca="false">ROUND($H53*③石川以降予測!$G$10,0)</f>
        <v>962</v>
      </c>
      <c r="M53" s="35" t="n">
        <f aca="false">ROUND($H53*③石川以降予測!$G$11,0)</f>
        <v>5344</v>
      </c>
      <c r="N53" s="35" t="n">
        <f aca="false">SUM(I53:M53)</f>
        <v>10154</v>
      </c>
      <c r="O53" s="35" t="n">
        <v>32204</v>
      </c>
      <c r="P53" s="35" t="n">
        <f aca="false">①札幌予測確定!S30</f>
        <v>8000</v>
      </c>
      <c r="Q53" s="35" t="n">
        <f aca="false">O53-P53</f>
        <v>24204</v>
      </c>
      <c r="R53" s="35" t="n">
        <f aca="false">MAX(0,①札幌予測確定!P30-①札幌予測確定!S30)</f>
        <v>0</v>
      </c>
      <c r="S53" s="35" t="n">
        <f aca="false">ROUND(①札幌予測確定!U30*前提・入力!$B$37,0)</f>
        <v>6787</v>
      </c>
      <c r="T53" s="35" t="n">
        <f aca="false">Q53-R53+S53</f>
        <v>30991</v>
      </c>
      <c r="U53" s="35" t="n">
        <v>0</v>
      </c>
      <c r="V53" s="38" t="n">
        <f aca="false">N53-T53-U53</f>
        <v>-20837</v>
      </c>
      <c r="W53" s="35" t="n">
        <f aca="false">MAX(0,V53)</f>
        <v>0</v>
      </c>
      <c r="X53" s="35" t="n">
        <f aca="false">IF(W53&gt;0,ROUNDUP(W53*(1+前提・入力!$B$35),0),0)</f>
        <v>0</v>
      </c>
    </row>
    <row r="54" customFormat="false" ht="15" hidden="false" customHeight="false" outlineLevel="0" collapsed="false">
      <c r="A54" s="32" t="n">
        <v>25</v>
      </c>
      <c r="B54" s="32" t="s">
        <v>324</v>
      </c>
      <c r="C54" s="33" t="s">
        <v>325</v>
      </c>
      <c r="D54" s="35" t="n">
        <v>243</v>
      </c>
      <c r="E54" s="62" t="n">
        <f aca="false">IFERROR(D54/D$72,0)</f>
        <v>0.00381236272356448</v>
      </c>
      <c r="F54" s="35" t="n">
        <f aca="false">①札幌予測確定!P31</f>
        <v>54</v>
      </c>
      <c r="G54" s="62" t="n">
        <f aca="false">IFERROR(F54/F$72,0)</f>
        <v>0.00617848970251716</v>
      </c>
      <c r="H54" s="62" t="n">
        <f aca="false">E54*前提・入力!$B$32+G54*前提・入力!$B$33</f>
        <v>0.00499542621304082</v>
      </c>
      <c r="I54" s="35" t="n">
        <f aca="false">ROUND($H54*③石川以降予測!$G$7,0)</f>
        <v>47</v>
      </c>
      <c r="J54" s="35" t="n">
        <f aca="false">ROUND($H54*③石川以降予測!$G$8,0)</f>
        <v>56</v>
      </c>
      <c r="K54" s="35" t="n">
        <f aca="false">ROUND($H54*③石川以降予測!$G$9,0)</f>
        <v>52</v>
      </c>
      <c r="L54" s="35" t="n">
        <f aca="false">ROUND($H54*③石川以降予測!$G$10,0)</f>
        <v>39</v>
      </c>
      <c r="M54" s="35" t="n">
        <f aca="false">ROUND($H54*③石川以降予測!$G$11,0)</f>
        <v>215</v>
      </c>
      <c r="N54" s="35" t="n">
        <f aca="false">SUM(I54:M54)</f>
        <v>409</v>
      </c>
      <c r="O54" s="35" t="n">
        <v>3505</v>
      </c>
      <c r="P54" s="35" t="n">
        <f aca="false">①札幌予測確定!S31</f>
        <v>200</v>
      </c>
      <c r="Q54" s="35" t="n">
        <f aca="false">O54-P54</f>
        <v>3305</v>
      </c>
      <c r="R54" s="35" t="n">
        <f aca="false">MAX(0,①札幌予測確定!P31-①札幌予測確定!S31)</f>
        <v>0</v>
      </c>
      <c r="S54" s="35" t="n">
        <f aca="false">ROUND(①札幌予測確定!U31*前提・入力!$B$37,0)</f>
        <v>146</v>
      </c>
      <c r="T54" s="35" t="n">
        <f aca="false">Q54-R54+S54</f>
        <v>3451</v>
      </c>
      <c r="U54" s="35" t="n">
        <v>0</v>
      </c>
      <c r="V54" s="38" t="n">
        <f aca="false">N54-T54-U54</f>
        <v>-3042</v>
      </c>
      <c r="W54" s="35" t="n">
        <f aca="false">MAX(0,V54)</f>
        <v>0</v>
      </c>
      <c r="X54" s="35" t="n">
        <f aca="false">IF(W54&gt;0,ROUNDUP(W54*(1+前提・入力!$B$35),0),0)</f>
        <v>0</v>
      </c>
    </row>
    <row r="55" customFormat="false" ht="15" hidden="false" customHeight="false" outlineLevel="0" collapsed="false">
      <c r="A55" s="32" t="n">
        <v>26</v>
      </c>
      <c r="B55" s="32" t="s">
        <v>326</v>
      </c>
      <c r="C55" s="33" t="s">
        <v>327</v>
      </c>
      <c r="D55" s="35" t="n">
        <v>842</v>
      </c>
      <c r="E55" s="62" t="n">
        <f aca="false">IFERROR(D55/D$72,0)</f>
        <v>0.0132099152808284</v>
      </c>
      <c r="F55" s="35" t="n">
        <f aca="false">①札幌予測確定!P32</f>
        <v>156</v>
      </c>
      <c r="G55" s="62" t="n">
        <f aca="false">IFERROR(F55/F$72,0)</f>
        <v>0.0178489702517162</v>
      </c>
      <c r="H55" s="62" t="n">
        <f aca="false">E55*前提・入力!$B$32+G55*前提・入力!$B$33</f>
        <v>0.0155294427662723</v>
      </c>
      <c r="I55" s="35" t="n">
        <f aca="false">ROUND($H55*③石川以降予測!$G$7,0)</f>
        <v>147</v>
      </c>
      <c r="J55" s="35" t="n">
        <f aca="false">ROUND($H55*③石川以降予測!$G$8,0)</f>
        <v>174</v>
      </c>
      <c r="K55" s="35" t="n">
        <f aca="false">ROUND($H55*③石川以降予測!$G$9,0)</f>
        <v>160</v>
      </c>
      <c r="L55" s="35" t="n">
        <f aca="false">ROUND($H55*③石川以降予測!$G$10,0)</f>
        <v>120</v>
      </c>
      <c r="M55" s="35" t="n">
        <f aca="false">ROUND($H55*③石川以降予測!$G$11,0)</f>
        <v>669</v>
      </c>
      <c r="N55" s="35" t="n">
        <f aca="false">SUM(I55:M55)</f>
        <v>1270</v>
      </c>
      <c r="O55" s="35" t="n">
        <v>497</v>
      </c>
      <c r="P55" s="35" t="n">
        <f aca="false">①札幌予測確定!S32</f>
        <v>200</v>
      </c>
      <c r="Q55" s="35" t="n">
        <f aca="false">O55-P55</f>
        <v>297</v>
      </c>
      <c r="R55" s="35" t="n">
        <f aca="false">MAX(0,①札幌予測確定!P32-①札幌予測確定!S32)</f>
        <v>0</v>
      </c>
      <c r="S55" s="35" t="n">
        <f aca="false">ROUND(①札幌予測確定!U32*前提・入力!$B$37,0)</f>
        <v>44</v>
      </c>
      <c r="T55" s="35" t="n">
        <f aca="false">Q55-R55+S55</f>
        <v>341</v>
      </c>
      <c r="U55" s="35" t="n">
        <v>0</v>
      </c>
      <c r="V55" s="38" t="n">
        <f aca="false">N55-T55-U55</f>
        <v>929</v>
      </c>
      <c r="W55" s="35" t="n">
        <f aca="false">MAX(0,V55)</f>
        <v>929</v>
      </c>
      <c r="X55" s="35" t="n">
        <f aca="false">IF(W55&gt;0,ROUNDUP(W55*(1+前提・入力!$B$35),0),0)</f>
        <v>1022</v>
      </c>
    </row>
    <row r="56" customFormat="false" ht="15" hidden="false" customHeight="false" outlineLevel="0" collapsed="false">
      <c r="A56" s="32" t="n">
        <v>27</v>
      </c>
      <c r="B56" s="32" t="s">
        <v>328</v>
      </c>
      <c r="C56" s="33" t="s">
        <v>329</v>
      </c>
      <c r="D56" s="35" t="n">
        <v>145</v>
      </c>
      <c r="E56" s="62" t="n">
        <f aca="false">IFERROR(D56/D$72,0)</f>
        <v>0.00227486664574835</v>
      </c>
      <c r="F56" s="35" t="n">
        <f aca="false">①札幌予測確定!P33</f>
        <v>40</v>
      </c>
      <c r="G56" s="62" t="n">
        <f aca="false">IFERROR(F56/F$72,0)</f>
        <v>0.0045766590389016</v>
      </c>
      <c r="H56" s="62" t="n">
        <f aca="false">E56*前提・入力!$B$32+G56*前提・入力!$B$33</f>
        <v>0.00342576284232498</v>
      </c>
      <c r="I56" s="35" t="n">
        <f aca="false">ROUND($H56*③石川以降予測!$G$7,0)</f>
        <v>32</v>
      </c>
      <c r="J56" s="35" t="n">
        <f aca="false">ROUND($H56*③石川以降予測!$G$8,0)</f>
        <v>38</v>
      </c>
      <c r="K56" s="35" t="n">
        <f aca="false">ROUND($H56*③石川以降予測!$G$9,0)</f>
        <v>35</v>
      </c>
      <c r="L56" s="35" t="n">
        <f aca="false">ROUND($H56*③石川以降予測!$G$10,0)</f>
        <v>27</v>
      </c>
      <c r="M56" s="35" t="n">
        <f aca="false">ROUND($H56*③石川以降予測!$G$11,0)</f>
        <v>147</v>
      </c>
      <c r="N56" s="35" t="n">
        <f aca="false">SUM(I56:M56)</f>
        <v>279</v>
      </c>
      <c r="O56" s="35" t="n">
        <v>1198</v>
      </c>
      <c r="P56" s="35" t="n">
        <f aca="false">①札幌予測確定!S33</f>
        <v>70</v>
      </c>
      <c r="Q56" s="35" t="n">
        <f aca="false">O56-P56</f>
        <v>1128</v>
      </c>
      <c r="R56" s="35" t="n">
        <f aca="false">MAX(0,①札幌予測確定!P33-①札幌予測確定!S33)</f>
        <v>0</v>
      </c>
      <c r="S56" s="35" t="n">
        <f aca="false">ROUND(①札幌予測確定!U33*前提・入力!$B$37,0)</f>
        <v>30</v>
      </c>
      <c r="T56" s="35" t="n">
        <f aca="false">Q56-R56+S56</f>
        <v>1158</v>
      </c>
      <c r="U56" s="35" t="n">
        <v>0</v>
      </c>
      <c r="V56" s="38" t="n">
        <f aca="false">N56-T56-U56</f>
        <v>-879</v>
      </c>
      <c r="W56" s="35" t="n">
        <f aca="false">MAX(0,V56)</f>
        <v>0</v>
      </c>
      <c r="X56" s="35" t="n">
        <f aca="false">IF(W56&gt;0,ROUNDUP(W56*(1+前提・入力!$B$35),0),0)</f>
        <v>0</v>
      </c>
    </row>
    <row r="57" customFormat="false" ht="15" hidden="false" customHeight="false" outlineLevel="0" collapsed="false">
      <c r="A57" s="32" t="n">
        <v>28</v>
      </c>
      <c r="B57" s="32" t="s">
        <v>330</v>
      </c>
      <c r="C57" s="33" t="s">
        <v>331</v>
      </c>
      <c r="D57" s="35" t="n">
        <v>400</v>
      </c>
      <c r="E57" s="62" t="n">
        <f aca="false">IFERROR(D57/D$72,0)</f>
        <v>0.00627549419516787</v>
      </c>
      <c r="F57" s="35" t="n">
        <f aca="false">①札幌予測確定!P34</f>
        <v>216</v>
      </c>
      <c r="G57" s="62" t="n">
        <f aca="false">IFERROR(F57/F$72,0)</f>
        <v>0.0247139588100687</v>
      </c>
      <c r="H57" s="62" t="n">
        <f aca="false">E57*前提・入力!$B$32+G57*前提・入力!$B$33</f>
        <v>0.0154947265026183</v>
      </c>
      <c r="I57" s="35" t="n">
        <f aca="false">ROUND($H57*③石川以降予測!$G$7,0)</f>
        <v>147</v>
      </c>
      <c r="J57" s="35" t="n">
        <f aca="false">ROUND($H57*③石川以降予測!$G$8,0)</f>
        <v>173</v>
      </c>
      <c r="K57" s="35" t="n">
        <f aca="false">ROUND($H57*③石川以降予測!$G$9,0)</f>
        <v>160</v>
      </c>
      <c r="L57" s="35" t="n">
        <f aca="false">ROUND($H57*③石川以降予測!$G$10,0)</f>
        <v>120</v>
      </c>
      <c r="M57" s="35" t="n">
        <f aca="false">ROUND($H57*③石川以降予測!$G$11,0)</f>
        <v>667</v>
      </c>
      <c r="N57" s="35" t="n">
        <f aca="false">SUM(I57:M57)</f>
        <v>1267</v>
      </c>
      <c r="O57" s="35" t="n">
        <v>460</v>
      </c>
      <c r="P57" s="35" t="n">
        <f aca="false">①札幌予測確定!S34</f>
        <v>300</v>
      </c>
      <c r="Q57" s="35" t="n">
        <f aca="false">O57-P57</f>
        <v>160</v>
      </c>
      <c r="R57" s="35" t="n">
        <f aca="false">MAX(0,①札幌予測確定!P34-①札幌予測確定!S34)</f>
        <v>0</v>
      </c>
      <c r="S57" s="35" t="n">
        <f aca="false">ROUND(①札幌予測確定!U34*前提・入力!$B$37,0)</f>
        <v>84</v>
      </c>
      <c r="T57" s="35" t="n">
        <f aca="false">Q57-R57+S57</f>
        <v>244</v>
      </c>
      <c r="U57" s="35" t="n">
        <v>1200</v>
      </c>
      <c r="V57" s="38" t="n">
        <f aca="false">N57-T57-U57</f>
        <v>-177</v>
      </c>
      <c r="W57" s="35" t="n">
        <f aca="false">MAX(0,V57)</f>
        <v>0</v>
      </c>
      <c r="X57" s="35" t="n">
        <f aca="false">IF(W57&gt;0,ROUNDUP(W57*(1+前提・入力!$B$35),0),0)</f>
        <v>0</v>
      </c>
    </row>
    <row r="58" customFormat="false" ht="15" hidden="false" customHeight="false" outlineLevel="0" collapsed="false">
      <c r="A58" s="32" t="n">
        <v>29</v>
      </c>
      <c r="B58" s="32" t="s">
        <v>332</v>
      </c>
      <c r="C58" s="33" t="s">
        <v>333</v>
      </c>
      <c r="D58" s="35" t="n">
        <v>200</v>
      </c>
      <c r="E58" s="62" t="n">
        <f aca="false">IFERROR(D58/D$72,0)</f>
        <v>0.00313774709758393</v>
      </c>
      <c r="F58" s="35" t="n">
        <f aca="false">①札幌予測確定!P35</f>
        <v>107</v>
      </c>
      <c r="G58" s="62" t="n">
        <f aca="false">IFERROR(F58/F$72,0)</f>
        <v>0.0122425629290618</v>
      </c>
      <c r="H58" s="62" t="n">
        <f aca="false">E58*前提・入力!$B$32+G58*前提・入力!$B$33</f>
        <v>0.00769015501332286</v>
      </c>
      <c r="I58" s="35" t="n">
        <f aca="false">ROUND($H58*③石川以降予測!$G$7,0)</f>
        <v>73</v>
      </c>
      <c r="J58" s="35" t="n">
        <f aca="false">ROUND($H58*③石川以降予測!$G$8,0)</f>
        <v>86</v>
      </c>
      <c r="K58" s="35" t="n">
        <f aca="false">ROUND($H58*③石川以降予測!$G$9,0)</f>
        <v>79</v>
      </c>
      <c r="L58" s="35" t="n">
        <f aca="false">ROUND($H58*③石川以降予測!$G$10,0)</f>
        <v>60</v>
      </c>
      <c r="M58" s="35" t="n">
        <f aca="false">ROUND($H58*③石川以降予測!$G$11,0)</f>
        <v>331</v>
      </c>
      <c r="N58" s="35" t="n">
        <f aca="false">SUM(I58:M58)</f>
        <v>629</v>
      </c>
      <c r="O58" s="35" t="n">
        <v>420</v>
      </c>
      <c r="P58" s="35" t="n">
        <f aca="false">①札幌予測確定!S35</f>
        <v>160</v>
      </c>
      <c r="Q58" s="35" t="n">
        <f aca="false">O58-P58</f>
        <v>260</v>
      </c>
      <c r="R58" s="35" t="n">
        <f aca="false">MAX(0,①札幌予測確定!P35-①札幌予測確定!S35)</f>
        <v>0</v>
      </c>
      <c r="S58" s="35" t="n">
        <f aca="false">ROUND(①札幌予測確定!U35*前提・入力!$B$37,0)</f>
        <v>53</v>
      </c>
      <c r="T58" s="35" t="n">
        <f aca="false">Q58-R58+S58</f>
        <v>313</v>
      </c>
      <c r="U58" s="35" t="n">
        <v>0</v>
      </c>
      <c r="V58" s="38" t="n">
        <f aca="false">N58-T58-U58</f>
        <v>316</v>
      </c>
      <c r="W58" s="35" t="n">
        <f aca="false">MAX(0,V58)</f>
        <v>316</v>
      </c>
      <c r="X58" s="35" t="n">
        <f aca="false">IF(W58&gt;0,ROUNDUP(W58*(1+前提・入力!$B$35),0),0)</f>
        <v>348</v>
      </c>
    </row>
    <row r="59" customFormat="false" ht="15" hidden="false" customHeight="false" outlineLevel="0" collapsed="false">
      <c r="A59" s="32" t="n">
        <v>30</v>
      </c>
      <c r="B59" s="32" t="s">
        <v>334</v>
      </c>
      <c r="C59" s="33" t="s">
        <v>335</v>
      </c>
      <c r="D59" s="35" t="n">
        <v>205</v>
      </c>
      <c r="E59" s="62" t="n">
        <f aca="false">IFERROR(D59/D$72,0)</f>
        <v>0.00321619077502353</v>
      </c>
      <c r="F59" s="35" t="n">
        <f aca="false">①札幌予測確定!P36</f>
        <v>63</v>
      </c>
      <c r="G59" s="62" t="n">
        <f aca="false">IFERROR(F59/F$72,0)</f>
        <v>0.00720823798627002</v>
      </c>
      <c r="H59" s="62" t="n">
        <f aca="false">E59*前提・入力!$B$32+G59*前提・入力!$B$33</f>
        <v>0.00521221438064678</v>
      </c>
      <c r="I59" s="35" t="n">
        <f aca="false">ROUND($H59*③石川以降予測!$G$7,0)</f>
        <v>49</v>
      </c>
      <c r="J59" s="35" t="n">
        <f aca="false">ROUND($H59*③石川以降予測!$G$8,0)</f>
        <v>58</v>
      </c>
      <c r="K59" s="35" t="n">
        <f aca="false">ROUND($H59*③石川以降予測!$G$9,0)</f>
        <v>54</v>
      </c>
      <c r="L59" s="35" t="n">
        <f aca="false">ROUND($H59*③石川以降予測!$G$10,0)</f>
        <v>40</v>
      </c>
      <c r="M59" s="35" t="n">
        <f aca="false">ROUND($H59*③石川以降予測!$G$11,0)</f>
        <v>224</v>
      </c>
      <c r="N59" s="35" t="n">
        <f aca="false">SUM(I59:M59)</f>
        <v>425</v>
      </c>
      <c r="O59" s="35" t="n">
        <v>898</v>
      </c>
      <c r="P59" s="35" t="n">
        <f aca="false">①札幌予測確定!S36</f>
        <v>250</v>
      </c>
      <c r="Q59" s="35" t="n">
        <f aca="false">O59-P59</f>
        <v>648</v>
      </c>
      <c r="R59" s="35" t="n">
        <f aca="false">MAX(0,①札幌予測確定!P36-①札幌予測確定!S36)</f>
        <v>0</v>
      </c>
      <c r="S59" s="35" t="n">
        <f aca="false">ROUND(①札幌予測確定!U36*前提・入力!$B$37,0)</f>
        <v>187</v>
      </c>
      <c r="T59" s="35" t="n">
        <f aca="false">Q59-R59+S59</f>
        <v>835</v>
      </c>
      <c r="U59" s="35" t="n">
        <v>0</v>
      </c>
      <c r="V59" s="38" t="n">
        <f aca="false">N59-T59-U59</f>
        <v>-410</v>
      </c>
      <c r="W59" s="35" t="n">
        <f aca="false">MAX(0,V59)</f>
        <v>0</v>
      </c>
      <c r="X59" s="35" t="n">
        <f aca="false">IF(W59&gt;0,ROUNDUP(W59*(1+前提・入力!$B$35),0),0)</f>
        <v>0</v>
      </c>
    </row>
    <row r="60" customFormat="false" ht="15" hidden="false" customHeight="false" outlineLevel="0" collapsed="false">
      <c r="A60" s="32" t="n">
        <v>31</v>
      </c>
      <c r="B60" s="32" t="s">
        <v>336</v>
      </c>
      <c r="C60" s="33" t="s">
        <v>337</v>
      </c>
      <c r="D60" s="35" t="n">
        <v>427</v>
      </c>
      <c r="E60" s="62" t="n">
        <f aca="false">IFERROR(D60/D$72,0)</f>
        <v>0.0066990900533417</v>
      </c>
      <c r="F60" s="35" t="n">
        <f aca="false">①札幌予測確定!P37</f>
        <v>87</v>
      </c>
      <c r="G60" s="62" t="n">
        <f aca="false">IFERROR(F60/F$72,0)</f>
        <v>0.00995423340961098</v>
      </c>
      <c r="H60" s="62" t="n">
        <f aca="false">E60*前提・入力!$B$32+G60*前提・入力!$B$33</f>
        <v>0.00832666173147634</v>
      </c>
      <c r="I60" s="35" t="n">
        <f aca="false">ROUND($H60*③石川以降予測!$G$7,0)</f>
        <v>79</v>
      </c>
      <c r="J60" s="35" t="n">
        <f aca="false">ROUND($H60*③石川以降予測!$G$8,0)</f>
        <v>93</v>
      </c>
      <c r="K60" s="35" t="n">
        <f aca="false">ROUND($H60*③石川以降予測!$G$9,0)</f>
        <v>86</v>
      </c>
      <c r="L60" s="35" t="n">
        <f aca="false">ROUND($H60*③石川以降予測!$G$10,0)</f>
        <v>65</v>
      </c>
      <c r="M60" s="35" t="n">
        <f aca="false">ROUND($H60*③石川以降予測!$G$11,0)</f>
        <v>358</v>
      </c>
      <c r="N60" s="35" t="n">
        <f aca="false">SUM(I60:M60)</f>
        <v>681</v>
      </c>
      <c r="O60" s="35" t="n">
        <v>926</v>
      </c>
      <c r="P60" s="35" t="n">
        <f aca="false">①札幌予測確定!S37</f>
        <v>200</v>
      </c>
      <c r="Q60" s="35" t="n">
        <f aca="false">O60-P60</f>
        <v>726</v>
      </c>
      <c r="R60" s="35" t="n">
        <f aca="false">MAX(0,①札幌予測確定!P37-①札幌予測確定!S37)</f>
        <v>0</v>
      </c>
      <c r="S60" s="35" t="n">
        <f aca="false">ROUND(①札幌予測確定!U37*前提・入力!$B$37,0)</f>
        <v>113</v>
      </c>
      <c r="T60" s="35" t="n">
        <f aca="false">Q60-R60+S60</f>
        <v>839</v>
      </c>
      <c r="U60" s="35" t="n">
        <v>0</v>
      </c>
      <c r="V60" s="38" t="n">
        <f aca="false">N60-T60-U60</f>
        <v>-158</v>
      </c>
      <c r="W60" s="35" t="n">
        <f aca="false">MAX(0,V60)</f>
        <v>0</v>
      </c>
      <c r="X60" s="35" t="n">
        <f aca="false">IF(W60&gt;0,ROUNDUP(W60*(1+前提・入力!$B$35),0),0)</f>
        <v>0</v>
      </c>
    </row>
    <row r="61" customFormat="false" ht="15" hidden="false" customHeight="false" outlineLevel="0" collapsed="false">
      <c r="A61" s="32" t="n">
        <v>32</v>
      </c>
      <c r="B61" s="32" t="s">
        <v>338</v>
      </c>
      <c r="C61" s="33" t="s">
        <v>339</v>
      </c>
      <c r="D61" s="35" t="n">
        <v>40</v>
      </c>
      <c r="E61" s="62" t="n">
        <f aca="false">IFERROR(D61/D$72,0)</f>
        <v>0.000627549419516787</v>
      </c>
      <c r="F61" s="35" t="n">
        <f aca="false">①札幌予測確定!P38</f>
        <v>10</v>
      </c>
      <c r="G61" s="62" t="n">
        <f aca="false">IFERROR(F61/F$72,0)</f>
        <v>0.0011441647597254</v>
      </c>
      <c r="H61" s="62" t="n">
        <f aca="false">E61*前提・入力!$B$32+G61*前提・入力!$B$33</f>
        <v>0.000885857089621094</v>
      </c>
      <c r="I61" s="35" t="n">
        <f aca="false">ROUND($H61*③石川以降予測!$G$7,0)</f>
        <v>8</v>
      </c>
      <c r="J61" s="35" t="n">
        <f aca="false">ROUND($H61*③石川以降予測!$G$8,0)</f>
        <v>10</v>
      </c>
      <c r="K61" s="35" t="n">
        <f aca="false">ROUND($H61*③石川以降予測!$G$9,0)</f>
        <v>9</v>
      </c>
      <c r="L61" s="35" t="n">
        <f aca="false">ROUND($H61*③石川以降予測!$G$10,0)</f>
        <v>7</v>
      </c>
      <c r="M61" s="35" t="n">
        <f aca="false">ROUND($H61*③石川以降予測!$G$11,0)</f>
        <v>38</v>
      </c>
      <c r="N61" s="35" t="n">
        <f aca="false">SUM(I61:M61)</f>
        <v>72</v>
      </c>
      <c r="O61" s="35" t="n">
        <v>33</v>
      </c>
      <c r="P61" s="35" t="n">
        <f aca="false">①札幌予測確定!S38</f>
        <v>10</v>
      </c>
      <c r="Q61" s="35" t="n">
        <f aca="false">O61-P61</f>
        <v>23</v>
      </c>
      <c r="R61" s="35" t="n">
        <f aca="false">MAX(0,①札幌予測確定!P38-①札幌予測確定!S38)</f>
        <v>0</v>
      </c>
      <c r="S61" s="35" t="n">
        <f aca="false">ROUND(①札幌予測確定!U38*前提・入力!$B$37,0)</f>
        <v>0</v>
      </c>
      <c r="T61" s="35" t="n">
        <f aca="false">Q61-R61+S61</f>
        <v>23</v>
      </c>
      <c r="U61" s="35" t="n">
        <v>0</v>
      </c>
      <c r="V61" s="38" t="n">
        <f aca="false">N61-T61-U61</f>
        <v>49</v>
      </c>
      <c r="W61" s="35" t="n">
        <f aca="false">MAX(0,V61)</f>
        <v>49</v>
      </c>
      <c r="X61" s="35" t="n">
        <f aca="false">IF(W61&gt;0,ROUNDUP(W61*(1+前提・入力!$B$35),0),0)</f>
        <v>54</v>
      </c>
    </row>
    <row r="62" customFormat="false" ht="15" hidden="false" customHeight="false" outlineLevel="0" collapsed="false">
      <c r="A62" s="32" t="n">
        <v>33</v>
      </c>
      <c r="B62" s="32" t="s">
        <v>340</v>
      </c>
      <c r="C62" s="33" t="s">
        <v>341</v>
      </c>
      <c r="D62" s="35" t="n">
        <v>21</v>
      </c>
      <c r="E62" s="62" t="n">
        <f aca="false">IFERROR(D62/D$72,0)</f>
        <v>0.000329463445246313</v>
      </c>
      <c r="F62" s="35" t="n">
        <f aca="false">①札幌予測確定!P39</f>
        <v>0</v>
      </c>
      <c r="G62" s="62" t="n">
        <f aca="false">IFERROR(F62/F$72,0)</f>
        <v>0</v>
      </c>
      <c r="H62" s="62" t="n">
        <f aca="false">E62*前提・入力!$B$32+G62*前提・入力!$B$33</f>
        <v>0.000164731722623157</v>
      </c>
      <c r="I62" s="35" t="n">
        <f aca="false">ROUND($H62*③石川以降予測!$G$7,0)</f>
        <v>2</v>
      </c>
      <c r="J62" s="35" t="n">
        <f aca="false">ROUND($H62*③石川以降予測!$G$8,0)</f>
        <v>2</v>
      </c>
      <c r="K62" s="35" t="n">
        <f aca="false">ROUND($H62*③石川以降予測!$G$9,0)</f>
        <v>2</v>
      </c>
      <c r="L62" s="35" t="n">
        <f aca="false">ROUND($H62*③石川以降予測!$G$10,0)</f>
        <v>1</v>
      </c>
      <c r="M62" s="35" t="n">
        <f aca="false">ROUND($H62*③石川以降予測!$G$11,0)</f>
        <v>7</v>
      </c>
      <c r="N62" s="35" t="n">
        <f aca="false">SUM(I62:M62)</f>
        <v>14</v>
      </c>
      <c r="O62" s="35" t="n">
        <v>106</v>
      </c>
      <c r="P62" s="35" t="n">
        <f aca="false">①札幌予測確定!S39</f>
        <v>15</v>
      </c>
      <c r="Q62" s="35" t="n">
        <f aca="false">O62-P62</f>
        <v>91</v>
      </c>
      <c r="R62" s="35" t="n">
        <f aca="false">MAX(0,①札幌予測確定!P39-①札幌予測確定!S39)</f>
        <v>0</v>
      </c>
      <c r="S62" s="35" t="n">
        <f aca="false">ROUND(①札幌予測確定!U39*前提・入力!$B$37,0)</f>
        <v>15</v>
      </c>
      <c r="T62" s="35" t="n">
        <f aca="false">Q62-R62+S62</f>
        <v>106</v>
      </c>
      <c r="U62" s="35" t="n">
        <v>0</v>
      </c>
      <c r="V62" s="38" t="n">
        <f aca="false">N62-T62-U62</f>
        <v>-92</v>
      </c>
      <c r="W62" s="35" t="n">
        <f aca="false">MAX(0,V62)</f>
        <v>0</v>
      </c>
      <c r="X62" s="35" t="n">
        <f aca="false">IF(W62&gt;0,ROUNDUP(W62*(1+前提・入力!$B$35),0),0)</f>
        <v>0</v>
      </c>
    </row>
    <row r="63" customFormat="false" ht="15" hidden="false" customHeight="false" outlineLevel="0" collapsed="false">
      <c r="A63" s="32" t="n">
        <v>34</v>
      </c>
      <c r="B63" s="32" t="s">
        <v>342</v>
      </c>
      <c r="C63" s="33" t="s">
        <v>343</v>
      </c>
      <c r="D63" s="35" t="n">
        <v>3</v>
      </c>
      <c r="E63" s="62" t="n">
        <f aca="false">IFERROR(D63/D$72,0)</f>
        <v>4.7066206463759E-005</v>
      </c>
      <c r="F63" s="35" t="n">
        <f aca="false">①札幌予測確定!P40</f>
        <v>1</v>
      </c>
      <c r="G63" s="62" t="n">
        <f aca="false">IFERROR(F63/F$72,0)</f>
        <v>0.00011441647597254</v>
      </c>
      <c r="H63" s="62" t="n">
        <f aca="false">E63*前提・入力!$B$32+G63*前提・入力!$B$33</f>
        <v>8.07413412181495E-005</v>
      </c>
      <c r="I63" s="35" t="n">
        <f aca="false">ROUND($H63*③石川以降予測!$G$7,0)</f>
        <v>1</v>
      </c>
      <c r="J63" s="35" t="n">
        <f aca="false">ROUND($H63*③石川以降予測!$G$8,0)</f>
        <v>1</v>
      </c>
      <c r="K63" s="35" t="n">
        <f aca="false">ROUND($H63*③石川以降予測!$G$9,0)</f>
        <v>1</v>
      </c>
      <c r="L63" s="35" t="n">
        <f aca="false">ROUND($H63*③石川以降予測!$G$10,0)</f>
        <v>1</v>
      </c>
      <c r="M63" s="35" t="n">
        <f aca="false">ROUND($H63*③石川以降予測!$G$11,0)</f>
        <v>3</v>
      </c>
      <c r="N63" s="35" t="n">
        <f aca="false">SUM(I63:M63)</f>
        <v>7</v>
      </c>
      <c r="O63" s="35" t="n">
        <v>4</v>
      </c>
      <c r="P63" s="35" t="n">
        <f aca="false">①札幌予測確定!S40</f>
        <v>2</v>
      </c>
      <c r="Q63" s="35" t="n">
        <f aca="false">O63-P63</f>
        <v>2</v>
      </c>
      <c r="R63" s="35" t="n">
        <f aca="false">MAX(0,①札幌予測確定!P40-①札幌予測確定!S40)</f>
        <v>0</v>
      </c>
      <c r="S63" s="35" t="n">
        <f aca="false">ROUND(①札幌予測確定!U40*前提・入力!$B$37,0)</f>
        <v>1</v>
      </c>
      <c r="T63" s="35" t="n">
        <f aca="false">Q63-R63+S63</f>
        <v>3</v>
      </c>
      <c r="U63" s="35" t="n">
        <v>0</v>
      </c>
      <c r="V63" s="38" t="n">
        <f aca="false">N63-T63-U63</f>
        <v>4</v>
      </c>
      <c r="W63" s="35" t="n">
        <f aca="false">MAX(0,V63)</f>
        <v>4</v>
      </c>
      <c r="X63" s="35" t="n">
        <f aca="false">IF(W63&gt;0,ROUNDUP(W63*(1+前提・入力!$B$35),0),0)</f>
        <v>5</v>
      </c>
    </row>
    <row r="64" customFormat="false" ht="15" hidden="false" customHeight="false" outlineLevel="0" collapsed="false">
      <c r="A64" s="32" t="n">
        <v>35</v>
      </c>
      <c r="B64" s="32" t="s">
        <v>344</v>
      </c>
      <c r="C64" s="33" t="s">
        <v>345</v>
      </c>
      <c r="D64" s="35" t="n">
        <v>3</v>
      </c>
      <c r="E64" s="62" t="n">
        <f aca="false">IFERROR(D64/D$72,0)</f>
        <v>4.7066206463759E-005</v>
      </c>
      <c r="F64" s="35" t="n">
        <f aca="false">①札幌予測確定!P41</f>
        <v>0</v>
      </c>
      <c r="G64" s="62" t="n">
        <f aca="false">IFERROR(F64/F$72,0)</f>
        <v>0</v>
      </c>
      <c r="H64" s="62" t="n">
        <f aca="false">E64*前提・入力!$B$32+G64*前提・入力!$B$33</f>
        <v>2.35331032318795E-005</v>
      </c>
      <c r="I64" s="35" t="n">
        <f aca="false">ROUND($H64*③石川以降予測!$G$7,0)</f>
        <v>0</v>
      </c>
      <c r="J64" s="35" t="n">
        <f aca="false">ROUND($H64*③石川以降予測!$G$8,0)</f>
        <v>0</v>
      </c>
      <c r="K64" s="35" t="n">
        <f aca="false">ROUND($H64*③石川以降予測!$G$9,0)</f>
        <v>0</v>
      </c>
      <c r="L64" s="35" t="n">
        <f aca="false">ROUND($H64*③石川以降予測!$G$10,0)</f>
        <v>0</v>
      </c>
      <c r="M64" s="35" t="n">
        <f aca="false">ROUND($H64*③石川以降予測!$G$11,0)</f>
        <v>1</v>
      </c>
      <c r="N64" s="35" t="n">
        <f aca="false">SUM(I64:M64)</f>
        <v>1</v>
      </c>
      <c r="O64" s="35" t="n">
        <v>4</v>
      </c>
      <c r="P64" s="35" t="n">
        <f aca="false">①札幌予測確定!S41</f>
        <v>2</v>
      </c>
      <c r="Q64" s="35" t="n">
        <f aca="false">O64-P64</f>
        <v>2</v>
      </c>
      <c r="R64" s="35" t="n">
        <f aca="false">MAX(0,①札幌予測確定!P41-①札幌予測確定!S41)</f>
        <v>0</v>
      </c>
      <c r="S64" s="35" t="n">
        <f aca="false">ROUND(①札幌予測確定!U41*前提・入力!$B$37,0)</f>
        <v>2</v>
      </c>
      <c r="T64" s="35" t="n">
        <f aca="false">Q64-R64+S64</f>
        <v>4</v>
      </c>
      <c r="U64" s="35" t="n">
        <v>0</v>
      </c>
      <c r="V64" s="38" t="n">
        <f aca="false">N64-T64-U64</f>
        <v>-3</v>
      </c>
      <c r="W64" s="35" t="n">
        <f aca="false">MAX(0,V64)</f>
        <v>0</v>
      </c>
      <c r="X64" s="35" t="n">
        <f aca="false">IF(W64&gt;0,ROUNDUP(W64*(1+前提・入力!$B$35),0),0)</f>
        <v>0</v>
      </c>
    </row>
    <row r="65" customFormat="false" ht="15" hidden="false" customHeight="false" outlineLevel="0" collapsed="false">
      <c r="A65" s="32" t="n">
        <v>36</v>
      </c>
      <c r="B65" s="32" t="s">
        <v>346</v>
      </c>
      <c r="C65" s="33" t="s">
        <v>347</v>
      </c>
      <c r="D65" s="35" t="n">
        <v>3</v>
      </c>
      <c r="E65" s="62" t="n">
        <f aca="false">IFERROR(D65/D$72,0)</f>
        <v>4.7066206463759E-005</v>
      </c>
      <c r="F65" s="35" t="n">
        <f aca="false">①札幌予測確定!P42</f>
        <v>0</v>
      </c>
      <c r="G65" s="62" t="n">
        <f aca="false">IFERROR(F65/F$72,0)</f>
        <v>0</v>
      </c>
      <c r="H65" s="62" t="n">
        <f aca="false">E65*前提・入力!$B$32+G65*前提・入力!$B$33</f>
        <v>2.35331032318795E-005</v>
      </c>
      <c r="I65" s="35" t="n">
        <f aca="false">ROUND($H65*③石川以降予測!$G$7,0)</f>
        <v>0</v>
      </c>
      <c r="J65" s="35" t="n">
        <f aca="false">ROUND($H65*③石川以降予測!$G$8,0)</f>
        <v>0</v>
      </c>
      <c r="K65" s="35" t="n">
        <f aca="false">ROUND($H65*③石川以降予測!$G$9,0)</f>
        <v>0</v>
      </c>
      <c r="L65" s="35" t="n">
        <f aca="false">ROUND($H65*③石川以降予測!$G$10,0)</f>
        <v>0</v>
      </c>
      <c r="M65" s="35" t="n">
        <f aca="false">ROUND($H65*③石川以降予測!$G$11,0)</f>
        <v>1</v>
      </c>
      <c r="N65" s="35" t="n">
        <f aca="false">SUM(I65:M65)</f>
        <v>1</v>
      </c>
      <c r="O65" s="35" t="n">
        <v>4</v>
      </c>
      <c r="P65" s="35" t="n">
        <f aca="false">①札幌予測確定!S42</f>
        <v>2</v>
      </c>
      <c r="Q65" s="35" t="n">
        <f aca="false">O65-P65</f>
        <v>2</v>
      </c>
      <c r="R65" s="35" t="n">
        <f aca="false">MAX(0,①札幌予測確定!P42-①札幌予測確定!S42)</f>
        <v>0</v>
      </c>
      <c r="S65" s="35" t="n">
        <f aca="false">ROUND(①札幌予測確定!U42*前提・入力!$B$37,0)</f>
        <v>2</v>
      </c>
      <c r="T65" s="35" t="n">
        <f aca="false">Q65-R65+S65</f>
        <v>4</v>
      </c>
      <c r="U65" s="35" t="n">
        <v>0</v>
      </c>
      <c r="V65" s="38" t="n">
        <f aca="false">N65-T65-U65</f>
        <v>-3</v>
      </c>
      <c r="W65" s="35" t="n">
        <f aca="false">MAX(0,V65)</f>
        <v>0</v>
      </c>
      <c r="X65" s="35" t="n">
        <f aca="false">IF(W65&gt;0,ROUNDUP(W65*(1+前提・入力!$B$35),0),0)</f>
        <v>0</v>
      </c>
    </row>
    <row r="66" customFormat="false" ht="15" hidden="false" customHeight="false" outlineLevel="0" collapsed="false">
      <c r="A66" s="32" t="n">
        <v>37</v>
      </c>
      <c r="B66" s="32" t="s">
        <v>348</v>
      </c>
      <c r="C66" s="33" t="s">
        <v>349</v>
      </c>
      <c r="D66" s="35" t="n">
        <v>26</v>
      </c>
      <c r="E66" s="62" t="n">
        <f aca="false">IFERROR(D66/D$72,0)</f>
        <v>0.000407907122685912</v>
      </c>
      <c r="F66" s="35" t="n">
        <f aca="false">①札幌予測確定!P43</f>
        <v>0</v>
      </c>
      <c r="G66" s="62" t="n">
        <f aca="false">IFERROR(F66/F$72,0)</f>
        <v>0</v>
      </c>
      <c r="H66" s="62" t="n">
        <f aca="false">E66*前提・入力!$B$32+G66*前提・入力!$B$33</f>
        <v>0.000203953561342956</v>
      </c>
      <c r="I66" s="35" t="n">
        <f aca="false">ROUND($H66*③石川以降予測!$G$7,0)</f>
        <v>2</v>
      </c>
      <c r="J66" s="35" t="n">
        <f aca="false">ROUND($H66*③石川以降予測!$G$8,0)</f>
        <v>2</v>
      </c>
      <c r="K66" s="35" t="n">
        <f aca="false">ROUND($H66*③石川以降予測!$G$9,0)</f>
        <v>2</v>
      </c>
      <c r="L66" s="35" t="n">
        <f aca="false">ROUND($H66*③石川以降予測!$G$10,0)</f>
        <v>2</v>
      </c>
      <c r="M66" s="35" t="n">
        <f aca="false">ROUND($H66*③石川以降予測!$G$11,0)</f>
        <v>9</v>
      </c>
      <c r="N66" s="35" t="n">
        <f aca="false">SUM(I66:M66)</f>
        <v>17</v>
      </c>
      <c r="O66" s="35" t="n">
        <v>43</v>
      </c>
      <c r="P66" s="35" t="n">
        <f aca="false">①札幌予測確定!S43</f>
        <v>8</v>
      </c>
      <c r="Q66" s="35" t="n">
        <f aca="false">O66-P66</f>
        <v>35</v>
      </c>
      <c r="R66" s="35" t="n">
        <f aca="false">MAX(0,①札幌予測確定!P43-①札幌予測確定!S43)</f>
        <v>0</v>
      </c>
      <c r="S66" s="35" t="n">
        <f aca="false">ROUND(①札幌予測確定!U43*前提・入力!$B$37,0)</f>
        <v>8</v>
      </c>
      <c r="T66" s="35" t="n">
        <f aca="false">Q66-R66+S66</f>
        <v>43</v>
      </c>
      <c r="U66" s="35" t="n">
        <v>0</v>
      </c>
      <c r="V66" s="38" t="n">
        <f aca="false">N66-T66-U66</f>
        <v>-26</v>
      </c>
      <c r="W66" s="35" t="n">
        <f aca="false">MAX(0,V66)</f>
        <v>0</v>
      </c>
      <c r="X66" s="35" t="n">
        <f aca="false">IF(W66&gt;0,ROUNDUP(W66*(1+前提・入力!$B$35),0),0)</f>
        <v>0</v>
      </c>
    </row>
    <row r="67" customFormat="false" ht="15" hidden="false" customHeight="false" outlineLevel="0" collapsed="false">
      <c r="A67" s="32" t="n">
        <v>38</v>
      </c>
      <c r="B67" s="32" t="s">
        <v>350</v>
      </c>
      <c r="C67" s="33" t="s">
        <v>351</v>
      </c>
      <c r="D67" s="35" t="n">
        <v>3</v>
      </c>
      <c r="E67" s="62" t="n">
        <f aca="false">IFERROR(D67/D$72,0)</f>
        <v>4.7066206463759E-005</v>
      </c>
      <c r="F67" s="35" t="n">
        <f aca="false">①札幌予測確定!P44</f>
        <v>2</v>
      </c>
      <c r="G67" s="62" t="n">
        <f aca="false">IFERROR(F67/F$72,0)</f>
        <v>0.00022883295194508</v>
      </c>
      <c r="H67" s="62" t="n">
        <f aca="false">E67*前提・入力!$B$32+G67*前提・入力!$B$33</f>
        <v>0.00013794957920442</v>
      </c>
      <c r="I67" s="35" t="n">
        <f aca="false">ROUND($H67*③石川以降予測!$G$7,0)</f>
        <v>1</v>
      </c>
      <c r="J67" s="35" t="n">
        <f aca="false">ROUND($H67*③石川以降予測!$G$8,0)</f>
        <v>2</v>
      </c>
      <c r="K67" s="35" t="n">
        <f aca="false">ROUND($H67*③石川以降予測!$G$9,0)</f>
        <v>1</v>
      </c>
      <c r="L67" s="35" t="n">
        <f aca="false">ROUND($H67*③石川以降予測!$G$10,0)</f>
        <v>1</v>
      </c>
      <c r="M67" s="35" t="n">
        <f aca="false">ROUND($H67*③石川以降予測!$G$11,0)</f>
        <v>6</v>
      </c>
      <c r="N67" s="35" t="n">
        <f aca="false">SUM(I67:M67)</f>
        <v>11</v>
      </c>
      <c r="O67" s="35" t="n">
        <v>4</v>
      </c>
      <c r="P67" s="35" t="n">
        <f aca="false">①札幌予測確定!S44</f>
        <v>2</v>
      </c>
      <c r="Q67" s="35" t="n">
        <f aca="false">O67-P67</f>
        <v>2</v>
      </c>
      <c r="R67" s="35" t="n">
        <f aca="false">MAX(0,①札幌予測確定!P44-①札幌予測確定!S44)</f>
        <v>0</v>
      </c>
      <c r="S67" s="35" t="n">
        <f aca="false">ROUND(①札幌予測確定!U44*前提・入力!$B$37,0)</f>
        <v>0</v>
      </c>
      <c r="T67" s="35" t="n">
        <f aca="false">Q67-R67+S67</f>
        <v>2</v>
      </c>
      <c r="U67" s="35" t="n">
        <v>0</v>
      </c>
      <c r="V67" s="38" t="n">
        <f aca="false">N67-T67-U67</f>
        <v>9</v>
      </c>
      <c r="W67" s="35" t="n">
        <f aca="false">MAX(0,V67)</f>
        <v>9</v>
      </c>
      <c r="X67" s="35" t="n">
        <f aca="false">IF(W67&gt;0,ROUNDUP(W67*(1+前提・入力!$B$35),0),0)</f>
        <v>10</v>
      </c>
    </row>
    <row r="68" customFormat="false" ht="15" hidden="false" customHeight="false" outlineLevel="0" collapsed="false">
      <c r="A68" s="32" t="n">
        <v>39</v>
      </c>
      <c r="B68" s="32" t="s">
        <v>352</v>
      </c>
      <c r="C68" s="33" t="s">
        <v>353</v>
      </c>
      <c r="D68" s="35" t="n">
        <v>3</v>
      </c>
      <c r="E68" s="62" t="n">
        <f aca="false">IFERROR(D68/D$72,0)</f>
        <v>4.7066206463759E-005</v>
      </c>
      <c r="F68" s="35" t="n">
        <f aca="false">①札幌予測確定!P45</f>
        <v>1</v>
      </c>
      <c r="G68" s="62" t="n">
        <f aca="false">IFERROR(F68/F$72,0)</f>
        <v>0.00011441647597254</v>
      </c>
      <c r="H68" s="62" t="n">
        <f aca="false">E68*前提・入力!$B$32+G68*前提・入力!$B$33</f>
        <v>8.07413412181495E-005</v>
      </c>
      <c r="I68" s="35" t="n">
        <f aca="false">ROUND($H68*③石川以降予測!$G$7,0)</f>
        <v>1</v>
      </c>
      <c r="J68" s="35" t="n">
        <f aca="false">ROUND($H68*③石川以降予測!$G$8,0)</f>
        <v>1</v>
      </c>
      <c r="K68" s="35" t="n">
        <f aca="false">ROUND($H68*③石川以降予測!$G$9,0)</f>
        <v>1</v>
      </c>
      <c r="L68" s="35" t="n">
        <f aca="false">ROUND($H68*③石川以降予測!$G$10,0)</f>
        <v>1</v>
      </c>
      <c r="M68" s="35" t="n">
        <f aca="false">ROUND($H68*③石川以降予測!$G$11,0)</f>
        <v>3</v>
      </c>
      <c r="N68" s="35" t="n">
        <f aca="false">SUM(I68:M68)</f>
        <v>7</v>
      </c>
      <c r="O68" s="35" t="n">
        <v>5</v>
      </c>
      <c r="P68" s="35" t="n">
        <f aca="false">①札幌予測確定!S45</f>
        <v>2</v>
      </c>
      <c r="Q68" s="35" t="n">
        <f aca="false">O68-P68</f>
        <v>3</v>
      </c>
      <c r="R68" s="35" t="n">
        <f aca="false">MAX(0,①札幌予測確定!P45-①札幌予測確定!S45)</f>
        <v>0</v>
      </c>
      <c r="S68" s="35" t="n">
        <f aca="false">ROUND(①札幌予測確定!U45*前提・入力!$B$37,0)</f>
        <v>1</v>
      </c>
      <c r="T68" s="35" t="n">
        <f aca="false">Q68-R68+S68</f>
        <v>4</v>
      </c>
      <c r="U68" s="35" t="n">
        <v>0</v>
      </c>
      <c r="V68" s="38" t="n">
        <f aca="false">N68-T68-U68</f>
        <v>3</v>
      </c>
      <c r="W68" s="35" t="n">
        <f aca="false">MAX(0,V68)</f>
        <v>3</v>
      </c>
      <c r="X68" s="35" t="n">
        <f aca="false">IF(W68&gt;0,ROUNDUP(W68*(1+前提・入力!$B$35),0),0)</f>
        <v>4</v>
      </c>
    </row>
    <row r="69" customFormat="false" ht="15" hidden="false" customHeight="false" outlineLevel="0" collapsed="false">
      <c r="A69" s="32" t="n">
        <v>40</v>
      </c>
      <c r="B69" s="32" t="s">
        <v>354</v>
      </c>
      <c r="C69" s="33" t="s">
        <v>355</v>
      </c>
      <c r="D69" s="35" t="n">
        <v>3</v>
      </c>
      <c r="E69" s="62" t="n">
        <f aca="false">IFERROR(D69/D$72,0)</f>
        <v>4.7066206463759E-005</v>
      </c>
      <c r="F69" s="35" t="n">
        <f aca="false">①札幌予測確定!P46</f>
        <v>0</v>
      </c>
      <c r="G69" s="62" t="n">
        <f aca="false">IFERROR(F69/F$72,0)</f>
        <v>0</v>
      </c>
      <c r="H69" s="62" t="n">
        <f aca="false">E69*前提・入力!$B$32+G69*前提・入力!$B$33</f>
        <v>2.35331032318795E-005</v>
      </c>
      <c r="I69" s="35" t="n">
        <f aca="false">ROUND($H69*③石川以降予測!$G$7,0)</f>
        <v>0</v>
      </c>
      <c r="J69" s="35" t="n">
        <f aca="false">ROUND($H69*③石川以降予測!$G$8,0)</f>
        <v>0</v>
      </c>
      <c r="K69" s="35" t="n">
        <f aca="false">ROUND($H69*③石川以降予測!$G$9,0)</f>
        <v>0</v>
      </c>
      <c r="L69" s="35" t="n">
        <f aca="false">ROUND($H69*③石川以降予測!$G$10,0)</f>
        <v>0</v>
      </c>
      <c r="M69" s="35" t="n">
        <f aca="false">ROUND($H69*③石川以降予測!$G$11,0)</f>
        <v>1</v>
      </c>
      <c r="N69" s="35" t="n">
        <f aca="false">SUM(I69:M69)</f>
        <v>1</v>
      </c>
      <c r="O69" s="35" t="n">
        <v>4</v>
      </c>
      <c r="P69" s="35" t="n">
        <f aca="false">①札幌予測確定!S46</f>
        <v>2</v>
      </c>
      <c r="Q69" s="35" t="n">
        <f aca="false">O69-P69</f>
        <v>2</v>
      </c>
      <c r="R69" s="35" t="n">
        <f aca="false">MAX(0,①札幌予測確定!P46-①札幌予測確定!S46)</f>
        <v>0</v>
      </c>
      <c r="S69" s="35" t="n">
        <f aca="false">ROUND(①札幌予測確定!U46*前提・入力!$B$37,0)</f>
        <v>2</v>
      </c>
      <c r="T69" s="35" t="n">
        <f aca="false">Q69-R69+S69</f>
        <v>4</v>
      </c>
      <c r="U69" s="35" t="n">
        <v>0</v>
      </c>
      <c r="V69" s="38" t="n">
        <f aca="false">N69-T69-U69</f>
        <v>-3</v>
      </c>
      <c r="W69" s="35" t="n">
        <f aca="false">MAX(0,V69)</f>
        <v>0</v>
      </c>
      <c r="X69" s="35" t="n">
        <f aca="false">IF(W69&gt;0,ROUNDUP(W69*(1+前提・入力!$B$35),0),0)</f>
        <v>0</v>
      </c>
    </row>
    <row r="70" customFormat="false" ht="15" hidden="false" customHeight="false" outlineLevel="0" collapsed="false">
      <c r="A70" s="32" t="n">
        <v>41</v>
      </c>
      <c r="B70" s="32" t="s">
        <v>356</v>
      </c>
      <c r="C70" s="33" t="s">
        <v>357</v>
      </c>
      <c r="D70" s="35" t="n">
        <v>2</v>
      </c>
      <c r="E70" s="62" t="n">
        <f aca="false">IFERROR(D70/D$72,0)</f>
        <v>3.13774709758394E-005</v>
      </c>
      <c r="F70" s="35" t="n">
        <f aca="false">①札幌予測確定!P47</f>
        <v>0</v>
      </c>
      <c r="G70" s="62" t="n">
        <f aca="false">IFERROR(F70/F$72,0)</f>
        <v>0</v>
      </c>
      <c r="H70" s="62" t="n">
        <f aca="false">E70*前提・入力!$B$32+G70*前提・入力!$B$33</f>
        <v>1.56887354879197E-005</v>
      </c>
      <c r="I70" s="35" t="n">
        <f aca="false">ROUND($H70*③石川以降予測!$G$7,0)</f>
        <v>0</v>
      </c>
      <c r="J70" s="35" t="n">
        <f aca="false">ROUND($H70*③石川以降予測!$G$8,0)</f>
        <v>0</v>
      </c>
      <c r="K70" s="35" t="n">
        <f aca="false">ROUND($H70*③石川以降予測!$G$9,0)</f>
        <v>0</v>
      </c>
      <c r="L70" s="35" t="n">
        <f aca="false">ROUND($H70*③石川以降予測!$G$10,0)</f>
        <v>0</v>
      </c>
      <c r="M70" s="35" t="n">
        <f aca="false">ROUND($H70*③石川以降予測!$G$11,0)</f>
        <v>1</v>
      </c>
      <c r="N70" s="35" t="n">
        <f aca="false">SUM(I70:M70)</f>
        <v>1</v>
      </c>
      <c r="O70" s="35" t="n">
        <v>74</v>
      </c>
      <c r="P70" s="35" t="n">
        <f aca="false">①札幌予測確定!S47</f>
        <v>4</v>
      </c>
      <c r="Q70" s="35" t="n">
        <f aca="false">O70-P70</f>
        <v>70</v>
      </c>
      <c r="R70" s="35" t="n">
        <f aca="false">MAX(0,①札幌予測確定!P47-①札幌予測確定!S47)</f>
        <v>0</v>
      </c>
      <c r="S70" s="35" t="n">
        <f aca="false">ROUND(①札幌予測確定!U47*前提・入力!$B$37,0)</f>
        <v>4</v>
      </c>
      <c r="T70" s="35" t="n">
        <f aca="false">Q70-R70+S70</f>
        <v>74</v>
      </c>
      <c r="U70" s="35" t="n">
        <v>0</v>
      </c>
      <c r="V70" s="38" t="n">
        <f aca="false">N70-T70-U70</f>
        <v>-73</v>
      </c>
      <c r="W70" s="35" t="n">
        <f aca="false">MAX(0,V70)</f>
        <v>0</v>
      </c>
      <c r="X70" s="35" t="n">
        <f aca="false">IF(W70&gt;0,ROUNDUP(W70*(1+前提・入力!$B$35),0),0)</f>
        <v>0</v>
      </c>
    </row>
    <row r="71" customFormat="false" ht="15" hidden="false" customHeight="false" outlineLevel="0" collapsed="false">
      <c r="A71" s="32" t="n">
        <v>42</v>
      </c>
      <c r="B71" s="32" t="s">
        <v>358</v>
      </c>
      <c r="C71" s="33" t="s">
        <v>359</v>
      </c>
      <c r="D71" s="35" t="n">
        <v>8</v>
      </c>
      <c r="E71" s="62" t="n">
        <f aca="false">IFERROR(D71/D$72,0)</f>
        <v>0.000125509883903357</v>
      </c>
      <c r="F71" s="35" t="n">
        <f aca="false">①札幌予測確定!P48</f>
        <v>2</v>
      </c>
      <c r="G71" s="62" t="n">
        <f aca="false">IFERROR(F71/F$72,0)</f>
        <v>0.00022883295194508</v>
      </c>
      <c r="H71" s="62" t="n">
        <f aca="false">E71*前提・入力!$B$32+G71*前提・入力!$B$33</f>
        <v>0.000177171417924219</v>
      </c>
      <c r="I71" s="35" t="n">
        <f aca="false">ROUND($H71*③石川以降予測!$G$7,0)</f>
        <v>2</v>
      </c>
      <c r="J71" s="35" t="n">
        <f aca="false">ROUND($H71*③石川以降予測!$G$8,0)</f>
        <v>2</v>
      </c>
      <c r="K71" s="35" t="n">
        <f aca="false">ROUND($H71*③石川以降予測!$G$9,0)</f>
        <v>2</v>
      </c>
      <c r="L71" s="35" t="n">
        <f aca="false">ROUND($H71*③石川以降予測!$G$10,0)</f>
        <v>1</v>
      </c>
      <c r="M71" s="35" t="n">
        <f aca="false">ROUND($H71*③石川以降予測!$G$11,0)</f>
        <v>8</v>
      </c>
      <c r="N71" s="35" t="n">
        <f aca="false">SUM(I71:M71)</f>
        <v>15</v>
      </c>
      <c r="O71" s="35" t="n">
        <v>49</v>
      </c>
      <c r="P71" s="35" t="n">
        <f aca="false">①札幌予測確定!S48</f>
        <v>6</v>
      </c>
      <c r="Q71" s="35" t="n">
        <f aca="false">O71-P71</f>
        <v>43</v>
      </c>
      <c r="R71" s="35" t="n">
        <f aca="false">MAX(0,①札幌予測確定!P48-①札幌予測確定!S48)</f>
        <v>0</v>
      </c>
      <c r="S71" s="35" t="n">
        <f aca="false">ROUND(①札幌予測確定!U48*前提・入力!$B$37,0)</f>
        <v>4</v>
      </c>
      <c r="T71" s="35" t="n">
        <f aca="false">Q71-R71+S71</f>
        <v>47</v>
      </c>
      <c r="U71" s="35" t="n">
        <v>0</v>
      </c>
      <c r="V71" s="38" t="n">
        <f aca="false">N71-T71-U71</f>
        <v>-32</v>
      </c>
      <c r="W71" s="35" t="n">
        <f aca="false">MAX(0,V71)</f>
        <v>0</v>
      </c>
      <c r="X71" s="35" t="n">
        <f aca="false">IF(W71&gt;0,ROUNDUP(W71*(1+前提・入力!$B$35),0),0)</f>
        <v>0</v>
      </c>
    </row>
    <row r="72" customFormat="false" ht="15" hidden="false" customHeight="false" outlineLevel="0" collapsed="false">
      <c r="A72" s="40"/>
      <c r="B72" s="40"/>
      <c r="C72" s="41" t="s">
        <v>360</v>
      </c>
      <c r="D72" s="42" t="n">
        <f aca="false">SUM(D30:D71)</f>
        <v>63740</v>
      </c>
      <c r="E72" s="63" t="n">
        <f aca="false">SUM(E30:E71)</f>
        <v>1</v>
      </c>
      <c r="F72" s="42" t="n">
        <f aca="false">SUM(F30:F71)</f>
        <v>8740</v>
      </c>
      <c r="G72" s="63" t="n">
        <f aca="false">SUM(G30:G71)</f>
        <v>1</v>
      </c>
      <c r="H72" s="63" t="n">
        <f aca="false">SUM(H30:H71)</f>
        <v>1</v>
      </c>
      <c r="I72" s="42" t="n">
        <f aca="false">SUM(I30:I71)</f>
        <v>9472</v>
      </c>
      <c r="J72" s="42" t="n">
        <f aca="false">SUM(J30:J71)</f>
        <v>11189</v>
      </c>
      <c r="K72" s="42" t="n">
        <f aca="false">SUM(K30:K71)</f>
        <v>10332</v>
      </c>
      <c r="L72" s="42" t="n">
        <f aca="false">SUM(L30:L71)</f>
        <v>7748</v>
      </c>
      <c r="M72" s="42" t="n">
        <f aca="false">SUM(M30:M71)</f>
        <v>43050</v>
      </c>
      <c r="N72" s="42" t="n">
        <f aca="false">SUM(N30:N71)</f>
        <v>81791</v>
      </c>
      <c r="O72" s="42" t="n">
        <f aca="false">SUM(O30:O71)</f>
        <v>274688</v>
      </c>
      <c r="P72" s="42" t="n">
        <f aca="false">SUM(P30:P71)</f>
        <v>50506</v>
      </c>
      <c r="Q72" s="42" t="n">
        <f aca="false">SUM(Q30:Q71)</f>
        <v>224182</v>
      </c>
      <c r="R72" s="42" t="n">
        <f aca="false">SUM(R30:R71)</f>
        <v>2</v>
      </c>
      <c r="S72" s="42" t="n">
        <f aca="false">SUM(S30:S71)</f>
        <v>41768</v>
      </c>
      <c r="T72" s="42" t="n">
        <f aca="false">SUM(T30:T71)</f>
        <v>265948</v>
      </c>
      <c r="U72" s="42" t="n">
        <f aca="false">SUM(U30:U71)</f>
        <v>1200</v>
      </c>
      <c r="V72" s="42" t="n">
        <f aca="false">SUM(V30:V71)</f>
        <v>-185357</v>
      </c>
      <c r="W72" s="42" t="n">
        <f aca="false">SUM(W30:W71)</f>
        <v>2554</v>
      </c>
      <c r="X72" s="42" t="n">
        <f aca="false">SUM(X30:X71)</f>
        <v>2812</v>
      </c>
    </row>
  </sheetData>
  <conditionalFormatting sqref="W30:W71">
    <cfRule type="expression" priority="2" aboveAverage="0" equalAverage="0" bottom="0" percent="0" rank="0" text="" dxfId="3">
      <formula>$W30&gt;0</formula>
    </cfRule>
  </conditionalFormatting>
  <conditionalFormatting sqref="V30:V71">
    <cfRule type="expression" priority="3" aboveAverage="0" equalAverage="0" bottom="0" percent="0" rank="0" text="" dxfId="3">
      <formula>$V30&gt;0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5"/>
    <col collapsed="false" customWidth="true" hidden="false" outlineLevel="0" max="3" min="3" style="0" width="44"/>
    <col collapsed="false" customWidth="true" hidden="false" outlineLevel="0" max="4" min="4" style="0" width="9"/>
    <col collapsed="false" customWidth="true" hidden="false" outlineLevel="0" max="5" min="5" style="0" width="10"/>
    <col collapsed="false" customWidth="true" hidden="false" outlineLevel="0" max="7" min="6" style="0" width="12"/>
    <col collapsed="false" customWidth="true" hidden="false" outlineLevel="0" max="8" min="8" style="0" width="10"/>
    <col collapsed="false" customWidth="true" hidden="false" outlineLevel="0" max="9" min="9" style="0" width="11"/>
    <col collapsed="false" customWidth="true" hidden="false" outlineLevel="0" max="10" min="10" style="0" width="15"/>
    <col collapsed="false" customWidth="true" hidden="false" outlineLevel="0" max="11" min="11" style="0" width="12"/>
    <col collapsed="false" customWidth="true" hidden="false" outlineLevel="0" max="13" min="12" style="0" width="11"/>
    <col collapsed="false" customWidth="true" hidden="false" outlineLevel="0" max="14" min="14" style="0" width="12"/>
    <col collapsed="false" customWidth="true" hidden="false" outlineLevel="0" max="15" min="15" style="0" width="11"/>
    <col collapsed="false" customWidth="true" hidden="false" outlineLevel="0" max="16" min="16" style="0" width="15"/>
    <col collapsed="false" customWidth="true" hidden="false" outlineLevel="0" max="17" min="17" style="0" width="12"/>
    <col collapsed="false" customWidth="true" hidden="false" outlineLevel="0" max="19" min="18" style="0" width="14"/>
    <col collapsed="false" customWidth="true" hidden="false" outlineLevel="0" max="20" min="20" style="0" width="20"/>
    <col collapsed="false" customWidth="true" hidden="false" outlineLevel="0" max="21" min="21" style="0" width="13"/>
    <col collapsed="false" customWidth="true" hidden="false" outlineLevel="0" max="22" min="22" style="0" width="12"/>
    <col collapsed="false" customWidth="true" hidden="false" outlineLevel="0" max="23" min="23" style="0" width="16"/>
    <col collapsed="false" customWidth="true" hidden="false" outlineLevel="0" max="24" min="24" style="0" width="10"/>
    <col collapsed="false" customWidth="true" hidden="false" outlineLevel="0" max="26" min="25" style="0" width="16"/>
    <col collapsed="false" customWidth="true" hidden="false" outlineLevel="0" max="27" min="27" style="0" width="50"/>
  </cols>
  <sheetData>
    <row r="1" customFormat="false" ht="20.1" hidden="false" customHeight="false" outlineLevel="0" collapsed="false">
      <c r="A1" s="1" t="s">
        <v>492</v>
      </c>
    </row>
    <row r="2" customFormat="false" ht="15" hidden="false" customHeight="false" outlineLevel="0" collapsed="false">
      <c r="A2" s="3" t="s">
        <v>493</v>
      </c>
    </row>
    <row r="3" customFormat="false" ht="15" hidden="false" customHeight="false" outlineLevel="0" collapsed="false">
      <c r="A3" s="3" t="s">
        <v>494</v>
      </c>
    </row>
    <row r="6" customFormat="false" ht="43.5" hidden="false" customHeight="true" outlineLevel="0" collapsed="false">
      <c r="A6" s="25" t="s">
        <v>253</v>
      </c>
      <c r="B6" s="25" t="s">
        <v>254</v>
      </c>
      <c r="C6" s="26" t="s">
        <v>255</v>
      </c>
      <c r="D6" s="26" t="s">
        <v>495</v>
      </c>
      <c r="E6" s="27" t="s">
        <v>496</v>
      </c>
      <c r="F6" s="27" t="s">
        <v>497</v>
      </c>
      <c r="G6" s="27" t="s">
        <v>271</v>
      </c>
      <c r="H6" s="27" t="s">
        <v>498</v>
      </c>
      <c r="I6" s="64" t="s">
        <v>499</v>
      </c>
      <c r="J6" s="64" t="s">
        <v>500</v>
      </c>
      <c r="K6" s="64" t="s">
        <v>501</v>
      </c>
      <c r="L6" s="48" t="s">
        <v>502</v>
      </c>
      <c r="M6" s="48" t="s">
        <v>503</v>
      </c>
      <c r="N6" s="55" t="s">
        <v>504</v>
      </c>
      <c r="O6" s="48" t="s">
        <v>505</v>
      </c>
      <c r="P6" s="48" t="s">
        <v>506</v>
      </c>
      <c r="Q6" s="48" t="s">
        <v>507</v>
      </c>
      <c r="R6" s="31" t="s">
        <v>508</v>
      </c>
      <c r="S6" s="31" t="s">
        <v>509</v>
      </c>
      <c r="T6" s="64" t="s">
        <v>510</v>
      </c>
      <c r="U6" s="64" t="s">
        <v>511</v>
      </c>
      <c r="V6" s="64" t="s">
        <v>512</v>
      </c>
      <c r="W6" s="64" t="s">
        <v>513</v>
      </c>
      <c r="X6" s="31" t="s">
        <v>514</v>
      </c>
      <c r="Y6" s="64" t="s">
        <v>515</v>
      </c>
      <c r="Z6" s="64" t="s">
        <v>516</v>
      </c>
      <c r="AA6" s="65" t="s">
        <v>419</v>
      </c>
    </row>
    <row r="7" customFormat="false" ht="15" hidden="false" customHeight="false" outlineLevel="0" collapsed="false">
      <c r="A7" s="32" t="n">
        <v>1</v>
      </c>
      <c r="B7" s="32" t="s">
        <v>276</v>
      </c>
      <c r="C7" s="33" t="s">
        <v>277</v>
      </c>
      <c r="D7" s="34" t="n">
        <v>500</v>
      </c>
      <c r="E7" s="35" t="n">
        <f aca="false">①札幌予測確定!E7</f>
        <v>261</v>
      </c>
      <c r="F7" s="35" t="n">
        <f aca="false">①札幌予測確定!P7</f>
        <v>467</v>
      </c>
      <c r="G7" s="35" t="n">
        <f aca="false">①札幌予測確定!S7</f>
        <v>1000</v>
      </c>
      <c r="H7" s="37" t="n">
        <f aca="false">IFERROR(F7/G7,0)</f>
        <v>0.467</v>
      </c>
      <c r="I7" s="38" t="n">
        <f aca="false">F7-G7</f>
        <v>-533</v>
      </c>
      <c r="J7" s="39" t="str">
        <f aca="false">IF(I7&gt;0,"要 追加発注",IF(H7&gt;=0.9,"要注意(90%超)",IF(H7&gt;=0.5,"適正","在庫余剰")))</f>
        <v>在庫余剰</v>
      </c>
      <c r="K7" s="35" t="n">
        <f aca="false">IF(I7&gt;0,ROUNDUP(I7*(1+前提・入力!$B$35),0),0)</f>
        <v>0</v>
      </c>
      <c r="L7" s="35" t="n">
        <f aca="false">③石川以降予測!N30</f>
        <v>3676</v>
      </c>
      <c r="M7" s="35" t="n">
        <f aca="false">③石川以降予測!S30</f>
        <v>533</v>
      </c>
      <c r="N7" s="35" t="n">
        <f aca="false">③石川以降予測!Q30</f>
        <v>2264</v>
      </c>
      <c r="O7" s="38" t="n">
        <f aca="false">L7-M7-N7</f>
        <v>879</v>
      </c>
      <c r="P7" s="39" t="str">
        <f aca="false">IF(O7&gt;0,"要 追加生産",IF(L7=0,"—","在庫で充足"))</f>
        <v>要 追加生産</v>
      </c>
      <c r="Q7" s="35" t="n">
        <f aca="false">③石川以降予測!X30</f>
        <v>967</v>
      </c>
      <c r="R7" s="35" t="n">
        <f aca="false">K7+Q7</f>
        <v>967</v>
      </c>
      <c r="S7" s="34" t="n">
        <f aca="false">R7*D7</f>
        <v>483500</v>
      </c>
      <c r="T7" s="66" t="s">
        <v>376</v>
      </c>
      <c r="U7" s="67" t="n">
        <f aca="false">DATE(2027,4,1)-30-前提・入力!$B$38</f>
        <v>46434</v>
      </c>
      <c r="V7" s="68" t="n">
        <f aca="false">IF(OR(U7="",U7="再生産不可"),"",U7-前提・入力!$B$39)</f>
        <v>201</v>
      </c>
      <c r="W7" s="66" t="str">
        <f aca="false">IF(T7="—","—",IF(U7="再生産不可","×再生産不可",_xlfn.IFS(V7&lt;0,"★期限超過",V7&lt;=30,"★至急(30日以内)",V7&lt;=90,"要着手(90日以内)",TRUE(),"余裕あり")))</f>
        <v>余裕あり</v>
      </c>
      <c r="X7" s="32" t="str">
        <f aca="false">IF(Y7&lt;&gt;"",IF(FALSE(),"S:現場欠品(追納不可)","S:現場欠品"),IF(I7&gt;0,"A:会期中欠品",IF(O7&gt;1000,"B:大口",IF(O7&gt;0,"C:通常","D:不要"))))</f>
        <v>C:通常</v>
      </c>
      <c r="Y7" s="69"/>
      <c r="Z7" s="69" t="str">
        <f aca="false">IF(Y7&lt;&gt;"",IF(I7&gt;0,"◎ 一致（モデルも会期中欠品を検知）",IF(H7&gt;=0.7,"○ 整合（予測消化率70%超）","△ モデル未検知：現場報告を優先")),IF(I7&gt;0,"▲ モデルのみ検知：現場に在庫状況を確認","—"))</f>
        <v>—</v>
      </c>
      <c r="AA7" s="66" t="s">
        <v>517</v>
      </c>
    </row>
    <row r="8" customFormat="false" ht="15" hidden="false" customHeight="false" outlineLevel="0" collapsed="false">
      <c r="A8" s="32" t="n">
        <v>2</v>
      </c>
      <c r="B8" s="32" t="s">
        <v>278</v>
      </c>
      <c r="C8" s="33" t="s">
        <v>279</v>
      </c>
      <c r="D8" s="34" t="n">
        <v>600</v>
      </c>
      <c r="E8" s="35" t="n">
        <f aca="false">①札幌予測確定!E8</f>
        <v>283</v>
      </c>
      <c r="F8" s="35" t="n">
        <f aca="false">①札幌予測確定!P8</f>
        <v>509</v>
      </c>
      <c r="G8" s="35" t="n">
        <f aca="false">①札幌予測確定!S8</f>
        <v>1000</v>
      </c>
      <c r="H8" s="37" t="n">
        <f aca="false">IFERROR(F8/G8,0)</f>
        <v>0.509</v>
      </c>
      <c r="I8" s="38" t="n">
        <f aca="false">F8-G8</f>
        <v>-491</v>
      </c>
      <c r="J8" s="39" t="str">
        <f aca="false">IF(I8&gt;0,"要 追加発注",IF(H8&gt;=0.9,"要注意(90%超)",IF(H8&gt;=0.5,"適正","在庫余剰")))</f>
        <v>適正</v>
      </c>
      <c r="K8" s="35" t="n">
        <f aca="false">IF(I8&gt;0,ROUNDUP(I8*(1+前提・入力!$B$35),0),0)</f>
        <v>0</v>
      </c>
      <c r="L8" s="35" t="n">
        <f aca="false">③石川以降予測!N31</f>
        <v>3642</v>
      </c>
      <c r="M8" s="35" t="n">
        <f aca="false">③石川以降予測!S31</f>
        <v>491</v>
      </c>
      <c r="N8" s="35" t="n">
        <f aca="false">③石川以降予測!Q31</f>
        <v>4037</v>
      </c>
      <c r="O8" s="38" t="n">
        <f aca="false">L8-M8-N8</f>
        <v>-886</v>
      </c>
      <c r="P8" s="39" t="str">
        <f aca="false">IF(O8&gt;0,"要 追加生産",IF(L8=0,"—","在庫で充足"))</f>
        <v>在庫で充足</v>
      </c>
      <c r="Q8" s="35" t="n">
        <f aca="false">③石川以降予測!X31</f>
        <v>0</v>
      </c>
      <c r="R8" s="35" t="n">
        <f aca="false">K8+Q8</f>
        <v>0</v>
      </c>
      <c r="S8" s="34" t="n">
        <f aca="false">R8*D8</f>
        <v>0</v>
      </c>
      <c r="T8" s="69" t="s">
        <v>518</v>
      </c>
      <c r="U8" s="32"/>
      <c r="V8" s="68" t="str">
        <f aca="false">IF(OR(U8="",U8="再生産不可"),"",U8-前提・入力!$B$39)</f>
        <v/>
      </c>
      <c r="W8" s="66" t="str">
        <f aca="false">IF(T8="—","—",IF(U8="再生産不可","×再生産不可",_xlfn.IFS(V8&lt;0,"★期限超過",V8&lt;=30,"★至急(30日以内)",V8&lt;=90,"要着手(90日以内)",TRUE(),"余裕あり")))</f>
        <v>—</v>
      </c>
      <c r="X8" s="32" t="str">
        <f aca="false">IF(Y8&lt;&gt;"",IF(FALSE(),"S:現場欠品(追納不可)","S:現場欠品"),IF(I8&gt;0,"A:会期中欠品",IF(O8&gt;1000,"B:大口",IF(O8&gt;0,"C:通常","D:不要"))))</f>
        <v>D:不要</v>
      </c>
      <c r="Y8" s="69"/>
      <c r="Z8" s="69" t="str">
        <f aca="false">IF(Y8&lt;&gt;"",IF(I8&gt;0,"◎ 一致（モデルも会期中欠品を検知）",IF(H8&gt;=0.7,"○ 整合（予測消化率70%超）","△ モデル未検知：現場報告を優先")),IF(I8&gt;0,"▲ モデルのみ検知：現場に在庫状況を確認","—"))</f>
        <v>—</v>
      </c>
      <c r="AA8" s="66"/>
    </row>
    <row r="9" customFormat="false" ht="15" hidden="false" customHeight="false" outlineLevel="0" collapsed="false">
      <c r="A9" s="32" t="n">
        <v>3</v>
      </c>
      <c r="B9" s="32" t="s">
        <v>280</v>
      </c>
      <c r="C9" s="33" t="s">
        <v>281</v>
      </c>
      <c r="D9" s="34" t="n">
        <v>1000</v>
      </c>
      <c r="E9" s="35" t="n">
        <f aca="false">①札幌予測確定!E9</f>
        <v>102</v>
      </c>
      <c r="F9" s="35" t="n">
        <f aca="false">①札幌予測確定!P9</f>
        <v>163</v>
      </c>
      <c r="G9" s="35" t="n">
        <f aca="false">①札幌予測確定!S9</f>
        <v>450</v>
      </c>
      <c r="H9" s="37" t="n">
        <f aca="false">IFERROR(F9/G9,0)</f>
        <v>0.362222222222222</v>
      </c>
      <c r="I9" s="38" t="n">
        <f aca="false">F9-G9</f>
        <v>-287</v>
      </c>
      <c r="J9" s="39" t="str">
        <f aca="false">IF(I9&gt;0,"要 追加発注",IF(H9&gt;=0.9,"要注意(90%超)",IF(H9&gt;=0.5,"適正","在庫余剰")))</f>
        <v>在庫余剰</v>
      </c>
      <c r="K9" s="35" t="n">
        <f aca="false">IF(I9&gt;0,ROUNDUP(I9*(1+前提・入力!$B$35),0),0)</f>
        <v>0</v>
      </c>
      <c r="L9" s="35" t="n">
        <f aca="false">③石川以降予測!N32</f>
        <v>1489</v>
      </c>
      <c r="M9" s="35" t="n">
        <f aca="false">③石川以降予測!S32</f>
        <v>287</v>
      </c>
      <c r="N9" s="35" t="n">
        <f aca="false">③石川以降予測!Q32</f>
        <v>5690</v>
      </c>
      <c r="O9" s="38" t="n">
        <f aca="false">L9-M9-N9</f>
        <v>-4488</v>
      </c>
      <c r="P9" s="39" t="str">
        <f aca="false">IF(O9&gt;0,"要 追加生産",IF(L9=0,"—","在庫で充足"))</f>
        <v>在庫で充足</v>
      </c>
      <c r="Q9" s="35" t="n">
        <f aca="false">③石川以降予測!X32</f>
        <v>0</v>
      </c>
      <c r="R9" s="35" t="n">
        <f aca="false">K9+Q9</f>
        <v>0</v>
      </c>
      <c r="S9" s="34" t="n">
        <f aca="false">R9*D9</f>
        <v>0</v>
      </c>
      <c r="T9" s="69" t="s">
        <v>518</v>
      </c>
      <c r="U9" s="32"/>
      <c r="V9" s="68" t="str">
        <f aca="false">IF(OR(U9="",U9="再生産不可"),"",U9-前提・入力!$B$39)</f>
        <v/>
      </c>
      <c r="W9" s="66" t="str">
        <f aca="false">IF(T9="—","—",IF(U9="再生産不可","×再生産不可",_xlfn.IFS(V9&lt;0,"★期限超過",V9&lt;=30,"★至急(30日以内)",V9&lt;=90,"要着手(90日以内)",TRUE(),"余裕あり")))</f>
        <v>—</v>
      </c>
      <c r="X9" s="32" t="str">
        <f aca="false">IF(Y9&lt;&gt;"",IF(FALSE(),"S:現場欠品(追納不可)","S:現場欠品"),IF(I9&gt;0,"A:会期中欠品",IF(O9&gt;1000,"B:大口",IF(O9&gt;0,"C:通常","D:不要"))))</f>
        <v>D:不要</v>
      </c>
      <c r="Y9" s="69"/>
      <c r="Z9" s="69" t="str">
        <f aca="false">IF(Y9&lt;&gt;"",IF(I9&gt;0,"◎ 一致（モデルも会期中欠品を検知）",IF(H9&gt;=0.7,"○ 整合（予測消化率70%超）","△ モデル未検知：現場報告を優先")),IF(I9&gt;0,"▲ モデルのみ検知：現場に在庫状況を確認","—"))</f>
        <v>—</v>
      </c>
      <c r="AA9" s="66"/>
    </row>
    <row r="10" customFormat="false" ht="15" hidden="false" customHeight="false" outlineLevel="0" collapsed="false">
      <c r="A10" s="32" t="n">
        <v>4</v>
      </c>
      <c r="B10" s="32" t="s">
        <v>282</v>
      </c>
      <c r="C10" s="33" t="s">
        <v>283</v>
      </c>
      <c r="D10" s="34" t="n">
        <v>1800</v>
      </c>
      <c r="E10" s="35" t="n">
        <f aca="false">①札幌予測確定!E10</f>
        <v>144</v>
      </c>
      <c r="F10" s="35" t="n">
        <f aca="false">①札幌予測確定!P10</f>
        <v>229</v>
      </c>
      <c r="G10" s="35" t="n">
        <f aca="false">①札幌予測確定!S10</f>
        <v>800</v>
      </c>
      <c r="H10" s="37" t="n">
        <f aca="false">IFERROR(F10/G10,0)</f>
        <v>0.28625</v>
      </c>
      <c r="I10" s="38" t="n">
        <f aca="false">F10-G10</f>
        <v>-571</v>
      </c>
      <c r="J10" s="39" t="str">
        <f aca="false">IF(I10&gt;0,"要 追加発注",IF(H10&gt;=0.9,"要注意(90%超)",IF(H10&gt;=0.5,"適正","在庫余剰")))</f>
        <v>在庫余剰</v>
      </c>
      <c r="K10" s="35" t="n">
        <f aca="false">IF(I10&gt;0,ROUNDUP(I10*(1+前提・入力!$B$35),0),0)</f>
        <v>0</v>
      </c>
      <c r="L10" s="35" t="n">
        <f aca="false">③石川以降予測!N33</f>
        <v>1912</v>
      </c>
      <c r="M10" s="35" t="n">
        <f aca="false">③石川以降予測!S33</f>
        <v>571</v>
      </c>
      <c r="N10" s="35" t="n">
        <f aca="false">③石川以降予測!Q33</f>
        <v>26711</v>
      </c>
      <c r="O10" s="38" t="n">
        <f aca="false">L10-M10-N10</f>
        <v>-25370</v>
      </c>
      <c r="P10" s="39" t="str">
        <f aca="false">IF(O10&gt;0,"要 追加生産",IF(L10=0,"—","在庫で充足"))</f>
        <v>在庫で充足</v>
      </c>
      <c r="Q10" s="35" t="n">
        <f aca="false">③石川以降予測!X33</f>
        <v>0</v>
      </c>
      <c r="R10" s="35" t="n">
        <f aca="false">K10+Q10</f>
        <v>0</v>
      </c>
      <c r="S10" s="34" t="n">
        <f aca="false">R10*D10</f>
        <v>0</v>
      </c>
      <c r="T10" s="69" t="s">
        <v>518</v>
      </c>
      <c r="U10" s="32"/>
      <c r="V10" s="68" t="str">
        <f aca="false">IF(OR(U10="",U10="再生産不可"),"",U10-前提・入力!$B$39)</f>
        <v/>
      </c>
      <c r="W10" s="66" t="str">
        <f aca="false">IF(T10="—","—",IF(U10="再生産不可","×再生産不可",_xlfn.IFS(V10&lt;0,"★期限超過",V10&lt;=30,"★至急(30日以内)",V10&lt;=90,"要着手(90日以内)",TRUE(),"余裕あり")))</f>
        <v>—</v>
      </c>
      <c r="X10" s="32" t="str">
        <f aca="false">IF(Y10&lt;&gt;"",IF(FALSE(),"S:現場欠品(追納不可)","S:現場欠品"),IF(I10&gt;0,"A:会期中欠品",IF(O10&gt;1000,"B:大口",IF(O10&gt;0,"C:通常","D:不要"))))</f>
        <v>D:不要</v>
      </c>
      <c r="Y10" s="69"/>
      <c r="Z10" s="69" t="str">
        <f aca="false">IF(Y10&lt;&gt;"",IF(I10&gt;0,"◎ 一致（モデルも会期中欠品を検知）",IF(H10&gt;=0.7,"○ 整合（予測消化率70%超）","△ モデル未検知：現場報告を優先")),IF(I10&gt;0,"▲ モデルのみ検知：現場に在庫状況を確認","—"))</f>
        <v>—</v>
      </c>
      <c r="AA10" s="66"/>
    </row>
    <row r="11" customFormat="false" ht="15" hidden="false" customHeight="false" outlineLevel="0" collapsed="false">
      <c r="A11" s="32" t="n">
        <v>5</v>
      </c>
      <c r="B11" s="32" t="s">
        <v>284</v>
      </c>
      <c r="C11" s="33" t="s">
        <v>285</v>
      </c>
      <c r="D11" s="34" t="n">
        <v>600</v>
      </c>
      <c r="E11" s="35" t="n">
        <f aca="false">①札幌予測確定!E11</f>
        <v>268</v>
      </c>
      <c r="F11" s="35" t="n">
        <f aca="false">①札幌予測確定!P11</f>
        <v>465</v>
      </c>
      <c r="G11" s="35" t="n">
        <f aca="false">①札幌予測確定!S11</f>
        <v>9000</v>
      </c>
      <c r="H11" s="37" t="n">
        <f aca="false">IFERROR(F11/G11,0)</f>
        <v>0.0516666666666667</v>
      </c>
      <c r="I11" s="38" t="n">
        <f aca="false">F11-G11</f>
        <v>-8535</v>
      </c>
      <c r="J11" s="39" t="str">
        <f aca="false">IF(I11&gt;0,"要 追加発注",IF(H11&gt;=0.9,"要注意(90%超)",IF(H11&gt;=0.5,"適正","在庫余剰")))</f>
        <v>在庫余剰</v>
      </c>
      <c r="K11" s="35" t="n">
        <f aca="false">IF(I11&gt;0,ROUNDUP(I11*(1+前提・入力!$B$35),0),0)</f>
        <v>0</v>
      </c>
      <c r="L11" s="35" t="n">
        <f aca="false">③石川以降予測!N34</f>
        <v>7909</v>
      </c>
      <c r="M11" s="35" t="n">
        <f aca="false">③石川以降予測!S34</f>
        <v>8535</v>
      </c>
      <c r="N11" s="35" t="n">
        <f aca="false">③石川以降予測!Q34</f>
        <v>30825</v>
      </c>
      <c r="O11" s="38" t="n">
        <f aca="false">L11-M11-N11</f>
        <v>-31451</v>
      </c>
      <c r="P11" s="39" t="str">
        <f aca="false">IF(O11&gt;0,"要 追加生産",IF(L11=0,"—","在庫で充足"))</f>
        <v>在庫で充足</v>
      </c>
      <c r="Q11" s="35" t="n">
        <f aca="false">③石川以降予測!X34</f>
        <v>0</v>
      </c>
      <c r="R11" s="35" t="n">
        <f aca="false">K11+Q11</f>
        <v>0</v>
      </c>
      <c r="S11" s="34" t="n">
        <f aca="false">R11*D11</f>
        <v>0</v>
      </c>
      <c r="T11" s="69" t="s">
        <v>518</v>
      </c>
      <c r="U11" s="32"/>
      <c r="V11" s="68" t="str">
        <f aca="false">IF(OR(U11="",U11="再生産不可"),"",U11-前提・入力!$B$39)</f>
        <v/>
      </c>
      <c r="W11" s="66" t="str">
        <f aca="false">IF(T11="—","—",IF(U11="再生産不可","×再生産不可",_xlfn.IFS(V11&lt;0,"★期限超過",V11&lt;=30,"★至急(30日以内)",V11&lt;=90,"要着手(90日以内)",TRUE(),"余裕あり")))</f>
        <v>—</v>
      </c>
      <c r="X11" s="32" t="str">
        <f aca="false">IF(Y11&lt;&gt;"",IF(FALSE(),"S:現場欠品(追納不可)","S:現場欠品"),IF(I11&gt;0,"A:会期中欠品",IF(O11&gt;1000,"B:大口",IF(O11&gt;0,"C:通常","D:不要"))))</f>
        <v>D:不要</v>
      </c>
      <c r="Y11" s="69"/>
      <c r="Z11" s="69" t="str">
        <f aca="false">IF(Y11&lt;&gt;"",IF(I11&gt;0,"◎ 一致（モデルも会期中欠品を検知）",IF(H11&gt;=0.7,"○ 整合（予測消化率70%超）","△ モデル未検知：現場報告を優先")),IF(I11&gt;0,"▲ モデルのみ検知：現場に在庫状況を確認","—"))</f>
        <v>—</v>
      </c>
      <c r="AA11" s="66" t="s">
        <v>517</v>
      </c>
    </row>
    <row r="12" customFormat="false" ht="15" hidden="false" customHeight="false" outlineLevel="0" collapsed="false">
      <c r="A12" s="32" t="n">
        <v>6</v>
      </c>
      <c r="B12" s="32" t="s">
        <v>286</v>
      </c>
      <c r="C12" s="33" t="s">
        <v>287</v>
      </c>
      <c r="D12" s="34" t="n">
        <v>600</v>
      </c>
      <c r="E12" s="35" t="n">
        <f aca="false">①札幌予測確定!E12</f>
        <v>704</v>
      </c>
      <c r="F12" s="35" t="n">
        <f aca="false">①札幌予測確定!P12</f>
        <v>1317</v>
      </c>
      <c r="G12" s="35" t="n">
        <f aca="false">①札幌予測確定!S12</f>
        <v>13991</v>
      </c>
      <c r="H12" s="37" t="n">
        <f aca="false">IFERROR(F12/G12,0)</f>
        <v>0.0941319419626903</v>
      </c>
      <c r="I12" s="38" t="n">
        <f aca="false">F12-G12</f>
        <v>-12674</v>
      </c>
      <c r="J12" s="39" t="str">
        <f aca="false">IF(I12&gt;0,"要 追加発注",IF(H12&gt;=0.9,"要注意(90%超)",IF(H12&gt;=0.5,"適正","在庫余剰")))</f>
        <v>在庫余剰</v>
      </c>
      <c r="K12" s="35" t="n">
        <f aca="false">IF(I12&gt;0,ROUNDUP(I12*(1+前提・入力!$B$35),0),0)</f>
        <v>0</v>
      </c>
      <c r="L12" s="35" t="n">
        <f aca="false">③石川以降予測!N35</f>
        <v>18104</v>
      </c>
      <c r="M12" s="35" t="n">
        <f aca="false">③石川以降予測!S35</f>
        <v>12674</v>
      </c>
      <c r="N12" s="35" t="n">
        <f aca="false">③石川以降予測!Q35</f>
        <v>36843</v>
      </c>
      <c r="O12" s="38" t="n">
        <f aca="false">L12-M12-N12</f>
        <v>-31413</v>
      </c>
      <c r="P12" s="39" t="str">
        <f aca="false">IF(O12&gt;0,"要 追加生産",IF(L12=0,"—","在庫で充足"))</f>
        <v>在庫で充足</v>
      </c>
      <c r="Q12" s="35" t="n">
        <f aca="false">③石川以降予測!X35</f>
        <v>0</v>
      </c>
      <c r="R12" s="35" t="n">
        <f aca="false">K12+Q12</f>
        <v>0</v>
      </c>
      <c r="S12" s="34" t="n">
        <f aca="false">R12*D12</f>
        <v>0</v>
      </c>
      <c r="T12" s="69" t="s">
        <v>518</v>
      </c>
      <c r="U12" s="32"/>
      <c r="V12" s="68" t="str">
        <f aca="false">IF(OR(U12="",U12="再生産不可"),"",U12-前提・入力!$B$39)</f>
        <v/>
      </c>
      <c r="W12" s="66" t="str">
        <f aca="false">IF(T12="—","—",IF(U12="再生産不可","×再生産不可",_xlfn.IFS(V12&lt;0,"★期限超過",V12&lt;=30,"★至急(30日以内)",V12&lt;=90,"要着手(90日以内)",TRUE(),"余裕あり")))</f>
        <v>—</v>
      </c>
      <c r="X12" s="32" t="str">
        <f aca="false">IF(Y12&lt;&gt;"",IF(FALSE(),"S:現場欠品(追納不可)","S:現場欠品"),IF(I12&gt;0,"A:会期中欠品",IF(O12&gt;1000,"B:大口",IF(O12&gt;0,"C:通常","D:不要"))))</f>
        <v>D:不要</v>
      </c>
      <c r="Y12" s="69"/>
      <c r="Z12" s="69" t="str">
        <f aca="false">IF(Y12&lt;&gt;"",IF(I12&gt;0,"◎ 一致（モデルも会期中欠品を検知）",IF(H12&gt;=0.7,"○ 整合（予測消化率70%超）","△ モデル未検知：現場報告を優先")),IF(I12&gt;0,"▲ モデルのみ検知：現場に在庫状況を確認","—"))</f>
        <v>—</v>
      </c>
      <c r="AA12" s="66" t="s">
        <v>517</v>
      </c>
    </row>
    <row r="13" customFormat="false" ht="15" hidden="false" customHeight="false" outlineLevel="0" collapsed="false">
      <c r="A13" s="32" t="n">
        <v>7</v>
      </c>
      <c r="B13" s="32" t="s">
        <v>288</v>
      </c>
      <c r="C13" s="33" t="s">
        <v>289</v>
      </c>
      <c r="D13" s="34" t="n">
        <v>600</v>
      </c>
      <c r="E13" s="35" t="n">
        <f aca="false">①札幌予測確定!E13</f>
        <v>108</v>
      </c>
      <c r="F13" s="35" t="n">
        <f aca="false">①札幌予測確定!P13</f>
        <v>194</v>
      </c>
      <c r="G13" s="35" t="n">
        <f aca="false">①札幌予測確定!S13</f>
        <v>350</v>
      </c>
      <c r="H13" s="37" t="n">
        <f aca="false">IFERROR(F13/G13,0)</f>
        <v>0.554285714285714</v>
      </c>
      <c r="I13" s="38" t="n">
        <f aca="false">F13-G13</f>
        <v>-156</v>
      </c>
      <c r="J13" s="39" t="str">
        <f aca="false">IF(I13&gt;0,"要 追加発注",IF(H13&gt;=0.9,"要注意(90%超)",IF(H13&gt;=0.5,"適正","在庫余剰")))</f>
        <v>適正</v>
      </c>
      <c r="K13" s="35" t="n">
        <f aca="false">IF(I13&gt;0,ROUNDUP(I13*(1+前提・入力!$B$35),0),0)</f>
        <v>0</v>
      </c>
      <c r="L13" s="35" t="n">
        <f aca="false">③石川以降予測!N36</f>
        <v>1511</v>
      </c>
      <c r="M13" s="35" t="n">
        <f aca="false">③石川以降予測!S36</f>
        <v>156</v>
      </c>
      <c r="N13" s="35" t="n">
        <f aca="false">③石川以降予測!Q36</f>
        <v>4192</v>
      </c>
      <c r="O13" s="38" t="n">
        <f aca="false">L13-M13-N13</f>
        <v>-2837</v>
      </c>
      <c r="P13" s="39" t="str">
        <f aca="false">IF(O13&gt;0,"要 追加生産",IF(L13=0,"—","在庫で充足"))</f>
        <v>在庫で充足</v>
      </c>
      <c r="Q13" s="35" t="n">
        <f aca="false">③石川以降予測!X36</f>
        <v>0</v>
      </c>
      <c r="R13" s="35" t="n">
        <f aca="false">K13+Q13</f>
        <v>0</v>
      </c>
      <c r="S13" s="34" t="n">
        <f aca="false">R13*D13</f>
        <v>0</v>
      </c>
      <c r="T13" s="69" t="s">
        <v>518</v>
      </c>
      <c r="U13" s="32"/>
      <c r="V13" s="68" t="str">
        <f aca="false">IF(OR(U13="",U13="再生産不可"),"",U13-前提・入力!$B$39)</f>
        <v/>
      </c>
      <c r="W13" s="66" t="str">
        <f aca="false">IF(T13="—","—",IF(U13="再生産不可","×再生産不可",_xlfn.IFS(V13&lt;0,"★期限超過",V13&lt;=30,"★至急(30日以内)",V13&lt;=90,"要着手(90日以内)",TRUE(),"余裕あり")))</f>
        <v>—</v>
      </c>
      <c r="X13" s="32" t="str">
        <f aca="false">IF(Y13&lt;&gt;"",IF(FALSE(),"S:現場欠品(追納不可)","S:現場欠品"),IF(I13&gt;0,"A:会期中欠品",IF(O13&gt;1000,"B:大口",IF(O13&gt;0,"C:通常","D:不要"))))</f>
        <v>D:不要</v>
      </c>
      <c r="Y13" s="69"/>
      <c r="Z13" s="69" t="str">
        <f aca="false">IF(Y13&lt;&gt;"",IF(I13&gt;0,"◎ 一致（モデルも会期中欠品を検知）",IF(H13&gt;=0.7,"○ 整合（予測消化率70%超）","△ モデル未検知：現場報告を優先")),IF(I13&gt;0,"▲ モデルのみ検知：現場に在庫状況を確認","—"))</f>
        <v>—</v>
      </c>
      <c r="AA13" s="66" t="s">
        <v>517</v>
      </c>
    </row>
    <row r="14" customFormat="false" ht="15" hidden="false" customHeight="false" outlineLevel="0" collapsed="false">
      <c r="A14" s="32" t="n">
        <v>8</v>
      </c>
      <c r="B14" s="32" t="s">
        <v>290</v>
      </c>
      <c r="C14" s="33" t="s">
        <v>291</v>
      </c>
      <c r="D14" s="34" t="n">
        <v>600</v>
      </c>
      <c r="E14" s="35" t="n">
        <f aca="false">①札幌予測確定!E14</f>
        <v>173</v>
      </c>
      <c r="F14" s="35" t="n">
        <f aca="false">①札幌予測確定!P14</f>
        <v>321</v>
      </c>
      <c r="G14" s="35" t="n">
        <f aca="false">①札幌予測確定!S14</f>
        <v>900</v>
      </c>
      <c r="H14" s="37" t="n">
        <f aca="false">IFERROR(F14/G14,0)</f>
        <v>0.356666666666667</v>
      </c>
      <c r="I14" s="38" t="n">
        <f aca="false">F14-G14</f>
        <v>-579</v>
      </c>
      <c r="J14" s="39" t="str">
        <f aca="false">IF(I14&gt;0,"要 追加発注",IF(H14&gt;=0.9,"要注意(90%超)",IF(H14&gt;=0.5,"適正","在庫余剰")))</f>
        <v>在庫余剰</v>
      </c>
      <c r="K14" s="35" t="n">
        <f aca="false">IF(I14&gt;0,ROUNDUP(I14*(1+前提・入力!$B$35),0),0)</f>
        <v>0</v>
      </c>
      <c r="L14" s="35" t="n">
        <f aca="false">③石川以降予測!N37</f>
        <v>2630</v>
      </c>
      <c r="M14" s="35" t="n">
        <f aca="false">③石川以降予測!S37</f>
        <v>579</v>
      </c>
      <c r="N14" s="35" t="n">
        <f aca="false">③石川以降予測!Q37</f>
        <v>7651</v>
      </c>
      <c r="O14" s="38" t="n">
        <f aca="false">L14-M14-N14</f>
        <v>-5600</v>
      </c>
      <c r="P14" s="39" t="str">
        <f aca="false">IF(O14&gt;0,"要 追加生産",IF(L14=0,"—","在庫で充足"))</f>
        <v>在庫で充足</v>
      </c>
      <c r="Q14" s="35" t="n">
        <f aca="false">③石川以降予測!X37</f>
        <v>0</v>
      </c>
      <c r="R14" s="35" t="n">
        <f aca="false">K14+Q14</f>
        <v>0</v>
      </c>
      <c r="S14" s="34" t="n">
        <f aca="false">R14*D14</f>
        <v>0</v>
      </c>
      <c r="T14" s="69" t="s">
        <v>518</v>
      </c>
      <c r="U14" s="32"/>
      <c r="V14" s="68" t="str">
        <f aca="false">IF(OR(U14="",U14="再生産不可"),"",U14-前提・入力!$B$39)</f>
        <v/>
      </c>
      <c r="W14" s="66" t="str">
        <f aca="false">IF(T14="—","—",IF(U14="再生産不可","×再生産不可",_xlfn.IFS(V14&lt;0,"★期限超過",V14&lt;=30,"★至急(30日以内)",V14&lt;=90,"要着手(90日以内)",TRUE(),"余裕あり")))</f>
        <v>—</v>
      </c>
      <c r="X14" s="32" t="str">
        <f aca="false">IF(Y14&lt;&gt;"",IF(FALSE(),"S:現場欠品(追納不可)","S:現場欠品"),IF(I14&gt;0,"A:会期中欠品",IF(O14&gt;1000,"B:大口",IF(O14&gt;0,"C:通常","D:不要"))))</f>
        <v>D:不要</v>
      </c>
      <c r="Y14" s="69"/>
      <c r="Z14" s="69" t="str">
        <f aca="false">IF(Y14&lt;&gt;"",IF(I14&gt;0,"◎ 一致（モデルも会期中欠品を検知）",IF(H14&gt;=0.7,"○ 整合（予測消化率70%超）","△ モデル未検知：現場報告を優先")),IF(I14&gt;0,"▲ モデルのみ検知：現場に在庫状況を確認","—"))</f>
        <v>—</v>
      </c>
      <c r="AA14" s="66" t="s">
        <v>517</v>
      </c>
    </row>
    <row r="15" customFormat="false" ht="15" hidden="false" customHeight="false" outlineLevel="0" collapsed="false">
      <c r="A15" s="32" t="n">
        <v>9</v>
      </c>
      <c r="B15" s="32" t="s">
        <v>292</v>
      </c>
      <c r="C15" s="33" t="s">
        <v>293</v>
      </c>
      <c r="D15" s="34" t="n">
        <v>600</v>
      </c>
      <c r="E15" s="35" t="n">
        <f aca="false">①札幌予測確定!E15</f>
        <v>87</v>
      </c>
      <c r="F15" s="35" t="n">
        <f aca="false">①札幌予測確定!P15</f>
        <v>128</v>
      </c>
      <c r="G15" s="35" t="n">
        <f aca="false">①札幌予測確定!S15</f>
        <v>300</v>
      </c>
      <c r="H15" s="37" t="n">
        <f aca="false">IFERROR(F15/G15,0)</f>
        <v>0.426666666666667</v>
      </c>
      <c r="I15" s="38" t="n">
        <f aca="false">F15-G15</f>
        <v>-172</v>
      </c>
      <c r="J15" s="39" t="str">
        <f aca="false">IF(I15&gt;0,"要 追加発注",IF(H15&gt;=0.9,"要注意(90%超)",IF(H15&gt;=0.5,"適正","在庫余剰")))</f>
        <v>在庫余剰</v>
      </c>
      <c r="K15" s="35" t="n">
        <f aca="false">IF(I15&gt;0,ROUNDUP(I15*(1+前提・入力!$B$35),0),0)</f>
        <v>0</v>
      </c>
      <c r="L15" s="35" t="n">
        <f aca="false">③石川以降予測!N38</f>
        <v>1076</v>
      </c>
      <c r="M15" s="35" t="n">
        <f aca="false">③石川以降予測!S38</f>
        <v>172</v>
      </c>
      <c r="N15" s="35" t="n">
        <f aca="false">③石川以降予測!Q38</f>
        <v>8459</v>
      </c>
      <c r="O15" s="38" t="n">
        <f aca="false">L15-M15-N15</f>
        <v>-7555</v>
      </c>
      <c r="P15" s="39" t="str">
        <f aca="false">IF(O15&gt;0,"要 追加生産",IF(L15=0,"—","在庫で充足"))</f>
        <v>在庫で充足</v>
      </c>
      <c r="Q15" s="35" t="n">
        <f aca="false">③石川以降予測!X38</f>
        <v>0</v>
      </c>
      <c r="R15" s="35" t="n">
        <f aca="false">K15+Q15</f>
        <v>0</v>
      </c>
      <c r="S15" s="34" t="n">
        <f aca="false">R15*D15</f>
        <v>0</v>
      </c>
      <c r="T15" s="69" t="s">
        <v>518</v>
      </c>
      <c r="U15" s="32"/>
      <c r="V15" s="68" t="str">
        <f aca="false">IF(OR(U15="",U15="再生産不可"),"",U15-前提・入力!$B$39)</f>
        <v/>
      </c>
      <c r="W15" s="66" t="str">
        <f aca="false">IF(T15="—","—",IF(U15="再生産不可","×再生産不可",_xlfn.IFS(V15&lt;0,"★期限超過",V15&lt;=30,"★至急(30日以内)",V15&lt;=90,"要着手(90日以内)",TRUE(),"余裕あり")))</f>
        <v>—</v>
      </c>
      <c r="X15" s="32" t="str">
        <f aca="false">IF(Y15&lt;&gt;"",IF(FALSE(),"S:現場欠品(追納不可)","S:現場欠品"),IF(I15&gt;0,"A:会期中欠品",IF(O15&gt;1000,"B:大口",IF(O15&gt;0,"C:通常","D:不要"))))</f>
        <v>D:不要</v>
      </c>
      <c r="Y15" s="69"/>
      <c r="Z15" s="69" t="str">
        <f aca="false">IF(Y15&lt;&gt;"",IF(I15&gt;0,"◎ 一致（モデルも会期中欠品を検知）",IF(H15&gt;=0.7,"○ 整合（予測消化率70%超）","△ モデル未検知：現場報告を優先")),IF(I15&gt;0,"▲ モデルのみ検知：現場に在庫状況を確認","—"))</f>
        <v>—</v>
      </c>
      <c r="AA15" s="66" t="s">
        <v>517</v>
      </c>
    </row>
    <row r="16" customFormat="false" ht="15" hidden="false" customHeight="false" outlineLevel="0" collapsed="false">
      <c r="A16" s="32" t="n">
        <v>10</v>
      </c>
      <c r="B16" s="32" t="s">
        <v>294</v>
      </c>
      <c r="C16" s="33" t="s">
        <v>295</v>
      </c>
      <c r="D16" s="34" t="n">
        <v>600</v>
      </c>
      <c r="E16" s="35" t="n">
        <f aca="false">①札幌予測確定!E16</f>
        <v>33</v>
      </c>
      <c r="F16" s="35" t="n">
        <f aca="false">①札幌予測確定!P16</f>
        <v>48</v>
      </c>
      <c r="G16" s="35" t="n">
        <f aca="false">①札幌予測確定!S16</f>
        <v>100</v>
      </c>
      <c r="H16" s="37" t="n">
        <f aca="false">IFERROR(F16/G16,0)</f>
        <v>0.48</v>
      </c>
      <c r="I16" s="38" t="n">
        <f aca="false">F16-G16</f>
        <v>-52</v>
      </c>
      <c r="J16" s="39" t="str">
        <f aca="false">IF(I16&gt;0,"要 追加発注",IF(H16&gt;=0.9,"要注意(90%超)",IF(H16&gt;=0.5,"適正","在庫余剰")))</f>
        <v>在庫余剰</v>
      </c>
      <c r="K16" s="35" t="n">
        <f aca="false">IF(I16&gt;0,ROUNDUP(I16*(1+前提・入力!$B$35),0),0)</f>
        <v>0</v>
      </c>
      <c r="L16" s="35" t="n">
        <f aca="false">③石川以降予測!N39</f>
        <v>403</v>
      </c>
      <c r="M16" s="35" t="n">
        <f aca="false">③石川以降予測!S39</f>
        <v>52</v>
      </c>
      <c r="N16" s="35" t="n">
        <f aca="false">③石川以降予測!Q39</f>
        <v>4835</v>
      </c>
      <c r="O16" s="38" t="n">
        <f aca="false">L16-M16-N16</f>
        <v>-4484</v>
      </c>
      <c r="P16" s="39" t="str">
        <f aca="false">IF(O16&gt;0,"要 追加生産",IF(L16=0,"—","在庫で充足"))</f>
        <v>在庫で充足</v>
      </c>
      <c r="Q16" s="35" t="n">
        <f aca="false">③石川以降予測!X39</f>
        <v>0</v>
      </c>
      <c r="R16" s="35" t="n">
        <f aca="false">K16+Q16</f>
        <v>0</v>
      </c>
      <c r="S16" s="34" t="n">
        <f aca="false">R16*D16</f>
        <v>0</v>
      </c>
      <c r="T16" s="69" t="s">
        <v>518</v>
      </c>
      <c r="U16" s="32"/>
      <c r="V16" s="68" t="str">
        <f aca="false">IF(OR(U16="",U16="再生産不可"),"",U16-前提・入力!$B$39)</f>
        <v/>
      </c>
      <c r="W16" s="66" t="str">
        <f aca="false">IF(T16="—","—",IF(U16="再生産不可","×再生産不可",_xlfn.IFS(V16&lt;0,"★期限超過",V16&lt;=30,"★至急(30日以内)",V16&lt;=90,"要着手(90日以内)",TRUE(),"余裕あり")))</f>
        <v>—</v>
      </c>
      <c r="X16" s="32" t="str">
        <f aca="false">IF(Y16&lt;&gt;"",IF(FALSE(),"S:現場欠品(追納不可)","S:現場欠品"),IF(I16&gt;0,"A:会期中欠品",IF(O16&gt;1000,"B:大口",IF(O16&gt;0,"C:通常","D:不要"))))</f>
        <v>D:不要</v>
      </c>
      <c r="Y16" s="69"/>
      <c r="Z16" s="69" t="str">
        <f aca="false">IF(Y16&lt;&gt;"",IF(I16&gt;0,"◎ 一致（モデルも会期中欠品を検知）",IF(H16&gt;=0.7,"○ 整合（予測消化率70%超）","△ モデル未検知：現場報告を優先")),IF(I16&gt;0,"▲ モデルのみ検知：現場に在庫状況を確認","—"))</f>
        <v>—</v>
      </c>
      <c r="AA16" s="66"/>
    </row>
    <row r="17" customFormat="false" ht="15" hidden="false" customHeight="false" outlineLevel="0" collapsed="false">
      <c r="A17" s="32" t="n">
        <v>11</v>
      </c>
      <c r="B17" s="32" t="s">
        <v>296</v>
      </c>
      <c r="C17" s="33" t="s">
        <v>297</v>
      </c>
      <c r="D17" s="34" t="n">
        <v>600</v>
      </c>
      <c r="E17" s="35" t="n">
        <f aca="false">①札幌予測確定!E17</f>
        <v>10</v>
      </c>
      <c r="F17" s="35" t="n">
        <f aca="false">①札幌予測確定!P17</f>
        <v>24</v>
      </c>
      <c r="G17" s="35" t="n">
        <f aca="false">①札幌予測確定!S17</f>
        <v>50</v>
      </c>
      <c r="H17" s="37" t="n">
        <f aca="false">IFERROR(F17/G17,0)</f>
        <v>0.48</v>
      </c>
      <c r="I17" s="38" t="n">
        <f aca="false">F17-G17</f>
        <v>-26</v>
      </c>
      <c r="J17" s="39" t="str">
        <f aca="false">IF(I17&gt;0,"要 追加発注",IF(H17&gt;=0.9,"要注意(90%超)",IF(H17&gt;=0.5,"適正","在庫余剰")))</f>
        <v>在庫余剰</v>
      </c>
      <c r="K17" s="35" t="n">
        <f aca="false">IF(I17&gt;0,ROUNDUP(I17*(1+前提・入力!$B$35),0),0)</f>
        <v>0</v>
      </c>
      <c r="L17" s="35" t="n">
        <f aca="false">③石川以降予測!N40</f>
        <v>162</v>
      </c>
      <c r="M17" s="35" t="n">
        <f aca="false">③石川以降予測!S40</f>
        <v>26</v>
      </c>
      <c r="N17" s="35" t="n">
        <f aca="false">③石川以降予測!Q40</f>
        <v>590</v>
      </c>
      <c r="O17" s="38" t="n">
        <f aca="false">L17-M17-N17</f>
        <v>-454</v>
      </c>
      <c r="P17" s="39" t="str">
        <f aca="false">IF(O17&gt;0,"要 追加生産",IF(L17=0,"—","在庫で充足"))</f>
        <v>在庫で充足</v>
      </c>
      <c r="Q17" s="35" t="n">
        <f aca="false">③石川以降予測!X40</f>
        <v>0</v>
      </c>
      <c r="R17" s="35" t="n">
        <f aca="false">K17+Q17</f>
        <v>0</v>
      </c>
      <c r="S17" s="34" t="n">
        <f aca="false">R17*D17</f>
        <v>0</v>
      </c>
      <c r="T17" s="69" t="s">
        <v>518</v>
      </c>
      <c r="U17" s="32"/>
      <c r="V17" s="68" t="str">
        <f aca="false">IF(OR(U17="",U17="再生産不可"),"",U17-前提・入力!$B$39)</f>
        <v/>
      </c>
      <c r="W17" s="66" t="str">
        <f aca="false">IF(T17="—","—",IF(U17="再生産不可","×再生産不可",_xlfn.IFS(V17&lt;0,"★期限超過",V17&lt;=30,"★至急(30日以内)",V17&lt;=90,"要着手(90日以内)",TRUE(),"余裕あり")))</f>
        <v>—</v>
      </c>
      <c r="X17" s="32" t="str">
        <f aca="false">IF(Y17&lt;&gt;"",IF(FALSE(),"S:現場欠品(追納不可)","S:現場欠品"),IF(I17&gt;0,"A:会期中欠品",IF(O17&gt;1000,"B:大口",IF(O17&gt;0,"C:通常","D:不要"))))</f>
        <v>D:不要</v>
      </c>
      <c r="Y17" s="69"/>
      <c r="Z17" s="69" t="str">
        <f aca="false">IF(Y17&lt;&gt;"",IF(I17&gt;0,"◎ 一致（モデルも会期中欠品を検知）",IF(H17&gt;=0.7,"○ 整合（予測消化率70%超）","△ モデル未検知：現場報告を優先")),IF(I17&gt;0,"▲ モデルのみ検知：現場に在庫状況を確認","—"))</f>
        <v>—</v>
      </c>
      <c r="AA17" s="66" t="s">
        <v>517</v>
      </c>
    </row>
    <row r="18" customFormat="false" ht="15" hidden="false" customHeight="false" outlineLevel="0" collapsed="false">
      <c r="A18" s="32" t="n">
        <v>12</v>
      </c>
      <c r="B18" s="32" t="s">
        <v>298</v>
      </c>
      <c r="C18" s="33" t="s">
        <v>299</v>
      </c>
      <c r="D18" s="34" t="n">
        <v>600</v>
      </c>
      <c r="E18" s="35" t="n">
        <f aca="false">①札幌予測確定!E18</f>
        <v>19</v>
      </c>
      <c r="F18" s="35" t="n">
        <f aca="false">①札幌予測確定!P18</f>
        <v>34</v>
      </c>
      <c r="G18" s="35" t="n">
        <f aca="false">①札幌予測確定!S18</f>
        <v>50</v>
      </c>
      <c r="H18" s="37" t="n">
        <f aca="false">IFERROR(F18/G18,0)</f>
        <v>0.68</v>
      </c>
      <c r="I18" s="38" t="n">
        <f aca="false">F18-G18</f>
        <v>-16</v>
      </c>
      <c r="J18" s="39" t="str">
        <f aca="false">IF(I18&gt;0,"要 追加発注",IF(H18&gt;=0.9,"要注意(90%超)",IF(H18&gt;=0.5,"適正","在庫余剰")))</f>
        <v>適正</v>
      </c>
      <c r="K18" s="35" t="n">
        <f aca="false">IF(I18&gt;0,ROUNDUP(I18*(1+前提・入力!$B$35),0),0)</f>
        <v>0</v>
      </c>
      <c r="L18" s="35" t="n">
        <f aca="false">③石川以降予測!N41</f>
        <v>251</v>
      </c>
      <c r="M18" s="35" t="n">
        <f aca="false">③石川以降予測!S41</f>
        <v>16</v>
      </c>
      <c r="N18" s="35" t="n">
        <f aca="false">③石川以降予測!Q41</f>
        <v>903</v>
      </c>
      <c r="O18" s="38" t="n">
        <f aca="false">L18-M18-N18</f>
        <v>-668</v>
      </c>
      <c r="P18" s="39" t="str">
        <f aca="false">IF(O18&gt;0,"要 追加生産",IF(L18=0,"—","在庫で充足"))</f>
        <v>在庫で充足</v>
      </c>
      <c r="Q18" s="35" t="n">
        <f aca="false">③石川以降予測!X41</f>
        <v>0</v>
      </c>
      <c r="R18" s="35" t="n">
        <f aca="false">K18+Q18</f>
        <v>0</v>
      </c>
      <c r="S18" s="34" t="n">
        <f aca="false">R18*D18</f>
        <v>0</v>
      </c>
      <c r="T18" s="69" t="s">
        <v>518</v>
      </c>
      <c r="U18" s="32"/>
      <c r="V18" s="68" t="str">
        <f aca="false">IF(OR(U18="",U18="再生産不可"),"",U18-前提・入力!$B$39)</f>
        <v/>
      </c>
      <c r="W18" s="66" t="str">
        <f aca="false">IF(T18="—","—",IF(U18="再生産不可","×再生産不可",_xlfn.IFS(V18&lt;0,"★期限超過",V18&lt;=30,"★至急(30日以内)",V18&lt;=90,"要着手(90日以内)",TRUE(),"余裕あり")))</f>
        <v>—</v>
      </c>
      <c r="X18" s="32" t="str">
        <f aca="false">IF(Y18&lt;&gt;"",IF(FALSE(),"S:現場欠品(追納不可)","S:現場欠品"),IF(I18&gt;0,"A:会期中欠品",IF(O18&gt;1000,"B:大口",IF(O18&gt;0,"C:通常","D:不要"))))</f>
        <v>D:不要</v>
      </c>
      <c r="Y18" s="69"/>
      <c r="Z18" s="69" t="str">
        <f aca="false">IF(Y18&lt;&gt;"",IF(I18&gt;0,"◎ 一致（モデルも会期中欠品を検知）",IF(H18&gt;=0.7,"○ 整合（予測消化率70%超）","△ モデル未検知：現場報告を優先")),IF(I18&gt;0,"▲ モデルのみ検知：現場に在庫状況を確認","—"))</f>
        <v>—</v>
      </c>
      <c r="AA18" s="66"/>
    </row>
    <row r="19" customFormat="false" ht="15" hidden="false" customHeight="false" outlineLevel="0" collapsed="false">
      <c r="A19" s="32" t="n">
        <v>13</v>
      </c>
      <c r="B19" s="32" t="s">
        <v>300</v>
      </c>
      <c r="C19" s="33" t="s">
        <v>301</v>
      </c>
      <c r="D19" s="34" t="n">
        <v>600</v>
      </c>
      <c r="E19" s="35" t="n">
        <f aca="false">①札幌予測確定!E19</f>
        <v>3</v>
      </c>
      <c r="F19" s="35" t="n">
        <f aca="false">①札幌予測確定!P19</f>
        <v>5</v>
      </c>
      <c r="G19" s="35" t="n">
        <f aca="false">①札幌予測確定!S19</f>
        <v>50</v>
      </c>
      <c r="H19" s="37" t="n">
        <f aca="false">IFERROR(F19/G19,0)</f>
        <v>0.1</v>
      </c>
      <c r="I19" s="38" t="n">
        <f aca="false">F19-G19</f>
        <v>-45</v>
      </c>
      <c r="J19" s="39" t="str">
        <f aca="false">IF(I19&gt;0,"要 追加発注",IF(H19&gt;=0.9,"要注意(90%超)",IF(H19&gt;=0.5,"適正","在庫余剰")))</f>
        <v>在庫余剰</v>
      </c>
      <c r="K19" s="35" t="n">
        <f aca="false">IF(I19&gt;0,ROUNDUP(I19*(1+前提・入力!$B$35),0),0)</f>
        <v>0</v>
      </c>
      <c r="L19" s="35" t="n">
        <f aca="false">③石川以降予測!N42</f>
        <v>51</v>
      </c>
      <c r="M19" s="35" t="n">
        <f aca="false">③石川以降予測!S42</f>
        <v>45</v>
      </c>
      <c r="N19" s="35" t="n">
        <f aca="false">③石川以降予測!Q42</f>
        <v>270</v>
      </c>
      <c r="O19" s="38" t="n">
        <f aca="false">L19-M19-N19</f>
        <v>-264</v>
      </c>
      <c r="P19" s="39" t="str">
        <f aca="false">IF(O19&gt;0,"要 追加生産",IF(L19=0,"—","在庫で充足"))</f>
        <v>在庫で充足</v>
      </c>
      <c r="Q19" s="35" t="n">
        <f aca="false">③石川以降予測!X42</f>
        <v>0</v>
      </c>
      <c r="R19" s="35" t="n">
        <f aca="false">K19+Q19</f>
        <v>0</v>
      </c>
      <c r="S19" s="34" t="n">
        <f aca="false">R19*D19</f>
        <v>0</v>
      </c>
      <c r="T19" s="69" t="s">
        <v>518</v>
      </c>
      <c r="U19" s="32"/>
      <c r="V19" s="68" t="str">
        <f aca="false">IF(OR(U19="",U19="再生産不可"),"",U19-前提・入力!$B$39)</f>
        <v/>
      </c>
      <c r="W19" s="66" t="str">
        <f aca="false">IF(T19="—","—",IF(U19="再生産不可","×再生産不可",_xlfn.IFS(V19&lt;0,"★期限超過",V19&lt;=30,"★至急(30日以内)",V19&lt;=90,"要着手(90日以内)",TRUE(),"余裕あり")))</f>
        <v>—</v>
      </c>
      <c r="X19" s="32" t="str">
        <f aca="false">IF(Y19&lt;&gt;"",IF(FALSE(),"S:現場欠品(追納不可)","S:現場欠品"),IF(I19&gt;0,"A:会期中欠品",IF(O19&gt;1000,"B:大口",IF(O19&gt;0,"C:通常","D:不要"))))</f>
        <v>D:不要</v>
      </c>
      <c r="Y19" s="69"/>
      <c r="Z19" s="69" t="str">
        <f aca="false">IF(Y19&lt;&gt;"",IF(I19&gt;0,"◎ 一致（モデルも会期中欠品を検知）",IF(H19&gt;=0.7,"○ 整合（予測消化率70%超）","△ モデル未検知：現場報告を優先")),IF(I19&gt;0,"▲ モデルのみ検知：現場に在庫状況を確認","—"))</f>
        <v>—</v>
      </c>
      <c r="AA19" s="66"/>
    </row>
    <row r="20" customFormat="false" ht="37.3" hidden="false" customHeight="false" outlineLevel="0" collapsed="false">
      <c r="A20" s="32" t="n">
        <v>14</v>
      </c>
      <c r="B20" s="32" t="s">
        <v>302</v>
      </c>
      <c r="C20" s="33" t="s">
        <v>303</v>
      </c>
      <c r="D20" s="34" t="n">
        <v>600</v>
      </c>
      <c r="E20" s="35" t="n">
        <f aca="false">①札幌予測確定!E20</f>
        <v>21</v>
      </c>
      <c r="F20" s="35" t="n">
        <f aca="false">①札幌予測確定!P20</f>
        <v>38</v>
      </c>
      <c r="G20" s="35" t="n">
        <f aca="false">①札幌予測確定!S20</f>
        <v>50</v>
      </c>
      <c r="H20" s="37" t="n">
        <f aca="false">IFERROR(F20/G20,0)</f>
        <v>0.76</v>
      </c>
      <c r="I20" s="38" t="n">
        <f aca="false">F20-G20</f>
        <v>-12</v>
      </c>
      <c r="J20" s="39" t="str">
        <f aca="false">IF(I20&gt;0,"要 追加発注",IF(H20&gt;=0.9,"要注意(90%超)",IF(H20&gt;=0.5,"適正","在庫余剰")))</f>
        <v>適正</v>
      </c>
      <c r="K20" s="35" t="n">
        <f aca="false">IF(I20&gt;0,ROUNDUP(I20*(1+前提・入力!$B$35),0),0)</f>
        <v>0</v>
      </c>
      <c r="L20" s="35" t="n">
        <f aca="false">③石川以降予測!N43</f>
        <v>271</v>
      </c>
      <c r="M20" s="35" t="n">
        <f aca="false">③石川以降予測!S43</f>
        <v>12</v>
      </c>
      <c r="N20" s="35" t="n">
        <f aca="false">③石川以降予測!Q43</f>
        <v>1740</v>
      </c>
      <c r="O20" s="38" t="n">
        <f aca="false">L20-M20-N20</f>
        <v>-1481</v>
      </c>
      <c r="P20" s="39" t="str">
        <f aca="false">IF(O20&gt;0,"要 追加生産",IF(L20=0,"—","在庫で充足"))</f>
        <v>在庫で充足</v>
      </c>
      <c r="Q20" s="35" t="n">
        <f aca="false">③石川以降予測!X43</f>
        <v>0</v>
      </c>
      <c r="R20" s="35" t="n">
        <f aca="false">K20+Q20</f>
        <v>0</v>
      </c>
      <c r="S20" s="34" t="n">
        <f aca="false">R20*D20</f>
        <v>0</v>
      </c>
      <c r="T20" s="69" t="s">
        <v>518</v>
      </c>
      <c r="U20" s="32"/>
      <c r="V20" s="68" t="str">
        <f aca="false">IF(OR(U20="",U20="再生産不可"),"",U20-前提・入力!$B$39)</f>
        <v/>
      </c>
      <c r="W20" s="66" t="str">
        <f aca="false">IF(T20="—","—",IF(U20="再生産不可","×再生産不可",_xlfn.IFS(V20&lt;0,"★期限超過",V20&lt;=30,"★至急(30日以内)",V20&lt;=90,"要着手(90日以内)",TRUE(),"余裕あり")))</f>
        <v>—</v>
      </c>
      <c r="X20" s="32" t="str">
        <f aca="false">IF(Y20&lt;&gt;"",IF(FALSE(),"S:現場欠品(追納不可)","S:現場欠品"),IF(I20&gt;0,"A:会期中欠品",IF(O20&gt;1000,"B:大口",IF(O20&gt;0,"C:通常","D:不要"))))</f>
        <v>S:現場欠品</v>
      </c>
      <c r="Y20" s="66" t="s">
        <v>519</v>
      </c>
      <c r="Z20" s="69" t="str">
        <f aca="false">IF(Y20&lt;&gt;"",IF(I20&gt;0,"◎ 一致（モデルも会期中欠品を検知）",IF(H20&gt;=0.7,"○ 整合（予測消化率70%超）","△ モデル未検知：現場報告を優先")),IF(I20&gt;0,"▲ モデルのみ検知：現場に在庫状況を確認","—"))</f>
        <v>○ 整合（予測消化率70%超）</v>
      </c>
      <c r="AA20" s="66" t="s">
        <v>520</v>
      </c>
    </row>
    <row r="21" customFormat="false" ht="15" hidden="false" customHeight="false" outlineLevel="0" collapsed="false">
      <c r="A21" s="32" t="n">
        <v>15</v>
      </c>
      <c r="B21" s="32" t="s">
        <v>304</v>
      </c>
      <c r="C21" s="33" t="s">
        <v>305</v>
      </c>
      <c r="D21" s="34" t="n">
        <v>600</v>
      </c>
      <c r="E21" s="35" t="n">
        <f aca="false">①札幌予測確定!E21</f>
        <v>32</v>
      </c>
      <c r="F21" s="35" t="n">
        <f aca="false">①札幌予測確定!P21</f>
        <v>59</v>
      </c>
      <c r="G21" s="35" t="n">
        <f aca="false">①札幌予測確定!S21</f>
        <v>100</v>
      </c>
      <c r="H21" s="37" t="n">
        <f aca="false">IFERROR(F21/G21,0)</f>
        <v>0.59</v>
      </c>
      <c r="I21" s="38" t="n">
        <f aca="false">F21-G21</f>
        <v>-41</v>
      </c>
      <c r="J21" s="39" t="str">
        <f aca="false">IF(I21&gt;0,"要 追加発注",IF(H21&gt;=0.9,"要注意(90%超)",IF(H21&gt;=0.5,"適正","在庫余剰")))</f>
        <v>適正</v>
      </c>
      <c r="K21" s="35" t="n">
        <f aca="false">IF(I21&gt;0,ROUNDUP(I21*(1+前提・入力!$B$35),0),0)</f>
        <v>0</v>
      </c>
      <c r="L21" s="35" t="n">
        <f aca="false">③石川以降予測!N44</f>
        <v>403</v>
      </c>
      <c r="M21" s="35" t="n">
        <f aca="false">③石川以降予測!S44</f>
        <v>41</v>
      </c>
      <c r="N21" s="35" t="n">
        <f aca="false">③石川以降予測!Q44</f>
        <v>2031</v>
      </c>
      <c r="O21" s="38" t="n">
        <f aca="false">L21-M21-N21</f>
        <v>-1669</v>
      </c>
      <c r="P21" s="39" t="str">
        <f aca="false">IF(O21&gt;0,"要 追加生産",IF(L21=0,"—","在庫で充足"))</f>
        <v>在庫で充足</v>
      </c>
      <c r="Q21" s="35" t="n">
        <f aca="false">③石川以降予測!X44</f>
        <v>0</v>
      </c>
      <c r="R21" s="35" t="n">
        <f aca="false">K21+Q21</f>
        <v>0</v>
      </c>
      <c r="S21" s="34" t="n">
        <f aca="false">R21*D21</f>
        <v>0</v>
      </c>
      <c r="T21" s="69" t="s">
        <v>518</v>
      </c>
      <c r="U21" s="32"/>
      <c r="V21" s="68" t="str">
        <f aca="false">IF(OR(U21="",U21="再生産不可"),"",U21-前提・入力!$B$39)</f>
        <v/>
      </c>
      <c r="W21" s="66" t="str">
        <f aca="false">IF(T21="—","—",IF(U21="再生産不可","×再生産不可",_xlfn.IFS(V21&lt;0,"★期限超過",V21&lt;=30,"★至急(30日以内)",V21&lt;=90,"要着手(90日以内)",TRUE(),"余裕あり")))</f>
        <v>—</v>
      </c>
      <c r="X21" s="32" t="str">
        <f aca="false">IF(Y21&lt;&gt;"",IF(FALSE(),"S:現場欠品(追納不可)","S:現場欠品"),IF(I21&gt;0,"A:会期中欠品",IF(O21&gt;1000,"B:大口",IF(O21&gt;0,"C:通常","D:不要"))))</f>
        <v>D:不要</v>
      </c>
      <c r="Y21" s="69"/>
      <c r="Z21" s="69" t="str">
        <f aca="false">IF(Y21&lt;&gt;"",IF(I21&gt;0,"◎ 一致（モデルも会期中欠品を検知）",IF(H21&gt;=0.7,"○ 整合（予測消化率70%超）","△ モデル未検知：現場報告を優先")),IF(I21&gt;0,"▲ モデルのみ検知：現場に在庫状況を確認","—"))</f>
        <v>—</v>
      </c>
      <c r="AA21" s="66" t="s">
        <v>517</v>
      </c>
    </row>
    <row r="22" customFormat="false" ht="25.35" hidden="false" customHeight="false" outlineLevel="0" collapsed="false">
      <c r="A22" s="32" t="n">
        <v>16</v>
      </c>
      <c r="B22" s="32" t="s">
        <v>306</v>
      </c>
      <c r="C22" s="33" t="s">
        <v>307</v>
      </c>
      <c r="D22" s="34" t="n">
        <v>600</v>
      </c>
      <c r="E22" s="35" t="n">
        <f aca="false">①札幌予測確定!E22</f>
        <v>7</v>
      </c>
      <c r="F22" s="35" t="n">
        <f aca="false">①札幌予測確定!P22</f>
        <v>15</v>
      </c>
      <c r="G22" s="35" t="n">
        <f aca="false">①札幌予測確定!S22</f>
        <v>50</v>
      </c>
      <c r="H22" s="37" t="n">
        <f aca="false">IFERROR(F22/G22,0)</f>
        <v>0.3</v>
      </c>
      <c r="I22" s="38" t="n">
        <f aca="false">F22-G22</f>
        <v>-35</v>
      </c>
      <c r="J22" s="39" t="str">
        <f aca="false">IF(I22&gt;0,"要 追加発注",IF(H22&gt;=0.9,"要注意(90%超)",IF(H22&gt;=0.5,"適正","在庫余剰")))</f>
        <v>在庫余剰</v>
      </c>
      <c r="K22" s="35" t="n">
        <f aca="false">IF(I22&gt;0,ROUNDUP(I22*(1+前提・入力!$B$35),0),0)</f>
        <v>0</v>
      </c>
      <c r="L22" s="35" t="n">
        <f aca="false">③石川以降予測!N45</f>
        <v>112</v>
      </c>
      <c r="M22" s="35" t="n">
        <f aca="false">③石川以降予測!S45</f>
        <v>35</v>
      </c>
      <c r="N22" s="35" t="n">
        <f aca="false">③石川以降予測!Q45</f>
        <v>722</v>
      </c>
      <c r="O22" s="38" t="n">
        <f aca="false">L22-M22-N22</f>
        <v>-645</v>
      </c>
      <c r="P22" s="39" t="str">
        <f aca="false">IF(O22&gt;0,"要 追加生産",IF(L22=0,"—","在庫で充足"))</f>
        <v>在庫で充足</v>
      </c>
      <c r="Q22" s="35" t="n">
        <f aca="false">③石川以降予測!X45</f>
        <v>0</v>
      </c>
      <c r="R22" s="35" t="n">
        <f aca="false">K22+Q22</f>
        <v>0</v>
      </c>
      <c r="S22" s="34" t="n">
        <f aca="false">R22*D22</f>
        <v>0</v>
      </c>
      <c r="T22" s="69" t="s">
        <v>518</v>
      </c>
      <c r="U22" s="32"/>
      <c r="V22" s="68" t="str">
        <f aca="false">IF(OR(U22="",U22="再生産不可"),"",U22-前提・入力!$B$39)</f>
        <v/>
      </c>
      <c r="W22" s="66" t="str">
        <f aca="false">IF(T22="—","—",IF(U22="再生産不可","×再生産不可",_xlfn.IFS(V22&lt;0,"★期限超過",V22&lt;=30,"★至急(30日以内)",V22&lt;=90,"要着手(90日以内)",TRUE(),"余裕あり")))</f>
        <v>—</v>
      </c>
      <c r="X22" s="32" t="str">
        <f aca="false">IF(Y22&lt;&gt;"",IF(FALSE(),"S:現場欠品(追納不可)","S:現場欠品"),IF(I22&gt;0,"A:会期中欠品",IF(O22&gt;1000,"B:大口",IF(O22&gt;0,"C:通常","D:不要"))))</f>
        <v>D:不要</v>
      </c>
      <c r="Y22" s="69"/>
      <c r="Z22" s="69" t="str">
        <f aca="false">IF(Y22&lt;&gt;"",IF(I22&gt;0,"◎ 一致（モデルも会期中欠品を検知）",IF(H22&gt;=0.7,"○ 整合（予測消化率70%超）","△ モデル未検知：現場報告を優先")),IF(I22&gt;0,"▲ モデルのみ検知：現場に在庫状況を確認","—"))</f>
        <v>—</v>
      </c>
      <c r="AA22" s="66" t="s">
        <v>521</v>
      </c>
    </row>
    <row r="23" customFormat="false" ht="37.3" hidden="false" customHeight="false" outlineLevel="0" collapsed="false">
      <c r="A23" s="32" t="n">
        <v>17</v>
      </c>
      <c r="B23" s="32" t="s">
        <v>308</v>
      </c>
      <c r="C23" s="33" t="s">
        <v>309</v>
      </c>
      <c r="D23" s="34" t="n">
        <v>600</v>
      </c>
      <c r="E23" s="35" t="n">
        <f aca="false">①札幌予測確定!E23</f>
        <v>53</v>
      </c>
      <c r="F23" s="35" t="n">
        <f aca="false">①札幌予測確定!P23</f>
        <v>93</v>
      </c>
      <c r="G23" s="35" t="n">
        <f aca="false">①札幌予測確定!S23</f>
        <v>100</v>
      </c>
      <c r="H23" s="37" t="n">
        <f aca="false">IFERROR(F23/G23,0)</f>
        <v>0.93</v>
      </c>
      <c r="I23" s="38" t="n">
        <f aca="false">F23-G23</f>
        <v>-7</v>
      </c>
      <c r="J23" s="39" t="str">
        <f aca="false">IF(I23&gt;0,"要 追加発注",IF(H23&gt;=0.9,"要注意(90%超)",IF(H23&gt;=0.5,"適正","在庫余剰")))</f>
        <v>要注意(90%超)</v>
      </c>
      <c r="K23" s="35" t="n">
        <f aca="false">IF(I23&gt;0,ROUNDUP(I23*(1+前提・入力!$B$35),0),0)</f>
        <v>0</v>
      </c>
      <c r="L23" s="35" t="n">
        <f aca="false">③石川以降予測!N46</f>
        <v>602</v>
      </c>
      <c r="M23" s="35" t="n">
        <f aca="false">③石川以降予測!S46</f>
        <v>7</v>
      </c>
      <c r="N23" s="35" t="n">
        <f aca="false">③石川以降予測!Q46</f>
        <v>2423</v>
      </c>
      <c r="O23" s="38" t="n">
        <f aca="false">L23-M23-N23</f>
        <v>-1828</v>
      </c>
      <c r="P23" s="39" t="str">
        <f aca="false">IF(O23&gt;0,"要 追加生産",IF(L23=0,"—","在庫で充足"))</f>
        <v>在庫で充足</v>
      </c>
      <c r="Q23" s="35" t="n">
        <f aca="false">③石川以降予測!X46</f>
        <v>0</v>
      </c>
      <c r="R23" s="35" t="n">
        <f aca="false">K23+Q23</f>
        <v>0</v>
      </c>
      <c r="S23" s="34" t="n">
        <f aca="false">R23*D23</f>
        <v>0</v>
      </c>
      <c r="T23" s="69" t="s">
        <v>518</v>
      </c>
      <c r="U23" s="32"/>
      <c r="V23" s="68" t="str">
        <f aca="false">IF(OR(U23="",U23="再生産不可"),"",U23-前提・入力!$B$39)</f>
        <v/>
      </c>
      <c r="W23" s="66" t="str">
        <f aca="false">IF(T23="—","—",IF(U23="再生産不可","×再生産不可",_xlfn.IFS(V23&lt;0,"★期限超過",V23&lt;=30,"★至急(30日以内)",V23&lt;=90,"要着手(90日以内)",TRUE(),"余裕あり")))</f>
        <v>—</v>
      </c>
      <c r="X23" s="32" t="str">
        <f aca="false">IF(Y23&lt;&gt;"",IF(FALSE(),"S:現場欠品(追納不可)","S:現場欠品"),IF(I23&gt;0,"A:会期中欠品",IF(O23&gt;1000,"B:大口",IF(O23&gt;0,"C:通常","D:不要"))))</f>
        <v>S:現場欠品</v>
      </c>
      <c r="Y23" s="66" t="s">
        <v>519</v>
      </c>
      <c r="Z23" s="69" t="str">
        <f aca="false">IF(Y23&lt;&gt;"",IF(I23&gt;0,"◎ 一致（モデルも会期中欠品を検知）",IF(H23&gt;=0.7,"○ 整合（予測消化率70%超）","△ モデル未検知：現場報告を優先")),IF(I23&gt;0,"▲ モデルのみ検知：現場に在庫状況を確認","—"))</f>
        <v>○ 整合（予測消化率70%超）</v>
      </c>
      <c r="AA23" s="66" t="s">
        <v>522</v>
      </c>
    </row>
    <row r="24" customFormat="false" ht="15" hidden="false" customHeight="false" outlineLevel="0" collapsed="false">
      <c r="A24" s="32" t="n">
        <v>18</v>
      </c>
      <c r="B24" s="32" t="s">
        <v>310</v>
      </c>
      <c r="C24" s="33" t="s">
        <v>311</v>
      </c>
      <c r="D24" s="34" t="n">
        <v>600</v>
      </c>
      <c r="E24" s="35" t="n">
        <f aca="false">①札幌予測確定!E24</f>
        <v>259</v>
      </c>
      <c r="F24" s="35" t="n">
        <f aca="false">①札幌予測確定!P24</f>
        <v>407</v>
      </c>
      <c r="G24" s="35" t="n">
        <f aca="false">①札幌予測確定!S24</f>
        <v>1500</v>
      </c>
      <c r="H24" s="37" t="n">
        <f aca="false">IFERROR(F24/G24,0)</f>
        <v>0.271333333333333</v>
      </c>
      <c r="I24" s="38" t="n">
        <f aca="false">F24-G24</f>
        <v>-1093</v>
      </c>
      <c r="J24" s="39" t="str">
        <f aca="false">IF(I24&gt;0,"要 追加発注",IF(H24&gt;=0.9,"要注意(90%超)",IF(H24&gt;=0.5,"適正","在庫余剰")))</f>
        <v>在庫余剰</v>
      </c>
      <c r="K24" s="35" t="n">
        <f aca="false">IF(I24&gt;0,ROUNDUP(I24*(1+前提・入力!$B$35),0),0)</f>
        <v>0</v>
      </c>
      <c r="L24" s="35" t="n">
        <f aca="false">③石川以降予測!N47</f>
        <v>3201</v>
      </c>
      <c r="M24" s="35" t="n">
        <f aca="false">③石川以降予測!S47</f>
        <v>1093</v>
      </c>
      <c r="N24" s="35" t="n">
        <f aca="false">③石川以降予測!Q47</f>
        <v>8225</v>
      </c>
      <c r="O24" s="38" t="n">
        <f aca="false">L24-M24-N24</f>
        <v>-6117</v>
      </c>
      <c r="P24" s="39" t="str">
        <f aca="false">IF(O24&gt;0,"要 追加生産",IF(L24=0,"—","在庫で充足"))</f>
        <v>在庫で充足</v>
      </c>
      <c r="Q24" s="35" t="n">
        <f aca="false">③石川以降予測!X47</f>
        <v>0</v>
      </c>
      <c r="R24" s="35" t="n">
        <f aca="false">K24+Q24</f>
        <v>0</v>
      </c>
      <c r="S24" s="34" t="n">
        <f aca="false">R24*D24</f>
        <v>0</v>
      </c>
      <c r="T24" s="69" t="s">
        <v>518</v>
      </c>
      <c r="U24" s="32"/>
      <c r="V24" s="68" t="str">
        <f aca="false">IF(OR(U24="",U24="再生産不可"),"",U24-前提・入力!$B$39)</f>
        <v/>
      </c>
      <c r="W24" s="66" t="str">
        <f aca="false">IF(T24="—","—",IF(U24="再生産不可","×再生産不可",_xlfn.IFS(V24&lt;0,"★期限超過",V24&lt;=30,"★至急(30日以内)",V24&lt;=90,"要着手(90日以内)",TRUE(),"余裕あり")))</f>
        <v>—</v>
      </c>
      <c r="X24" s="32" t="str">
        <f aca="false">IF(Y24&lt;&gt;"",IF(FALSE(),"S:現場欠品(追納不可)","S:現場欠品"),IF(I24&gt;0,"A:会期中欠品",IF(O24&gt;1000,"B:大口",IF(O24&gt;0,"C:通常","D:不要"))))</f>
        <v>D:不要</v>
      </c>
      <c r="Y24" s="69"/>
      <c r="Z24" s="69" t="str">
        <f aca="false">IF(Y24&lt;&gt;"",IF(I24&gt;0,"◎ 一致（モデルも会期中欠品を検知）",IF(H24&gt;=0.7,"○ 整合（予測消化率70%超）","△ モデル未検知：現場報告を優先")),IF(I24&gt;0,"▲ モデルのみ検知：現場に在庫状況を確認","—"))</f>
        <v>—</v>
      </c>
      <c r="AA24" s="66" t="s">
        <v>517</v>
      </c>
    </row>
    <row r="25" customFormat="false" ht="15" hidden="false" customHeight="false" outlineLevel="0" collapsed="false">
      <c r="A25" s="32" t="n">
        <v>19</v>
      </c>
      <c r="B25" s="32" t="s">
        <v>312</v>
      </c>
      <c r="C25" s="33" t="s">
        <v>313</v>
      </c>
      <c r="D25" s="34" t="n">
        <v>600</v>
      </c>
      <c r="E25" s="35" t="n">
        <f aca="false">①札幌予測確定!E25</f>
        <v>10</v>
      </c>
      <c r="F25" s="35" t="n">
        <f aca="false">①札幌予測確定!P25</f>
        <v>16</v>
      </c>
      <c r="G25" s="35" t="n">
        <f aca="false">①札幌予測確定!S25</f>
        <v>50</v>
      </c>
      <c r="H25" s="37" t="n">
        <f aca="false">IFERROR(F25/G25,0)</f>
        <v>0.32</v>
      </c>
      <c r="I25" s="38" t="n">
        <f aca="false">F25-G25</f>
        <v>-34</v>
      </c>
      <c r="J25" s="39" t="str">
        <f aca="false">IF(I25&gt;0,"要 追加発注",IF(H25&gt;=0.9,"要注意(90%超)",IF(H25&gt;=0.5,"適正","在庫余剰")))</f>
        <v>在庫余剰</v>
      </c>
      <c r="K25" s="35" t="n">
        <f aca="false">IF(I25&gt;0,ROUNDUP(I25*(1+前提・入力!$B$35),0),0)</f>
        <v>0</v>
      </c>
      <c r="L25" s="35" t="n">
        <f aca="false">③石川以降予測!N48</f>
        <v>104</v>
      </c>
      <c r="M25" s="35" t="n">
        <f aca="false">③石川以降予測!S48</f>
        <v>34</v>
      </c>
      <c r="N25" s="35" t="n">
        <f aca="false">③石川以降予測!Q48</f>
        <v>2190</v>
      </c>
      <c r="O25" s="38" t="n">
        <f aca="false">L25-M25-N25</f>
        <v>-2120</v>
      </c>
      <c r="P25" s="39" t="str">
        <f aca="false">IF(O25&gt;0,"要 追加生産",IF(L25=0,"—","在庫で充足"))</f>
        <v>在庫で充足</v>
      </c>
      <c r="Q25" s="35" t="n">
        <f aca="false">③石川以降予測!X48</f>
        <v>0</v>
      </c>
      <c r="R25" s="35" t="n">
        <f aca="false">K25+Q25</f>
        <v>0</v>
      </c>
      <c r="S25" s="34" t="n">
        <f aca="false">R25*D25</f>
        <v>0</v>
      </c>
      <c r="T25" s="69" t="s">
        <v>518</v>
      </c>
      <c r="U25" s="32"/>
      <c r="V25" s="68" t="str">
        <f aca="false">IF(OR(U25="",U25="再生産不可"),"",U25-前提・入力!$B$39)</f>
        <v/>
      </c>
      <c r="W25" s="66" t="str">
        <f aca="false">IF(T25="—","—",IF(U25="再生産不可","×再生産不可",_xlfn.IFS(V25&lt;0,"★期限超過",V25&lt;=30,"★至急(30日以内)",V25&lt;=90,"要着手(90日以内)",TRUE(),"余裕あり")))</f>
        <v>—</v>
      </c>
      <c r="X25" s="32" t="str">
        <f aca="false">IF(Y25&lt;&gt;"",IF(FALSE(),"S:現場欠品(追納不可)","S:現場欠品"),IF(I25&gt;0,"A:会期中欠品",IF(O25&gt;1000,"B:大口",IF(O25&gt;0,"C:通常","D:不要"))))</f>
        <v>D:不要</v>
      </c>
      <c r="Y25" s="69"/>
      <c r="Z25" s="69" t="str">
        <f aca="false">IF(Y25&lt;&gt;"",IF(I25&gt;0,"◎ 一致（モデルも会期中欠品を検知）",IF(H25&gt;=0.7,"○ 整合（予測消化率70%超）","△ モデル未検知：現場報告を優先")),IF(I25&gt;0,"▲ モデルのみ検知：現場に在庫状況を確認","—"))</f>
        <v>—</v>
      </c>
      <c r="AA25" s="66" t="s">
        <v>517</v>
      </c>
    </row>
    <row r="26" customFormat="false" ht="15" hidden="false" customHeight="false" outlineLevel="0" collapsed="false">
      <c r="A26" s="32" t="n">
        <v>20</v>
      </c>
      <c r="B26" s="32" t="s">
        <v>314</v>
      </c>
      <c r="C26" s="33" t="s">
        <v>315</v>
      </c>
      <c r="D26" s="34" t="n">
        <v>600</v>
      </c>
      <c r="E26" s="35" t="n">
        <f aca="false">①札幌予測確定!E26</f>
        <v>8</v>
      </c>
      <c r="F26" s="35" t="n">
        <f aca="false">①札幌予測確定!P26</f>
        <v>14</v>
      </c>
      <c r="G26" s="35" t="n">
        <f aca="false">①札幌予測確定!S26</f>
        <v>30</v>
      </c>
      <c r="H26" s="37" t="n">
        <f aca="false">IFERROR(F26/G26,0)</f>
        <v>0.466666666666667</v>
      </c>
      <c r="I26" s="38" t="n">
        <f aca="false">F26-G26</f>
        <v>-16</v>
      </c>
      <c r="J26" s="39" t="str">
        <f aca="false">IF(I26&gt;0,"要 追加発注",IF(H26&gt;=0.9,"要注意(90%超)",IF(H26&gt;=0.5,"適正","在庫余剰")))</f>
        <v>在庫余剰</v>
      </c>
      <c r="K26" s="35" t="n">
        <f aca="false">IF(I26&gt;0,ROUNDUP(I26*(1+前提・入力!$B$35),0),0)</f>
        <v>0</v>
      </c>
      <c r="L26" s="35" t="n">
        <f aca="false">③石川以降予測!N49</f>
        <v>94</v>
      </c>
      <c r="M26" s="35" t="n">
        <f aca="false">③石川以降予測!S49</f>
        <v>16</v>
      </c>
      <c r="N26" s="35" t="n">
        <f aca="false">③石川以降予測!Q49</f>
        <v>271</v>
      </c>
      <c r="O26" s="38" t="n">
        <f aca="false">L26-M26-N26</f>
        <v>-193</v>
      </c>
      <c r="P26" s="39" t="str">
        <f aca="false">IF(O26&gt;0,"要 追加生産",IF(L26=0,"—","在庫で充足"))</f>
        <v>在庫で充足</v>
      </c>
      <c r="Q26" s="35" t="n">
        <f aca="false">③石川以降予測!X49</f>
        <v>0</v>
      </c>
      <c r="R26" s="35" t="n">
        <f aca="false">K26+Q26</f>
        <v>0</v>
      </c>
      <c r="S26" s="34" t="n">
        <f aca="false">R26*D26</f>
        <v>0</v>
      </c>
      <c r="T26" s="69" t="s">
        <v>518</v>
      </c>
      <c r="U26" s="32"/>
      <c r="V26" s="68" t="str">
        <f aca="false">IF(OR(U26="",U26="再生産不可"),"",U26-前提・入力!$B$39)</f>
        <v/>
      </c>
      <c r="W26" s="66" t="str">
        <f aca="false">IF(T26="—","—",IF(U26="再生産不可","×再生産不可",_xlfn.IFS(V26&lt;0,"★期限超過",V26&lt;=30,"★至急(30日以内)",V26&lt;=90,"要着手(90日以内)",TRUE(),"余裕あり")))</f>
        <v>—</v>
      </c>
      <c r="X26" s="32" t="str">
        <f aca="false">IF(Y26&lt;&gt;"",IF(FALSE(),"S:現場欠品(追納不可)","S:現場欠品"),IF(I26&gt;0,"A:会期中欠品",IF(O26&gt;1000,"B:大口",IF(O26&gt;0,"C:通常","D:不要"))))</f>
        <v>D:不要</v>
      </c>
      <c r="Y26" s="69"/>
      <c r="Z26" s="69" t="str">
        <f aca="false">IF(Y26&lt;&gt;"",IF(I26&gt;0,"◎ 一致（モデルも会期中欠品を検知）",IF(H26&gt;=0.7,"○ 整合（予測消化率70%超）","△ モデル未検知：現場報告を優先")),IF(I26&gt;0,"▲ モデルのみ検知：現場に在庫状況を確認","—"))</f>
        <v>—</v>
      </c>
      <c r="AA26" s="66" t="s">
        <v>517</v>
      </c>
    </row>
    <row r="27" customFormat="false" ht="37.3" hidden="false" customHeight="false" outlineLevel="0" collapsed="false">
      <c r="A27" s="32" t="n">
        <v>21</v>
      </c>
      <c r="B27" s="32" t="s">
        <v>316</v>
      </c>
      <c r="C27" s="33" t="s">
        <v>317</v>
      </c>
      <c r="D27" s="34" t="n">
        <v>600</v>
      </c>
      <c r="E27" s="35" t="n">
        <f aca="false">①札幌予測確定!E27</f>
        <v>50</v>
      </c>
      <c r="F27" s="35" t="n">
        <f aca="false">①札幌予測確定!P27</f>
        <v>90</v>
      </c>
      <c r="G27" s="35" t="n">
        <f aca="false">①札幌予測確定!S27</f>
        <v>100</v>
      </c>
      <c r="H27" s="37" t="n">
        <f aca="false">IFERROR(F27/G27,0)</f>
        <v>0.9</v>
      </c>
      <c r="I27" s="38" t="n">
        <f aca="false">F27-G27</f>
        <v>-10</v>
      </c>
      <c r="J27" s="39" t="str">
        <f aca="false">IF(I27&gt;0,"要 追加発注",IF(H27&gt;=0.9,"要注意(90%超)",IF(H27&gt;=0.5,"適正","在庫余剰")))</f>
        <v>要注意(90%超)</v>
      </c>
      <c r="K27" s="35" t="n">
        <f aca="false">IF(I27&gt;0,ROUNDUP(I27*(1+前提・入力!$B$35),0),0)</f>
        <v>0</v>
      </c>
      <c r="L27" s="35" t="n">
        <f aca="false">③石川以降予測!N50</f>
        <v>583</v>
      </c>
      <c r="M27" s="35" t="n">
        <f aca="false">③石川以降予測!S50</f>
        <v>10</v>
      </c>
      <c r="N27" s="35" t="n">
        <f aca="false">③石川以降予測!Q50</f>
        <v>208</v>
      </c>
      <c r="O27" s="38" t="n">
        <f aca="false">L27-M27-N27</f>
        <v>365</v>
      </c>
      <c r="P27" s="39" t="str">
        <f aca="false">IF(O27&gt;0,"要 追加生産",IF(L27=0,"—","在庫で充足"))</f>
        <v>要 追加生産</v>
      </c>
      <c r="Q27" s="35" t="n">
        <f aca="false">③石川以降予測!X50</f>
        <v>402</v>
      </c>
      <c r="R27" s="35" t="n">
        <f aca="false">K27+Q27</f>
        <v>402</v>
      </c>
      <c r="S27" s="34" t="n">
        <f aca="false">R27*D27</f>
        <v>241200</v>
      </c>
      <c r="T27" s="66" t="s">
        <v>374</v>
      </c>
      <c r="U27" s="67" t="n">
        <f aca="false">DATE(2026,12,16)-30-前提・入力!$B$38</f>
        <v>46328</v>
      </c>
      <c r="V27" s="68" t="n">
        <f aca="false">IF(OR(U27="",U27="再生産不可"),"",U27-前提・入力!$B$39)</f>
        <v>95</v>
      </c>
      <c r="W27" s="66" t="str">
        <f aca="false">IF(T27="—","—",IF(U27="再生産不可","×再生産不可",_xlfn.IFS(V27&lt;0,"★期限超過",V27&lt;=30,"★至急(30日以内)",V27&lt;=90,"要着手(90日以内)",TRUE(),"余裕あり")))</f>
        <v>余裕あり</v>
      </c>
      <c r="X27" s="32" t="str">
        <f aca="false">IF(Y27&lt;&gt;"",IF(FALSE(),"S:現場欠品(追納不可)","S:現場欠品"),IF(I27&gt;0,"A:会期中欠品",IF(O27&gt;1000,"B:大口",IF(O27&gt;0,"C:通常","D:不要"))))</f>
        <v>S:現場欠品</v>
      </c>
      <c r="Y27" s="66" t="s">
        <v>519</v>
      </c>
      <c r="Z27" s="69" t="str">
        <f aca="false">IF(Y27&lt;&gt;"",IF(I27&gt;0,"◎ 一致（モデルも会期中欠品を検知）",IF(H27&gt;=0.7,"○ 整合（予測消化率70%超）","△ モデル未検知：現場報告を優先")),IF(I27&gt;0,"▲ モデルのみ検知：現場に在庫状況を確認","—"))</f>
        <v>○ 整合（予測消化率70%超）</v>
      </c>
      <c r="AA27" s="66" t="s">
        <v>523</v>
      </c>
    </row>
    <row r="28" customFormat="false" ht="37.3" hidden="false" customHeight="false" outlineLevel="0" collapsed="false">
      <c r="A28" s="32" t="n">
        <v>22</v>
      </c>
      <c r="B28" s="32" t="s">
        <v>318</v>
      </c>
      <c r="C28" s="33" t="s">
        <v>319</v>
      </c>
      <c r="D28" s="34" t="n">
        <v>600</v>
      </c>
      <c r="E28" s="35" t="n">
        <f aca="false">①札幌予測確定!E28</f>
        <v>23</v>
      </c>
      <c r="F28" s="35" t="n">
        <f aca="false">①札幌予測確定!P28</f>
        <v>52</v>
      </c>
      <c r="G28" s="35" t="n">
        <f aca="false">①札幌予測確定!S28</f>
        <v>50</v>
      </c>
      <c r="H28" s="37" t="n">
        <f aca="false">IFERROR(F28/G28,0)</f>
        <v>1.04</v>
      </c>
      <c r="I28" s="38" t="n">
        <f aca="false">F28-G28</f>
        <v>2</v>
      </c>
      <c r="J28" s="39" t="str">
        <f aca="false">IF(I28&gt;0,"要 追加発注",IF(H28&gt;=0.9,"要注意(90%超)",IF(H28&gt;=0.5,"適正","在庫余剰")))</f>
        <v>要 追加発注</v>
      </c>
      <c r="K28" s="35" t="n">
        <f aca="false">IF(I28&gt;0,ROUNDUP(I28*(1+前提・入力!$B$35),0),0)</f>
        <v>3</v>
      </c>
      <c r="L28" s="35" t="n">
        <f aca="false">③石川以降予測!N51</f>
        <v>353</v>
      </c>
      <c r="M28" s="35" t="n">
        <f aca="false">③石川以降予測!S51</f>
        <v>0</v>
      </c>
      <c r="N28" s="35" t="n">
        <f aca="false">③石川以降予測!Q51</f>
        <v>1281</v>
      </c>
      <c r="O28" s="38" t="n">
        <f aca="false">L28-M28-N28</f>
        <v>-928</v>
      </c>
      <c r="P28" s="39" t="str">
        <f aca="false">IF(O28&gt;0,"要 追加生産",IF(L28=0,"—","在庫で充足"))</f>
        <v>在庫で充足</v>
      </c>
      <c r="Q28" s="35" t="n">
        <f aca="false">③石川以降予測!X51</f>
        <v>0</v>
      </c>
      <c r="R28" s="35" t="n">
        <f aca="false">K28+Q28</f>
        <v>3</v>
      </c>
      <c r="S28" s="34" t="n">
        <f aca="false">R28*D28</f>
        <v>1800</v>
      </c>
      <c r="T28" s="69" t="s">
        <v>518</v>
      </c>
      <c r="U28" s="32"/>
      <c r="V28" s="68" t="str">
        <f aca="false">IF(OR(U28="",U28="再生産不可"),"",U28-前提・入力!$B$39)</f>
        <v/>
      </c>
      <c r="W28" s="66" t="str">
        <f aca="false">IF(T28="—","—",IF(U28="再生産不可","×再生産不可",_xlfn.IFS(V28&lt;0,"★期限超過",V28&lt;=30,"★至急(30日以内)",V28&lt;=90,"要着手(90日以内)",TRUE(),"余裕あり")))</f>
        <v>—</v>
      </c>
      <c r="X28" s="32" t="str">
        <f aca="false">IF(Y28&lt;&gt;"",IF(FALSE(),"S:現場欠品(追納不可)","S:現場欠品"),IF(I28&gt;0,"A:会期中欠品",IF(O28&gt;1000,"B:大口",IF(O28&gt;0,"C:通常","D:不要"))))</f>
        <v>S:現場欠品</v>
      </c>
      <c r="Y28" s="66" t="s">
        <v>519</v>
      </c>
      <c r="Z28" s="69" t="str">
        <f aca="false">IF(Y28&lt;&gt;"",IF(I28&gt;0,"◎ 一致（モデルも会期中欠品を検知）",IF(H28&gt;=0.7,"○ 整合（予測消化率70%超）","△ モデル未検知：現場報告を優先")),IF(I28&gt;0,"▲ モデルのみ検知：現場に在庫状況を確認","—"))</f>
        <v>◎ 一致（モデルも会期中欠品を検知）</v>
      </c>
      <c r="AA28" s="66" t="s">
        <v>524</v>
      </c>
    </row>
    <row r="29" customFormat="false" ht="15" hidden="false" customHeight="false" outlineLevel="0" collapsed="false">
      <c r="A29" s="32" t="n">
        <v>23</v>
      </c>
      <c r="B29" s="32" t="s">
        <v>320</v>
      </c>
      <c r="C29" s="33" t="s">
        <v>321</v>
      </c>
      <c r="D29" s="34" t="n">
        <v>600</v>
      </c>
      <c r="E29" s="35" t="n">
        <f aca="false">①札幌予測確定!E29</f>
        <v>1220</v>
      </c>
      <c r="F29" s="35" t="n">
        <f aca="false">①札幌予測確定!P29</f>
        <v>2100</v>
      </c>
      <c r="G29" s="35" t="n">
        <f aca="false">①札幌予測確定!S29</f>
        <v>11000</v>
      </c>
      <c r="H29" s="37" t="n">
        <f aca="false">IFERROR(F29/G29,0)</f>
        <v>0.190909090909091</v>
      </c>
      <c r="I29" s="38" t="n">
        <f aca="false">F29-G29</f>
        <v>-8900</v>
      </c>
      <c r="J29" s="39" t="str">
        <f aca="false">IF(I29&gt;0,"要 追加発注",IF(H29&gt;=0.9,"要注意(90%超)",IF(H29&gt;=0.5,"適正","在庫余剰")))</f>
        <v>在庫余剰</v>
      </c>
      <c r="K29" s="35" t="n">
        <f aca="false">IF(I29&gt;0,ROUNDUP(I29*(1+前提・入力!$B$35),0),0)</f>
        <v>0</v>
      </c>
      <c r="L29" s="35" t="n">
        <f aca="false">③石川以降予測!N52</f>
        <v>17991</v>
      </c>
      <c r="M29" s="35" t="n">
        <f aca="false">③石川以降予測!S52</f>
        <v>8900</v>
      </c>
      <c r="N29" s="35" t="n">
        <f aca="false">③石川以降予測!Q52</f>
        <v>40818</v>
      </c>
      <c r="O29" s="38" t="n">
        <f aca="false">L29-M29-N29</f>
        <v>-31727</v>
      </c>
      <c r="P29" s="39" t="str">
        <f aca="false">IF(O29&gt;0,"要 追加生産",IF(L29=0,"—","在庫で充足"))</f>
        <v>在庫で充足</v>
      </c>
      <c r="Q29" s="35" t="n">
        <f aca="false">③石川以降予測!X52</f>
        <v>0</v>
      </c>
      <c r="R29" s="35" t="n">
        <f aca="false">K29+Q29</f>
        <v>0</v>
      </c>
      <c r="S29" s="34" t="n">
        <f aca="false">R29*D29</f>
        <v>0</v>
      </c>
      <c r="T29" s="69" t="s">
        <v>518</v>
      </c>
      <c r="U29" s="32"/>
      <c r="V29" s="68" t="str">
        <f aca="false">IF(OR(U29="",U29="再生産不可"),"",U29-前提・入力!$B$39)</f>
        <v/>
      </c>
      <c r="W29" s="66" t="str">
        <f aca="false">IF(T29="—","—",IF(U29="再生産不可","×再生産不可",_xlfn.IFS(V29&lt;0,"★期限超過",V29&lt;=30,"★至急(30日以内)",V29&lt;=90,"要着手(90日以内)",TRUE(),"余裕あり")))</f>
        <v>—</v>
      </c>
      <c r="X29" s="32" t="str">
        <f aca="false">IF(Y29&lt;&gt;"",IF(FALSE(),"S:現場欠品(追納不可)","S:現場欠品"),IF(I29&gt;0,"A:会期中欠品",IF(O29&gt;1000,"B:大口",IF(O29&gt;0,"C:通常","D:不要"))))</f>
        <v>D:不要</v>
      </c>
      <c r="Y29" s="69"/>
      <c r="Z29" s="69" t="str">
        <f aca="false">IF(Y29&lt;&gt;"",IF(I29&gt;0,"◎ 一致（モデルも会期中欠品を検知）",IF(H29&gt;=0.7,"○ 整合（予測消化率70%超）","△ モデル未検知：現場報告を優先")),IF(I29&gt;0,"▲ モデルのみ検知：現場に在庫状況を確認","—"))</f>
        <v>—</v>
      </c>
      <c r="AA29" s="66"/>
    </row>
    <row r="30" customFormat="false" ht="15" hidden="false" customHeight="false" outlineLevel="0" collapsed="false">
      <c r="A30" s="32" t="n">
        <v>24</v>
      </c>
      <c r="B30" s="32" t="s">
        <v>322</v>
      </c>
      <c r="C30" s="33" t="s">
        <v>323</v>
      </c>
      <c r="D30" s="34" t="n">
        <v>600</v>
      </c>
      <c r="E30" s="35" t="n">
        <f aca="false">①札幌予測確定!E30</f>
        <v>682</v>
      </c>
      <c r="F30" s="35" t="n">
        <f aca="false">①札幌予測確定!P30</f>
        <v>1213</v>
      </c>
      <c r="G30" s="35" t="n">
        <f aca="false">①札幌予測確定!S30</f>
        <v>8000</v>
      </c>
      <c r="H30" s="37" t="n">
        <f aca="false">IFERROR(F30/G30,0)</f>
        <v>0.151625</v>
      </c>
      <c r="I30" s="38" t="n">
        <f aca="false">F30-G30</f>
        <v>-6787</v>
      </c>
      <c r="J30" s="39" t="str">
        <f aca="false">IF(I30&gt;0,"要 追加発注",IF(H30&gt;=0.9,"要注意(90%超)",IF(H30&gt;=0.5,"適正","在庫余剰")))</f>
        <v>在庫余剰</v>
      </c>
      <c r="K30" s="35" t="n">
        <f aca="false">IF(I30&gt;0,ROUNDUP(I30*(1+前提・入力!$B$35),0),0)</f>
        <v>0</v>
      </c>
      <c r="L30" s="35" t="n">
        <f aca="false">③石川以降予測!N53</f>
        <v>10154</v>
      </c>
      <c r="M30" s="35" t="n">
        <f aca="false">③石川以降予測!S53</f>
        <v>6787</v>
      </c>
      <c r="N30" s="35" t="n">
        <f aca="false">③石川以降予測!Q53</f>
        <v>24204</v>
      </c>
      <c r="O30" s="38" t="n">
        <f aca="false">L30-M30-N30</f>
        <v>-20837</v>
      </c>
      <c r="P30" s="39" t="str">
        <f aca="false">IF(O30&gt;0,"要 追加生産",IF(L30=0,"—","在庫で充足"))</f>
        <v>在庫で充足</v>
      </c>
      <c r="Q30" s="35" t="n">
        <f aca="false">③石川以降予測!X53</f>
        <v>0</v>
      </c>
      <c r="R30" s="35" t="n">
        <f aca="false">K30+Q30</f>
        <v>0</v>
      </c>
      <c r="S30" s="34" t="n">
        <f aca="false">R30*D30</f>
        <v>0</v>
      </c>
      <c r="T30" s="69" t="s">
        <v>518</v>
      </c>
      <c r="U30" s="32"/>
      <c r="V30" s="68" t="str">
        <f aca="false">IF(OR(U30="",U30="再生産不可"),"",U30-前提・入力!$B$39)</f>
        <v/>
      </c>
      <c r="W30" s="66" t="str">
        <f aca="false">IF(T30="—","—",IF(U30="再生産不可","×再生産不可",_xlfn.IFS(V30&lt;0,"★期限超過",V30&lt;=30,"★至急(30日以内)",V30&lt;=90,"要着手(90日以内)",TRUE(),"余裕あり")))</f>
        <v>—</v>
      </c>
      <c r="X30" s="32" t="str">
        <f aca="false">IF(Y30&lt;&gt;"",IF(FALSE(),"S:現場欠品(追納不可)","S:現場欠品"),IF(I30&gt;0,"A:会期中欠品",IF(O30&gt;1000,"B:大口",IF(O30&gt;0,"C:通常","D:不要"))))</f>
        <v>D:不要</v>
      </c>
      <c r="Y30" s="69"/>
      <c r="Z30" s="69" t="str">
        <f aca="false">IF(Y30&lt;&gt;"",IF(I30&gt;0,"◎ 一致（モデルも会期中欠品を検知）",IF(H30&gt;=0.7,"○ 整合（予測消化率70%超）","△ モデル未検知：現場報告を優先")),IF(I30&gt;0,"▲ モデルのみ検知：現場に在庫状況を確認","—"))</f>
        <v>—</v>
      </c>
      <c r="AA30" s="66"/>
    </row>
    <row r="31" customFormat="false" ht="15" hidden="false" customHeight="false" outlineLevel="0" collapsed="false">
      <c r="A31" s="32" t="n">
        <v>25</v>
      </c>
      <c r="B31" s="32" t="s">
        <v>324</v>
      </c>
      <c r="C31" s="33" t="s">
        <v>325</v>
      </c>
      <c r="D31" s="34" t="n">
        <v>1500</v>
      </c>
      <c r="E31" s="35" t="n">
        <f aca="false">①札幌予測確定!E31</f>
        <v>29</v>
      </c>
      <c r="F31" s="35" t="n">
        <f aca="false">①札幌予測確定!P31</f>
        <v>54</v>
      </c>
      <c r="G31" s="35" t="n">
        <f aca="false">①札幌予測確定!S31</f>
        <v>200</v>
      </c>
      <c r="H31" s="37" t="n">
        <f aca="false">IFERROR(F31/G31,0)</f>
        <v>0.27</v>
      </c>
      <c r="I31" s="38" t="n">
        <f aca="false">F31-G31</f>
        <v>-146</v>
      </c>
      <c r="J31" s="39" t="str">
        <f aca="false">IF(I31&gt;0,"要 追加発注",IF(H31&gt;=0.9,"要注意(90%超)",IF(H31&gt;=0.5,"適正","在庫余剰")))</f>
        <v>在庫余剰</v>
      </c>
      <c r="K31" s="35" t="n">
        <f aca="false">IF(I31&gt;0,ROUNDUP(I31*(1+前提・入力!$B$35),0),0)</f>
        <v>0</v>
      </c>
      <c r="L31" s="35" t="n">
        <f aca="false">③石川以降予測!N54</f>
        <v>409</v>
      </c>
      <c r="M31" s="35" t="n">
        <f aca="false">③石川以降予測!S54</f>
        <v>146</v>
      </c>
      <c r="N31" s="35" t="n">
        <f aca="false">③石川以降予測!Q54</f>
        <v>3305</v>
      </c>
      <c r="O31" s="38" t="n">
        <f aca="false">L31-M31-N31</f>
        <v>-3042</v>
      </c>
      <c r="P31" s="39" t="str">
        <f aca="false">IF(O31&gt;0,"要 追加生産",IF(L31=0,"—","在庫で充足"))</f>
        <v>在庫で充足</v>
      </c>
      <c r="Q31" s="35" t="n">
        <f aca="false">③石川以降予測!X54</f>
        <v>0</v>
      </c>
      <c r="R31" s="35" t="n">
        <f aca="false">K31+Q31</f>
        <v>0</v>
      </c>
      <c r="S31" s="34" t="n">
        <f aca="false">R31*D31</f>
        <v>0</v>
      </c>
      <c r="T31" s="69" t="s">
        <v>518</v>
      </c>
      <c r="U31" s="32"/>
      <c r="V31" s="68" t="str">
        <f aca="false">IF(OR(U31="",U31="再生産不可"),"",U31-前提・入力!$B$39)</f>
        <v/>
      </c>
      <c r="W31" s="66" t="str">
        <f aca="false">IF(T31="—","—",IF(U31="再生産不可","×再生産不可",_xlfn.IFS(V31&lt;0,"★期限超過",V31&lt;=30,"★至急(30日以内)",V31&lt;=90,"要着手(90日以内)",TRUE(),"余裕あり")))</f>
        <v>—</v>
      </c>
      <c r="X31" s="32" t="str">
        <f aca="false">IF(Y31&lt;&gt;"",IF(FALSE(),"S:現場欠品(追納不可)","S:現場欠品"),IF(I31&gt;0,"A:会期中欠品",IF(O31&gt;1000,"B:大口",IF(O31&gt;0,"C:通常","D:不要"))))</f>
        <v>D:不要</v>
      </c>
      <c r="Y31" s="69"/>
      <c r="Z31" s="69" t="str">
        <f aca="false">IF(Y31&lt;&gt;"",IF(I31&gt;0,"◎ 一致（モデルも会期中欠品を検知）",IF(H31&gt;=0.7,"○ 整合（予測消化率70%超）","△ モデル未検知：現場報告を優先")),IF(I31&gt;0,"▲ モデルのみ検知：現場に在庫状況を確認","—"))</f>
        <v>—</v>
      </c>
      <c r="AA31" s="66" t="s">
        <v>517</v>
      </c>
    </row>
    <row r="32" customFormat="false" ht="37.3" hidden="false" customHeight="false" outlineLevel="0" collapsed="false">
      <c r="A32" s="32" t="n">
        <v>26</v>
      </c>
      <c r="B32" s="32" t="s">
        <v>326</v>
      </c>
      <c r="C32" s="33" t="s">
        <v>327</v>
      </c>
      <c r="D32" s="34" t="n">
        <v>2200</v>
      </c>
      <c r="E32" s="35" t="n">
        <f aca="false">①札幌予測確定!E32</f>
        <v>100</v>
      </c>
      <c r="F32" s="35" t="n">
        <f aca="false">①札幌予測確定!P32</f>
        <v>156</v>
      </c>
      <c r="G32" s="35" t="n">
        <f aca="false">①札幌予測確定!S32</f>
        <v>200</v>
      </c>
      <c r="H32" s="37" t="n">
        <f aca="false">IFERROR(F32/G32,0)</f>
        <v>0.78</v>
      </c>
      <c r="I32" s="38" t="n">
        <f aca="false">F32-G32</f>
        <v>-44</v>
      </c>
      <c r="J32" s="39" t="str">
        <f aca="false">IF(I32&gt;0,"要 追加発注",IF(H32&gt;=0.9,"要注意(90%超)",IF(H32&gt;=0.5,"適正","在庫余剰")))</f>
        <v>適正</v>
      </c>
      <c r="K32" s="35" t="n">
        <f aca="false">IF(I32&gt;0,ROUNDUP(I32*(1+前提・入力!$B$35),0),0)</f>
        <v>0</v>
      </c>
      <c r="L32" s="35" t="n">
        <f aca="false">③石川以降予測!N55</f>
        <v>1270</v>
      </c>
      <c r="M32" s="35" t="n">
        <f aca="false">③石川以降予測!S55</f>
        <v>44</v>
      </c>
      <c r="N32" s="35" t="n">
        <f aca="false">③石川以降予測!Q55</f>
        <v>297</v>
      </c>
      <c r="O32" s="38" t="n">
        <f aca="false">L32-M32-N32</f>
        <v>929</v>
      </c>
      <c r="P32" s="39" t="str">
        <f aca="false">IF(O32&gt;0,"要 追加生産",IF(L32=0,"—","在庫で充足"))</f>
        <v>要 追加生産</v>
      </c>
      <c r="Q32" s="35" t="n">
        <f aca="false">③石川以降予測!X55</f>
        <v>1022</v>
      </c>
      <c r="R32" s="35" t="n">
        <f aca="false">K32+Q32</f>
        <v>1022</v>
      </c>
      <c r="S32" s="34" t="n">
        <f aca="false">R32*D32</f>
        <v>2248400</v>
      </c>
      <c r="T32" s="66" t="s">
        <v>374</v>
      </c>
      <c r="U32" s="67" t="n">
        <f aca="false">DATE(2026,12,16)-75-前提・入力!$B$38</f>
        <v>46283</v>
      </c>
      <c r="V32" s="68" t="n">
        <f aca="false">IF(OR(U32="",U32="再生産不可"),"",U32-前提・入力!$B$39)</f>
        <v>50</v>
      </c>
      <c r="W32" s="66" t="str">
        <f aca="false">IF(T32="—","—",IF(U32="再生産不可","×再生産不可",_xlfn.IFS(V32&lt;0,"★期限超過",V32&lt;=30,"★至急(30日以内)",V32&lt;=90,"要着手(90日以内)",TRUE(),"余裕あり")))</f>
        <v>要着手(90日以内)</v>
      </c>
      <c r="X32" s="32" t="str">
        <f aca="false">IF(Y32&lt;&gt;"",IF(FALSE(),"S:現場欠品(追納不可)","S:現場欠品"),IF(I32&gt;0,"A:会期中欠品",IF(O32&gt;1000,"B:大口",IF(O32&gt;0,"C:通常","D:不要"))))</f>
        <v>S:現場欠品</v>
      </c>
      <c r="Y32" s="66" t="s">
        <v>519</v>
      </c>
      <c r="Z32" s="69" t="str">
        <f aca="false">IF(Y32&lt;&gt;"",IF(I32&gt;0,"◎ 一致（モデルも会期中欠品を検知）",IF(H32&gt;=0.7,"○ 整合（予測消化率70%超）","△ モデル未検知：現場報告を優先")),IF(I32&gt;0,"▲ モデルのみ検知：現場に在庫状況を確認","—"))</f>
        <v>○ 整合（予測消化率70%超）</v>
      </c>
      <c r="AA32" s="66" t="s">
        <v>525</v>
      </c>
    </row>
    <row r="33" customFormat="false" ht="15" hidden="false" customHeight="false" outlineLevel="0" collapsed="false">
      <c r="A33" s="32" t="n">
        <v>27</v>
      </c>
      <c r="B33" s="32" t="s">
        <v>328</v>
      </c>
      <c r="C33" s="33" t="s">
        <v>329</v>
      </c>
      <c r="D33" s="34" t="n">
        <v>1100</v>
      </c>
      <c r="E33" s="35" t="n">
        <f aca="false">①札幌予測確定!E33</f>
        <v>20</v>
      </c>
      <c r="F33" s="35" t="n">
        <f aca="false">①札幌予測確定!P33</f>
        <v>40</v>
      </c>
      <c r="G33" s="35" t="n">
        <f aca="false">①札幌予測確定!S33</f>
        <v>70</v>
      </c>
      <c r="H33" s="37" t="n">
        <f aca="false">IFERROR(F33/G33,0)</f>
        <v>0.571428571428571</v>
      </c>
      <c r="I33" s="38" t="n">
        <f aca="false">F33-G33</f>
        <v>-30</v>
      </c>
      <c r="J33" s="39" t="str">
        <f aca="false">IF(I33&gt;0,"要 追加発注",IF(H33&gt;=0.9,"要注意(90%超)",IF(H33&gt;=0.5,"適正","在庫余剰")))</f>
        <v>適正</v>
      </c>
      <c r="K33" s="35" t="n">
        <f aca="false">IF(I33&gt;0,ROUNDUP(I33*(1+前提・入力!$B$35),0),0)</f>
        <v>0</v>
      </c>
      <c r="L33" s="35" t="n">
        <f aca="false">③石川以降予測!N56</f>
        <v>279</v>
      </c>
      <c r="M33" s="35" t="n">
        <f aca="false">③石川以降予測!S56</f>
        <v>30</v>
      </c>
      <c r="N33" s="35" t="n">
        <f aca="false">③石川以降予測!Q56</f>
        <v>1128</v>
      </c>
      <c r="O33" s="38" t="n">
        <f aca="false">L33-M33-N33</f>
        <v>-879</v>
      </c>
      <c r="P33" s="39" t="str">
        <f aca="false">IF(O33&gt;0,"要 追加生産",IF(L33=0,"—","在庫で充足"))</f>
        <v>在庫で充足</v>
      </c>
      <c r="Q33" s="35" t="n">
        <f aca="false">③石川以降予測!X56</f>
        <v>0</v>
      </c>
      <c r="R33" s="35" t="n">
        <f aca="false">K33+Q33</f>
        <v>0</v>
      </c>
      <c r="S33" s="34" t="n">
        <f aca="false">R33*D33</f>
        <v>0</v>
      </c>
      <c r="T33" s="69" t="s">
        <v>518</v>
      </c>
      <c r="U33" s="32"/>
      <c r="V33" s="68" t="str">
        <f aca="false">IF(OR(U33="",U33="再生産不可"),"",U33-前提・入力!$B$39)</f>
        <v/>
      </c>
      <c r="W33" s="66" t="str">
        <f aca="false">IF(T33="—","—",IF(U33="再生産不可","×再生産不可",_xlfn.IFS(V33&lt;0,"★期限超過",V33&lt;=30,"★至急(30日以内)",V33&lt;=90,"要着手(90日以内)",TRUE(),"余裕あり")))</f>
        <v>—</v>
      </c>
      <c r="X33" s="32" t="str">
        <f aca="false">IF(Y33&lt;&gt;"",IF(FALSE(),"S:現場欠品(追納不可)","S:現場欠品"),IF(I33&gt;0,"A:会期中欠品",IF(O33&gt;1000,"B:大口",IF(O33&gt;0,"C:通常","D:不要"))))</f>
        <v>D:不要</v>
      </c>
      <c r="Y33" s="69"/>
      <c r="Z33" s="69" t="str">
        <f aca="false">IF(Y33&lt;&gt;"",IF(I33&gt;0,"◎ 一致（モデルも会期中欠品を検知）",IF(H33&gt;=0.7,"○ 整合（予測消化率70%超）","△ モデル未検知：現場報告を優先")),IF(I33&gt;0,"▲ モデルのみ検知：現場に在庫状況を確認","—"))</f>
        <v>—</v>
      </c>
      <c r="AA33" s="66" t="s">
        <v>517</v>
      </c>
    </row>
    <row r="34" customFormat="false" ht="49.25" hidden="false" customHeight="false" outlineLevel="0" collapsed="false">
      <c r="A34" s="32" t="n">
        <v>28</v>
      </c>
      <c r="B34" s="32" t="s">
        <v>330</v>
      </c>
      <c r="C34" s="33" t="s">
        <v>331</v>
      </c>
      <c r="D34" s="34" t="n">
        <v>1800</v>
      </c>
      <c r="E34" s="35" t="n">
        <f aca="false">①札幌予測確定!E34</f>
        <v>184</v>
      </c>
      <c r="F34" s="35" t="n">
        <f aca="false">①札幌予測確定!P34</f>
        <v>216</v>
      </c>
      <c r="G34" s="35" t="n">
        <f aca="false">①札幌予測確定!S34</f>
        <v>300</v>
      </c>
      <c r="H34" s="37" t="n">
        <f aca="false">IFERROR(F34/G34,0)</f>
        <v>0.72</v>
      </c>
      <c r="I34" s="38" t="n">
        <f aca="false">F34-G34</f>
        <v>-84</v>
      </c>
      <c r="J34" s="39" t="str">
        <f aca="false">IF(I34&gt;0,"要 追加発注",IF(H34&gt;=0.9,"要注意(90%超)",IF(H34&gt;=0.5,"適正","在庫余剰")))</f>
        <v>適正</v>
      </c>
      <c r="K34" s="35" t="n">
        <f aca="false">IF(I34&gt;0,ROUNDUP(I34*(1+前提・入力!$B$35),0),0)</f>
        <v>0</v>
      </c>
      <c r="L34" s="35" t="n">
        <f aca="false">③石川以降予測!N57</f>
        <v>1267</v>
      </c>
      <c r="M34" s="35" t="n">
        <f aca="false">③石川以降予測!S57</f>
        <v>84</v>
      </c>
      <c r="N34" s="35" t="n">
        <f aca="false">③石川以降予測!Q57</f>
        <v>160</v>
      </c>
      <c r="O34" s="38" t="n">
        <f aca="false">L34-M34-N34</f>
        <v>1023</v>
      </c>
      <c r="P34" s="39" t="str">
        <f aca="false">IF(O34&gt;0,"要 追加生産",IF(L34=0,"—","在庫で充足"))</f>
        <v>要 追加生産</v>
      </c>
      <c r="Q34" s="35" t="n">
        <f aca="false">③石川以降予測!X57</f>
        <v>0</v>
      </c>
      <c r="R34" s="35" t="n">
        <f aca="false">K34+Q34</f>
        <v>0</v>
      </c>
      <c r="S34" s="34" t="n">
        <f aca="false">R34*D34</f>
        <v>0</v>
      </c>
      <c r="T34" s="69" t="s">
        <v>518</v>
      </c>
      <c r="U34" s="32"/>
      <c r="V34" s="68" t="str">
        <f aca="false">IF(OR(U34="",U34="再生産不可"),"",U34-前提・入力!$B$39)</f>
        <v/>
      </c>
      <c r="W34" s="66" t="s">
        <v>526</v>
      </c>
      <c r="X34" s="32" t="str">
        <f aca="false">IF(Y34&lt;&gt;"",IF(FALSE(),"S:現場欠品(追納不可)","S:現場欠品"),IF(I34&gt;0,"A:会期中欠品",IF(O34&gt;1000,"B:大口",IF(O34&gt;0,"C:通常","D:不要"))))</f>
        <v>S:現場欠品</v>
      </c>
      <c r="Y34" s="66" t="s">
        <v>519</v>
      </c>
      <c r="Z34" s="69" t="str">
        <f aca="false">IF(Y34&lt;&gt;"",IF(I34&gt;0,"◎ 一致（モデルも会期中欠品を検知）",IF(H34&gt;=0.7,"○ 整合（予測消化率70%超）","△ モデル未検知：現場報告を優先")),IF(I34&gt;0,"▲ モデルのみ検知：現場に在庫状況を確認","—"))</f>
        <v>○ 整合（予測消化率70%超）</v>
      </c>
      <c r="AA34" s="66" t="s">
        <v>527</v>
      </c>
    </row>
    <row r="35" customFormat="false" ht="49.25" hidden="false" customHeight="false" outlineLevel="0" collapsed="false">
      <c r="A35" s="32" t="n">
        <v>29</v>
      </c>
      <c r="B35" s="32" t="s">
        <v>332</v>
      </c>
      <c r="C35" s="33" t="s">
        <v>333</v>
      </c>
      <c r="D35" s="34" t="n">
        <v>1500</v>
      </c>
      <c r="E35" s="35" t="n">
        <f aca="false">①札幌予測確定!E35</f>
        <v>89</v>
      </c>
      <c r="F35" s="35" t="n">
        <f aca="false">①札幌予測確定!P35</f>
        <v>107</v>
      </c>
      <c r="G35" s="35" t="n">
        <f aca="false">①札幌予測確定!S35</f>
        <v>160</v>
      </c>
      <c r="H35" s="37" t="n">
        <f aca="false">IFERROR(F35/G35,0)</f>
        <v>0.66875</v>
      </c>
      <c r="I35" s="38" t="n">
        <f aca="false">F35-G35</f>
        <v>-53</v>
      </c>
      <c r="J35" s="39" t="str">
        <f aca="false">IF(I35&gt;0,"要 追加発注",IF(H35&gt;=0.9,"要注意(90%超)",IF(H35&gt;=0.5,"適正","在庫余剰")))</f>
        <v>適正</v>
      </c>
      <c r="K35" s="35" t="n">
        <f aca="false">IF(I35&gt;0,ROUNDUP(I35*(1+前提・入力!$B$35),0),0)</f>
        <v>0</v>
      </c>
      <c r="L35" s="35" t="n">
        <f aca="false">③石川以降予測!N58</f>
        <v>629</v>
      </c>
      <c r="M35" s="35" t="n">
        <f aca="false">③石川以降予測!S58</f>
        <v>53</v>
      </c>
      <c r="N35" s="35" t="n">
        <f aca="false">③石川以降予測!Q58</f>
        <v>260</v>
      </c>
      <c r="O35" s="38" t="n">
        <f aca="false">L35-M35-N35</f>
        <v>316</v>
      </c>
      <c r="P35" s="39" t="str">
        <f aca="false">IF(O35&gt;0,"要 追加生産",IF(L35=0,"—","在庫で充足"))</f>
        <v>要 追加生産</v>
      </c>
      <c r="Q35" s="35" t="n">
        <f aca="false">③石川以降予測!X58</f>
        <v>348</v>
      </c>
      <c r="R35" s="35" t="n">
        <f aca="false">K35+Q35</f>
        <v>348</v>
      </c>
      <c r="S35" s="34" t="n">
        <f aca="false">R35*D35</f>
        <v>522000</v>
      </c>
      <c r="T35" s="66" t="s">
        <v>376</v>
      </c>
      <c r="U35" s="67" t="n">
        <f aca="false">DATE(2027,4,1)-90-前提・入力!$B$38</f>
        <v>46374</v>
      </c>
      <c r="V35" s="68" t="n">
        <f aca="false">IF(OR(U35="",U35="再生産不可"),"",U35-前提・入力!$B$39)</f>
        <v>141</v>
      </c>
      <c r="W35" s="66" t="str">
        <f aca="false">IF(T35="—","—",IF(U35="再生産不可","×再生産不可",_xlfn.IFS(V35&lt;0,"★期限超過",V35&lt;=30,"★至急(30日以内)",V35&lt;=90,"要着手(90日以内)",TRUE(),"余裕あり")))</f>
        <v>余裕あり</v>
      </c>
      <c r="X35" s="32" t="str">
        <f aca="false">IF(Y35&lt;&gt;"",IF(FALSE(),"S:現場欠品(追納不可)","S:現場欠品"),IF(I35&gt;0,"A:会期中欠品",IF(O35&gt;1000,"B:大口",IF(O35&gt;0,"C:通常","D:不要"))))</f>
        <v>S:現場欠品</v>
      </c>
      <c r="Y35" s="66" t="s">
        <v>519</v>
      </c>
      <c r="Z35" s="69" t="str">
        <f aca="false">IF(Y35&lt;&gt;"",IF(I35&gt;0,"◎ 一致（モデルも会期中欠品を検知）",IF(H35&gt;=0.7,"○ 整合（予測消化率70%超）","△ モデル未検知：現場報告を優先")),IF(I35&gt;0,"▲ モデルのみ検知：現場に在庫状況を確認","—"))</f>
        <v>△ モデル未検知：現場報告を優先</v>
      </c>
      <c r="AA35" s="66" t="s">
        <v>528</v>
      </c>
    </row>
    <row r="36" customFormat="false" ht="15" hidden="false" customHeight="false" outlineLevel="0" collapsed="false">
      <c r="A36" s="32" t="n">
        <v>30</v>
      </c>
      <c r="B36" s="32" t="s">
        <v>334</v>
      </c>
      <c r="C36" s="33" t="s">
        <v>335</v>
      </c>
      <c r="D36" s="34" t="n">
        <v>3300</v>
      </c>
      <c r="E36" s="35" t="n">
        <f aca="false">①札幌予測確定!E36</f>
        <v>29</v>
      </c>
      <c r="F36" s="35" t="n">
        <f aca="false">①札幌予測確定!P36</f>
        <v>63</v>
      </c>
      <c r="G36" s="35" t="n">
        <f aca="false">①札幌予測確定!S36</f>
        <v>250</v>
      </c>
      <c r="H36" s="37" t="n">
        <f aca="false">IFERROR(F36/G36,0)</f>
        <v>0.252</v>
      </c>
      <c r="I36" s="38" t="n">
        <f aca="false">F36-G36</f>
        <v>-187</v>
      </c>
      <c r="J36" s="39" t="str">
        <f aca="false">IF(I36&gt;0,"要 追加発注",IF(H36&gt;=0.9,"要注意(90%超)",IF(H36&gt;=0.5,"適正","在庫余剰")))</f>
        <v>在庫余剰</v>
      </c>
      <c r="K36" s="35" t="n">
        <f aca="false">IF(I36&gt;0,ROUNDUP(I36*(1+前提・入力!$B$35),0),0)</f>
        <v>0</v>
      </c>
      <c r="L36" s="35" t="n">
        <f aca="false">③石川以降予測!N59</f>
        <v>425</v>
      </c>
      <c r="M36" s="35" t="n">
        <f aca="false">③石川以降予測!S59</f>
        <v>187</v>
      </c>
      <c r="N36" s="35" t="n">
        <f aca="false">③石川以降予測!Q59</f>
        <v>648</v>
      </c>
      <c r="O36" s="38" t="n">
        <f aca="false">L36-M36-N36</f>
        <v>-410</v>
      </c>
      <c r="P36" s="39" t="str">
        <f aca="false">IF(O36&gt;0,"要 追加生産",IF(L36=0,"—","在庫で充足"))</f>
        <v>在庫で充足</v>
      </c>
      <c r="Q36" s="35" t="n">
        <f aca="false">③石川以降予測!X59</f>
        <v>0</v>
      </c>
      <c r="R36" s="35" t="n">
        <f aca="false">K36+Q36</f>
        <v>0</v>
      </c>
      <c r="S36" s="34" t="n">
        <f aca="false">R36*D36</f>
        <v>0</v>
      </c>
      <c r="T36" s="69" t="s">
        <v>518</v>
      </c>
      <c r="U36" s="32"/>
      <c r="V36" s="68" t="str">
        <f aca="false">IF(OR(U36="",U36="再生産不可"),"",U36-前提・入力!$B$39)</f>
        <v/>
      </c>
      <c r="W36" s="66" t="str">
        <f aca="false">IF(T36="—","—",IF(U36="再生産不可","×再生産不可",_xlfn.IFS(V36&lt;0,"★期限超過",V36&lt;=30,"★至急(30日以内)",V36&lt;=90,"要着手(90日以内)",TRUE(),"余裕あり")))</f>
        <v>—</v>
      </c>
      <c r="X36" s="32" t="str">
        <f aca="false">IF(Y36&lt;&gt;"",IF(FALSE(),"S:現場欠品(追納不可)","S:現場欠品"),IF(I36&gt;0,"A:会期中欠品",IF(O36&gt;1000,"B:大口",IF(O36&gt;0,"C:通常","D:不要"))))</f>
        <v>D:不要</v>
      </c>
      <c r="Y36" s="69"/>
      <c r="Z36" s="69" t="str">
        <f aca="false">IF(Y36&lt;&gt;"",IF(I36&gt;0,"◎ 一致（モデルも会期中欠品を検知）",IF(H36&gt;=0.7,"○ 整合（予測消化率70%超）","△ モデル未検知：現場報告を優先")),IF(I36&gt;0,"▲ モデルのみ検知：現場に在庫状況を確認","—"))</f>
        <v>—</v>
      </c>
      <c r="AA36" s="66" t="s">
        <v>517</v>
      </c>
    </row>
    <row r="37" customFormat="false" ht="15" hidden="false" customHeight="false" outlineLevel="0" collapsed="false">
      <c r="A37" s="32" t="n">
        <v>31</v>
      </c>
      <c r="B37" s="32" t="s">
        <v>336</v>
      </c>
      <c r="C37" s="33" t="s">
        <v>337</v>
      </c>
      <c r="D37" s="34" t="n">
        <v>1300</v>
      </c>
      <c r="E37" s="35" t="n">
        <f aca="false">①札幌予測確定!E37</f>
        <v>51</v>
      </c>
      <c r="F37" s="35" t="n">
        <f aca="false">①札幌予測確定!P37</f>
        <v>87</v>
      </c>
      <c r="G37" s="35" t="n">
        <f aca="false">①札幌予測確定!S37</f>
        <v>200</v>
      </c>
      <c r="H37" s="37" t="n">
        <f aca="false">IFERROR(F37/G37,0)</f>
        <v>0.435</v>
      </c>
      <c r="I37" s="38" t="n">
        <f aca="false">F37-G37</f>
        <v>-113</v>
      </c>
      <c r="J37" s="39" t="str">
        <f aca="false">IF(I37&gt;0,"要 追加発注",IF(H37&gt;=0.9,"要注意(90%超)",IF(H37&gt;=0.5,"適正","在庫余剰")))</f>
        <v>在庫余剰</v>
      </c>
      <c r="K37" s="35" t="n">
        <f aca="false">IF(I37&gt;0,ROUNDUP(I37*(1+前提・入力!$B$35),0),0)</f>
        <v>0</v>
      </c>
      <c r="L37" s="35" t="n">
        <f aca="false">③石川以降予測!N60</f>
        <v>681</v>
      </c>
      <c r="M37" s="35" t="n">
        <f aca="false">③石川以降予測!S60</f>
        <v>113</v>
      </c>
      <c r="N37" s="35" t="n">
        <f aca="false">③石川以降予測!Q60</f>
        <v>726</v>
      </c>
      <c r="O37" s="38" t="n">
        <f aca="false">L37-M37-N37</f>
        <v>-158</v>
      </c>
      <c r="P37" s="39" t="str">
        <f aca="false">IF(O37&gt;0,"要 追加生産",IF(L37=0,"—","在庫で充足"))</f>
        <v>在庫で充足</v>
      </c>
      <c r="Q37" s="35" t="n">
        <f aca="false">③石川以降予測!X60</f>
        <v>0</v>
      </c>
      <c r="R37" s="35" t="n">
        <f aca="false">K37+Q37</f>
        <v>0</v>
      </c>
      <c r="S37" s="34" t="n">
        <f aca="false">R37*D37</f>
        <v>0</v>
      </c>
      <c r="T37" s="69" t="s">
        <v>518</v>
      </c>
      <c r="U37" s="32"/>
      <c r="V37" s="68" t="str">
        <f aca="false">IF(OR(U37="",U37="再生産不可"),"",U37-前提・入力!$B$39)</f>
        <v/>
      </c>
      <c r="W37" s="66" t="str">
        <f aca="false">IF(T37="—","—",IF(U37="再生産不可","×再生産不可",_xlfn.IFS(V37&lt;0,"★期限超過",V37&lt;=30,"★至急(30日以内)",V37&lt;=90,"要着手(90日以内)",TRUE(),"余裕あり")))</f>
        <v>—</v>
      </c>
      <c r="X37" s="32" t="str">
        <f aca="false">IF(Y37&lt;&gt;"",IF(FALSE(),"S:現場欠品(追納不可)","S:現場欠品"),IF(I37&gt;0,"A:会期中欠品",IF(O37&gt;1000,"B:大口",IF(O37&gt;0,"C:通常","D:不要"))))</f>
        <v>D:不要</v>
      </c>
      <c r="Y37" s="69"/>
      <c r="Z37" s="69" t="str">
        <f aca="false">IF(Y37&lt;&gt;"",IF(I37&gt;0,"◎ 一致（モデルも会期中欠品を検知）",IF(H37&gt;=0.7,"○ 整合（予測消化率70%超）","△ モデル未検知：現場報告を優先")),IF(I37&gt;0,"▲ モデルのみ検知：現場に在庫状況を確認","—"))</f>
        <v>—</v>
      </c>
      <c r="AA37" s="66" t="s">
        <v>517</v>
      </c>
    </row>
    <row r="38" customFormat="false" ht="73.1" hidden="false" customHeight="false" outlineLevel="0" collapsed="false">
      <c r="A38" s="32" t="n">
        <v>32</v>
      </c>
      <c r="B38" s="32" t="s">
        <v>338</v>
      </c>
      <c r="C38" s="33" t="s">
        <v>339</v>
      </c>
      <c r="D38" s="34" t="n">
        <v>8800</v>
      </c>
      <c r="E38" s="35" t="n">
        <f aca="false">①札幌予測確定!E38</f>
        <v>10</v>
      </c>
      <c r="F38" s="35" t="n">
        <f aca="false">①札幌予測確定!P38</f>
        <v>10</v>
      </c>
      <c r="G38" s="35" t="n">
        <f aca="false">①札幌予測確定!S38</f>
        <v>10</v>
      </c>
      <c r="H38" s="37" t="n">
        <f aca="false">IFERROR(F38/G38,0)</f>
        <v>1</v>
      </c>
      <c r="I38" s="38" t="n">
        <f aca="false">F38-G38</f>
        <v>0</v>
      </c>
      <c r="J38" s="39" t="str">
        <f aca="false">IF(I38&gt;0,"要 追加発注",IF(H38&gt;=0.9,"要注意(90%超)",IF(H38&gt;=0.5,"適正","在庫余剰")))</f>
        <v>要注意(90%超)</v>
      </c>
      <c r="K38" s="35" t="n">
        <f aca="false">IF(I38&gt;0,ROUNDUP(I38*(1+前提・入力!$B$35),0),0)</f>
        <v>0</v>
      </c>
      <c r="L38" s="35" t="n">
        <f aca="false">③石川以降予測!N61</f>
        <v>72</v>
      </c>
      <c r="M38" s="35" t="n">
        <f aca="false">③石川以降予測!S61</f>
        <v>0</v>
      </c>
      <c r="N38" s="35" t="n">
        <f aca="false">③石川以降予測!Q61</f>
        <v>23</v>
      </c>
      <c r="O38" s="38" t="n">
        <f aca="false">L38-M38-N38</f>
        <v>49</v>
      </c>
      <c r="P38" s="39" t="str">
        <f aca="false">IF(O38&gt;0,"要 追加生産",IF(L38=0,"—","在庫で充足"))</f>
        <v>要 追加生産</v>
      </c>
      <c r="Q38" s="35" t="n">
        <f aca="false">③石川以降予測!X61</f>
        <v>54</v>
      </c>
      <c r="R38" s="35" t="n">
        <f aca="false">K38+Q38</f>
        <v>54</v>
      </c>
      <c r="S38" s="34" t="n">
        <f aca="false">R38*D38</f>
        <v>475200</v>
      </c>
      <c r="T38" s="66" t="s">
        <v>374</v>
      </c>
      <c r="U38" s="67" t="n">
        <f aca="false">DATE(2026,12,16)-90-前提・入力!$B$38</f>
        <v>46268</v>
      </c>
      <c r="V38" s="68" t="n">
        <f aca="false">IF(OR(U38="",U38="再生産不可"),"",U38-前提・入力!$B$39)</f>
        <v>35</v>
      </c>
      <c r="W38" s="66" t="str">
        <f aca="false">IF(T38="—","—",IF(U38="再生産不可","×再生産不可",_xlfn.IFS(V38&lt;0,"★期限超過",V38&lt;=30,"★至急(30日以内)",V38&lt;=90,"要着手(90日以内)",TRUE(),"余裕あり")))</f>
        <v>要着手(90日以内)</v>
      </c>
      <c r="X38" s="32" t="str">
        <f aca="false">IF(Y38&lt;&gt;"",IF(TRUE(),"S:現場欠品(追納不可)","S:現場欠品"),IF(I38&gt;0,"A:会期中欠品",IF(O38&gt;1000,"B:大口",IF(O38&gt;0,"C:通常","D:不要"))))</f>
        <v>S:現場欠品(追納不可)</v>
      </c>
      <c r="Y38" s="66" t="s">
        <v>529</v>
      </c>
      <c r="Z38" s="69" t="str">
        <f aca="false">IF(Y38&lt;&gt;"",IF(I38&gt;0,"◎ 一致（モデルも会期中欠品を検知）",IF(H38&gt;=0.7,"○ 整合（予測消化率70%超）","△ モデル未検知：現場報告を優先")),IF(I38&gt;0,"▲ モデルのみ検知：現場に在庫状況を確認","—"))</f>
        <v>○ 整合（予測消化率70%超）</v>
      </c>
      <c r="AA38" s="66" t="s">
        <v>530</v>
      </c>
    </row>
    <row r="39" customFormat="false" ht="15" hidden="false" customHeight="false" outlineLevel="0" collapsed="false">
      <c r="A39" s="32" t="n">
        <v>33</v>
      </c>
      <c r="B39" s="32" t="s">
        <v>340</v>
      </c>
      <c r="C39" s="33" t="s">
        <v>341</v>
      </c>
      <c r="D39" s="34" t="n">
        <v>27500</v>
      </c>
      <c r="E39" s="35" t="n">
        <f aca="false">①札幌予測確定!E39</f>
        <v>0</v>
      </c>
      <c r="F39" s="35" t="n">
        <f aca="false">①札幌予測確定!P39</f>
        <v>0</v>
      </c>
      <c r="G39" s="35" t="n">
        <f aca="false">①札幌予測確定!S39</f>
        <v>15</v>
      </c>
      <c r="H39" s="37" t="n">
        <f aca="false">IFERROR(F39/G39,0)</f>
        <v>0</v>
      </c>
      <c r="I39" s="38" t="n">
        <f aca="false">F39-G39</f>
        <v>-15</v>
      </c>
      <c r="J39" s="39" t="str">
        <f aca="false">IF(I39&gt;0,"要 追加発注",IF(H39&gt;=0.9,"要注意(90%超)",IF(H39&gt;=0.5,"適正","在庫余剰")))</f>
        <v>在庫余剰</v>
      </c>
      <c r="K39" s="35" t="n">
        <f aca="false">IF(I39&gt;0,ROUNDUP(I39*(1+前提・入力!$B$35),0),0)</f>
        <v>0</v>
      </c>
      <c r="L39" s="35" t="n">
        <f aca="false">③石川以降予測!N62</f>
        <v>14</v>
      </c>
      <c r="M39" s="35" t="n">
        <f aca="false">③石川以降予測!S62</f>
        <v>15</v>
      </c>
      <c r="N39" s="35" t="n">
        <f aca="false">③石川以降予測!Q62</f>
        <v>91</v>
      </c>
      <c r="O39" s="38" t="n">
        <f aca="false">L39-M39-N39</f>
        <v>-92</v>
      </c>
      <c r="P39" s="39" t="str">
        <f aca="false">IF(O39&gt;0,"要 追加生産",IF(L39=0,"—","在庫で充足"))</f>
        <v>在庫で充足</v>
      </c>
      <c r="Q39" s="35" t="n">
        <f aca="false">③石川以降予測!X62</f>
        <v>0</v>
      </c>
      <c r="R39" s="35" t="n">
        <f aca="false">K39+Q39</f>
        <v>0</v>
      </c>
      <c r="S39" s="34" t="n">
        <f aca="false">R39*D39</f>
        <v>0</v>
      </c>
      <c r="T39" s="69" t="s">
        <v>518</v>
      </c>
      <c r="U39" s="32"/>
      <c r="V39" s="68" t="str">
        <f aca="false">IF(OR(U39="",U39="再生産不可"),"",U39-前提・入力!$B$39)</f>
        <v/>
      </c>
      <c r="W39" s="66" t="str">
        <f aca="false">IF(T39="—","—",IF(U39="再生産不可","×再生産不可",_xlfn.IFS(V39&lt;0,"★期限超過",V39&lt;=30,"★至急(30日以内)",V39&lt;=90,"要着手(90日以内)",TRUE(),"余裕あり")))</f>
        <v>—</v>
      </c>
      <c r="X39" s="32" t="str">
        <f aca="false">IF(Y39&lt;&gt;"",IF(FALSE(),"S:現場欠品(追納不可)","S:現場欠品"),IF(I39&gt;0,"A:会期中欠品",IF(O39&gt;1000,"B:大口",IF(O39&gt;0,"C:通常","D:不要"))))</f>
        <v>D:不要</v>
      </c>
      <c r="Y39" s="69"/>
      <c r="Z39" s="69" t="str">
        <f aca="false">IF(Y39&lt;&gt;"",IF(I39&gt;0,"◎ 一致（モデルも会期中欠品を検知）",IF(H39&gt;=0.7,"○ 整合（予測消化率70%超）","△ モデル未検知：現場報告を優先")),IF(I39&gt;0,"▲ モデルのみ検知：現場に在庫状況を確認","—"))</f>
        <v>—</v>
      </c>
      <c r="AA39" s="66" t="s">
        <v>531</v>
      </c>
    </row>
    <row r="40" customFormat="false" ht="37.3" hidden="false" customHeight="false" outlineLevel="0" collapsed="false">
      <c r="A40" s="32" t="n">
        <v>34</v>
      </c>
      <c r="B40" s="32" t="s">
        <v>342</v>
      </c>
      <c r="C40" s="33" t="s">
        <v>343</v>
      </c>
      <c r="D40" s="34" t="n">
        <v>27500</v>
      </c>
      <c r="E40" s="35" t="n">
        <f aca="false">①札幌予測確定!E40</f>
        <v>1</v>
      </c>
      <c r="F40" s="35" t="n">
        <f aca="false">①札幌予測確定!P40</f>
        <v>1</v>
      </c>
      <c r="G40" s="35" t="n">
        <f aca="false">①札幌予測確定!S40</f>
        <v>2</v>
      </c>
      <c r="H40" s="37" t="n">
        <f aca="false">IFERROR(F40/G40,0)</f>
        <v>0.5</v>
      </c>
      <c r="I40" s="38" t="n">
        <f aca="false">F40-G40</f>
        <v>-1</v>
      </c>
      <c r="J40" s="39" t="str">
        <f aca="false">IF(I40&gt;0,"要 追加発注",IF(H40&gt;=0.9,"要注意(90%超)",IF(H40&gt;=0.5,"適正","在庫余剰")))</f>
        <v>適正</v>
      </c>
      <c r="K40" s="35" t="n">
        <f aca="false">IF(I40&gt;0,ROUNDUP(I40*(1+前提・入力!$B$35),0),0)</f>
        <v>0</v>
      </c>
      <c r="L40" s="35" t="n">
        <f aca="false">③石川以降予測!N63</f>
        <v>7</v>
      </c>
      <c r="M40" s="35" t="n">
        <f aca="false">③石川以降予測!S63</f>
        <v>1</v>
      </c>
      <c r="N40" s="35" t="n">
        <f aca="false">③石川以降予測!Q63</f>
        <v>2</v>
      </c>
      <c r="O40" s="38" t="n">
        <f aca="false">L40-M40-N40</f>
        <v>4</v>
      </c>
      <c r="P40" s="39" t="str">
        <f aca="false">IF(O40&gt;0,"要 追加生産",IF(L40=0,"—","在庫で充足"))</f>
        <v>要 追加生産</v>
      </c>
      <c r="Q40" s="35" t="n">
        <f aca="false">③石川以降予測!X63</f>
        <v>5</v>
      </c>
      <c r="R40" s="35" t="n">
        <f aca="false">K40+Q40</f>
        <v>5</v>
      </c>
      <c r="S40" s="34" t="n">
        <f aca="false">R40*D40</f>
        <v>137500</v>
      </c>
      <c r="T40" s="66" t="s">
        <v>375</v>
      </c>
      <c r="U40" s="67" t="n">
        <f aca="false">DATE(2027,3,15)-90-前提・入力!$B$38</f>
        <v>46357</v>
      </c>
      <c r="V40" s="68" t="n">
        <f aca="false">IF(OR(U40="",U40="再生産不可"),"",U40-前提・入力!$B$39)</f>
        <v>124</v>
      </c>
      <c r="W40" s="66" t="str">
        <f aca="false">IF(T40="—","—",IF(U40="再生産不可","×再生産不可",_xlfn.IFS(V40&lt;0,"★期限超過",V40&lt;=30,"★至急(30日以内)",V40&lt;=90,"要着手(90日以内)",TRUE(),"余裕あり")))</f>
        <v>余裕あり</v>
      </c>
      <c r="X40" s="32" t="str">
        <f aca="false">IF(Y40&lt;&gt;"",IF(FALSE(),"S:現場欠品(追納不可)","S:現場欠品"),IF(I40&gt;0,"A:会期中欠品",IF(O40&gt;1000,"B:大口",IF(O40&gt;0,"C:通常","D:不要"))))</f>
        <v>C:通常</v>
      </c>
      <c r="Y40" s="69"/>
      <c r="Z40" s="69" t="str">
        <f aca="false">IF(Y40&lt;&gt;"",IF(I40&gt;0,"◎ 一致（モデルも会期中欠品を検知）",IF(H40&gt;=0.7,"○ 整合（予測消化率70%超）","△ モデル未検知：現場報告を優先")),IF(I40&gt;0,"▲ モデルのみ検知：現場に在庫状況を確認","—"))</f>
        <v>—</v>
      </c>
      <c r="AA40" s="66" t="s">
        <v>532</v>
      </c>
    </row>
    <row r="41" customFormat="false" ht="49.25" hidden="false" customHeight="false" outlineLevel="0" collapsed="false">
      <c r="A41" s="32" t="n">
        <v>35</v>
      </c>
      <c r="B41" s="32" t="s">
        <v>344</v>
      </c>
      <c r="C41" s="33" t="s">
        <v>345</v>
      </c>
      <c r="D41" s="34" t="n">
        <v>27500</v>
      </c>
      <c r="E41" s="35" t="n">
        <f aca="false">①札幌予測確定!E41</f>
        <v>0</v>
      </c>
      <c r="F41" s="35" t="n">
        <f aca="false">①札幌予測確定!P41</f>
        <v>0</v>
      </c>
      <c r="G41" s="35" t="n">
        <f aca="false">①札幌予測確定!S41</f>
        <v>2</v>
      </c>
      <c r="H41" s="37" t="n">
        <f aca="false">IFERROR(F41/G41,0)</f>
        <v>0</v>
      </c>
      <c r="I41" s="38" t="n">
        <f aca="false">F41-G41</f>
        <v>-2</v>
      </c>
      <c r="J41" s="39" t="str">
        <f aca="false">IF(I41&gt;0,"要 追加発注",IF(H41&gt;=0.9,"要注意(90%超)",IF(H41&gt;=0.5,"適正","在庫余剰")))</f>
        <v>在庫余剰</v>
      </c>
      <c r="K41" s="35" t="n">
        <f aca="false">IF(I41&gt;0,ROUNDUP(I41*(1+前提・入力!$B$35),0),0)</f>
        <v>0</v>
      </c>
      <c r="L41" s="35" t="n">
        <f aca="false">③石川以降予測!N64</f>
        <v>1</v>
      </c>
      <c r="M41" s="35" t="n">
        <f aca="false">③石川以降予測!S64</f>
        <v>2</v>
      </c>
      <c r="N41" s="35" t="n">
        <f aca="false">③石川以降予測!Q64</f>
        <v>2</v>
      </c>
      <c r="O41" s="38" t="n">
        <f aca="false">L41-M41-N41</f>
        <v>-3</v>
      </c>
      <c r="P41" s="39" t="str">
        <f aca="false">IF(O41&gt;0,"要 追加生産",IF(L41=0,"—","在庫で充足"))</f>
        <v>在庫で充足</v>
      </c>
      <c r="Q41" s="35" t="n">
        <f aca="false">③石川以降予測!X64</f>
        <v>0</v>
      </c>
      <c r="R41" s="35" t="n">
        <f aca="false">K41+Q41</f>
        <v>0</v>
      </c>
      <c r="S41" s="34" t="n">
        <f aca="false">R41*D41</f>
        <v>0</v>
      </c>
      <c r="T41" s="69" t="s">
        <v>518</v>
      </c>
      <c r="U41" s="32"/>
      <c r="V41" s="68" t="str">
        <f aca="false">IF(OR(U41="",U41="再生産不可"),"",U41-前提・入力!$B$39)</f>
        <v/>
      </c>
      <c r="W41" s="66" t="str">
        <f aca="false">IF(T41="—","—",IF(U41="再生産不可","×再生産不可",_xlfn.IFS(V41&lt;0,"★期限超過",V41&lt;=30,"★至急(30日以内)",V41&lt;=90,"要着手(90日以内)",TRUE(),"余裕あり")))</f>
        <v>—</v>
      </c>
      <c r="X41" s="32" t="str">
        <f aca="false">IF(Y41&lt;&gt;"",IF(FALSE(),"S:現場欠品(追納不可)","S:現場欠品"),IF(I41&gt;0,"A:会期中欠品",IF(O41&gt;1000,"B:大口",IF(O41&gt;0,"C:通常","D:不要"))))</f>
        <v>D:不要</v>
      </c>
      <c r="Y41" s="69"/>
      <c r="Z41" s="69" t="str">
        <f aca="false">IF(Y41&lt;&gt;"",IF(I41&gt;0,"◎ 一致（モデルも会期中欠品を検知）",IF(H41&gt;=0.7,"○ 整合（予測消化率70%超）","△ モデル未検知：現場報告を優先")),IF(I41&gt;0,"▲ モデルのみ検知：現場に在庫状況を確認","—"))</f>
        <v>—</v>
      </c>
      <c r="AA41" s="66" t="s">
        <v>533</v>
      </c>
    </row>
    <row r="42" customFormat="false" ht="49.25" hidden="false" customHeight="false" outlineLevel="0" collapsed="false">
      <c r="A42" s="32" t="n">
        <v>36</v>
      </c>
      <c r="B42" s="32" t="s">
        <v>346</v>
      </c>
      <c r="C42" s="33" t="s">
        <v>347</v>
      </c>
      <c r="D42" s="34" t="n">
        <v>27500</v>
      </c>
      <c r="E42" s="35" t="n">
        <f aca="false">①札幌予測確定!E42</f>
        <v>0</v>
      </c>
      <c r="F42" s="35" t="n">
        <f aca="false">①札幌予測確定!P42</f>
        <v>0</v>
      </c>
      <c r="G42" s="35" t="n">
        <f aca="false">①札幌予測確定!S42</f>
        <v>2</v>
      </c>
      <c r="H42" s="37" t="n">
        <f aca="false">IFERROR(F42/G42,0)</f>
        <v>0</v>
      </c>
      <c r="I42" s="38" t="n">
        <f aca="false">F42-G42</f>
        <v>-2</v>
      </c>
      <c r="J42" s="39" t="str">
        <f aca="false">IF(I42&gt;0,"要 追加発注",IF(H42&gt;=0.9,"要注意(90%超)",IF(H42&gt;=0.5,"適正","在庫余剰")))</f>
        <v>在庫余剰</v>
      </c>
      <c r="K42" s="35" t="n">
        <f aca="false">IF(I42&gt;0,ROUNDUP(I42*(1+前提・入力!$B$35),0),0)</f>
        <v>0</v>
      </c>
      <c r="L42" s="35" t="n">
        <f aca="false">③石川以降予測!N65</f>
        <v>1</v>
      </c>
      <c r="M42" s="35" t="n">
        <f aca="false">③石川以降予測!S65</f>
        <v>2</v>
      </c>
      <c r="N42" s="35" t="n">
        <f aca="false">③石川以降予測!Q65</f>
        <v>2</v>
      </c>
      <c r="O42" s="38" t="n">
        <f aca="false">L42-M42-N42</f>
        <v>-3</v>
      </c>
      <c r="P42" s="39" t="str">
        <f aca="false">IF(O42&gt;0,"要 追加生産",IF(L42=0,"—","在庫で充足"))</f>
        <v>在庫で充足</v>
      </c>
      <c r="Q42" s="35" t="n">
        <f aca="false">③石川以降予測!X65</f>
        <v>0</v>
      </c>
      <c r="R42" s="35" t="n">
        <f aca="false">K42+Q42</f>
        <v>0</v>
      </c>
      <c r="S42" s="34" t="n">
        <f aca="false">R42*D42</f>
        <v>0</v>
      </c>
      <c r="T42" s="69" t="s">
        <v>518</v>
      </c>
      <c r="U42" s="32"/>
      <c r="V42" s="68" t="str">
        <f aca="false">IF(OR(U42="",U42="再生産不可"),"",U42-前提・入力!$B$39)</f>
        <v/>
      </c>
      <c r="W42" s="66" t="str">
        <f aca="false">IF(T42="—","—",IF(U42="再生産不可","×再生産不可",_xlfn.IFS(V42&lt;0,"★期限超過",V42&lt;=30,"★至急(30日以内)",V42&lt;=90,"要着手(90日以内)",TRUE(),"余裕あり")))</f>
        <v>—</v>
      </c>
      <c r="X42" s="32" t="str">
        <f aca="false">IF(Y42&lt;&gt;"",IF(FALSE(),"S:現場欠品(追納不可)","S:現場欠品"),IF(I42&gt;0,"A:会期中欠品",IF(O42&gt;1000,"B:大口",IF(O42&gt;0,"C:通常","D:不要"))))</f>
        <v>D:不要</v>
      </c>
      <c r="Y42" s="69"/>
      <c r="Z42" s="69" t="str">
        <f aca="false">IF(Y42&lt;&gt;"",IF(I42&gt;0,"◎ 一致（モデルも会期中欠品を検知）",IF(H42&gt;=0.7,"○ 整合（予測消化率70%超）","△ モデル未検知：現場報告を優先")),IF(I42&gt;0,"▲ モデルのみ検知：現場に在庫状況を確認","—"))</f>
        <v>—</v>
      </c>
      <c r="AA42" s="66" t="s">
        <v>533</v>
      </c>
    </row>
    <row r="43" customFormat="false" ht="25.35" hidden="false" customHeight="false" outlineLevel="0" collapsed="false">
      <c r="A43" s="32" t="n">
        <v>37</v>
      </c>
      <c r="B43" s="32" t="s">
        <v>348</v>
      </c>
      <c r="C43" s="33" t="s">
        <v>349</v>
      </c>
      <c r="D43" s="34" t="n">
        <v>27500</v>
      </c>
      <c r="E43" s="35" t="n">
        <f aca="false">①札幌予測確定!E43</f>
        <v>0</v>
      </c>
      <c r="F43" s="35" t="n">
        <f aca="false">①札幌予測確定!P43</f>
        <v>0</v>
      </c>
      <c r="G43" s="35" t="n">
        <f aca="false">①札幌予測確定!S43</f>
        <v>8</v>
      </c>
      <c r="H43" s="37" t="n">
        <f aca="false">IFERROR(F43/G43,0)</f>
        <v>0</v>
      </c>
      <c r="I43" s="38" t="n">
        <f aca="false">F43-G43</f>
        <v>-8</v>
      </c>
      <c r="J43" s="39" t="str">
        <f aca="false">IF(I43&gt;0,"要 追加発注",IF(H43&gt;=0.9,"要注意(90%超)",IF(H43&gt;=0.5,"適正","在庫余剰")))</f>
        <v>在庫余剰</v>
      </c>
      <c r="K43" s="35" t="n">
        <f aca="false">IF(I43&gt;0,ROUNDUP(I43*(1+前提・入力!$B$35),0),0)</f>
        <v>0</v>
      </c>
      <c r="L43" s="35" t="n">
        <f aca="false">③石川以降予測!N66</f>
        <v>17</v>
      </c>
      <c r="M43" s="35" t="n">
        <f aca="false">③石川以降予測!S66</f>
        <v>8</v>
      </c>
      <c r="N43" s="35" t="n">
        <f aca="false">③石川以降予測!Q66</f>
        <v>35</v>
      </c>
      <c r="O43" s="38" t="n">
        <f aca="false">L43-M43-N43</f>
        <v>-26</v>
      </c>
      <c r="P43" s="39" t="str">
        <f aca="false">IF(O43&gt;0,"要 追加生産",IF(L43=0,"—","在庫で充足"))</f>
        <v>在庫で充足</v>
      </c>
      <c r="Q43" s="35" t="n">
        <f aca="false">③石川以降予測!X66</f>
        <v>0</v>
      </c>
      <c r="R43" s="35" t="n">
        <f aca="false">K43+Q43</f>
        <v>0</v>
      </c>
      <c r="S43" s="34" t="n">
        <f aca="false">R43*D43</f>
        <v>0</v>
      </c>
      <c r="T43" s="69" t="s">
        <v>518</v>
      </c>
      <c r="U43" s="32"/>
      <c r="V43" s="68" t="str">
        <f aca="false">IF(OR(U43="",U43="再生産不可"),"",U43-前提・入力!$B$39)</f>
        <v/>
      </c>
      <c r="W43" s="66" t="str">
        <f aca="false">IF(T43="—","—",IF(U43="再生産不可","×再生産不可",_xlfn.IFS(V43&lt;0,"★期限超過",V43&lt;=30,"★至急(30日以内)",V43&lt;=90,"要着手(90日以内)",TRUE(),"余裕あり")))</f>
        <v>—</v>
      </c>
      <c r="X43" s="32" t="str">
        <f aca="false">IF(Y43&lt;&gt;"",IF(FALSE(),"S:現場欠品(追納不可)","S:現場欠品"),IF(I43&gt;0,"A:会期中欠品",IF(O43&gt;1000,"B:大口",IF(O43&gt;0,"C:通常","D:不要"))))</f>
        <v>D:不要</v>
      </c>
      <c r="Y43" s="69"/>
      <c r="Z43" s="69" t="str">
        <f aca="false">IF(Y43&lt;&gt;"",IF(I43&gt;0,"◎ 一致（モデルも会期中欠品を検知）",IF(H43&gt;=0.7,"○ 整合（予測消化率70%超）","△ モデル未検知：現場報告を優先")),IF(I43&gt;0,"▲ モデルのみ検知：現場に在庫状況を確認","—"))</f>
        <v>—</v>
      </c>
      <c r="AA43" s="66" t="s">
        <v>534</v>
      </c>
    </row>
    <row r="44" customFormat="false" ht="37.3" hidden="false" customHeight="false" outlineLevel="0" collapsed="false">
      <c r="A44" s="32" t="n">
        <v>38</v>
      </c>
      <c r="B44" s="32" t="s">
        <v>350</v>
      </c>
      <c r="C44" s="33" t="s">
        <v>351</v>
      </c>
      <c r="D44" s="34" t="n">
        <v>27500</v>
      </c>
      <c r="E44" s="35" t="n">
        <f aca="false">①札幌予測確定!E44</f>
        <v>2</v>
      </c>
      <c r="F44" s="35" t="n">
        <f aca="false">①札幌予測確定!P44</f>
        <v>2</v>
      </c>
      <c r="G44" s="35" t="n">
        <f aca="false">①札幌予測確定!S44</f>
        <v>2</v>
      </c>
      <c r="H44" s="37" t="n">
        <f aca="false">IFERROR(F44/G44,0)</f>
        <v>1</v>
      </c>
      <c r="I44" s="38" t="n">
        <f aca="false">F44-G44</f>
        <v>0</v>
      </c>
      <c r="J44" s="39" t="str">
        <f aca="false">IF(I44&gt;0,"要 追加発注",IF(H44&gt;=0.9,"要注意(90%超)",IF(H44&gt;=0.5,"適正","在庫余剰")))</f>
        <v>要注意(90%超)</v>
      </c>
      <c r="K44" s="35" t="n">
        <f aca="false">IF(I44&gt;0,ROUNDUP(I44*(1+前提・入力!$B$35),0),0)</f>
        <v>0</v>
      </c>
      <c r="L44" s="35" t="n">
        <f aca="false">③石川以降予測!N67</f>
        <v>11</v>
      </c>
      <c r="M44" s="35" t="n">
        <f aca="false">③石川以降予測!S67</f>
        <v>0</v>
      </c>
      <c r="N44" s="35" t="n">
        <f aca="false">③石川以降予測!Q67</f>
        <v>2</v>
      </c>
      <c r="O44" s="38" t="n">
        <f aca="false">L44-M44-N44</f>
        <v>9</v>
      </c>
      <c r="P44" s="39" t="str">
        <f aca="false">IF(O44&gt;0,"要 追加生産",IF(L44=0,"—","在庫で充足"))</f>
        <v>要 追加生産</v>
      </c>
      <c r="Q44" s="35" t="n">
        <f aca="false">③石川以降予測!X67</f>
        <v>10</v>
      </c>
      <c r="R44" s="35" t="n">
        <f aca="false">K44+Q44</f>
        <v>10</v>
      </c>
      <c r="S44" s="34" t="n">
        <f aca="false">R44*D44</f>
        <v>275000</v>
      </c>
      <c r="T44" s="66" t="s">
        <v>535</v>
      </c>
      <c r="U44" s="67" t="n">
        <f aca="false">DATE(2026,9,5)-90-前提・入力!$B$38</f>
        <v>46166</v>
      </c>
      <c r="V44" s="68" t="n">
        <f aca="false">IF(OR(U44="",U44="再生産不可"),"",U44-前提・入力!$B$39)</f>
        <v>-67</v>
      </c>
      <c r="W44" s="66" t="str">
        <f aca="false">IF(T44="—","—",IF(U44="再生産不可","×再生産不可",_xlfn.IFS(V44&lt;0,"★期限超過",V44&lt;=30,"★至急(30日以内)",V44&lt;=90,"要着手(90日以内)",TRUE(),"余裕あり")))</f>
        <v>★期限超過</v>
      </c>
      <c r="X44" s="32" t="str">
        <f aca="false">IF(Y44&lt;&gt;"",IF(FALSE(),"S:現場欠品(追納不可)","S:現場欠品"),IF(I44&gt;0,"A:会期中欠品",IF(O44&gt;1000,"B:大口",IF(O44&gt;0,"C:通常","D:不要"))))</f>
        <v>C:通常</v>
      </c>
      <c r="Y44" s="69"/>
      <c r="Z44" s="69" t="str">
        <f aca="false">IF(Y44&lt;&gt;"",IF(I44&gt;0,"◎ 一致（モデルも会期中欠品を検知）",IF(H44&gt;=0.7,"○ 整合（予測消化率70%超）","△ モデル未検知：現場報告を優先")),IF(I44&gt;0,"▲ モデルのみ検知：現場に在庫状況を確認","—"))</f>
        <v>—</v>
      </c>
      <c r="AA44" s="66" t="s">
        <v>532</v>
      </c>
    </row>
    <row r="45" customFormat="false" ht="37.3" hidden="false" customHeight="false" outlineLevel="0" collapsed="false">
      <c r="A45" s="32" t="n">
        <v>39</v>
      </c>
      <c r="B45" s="32" t="s">
        <v>352</v>
      </c>
      <c r="C45" s="33" t="s">
        <v>353</v>
      </c>
      <c r="D45" s="34" t="n">
        <v>27500</v>
      </c>
      <c r="E45" s="35" t="n">
        <f aca="false">①札幌予測確定!E45</f>
        <v>1</v>
      </c>
      <c r="F45" s="35" t="n">
        <f aca="false">①札幌予測確定!P45</f>
        <v>1</v>
      </c>
      <c r="G45" s="35" t="n">
        <f aca="false">①札幌予測確定!S45</f>
        <v>2</v>
      </c>
      <c r="H45" s="37" t="n">
        <f aca="false">IFERROR(F45/G45,0)</f>
        <v>0.5</v>
      </c>
      <c r="I45" s="38" t="n">
        <f aca="false">F45-G45</f>
        <v>-1</v>
      </c>
      <c r="J45" s="39" t="str">
        <f aca="false">IF(I45&gt;0,"要 追加発注",IF(H45&gt;=0.9,"要注意(90%超)",IF(H45&gt;=0.5,"適正","在庫余剰")))</f>
        <v>適正</v>
      </c>
      <c r="K45" s="35" t="n">
        <f aca="false">IF(I45&gt;0,ROUNDUP(I45*(1+前提・入力!$B$35),0),0)</f>
        <v>0</v>
      </c>
      <c r="L45" s="35" t="n">
        <f aca="false">③石川以降予測!N68</f>
        <v>7</v>
      </c>
      <c r="M45" s="35" t="n">
        <f aca="false">③石川以降予測!S68</f>
        <v>1</v>
      </c>
      <c r="N45" s="35" t="n">
        <f aca="false">③石川以降予測!Q68</f>
        <v>3</v>
      </c>
      <c r="O45" s="38" t="n">
        <f aca="false">L45-M45-N45</f>
        <v>3</v>
      </c>
      <c r="P45" s="39" t="str">
        <f aca="false">IF(O45&gt;0,"要 追加生産",IF(L45=0,"—","在庫で充足"))</f>
        <v>要 追加生産</v>
      </c>
      <c r="Q45" s="35" t="n">
        <f aca="false">③石川以降予測!X68</f>
        <v>4</v>
      </c>
      <c r="R45" s="35" t="n">
        <f aca="false">K45+Q45</f>
        <v>4</v>
      </c>
      <c r="S45" s="34" t="n">
        <f aca="false">R45*D45</f>
        <v>110000</v>
      </c>
      <c r="T45" s="66" t="s">
        <v>376</v>
      </c>
      <c r="U45" s="67" t="n">
        <f aca="false">DATE(2027,4,1)-90-前提・入力!$B$38</f>
        <v>46374</v>
      </c>
      <c r="V45" s="68" t="n">
        <f aca="false">IF(OR(U45="",U45="再生産不可"),"",U45-前提・入力!$B$39)</f>
        <v>141</v>
      </c>
      <c r="W45" s="66" t="str">
        <f aca="false">IF(T45="—","—",IF(U45="再生産不可","×再生産不可",_xlfn.IFS(V45&lt;0,"★期限超過",V45&lt;=30,"★至急(30日以内)",V45&lt;=90,"要着手(90日以内)",TRUE(),"余裕あり")))</f>
        <v>余裕あり</v>
      </c>
      <c r="X45" s="32" t="str">
        <f aca="false">IF(Y45&lt;&gt;"",IF(FALSE(),"S:現場欠品(追納不可)","S:現場欠品"),IF(I45&gt;0,"A:会期中欠品",IF(O45&gt;1000,"B:大口",IF(O45&gt;0,"C:通常","D:不要"))))</f>
        <v>C:通常</v>
      </c>
      <c r="Y45" s="69"/>
      <c r="Z45" s="69" t="str">
        <f aca="false">IF(Y45&lt;&gt;"",IF(I45&gt;0,"◎ 一致（モデルも会期中欠品を検知）",IF(H45&gt;=0.7,"○ 整合（予測消化率70%超）","△ モデル未検知：現場報告を優先")),IF(I45&gt;0,"▲ モデルのみ検知：現場に在庫状況を確認","—"))</f>
        <v>—</v>
      </c>
      <c r="AA45" s="66" t="s">
        <v>532</v>
      </c>
    </row>
    <row r="46" customFormat="false" ht="49.25" hidden="false" customHeight="false" outlineLevel="0" collapsed="false">
      <c r="A46" s="32" t="n">
        <v>40</v>
      </c>
      <c r="B46" s="32" t="s">
        <v>354</v>
      </c>
      <c r="C46" s="33" t="s">
        <v>355</v>
      </c>
      <c r="D46" s="34" t="n">
        <v>27500</v>
      </c>
      <c r="E46" s="35" t="n">
        <f aca="false">①札幌予測確定!E46</f>
        <v>0</v>
      </c>
      <c r="F46" s="35" t="n">
        <f aca="false">①札幌予測確定!P46</f>
        <v>0</v>
      </c>
      <c r="G46" s="35" t="n">
        <f aca="false">①札幌予測確定!S46</f>
        <v>2</v>
      </c>
      <c r="H46" s="37" t="n">
        <f aca="false">IFERROR(F46/G46,0)</f>
        <v>0</v>
      </c>
      <c r="I46" s="38" t="n">
        <f aca="false">F46-G46</f>
        <v>-2</v>
      </c>
      <c r="J46" s="39" t="str">
        <f aca="false">IF(I46&gt;0,"要 追加発注",IF(H46&gt;=0.9,"要注意(90%超)",IF(H46&gt;=0.5,"適正","在庫余剰")))</f>
        <v>在庫余剰</v>
      </c>
      <c r="K46" s="35" t="n">
        <f aca="false">IF(I46&gt;0,ROUNDUP(I46*(1+前提・入力!$B$35),0),0)</f>
        <v>0</v>
      </c>
      <c r="L46" s="35" t="n">
        <f aca="false">③石川以降予測!N69</f>
        <v>1</v>
      </c>
      <c r="M46" s="35" t="n">
        <f aca="false">③石川以降予測!S69</f>
        <v>2</v>
      </c>
      <c r="N46" s="35" t="n">
        <f aca="false">③石川以降予測!Q69</f>
        <v>2</v>
      </c>
      <c r="O46" s="38" t="n">
        <f aca="false">L46-M46-N46</f>
        <v>-3</v>
      </c>
      <c r="P46" s="39" t="str">
        <f aca="false">IF(O46&gt;0,"要 追加生産",IF(L46=0,"—","在庫で充足"))</f>
        <v>在庫で充足</v>
      </c>
      <c r="Q46" s="35" t="n">
        <f aca="false">③石川以降予測!X69</f>
        <v>0</v>
      </c>
      <c r="R46" s="35" t="n">
        <f aca="false">K46+Q46</f>
        <v>0</v>
      </c>
      <c r="S46" s="34" t="n">
        <f aca="false">R46*D46</f>
        <v>0</v>
      </c>
      <c r="T46" s="69" t="s">
        <v>518</v>
      </c>
      <c r="U46" s="32"/>
      <c r="V46" s="68" t="str">
        <f aca="false">IF(OR(U46="",U46="再生産不可"),"",U46-前提・入力!$B$39)</f>
        <v/>
      </c>
      <c r="W46" s="66" t="str">
        <f aca="false">IF(T46="—","—",IF(U46="再生産不可","×再生産不可",_xlfn.IFS(V46&lt;0,"★期限超過",V46&lt;=30,"★至急(30日以内)",V46&lt;=90,"要着手(90日以内)",TRUE(),"余裕あり")))</f>
        <v>—</v>
      </c>
      <c r="X46" s="32" t="str">
        <f aca="false">IF(Y46&lt;&gt;"",IF(FALSE(),"S:現場欠品(追納不可)","S:現場欠品"),IF(I46&gt;0,"A:会期中欠品",IF(O46&gt;1000,"B:大口",IF(O46&gt;0,"C:通常","D:不要"))))</f>
        <v>D:不要</v>
      </c>
      <c r="Y46" s="69"/>
      <c r="Z46" s="69" t="str">
        <f aca="false">IF(Y46&lt;&gt;"",IF(I46&gt;0,"◎ 一致（モデルも会期中欠品を検知）",IF(H46&gt;=0.7,"○ 整合（予測消化率70%超）","△ モデル未検知：現場報告を優先")),IF(I46&gt;0,"▲ モデルのみ検知：現場に在庫状況を確認","—"))</f>
        <v>—</v>
      </c>
      <c r="AA46" s="66" t="s">
        <v>533</v>
      </c>
    </row>
    <row r="47" customFormat="false" ht="25.35" hidden="false" customHeight="false" outlineLevel="0" collapsed="false">
      <c r="A47" s="32" t="n">
        <v>41</v>
      </c>
      <c r="B47" s="32" t="s">
        <v>356</v>
      </c>
      <c r="C47" s="33" t="s">
        <v>357</v>
      </c>
      <c r="D47" s="34" t="n">
        <v>25000</v>
      </c>
      <c r="E47" s="35" t="n">
        <f aca="false">①札幌予測確定!E47</f>
        <v>0</v>
      </c>
      <c r="F47" s="35" t="n">
        <f aca="false">①札幌予測確定!P47</f>
        <v>0</v>
      </c>
      <c r="G47" s="35" t="n">
        <f aca="false">①札幌予測確定!S47</f>
        <v>4</v>
      </c>
      <c r="H47" s="37" t="n">
        <f aca="false">IFERROR(F47/G47,0)</f>
        <v>0</v>
      </c>
      <c r="I47" s="38" t="n">
        <f aca="false">F47-G47</f>
        <v>-4</v>
      </c>
      <c r="J47" s="39" t="str">
        <f aca="false">IF(I47&gt;0,"要 追加発注",IF(H47&gt;=0.9,"要注意(90%超)",IF(H47&gt;=0.5,"適正","在庫余剰")))</f>
        <v>在庫余剰</v>
      </c>
      <c r="K47" s="35" t="n">
        <f aca="false">IF(I47&gt;0,ROUNDUP(I47*(1+前提・入力!$B$35),0),0)</f>
        <v>0</v>
      </c>
      <c r="L47" s="35" t="n">
        <f aca="false">③石川以降予測!N70</f>
        <v>1</v>
      </c>
      <c r="M47" s="35" t="n">
        <f aca="false">③石川以降予測!S70</f>
        <v>4</v>
      </c>
      <c r="N47" s="35" t="n">
        <f aca="false">③石川以降予測!Q70</f>
        <v>70</v>
      </c>
      <c r="O47" s="38" t="n">
        <f aca="false">L47-M47-N47</f>
        <v>-73</v>
      </c>
      <c r="P47" s="39" t="str">
        <f aca="false">IF(O47&gt;0,"要 追加生産",IF(L47=0,"—","在庫で充足"))</f>
        <v>在庫で充足</v>
      </c>
      <c r="Q47" s="35" t="n">
        <f aca="false">③石川以降予測!X70</f>
        <v>0</v>
      </c>
      <c r="R47" s="35" t="n">
        <f aca="false">K47+Q47</f>
        <v>0</v>
      </c>
      <c r="S47" s="34" t="n">
        <f aca="false">R47*D47</f>
        <v>0</v>
      </c>
      <c r="T47" s="69" t="s">
        <v>518</v>
      </c>
      <c r="U47" s="32"/>
      <c r="V47" s="68" t="str">
        <f aca="false">IF(OR(U47="",U47="再生産不可"),"",U47-前提・入力!$B$39)</f>
        <v/>
      </c>
      <c r="W47" s="66" t="str">
        <f aca="false">IF(T47="—","—",IF(U47="再生産不可","×再生産不可",_xlfn.IFS(V47&lt;0,"★期限超過",V47&lt;=30,"★至急(30日以内)",V47&lt;=90,"要着手(90日以内)",TRUE(),"余裕あり")))</f>
        <v>—</v>
      </c>
      <c r="X47" s="32" t="str">
        <f aca="false">IF(Y47&lt;&gt;"",IF(FALSE(),"S:現場欠品(追納不可)","S:現場欠品"),IF(I47&gt;0,"A:会期中欠品",IF(O47&gt;1000,"B:大口",IF(O47&gt;0,"C:通常","D:不要"))))</f>
        <v>D:不要</v>
      </c>
      <c r="Y47" s="69"/>
      <c r="Z47" s="69" t="str">
        <f aca="false">IF(Y47&lt;&gt;"",IF(I47&gt;0,"◎ 一致（モデルも会期中欠品を検知）",IF(H47&gt;=0.7,"○ 整合（予測消化率70%超）","△ モデル未検知：現場報告を優先")),IF(I47&gt;0,"▲ モデルのみ検知：現場に在庫状況を確認","—"))</f>
        <v>—</v>
      </c>
      <c r="AA47" s="66" t="s">
        <v>536</v>
      </c>
    </row>
    <row r="48" customFormat="false" ht="15" hidden="false" customHeight="false" outlineLevel="0" collapsed="false">
      <c r="A48" s="32" t="n">
        <v>42</v>
      </c>
      <c r="B48" s="32" t="s">
        <v>358</v>
      </c>
      <c r="C48" s="33" t="s">
        <v>359</v>
      </c>
      <c r="D48" s="34" t="n">
        <v>25000</v>
      </c>
      <c r="E48" s="35" t="n">
        <f aca="false">①札幌予測確定!E48</f>
        <v>1</v>
      </c>
      <c r="F48" s="35" t="n">
        <f aca="false">①札幌予測確定!P48</f>
        <v>2</v>
      </c>
      <c r="G48" s="35" t="n">
        <f aca="false">①札幌予測確定!S48</f>
        <v>6</v>
      </c>
      <c r="H48" s="37" t="n">
        <f aca="false">IFERROR(F48/G48,0)</f>
        <v>0.333333333333333</v>
      </c>
      <c r="I48" s="38" t="n">
        <f aca="false">F48-G48</f>
        <v>-4</v>
      </c>
      <c r="J48" s="39" t="str">
        <f aca="false">IF(I48&gt;0,"要 追加発注",IF(H48&gt;=0.9,"要注意(90%超)",IF(H48&gt;=0.5,"適正","在庫余剰")))</f>
        <v>在庫余剰</v>
      </c>
      <c r="K48" s="35" t="n">
        <f aca="false">IF(I48&gt;0,ROUNDUP(I48*(1+前提・入力!$B$35),0),0)</f>
        <v>0</v>
      </c>
      <c r="L48" s="35" t="n">
        <f aca="false">③石川以降予測!N71</f>
        <v>15</v>
      </c>
      <c r="M48" s="35" t="n">
        <f aca="false">③石川以降予測!S71</f>
        <v>4</v>
      </c>
      <c r="N48" s="35" t="n">
        <f aca="false">③石川以降予測!Q71</f>
        <v>43</v>
      </c>
      <c r="O48" s="38" t="n">
        <f aca="false">L48-M48-N48</f>
        <v>-32</v>
      </c>
      <c r="P48" s="39" t="str">
        <f aca="false">IF(O48&gt;0,"要 追加生産",IF(L48=0,"—","在庫で充足"))</f>
        <v>在庫で充足</v>
      </c>
      <c r="Q48" s="35" t="n">
        <f aca="false">③石川以降予測!X71</f>
        <v>0</v>
      </c>
      <c r="R48" s="35" t="n">
        <f aca="false">K48+Q48</f>
        <v>0</v>
      </c>
      <c r="S48" s="34" t="n">
        <f aca="false">R48*D48</f>
        <v>0</v>
      </c>
      <c r="T48" s="69" t="s">
        <v>518</v>
      </c>
      <c r="U48" s="32"/>
      <c r="V48" s="68" t="str">
        <f aca="false">IF(OR(U48="",U48="再生産不可"),"",U48-前提・入力!$B$39)</f>
        <v/>
      </c>
      <c r="W48" s="66" t="str">
        <f aca="false">IF(T48="—","—",IF(U48="再生産不可","×再生産不可",_xlfn.IFS(V48&lt;0,"★期限超過",V48&lt;=30,"★至急(30日以内)",V48&lt;=90,"要着手(90日以内)",TRUE(),"余裕あり")))</f>
        <v>—</v>
      </c>
      <c r="X48" s="32" t="str">
        <f aca="false">IF(Y48&lt;&gt;"",IF(FALSE(),"S:現場欠品(追納不可)","S:現場欠品"),IF(I48&gt;0,"A:会期中欠品",IF(O48&gt;1000,"B:大口",IF(O48&gt;0,"C:通常","D:不要"))))</f>
        <v>D:不要</v>
      </c>
      <c r="Y48" s="69"/>
      <c r="Z48" s="69" t="str">
        <f aca="false">IF(Y48&lt;&gt;"",IF(I48&gt;0,"◎ 一致（モデルも会期中欠品を検知）",IF(H48&gt;=0.7,"○ 整合（予測消化率70%超）","△ モデル未検知：現場報告を優先")),IF(I48&gt;0,"▲ モデルのみ検知：現場に在庫状況を確認","—"))</f>
        <v>—</v>
      </c>
      <c r="AA48" s="66" t="s">
        <v>537</v>
      </c>
    </row>
    <row r="49" customFormat="false" ht="15" hidden="false" customHeight="false" outlineLevel="0" collapsed="false">
      <c r="A49" s="40"/>
      <c r="B49" s="40"/>
      <c r="C49" s="41" t="s">
        <v>360</v>
      </c>
      <c r="D49" s="40"/>
      <c r="E49" s="42" t="n">
        <f aca="false">SUM(E7:E48)</f>
        <v>5077</v>
      </c>
      <c r="F49" s="42" t="n">
        <f aca="false">SUM(F7:F48)</f>
        <v>8740</v>
      </c>
      <c r="G49" s="42" t="n">
        <f aca="false">SUM(G7:G48)</f>
        <v>50506</v>
      </c>
      <c r="H49" s="45" t="n">
        <f aca="false">IFERROR(F49/G49,0)</f>
        <v>0.173048746683562</v>
      </c>
      <c r="I49" s="42" t="n">
        <f aca="false">SUM(I7:I48)</f>
        <v>-41766</v>
      </c>
      <c r="J49" s="40" t="str">
        <f aca="false">COUNTIF(J7:J48,"要 追加発注")&amp;"品目"</f>
        <v>1品目</v>
      </c>
      <c r="K49" s="42" t="n">
        <f aca="false">SUM(K7:K48)</f>
        <v>3</v>
      </c>
      <c r="L49" s="42" t="n">
        <f aca="false">SUM(L7:L48)</f>
        <v>81791</v>
      </c>
      <c r="M49" s="42" t="n">
        <f aca="false">SUM(M7:M48)</f>
        <v>41768</v>
      </c>
      <c r="N49" s="42" t="n">
        <f aca="false">SUM(N7:N48)</f>
        <v>224182</v>
      </c>
      <c r="O49" s="42" t="n">
        <f aca="false">SUM(O7:O48)</f>
        <v>-184159</v>
      </c>
      <c r="P49" s="40" t="str">
        <f aca="false">COUNTIF(P7:P48,"要 追加生産")&amp;"品目"</f>
        <v>9品目</v>
      </c>
      <c r="Q49" s="42" t="n">
        <f aca="false">SUM(Q7:Q48)</f>
        <v>2812</v>
      </c>
      <c r="R49" s="42" t="n">
        <f aca="false">SUM(R7:R48)</f>
        <v>2815</v>
      </c>
      <c r="S49" s="44" t="n">
        <f aca="false">SUM(S7:S48)</f>
        <v>4494600</v>
      </c>
      <c r="T49" s="40"/>
      <c r="U49" s="40" t="str">
        <f aca="false">IF(COUNT(U7:U48)=0,"",TEXT(MIN(U7:U48),"yyyy/m/d")&amp;" が最短期限")</f>
        <v>2026/5/24 が最短期限</v>
      </c>
      <c r="V49" s="40"/>
      <c r="W49" s="40" t="str">
        <f aca="false">COUNTIF(W7:W48,"★期限超過")&amp;"品目が期限超過／"&amp;COUNTIF(W7:W48,"★至急(30日以内)")&amp;"品目が至急"</f>
        <v>1品目が期限超過／0品目が至急</v>
      </c>
      <c r="X49" s="40"/>
      <c r="Y49" s="40" t="str">
        <f aca="false">COUNTIF(Y7:Y48,"&lt;&gt;")&amp;"品目 報告あり"</f>
        <v>8品目 報告あり</v>
      </c>
      <c r="Z49" s="40"/>
      <c r="AA49" s="40"/>
    </row>
  </sheetData>
  <conditionalFormatting sqref="J7:J48">
    <cfRule type="expression" priority="2" aboveAverage="0" equalAverage="0" bottom="0" percent="0" rank="0" text="" dxfId="3">
      <formula>$J7="要 追加発注"</formula>
    </cfRule>
    <cfRule type="expression" priority="3" aboveAverage="0" equalAverage="0" bottom="0" percent="0" rank="0" text="" dxfId="1">
      <formula>$J7="要注意(90%超)"</formula>
    </cfRule>
    <cfRule type="expression" priority="4" aboveAverage="0" equalAverage="0" bottom="0" percent="0" rank="0" text="" dxfId="2">
      <formula>$J7="適正"</formula>
    </cfRule>
  </conditionalFormatting>
  <conditionalFormatting sqref="P7:P48">
    <cfRule type="expression" priority="5" aboveAverage="0" equalAverage="0" bottom="0" percent="0" rank="0" text="" dxfId="3">
      <formula>$P7="要 追加生産"</formula>
    </cfRule>
  </conditionalFormatting>
  <conditionalFormatting sqref="T7:T48">
    <cfRule type="expression" priority="6" aboveAverage="0" equalAverage="0" bottom="0" percent="0" rank="0" text="" dxfId="3">
      <formula>$T7&lt;&gt;"—"</formula>
    </cfRule>
  </conditionalFormatting>
  <conditionalFormatting sqref="W7:W48">
    <cfRule type="expression" priority="7" aboveAverage="0" equalAverage="0" bottom="0" percent="0" rank="0" text="" dxfId="3">
      <formula>LEFT($W7,1)="★"</formula>
    </cfRule>
    <cfRule type="expression" priority="8" aboveAverage="0" equalAverage="0" bottom="0" percent="0" rank="0" text="" dxfId="1">
      <formula>$W7="要着手(90日以内)"</formula>
    </cfRule>
    <cfRule type="expression" priority="9" aboveAverage="0" equalAverage="0" bottom="0" percent="0" rank="0" text="" dxfId="2">
      <formula>$W7="余裕あり"</formula>
    </cfRule>
  </conditionalFormatting>
  <conditionalFormatting sqref="X7:X48">
    <cfRule type="expression" priority="10" aboveAverage="0" equalAverage="0" bottom="0" percent="0" rank="0" text="" dxfId="3">
      <formula>LEFT($X7,1)="S"</formula>
    </cfRule>
    <cfRule type="expression" priority="11" aboveAverage="0" equalAverage="0" bottom="0" percent="0" rank="0" text="" dxfId="3">
      <formula>$X7="A:会期中欠品"</formula>
    </cfRule>
    <cfRule type="expression" priority="12" aboveAverage="0" equalAverage="0" bottom="0" percent="0" rank="0" text="" dxfId="1">
      <formula>$X7="B:大口"</formula>
    </cfRule>
  </conditionalFormatting>
  <conditionalFormatting sqref="Y7:Y48">
    <cfRule type="expression" priority="13" aboveAverage="0" equalAverage="0" bottom="0" percent="0" rank="0" text="" dxfId="3">
      <formula>$Y7&lt;&gt;""</formula>
    </cfRule>
  </conditionalFormatting>
  <conditionalFormatting sqref="Z7:Z48">
    <cfRule type="expression" priority="14" aboveAverage="0" equalAverage="0" bottom="0" percent="0" rank="0" text="" dxfId="1">
      <formula>LEFT($Z7,1)="△"</formula>
    </cfRule>
    <cfRule type="expression" priority="15" aboveAverage="0" equalAverage="0" bottom="0" percent="0" rank="0" text="" dxfId="1">
      <formula>LEFT($Z7,1)="▲"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Z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5"/>
    <col collapsed="false" customWidth="true" hidden="false" outlineLevel="0" max="3" min="3" style="0" width="44"/>
    <col collapsed="false" customWidth="true" hidden="false" outlineLevel="0" max="5" min="4" style="0" width="9"/>
    <col collapsed="false" customWidth="true" hidden="false" outlineLevel="0" max="6" min="6" style="0" width="10"/>
    <col collapsed="false" customWidth="true" hidden="false" outlineLevel="0" max="7" min="7" style="0" width="9"/>
    <col collapsed="false" customWidth="true" hidden="false" outlineLevel="0" max="8" min="8" style="0" width="12"/>
    <col collapsed="false" customWidth="true" hidden="false" outlineLevel="0" max="12" min="9" style="0" width="9"/>
    <col collapsed="false" customWidth="true" hidden="false" outlineLevel="0" max="13" min="13" style="0" width="10"/>
    <col collapsed="false" customWidth="true" hidden="false" outlineLevel="0" max="14" min="14" style="0" width="9"/>
    <col collapsed="false" customWidth="true" hidden="false" outlineLevel="0" max="15" min="15" style="0" width="12"/>
    <col collapsed="false" customWidth="true" hidden="false" outlineLevel="0" max="19" min="16" style="0" width="9"/>
    <col collapsed="false" customWidth="true" hidden="false" outlineLevel="0" max="20" min="20" style="0" width="10"/>
    <col collapsed="false" customWidth="true" hidden="false" outlineLevel="0" max="21" min="21" style="0" width="9"/>
    <col collapsed="false" customWidth="true" hidden="false" outlineLevel="0" max="22" min="22" style="0" width="12"/>
    <col collapsed="false" customWidth="true" hidden="false" outlineLevel="0" max="26" min="23" style="0" width="9"/>
    <col collapsed="false" customWidth="true" hidden="false" outlineLevel="0" max="27" min="27" style="0" width="10"/>
    <col collapsed="false" customWidth="true" hidden="false" outlineLevel="0" max="28" min="28" style="0" width="9"/>
    <col collapsed="false" customWidth="true" hidden="false" outlineLevel="0" max="29" min="29" style="0" width="12"/>
    <col collapsed="false" customWidth="true" hidden="false" outlineLevel="0" max="33" min="30" style="0" width="9"/>
    <col collapsed="false" customWidth="true" hidden="false" outlineLevel="0" max="34" min="34" style="0" width="10"/>
    <col collapsed="false" customWidth="true" hidden="false" outlineLevel="0" max="35" min="35" style="0" width="9"/>
    <col collapsed="false" customWidth="true" hidden="false" outlineLevel="0" max="36" min="36" style="0" width="12"/>
    <col collapsed="false" customWidth="true" hidden="false" outlineLevel="0" max="40" min="37" style="0" width="9"/>
    <col collapsed="false" customWidth="true" hidden="false" outlineLevel="0" max="41" min="41" style="0" width="10"/>
    <col collapsed="false" customWidth="true" hidden="false" outlineLevel="0" max="42" min="42" style="0" width="12"/>
    <col collapsed="false" customWidth="true" hidden="false" outlineLevel="0" max="43" min="43" style="0" width="9"/>
    <col collapsed="false" customWidth="true" hidden="false" outlineLevel="0" max="45" min="44" style="0" width="10"/>
    <col collapsed="false" customWidth="true" hidden="false" outlineLevel="0" max="46" min="46" style="0" width="11"/>
    <col collapsed="false" customWidth="true" hidden="false" outlineLevel="0" max="47" min="47" style="0" width="10"/>
    <col collapsed="false" customWidth="true" hidden="false" outlineLevel="0" max="48" min="48" style="0" width="11"/>
    <col collapsed="false" customWidth="true" hidden="false" outlineLevel="0" max="49" min="49" style="0" width="14"/>
    <col collapsed="false" customWidth="true" hidden="false" outlineLevel="0" max="50" min="50" style="0" width="13"/>
    <col collapsed="false" customWidth="true" hidden="false" outlineLevel="0" max="52" min="51" style="0" width="10"/>
  </cols>
  <sheetData>
    <row r="1" customFormat="false" ht="20.1" hidden="false" customHeight="false" outlineLevel="0" collapsed="false">
      <c r="A1" s="1" t="s">
        <v>538</v>
      </c>
    </row>
    <row r="2" customFormat="false" ht="15" hidden="false" customHeight="false" outlineLevel="0" collapsed="false">
      <c r="A2" s="3" t="s">
        <v>539</v>
      </c>
    </row>
    <row r="3" customFormat="false" ht="15" hidden="false" customHeight="false" outlineLevel="0" collapsed="false">
      <c r="A3" s="3" t="s">
        <v>540</v>
      </c>
    </row>
    <row r="5" customFormat="false" ht="19.5" hidden="false" customHeight="true" outlineLevel="0" collapsed="false">
      <c r="A5" s="70" t="s">
        <v>541</v>
      </c>
      <c r="B5" s="70"/>
      <c r="C5" s="70"/>
      <c r="D5" s="70"/>
      <c r="E5" s="71" t="s">
        <v>542</v>
      </c>
      <c r="F5" s="71"/>
      <c r="G5" s="71"/>
      <c r="H5" s="71"/>
      <c r="I5" s="71"/>
      <c r="J5" s="71"/>
      <c r="K5" s="71"/>
      <c r="L5" s="72" t="s">
        <v>543</v>
      </c>
      <c r="M5" s="72"/>
      <c r="N5" s="72"/>
      <c r="O5" s="72"/>
      <c r="P5" s="72"/>
      <c r="Q5" s="72"/>
      <c r="R5" s="72"/>
      <c r="S5" s="73" t="s">
        <v>544</v>
      </c>
      <c r="T5" s="73"/>
      <c r="U5" s="73"/>
      <c r="V5" s="73"/>
      <c r="W5" s="73"/>
      <c r="X5" s="73"/>
      <c r="Y5" s="73"/>
      <c r="Z5" s="74" t="s">
        <v>545</v>
      </c>
      <c r="AA5" s="74"/>
      <c r="AB5" s="74"/>
      <c r="AC5" s="74"/>
      <c r="AD5" s="74"/>
      <c r="AE5" s="74"/>
      <c r="AF5" s="74"/>
      <c r="AG5" s="75" t="s">
        <v>546</v>
      </c>
      <c r="AH5" s="75"/>
      <c r="AI5" s="75"/>
      <c r="AJ5" s="75"/>
      <c r="AK5" s="75"/>
      <c r="AL5" s="75"/>
      <c r="AM5" s="75"/>
      <c r="AN5" s="75" t="s">
        <v>547</v>
      </c>
      <c r="AO5" s="75"/>
      <c r="AP5" s="75"/>
      <c r="AQ5" s="75"/>
      <c r="AR5" s="75"/>
      <c r="AS5" s="76" t="s">
        <v>548</v>
      </c>
      <c r="AT5" s="76"/>
      <c r="AU5" s="76"/>
      <c r="AV5" s="76"/>
      <c r="AW5" s="77" t="s">
        <v>549</v>
      </c>
      <c r="AX5" s="77"/>
      <c r="AY5" s="77"/>
      <c r="AZ5" s="77"/>
    </row>
    <row r="6" customFormat="false" ht="33.75" hidden="false" customHeight="true" outlineLevel="0" collapsed="false">
      <c r="A6" s="25" t="s">
        <v>253</v>
      </c>
      <c r="B6" s="25" t="s">
        <v>254</v>
      </c>
      <c r="C6" s="26" t="s">
        <v>255</v>
      </c>
      <c r="D6" s="26" t="s">
        <v>550</v>
      </c>
      <c r="E6" s="47" t="s">
        <v>256</v>
      </c>
      <c r="F6" s="47" t="s">
        <v>551</v>
      </c>
      <c r="G6" s="47" t="s">
        <v>552</v>
      </c>
      <c r="H6" s="47" t="s">
        <v>553</v>
      </c>
      <c r="I6" s="47" t="s">
        <v>554</v>
      </c>
      <c r="J6" s="47" t="s">
        <v>555</v>
      </c>
      <c r="K6" s="47" t="s">
        <v>556</v>
      </c>
      <c r="L6" s="28" t="s">
        <v>256</v>
      </c>
      <c r="M6" s="28" t="s">
        <v>551</v>
      </c>
      <c r="N6" s="28" t="s">
        <v>552</v>
      </c>
      <c r="O6" s="28" t="s">
        <v>553</v>
      </c>
      <c r="P6" s="28" t="s">
        <v>554</v>
      </c>
      <c r="Q6" s="28" t="s">
        <v>555</v>
      </c>
      <c r="R6" s="28" t="s">
        <v>556</v>
      </c>
      <c r="S6" s="29" t="s">
        <v>256</v>
      </c>
      <c r="T6" s="29" t="s">
        <v>551</v>
      </c>
      <c r="U6" s="29" t="s">
        <v>552</v>
      </c>
      <c r="V6" s="29" t="s">
        <v>553</v>
      </c>
      <c r="W6" s="29" t="s">
        <v>554</v>
      </c>
      <c r="X6" s="29" t="s">
        <v>555</v>
      </c>
      <c r="Y6" s="29" t="s">
        <v>556</v>
      </c>
      <c r="Z6" s="30" t="s">
        <v>256</v>
      </c>
      <c r="AA6" s="30" t="s">
        <v>551</v>
      </c>
      <c r="AB6" s="30" t="s">
        <v>552</v>
      </c>
      <c r="AC6" s="30" t="s">
        <v>553</v>
      </c>
      <c r="AD6" s="30" t="s">
        <v>554</v>
      </c>
      <c r="AE6" s="30" t="s">
        <v>555</v>
      </c>
      <c r="AF6" s="30" t="s">
        <v>556</v>
      </c>
      <c r="AG6" s="27" t="s">
        <v>256</v>
      </c>
      <c r="AH6" s="27" t="s">
        <v>551</v>
      </c>
      <c r="AI6" s="27" t="s">
        <v>552</v>
      </c>
      <c r="AJ6" s="27" t="s">
        <v>553</v>
      </c>
      <c r="AK6" s="27" t="s">
        <v>554</v>
      </c>
      <c r="AL6" s="27" t="s">
        <v>555</v>
      </c>
      <c r="AM6" s="27" t="s">
        <v>556</v>
      </c>
      <c r="AN6" s="27" t="s">
        <v>267</v>
      </c>
      <c r="AO6" s="27" t="s">
        <v>557</v>
      </c>
      <c r="AP6" s="27" t="s">
        <v>558</v>
      </c>
      <c r="AQ6" s="27" t="s">
        <v>272</v>
      </c>
      <c r="AR6" s="27" t="s">
        <v>273</v>
      </c>
      <c r="AS6" s="48" t="s">
        <v>559</v>
      </c>
      <c r="AT6" s="48" t="s">
        <v>560</v>
      </c>
      <c r="AU6" s="48" t="s">
        <v>561</v>
      </c>
      <c r="AV6" s="48" t="s">
        <v>490</v>
      </c>
      <c r="AW6" s="31" t="s">
        <v>500</v>
      </c>
      <c r="AX6" s="31" t="s">
        <v>506</v>
      </c>
      <c r="AY6" s="31" t="s">
        <v>562</v>
      </c>
      <c r="AZ6" s="31" t="s">
        <v>514</v>
      </c>
    </row>
    <row r="7" customFormat="false" ht="15" hidden="false" customHeight="false" outlineLevel="0" collapsed="false">
      <c r="A7" s="32" t="n">
        <v>1</v>
      </c>
      <c r="B7" s="32" t="s">
        <v>276</v>
      </c>
      <c r="C7" s="33" t="s">
        <v>277</v>
      </c>
      <c r="D7" s="34" t="n">
        <v>500</v>
      </c>
      <c r="E7" s="34" t="n">
        <v>500</v>
      </c>
      <c r="F7" s="35" t="n">
        <v>4965</v>
      </c>
      <c r="G7" s="37" t="n">
        <f aca="false">IFERROR(F7/F$49,0)</f>
        <v>0.0335054155278874</v>
      </c>
      <c r="H7" s="34" t="n">
        <f aca="false">F7*E7</f>
        <v>2482500</v>
      </c>
      <c r="I7" s="37" t="n">
        <f aca="false">IFERROR(H7/H$49,0)</f>
        <v>0.0242938870414988</v>
      </c>
      <c r="J7" s="35" t="n">
        <v>6000</v>
      </c>
      <c r="K7" s="37" t="n">
        <f aca="false">IFERROR(F7/J7,0)</f>
        <v>0.8275</v>
      </c>
      <c r="L7" s="34" t="n">
        <v>500</v>
      </c>
      <c r="M7" s="35" t="n">
        <v>1316</v>
      </c>
      <c r="N7" s="37" t="n">
        <f aca="false">IFERROR(M7/M$49,0)</f>
        <v>0.022457337883959</v>
      </c>
      <c r="O7" s="34" t="n">
        <f aca="false">M7*L7</f>
        <v>658000</v>
      </c>
      <c r="P7" s="37" t="n">
        <f aca="false">IFERROR(O7/O$49,0)</f>
        <v>0.0158632195103135</v>
      </c>
      <c r="Q7" s="35" t="n">
        <v>1998</v>
      </c>
      <c r="R7" s="37" t="n">
        <f aca="false">IFERROR(M7/Q7,0)</f>
        <v>0.658658658658659</v>
      </c>
      <c r="S7" s="34" t="n">
        <v>500</v>
      </c>
      <c r="T7" s="35" t="n">
        <v>1092</v>
      </c>
      <c r="U7" s="37" t="n">
        <f aca="false">IFERROR(T7/T$49,0)</f>
        <v>0.0243364311024938</v>
      </c>
      <c r="V7" s="34" t="n">
        <f aca="false">T7*S7</f>
        <v>546000</v>
      </c>
      <c r="W7" s="37" t="n">
        <f aca="false">IFERROR(V7/V$49,0)</f>
        <v>0.0175976897391932</v>
      </c>
      <c r="X7" s="35" t="n">
        <v>1099</v>
      </c>
      <c r="Y7" s="37" t="n">
        <f aca="false">IFERROR(T7/X7,0)</f>
        <v>0.993630573248408</v>
      </c>
      <c r="Z7" s="34" t="n">
        <v>500</v>
      </c>
      <c r="AA7" s="35" t="n">
        <v>2325</v>
      </c>
      <c r="AB7" s="37" t="n">
        <f aca="false">IFERROR(AA7/AA$49,0)</f>
        <v>0.0364763100094132</v>
      </c>
      <c r="AC7" s="34" t="n">
        <f aca="false">AA7*Z7</f>
        <v>1162500</v>
      </c>
      <c r="AD7" s="37" t="n">
        <f aca="false">IFERROR(AC7/AC$49,0)</f>
        <v>0.0255451836616301</v>
      </c>
      <c r="AE7" s="35" t="n">
        <v>3000</v>
      </c>
      <c r="AF7" s="37" t="n">
        <f aca="false">IFERROR(AA7/AE7,0)</f>
        <v>0.775</v>
      </c>
      <c r="AG7" s="34" t="n">
        <v>500</v>
      </c>
      <c r="AH7" s="35" t="n">
        <v>261</v>
      </c>
      <c r="AI7" s="37" t="n">
        <f aca="false">IFERROR(AH7/AH$49,0)</f>
        <v>0.0514083119952728</v>
      </c>
      <c r="AJ7" s="34" t="n">
        <f aca="false">AH7*AG7</f>
        <v>130500</v>
      </c>
      <c r="AK7" s="37" t="n">
        <f aca="false">IFERROR(AJ7/AJ$49,0)</f>
        <v>0.0321531524872496</v>
      </c>
      <c r="AL7" s="35" t="n">
        <v>1000</v>
      </c>
      <c r="AM7" s="37" t="n">
        <f aca="false">IFERROR(AH7/AL7,0)</f>
        <v>0.261</v>
      </c>
      <c r="AN7" s="36" t="n">
        <f aca="false">①札幌予測確定!O7</f>
        <v>1.78831715218752</v>
      </c>
      <c r="AO7" s="35" t="n">
        <f aca="false">①札幌予測確定!P7</f>
        <v>467</v>
      </c>
      <c r="AP7" s="34" t="n">
        <f aca="false">①札幌予測確定!Q7</f>
        <v>233500</v>
      </c>
      <c r="AQ7" s="37" t="n">
        <f aca="false">①札幌予測確定!T7</f>
        <v>0.467</v>
      </c>
      <c r="AR7" s="35" t="n">
        <f aca="false">①札幌予測確定!U7</f>
        <v>533</v>
      </c>
      <c r="AS7" s="35" t="n">
        <f aca="false">③石川以降予測!N30</f>
        <v>3676</v>
      </c>
      <c r="AT7" s="35" t="n">
        <f aca="false">③石川以降予測!T30</f>
        <v>2797</v>
      </c>
      <c r="AU7" s="38" t="n">
        <f aca="false">③石川以降予測!V30</f>
        <v>879</v>
      </c>
      <c r="AV7" s="35" t="n">
        <f aca="false">③石川以降予測!W30</f>
        <v>879</v>
      </c>
      <c r="AW7" s="32" t="str">
        <f aca="false">④追加発注判定!J7</f>
        <v>在庫余剰</v>
      </c>
      <c r="AX7" s="32" t="str">
        <f aca="false">④追加発注判定!P7</f>
        <v>要 追加生産</v>
      </c>
      <c r="AY7" s="35" t="n">
        <f aca="false">④追加発注判定!R7</f>
        <v>967</v>
      </c>
      <c r="AZ7" s="32" t="str">
        <f aca="false">④追加発注判定!X7</f>
        <v>C:通常</v>
      </c>
    </row>
    <row r="8" customFormat="false" ht="15" hidden="false" customHeight="false" outlineLevel="0" collapsed="false">
      <c r="A8" s="32" t="n">
        <v>2</v>
      </c>
      <c r="B8" s="32" t="s">
        <v>278</v>
      </c>
      <c r="C8" s="33" t="s">
        <v>279</v>
      </c>
      <c r="D8" s="34" t="n">
        <v>600</v>
      </c>
      <c r="E8" s="34" t="n">
        <v>600</v>
      </c>
      <c r="F8" s="35" t="n">
        <v>4902</v>
      </c>
      <c r="G8" s="37" t="n">
        <f aca="false">IFERROR(F8/F$49,0)</f>
        <v>0.0330802712825185</v>
      </c>
      <c r="H8" s="34" t="n">
        <f aca="false">F8*E8</f>
        <v>2941200</v>
      </c>
      <c r="I8" s="37" t="n">
        <f aca="false">IFERROR(H8/H$49,0)</f>
        <v>0.0287827514869914</v>
      </c>
      <c r="J8" s="35" t="n">
        <v>5699</v>
      </c>
      <c r="K8" s="37" t="n">
        <f aca="false">IFERROR(F8/J8,0)</f>
        <v>0.86015090366731</v>
      </c>
      <c r="L8" s="34" t="n">
        <v>600</v>
      </c>
      <c r="M8" s="35" t="n">
        <v>1466</v>
      </c>
      <c r="N8" s="37" t="n">
        <f aca="false">IFERROR(M8/M$49,0)</f>
        <v>0.0250170648464164</v>
      </c>
      <c r="O8" s="34" t="n">
        <f aca="false">M8*L8</f>
        <v>879600</v>
      </c>
      <c r="P8" s="37" t="n">
        <f aca="false">IFERROR(O8/O$49,0)</f>
        <v>0.0212056046827838</v>
      </c>
      <c r="Q8" s="35" t="n">
        <v>1999</v>
      </c>
      <c r="R8" s="37" t="n">
        <f aca="false">IFERROR(M8/Q8,0)</f>
        <v>0.733366683341671</v>
      </c>
      <c r="S8" s="34" t="n">
        <v>600</v>
      </c>
      <c r="T8" s="35" t="n">
        <v>1132</v>
      </c>
      <c r="U8" s="37" t="n">
        <f aca="false">IFERROR(T8/T$49,0)</f>
        <v>0.0252278754652225</v>
      </c>
      <c r="V8" s="34" t="n">
        <f aca="false">T8*S8</f>
        <v>679200</v>
      </c>
      <c r="W8" s="37" t="n">
        <f aca="false">IFERROR(V8/V$49,0)</f>
        <v>0.0218907525107327</v>
      </c>
      <c r="X8" s="35" t="n">
        <v>1200</v>
      </c>
      <c r="Y8" s="37" t="n">
        <f aca="false">IFERROR(T8/X8,0)</f>
        <v>0.943333333333333</v>
      </c>
      <c r="Z8" s="34" t="n">
        <v>600</v>
      </c>
      <c r="AA8" s="35" t="n">
        <v>1965</v>
      </c>
      <c r="AB8" s="37" t="n">
        <f aca="false">IFERROR(AA8/AA$49,0)</f>
        <v>0.0308283652337622</v>
      </c>
      <c r="AC8" s="34" t="n">
        <f aca="false">AA8*Z8</f>
        <v>1179000</v>
      </c>
      <c r="AD8" s="37" t="n">
        <f aca="false">IFERROR(AC8/AC$49,0)</f>
        <v>0.0259077604619888</v>
      </c>
      <c r="AE8" s="35" t="n">
        <v>3000</v>
      </c>
      <c r="AF8" s="37" t="n">
        <f aca="false">IFERROR(AA8/AE8,0)</f>
        <v>0.655</v>
      </c>
      <c r="AG8" s="34" t="n">
        <v>600</v>
      </c>
      <c r="AH8" s="35" t="n">
        <v>283</v>
      </c>
      <c r="AI8" s="37" t="n">
        <f aca="false">IFERROR(AH8/AH$49,0)</f>
        <v>0.0557415796730353</v>
      </c>
      <c r="AJ8" s="34" t="n">
        <f aca="false">AH8*AG8</f>
        <v>169800</v>
      </c>
      <c r="AK8" s="37" t="n">
        <f aca="false">IFERROR(AJ8/AJ$49,0)</f>
        <v>0.0418360558799616</v>
      </c>
      <c r="AL8" s="35" t="n">
        <v>1000</v>
      </c>
      <c r="AM8" s="37" t="n">
        <f aca="false">IFERROR(AH8/AL8,0)</f>
        <v>0.283</v>
      </c>
      <c r="AN8" s="36" t="n">
        <f aca="false">①札幌予測確定!O8</f>
        <v>1.79920176532031</v>
      </c>
      <c r="AO8" s="35" t="n">
        <f aca="false">①札幌予測確定!P8</f>
        <v>509</v>
      </c>
      <c r="AP8" s="34" t="n">
        <f aca="false">①札幌予測確定!Q8</f>
        <v>305400</v>
      </c>
      <c r="AQ8" s="37" t="n">
        <f aca="false">①札幌予測確定!T8</f>
        <v>0.509</v>
      </c>
      <c r="AR8" s="35" t="n">
        <f aca="false">①札幌予測確定!U8</f>
        <v>491</v>
      </c>
      <c r="AS8" s="35" t="n">
        <f aca="false">③石川以降予測!N31</f>
        <v>3642</v>
      </c>
      <c r="AT8" s="35" t="n">
        <f aca="false">③石川以降予測!T31</f>
        <v>4528</v>
      </c>
      <c r="AU8" s="38" t="n">
        <f aca="false">③石川以降予測!V31</f>
        <v>-886</v>
      </c>
      <c r="AV8" s="35" t="n">
        <f aca="false">③石川以降予測!W31</f>
        <v>0</v>
      </c>
      <c r="AW8" s="32" t="str">
        <f aca="false">④追加発注判定!J8</f>
        <v>適正</v>
      </c>
      <c r="AX8" s="32" t="str">
        <f aca="false">④追加発注判定!P8</f>
        <v>在庫で充足</v>
      </c>
      <c r="AY8" s="35" t="n">
        <f aca="false">④追加発注判定!R8</f>
        <v>0</v>
      </c>
      <c r="AZ8" s="32" t="str">
        <f aca="false">④追加発注判定!X8</f>
        <v>D:不要</v>
      </c>
    </row>
    <row r="9" customFormat="false" ht="15" hidden="false" customHeight="false" outlineLevel="0" collapsed="false">
      <c r="A9" s="32" t="n">
        <v>3</v>
      </c>
      <c r="B9" s="32" t="s">
        <v>280</v>
      </c>
      <c r="C9" s="33" t="s">
        <v>281</v>
      </c>
      <c r="D9" s="34" t="n">
        <v>1000</v>
      </c>
      <c r="E9" s="34" t="n">
        <v>1000</v>
      </c>
      <c r="F9" s="35" t="n">
        <v>2956</v>
      </c>
      <c r="G9" s="37" t="n">
        <f aca="false">IFERROR(F9/F$49,0)</f>
        <v>0.019948037925566</v>
      </c>
      <c r="H9" s="34" t="n">
        <f aca="false">F9*E9</f>
        <v>2956000</v>
      </c>
      <c r="I9" s="37" t="n">
        <f aca="false">IFERROR(H9/H$49,0)</f>
        <v>0.0289275851338048</v>
      </c>
      <c r="J9" s="35" t="n">
        <v>3700</v>
      </c>
      <c r="K9" s="37" t="n">
        <f aca="false">IFERROR(F9/J9,0)</f>
        <v>0.798918918918919</v>
      </c>
      <c r="L9" s="34" t="n">
        <v>1000</v>
      </c>
      <c r="M9" s="35" t="n">
        <v>601</v>
      </c>
      <c r="N9" s="37" t="n">
        <f aca="false">IFERROR(M9/M$49,0)</f>
        <v>0.0102559726962457</v>
      </c>
      <c r="O9" s="34" t="n">
        <f aca="false">M9*L9</f>
        <v>601000</v>
      </c>
      <c r="P9" s="37" t="n">
        <f aca="false">IFERROR(O9/O$49,0)</f>
        <v>0.0144890500390553</v>
      </c>
      <c r="Q9" s="35" t="n">
        <v>1200</v>
      </c>
      <c r="R9" s="37" t="n">
        <f aca="false">IFERROR(M9/Q9,0)</f>
        <v>0.500833333333333</v>
      </c>
      <c r="S9" s="34" t="n">
        <v>1000</v>
      </c>
      <c r="T9" s="35" t="n">
        <v>454</v>
      </c>
      <c r="U9" s="37" t="n">
        <f aca="false">IFERROR(T9/T$49,0)</f>
        <v>0.0101178935169709</v>
      </c>
      <c r="V9" s="34" t="n">
        <f aca="false">T9*S9</f>
        <v>454000</v>
      </c>
      <c r="W9" s="37" t="n">
        <f aca="false">IFERROR(V9/V$49,0)</f>
        <v>0.0146325112483401</v>
      </c>
      <c r="X9" s="35" t="n">
        <v>500</v>
      </c>
      <c r="Y9" s="37" t="n">
        <f aca="false">IFERROR(T9/X9,0)</f>
        <v>0.908</v>
      </c>
      <c r="Z9" s="34" t="n">
        <v>1000</v>
      </c>
      <c r="AA9" s="35" t="n">
        <v>1132</v>
      </c>
      <c r="AB9" s="37" t="n">
        <f aca="false">IFERROR(AA9/AA$49,0)</f>
        <v>0.0177596485723251</v>
      </c>
      <c r="AC9" s="34" t="n">
        <f aca="false">AA9*Z9</f>
        <v>1132000</v>
      </c>
      <c r="AD9" s="37" t="n">
        <f aca="false">IFERROR(AC9/AC$49,0)</f>
        <v>0.0248749659397551</v>
      </c>
      <c r="AE9" s="35" t="n">
        <v>2000</v>
      </c>
      <c r="AF9" s="37" t="n">
        <f aca="false">IFERROR(AA9/AE9,0)</f>
        <v>0.566</v>
      </c>
      <c r="AG9" s="34" t="n">
        <v>1000</v>
      </c>
      <c r="AH9" s="35" t="n">
        <v>102</v>
      </c>
      <c r="AI9" s="37" t="n">
        <f aca="false">IFERROR(AH9/AH$49,0)</f>
        <v>0.0200906046878078</v>
      </c>
      <c r="AJ9" s="34" t="n">
        <f aca="false">AH9*AG9</f>
        <v>102000</v>
      </c>
      <c r="AK9" s="37" t="n">
        <f aca="false">IFERROR(AJ9/AJ$49,0)</f>
        <v>0.0251311996452066</v>
      </c>
      <c r="AL9" s="35" t="n">
        <v>450</v>
      </c>
      <c r="AM9" s="37" t="n">
        <f aca="false">IFERROR(AH9/AL9,0)</f>
        <v>0.226666666666667</v>
      </c>
      <c r="AN9" s="36" t="n">
        <f aca="false">①札幌予測確定!O9</f>
        <v>1.60029744368269</v>
      </c>
      <c r="AO9" s="35" t="n">
        <f aca="false">①札幌予測確定!P9</f>
        <v>163</v>
      </c>
      <c r="AP9" s="34" t="n">
        <f aca="false">①札幌予測確定!Q9</f>
        <v>163000</v>
      </c>
      <c r="AQ9" s="37" t="n">
        <f aca="false">①札幌予測確定!T9</f>
        <v>0.362222222222222</v>
      </c>
      <c r="AR9" s="35" t="n">
        <f aca="false">①札幌予測確定!U9</f>
        <v>287</v>
      </c>
      <c r="AS9" s="35" t="n">
        <f aca="false">③石川以降予測!N32</f>
        <v>1489</v>
      </c>
      <c r="AT9" s="35" t="n">
        <f aca="false">③石川以降予測!T32</f>
        <v>5977</v>
      </c>
      <c r="AU9" s="38" t="n">
        <f aca="false">③石川以降予測!V32</f>
        <v>-4488</v>
      </c>
      <c r="AV9" s="35" t="n">
        <f aca="false">③石川以降予測!W32</f>
        <v>0</v>
      </c>
      <c r="AW9" s="32" t="str">
        <f aca="false">④追加発注判定!J9</f>
        <v>在庫余剰</v>
      </c>
      <c r="AX9" s="32" t="str">
        <f aca="false">④追加発注判定!P9</f>
        <v>在庫で充足</v>
      </c>
      <c r="AY9" s="35" t="n">
        <f aca="false">④追加発注判定!R9</f>
        <v>0</v>
      </c>
      <c r="AZ9" s="32" t="str">
        <f aca="false">④追加発注判定!X9</f>
        <v>D:不要</v>
      </c>
    </row>
    <row r="10" customFormat="false" ht="15" hidden="false" customHeight="false" outlineLevel="0" collapsed="false">
      <c r="A10" s="32" t="n">
        <v>4</v>
      </c>
      <c r="B10" s="32" t="s">
        <v>282</v>
      </c>
      <c r="C10" s="33" t="s">
        <v>283</v>
      </c>
      <c r="D10" s="34" t="n">
        <v>1800</v>
      </c>
      <c r="E10" s="34" t="n">
        <v>1800</v>
      </c>
      <c r="F10" s="35" t="n">
        <v>1819</v>
      </c>
      <c r="G10" s="37" t="n">
        <f aca="false">IFERROR(F10/F$49,0)</f>
        <v>0.0122751965448595</v>
      </c>
      <c r="H10" s="34" t="n">
        <f aca="false">F10*E10</f>
        <v>3274200</v>
      </c>
      <c r="I10" s="37" t="n">
        <f aca="false">IFERROR(H10/H$49,0)</f>
        <v>0.0320415085402921</v>
      </c>
      <c r="J10" s="35" t="n">
        <v>2620</v>
      </c>
      <c r="K10" s="37" t="n">
        <f aca="false">IFERROR(F10/J10,0)</f>
        <v>0.694274809160305</v>
      </c>
      <c r="L10" s="34" t="n">
        <v>1800</v>
      </c>
      <c r="M10" s="35" t="n">
        <v>922</v>
      </c>
      <c r="N10" s="37" t="n">
        <f aca="false">IFERROR(M10/M$49,0)</f>
        <v>0.0157337883959044</v>
      </c>
      <c r="O10" s="34" t="n">
        <f aca="false">M10*L10</f>
        <v>1659600</v>
      </c>
      <c r="P10" s="37" t="n">
        <f aca="false">IFERROR(O10/O$49,0)</f>
        <v>0.0400100290263166</v>
      </c>
      <c r="Q10" s="35" t="n">
        <v>1330</v>
      </c>
      <c r="R10" s="37" t="n">
        <f aca="false">IFERROR(M10/Q10,0)</f>
        <v>0.693233082706767</v>
      </c>
      <c r="S10" s="34" t="n">
        <v>1800</v>
      </c>
      <c r="T10" s="35" t="n">
        <v>539</v>
      </c>
      <c r="U10" s="37" t="n">
        <f aca="false">IFERROR(T10/T$49,0)</f>
        <v>0.0120122127877694</v>
      </c>
      <c r="V10" s="34" t="n">
        <f aca="false">T10*S10</f>
        <v>970200</v>
      </c>
      <c r="W10" s="37" t="n">
        <f aca="false">IFERROR(V10/V$49,0)</f>
        <v>0.0312697409981049</v>
      </c>
      <c r="X10" s="35" t="n">
        <v>800</v>
      </c>
      <c r="Y10" s="37" t="n">
        <f aca="false">IFERROR(T10/X10,0)</f>
        <v>0.67375</v>
      </c>
      <c r="Z10" s="34" t="n">
        <v>1800</v>
      </c>
      <c r="AA10" s="35" t="n">
        <v>1310</v>
      </c>
      <c r="AB10" s="37" t="n">
        <f aca="false">IFERROR(AA10/AA$49,0)</f>
        <v>0.0205522434891748</v>
      </c>
      <c r="AC10" s="34" t="n">
        <f aca="false">AA10*Z10</f>
        <v>2358000</v>
      </c>
      <c r="AD10" s="37" t="n">
        <f aca="false">IFERROR(AC10/AC$49,0)</f>
        <v>0.0518155209239775</v>
      </c>
      <c r="AE10" s="35" t="n">
        <v>2000</v>
      </c>
      <c r="AF10" s="37" t="n">
        <f aca="false">IFERROR(AA10/AE10,0)</f>
        <v>0.655</v>
      </c>
      <c r="AG10" s="34" t="n">
        <v>1800</v>
      </c>
      <c r="AH10" s="35" t="n">
        <v>144</v>
      </c>
      <c r="AI10" s="37" t="n">
        <f aca="false">IFERROR(AH10/AH$49,0)</f>
        <v>0.0283632066180815</v>
      </c>
      <c r="AJ10" s="34" t="n">
        <f aca="false">AH10*AG10</f>
        <v>259200</v>
      </c>
      <c r="AK10" s="37" t="n">
        <f aca="false">IFERROR(AJ10/AJ$49,0)</f>
        <v>0.0638628132160544</v>
      </c>
      <c r="AL10" s="35" t="n">
        <v>800</v>
      </c>
      <c r="AM10" s="37" t="n">
        <f aca="false">IFERROR(AH10/AL10,0)</f>
        <v>0.18</v>
      </c>
      <c r="AN10" s="36" t="n">
        <f aca="false">①札幌予測確定!O10</f>
        <v>1.59291182028563</v>
      </c>
      <c r="AO10" s="35" t="n">
        <f aca="false">①札幌予測確定!P10</f>
        <v>229</v>
      </c>
      <c r="AP10" s="34" t="n">
        <f aca="false">①札幌予測確定!Q10</f>
        <v>412200</v>
      </c>
      <c r="AQ10" s="37" t="n">
        <f aca="false">①札幌予測確定!T10</f>
        <v>0.28625</v>
      </c>
      <c r="AR10" s="35" t="n">
        <f aca="false">①札幌予測確定!U10</f>
        <v>571</v>
      </c>
      <c r="AS10" s="35" t="n">
        <f aca="false">③石川以降予測!N33</f>
        <v>1912</v>
      </c>
      <c r="AT10" s="35" t="n">
        <f aca="false">③石川以降予測!T33</f>
        <v>27282</v>
      </c>
      <c r="AU10" s="38" t="n">
        <f aca="false">③石川以降予測!V33</f>
        <v>-25370</v>
      </c>
      <c r="AV10" s="35" t="n">
        <f aca="false">③石川以降予測!W33</f>
        <v>0</v>
      </c>
      <c r="AW10" s="32" t="str">
        <f aca="false">④追加発注判定!J10</f>
        <v>在庫余剰</v>
      </c>
      <c r="AX10" s="32" t="str">
        <f aca="false">④追加発注判定!P10</f>
        <v>在庫で充足</v>
      </c>
      <c r="AY10" s="35" t="n">
        <f aca="false">④追加発注判定!R10</f>
        <v>0</v>
      </c>
      <c r="AZ10" s="32" t="str">
        <f aca="false">④追加発注判定!X10</f>
        <v>D:不要</v>
      </c>
    </row>
    <row r="11" customFormat="false" ht="15" hidden="false" customHeight="false" outlineLevel="0" collapsed="false">
      <c r="A11" s="32" t="n">
        <v>5</v>
      </c>
      <c r="B11" s="32" t="s">
        <v>284</v>
      </c>
      <c r="C11" s="33" t="s">
        <v>285</v>
      </c>
      <c r="D11" s="34" t="n">
        <v>600</v>
      </c>
      <c r="E11" s="34" t="n">
        <v>600</v>
      </c>
      <c r="F11" s="35" t="n">
        <v>18759</v>
      </c>
      <c r="G11" s="37" t="n">
        <f aca="false">IFERROR(F11/F$49,0)</f>
        <v>0.126591760299625</v>
      </c>
      <c r="H11" s="34" t="n">
        <f aca="false">F11*E11</f>
        <v>11255400</v>
      </c>
      <c r="I11" s="37" t="n">
        <f aca="false">IFERROR(H11/H$49,0)</f>
        <v>0.110145988401565</v>
      </c>
      <c r="J11" s="35" t="n">
        <v>24996</v>
      </c>
      <c r="K11" s="37" t="n">
        <f aca="false">IFERROR(F11/J11,0)</f>
        <v>0.75048007681229</v>
      </c>
      <c r="L11" s="34" t="n">
        <v>600</v>
      </c>
      <c r="M11" s="35" t="n">
        <v>10777</v>
      </c>
      <c r="N11" s="37" t="n">
        <f aca="false">IFERROR(M11/M$49,0)</f>
        <v>0.183907849829352</v>
      </c>
      <c r="O11" s="34" t="n">
        <f aca="false">M11*L11</f>
        <v>6466200</v>
      </c>
      <c r="P11" s="37" t="n">
        <f aca="false">IFERROR(O11/O$49,0)</f>
        <v>0.155888677807886</v>
      </c>
      <c r="Q11" s="35" t="n">
        <v>16500</v>
      </c>
      <c r="R11" s="37" t="n">
        <f aca="false">IFERROR(M11/Q11,0)</f>
        <v>0.653151515151515</v>
      </c>
      <c r="S11" s="34" t="n">
        <v>600</v>
      </c>
      <c r="T11" s="35" t="n">
        <v>8991</v>
      </c>
      <c r="U11" s="37" t="n">
        <f aca="false">IFERROR(T11/T$49,0)</f>
        <v>0.200374406632346</v>
      </c>
      <c r="V11" s="34" t="n">
        <f aca="false">T11*S11</f>
        <v>5394600</v>
      </c>
      <c r="W11" s="37" t="n">
        <f aca="false">IFERROR(V11/V$49,0)</f>
        <v>0.173869042247347</v>
      </c>
      <c r="X11" s="35" t="n">
        <v>9000</v>
      </c>
      <c r="Y11" s="37" t="n">
        <f aca="false">IFERROR(T11/X11,0)</f>
        <v>0.999</v>
      </c>
      <c r="Z11" s="34" t="n">
        <v>600</v>
      </c>
      <c r="AA11" s="35" t="n">
        <v>8936</v>
      </c>
      <c r="AB11" s="37" t="n">
        <f aca="false">IFERROR(AA11/AA$49,0)</f>
        <v>0.14019454032005</v>
      </c>
      <c r="AC11" s="34" t="n">
        <f aca="false">AA11*Z11</f>
        <v>5361600</v>
      </c>
      <c r="AD11" s="37" t="n">
        <f aca="false">IFERROR(AC11/AC$49,0)</f>
        <v>0.117817683200169</v>
      </c>
      <c r="AE11" s="35" t="n">
        <v>24996</v>
      </c>
      <c r="AF11" s="37" t="n">
        <f aca="false">IFERROR(AA11/AE11,0)</f>
        <v>0.357497199551928</v>
      </c>
      <c r="AG11" s="34" t="n">
        <v>600</v>
      </c>
      <c r="AH11" s="35" t="n">
        <v>268</v>
      </c>
      <c r="AI11" s="37" t="n">
        <f aca="false">IFERROR(AH11/AH$49,0)</f>
        <v>0.0527870789836518</v>
      </c>
      <c r="AJ11" s="34" t="n">
        <f aca="false">AH11*AG11</f>
        <v>160800</v>
      </c>
      <c r="AK11" s="37" t="n">
        <f aca="false">IFERROR(AJ11/AJ$49,0)</f>
        <v>0.0396185970877375</v>
      </c>
      <c r="AL11" s="35" t="n">
        <v>9000</v>
      </c>
      <c r="AM11" s="37" t="n">
        <f aca="false">IFERROR(AH11/AL11,0)</f>
        <v>0.0297777777777778</v>
      </c>
      <c r="AN11" s="36" t="n">
        <f aca="false">①札幌予測確定!O11</f>
        <v>1.73547457958568</v>
      </c>
      <c r="AO11" s="35" t="n">
        <f aca="false">①札幌予測確定!P11</f>
        <v>465</v>
      </c>
      <c r="AP11" s="34" t="n">
        <f aca="false">①札幌予測確定!Q11</f>
        <v>279000</v>
      </c>
      <c r="AQ11" s="37" t="n">
        <f aca="false">①札幌予測確定!T11</f>
        <v>0.0516666666666667</v>
      </c>
      <c r="AR11" s="35" t="n">
        <f aca="false">①札幌予測確定!U11</f>
        <v>8535</v>
      </c>
      <c r="AS11" s="35" t="n">
        <f aca="false">③石川以降予測!N34</f>
        <v>7909</v>
      </c>
      <c r="AT11" s="35" t="n">
        <f aca="false">③石川以降予測!T34</f>
        <v>39360</v>
      </c>
      <c r="AU11" s="38" t="n">
        <f aca="false">③石川以降予測!V34</f>
        <v>-31451</v>
      </c>
      <c r="AV11" s="35" t="n">
        <f aca="false">③石川以降予測!W34</f>
        <v>0</v>
      </c>
      <c r="AW11" s="32" t="str">
        <f aca="false">④追加発注判定!J11</f>
        <v>在庫余剰</v>
      </c>
      <c r="AX11" s="32" t="str">
        <f aca="false">④追加発注判定!P11</f>
        <v>在庫で充足</v>
      </c>
      <c r="AY11" s="35" t="n">
        <f aca="false">④追加発注判定!R11</f>
        <v>0</v>
      </c>
      <c r="AZ11" s="32" t="str">
        <f aca="false">④追加発注判定!X11</f>
        <v>D:不要</v>
      </c>
    </row>
    <row r="12" customFormat="false" ht="15" hidden="false" customHeight="false" outlineLevel="0" collapsed="false">
      <c r="A12" s="32" t="n">
        <v>6</v>
      </c>
      <c r="B12" s="32" t="s">
        <v>286</v>
      </c>
      <c r="C12" s="33" t="s">
        <v>287</v>
      </c>
      <c r="D12" s="34" t="n">
        <v>600</v>
      </c>
      <c r="E12" s="34" t="n">
        <v>600</v>
      </c>
      <c r="F12" s="35" t="n">
        <v>31070</v>
      </c>
      <c r="G12" s="37" t="n">
        <f aca="false">IFERROR(F12/F$49,0)</f>
        <v>0.209670344501805</v>
      </c>
      <c r="H12" s="34" t="n">
        <f aca="false">F12*E12</f>
        <v>18642000</v>
      </c>
      <c r="I12" s="37" t="n">
        <f aca="false">IFERROR(H12/H$49,0)</f>
        <v>0.182431678641539</v>
      </c>
      <c r="J12" s="35" t="n">
        <v>44999</v>
      </c>
      <c r="K12" s="37" t="n">
        <f aca="false">IFERROR(F12/J12,0)</f>
        <v>0.690459787995289</v>
      </c>
      <c r="L12" s="34" t="n">
        <v>600</v>
      </c>
      <c r="M12" s="35" t="n">
        <v>15602</v>
      </c>
      <c r="N12" s="37" t="n">
        <f aca="false">IFERROR(M12/M$49,0)</f>
        <v>0.266245733788396</v>
      </c>
      <c r="O12" s="34" t="n">
        <f aca="false">M12*L12</f>
        <v>9361200</v>
      </c>
      <c r="P12" s="37" t="n">
        <f aca="false">IFERROR(O12/O$49,0)</f>
        <v>0.225682022005998</v>
      </c>
      <c r="Q12" s="35" t="n">
        <v>21439</v>
      </c>
      <c r="R12" s="37" t="n">
        <f aca="false">IFERROR(M12/Q12,0)</f>
        <v>0.727739166938757</v>
      </c>
      <c r="S12" s="34" t="n">
        <v>600</v>
      </c>
      <c r="T12" s="35" t="n">
        <v>13877</v>
      </c>
      <c r="U12" s="37" t="n">
        <f aca="false">IFERROR(T12/T$49,0)</f>
        <v>0.309264335539658</v>
      </c>
      <c r="V12" s="34" t="n">
        <f aca="false">T12*S12</f>
        <v>8326200</v>
      </c>
      <c r="W12" s="37" t="n">
        <f aca="false">IFERROR(V12/V$49,0)</f>
        <v>0.2683550994624</v>
      </c>
      <c r="X12" s="35" t="n">
        <v>13986</v>
      </c>
      <c r="Y12" s="37" t="n">
        <f aca="false">IFERROR(T12/X12,0)</f>
        <v>0.992206492206492</v>
      </c>
      <c r="Z12" s="34" t="n">
        <v>600</v>
      </c>
      <c r="AA12" s="35" t="n">
        <v>18611</v>
      </c>
      <c r="AB12" s="37" t="n">
        <f aca="false">IFERROR(AA12/AA$49,0)</f>
        <v>0.291983056165673</v>
      </c>
      <c r="AC12" s="34" t="n">
        <f aca="false">AA12*Z12</f>
        <v>11166600</v>
      </c>
      <c r="AD12" s="37" t="n">
        <f aca="false">IFERROR(AC12/AC$49,0)</f>
        <v>0.245378793871793</v>
      </c>
      <c r="AE12" s="35" t="n">
        <v>35999</v>
      </c>
      <c r="AF12" s="37" t="n">
        <f aca="false">IFERROR(AA12/AE12,0)</f>
        <v>0.516986582960638</v>
      </c>
      <c r="AG12" s="34" t="n">
        <v>600</v>
      </c>
      <c r="AH12" s="35" t="n">
        <v>704</v>
      </c>
      <c r="AI12" s="37" t="n">
        <f aca="false">IFERROR(AH12/AH$49,0)</f>
        <v>0.138664565688399</v>
      </c>
      <c r="AJ12" s="34" t="n">
        <f aca="false">AH12*AG12</f>
        <v>422400</v>
      </c>
      <c r="AK12" s="37" t="n">
        <f aca="false">IFERROR(AJ12/AJ$49,0)</f>
        <v>0.104072732648385</v>
      </c>
      <c r="AL12" s="35" t="n">
        <v>13991</v>
      </c>
      <c r="AM12" s="37" t="n">
        <f aca="false">IFERROR(AH12/AL12,0)</f>
        <v>0.0503180616110357</v>
      </c>
      <c r="AN12" s="36" t="n">
        <f aca="false">①札幌予測確定!O12</f>
        <v>1.87075443025393</v>
      </c>
      <c r="AO12" s="35" t="n">
        <f aca="false">①札幌予測確定!P12</f>
        <v>1317</v>
      </c>
      <c r="AP12" s="34" t="n">
        <f aca="false">①札幌予測確定!Q12</f>
        <v>790200</v>
      </c>
      <c r="AQ12" s="37" t="n">
        <f aca="false">①札幌予測確定!T12</f>
        <v>0.0941319419626903</v>
      </c>
      <c r="AR12" s="35" t="n">
        <f aca="false">①札幌予測確定!U12</f>
        <v>12674</v>
      </c>
      <c r="AS12" s="35" t="n">
        <f aca="false">③石川以降予測!N35</f>
        <v>18104</v>
      </c>
      <c r="AT12" s="35" t="n">
        <f aca="false">③石川以降予測!T35</f>
        <v>49517</v>
      </c>
      <c r="AU12" s="38" t="n">
        <f aca="false">③石川以降予測!V35</f>
        <v>-31413</v>
      </c>
      <c r="AV12" s="35" t="n">
        <f aca="false">③石川以降予測!W35</f>
        <v>0</v>
      </c>
      <c r="AW12" s="32" t="str">
        <f aca="false">④追加発注判定!J12</f>
        <v>在庫余剰</v>
      </c>
      <c r="AX12" s="32" t="str">
        <f aca="false">④追加発注判定!P12</f>
        <v>在庫で充足</v>
      </c>
      <c r="AY12" s="35" t="n">
        <f aca="false">④追加発注判定!R12</f>
        <v>0</v>
      </c>
      <c r="AZ12" s="32" t="str">
        <f aca="false">④追加発注判定!X12</f>
        <v>D:不要</v>
      </c>
    </row>
    <row r="13" customFormat="false" ht="15" hidden="false" customHeight="false" outlineLevel="0" collapsed="false">
      <c r="A13" s="32" t="n">
        <v>7</v>
      </c>
      <c r="B13" s="32" t="s">
        <v>288</v>
      </c>
      <c r="C13" s="33" t="s">
        <v>289</v>
      </c>
      <c r="D13" s="34" t="n">
        <v>600</v>
      </c>
      <c r="E13" s="34" t="n">
        <v>600</v>
      </c>
      <c r="F13" s="35" t="n">
        <v>3471</v>
      </c>
      <c r="G13" s="37" t="n">
        <f aca="false">IFERROR(F13/F$49,0)</f>
        <v>0.0234234234234234</v>
      </c>
      <c r="H13" s="34" t="n">
        <f aca="false">F13*E13</f>
        <v>2082600</v>
      </c>
      <c r="I13" s="37" t="n">
        <f aca="false">IFERROR(H13/H$49,0)</f>
        <v>0.0203804427603727</v>
      </c>
      <c r="J13" s="35" t="n">
        <v>7000</v>
      </c>
      <c r="K13" s="37" t="n">
        <f aca="false">IFERROR(F13/J13,0)</f>
        <v>0.495857142857143</v>
      </c>
      <c r="L13" s="34" t="n">
        <v>600</v>
      </c>
      <c r="M13" s="35" t="n">
        <v>520</v>
      </c>
      <c r="N13" s="37" t="n">
        <f aca="false">IFERROR(M13/M$49,0)</f>
        <v>0.00887372013651877</v>
      </c>
      <c r="O13" s="34" t="n">
        <f aca="false">M13*L13</f>
        <v>312000</v>
      </c>
      <c r="P13" s="37" t="n">
        <f aca="false">IFERROR(O13/O$49,0)</f>
        <v>0.00752176973741309</v>
      </c>
      <c r="Q13" s="35" t="n">
        <v>1390</v>
      </c>
      <c r="R13" s="37" t="n">
        <f aca="false">IFERROR(M13/Q13,0)</f>
        <v>0.37410071942446</v>
      </c>
      <c r="S13" s="34" t="n">
        <v>600</v>
      </c>
      <c r="T13" s="35" t="n">
        <v>384</v>
      </c>
      <c r="U13" s="37" t="n">
        <f aca="false">IFERROR(T13/T$49,0)</f>
        <v>0.00855786588219563</v>
      </c>
      <c r="V13" s="34" t="n">
        <f aca="false">T13*S13</f>
        <v>230400</v>
      </c>
      <c r="W13" s="37" t="n">
        <f aca="false">IFERROR(V13/V$49,0)</f>
        <v>0.00742583830752769</v>
      </c>
      <c r="X13" s="35" t="n">
        <v>400</v>
      </c>
      <c r="Y13" s="37" t="n">
        <f aca="false">IFERROR(T13/X13,0)</f>
        <v>0.96</v>
      </c>
      <c r="Z13" s="34" t="n">
        <v>600</v>
      </c>
      <c r="AA13" s="35" t="n">
        <v>940</v>
      </c>
      <c r="AB13" s="37" t="n">
        <f aca="false">IFERROR(AA13/AA$49,0)</f>
        <v>0.0147474113586445</v>
      </c>
      <c r="AC13" s="34" t="n">
        <f aca="false">AA13*Z13</f>
        <v>564000</v>
      </c>
      <c r="AD13" s="37" t="n">
        <f aca="false">IFERROR(AC13/AC$49,0)</f>
        <v>0.0123935342668038</v>
      </c>
      <c r="AE13" s="35" t="n">
        <v>2000</v>
      </c>
      <c r="AF13" s="37" t="n">
        <f aca="false">IFERROR(AA13/AE13,0)</f>
        <v>0.47</v>
      </c>
      <c r="AG13" s="34" t="n">
        <v>600</v>
      </c>
      <c r="AH13" s="35" t="n">
        <v>108</v>
      </c>
      <c r="AI13" s="37" t="n">
        <f aca="false">IFERROR(AH13/AH$49,0)</f>
        <v>0.0212724049635612</v>
      </c>
      <c r="AJ13" s="34" t="n">
        <f aca="false">AH13*AG13</f>
        <v>64800</v>
      </c>
      <c r="AK13" s="37" t="n">
        <f aca="false">IFERROR(AJ13/AJ$49,0)</f>
        <v>0.0159657033040136</v>
      </c>
      <c r="AL13" s="35" t="n">
        <v>350</v>
      </c>
      <c r="AM13" s="37" t="n">
        <f aca="false">IFERROR(AH13/AL13,0)</f>
        <v>0.308571428571429</v>
      </c>
      <c r="AN13" s="36" t="n">
        <f aca="false">①札幌予測確定!O13</f>
        <v>1.79546027322755</v>
      </c>
      <c r="AO13" s="35" t="n">
        <f aca="false">①札幌予測確定!P13</f>
        <v>194</v>
      </c>
      <c r="AP13" s="34" t="n">
        <f aca="false">①札幌予測確定!Q13</f>
        <v>116400</v>
      </c>
      <c r="AQ13" s="37" t="n">
        <f aca="false">①札幌予測確定!T13</f>
        <v>0.554285714285714</v>
      </c>
      <c r="AR13" s="35" t="n">
        <f aca="false">①札幌予測確定!U13</f>
        <v>156</v>
      </c>
      <c r="AS13" s="35" t="n">
        <f aca="false">③石川以降予測!N36</f>
        <v>1511</v>
      </c>
      <c r="AT13" s="35" t="n">
        <f aca="false">③石川以降予測!T36</f>
        <v>4348</v>
      </c>
      <c r="AU13" s="38" t="n">
        <f aca="false">③石川以降予測!V36</f>
        <v>-2837</v>
      </c>
      <c r="AV13" s="35" t="n">
        <f aca="false">③石川以降予測!W36</f>
        <v>0</v>
      </c>
      <c r="AW13" s="32" t="str">
        <f aca="false">④追加発注判定!J13</f>
        <v>適正</v>
      </c>
      <c r="AX13" s="32" t="str">
        <f aca="false">④追加発注判定!P13</f>
        <v>在庫で充足</v>
      </c>
      <c r="AY13" s="35" t="n">
        <f aca="false">④追加発注判定!R13</f>
        <v>0</v>
      </c>
      <c r="AZ13" s="32" t="str">
        <f aca="false">④追加発注判定!X13</f>
        <v>D:不要</v>
      </c>
    </row>
    <row r="14" customFormat="false" ht="15" hidden="false" customHeight="false" outlineLevel="0" collapsed="false">
      <c r="A14" s="32" t="n">
        <v>8</v>
      </c>
      <c r="B14" s="32" t="s">
        <v>290</v>
      </c>
      <c r="C14" s="33" t="s">
        <v>291</v>
      </c>
      <c r="D14" s="34" t="n">
        <v>600</v>
      </c>
      <c r="E14" s="34" t="n">
        <v>600</v>
      </c>
      <c r="F14" s="35" t="n">
        <v>5596</v>
      </c>
      <c r="G14" s="37" t="n">
        <f aca="false">IFERROR(F14/F$49,0)</f>
        <v>0.0377636063029321</v>
      </c>
      <c r="H14" s="34" t="n">
        <f aca="false">F14*E14</f>
        <v>3357600</v>
      </c>
      <c r="I14" s="37" t="n">
        <f aca="false">IFERROR(H14/H$49,0)</f>
        <v>0.0328576657121999</v>
      </c>
      <c r="J14" s="35" t="n">
        <v>12600</v>
      </c>
      <c r="K14" s="37" t="n">
        <f aca="false">IFERROR(F14/J14,0)</f>
        <v>0.444126984126984</v>
      </c>
      <c r="L14" s="34" t="n">
        <v>600</v>
      </c>
      <c r="M14" s="35" t="n">
        <v>1107</v>
      </c>
      <c r="N14" s="37" t="n">
        <f aca="false">IFERROR(M14/M$49,0)</f>
        <v>0.0188907849829352</v>
      </c>
      <c r="O14" s="34" t="n">
        <f aca="false">M14*L14</f>
        <v>664200</v>
      </c>
      <c r="P14" s="37" t="n">
        <f aca="false">IFERROR(O14/O$49,0)</f>
        <v>0.0160126905756083</v>
      </c>
      <c r="Q14" s="35" t="n">
        <v>2240</v>
      </c>
      <c r="R14" s="37" t="n">
        <f aca="false">IFERROR(M14/Q14,0)</f>
        <v>0.494196428571429</v>
      </c>
      <c r="S14" s="34" t="n">
        <v>600</v>
      </c>
      <c r="T14" s="35" t="n">
        <v>799</v>
      </c>
      <c r="U14" s="37" t="n">
        <f aca="false">IFERROR(T14/T$49,0)</f>
        <v>0.017806601145506</v>
      </c>
      <c r="V14" s="34" t="n">
        <f aca="false">T14*S14</f>
        <v>479400</v>
      </c>
      <c r="W14" s="37" t="n">
        <f aca="false">IFERROR(V14/V$49,0)</f>
        <v>0.0154511583534235</v>
      </c>
      <c r="X14" s="35" t="n">
        <v>840</v>
      </c>
      <c r="Y14" s="37" t="n">
        <f aca="false">IFERROR(T14/X14,0)</f>
        <v>0.951190476190476</v>
      </c>
      <c r="Z14" s="34" t="n">
        <v>600</v>
      </c>
      <c r="AA14" s="35" t="n">
        <v>1758</v>
      </c>
      <c r="AB14" s="37" t="n">
        <f aca="false">IFERROR(AA14/AA$49,0)</f>
        <v>0.0275807969877628</v>
      </c>
      <c r="AC14" s="34" t="n">
        <f aca="false">AA14*Z14</f>
        <v>1054800</v>
      </c>
      <c r="AD14" s="37" t="n">
        <f aca="false">IFERROR(AC14/AC$49,0)</f>
        <v>0.0231785460011075</v>
      </c>
      <c r="AE14" s="35" t="n">
        <v>3000</v>
      </c>
      <c r="AF14" s="37" t="n">
        <f aca="false">IFERROR(AA14/AE14,0)</f>
        <v>0.586</v>
      </c>
      <c r="AG14" s="34" t="n">
        <v>600</v>
      </c>
      <c r="AH14" s="35" t="n">
        <v>173</v>
      </c>
      <c r="AI14" s="37" t="n">
        <f aca="false">IFERROR(AH14/AH$49,0)</f>
        <v>0.034075241284223</v>
      </c>
      <c r="AJ14" s="34" t="n">
        <f aca="false">AH14*AG14</f>
        <v>103800</v>
      </c>
      <c r="AK14" s="37" t="n">
        <f aca="false">IFERROR(AJ14/AJ$49,0)</f>
        <v>0.0255746914036514</v>
      </c>
      <c r="AL14" s="35" t="n">
        <v>900</v>
      </c>
      <c r="AM14" s="37" t="n">
        <f aca="false">IFERROR(AH14/AL14,0)</f>
        <v>0.192222222222222</v>
      </c>
      <c r="AN14" s="36" t="n">
        <f aca="false">①札幌予測確定!O14</f>
        <v>1.85831959852655</v>
      </c>
      <c r="AO14" s="35" t="n">
        <f aca="false">①札幌予測確定!P14</f>
        <v>321</v>
      </c>
      <c r="AP14" s="34" t="n">
        <f aca="false">①札幌予測確定!Q14</f>
        <v>192600</v>
      </c>
      <c r="AQ14" s="37" t="n">
        <f aca="false">①札幌予測確定!T14</f>
        <v>0.356666666666667</v>
      </c>
      <c r="AR14" s="35" t="n">
        <f aca="false">①札幌予測確定!U14</f>
        <v>579</v>
      </c>
      <c r="AS14" s="35" t="n">
        <f aca="false">③石川以降予測!N37</f>
        <v>2630</v>
      </c>
      <c r="AT14" s="35" t="n">
        <f aca="false">③石川以降予測!T37</f>
        <v>8230</v>
      </c>
      <c r="AU14" s="38" t="n">
        <f aca="false">③石川以降予測!V37</f>
        <v>-5600</v>
      </c>
      <c r="AV14" s="35" t="n">
        <f aca="false">③石川以降予測!W37</f>
        <v>0</v>
      </c>
      <c r="AW14" s="32" t="str">
        <f aca="false">④追加発注判定!J14</f>
        <v>在庫余剰</v>
      </c>
      <c r="AX14" s="32" t="str">
        <f aca="false">④追加発注判定!P14</f>
        <v>在庫で充足</v>
      </c>
      <c r="AY14" s="35" t="n">
        <f aca="false">④追加発注判定!R14</f>
        <v>0</v>
      </c>
      <c r="AZ14" s="32" t="str">
        <f aca="false">④追加発注判定!X14</f>
        <v>D:不要</v>
      </c>
    </row>
    <row r="15" customFormat="false" ht="15" hidden="false" customHeight="false" outlineLevel="0" collapsed="false">
      <c r="A15" s="32" t="n">
        <v>9</v>
      </c>
      <c r="B15" s="32" t="s">
        <v>292</v>
      </c>
      <c r="C15" s="33" t="s">
        <v>293</v>
      </c>
      <c r="D15" s="34" t="n">
        <v>600</v>
      </c>
      <c r="E15" s="34" t="n">
        <v>600</v>
      </c>
      <c r="F15" s="35" t="n">
        <v>2381</v>
      </c>
      <c r="G15" s="37" t="n">
        <f aca="false">IFERROR(F15/F$49,0)</f>
        <v>0.0160677531464048</v>
      </c>
      <c r="H15" s="34" t="n">
        <f aca="false">F15*E15</f>
        <v>1428600</v>
      </c>
      <c r="I15" s="37" t="n">
        <f aca="false">IFERROR(H15/H$49,0)</f>
        <v>0.0139803613403767</v>
      </c>
      <c r="J15" s="35" t="n">
        <v>8749</v>
      </c>
      <c r="K15" s="37" t="n">
        <f aca="false">IFERROR(F15/J15,0)</f>
        <v>0.272145388044348</v>
      </c>
      <c r="L15" s="34" t="n">
        <v>600</v>
      </c>
      <c r="M15" s="35" t="n">
        <v>313</v>
      </c>
      <c r="N15" s="37" t="n">
        <f aca="false">IFERROR(M15/M$49,0)</f>
        <v>0.00534129692832765</v>
      </c>
      <c r="O15" s="34" t="n">
        <f aca="false">M15*L15</f>
        <v>187800</v>
      </c>
      <c r="P15" s="37" t="n">
        <f aca="false">IFERROR(O15/O$49,0)</f>
        <v>0.00452752678425057</v>
      </c>
      <c r="Q15" s="35" t="n">
        <v>950</v>
      </c>
      <c r="R15" s="37" t="n">
        <f aca="false">IFERROR(M15/Q15,0)</f>
        <v>0.329473684210526</v>
      </c>
      <c r="S15" s="34" t="n">
        <v>600</v>
      </c>
      <c r="T15" s="35" t="n">
        <v>301</v>
      </c>
      <c r="U15" s="37" t="n">
        <f aca="false">IFERROR(T15/T$49,0)</f>
        <v>0.00670811882953355</v>
      </c>
      <c r="V15" s="34" t="n">
        <f aca="false">T15*S15</f>
        <v>180600</v>
      </c>
      <c r="W15" s="37" t="n">
        <f aca="false">IFERROR(V15/V$49,0)</f>
        <v>0.00582077429834853</v>
      </c>
      <c r="X15" s="35" t="n">
        <v>300</v>
      </c>
      <c r="Y15" s="37" t="n">
        <f aca="false">IFERROR(T15/X15,0)</f>
        <v>1.00333333333333</v>
      </c>
      <c r="Z15" s="34" t="n">
        <v>600</v>
      </c>
      <c r="AA15" s="35" t="n">
        <v>743</v>
      </c>
      <c r="AB15" s="37" t="n">
        <f aca="false">IFERROR(AA15/AA$49,0)</f>
        <v>0.0116567304675243</v>
      </c>
      <c r="AC15" s="34" t="n">
        <f aca="false">AA15*Z15</f>
        <v>445800</v>
      </c>
      <c r="AD15" s="37" t="n">
        <f aca="false">IFERROR(AC15/AC$49,0)</f>
        <v>0.00979616591514384</v>
      </c>
      <c r="AE15" s="35" t="n">
        <v>1500</v>
      </c>
      <c r="AF15" s="37" t="n">
        <f aca="false">IFERROR(AA15/AE15,0)</f>
        <v>0.495333333333333</v>
      </c>
      <c r="AG15" s="34" t="n">
        <v>600</v>
      </c>
      <c r="AH15" s="35" t="n">
        <v>87</v>
      </c>
      <c r="AI15" s="37" t="n">
        <f aca="false">IFERROR(AH15/AH$49,0)</f>
        <v>0.0171361039984243</v>
      </c>
      <c r="AJ15" s="34" t="n">
        <f aca="false">AH15*AG15</f>
        <v>52200</v>
      </c>
      <c r="AK15" s="37" t="n">
        <f aca="false">IFERROR(AJ15/AJ$49,0)</f>
        <v>0.0128612609948998</v>
      </c>
      <c r="AL15" s="35" t="n">
        <v>300</v>
      </c>
      <c r="AM15" s="37" t="n">
        <f aca="false">IFERROR(AH15/AL15,0)</f>
        <v>0.29</v>
      </c>
      <c r="AN15" s="36" t="n">
        <f aca="false">①札幌予測確定!O15</f>
        <v>1.47470507258084</v>
      </c>
      <c r="AO15" s="35" t="n">
        <f aca="false">①札幌予測確定!P15</f>
        <v>128</v>
      </c>
      <c r="AP15" s="34" t="n">
        <f aca="false">①札幌予測確定!Q15</f>
        <v>76800</v>
      </c>
      <c r="AQ15" s="37" t="n">
        <f aca="false">①札幌予測確定!T15</f>
        <v>0.426666666666667</v>
      </c>
      <c r="AR15" s="35" t="n">
        <f aca="false">①札幌予測確定!U15</f>
        <v>172</v>
      </c>
      <c r="AS15" s="35" t="n">
        <f aca="false">③石川以降予測!N38</f>
        <v>1076</v>
      </c>
      <c r="AT15" s="35" t="n">
        <f aca="false">③石川以降予測!T38</f>
        <v>8631</v>
      </c>
      <c r="AU15" s="38" t="n">
        <f aca="false">③石川以降予測!V38</f>
        <v>-7555</v>
      </c>
      <c r="AV15" s="35" t="n">
        <f aca="false">③石川以降予測!W38</f>
        <v>0</v>
      </c>
      <c r="AW15" s="32" t="str">
        <f aca="false">④追加発注判定!J15</f>
        <v>在庫余剰</v>
      </c>
      <c r="AX15" s="32" t="str">
        <f aca="false">④追加発注判定!P15</f>
        <v>在庫で充足</v>
      </c>
      <c r="AY15" s="35" t="n">
        <f aca="false">④追加発注判定!R15</f>
        <v>0</v>
      </c>
      <c r="AZ15" s="32" t="str">
        <f aca="false">④追加発注判定!X15</f>
        <v>D:不要</v>
      </c>
    </row>
    <row r="16" customFormat="false" ht="15" hidden="false" customHeight="false" outlineLevel="0" collapsed="false">
      <c r="A16" s="32" t="n">
        <v>10</v>
      </c>
      <c r="B16" s="32" t="s">
        <v>294</v>
      </c>
      <c r="C16" s="33" t="s">
        <v>295</v>
      </c>
      <c r="D16" s="34" t="n">
        <v>600</v>
      </c>
      <c r="E16" s="34" t="n">
        <v>600</v>
      </c>
      <c r="F16" s="35" t="n">
        <v>1025</v>
      </c>
      <c r="G16" s="37" t="n">
        <f aca="false">IFERROR(F16/F$49,0)</f>
        <v>0.0069170293889395</v>
      </c>
      <c r="H16" s="34" t="n">
        <f aca="false">F16*E16</f>
        <v>615000</v>
      </c>
      <c r="I16" s="37" t="n">
        <f aca="false">IFERROR(H16/H$49,0)</f>
        <v>0.00601842518852839</v>
      </c>
      <c r="J16" s="35" t="n">
        <v>4549</v>
      </c>
      <c r="K16" s="37" t="n">
        <f aca="false">IFERROR(F16/J16,0)</f>
        <v>0.225324247087272</v>
      </c>
      <c r="L16" s="34" t="n">
        <v>600</v>
      </c>
      <c r="M16" s="35" t="n">
        <v>141</v>
      </c>
      <c r="N16" s="37" t="n">
        <f aca="false">IFERROR(M16/M$49,0)</f>
        <v>0.0024061433447099</v>
      </c>
      <c r="O16" s="34" t="n">
        <f aca="false">M16*L16</f>
        <v>84600</v>
      </c>
      <c r="P16" s="37" t="n">
        <f aca="false">IFERROR(O16/O$49,0)</f>
        <v>0.00203955679418316</v>
      </c>
      <c r="Q16" s="35" t="n">
        <v>410</v>
      </c>
      <c r="R16" s="37" t="n">
        <f aca="false">IFERROR(M16/Q16,0)</f>
        <v>0.34390243902439</v>
      </c>
      <c r="S16" s="34" t="n">
        <v>600</v>
      </c>
      <c r="T16" s="35" t="n">
        <v>123</v>
      </c>
      <c r="U16" s="37" t="n">
        <f aca="false">IFERROR(T16/T$49,0)</f>
        <v>0.00274119141539079</v>
      </c>
      <c r="V16" s="34" t="n">
        <f aca="false">T16*S16</f>
        <v>73800</v>
      </c>
      <c r="W16" s="37" t="n">
        <f aca="false">IFERROR(V16/V$49,0)</f>
        <v>0.00237858883287996</v>
      </c>
      <c r="X16" s="35" t="n">
        <v>180</v>
      </c>
      <c r="Y16" s="37" t="n">
        <f aca="false">IFERROR(T16/X16,0)</f>
        <v>0.683333333333333</v>
      </c>
      <c r="Z16" s="34" t="n">
        <v>600</v>
      </c>
      <c r="AA16" s="35" t="n">
        <v>277</v>
      </c>
      <c r="AB16" s="37" t="n">
        <f aca="false">IFERROR(AA16/AA$49,0)</f>
        <v>0.00434577973015375</v>
      </c>
      <c r="AC16" s="34" t="n">
        <f aca="false">AA16*Z16</f>
        <v>166200</v>
      </c>
      <c r="AD16" s="37" t="n">
        <f aca="false">IFERROR(AC16/AC$49,0)</f>
        <v>0.00365213722543048</v>
      </c>
      <c r="AE16" s="35" t="n">
        <v>500</v>
      </c>
      <c r="AF16" s="37" t="n">
        <f aca="false">IFERROR(AA16/AE16,0)</f>
        <v>0.554</v>
      </c>
      <c r="AG16" s="34" t="n">
        <v>600</v>
      </c>
      <c r="AH16" s="35" t="n">
        <v>33</v>
      </c>
      <c r="AI16" s="37" t="n">
        <f aca="false">IFERROR(AH16/AH$49,0)</f>
        <v>0.00649990151664369</v>
      </c>
      <c r="AJ16" s="34" t="n">
        <f aca="false">AH16*AG16</f>
        <v>19800</v>
      </c>
      <c r="AK16" s="37" t="n">
        <f aca="false">IFERROR(AJ16/AJ$49,0)</f>
        <v>0.00487840934289305</v>
      </c>
      <c r="AL16" s="35" t="n">
        <v>100</v>
      </c>
      <c r="AM16" s="37" t="n">
        <f aca="false">IFERROR(AH16/AL16,0)</f>
        <v>0.33</v>
      </c>
      <c r="AN16" s="36" t="n">
        <f aca="false">①札幌予測確定!O16</f>
        <v>1.46306144133259</v>
      </c>
      <c r="AO16" s="35" t="n">
        <f aca="false">①札幌予測確定!P16</f>
        <v>48</v>
      </c>
      <c r="AP16" s="34" t="n">
        <f aca="false">①札幌予測確定!Q16</f>
        <v>28800</v>
      </c>
      <c r="AQ16" s="37" t="n">
        <f aca="false">①札幌予測確定!T16</f>
        <v>0.48</v>
      </c>
      <c r="AR16" s="35" t="n">
        <f aca="false">①札幌予測確定!U16</f>
        <v>52</v>
      </c>
      <c r="AS16" s="35" t="n">
        <f aca="false">③石川以降予測!N39</f>
        <v>403</v>
      </c>
      <c r="AT16" s="35" t="n">
        <f aca="false">③石川以降予測!T39</f>
        <v>4887</v>
      </c>
      <c r="AU16" s="38" t="n">
        <f aca="false">③石川以降予測!V39</f>
        <v>-4484</v>
      </c>
      <c r="AV16" s="35" t="n">
        <f aca="false">③石川以降予測!W39</f>
        <v>0</v>
      </c>
      <c r="AW16" s="32" t="str">
        <f aca="false">④追加発注判定!J16</f>
        <v>在庫余剰</v>
      </c>
      <c r="AX16" s="32" t="str">
        <f aca="false">④追加発注判定!P16</f>
        <v>在庫で充足</v>
      </c>
      <c r="AY16" s="35" t="n">
        <f aca="false">④追加発注判定!R16</f>
        <v>0</v>
      </c>
      <c r="AZ16" s="32" t="str">
        <f aca="false">④追加発注判定!X16</f>
        <v>D:不要</v>
      </c>
    </row>
    <row r="17" customFormat="false" ht="15" hidden="false" customHeight="false" outlineLevel="0" collapsed="false">
      <c r="A17" s="32" t="n">
        <v>11</v>
      </c>
      <c r="B17" s="32" t="s">
        <v>296</v>
      </c>
      <c r="C17" s="33" t="s">
        <v>297</v>
      </c>
      <c r="D17" s="34" t="n">
        <v>600</v>
      </c>
      <c r="E17" s="34" t="n">
        <v>600</v>
      </c>
      <c r="F17" s="35" t="n">
        <v>215</v>
      </c>
      <c r="G17" s="37" t="n">
        <f aca="false">IFERROR(F17/F$49,0)</f>
        <v>0.00145088909133853</v>
      </c>
      <c r="H17" s="34" t="n">
        <f aca="false">F17*E17</f>
        <v>129000</v>
      </c>
      <c r="I17" s="37" t="n">
        <f aca="false">IFERROR(H17/H$49,0)</f>
        <v>0.00126240138100839</v>
      </c>
      <c r="J17" s="35" t="n">
        <v>699</v>
      </c>
      <c r="K17" s="37" t="n">
        <f aca="false">IFERROR(F17/J17,0)</f>
        <v>0.30758226037196</v>
      </c>
      <c r="L17" s="34" t="n">
        <v>600</v>
      </c>
      <c r="M17" s="35" t="n">
        <v>37</v>
      </c>
      <c r="N17" s="37" t="n">
        <f aca="false">IFERROR(M17/M$49,0)</f>
        <v>0.000631399317406143</v>
      </c>
      <c r="O17" s="34" t="n">
        <f aca="false">M17*L17</f>
        <v>22200</v>
      </c>
      <c r="P17" s="37" t="n">
        <f aca="false">IFERROR(O17/O$49,0)</f>
        <v>0.000535202846700547</v>
      </c>
      <c r="Q17" s="35" t="n">
        <v>90</v>
      </c>
      <c r="R17" s="37" t="n">
        <f aca="false">IFERROR(M17/Q17,0)</f>
        <v>0.411111111111111</v>
      </c>
      <c r="S17" s="34" t="n">
        <v>600</v>
      </c>
      <c r="T17" s="35" t="n">
        <v>30</v>
      </c>
      <c r="U17" s="37" t="n">
        <f aca="false">IFERROR(T17/T$49,0)</f>
        <v>0.000668583272046533</v>
      </c>
      <c r="V17" s="34" t="n">
        <f aca="false">T17*S17</f>
        <v>18000</v>
      </c>
      <c r="W17" s="37" t="n">
        <f aca="false">IFERROR(V17/V$49,0)</f>
        <v>0.0005801436177756</v>
      </c>
      <c r="X17" s="35" t="n">
        <v>30</v>
      </c>
      <c r="Y17" s="37" t="n">
        <f aca="false">IFERROR(T17/X17,0)</f>
        <v>1</v>
      </c>
      <c r="Z17" s="34" t="n">
        <v>600</v>
      </c>
      <c r="AA17" s="35" t="n">
        <v>78</v>
      </c>
      <c r="AB17" s="37" t="n">
        <f aca="false">IFERROR(AA17/AA$49,0)</f>
        <v>0.00122372136805773</v>
      </c>
      <c r="AC17" s="34" t="n">
        <f aca="false">AA17*Z17</f>
        <v>46800</v>
      </c>
      <c r="AD17" s="37" t="n">
        <f aca="false">IFERROR(AC17/AC$49,0)</f>
        <v>0.00102839965192627</v>
      </c>
      <c r="AE17" s="35" t="n">
        <v>100</v>
      </c>
      <c r="AF17" s="37" t="n">
        <f aca="false">IFERROR(AA17/AE17,0)</f>
        <v>0.78</v>
      </c>
      <c r="AG17" s="34" t="n">
        <v>600</v>
      </c>
      <c r="AH17" s="35" t="n">
        <v>10</v>
      </c>
      <c r="AI17" s="37" t="n">
        <f aca="false">IFERROR(AH17/AH$49,0)</f>
        <v>0.00196966712625566</v>
      </c>
      <c r="AJ17" s="34" t="n">
        <f aca="false">AH17*AG17</f>
        <v>6000</v>
      </c>
      <c r="AK17" s="37" t="n">
        <f aca="false">IFERROR(AJ17/AJ$49,0)</f>
        <v>0.00147830586148274</v>
      </c>
      <c r="AL17" s="35" t="n">
        <v>50</v>
      </c>
      <c r="AM17" s="37" t="n">
        <f aca="false">IFERROR(AH17/AL17,0)</f>
        <v>0.2</v>
      </c>
      <c r="AN17" s="36" t="n">
        <f aca="false">①札幌予測確定!O17</f>
        <v>2.40602810264792</v>
      </c>
      <c r="AO17" s="35" t="n">
        <f aca="false">①札幌予測確定!P17</f>
        <v>24</v>
      </c>
      <c r="AP17" s="34" t="n">
        <f aca="false">①札幌予測確定!Q17</f>
        <v>14400</v>
      </c>
      <c r="AQ17" s="37" t="n">
        <f aca="false">①札幌予測確定!T17</f>
        <v>0.48</v>
      </c>
      <c r="AR17" s="35" t="n">
        <f aca="false">①札幌予測確定!U17</f>
        <v>26</v>
      </c>
      <c r="AS17" s="35" t="n">
        <f aca="false">③石川以降予測!N40</f>
        <v>162</v>
      </c>
      <c r="AT17" s="35" t="n">
        <f aca="false">③石川以降予測!T40</f>
        <v>616</v>
      </c>
      <c r="AU17" s="38" t="n">
        <f aca="false">③石川以降予測!V40</f>
        <v>-454</v>
      </c>
      <c r="AV17" s="35" t="n">
        <f aca="false">③石川以降予測!W40</f>
        <v>0</v>
      </c>
      <c r="AW17" s="32" t="str">
        <f aca="false">④追加発注判定!J17</f>
        <v>在庫余剰</v>
      </c>
      <c r="AX17" s="32" t="str">
        <f aca="false">④追加発注判定!P17</f>
        <v>在庫で充足</v>
      </c>
      <c r="AY17" s="35" t="n">
        <f aca="false">④追加発注判定!R17</f>
        <v>0</v>
      </c>
      <c r="AZ17" s="32" t="str">
        <f aca="false">④追加発注判定!X17</f>
        <v>D:不要</v>
      </c>
    </row>
    <row r="18" customFormat="false" ht="15" hidden="false" customHeight="false" outlineLevel="0" collapsed="false">
      <c r="A18" s="32" t="n">
        <v>12</v>
      </c>
      <c r="B18" s="32" t="s">
        <v>298</v>
      </c>
      <c r="C18" s="33" t="s">
        <v>299</v>
      </c>
      <c r="D18" s="34" t="n">
        <v>600</v>
      </c>
      <c r="E18" s="34" t="n">
        <v>600</v>
      </c>
      <c r="F18" s="35" t="n">
        <v>291</v>
      </c>
      <c r="G18" s="37" t="n">
        <f aca="false">IFERROR(F18/F$49,0)</f>
        <v>0.00196376151432331</v>
      </c>
      <c r="H18" s="34" t="n">
        <f aca="false">F18*E18</f>
        <v>174600</v>
      </c>
      <c r="I18" s="37" t="n">
        <f aca="false">IFERROR(H18/H$49,0)</f>
        <v>0.00170864559010904</v>
      </c>
      <c r="J18" s="35" t="n">
        <v>1049</v>
      </c>
      <c r="K18" s="37" t="n">
        <f aca="false">IFERROR(F18/J18,0)</f>
        <v>0.277407054337464</v>
      </c>
      <c r="L18" s="34" t="n">
        <v>600</v>
      </c>
      <c r="M18" s="35" t="n">
        <v>58</v>
      </c>
      <c r="N18" s="37" t="n">
        <f aca="false">IFERROR(M18/M$49,0)</f>
        <v>0.000989761092150171</v>
      </c>
      <c r="O18" s="34" t="n">
        <f aca="false">M18*L18</f>
        <v>34800</v>
      </c>
      <c r="P18" s="37" t="n">
        <f aca="false">IFERROR(O18/O$49,0)</f>
        <v>0.000838966624557614</v>
      </c>
      <c r="Q18" s="35" t="n">
        <v>119</v>
      </c>
      <c r="R18" s="37" t="n">
        <f aca="false">IFERROR(M18/Q18,0)</f>
        <v>0.487394957983193</v>
      </c>
      <c r="S18" s="34" t="n">
        <v>600</v>
      </c>
      <c r="T18" s="35" t="n">
        <v>54</v>
      </c>
      <c r="U18" s="37" t="n">
        <f aca="false">IFERROR(T18/T$49,0)</f>
        <v>0.00120344988968376</v>
      </c>
      <c r="V18" s="34" t="n">
        <f aca="false">T18*S18</f>
        <v>32400</v>
      </c>
      <c r="W18" s="37" t="n">
        <f aca="false">IFERROR(V18/V$49,0)</f>
        <v>0.00104425851199608</v>
      </c>
      <c r="X18" s="35" t="n">
        <v>80</v>
      </c>
      <c r="Y18" s="37" t="n">
        <f aca="false">IFERROR(T18/X18,0)</f>
        <v>0.675</v>
      </c>
      <c r="Z18" s="34" t="n">
        <v>600</v>
      </c>
      <c r="AA18" s="35" t="n">
        <v>142</v>
      </c>
      <c r="AB18" s="37" t="n">
        <f aca="false">IFERROR(AA18/AA$49,0)</f>
        <v>0.00222780043928459</v>
      </c>
      <c r="AC18" s="34" t="n">
        <f aca="false">AA18*Z18</f>
        <v>85200</v>
      </c>
      <c r="AD18" s="37" t="n">
        <f aca="false">IFERROR(AC18/AC$49,0)</f>
        <v>0.0018722147509427</v>
      </c>
      <c r="AE18" s="35" t="n">
        <v>150</v>
      </c>
      <c r="AF18" s="37" t="n">
        <f aca="false">IFERROR(AA18/AE18,0)</f>
        <v>0.946666666666667</v>
      </c>
      <c r="AG18" s="34" t="n">
        <v>600</v>
      </c>
      <c r="AH18" s="35" t="n">
        <v>19</v>
      </c>
      <c r="AI18" s="37" t="n">
        <f aca="false">IFERROR(AH18/AH$49,0)</f>
        <v>0.00374236753988576</v>
      </c>
      <c r="AJ18" s="34" t="n">
        <f aca="false">AH18*AG18</f>
        <v>11400</v>
      </c>
      <c r="AK18" s="37" t="n">
        <f aca="false">IFERROR(AJ18/AJ$49,0)</f>
        <v>0.00280878113681721</v>
      </c>
      <c r="AL18" s="35" t="n">
        <v>50</v>
      </c>
      <c r="AM18" s="37" t="n">
        <f aca="false">IFERROR(AH18/AL18,0)</f>
        <v>0.38</v>
      </c>
      <c r="AN18" s="36" t="n">
        <f aca="false">①札幌予測確定!O18</f>
        <v>1.76365911231549</v>
      </c>
      <c r="AO18" s="35" t="n">
        <f aca="false">①札幌予測確定!P18</f>
        <v>34</v>
      </c>
      <c r="AP18" s="34" t="n">
        <f aca="false">①札幌予測確定!Q18</f>
        <v>20400</v>
      </c>
      <c r="AQ18" s="37" t="n">
        <f aca="false">①札幌予測確定!T18</f>
        <v>0.68</v>
      </c>
      <c r="AR18" s="35" t="n">
        <f aca="false">①札幌予測確定!U18</f>
        <v>16</v>
      </c>
      <c r="AS18" s="35" t="n">
        <f aca="false">③石川以降予測!N41</f>
        <v>251</v>
      </c>
      <c r="AT18" s="35" t="n">
        <f aca="false">③石川以降予測!T41</f>
        <v>919</v>
      </c>
      <c r="AU18" s="38" t="n">
        <f aca="false">③石川以降予測!V41</f>
        <v>-668</v>
      </c>
      <c r="AV18" s="35" t="n">
        <f aca="false">③石川以降予測!W41</f>
        <v>0</v>
      </c>
      <c r="AW18" s="32" t="str">
        <f aca="false">④追加発注判定!J18</f>
        <v>適正</v>
      </c>
      <c r="AX18" s="32" t="str">
        <f aca="false">④追加発注判定!P18</f>
        <v>在庫で充足</v>
      </c>
      <c r="AY18" s="35" t="n">
        <f aca="false">④追加発注判定!R18</f>
        <v>0</v>
      </c>
      <c r="AZ18" s="32" t="str">
        <f aca="false">④追加発注判定!X18</f>
        <v>D:不要</v>
      </c>
    </row>
    <row r="19" customFormat="false" ht="15" hidden="false" customHeight="false" outlineLevel="0" collapsed="false">
      <c r="A19" s="32" t="n">
        <v>13</v>
      </c>
      <c r="B19" s="32" t="s">
        <v>300</v>
      </c>
      <c r="C19" s="33" t="s">
        <v>301</v>
      </c>
      <c r="D19" s="34" t="n">
        <v>600</v>
      </c>
      <c r="E19" s="34" t="n">
        <v>600</v>
      </c>
      <c r="F19" s="35" t="n">
        <v>99</v>
      </c>
      <c r="G19" s="37" t="n">
        <f aca="false">IFERROR(F19/F$49,0)</f>
        <v>0.00066808381415123</v>
      </c>
      <c r="H19" s="34" t="n">
        <f aca="false">F19*E19</f>
        <v>59400</v>
      </c>
      <c r="I19" s="37" t="n">
        <f aca="false">IFERROR(H19/H$49,0)</f>
        <v>0.000581291798696889</v>
      </c>
      <c r="J19" s="35" t="n">
        <v>349</v>
      </c>
      <c r="K19" s="37" t="n">
        <f aca="false">IFERROR(F19/J19,0)</f>
        <v>0.283667621776504</v>
      </c>
      <c r="L19" s="34" t="n">
        <v>600</v>
      </c>
      <c r="M19" s="35" t="n">
        <v>16</v>
      </c>
      <c r="N19" s="37" t="n">
        <f aca="false">IFERROR(M19/M$49,0)</f>
        <v>0.000273037542662116</v>
      </c>
      <c r="O19" s="34" t="n">
        <f aca="false">M19*L19</f>
        <v>9600</v>
      </c>
      <c r="P19" s="37" t="n">
        <f aca="false">IFERROR(O19/O$49,0)</f>
        <v>0.00023143906884348</v>
      </c>
      <c r="Q19" s="35" t="n">
        <v>40</v>
      </c>
      <c r="R19" s="37" t="n">
        <f aca="false">IFERROR(M19/Q19,0)</f>
        <v>0.4</v>
      </c>
      <c r="S19" s="34" t="n">
        <v>600</v>
      </c>
      <c r="T19" s="35" t="n">
        <v>22</v>
      </c>
      <c r="U19" s="37" t="n">
        <f aca="false">IFERROR(T19/T$49,0)</f>
        <v>0.000490294399500791</v>
      </c>
      <c r="V19" s="34" t="n">
        <f aca="false">T19*S19</f>
        <v>13200</v>
      </c>
      <c r="W19" s="37" t="n">
        <f aca="false">IFERROR(V19/V$49,0)</f>
        <v>0.00042543865303544</v>
      </c>
      <c r="X19" s="35" t="n">
        <v>25</v>
      </c>
      <c r="Y19" s="37" t="n">
        <f aca="false">IFERROR(T19/X19,0)</f>
        <v>0.88</v>
      </c>
      <c r="Z19" s="34" t="n">
        <v>600</v>
      </c>
      <c r="AA19" s="35" t="n">
        <v>43</v>
      </c>
      <c r="AB19" s="37" t="n">
        <f aca="false">IFERROR(AA19/AA$49,0)</f>
        <v>0.000674615625980546</v>
      </c>
      <c r="AC19" s="34" t="n">
        <f aca="false">AA19*Z19</f>
        <v>25800</v>
      </c>
      <c r="AD19" s="37" t="n">
        <f aca="false">IFERROR(AC19/AC$49,0)</f>
        <v>0.000566938269651663</v>
      </c>
      <c r="AE19" s="35" t="n">
        <v>50</v>
      </c>
      <c r="AF19" s="37" t="n">
        <f aca="false">IFERROR(AA19/AE19,0)</f>
        <v>0.86</v>
      </c>
      <c r="AG19" s="34" t="n">
        <v>600</v>
      </c>
      <c r="AH19" s="35" t="n">
        <v>3</v>
      </c>
      <c r="AI19" s="37" t="n">
        <f aca="false">IFERROR(AH19/AH$49,0)</f>
        <v>0.000590900137876699</v>
      </c>
      <c r="AJ19" s="34" t="n">
        <f aca="false">AH19*AG19</f>
        <v>1800</v>
      </c>
      <c r="AK19" s="37" t="n">
        <f aca="false">IFERROR(AJ19/AJ$49,0)</f>
        <v>0.000443491758444822</v>
      </c>
      <c r="AL19" s="35" t="n">
        <v>50</v>
      </c>
      <c r="AM19" s="37" t="n">
        <f aca="false">IFERROR(AH19/AL19,0)</f>
        <v>0.06</v>
      </c>
      <c r="AN19" s="36" t="n">
        <f aca="false">①札幌予測確定!O19</f>
        <v>1.79191138786622</v>
      </c>
      <c r="AO19" s="35" t="n">
        <f aca="false">①札幌予測確定!P19</f>
        <v>5</v>
      </c>
      <c r="AP19" s="34" t="n">
        <f aca="false">①札幌予測確定!Q19</f>
        <v>3000</v>
      </c>
      <c r="AQ19" s="37" t="n">
        <f aca="false">①札幌予測確定!T19</f>
        <v>0.1</v>
      </c>
      <c r="AR19" s="35" t="n">
        <f aca="false">①札幌予測確定!U19</f>
        <v>45</v>
      </c>
      <c r="AS19" s="35" t="n">
        <f aca="false">③石川以降予測!N42</f>
        <v>51</v>
      </c>
      <c r="AT19" s="35" t="n">
        <f aca="false">③石川以降予測!T42</f>
        <v>315</v>
      </c>
      <c r="AU19" s="38" t="n">
        <f aca="false">③石川以降予測!V42</f>
        <v>-264</v>
      </c>
      <c r="AV19" s="35" t="n">
        <f aca="false">③石川以降予測!W42</f>
        <v>0</v>
      </c>
      <c r="AW19" s="32" t="str">
        <f aca="false">④追加発注判定!J19</f>
        <v>在庫余剰</v>
      </c>
      <c r="AX19" s="32" t="str">
        <f aca="false">④追加発注判定!P19</f>
        <v>在庫で充足</v>
      </c>
      <c r="AY19" s="35" t="n">
        <f aca="false">④追加発注判定!R19</f>
        <v>0</v>
      </c>
      <c r="AZ19" s="32" t="str">
        <f aca="false">④追加発注判定!X19</f>
        <v>D:不要</v>
      </c>
    </row>
    <row r="20" customFormat="false" ht="15" hidden="false" customHeight="false" outlineLevel="0" collapsed="false">
      <c r="A20" s="32" t="n">
        <v>14</v>
      </c>
      <c r="B20" s="32" t="s">
        <v>302</v>
      </c>
      <c r="C20" s="33" t="s">
        <v>303</v>
      </c>
      <c r="D20" s="34" t="n">
        <v>600</v>
      </c>
      <c r="E20" s="34" t="n">
        <v>600</v>
      </c>
      <c r="F20" s="35" t="n">
        <v>411</v>
      </c>
      <c r="G20" s="37" t="n">
        <f aca="false">IFERROR(F20/F$49,0)</f>
        <v>0.00277356007693086</v>
      </c>
      <c r="H20" s="34" t="n">
        <f aca="false">F20*E20</f>
        <v>246600</v>
      </c>
      <c r="I20" s="37" t="n">
        <f aca="false">IFERROR(H20/H$49,0)</f>
        <v>0.00241324170974163</v>
      </c>
      <c r="J20" s="35" t="n">
        <v>1750</v>
      </c>
      <c r="K20" s="37" t="n">
        <f aca="false">IFERROR(F20/J20,0)</f>
        <v>0.234857142857143</v>
      </c>
      <c r="L20" s="34" t="n">
        <v>600</v>
      </c>
      <c r="M20" s="35" t="n">
        <v>73</v>
      </c>
      <c r="N20" s="37" t="n">
        <f aca="false">IFERROR(M20/M$49,0)</f>
        <v>0.0012457337883959</v>
      </c>
      <c r="O20" s="34" t="n">
        <f aca="false">M20*L20</f>
        <v>43800</v>
      </c>
      <c r="P20" s="37" t="n">
        <f aca="false">IFERROR(O20/O$49,0)</f>
        <v>0.00105594075159838</v>
      </c>
      <c r="Q20" s="35" t="n">
        <v>165</v>
      </c>
      <c r="R20" s="37" t="n">
        <f aca="false">IFERROR(M20/Q20,0)</f>
        <v>0.442424242424242</v>
      </c>
      <c r="S20" s="34" t="n">
        <v>600</v>
      </c>
      <c r="T20" s="35" t="n">
        <v>79</v>
      </c>
      <c r="U20" s="37" t="n">
        <f aca="false">IFERROR(T20/T$49,0)</f>
        <v>0.0017606026163892</v>
      </c>
      <c r="V20" s="34" t="n">
        <f aca="false">T20*S20</f>
        <v>47400</v>
      </c>
      <c r="W20" s="37" t="n">
        <f aca="false">IFERROR(V20/V$49,0)</f>
        <v>0.00152771152680908</v>
      </c>
      <c r="X20" s="35" t="n">
        <v>80</v>
      </c>
      <c r="Y20" s="37" t="n">
        <f aca="false">IFERROR(T20/X20,0)</f>
        <v>0.9875</v>
      </c>
      <c r="Z20" s="34" t="n">
        <v>600</v>
      </c>
      <c r="AA20" s="35" t="n">
        <v>146</v>
      </c>
      <c r="AB20" s="37" t="n">
        <f aca="false">IFERROR(AA20/AA$49,0)</f>
        <v>0.00229055538123627</v>
      </c>
      <c r="AC20" s="34" t="n">
        <f aca="false">AA20*Z20</f>
        <v>87600</v>
      </c>
      <c r="AD20" s="37" t="n">
        <f aca="false">IFERROR(AC20/AC$49,0)</f>
        <v>0.00192495319463123</v>
      </c>
      <c r="AE20" s="35" t="n">
        <v>300</v>
      </c>
      <c r="AF20" s="37" t="n">
        <f aca="false">IFERROR(AA20/AE20,0)</f>
        <v>0.486666666666667</v>
      </c>
      <c r="AG20" s="34" t="n">
        <v>600</v>
      </c>
      <c r="AH20" s="35" t="n">
        <v>21</v>
      </c>
      <c r="AI20" s="37" t="n">
        <f aca="false">IFERROR(AH20/AH$49,0)</f>
        <v>0.00413630096513689</v>
      </c>
      <c r="AJ20" s="34" t="n">
        <f aca="false">AH20*AG20</f>
        <v>12600</v>
      </c>
      <c r="AK20" s="37" t="n">
        <f aca="false">IFERROR(AJ20/AJ$49,0)</f>
        <v>0.00310444230911376</v>
      </c>
      <c r="AL20" s="35" t="n">
        <v>50</v>
      </c>
      <c r="AM20" s="37" t="n">
        <f aca="false">IFERROR(AH20/AL20,0)</f>
        <v>0.42</v>
      </c>
      <c r="AN20" s="36" t="n">
        <f aca="false">①札幌予測確定!O20</f>
        <v>1.82614271120452</v>
      </c>
      <c r="AO20" s="35" t="n">
        <f aca="false">①札幌予測確定!P20</f>
        <v>38</v>
      </c>
      <c r="AP20" s="34" t="n">
        <f aca="false">①札幌予測確定!Q20</f>
        <v>22800</v>
      </c>
      <c r="AQ20" s="37" t="n">
        <f aca="false">①札幌予測確定!T20</f>
        <v>0.76</v>
      </c>
      <c r="AR20" s="35" t="n">
        <f aca="false">①札幌予測確定!U20</f>
        <v>12</v>
      </c>
      <c r="AS20" s="35" t="n">
        <f aca="false">③石川以降予測!N43</f>
        <v>271</v>
      </c>
      <c r="AT20" s="35" t="n">
        <f aca="false">③石川以降予測!T43</f>
        <v>1752</v>
      </c>
      <c r="AU20" s="38" t="n">
        <f aca="false">③石川以降予測!V43</f>
        <v>-1481</v>
      </c>
      <c r="AV20" s="35" t="n">
        <f aca="false">③石川以降予測!W43</f>
        <v>0</v>
      </c>
      <c r="AW20" s="32" t="str">
        <f aca="false">④追加発注判定!J20</f>
        <v>適正</v>
      </c>
      <c r="AX20" s="32" t="str">
        <f aca="false">④追加発注判定!P20</f>
        <v>在庫で充足</v>
      </c>
      <c r="AY20" s="35" t="n">
        <f aca="false">④追加発注判定!R20</f>
        <v>0</v>
      </c>
      <c r="AZ20" s="32" t="str">
        <f aca="false">④追加発注判定!X20</f>
        <v>S:現場欠品</v>
      </c>
    </row>
    <row r="21" customFormat="false" ht="15" hidden="false" customHeight="false" outlineLevel="0" collapsed="false">
      <c r="A21" s="32" t="n">
        <v>15</v>
      </c>
      <c r="B21" s="32" t="s">
        <v>304</v>
      </c>
      <c r="C21" s="33" t="s">
        <v>305</v>
      </c>
      <c r="D21" s="34" t="n">
        <v>600</v>
      </c>
      <c r="E21" s="34" t="n">
        <v>600</v>
      </c>
      <c r="F21" s="35" t="n">
        <v>471</v>
      </c>
      <c r="G21" s="37" t="n">
        <f aca="false">IFERROR(F21/F$49,0)</f>
        <v>0.00317845935823464</v>
      </c>
      <c r="H21" s="34" t="n">
        <f aca="false">F21*E21</f>
        <v>282600</v>
      </c>
      <c r="I21" s="37" t="n">
        <f aca="false">IFERROR(H21/H$49,0)</f>
        <v>0.00276553976955792</v>
      </c>
      <c r="J21" s="35" t="n">
        <v>2100</v>
      </c>
      <c r="K21" s="37" t="n">
        <f aca="false">IFERROR(F21/J21,0)</f>
        <v>0.224285714285714</v>
      </c>
      <c r="L21" s="34" t="n">
        <v>600</v>
      </c>
      <c r="M21" s="35" t="n">
        <v>100</v>
      </c>
      <c r="N21" s="37" t="n">
        <f aca="false">IFERROR(M21/M$49,0)</f>
        <v>0.00170648464163823</v>
      </c>
      <c r="O21" s="34" t="n">
        <f aca="false">M21*L21</f>
        <v>60000</v>
      </c>
      <c r="P21" s="37" t="n">
        <f aca="false">IFERROR(O21/O$49,0)</f>
        <v>0.00144649418027175</v>
      </c>
      <c r="Q21" s="35" t="n">
        <v>190</v>
      </c>
      <c r="R21" s="37" t="n">
        <f aca="false">IFERROR(M21/Q21,0)</f>
        <v>0.526315789473684</v>
      </c>
      <c r="S21" s="34" t="n">
        <v>600</v>
      </c>
      <c r="T21" s="35" t="n">
        <v>100</v>
      </c>
      <c r="U21" s="37" t="n">
        <f aca="false">IFERROR(T21/T$49,0)</f>
        <v>0.00222861090682178</v>
      </c>
      <c r="V21" s="34" t="n">
        <f aca="false">T21*S21</f>
        <v>60000</v>
      </c>
      <c r="W21" s="37" t="n">
        <f aca="false">IFERROR(V21/V$49,0)</f>
        <v>0.001933812059252</v>
      </c>
      <c r="X21" s="35" t="n">
        <v>100</v>
      </c>
      <c r="Y21" s="37" t="n">
        <f aca="false">IFERROR(T21/X21,0)</f>
        <v>1</v>
      </c>
      <c r="Z21" s="34" t="n">
        <v>600</v>
      </c>
      <c r="AA21" s="35" t="n">
        <v>198</v>
      </c>
      <c r="AB21" s="37" t="n">
        <f aca="false">IFERROR(AA21/AA$49,0)</f>
        <v>0.0031063696266081</v>
      </c>
      <c r="AC21" s="34" t="n">
        <f aca="false">AA21*Z21</f>
        <v>118800</v>
      </c>
      <c r="AD21" s="37" t="n">
        <f aca="false">IFERROR(AC21/AC$49,0)</f>
        <v>0.00261055296258207</v>
      </c>
      <c r="AE21" s="35" t="n">
        <v>300</v>
      </c>
      <c r="AF21" s="37" t="n">
        <f aca="false">IFERROR(AA21/AE21,0)</f>
        <v>0.66</v>
      </c>
      <c r="AG21" s="34" t="n">
        <v>600</v>
      </c>
      <c r="AH21" s="35" t="n">
        <v>32</v>
      </c>
      <c r="AI21" s="37" t="n">
        <f aca="false">IFERROR(AH21/AH$49,0)</f>
        <v>0.00630293480401812</v>
      </c>
      <c r="AJ21" s="34" t="n">
        <f aca="false">AH21*AG21</f>
        <v>19200</v>
      </c>
      <c r="AK21" s="37" t="n">
        <f aca="false">IFERROR(AJ21/AJ$49,0)</f>
        <v>0.00473057875674477</v>
      </c>
      <c r="AL21" s="35" t="n">
        <v>100</v>
      </c>
      <c r="AM21" s="37" t="n">
        <f aca="false">IFERROR(AH21/AL21,0)</f>
        <v>0.32</v>
      </c>
      <c r="AN21" s="36" t="n">
        <f aca="false">①札幌予測確定!O21</f>
        <v>1.85203006699409</v>
      </c>
      <c r="AO21" s="35" t="n">
        <f aca="false">①札幌予測確定!P21</f>
        <v>59</v>
      </c>
      <c r="AP21" s="34" t="n">
        <f aca="false">①札幌予測確定!Q21</f>
        <v>35400</v>
      </c>
      <c r="AQ21" s="37" t="n">
        <f aca="false">①札幌予測確定!T21</f>
        <v>0.59</v>
      </c>
      <c r="AR21" s="35" t="n">
        <f aca="false">①札幌予測確定!U21</f>
        <v>41</v>
      </c>
      <c r="AS21" s="35" t="n">
        <f aca="false">③石川以降予測!N44</f>
        <v>403</v>
      </c>
      <c r="AT21" s="35" t="n">
        <f aca="false">③石川以降予測!T44</f>
        <v>2072</v>
      </c>
      <c r="AU21" s="38" t="n">
        <f aca="false">③石川以降予測!V44</f>
        <v>-1669</v>
      </c>
      <c r="AV21" s="35" t="n">
        <f aca="false">③石川以降予測!W44</f>
        <v>0</v>
      </c>
      <c r="AW21" s="32" t="str">
        <f aca="false">④追加発注判定!J21</f>
        <v>適正</v>
      </c>
      <c r="AX21" s="32" t="str">
        <f aca="false">④追加発注判定!P21</f>
        <v>在庫で充足</v>
      </c>
      <c r="AY21" s="35" t="n">
        <f aca="false">④追加発注判定!R21</f>
        <v>0</v>
      </c>
      <c r="AZ21" s="32" t="str">
        <f aca="false">④追加発注判定!X21</f>
        <v>D:不要</v>
      </c>
    </row>
    <row r="22" customFormat="false" ht="15" hidden="false" customHeight="false" outlineLevel="0" collapsed="false">
      <c r="A22" s="32" t="n">
        <v>16</v>
      </c>
      <c r="B22" s="32" t="s">
        <v>306</v>
      </c>
      <c r="C22" s="33" t="s">
        <v>307</v>
      </c>
      <c r="D22" s="34" t="n">
        <v>600</v>
      </c>
      <c r="E22" s="34" t="n">
        <v>600</v>
      </c>
      <c r="F22" s="35" t="n">
        <v>95</v>
      </c>
      <c r="G22" s="37" t="n">
        <f aca="false">IFERROR(F22/F$49,0)</f>
        <v>0.000641090528730978</v>
      </c>
      <c r="H22" s="34" t="n">
        <f aca="false">F22*E22</f>
        <v>57000</v>
      </c>
      <c r="I22" s="37" t="n">
        <f aca="false">IFERROR(H22/H$49,0)</f>
        <v>0.000557805261375802</v>
      </c>
      <c r="J22" s="35" t="n">
        <v>700</v>
      </c>
      <c r="K22" s="37" t="n">
        <f aca="false">IFERROR(F22/J22,0)</f>
        <v>0.135714285714286</v>
      </c>
      <c r="L22" s="34" t="n">
        <v>600</v>
      </c>
      <c r="M22" s="35" t="n">
        <v>38</v>
      </c>
      <c r="N22" s="37" t="n">
        <f aca="false">IFERROR(M22/M$49,0)</f>
        <v>0.000648464163822526</v>
      </c>
      <c r="O22" s="34" t="n">
        <f aca="false">M22*L22</f>
        <v>22800</v>
      </c>
      <c r="P22" s="37" t="n">
        <f aca="false">IFERROR(O22/O$49,0)</f>
        <v>0.000549667788503264</v>
      </c>
      <c r="Q22" s="35" t="n">
        <v>40</v>
      </c>
      <c r="R22" s="37" t="n">
        <f aca="false">IFERROR(M22/Q22,0)</f>
        <v>0.95</v>
      </c>
      <c r="S22" s="34" t="n">
        <v>600</v>
      </c>
      <c r="T22" s="35" t="n">
        <v>30</v>
      </c>
      <c r="U22" s="37" t="n">
        <f aca="false">IFERROR(T22/T$49,0)</f>
        <v>0.000668583272046533</v>
      </c>
      <c r="V22" s="34" t="n">
        <f aca="false">T22*S22</f>
        <v>18000</v>
      </c>
      <c r="W22" s="37" t="n">
        <f aca="false">IFERROR(V22/V$49,0)</f>
        <v>0.0005801436177756</v>
      </c>
      <c r="X22" s="35" t="n">
        <v>30</v>
      </c>
      <c r="Y22" s="37" t="n">
        <f aca="false">IFERROR(T22/X22,0)</f>
        <v>1</v>
      </c>
      <c r="Z22" s="34" t="n">
        <v>600</v>
      </c>
      <c r="AA22" s="35" t="n">
        <v>65</v>
      </c>
      <c r="AB22" s="37" t="n">
        <f aca="false">IFERROR(AA22/AA$49,0)</f>
        <v>0.00101976780671478</v>
      </c>
      <c r="AC22" s="34" t="n">
        <f aca="false">AA22*Z22</f>
        <v>39000</v>
      </c>
      <c r="AD22" s="37" t="n">
        <f aca="false">IFERROR(AC22/AC$49,0)</f>
        <v>0.00085699970993856</v>
      </c>
      <c r="AE22" s="35" t="n">
        <v>100</v>
      </c>
      <c r="AF22" s="37" t="n">
        <f aca="false">IFERROR(AA22/AE22,0)</f>
        <v>0.65</v>
      </c>
      <c r="AG22" s="34" t="n">
        <v>600</v>
      </c>
      <c r="AH22" s="35" t="n">
        <v>7</v>
      </c>
      <c r="AI22" s="37" t="n">
        <f aca="false">IFERROR(AH22/AH$49,0)</f>
        <v>0.00137876698837896</v>
      </c>
      <c r="AJ22" s="34" t="n">
        <f aca="false">AH22*AG22</f>
        <v>4200</v>
      </c>
      <c r="AK22" s="37" t="n">
        <f aca="false">IFERROR(AJ22/AJ$49,0)</f>
        <v>0.00103481410303792</v>
      </c>
      <c r="AL22" s="35" t="n">
        <v>50</v>
      </c>
      <c r="AM22" s="37" t="n">
        <f aca="false">IFERROR(AH22/AL22,0)</f>
        <v>0.14</v>
      </c>
      <c r="AN22" s="36" t="n">
        <f aca="false">①札幌予測確定!O22</f>
        <v>2.10727187820594</v>
      </c>
      <c r="AO22" s="35" t="n">
        <f aca="false">①札幌予測確定!P22</f>
        <v>15</v>
      </c>
      <c r="AP22" s="34" t="n">
        <f aca="false">①札幌予測確定!Q22</f>
        <v>9000</v>
      </c>
      <c r="AQ22" s="37" t="n">
        <f aca="false">①札幌予測確定!T22</f>
        <v>0.3</v>
      </c>
      <c r="AR22" s="35" t="n">
        <f aca="false">①札幌予測確定!U22</f>
        <v>35</v>
      </c>
      <c r="AS22" s="35" t="n">
        <f aca="false">③石川以降予測!N45</f>
        <v>112</v>
      </c>
      <c r="AT22" s="35" t="n">
        <f aca="false">③石川以降予測!T45</f>
        <v>757</v>
      </c>
      <c r="AU22" s="38" t="n">
        <f aca="false">③石川以降予測!V45</f>
        <v>-645</v>
      </c>
      <c r="AV22" s="35" t="n">
        <f aca="false">③石川以降予測!W45</f>
        <v>0</v>
      </c>
      <c r="AW22" s="32" t="str">
        <f aca="false">④追加発注判定!J22</f>
        <v>在庫余剰</v>
      </c>
      <c r="AX22" s="32" t="str">
        <f aca="false">④追加発注判定!P22</f>
        <v>在庫で充足</v>
      </c>
      <c r="AY22" s="35" t="n">
        <f aca="false">④追加発注判定!R22</f>
        <v>0</v>
      </c>
      <c r="AZ22" s="32" t="str">
        <f aca="false">④追加発注判定!X22</f>
        <v>D:不要</v>
      </c>
    </row>
    <row r="23" customFormat="false" ht="15" hidden="false" customHeight="false" outlineLevel="0" collapsed="false">
      <c r="A23" s="32" t="n">
        <v>17</v>
      </c>
      <c r="B23" s="32" t="s">
        <v>308</v>
      </c>
      <c r="C23" s="33" t="s">
        <v>309</v>
      </c>
      <c r="D23" s="34" t="n">
        <v>600</v>
      </c>
      <c r="E23" s="34" t="n">
        <v>600</v>
      </c>
      <c r="F23" s="35" t="n">
        <v>492</v>
      </c>
      <c r="G23" s="37" t="n">
        <f aca="false">IFERROR(F23/F$49,0)</f>
        <v>0.00332017410669096</v>
      </c>
      <c r="H23" s="34" t="n">
        <f aca="false">F23*E23</f>
        <v>295200</v>
      </c>
      <c r="I23" s="37" t="n">
        <f aca="false">IFERROR(H23/H$49,0)</f>
        <v>0.00288884409049363</v>
      </c>
      <c r="J23" s="35" t="n">
        <v>2450</v>
      </c>
      <c r="K23" s="37" t="n">
        <f aca="false">IFERROR(F23/J23,0)</f>
        <v>0.200816326530612</v>
      </c>
      <c r="L23" s="34" t="n">
        <v>600</v>
      </c>
      <c r="M23" s="35" t="n">
        <v>124</v>
      </c>
      <c r="N23" s="37" t="n">
        <f aca="false">IFERROR(M23/M$49,0)</f>
        <v>0.0021160409556314</v>
      </c>
      <c r="O23" s="34" t="n">
        <f aca="false">M23*L23</f>
        <v>74400</v>
      </c>
      <c r="P23" s="37" t="n">
        <f aca="false">IFERROR(O23/O$49,0)</f>
        <v>0.00179365278353697</v>
      </c>
      <c r="Q23" s="35" t="n">
        <v>198</v>
      </c>
      <c r="R23" s="37" t="n">
        <f aca="false">IFERROR(M23/Q23,0)</f>
        <v>0.626262626262626</v>
      </c>
      <c r="S23" s="34" t="n">
        <v>600</v>
      </c>
      <c r="T23" s="35" t="n">
        <v>100</v>
      </c>
      <c r="U23" s="37" t="n">
        <f aca="false">IFERROR(T23/T$49,0)</f>
        <v>0.00222861090682178</v>
      </c>
      <c r="V23" s="34" t="n">
        <f aca="false">T23*S23</f>
        <v>60000</v>
      </c>
      <c r="W23" s="37" t="n">
        <f aca="false">IFERROR(V23/V$49,0)</f>
        <v>0.001933812059252</v>
      </c>
      <c r="X23" s="35" t="n">
        <v>100</v>
      </c>
      <c r="Y23" s="37" t="n">
        <f aca="false">IFERROR(T23/X23,0)</f>
        <v>1</v>
      </c>
      <c r="Z23" s="34" t="n">
        <v>600</v>
      </c>
      <c r="AA23" s="35" t="n">
        <v>261</v>
      </c>
      <c r="AB23" s="37" t="n">
        <f aca="false">IFERROR(AA23/AA$49,0)</f>
        <v>0.00409475996234703</v>
      </c>
      <c r="AC23" s="34" t="n">
        <f aca="false">AA23*Z23</f>
        <v>156600</v>
      </c>
      <c r="AD23" s="37" t="n">
        <f aca="false">IFERROR(AC23/AC$49,0)</f>
        <v>0.00344118345067637</v>
      </c>
      <c r="AE23" s="35" t="n">
        <v>300</v>
      </c>
      <c r="AF23" s="37" t="n">
        <f aca="false">IFERROR(AA23/AE23,0)</f>
        <v>0.87</v>
      </c>
      <c r="AG23" s="34" t="n">
        <v>600</v>
      </c>
      <c r="AH23" s="35" t="n">
        <v>53</v>
      </c>
      <c r="AI23" s="37" t="n">
        <f aca="false">IFERROR(AH23/AH$49,0)</f>
        <v>0.010439235769155</v>
      </c>
      <c r="AJ23" s="34" t="n">
        <f aca="false">AH23*AG23</f>
        <v>31800</v>
      </c>
      <c r="AK23" s="37" t="n">
        <f aca="false">IFERROR(AJ23/AJ$49,0)</f>
        <v>0.00783502106585853</v>
      </c>
      <c r="AL23" s="35" t="n">
        <v>100</v>
      </c>
      <c r="AM23" s="37" t="n">
        <f aca="false">IFERROR(AH23/AL23,0)</f>
        <v>0.53</v>
      </c>
      <c r="AN23" s="36" t="n">
        <f aca="false">①札幌予測確定!O23</f>
        <v>1.76002511049782</v>
      </c>
      <c r="AO23" s="35" t="n">
        <f aca="false">①札幌予測確定!P23</f>
        <v>93</v>
      </c>
      <c r="AP23" s="34" t="n">
        <f aca="false">①札幌予測確定!Q23</f>
        <v>55800</v>
      </c>
      <c r="AQ23" s="37" t="n">
        <f aca="false">①札幌予測確定!T23</f>
        <v>0.93</v>
      </c>
      <c r="AR23" s="35" t="n">
        <f aca="false">①札幌予測確定!U23</f>
        <v>7</v>
      </c>
      <c r="AS23" s="35" t="n">
        <f aca="false">③石川以降予測!N46</f>
        <v>602</v>
      </c>
      <c r="AT23" s="35" t="n">
        <f aca="false">③石川以降予測!T46</f>
        <v>2430</v>
      </c>
      <c r="AU23" s="38" t="n">
        <f aca="false">③石川以降予測!V46</f>
        <v>-1828</v>
      </c>
      <c r="AV23" s="35" t="n">
        <f aca="false">③石川以降予測!W46</f>
        <v>0</v>
      </c>
      <c r="AW23" s="32" t="str">
        <f aca="false">④追加発注判定!J23</f>
        <v>要注意(90%超)</v>
      </c>
      <c r="AX23" s="32" t="str">
        <f aca="false">④追加発注判定!P23</f>
        <v>在庫で充足</v>
      </c>
      <c r="AY23" s="35" t="n">
        <f aca="false">④追加発注判定!R23</f>
        <v>0</v>
      </c>
      <c r="AZ23" s="32" t="str">
        <f aca="false">④追加発注判定!X23</f>
        <v>S:現場欠品</v>
      </c>
    </row>
    <row r="24" customFormat="false" ht="15" hidden="false" customHeight="false" outlineLevel="0" collapsed="false">
      <c r="A24" s="32" t="n">
        <v>18</v>
      </c>
      <c r="B24" s="32" t="s">
        <v>310</v>
      </c>
      <c r="C24" s="33" t="s">
        <v>311</v>
      </c>
      <c r="D24" s="34" t="n">
        <v>600</v>
      </c>
      <c r="E24" s="34" t="n">
        <v>600</v>
      </c>
      <c r="F24" s="35" t="n">
        <v>5661</v>
      </c>
      <c r="G24" s="37" t="n">
        <f aca="false">IFERROR(F24/F$49,0)</f>
        <v>0.0382022471910112</v>
      </c>
      <c r="H24" s="34" t="n">
        <f aca="false">F24*E24</f>
        <v>3396600</v>
      </c>
      <c r="I24" s="37" t="n">
        <f aca="false">IFERROR(H24/H$49,0)</f>
        <v>0.0332393219436675</v>
      </c>
      <c r="J24" s="35" t="n">
        <v>8750</v>
      </c>
      <c r="K24" s="37" t="n">
        <f aca="false">IFERROR(F24/J24,0)</f>
        <v>0.646971428571429</v>
      </c>
      <c r="L24" s="34" t="n">
        <v>600</v>
      </c>
      <c r="M24" s="35" t="n">
        <v>1187</v>
      </c>
      <c r="N24" s="37" t="n">
        <f aca="false">IFERROR(M24/M$49,0)</f>
        <v>0.0202559726962457</v>
      </c>
      <c r="O24" s="34" t="n">
        <f aca="false">M24*L24</f>
        <v>712200</v>
      </c>
      <c r="P24" s="37" t="n">
        <f aca="false">IFERROR(O24/O$49,0)</f>
        <v>0.0171698859198257</v>
      </c>
      <c r="Q24" s="35" t="n">
        <v>2265</v>
      </c>
      <c r="R24" s="37" t="n">
        <f aca="false">IFERROR(M24/Q24,0)</f>
        <v>0.524061810154525</v>
      </c>
      <c r="S24" s="34" t="n">
        <v>600</v>
      </c>
      <c r="T24" s="35" t="n">
        <v>898</v>
      </c>
      <c r="U24" s="37" t="n">
        <f aca="false">IFERROR(T24/T$49,0)</f>
        <v>0.0200129259432596</v>
      </c>
      <c r="V24" s="34" t="n">
        <f aca="false">T24*S24</f>
        <v>538800</v>
      </c>
      <c r="W24" s="37" t="n">
        <f aca="false">IFERROR(V24/V$49,0)</f>
        <v>0.017365632292083</v>
      </c>
      <c r="X24" s="35" t="n">
        <v>900</v>
      </c>
      <c r="Y24" s="37" t="n">
        <f aca="false">IFERROR(T24/X24,0)</f>
        <v>0.997777777777778</v>
      </c>
      <c r="Z24" s="34" t="n">
        <v>600</v>
      </c>
      <c r="AA24" s="35" t="n">
        <v>2021</v>
      </c>
      <c r="AB24" s="37" t="n">
        <f aca="false">IFERROR(AA24/AA$49,0)</f>
        <v>0.0317069344210857</v>
      </c>
      <c r="AC24" s="34" t="n">
        <f aca="false">AA24*Z24</f>
        <v>1212600</v>
      </c>
      <c r="AD24" s="37" t="n">
        <f aca="false">IFERROR(AC24/AC$49,0)</f>
        <v>0.0266460986736281</v>
      </c>
      <c r="AE24" s="35" t="n">
        <v>4000</v>
      </c>
      <c r="AF24" s="37" t="n">
        <f aca="false">IFERROR(AA24/AE24,0)</f>
        <v>0.50525</v>
      </c>
      <c r="AG24" s="34" t="n">
        <v>600</v>
      </c>
      <c r="AH24" s="35" t="n">
        <v>259</v>
      </c>
      <c r="AI24" s="37" t="n">
        <f aca="false">IFERROR(AH24/AH$49,0)</f>
        <v>0.0510143785700217</v>
      </c>
      <c r="AJ24" s="34" t="n">
        <f aca="false">AH24*AG24</f>
        <v>155400</v>
      </c>
      <c r="AK24" s="37" t="n">
        <f aca="false">IFERROR(AJ24/AJ$49,0)</f>
        <v>0.038288121812403</v>
      </c>
      <c r="AL24" s="35" t="n">
        <v>1500</v>
      </c>
      <c r="AM24" s="37" t="n">
        <f aca="false">IFERROR(AH24/AL24,0)</f>
        <v>0.172666666666667</v>
      </c>
      <c r="AN24" s="36" t="n">
        <f aca="false">①札幌予測確定!O24</f>
        <v>1.57042107198554</v>
      </c>
      <c r="AO24" s="35" t="n">
        <f aca="false">①札幌予測確定!P24</f>
        <v>407</v>
      </c>
      <c r="AP24" s="34" t="n">
        <f aca="false">①札幌予測確定!Q24</f>
        <v>244200</v>
      </c>
      <c r="AQ24" s="37" t="n">
        <f aca="false">①札幌予測確定!T24</f>
        <v>0.271333333333333</v>
      </c>
      <c r="AR24" s="35" t="n">
        <f aca="false">①札幌予測確定!U24</f>
        <v>1093</v>
      </c>
      <c r="AS24" s="35" t="n">
        <f aca="false">③石川以降予測!N47</f>
        <v>3201</v>
      </c>
      <c r="AT24" s="35" t="n">
        <f aca="false">③石川以降予測!T47</f>
        <v>9318</v>
      </c>
      <c r="AU24" s="38" t="n">
        <f aca="false">③石川以降予測!V47</f>
        <v>-6117</v>
      </c>
      <c r="AV24" s="35" t="n">
        <f aca="false">③石川以降予測!W47</f>
        <v>0</v>
      </c>
      <c r="AW24" s="32" t="str">
        <f aca="false">④追加発注判定!J24</f>
        <v>在庫余剰</v>
      </c>
      <c r="AX24" s="32" t="str">
        <f aca="false">④追加発注判定!P24</f>
        <v>在庫で充足</v>
      </c>
      <c r="AY24" s="35" t="n">
        <f aca="false">④追加発注判定!R24</f>
        <v>0</v>
      </c>
      <c r="AZ24" s="32" t="str">
        <f aca="false">④追加発注判定!X24</f>
        <v>D:不要</v>
      </c>
    </row>
    <row r="25" customFormat="false" ht="15" hidden="false" customHeight="false" outlineLevel="0" collapsed="false">
      <c r="A25" s="32" t="n">
        <v>19</v>
      </c>
      <c r="B25" s="32" t="s">
        <v>312</v>
      </c>
      <c r="C25" s="33" t="s">
        <v>313</v>
      </c>
      <c r="D25" s="34" t="n">
        <v>600</v>
      </c>
      <c r="E25" s="34" t="n">
        <v>600</v>
      </c>
      <c r="F25" s="35" t="n">
        <v>168</v>
      </c>
      <c r="G25" s="37" t="n">
        <f aca="false">IFERROR(F25/F$49,0)</f>
        <v>0.00113371798765057</v>
      </c>
      <c r="H25" s="34" t="n">
        <f aca="false">F25*E25</f>
        <v>100800</v>
      </c>
      <c r="I25" s="37" t="n">
        <f aca="false">IFERROR(H25/H$49,0)</f>
        <v>0.000986434567485629</v>
      </c>
      <c r="J25" s="35" t="n">
        <v>1750</v>
      </c>
      <c r="K25" s="37" t="n">
        <f aca="false">IFERROR(F25/J25,0)</f>
        <v>0.096</v>
      </c>
      <c r="L25" s="34" t="n">
        <v>600</v>
      </c>
      <c r="M25" s="35" t="n">
        <v>27</v>
      </c>
      <c r="N25" s="37" t="n">
        <f aca="false">IFERROR(M25/M$49,0)</f>
        <v>0.000460750853242321</v>
      </c>
      <c r="O25" s="34" t="n">
        <f aca="false">M25*L25</f>
        <v>16200</v>
      </c>
      <c r="P25" s="37" t="n">
        <f aca="false">IFERROR(O25/O$49,0)</f>
        <v>0.000390553428673372</v>
      </c>
      <c r="Q25" s="35" t="n">
        <v>65</v>
      </c>
      <c r="R25" s="37" t="n">
        <f aca="false">IFERROR(M25/Q25,0)</f>
        <v>0.415384615384615</v>
      </c>
      <c r="S25" s="34" t="n">
        <v>600</v>
      </c>
      <c r="T25" s="35" t="n">
        <v>19</v>
      </c>
      <c r="U25" s="37" t="n">
        <f aca="false">IFERROR(T25/T$49,0)</f>
        <v>0.000423436072296138</v>
      </c>
      <c r="V25" s="34" t="n">
        <f aca="false">T25*S25</f>
        <v>11400</v>
      </c>
      <c r="W25" s="37" t="n">
        <f aca="false">IFERROR(V25/V$49,0)</f>
        <v>0.00036742429125788</v>
      </c>
      <c r="X25" s="35" t="n">
        <v>20</v>
      </c>
      <c r="Y25" s="37" t="n">
        <f aca="false">IFERROR(T25/X25,0)</f>
        <v>0.95</v>
      </c>
      <c r="Z25" s="34" t="n">
        <v>600</v>
      </c>
      <c r="AA25" s="35" t="n">
        <v>45</v>
      </c>
      <c r="AB25" s="37" t="n">
        <f aca="false">IFERROR(AA25/AA$49,0)</f>
        <v>0.000705993096956385</v>
      </c>
      <c r="AC25" s="34" t="n">
        <f aca="false">AA25*Z25</f>
        <v>27000</v>
      </c>
      <c r="AD25" s="37" t="n">
        <f aca="false">IFERROR(AC25/AC$49,0)</f>
        <v>0.000593307491495926</v>
      </c>
      <c r="AE25" s="35" t="n">
        <v>100</v>
      </c>
      <c r="AF25" s="37" t="n">
        <f aca="false">IFERROR(AA25/AE25,0)</f>
        <v>0.45</v>
      </c>
      <c r="AG25" s="34" t="n">
        <v>600</v>
      </c>
      <c r="AH25" s="35" t="n">
        <v>10</v>
      </c>
      <c r="AI25" s="37" t="n">
        <f aca="false">IFERROR(AH25/AH$49,0)</f>
        <v>0.00196966712625566</v>
      </c>
      <c r="AJ25" s="34" t="n">
        <f aca="false">AH25*AG25</f>
        <v>6000</v>
      </c>
      <c r="AK25" s="37" t="n">
        <f aca="false">IFERROR(AJ25/AJ$49,0)</f>
        <v>0.00147830586148274</v>
      </c>
      <c r="AL25" s="35" t="n">
        <v>50</v>
      </c>
      <c r="AM25" s="37" t="n">
        <f aca="false">IFERROR(AH25/AL25,0)</f>
        <v>0.2</v>
      </c>
      <c r="AN25" s="36" t="n">
        <f aca="false">①札幌予測確定!O25</f>
        <v>1.58009978808345</v>
      </c>
      <c r="AO25" s="35" t="n">
        <f aca="false">①札幌予測確定!P25</f>
        <v>16</v>
      </c>
      <c r="AP25" s="34" t="n">
        <f aca="false">①札幌予測確定!Q25</f>
        <v>9600</v>
      </c>
      <c r="AQ25" s="37" t="n">
        <f aca="false">①札幌予測確定!T25</f>
        <v>0.32</v>
      </c>
      <c r="AR25" s="35" t="n">
        <f aca="false">①札幌予測確定!U25</f>
        <v>34</v>
      </c>
      <c r="AS25" s="35" t="n">
        <f aca="false">③石川以降予測!N48</f>
        <v>104</v>
      </c>
      <c r="AT25" s="35" t="n">
        <f aca="false">③石川以降予測!T48</f>
        <v>2224</v>
      </c>
      <c r="AU25" s="38" t="n">
        <f aca="false">③石川以降予測!V48</f>
        <v>-2120</v>
      </c>
      <c r="AV25" s="35" t="n">
        <f aca="false">③石川以降予測!W48</f>
        <v>0</v>
      </c>
      <c r="AW25" s="32" t="str">
        <f aca="false">④追加発注判定!J25</f>
        <v>在庫余剰</v>
      </c>
      <c r="AX25" s="32" t="str">
        <f aca="false">④追加発注判定!P25</f>
        <v>在庫で充足</v>
      </c>
      <c r="AY25" s="35" t="n">
        <f aca="false">④追加発注判定!R25</f>
        <v>0</v>
      </c>
      <c r="AZ25" s="32" t="str">
        <f aca="false">④追加発注判定!X25</f>
        <v>D:不要</v>
      </c>
    </row>
    <row r="26" customFormat="false" ht="15" hidden="false" customHeight="false" outlineLevel="0" collapsed="false">
      <c r="A26" s="32" t="n">
        <v>20</v>
      </c>
      <c r="B26" s="32" t="s">
        <v>314</v>
      </c>
      <c r="C26" s="33" t="s">
        <v>315</v>
      </c>
      <c r="D26" s="34" t="n">
        <v>600</v>
      </c>
      <c r="E26" s="34" t="n">
        <v>600</v>
      </c>
      <c r="F26" s="35" t="n">
        <v>117</v>
      </c>
      <c r="G26" s="37" t="n">
        <f aca="false">IFERROR(F26/F$49,0)</f>
        <v>0.000789553598542363</v>
      </c>
      <c r="H26" s="34" t="n">
        <f aca="false">F26*E26</f>
        <v>70200</v>
      </c>
      <c r="I26" s="37" t="n">
        <f aca="false">IFERROR(H26/H$49,0)</f>
        <v>0.000686981216641778</v>
      </c>
      <c r="J26" s="35" t="n">
        <v>350</v>
      </c>
      <c r="K26" s="37" t="n">
        <f aca="false">IFERROR(F26/J26,0)</f>
        <v>0.334285714285714</v>
      </c>
      <c r="L26" s="34" t="n">
        <v>600</v>
      </c>
      <c r="M26" s="35" t="n">
        <v>23</v>
      </c>
      <c r="N26" s="37" t="n">
        <f aca="false">IFERROR(M26/M$49,0)</f>
        <v>0.000392491467576792</v>
      </c>
      <c r="O26" s="34" t="n">
        <f aca="false">M26*L26</f>
        <v>13800</v>
      </c>
      <c r="P26" s="37" t="n">
        <f aca="false">IFERROR(O26/O$49,0)</f>
        <v>0.000332693661462502</v>
      </c>
      <c r="Q26" s="35" t="n">
        <v>49</v>
      </c>
      <c r="R26" s="37" t="n">
        <f aca="false">IFERROR(M26/Q26,0)</f>
        <v>0.469387755102041</v>
      </c>
      <c r="S26" s="34" t="n">
        <v>600</v>
      </c>
      <c r="T26" s="35" t="n">
        <v>15</v>
      </c>
      <c r="U26" s="37" t="n">
        <f aca="false">IFERROR(T26/T$49,0)</f>
        <v>0.000334291636023267</v>
      </c>
      <c r="V26" s="34" t="n">
        <f aca="false">T26*S26</f>
        <v>9000</v>
      </c>
      <c r="W26" s="37" t="n">
        <f aca="false">IFERROR(V26/V$49,0)</f>
        <v>0.0002900718088878</v>
      </c>
      <c r="X26" s="35" t="n">
        <v>15</v>
      </c>
      <c r="Y26" s="37" t="n">
        <f aca="false">IFERROR(T26/X26,0)</f>
        <v>1</v>
      </c>
      <c r="Z26" s="34" t="n">
        <v>600</v>
      </c>
      <c r="AA26" s="35" t="n">
        <v>42</v>
      </c>
      <c r="AB26" s="37" t="n">
        <f aca="false">IFERROR(AA26/AA$49,0)</f>
        <v>0.000658926890492626</v>
      </c>
      <c r="AC26" s="34" t="n">
        <f aca="false">AA26*Z26</f>
        <v>25200</v>
      </c>
      <c r="AD26" s="37" t="n">
        <f aca="false">IFERROR(AC26/AC$49,0)</f>
        <v>0.000553753658729531</v>
      </c>
      <c r="AE26" s="35" t="n">
        <v>50</v>
      </c>
      <c r="AF26" s="37" t="n">
        <f aca="false">IFERROR(AA26/AE26,0)</f>
        <v>0.84</v>
      </c>
      <c r="AG26" s="34" t="n">
        <v>600</v>
      </c>
      <c r="AH26" s="35" t="n">
        <v>8</v>
      </c>
      <c r="AI26" s="37" t="n">
        <f aca="false">IFERROR(AH26/AH$49,0)</f>
        <v>0.00157573370100453</v>
      </c>
      <c r="AJ26" s="34" t="n">
        <f aca="false">AH26*AG26</f>
        <v>4800</v>
      </c>
      <c r="AK26" s="37" t="n">
        <f aca="false">IFERROR(AJ26/AJ$49,0)</f>
        <v>0.00118264468918619</v>
      </c>
      <c r="AL26" s="35" t="n">
        <v>30</v>
      </c>
      <c r="AM26" s="37" t="n">
        <f aca="false">IFERROR(AH26/AL26,0)</f>
        <v>0.266666666666667</v>
      </c>
      <c r="AN26" s="36" t="n">
        <f aca="false">①札幌予測確定!O26</f>
        <v>1.79076813660966</v>
      </c>
      <c r="AO26" s="35" t="n">
        <f aca="false">①札幌予測確定!P26</f>
        <v>14</v>
      </c>
      <c r="AP26" s="34" t="n">
        <f aca="false">①札幌予測確定!Q26</f>
        <v>8400</v>
      </c>
      <c r="AQ26" s="37" t="n">
        <f aca="false">①札幌予測確定!T26</f>
        <v>0.466666666666667</v>
      </c>
      <c r="AR26" s="35" t="n">
        <f aca="false">①札幌予測確定!U26</f>
        <v>16</v>
      </c>
      <c r="AS26" s="35" t="n">
        <f aca="false">③石川以降予測!N49</f>
        <v>94</v>
      </c>
      <c r="AT26" s="35" t="n">
        <f aca="false">③石川以降予測!T49</f>
        <v>287</v>
      </c>
      <c r="AU26" s="38" t="n">
        <f aca="false">③石川以降予測!V49</f>
        <v>-193</v>
      </c>
      <c r="AV26" s="35" t="n">
        <f aca="false">③石川以降予測!W49</f>
        <v>0</v>
      </c>
      <c r="AW26" s="32" t="str">
        <f aca="false">④追加発注判定!J26</f>
        <v>在庫余剰</v>
      </c>
      <c r="AX26" s="32" t="str">
        <f aca="false">④追加発注判定!P26</f>
        <v>在庫で充足</v>
      </c>
      <c r="AY26" s="35" t="n">
        <f aca="false">④追加発注判定!R26</f>
        <v>0</v>
      </c>
      <c r="AZ26" s="32" t="str">
        <f aca="false">④追加発注判定!X26</f>
        <v>D:不要</v>
      </c>
    </row>
    <row r="27" customFormat="false" ht="15" hidden="false" customHeight="false" outlineLevel="0" collapsed="false">
      <c r="A27" s="32" t="n">
        <v>21</v>
      </c>
      <c r="B27" s="32" t="s">
        <v>316</v>
      </c>
      <c r="C27" s="33" t="s">
        <v>317</v>
      </c>
      <c r="D27" s="34" t="n">
        <v>600</v>
      </c>
      <c r="E27" s="34" t="n">
        <v>600</v>
      </c>
      <c r="F27" s="35" t="n">
        <v>350</v>
      </c>
      <c r="G27" s="37" t="n">
        <f aca="false">IFERROR(F27/F$49,0)</f>
        <v>0.00236191247427202</v>
      </c>
      <c r="H27" s="34" t="n">
        <f aca="false">F27*E27</f>
        <v>210000</v>
      </c>
      <c r="I27" s="37" t="n">
        <f aca="false">IFERROR(H27/H$49,0)</f>
        <v>0.00205507201559506</v>
      </c>
      <c r="J27" s="35" t="n">
        <v>350</v>
      </c>
      <c r="K27" s="37" t="n">
        <f aca="false">IFERROR(F27/J27,0)</f>
        <v>1</v>
      </c>
      <c r="L27" s="34" t="n">
        <v>600</v>
      </c>
      <c r="M27" s="35" t="n">
        <v>139</v>
      </c>
      <c r="N27" s="37" t="n">
        <f aca="false">IFERROR(M27/M$49,0)</f>
        <v>0.00237201365187713</v>
      </c>
      <c r="O27" s="34" t="n">
        <f aca="false">M27*L27</f>
        <v>83400</v>
      </c>
      <c r="P27" s="37" t="n">
        <f aca="false">IFERROR(O27/O$49,0)</f>
        <v>0.00201062691057773</v>
      </c>
      <c r="Q27" s="35" t="n">
        <v>140</v>
      </c>
      <c r="R27" s="37" t="n">
        <f aca="false">IFERROR(M27/Q27,0)</f>
        <v>0.992857142857143</v>
      </c>
      <c r="S27" s="34" t="n">
        <v>600</v>
      </c>
      <c r="T27" s="35" t="n">
        <v>150</v>
      </c>
      <c r="U27" s="37" t="n">
        <f aca="false">IFERROR(T27/T$49,0)</f>
        <v>0.00334291636023267</v>
      </c>
      <c r="V27" s="34" t="n">
        <f aca="false">T27*S27</f>
        <v>90000</v>
      </c>
      <c r="W27" s="37" t="n">
        <f aca="false">IFERROR(V27/V$49,0)</f>
        <v>0.002900718088878</v>
      </c>
      <c r="X27" s="35" t="n">
        <v>150</v>
      </c>
      <c r="Y27" s="37" t="n">
        <f aca="false">IFERROR(T27/X27,0)</f>
        <v>1</v>
      </c>
      <c r="Z27" s="34" t="n">
        <v>600</v>
      </c>
      <c r="AA27" s="35" t="n">
        <v>252</v>
      </c>
      <c r="AB27" s="37" t="n">
        <f aca="false">IFERROR(AA27/AA$49,0)</f>
        <v>0.00395356134295576</v>
      </c>
      <c r="AC27" s="34" t="n">
        <f aca="false">AA27*Z27</f>
        <v>151200</v>
      </c>
      <c r="AD27" s="37" t="n">
        <f aca="false">IFERROR(AC27/AC$49,0)</f>
        <v>0.00332252195237719</v>
      </c>
      <c r="AE27" s="35" t="n">
        <v>350</v>
      </c>
      <c r="AF27" s="37" t="n">
        <f aca="false">IFERROR(AA27/AE27,0)</f>
        <v>0.72</v>
      </c>
      <c r="AG27" s="34" t="n">
        <v>600</v>
      </c>
      <c r="AH27" s="35" t="n">
        <v>50</v>
      </c>
      <c r="AI27" s="37" t="n">
        <f aca="false">IFERROR(AH27/AH$49,0)</f>
        <v>0.00984833563127831</v>
      </c>
      <c r="AJ27" s="34" t="n">
        <f aca="false">AH27*AG27</f>
        <v>30000</v>
      </c>
      <c r="AK27" s="37" t="n">
        <f aca="false">IFERROR(AJ27/AJ$49,0)</f>
        <v>0.0073915293074137</v>
      </c>
      <c r="AL27" s="35" t="n">
        <v>100</v>
      </c>
      <c r="AM27" s="37" t="n">
        <f aca="false">IFERROR(AH27/AL27,0)</f>
        <v>0.5</v>
      </c>
      <c r="AN27" s="36" t="n">
        <f aca="false">①札幌予測確定!O27</f>
        <v>1.79187199037421</v>
      </c>
      <c r="AO27" s="35" t="n">
        <f aca="false">①札幌予測確定!P27</f>
        <v>90</v>
      </c>
      <c r="AP27" s="34" t="n">
        <f aca="false">①札幌予測確定!Q27</f>
        <v>54000</v>
      </c>
      <c r="AQ27" s="37" t="n">
        <f aca="false">①札幌予測確定!T27</f>
        <v>0.9</v>
      </c>
      <c r="AR27" s="35" t="n">
        <f aca="false">①札幌予測確定!U27</f>
        <v>10</v>
      </c>
      <c r="AS27" s="35" t="n">
        <f aca="false">③石川以降予測!N50</f>
        <v>583</v>
      </c>
      <c r="AT27" s="35" t="n">
        <f aca="false">③石川以降予測!T50</f>
        <v>218</v>
      </c>
      <c r="AU27" s="38" t="n">
        <f aca="false">③石川以降予測!V50</f>
        <v>365</v>
      </c>
      <c r="AV27" s="35" t="n">
        <f aca="false">③石川以降予測!W50</f>
        <v>365</v>
      </c>
      <c r="AW27" s="32" t="str">
        <f aca="false">④追加発注判定!J27</f>
        <v>要注意(90%超)</v>
      </c>
      <c r="AX27" s="32" t="str">
        <f aca="false">④追加発注判定!P27</f>
        <v>要 追加生産</v>
      </c>
      <c r="AY27" s="35" t="n">
        <f aca="false">④追加発注判定!R27</f>
        <v>402</v>
      </c>
      <c r="AZ27" s="32" t="str">
        <f aca="false">④追加発注判定!X27</f>
        <v>S:現場欠品</v>
      </c>
    </row>
    <row r="28" customFormat="false" ht="15" hidden="false" customHeight="false" outlineLevel="0" collapsed="false">
      <c r="A28" s="32" t="n">
        <v>22</v>
      </c>
      <c r="B28" s="32" t="s">
        <v>318</v>
      </c>
      <c r="C28" s="33" t="s">
        <v>319</v>
      </c>
      <c r="D28" s="34" t="n">
        <v>600</v>
      </c>
      <c r="E28" s="34" t="n">
        <v>600</v>
      </c>
      <c r="F28" s="35" t="n">
        <v>319</v>
      </c>
      <c r="G28" s="37" t="n">
        <f aca="false">IFERROR(F28/F$49,0)</f>
        <v>0.00215271451226507</v>
      </c>
      <c r="H28" s="34" t="n">
        <f aca="false">F28*E28</f>
        <v>191400</v>
      </c>
      <c r="I28" s="37" t="n">
        <f aca="false">IFERROR(H28/H$49,0)</f>
        <v>0.00187305135135664</v>
      </c>
      <c r="J28" s="35" t="n">
        <v>1400</v>
      </c>
      <c r="K28" s="37" t="n">
        <f aca="false">IFERROR(F28/J28,0)</f>
        <v>0.227857142857143</v>
      </c>
      <c r="L28" s="34" t="n">
        <v>600</v>
      </c>
      <c r="M28" s="35" t="n">
        <v>99</v>
      </c>
      <c r="N28" s="37" t="n">
        <f aca="false">IFERROR(M28/M$49,0)</f>
        <v>0.00168941979522184</v>
      </c>
      <c r="O28" s="34" t="n">
        <f aca="false">M28*L28</f>
        <v>59400</v>
      </c>
      <c r="P28" s="37" t="n">
        <f aca="false">IFERROR(O28/O$49,0)</f>
        <v>0.00143202923846903</v>
      </c>
      <c r="Q28" s="35" t="n">
        <v>130</v>
      </c>
      <c r="R28" s="37" t="n">
        <f aca="false">IFERROR(M28/Q28,0)</f>
        <v>0.761538461538462</v>
      </c>
      <c r="S28" s="34" t="n">
        <v>600</v>
      </c>
      <c r="T28" s="35" t="n">
        <v>80</v>
      </c>
      <c r="U28" s="37" t="n">
        <f aca="false">IFERROR(T28/T$49,0)</f>
        <v>0.00178288872545742</v>
      </c>
      <c r="V28" s="34" t="n">
        <f aca="false">T28*S28</f>
        <v>48000</v>
      </c>
      <c r="W28" s="37" t="n">
        <f aca="false">IFERROR(V28/V$49,0)</f>
        <v>0.0015470496474016</v>
      </c>
      <c r="X28" s="35" t="n">
        <v>80</v>
      </c>
      <c r="Y28" s="37" t="n">
        <f aca="false">IFERROR(T28/X28,0)</f>
        <v>1</v>
      </c>
      <c r="Z28" s="34" t="n">
        <v>600</v>
      </c>
      <c r="AA28" s="35" t="n">
        <v>171</v>
      </c>
      <c r="AB28" s="37" t="n">
        <f aca="false">IFERROR(AA28/AA$49,0)</f>
        <v>0.00268277376843426</v>
      </c>
      <c r="AC28" s="34" t="n">
        <f aca="false">AA28*Z28</f>
        <v>102600</v>
      </c>
      <c r="AD28" s="37" t="n">
        <f aca="false">IFERROR(AC28/AC$49,0)</f>
        <v>0.00225456846768452</v>
      </c>
      <c r="AE28" s="35" t="n">
        <v>200</v>
      </c>
      <c r="AF28" s="37" t="n">
        <f aca="false">IFERROR(AA28/AE28,0)</f>
        <v>0.855</v>
      </c>
      <c r="AG28" s="34" t="n">
        <v>600</v>
      </c>
      <c r="AH28" s="35" t="n">
        <v>23</v>
      </c>
      <c r="AI28" s="37" t="n">
        <f aca="false">IFERROR(AH28/AH$49,0)</f>
        <v>0.00453023439038802</v>
      </c>
      <c r="AJ28" s="34" t="n">
        <f aca="false">AH28*AG28</f>
        <v>13800</v>
      </c>
      <c r="AK28" s="37" t="n">
        <f aca="false">IFERROR(AJ28/AJ$49,0)</f>
        <v>0.0034001034814103</v>
      </c>
      <c r="AL28" s="35" t="n">
        <v>50</v>
      </c>
      <c r="AM28" s="37" t="n">
        <f aca="false">IFERROR(AH28/AL28,0)</f>
        <v>0.46</v>
      </c>
      <c r="AN28" s="36" t="n">
        <f aca="false">①札幌予測確定!O28</f>
        <v>2.25917513213876</v>
      </c>
      <c r="AO28" s="35" t="n">
        <f aca="false">①札幌予測確定!P28</f>
        <v>52</v>
      </c>
      <c r="AP28" s="34" t="n">
        <f aca="false">①札幌予測確定!Q28</f>
        <v>31200</v>
      </c>
      <c r="AQ28" s="37" t="n">
        <f aca="false">①札幌予測確定!T28</f>
        <v>1.04</v>
      </c>
      <c r="AR28" s="35" t="n">
        <f aca="false">①札幌予測確定!U28</f>
        <v>0</v>
      </c>
      <c r="AS28" s="35" t="n">
        <f aca="false">③石川以降予測!N51</f>
        <v>353</v>
      </c>
      <c r="AT28" s="35" t="n">
        <f aca="false">③石川以降予測!T51</f>
        <v>1279</v>
      </c>
      <c r="AU28" s="38" t="n">
        <f aca="false">③石川以降予測!V51</f>
        <v>-926</v>
      </c>
      <c r="AV28" s="35" t="n">
        <f aca="false">③石川以降予測!W51</f>
        <v>0</v>
      </c>
      <c r="AW28" s="32" t="str">
        <f aca="false">④追加発注判定!J28</f>
        <v>要 追加発注</v>
      </c>
      <c r="AX28" s="32" t="str">
        <f aca="false">④追加発注判定!P28</f>
        <v>在庫で充足</v>
      </c>
      <c r="AY28" s="35" t="n">
        <f aca="false">④追加発注判定!R28</f>
        <v>3</v>
      </c>
      <c r="AZ28" s="32" t="str">
        <f aca="false">④追加発注判定!X28</f>
        <v>S:現場欠品</v>
      </c>
    </row>
    <row r="29" customFormat="false" ht="15" hidden="false" customHeight="false" outlineLevel="0" collapsed="false">
      <c r="A29" s="32" t="n">
        <v>23</v>
      </c>
      <c r="B29" s="32" t="s">
        <v>320</v>
      </c>
      <c r="C29" s="33" t="s">
        <v>321</v>
      </c>
      <c r="D29" s="34" t="n">
        <v>600</v>
      </c>
      <c r="E29" s="34" t="n">
        <v>600</v>
      </c>
      <c r="F29" s="35" t="n">
        <v>41156</v>
      </c>
      <c r="G29" s="37" t="n">
        <f aca="false">IFERROR(F29/F$49,0)</f>
        <v>0.27773391368897</v>
      </c>
      <c r="H29" s="34" t="n">
        <f aca="false">F29*E29</f>
        <v>24693600</v>
      </c>
      <c r="I29" s="37" t="n">
        <f aca="false">IFERROR(H29/H$49,0)</f>
        <v>0.241652982496658</v>
      </c>
      <c r="J29" s="35" t="n">
        <v>45125</v>
      </c>
      <c r="K29" s="37" t="n">
        <f aca="false">IFERROR(F29/J29,0)</f>
        <v>0.91204432132964</v>
      </c>
      <c r="L29" s="34" t="n">
        <v>600</v>
      </c>
      <c r="M29" s="35" t="n">
        <v>13583</v>
      </c>
      <c r="N29" s="37" t="n">
        <f aca="false">IFERROR(M29/M$49,0)</f>
        <v>0.23179180887372</v>
      </c>
      <c r="O29" s="34" t="n">
        <f aca="false">M29*L29</f>
        <v>8149800</v>
      </c>
      <c r="P29" s="37" t="n">
        <f aca="false">IFERROR(O29/O$49,0)</f>
        <v>0.196477304506312</v>
      </c>
      <c r="Q29" s="35" t="n">
        <v>16465</v>
      </c>
      <c r="R29" s="37" t="n">
        <f aca="false">IFERROR(M29/Q29,0)</f>
        <v>0.824962040692378</v>
      </c>
      <c r="S29" s="34" t="n">
        <v>600</v>
      </c>
      <c r="T29" s="35" t="n">
        <v>8800</v>
      </c>
      <c r="U29" s="37" t="n">
        <f aca="false">IFERROR(T29/T$49,0)</f>
        <v>0.196117759800316</v>
      </c>
      <c r="V29" s="34" t="n">
        <f aca="false">T29*S29</f>
        <v>5280000</v>
      </c>
      <c r="W29" s="37" t="n">
        <f aca="false">IFERROR(V29/V$49,0)</f>
        <v>0.170175461214176</v>
      </c>
      <c r="X29" s="35" t="n">
        <v>11000</v>
      </c>
      <c r="Y29" s="37" t="n">
        <f aca="false">IFERROR(T29/X29,0)</f>
        <v>0.8</v>
      </c>
      <c r="Z29" s="34" t="n">
        <v>600</v>
      </c>
      <c r="AA29" s="35" t="n">
        <v>12724</v>
      </c>
      <c r="AB29" s="37" t="n">
        <f aca="false">IFERROR(AA29/AA$49,0)</f>
        <v>0.19962347034829</v>
      </c>
      <c r="AC29" s="34" t="n">
        <f aca="false">AA29*Z29</f>
        <v>7634400</v>
      </c>
      <c r="AD29" s="37" t="n">
        <f aca="false">IFERROR(AC29/AC$49,0)</f>
        <v>0.167760989373204</v>
      </c>
      <c r="AE29" s="35" t="n">
        <v>29997</v>
      </c>
      <c r="AF29" s="37" t="n">
        <f aca="false">IFERROR(AA29/AE29,0)</f>
        <v>0.424175750908424</v>
      </c>
      <c r="AG29" s="34" t="n">
        <v>600</v>
      </c>
      <c r="AH29" s="35" t="n">
        <v>1220</v>
      </c>
      <c r="AI29" s="37" t="n">
        <f aca="false">IFERROR(AH29/AH$49,0)</f>
        <v>0.240299389403191</v>
      </c>
      <c r="AJ29" s="34" t="n">
        <f aca="false">AH29*AG29</f>
        <v>732000</v>
      </c>
      <c r="AK29" s="37" t="n">
        <f aca="false">IFERROR(AJ29/AJ$49,0)</f>
        <v>0.180353315100894</v>
      </c>
      <c r="AL29" s="35" t="n">
        <v>11000</v>
      </c>
      <c r="AM29" s="37" t="n">
        <f aca="false">IFERROR(AH29/AL29,0)</f>
        <v>0.110909090909091</v>
      </c>
      <c r="AN29" s="36" t="n">
        <f aca="false">①札幌予測確定!O29</f>
        <v>1.72142974944124</v>
      </c>
      <c r="AO29" s="35" t="n">
        <f aca="false">①札幌予測確定!P29</f>
        <v>2100</v>
      </c>
      <c r="AP29" s="34" t="n">
        <f aca="false">①札幌予測確定!Q29</f>
        <v>1260000</v>
      </c>
      <c r="AQ29" s="37" t="n">
        <f aca="false">①札幌予測確定!T29</f>
        <v>0.190909090909091</v>
      </c>
      <c r="AR29" s="35" t="n">
        <f aca="false">①札幌予測確定!U29</f>
        <v>8900</v>
      </c>
      <c r="AS29" s="35" t="n">
        <f aca="false">③石川以降予測!N52</f>
        <v>17991</v>
      </c>
      <c r="AT29" s="35" t="n">
        <f aca="false">③石川以降予測!T52</f>
        <v>49718</v>
      </c>
      <c r="AU29" s="38" t="n">
        <f aca="false">③石川以降予測!V52</f>
        <v>-31727</v>
      </c>
      <c r="AV29" s="35" t="n">
        <f aca="false">③石川以降予測!W52</f>
        <v>0</v>
      </c>
      <c r="AW29" s="32" t="str">
        <f aca="false">④追加発注判定!J29</f>
        <v>在庫余剰</v>
      </c>
      <c r="AX29" s="32" t="str">
        <f aca="false">④追加発注判定!P29</f>
        <v>在庫で充足</v>
      </c>
      <c r="AY29" s="35" t="n">
        <f aca="false">④追加発注判定!R29</f>
        <v>0</v>
      </c>
      <c r="AZ29" s="32" t="str">
        <f aca="false">④追加発注判定!X29</f>
        <v>D:不要</v>
      </c>
    </row>
    <row r="30" customFormat="false" ht="15" hidden="false" customHeight="false" outlineLevel="0" collapsed="false">
      <c r="A30" s="32" t="n">
        <v>24</v>
      </c>
      <c r="B30" s="32" t="s">
        <v>322</v>
      </c>
      <c r="C30" s="33" t="s">
        <v>323</v>
      </c>
      <c r="D30" s="34" t="n">
        <v>600</v>
      </c>
      <c r="E30" s="34" t="n">
        <v>600</v>
      </c>
      <c r="F30" s="35" t="n">
        <v>14981</v>
      </c>
      <c r="G30" s="37" t="n">
        <f aca="false">IFERROR(F30/F$49,0)</f>
        <v>0.101096602220198</v>
      </c>
      <c r="H30" s="34" t="n">
        <f aca="false">F30*E30</f>
        <v>8988600</v>
      </c>
      <c r="I30" s="37" t="n">
        <f aca="false">IFERROR(H30/H$49,0)</f>
        <v>0.0879629539017989</v>
      </c>
      <c r="J30" s="35" t="n">
        <v>15000</v>
      </c>
      <c r="K30" s="37" t="n">
        <f aca="false">IFERROR(F30/J30,0)</f>
        <v>0.998733333333333</v>
      </c>
      <c r="L30" s="34" t="n">
        <v>600</v>
      </c>
      <c r="M30" s="35" t="n">
        <v>8213</v>
      </c>
      <c r="N30" s="37" t="n">
        <f aca="false">IFERROR(M30/M$49,0)</f>
        <v>0.140153583617747</v>
      </c>
      <c r="O30" s="34" t="n">
        <f aca="false">M30*L30</f>
        <v>4927800</v>
      </c>
      <c r="P30" s="37" t="n">
        <f aca="false">IFERROR(O30/O$49,0)</f>
        <v>0.118800567025719</v>
      </c>
      <c r="Q30" s="35" t="n">
        <v>11194</v>
      </c>
      <c r="R30" s="37" t="n">
        <f aca="false">IFERROR(M30/Q30,0)</f>
        <v>0.733696623190995</v>
      </c>
      <c r="S30" s="34" t="n">
        <v>600</v>
      </c>
      <c r="T30" s="35" t="n">
        <v>5195</v>
      </c>
      <c r="U30" s="37" t="n">
        <f aca="false">IFERROR(T30/T$49,0)</f>
        <v>0.115776336609391</v>
      </c>
      <c r="V30" s="34" t="n">
        <f aca="false">T30*S30</f>
        <v>3117000</v>
      </c>
      <c r="W30" s="37" t="n">
        <f aca="false">IFERROR(V30/V$49,0)</f>
        <v>0.100461536478141</v>
      </c>
      <c r="X30" s="35" t="n">
        <v>6999</v>
      </c>
      <c r="Y30" s="37" t="n">
        <f aca="false">IFERROR(T30/X30,0)</f>
        <v>0.742248892698957</v>
      </c>
      <c r="Z30" s="34" t="n">
        <v>600</v>
      </c>
      <c r="AA30" s="35" t="n">
        <v>6978</v>
      </c>
      <c r="AB30" s="37" t="n">
        <f aca="false">IFERROR(AA30/AA$49,0)</f>
        <v>0.109475996234703</v>
      </c>
      <c r="AC30" s="34" t="n">
        <f aca="false">AA30*Z30</f>
        <v>4186800</v>
      </c>
      <c r="AD30" s="37" t="n">
        <f aca="false">IFERROR(AC30/AC$49,0)</f>
        <v>0.0920022150146349</v>
      </c>
      <c r="AE30" s="35" t="n">
        <v>19998</v>
      </c>
      <c r="AF30" s="37" t="n">
        <f aca="false">IFERROR(AA30/AE30,0)</f>
        <v>0.348934893489349</v>
      </c>
      <c r="AG30" s="34" t="n">
        <v>600</v>
      </c>
      <c r="AH30" s="35" t="n">
        <v>682</v>
      </c>
      <c r="AI30" s="37" t="n">
        <f aca="false">IFERROR(AH30/AH$49,0)</f>
        <v>0.134331298010636</v>
      </c>
      <c r="AJ30" s="34" t="n">
        <f aca="false">AH30*AG30</f>
        <v>409200</v>
      </c>
      <c r="AK30" s="37" t="n">
        <f aca="false">IFERROR(AJ30/AJ$49,0)</f>
        <v>0.100820459753123</v>
      </c>
      <c r="AL30" s="35" t="n">
        <v>8000</v>
      </c>
      <c r="AM30" s="37" t="n">
        <f aca="false">IFERROR(AH30/AL30,0)</f>
        <v>0.08525</v>
      </c>
      <c r="AN30" s="36" t="n">
        <f aca="false">①札幌予測確定!O30</f>
        <v>1.77852534399429</v>
      </c>
      <c r="AO30" s="35" t="n">
        <f aca="false">①札幌予測確定!P30</f>
        <v>1213</v>
      </c>
      <c r="AP30" s="34" t="n">
        <f aca="false">①札幌予測確定!Q30</f>
        <v>727800</v>
      </c>
      <c r="AQ30" s="37" t="n">
        <f aca="false">①札幌予測確定!T30</f>
        <v>0.151625</v>
      </c>
      <c r="AR30" s="35" t="n">
        <f aca="false">①札幌予測確定!U30</f>
        <v>6787</v>
      </c>
      <c r="AS30" s="35" t="n">
        <f aca="false">③石川以降予測!N53</f>
        <v>10154</v>
      </c>
      <c r="AT30" s="35" t="n">
        <f aca="false">③石川以降予測!T53</f>
        <v>30991</v>
      </c>
      <c r="AU30" s="38" t="n">
        <f aca="false">③石川以降予測!V53</f>
        <v>-20837</v>
      </c>
      <c r="AV30" s="35" t="n">
        <f aca="false">③石川以降予測!W53</f>
        <v>0</v>
      </c>
      <c r="AW30" s="32" t="str">
        <f aca="false">④追加発注判定!J30</f>
        <v>在庫余剰</v>
      </c>
      <c r="AX30" s="32" t="str">
        <f aca="false">④追加発注判定!P30</f>
        <v>在庫で充足</v>
      </c>
      <c r="AY30" s="35" t="n">
        <f aca="false">④追加発注判定!R30</f>
        <v>0</v>
      </c>
      <c r="AZ30" s="32" t="str">
        <f aca="false">④追加発注判定!X30</f>
        <v>D:不要</v>
      </c>
    </row>
    <row r="31" customFormat="false" ht="15" hidden="false" customHeight="false" outlineLevel="0" collapsed="false">
      <c r="A31" s="32" t="n">
        <v>25</v>
      </c>
      <c r="B31" s="32" t="s">
        <v>324</v>
      </c>
      <c r="C31" s="33" t="s">
        <v>325</v>
      </c>
      <c r="D31" s="34" t="n">
        <v>1500</v>
      </c>
      <c r="E31" s="34" t="n">
        <v>1500</v>
      </c>
      <c r="F31" s="35" t="n">
        <v>849</v>
      </c>
      <c r="G31" s="37" t="n">
        <f aca="false">IFERROR(F31/F$49,0)</f>
        <v>0.00572932483044843</v>
      </c>
      <c r="H31" s="34" t="n">
        <f aca="false">F31*E31</f>
        <v>1273500</v>
      </c>
      <c r="I31" s="37" t="n">
        <f aca="false">IFERROR(H31/H$49,0)</f>
        <v>0.0124625438660015</v>
      </c>
      <c r="J31" s="35" t="n">
        <v>1000</v>
      </c>
      <c r="K31" s="37" t="n">
        <f aca="false">IFERROR(F31/J31,0)</f>
        <v>0.849</v>
      </c>
      <c r="L31" s="34" t="n">
        <v>1500</v>
      </c>
      <c r="M31" s="35" t="n">
        <v>221</v>
      </c>
      <c r="N31" s="37" t="n">
        <f aca="false">IFERROR(M31/M$49,0)</f>
        <v>0.00377133105802048</v>
      </c>
      <c r="O31" s="34" t="n">
        <f aca="false">M31*L31</f>
        <v>331500</v>
      </c>
      <c r="P31" s="37" t="n">
        <f aca="false">IFERROR(O31/O$49,0)</f>
        <v>0.00799188034600141</v>
      </c>
      <c r="Q31" s="35" t="n">
        <v>340</v>
      </c>
      <c r="R31" s="37" t="n">
        <f aca="false">IFERROR(M31/Q31,0)</f>
        <v>0.65</v>
      </c>
      <c r="S31" s="34" t="n">
        <v>1500</v>
      </c>
      <c r="T31" s="35" t="n">
        <v>168</v>
      </c>
      <c r="U31" s="37" t="n">
        <f aca="false">IFERROR(T31/T$49,0)</f>
        <v>0.00374406632346059</v>
      </c>
      <c r="V31" s="34" t="n">
        <f aca="false">T31*S31</f>
        <v>252000</v>
      </c>
      <c r="W31" s="37" t="n">
        <f aca="false">IFERROR(V31/V$49,0)</f>
        <v>0.00812201064885841</v>
      </c>
      <c r="X31" s="35" t="n">
        <v>170</v>
      </c>
      <c r="Y31" s="37" t="n">
        <f aca="false">IFERROR(T31/X31,0)</f>
        <v>0.988235294117647</v>
      </c>
      <c r="Z31" s="34" t="n">
        <v>1500</v>
      </c>
      <c r="AA31" s="35" t="n">
        <v>243</v>
      </c>
      <c r="AB31" s="37" t="n">
        <f aca="false">IFERROR(AA31/AA$49,0)</f>
        <v>0.00381236272356448</v>
      </c>
      <c r="AC31" s="34" t="n">
        <f aca="false">AA31*Z31</f>
        <v>364500</v>
      </c>
      <c r="AD31" s="37" t="n">
        <f aca="false">IFERROR(AC31/AC$49,0)</f>
        <v>0.008009651135195</v>
      </c>
      <c r="AE31" s="35" t="n">
        <v>500</v>
      </c>
      <c r="AF31" s="37" t="n">
        <f aca="false">IFERROR(AA31/AE31,0)</f>
        <v>0.486</v>
      </c>
      <c r="AG31" s="34" t="n">
        <v>1500</v>
      </c>
      <c r="AH31" s="35" t="n">
        <v>29</v>
      </c>
      <c r="AI31" s="37" t="n">
        <f aca="false">IFERROR(AH31/AH$49,0)</f>
        <v>0.00571203466614142</v>
      </c>
      <c r="AJ31" s="34" t="n">
        <f aca="false">AH31*AG31</f>
        <v>43500</v>
      </c>
      <c r="AK31" s="37" t="n">
        <f aca="false">IFERROR(AJ31/AJ$49,0)</f>
        <v>0.0107177174957499</v>
      </c>
      <c r="AL31" s="35" t="n">
        <v>200</v>
      </c>
      <c r="AM31" s="37" t="n">
        <f aca="false">IFERROR(AH31/AL31,0)</f>
        <v>0.145</v>
      </c>
      <c r="AN31" s="36" t="n">
        <f aca="false">①札幌予測確定!O31</f>
        <v>1.86881959527338</v>
      </c>
      <c r="AO31" s="35" t="n">
        <f aca="false">①札幌予測確定!P31</f>
        <v>54</v>
      </c>
      <c r="AP31" s="34" t="n">
        <f aca="false">①札幌予測確定!Q31</f>
        <v>81000</v>
      </c>
      <c r="AQ31" s="37" t="n">
        <f aca="false">①札幌予測確定!T31</f>
        <v>0.27</v>
      </c>
      <c r="AR31" s="35" t="n">
        <f aca="false">①札幌予測確定!U31</f>
        <v>146</v>
      </c>
      <c r="AS31" s="35" t="n">
        <f aca="false">③石川以降予測!N54</f>
        <v>409</v>
      </c>
      <c r="AT31" s="35" t="n">
        <f aca="false">③石川以降予測!T54</f>
        <v>3451</v>
      </c>
      <c r="AU31" s="38" t="n">
        <f aca="false">③石川以降予測!V54</f>
        <v>-3042</v>
      </c>
      <c r="AV31" s="35" t="n">
        <f aca="false">③石川以降予測!W54</f>
        <v>0</v>
      </c>
      <c r="AW31" s="32" t="str">
        <f aca="false">④追加発注判定!J31</f>
        <v>在庫余剰</v>
      </c>
      <c r="AX31" s="32" t="str">
        <f aca="false">④追加発注判定!P31</f>
        <v>在庫で充足</v>
      </c>
      <c r="AY31" s="35" t="n">
        <f aca="false">④追加発注判定!R31</f>
        <v>0</v>
      </c>
      <c r="AZ31" s="32" t="str">
        <f aca="false">④追加発注判定!X31</f>
        <v>D:不要</v>
      </c>
    </row>
    <row r="32" customFormat="false" ht="15" hidden="false" customHeight="false" outlineLevel="0" collapsed="false">
      <c r="A32" s="32" t="n">
        <v>26</v>
      </c>
      <c r="B32" s="32" t="s">
        <v>326</v>
      </c>
      <c r="C32" s="33" t="s">
        <v>327</v>
      </c>
      <c r="D32" s="34" t="n">
        <v>2200</v>
      </c>
      <c r="E32" s="34" t="n">
        <v>2200</v>
      </c>
      <c r="F32" s="35" t="n">
        <v>1283</v>
      </c>
      <c r="G32" s="37" t="n">
        <f aca="false">IFERROR(F32/F$49,0)</f>
        <v>0.00865809629854574</v>
      </c>
      <c r="H32" s="34" t="n">
        <f aca="false">F32*E32</f>
        <v>2822600</v>
      </c>
      <c r="I32" s="37" t="n">
        <f aca="false">IFERROR(H32/H$49,0)</f>
        <v>0.027622125101041</v>
      </c>
      <c r="J32" s="35" t="n">
        <v>1293</v>
      </c>
      <c r="K32" s="37" t="n">
        <f aca="false">IFERROR(F32/J32,0)</f>
        <v>0.992266047950503</v>
      </c>
      <c r="L32" s="34" t="n">
        <v>2200</v>
      </c>
      <c r="M32" s="35" t="n">
        <v>513</v>
      </c>
      <c r="N32" s="37" t="n">
        <f aca="false">IFERROR(M32/M$49,0)</f>
        <v>0.0087542662116041</v>
      </c>
      <c r="O32" s="34" t="n">
        <f aca="false">M32*L32</f>
        <v>1128600</v>
      </c>
      <c r="P32" s="37" t="n">
        <f aca="false">IFERROR(O32/O$49,0)</f>
        <v>0.0272085555309116</v>
      </c>
      <c r="Q32" s="35" t="n">
        <v>515</v>
      </c>
      <c r="R32" s="37" t="n">
        <f aca="false">IFERROR(M32/Q32,0)</f>
        <v>0.996116504854369</v>
      </c>
      <c r="S32" s="34" t="n">
        <v>2200</v>
      </c>
      <c r="T32" s="35" t="n">
        <v>444</v>
      </c>
      <c r="U32" s="37" t="n">
        <f aca="false">IFERROR(T32/T$49,0)</f>
        <v>0.0098950324262887</v>
      </c>
      <c r="V32" s="34" t="n">
        <f aca="false">T32*S32</f>
        <v>976800</v>
      </c>
      <c r="W32" s="37" t="n">
        <f aca="false">IFERROR(V32/V$49,0)</f>
        <v>0.0314824603246226</v>
      </c>
      <c r="X32" s="35" t="n">
        <v>500</v>
      </c>
      <c r="Y32" s="37" t="n">
        <f aca="false">IFERROR(T32/X32,0)</f>
        <v>0.888</v>
      </c>
      <c r="Z32" s="34" t="n">
        <v>2200</v>
      </c>
      <c r="AA32" s="35" t="n">
        <v>842</v>
      </c>
      <c r="AB32" s="37" t="n">
        <f aca="false">IFERROR(AA32/AA$49,0)</f>
        <v>0.0132099152808284</v>
      </c>
      <c r="AC32" s="34" t="n">
        <f aca="false">AA32*Z32</f>
        <v>1852400</v>
      </c>
      <c r="AD32" s="37" t="n">
        <f aca="false">IFERROR(AC32/AC$49,0)</f>
        <v>0.0407052887869279</v>
      </c>
      <c r="AE32" s="35" t="n">
        <v>900</v>
      </c>
      <c r="AF32" s="37" t="n">
        <f aca="false">IFERROR(AA32/AE32,0)</f>
        <v>0.935555555555556</v>
      </c>
      <c r="AG32" s="34" t="n">
        <v>2200</v>
      </c>
      <c r="AH32" s="35" t="n">
        <v>100</v>
      </c>
      <c r="AI32" s="37" t="n">
        <f aca="false">IFERROR(AH32/AH$49,0)</f>
        <v>0.0196966712625566</v>
      </c>
      <c r="AJ32" s="34" t="n">
        <f aca="false">AH32*AG32</f>
        <v>220000</v>
      </c>
      <c r="AK32" s="37" t="n">
        <f aca="false">IFERROR(AJ32/AJ$49,0)</f>
        <v>0.0542045482543672</v>
      </c>
      <c r="AL32" s="35" t="n">
        <v>200</v>
      </c>
      <c r="AM32" s="37" t="n">
        <f aca="false">IFERROR(AH32/AL32,0)</f>
        <v>0.5</v>
      </c>
      <c r="AN32" s="36" t="n">
        <f aca="false">①札幌予測確定!O32</f>
        <v>1.55990921925752</v>
      </c>
      <c r="AO32" s="35" t="n">
        <f aca="false">①札幌予測確定!P32</f>
        <v>156</v>
      </c>
      <c r="AP32" s="34" t="n">
        <f aca="false">①札幌予測確定!Q32</f>
        <v>343200</v>
      </c>
      <c r="AQ32" s="37" t="n">
        <f aca="false">①札幌予測確定!T32</f>
        <v>0.78</v>
      </c>
      <c r="AR32" s="35" t="n">
        <f aca="false">①札幌予測確定!U32</f>
        <v>44</v>
      </c>
      <c r="AS32" s="35" t="n">
        <f aca="false">③石川以降予測!N55</f>
        <v>1270</v>
      </c>
      <c r="AT32" s="35" t="n">
        <f aca="false">③石川以降予測!T55</f>
        <v>341</v>
      </c>
      <c r="AU32" s="38" t="n">
        <f aca="false">③石川以降予測!V55</f>
        <v>929</v>
      </c>
      <c r="AV32" s="35" t="n">
        <f aca="false">③石川以降予測!W55</f>
        <v>929</v>
      </c>
      <c r="AW32" s="32" t="str">
        <f aca="false">④追加発注判定!J32</f>
        <v>適正</v>
      </c>
      <c r="AX32" s="32" t="str">
        <f aca="false">④追加発注判定!P32</f>
        <v>要 追加生産</v>
      </c>
      <c r="AY32" s="35" t="n">
        <f aca="false">④追加発注判定!R32</f>
        <v>1022</v>
      </c>
      <c r="AZ32" s="32" t="str">
        <f aca="false">④追加発注判定!X32</f>
        <v>S:現場欠品</v>
      </c>
    </row>
    <row r="33" customFormat="false" ht="15" hidden="false" customHeight="false" outlineLevel="0" collapsed="false">
      <c r="A33" s="32" t="n">
        <v>27</v>
      </c>
      <c r="B33" s="32" t="s">
        <v>328</v>
      </c>
      <c r="C33" s="33" t="s">
        <v>329</v>
      </c>
      <c r="D33" s="34" t="n">
        <v>1100</v>
      </c>
      <c r="E33" s="34" t="n">
        <v>1100</v>
      </c>
      <c r="F33" s="35" t="n">
        <v>466</v>
      </c>
      <c r="G33" s="37" t="n">
        <f aca="false">IFERROR(F33/F$49,0)</f>
        <v>0.00314471775145932</v>
      </c>
      <c r="H33" s="34" t="n">
        <f aca="false">F33*E33</f>
        <v>512600</v>
      </c>
      <c r="I33" s="37" t="n">
        <f aca="false">IFERROR(H33/H$49,0)</f>
        <v>0.00501633292949537</v>
      </c>
      <c r="J33" s="35" t="n">
        <v>795</v>
      </c>
      <c r="K33" s="37" t="n">
        <f aca="false">IFERROR(F33/J33,0)</f>
        <v>0.586163522012579</v>
      </c>
      <c r="L33" s="34" t="n">
        <v>1100</v>
      </c>
      <c r="M33" s="35" t="n">
        <v>103</v>
      </c>
      <c r="N33" s="37" t="n">
        <f aca="false">IFERROR(M33/M$49,0)</f>
        <v>0.00175767918088737</v>
      </c>
      <c r="O33" s="34" t="n">
        <f aca="false">M33*L33</f>
        <v>113300</v>
      </c>
      <c r="P33" s="37" t="n">
        <f aca="false">IFERROR(O33/O$49,0)</f>
        <v>0.00273146317707982</v>
      </c>
      <c r="Q33" s="35" t="n">
        <v>185</v>
      </c>
      <c r="R33" s="37" t="n">
        <f aca="false">IFERROR(M33/Q33,0)</f>
        <v>0.556756756756757</v>
      </c>
      <c r="S33" s="34" t="n">
        <v>1100</v>
      </c>
      <c r="T33" s="35" t="n">
        <v>69</v>
      </c>
      <c r="U33" s="37" t="n">
        <f aca="false">IFERROR(T33/T$49,0)</f>
        <v>0.00153774152570703</v>
      </c>
      <c r="V33" s="34" t="n">
        <f aca="false">T33*S33</f>
        <v>75900</v>
      </c>
      <c r="W33" s="37" t="n">
        <f aca="false">IFERROR(V33/V$49,0)</f>
        <v>0.00244627225495378</v>
      </c>
      <c r="X33" s="35" t="n">
        <v>70</v>
      </c>
      <c r="Y33" s="37" t="n">
        <f aca="false">IFERROR(T33/X33,0)</f>
        <v>0.985714285714286</v>
      </c>
      <c r="Z33" s="34" t="n">
        <v>1100</v>
      </c>
      <c r="AA33" s="35" t="n">
        <v>145</v>
      </c>
      <c r="AB33" s="37" t="n">
        <f aca="false">IFERROR(AA33/AA$49,0)</f>
        <v>0.00227486664574835</v>
      </c>
      <c r="AC33" s="34" t="n">
        <f aca="false">AA33*Z33</f>
        <v>159500</v>
      </c>
      <c r="AD33" s="37" t="n">
        <f aca="false">IFERROR(AC33/AC$49,0)</f>
        <v>0.00350490907013334</v>
      </c>
      <c r="AE33" s="35" t="n">
        <v>300</v>
      </c>
      <c r="AF33" s="37" t="n">
        <f aca="false">IFERROR(AA33/AE33,0)</f>
        <v>0.483333333333333</v>
      </c>
      <c r="AG33" s="34" t="n">
        <v>1100</v>
      </c>
      <c r="AH33" s="35" t="n">
        <v>20</v>
      </c>
      <c r="AI33" s="37" t="n">
        <f aca="false">IFERROR(AH33/AH$49,0)</f>
        <v>0.00393933425251133</v>
      </c>
      <c r="AJ33" s="34" t="n">
        <f aca="false">AH33*AG33</f>
        <v>22000</v>
      </c>
      <c r="AK33" s="37" t="n">
        <f aca="false">IFERROR(AJ33/AJ$49,0)</f>
        <v>0.00542045482543672</v>
      </c>
      <c r="AL33" s="35" t="n">
        <v>70</v>
      </c>
      <c r="AM33" s="37" t="n">
        <f aca="false">IFERROR(AH33/AL33,0)</f>
        <v>0.285714285714286</v>
      </c>
      <c r="AN33" s="36" t="n">
        <f aca="false">①札幌予測確定!O33</f>
        <v>2.01457944796724</v>
      </c>
      <c r="AO33" s="35" t="n">
        <f aca="false">①札幌予測確定!P33</f>
        <v>40</v>
      </c>
      <c r="AP33" s="34" t="n">
        <f aca="false">①札幌予測確定!Q33</f>
        <v>44000</v>
      </c>
      <c r="AQ33" s="37" t="n">
        <f aca="false">①札幌予測確定!T33</f>
        <v>0.571428571428571</v>
      </c>
      <c r="AR33" s="35" t="n">
        <f aca="false">①札幌予測確定!U33</f>
        <v>30</v>
      </c>
      <c r="AS33" s="35" t="n">
        <f aca="false">③石川以降予測!N56</f>
        <v>279</v>
      </c>
      <c r="AT33" s="35" t="n">
        <f aca="false">③石川以降予測!T56</f>
        <v>1158</v>
      </c>
      <c r="AU33" s="38" t="n">
        <f aca="false">③石川以降予測!V56</f>
        <v>-879</v>
      </c>
      <c r="AV33" s="35" t="n">
        <f aca="false">③石川以降予測!W56</f>
        <v>0</v>
      </c>
      <c r="AW33" s="32" t="str">
        <f aca="false">④追加発注判定!J33</f>
        <v>適正</v>
      </c>
      <c r="AX33" s="32" t="str">
        <f aca="false">④追加発注判定!P33</f>
        <v>在庫で充足</v>
      </c>
      <c r="AY33" s="35" t="n">
        <f aca="false">④追加発注判定!R33</f>
        <v>0</v>
      </c>
      <c r="AZ33" s="32" t="str">
        <f aca="false">④追加発注判定!X33</f>
        <v>D:不要</v>
      </c>
    </row>
    <row r="34" customFormat="false" ht="15" hidden="false" customHeight="false" outlineLevel="0" collapsed="false">
      <c r="A34" s="32" t="n">
        <v>28</v>
      </c>
      <c r="B34" s="32" t="s">
        <v>330</v>
      </c>
      <c r="C34" s="33" t="s">
        <v>331</v>
      </c>
      <c r="D34" s="34" t="n">
        <v>1800</v>
      </c>
      <c r="E34" s="34" t="n">
        <v>1800</v>
      </c>
      <c r="F34" s="35" t="n">
        <v>1034</v>
      </c>
      <c r="G34" s="37" t="n">
        <f aca="false">IFERROR(F34/F$49,0)</f>
        <v>0.00697776428113507</v>
      </c>
      <c r="H34" s="34" t="n">
        <f aca="false">F34*E34</f>
        <v>1861200</v>
      </c>
      <c r="I34" s="37" t="n">
        <f aca="false">IFERROR(H34/H$49,0)</f>
        <v>0.0182138096925025</v>
      </c>
      <c r="J34" s="35" t="n">
        <v>1047</v>
      </c>
      <c r="K34" s="37" t="n">
        <f aca="false">IFERROR(F34/J34,0)</f>
        <v>0.987583572110793</v>
      </c>
      <c r="L34" s="34" t="n">
        <v>1800</v>
      </c>
      <c r="M34" s="35" t="n">
        <v>436</v>
      </c>
      <c r="N34" s="37" t="n">
        <f aca="false">IFERROR(M34/M$49,0)</f>
        <v>0.00744027303754266</v>
      </c>
      <c r="O34" s="34" t="n">
        <f aca="false">M34*L34</f>
        <v>784800</v>
      </c>
      <c r="P34" s="37" t="n">
        <f aca="false">IFERROR(O34/O$49,0)</f>
        <v>0.0189201438779545</v>
      </c>
      <c r="Q34" s="35" t="n">
        <v>437</v>
      </c>
      <c r="R34" s="37" t="n">
        <f aca="false">IFERROR(M34/Q34,0)</f>
        <v>0.997711670480549</v>
      </c>
      <c r="S34" s="34" t="n">
        <v>1800</v>
      </c>
      <c r="T34" s="35" t="n">
        <v>333</v>
      </c>
      <c r="U34" s="37" t="n">
        <f aca="false">IFERROR(T34/T$49,0)</f>
        <v>0.00742127431971652</v>
      </c>
      <c r="V34" s="34" t="n">
        <f aca="false">T34*S34</f>
        <v>599400</v>
      </c>
      <c r="W34" s="37" t="n">
        <f aca="false">IFERROR(V34/V$49,0)</f>
        <v>0.0193187824719275</v>
      </c>
      <c r="X34" s="35" t="n">
        <v>333</v>
      </c>
      <c r="Y34" s="37" t="n">
        <f aca="false">IFERROR(T34/X34,0)</f>
        <v>1</v>
      </c>
      <c r="Z34" s="34" t="n">
        <v>1800</v>
      </c>
      <c r="AA34" s="35" t="n">
        <v>400</v>
      </c>
      <c r="AB34" s="37" t="n">
        <f aca="false">IFERROR(AA34/AA$49,0)</f>
        <v>0.00627549419516787</v>
      </c>
      <c r="AC34" s="34" t="n">
        <f aca="false">AA34*Z34</f>
        <v>720000</v>
      </c>
      <c r="AD34" s="37" t="n">
        <f aca="false">IFERROR(AC34/AC$49,0)</f>
        <v>0.015821533106558</v>
      </c>
      <c r="AE34" s="35" t="n">
        <v>400</v>
      </c>
      <c r="AF34" s="37" t="n">
        <f aca="false">IFERROR(AA34/AE34,0)</f>
        <v>1</v>
      </c>
      <c r="AG34" s="34" t="n">
        <v>1800</v>
      </c>
      <c r="AH34" s="35" t="n">
        <v>184</v>
      </c>
      <c r="AI34" s="37" t="n">
        <f aca="false">IFERROR(AH34/AH$49,0)</f>
        <v>0.0362418751231042</v>
      </c>
      <c r="AJ34" s="34" t="n">
        <f aca="false">AH34*AG34</f>
        <v>331200</v>
      </c>
      <c r="AK34" s="37" t="n">
        <f aca="false">IFERROR(AJ34/AJ$49,0)</f>
        <v>0.0816024835538473</v>
      </c>
      <c r="AL34" s="35" t="n">
        <v>300</v>
      </c>
      <c r="AM34" s="37" t="n">
        <f aca="false">IFERROR(AH34/AL34,0)</f>
        <v>0.613333333333333</v>
      </c>
      <c r="AN34" s="36" t="n">
        <f aca="false">①札幌予測確定!O34</f>
        <v>1.17490560459944</v>
      </c>
      <c r="AO34" s="35" t="n">
        <f aca="false">①札幌予測確定!P34</f>
        <v>216</v>
      </c>
      <c r="AP34" s="34" t="n">
        <f aca="false">①札幌予測確定!Q34</f>
        <v>388800</v>
      </c>
      <c r="AQ34" s="37" t="n">
        <f aca="false">①札幌予測確定!T34</f>
        <v>0.72</v>
      </c>
      <c r="AR34" s="35" t="n">
        <f aca="false">①札幌予測確定!U34</f>
        <v>84</v>
      </c>
      <c r="AS34" s="35" t="n">
        <f aca="false">③石川以降予測!N57</f>
        <v>1267</v>
      </c>
      <c r="AT34" s="35" t="n">
        <f aca="false">③石川以降予測!T57</f>
        <v>244</v>
      </c>
      <c r="AU34" s="38" t="n">
        <f aca="false">③石川以降予測!V57</f>
        <v>-177</v>
      </c>
      <c r="AV34" s="35" t="n">
        <f aca="false">③石川以降予測!W57</f>
        <v>0</v>
      </c>
      <c r="AW34" s="32" t="str">
        <f aca="false">④追加発注判定!J34</f>
        <v>適正</v>
      </c>
      <c r="AX34" s="32" t="str">
        <f aca="false">④追加発注判定!P34</f>
        <v>要 追加生産</v>
      </c>
      <c r="AY34" s="35" t="n">
        <f aca="false">④追加発注判定!R34</f>
        <v>0</v>
      </c>
      <c r="AZ34" s="32" t="str">
        <f aca="false">④追加発注判定!X34</f>
        <v>S:現場欠品</v>
      </c>
    </row>
    <row r="35" customFormat="false" ht="15" hidden="false" customHeight="false" outlineLevel="0" collapsed="false">
      <c r="A35" s="32" t="n">
        <v>29</v>
      </c>
      <c r="B35" s="32" t="s">
        <v>332</v>
      </c>
      <c r="C35" s="33" t="s">
        <v>333</v>
      </c>
      <c r="D35" s="34" t="n">
        <v>1500</v>
      </c>
      <c r="E35" s="34" t="n">
        <v>1500</v>
      </c>
      <c r="F35" s="35" t="n">
        <v>794</v>
      </c>
      <c r="G35" s="37" t="n">
        <f aca="false">IFERROR(F35/F$49,0)</f>
        <v>0.00535816715591997</v>
      </c>
      <c r="H35" s="34" t="n">
        <f aca="false">F35*E35</f>
        <v>1191000</v>
      </c>
      <c r="I35" s="37" t="n">
        <f aca="false">IFERROR(H35/H$49,0)</f>
        <v>0.0116551941455891</v>
      </c>
      <c r="J35" s="35" t="n">
        <v>795</v>
      </c>
      <c r="K35" s="37" t="n">
        <f aca="false">IFERROR(F35/J35,0)</f>
        <v>0.99874213836478</v>
      </c>
      <c r="L35" s="34" t="n">
        <v>1500</v>
      </c>
      <c r="M35" s="35" t="n">
        <v>318</v>
      </c>
      <c r="N35" s="37" t="n">
        <f aca="false">IFERROR(M35/M$49,0)</f>
        <v>0.00542662116040956</v>
      </c>
      <c r="O35" s="34" t="n">
        <f aca="false">M35*L35</f>
        <v>477000</v>
      </c>
      <c r="P35" s="37" t="n">
        <f aca="false">IFERROR(O35/O$49,0)</f>
        <v>0.0114996287331604</v>
      </c>
      <c r="Q35" s="35" t="n">
        <v>319</v>
      </c>
      <c r="R35" s="37" t="n">
        <f aca="false">IFERROR(M35/Q35,0)</f>
        <v>0.996865203761756</v>
      </c>
      <c r="S35" s="34" t="n">
        <v>1500</v>
      </c>
      <c r="T35" s="35" t="n">
        <v>249</v>
      </c>
      <c r="U35" s="37" t="n">
        <f aca="false">IFERROR(T35/T$49,0)</f>
        <v>0.00554924115798623</v>
      </c>
      <c r="V35" s="34" t="n">
        <f aca="false">T35*S35</f>
        <v>373500</v>
      </c>
      <c r="W35" s="37" t="n">
        <f aca="false">IFERROR(V35/V$49,0)</f>
        <v>0.0120379800688437</v>
      </c>
      <c r="X35" s="35" t="n">
        <v>250</v>
      </c>
      <c r="Y35" s="37" t="n">
        <f aca="false">IFERROR(T35/X35,0)</f>
        <v>0.996</v>
      </c>
      <c r="Z35" s="34" t="n">
        <v>1500</v>
      </c>
      <c r="AA35" s="35" t="n">
        <v>200</v>
      </c>
      <c r="AB35" s="37" t="n">
        <f aca="false">IFERROR(AA35/AA$49,0)</f>
        <v>0.00313774709758393</v>
      </c>
      <c r="AC35" s="34" t="n">
        <f aca="false">AA35*Z35</f>
        <v>300000</v>
      </c>
      <c r="AD35" s="37" t="n">
        <f aca="false">IFERROR(AC35/AC$49,0)</f>
        <v>0.00659230546106584</v>
      </c>
      <c r="AE35" s="35" t="n">
        <v>200</v>
      </c>
      <c r="AF35" s="37" t="n">
        <f aca="false">IFERROR(AA35/AE35,0)</f>
        <v>1</v>
      </c>
      <c r="AG35" s="34" t="n">
        <v>1500</v>
      </c>
      <c r="AH35" s="35" t="n">
        <v>89</v>
      </c>
      <c r="AI35" s="37" t="n">
        <f aca="false">IFERROR(AH35/AH$49,0)</f>
        <v>0.0175300374236754</v>
      </c>
      <c r="AJ35" s="34" t="n">
        <f aca="false">AH35*AG35</f>
        <v>133500</v>
      </c>
      <c r="AK35" s="37" t="n">
        <f aca="false">IFERROR(AJ35/AJ$49,0)</f>
        <v>0.032892305417991</v>
      </c>
      <c r="AL35" s="35" t="n">
        <v>160</v>
      </c>
      <c r="AM35" s="37" t="n">
        <f aca="false">IFERROR(AH35/AL35,0)</f>
        <v>0.55625</v>
      </c>
      <c r="AN35" s="36" t="n">
        <f aca="false">①札幌予測確定!O35</f>
        <v>1.20553499931574</v>
      </c>
      <c r="AO35" s="35" t="n">
        <f aca="false">①札幌予測確定!P35</f>
        <v>107</v>
      </c>
      <c r="AP35" s="34" t="n">
        <f aca="false">①札幌予測確定!Q35</f>
        <v>160500</v>
      </c>
      <c r="AQ35" s="37" t="n">
        <f aca="false">①札幌予測確定!T35</f>
        <v>0.66875</v>
      </c>
      <c r="AR35" s="35" t="n">
        <f aca="false">①札幌予測確定!U35</f>
        <v>53</v>
      </c>
      <c r="AS35" s="35" t="n">
        <f aca="false">③石川以降予測!N58</f>
        <v>629</v>
      </c>
      <c r="AT35" s="35" t="n">
        <f aca="false">③石川以降予測!T58</f>
        <v>313</v>
      </c>
      <c r="AU35" s="38" t="n">
        <f aca="false">③石川以降予測!V58</f>
        <v>316</v>
      </c>
      <c r="AV35" s="35" t="n">
        <f aca="false">③石川以降予測!W58</f>
        <v>316</v>
      </c>
      <c r="AW35" s="32" t="str">
        <f aca="false">④追加発注判定!J35</f>
        <v>適正</v>
      </c>
      <c r="AX35" s="32" t="str">
        <f aca="false">④追加発注判定!P35</f>
        <v>要 追加生産</v>
      </c>
      <c r="AY35" s="35" t="n">
        <f aca="false">④追加発注判定!R35</f>
        <v>348</v>
      </c>
      <c r="AZ35" s="32" t="str">
        <f aca="false">④追加発注判定!X35</f>
        <v>S:現場欠品</v>
      </c>
    </row>
    <row r="36" customFormat="false" ht="15" hidden="false" customHeight="false" outlineLevel="0" collapsed="false">
      <c r="A36" s="32" t="n">
        <v>30</v>
      </c>
      <c r="B36" s="32" t="s">
        <v>334</v>
      </c>
      <c r="C36" s="33" t="s">
        <v>335</v>
      </c>
      <c r="D36" s="34" t="n">
        <v>3300</v>
      </c>
      <c r="E36" s="34" t="n">
        <v>3300</v>
      </c>
      <c r="F36" s="35" t="n">
        <v>615</v>
      </c>
      <c r="G36" s="37" t="n">
        <f aca="false">IFERROR(F36/F$49,0)</f>
        <v>0.0041502176333637</v>
      </c>
      <c r="H36" s="34" t="n">
        <f aca="false">F36*E36</f>
        <v>2029500</v>
      </c>
      <c r="I36" s="37" t="n">
        <f aca="false">IFERROR(H36/H$49,0)</f>
        <v>0.0198608031221437</v>
      </c>
      <c r="J36" s="35" t="n">
        <v>794</v>
      </c>
      <c r="K36" s="37" t="n">
        <f aca="false">IFERROR(F36/J36,0)</f>
        <v>0.77455919395466</v>
      </c>
      <c r="L36" s="34" t="n">
        <v>3300</v>
      </c>
      <c r="M36" s="35" t="n">
        <v>169</v>
      </c>
      <c r="N36" s="37" t="n">
        <f aca="false">IFERROR(M36/M$49,0)</f>
        <v>0.0028839590443686</v>
      </c>
      <c r="O36" s="34" t="n">
        <f aca="false">M36*L36</f>
        <v>557700</v>
      </c>
      <c r="P36" s="37" t="n">
        <f aca="false">IFERROR(O36/O$49,0)</f>
        <v>0.0134451634056259</v>
      </c>
      <c r="Q36" s="35" t="n">
        <v>250</v>
      </c>
      <c r="R36" s="37" t="n">
        <f aca="false">IFERROR(M36/Q36,0)</f>
        <v>0.676</v>
      </c>
      <c r="S36" s="34" t="n">
        <v>3300</v>
      </c>
      <c r="T36" s="35" t="n">
        <v>89</v>
      </c>
      <c r="U36" s="37" t="n">
        <f aca="false">IFERROR(T36/T$49,0)</f>
        <v>0.00198346370707138</v>
      </c>
      <c r="V36" s="34" t="n">
        <f aca="false">T36*S36</f>
        <v>293700</v>
      </c>
      <c r="W36" s="37" t="n">
        <f aca="false">IFERROR(V36/V$49,0)</f>
        <v>0.00946601003003855</v>
      </c>
      <c r="X36" s="35" t="n">
        <v>90</v>
      </c>
      <c r="Y36" s="37" t="n">
        <f aca="false">IFERROR(T36/X36,0)</f>
        <v>0.988888888888889</v>
      </c>
      <c r="Z36" s="34" t="n">
        <v>3300</v>
      </c>
      <c r="AA36" s="35" t="n">
        <v>205</v>
      </c>
      <c r="AB36" s="37" t="n">
        <f aca="false">IFERROR(AA36/AA$49,0)</f>
        <v>0.00321619077502353</v>
      </c>
      <c r="AC36" s="34" t="n">
        <f aca="false">AA36*Z36</f>
        <v>676500</v>
      </c>
      <c r="AD36" s="37" t="n">
        <f aca="false">IFERROR(AC36/AC$49,0)</f>
        <v>0.0148656488147035</v>
      </c>
      <c r="AE36" s="35" t="n">
        <v>499</v>
      </c>
      <c r="AF36" s="37" t="n">
        <f aca="false">IFERROR(AA36/AE36,0)</f>
        <v>0.410821643286573</v>
      </c>
      <c r="AG36" s="34" t="n">
        <v>3300</v>
      </c>
      <c r="AH36" s="35" t="n">
        <v>29</v>
      </c>
      <c r="AI36" s="37" t="n">
        <f aca="false">IFERROR(AH36/AH$49,0)</f>
        <v>0.00571203466614142</v>
      </c>
      <c r="AJ36" s="34" t="n">
        <f aca="false">AH36*AG36</f>
        <v>95700</v>
      </c>
      <c r="AK36" s="37" t="n">
        <f aca="false">IFERROR(AJ36/AJ$49,0)</f>
        <v>0.0235789784906497</v>
      </c>
      <c r="AL36" s="35" t="n">
        <v>250</v>
      </c>
      <c r="AM36" s="37" t="n">
        <f aca="false">IFERROR(AH36/AL36,0)</f>
        <v>0.116</v>
      </c>
      <c r="AN36" s="36" t="n">
        <f aca="false">①札幌予測確定!O36</f>
        <v>2.18830963275388</v>
      </c>
      <c r="AO36" s="35" t="n">
        <f aca="false">①札幌予測確定!P36</f>
        <v>63</v>
      </c>
      <c r="AP36" s="34" t="n">
        <f aca="false">①札幌予測確定!Q36</f>
        <v>207900</v>
      </c>
      <c r="AQ36" s="37" t="n">
        <f aca="false">①札幌予測確定!T36</f>
        <v>0.252</v>
      </c>
      <c r="AR36" s="35" t="n">
        <f aca="false">①札幌予測確定!U36</f>
        <v>187</v>
      </c>
      <c r="AS36" s="35" t="n">
        <f aca="false">③石川以降予測!N59</f>
        <v>425</v>
      </c>
      <c r="AT36" s="35" t="n">
        <f aca="false">③石川以降予測!T59</f>
        <v>835</v>
      </c>
      <c r="AU36" s="38" t="n">
        <f aca="false">③石川以降予測!V59</f>
        <v>-410</v>
      </c>
      <c r="AV36" s="35" t="n">
        <f aca="false">③石川以降予測!W59</f>
        <v>0</v>
      </c>
      <c r="AW36" s="32" t="str">
        <f aca="false">④追加発注判定!J36</f>
        <v>在庫余剰</v>
      </c>
      <c r="AX36" s="32" t="str">
        <f aca="false">④追加発注判定!P36</f>
        <v>在庫で充足</v>
      </c>
      <c r="AY36" s="35" t="n">
        <f aca="false">④追加発注判定!R36</f>
        <v>0</v>
      </c>
      <c r="AZ36" s="32" t="str">
        <f aca="false">④追加発注判定!X36</f>
        <v>D:不要</v>
      </c>
    </row>
    <row r="37" customFormat="false" ht="15" hidden="false" customHeight="false" outlineLevel="0" collapsed="false">
      <c r="A37" s="32" t="n">
        <v>31</v>
      </c>
      <c r="B37" s="32" t="s">
        <v>336</v>
      </c>
      <c r="C37" s="33" t="s">
        <v>337</v>
      </c>
      <c r="D37" s="34" t="n">
        <v>1300</v>
      </c>
      <c r="E37" s="34" t="n">
        <v>1300</v>
      </c>
      <c r="F37" s="35" t="n">
        <v>1215</v>
      </c>
      <c r="G37" s="37" t="n">
        <f aca="false">IFERROR(F37/F$49,0)</f>
        <v>0.00819921044640146</v>
      </c>
      <c r="H37" s="34" t="n">
        <f aca="false">F37*E37</f>
        <v>1579500</v>
      </c>
      <c r="I37" s="37" t="n">
        <f aca="false">IFERROR(H37/H$49,0)</f>
        <v>0.01545707737444</v>
      </c>
      <c r="J37" s="35" t="n">
        <v>2495</v>
      </c>
      <c r="K37" s="37" t="n">
        <f aca="false">IFERROR(F37/J37,0)</f>
        <v>0.486973947895792</v>
      </c>
      <c r="L37" s="34" t="n">
        <v>1300</v>
      </c>
      <c r="M37" s="35" t="n">
        <v>235</v>
      </c>
      <c r="N37" s="37" t="n">
        <f aca="false">IFERROR(M37/M$49,0)</f>
        <v>0.00401023890784983</v>
      </c>
      <c r="O37" s="34" t="n">
        <f aca="false">M37*L37</f>
        <v>305500</v>
      </c>
      <c r="P37" s="37" t="n">
        <f aca="false">IFERROR(O37/O$49,0)</f>
        <v>0.00736506620121698</v>
      </c>
      <c r="Q37" s="35" t="n">
        <v>485</v>
      </c>
      <c r="R37" s="37" t="n">
        <f aca="false">IFERROR(M37/Q37,0)</f>
        <v>0.484536082474227</v>
      </c>
      <c r="S37" s="34" t="n">
        <v>1300</v>
      </c>
      <c r="T37" s="35" t="n">
        <v>178</v>
      </c>
      <c r="U37" s="37" t="n">
        <f aca="false">IFERROR(T37/T$49,0)</f>
        <v>0.00396692741414277</v>
      </c>
      <c r="V37" s="34" t="n">
        <f aca="false">T37*S37</f>
        <v>231400</v>
      </c>
      <c r="W37" s="37" t="n">
        <f aca="false">IFERROR(V37/V$49,0)</f>
        <v>0.00745806850851522</v>
      </c>
      <c r="X37" s="35" t="n">
        <v>180</v>
      </c>
      <c r="Y37" s="37" t="n">
        <f aca="false">IFERROR(T37/X37,0)</f>
        <v>0.988888888888889</v>
      </c>
      <c r="Z37" s="34" t="n">
        <v>1300</v>
      </c>
      <c r="AA37" s="35" t="n">
        <v>427</v>
      </c>
      <c r="AB37" s="37" t="n">
        <f aca="false">IFERROR(AA37/AA$49,0)</f>
        <v>0.0066990900533417</v>
      </c>
      <c r="AC37" s="34" t="n">
        <f aca="false">AA37*Z37</f>
        <v>555100</v>
      </c>
      <c r="AD37" s="37" t="n">
        <f aca="false">IFERROR(AC37/AC$49,0)</f>
        <v>0.0121979625381255</v>
      </c>
      <c r="AE37" s="35" t="n">
        <v>600</v>
      </c>
      <c r="AF37" s="37" t="n">
        <f aca="false">IFERROR(AA37/AE37,0)</f>
        <v>0.711666666666667</v>
      </c>
      <c r="AG37" s="34" t="n">
        <v>1300</v>
      </c>
      <c r="AH37" s="35" t="n">
        <v>51</v>
      </c>
      <c r="AI37" s="37" t="n">
        <f aca="false">IFERROR(AH37/AH$49,0)</f>
        <v>0.0100453023439039</v>
      </c>
      <c r="AJ37" s="34" t="n">
        <f aca="false">AH37*AG37</f>
        <v>66300</v>
      </c>
      <c r="AK37" s="37" t="n">
        <f aca="false">IFERROR(AJ37/AJ$49,0)</f>
        <v>0.0163352797693843</v>
      </c>
      <c r="AL37" s="35" t="n">
        <v>200</v>
      </c>
      <c r="AM37" s="37" t="n">
        <f aca="false">IFERROR(AH37/AL37,0)</f>
        <v>0.255</v>
      </c>
      <c r="AN37" s="36" t="n">
        <f aca="false">①札幌予測確定!O37</f>
        <v>1.69716857425109</v>
      </c>
      <c r="AO37" s="35" t="n">
        <f aca="false">①札幌予測確定!P37</f>
        <v>87</v>
      </c>
      <c r="AP37" s="34" t="n">
        <f aca="false">①札幌予測確定!Q37</f>
        <v>113100</v>
      </c>
      <c r="AQ37" s="37" t="n">
        <f aca="false">①札幌予測確定!T37</f>
        <v>0.435</v>
      </c>
      <c r="AR37" s="35" t="n">
        <f aca="false">①札幌予測確定!U37</f>
        <v>113</v>
      </c>
      <c r="AS37" s="35" t="n">
        <f aca="false">③石川以降予測!N60</f>
        <v>681</v>
      </c>
      <c r="AT37" s="35" t="n">
        <f aca="false">③石川以降予測!T60</f>
        <v>839</v>
      </c>
      <c r="AU37" s="38" t="n">
        <f aca="false">③石川以降予測!V60</f>
        <v>-158</v>
      </c>
      <c r="AV37" s="35" t="n">
        <f aca="false">③石川以降予測!W60</f>
        <v>0</v>
      </c>
      <c r="AW37" s="32" t="str">
        <f aca="false">④追加発注判定!J37</f>
        <v>在庫余剰</v>
      </c>
      <c r="AX37" s="32" t="str">
        <f aca="false">④追加発注判定!P37</f>
        <v>在庫で充足</v>
      </c>
      <c r="AY37" s="35" t="n">
        <f aca="false">④追加発注判定!R37</f>
        <v>0</v>
      </c>
      <c r="AZ37" s="32" t="str">
        <f aca="false">④追加発注判定!X37</f>
        <v>D:不要</v>
      </c>
    </row>
    <row r="38" customFormat="false" ht="15" hidden="false" customHeight="false" outlineLevel="0" collapsed="false">
      <c r="A38" s="32" t="n">
        <v>32</v>
      </c>
      <c r="B38" s="32" t="s">
        <v>338</v>
      </c>
      <c r="C38" s="33" t="s">
        <v>339</v>
      </c>
      <c r="D38" s="34" t="n">
        <v>8800</v>
      </c>
      <c r="E38" s="34" t="n">
        <v>8800</v>
      </c>
      <c r="F38" s="35" t="n">
        <v>47</v>
      </c>
      <c r="G38" s="37" t="n">
        <f aca="false">IFERROR(F38/F$49,0)</f>
        <v>0.000317171103687958</v>
      </c>
      <c r="H38" s="34" t="n">
        <f aca="false">F38*E38</f>
        <v>413600</v>
      </c>
      <c r="I38" s="37" t="n">
        <f aca="false">IFERROR(H38/H$49,0)</f>
        <v>0.00404751326500056</v>
      </c>
      <c r="J38" s="35" t="n">
        <v>47</v>
      </c>
      <c r="K38" s="37" t="n">
        <f aca="false">IFERROR(F38/J38,0)</f>
        <v>1</v>
      </c>
      <c r="L38" s="34" t="n">
        <v>8800</v>
      </c>
      <c r="M38" s="35" t="n">
        <v>36</v>
      </c>
      <c r="N38" s="37" t="n">
        <f aca="false">IFERROR(M38/M$49,0)</f>
        <v>0.000614334470989761</v>
      </c>
      <c r="O38" s="34" t="n">
        <f aca="false">M38*L38</f>
        <v>316800</v>
      </c>
      <c r="P38" s="37" t="n">
        <f aca="false">IFERROR(O38/O$49,0)</f>
        <v>0.00763748927183483</v>
      </c>
      <c r="Q38" s="35" t="n">
        <v>36</v>
      </c>
      <c r="R38" s="37" t="n">
        <f aca="false">IFERROR(M38/Q38,0)</f>
        <v>1</v>
      </c>
      <c r="S38" s="34" t="n">
        <v>8800</v>
      </c>
      <c r="T38" s="35" t="n">
        <v>30</v>
      </c>
      <c r="U38" s="37" t="n">
        <f aca="false">IFERROR(T38/T$49,0)</f>
        <v>0.000668583272046533</v>
      </c>
      <c r="V38" s="34" t="n">
        <f aca="false">T38*S38</f>
        <v>264000</v>
      </c>
      <c r="W38" s="37" t="n">
        <f aca="false">IFERROR(V38/V$49,0)</f>
        <v>0.00850877306070881</v>
      </c>
      <c r="X38" s="35" t="n">
        <v>29</v>
      </c>
      <c r="Y38" s="37" t="n">
        <f aca="false">IFERROR(T38/X38,0)</f>
        <v>1.03448275862069</v>
      </c>
      <c r="Z38" s="34" t="n">
        <v>8800</v>
      </c>
      <c r="AA38" s="35" t="n">
        <v>40</v>
      </c>
      <c r="AB38" s="37" t="n">
        <f aca="false">IFERROR(AA38/AA$49,0)</f>
        <v>0.000627549419516787</v>
      </c>
      <c r="AC38" s="34" t="n">
        <f aca="false">AA38*Z38</f>
        <v>352000</v>
      </c>
      <c r="AD38" s="37" t="n">
        <f aca="false">IFERROR(AC38/AC$49,0)</f>
        <v>0.00773497174098392</v>
      </c>
      <c r="AE38" s="35" t="n">
        <v>40</v>
      </c>
      <c r="AF38" s="37" t="n">
        <f aca="false">IFERROR(AA38/AE38,0)</f>
        <v>1</v>
      </c>
      <c r="AG38" s="34" t="n">
        <v>8800</v>
      </c>
      <c r="AH38" s="35" t="n">
        <v>10</v>
      </c>
      <c r="AI38" s="37" t="n">
        <f aca="false">IFERROR(AH38/AH$49,0)</f>
        <v>0.00196966712625566</v>
      </c>
      <c r="AJ38" s="34" t="n">
        <f aca="false">AH38*AG38</f>
        <v>88000</v>
      </c>
      <c r="AK38" s="37" t="n">
        <f aca="false">IFERROR(AJ38/AJ$49,0)</f>
        <v>0.0216818193017469</v>
      </c>
      <c r="AL38" s="35" t="n">
        <v>10</v>
      </c>
      <c r="AM38" s="37" t="n">
        <f aca="false">IFERROR(AH38/AL38,0)</f>
        <v>1</v>
      </c>
      <c r="AN38" s="36" t="n">
        <f aca="false">①札幌予測確定!O38</f>
        <v>1.01207300772946</v>
      </c>
      <c r="AO38" s="35" t="n">
        <f aca="false">①札幌予測確定!P38</f>
        <v>10</v>
      </c>
      <c r="AP38" s="34" t="n">
        <f aca="false">①札幌予測確定!Q38</f>
        <v>88000</v>
      </c>
      <c r="AQ38" s="37" t="n">
        <f aca="false">①札幌予測確定!T38</f>
        <v>1</v>
      </c>
      <c r="AR38" s="35" t="n">
        <f aca="false">①札幌予測確定!U38</f>
        <v>0</v>
      </c>
      <c r="AS38" s="35" t="n">
        <f aca="false">③石川以降予測!N61</f>
        <v>72</v>
      </c>
      <c r="AT38" s="35" t="n">
        <f aca="false">③石川以降予測!T61</f>
        <v>23</v>
      </c>
      <c r="AU38" s="38" t="n">
        <f aca="false">③石川以降予測!V61</f>
        <v>49</v>
      </c>
      <c r="AV38" s="35" t="n">
        <f aca="false">③石川以降予測!W61</f>
        <v>49</v>
      </c>
      <c r="AW38" s="32" t="str">
        <f aca="false">④追加発注判定!J38</f>
        <v>要注意(90%超)</v>
      </c>
      <c r="AX38" s="32" t="str">
        <f aca="false">④追加発注判定!P38</f>
        <v>要 追加生産</v>
      </c>
      <c r="AY38" s="35" t="n">
        <f aca="false">④追加発注判定!R38</f>
        <v>54</v>
      </c>
      <c r="AZ38" s="32" t="str">
        <f aca="false">④追加発注判定!X38</f>
        <v>S:現場欠品(追納不可)</v>
      </c>
    </row>
    <row r="39" customFormat="false" ht="15" hidden="false" customHeight="false" outlineLevel="0" collapsed="false">
      <c r="A39" s="32" t="n">
        <v>33</v>
      </c>
      <c r="B39" s="32" t="s">
        <v>340</v>
      </c>
      <c r="C39" s="33" t="s">
        <v>341</v>
      </c>
      <c r="D39" s="34" t="n">
        <v>27500</v>
      </c>
      <c r="E39" s="34" t="n">
        <v>22000</v>
      </c>
      <c r="F39" s="35" t="n">
        <v>10</v>
      </c>
      <c r="G39" s="37" t="n">
        <f aca="false">IFERROR(F39/F$49,0)</f>
        <v>6.74832135506293E-005</v>
      </c>
      <c r="H39" s="34" t="n">
        <f aca="false">F39*E39</f>
        <v>220000</v>
      </c>
      <c r="I39" s="37" t="n">
        <f aca="false">IFERROR(H39/H$49,0)</f>
        <v>0.00215293258776625</v>
      </c>
      <c r="J39" s="35" t="n">
        <v>10</v>
      </c>
      <c r="K39" s="37" t="n">
        <f aca="false">IFERROR(F39/J39,0)</f>
        <v>1</v>
      </c>
      <c r="L39" s="34" t="n">
        <v>27500</v>
      </c>
      <c r="M39" s="35" t="n">
        <v>37</v>
      </c>
      <c r="N39" s="37" t="n">
        <f aca="false">IFERROR(M39/M$49,0)</f>
        <v>0.000631399317406143</v>
      </c>
      <c r="O39" s="34" t="n">
        <f aca="false">M39*L39</f>
        <v>1017500</v>
      </c>
      <c r="P39" s="37" t="n">
        <f aca="false">IFERROR(O39/O$49,0)</f>
        <v>0.0245301304737751</v>
      </c>
      <c r="Q39" s="35" t="n">
        <v>40</v>
      </c>
      <c r="R39" s="37" t="n">
        <f aca="false">IFERROR(M39/Q39,0)</f>
        <v>0.925</v>
      </c>
      <c r="S39" s="34" t="n">
        <v>27500</v>
      </c>
      <c r="T39" s="35" t="n">
        <v>14</v>
      </c>
      <c r="U39" s="37" t="n">
        <f aca="false">IFERROR(T39/T$49,0)</f>
        <v>0.000312005526955049</v>
      </c>
      <c r="V39" s="34" t="n">
        <f aca="false">T39*S39</f>
        <v>385000</v>
      </c>
      <c r="W39" s="37" t="n">
        <f aca="false">IFERROR(V39/V$49,0)</f>
        <v>0.0124086273802003</v>
      </c>
      <c r="X39" s="35" t="n">
        <v>20</v>
      </c>
      <c r="Y39" s="37" t="n">
        <f aca="false">IFERROR(T39/X39,0)</f>
        <v>0.7</v>
      </c>
      <c r="Z39" s="34" t="n">
        <v>27500</v>
      </c>
      <c r="AA39" s="35" t="n">
        <v>21</v>
      </c>
      <c r="AB39" s="37" t="n">
        <f aca="false">IFERROR(AA39/AA$49,0)</f>
        <v>0.000329463445246313</v>
      </c>
      <c r="AC39" s="34" t="n">
        <f aca="false">AA39*Z39</f>
        <v>577500</v>
      </c>
      <c r="AD39" s="37" t="n">
        <f aca="false">IFERROR(AC39/AC$49,0)</f>
        <v>0.0126901880125518</v>
      </c>
      <c r="AE39" s="35" t="n">
        <v>50</v>
      </c>
      <c r="AF39" s="37" t="n">
        <f aca="false">IFERROR(AA39/AE39,0)</f>
        <v>0.42</v>
      </c>
      <c r="AG39" s="34" t="n">
        <v>27500</v>
      </c>
      <c r="AH39" s="35" t="n">
        <v>0</v>
      </c>
      <c r="AI39" s="37" t="n">
        <f aca="false">IFERROR(AH39/AH$49,0)</f>
        <v>0</v>
      </c>
      <c r="AJ39" s="34" t="n">
        <f aca="false">AH39*AG39</f>
        <v>0</v>
      </c>
      <c r="AK39" s="37" t="n">
        <f aca="false">IFERROR(AJ39/AJ$49,0)</f>
        <v>0</v>
      </c>
      <c r="AL39" s="35" t="n">
        <v>15</v>
      </c>
      <c r="AM39" s="37" t="n">
        <f aca="false">IFERROR(AH39/AL39,0)</f>
        <v>0</v>
      </c>
      <c r="AN39" s="36" t="n">
        <f aca="false">①札幌予測確定!O39</f>
        <v>1.46904681567709</v>
      </c>
      <c r="AO39" s="35" t="n">
        <f aca="false">①札幌予測確定!P39</f>
        <v>0</v>
      </c>
      <c r="AP39" s="34" t="n">
        <f aca="false">①札幌予測確定!Q39</f>
        <v>0</v>
      </c>
      <c r="AQ39" s="37" t="n">
        <f aca="false">①札幌予測確定!T39</f>
        <v>0</v>
      </c>
      <c r="AR39" s="35" t="n">
        <f aca="false">①札幌予測確定!U39</f>
        <v>15</v>
      </c>
      <c r="AS39" s="35" t="n">
        <f aca="false">③石川以降予測!N62</f>
        <v>14</v>
      </c>
      <c r="AT39" s="35" t="n">
        <f aca="false">③石川以降予測!T62</f>
        <v>106</v>
      </c>
      <c r="AU39" s="38" t="n">
        <f aca="false">③石川以降予測!V62</f>
        <v>-92</v>
      </c>
      <c r="AV39" s="35" t="n">
        <f aca="false">③石川以降予測!W62</f>
        <v>0</v>
      </c>
      <c r="AW39" s="32" t="str">
        <f aca="false">④追加発注判定!J39</f>
        <v>在庫余剰</v>
      </c>
      <c r="AX39" s="32" t="str">
        <f aca="false">④追加発注判定!P39</f>
        <v>在庫で充足</v>
      </c>
      <c r="AY39" s="35" t="n">
        <f aca="false">④追加発注判定!R39</f>
        <v>0</v>
      </c>
      <c r="AZ39" s="32" t="str">
        <f aca="false">④追加発注判定!X39</f>
        <v>D:不要</v>
      </c>
    </row>
    <row r="40" customFormat="false" ht="15" hidden="false" customHeight="false" outlineLevel="0" collapsed="false">
      <c r="A40" s="32" t="n">
        <v>34</v>
      </c>
      <c r="B40" s="32" t="s">
        <v>342</v>
      </c>
      <c r="C40" s="33" t="s">
        <v>343</v>
      </c>
      <c r="D40" s="34" t="n">
        <v>27500</v>
      </c>
      <c r="E40" s="34" t="n">
        <v>22000</v>
      </c>
      <c r="F40" s="35" t="n">
        <v>10</v>
      </c>
      <c r="G40" s="37" t="n">
        <f aca="false">IFERROR(F40/F$49,0)</f>
        <v>6.74832135506293E-005</v>
      </c>
      <c r="H40" s="34" t="n">
        <f aca="false">F40*E40</f>
        <v>220000</v>
      </c>
      <c r="I40" s="37" t="n">
        <f aca="false">IFERROR(H40/H$49,0)</f>
        <v>0.00215293258776625</v>
      </c>
      <c r="J40" s="35" t="n">
        <v>10</v>
      </c>
      <c r="K40" s="37" t="n">
        <f aca="false">IFERROR(F40/J40,0)</f>
        <v>1</v>
      </c>
      <c r="L40" s="34" t="n">
        <v>27500</v>
      </c>
      <c r="M40" s="35" t="n">
        <v>3</v>
      </c>
      <c r="N40" s="37" t="n">
        <f aca="false">IFERROR(M40/M$49,0)</f>
        <v>5.11945392491468E-005</v>
      </c>
      <c r="O40" s="34" t="n">
        <f aca="false">M40*L40</f>
        <v>82500</v>
      </c>
      <c r="P40" s="37" t="n">
        <f aca="false">IFERROR(O40/O$49,0)</f>
        <v>0.00198892949787365</v>
      </c>
      <c r="Q40" s="35" t="n">
        <v>3</v>
      </c>
      <c r="R40" s="37" t="n">
        <f aca="false">IFERROR(M40/Q40,0)</f>
        <v>1</v>
      </c>
      <c r="S40" s="34" t="n">
        <v>27500</v>
      </c>
      <c r="T40" s="35" t="n">
        <v>3</v>
      </c>
      <c r="U40" s="37" t="n">
        <f aca="false">IFERROR(T40/T$49,0)</f>
        <v>6.68583272046533E-005</v>
      </c>
      <c r="V40" s="34" t="n">
        <f aca="false">T40*S40</f>
        <v>82500</v>
      </c>
      <c r="W40" s="37" t="n">
        <f aca="false">IFERROR(V40/V$49,0)</f>
        <v>0.0026589915814715</v>
      </c>
      <c r="X40" s="35" t="n">
        <v>3</v>
      </c>
      <c r="Y40" s="37" t="n">
        <f aca="false">IFERROR(T40/X40,0)</f>
        <v>1</v>
      </c>
      <c r="Z40" s="34" t="n">
        <v>27500</v>
      </c>
      <c r="AA40" s="35" t="n">
        <v>3</v>
      </c>
      <c r="AB40" s="37" t="n">
        <f aca="false">IFERROR(AA40/AA$49,0)</f>
        <v>4.7066206463759E-005</v>
      </c>
      <c r="AC40" s="34" t="n">
        <f aca="false">AA40*Z40</f>
        <v>82500</v>
      </c>
      <c r="AD40" s="37" t="n">
        <f aca="false">IFERROR(AC40/AC$49,0)</f>
        <v>0.00181288400179311</v>
      </c>
      <c r="AE40" s="35" t="n">
        <v>3</v>
      </c>
      <c r="AF40" s="37" t="n">
        <f aca="false">IFERROR(AA40/AE40,0)</f>
        <v>1</v>
      </c>
      <c r="AG40" s="34" t="n">
        <v>27500</v>
      </c>
      <c r="AH40" s="35" t="n">
        <v>1</v>
      </c>
      <c r="AI40" s="37" t="n">
        <f aca="false">IFERROR(AH40/AH$49,0)</f>
        <v>0.000196966712625566</v>
      </c>
      <c r="AJ40" s="34" t="n">
        <f aca="false">AH40*AG40</f>
        <v>27500</v>
      </c>
      <c r="AK40" s="37" t="n">
        <f aca="false">IFERROR(AJ40/AJ$49,0)</f>
        <v>0.0067755685317959</v>
      </c>
      <c r="AL40" s="35" t="n">
        <v>2</v>
      </c>
      <c r="AM40" s="37" t="n">
        <f aca="false">IFERROR(AH40/AL40,0)</f>
        <v>0.5</v>
      </c>
      <c r="AN40" s="36" t="n">
        <f aca="false">①札幌予測確定!O40</f>
        <v>1.01207300772946</v>
      </c>
      <c r="AO40" s="35" t="n">
        <f aca="false">①札幌予測確定!P40</f>
        <v>1</v>
      </c>
      <c r="AP40" s="34" t="n">
        <f aca="false">①札幌予測確定!Q40</f>
        <v>27500</v>
      </c>
      <c r="AQ40" s="37" t="n">
        <f aca="false">①札幌予測確定!T40</f>
        <v>0.5</v>
      </c>
      <c r="AR40" s="35" t="n">
        <f aca="false">①札幌予測確定!U40</f>
        <v>1</v>
      </c>
      <c r="AS40" s="35" t="n">
        <f aca="false">③石川以降予測!N63</f>
        <v>7</v>
      </c>
      <c r="AT40" s="35" t="n">
        <f aca="false">③石川以降予測!T63</f>
        <v>3</v>
      </c>
      <c r="AU40" s="38" t="n">
        <f aca="false">③石川以降予測!V63</f>
        <v>4</v>
      </c>
      <c r="AV40" s="35" t="n">
        <f aca="false">③石川以降予測!W63</f>
        <v>4</v>
      </c>
      <c r="AW40" s="32" t="str">
        <f aca="false">④追加発注判定!J40</f>
        <v>適正</v>
      </c>
      <c r="AX40" s="32" t="str">
        <f aca="false">④追加発注判定!P40</f>
        <v>要 追加生産</v>
      </c>
      <c r="AY40" s="35" t="n">
        <f aca="false">④追加発注判定!R40</f>
        <v>5</v>
      </c>
      <c r="AZ40" s="32" t="str">
        <f aca="false">④追加発注判定!X40</f>
        <v>C:通常</v>
      </c>
    </row>
    <row r="41" customFormat="false" ht="15" hidden="false" customHeight="false" outlineLevel="0" collapsed="false">
      <c r="A41" s="32" t="n">
        <v>35</v>
      </c>
      <c r="B41" s="32" t="s">
        <v>344</v>
      </c>
      <c r="C41" s="33" t="s">
        <v>345</v>
      </c>
      <c r="D41" s="34" t="n">
        <v>27500</v>
      </c>
      <c r="E41" s="34" t="n">
        <v>22000</v>
      </c>
      <c r="F41" s="35" t="n">
        <v>10</v>
      </c>
      <c r="G41" s="37" t="n">
        <f aca="false">IFERROR(F41/F$49,0)</f>
        <v>6.74832135506293E-005</v>
      </c>
      <c r="H41" s="34" t="n">
        <f aca="false">F41*E41</f>
        <v>220000</v>
      </c>
      <c r="I41" s="37" t="n">
        <f aca="false">IFERROR(H41/H$49,0)</f>
        <v>0.00215293258776625</v>
      </c>
      <c r="J41" s="35" t="n">
        <v>10</v>
      </c>
      <c r="K41" s="37" t="n">
        <f aca="false">IFERROR(F41/J41,0)</f>
        <v>1</v>
      </c>
      <c r="L41" s="34" t="n">
        <v>27500</v>
      </c>
      <c r="M41" s="35" t="n">
        <v>3</v>
      </c>
      <c r="N41" s="37" t="n">
        <f aca="false">IFERROR(M41/M$49,0)</f>
        <v>5.11945392491468E-005</v>
      </c>
      <c r="O41" s="34" t="n">
        <f aca="false">M41*L41</f>
        <v>82500</v>
      </c>
      <c r="P41" s="37" t="n">
        <f aca="false">IFERROR(O41/O$49,0)</f>
        <v>0.00198892949787365</v>
      </c>
      <c r="Q41" s="35" t="n">
        <v>3</v>
      </c>
      <c r="R41" s="37" t="n">
        <f aca="false">IFERROR(M41/Q41,0)</f>
        <v>1</v>
      </c>
      <c r="S41" s="34" t="n">
        <v>27500</v>
      </c>
      <c r="T41" s="35" t="n">
        <v>3</v>
      </c>
      <c r="U41" s="37" t="n">
        <f aca="false">IFERROR(T41/T$49,0)</f>
        <v>6.68583272046533E-005</v>
      </c>
      <c r="V41" s="34" t="n">
        <f aca="false">T41*S41</f>
        <v>82500</v>
      </c>
      <c r="W41" s="37" t="n">
        <f aca="false">IFERROR(V41/V$49,0)</f>
        <v>0.0026589915814715</v>
      </c>
      <c r="X41" s="35" t="n">
        <v>3</v>
      </c>
      <c r="Y41" s="37" t="n">
        <f aca="false">IFERROR(T41/X41,0)</f>
        <v>1</v>
      </c>
      <c r="Z41" s="34" t="n">
        <v>27500</v>
      </c>
      <c r="AA41" s="35" t="n">
        <v>3</v>
      </c>
      <c r="AB41" s="37" t="n">
        <f aca="false">IFERROR(AA41/AA$49,0)</f>
        <v>4.7066206463759E-005</v>
      </c>
      <c r="AC41" s="34" t="n">
        <f aca="false">AA41*Z41</f>
        <v>82500</v>
      </c>
      <c r="AD41" s="37" t="n">
        <f aca="false">IFERROR(AC41/AC$49,0)</f>
        <v>0.00181288400179311</v>
      </c>
      <c r="AE41" s="35" t="n">
        <v>3</v>
      </c>
      <c r="AF41" s="37" t="n">
        <f aca="false">IFERROR(AA41/AE41,0)</f>
        <v>1</v>
      </c>
      <c r="AG41" s="34" t="n">
        <v>27500</v>
      </c>
      <c r="AH41" s="35" t="n">
        <v>0</v>
      </c>
      <c r="AI41" s="37" t="n">
        <f aca="false">IFERROR(AH41/AH$49,0)</f>
        <v>0</v>
      </c>
      <c r="AJ41" s="34" t="n">
        <f aca="false">AH41*AG41</f>
        <v>0</v>
      </c>
      <c r="AK41" s="37" t="n">
        <f aca="false">IFERROR(AJ41/AJ$49,0)</f>
        <v>0</v>
      </c>
      <c r="AL41" s="35" t="n">
        <v>2</v>
      </c>
      <c r="AM41" s="37" t="n">
        <f aca="false">IFERROR(AH41/AL41,0)</f>
        <v>0</v>
      </c>
      <c r="AN41" s="36" t="n">
        <f aca="false">①札幌予測確定!O41</f>
        <v>1.01207300772946</v>
      </c>
      <c r="AO41" s="35" t="n">
        <f aca="false">①札幌予測確定!P41</f>
        <v>0</v>
      </c>
      <c r="AP41" s="34" t="n">
        <f aca="false">①札幌予測確定!Q41</f>
        <v>0</v>
      </c>
      <c r="AQ41" s="37" t="n">
        <f aca="false">①札幌予測確定!T41</f>
        <v>0</v>
      </c>
      <c r="AR41" s="35" t="n">
        <f aca="false">①札幌予測確定!U41</f>
        <v>2</v>
      </c>
      <c r="AS41" s="35" t="n">
        <f aca="false">③石川以降予測!N64</f>
        <v>1</v>
      </c>
      <c r="AT41" s="35" t="n">
        <f aca="false">③石川以降予測!T64</f>
        <v>4</v>
      </c>
      <c r="AU41" s="38" t="n">
        <f aca="false">③石川以降予測!V64</f>
        <v>-3</v>
      </c>
      <c r="AV41" s="35" t="n">
        <f aca="false">③石川以降予測!W64</f>
        <v>0</v>
      </c>
      <c r="AW41" s="32" t="str">
        <f aca="false">④追加発注判定!J41</f>
        <v>在庫余剰</v>
      </c>
      <c r="AX41" s="32" t="str">
        <f aca="false">④追加発注判定!P41</f>
        <v>在庫で充足</v>
      </c>
      <c r="AY41" s="35" t="n">
        <f aca="false">④追加発注判定!R41</f>
        <v>0</v>
      </c>
      <c r="AZ41" s="32" t="str">
        <f aca="false">④追加発注判定!X41</f>
        <v>D:不要</v>
      </c>
    </row>
    <row r="42" customFormat="false" ht="15" hidden="false" customHeight="false" outlineLevel="0" collapsed="false">
      <c r="A42" s="32" t="n">
        <v>36</v>
      </c>
      <c r="B42" s="32" t="s">
        <v>346</v>
      </c>
      <c r="C42" s="33" t="s">
        <v>347</v>
      </c>
      <c r="D42" s="34" t="n">
        <v>27500</v>
      </c>
      <c r="E42" s="34" t="n">
        <v>22000</v>
      </c>
      <c r="F42" s="35" t="n">
        <v>8</v>
      </c>
      <c r="G42" s="37" t="n">
        <f aca="false">IFERROR(F42/F$49,0)</f>
        <v>5.39865708405034E-005</v>
      </c>
      <c r="H42" s="34" t="n">
        <f aca="false">F42*E42</f>
        <v>176000</v>
      </c>
      <c r="I42" s="37" t="n">
        <f aca="false">IFERROR(H42/H$49,0)</f>
        <v>0.001722346070213</v>
      </c>
      <c r="J42" s="35" t="n">
        <v>8</v>
      </c>
      <c r="K42" s="37" t="n">
        <f aca="false">IFERROR(F42/J42,0)</f>
        <v>1</v>
      </c>
      <c r="L42" s="34" t="n">
        <v>27500</v>
      </c>
      <c r="M42" s="35" t="n">
        <v>3</v>
      </c>
      <c r="N42" s="37" t="n">
        <f aca="false">IFERROR(M42/M$49,0)</f>
        <v>5.11945392491468E-005</v>
      </c>
      <c r="O42" s="34" t="n">
        <f aca="false">M42*L42</f>
        <v>82500</v>
      </c>
      <c r="P42" s="37" t="n">
        <f aca="false">IFERROR(O42/O$49,0)</f>
        <v>0.00198892949787365</v>
      </c>
      <c r="Q42" s="35" t="n">
        <v>3</v>
      </c>
      <c r="R42" s="37" t="n">
        <f aca="false">IFERROR(M42/Q42,0)</f>
        <v>1</v>
      </c>
      <c r="S42" s="34" t="n">
        <v>27500</v>
      </c>
      <c r="T42" s="35" t="n">
        <v>3</v>
      </c>
      <c r="U42" s="37" t="n">
        <f aca="false">IFERROR(T42/T$49,0)</f>
        <v>6.68583272046533E-005</v>
      </c>
      <c r="V42" s="34" t="n">
        <f aca="false">T42*S42</f>
        <v>82500</v>
      </c>
      <c r="W42" s="37" t="n">
        <f aca="false">IFERROR(V42/V$49,0)</f>
        <v>0.0026589915814715</v>
      </c>
      <c r="X42" s="35" t="n">
        <v>3</v>
      </c>
      <c r="Y42" s="37" t="n">
        <f aca="false">IFERROR(T42/X42,0)</f>
        <v>1</v>
      </c>
      <c r="Z42" s="34" t="n">
        <v>27500</v>
      </c>
      <c r="AA42" s="35" t="n">
        <v>3</v>
      </c>
      <c r="AB42" s="37" t="n">
        <f aca="false">IFERROR(AA42/AA$49,0)</f>
        <v>4.7066206463759E-005</v>
      </c>
      <c r="AC42" s="34" t="n">
        <f aca="false">AA42*Z42</f>
        <v>82500</v>
      </c>
      <c r="AD42" s="37" t="n">
        <f aca="false">IFERROR(AC42/AC$49,0)</f>
        <v>0.00181288400179311</v>
      </c>
      <c r="AE42" s="35" t="n">
        <v>3</v>
      </c>
      <c r="AF42" s="37" t="n">
        <f aca="false">IFERROR(AA42/AE42,0)</f>
        <v>1</v>
      </c>
      <c r="AG42" s="34" t="n">
        <v>27500</v>
      </c>
      <c r="AH42" s="35" t="n">
        <v>0</v>
      </c>
      <c r="AI42" s="37" t="n">
        <f aca="false">IFERROR(AH42/AH$49,0)</f>
        <v>0</v>
      </c>
      <c r="AJ42" s="34" t="n">
        <f aca="false">AH42*AG42</f>
        <v>0</v>
      </c>
      <c r="AK42" s="37" t="n">
        <f aca="false">IFERROR(AJ42/AJ$49,0)</f>
        <v>0</v>
      </c>
      <c r="AL42" s="35" t="n">
        <v>2</v>
      </c>
      <c r="AM42" s="37" t="n">
        <f aca="false">IFERROR(AH42/AL42,0)</f>
        <v>0</v>
      </c>
      <c r="AN42" s="36" t="n">
        <f aca="false">①札幌予測確定!O42</f>
        <v>1.01207300772946</v>
      </c>
      <c r="AO42" s="35" t="n">
        <f aca="false">①札幌予測確定!P42</f>
        <v>0</v>
      </c>
      <c r="AP42" s="34" t="n">
        <f aca="false">①札幌予測確定!Q42</f>
        <v>0</v>
      </c>
      <c r="AQ42" s="37" t="n">
        <f aca="false">①札幌予測確定!T42</f>
        <v>0</v>
      </c>
      <c r="AR42" s="35" t="n">
        <f aca="false">①札幌予測確定!U42</f>
        <v>2</v>
      </c>
      <c r="AS42" s="35" t="n">
        <f aca="false">③石川以降予測!N65</f>
        <v>1</v>
      </c>
      <c r="AT42" s="35" t="n">
        <f aca="false">③石川以降予測!T65</f>
        <v>4</v>
      </c>
      <c r="AU42" s="38" t="n">
        <f aca="false">③石川以降予測!V65</f>
        <v>-3</v>
      </c>
      <c r="AV42" s="35" t="n">
        <f aca="false">③石川以降予測!W65</f>
        <v>0</v>
      </c>
      <c r="AW42" s="32" t="str">
        <f aca="false">④追加発注判定!J42</f>
        <v>在庫余剰</v>
      </c>
      <c r="AX42" s="32" t="str">
        <f aca="false">④追加発注判定!P42</f>
        <v>在庫で充足</v>
      </c>
      <c r="AY42" s="35" t="n">
        <f aca="false">④追加発注判定!R42</f>
        <v>0</v>
      </c>
      <c r="AZ42" s="32" t="str">
        <f aca="false">④追加発注判定!X42</f>
        <v>D:不要</v>
      </c>
    </row>
    <row r="43" customFormat="false" ht="15" hidden="false" customHeight="false" outlineLevel="0" collapsed="false">
      <c r="A43" s="32" t="n">
        <v>37</v>
      </c>
      <c r="B43" s="32" t="s">
        <v>348</v>
      </c>
      <c r="C43" s="33" t="s">
        <v>349</v>
      </c>
      <c r="D43" s="34" t="n">
        <v>27500</v>
      </c>
      <c r="E43" s="34" t="n">
        <v>22000</v>
      </c>
      <c r="F43" s="35" t="n">
        <v>10</v>
      </c>
      <c r="G43" s="37" t="n">
        <f aca="false">IFERROR(F43/F$49,0)</f>
        <v>6.74832135506293E-005</v>
      </c>
      <c r="H43" s="34" t="n">
        <f aca="false">F43*E43</f>
        <v>220000</v>
      </c>
      <c r="I43" s="37" t="n">
        <f aca="false">IFERROR(H43/H$49,0)</f>
        <v>0.00215293258776625</v>
      </c>
      <c r="J43" s="35" t="n">
        <v>10</v>
      </c>
      <c r="K43" s="37" t="n">
        <f aca="false">IFERROR(F43/J43,0)</f>
        <v>1</v>
      </c>
      <c r="L43" s="34" t="n">
        <v>27500</v>
      </c>
      <c r="M43" s="35" t="n">
        <v>19</v>
      </c>
      <c r="N43" s="37" t="n">
        <f aca="false">IFERROR(M43/M$49,0)</f>
        <v>0.000324232081911263</v>
      </c>
      <c r="O43" s="34" t="n">
        <f aca="false">M43*L43</f>
        <v>522500</v>
      </c>
      <c r="P43" s="37" t="n">
        <f aca="false">IFERROR(O43/O$49,0)</f>
        <v>0.0125965534865331</v>
      </c>
      <c r="Q43" s="35" t="n">
        <v>20</v>
      </c>
      <c r="R43" s="37" t="n">
        <f aca="false">IFERROR(M43/Q43,0)</f>
        <v>0.95</v>
      </c>
      <c r="S43" s="34" t="n">
        <v>27500</v>
      </c>
      <c r="T43" s="35" t="n">
        <v>12</v>
      </c>
      <c r="U43" s="37" t="n">
        <f aca="false">IFERROR(T43/T$49,0)</f>
        <v>0.000267433308818613</v>
      </c>
      <c r="V43" s="34" t="n">
        <f aca="false">T43*S43</f>
        <v>330000</v>
      </c>
      <c r="W43" s="37" t="n">
        <f aca="false">IFERROR(V43/V$49,0)</f>
        <v>0.010635966325886</v>
      </c>
      <c r="X43" s="35" t="n">
        <v>15</v>
      </c>
      <c r="Y43" s="37" t="n">
        <f aca="false">IFERROR(T43/X43,0)</f>
        <v>0.8</v>
      </c>
      <c r="Z43" s="34" t="n">
        <v>27500</v>
      </c>
      <c r="AA43" s="35" t="n">
        <v>26</v>
      </c>
      <c r="AB43" s="37" t="n">
        <f aca="false">IFERROR(AA43/AA$49,0)</f>
        <v>0.000407907122685912</v>
      </c>
      <c r="AC43" s="34" t="n">
        <f aca="false">AA43*Z43</f>
        <v>715000</v>
      </c>
      <c r="AD43" s="37" t="n">
        <f aca="false">IFERROR(AC43/AC$49,0)</f>
        <v>0.0157116613488736</v>
      </c>
      <c r="AE43" s="35" t="n">
        <v>28</v>
      </c>
      <c r="AF43" s="37" t="n">
        <f aca="false">IFERROR(AA43/AE43,0)</f>
        <v>0.928571428571429</v>
      </c>
      <c r="AG43" s="34" t="n">
        <v>27500</v>
      </c>
      <c r="AH43" s="35" t="n">
        <v>0</v>
      </c>
      <c r="AI43" s="37" t="n">
        <f aca="false">IFERROR(AH43/AH$49,0)</f>
        <v>0</v>
      </c>
      <c r="AJ43" s="34" t="n">
        <f aca="false">AH43*AG43</f>
        <v>0</v>
      </c>
      <c r="AK43" s="37" t="n">
        <f aca="false">IFERROR(AJ43/AJ$49,0)</f>
        <v>0</v>
      </c>
      <c r="AL43" s="35" t="n">
        <v>8</v>
      </c>
      <c r="AM43" s="37" t="n">
        <f aca="false">IFERROR(AH43/AL43,0)</f>
        <v>0</v>
      </c>
      <c r="AN43" s="36" t="n">
        <f aca="false">①札幌予測確定!O43</f>
        <v>1.62037639284292</v>
      </c>
      <c r="AO43" s="35" t="n">
        <f aca="false">①札幌予測確定!P43</f>
        <v>0</v>
      </c>
      <c r="AP43" s="34" t="n">
        <f aca="false">①札幌予測確定!Q43</f>
        <v>0</v>
      </c>
      <c r="AQ43" s="37" t="n">
        <f aca="false">①札幌予測確定!T43</f>
        <v>0</v>
      </c>
      <c r="AR43" s="35" t="n">
        <f aca="false">①札幌予測確定!U43</f>
        <v>8</v>
      </c>
      <c r="AS43" s="35" t="n">
        <f aca="false">③石川以降予測!N66</f>
        <v>17</v>
      </c>
      <c r="AT43" s="35" t="n">
        <f aca="false">③石川以降予測!T66</f>
        <v>43</v>
      </c>
      <c r="AU43" s="38" t="n">
        <f aca="false">③石川以降予測!V66</f>
        <v>-26</v>
      </c>
      <c r="AV43" s="35" t="n">
        <f aca="false">③石川以降予測!W66</f>
        <v>0</v>
      </c>
      <c r="AW43" s="32" t="str">
        <f aca="false">④追加発注判定!J43</f>
        <v>在庫余剰</v>
      </c>
      <c r="AX43" s="32" t="str">
        <f aca="false">④追加発注判定!P43</f>
        <v>在庫で充足</v>
      </c>
      <c r="AY43" s="35" t="n">
        <f aca="false">④追加発注判定!R43</f>
        <v>0</v>
      </c>
      <c r="AZ43" s="32" t="str">
        <f aca="false">④追加発注判定!X43</f>
        <v>D:不要</v>
      </c>
    </row>
    <row r="44" customFormat="false" ht="15" hidden="false" customHeight="false" outlineLevel="0" collapsed="false">
      <c r="A44" s="32" t="n">
        <v>38</v>
      </c>
      <c r="B44" s="32" t="s">
        <v>350</v>
      </c>
      <c r="C44" s="33" t="s">
        <v>351</v>
      </c>
      <c r="D44" s="34" t="n">
        <v>27500</v>
      </c>
      <c r="E44" s="34" t="n">
        <v>22000</v>
      </c>
      <c r="F44" s="35" t="n">
        <v>10</v>
      </c>
      <c r="G44" s="37" t="n">
        <f aca="false">IFERROR(F44/F$49,0)</f>
        <v>6.74832135506293E-005</v>
      </c>
      <c r="H44" s="34" t="n">
        <f aca="false">F44*E44</f>
        <v>220000</v>
      </c>
      <c r="I44" s="37" t="n">
        <f aca="false">IFERROR(H44/H$49,0)</f>
        <v>0.00215293258776625</v>
      </c>
      <c r="J44" s="35" t="n">
        <v>10</v>
      </c>
      <c r="K44" s="37" t="n">
        <f aca="false">IFERROR(F44/J44,0)</f>
        <v>1</v>
      </c>
      <c r="L44" s="34" t="n">
        <v>27500</v>
      </c>
      <c r="M44" s="35" t="n">
        <v>3</v>
      </c>
      <c r="N44" s="37" t="n">
        <f aca="false">IFERROR(M44/M$49,0)</f>
        <v>5.11945392491468E-005</v>
      </c>
      <c r="O44" s="34" t="n">
        <f aca="false">M44*L44</f>
        <v>82500</v>
      </c>
      <c r="P44" s="37" t="n">
        <f aca="false">IFERROR(O44/O$49,0)</f>
        <v>0.00198892949787365</v>
      </c>
      <c r="Q44" s="35" t="n">
        <v>3</v>
      </c>
      <c r="R44" s="37" t="n">
        <f aca="false">IFERROR(M44/Q44,0)</f>
        <v>1</v>
      </c>
      <c r="S44" s="34" t="n">
        <v>27500</v>
      </c>
      <c r="T44" s="35" t="n">
        <v>3</v>
      </c>
      <c r="U44" s="37" t="n">
        <f aca="false">IFERROR(T44/T$49,0)</f>
        <v>6.68583272046533E-005</v>
      </c>
      <c r="V44" s="34" t="n">
        <f aca="false">T44*S44</f>
        <v>82500</v>
      </c>
      <c r="W44" s="37" t="n">
        <f aca="false">IFERROR(V44/V$49,0)</f>
        <v>0.0026589915814715</v>
      </c>
      <c r="X44" s="35" t="n">
        <v>3</v>
      </c>
      <c r="Y44" s="37" t="n">
        <f aca="false">IFERROR(T44/X44,0)</f>
        <v>1</v>
      </c>
      <c r="Z44" s="34" t="n">
        <v>27500</v>
      </c>
      <c r="AA44" s="35" t="n">
        <v>3</v>
      </c>
      <c r="AB44" s="37" t="n">
        <f aca="false">IFERROR(AA44/AA$49,0)</f>
        <v>4.7066206463759E-005</v>
      </c>
      <c r="AC44" s="34" t="n">
        <f aca="false">AA44*Z44</f>
        <v>82500</v>
      </c>
      <c r="AD44" s="37" t="n">
        <f aca="false">IFERROR(AC44/AC$49,0)</f>
        <v>0.00181288400179311</v>
      </c>
      <c r="AE44" s="35" t="n">
        <v>3</v>
      </c>
      <c r="AF44" s="37" t="n">
        <f aca="false">IFERROR(AA44/AE44,0)</f>
        <v>1</v>
      </c>
      <c r="AG44" s="34" t="n">
        <v>27500</v>
      </c>
      <c r="AH44" s="35" t="n">
        <v>2</v>
      </c>
      <c r="AI44" s="37" t="n">
        <f aca="false">IFERROR(AH44/AH$49,0)</f>
        <v>0.000393933425251133</v>
      </c>
      <c r="AJ44" s="34" t="n">
        <f aca="false">AH44*AG44</f>
        <v>55000</v>
      </c>
      <c r="AK44" s="37" t="n">
        <f aca="false">IFERROR(AJ44/AJ$49,0)</f>
        <v>0.0135511370635918</v>
      </c>
      <c r="AL44" s="35" t="n">
        <v>2</v>
      </c>
      <c r="AM44" s="37" t="n">
        <f aca="false">IFERROR(AH44/AL44,0)</f>
        <v>1</v>
      </c>
      <c r="AN44" s="36" t="n">
        <f aca="false">①札幌予測確定!O44</f>
        <v>1.01207300772946</v>
      </c>
      <c r="AO44" s="35" t="n">
        <f aca="false">①札幌予測確定!P44</f>
        <v>2</v>
      </c>
      <c r="AP44" s="34" t="n">
        <f aca="false">①札幌予測確定!Q44</f>
        <v>55000</v>
      </c>
      <c r="AQ44" s="37" t="n">
        <f aca="false">①札幌予測確定!T44</f>
        <v>1</v>
      </c>
      <c r="AR44" s="35" t="n">
        <f aca="false">①札幌予測確定!U44</f>
        <v>0</v>
      </c>
      <c r="AS44" s="35" t="n">
        <f aca="false">③石川以降予測!N67</f>
        <v>11</v>
      </c>
      <c r="AT44" s="35" t="n">
        <f aca="false">③石川以降予測!T67</f>
        <v>2</v>
      </c>
      <c r="AU44" s="38" t="n">
        <f aca="false">③石川以降予測!V67</f>
        <v>9</v>
      </c>
      <c r="AV44" s="35" t="n">
        <f aca="false">③石川以降予測!W67</f>
        <v>9</v>
      </c>
      <c r="AW44" s="32" t="str">
        <f aca="false">④追加発注判定!J44</f>
        <v>要注意(90%超)</v>
      </c>
      <c r="AX44" s="32" t="str">
        <f aca="false">④追加発注判定!P44</f>
        <v>要 追加生産</v>
      </c>
      <c r="AY44" s="35" t="n">
        <f aca="false">④追加発注判定!R44</f>
        <v>10</v>
      </c>
      <c r="AZ44" s="32" t="str">
        <f aca="false">④追加発注判定!X44</f>
        <v>C:通常</v>
      </c>
    </row>
    <row r="45" customFormat="false" ht="15" hidden="false" customHeight="false" outlineLevel="0" collapsed="false">
      <c r="A45" s="32" t="n">
        <v>39</v>
      </c>
      <c r="B45" s="32" t="s">
        <v>352</v>
      </c>
      <c r="C45" s="33" t="s">
        <v>353</v>
      </c>
      <c r="D45" s="34" t="n">
        <v>27500</v>
      </c>
      <c r="E45" s="34" t="n">
        <v>22000</v>
      </c>
      <c r="F45" s="35" t="n">
        <v>10</v>
      </c>
      <c r="G45" s="37" t="n">
        <f aca="false">IFERROR(F45/F$49,0)</f>
        <v>6.74832135506293E-005</v>
      </c>
      <c r="H45" s="34" t="n">
        <f aca="false">F45*E45</f>
        <v>220000</v>
      </c>
      <c r="I45" s="37" t="n">
        <f aca="false">IFERROR(H45/H$49,0)</f>
        <v>0.00215293258776625</v>
      </c>
      <c r="J45" s="35" t="n">
        <v>10</v>
      </c>
      <c r="K45" s="37" t="n">
        <f aca="false">IFERROR(F45/J45,0)</f>
        <v>1</v>
      </c>
      <c r="L45" s="34" t="n">
        <v>27500</v>
      </c>
      <c r="M45" s="35" t="n">
        <v>3</v>
      </c>
      <c r="N45" s="37" t="n">
        <f aca="false">IFERROR(M45/M$49,0)</f>
        <v>5.11945392491468E-005</v>
      </c>
      <c r="O45" s="34" t="n">
        <f aca="false">M45*L45</f>
        <v>82500</v>
      </c>
      <c r="P45" s="37" t="n">
        <f aca="false">IFERROR(O45/O$49,0)</f>
        <v>0.00198892949787365</v>
      </c>
      <c r="Q45" s="35" t="n">
        <v>3</v>
      </c>
      <c r="R45" s="37" t="n">
        <f aca="false">IFERROR(M45/Q45,0)</f>
        <v>1</v>
      </c>
      <c r="S45" s="34" t="n">
        <v>27500</v>
      </c>
      <c r="T45" s="35" t="n">
        <v>2</v>
      </c>
      <c r="U45" s="37" t="n">
        <f aca="false">IFERROR(T45/T$49,0)</f>
        <v>4.45722181364356E-005</v>
      </c>
      <c r="V45" s="34" t="n">
        <f aca="false">T45*S45</f>
        <v>55000</v>
      </c>
      <c r="W45" s="37" t="n">
        <f aca="false">IFERROR(V45/V$49,0)</f>
        <v>0.00177266105431433</v>
      </c>
      <c r="X45" s="35" t="n">
        <v>2</v>
      </c>
      <c r="Y45" s="37" t="n">
        <f aca="false">IFERROR(T45/X45,0)</f>
        <v>1</v>
      </c>
      <c r="Z45" s="34" t="n">
        <v>27500</v>
      </c>
      <c r="AA45" s="35" t="n">
        <v>3</v>
      </c>
      <c r="AB45" s="37" t="n">
        <f aca="false">IFERROR(AA45/AA$49,0)</f>
        <v>4.7066206463759E-005</v>
      </c>
      <c r="AC45" s="34" t="n">
        <f aca="false">AA45*Z45</f>
        <v>82500</v>
      </c>
      <c r="AD45" s="37" t="n">
        <f aca="false">IFERROR(AC45/AC$49,0)</f>
        <v>0.00181288400179311</v>
      </c>
      <c r="AE45" s="35" t="n">
        <v>3</v>
      </c>
      <c r="AF45" s="37" t="n">
        <f aca="false">IFERROR(AA45/AE45,0)</f>
        <v>1</v>
      </c>
      <c r="AG45" s="34" t="n">
        <v>27500</v>
      </c>
      <c r="AH45" s="35" t="n">
        <v>1</v>
      </c>
      <c r="AI45" s="37" t="n">
        <f aca="false">IFERROR(AH45/AH$49,0)</f>
        <v>0.000196966712625566</v>
      </c>
      <c r="AJ45" s="34" t="n">
        <f aca="false">AH45*AG45</f>
        <v>27500</v>
      </c>
      <c r="AK45" s="37" t="n">
        <f aca="false">IFERROR(AJ45/AJ$49,0)</f>
        <v>0.0067755685317959</v>
      </c>
      <c r="AL45" s="35" t="n">
        <v>2</v>
      </c>
      <c r="AM45" s="37" t="n">
        <f aca="false">IFERROR(AH45/AL45,0)</f>
        <v>0.5</v>
      </c>
      <c r="AN45" s="36" t="n">
        <f aca="false">①札幌予測確定!O45</f>
        <v>1.01207300772946</v>
      </c>
      <c r="AO45" s="35" t="n">
        <f aca="false">①札幌予測確定!P45</f>
        <v>1</v>
      </c>
      <c r="AP45" s="34" t="n">
        <f aca="false">①札幌予測確定!Q45</f>
        <v>27500</v>
      </c>
      <c r="AQ45" s="37" t="n">
        <f aca="false">①札幌予測確定!T45</f>
        <v>0.5</v>
      </c>
      <c r="AR45" s="35" t="n">
        <f aca="false">①札幌予測確定!U45</f>
        <v>1</v>
      </c>
      <c r="AS45" s="35" t="n">
        <f aca="false">③石川以降予測!N68</f>
        <v>7</v>
      </c>
      <c r="AT45" s="35" t="n">
        <f aca="false">③石川以降予測!T68</f>
        <v>4</v>
      </c>
      <c r="AU45" s="38" t="n">
        <f aca="false">③石川以降予測!V68</f>
        <v>3</v>
      </c>
      <c r="AV45" s="35" t="n">
        <f aca="false">③石川以降予測!W68</f>
        <v>3</v>
      </c>
      <c r="AW45" s="32" t="str">
        <f aca="false">④追加発注判定!J45</f>
        <v>適正</v>
      </c>
      <c r="AX45" s="32" t="str">
        <f aca="false">④追加発注判定!P45</f>
        <v>要 追加生産</v>
      </c>
      <c r="AY45" s="35" t="n">
        <f aca="false">④追加発注判定!R45</f>
        <v>4</v>
      </c>
      <c r="AZ45" s="32" t="str">
        <f aca="false">④追加発注判定!X45</f>
        <v>C:通常</v>
      </c>
    </row>
    <row r="46" customFormat="false" ht="15" hidden="false" customHeight="false" outlineLevel="0" collapsed="false">
      <c r="A46" s="32" t="n">
        <v>40</v>
      </c>
      <c r="B46" s="32" t="s">
        <v>354</v>
      </c>
      <c r="C46" s="33" t="s">
        <v>355</v>
      </c>
      <c r="D46" s="34" t="n">
        <v>27500</v>
      </c>
      <c r="E46" s="34" t="n">
        <v>22000</v>
      </c>
      <c r="F46" s="35" t="n">
        <v>8</v>
      </c>
      <c r="G46" s="37" t="n">
        <f aca="false">IFERROR(F46/F$49,0)</f>
        <v>5.39865708405034E-005</v>
      </c>
      <c r="H46" s="34" t="n">
        <f aca="false">F46*E46</f>
        <v>176000</v>
      </c>
      <c r="I46" s="37" t="n">
        <f aca="false">IFERROR(H46/H$49,0)</f>
        <v>0.001722346070213</v>
      </c>
      <c r="J46" s="35" t="n">
        <v>8</v>
      </c>
      <c r="K46" s="37" t="n">
        <f aca="false">IFERROR(F46/J46,0)</f>
        <v>1</v>
      </c>
      <c r="L46" s="34" t="n">
        <v>27500</v>
      </c>
      <c r="M46" s="35" t="n">
        <v>3</v>
      </c>
      <c r="N46" s="37" t="n">
        <f aca="false">IFERROR(M46/M$49,0)</f>
        <v>5.11945392491468E-005</v>
      </c>
      <c r="O46" s="34" t="n">
        <f aca="false">M46*L46</f>
        <v>82500</v>
      </c>
      <c r="P46" s="37" t="n">
        <f aca="false">IFERROR(O46/O$49,0)</f>
        <v>0.00198892949787365</v>
      </c>
      <c r="Q46" s="35" t="n">
        <v>3</v>
      </c>
      <c r="R46" s="37" t="n">
        <f aca="false">IFERROR(M46/Q46,0)</f>
        <v>1</v>
      </c>
      <c r="S46" s="34" t="n">
        <v>27500</v>
      </c>
      <c r="T46" s="35" t="n">
        <v>3</v>
      </c>
      <c r="U46" s="37" t="n">
        <f aca="false">IFERROR(T46/T$49,0)</f>
        <v>6.68583272046533E-005</v>
      </c>
      <c r="V46" s="34" t="n">
        <f aca="false">T46*S46</f>
        <v>82500</v>
      </c>
      <c r="W46" s="37" t="n">
        <f aca="false">IFERROR(V46/V$49,0)</f>
        <v>0.0026589915814715</v>
      </c>
      <c r="X46" s="35" t="n">
        <v>3</v>
      </c>
      <c r="Y46" s="37" t="n">
        <f aca="false">IFERROR(T46/X46,0)</f>
        <v>1</v>
      </c>
      <c r="Z46" s="34" t="n">
        <v>27500</v>
      </c>
      <c r="AA46" s="35" t="n">
        <v>3</v>
      </c>
      <c r="AB46" s="37" t="n">
        <f aca="false">IFERROR(AA46/AA$49,0)</f>
        <v>4.7066206463759E-005</v>
      </c>
      <c r="AC46" s="34" t="n">
        <f aca="false">AA46*Z46</f>
        <v>82500</v>
      </c>
      <c r="AD46" s="37" t="n">
        <f aca="false">IFERROR(AC46/AC$49,0)</f>
        <v>0.00181288400179311</v>
      </c>
      <c r="AE46" s="35" t="n">
        <v>3</v>
      </c>
      <c r="AF46" s="37" t="n">
        <f aca="false">IFERROR(AA46/AE46,0)</f>
        <v>1</v>
      </c>
      <c r="AG46" s="34" t="n">
        <v>27500</v>
      </c>
      <c r="AH46" s="35" t="n">
        <v>0</v>
      </c>
      <c r="AI46" s="37" t="n">
        <f aca="false">IFERROR(AH46/AH$49,0)</f>
        <v>0</v>
      </c>
      <c r="AJ46" s="34" t="n">
        <f aca="false">AH46*AG46</f>
        <v>0</v>
      </c>
      <c r="AK46" s="37" t="n">
        <f aca="false">IFERROR(AJ46/AJ$49,0)</f>
        <v>0</v>
      </c>
      <c r="AL46" s="35" t="n">
        <v>2</v>
      </c>
      <c r="AM46" s="37" t="n">
        <f aca="false">IFERROR(AH46/AL46,0)</f>
        <v>0</v>
      </c>
      <c r="AN46" s="36" t="n">
        <f aca="false">①札幌予測確定!O46</f>
        <v>1.01207300772946</v>
      </c>
      <c r="AO46" s="35" t="n">
        <f aca="false">①札幌予測確定!P46</f>
        <v>0</v>
      </c>
      <c r="AP46" s="34" t="n">
        <f aca="false">①札幌予測確定!Q46</f>
        <v>0</v>
      </c>
      <c r="AQ46" s="37" t="n">
        <f aca="false">①札幌予測確定!T46</f>
        <v>0</v>
      </c>
      <c r="AR46" s="35" t="n">
        <f aca="false">①札幌予測確定!U46</f>
        <v>2</v>
      </c>
      <c r="AS46" s="35" t="n">
        <f aca="false">③石川以降予測!N69</f>
        <v>1</v>
      </c>
      <c r="AT46" s="35" t="n">
        <f aca="false">③石川以降予測!T69</f>
        <v>4</v>
      </c>
      <c r="AU46" s="38" t="n">
        <f aca="false">③石川以降予測!V69</f>
        <v>-3</v>
      </c>
      <c r="AV46" s="35" t="n">
        <f aca="false">③石川以降予測!W69</f>
        <v>0</v>
      </c>
      <c r="AW46" s="32" t="str">
        <f aca="false">④追加発注判定!J46</f>
        <v>在庫余剰</v>
      </c>
      <c r="AX46" s="32" t="str">
        <f aca="false">④追加発注判定!P46</f>
        <v>在庫で充足</v>
      </c>
      <c r="AY46" s="35" t="n">
        <f aca="false">④追加発注判定!R46</f>
        <v>0</v>
      </c>
      <c r="AZ46" s="32" t="str">
        <f aca="false">④追加発注判定!X46</f>
        <v>D:不要</v>
      </c>
    </row>
    <row r="47" customFormat="false" ht="15" hidden="false" customHeight="false" outlineLevel="0" collapsed="false">
      <c r="A47" s="32" t="n">
        <v>41</v>
      </c>
      <c r="B47" s="32" t="s">
        <v>356</v>
      </c>
      <c r="C47" s="33" t="s">
        <v>357</v>
      </c>
      <c r="D47" s="34" t="n">
        <v>25000</v>
      </c>
      <c r="E47" s="34" t="n">
        <v>25000</v>
      </c>
      <c r="F47" s="35" t="n">
        <v>12</v>
      </c>
      <c r="G47" s="37" t="n">
        <f aca="false">IFERROR(F47/F$49,0)</f>
        <v>8.09798562607551E-005</v>
      </c>
      <c r="H47" s="34" t="n">
        <f aca="false">F47*E47</f>
        <v>300000</v>
      </c>
      <c r="I47" s="37" t="n">
        <f aca="false">IFERROR(H47/H$49,0)</f>
        <v>0.0029358171651358</v>
      </c>
      <c r="J47" s="35" t="n">
        <v>38</v>
      </c>
      <c r="K47" s="37" t="n">
        <f aca="false">IFERROR(F47/J47,0)</f>
        <v>0.315789473684211</v>
      </c>
      <c r="L47" s="34" t="n">
        <v>25000</v>
      </c>
      <c r="M47" s="35" t="n">
        <v>5</v>
      </c>
      <c r="N47" s="37" t="n">
        <f aca="false">IFERROR(M47/M$49,0)</f>
        <v>8.53242320819113E-005</v>
      </c>
      <c r="O47" s="34" t="n">
        <f aca="false">M47*L47</f>
        <v>125000</v>
      </c>
      <c r="P47" s="37" t="n">
        <f aca="false">IFERROR(O47/O$49,0)</f>
        <v>0.00301352954223281</v>
      </c>
      <c r="Q47" s="35" t="n">
        <v>10</v>
      </c>
      <c r="R47" s="37" t="n">
        <f aca="false">IFERROR(M47/Q47,0)</f>
        <v>0.5</v>
      </c>
      <c r="S47" s="34" t="n">
        <v>25000</v>
      </c>
      <c r="T47" s="35" t="n">
        <v>1</v>
      </c>
      <c r="U47" s="37" t="n">
        <f aca="false">IFERROR(T47/T$49,0)</f>
        <v>2.22861090682178E-005</v>
      </c>
      <c r="V47" s="34" t="n">
        <f aca="false">T47*S47</f>
        <v>25000</v>
      </c>
      <c r="W47" s="37" t="n">
        <f aca="false">IFERROR(V47/V$49,0)</f>
        <v>0.000805755024688334</v>
      </c>
      <c r="X47" s="35" t="n">
        <v>5</v>
      </c>
      <c r="Y47" s="37" t="n">
        <f aca="false">IFERROR(T47/X47,0)</f>
        <v>0.2</v>
      </c>
      <c r="Z47" s="34" t="n">
        <v>25000</v>
      </c>
      <c r="AA47" s="35" t="n">
        <v>2</v>
      </c>
      <c r="AB47" s="37" t="n">
        <f aca="false">IFERROR(AA47/AA$49,0)</f>
        <v>3.13774709758394E-005</v>
      </c>
      <c r="AC47" s="34" t="n">
        <f aca="false">AA47*Z47</f>
        <v>50000</v>
      </c>
      <c r="AD47" s="37" t="n">
        <f aca="false">IFERROR(AC47/AC$49,0)</f>
        <v>0.00109871757684431</v>
      </c>
      <c r="AE47" s="35" t="n">
        <v>15</v>
      </c>
      <c r="AF47" s="37" t="n">
        <f aca="false">IFERROR(AA47/AE47,0)</f>
        <v>0.133333333333333</v>
      </c>
      <c r="AG47" s="34" t="n">
        <v>25000</v>
      </c>
      <c r="AH47" s="35" t="n">
        <v>0</v>
      </c>
      <c r="AI47" s="37" t="n">
        <f aca="false">IFERROR(AH47/AH$49,0)</f>
        <v>0</v>
      </c>
      <c r="AJ47" s="34" t="n">
        <f aca="false">AH47*AG47</f>
        <v>0</v>
      </c>
      <c r="AK47" s="37" t="n">
        <f aca="false">IFERROR(AJ47/AJ$49,0)</f>
        <v>0</v>
      </c>
      <c r="AL47" s="35" t="n">
        <v>4</v>
      </c>
      <c r="AM47" s="37" t="n">
        <f aca="false">IFERROR(AH47/AL47,0)</f>
        <v>0</v>
      </c>
      <c r="AN47" s="36" t="n">
        <f aca="false">①札幌予測確定!O47</f>
        <v>1.57759125966182</v>
      </c>
      <c r="AO47" s="35" t="n">
        <f aca="false">①札幌予測確定!P47</f>
        <v>0</v>
      </c>
      <c r="AP47" s="34" t="n">
        <f aca="false">①札幌予測確定!Q47</f>
        <v>0</v>
      </c>
      <c r="AQ47" s="37" t="n">
        <f aca="false">①札幌予測確定!T47</f>
        <v>0</v>
      </c>
      <c r="AR47" s="35" t="n">
        <f aca="false">①札幌予測確定!U47</f>
        <v>4</v>
      </c>
      <c r="AS47" s="35" t="n">
        <f aca="false">③石川以降予測!N70</f>
        <v>1</v>
      </c>
      <c r="AT47" s="35" t="n">
        <f aca="false">③石川以降予測!T70</f>
        <v>74</v>
      </c>
      <c r="AU47" s="38" t="n">
        <f aca="false">③石川以降予測!V70</f>
        <v>-73</v>
      </c>
      <c r="AV47" s="35" t="n">
        <f aca="false">③石川以降予測!W70</f>
        <v>0</v>
      </c>
      <c r="AW47" s="32" t="str">
        <f aca="false">④追加発注判定!J47</f>
        <v>在庫余剰</v>
      </c>
      <c r="AX47" s="32" t="str">
        <f aca="false">④追加発注判定!P47</f>
        <v>在庫で充足</v>
      </c>
      <c r="AY47" s="35" t="n">
        <f aca="false">④追加発注判定!R47</f>
        <v>0</v>
      </c>
      <c r="AZ47" s="32" t="str">
        <f aca="false">④追加発注判定!X47</f>
        <v>D:不要</v>
      </c>
    </row>
    <row r="48" customFormat="false" ht="15" hidden="false" customHeight="false" outlineLevel="0" collapsed="false">
      <c r="A48" s="32" t="n">
        <v>42</v>
      </c>
      <c r="B48" s="32" t="s">
        <v>358</v>
      </c>
      <c r="C48" s="33" t="s">
        <v>359</v>
      </c>
      <c r="D48" s="34" t="n">
        <v>25000</v>
      </c>
      <c r="E48" s="34" t="n">
        <v>25000</v>
      </c>
      <c r="F48" s="35" t="n">
        <v>24</v>
      </c>
      <c r="G48" s="37" t="n">
        <f aca="false">IFERROR(F48/F$49,0)</f>
        <v>0.00016195971252151</v>
      </c>
      <c r="H48" s="34" t="n">
        <f aca="false">F48*E48</f>
        <v>600000</v>
      </c>
      <c r="I48" s="37" t="n">
        <f aca="false">IFERROR(H48/H$49,0)</f>
        <v>0.0058716343302716</v>
      </c>
      <c r="J48" s="35" t="n">
        <v>38</v>
      </c>
      <c r="K48" s="37" t="n">
        <f aca="false">IFERROR(F48/J48,0)</f>
        <v>0.631578947368421</v>
      </c>
      <c r="L48" s="34" t="n">
        <v>25000</v>
      </c>
      <c r="M48" s="35" t="n">
        <v>8</v>
      </c>
      <c r="N48" s="37" t="n">
        <f aca="false">IFERROR(M48/M$49,0)</f>
        <v>0.000136518771331058</v>
      </c>
      <c r="O48" s="34" t="n">
        <f aca="false">M48*L48</f>
        <v>200000</v>
      </c>
      <c r="P48" s="37" t="n">
        <f aca="false">IFERROR(O48/O$49,0)</f>
        <v>0.00482164726757249</v>
      </c>
      <c r="Q48" s="35" t="n">
        <v>10</v>
      </c>
      <c r="R48" s="37" t="n">
        <f aca="false">IFERROR(M48/Q48,0)</f>
        <v>0.8</v>
      </c>
      <c r="S48" s="34" t="n">
        <v>25000</v>
      </c>
      <c r="T48" s="35" t="n">
        <v>3</v>
      </c>
      <c r="U48" s="37" t="n">
        <f aca="false">IFERROR(T48/T$49,0)</f>
        <v>6.68583272046533E-005</v>
      </c>
      <c r="V48" s="34" t="n">
        <f aca="false">T48*S48</f>
        <v>75000</v>
      </c>
      <c r="W48" s="37" t="n">
        <f aca="false">IFERROR(V48/V$49,0)</f>
        <v>0.002417265074065</v>
      </c>
      <c r="X48" s="35" t="n">
        <v>5</v>
      </c>
      <c r="Y48" s="37" t="n">
        <f aca="false">IFERROR(T48/X48,0)</f>
        <v>0.6</v>
      </c>
      <c r="Z48" s="34" t="n">
        <v>25000</v>
      </c>
      <c r="AA48" s="35" t="n">
        <v>8</v>
      </c>
      <c r="AB48" s="37" t="n">
        <f aca="false">IFERROR(AA48/AA$49,0)</f>
        <v>0.000125509883903357</v>
      </c>
      <c r="AC48" s="34" t="n">
        <f aca="false">AA48*Z48</f>
        <v>200000</v>
      </c>
      <c r="AD48" s="37" t="n">
        <f aca="false">IFERROR(AC48/AC$49,0)</f>
        <v>0.00439487030737723</v>
      </c>
      <c r="AE48" s="35" t="n">
        <v>20</v>
      </c>
      <c r="AF48" s="37" t="n">
        <f aca="false">IFERROR(AA48/AE48,0)</f>
        <v>0.4</v>
      </c>
      <c r="AG48" s="34" t="n">
        <v>25000</v>
      </c>
      <c r="AH48" s="35" t="n">
        <v>1</v>
      </c>
      <c r="AI48" s="37" t="n">
        <f aca="false">IFERROR(AH48/AH$49,0)</f>
        <v>0.000196966712625566</v>
      </c>
      <c r="AJ48" s="34" t="n">
        <f aca="false">AH48*AG48</f>
        <v>25000</v>
      </c>
      <c r="AK48" s="37" t="n">
        <f aca="false">IFERROR(AJ48/AJ$49,0)</f>
        <v>0.00615960775617809</v>
      </c>
      <c r="AL48" s="35" t="n">
        <v>6</v>
      </c>
      <c r="AM48" s="37" t="n">
        <f aca="false">IFERROR(AH48/AL48,0)</f>
        <v>0.166666666666667</v>
      </c>
      <c r="AN48" s="36" t="n">
        <f aca="false">①札幌予測確定!O48</f>
        <v>2.02414601545891</v>
      </c>
      <c r="AO48" s="35" t="n">
        <f aca="false">①札幌予測確定!P48</f>
        <v>2</v>
      </c>
      <c r="AP48" s="34" t="n">
        <f aca="false">①札幌予測確定!Q48</f>
        <v>50000</v>
      </c>
      <c r="AQ48" s="37" t="n">
        <f aca="false">①札幌予測確定!T48</f>
        <v>0.333333333333333</v>
      </c>
      <c r="AR48" s="35" t="n">
        <f aca="false">①札幌予測確定!U48</f>
        <v>4</v>
      </c>
      <c r="AS48" s="35" t="n">
        <f aca="false">③石川以降予測!N71</f>
        <v>15</v>
      </c>
      <c r="AT48" s="35" t="n">
        <f aca="false">③石川以降予測!T71</f>
        <v>47</v>
      </c>
      <c r="AU48" s="38" t="n">
        <f aca="false">③石川以降予測!V71</f>
        <v>-32</v>
      </c>
      <c r="AV48" s="35" t="n">
        <f aca="false">③石川以降予測!W71</f>
        <v>0</v>
      </c>
      <c r="AW48" s="32" t="str">
        <f aca="false">④追加発注判定!J48</f>
        <v>在庫余剰</v>
      </c>
      <c r="AX48" s="32" t="str">
        <f aca="false">④追加発注判定!P48</f>
        <v>在庫で充足</v>
      </c>
      <c r="AY48" s="35" t="n">
        <f aca="false">④追加発注判定!R48</f>
        <v>0</v>
      </c>
      <c r="AZ48" s="32" t="str">
        <f aca="false">④追加発注判定!X48</f>
        <v>D:不要</v>
      </c>
    </row>
    <row r="49" customFormat="false" ht="15" hidden="false" customHeight="false" outlineLevel="0" collapsed="false">
      <c r="A49" s="40"/>
      <c r="B49" s="40"/>
      <c r="C49" s="41" t="s">
        <v>360</v>
      </c>
      <c r="D49" s="40"/>
      <c r="E49" s="40"/>
      <c r="F49" s="42" t="n">
        <f aca="false">SUM(F7:F48)</f>
        <v>148185</v>
      </c>
      <c r="G49" s="40"/>
      <c r="H49" s="44" t="n">
        <f aca="false">SUM(H7:H48)</f>
        <v>102186200</v>
      </c>
      <c r="I49" s="40"/>
      <c r="J49" s="42" t="n">
        <f aca="false">SUM(J7:J48)</f>
        <v>211152</v>
      </c>
      <c r="K49" s="40"/>
      <c r="L49" s="40"/>
      <c r="M49" s="42" t="n">
        <f aca="false">SUM(M7:M48)</f>
        <v>58600</v>
      </c>
      <c r="N49" s="40"/>
      <c r="O49" s="44" t="n">
        <f aca="false">SUM(O7:O48)</f>
        <v>41479600</v>
      </c>
      <c r="P49" s="40"/>
      <c r="Q49" s="42" t="n">
        <f aca="false">SUM(Q7:Q48)</f>
        <v>83271</v>
      </c>
      <c r="R49" s="40"/>
      <c r="S49" s="40"/>
      <c r="T49" s="42" t="n">
        <f aca="false">SUM(T7:T48)</f>
        <v>44871</v>
      </c>
      <c r="U49" s="40"/>
      <c r="V49" s="44" t="n">
        <f aca="false">SUM(V7:V48)</f>
        <v>31026800</v>
      </c>
      <c r="W49" s="40"/>
      <c r="X49" s="42" t="n">
        <f aca="false">SUM(X7:X48)</f>
        <v>49598</v>
      </c>
      <c r="Y49" s="40"/>
      <c r="Z49" s="40"/>
      <c r="AA49" s="42" t="n">
        <f aca="false">SUM(AA7:AA48)</f>
        <v>63740</v>
      </c>
      <c r="AB49" s="40"/>
      <c r="AC49" s="44" t="n">
        <f aca="false">SUM(AC7:AC48)</f>
        <v>45507600</v>
      </c>
      <c r="AD49" s="40"/>
      <c r="AE49" s="42" t="n">
        <f aca="false">SUM(AE7:AE48)</f>
        <v>137560</v>
      </c>
      <c r="AF49" s="40"/>
      <c r="AG49" s="40"/>
      <c r="AH49" s="42" t="n">
        <f aca="false">SUM(AH7:AH48)</f>
        <v>5077</v>
      </c>
      <c r="AI49" s="40"/>
      <c r="AJ49" s="44" t="n">
        <f aca="false">SUM(AJ7:AJ48)</f>
        <v>4058700</v>
      </c>
      <c r="AK49" s="40"/>
      <c r="AL49" s="42" t="n">
        <f aca="false">SUM(AL7:AL48)</f>
        <v>50506</v>
      </c>
      <c r="AM49" s="40"/>
      <c r="AN49" s="40"/>
      <c r="AO49" s="42" t="n">
        <f aca="false">SUM(AO7:AO48)</f>
        <v>8740</v>
      </c>
      <c r="AP49" s="44" t="n">
        <f aca="false">SUM(AP7:AP48)</f>
        <v>6680400</v>
      </c>
      <c r="AQ49" s="40"/>
      <c r="AR49" s="42" t="n">
        <f aca="false">SUM(AR7:AR48)</f>
        <v>41768</v>
      </c>
      <c r="AS49" s="42" t="n">
        <f aca="false">SUM(AS7:AS48)</f>
        <v>81791</v>
      </c>
      <c r="AT49" s="42" t="n">
        <f aca="false">SUM(AT7:AT48)</f>
        <v>265948</v>
      </c>
      <c r="AU49" s="46" t="n">
        <f aca="false">SUM(AU7:AU48)</f>
        <v>-185357</v>
      </c>
      <c r="AV49" s="42" t="n">
        <f aca="false">SUM(AV7:AV48)</f>
        <v>2554</v>
      </c>
      <c r="AW49" s="40"/>
      <c r="AX49" s="40"/>
      <c r="AY49" s="42" t="n">
        <f aca="false">SUM(AY7:AY48)</f>
        <v>2815</v>
      </c>
      <c r="AZ49" s="40"/>
    </row>
  </sheetData>
  <mergeCells count="9">
    <mergeCell ref="A5:D5"/>
    <mergeCell ref="E5:K5"/>
    <mergeCell ref="L5:R5"/>
    <mergeCell ref="S5:Y5"/>
    <mergeCell ref="Z5:AF5"/>
    <mergeCell ref="AG5:AM5"/>
    <mergeCell ref="AN5:AR5"/>
    <mergeCell ref="AS5:AV5"/>
    <mergeCell ref="AW5:AZ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5"/>
    <col collapsed="false" customWidth="true" hidden="false" outlineLevel="0" max="3" min="3" style="0" width="44"/>
    <col collapsed="false" customWidth="true" hidden="false" outlineLevel="0" max="8" min="4" style="0" width="10"/>
    <col collapsed="false" customWidth="true" hidden="false" outlineLevel="0" max="13" min="9" style="0" width="9"/>
    <col collapsed="false" customWidth="true" hidden="false" outlineLevel="0" max="14" min="14" style="0" width="11"/>
    <col collapsed="false" customWidth="true" hidden="false" outlineLevel="0" max="16" min="15" style="0" width="12"/>
    <col collapsed="false" customWidth="true" hidden="false" outlineLevel="0" max="17" min="17" style="0" width="14"/>
  </cols>
  <sheetData>
    <row r="1" customFormat="false" ht="20.1" hidden="false" customHeight="false" outlineLevel="0" collapsed="false">
      <c r="A1" s="1" t="s">
        <v>563</v>
      </c>
    </row>
    <row r="2" customFormat="false" ht="15" hidden="false" customHeight="false" outlineLevel="0" collapsed="false">
      <c r="A2" s="3" t="s">
        <v>564</v>
      </c>
    </row>
    <row r="5" customFormat="false" ht="33.75" hidden="false" customHeight="true" outlineLevel="0" collapsed="false">
      <c r="A5" s="25" t="s">
        <v>253</v>
      </c>
      <c r="B5" s="25" t="s">
        <v>254</v>
      </c>
      <c r="C5" s="26" t="s">
        <v>255</v>
      </c>
      <c r="D5" s="47" t="s">
        <v>565</v>
      </c>
      <c r="E5" s="28" t="s">
        <v>566</v>
      </c>
      <c r="F5" s="29" t="s">
        <v>567</v>
      </c>
      <c r="G5" s="30" t="s">
        <v>568</v>
      </c>
      <c r="H5" s="27" t="s">
        <v>569</v>
      </c>
      <c r="I5" s="47" t="s">
        <v>570</v>
      </c>
      <c r="J5" s="28" t="s">
        <v>571</v>
      </c>
      <c r="K5" s="29" t="s">
        <v>572</v>
      </c>
      <c r="L5" s="30" t="s">
        <v>472</v>
      </c>
      <c r="M5" s="27" t="s">
        <v>474</v>
      </c>
      <c r="N5" s="31" t="s">
        <v>573</v>
      </c>
      <c r="O5" s="31" t="s">
        <v>574</v>
      </c>
      <c r="P5" s="31" t="s">
        <v>575</v>
      </c>
      <c r="Q5" s="31" t="s">
        <v>576</v>
      </c>
    </row>
    <row r="6" customFormat="false" ht="15" hidden="false" customHeight="false" outlineLevel="0" collapsed="false">
      <c r="A6" s="32" t="n">
        <v>1</v>
      </c>
      <c r="B6" s="32" t="s">
        <v>276</v>
      </c>
      <c r="C6" s="33" t="s">
        <v>277</v>
      </c>
      <c r="D6" s="35" t="n">
        <v>4965</v>
      </c>
      <c r="E6" s="35" t="n">
        <v>1316</v>
      </c>
      <c r="F6" s="35" t="n">
        <v>1092</v>
      </c>
      <c r="G6" s="35" t="n">
        <v>2325</v>
      </c>
      <c r="H6" s="35" t="n">
        <v>261</v>
      </c>
      <c r="I6" s="37" t="n">
        <f aca="false">IFERROR(D6/D$48,0)</f>
        <v>0.0335054155278874</v>
      </c>
      <c r="J6" s="37" t="n">
        <f aca="false">IFERROR(E6/E$48,0)</f>
        <v>0.022457337883959</v>
      </c>
      <c r="K6" s="37" t="n">
        <f aca="false">IFERROR(F6/F$48,0)</f>
        <v>0.0243364311024938</v>
      </c>
      <c r="L6" s="37" t="n">
        <f aca="false">IFERROR(G6/G$48,0)</f>
        <v>0.0364763100094132</v>
      </c>
      <c r="M6" s="37" t="n">
        <f aca="false">IFERROR(H6/H$48,0)</f>
        <v>0.0514083119952728</v>
      </c>
      <c r="N6" s="37" t="n">
        <f aca="false">①札幌予測確定!R7</f>
        <v>0.0534324942791762</v>
      </c>
      <c r="O6" s="78" t="n">
        <f aca="false">N6-L6</f>
        <v>0.016956184269763</v>
      </c>
      <c r="P6" s="78" t="n">
        <f aca="false">L6-I6</f>
        <v>0.0029708944815258</v>
      </c>
      <c r="Q6" s="39" t="str">
        <f aca="false">IF(O6&gt;=0.005,"↑ 伸長",IF(O6&lt;=-0.005,"↓ 減退","→ 横ばい"))</f>
        <v>↑ 伸長</v>
      </c>
    </row>
    <row r="7" customFormat="false" ht="15" hidden="false" customHeight="false" outlineLevel="0" collapsed="false">
      <c r="A7" s="32" t="n">
        <v>2</v>
      </c>
      <c r="B7" s="32" t="s">
        <v>278</v>
      </c>
      <c r="C7" s="33" t="s">
        <v>279</v>
      </c>
      <c r="D7" s="35" t="n">
        <v>4902</v>
      </c>
      <c r="E7" s="35" t="n">
        <v>1466</v>
      </c>
      <c r="F7" s="35" t="n">
        <v>1132</v>
      </c>
      <c r="G7" s="35" t="n">
        <v>1965</v>
      </c>
      <c r="H7" s="35" t="n">
        <v>283</v>
      </c>
      <c r="I7" s="37" t="n">
        <f aca="false">IFERROR(D7/D$48,0)</f>
        <v>0.0330802712825185</v>
      </c>
      <c r="J7" s="37" t="n">
        <f aca="false">IFERROR(E7/E$48,0)</f>
        <v>0.0250170648464164</v>
      </c>
      <c r="K7" s="37" t="n">
        <f aca="false">IFERROR(F7/F$48,0)</f>
        <v>0.0252278754652225</v>
      </c>
      <c r="L7" s="37" t="n">
        <f aca="false">IFERROR(G7/G$48,0)</f>
        <v>0.0308283652337622</v>
      </c>
      <c r="M7" s="37" t="n">
        <f aca="false">IFERROR(H7/H$48,0)</f>
        <v>0.0557415796730353</v>
      </c>
      <c r="N7" s="37" t="n">
        <f aca="false">①札幌予測確定!R8</f>
        <v>0.0582379862700229</v>
      </c>
      <c r="O7" s="78" t="n">
        <f aca="false">N7-L7</f>
        <v>0.0274096210362607</v>
      </c>
      <c r="P7" s="78" t="n">
        <f aca="false">L7-I7</f>
        <v>-0.00225190604875632</v>
      </c>
      <c r="Q7" s="39" t="str">
        <f aca="false">IF(O7&gt;=0.005,"↑ 伸長",IF(O7&lt;=-0.005,"↓ 減退","→ 横ばい"))</f>
        <v>↑ 伸長</v>
      </c>
    </row>
    <row r="8" customFormat="false" ht="15" hidden="false" customHeight="false" outlineLevel="0" collapsed="false">
      <c r="A8" s="32" t="n">
        <v>3</v>
      </c>
      <c r="B8" s="32" t="s">
        <v>280</v>
      </c>
      <c r="C8" s="33" t="s">
        <v>281</v>
      </c>
      <c r="D8" s="35" t="n">
        <v>2956</v>
      </c>
      <c r="E8" s="35" t="n">
        <v>601</v>
      </c>
      <c r="F8" s="35" t="n">
        <v>454</v>
      </c>
      <c r="G8" s="35" t="n">
        <v>1132</v>
      </c>
      <c r="H8" s="35" t="n">
        <v>102</v>
      </c>
      <c r="I8" s="37" t="n">
        <f aca="false">IFERROR(D8/D$48,0)</f>
        <v>0.019948037925566</v>
      </c>
      <c r="J8" s="37" t="n">
        <f aca="false">IFERROR(E8/E$48,0)</f>
        <v>0.0102559726962457</v>
      </c>
      <c r="K8" s="37" t="n">
        <f aca="false">IFERROR(F8/F$48,0)</f>
        <v>0.0101178935169709</v>
      </c>
      <c r="L8" s="37" t="n">
        <f aca="false">IFERROR(G8/G$48,0)</f>
        <v>0.0177596485723251</v>
      </c>
      <c r="M8" s="37" t="n">
        <f aca="false">IFERROR(H8/H$48,0)</f>
        <v>0.0200906046878078</v>
      </c>
      <c r="N8" s="37" t="n">
        <f aca="false">①札幌予測確定!R9</f>
        <v>0.018649885583524</v>
      </c>
      <c r="O8" s="78" t="n">
        <f aca="false">N8-L8</f>
        <v>0.000890237011198957</v>
      </c>
      <c r="P8" s="78" t="n">
        <f aca="false">L8-I8</f>
        <v>-0.00218838935324094</v>
      </c>
      <c r="Q8" s="39" t="str">
        <f aca="false">IF(O8&gt;=0.005,"↑ 伸長",IF(O8&lt;=-0.005,"↓ 減退","→ 横ばい"))</f>
        <v>→ 横ばい</v>
      </c>
    </row>
    <row r="9" customFormat="false" ht="15" hidden="false" customHeight="false" outlineLevel="0" collapsed="false">
      <c r="A9" s="32" t="n">
        <v>4</v>
      </c>
      <c r="B9" s="32" t="s">
        <v>282</v>
      </c>
      <c r="C9" s="33" t="s">
        <v>283</v>
      </c>
      <c r="D9" s="35" t="n">
        <v>1819</v>
      </c>
      <c r="E9" s="35" t="n">
        <v>922</v>
      </c>
      <c r="F9" s="35" t="n">
        <v>539</v>
      </c>
      <c r="G9" s="35" t="n">
        <v>1310</v>
      </c>
      <c r="H9" s="35" t="n">
        <v>144</v>
      </c>
      <c r="I9" s="37" t="n">
        <f aca="false">IFERROR(D9/D$48,0)</f>
        <v>0.0122751965448595</v>
      </c>
      <c r="J9" s="37" t="n">
        <f aca="false">IFERROR(E9/E$48,0)</f>
        <v>0.0157337883959044</v>
      </c>
      <c r="K9" s="37" t="n">
        <f aca="false">IFERROR(F9/F$48,0)</f>
        <v>0.0120122127877694</v>
      </c>
      <c r="L9" s="37" t="n">
        <f aca="false">IFERROR(G9/G$48,0)</f>
        <v>0.0205522434891748</v>
      </c>
      <c r="M9" s="37" t="n">
        <f aca="false">IFERROR(H9/H$48,0)</f>
        <v>0.0283632066180815</v>
      </c>
      <c r="N9" s="37" t="n">
        <f aca="false">①札幌予測確定!R10</f>
        <v>0.0262013729977117</v>
      </c>
      <c r="O9" s="78" t="n">
        <f aca="false">N9-L9</f>
        <v>0.0056491295085369</v>
      </c>
      <c r="P9" s="78" t="n">
        <f aca="false">L9-I9</f>
        <v>0.0082770469443153</v>
      </c>
      <c r="Q9" s="39" t="str">
        <f aca="false">IF(O9&gt;=0.005,"↑ 伸長",IF(O9&lt;=-0.005,"↓ 減退","→ 横ばい"))</f>
        <v>↑ 伸長</v>
      </c>
    </row>
    <row r="10" customFormat="false" ht="15" hidden="false" customHeight="false" outlineLevel="0" collapsed="false">
      <c r="A10" s="32" t="n">
        <v>5</v>
      </c>
      <c r="B10" s="32" t="s">
        <v>284</v>
      </c>
      <c r="C10" s="33" t="s">
        <v>285</v>
      </c>
      <c r="D10" s="35" t="n">
        <v>18759</v>
      </c>
      <c r="E10" s="35" t="n">
        <v>10777</v>
      </c>
      <c r="F10" s="35" t="n">
        <v>8991</v>
      </c>
      <c r="G10" s="35" t="n">
        <v>8936</v>
      </c>
      <c r="H10" s="35" t="n">
        <v>268</v>
      </c>
      <c r="I10" s="37" t="n">
        <f aca="false">IFERROR(D10/D$48,0)</f>
        <v>0.126591760299625</v>
      </c>
      <c r="J10" s="37" t="n">
        <f aca="false">IFERROR(E10/E$48,0)</f>
        <v>0.183907849829352</v>
      </c>
      <c r="K10" s="37" t="n">
        <f aca="false">IFERROR(F10/F$48,0)</f>
        <v>0.200374406632346</v>
      </c>
      <c r="L10" s="37" t="n">
        <f aca="false">IFERROR(G10/G$48,0)</f>
        <v>0.14019454032005</v>
      </c>
      <c r="M10" s="37" t="n">
        <f aca="false">IFERROR(H10/H$48,0)</f>
        <v>0.0527870789836518</v>
      </c>
      <c r="N10" s="37" t="n">
        <f aca="false">①札幌予測確定!R11</f>
        <v>0.0532036613272311</v>
      </c>
      <c r="O10" s="78" t="n">
        <f aca="false">N10-L10</f>
        <v>-0.0869908789928191</v>
      </c>
      <c r="P10" s="78" t="n">
        <f aca="false">L10-I10</f>
        <v>0.0136027800204248</v>
      </c>
      <c r="Q10" s="39" t="str">
        <f aca="false">IF(O10&gt;=0.005,"↑ 伸長",IF(O10&lt;=-0.005,"↓ 減退","→ 横ばい"))</f>
        <v>↓ 減退</v>
      </c>
    </row>
    <row r="11" customFormat="false" ht="15" hidden="false" customHeight="false" outlineLevel="0" collapsed="false">
      <c r="A11" s="32" t="n">
        <v>6</v>
      </c>
      <c r="B11" s="32" t="s">
        <v>286</v>
      </c>
      <c r="C11" s="33" t="s">
        <v>287</v>
      </c>
      <c r="D11" s="35" t="n">
        <v>31070</v>
      </c>
      <c r="E11" s="35" t="n">
        <v>15602</v>
      </c>
      <c r="F11" s="35" t="n">
        <v>13877</v>
      </c>
      <c r="G11" s="35" t="n">
        <v>18611</v>
      </c>
      <c r="H11" s="35" t="n">
        <v>704</v>
      </c>
      <c r="I11" s="37" t="n">
        <f aca="false">IFERROR(D11/D$48,0)</f>
        <v>0.209670344501805</v>
      </c>
      <c r="J11" s="37" t="n">
        <f aca="false">IFERROR(E11/E$48,0)</f>
        <v>0.266245733788396</v>
      </c>
      <c r="K11" s="37" t="n">
        <f aca="false">IFERROR(F11/F$48,0)</f>
        <v>0.309264335539658</v>
      </c>
      <c r="L11" s="37" t="n">
        <f aca="false">IFERROR(G11/G$48,0)</f>
        <v>0.291983056165673</v>
      </c>
      <c r="M11" s="37" t="n">
        <f aca="false">IFERROR(H11/H$48,0)</f>
        <v>0.138664565688399</v>
      </c>
      <c r="N11" s="37" t="n">
        <f aca="false">①札幌予測確定!R12</f>
        <v>0.150686498855835</v>
      </c>
      <c r="O11" s="78" t="n">
        <f aca="false">N11-L11</f>
        <v>-0.141296557309838</v>
      </c>
      <c r="P11" s="78" t="n">
        <f aca="false">L11-I11</f>
        <v>0.0823127116638679</v>
      </c>
      <c r="Q11" s="39" t="str">
        <f aca="false">IF(O11&gt;=0.005,"↑ 伸長",IF(O11&lt;=-0.005,"↓ 減退","→ 横ばい"))</f>
        <v>↓ 減退</v>
      </c>
    </row>
    <row r="12" customFormat="false" ht="15" hidden="false" customHeight="false" outlineLevel="0" collapsed="false">
      <c r="A12" s="32" t="n">
        <v>7</v>
      </c>
      <c r="B12" s="32" t="s">
        <v>288</v>
      </c>
      <c r="C12" s="33" t="s">
        <v>289</v>
      </c>
      <c r="D12" s="35" t="n">
        <v>3471</v>
      </c>
      <c r="E12" s="35" t="n">
        <v>520</v>
      </c>
      <c r="F12" s="35" t="n">
        <v>384</v>
      </c>
      <c r="G12" s="35" t="n">
        <v>940</v>
      </c>
      <c r="H12" s="35" t="n">
        <v>108</v>
      </c>
      <c r="I12" s="37" t="n">
        <f aca="false">IFERROR(D12/D$48,0)</f>
        <v>0.0234234234234234</v>
      </c>
      <c r="J12" s="37" t="n">
        <f aca="false">IFERROR(E12/E$48,0)</f>
        <v>0.00887372013651877</v>
      </c>
      <c r="K12" s="37" t="n">
        <f aca="false">IFERROR(F12/F$48,0)</f>
        <v>0.00855786588219563</v>
      </c>
      <c r="L12" s="37" t="n">
        <f aca="false">IFERROR(G12/G$48,0)</f>
        <v>0.0147474113586445</v>
      </c>
      <c r="M12" s="37" t="n">
        <f aca="false">IFERROR(H12/H$48,0)</f>
        <v>0.0212724049635612</v>
      </c>
      <c r="N12" s="37" t="n">
        <f aca="false">①札幌予測確定!R13</f>
        <v>0.0221967963386728</v>
      </c>
      <c r="O12" s="78" t="n">
        <f aca="false">N12-L12</f>
        <v>0.00744938498002828</v>
      </c>
      <c r="P12" s="78" t="n">
        <f aca="false">L12-I12</f>
        <v>-0.00867601206477893</v>
      </c>
      <c r="Q12" s="39" t="str">
        <f aca="false">IF(O12&gt;=0.005,"↑ 伸長",IF(O12&lt;=-0.005,"↓ 減退","→ 横ばい"))</f>
        <v>↑ 伸長</v>
      </c>
    </row>
    <row r="13" customFormat="false" ht="15" hidden="false" customHeight="false" outlineLevel="0" collapsed="false">
      <c r="A13" s="32" t="n">
        <v>8</v>
      </c>
      <c r="B13" s="32" t="s">
        <v>290</v>
      </c>
      <c r="C13" s="33" t="s">
        <v>291</v>
      </c>
      <c r="D13" s="35" t="n">
        <v>5596</v>
      </c>
      <c r="E13" s="35" t="n">
        <v>1107</v>
      </c>
      <c r="F13" s="35" t="n">
        <v>799</v>
      </c>
      <c r="G13" s="35" t="n">
        <v>1758</v>
      </c>
      <c r="H13" s="35" t="n">
        <v>173</v>
      </c>
      <c r="I13" s="37" t="n">
        <f aca="false">IFERROR(D13/D$48,0)</f>
        <v>0.0377636063029321</v>
      </c>
      <c r="J13" s="37" t="n">
        <f aca="false">IFERROR(E13/E$48,0)</f>
        <v>0.0188907849829352</v>
      </c>
      <c r="K13" s="37" t="n">
        <f aca="false">IFERROR(F13/F$48,0)</f>
        <v>0.017806601145506</v>
      </c>
      <c r="L13" s="37" t="n">
        <f aca="false">IFERROR(G13/G$48,0)</f>
        <v>0.0275807969877628</v>
      </c>
      <c r="M13" s="37" t="n">
        <f aca="false">IFERROR(H13/H$48,0)</f>
        <v>0.034075241284223</v>
      </c>
      <c r="N13" s="37" t="n">
        <f aca="false">①札幌予測確定!R14</f>
        <v>0.0367276887871854</v>
      </c>
      <c r="O13" s="78" t="n">
        <f aca="false">N13-L13</f>
        <v>0.00914689179942257</v>
      </c>
      <c r="P13" s="78" t="n">
        <f aca="false">L13-I13</f>
        <v>-0.0101828093151694</v>
      </c>
      <c r="Q13" s="39" t="str">
        <f aca="false">IF(O13&gt;=0.005,"↑ 伸長",IF(O13&lt;=-0.005,"↓ 減退","→ 横ばい"))</f>
        <v>↑ 伸長</v>
      </c>
    </row>
    <row r="14" customFormat="false" ht="15" hidden="false" customHeight="false" outlineLevel="0" collapsed="false">
      <c r="A14" s="32" t="n">
        <v>9</v>
      </c>
      <c r="B14" s="32" t="s">
        <v>292</v>
      </c>
      <c r="C14" s="33" t="s">
        <v>293</v>
      </c>
      <c r="D14" s="35" t="n">
        <v>2381</v>
      </c>
      <c r="E14" s="35" t="n">
        <v>313</v>
      </c>
      <c r="F14" s="35" t="n">
        <v>301</v>
      </c>
      <c r="G14" s="35" t="n">
        <v>743</v>
      </c>
      <c r="H14" s="35" t="n">
        <v>87</v>
      </c>
      <c r="I14" s="37" t="n">
        <f aca="false">IFERROR(D14/D$48,0)</f>
        <v>0.0160677531464048</v>
      </c>
      <c r="J14" s="37" t="n">
        <f aca="false">IFERROR(E14/E$48,0)</f>
        <v>0.00534129692832765</v>
      </c>
      <c r="K14" s="37" t="n">
        <f aca="false">IFERROR(F14/F$48,0)</f>
        <v>0.00670811882953355</v>
      </c>
      <c r="L14" s="37" t="n">
        <f aca="false">IFERROR(G14/G$48,0)</f>
        <v>0.0116567304675243</v>
      </c>
      <c r="M14" s="37" t="n">
        <f aca="false">IFERROR(H14/H$48,0)</f>
        <v>0.0171361039984243</v>
      </c>
      <c r="N14" s="37" t="n">
        <f aca="false">①札幌予測確定!R15</f>
        <v>0.0146453089244851</v>
      </c>
      <c r="O14" s="78" t="n">
        <f aca="false">N14-L14</f>
        <v>0.00298857845696081</v>
      </c>
      <c r="P14" s="78" t="n">
        <f aca="false">L14-I14</f>
        <v>-0.00441102267888052</v>
      </c>
      <c r="Q14" s="39" t="str">
        <f aca="false">IF(O14&gt;=0.005,"↑ 伸長",IF(O14&lt;=-0.005,"↓ 減退","→ 横ばい"))</f>
        <v>→ 横ばい</v>
      </c>
    </row>
    <row r="15" customFormat="false" ht="15" hidden="false" customHeight="false" outlineLevel="0" collapsed="false">
      <c r="A15" s="32" t="n">
        <v>10</v>
      </c>
      <c r="B15" s="32" t="s">
        <v>294</v>
      </c>
      <c r="C15" s="33" t="s">
        <v>295</v>
      </c>
      <c r="D15" s="35" t="n">
        <v>1025</v>
      </c>
      <c r="E15" s="35" t="n">
        <v>141</v>
      </c>
      <c r="F15" s="35" t="n">
        <v>123</v>
      </c>
      <c r="G15" s="35" t="n">
        <v>277</v>
      </c>
      <c r="H15" s="35" t="n">
        <v>33</v>
      </c>
      <c r="I15" s="37" t="n">
        <f aca="false">IFERROR(D15/D$48,0)</f>
        <v>0.0069170293889395</v>
      </c>
      <c r="J15" s="37" t="n">
        <f aca="false">IFERROR(E15/E$48,0)</f>
        <v>0.0024061433447099</v>
      </c>
      <c r="K15" s="37" t="n">
        <f aca="false">IFERROR(F15/F$48,0)</f>
        <v>0.00274119141539079</v>
      </c>
      <c r="L15" s="37" t="n">
        <f aca="false">IFERROR(G15/G$48,0)</f>
        <v>0.00434577973015375</v>
      </c>
      <c r="M15" s="37" t="n">
        <f aca="false">IFERROR(H15/H$48,0)</f>
        <v>0.00649990151664369</v>
      </c>
      <c r="N15" s="37" t="n">
        <f aca="false">①札幌予測確定!R16</f>
        <v>0.00549199084668192</v>
      </c>
      <c r="O15" s="78" t="n">
        <f aca="false">N15-L15</f>
        <v>0.00114621111652817</v>
      </c>
      <c r="P15" s="78" t="n">
        <f aca="false">L15-I15</f>
        <v>-0.00257124965878575</v>
      </c>
      <c r="Q15" s="39" t="str">
        <f aca="false">IF(O15&gt;=0.005,"↑ 伸長",IF(O15&lt;=-0.005,"↓ 減退","→ 横ばい"))</f>
        <v>→ 横ばい</v>
      </c>
    </row>
    <row r="16" customFormat="false" ht="15" hidden="false" customHeight="false" outlineLevel="0" collapsed="false">
      <c r="A16" s="32" t="n">
        <v>11</v>
      </c>
      <c r="B16" s="32" t="s">
        <v>296</v>
      </c>
      <c r="C16" s="33" t="s">
        <v>297</v>
      </c>
      <c r="D16" s="35" t="n">
        <v>215</v>
      </c>
      <c r="E16" s="35" t="n">
        <v>37</v>
      </c>
      <c r="F16" s="35" t="n">
        <v>30</v>
      </c>
      <c r="G16" s="35" t="n">
        <v>78</v>
      </c>
      <c r="H16" s="35" t="n">
        <v>10</v>
      </c>
      <c r="I16" s="37" t="n">
        <f aca="false">IFERROR(D16/D$48,0)</f>
        <v>0.00145088909133853</v>
      </c>
      <c r="J16" s="37" t="n">
        <f aca="false">IFERROR(E16/E$48,0)</f>
        <v>0.000631399317406143</v>
      </c>
      <c r="K16" s="37" t="n">
        <f aca="false">IFERROR(F16/F$48,0)</f>
        <v>0.000668583272046533</v>
      </c>
      <c r="L16" s="37" t="n">
        <f aca="false">IFERROR(G16/G$48,0)</f>
        <v>0.00122372136805773</v>
      </c>
      <c r="M16" s="37" t="n">
        <f aca="false">IFERROR(H16/H$48,0)</f>
        <v>0.00196966712625566</v>
      </c>
      <c r="N16" s="37" t="n">
        <f aca="false">①札幌予測確定!R17</f>
        <v>0.00274599542334096</v>
      </c>
      <c r="O16" s="78" t="n">
        <f aca="false">N16-L16</f>
        <v>0.00152227405528323</v>
      </c>
      <c r="P16" s="78" t="n">
        <f aca="false">L16-I16</f>
        <v>-0.000227167723280795</v>
      </c>
      <c r="Q16" s="39" t="str">
        <f aca="false">IF(O16&gt;=0.005,"↑ 伸長",IF(O16&lt;=-0.005,"↓ 減退","→ 横ばい"))</f>
        <v>→ 横ばい</v>
      </c>
    </row>
    <row r="17" customFormat="false" ht="15" hidden="false" customHeight="false" outlineLevel="0" collapsed="false">
      <c r="A17" s="32" t="n">
        <v>12</v>
      </c>
      <c r="B17" s="32" t="s">
        <v>298</v>
      </c>
      <c r="C17" s="33" t="s">
        <v>299</v>
      </c>
      <c r="D17" s="35" t="n">
        <v>291</v>
      </c>
      <c r="E17" s="35" t="n">
        <v>58</v>
      </c>
      <c r="F17" s="35" t="n">
        <v>54</v>
      </c>
      <c r="G17" s="35" t="n">
        <v>142</v>
      </c>
      <c r="H17" s="35" t="n">
        <v>19</v>
      </c>
      <c r="I17" s="37" t="n">
        <f aca="false">IFERROR(D17/D$48,0)</f>
        <v>0.00196376151432331</v>
      </c>
      <c r="J17" s="37" t="n">
        <f aca="false">IFERROR(E17/E$48,0)</f>
        <v>0.000989761092150171</v>
      </c>
      <c r="K17" s="37" t="n">
        <f aca="false">IFERROR(F17/F$48,0)</f>
        <v>0.00120344988968376</v>
      </c>
      <c r="L17" s="37" t="n">
        <f aca="false">IFERROR(G17/G$48,0)</f>
        <v>0.00222780043928459</v>
      </c>
      <c r="M17" s="37" t="n">
        <f aca="false">IFERROR(H17/H$48,0)</f>
        <v>0.00374236753988576</v>
      </c>
      <c r="N17" s="37" t="n">
        <f aca="false">①札幌予測確定!R18</f>
        <v>0.00389016018306636</v>
      </c>
      <c r="O17" s="78" t="n">
        <f aca="false">N17-L17</f>
        <v>0.00166235974378177</v>
      </c>
      <c r="P17" s="78" t="n">
        <f aca="false">L17-I17</f>
        <v>0.000264038924961282</v>
      </c>
      <c r="Q17" s="39" t="str">
        <f aca="false">IF(O17&gt;=0.005,"↑ 伸長",IF(O17&lt;=-0.005,"↓ 減退","→ 横ばい"))</f>
        <v>→ 横ばい</v>
      </c>
    </row>
    <row r="18" customFormat="false" ht="15" hidden="false" customHeight="false" outlineLevel="0" collapsed="false">
      <c r="A18" s="32" t="n">
        <v>13</v>
      </c>
      <c r="B18" s="32" t="s">
        <v>300</v>
      </c>
      <c r="C18" s="33" t="s">
        <v>301</v>
      </c>
      <c r="D18" s="35" t="n">
        <v>99</v>
      </c>
      <c r="E18" s="35" t="n">
        <v>16</v>
      </c>
      <c r="F18" s="35" t="n">
        <v>22</v>
      </c>
      <c r="G18" s="35" t="n">
        <v>43</v>
      </c>
      <c r="H18" s="35" t="n">
        <v>3</v>
      </c>
      <c r="I18" s="37" t="n">
        <f aca="false">IFERROR(D18/D$48,0)</f>
        <v>0.00066808381415123</v>
      </c>
      <c r="J18" s="37" t="n">
        <f aca="false">IFERROR(E18/E$48,0)</f>
        <v>0.000273037542662116</v>
      </c>
      <c r="K18" s="37" t="n">
        <f aca="false">IFERROR(F18/F$48,0)</f>
        <v>0.000490294399500791</v>
      </c>
      <c r="L18" s="37" t="n">
        <f aca="false">IFERROR(G18/G$48,0)</f>
        <v>0.000674615625980546</v>
      </c>
      <c r="M18" s="37" t="n">
        <f aca="false">IFERROR(H18/H$48,0)</f>
        <v>0.000590900137876699</v>
      </c>
      <c r="N18" s="37" t="n">
        <f aca="false">①札幌予測確定!R19</f>
        <v>0.0005720823798627</v>
      </c>
      <c r="O18" s="78" t="n">
        <f aca="false">N18-L18</f>
        <v>-0.000102533246117846</v>
      </c>
      <c r="P18" s="78" t="n">
        <f aca="false">L18-I18</f>
        <v>6.53181182931606E-006</v>
      </c>
      <c r="Q18" s="39" t="str">
        <f aca="false">IF(O18&gt;=0.005,"↑ 伸長",IF(O18&lt;=-0.005,"↓ 減退","→ 横ばい"))</f>
        <v>→ 横ばい</v>
      </c>
    </row>
    <row r="19" customFormat="false" ht="15" hidden="false" customHeight="false" outlineLevel="0" collapsed="false">
      <c r="A19" s="32" t="n">
        <v>14</v>
      </c>
      <c r="B19" s="32" t="s">
        <v>302</v>
      </c>
      <c r="C19" s="33" t="s">
        <v>303</v>
      </c>
      <c r="D19" s="35" t="n">
        <v>411</v>
      </c>
      <c r="E19" s="35" t="n">
        <v>73</v>
      </c>
      <c r="F19" s="35" t="n">
        <v>79</v>
      </c>
      <c r="G19" s="35" t="n">
        <v>146</v>
      </c>
      <c r="H19" s="35" t="n">
        <v>21</v>
      </c>
      <c r="I19" s="37" t="n">
        <f aca="false">IFERROR(D19/D$48,0)</f>
        <v>0.00277356007693086</v>
      </c>
      <c r="J19" s="37" t="n">
        <f aca="false">IFERROR(E19/E$48,0)</f>
        <v>0.0012457337883959</v>
      </c>
      <c r="K19" s="37" t="n">
        <f aca="false">IFERROR(F19/F$48,0)</f>
        <v>0.0017606026163892</v>
      </c>
      <c r="L19" s="37" t="n">
        <f aca="false">IFERROR(G19/G$48,0)</f>
        <v>0.00229055538123627</v>
      </c>
      <c r="M19" s="37" t="n">
        <f aca="false">IFERROR(H19/H$48,0)</f>
        <v>0.00413630096513689</v>
      </c>
      <c r="N19" s="37" t="n">
        <f aca="false">①札幌予測確定!R20</f>
        <v>0.00434782608695652</v>
      </c>
      <c r="O19" s="78" t="n">
        <f aca="false">N19-L19</f>
        <v>0.00205727070572025</v>
      </c>
      <c r="P19" s="78" t="n">
        <f aca="false">L19-I19</f>
        <v>-0.000483004695694591</v>
      </c>
      <c r="Q19" s="39" t="str">
        <f aca="false">IF(O19&gt;=0.005,"↑ 伸長",IF(O19&lt;=-0.005,"↓ 減退","→ 横ばい"))</f>
        <v>→ 横ばい</v>
      </c>
    </row>
    <row r="20" customFormat="false" ht="15" hidden="false" customHeight="false" outlineLevel="0" collapsed="false">
      <c r="A20" s="32" t="n">
        <v>15</v>
      </c>
      <c r="B20" s="32" t="s">
        <v>304</v>
      </c>
      <c r="C20" s="33" t="s">
        <v>305</v>
      </c>
      <c r="D20" s="35" t="n">
        <v>471</v>
      </c>
      <c r="E20" s="35" t="n">
        <v>100</v>
      </c>
      <c r="F20" s="35" t="n">
        <v>100</v>
      </c>
      <c r="G20" s="35" t="n">
        <v>198</v>
      </c>
      <c r="H20" s="35" t="n">
        <v>32</v>
      </c>
      <c r="I20" s="37" t="n">
        <f aca="false">IFERROR(D20/D$48,0)</f>
        <v>0.00317845935823464</v>
      </c>
      <c r="J20" s="37" t="n">
        <f aca="false">IFERROR(E20/E$48,0)</f>
        <v>0.00170648464163823</v>
      </c>
      <c r="K20" s="37" t="n">
        <f aca="false">IFERROR(F20/F$48,0)</f>
        <v>0.00222861090682178</v>
      </c>
      <c r="L20" s="37" t="n">
        <f aca="false">IFERROR(G20/G$48,0)</f>
        <v>0.0031063696266081</v>
      </c>
      <c r="M20" s="37" t="n">
        <f aca="false">IFERROR(H20/H$48,0)</f>
        <v>0.00630293480401812</v>
      </c>
      <c r="N20" s="37" t="n">
        <f aca="false">①札幌予測確定!R21</f>
        <v>0.00675057208237986</v>
      </c>
      <c r="O20" s="78" t="n">
        <f aca="false">N20-L20</f>
        <v>0.00364420245577177</v>
      </c>
      <c r="P20" s="78" t="n">
        <f aca="false">L20-I20</f>
        <v>-7.20897316265436E-005</v>
      </c>
      <c r="Q20" s="39" t="str">
        <f aca="false">IF(O20&gt;=0.005,"↑ 伸長",IF(O20&lt;=-0.005,"↓ 減退","→ 横ばい"))</f>
        <v>→ 横ばい</v>
      </c>
    </row>
    <row r="21" customFormat="false" ht="15" hidden="false" customHeight="false" outlineLevel="0" collapsed="false">
      <c r="A21" s="32" t="n">
        <v>16</v>
      </c>
      <c r="B21" s="32" t="s">
        <v>306</v>
      </c>
      <c r="C21" s="33" t="s">
        <v>307</v>
      </c>
      <c r="D21" s="35" t="n">
        <v>95</v>
      </c>
      <c r="E21" s="35" t="n">
        <v>38</v>
      </c>
      <c r="F21" s="35" t="n">
        <v>30</v>
      </c>
      <c r="G21" s="35" t="n">
        <v>65</v>
      </c>
      <c r="H21" s="35" t="n">
        <v>7</v>
      </c>
      <c r="I21" s="37" t="n">
        <f aca="false">IFERROR(D21/D$48,0)</f>
        <v>0.000641090528730978</v>
      </c>
      <c r="J21" s="37" t="n">
        <f aca="false">IFERROR(E21/E$48,0)</f>
        <v>0.000648464163822526</v>
      </c>
      <c r="K21" s="37" t="n">
        <f aca="false">IFERROR(F21/F$48,0)</f>
        <v>0.000668583272046533</v>
      </c>
      <c r="L21" s="37" t="n">
        <f aca="false">IFERROR(G21/G$48,0)</f>
        <v>0.00101976780671478</v>
      </c>
      <c r="M21" s="37" t="n">
        <f aca="false">IFERROR(H21/H$48,0)</f>
        <v>0.00137876698837896</v>
      </c>
      <c r="N21" s="37" t="n">
        <f aca="false">①札幌予測確定!R22</f>
        <v>0.0017162471395881</v>
      </c>
      <c r="O21" s="78" t="n">
        <f aca="false">N21-L21</f>
        <v>0.000696479332873322</v>
      </c>
      <c r="P21" s="78" t="n">
        <f aca="false">L21-I21</f>
        <v>0.000378677277983801</v>
      </c>
      <c r="Q21" s="39" t="str">
        <f aca="false">IF(O21&gt;=0.005,"↑ 伸長",IF(O21&lt;=-0.005,"↓ 減退","→ 横ばい"))</f>
        <v>→ 横ばい</v>
      </c>
    </row>
    <row r="22" customFormat="false" ht="15" hidden="false" customHeight="false" outlineLevel="0" collapsed="false">
      <c r="A22" s="32" t="n">
        <v>17</v>
      </c>
      <c r="B22" s="32" t="s">
        <v>308</v>
      </c>
      <c r="C22" s="33" t="s">
        <v>309</v>
      </c>
      <c r="D22" s="35" t="n">
        <v>492</v>
      </c>
      <c r="E22" s="35" t="n">
        <v>124</v>
      </c>
      <c r="F22" s="35" t="n">
        <v>100</v>
      </c>
      <c r="G22" s="35" t="n">
        <v>261</v>
      </c>
      <c r="H22" s="35" t="n">
        <v>53</v>
      </c>
      <c r="I22" s="37" t="n">
        <f aca="false">IFERROR(D22/D$48,0)</f>
        <v>0.00332017410669096</v>
      </c>
      <c r="J22" s="37" t="n">
        <f aca="false">IFERROR(E22/E$48,0)</f>
        <v>0.0021160409556314</v>
      </c>
      <c r="K22" s="37" t="n">
        <f aca="false">IFERROR(F22/F$48,0)</f>
        <v>0.00222861090682178</v>
      </c>
      <c r="L22" s="37" t="n">
        <f aca="false">IFERROR(G22/G$48,0)</f>
        <v>0.00409475996234703</v>
      </c>
      <c r="M22" s="37" t="n">
        <f aca="false">IFERROR(H22/H$48,0)</f>
        <v>0.010439235769155</v>
      </c>
      <c r="N22" s="37" t="n">
        <f aca="false">①札幌予測確定!R23</f>
        <v>0.0106407322654462</v>
      </c>
      <c r="O22" s="78" t="n">
        <f aca="false">N22-L22</f>
        <v>0.00654597230309919</v>
      </c>
      <c r="P22" s="78" t="n">
        <f aca="false">L22-I22</f>
        <v>0.000774585855656074</v>
      </c>
      <c r="Q22" s="39" t="str">
        <f aca="false">IF(O22&gt;=0.005,"↑ 伸長",IF(O22&lt;=-0.005,"↓ 減退","→ 横ばい"))</f>
        <v>↑ 伸長</v>
      </c>
    </row>
    <row r="23" customFormat="false" ht="15" hidden="false" customHeight="false" outlineLevel="0" collapsed="false">
      <c r="A23" s="32" t="n">
        <v>18</v>
      </c>
      <c r="B23" s="32" t="s">
        <v>310</v>
      </c>
      <c r="C23" s="33" t="s">
        <v>311</v>
      </c>
      <c r="D23" s="35" t="n">
        <v>5661</v>
      </c>
      <c r="E23" s="35" t="n">
        <v>1187</v>
      </c>
      <c r="F23" s="35" t="n">
        <v>898</v>
      </c>
      <c r="G23" s="35" t="n">
        <v>2021</v>
      </c>
      <c r="H23" s="35" t="n">
        <v>259</v>
      </c>
      <c r="I23" s="37" t="n">
        <f aca="false">IFERROR(D23/D$48,0)</f>
        <v>0.0382022471910112</v>
      </c>
      <c r="J23" s="37" t="n">
        <f aca="false">IFERROR(E23/E$48,0)</f>
        <v>0.0202559726962457</v>
      </c>
      <c r="K23" s="37" t="n">
        <f aca="false">IFERROR(F23/F$48,0)</f>
        <v>0.0200129259432596</v>
      </c>
      <c r="L23" s="37" t="n">
        <f aca="false">IFERROR(G23/G$48,0)</f>
        <v>0.0317069344210857</v>
      </c>
      <c r="M23" s="37" t="n">
        <f aca="false">IFERROR(H23/H$48,0)</f>
        <v>0.0510143785700217</v>
      </c>
      <c r="N23" s="37" t="n">
        <f aca="false">①札幌予測確定!R24</f>
        <v>0.0465675057208238</v>
      </c>
      <c r="O23" s="78" t="n">
        <f aca="false">N23-L23</f>
        <v>0.0148605712997381</v>
      </c>
      <c r="P23" s="78" t="n">
        <f aca="false">L23-I23</f>
        <v>-0.00649531276992558</v>
      </c>
      <c r="Q23" s="39" t="str">
        <f aca="false">IF(O23&gt;=0.005,"↑ 伸長",IF(O23&lt;=-0.005,"↓ 減退","→ 横ばい"))</f>
        <v>↑ 伸長</v>
      </c>
    </row>
    <row r="24" customFormat="false" ht="15" hidden="false" customHeight="false" outlineLevel="0" collapsed="false">
      <c r="A24" s="32" t="n">
        <v>19</v>
      </c>
      <c r="B24" s="32" t="s">
        <v>312</v>
      </c>
      <c r="C24" s="33" t="s">
        <v>313</v>
      </c>
      <c r="D24" s="35" t="n">
        <v>168</v>
      </c>
      <c r="E24" s="35" t="n">
        <v>27</v>
      </c>
      <c r="F24" s="35" t="n">
        <v>19</v>
      </c>
      <c r="G24" s="35" t="n">
        <v>45</v>
      </c>
      <c r="H24" s="35" t="n">
        <v>10</v>
      </c>
      <c r="I24" s="37" t="n">
        <f aca="false">IFERROR(D24/D$48,0)</f>
        <v>0.00113371798765057</v>
      </c>
      <c r="J24" s="37" t="n">
        <f aca="false">IFERROR(E24/E$48,0)</f>
        <v>0.000460750853242321</v>
      </c>
      <c r="K24" s="37" t="n">
        <f aca="false">IFERROR(F24/F$48,0)</f>
        <v>0.000423436072296138</v>
      </c>
      <c r="L24" s="37" t="n">
        <f aca="false">IFERROR(G24/G$48,0)</f>
        <v>0.000705993096956385</v>
      </c>
      <c r="M24" s="37" t="n">
        <f aca="false">IFERROR(H24/H$48,0)</f>
        <v>0.00196966712625566</v>
      </c>
      <c r="N24" s="37" t="n">
        <f aca="false">①札幌予測確定!R25</f>
        <v>0.00183066361556064</v>
      </c>
      <c r="O24" s="78" t="n">
        <f aca="false">N24-L24</f>
        <v>0.00112467051860426</v>
      </c>
      <c r="P24" s="78" t="n">
        <f aca="false">L24-I24</f>
        <v>-0.000427724890694187</v>
      </c>
      <c r="Q24" s="39" t="str">
        <f aca="false">IF(O24&gt;=0.005,"↑ 伸長",IF(O24&lt;=-0.005,"↓ 減退","→ 横ばい"))</f>
        <v>→ 横ばい</v>
      </c>
    </row>
    <row r="25" customFormat="false" ht="15" hidden="false" customHeight="false" outlineLevel="0" collapsed="false">
      <c r="A25" s="32" t="n">
        <v>20</v>
      </c>
      <c r="B25" s="32" t="s">
        <v>314</v>
      </c>
      <c r="C25" s="33" t="s">
        <v>315</v>
      </c>
      <c r="D25" s="35" t="n">
        <v>117</v>
      </c>
      <c r="E25" s="35" t="n">
        <v>23</v>
      </c>
      <c r="F25" s="35" t="n">
        <v>15</v>
      </c>
      <c r="G25" s="35" t="n">
        <v>42</v>
      </c>
      <c r="H25" s="35" t="n">
        <v>8</v>
      </c>
      <c r="I25" s="37" t="n">
        <f aca="false">IFERROR(D25/D$48,0)</f>
        <v>0.000789553598542363</v>
      </c>
      <c r="J25" s="37" t="n">
        <f aca="false">IFERROR(E25/E$48,0)</f>
        <v>0.000392491467576792</v>
      </c>
      <c r="K25" s="37" t="n">
        <f aca="false">IFERROR(F25/F$48,0)</f>
        <v>0.000334291636023267</v>
      </c>
      <c r="L25" s="37" t="n">
        <f aca="false">IFERROR(G25/G$48,0)</f>
        <v>0.000658926890492626</v>
      </c>
      <c r="M25" s="37" t="n">
        <f aca="false">IFERROR(H25/H$48,0)</f>
        <v>0.00157573370100453</v>
      </c>
      <c r="N25" s="37" t="n">
        <f aca="false">①札幌予測確定!R26</f>
        <v>0.00160183066361556</v>
      </c>
      <c r="O25" s="78" t="n">
        <f aca="false">N25-L25</f>
        <v>0.000942903773122934</v>
      </c>
      <c r="P25" s="78" t="n">
        <f aca="false">L25-I25</f>
        <v>-0.000130626708049736</v>
      </c>
      <c r="Q25" s="39" t="str">
        <f aca="false">IF(O25&gt;=0.005,"↑ 伸長",IF(O25&lt;=-0.005,"↓ 減退","→ 横ばい"))</f>
        <v>→ 横ばい</v>
      </c>
    </row>
    <row r="26" customFormat="false" ht="15" hidden="false" customHeight="false" outlineLevel="0" collapsed="false">
      <c r="A26" s="32" t="n">
        <v>21</v>
      </c>
      <c r="B26" s="32" t="s">
        <v>316</v>
      </c>
      <c r="C26" s="33" t="s">
        <v>317</v>
      </c>
      <c r="D26" s="35" t="n">
        <v>350</v>
      </c>
      <c r="E26" s="35" t="n">
        <v>139</v>
      </c>
      <c r="F26" s="35" t="n">
        <v>150</v>
      </c>
      <c r="G26" s="35" t="n">
        <v>252</v>
      </c>
      <c r="H26" s="35" t="n">
        <v>50</v>
      </c>
      <c r="I26" s="37" t="n">
        <f aca="false">IFERROR(D26/D$48,0)</f>
        <v>0.00236191247427202</v>
      </c>
      <c r="J26" s="37" t="n">
        <f aca="false">IFERROR(E26/E$48,0)</f>
        <v>0.00237201365187713</v>
      </c>
      <c r="K26" s="37" t="n">
        <f aca="false">IFERROR(F26/F$48,0)</f>
        <v>0.00334291636023267</v>
      </c>
      <c r="L26" s="37" t="n">
        <f aca="false">IFERROR(G26/G$48,0)</f>
        <v>0.00395356134295576</v>
      </c>
      <c r="M26" s="37" t="n">
        <f aca="false">IFERROR(H26/H$48,0)</f>
        <v>0.00984833563127831</v>
      </c>
      <c r="N26" s="37" t="n">
        <f aca="false">①札幌予測確定!R27</f>
        <v>0.0102974828375286</v>
      </c>
      <c r="O26" s="78" t="n">
        <f aca="false">N26-L26</f>
        <v>0.00634392149457285</v>
      </c>
      <c r="P26" s="78" t="n">
        <f aca="false">L26-I26</f>
        <v>0.00159164886868373</v>
      </c>
      <c r="Q26" s="39" t="str">
        <f aca="false">IF(O26&gt;=0.005,"↑ 伸長",IF(O26&lt;=-0.005,"↓ 減退","→ 横ばい"))</f>
        <v>↑ 伸長</v>
      </c>
    </row>
    <row r="27" customFormat="false" ht="15" hidden="false" customHeight="false" outlineLevel="0" collapsed="false">
      <c r="A27" s="32" t="n">
        <v>22</v>
      </c>
      <c r="B27" s="32" t="s">
        <v>318</v>
      </c>
      <c r="C27" s="33" t="s">
        <v>319</v>
      </c>
      <c r="D27" s="35" t="n">
        <v>319</v>
      </c>
      <c r="E27" s="35" t="n">
        <v>99</v>
      </c>
      <c r="F27" s="35" t="n">
        <v>80</v>
      </c>
      <c r="G27" s="35" t="n">
        <v>171</v>
      </c>
      <c r="H27" s="35" t="n">
        <v>23</v>
      </c>
      <c r="I27" s="37" t="n">
        <f aca="false">IFERROR(D27/D$48,0)</f>
        <v>0.00215271451226507</v>
      </c>
      <c r="J27" s="37" t="n">
        <f aca="false">IFERROR(E27/E$48,0)</f>
        <v>0.00168941979522184</v>
      </c>
      <c r="K27" s="37" t="n">
        <f aca="false">IFERROR(F27/F$48,0)</f>
        <v>0.00178288872545742</v>
      </c>
      <c r="L27" s="37" t="n">
        <f aca="false">IFERROR(G27/G$48,0)</f>
        <v>0.00268277376843426</v>
      </c>
      <c r="M27" s="37" t="n">
        <f aca="false">IFERROR(H27/H$48,0)</f>
        <v>0.00453023439038802</v>
      </c>
      <c r="N27" s="37" t="n">
        <f aca="false">①札幌予測確定!R28</f>
        <v>0.00594965675057208</v>
      </c>
      <c r="O27" s="78" t="n">
        <f aca="false">N27-L27</f>
        <v>0.00326688298213782</v>
      </c>
      <c r="P27" s="78" t="n">
        <f aca="false">L27-I27</f>
        <v>0.00053005925616919</v>
      </c>
      <c r="Q27" s="39" t="str">
        <f aca="false">IF(O27&gt;=0.005,"↑ 伸長",IF(O27&lt;=-0.005,"↓ 減退","→ 横ばい"))</f>
        <v>→ 横ばい</v>
      </c>
    </row>
    <row r="28" customFormat="false" ht="15" hidden="false" customHeight="false" outlineLevel="0" collapsed="false">
      <c r="A28" s="32" t="n">
        <v>23</v>
      </c>
      <c r="B28" s="32" t="s">
        <v>320</v>
      </c>
      <c r="C28" s="33" t="s">
        <v>321</v>
      </c>
      <c r="D28" s="35" t="n">
        <v>41156</v>
      </c>
      <c r="E28" s="35" t="n">
        <v>13583</v>
      </c>
      <c r="F28" s="35" t="n">
        <v>8800</v>
      </c>
      <c r="G28" s="35" t="n">
        <v>12724</v>
      </c>
      <c r="H28" s="35" t="n">
        <v>1220</v>
      </c>
      <c r="I28" s="37" t="n">
        <f aca="false">IFERROR(D28/D$48,0)</f>
        <v>0.27773391368897</v>
      </c>
      <c r="J28" s="37" t="n">
        <f aca="false">IFERROR(E28/E$48,0)</f>
        <v>0.23179180887372</v>
      </c>
      <c r="K28" s="37" t="n">
        <f aca="false">IFERROR(F28/F$48,0)</f>
        <v>0.196117759800316</v>
      </c>
      <c r="L28" s="37" t="n">
        <f aca="false">IFERROR(G28/G$48,0)</f>
        <v>0.19962347034829</v>
      </c>
      <c r="M28" s="37" t="n">
        <f aca="false">IFERROR(H28/H$48,0)</f>
        <v>0.240299389403191</v>
      </c>
      <c r="N28" s="37" t="n">
        <f aca="false">①札幌予測確定!R29</f>
        <v>0.240274599542334</v>
      </c>
      <c r="O28" s="78" t="n">
        <f aca="false">N28-L28</f>
        <v>0.0406511291940442</v>
      </c>
      <c r="P28" s="78" t="n">
        <f aca="false">L28-I28</f>
        <v>-0.07811044334068</v>
      </c>
      <c r="Q28" s="39" t="str">
        <f aca="false">IF(O28&gt;=0.005,"↑ 伸長",IF(O28&lt;=-0.005,"↓ 減退","→ 横ばい"))</f>
        <v>↑ 伸長</v>
      </c>
    </row>
    <row r="29" customFormat="false" ht="15" hidden="false" customHeight="false" outlineLevel="0" collapsed="false">
      <c r="A29" s="32" t="n">
        <v>24</v>
      </c>
      <c r="B29" s="32" t="s">
        <v>322</v>
      </c>
      <c r="C29" s="33" t="s">
        <v>323</v>
      </c>
      <c r="D29" s="35" t="n">
        <v>14981</v>
      </c>
      <c r="E29" s="35" t="n">
        <v>8213</v>
      </c>
      <c r="F29" s="35" t="n">
        <v>5195</v>
      </c>
      <c r="G29" s="35" t="n">
        <v>6978</v>
      </c>
      <c r="H29" s="35" t="n">
        <v>682</v>
      </c>
      <c r="I29" s="37" t="n">
        <f aca="false">IFERROR(D29/D$48,0)</f>
        <v>0.101096602220198</v>
      </c>
      <c r="J29" s="37" t="n">
        <f aca="false">IFERROR(E29/E$48,0)</f>
        <v>0.140153583617747</v>
      </c>
      <c r="K29" s="37" t="n">
        <f aca="false">IFERROR(F29/F$48,0)</f>
        <v>0.115776336609391</v>
      </c>
      <c r="L29" s="37" t="n">
        <f aca="false">IFERROR(G29/G$48,0)</f>
        <v>0.109475996234703</v>
      </c>
      <c r="M29" s="37" t="n">
        <f aca="false">IFERROR(H29/H$48,0)</f>
        <v>0.134331298010636</v>
      </c>
      <c r="N29" s="37" t="n">
        <f aca="false">①札幌予測確定!R30</f>
        <v>0.138787185354691</v>
      </c>
      <c r="O29" s="78" t="n">
        <f aca="false">N29-L29</f>
        <v>0.0293111891199876</v>
      </c>
      <c r="P29" s="78" t="n">
        <f aca="false">L29-I29</f>
        <v>0.00837939401450576</v>
      </c>
      <c r="Q29" s="39" t="str">
        <f aca="false">IF(O29&gt;=0.005,"↑ 伸長",IF(O29&lt;=-0.005,"↓ 減退","→ 横ばい"))</f>
        <v>↑ 伸長</v>
      </c>
    </row>
    <row r="30" customFormat="false" ht="15" hidden="false" customHeight="false" outlineLevel="0" collapsed="false">
      <c r="A30" s="32" t="n">
        <v>25</v>
      </c>
      <c r="B30" s="32" t="s">
        <v>324</v>
      </c>
      <c r="C30" s="33" t="s">
        <v>325</v>
      </c>
      <c r="D30" s="35" t="n">
        <v>849</v>
      </c>
      <c r="E30" s="35" t="n">
        <v>221</v>
      </c>
      <c r="F30" s="35" t="n">
        <v>168</v>
      </c>
      <c r="G30" s="35" t="n">
        <v>243</v>
      </c>
      <c r="H30" s="35" t="n">
        <v>29</v>
      </c>
      <c r="I30" s="37" t="n">
        <f aca="false">IFERROR(D30/D$48,0)</f>
        <v>0.00572932483044843</v>
      </c>
      <c r="J30" s="37" t="n">
        <f aca="false">IFERROR(E30/E$48,0)</f>
        <v>0.00377133105802048</v>
      </c>
      <c r="K30" s="37" t="n">
        <f aca="false">IFERROR(F30/F$48,0)</f>
        <v>0.00374406632346059</v>
      </c>
      <c r="L30" s="37" t="n">
        <f aca="false">IFERROR(G30/G$48,0)</f>
        <v>0.00381236272356448</v>
      </c>
      <c r="M30" s="37" t="n">
        <f aca="false">IFERROR(H30/H$48,0)</f>
        <v>0.00571203466614142</v>
      </c>
      <c r="N30" s="37" t="n">
        <f aca="false">①札幌予測確定!R31</f>
        <v>0.00617848970251716</v>
      </c>
      <c r="O30" s="78" t="n">
        <f aca="false">N30-L30</f>
        <v>0.00236612697895268</v>
      </c>
      <c r="P30" s="78" t="n">
        <f aca="false">L30-I30</f>
        <v>-0.00191696210688395</v>
      </c>
      <c r="Q30" s="39" t="str">
        <f aca="false">IF(O30&gt;=0.005,"↑ 伸長",IF(O30&lt;=-0.005,"↓ 減退","→ 横ばい"))</f>
        <v>→ 横ばい</v>
      </c>
    </row>
    <row r="31" customFormat="false" ht="15" hidden="false" customHeight="false" outlineLevel="0" collapsed="false">
      <c r="A31" s="32" t="n">
        <v>26</v>
      </c>
      <c r="B31" s="32" t="s">
        <v>326</v>
      </c>
      <c r="C31" s="33" t="s">
        <v>327</v>
      </c>
      <c r="D31" s="35" t="n">
        <v>1283</v>
      </c>
      <c r="E31" s="35" t="n">
        <v>513</v>
      </c>
      <c r="F31" s="35" t="n">
        <v>444</v>
      </c>
      <c r="G31" s="35" t="n">
        <v>842</v>
      </c>
      <c r="H31" s="35" t="n">
        <v>100</v>
      </c>
      <c r="I31" s="37" t="n">
        <f aca="false">IFERROR(D31/D$48,0)</f>
        <v>0.00865809629854574</v>
      </c>
      <c r="J31" s="37" t="n">
        <f aca="false">IFERROR(E31/E$48,0)</f>
        <v>0.0087542662116041</v>
      </c>
      <c r="K31" s="37" t="n">
        <f aca="false">IFERROR(F31/F$48,0)</f>
        <v>0.0098950324262887</v>
      </c>
      <c r="L31" s="37" t="n">
        <f aca="false">IFERROR(G31/G$48,0)</f>
        <v>0.0132099152808284</v>
      </c>
      <c r="M31" s="37" t="n">
        <f aca="false">IFERROR(H31/H$48,0)</f>
        <v>0.0196966712625566</v>
      </c>
      <c r="N31" s="37" t="n">
        <f aca="false">①札幌予測確定!R32</f>
        <v>0.0178489702517162</v>
      </c>
      <c r="O31" s="78" t="n">
        <f aca="false">N31-L31</f>
        <v>0.00463905497088788</v>
      </c>
      <c r="P31" s="78" t="n">
        <f aca="false">L31-I31</f>
        <v>0.00455181898228263</v>
      </c>
      <c r="Q31" s="39" t="str">
        <f aca="false">IF(O31&gt;=0.005,"↑ 伸長",IF(O31&lt;=-0.005,"↓ 減退","→ 横ばい"))</f>
        <v>→ 横ばい</v>
      </c>
    </row>
    <row r="32" customFormat="false" ht="15" hidden="false" customHeight="false" outlineLevel="0" collapsed="false">
      <c r="A32" s="32" t="n">
        <v>27</v>
      </c>
      <c r="B32" s="32" t="s">
        <v>328</v>
      </c>
      <c r="C32" s="33" t="s">
        <v>329</v>
      </c>
      <c r="D32" s="35" t="n">
        <v>466</v>
      </c>
      <c r="E32" s="35" t="n">
        <v>103</v>
      </c>
      <c r="F32" s="35" t="n">
        <v>69</v>
      </c>
      <c r="G32" s="35" t="n">
        <v>145</v>
      </c>
      <c r="H32" s="35" t="n">
        <v>20</v>
      </c>
      <c r="I32" s="37" t="n">
        <f aca="false">IFERROR(D32/D$48,0)</f>
        <v>0.00314471775145932</v>
      </c>
      <c r="J32" s="37" t="n">
        <f aca="false">IFERROR(E32/E$48,0)</f>
        <v>0.00175767918088737</v>
      </c>
      <c r="K32" s="37" t="n">
        <f aca="false">IFERROR(F32/F$48,0)</f>
        <v>0.00153774152570703</v>
      </c>
      <c r="L32" s="37" t="n">
        <f aca="false">IFERROR(G32/G$48,0)</f>
        <v>0.00227486664574835</v>
      </c>
      <c r="M32" s="37" t="n">
        <f aca="false">IFERROR(H32/H$48,0)</f>
        <v>0.00393933425251133</v>
      </c>
      <c r="N32" s="37" t="n">
        <f aca="false">①札幌予測確定!R33</f>
        <v>0.0045766590389016</v>
      </c>
      <c r="O32" s="78" t="n">
        <f aca="false">N32-L32</f>
        <v>0.00230179239315325</v>
      </c>
      <c r="P32" s="78" t="n">
        <f aca="false">L32-I32</f>
        <v>-0.000869851105710972</v>
      </c>
      <c r="Q32" s="39" t="str">
        <f aca="false">IF(O32&gt;=0.005,"↑ 伸長",IF(O32&lt;=-0.005,"↓ 減退","→ 横ばい"))</f>
        <v>→ 横ばい</v>
      </c>
    </row>
    <row r="33" customFormat="false" ht="15" hidden="false" customHeight="false" outlineLevel="0" collapsed="false">
      <c r="A33" s="32" t="n">
        <v>28</v>
      </c>
      <c r="B33" s="32" t="s">
        <v>330</v>
      </c>
      <c r="C33" s="33" t="s">
        <v>331</v>
      </c>
      <c r="D33" s="35" t="n">
        <v>1034</v>
      </c>
      <c r="E33" s="35" t="n">
        <v>436</v>
      </c>
      <c r="F33" s="35" t="n">
        <v>333</v>
      </c>
      <c r="G33" s="35" t="n">
        <v>400</v>
      </c>
      <c r="H33" s="35" t="n">
        <v>184</v>
      </c>
      <c r="I33" s="37" t="n">
        <f aca="false">IFERROR(D33/D$48,0)</f>
        <v>0.00697776428113507</v>
      </c>
      <c r="J33" s="37" t="n">
        <f aca="false">IFERROR(E33/E$48,0)</f>
        <v>0.00744027303754266</v>
      </c>
      <c r="K33" s="37" t="n">
        <f aca="false">IFERROR(F33/F$48,0)</f>
        <v>0.00742127431971652</v>
      </c>
      <c r="L33" s="37" t="n">
        <f aca="false">IFERROR(G33/G$48,0)</f>
        <v>0.00627549419516787</v>
      </c>
      <c r="M33" s="37" t="n">
        <f aca="false">IFERROR(H33/H$48,0)</f>
        <v>0.0362418751231042</v>
      </c>
      <c r="N33" s="37" t="n">
        <f aca="false">①札幌予測確定!R34</f>
        <v>0.0247139588100687</v>
      </c>
      <c r="O33" s="78" t="n">
        <f aca="false">N33-L33</f>
        <v>0.0184384646149008</v>
      </c>
      <c r="P33" s="78" t="n">
        <f aca="false">L33-I33</f>
        <v>-0.000702270085967198</v>
      </c>
      <c r="Q33" s="39" t="str">
        <f aca="false">IF(O33&gt;=0.005,"↑ 伸長",IF(O33&lt;=-0.005,"↓ 減退","→ 横ばい"))</f>
        <v>↑ 伸長</v>
      </c>
    </row>
    <row r="34" customFormat="false" ht="15" hidden="false" customHeight="false" outlineLevel="0" collapsed="false">
      <c r="A34" s="32" t="n">
        <v>29</v>
      </c>
      <c r="B34" s="32" t="s">
        <v>332</v>
      </c>
      <c r="C34" s="33" t="s">
        <v>333</v>
      </c>
      <c r="D34" s="35" t="n">
        <v>794</v>
      </c>
      <c r="E34" s="35" t="n">
        <v>318</v>
      </c>
      <c r="F34" s="35" t="n">
        <v>249</v>
      </c>
      <c r="G34" s="35" t="n">
        <v>200</v>
      </c>
      <c r="H34" s="35" t="n">
        <v>89</v>
      </c>
      <c r="I34" s="37" t="n">
        <f aca="false">IFERROR(D34/D$48,0)</f>
        <v>0.00535816715591997</v>
      </c>
      <c r="J34" s="37" t="n">
        <f aca="false">IFERROR(E34/E$48,0)</f>
        <v>0.00542662116040956</v>
      </c>
      <c r="K34" s="37" t="n">
        <f aca="false">IFERROR(F34/F$48,0)</f>
        <v>0.00554924115798623</v>
      </c>
      <c r="L34" s="37" t="n">
        <f aca="false">IFERROR(G34/G$48,0)</f>
        <v>0.00313774709758393</v>
      </c>
      <c r="M34" s="37" t="n">
        <f aca="false">IFERROR(H34/H$48,0)</f>
        <v>0.0175300374236754</v>
      </c>
      <c r="N34" s="37" t="n">
        <f aca="false">①札幌予測確定!R35</f>
        <v>0.0122425629290618</v>
      </c>
      <c r="O34" s="78" t="n">
        <f aca="false">N34-L34</f>
        <v>0.00910481583147785</v>
      </c>
      <c r="P34" s="78" t="n">
        <f aca="false">L34-I34</f>
        <v>-0.00222042005833603</v>
      </c>
      <c r="Q34" s="39" t="str">
        <f aca="false">IF(O34&gt;=0.005,"↑ 伸長",IF(O34&lt;=-0.005,"↓ 減退","→ 横ばい"))</f>
        <v>↑ 伸長</v>
      </c>
    </row>
    <row r="35" customFormat="false" ht="15" hidden="false" customHeight="false" outlineLevel="0" collapsed="false">
      <c r="A35" s="32" t="n">
        <v>30</v>
      </c>
      <c r="B35" s="32" t="s">
        <v>334</v>
      </c>
      <c r="C35" s="33" t="s">
        <v>335</v>
      </c>
      <c r="D35" s="35" t="n">
        <v>615</v>
      </c>
      <c r="E35" s="35" t="n">
        <v>169</v>
      </c>
      <c r="F35" s="35" t="n">
        <v>89</v>
      </c>
      <c r="G35" s="35" t="n">
        <v>205</v>
      </c>
      <c r="H35" s="35" t="n">
        <v>29</v>
      </c>
      <c r="I35" s="37" t="n">
        <f aca="false">IFERROR(D35/D$48,0)</f>
        <v>0.0041502176333637</v>
      </c>
      <c r="J35" s="37" t="n">
        <f aca="false">IFERROR(E35/E$48,0)</f>
        <v>0.0028839590443686</v>
      </c>
      <c r="K35" s="37" t="n">
        <f aca="false">IFERROR(F35/F$48,0)</f>
        <v>0.00198346370707138</v>
      </c>
      <c r="L35" s="37" t="n">
        <f aca="false">IFERROR(G35/G$48,0)</f>
        <v>0.00321619077502353</v>
      </c>
      <c r="M35" s="37" t="n">
        <f aca="false">IFERROR(H35/H$48,0)</f>
        <v>0.00571203466614142</v>
      </c>
      <c r="N35" s="37" t="n">
        <f aca="false">①札幌予測確定!R36</f>
        <v>0.00720823798627002</v>
      </c>
      <c r="O35" s="78" t="n">
        <f aca="false">N35-L35</f>
        <v>0.00399204721124649</v>
      </c>
      <c r="P35" s="78" t="n">
        <f aca="false">L35-I35</f>
        <v>-0.000934026858340168</v>
      </c>
      <c r="Q35" s="39" t="str">
        <f aca="false">IF(O35&gt;=0.005,"↑ 伸長",IF(O35&lt;=-0.005,"↓ 減退","→ 横ばい"))</f>
        <v>→ 横ばい</v>
      </c>
    </row>
    <row r="36" customFormat="false" ht="15" hidden="false" customHeight="false" outlineLevel="0" collapsed="false">
      <c r="A36" s="32" t="n">
        <v>31</v>
      </c>
      <c r="B36" s="32" t="s">
        <v>336</v>
      </c>
      <c r="C36" s="33" t="s">
        <v>337</v>
      </c>
      <c r="D36" s="35" t="n">
        <v>1215</v>
      </c>
      <c r="E36" s="35" t="n">
        <v>235</v>
      </c>
      <c r="F36" s="35" t="n">
        <v>178</v>
      </c>
      <c r="G36" s="35" t="n">
        <v>427</v>
      </c>
      <c r="H36" s="35" t="n">
        <v>51</v>
      </c>
      <c r="I36" s="37" t="n">
        <f aca="false">IFERROR(D36/D$48,0)</f>
        <v>0.00819921044640146</v>
      </c>
      <c r="J36" s="37" t="n">
        <f aca="false">IFERROR(E36/E$48,0)</f>
        <v>0.00401023890784983</v>
      </c>
      <c r="K36" s="37" t="n">
        <f aca="false">IFERROR(F36/F$48,0)</f>
        <v>0.00396692741414277</v>
      </c>
      <c r="L36" s="37" t="n">
        <f aca="false">IFERROR(G36/G$48,0)</f>
        <v>0.0066990900533417</v>
      </c>
      <c r="M36" s="37" t="n">
        <f aca="false">IFERROR(H36/H$48,0)</f>
        <v>0.0100453023439039</v>
      </c>
      <c r="N36" s="37" t="n">
        <f aca="false">①札幌予測確定!R37</f>
        <v>0.00995423340961098</v>
      </c>
      <c r="O36" s="78" t="n">
        <f aca="false">N36-L36</f>
        <v>0.00325514335626928</v>
      </c>
      <c r="P36" s="78" t="n">
        <f aca="false">L36-I36</f>
        <v>-0.00150012039305976</v>
      </c>
      <c r="Q36" s="39" t="str">
        <f aca="false">IF(O36&gt;=0.005,"↑ 伸長",IF(O36&lt;=-0.005,"↓ 減退","→ 横ばい"))</f>
        <v>→ 横ばい</v>
      </c>
    </row>
    <row r="37" customFormat="false" ht="15" hidden="false" customHeight="false" outlineLevel="0" collapsed="false">
      <c r="A37" s="32" t="n">
        <v>32</v>
      </c>
      <c r="B37" s="32" t="s">
        <v>338</v>
      </c>
      <c r="C37" s="33" t="s">
        <v>339</v>
      </c>
      <c r="D37" s="35" t="n">
        <v>47</v>
      </c>
      <c r="E37" s="35" t="n">
        <v>36</v>
      </c>
      <c r="F37" s="35" t="n">
        <v>30</v>
      </c>
      <c r="G37" s="35" t="n">
        <v>40</v>
      </c>
      <c r="H37" s="35" t="n">
        <v>10</v>
      </c>
      <c r="I37" s="37" t="n">
        <f aca="false">IFERROR(D37/D$48,0)</f>
        <v>0.000317171103687958</v>
      </c>
      <c r="J37" s="37" t="n">
        <f aca="false">IFERROR(E37/E$48,0)</f>
        <v>0.000614334470989761</v>
      </c>
      <c r="K37" s="37" t="n">
        <f aca="false">IFERROR(F37/F$48,0)</f>
        <v>0.000668583272046533</v>
      </c>
      <c r="L37" s="37" t="n">
        <f aca="false">IFERROR(G37/G$48,0)</f>
        <v>0.000627549419516787</v>
      </c>
      <c r="M37" s="37" t="n">
        <f aca="false">IFERROR(H37/H$48,0)</f>
        <v>0.00196966712625566</v>
      </c>
      <c r="N37" s="37" t="n">
        <f aca="false">①札幌予測確定!R38</f>
        <v>0.0011441647597254</v>
      </c>
      <c r="O37" s="78" t="n">
        <f aca="false">N37-L37</f>
        <v>0.000516615340208614</v>
      </c>
      <c r="P37" s="78" t="n">
        <f aca="false">L37-I37</f>
        <v>0.000310378315828829</v>
      </c>
      <c r="Q37" s="39" t="str">
        <f aca="false">IF(O37&gt;=0.005,"↑ 伸長",IF(O37&lt;=-0.005,"↓ 減退","→ 横ばい"))</f>
        <v>→ 横ばい</v>
      </c>
    </row>
    <row r="38" customFormat="false" ht="15" hidden="false" customHeight="false" outlineLevel="0" collapsed="false">
      <c r="A38" s="32" t="n">
        <v>33</v>
      </c>
      <c r="B38" s="32" t="s">
        <v>340</v>
      </c>
      <c r="C38" s="33" t="s">
        <v>341</v>
      </c>
      <c r="D38" s="35" t="n">
        <v>10</v>
      </c>
      <c r="E38" s="35" t="n">
        <v>37</v>
      </c>
      <c r="F38" s="35" t="n">
        <v>14</v>
      </c>
      <c r="G38" s="35" t="n">
        <v>21</v>
      </c>
      <c r="H38" s="35" t="n">
        <v>0</v>
      </c>
      <c r="I38" s="37" t="n">
        <f aca="false">IFERROR(D38/D$48,0)</f>
        <v>6.74832135506293E-005</v>
      </c>
      <c r="J38" s="37" t="n">
        <f aca="false">IFERROR(E38/E$48,0)</f>
        <v>0.000631399317406143</v>
      </c>
      <c r="K38" s="37" t="n">
        <f aca="false">IFERROR(F38/F$48,0)</f>
        <v>0.000312005526955049</v>
      </c>
      <c r="L38" s="37" t="n">
        <f aca="false">IFERROR(G38/G$48,0)</f>
        <v>0.000329463445246313</v>
      </c>
      <c r="M38" s="37" t="n">
        <f aca="false">IFERROR(H38/H$48,0)</f>
        <v>0</v>
      </c>
      <c r="N38" s="37" t="n">
        <f aca="false">①札幌予測確定!R39</f>
        <v>0</v>
      </c>
      <c r="O38" s="78" t="n">
        <f aca="false">N38-L38</f>
        <v>-0.000329463445246313</v>
      </c>
      <c r="P38" s="78" t="n">
        <f aca="false">L38-I38</f>
        <v>0.000261980231695684</v>
      </c>
      <c r="Q38" s="39" t="str">
        <f aca="false">IF(O38&gt;=0.005,"↑ 伸長",IF(O38&lt;=-0.005,"↓ 減退","→ 横ばい"))</f>
        <v>→ 横ばい</v>
      </c>
    </row>
    <row r="39" customFormat="false" ht="15" hidden="false" customHeight="false" outlineLevel="0" collapsed="false">
      <c r="A39" s="32" t="n">
        <v>34</v>
      </c>
      <c r="B39" s="32" t="s">
        <v>342</v>
      </c>
      <c r="C39" s="33" t="s">
        <v>343</v>
      </c>
      <c r="D39" s="35" t="n">
        <v>10</v>
      </c>
      <c r="E39" s="35" t="n">
        <v>3</v>
      </c>
      <c r="F39" s="35" t="n">
        <v>3</v>
      </c>
      <c r="G39" s="35" t="n">
        <v>3</v>
      </c>
      <c r="H39" s="35" t="n">
        <v>1</v>
      </c>
      <c r="I39" s="37" t="n">
        <f aca="false">IFERROR(D39/D$48,0)</f>
        <v>6.74832135506293E-005</v>
      </c>
      <c r="J39" s="37" t="n">
        <f aca="false">IFERROR(E39/E$48,0)</f>
        <v>5.11945392491468E-005</v>
      </c>
      <c r="K39" s="37" t="n">
        <f aca="false">IFERROR(F39/F$48,0)</f>
        <v>6.68583272046533E-005</v>
      </c>
      <c r="L39" s="37" t="n">
        <f aca="false">IFERROR(G39/G$48,0)</f>
        <v>4.7066206463759E-005</v>
      </c>
      <c r="M39" s="37" t="n">
        <f aca="false">IFERROR(H39/H$48,0)</f>
        <v>0.000196966712625566</v>
      </c>
      <c r="N39" s="37" t="n">
        <f aca="false">①札幌予測確定!R40</f>
        <v>0.00011441647597254</v>
      </c>
      <c r="O39" s="78" t="n">
        <f aca="false">N39-L39</f>
        <v>6.7350269508781E-005</v>
      </c>
      <c r="P39" s="78" t="n">
        <f aca="false">L39-I39</f>
        <v>-2.04170070868703E-005</v>
      </c>
      <c r="Q39" s="39" t="str">
        <f aca="false">IF(O39&gt;=0.005,"↑ 伸長",IF(O39&lt;=-0.005,"↓ 減退","→ 横ばい"))</f>
        <v>→ 横ばい</v>
      </c>
    </row>
    <row r="40" customFormat="false" ht="15" hidden="false" customHeight="false" outlineLevel="0" collapsed="false">
      <c r="A40" s="32" t="n">
        <v>35</v>
      </c>
      <c r="B40" s="32" t="s">
        <v>344</v>
      </c>
      <c r="C40" s="33" t="s">
        <v>345</v>
      </c>
      <c r="D40" s="35" t="n">
        <v>10</v>
      </c>
      <c r="E40" s="35" t="n">
        <v>3</v>
      </c>
      <c r="F40" s="35" t="n">
        <v>3</v>
      </c>
      <c r="G40" s="35" t="n">
        <v>3</v>
      </c>
      <c r="H40" s="35" t="n">
        <v>0</v>
      </c>
      <c r="I40" s="37" t="n">
        <f aca="false">IFERROR(D40/D$48,0)</f>
        <v>6.74832135506293E-005</v>
      </c>
      <c r="J40" s="37" t="n">
        <f aca="false">IFERROR(E40/E$48,0)</f>
        <v>5.11945392491468E-005</v>
      </c>
      <c r="K40" s="37" t="n">
        <f aca="false">IFERROR(F40/F$48,0)</f>
        <v>6.68583272046533E-005</v>
      </c>
      <c r="L40" s="37" t="n">
        <f aca="false">IFERROR(G40/G$48,0)</f>
        <v>4.7066206463759E-005</v>
      </c>
      <c r="M40" s="37" t="n">
        <f aca="false">IFERROR(H40/H$48,0)</f>
        <v>0</v>
      </c>
      <c r="N40" s="37" t="n">
        <f aca="false">①札幌予測確定!R41</f>
        <v>0</v>
      </c>
      <c r="O40" s="78" t="n">
        <f aca="false">N40-L40</f>
        <v>-4.7066206463759E-005</v>
      </c>
      <c r="P40" s="78" t="n">
        <f aca="false">L40-I40</f>
        <v>-2.04170070868703E-005</v>
      </c>
      <c r="Q40" s="39" t="str">
        <f aca="false">IF(O40&gt;=0.005,"↑ 伸長",IF(O40&lt;=-0.005,"↓ 減退","→ 横ばい"))</f>
        <v>→ 横ばい</v>
      </c>
    </row>
    <row r="41" customFormat="false" ht="15" hidden="false" customHeight="false" outlineLevel="0" collapsed="false">
      <c r="A41" s="32" t="n">
        <v>36</v>
      </c>
      <c r="B41" s="32" t="s">
        <v>346</v>
      </c>
      <c r="C41" s="33" t="s">
        <v>347</v>
      </c>
      <c r="D41" s="35" t="n">
        <v>8</v>
      </c>
      <c r="E41" s="35" t="n">
        <v>3</v>
      </c>
      <c r="F41" s="35" t="n">
        <v>3</v>
      </c>
      <c r="G41" s="35" t="n">
        <v>3</v>
      </c>
      <c r="H41" s="35" t="n">
        <v>0</v>
      </c>
      <c r="I41" s="37" t="n">
        <f aca="false">IFERROR(D41/D$48,0)</f>
        <v>5.39865708405034E-005</v>
      </c>
      <c r="J41" s="37" t="n">
        <f aca="false">IFERROR(E41/E$48,0)</f>
        <v>5.11945392491468E-005</v>
      </c>
      <c r="K41" s="37" t="n">
        <f aca="false">IFERROR(F41/F$48,0)</f>
        <v>6.68583272046533E-005</v>
      </c>
      <c r="L41" s="37" t="n">
        <f aca="false">IFERROR(G41/G$48,0)</f>
        <v>4.7066206463759E-005</v>
      </c>
      <c r="M41" s="37" t="n">
        <f aca="false">IFERROR(H41/H$48,0)</f>
        <v>0</v>
      </c>
      <c r="N41" s="37" t="n">
        <f aca="false">①札幌予測確定!R42</f>
        <v>0</v>
      </c>
      <c r="O41" s="78" t="n">
        <f aca="false">N41-L41</f>
        <v>-4.7066206463759E-005</v>
      </c>
      <c r="P41" s="78" t="n">
        <f aca="false">L41-I41</f>
        <v>-6.92036437674441E-006</v>
      </c>
      <c r="Q41" s="39" t="str">
        <f aca="false">IF(O41&gt;=0.005,"↑ 伸長",IF(O41&lt;=-0.005,"↓ 減退","→ 横ばい"))</f>
        <v>→ 横ばい</v>
      </c>
    </row>
    <row r="42" customFormat="false" ht="15" hidden="false" customHeight="false" outlineLevel="0" collapsed="false">
      <c r="A42" s="32" t="n">
        <v>37</v>
      </c>
      <c r="B42" s="32" t="s">
        <v>348</v>
      </c>
      <c r="C42" s="33" t="s">
        <v>349</v>
      </c>
      <c r="D42" s="35" t="n">
        <v>10</v>
      </c>
      <c r="E42" s="35" t="n">
        <v>19</v>
      </c>
      <c r="F42" s="35" t="n">
        <v>12</v>
      </c>
      <c r="G42" s="35" t="n">
        <v>26</v>
      </c>
      <c r="H42" s="35" t="n">
        <v>0</v>
      </c>
      <c r="I42" s="37" t="n">
        <f aca="false">IFERROR(D42/D$48,0)</f>
        <v>6.74832135506293E-005</v>
      </c>
      <c r="J42" s="37" t="n">
        <f aca="false">IFERROR(E42/E$48,0)</f>
        <v>0.000324232081911263</v>
      </c>
      <c r="K42" s="37" t="n">
        <f aca="false">IFERROR(F42/F$48,0)</f>
        <v>0.000267433308818613</v>
      </c>
      <c r="L42" s="37" t="n">
        <f aca="false">IFERROR(G42/G$48,0)</f>
        <v>0.000407907122685912</v>
      </c>
      <c r="M42" s="37" t="n">
        <f aca="false">IFERROR(H42/H$48,0)</f>
        <v>0</v>
      </c>
      <c r="N42" s="37" t="n">
        <f aca="false">①札幌予測確定!R43</f>
        <v>0</v>
      </c>
      <c r="O42" s="78" t="n">
        <f aca="false">N42-L42</f>
        <v>-0.000407907122685912</v>
      </c>
      <c r="P42" s="78" t="n">
        <f aca="false">L42-I42</f>
        <v>0.000340423909135282</v>
      </c>
      <c r="Q42" s="39" t="str">
        <f aca="false">IF(O42&gt;=0.005,"↑ 伸長",IF(O42&lt;=-0.005,"↓ 減退","→ 横ばい"))</f>
        <v>→ 横ばい</v>
      </c>
    </row>
    <row r="43" customFormat="false" ht="15" hidden="false" customHeight="false" outlineLevel="0" collapsed="false">
      <c r="A43" s="32" t="n">
        <v>38</v>
      </c>
      <c r="B43" s="32" t="s">
        <v>350</v>
      </c>
      <c r="C43" s="33" t="s">
        <v>351</v>
      </c>
      <c r="D43" s="35" t="n">
        <v>10</v>
      </c>
      <c r="E43" s="35" t="n">
        <v>3</v>
      </c>
      <c r="F43" s="35" t="n">
        <v>3</v>
      </c>
      <c r="G43" s="35" t="n">
        <v>3</v>
      </c>
      <c r="H43" s="35" t="n">
        <v>2</v>
      </c>
      <c r="I43" s="37" t="n">
        <f aca="false">IFERROR(D43/D$48,0)</f>
        <v>6.74832135506293E-005</v>
      </c>
      <c r="J43" s="37" t="n">
        <f aca="false">IFERROR(E43/E$48,0)</f>
        <v>5.11945392491468E-005</v>
      </c>
      <c r="K43" s="37" t="n">
        <f aca="false">IFERROR(F43/F$48,0)</f>
        <v>6.68583272046533E-005</v>
      </c>
      <c r="L43" s="37" t="n">
        <f aca="false">IFERROR(G43/G$48,0)</f>
        <v>4.7066206463759E-005</v>
      </c>
      <c r="M43" s="37" t="n">
        <f aca="false">IFERROR(H43/H$48,0)</f>
        <v>0.000393933425251133</v>
      </c>
      <c r="N43" s="37" t="n">
        <f aca="false">①札幌予測確定!R44</f>
        <v>0.00022883295194508</v>
      </c>
      <c r="O43" s="78" t="n">
        <f aca="false">N43-L43</f>
        <v>0.000181766745481321</v>
      </c>
      <c r="P43" s="78" t="n">
        <f aca="false">L43-I43</f>
        <v>-2.04170070868703E-005</v>
      </c>
      <c r="Q43" s="39" t="str">
        <f aca="false">IF(O43&gt;=0.005,"↑ 伸長",IF(O43&lt;=-0.005,"↓ 減退","→ 横ばい"))</f>
        <v>→ 横ばい</v>
      </c>
    </row>
    <row r="44" customFormat="false" ht="15" hidden="false" customHeight="false" outlineLevel="0" collapsed="false">
      <c r="A44" s="32" t="n">
        <v>39</v>
      </c>
      <c r="B44" s="32" t="s">
        <v>352</v>
      </c>
      <c r="C44" s="33" t="s">
        <v>353</v>
      </c>
      <c r="D44" s="35" t="n">
        <v>10</v>
      </c>
      <c r="E44" s="35" t="n">
        <v>3</v>
      </c>
      <c r="F44" s="35" t="n">
        <v>2</v>
      </c>
      <c r="G44" s="35" t="n">
        <v>3</v>
      </c>
      <c r="H44" s="35" t="n">
        <v>1</v>
      </c>
      <c r="I44" s="37" t="n">
        <f aca="false">IFERROR(D44/D$48,0)</f>
        <v>6.74832135506293E-005</v>
      </c>
      <c r="J44" s="37" t="n">
        <f aca="false">IFERROR(E44/E$48,0)</f>
        <v>5.11945392491468E-005</v>
      </c>
      <c r="K44" s="37" t="n">
        <f aca="false">IFERROR(F44/F$48,0)</f>
        <v>4.45722181364356E-005</v>
      </c>
      <c r="L44" s="37" t="n">
        <f aca="false">IFERROR(G44/G$48,0)</f>
        <v>4.7066206463759E-005</v>
      </c>
      <c r="M44" s="37" t="n">
        <f aca="false">IFERROR(H44/H$48,0)</f>
        <v>0.000196966712625566</v>
      </c>
      <c r="N44" s="37" t="n">
        <f aca="false">①札幌予測確定!R45</f>
        <v>0.00011441647597254</v>
      </c>
      <c r="O44" s="78" t="n">
        <f aca="false">N44-L44</f>
        <v>6.7350269508781E-005</v>
      </c>
      <c r="P44" s="78" t="n">
        <f aca="false">L44-I44</f>
        <v>-2.04170070868703E-005</v>
      </c>
      <c r="Q44" s="39" t="str">
        <f aca="false">IF(O44&gt;=0.005,"↑ 伸長",IF(O44&lt;=-0.005,"↓ 減退","→ 横ばい"))</f>
        <v>→ 横ばい</v>
      </c>
    </row>
    <row r="45" customFormat="false" ht="15" hidden="false" customHeight="false" outlineLevel="0" collapsed="false">
      <c r="A45" s="32" t="n">
        <v>40</v>
      </c>
      <c r="B45" s="32" t="s">
        <v>354</v>
      </c>
      <c r="C45" s="33" t="s">
        <v>355</v>
      </c>
      <c r="D45" s="35" t="n">
        <v>8</v>
      </c>
      <c r="E45" s="35" t="n">
        <v>3</v>
      </c>
      <c r="F45" s="35" t="n">
        <v>3</v>
      </c>
      <c r="G45" s="35" t="n">
        <v>3</v>
      </c>
      <c r="H45" s="35" t="n">
        <v>0</v>
      </c>
      <c r="I45" s="37" t="n">
        <f aca="false">IFERROR(D45/D$48,0)</f>
        <v>5.39865708405034E-005</v>
      </c>
      <c r="J45" s="37" t="n">
        <f aca="false">IFERROR(E45/E$48,0)</f>
        <v>5.11945392491468E-005</v>
      </c>
      <c r="K45" s="37" t="n">
        <f aca="false">IFERROR(F45/F$48,0)</f>
        <v>6.68583272046533E-005</v>
      </c>
      <c r="L45" s="37" t="n">
        <f aca="false">IFERROR(G45/G$48,0)</f>
        <v>4.7066206463759E-005</v>
      </c>
      <c r="M45" s="37" t="n">
        <f aca="false">IFERROR(H45/H$48,0)</f>
        <v>0</v>
      </c>
      <c r="N45" s="37" t="n">
        <f aca="false">①札幌予測確定!R46</f>
        <v>0</v>
      </c>
      <c r="O45" s="78" t="n">
        <f aca="false">N45-L45</f>
        <v>-4.7066206463759E-005</v>
      </c>
      <c r="P45" s="78" t="n">
        <f aca="false">L45-I45</f>
        <v>-6.92036437674441E-006</v>
      </c>
      <c r="Q45" s="39" t="str">
        <f aca="false">IF(O45&gt;=0.005,"↑ 伸長",IF(O45&lt;=-0.005,"↓ 減退","→ 横ばい"))</f>
        <v>→ 横ばい</v>
      </c>
    </row>
    <row r="46" customFormat="false" ht="15" hidden="false" customHeight="false" outlineLevel="0" collapsed="false">
      <c r="A46" s="32" t="n">
        <v>41</v>
      </c>
      <c r="B46" s="32" t="s">
        <v>356</v>
      </c>
      <c r="C46" s="33" t="s">
        <v>357</v>
      </c>
      <c r="D46" s="35" t="n">
        <v>12</v>
      </c>
      <c r="E46" s="35" t="n">
        <v>5</v>
      </c>
      <c r="F46" s="35" t="n">
        <v>1</v>
      </c>
      <c r="G46" s="35" t="n">
        <v>2</v>
      </c>
      <c r="H46" s="35" t="n">
        <v>0</v>
      </c>
      <c r="I46" s="37" t="n">
        <f aca="false">IFERROR(D46/D$48,0)</f>
        <v>8.09798562607551E-005</v>
      </c>
      <c r="J46" s="37" t="n">
        <f aca="false">IFERROR(E46/E$48,0)</f>
        <v>8.53242320819113E-005</v>
      </c>
      <c r="K46" s="37" t="n">
        <f aca="false">IFERROR(F46/F$48,0)</f>
        <v>2.22861090682178E-005</v>
      </c>
      <c r="L46" s="37" t="n">
        <f aca="false">IFERROR(G46/G$48,0)</f>
        <v>3.13774709758394E-005</v>
      </c>
      <c r="M46" s="37" t="n">
        <f aca="false">IFERROR(H46/H$48,0)</f>
        <v>0</v>
      </c>
      <c r="N46" s="37" t="n">
        <f aca="false">①札幌予測確定!R47</f>
        <v>0</v>
      </c>
      <c r="O46" s="78" t="n">
        <f aca="false">N46-L46</f>
        <v>-3.13774709758394E-005</v>
      </c>
      <c r="P46" s="78" t="n">
        <f aca="false">L46-I46</f>
        <v>-4.96023852849158E-005</v>
      </c>
      <c r="Q46" s="39" t="str">
        <f aca="false">IF(O46&gt;=0.005,"↑ 伸長",IF(O46&lt;=-0.005,"↓ 減退","→ 横ばい"))</f>
        <v>→ 横ばい</v>
      </c>
    </row>
    <row r="47" customFormat="false" ht="15" hidden="false" customHeight="false" outlineLevel="0" collapsed="false">
      <c r="A47" s="32" t="n">
        <v>42</v>
      </c>
      <c r="B47" s="32" t="s">
        <v>358</v>
      </c>
      <c r="C47" s="33" t="s">
        <v>359</v>
      </c>
      <c r="D47" s="35" t="n">
        <v>24</v>
      </c>
      <c r="E47" s="35" t="n">
        <v>8</v>
      </c>
      <c r="F47" s="35" t="n">
        <v>3</v>
      </c>
      <c r="G47" s="35" t="n">
        <v>8</v>
      </c>
      <c r="H47" s="35" t="n">
        <v>1</v>
      </c>
      <c r="I47" s="37" t="n">
        <f aca="false">IFERROR(D47/D$48,0)</f>
        <v>0.00016195971252151</v>
      </c>
      <c r="J47" s="37" t="n">
        <f aca="false">IFERROR(E47/E$48,0)</f>
        <v>0.000136518771331058</v>
      </c>
      <c r="K47" s="37" t="n">
        <f aca="false">IFERROR(F47/F$48,0)</f>
        <v>6.68583272046533E-005</v>
      </c>
      <c r="L47" s="37" t="n">
        <f aca="false">IFERROR(G47/G$48,0)</f>
        <v>0.000125509883903357</v>
      </c>
      <c r="M47" s="37" t="n">
        <f aca="false">IFERROR(H47/H$48,0)</f>
        <v>0.000196966712625566</v>
      </c>
      <c r="N47" s="37" t="n">
        <f aca="false">①札幌予測確定!R48</f>
        <v>0.00022883295194508</v>
      </c>
      <c r="O47" s="78" t="n">
        <f aca="false">N47-L47</f>
        <v>0.000103323068041723</v>
      </c>
      <c r="P47" s="78" t="n">
        <f aca="false">L47-I47</f>
        <v>-3.64498286181529E-005</v>
      </c>
      <c r="Q47" s="39" t="str">
        <f aca="false">IF(O47&gt;=0.005,"↑ 伸長",IF(O47&lt;=-0.005,"↓ 減退","→ 横ばい"))</f>
        <v>→ 横ばい</v>
      </c>
    </row>
    <row r="48" customFormat="false" ht="15" hidden="false" customHeight="false" outlineLevel="0" collapsed="false">
      <c r="A48" s="40"/>
      <c r="B48" s="40"/>
      <c r="C48" s="41" t="s">
        <v>360</v>
      </c>
      <c r="D48" s="42" t="n">
        <f aca="false">SUM(D6:D47)</f>
        <v>148185</v>
      </c>
      <c r="E48" s="42" t="n">
        <f aca="false">SUM(E6:E47)</f>
        <v>58600</v>
      </c>
      <c r="F48" s="42" t="n">
        <f aca="false">SUM(F6:F47)</f>
        <v>44871</v>
      </c>
      <c r="G48" s="42" t="n">
        <f aca="false">SUM(G6:G47)</f>
        <v>63740</v>
      </c>
      <c r="H48" s="42" t="n">
        <f aca="false">SUM(H6:H47)</f>
        <v>5077</v>
      </c>
      <c r="I48" s="45" t="n">
        <v>1</v>
      </c>
      <c r="J48" s="45" t="n">
        <v>1</v>
      </c>
      <c r="K48" s="45" t="n">
        <v>1</v>
      </c>
      <c r="L48" s="45" t="n">
        <v>1</v>
      </c>
      <c r="M48" s="45" t="n">
        <v>1</v>
      </c>
      <c r="N48" s="45" t="n">
        <v>1</v>
      </c>
      <c r="O48" s="40"/>
      <c r="P48" s="40"/>
      <c r="Q48" s="40"/>
    </row>
  </sheetData>
  <conditionalFormatting sqref="Q6:Q47">
    <cfRule type="expression" priority="2" aboveAverage="0" equalAverage="0" bottom="0" percent="0" rank="0" text="" dxfId="2">
      <formula>$Q6="↑ 伸長"</formula>
    </cfRule>
    <cfRule type="expression" priority="3" aboveAverage="0" equalAverage="0" bottom="0" percent="0" rank="0" text="" dxfId="1">
      <formula>$Q6="↓ 減退"</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6" min="2" style="0" width="12"/>
    <col collapsed="false" customWidth="true" hidden="false" outlineLevel="0" max="7" min="7" style="0" width="14"/>
    <col collapsed="false" customWidth="true" hidden="false" outlineLevel="0" max="8" min="8" style="0" width="10"/>
    <col collapsed="false" customWidth="true" hidden="false" outlineLevel="0" max="9" min="9" style="0" width="44"/>
  </cols>
  <sheetData>
    <row r="1" customFormat="false" ht="20.1" hidden="false" customHeight="false" outlineLevel="0" collapsed="false">
      <c r="A1" s="1" t="s">
        <v>577</v>
      </c>
    </row>
    <row r="2" customFormat="false" ht="15" hidden="false" customHeight="false" outlineLevel="0" collapsed="false">
      <c r="A2" s="3" t="s">
        <v>578</v>
      </c>
    </row>
    <row r="4" customFormat="false" ht="15" hidden="false" customHeight="false" outlineLevel="0" collapsed="false">
      <c r="A4" s="4" t="s">
        <v>579</v>
      </c>
    </row>
    <row r="5" customFormat="false" ht="15" hidden="false" customHeight="false" outlineLevel="0" collapsed="false">
      <c r="A5" s="18" t="s">
        <v>580</v>
      </c>
    </row>
    <row r="6" customFormat="false" ht="15" hidden="false" customHeight="false" outlineLevel="0" collapsed="false">
      <c r="A6" s="18" t="s">
        <v>581</v>
      </c>
    </row>
    <row r="7" customFormat="false" ht="15" hidden="false" customHeight="false" outlineLevel="0" collapsed="false">
      <c r="A7" s="18" t="s">
        <v>582</v>
      </c>
    </row>
    <row r="8" customFormat="false" ht="15" hidden="false" customHeight="false" outlineLevel="0" collapsed="false">
      <c r="A8" s="18" t="s">
        <v>583</v>
      </c>
    </row>
    <row r="10" customFormat="false" ht="15" hidden="false" customHeight="false" outlineLevel="0" collapsed="false">
      <c r="A10" s="4" t="s">
        <v>584</v>
      </c>
    </row>
    <row r="11" customFormat="false" ht="31.5" hidden="false" customHeight="true" outlineLevel="0" collapsed="false">
      <c r="A11" s="26" t="s">
        <v>404</v>
      </c>
      <c r="B11" s="47" t="s">
        <v>366</v>
      </c>
      <c r="C11" s="28" t="s">
        <v>367</v>
      </c>
      <c r="D11" s="29" t="s">
        <v>368</v>
      </c>
      <c r="E11" s="30" t="s">
        <v>369</v>
      </c>
      <c r="F11" s="27" t="s">
        <v>370</v>
      </c>
      <c r="G11" s="31" t="s">
        <v>585</v>
      </c>
      <c r="H11" s="31" t="s">
        <v>586</v>
      </c>
      <c r="I11" s="65" t="s">
        <v>587</v>
      </c>
    </row>
    <row r="12" customFormat="false" ht="15" hidden="false" customHeight="false" outlineLevel="0" collapsed="false">
      <c r="A12" s="51" t="s">
        <v>405</v>
      </c>
      <c r="B12" s="34" t="n">
        <v>2159</v>
      </c>
      <c r="C12" s="34" t="n">
        <v>2099</v>
      </c>
      <c r="D12" s="34" t="n">
        <v>1634</v>
      </c>
      <c r="E12" s="34" t="n">
        <v>1455</v>
      </c>
      <c r="F12" s="34" t="n">
        <v>1046</v>
      </c>
      <c r="G12" s="79" t="n">
        <f aca="false">E12-C12</f>
        <v>-644</v>
      </c>
      <c r="H12" s="80" t="n">
        <f aca="false">IFERROR(G12/C12,"")</f>
        <v>-0.306812767984755</v>
      </c>
      <c r="I12" s="33" t="s">
        <v>588</v>
      </c>
    </row>
    <row r="13" customFormat="false" ht="15" hidden="false" customHeight="false" outlineLevel="0" collapsed="false">
      <c r="A13" s="49" t="s">
        <v>406</v>
      </c>
      <c r="B13" s="34" t="n">
        <v>4039</v>
      </c>
      <c r="C13" s="34" t="n">
        <v>2464</v>
      </c>
      <c r="D13" s="34" t="n">
        <v>1784</v>
      </c>
      <c r="E13" s="34" t="n">
        <v>2883</v>
      </c>
      <c r="F13" s="34" t="n">
        <v>2416</v>
      </c>
      <c r="G13" s="79" t="n">
        <f aca="false">E13-C13</f>
        <v>419</v>
      </c>
      <c r="H13" s="80" t="n">
        <f aca="false">IFERROR(G13/C13,"")</f>
        <v>0.170048701298701</v>
      </c>
      <c r="I13" s="33" t="s">
        <v>589</v>
      </c>
    </row>
    <row r="14" customFormat="false" ht="15" hidden="false" customHeight="false" outlineLevel="0" collapsed="false">
      <c r="A14" s="49" t="s">
        <v>407</v>
      </c>
      <c r="B14" s="34" t="n">
        <v>697</v>
      </c>
      <c r="C14" s="34" t="n">
        <v>549</v>
      </c>
      <c r="D14" s="34" t="n">
        <v>435</v>
      </c>
      <c r="E14" s="34" t="n">
        <v>1047</v>
      </c>
      <c r="F14" s="34" t="n">
        <v>950</v>
      </c>
      <c r="G14" s="79" t="n">
        <f aca="false">E14-C14</f>
        <v>498</v>
      </c>
      <c r="H14" s="80" t="n">
        <f aca="false">IFERROR(G14/C14,"")</f>
        <v>0.907103825136612</v>
      </c>
      <c r="I14" s="33" t="s">
        <v>590</v>
      </c>
    </row>
    <row r="15" customFormat="false" ht="15" hidden="false" customHeight="false" outlineLevel="0" collapsed="false">
      <c r="A15" s="51" t="s">
        <v>408</v>
      </c>
      <c r="B15" s="34" t="n">
        <v>0</v>
      </c>
      <c r="C15" s="34" t="n">
        <v>1656</v>
      </c>
      <c r="D15" s="34" t="n">
        <v>1292</v>
      </c>
      <c r="E15" s="34" t="n">
        <v>984</v>
      </c>
      <c r="F15" s="34" t="n">
        <v>1079</v>
      </c>
      <c r="G15" s="79" t="n">
        <f aca="false">E15-C15</f>
        <v>-672</v>
      </c>
      <c r="H15" s="80" t="n">
        <f aca="false">IFERROR(G15/C15,"")</f>
        <v>-0.405797101449275</v>
      </c>
      <c r="I15" s="54" t="s">
        <v>591</v>
      </c>
    </row>
    <row r="16" customFormat="false" ht="15" hidden="false" customHeight="false" outlineLevel="0" collapsed="false">
      <c r="A16" s="51" t="s">
        <v>409</v>
      </c>
      <c r="B16" s="34" t="n">
        <v>252</v>
      </c>
      <c r="C16" s="34" t="n">
        <v>244</v>
      </c>
      <c r="D16" s="34" t="n">
        <v>412</v>
      </c>
      <c r="E16" s="34" t="n">
        <v>512</v>
      </c>
      <c r="F16" s="34" t="n">
        <v>400</v>
      </c>
      <c r="G16" s="79" t="n">
        <f aca="false">E16-C16</f>
        <v>268</v>
      </c>
      <c r="H16" s="80" t="n">
        <f aca="false">IFERROR(G16/C16,"")</f>
        <v>1.09836065573771</v>
      </c>
      <c r="I16" s="33" t="s">
        <v>592</v>
      </c>
    </row>
    <row r="17" customFormat="false" ht="15" hidden="false" customHeight="false" outlineLevel="0" collapsed="false">
      <c r="A17" s="49" t="s">
        <v>410</v>
      </c>
      <c r="B17" s="34" t="n">
        <v>420</v>
      </c>
      <c r="C17" s="34" t="n">
        <v>0</v>
      </c>
      <c r="D17" s="34" t="n">
        <v>0</v>
      </c>
      <c r="E17" s="34" t="n">
        <v>0</v>
      </c>
      <c r="F17" s="34" t="n">
        <v>0</v>
      </c>
      <c r="G17" s="79" t="n">
        <f aca="false">E17-C17</f>
        <v>0</v>
      </c>
      <c r="H17" s="80" t="str">
        <f aca="false">IFERROR(G17/C17,"")</f>
        <v/>
      </c>
      <c r="I17" s="33" t="s">
        <v>593</v>
      </c>
    </row>
    <row r="18" customFormat="false" ht="15" hidden="false" customHeight="false" outlineLevel="0" collapsed="false">
      <c r="A18" s="41" t="s">
        <v>594</v>
      </c>
      <c r="B18" s="44" t="n">
        <v>7567</v>
      </c>
      <c r="C18" s="44" t="n">
        <v>7012</v>
      </c>
      <c r="D18" s="44" t="n">
        <v>5557</v>
      </c>
      <c r="E18" s="44" t="n">
        <v>6882</v>
      </c>
      <c r="F18" s="44" t="n">
        <v>5892</v>
      </c>
      <c r="G18" s="81" t="n">
        <f aca="false">E18-C18</f>
        <v>-130</v>
      </c>
      <c r="H18" s="82" t="n">
        <f aca="false">IFERROR(G18/C18,"")</f>
        <v>-0.0185396463205933</v>
      </c>
      <c r="I18" s="41" t="s">
        <v>595</v>
      </c>
    </row>
    <row r="20" customFormat="false" ht="15" hidden="false" customHeight="false" outlineLevel="0" collapsed="false">
      <c r="A20" s="4" t="s">
        <v>596</v>
      </c>
    </row>
    <row r="21" customFormat="false" ht="31.5" hidden="false" customHeight="true" outlineLevel="0" collapsed="false">
      <c r="A21" s="26" t="s">
        <v>414</v>
      </c>
      <c r="B21" s="26" t="s">
        <v>416</v>
      </c>
      <c r="C21" s="26" t="s">
        <v>597</v>
      </c>
      <c r="D21" s="25" t="s">
        <v>598</v>
      </c>
      <c r="E21" s="25" t="s">
        <v>599</v>
      </c>
      <c r="F21" s="26" t="s">
        <v>600</v>
      </c>
      <c r="G21" s="26" t="s">
        <v>601</v>
      </c>
    </row>
    <row r="22" customFormat="false" ht="25.35" hidden="false" customHeight="false" outlineLevel="0" collapsed="false">
      <c r="A22" s="53" t="s">
        <v>366</v>
      </c>
      <c r="B22" s="35" t="n">
        <v>332</v>
      </c>
      <c r="C22" s="34" t="n">
        <v>7567</v>
      </c>
      <c r="D22" s="34" t="n">
        <v>2159</v>
      </c>
      <c r="E22" s="79"/>
      <c r="F22" s="34" t="n">
        <v>7567</v>
      </c>
      <c r="G22" s="66" t="s">
        <v>602</v>
      </c>
    </row>
    <row r="23" customFormat="false" ht="49.25" hidden="false" customHeight="false" outlineLevel="0" collapsed="false">
      <c r="A23" s="53" t="s">
        <v>367</v>
      </c>
      <c r="B23" s="35" t="n">
        <v>85</v>
      </c>
      <c r="C23" s="34" t="n">
        <v>1480</v>
      </c>
      <c r="D23" s="34" t="n">
        <v>2099</v>
      </c>
      <c r="E23" s="79" t="n">
        <f aca="false">D23-D22</f>
        <v>-60</v>
      </c>
      <c r="F23" s="34" t="n">
        <v>7012</v>
      </c>
      <c r="G23" s="69" t="s">
        <v>603</v>
      </c>
    </row>
    <row r="24" customFormat="false" ht="73.1" hidden="false" customHeight="false" outlineLevel="0" collapsed="false">
      <c r="A24" s="53" t="s">
        <v>368</v>
      </c>
      <c r="B24" s="35" t="n">
        <v>19</v>
      </c>
      <c r="C24" s="34" t="n">
        <v>712</v>
      </c>
      <c r="D24" s="34" t="n">
        <v>1634</v>
      </c>
      <c r="E24" s="79" t="n">
        <f aca="false">D24-D23</f>
        <v>-465</v>
      </c>
      <c r="F24" s="34" t="n">
        <v>5557</v>
      </c>
      <c r="G24" s="66" t="s">
        <v>604</v>
      </c>
    </row>
    <row r="25" customFormat="false" ht="85.05" hidden="false" customHeight="false" outlineLevel="0" collapsed="false">
      <c r="A25" s="53" t="s">
        <v>369</v>
      </c>
      <c r="B25" s="35" t="n">
        <v>106</v>
      </c>
      <c r="C25" s="34" t="n">
        <v>1360</v>
      </c>
      <c r="D25" s="34" t="n">
        <v>1455</v>
      </c>
      <c r="E25" s="79" t="n">
        <f aca="false">D25-D24</f>
        <v>-179</v>
      </c>
      <c r="F25" s="34" t="n">
        <v>6882</v>
      </c>
      <c r="G25" s="66" t="s">
        <v>605</v>
      </c>
    </row>
    <row r="26" customFormat="false" ht="25.35" hidden="false" customHeight="false" outlineLevel="0" collapsed="false">
      <c r="A26" s="53" t="s">
        <v>370</v>
      </c>
      <c r="B26" s="35" t="n">
        <v>0</v>
      </c>
      <c r="C26" s="34" t="n">
        <v>0</v>
      </c>
      <c r="D26" s="34" t="n">
        <v>1046</v>
      </c>
      <c r="E26" s="79" t="n">
        <f aca="false">D26-D25</f>
        <v>-409</v>
      </c>
      <c r="F26" s="34" t="n">
        <v>5892</v>
      </c>
      <c r="G26" s="66" t="s">
        <v>606</v>
      </c>
    </row>
    <row r="29" customFormat="false" ht="15" hidden="false" customHeight="false" outlineLevel="0" collapsed="false">
      <c r="A29" s="83" t="s">
        <v>607</v>
      </c>
    </row>
    <row r="30" customFormat="false" ht="31.5" hidden="false" customHeight="true" outlineLevel="0" collapsed="false">
      <c r="A30" s="25" t="s">
        <v>608</v>
      </c>
      <c r="B30" s="47" t="s">
        <v>366</v>
      </c>
      <c r="C30" s="28" t="s">
        <v>367</v>
      </c>
      <c r="D30" s="29" t="s">
        <v>368</v>
      </c>
      <c r="E30" s="30" t="s">
        <v>369</v>
      </c>
      <c r="F30" s="27" t="s">
        <v>370</v>
      </c>
      <c r="G30" s="31" t="s">
        <v>585</v>
      </c>
      <c r="H30" s="84" t="s">
        <v>609</v>
      </c>
      <c r="I30" s="31" t="s">
        <v>610</v>
      </c>
    </row>
    <row r="31" customFormat="false" ht="25.35" hidden="false" customHeight="false" outlineLevel="0" collapsed="false">
      <c r="A31" s="49" t="s">
        <v>611</v>
      </c>
      <c r="B31" s="34" t="n">
        <v>632</v>
      </c>
      <c r="C31" s="34" t="n">
        <v>801</v>
      </c>
      <c r="D31" s="34" t="n">
        <v>722</v>
      </c>
      <c r="E31" s="34" t="n">
        <v>529</v>
      </c>
      <c r="F31" s="34" t="n">
        <v>150</v>
      </c>
      <c r="G31" s="79" t="n">
        <f aca="false">E31-C31</f>
        <v>-272</v>
      </c>
      <c r="H31" s="37" t="n">
        <f aca="false">IFERROR(G31/G$38,"")</f>
        <v>0.423017107309487</v>
      </c>
      <c r="I31" s="66" t="s">
        <v>612</v>
      </c>
    </row>
    <row r="32" customFormat="false" ht="25.35" hidden="false" customHeight="false" outlineLevel="0" collapsed="false">
      <c r="A32" s="49" t="s">
        <v>613</v>
      </c>
      <c r="B32" s="34" t="n">
        <v>712</v>
      </c>
      <c r="C32" s="34" t="n">
        <v>662</v>
      </c>
      <c r="D32" s="34" t="n">
        <v>442</v>
      </c>
      <c r="E32" s="34" t="n">
        <v>378</v>
      </c>
      <c r="F32" s="34" t="n">
        <v>294</v>
      </c>
      <c r="G32" s="79" t="n">
        <f aca="false">E32-C32</f>
        <v>-284</v>
      </c>
      <c r="H32" s="37" t="n">
        <f aca="false">IFERROR(G32/G$38,"")</f>
        <v>0.441679626749611</v>
      </c>
      <c r="I32" s="66" t="s">
        <v>614</v>
      </c>
    </row>
    <row r="33" customFormat="false" ht="25.35" hidden="false" customHeight="false" outlineLevel="0" collapsed="false">
      <c r="A33" s="49" t="s">
        <v>615</v>
      </c>
      <c r="B33" s="34" t="n">
        <v>215</v>
      </c>
      <c r="C33" s="34" t="n">
        <v>117</v>
      </c>
      <c r="D33" s="34" t="n">
        <v>99</v>
      </c>
      <c r="E33" s="34" t="n">
        <v>124</v>
      </c>
      <c r="F33" s="34" t="n">
        <v>139</v>
      </c>
      <c r="G33" s="79" t="n">
        <f aca="false">E33-C33</f>
        <v>7</v>
      </c>
      <c r="H33" s="37" t="n">
        <f aca="false">IFERROR(G33/G$38,"")</f>
        <v>-0.0108864696734059</v>
      </c>
      <c r="I33" s="66" t="s">
        <v>616</v>
      </c>
    </row>
    <row r="34" customFormat="false" ht="15" hidden="false" customHeight="false" outlineLevel="0" collapsed="false">
      <c r="A34" s="49" t="s">
        <v>617</v>
      </c>
      <c r="B34" s="34" t="n">
        <v>184</v>
      </c>
      <c r="C34" s="34" t="n">
        <v>148</v>
      </c>
      <c r="D34" s="34" t="n">
        <v>104</v>
      </c>
      <c r="E34" s="34" t="n">
        <v>149</v>
      </c>
      <c r="F34" s="34" t="n">
        <v>127</v>
      </c>
      <c r="G34" s="79" t="n">
        <f aca="false">E34-C34</f>
        <v>1</v>
      </c>
      <c r="H34" s="37" t="n">
        <f aca="false">IFERROR(G34/G$38,"")</f>
        <v>-0.0015552099533437</v>
      </c>
      <c r="I34" s="66" t="s">
        <v>618</v>
      </c>
    </row>
    <row r="35" customFormat="false" ht="15" hidden="false" customHeight="false" outlineLevel="0" collapsed="false">
      <c r="A35" s="49" t="s">
        <v>619</v>
      </c>
      <c r="B35" s="34" t="n">
        <v>115</v>
      </c>
      <c r="C35" s="34" t="n">
        <v>49</v>
      </c>
      <c r="D35" s="34" t="n">
        <v>37</v>
      </c>
      <c r="E35" s="34" t="n">
        <v>52</v>
      </c>
      <c r="F35" s="34" t="n">
        <v>43</v>
      </c>
      <c r="G35" s="79" t="n">
        <f aca="false">E35-C35</f>
        <v>3</v>
      </c>
      <c r="H35" s="37" t="n">
        <f aca="false">IFERROR(G35/G$38,"")</f>
        <v>-0.00466562986003111</v>
      </c>
      <c r="I35" s="66" t="s">
        <v>620</v>
      </c>
    </row>
    <row r="36" customFormat="false" ht="25.35" hidden="false" customHeight="false" outlineLevel="0" collapsed="false">
      <c r="A36" s="49" t="s">
        <v>621</v>
      </c>
      <c r="B36" s="34" t="n">
        <v>247</v>
      </c>
      <c r="C36" s="34" t="n">
        <v>203</v>
      </c>
      <c r="D36" s="34" t="n">
        <v>161</v>
      </c>
      <c r="E36" s="34" t="n">
        <v>159</v>
      </c>
      <c r="F36" s="34" t="n">
        <v>258</v>
      </c>
      <c r="G36" s="79" t="n">
        <f aca="false">E36-C36</f>
        <v>-44</v>
      </c>
      <c r="H36" s="37" t="n">
        <f aca="false">IFERROR(G36/G$38,"")</f>
        <v>0.0684292379471229</v>
      </c>
      <c r="I36" s="66" t="s">
        <v>622</v>
      </c>
    </row>
    <row r="37" customFormat="false" ht="15" hidden="false" customHeight="false" outlineLevel="0" collapsed="false">
      <c r="A37" s="49" t="s">
        <v>623</v>
      </c>
      <c r="B37" s="34" t="n">
        <v>54</v>
      </c>
      <c r="C37" s="34" t="n">
        <v>119</v>
      </c>
      <c r="D37" s="34" t="n">
        <v>68</v>
      </c>
      <c r="E37" s="34" t="n">
        <v>65</v>
      </c>
      <c r="F37" s="34" t="n">
        <v>35</v>
      </c>
      <c r="G37" s="79" t="n">
        <f aca="false">E37-C37</f>
        <v>-54</v>
      </c>
      <c r="H37" s="37" t="n">
        <f aca="false">IFERROR(G37/G$38,"")</f>
        <v>0.0839813374805599</v>
      </c>
      <c r="I37" s="66" t="s">
        <v>624</v>
      </c>
    </row>
    <row r="38" customFormat="false" ht="15" hidden="false" customHeight="false" outlineLevel="0" collapsed="false">
      <c r="A38" s="85" t="s">
        <v>625</v>
      </c>
      <c r="B38" s="44" t="n">
        <f aca="false">SUM(B31:B37)</f>
        <v>2159</v>
      </c>
      <c r="C38" s="44" t="n">
        <f aca="false">SUM(C31:C37)</f>
        <v>2099</v>
      </c>
      <c r="D38" s="44" t="n">
        <f aca="false">SUM(D31:D37)</f>
        <v>1633</v>
      </c>
      <c r="E38" s="44" t="n">
        <f aca="false">SUM(E31:E37)</f>
        <v>1456</v>
      </c>
      <c r="F38" s="44" t="n">
        <f aca="false">SUM(F31:F37)</f>
        <v>1046</v>
      </c>
      <c r="G38" s="81" t="n">
        <f aca="false">E38-C38</f>
        <v>-643</v>
      </c>
      <c r="H38" s="45" t="n">
        <v>1</v>
      </c>
      <c r="I38" s="86"/>
    </row>
    <row r="40" customFormat="false" ht="15" hidden="false" customHeight="false" outlineLevel="0" collapsed="false">
      <c r="A40" s="4" t="s">
        <v>626</v>
      </c>
    </row>
    <row r="41" customFormat="false" ht="31.5" hidden="false" customHeight="true" outlineLevel="0" collapsed="false">
      <c r="A41" s="48" t="s">
        <v>627</v>
      </c>
      <c r="B41" s="55" t="s">
        <v>628</v>
      </c>
      <c r="C41" s="48" t="s">
        <v>629</v>
      </c>
      <c r="D41" s="48" t="s">
        <v>630</v>
      </c>
      <c r="E41" s="48" t="s">
        <v>631</v>
      </c>
      <c r="F41" s="55" t="s">
        <v>632</v>
      </c>
      <c r="G41" s="48" t="s">
        <v>633</v>
      </c>
    </row>
    <row r="42" customFormat="false" ht="37.3" hidden="false" customHeight="false" outlineLevel="0" collapsed="false">
      <c r="A42" s="49" t="s">
        <v>634</v>
      </c>
      <c r="B42" s="35" t="n">
        <v>39</v>
      </c>
      <c r="C42" s="35" t="n">
        <v>11147</v>
      </c>
      <c r="D42" s="34" t="n">
        <v>14080770</v>
      </c>
      <c r="E42" s="37" t="n">
        <f aca="false">D42/215184570</f>
        <v>0.0654357791546113</v>
      </c>
      <c r="F42" s="34" t="n">
        <f aca="false">ROUND(D42/31267,0)</f>
        <v>450</v>
      </c>
      <c r="G42" s="66" t="s">
        <v>635</v>
      </c>
    </row>
    <row r="43" customFormat="false" ht="37.3" hidden="false" customHeight="false" outlineLevel="0" collapsed="false">
      <c r="A43" s="49" t="s">
        <v>636</v>
      </c>
      <c r="B43" s="35" t="n">
        <v>7</v>
      </c>
      <c r="C43" s="35" t="n">
        <v>17060</v>
      </c>
      <c r="D43" s="34" t="n">
        <v>9360615</v>
      </c>
      <c r="E43" s="37" t="n">
        <f aca="false">D43/215184570</f>
        <v>0.043500400609579</v>
      </c>
      <c r="F43" s="34" t="n">
        <f aca="false">ROUND(D43/31267,0)</f>
        <v>299</v>
      </c>
      <c r="G43" s="66" t="s">
        <v>637</v>
      </c>
    </row>
    <row r="44" customFormat="false" ht="37.3" hidden="false" customHeight="false" outlineLevel="0" collapsed="false">
      <c r="A44" s="49" t="s">
        <v>615</v>
      </c>
      <c r="B44" s="35" t="n">
        <v>10</v>
      </c>
      <c r="C44" s="35" t="n">
        <v>11836</v>
      </c>
      <c r="D44" s="34" t="n">
        <v>6460410</v>
      </c>
      <c r="E44" s="37" t="n">
        <f aca="false">D44/215184570</f>
        <v>0.0300226452110391</v>
      </c>
      <c r="F44" s="34" t="n">
        <f aca="false">ROUND(D44/31267,0)</f>
        <v>207</v>
      </c>
      <c r="G44" s="66" t="s">
        <v>638</v>
      </c>
    </row>
    <row r="45" customFormat="false" ht="37.3" hidden="false" customHeight="false" outlineLevel="0" collapsed="false">
      <c r="A45" s="49" t="s">
        <v>639</v>
      </c>
      <c r="B45" s="35" t="n">
        <v>14</v>
      </c>
      <c r="C45" s="35" t="n">
        <v>5531</v>
      </c>
      <c r="D45" s="34" t="n">
        <v>6084100</v>
      </c>
      <c r="E45" s="37" t="n">
        <f aca="false">D45/215184570</f>
        <v>0.0282738674060134</v>
      </c>
      <c r="F45" s="34" t="n">
        <f aca="false">ROUND(D45/31267,0)</f>
        <v>195</v>
      </c>
      <c r="G45" s="66" t="s">
        <v>640</v>
      </c>
    </row>
    <row r="46" customFormat="false" ht="25.35" hidden="false" customHeight="false" outlineLevel="0" collapsed="false">
      <c r="A46" s="49" t="s">
        <v>641</v>
      </c>
      <c r="B46" s="35" t="n">
        <v>9</v>
      </c>
      <c r="C46" s="35" t="n">
        <v>5528</v>
      </c>
      <c r="D46" s="34" t="n">
        <v>3778060</v>
      </c>
      <c r="E46" s="37" t="n">
        <f aca="false">D46/215184570</f>
        <v>0.0175572997636401</v>
      </c>
      <c r="F46" s="34" t="n">
        <f aca="false">ROUND(D46/31267,0)</f>
        <v>121</v>
      </c>
      <c r="G46" s="66" t="s">
        <v>642</v>
      </c>
    </row>
    <row r="47" customFormat="false" ht="15" hidden="false" customHeight="false" outlineLevel="0" collapsed="false">
      <c r="A47" s="49" t="s">
        <v>643</v>
      </c>
      <c r="B47" s="35" t="n">
        <v>16</v>
      </c>
      <c r="C47" s="35" t="n">
        <v>1561</v>
      </c>
      <c r="D47" s="34" t="n">
        <v>1814100</v>
      </c>
      <c r="E47" s="37" t="n">
        <f aca="false">D47/215184570</f>
        <v>0.00843043718236861</v>
      </c>
      <c r="F47" s="34" t="n">
        <f aca="false">ROUND(D47/31267,0)</f>
        <v>58</v>
      </c>
      <c r="G47" s="66" t="s">
        <v>621</v>
      </c>
    </row>
    <row r="48" customFormat="false" ht="25.35" hidden="false" customHeight="false" outlineLevel="0" collapsed="false">
      <c r="A48" s="49" t="s">
        <v>644</v>
      </c>
      <c r="B48" s="35" t="n">
        <v>11</v>
      </c>
      <c r="C48" s="35" t="n">
        <v>1719</v>
      </c>
      <c r="D48" s="34" t="n">
        <v>945450</v>
      </c>
      <c r="E48" s="37" t="n">
        <f aca="false">D48/215184570</f>
        <v>0.00439367004799647</v>
      </c>
      <c r="F48" s="34" t="n">
        <f aca="false">ROUND(D48/31267,0)</f>
        <v>30</v>
      </c>
      <c r="G48" s="66" t="s">
        <v>645</v>
      </c>
    </row>
    <row r="49" customFormat="false" ht="25.35" hidden="false" customHeight="false" outlineLevel="0" collapsed="false">
      <c r="A49" s="41" t="s">
        <v>646</v>
      </c>
      <c r="B49" s="42" t="n">
        <f aca="false">SUM(B42:B48)</f>
        <v>106</v>
      </c>
      <c r="C49" s="42" t="n">
        <f aca="false">SUM(C42:C48)</f>
        <v>54382</v>
      </c>
      <c r="D49" s="44" t="n">
        <f aca="false">SUM(D42:D48)</f>
        <v>42523505</v>
      </c>
      <c r="E49" s="45" t="n">
        <f aca="false">D49/215184570</f>
        <v>0.197614099375248</v>
      </c>
      <c r="F49" s="44" t="n">
        <f aca="false">ROUND(D49/31267,0)</f>
        <v>1360</v>
      </c>
      <c r="G49" s="87" t="s">
        <v>647</v>
      </c>
    </row>
    <row r="51" customFormat="false" ht="15" hidden="false" customHeight="false" outlineLevel="0" collapsed="false">
      <c r="A51" s="4" t="s">
        <v>648</v>
      </c>
    </row>
    <row r="52" customFormat="false" ht="13.4" hidden="false" customHeight="false" outlineLevel="0" collapsed="false">
      <c r="A52" s="8" t="s">
        <v>649</v>
      </c>
      <c r="B52" s="88" t="s">
        <v>650</v>
      </c>
      <c r="C52" s="88"/>
      <c r="D52" s="88"/>
      <c r="E52" s="88"/>
      <c r="F52" s="88"/>
      <c r="G52" s="88"/>
      <c r="H52" s="88"/>
      <c r="I52" s="88"/>
    </row>
    <row r="53" customFormat="false" ht="15" hidden="false" customHeight="false" outlineLevel="0" collapsed="false">
      <c r="A53" s="5" t="s">
        <v>651</v>
      </c>
      <c r="B53" s="88" t="s">
        <v>652</v>
      </c>
      <c r="C53" s="88"/>
      <c r="D53" s="88"/>
      <c r="E53" s="88"/>
      <c r="F53" s="88"/>
      <c r="G53" s="88"/>
      <c r="H53" s="88"/>
      <c r="I53" s="88"/>
    </row>
    <row r="54" customFormat="false" ht="15" hidden="false" customHeight="false" outlineLevel="0" collapsed="false">
      <c r="A54" s="5" t="s">
        <v>653</v>
      </c>
      <c r="B54" s="88" t="s">
        <v>654</v>
      </c>
      <c r="C54" s="88"/>
      <c r="D54" s="88"/>
      <c r="E54" s="88"/>
      <c r="F54" s="88"/>
      <c r="G54" s="88"/>
      <c r="H54" s="88"/>
      <c r="I54" s="88"/>
    </row>
    <row r="55" customFormat="false" ht="15" hidden="false" customHeight="false" outlineLevel="0" collapsed="false">
      <c r="A55" s="5" t="s">
        <v>655</v>
      </c>
      <c r="B55" s="88" t="s">
        <v>656</v>
      </c>
      <c r="C55" s="88"/>
      <c r="D55" s="88"/>
      <c r="E55" s="88"/>
      <c r="F55" s="88"/>
      <c r="G55" s="88"/>
      <c r="H55" s="88"/>
      <c r="I55" s="88"/>
    </row>
    <row r="56" customFormat="false" ht="15" hidden="false" customHeight="false" outlineLevel="0" collapsed="false">
      <c r="A56" s="5" t="s">
        <v>657</v>
      </c>
      <c r="B56" s="88" t="s">
        <v>658</v>
      </c>
      <c r="C56" s="88"/>
      <c r="D56" s="88"/>
      <c r="E56" s="88"/>
      <c r="F56" s="88"/>
      <c r="G56" s="88"/>
      <c r="H56" s="88"/>
      <c r="I56" s="88"/>
    </row>
  </sheetData>
  <mergeCells count="5">
    <mergeCell ref="B52:I52"/>
    <mergeCell ref="B53:I53"/>
    <mergeCell ref="B54:I54"/>
    <mergeCell ref="B55:I55"/>
    <mergeCell ref="B56:I5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5"/>
    <col collapsed="false" customWidth="true" hidden="false" outlineLevel="0" max="3" min="3" style="0" width="44"/>
    <col collapsed="false" customWidth="true" hidden="false" outlineLevel="0" max="4" min="4" style="0" width="9"/>
    <col collapsed="false" customWidth="true" hidden="false" outlineLevel="0" max="7" min="5" style="0" width="11"/>
    <col collapsed="false" customWidth="true" hidden="false" outlineLevel="0" max="9" min="8" style="0" width="13"/>
    <col collapsed="false" customWidth="true" hidden="false" outlineLevel="0" max="10" min="10" style="0" width="11"/>
    <col collapsed="false" customWidth="true" hidden="false" outlineLevel="0" max="11" min="11" style="0" width="12"/>
    <col collapsed="false" customWidth="true" hidden="false" outlineLevel="0" max="12" min="12" style="0" width="11"/>
    <col collapsed="false" customWidth="true" hidden="false" outlineLevel="0" max="14" min="13" style="0" width="12"/>
    <col collapsed="false" customWidth="true" hidden="false" outlineLevel="0" max="15" min="15" style="0" width="11"/>
    <col collapsed="false" customWidth="true" hidden="false" outlineLevel="0" max="16" min="16" style="0" width="13"/>
    <col collapsed="false" customWidth="true" hidden="false" outlineLevel="0" max="17" min="17" style="0" width="14"/>
    <col collapsed="false" customWidth="true" hidden="false" outlineLevel="0" max="18" min="18" style="0" width="12"/>
    <col collapsed="false" customWidth="true" hidden="false" outlineLevel="0" max="19" min="19" style="0" width="20"/>
    <col collapsed="false" customWidth="true" hidden="false" outlineLevel="0" max="20" min="20" style="0" width="13"/>
    <col collapsed="false" customWidth="true" hidden="false" outlineLevel="0" max="21" min="21" style="0" width="16"/>
    <col collapsed="false" customWidth="true" hidden="false" outlineLevel="0" max="22" min="22" style="0" width="20"/>
    <col collapsed="false" customWidth="true" hidden="false" outlineLevel="0" max="23" min="23" style="0" width="14"/>
    <col collapsed="false" customWidth="true" hidden="false" outlineLevel="0" max="24" min="24" style="0" width="46"/>
  </cols>
  <sheetData>
    <row r="1" customFormat="false" ht="20.1" hidden="false" customHeight="false" outlineLevel="0" collapsed="false">
      <c r="A1" s="1" t="s">
        <v>659</v>
      </c>
    </row>
    <row r="2" customFormat="false" ht="15" hidden="false" customHeight="false" outlineLevel="0" collapsed="false">
      <c r="A2" s="3" t="s">
        <v>660</v>
      </c>
    </row>
    <row r="3" customFormat="false" ht="15" hidden="false" customHeight="false" outlineLevel="0" collapsed="false">
      <c r="A3" s="3" t="s">
        <v>661</v>
      </c>
    </row>
    <row r="4" customFormat="false" ht="15" hidden="false" customHeight="false" outlineLevel="0" collapsed="false">
      <c r="A4" s="3" t="s">
        <v>662</v>
      </c>
    </row>
    <row r="5" customFormat="false" ht="15" hidden="false" customHeight="false" outlineLevel="0" collapsed="false">
      <c r="A5" s="19" t="s">
        <v>663</v>
      </c>
    </row>
    <row r="6" customFormat="false" ht="45.75" hidden="false" customHeight="true" outlineLevel="0" collapsed="false">
      <c r="A6" s="25" t="s">
        <v>253</v>
      </c>
      <c r="B6" s="25" t="s">
        <v>254</v>
      </c>
      <c r="C6" s="26" t="s">
        <v>255</v>
      </c>
      <c r="D6" s="26" t="s">
        <v>495</v>
      </c>
      <c r="E6" s="89" t="s">
        <v>664</v>
      </c>
      <c r="F6" s="89" t="s">
        <v>665</v>
      </c>
      <c r="G6" s="89" t="s">
        <v>666</v>
      </c>
      <c r="H6" s="59" t="s">
        <v>667</v>
      </c>
      <c r="I6" s="59" t="s">
        <v>668</v>
      </c>
      <c r="J6" s="27" t="s">
        <v>669</v>
      </c>
      <c r="K6" s="27" t="s">
        <v>670</v>
      </c>
      <c r="L6" s="27" t="s">
        <v>671</v>
      </c>
      <c r="M6" s="17" t="s">
        <v>672</v>
      </c>
      <c r="N6" s="17" t="s">
        <v>487</v>
      </c>
      <c r="O6" s="48" t="s">
        <v>502</v>
      </c>
      <c r="P6" s="31" t="s">
        <v>673</v>
      </c>
      <c r="Q6" s="31" t="s">
        <v>674</v>
      </c>
      <c r="R6" s="31" t="s">
        <v>491</v>
      </c>
      <c r="S6" s="64" t="s">
        <v>510</v>
      </c>
      <c r="T6" s="64" t="s">
        <v>511</v>
      </c>
      <c r="U6" s="64" t="s">
        <v>513</v>
      </c>
      <c r="V6" s="31" t="s">
        <v>675</v>
      </c>
      <c r="W6" s="64" t="s">
        <v>676</v>
      </c>
      <c r="X6" s="65" t="s">
        <v>419</v>
      </c>
    </row>
    <row r="7" customFormat="false" ht="15" hidden="false" customHeight="false" outlineLevel="0" collapsed="false">
      <c r="A7" s="32" t="n">
        <v>1</v>
      </c>
      <c r="B7" s="32" t="s">
        <v>276</v>
      </c>
      <c r="C7" s="33" t="s">
        <v>277</v>
      </c>
      <c r="D7" s="34" t="n">
        <v>500</v>
      </c>
      <c r="E7" s="35" t="n">
        <v>4024</v>
      </c>
      <c r="F7" s="35" t="n">
        <v>2689</v>
      </c>
      <c r="G7" s="35" t="n">
        <v>5590</v>
      </c>
      <c r="H7" s="35" t="n">
        <v>3264</v>
      </c>
      <c r="I7" s="34" t="n">
        <f aca="false">H7*D7</f>
        <v>1632000</v>
      </c>
      <c r="J7" s="35" t="n">
        <f aca="false">①札幌予測確定!S7</f>
        <v>1000</v>
      </c>
      <c r="K7" s="35" t="n">
        <f aca="false">①札幌予測確定!P7</f>
        <v>467</v>
      </c>
      <c r="L7" s="35" t="n">
        <f aca="false">①札幌予測確定!U7</f>
        <v>533</v>
      </c>
      <c r="M7" s="35" t="n">
        <f aca="false">H7-J7</f>
        <v>2264</v>
      </c>
      <c r="N7" s="35" t="n">
        <f aca="false">M7+ROUND(L7*前提・入力!$B$37,0)</f>
        <v>2797</v>
      </c>
      <c r="O7" s="35" t="n">
        <f aca="false">③石川以降予測!N30</f>
        <v>3676</v>
      </c>
      <c r="P7" s="38" t="n">
        <f aca="false">N7-O7</f>
        <v>-879</v>
      </c>
      <c r="Q7" s="35" t="n">
        <f aca="false">MAX(0,-P7)</f>
        <v>879</v>
      </c>
      <c r="R7" s="35" t="n">
        <f aca="false">IF(Q7&gt;0,ROUNDUP(Q7*(1+前提・入力!$B$35),0),0)</f>
        <v>967</v>
      </c>
      <c r="S7" s="66" t="s">
        <v>376</v>
      </c>
      <c r="T7" s="67" t="n">
        <f aca="false">DATE(2027,4,1)-30-前提・入力!$B$38</f>
        <v>46434</v>
      </c>
      <c r="U7" s="66" t="str">
        <f aca="false">IF(S7="—","—",IF(T7="再生産不可","×再生産不可",_xlfn.IFS(T7-前提・入力!$B$39&lt;0,"★期限超過",T7-前提・入力!$B$39&lt;=30,"★至急(30日以内)",T7-前提・入力!$B$39&lt;=90,"要着手(90日以内)",TRUE(),"余裕あり")))</f>
        <v>余裕あり</v>
      </c>
      <c r="V7" s="66" t="str">
        <f aca="false">IF(Q7&gt;0,"★欠品：追加生産が必要",IF(P7&gt;=O7*2,"大幅余剰","在庫で充足"))</f>
        <v>★欠品：追加生産が必要</v>
      </c>
      <c r="W7" s="39"/>
      <c r="X7" s="69"/>
    </row>
    <row r="8" customFormat="false" ht="15" hidden="false" customHeight="false" outlineLevel="0" collapsed="false">
      <c r="A8" s="32" t="n">
        <v>2</v>
      </c>
      <c r="B8" s="32" t="s">
        <v>278</v>
      </c>
      <c r="C8" s="33" t="s">
        <v>279</v>
      </c>
      <c r="D8" s="34" t="n">
        <v>600</v>
      </c>
      <c r="E8" s="35" t="n">
        <v>1096</v>
      </c>
      <c r="F8" s="35" t="n">
        <v>5135</v>
      </c>
      <c r="G8" s="35" t="n">
        <v>7002</v>
      </c>
      <c r="H8" s="35" t="n">
        <v>5037</v>
      </c>
      <c r="I8" s="34" t="n">
        <f aca="false">H8*D8</f>
        <v>3022200</v>
      </c>
      <c r="J8" s="35" t="n">
        <f aca="false">①札幌予測確定!S8</f>
        <v>1000</v>
      </c>
      <c r="K8" s="35" t="n">
        <f aca="false">①札幌予測確定!P8</f>
        <v>509</v>
      </c>
      <c r="L8" s="35" t="n">
        <f aca="false">①札幌予測確定!U8</f>
        <v>491</v>
      </c>
      <c r="M8" s="35" t="n">
        <f aca="false">H8-J8</f>
        <v>4037</v>
      </c>
      <c r="N8" s="35" t="n">
        <f aca="false">M8+ROUND(L8*前提・入力!$B$37,0)</f>
        <v>4528</v>
      </c>
      <c r="O8" s="35" t="n">
        <f aca="false">③石川以降予測!N31</f>
        <v>3642</v>
      </c>
      <c r="P8" s="38" t="n">
        <f aca="false">N8-O8</f>
        <v>886</v>
      </c>
      <c r="Q8" s="35" t="n">
        <f aca="false">MAX(0,-P8)</f>
        <v>0</v>
      </c>
      <c r="R8" s="35" t="n">
        <f aca="false">IF(Q8&gt;0,ROUNDUP(Q8*(1+前提・入力!$B$35),0),0)</f>
        <v>0</v>
      </c>
      <c r="S8" s="69" t="s">
        <v>518</v>
      </c>
      <c r="T8" s="32"/>
      <c r="U8" s="66" t="str">
        <f aca="false">IF(S8="—","—",IF(T8="再生産不可","×再生産不可",_xlfn.IFS(T8-前提・入力!$B$39&lt;0,"★期限超過",T8-前提・入力!$B$39&lt;=30,"★至急(30日以内)",T8-前提・入力!$B$39&lt;=90,"要着手(90日以内)",TRUE(),"余裕あり")))</f>
        <v>—</v>
      </c>
      <c r="V8" s="66" t="str">
        <f aca="false">IF(Q8&gt;0,"★欠品：追加生産が必要",IF(P8&gt;=O8*2,"大幅余剰","在庫で充足"))</f>
        <v>在庫で充足</v>
      </c>
      <c r="W8" s="39"/>
      <c r="X8" s="69"/>
    </row>
    <row r="9" customFormat="false" ht="15" hidden="false" customHeight="false" outlineLevel="0" collapsed="false">
      <c r="A9" s="32" t="n">
        <v>3</v>
      </c>
      <c r="B9" s="32" t="s">
        <v>280</v>
      </c>
      <c r="C9" s="33" t="s">
        <v>281</v>
      </c>
      <c r="D9" s="34" t="n">
        <v>1000</v>
      </c>
      <c r="E9" s="35" t="n">
        <v>3340</v>
      </c>
      <c r="F9" s="35" t="n">
        <v>2735</v>
      </c>
      <c r="G9" s="35" t="n">
        <v>7280</v>
      </c>
      <c r="H9" s="35" t="n">
        <v>6140</v>
      </c>
      <c r="I9" s="34" t="n">
        <f aca="false">H9*D9</f>
        <v>6140000</v>
      </c>
      <c r="J9" s="35" t="n">
        <f aca="false">①札幌予測確定!S9</f>
        <v>450</v>
      </c>
      <c r="K9" s="35" t="n">
        <f aca="false">①札幌予測確定!P9</f>
        <v>163</v>
      </c>
      <c r="L9" s="35" t="n">
        <f aca="false">①札幌予測確定!U9</f>
        <v>287</v>
      </c>
      <c r="M9" s="35" t="n">
        <f aca="false">H9-J9</f>
        <v>5690</v>
      </c>
      <c r="N9" s="35" t="n">
        <f aca="false">M9+ROUND(L9*前提・入力!$B$37,0)</f>
        <v>5977</v>
      </c>
      <c r="O9" s="35" t="n">
        <f aca="false">③石川以降予測!N32</f>
        <v>1489</v>
      </c>
      <c r="P9" s="38" t="n">
        <f aca="false">N9-O9</f>
        <v>4488</v>
      </c>
      <c r="Q9" s="35" t="n">
        <f aca="false">MAX(0,-P9)</f>
        <v>0</v>
      </c>
      <c r="R9" s="35" t="n">
        <f aca="false">IF(Q9&gt;0,ROUNDUP(Q9*(1+前提・入力!$B$35),0),0)</f>
        <v>0</v>
      </c>
      <c r="S9" s="69" t="s">
        <v>518</v>
      </c>
      <c r="T9" s="32"/>
      <c r="U9" s="66" t="str">
        <f aca="false">IF(S9="—","—",IF(T9="再生産不可","×再生産不可",_xlfn.IFS(T9-前提・入力!$B$39&lt;0,"★期限超過",T9-前提・入力!$B$39&lt;=30,"★至急(30日以内)",T9-前提・入力!$B$39&lt;=90,"要着手(90日以内)",TRUE(),"余裕あり")))</f>
        <v>—</v>
      </c>
      <c r="V9" s="66" t="str">
        <f aca="false">IF(Q9&gt;0,"★欠品：追加生産が必要",IF(P9&gt;=O9*2,"大幅余剰","在庫で充足"))</f>
        <v>大幅余剰</v>
      </c>
      <c r="W9" s="39"/>
      <c r="X9" s="69" t="s">
        <v>677</v>
      </c>
    </row>
    <row r="10" customFormat="false" ht="15" hidden="false" customHeight="false" outlineLevel="0" collapsed="false">
      <c r="A10" s="32" t="n">
        <v>4</v>
      </c>
      <c r="B10" s="32" t="s">
        <v>282</v>
      </c>
      <c r="C10" s="33" t="s">
        <v>283</v>
      </c>
      <c r="D10" s="34" t="n">
        <v>1800</v>
      </c>
      <c r="E10" s="35" t="n">
        <v>3297</v>
      </c>
      <c r="F10" s="35" t="n">
        <v>2368</v>
      </c>
      <c r="G10" s="35" t="n">
        <v>28823</v>
      </c>
      <c r="H10" s="35" t="n">
        <v>27511</v>
      </c>
      <c r="I10" s="34" t="n">
        <f aca="false">H10*D10</f>
        <v>49519800</v>
      </c>
      <c r="J10" s="35" t="n">
        <f aca="false">①札幌予測確定!S10</f>
        <v>800</v>
      </c>
      <c r="K10" s="35" t="n">
        <f aca="false">①札幌予測確定!P10</f>
        <v>229</v>
      </c>
      <c r="L10" s="35" t="n">
        <f aca="false">①札幌予測確定!U10</f>
        <v>571</v>
      </c>
      <c r="M10" s="35" t="n">
        <f aca="false">H10-J10</f>
        <v>26711</v>
      </c>
      <c r="N10" s="35" t="n">
        <f aca="false">M10+ROUND(L10*前提・入力!$B$37,0)</f>
        <v>27282</v>
      </c>
      <c r="O10" s="35" t="n">
        <f aca="false">③石川以降予測!N33</f>
        <v>1912</v>
      </c>
      <c r="P10" s="38" t="n">
        <f aca="false">N10-O10</f>
        <v>25370</v>
      </c>
      <c r="Q10" s="35" t="n">
        <f aca="false">MAX(0,-P10)</f>
        <v>0</v>
      </c>
      <c r="R10" s="35" t="n">
        <f aca="false">IF(Q10&gt;0,ROUNDUP(Q10*(1+前提・入力!$B$35),0),0)</f>
        <v>0</v>
      </c>
      <c r="S10" s="69" t="s">
        <v>518</v>
      </c>
      <c r="T10" s="32"/>
      <c r="U10" s="66" t="str">
        <f aca="false">IF(S10="—","—",IF(T10="再生産不可","×再生産不可",_xlfn.IFS(T10-前提・入力!$B$39&lt;0,"★期限超過",T10-前提・入力!$B$39&lt;=30,"★至急(30日以内)",T10-前提・入力!$B$39&lt;=90,"要着手(90日以内)",TRUE(),"余裕あり")))</f>
        <v>—</v>
      </c>
      <c r="V10" s="66" t="str">
        <f aca="false">IF(Q10&gt;0,"★欠品：追加生産が必要",IF(P10&gt;=O10*2,"大幅余剰","在庫で充足"))</f>
        <v>大幅余剰</v>
      </c>
      <c r="W10" s="39"/>
      <c r="X10" s="69" t="s">
        <v>678</v>
      </c>
    </row>
    <row r="11" customFormat="false" ht="15" hidden="false" customHeight="false" outlineLevel="0" collapsed="false">
      <c r="A11" s="32" t="n">
        <v>5</v>
      </c>
      <c r="B11" s="32" t="s">
        <v>284</v>
      </c>
      <c r="C11" s="33" t="s">
        <v>285</v>
      </c>
      <c r="D11" s="34" t="n">
        <v>600</v>
      </c>
      <c r="E11" s="35" t="n">
        <v>5958</v>
      </c>
      <c r="F11" s="35" t="n">
        <v>10871</v>
      </c>
      <c r="G11" s="35" t="n">
        <v>48871</v>
      </c>
      <c r="H11" s="35" t="n">
        <v>39825</v>
      </c>
      <c r="I11" s="34" t="n">
        <f aca="false">H11*D11</f>
        <v>23895000</v>
      </c>
      <c r="J11" s="35" t="n">
        <f aca="false">①札幌予測確定!S11</f>
        <v>9000</v>
      </c>
      <c r="K11" s="35" t="n">
        <f aca="false">①札幌予測確定!P11</f>
        <v>465</v>
      </c>
      <c r="L11" s="35" t="n">
        <f aca="false">①札幌予測確定!U11</f>
        <v>8535</v>
      </c>
      <c r="M11" s="35" t="n">
        <f aca="false">H11-J11</f>
        <v>30825</v>
      </c>
      <c r="N11" s="35" t="n">
        <f aca="false">M11+ROUND(L11*前提・入力!$B$37,0)</f>
        <v>39360</v>
      </c>
      <c r="O11" s="35" t="n">
        <f aca="false">③石川以降予測!N34</f>
        <v>7909</v>
      </c>
      <c r="P11" s="38" t="n">
        <f aca="false">N11-O11</f>
        <v>31451</v>
      </c>
      <c r="Q11" s="35" t="n">
        <f aca="false">MAX(0,-P11)</f>
        <v>0</v>
      </c>
      <c r="R11" s="35" t="n">
        <f aca="false">IF(Q11&gt;0,ROUNDUP(Q11*(1+前提・入力!$B$35),0),0)</f>
        <v>0</v>
      </c>
      <c r="S11" s="69" t="s">
        <v>518</v>
      </c>
      <c r="T11" s="32"/>
      <c r="U11" s="66" t="str">
        <f aca="false">IF(S11="—","—",IF(T11="再生産不可","×再生産不可",_xlfn.IFS(T11-前提・入力!$B$39&lt;0,"★期限超過",T11-前提・入力!$B$39&lt;=30,"★至急(30日以内)",T11-前提・入力!$B$39&lt;=90,"要着手(90日以内)",TRUE(),"余裕あり")))</f>
        <v>—</v>
      </c>
      <c r="V11" s="66" t="str">
        <f aca="false">IF(Q11&gt;0,"★欠品：追加生産が必要",IF(P11&gt;=O11*2,"大幅余剰","在庫で充足"))</f>
        <v>大幅余剰</v>
      </c>
      <c r="W11" s="39"/>
      <c r="X11" s="69"/>
    </row>
    <row r="12" customFormat="false" ht="15" hidden="false" customHeight="false" outlineLevel="0" collapsed="false">
      <c r="A12" s="32" t="n">
        <v>6</v>
      </c>
      <c r="B12" s="32" t="s">
        <v>286</v>
      </c>
      <c r="C12" s="33" t="s">
        <v>287</v>
      </c>
      <c r="D12" s="34" t="n">
        <v>600</v>
      </c>
      <c r="E12" s="35" t="n">
        <v>12914</v>
      </c>
      <c r="F12" s="35" t="n">
        <v>18595</v>
      </c>
      <c r="G12" s="35" t="n">
        <v>69589</v>
      </c>
      <c r="H12" s="35" t="n">
        <v>50834</v>
      </c>
      <c r="I12" s="34" t="n">
        <f aca="false">H12*D12</f>
        <v>30500400</v>
      </c>
      <c r="J12" s="35" t="n">
        <f aca="false">①札幌予測確定!S12</f>
        <v>13991</v>
      </c>
      <c r="K12" s="35" t="n">
        <f aca="false">①札幌予測確定!P12</f>
        <v>1317</v>
      </c>
      <c r="L12" s="35" t="n">
        <f aca="false">①札幌予測確定!U12</f>
        <v>12674</v>
      </c>
      <c r="M12" s="35" t="n">
        <f aca="false">H12-J12</f>
        <v>36843</v>
      </c>
      <c r="N12" s="35" t="n">
        <f aca="false">M12+ROUND(L12*前提・入力!$B$37,0)</f>
        <v>49517</v>
      </c>
      <c r="O12" s="35" t="n">
        <f aca="false">③石川以降予測!N35</f>
        <v>18104</v>
      </c>
      <c r="P12" s="38" t="n">
        <f aca="false">N12-O12</f>
        <v>31413</v>
      </c>
      <c r="Q12" s="35" t="n">
        <f aca="false">MAX(0,-P12)</f>
        <v>0</v>
      </c>
      <c r="R12" s="35" t="n">
        <f aca="false">IF(Q12&gt;0,ROUNDUP(Q12*(1+前提・入力!$B$35),0),0)</f>
        <v>0</v>
      </c>
      <c r="S12" s="69" t="s">
        <v>518</v>
      </c>
      <c r="T12" s="32"/>
      <c r="U12" s="66" t="str">
        <f aca="false">IF(S12="—","—",IF(T12="再生産不可","×再生産不可",_xlfn.IFS(T12-前提・入力!$B$39&lt;0,"★期限超過",T12-前提・入力!$B$39&lt;=30,"★至急(30日以内)",T12-前提・入力!$B$39&lt;=90,"要着手(90日以内)",TRUE(),"余裕あり")))</f>
        <v>—</v>
      </c>
      <c r="V12" s="66" t="str">
        <f aca="false">IF(Q12&gt;0,"★欠品：追加生産が必要",IF(P12&gt;=O12*2,"大幅余剰","在庫で充足"))</f>
        <v>在庫で充足</v>
      </c>
      <c r="W12" s="39"/>
      <c r="X12" s="69"/>
    </row>
    <row r="13" customFormat="false" ht="15" hidden="false" customHeight="false" outlineLevel="0" collapsed="false">
      <c r="A13" s="32" t="n">
        <v>7</v>
      </c>
      <c r="B13" s="32" t="s">
        <v>288</v>
      </c>
      <c r="C13" s="33" t="s">
        <v>289</v>
      </c>
      <c r="D13" s="34" t="n">
        <v>600</v>
      </c>
      <c r="E13" s="35" t="n">
        <v>6467</v>
      </c>
      <c r="F13" s="35" t="n">
        <v>5884</v>
      </c>
      <c r="G13" s="35" t="n">
        <v>5484</v>
      </c>
      <c r="H13" s="35" t="n">
        <v>4542</v>
      </c>
      <c r="I13" s="34" t="n">
        <f aca="false">H13*D13</f>
        <v>2725200</v>
      </c>
      <c r="J13" s="35" t="n">
        <f aca="false">①札幌予測確定!S13</f>
        <v>350</v>
      </c>
      <c r="K13" s="35" t="n">
        <f aca="false">①札幌予測確定!P13</f>
        <v>194</v>
      </c>
      <c r="L13" s="35" t="n">
        <f aca="false">①札幌予測確定!U13</f>
        <v>156</v>
      </c>
      <c r="M13" s="35" t="n">
        <f aca="false">H13-J13</f>
        <v>4192</v>
      </c>
      <c r="N13" s="35" t="n">
        <f aca="false">M13+ROUND(L13*前提・入力!$B$37,0)</f>
        <v>4348</v>
      </c>
      <c r="O13" s="35" t="n">
        <f aca="false">③石川以降予測!N36</f>
        <v>1511</v>
      </c>
      <c r="P13" s="38" t="n">
        <f aca="false">N13-O13</f>
        <v>2837</v>
      </c>
      <c r="Q13" s="35" t="n">
        <f aca="false">MAX(0,-P13)</f>
        <v>0</v>
      </c>
      <c r="R13" s="35" t="n">
        <f aca="false">IF(Q13&gt;0,ROUNDUP(Q13*(1+前提・入力!$B$35),0),0)</f>
        <v>0</v>
      </c>
      <c r="S13" s="69" t="s">
        <v>518</v>
      </c>
      <c r="T13" s="32"/>
      <c r="U13" s="66" t="str">
        <f aca="false">IF(S13="—","—",IF(T13="再生産不可","×再生産不可",_xlfn.IFS(T13-前提・入力!$B$39&lt;0,"★期限超過",T13-前提・入力!$B$39&lt;=30,"★至急(30日以内)",T13-前提・入力!$B$39&lt;=90,"要着手(90日以内)",TRUE(),"余裕あり")))</f>
        <v>—</v>
      </c>
      <c r="V13" s="66" t="str">
        <f aca="false">IF(Q13&gt;0,"★欠品：追加生産が必要",IF(P13&gt;=O13*2,"大幅余剰","在庫で充足"))</f>
        <v>在庫で充足</v>
      </c>
      <c r="W13" s="39"/>
      <c r="X13" s="69"/>
    </row>
    <row r="14" customFormat="false" ht="15" hidden="false" customHeight="false" outlineLevel="0" collapsed="false">
      <c r="A14" s="32" t="n">
        <v>8</v>
      </c>
      <c r="B14" s="32" t="s">
        <v>290</v>
      </c>
      <c r="C14" s="33" t="s">
        <v>291</v>
      </c>
      <c r="D14" s="34" t="n">
        <v>600</v>
      </c>
      <c r="E14" s="35" t="n">
        <v>12329</v>
      </c>
      <c r="F14" s="35" t="n">
        <v>11145</v>
      </c>
      <c r="G14" s="35" t="n">
        <v>10317</v>
      </c>
      <c r="H14" s="35" t="n">
        <v>8551</v>
      </c>
      <c r="I14" s="34" t="n">
        <f aca="false">H14*D14</f>
        <v>5130600</v>
      </c>
      <c r="J14" s="35" t="n">
        <f aca="false">①札幌予測確定!S14</f>
        <v>900</v>
      </c>
      <c r="K14" s="35" t="n">
        <f aca="false">①札幌予測確定!P14</f>
        <v>321</v>
      </c>
      <c r="L14" s="35" t="n">
        <f aca="false">①札幌予測確定!U14</f>
        <v>579</v>
      </c>
      <c r="M14" s="35" t="n">
        <f aca="false">H14-J14</f>
        <v>7651</v>
      </c>
      <c r="N14" s="35" t="n">
        <f aca="false">M14+ROUND(L14*前提・入力!$B$37,0)</f>
        <v>8230</v>
      </c>
      <c r="O14" s="35" t="n">
        <f aca="false">③石川以降予測!N37</f>
        <v>2630</v>
      </c>
      <c r="P14" s="38" t="n">
        <f aca="false">N14-O14</f>
        <v>5600</v>
      </c>
      <c r="Q14" s="35" t="n">
        <f aca="false">MAX(0,-P14)</f>
        <v>0</v>
      </c>
      <c r="R14" s="35" t="n">
        <f aca="false">IF(Q14&gt;0,ROUNDUP(Q14*(1+前提・入力!$B$35),0),0)</f>
        <v>0</v>
      </c>
      <c r="S14" s="69" t="s">
        <v>518</v>
      </c>
      <c r="T14" s="32"/>
      <c r="U14" s="66" t="str">
        <f aca="false">IF(S14="—","—",IF(T14="再生産不可","×再生産不可",_xlfn.IFS(T14-前提・入力!$B$39&lt;0,"★期限超過",T14-前提・入力!$B$39&lt;=30,"★至急(30日以内)",T14-前提・入力!$B$39&lt;=90,"要着手(90日以内)",TRUE(),"余裕あり")))</f>
        <v>—</v>
      </c>
      <c r="V14" s="66" t="str">
        <f aca="false">IF(Q14&gt;0,"★欠品：追加生産が必要",IF(P14&gt;=O14*2,"大幅余剰","在庫で充足"))</f>
        <v>大幅余剰</v>
      </c>
      <c r="W14" s="39"/>
      <c r="X14" s="69"/>
    </row>
    <row r="15" customFormat="false" ht="15" hidden="false" customHeight="false" outlineLevel="0" collapsed="false">
      <c r="A15" s="32" t="n">
        <v>9</v>
      </c>
      <c r="B15" s="32" t="s">
        <v>292</v>
      </c>
      <c r="C15" s="33" t="s">
        <v>293</v>
      </c>
      <c r="D15" s="34" t="n">
        <v>600</v>
      </c>
      <c r="E15" s="35" t="n">
        <v>10118</v>
      </c>
      <c r="F15" s="35" t="n">
        <v>9802</v>
      </c>
      <c r="G15" s="35" t="n">
        <v>9502</v>
      </c>
      <c r="H15" s="35" t="n">
        <v>8759</v>
      </c>
      <c r="I15" s="34" t="n">
        <f aca="false">H15*D15</f>
        <v>5255400</v>
      </c>
      <c r="J15" s="35" t="n">
        <f aca="false">①札幌予測確定!S15</f>
        <v>300</v>
      </c>
      <c r="K15" s="35" t="n">
        <f aca="false">①札幌予測確定!P15</f>
        <v>128</v>
      </c>
      <c r="L15" s="35" t="n">
        <f aca="false">①札幌予測確定!U15</f>
        <v>172</v>
      </c>
      <c r="M15" s="35" t="n">
        <f aca="false">H15-J15</f>
        <v>8459</v>
      </c>
      <c r="N15" s="35" t="n">
        <f aca="false">M15+ROUND(L15*前提・入力!$B$37,0)</f>
        <v>8631</v>
      </c>
      <c r="O15" s="35" t="n">
        <f aca="false">③石川以降予測!N38</f>
        <v>1076</v>
      </c>
      <c r="P15" s="38" t="n">
        <f aca="false">N15-O15</f>
        <v>7555</v>
      </c>
      <c r="Q15" s="35" t="n">
        <f aca="false">MAX(0,-P15)</f>
        <v>0</v>
      </c>
      <c r="R15" s="35" t="n">
        <f aca="false">IF(Q15&gt;0,ROUNDUP(Q15*(1+前提・入力!$B$35),0),0)</f>
        <v>0</v>
      </c>
      <c r="S15" s="69" t="s">
        <v>518</v>
      </c>
      <c r="T15" s="32"/>
      <c r="U15" s="66" t="str">
        <f aca="false">IF(S15="—","—",IF(T15="再生産不可","×再生産不可",_xlfn.IFS(T15-前提・入力!$B$39&lt;0,"★期限超過",T15-前提・入力!$B$39&lt;=30,"★至急(30日以内)",T15-前提・入力!$B$39&lt;=90,"要着手(90日以内)",TRUE(),"余裕あり")))</f>
        <v>—</v>
      </c>
      <c r="V15" s="66" t="str">
        <f aca="false">IF(Q15&gt;0,"★欠品：追加生産が必要",IF(P15&gt;=O15*2,"大幅余剰","在庫で充足"))</f>
        <v>大幅余剰</v>
      </c>
      <c r="W15" s="39"/>
      <c r="X15" s="69"/>
    </row>
    <row r="16" customFormat="false" ht="15" hidden="false" customHeight="false" outlineLevel="0" collapsed="false">
      <c r="A16" s="32" t="n">
        <v>10</v>
      </c>
      <c r="B16" s="32" t="s">
        <v>294</v>
      </c>
      <c r="C16" s="33" t="s">
        <v>295</v>
      </c>
      <c r="D16" s="34" t="n">
        <v>600</v>
      </c>
      <c r="E16" s="35" t="n">
        <v>5476</v>
      </c>
      <c r="F16" s="35" t="n">
        <v>5335</v>
      </c>
      <c r="G16" s="35" t="n">
        <v>5213</v>
      </c>
      <c r="H16" s="35" t="n">
        <v>4935</v>
      </c>
      <c r="I16" s="34" t="n">
        <f aca="false">H16*D16</f>
        <v>2961000</v>
      </c>
      <c r="J16" s="35" t="n">
        <f aca="false">①札幌予測確定!S16</f>
        <v>100</v>
      </c>
      <c r="K16" s="35" t="n">
        <f aca="false">①札幌予測確定!P16</f>
        <v>48</v>
      </c>
      <c r="L16" s="35" t="n">
        <f aca="false">①札幌予測確定!U16</f>
        <v>52</v>
      </c>
      <c r="M16" s="35" t="n">
        <f aca="false">H16-J16</f>
        <v>4835</v>
      </c>
      <c r="N16" s="35" t="n">
        <f aca="false">M16+ROUND(L16*前提・入力!$B$37,0)</f>
        <v>4887</v>
      </c>
      <c r="O16" s="35" t="n">
        <f aca="false">③石川以降予測!N39</f>
        <v>403</v>
      </c>
      <c r="P16" s="38" t="n">
        <f aca="false">N16-O16</f>
        <v>4484</v>
      </c>
      <c r="Q16" s="35" t="n">
        <f aca="false">MAX(0,-P16)</f>
        <v>0</v>
      </c>
      <c r="R16" s="35" t="n">
        <f aca="false">IF(Q16&gt;0,ROUNDUP(Q16*(1+前提・入力!$B$35),0),0)</f>
        <v>0</v>
      </c>
      <c r="S16" s="69" t="s">
        <v>518</v>
      </c>
      <c r="T16" s="32"/>
      <c r="U16" s="66" t="str">
        <f aca="false">IF(S16="—","—",IF(T16="再生産不可","×再生産不可",_xlfn.IFS(T16-前提・入力!$B$39&lt;0,"★期限超過",T16-前提・入力!$B$39&lt;=30,"★至急(30日以内)",T16-前提・入力!$B$39&lt;=90,"要着手(90日以内)",TRUE(),"余裕あり")))</f>
        <v>—</v>
      </c>
      <c r="V16" s="66" t="str">
        <f aca="false">IF(Q16&gt;0,"★欠品：追加生産が必要",IF(P16&gt;=O16*2,"大幅余剰","在庫で充足"))</f>
        <v>大幅余剰</v>
      </c>
      <c r="W16" s="39"/>
      <c r="X16" s="69"/>
    </row>
    <row r="17" customFormat="false" ht="15" hidden="false" customHeight="false" outlineLevel="0" collapsed="false">
      <c r="A17" s="32" t="n">
        <v>11</v>
      </c>
      <c r="B17" s="32" t="s">
        <v>296</v>
      </c>
      <c r="C17" s="33" t="s">
        <v>297</v>
      </c>
      <c r="D17" s="34" t="n">
        <v>600</v>
      </c>
      <c r="E17" s="35" t="n">
        <v>785</v>
      </c>
      <c r="F17" s="35" t="n">
        <v>748</v>
      </c>
      <c r="G17" s="35" t="n">
        <v>718</v>
      </c>
      <c r="H17" s="35" t="n">
        <v>640</v>
      </c>
      <c r="I17" s="34" t="n">
        <f aca="false">H17*D17</f>
        <v>384000</v>
      </c>
      <c r="J17" s="35" t="n">
        <f aca="false">①札幌予測確定!S17</f>
        <v>50</v>
      </c>
      <c r="K17" s="35" t="n">
        <f aca="false">①札幌予測確定!P17</f>
        <v>24</v>
      </c>
      <c r="L17" s="35" t="n">
        <f aca="false">①札幌予測確定!U17</f>
        <v>26</v>
      </c>
      <c r="M17" s="35" t="n">
        <f aca="false">H17-J17</f>
        <v>590</v>
      </c>
      <c r="N17" s="35" t="n">
        <f aca="false">M17+ROUND(L17*前提・入力!$B$37,0)</f>
        <v>616</v>
      </c>
      <c r="O17" s="35" t="n">
        <f aca="false">③石川以降予測!N40</f>
        <v>162</v>
      </c>
      <c r="P17" s="38" t="n">
        <f aca="false">N17-O17</f>
        <v>454</v>
      </c>
      <c r="Q17" s="35" t="n">
        <f aca="false">MAX(0,-P17)</f>
        <v>0</v>
      </c>
      <c r="R17" s="35" t="n">
        <f aca="false">IF(Q17&gt;0,ROUNDUP(Q17*(1+前提・入力!$B$35),0),0)</f>
        <v>0</v>
      </c>
      <c r="S17" s="69" t="s">
        <v>518</v>
      </c>
      <c r="T17" s="32"/>
      <c r="U17" s="66" t="str">
        <f aca="false">IF(S17="—","—",IF(T17="再生産不可","×再生産不可",_xlfn.IFS(T17-前提・入力!$B$39&lt;0,"★期限超過",T17-前提・入力!$B$39&lt;=30,"★至急(30日以内)",T17-前提・入力!$B$39&lt;=90,"要着手(90日以内)",TRUE(),"余裕あり")))</f>
        <v>—</v>
      </c>
      <c r="V17" s="66" t="str">
        <f aca="false">IF(Q17&gt;0,"★欠品：追加生産が必要",IF(P17&gt;=O17*2,"大幅余剰","在庫で充足"))</f>
        <v>大幅余剰</v>
      </c>
      <c r="W17" s="39"/>
      <c r="X17" s="69"/>
    </row>
    <row r="18" customFormat="false" ht="15" hidden="false" customHeight="false" outlineLevel="0" collapsed="false">
      <c r="A18" s="32" t="n">
        <v>12</v>
      </c>
      <c r="B18" s="32" t="s">
        <v>298</v>
      </c>
      <c r="C18" s="33" t="s">
        <v>299</v>
      </c>
      <c r="D18" s="34" t="n">
        <v>600</v>
      </c>
      <c r="E18" s="35" t="n">
        <v>1209</v>
      </c>
      <c r="F18" s="35" t="n">
        <v>1149</v>
      </c>
      <c r="G18" s="35" t="n">
        <v>1095</v>
      </c>
      <c r="H18" s="35" t="n">
        <v>953</v>
      </c>
      <c r="I18" s="34" t="n">
        <f aca="false">H18*D18</f>
        <v>571800</v>
      </c>
      <c r="J18" s="35" t="n">
        <f aca="false">①札幌予測確定!S18</f>
        <v>50</v>
      </c>
      <c r="K18" s="35" t="n">
        <f aca="false">①札幌予測確定!P18</f>
        <v>34</v>
      </c>
      <c r="L18" s="35" t="n">
        <f aca="false">①札幌予測確定!U18</f>
        <v>16</v>
      </c>
      <c r="M18" s="35" t="n">
        <f aca="false">H18-J18</f>
        <v>903</v>
      </c>
      <c r="N18" s="35" t="n">
        <f aca="false">M18+ROUND(L18*前提・入力!$B$37,0)</f>
        <v>919</v>
      </c>
      <c r="O18" s="35" t="n">
        <f aca="false">③石川以降予測!N41</f>
        <v>251</v>
      </c>
      <c r="P18" s="38" t="n">
        <f aca="false">N18-O18</f>
        <v>668</v>
      </c>
      <c r="Q18" s="35" t="n">
        <f aca="false">MAX(0,-P18)</f>
        <v>0</v>
      </c>
      <c r="R18" s="35" t="n">
        <f aca="false">IF(Q18&gt;0,ROUNDUP(Q18*(1+前提・入力!$B$35),0),0)</f>
        <v>0</v>
      </c>
      <c r="S18" s="69" t="s">
        <v>518</v>
      </c>
      <c r="T18" s="32"/>
      <c r="U18" s="66" t="str">
        <f aca="false">IF(S18="—","—",IF(T18="再生産不可","×再生産不可",_xlfn.IFS(T18-前提・入力!$B$39&lt;0,"★期限超過",T18-前提・入力!$B$39&lt;=30,"★至急(30日以内)",T18-前提・入力!$B$39&lt;=90,"要着手(90日以内)",TRUE(),"余裕あり")))</f>
        <v>—</v>
      </c>
      <c r="V18" s="66" t="str">
        <f aca="false">IF(Q18&gt;0,"★欠品：追加生産が必要",IF(P18&gt;=O18*2,"大幅余剰","在庫で充足"))</f>
        <v>大幅余剰</v>
      </c>
      <c r="W18" s="39"/>
      <c r="X18" s="69"/>
    </row>
    <row r="19" customFormat="false" ht="15" hidden="false" customHeight="false" outlineLevel="0" collapsed="false">
      <c r="A19" s="32" t="n">
        <v>13</v>
      </c>
      <c r="B19" s="32" t="s">
        <v>300</v>
      </c>
      <c r="C19" s="33" t="s">
        <v>301</v>
      </c>
      <c r="D19" s="34" t="n">
        <v>600</v>
      </c>
      <c r="E19" s="35" t="n">
        <v>401</v>
      </c>
      <c r="F19" s="35" t="n">
        <v>385</v>
      </c>
      <c r="G19" s="35" t="n">
        <v>363</v>
      </c>
      <c r="H19" s="35" t="n">
        <v>320</v>
      </c>
      <c r="I19" s="34" t="n">
        <f aca="false">H19*D19</f>
        <v>192000</v>
      </c>
      <c r="J19" s="35" t="n">
        <f aca="false">①札幌予測確定!S19</f>
        <v>50</v>
      </c>
      <c r="K19" s="35" t="n">
        <f aca="false">①札幌予測確定!P19</f>
        <v>5</v>
      </c>
      <c r="L19" s="35" t="n">
        <f aca="false">①札幌予測確定!U19</f>
        <v>45</v>
      </c>
      <c r="M19" s="35" t="n">
        <f aca="false">H19-J19</f>
        <v>270</v>
      </c>
      <c r="N19" s="35" t="n">
        <f aca="false">M19+ROUND(L19*前提・入力!$B$37,0)</f>
        <v>315</v>
      </c>
      <c r="O19" s="35" t="n">
        <f aca="false">③石川以降予測!N42</f>
        <v>51</v>
      </c>
      <c r="P19" s="38" t="n">
        <f aca="false">N19-O19</f>
        <v>264</v>
      </c>
      <c r="Q19" s="35" t="n">
        <f aca="false">MAX(0,-P19)</f>
        <v>0</v>
      </c>
      <c r="R19" s="35" t="n">
        <f aca="false">IF(Q19&gt;0,ROUNDUP(Q19*(1+前提・入力!$B$35),0),0)</f>
        <v>0</v>
      </c>
      <c r="S19" s="69" t="s">
        <v>518</v>
      </c>
      <c r="T19" s="32"/>
      <c r="U19" s="66" t="str">
        <f aca="false">IF(S19="—","—",IF(T19="再生産不可","×再生産不可",_xlfn.IFS(T19-前提・入力!$B$39&lt;0,"★期限超過",T19-前提・入力!$B$39&lt;=30,"★至急(30日以内)",T19-前提・入力!$B$39&lt;=90,"要着手(90日以内)",TRUE(),"余裕あり")))</f>
        <v>—</v>
      </c>
      <c r="V19" s="66" t="str">
        <f aca="false">IF(Q19&gt;0,"★欠品：追加生産が必要",IF(P19&gt;=O19*2,"大幅余剰","在庫で充足"))</f>
        <v>大幅余剰</v>
      </c>
      <c r="W19" s="39"/>
      <c r="X19" s="69"/>
    </row>
    <row r="20" customFormat="false" ht="15" hidden="false" customHeight="false" outlineLevel="0" collapsed="false">
      <c r="A20" s="32" t="n">
        <v>14</v>
      </c>
      <c r="B20" s="32" t="s">
        <v>302</v>
      </c>
      <c r="C20" s="33" t="s">
        <v>303</v>
      </c>
      <c r="D20" s="34" t="n">
        <v>600</v>
      </c>
      <c r="E20" s="35" t="n">
        <v>2089</v>
      </c>
      <c r="F20" s="35" t="n">
        <v>2016</v>
      </c>
      <c r="G20" s="35" t="n">
        <v>1936</v>
      </c>
      <c r="H20" s="35" t="n">
        <v>1790</v>
      </c>
      <c r="I20" s="34" t="n">
        <f aca="false">H20*D20</f>
        <v>1074000</v>
      </c>
      <c r="J20" s="35" t="n">
        <f aca="false">①札幌予測確定!S20</f>
        <v>50</v>
      </c>
      <c r="K20" s="35" t="n">
        <f aca="false">①札幌予測確定!P20</f>
        <v>38</v>
      </c>
      <c r="L20" s="35" t="n">
        <f aca="false">①札幌予測確定!U20</f>
        <v>12</v>
      </c>
      <c r="M20" s="35" t="n">
        <f aca="false">H20-J20</f>
        <v>1740</v>
      </c>
      <c r="N20" s="35" t="n">
        <f aca="false">M20+ROUND(L20*前提・入力!$B$37,0)</f>
        <v>1752</v>
      </c>
      <c r="O20" s="35" t="n">
        <f aca="false">③石川以降予測!N43</f>
        <v>271</v>
      </c>
      <c r="P20" s="38" t="n">
        <f aca="false">N20-O20</f>
        <v>1481</v>
      </c>
      <c r="Q20" s="35" t="n">
        <f aca="false">MAX(0,-P20)</f>
        <v>0</v>
      </c>
      <c r="R20" s="35" t="n">
        <f aca="false">IF(Q20&gt;0,ROUNDUP(Q20*(1+前提・入力!$B$35),0),0)</f>
        <v>0</v>
      </c>
      <c r="S20" s="69" t="s">
        <v>518</v>
      </c>
      <c r="T20" s="32"/>
      <c r="U20" s="66" t="str">
        <f aca="false">IF(S20="—","—",IF(T20="再生産不可","×再生産不可",_xlfn.IFS(T20-前提・入力!$B$39&lt;0,"★期限超過",T20-前提・入力!$B$39&lt;=30,"★至急(30日以内)",T20-前提・入力!$B$39&lt;=90,"要着手(90日以内)",TRUE(),"余裕あり")))</f>
        <v>—</v>
      </c>
      <c r="V20" s="66" t="str">
        <f aca="false">IF(Q20&gt;0,"★欠品：追加生産が必要",IF(P20&gt;=O20*2,"大幅余剰","在庫で充足"))</f>
        <v>大幅余剰</v>
      </c>
      <c r="W20" s="39" t="s">
        <v>679</v>
      </c>
      <c r="X20" s="66" t="s">
        <v>680</v>
      </c>
    </row>
    <row r="21" customFormat="false" ht="15" hidden="false" customHeight="false" outlineLevel="0" collapsed="false">
      <c r="A21" s="32" t="n">
        <v>15</v>
      </c>
      <c r="B21" s="32" t="s">
        <v>304</v>
      </c>
      <c r="C21" s="33" t="s">
        <v>305</v>
      </c>
      <c r="D21" s="34" t="n">
        <v>600</v>
      </c>
      <c r="E21" s="35" t="n">
        <v>2529</v>
      </c>
      <c r="F21" s="35" t="n">
        <v>2429</v>
      </c>
      <c r="G21" s="35" t="n">
        <v>2329</v>
      </c>
      <c r="H21" s="35" t="n">
        <v>2131</v>
      </c>
      <c r="I21" s="34" t="n">
        <f aca="false">H21*D21</f>
        <v>1278600</v>
      </c>
      <c r="J21" s="35" t="n">
        <f aca="false">①札幌予測確定!S21</f>
        <v>100</v>
      </c>
      <c r="K21" s="35" t="n">
        <f aca="false">①札幌予測確定!P21</f>
        <v>59</v>
      </c>
      <c r="L21" s="35" t="n">
        <f aca="false">①札幌予測確定!U21</f>
        <v>41</v>
      </c>
      <c r="M21" s="35" t="n">
        <f aca="false">H21-J21</f>
        <v>2031</v>
      </c>
      <c r="N21" s="35" t="n">
        <f aca="false">M21+ROUND(L21*前提・入力!$B$37,0)</f>
        <v>2072</v>
      </c>
      <c r="O21" s="35" t="n">
        <f aca="false">③石川以降予測!N44</f>
        <v>403</v>
      </c>
      <c r="P21" s="38" t="n">
        <f aca="false">N21-O21</f>
        <v>1669</v>
      </c>
      <c r="Q21" s="35" t="n">
        <f aca="false">MAX(0,-P21)</f>
        <v>0</v>
      </c>
      <c r="R21" s="35" t="n">
        <f aca="false">IF(Q21&gt;0,ROUNDUP(Q21*(1+前提・入力!$B$35),0),0)</f>
        <v>0</v>
      </c>
      <c r="S21" s="69" t="s">
        <v>518</v>
      </c>
      <c r="T21" s="32"/>
      <c r="U21" s="66" t="str">
        <f aca="false">IF(S21="—","—",IF(T21="再生産不可","×再生産不可",_xlfn.IFS(T21-前提・入力!$B$39&lt;0,"★期限超過",T21-前提・入力!$B$39&lt;=30,"★至急(30日以内)",T21-前提・入力!$B$39&lt;=90,"要着手(90日以内)",TRUE(),"余裕あり")))</f>
        <v>—</v>
      </c>
      <c r="V21" s="66" t="str">
        <f aca="false">IF(Q21&gt;0,"★欠品：追加生産が必要",IF(P21&gt;=O21*2,"大幅余剰","在庫で充足"))</f>
        <v>大幅余剰</v>
      </c>
      <c r="W21" s="39"/>
      <c r="X21" s="69"/>
    </row>
    <row r="22" customFormat="false" ht="15" hidden="false" customHeight="false" outlineLevel="0" collapsed="false">
      <c r="A22" s="32" t="n">
        <v>16</v>
      </c>
      <c r="B22" s="32" t="s">
        <v>306</v>
      </c>
      <c r="C22" s="33" t="s">
        <v>307</v>
      </c>
      <c r="D22" s="34" t="n">
        <v>600</v>
      </c>
      <c r="E22" s="35" t="n">
        <v>905</v>
      </c>
      <c r="F22" s="35" t="n">
        <v>867</v>
      </c>
      <c r="G22" s="35" t="n">
        <v>837</v>
      </c>
      <c r="H22" s="35" t="n">
        <v>772</v>
      </c>
      <c r="I22" s="34" t="n">
        <f aca="false">H22*D22</f>
        <v>463200</v>
      </c>
      <c r="J22" s="35" t="n">
        <f aca="false">①札幌予測確定!S22</f>
        <v>50</v>
      </c>
      <c r="K22" s="35" t="n">
        <f aca="false">①札幌予測確定!P22</f>
        <v>15</v>
      </c>
      <c r="L22" s="35" t="n">
        <f aca="false">①札幌予測確定!U22</f>
        <v>35</v>
      </c>
      <c r="M22" s="35" t="n">
        <f aca="false">H22-J22</f>
        <v>722</v>
      </c>
      <c r="N22" s="35" t="n">
        <f aca="false">M22+ROUND(L22*前提・入力!$B$37,0)</f>
        <v>757</v>
      </c>
      <c r="O22" s="35" t="n">
        <f aca="false">③石川以降予測!N45</f>
        <v>112</v>
      </c>
      <c r="P22" s="38" t="n">
        <f aca="false">N22-O22</f>
        <v>645</v>
      </c>
      <c r="Q22" s="35" t="n">
        <f aca="false">MAX(0,-P22)</f>
        <v>0</v>
      </c>
      <c r="R22" s="35" t="n">
        <f aca="false">IF(Q22&gt;0,ROUNDUP(Q22*(1+前提・入力!$B$35),0),0)</f>
        <v>0</v>
      </c>
      <c r="S22" s="69" t="s">
        <v>518</v>
      </c>
      <c r="T22" s="32"/>
      <c r="U22" s="66" t="str">
        <f aca="false">IF(S22="—","—",IF(T22="再生産不可","×再生産不可",_xlfn.IFS(T22-前提・入力!$B$39&lt;0,"★期限超過",T22-前提・入力!$B$39&lt;=30,"★至急(30日以内)",T22-前提・入力!$B$39&lt;=90,"要着手(90日以内)",TRUE(),"余裕あり")))</f>
        <v>—</v>
      </c>
      <c r="V22" s="66" t="str">
        <f aca="false">IF(Q22&gt;0,"★欠品：追加生産が必要",IF(P22&gt;=O22*2,"大幅余剰","在庫で充足"))</f>
        <v>大幅余剰</v>
      </c>
      <c r="W22" s="39"/>
      <c r="X22" s="69"/>
    </row>
    <row r="23" customFormat="false" ht="15" hidden="false" customHeight="false" outlineLevel="0" collapsed="false">
      <c r="A23" s="32" t="n">
        <v>17</v>
      </c>
      <c r="B23" s="32" t="s">
        <v>308</v>
      </c>
      <c r="C23" s="33" t="s">
        <v>309</v>
      </c>
      <c r="D23" s="34" t="n">
        <v>600</v>
      </c>
      <c r="E23" s="35" t="n">
        <v>3008</v>
      </c>
      <c r="F23" s="35" t="n">
        <v>2885</v>
      </c>
      <c r="G23" s="35" t="n">
        <v>2785</v>
      </c>
      <c r="H23" s="35" t="n">
        <v>2523</v>
      </c>
      <c r="I23" s="34" t="n">
        <f aca="false">H23*D23</f>
        <v>1513800</v>
      </c>
      <c r="J23" s="35" t="n">
        <f aca="false">①札幌予測確定!S23</f>
        <v>100</v>
      </c>
      <c r="K23" s="35" t="n">
        <f aca="false">①札幌予測確定!P23</f>
        <v>93</v>
      </c>
      <c r="L23" s="35" t="n">
        <f aca="false">①札幌予測確定!U23</f>
        <v>7</v>
      </c>
      <c r="M23" s="35" t="n">
        <f aca="false">H23-J23</f>
        <v>2423</v>
      </c>
      <c r="N23" s="35" t="n">
        <f aca="false">M23+ROUND(L23*前提・入力!$B$37,0)</f>
        <v>2430</v>
      </c>
      <c r="O23" s="35" t="n">
        <f aca="false">③石川以降予測!N46</f>
        <v>602</v>
      </c>
      <c r="P23" s="38" t="n">
        <f aca="false">N23-O23</f>
        <v>1828</v>
      </c>
      <c r="Q23" s="35" t="n">
        <f aca="false">MAX(0,-P23)</f>
        <v>0</v>
      </c>
      <c r="R23" s="35" t="n">
        <f aca="false">IF(Q23&gt;0,ROUNDUP(Q23*(1+前提・入力!$B$35),0),0)</f>
        <v>0</v>
      </c>
      <c r="S23" s="69" t="s">
        <v>518</v>
      </c>
      <c r="T23" s="32"/>
      <c r="U23" s="66" t="str">
        <f aca="false">IF(S23="—","—",IF(T23="再生産不可","×再生産不可",_xlfn.IFS(T23-前提・入力!$B$39&lt;0,"★期限超過",T23-前提・入力!$B$39&lt;=30,"★至急(30日以内)",T23-前提・入力!$B$39&lt;=90,"要着手(90日以内)",TRUE(),"余裕あり")))</f>
        <v>—</v>
      </c>
      <c r="V23" s="66" t="str">
        <f aca="false">IF(Q23&gt;0,"★欠品：追加生産が必要",IF(P23&gt;=O23*2,"大幅余剰","在庫で充足"))</f>
        <v>大幅余剰</v>
      </c>
      <c r="W23" s="39" t="s">
        <v>679</v>
      </c>
      <c r="X23" s="66" t="s">
        <v>681</v>
      </c>
    </row>
    <row r="24" customFormat="false" ht="15" hidden="false" customHeight="false" outlineLevel="0" collapsed="false">
      <c r="A24" s="32" t="n">
        <v>18</v>
      </c>
      <c r="B24" s="32" t="s">
        <v>310</v>
      </c>
      <c r="C24" s="33" t="s">
        <v>311</v>
      </c>
      <c r="D24" s="34" t="n">
        <v>600</v>
      </c>
      <c r="E24" s="35" t="n">
        <v>6837</v>
      </c>
      <c r="F24" s="35" t="n">
        <v>12650</v>
      </c>
      <c r="G24" s="35" t="n">
        <v>11750</v>
      </c>
      <c r="H24" s="35" t="n">
        <v>9725</v>
      </c>
      <c r="I24" s="34" t="n">
        <f aca="false">H24*D24</f>
        <v>5835000</v>
      </c>
      <c r="J24" s="35" t="n">
        <f aca="false">①札幌予測確定!S24</f>
        <v>1500</v>
      </c>
      <c r="K24" s="35" t="n">
        <f aca="false">①札幌予測確定!P24</f>
        <v>407</v>
      </c>
      <c r="L24" s="35" t="n">
        <f aca="false">①札幌予測確定!U24</f>
        <v>1093</v>
      </c>
      <c r="M24" s="35" t="n">
        <f aca="false">H24-J24</f>
        <v>8225</v>
      </c>
      <c r="N24" s="35" t="n">
        <f aca="false">M24+ROUND(L24*前提・入力!$B$37,0)</f>
        <v>9318</v>
      </c>
      <c r="O24" s="35" t="n">
        <f aca="false">③石川以降予測!N47</f>
        <v>3201</v>
      </c>
      <c r="P24" s="38" t="n">
        <f aca="false">N24-O24</f>
        <v>6117</v>
      </c>
      <c r="Q24" s="35" t="n">
        <f aca="false">MAX(0,-P24)</f>
        <v>0</v>
      </c>
      <c r="R24" s="35" t="n">
        <f aca="false">IF(Q24&gt;0,ROUNDUP(Q24*(1+前提・入力!$B$35),0),0)</f>
        <v>0</v>
      </c>
      <c r="S24" s="69" t="s">
        <v>518</v>
      </c>
      <c r="T24" s="32"/>
      <c r="U24" s="66" t="str">
        <f aca="false">IF(S24="—","—",IF(T24="再生産不可","×再生産不可",_xlfn.IFS(T24-前提・入力!$B$39&lt;0,"★期限超過",T24-前提・入力!$B$39&lt;=30,"★至急(30日以内)",T24-前提・入力!$B$39&lt;=90,"要着手(90日以内)",TRUE(),"余裕あり")))</f>
        <v>—</v>
      </c>
      <c r="V24" s="66" t="str">
        <f aca="false">IF(Q24&gt;0,"★欠品：追加生産が必要",IF(P24&gt;=O24*2,"大幅余剰","在庫で充足"))</f>
        <v>在庫で充足</v>
      </c>
      <c r="W24" s="39"/>
      <c r="X24" s="69"/>
    </row>
    <row r="25" customFormat="false" ht="15" hidden="false" customHeight="false" outlineLevel="0" collapsed="false">
      <c r="A25" s="32" t="n">
        <v>19</v>
      </c>
      <c r="B25" s="32" t="s">
        <v>312</v>
      </c>
      <c r="C25" s="33" t="s">
        <v>313</v>
      </c>
      <c r="D25" s="34" t="n">
        <v>600</v>
      </c>
      <c r="E25" s="35" t="n">
        <v>2332</v>
      </c>
      <c r="F25" s="35" t="n">
        <v>2305</v>
      </c>
      <c r="G25" s="35" t="n">
        <v>2285</v>
      </c>
      <c r="H25" s="35" t="n">
        <v>2240</v>
      </c>
      <c r="I25" s="34" t="n">
        <f aca="false">H25*D25</f>
        <v>1344000</v>
      </c>
      <c r="J25" s="35" t="n">
        <f aca="false">①札幌予測確定!S25</f>
        <v>50</v>
      </c>
      <c r="K25" s="35" t="n">
        <f aca="false">①札幌予測確定!P25</f>
        <v>16</v>
      </c>
      <c r="L25" s="35" t="n">
        <f aca="false">①札幌予測確定!U25</f>
        <v>34</v>
      </c>
      <c r="M25" s="35" t="n">
        <f aca="false">H25-J25</f>
        <v>2190</v>
      </c>
      <c r="N25" s="35" t="n">
        <f aca="false">M25+ROUND(L25*前提・入力!$B$37,0)</f>
        <v>2224</v>
      </c>
      <c r="O25" s="35" t="n">
        <f aca="false">③石川以降予測!N48</f>
        <v>104</v>
      </c>
      <c r="P25" s="38" t="n">
        <f aca="false">N25-O25</f>
        <v>2120</v>
      </c>
      <c r="Q25" s="35" t="n">
        <f aca="false">MAX(0,-P25)</f>
        <v>0</v>
      </c>
      <c r="R25" s="35" t="n">
        <f aca="false">IF(Q25&gt;0,ROUNDUP(Q25*(1+前提・入力!$B$35),0),0)</f>
        <v>0</v>
      </c>
      <c r="S25" s="69" t="s">
        <v>518</v>
      </c>
      <c r="T25" s="32"/>
      <c r="U25" s="66" t="str">
        <f aca="false">IF(S25="—","—",IF(T25="再生産不可","×再生産不可",_xlfn.IFS(T25-前提・入力!$B$39&lt;0,"★期限超過",T25-前提・入力!$B$39&lt;=30,"★至急(30日以内)",T25-前提・入力!$B$39&lt;=90,"要着手(90日以内)",TRUE(),"余裕あり")))</f>
        <v>—</v>
      </c>
      <c r="V25" s="66" t="str">
        <f aca="false">IF(Q25&gt;0,"★欠品：追加生産が必要",IF(P25&gt;=O25*2,"大幅余剰","在庫で充足"))</f>
        <v>大幅余剰</v>
      </c>
      <c r="W25" s="39"/>
      <c r="X25" s="69"/>
    </row>
    <row r="26" customFormat="false" ht="15" hidden="false" customHeight="false" outlineLevel="0" collapsed="false">
      <c r="A26" s="32" t="n">
        <v>20</v>
      </c>
      <c r="B26" s="32" t="s">
        <v>314</v>
      </c>
      <c r="C26" s="33" t="s">
        <v>315</v>
      </c>
      <c r="D26" s="34" t="n">
        <v>600</v>
      </c>
      <c r="E26" s="35" t="n">
        <v>382</v>
      </c>
      <c r="F26" s="35" t="n">
        <v>358</v>
      </c>
      <c r="G26" s="35" t="n">
        <v>343</v>
      </c>
      <c r="H26" s="35" t="n">
        <v>301</v>
      </c>
      <c r="I26" s="34" t="n">
        <f aca="false">H26*D26</f>
        <v>180600</v>
      </c>
      <c r="J26" s="35" t="n">
        <f aca="false">①札幌予測確定!S26</f>
        <v>30</v>
      </c>
      <c r="K26" s="35" t="n">
        <f aca="false">①札幌予測確定!P26</f>
        <v>14</v>
      </c>
      <c r="L26" s="35" t="n">
        <f aca="false">①札幌予測確定!U26</f>
        <v>16</v>
      </c>
      <c r="M26" s="35" t="n">
        <f aca="false">H26-J26</f>
        <v>271</v>
      </c>
      <c r="N26" s="35" t="n">
        <f aca="false">M26+ROUND(L26*前提・入力!$B$37,0)</f>
        <v>287</v>
      </c>
      <c r="O26" s="35" t="n">
        <f aca="false">③石川以降予測!N49</f>
        <v>94</v>
      </c>
      <c r="P26" s="38" t="n">
        <f aca="false">N26-O26</f>
        <v>193</v>
      </c>
      <c r="Q26" s="35" t="n">
        <f aca="false">MAX(0,-P26)</f>
        <v>0</v>
      </c>
      <c r="R26" s="35" t="n">
        <f aca="false">IF(Q26&gt;0,ROUNDUP(Q26*(1+前提・入力!$B$35),0),0)</f>
        <v>0</v>
      </c>
      <c r="S26" s="69" t="s">
        <v>518</v>
      </c>
      <c r="T26" s="32"/>
      <c r="U26" s="66" t="str">
        <f aca="false">IF(S26="—","—",IF(T26="再生産不可","×再生産不可",_xlfn.IFS(T26-前提・入力!$B$39&lt;0,"★期限超過",T26-前提・入力!$B$39&lt;=30,"★至急(30日以内)",T26-前提・入力!$B$39&lt;=90,"要着手(90日以内)",TRUE(),"余裕あり")))</f>
        <v>—</v>
      </c>
      <c r="V26" s="66" t="str">
        <f aca="false">IF(Q26&gt;0,"★欠品：追加生産が必要",IF(P26&gt;=O26*2,"大幅余剰","在庫で充足"))</f>
        <v>大幅余剰</v>
      </c>
      <c r="W26" s="39"/>
      <c r="X26" s="69"/>
    </row>
    <row r="27" customFormat="false" ht="15" hidden="false" customHeight="false" outlineLevel="0" collapsed="false">
      <c r="A27" s="32" t="n">
        <v>21</v>
      </c>
      <c r="B27" s="32" t="s">
        <v>316</v>
      </c>
      <c r="C27" s="33" t="s">
        <v>317</v>
      </c>
      <c r="D27" s="34" t="n">
        <v>600</v>
      </c>
      <c r="E27" s="35" t="n">
        <v>150</v>
      </c>
      <c r="F27" s="35" t="n">
        <v>710</v>
      </c>
      <c r="G27" s="35" t="n">
        <v>560</v>
      </c>
      <c r="H27" s="35" t="n">
        <v>308</v>
      </c>
      <c r="I27" s="34" t="n">
        <f aca="false">H27*D27</f>
        <v>184800</v>
      </c>
      <c r="J27" s="35" t="n">
        <f aca="false">①札幌予測確定!S27</f>
        <v>100</v>
      </c>
      <c r="K27" s="35" t="n">
        <f aca="false">①札幌予測確定!P27</f>
        <v>90</v>
      </c>
      <c r="L27" s="35" t="n">
        <f aca="false">①札幌予測確定!U27</f>
        <v>10</v>
      </c>
      <c r="M27" s="35" t="n">
        <f aca="false">H27-J27</f>
        <v>208</v>
      </c>
      <c r="N27" s="35" t="n">
        <f aca="false">M27+ROUND(L27*前提・入力!$B$37,0)</f>
        <v>218</v>
      </c>
      <c r="O27" s="35" t="n">
        <f aca="false">③石川以降予測!N50</f>
        <v>583</v>
      </c>
      <c r="P27" s="38" t="n">
        <f aca="false">N27-O27</f>
        <v>-365</v>
      </c>
      <c r="Q27" s="35" t="n">
        <f aca="false">MAX(0,-P27)</f>
        <v>365</v>
      </c>
      <c r="R27" s="35" t="n">
        <f aca="false">IF(Q27&gt;0,ROUNDUP(Q27*(1+前提・入力!$B$35),0),0)</f>
        <v>402</v>
      </c>
      <c r="S27" s="66" t="s">
        <v>374</v>
      </c>
      <c r="T27" s="67" t="n">
        <f aca="false">DATE(2026,12,16)-30-前提・入力!$B$38</f>
        <v>46328</v>
      </c>
      <c r="U27" s="66" t="str">
        <f aca="false">IF(S27="—","—",IF(T27="再生産不可","×再生産不可",_xlfn.IFS(T27-前提・入力!$B$39&lt;0,"★期限超過",T27-前提・入力!$B$39&lt;=30,"★至急(30日以内)",T27-前提・入力!$B$39&lt;=90,"要着手(90日以内)",TRUE(),"余裕あり")))</f>
        <v>余裕あり</v>
      </c>
      <c r="V27" s="66" t="str">
        <f aca="false">IF(Q27&gt;0,"★欠品：追加生産が必要",IF(P27&gt;=O27*2,"大幅余剰","在庫で充足"))</f>
        <v>★欠品：追加生産が必要</v>
      </c>
      <c r="W27" s="39" t="s">
        <v>679</v>
      </c>
      <c r="X27" s="66" t="s">
        <v>682</v>
      </c>
    </row>
    <row r="28" customFormat="false" ht="15" hidden="false" customHeight="false" outlineLevel="0" collapsed="false">
      <c r="A28" s="32" t="n">
        <v>22</v>
      </c>
      <c r="B28" s="32" t="s">
        <v>318</v>
      </c>
      <c r="C28" s="33" t="s">
        <v>319</v>
      </c>
      <c r="D28" s="34" t="n">
        <v>600</v>
      </c>
      <c r="E28" s="35" t="n">
        <v>1681</v>
      </c>
      <c r="F28" s="35" t="n">
        <v>1582</v>
      </c>
      <c r="G28" s="35" t="n">
        <v>1502</v>
      </c>
      <c r="H28" s="35" t="n">
        <v>1331</v>
      </c>
      <c r="I28" s="34" t="n">
        <f aca="false">H28*D28</f>
        <v>798600</v>
      </c>
      <c r="J28" s="35" t="n">
        <f aca="false">①札幌予測確定!S28</f>
        <v>50</v>
      </c>
      <c r="K28" s="35" t="n">
        <f aca="false">①札幌予測確定!P28</f>
        <v>52</v>
      </c>
      <c r="L28" s="35" t="n">
        <f aca="false">①札幌予測確定!U28</f>
        <v>0</v>
      </c>
      <c r="M28" s="35" t="n">
        <f aca="false">H28-J28</f>
        <v>1281</v>
      </c>
      <c r="N28" s="35" t="n">
        <f aca="false">M28+ROUND(L28*前提・入力!$B$37,0)</f>
        <v>1281</v>
      </c>
      <c r="O28" s="35" t="n">
        <f aca="false">③石川以降予測!N51</f>
        <v>353</v>
      </c>
      <c r="P28" s="38" t="n">
        <f aca="false">N28-O28</f>
        <v>928</v>
      </c>
      <c r="Q28" s="35" t="n">
        <f aca="false">MAX(0,-P28)</f>
        <v>0</v>
      </c>
      <c r="R28" s="35" t="n">
        <f aca="false">IF(Q28&gt;0,ROUNDUP(Q28*(1+前提・入力!$B$35),0),0)</f>
        <v>0</v>
      </c>
      <c r="S28" s="69" t="s">
        <v>518</v>
      </c>
      <c r="T28" s="32"/>
      <c r="U28" s="66" t="str">
        <f aca="false">IF(S28="—","—",IF(T28="再生産不可","×再生産不可",_xlfn.IFS(T28-前提・入力!$B$39&lt;0,"★期限超過",T28-前提・入力!$B$39&lt;=30,"★至急(30日以内)",T28-前提・入力!$B$39&lt;=90,"要着手(90日以内)",TRUE(),"余裕あり")))</f>
        <v>—</v>
      </c>
      <c r="V28" s="66" t="str">
        <f aca="false">IF(Q28&gt;0,"★欠品：追加生産が必要",IF(P28&gt;=O28*2,"大幅余剰","在庫で充足"))</f>
        <v>大幅余剰</v>
      </c>
      <c r="W28" s="39" t="s">
        <v>679</v>
      </c>
      <c r="X28" s="66" t="s">
        <v>683</v>
      </c>
    </row>
    <row r="29" customFormat="false" ht="15" hidden="false" customHeight="false" outlineLevel="0" collapsed="false">
      <c r="A29" s="32" t="n">
        <v>23</v>
      </c>
      <c r="B29" s="32" t="s">
        <v>320</v>
      </c>
      <c r="C29" s="33" t="s">
        <v>321</v>
      </c>
      <c r="D29" s="34" t="n">
        <v>600</v>
      </c>
      <c r="E29" s="35" t="n">
        <v>3581</v>
      </c>
      <c r="F29" s="35" t="n">
        <v>34189</v>
      </c>
      <c r="G29" s="35" t="n">
        <v>64588</v>
      </c>
      <c r="H29" s="35" t="n">
        <v>51818</v>
      </c>
      <c r="I29" s="34" t="n">
        <f aca="false">H29*D29</f>
        <v>31090800</v>
      </c>
      <c r="J29" s="35" t="n">
        <f aca="false">①札幌予測確定!S29</f>
        <v>11000</v>
      </c>
      <c r="K29" s="35" t="n">
        <f aca="false">①札幌予測確定!P29</f>
        <v>2100</v>
      </c>
      <c r="L29" s="35" t="n">
        <f aca="false">①札幌予測確定!U29</f>
        <v>8900</v>
      </c>
      <c r="M29" s="35" t="n">
        <f aca="false">H29-J29</f>
        <v>40818</v>
      </c>
      <c r="N29" s="35" t="n">
        <f aca="false">M29+ROUND(L29*前提・入力!$B$37,0)</f>
        <v>49718</v>
      </c>
      <c r="O29" s="35" t="n">
        <f aca="false">③石川以降予測!N52</f>
        <v>17991</v>
      </c>
      <c r="P29" s="38" t="n">
        <f aca="false">N29-O29</f>
        <v>31727</v>
      </c>
      <c r="Q29" s="35" t="n">
        <f aca="false">MAX(0,-P29)</f>
        <v>0</v>
      </c>
      <c r="R29" s="35" t="n">
        <f aca="false">IF(Q29&gt;0,ROUNDUP(Q29*(1+前提・入力!$B$35),0),0)</f>
        <v>0</v>
      </c>
      <c r="S29" s="69" t="s">
        <v>518</v>
      </c>
      <c r="T29" s="32"/>
      <c r="U29" s="66" t="str">
        <f aca="false">IF(S29="—","—",IF(T29="再生産不可","×再生産不可",_xlfn.IFS(T29-前提・入力!$B$39&lt;0,"★期限超過",T29-前提・入力!$B$39&lt;=30,"★至急(30日以内)",T29-前提・入力!$B$39&lt;=90,"要着手(90日以内)",TRUE(),"余裕あり")))</f>
        <v>—</v>
      </c>
      <c r="V29" s="66" t="str">
        <f aca="false">IF(Q29&gt;0,"★欠品：追加生産が必要",IF(P29&gt;=O29*2,"大幅余剰","在庫で充足"))</f>
        <v>在庫で充足</v>
      </c>
      <c r="W29" s="39"/>
      <c r="X29" s="69"/>
    </row>
    <row r="30" customFormat="false" ht="15" hidden="false" customHeight="false" outlineLevel="0" collapsed="false">
      <c r="A30" s="32" t="n">
        <v>24</v>
      </c>
      <c r="B30" s="32" t="s">
        <v>322</v>
      </c>
      <c r="C30" s="33" t="s">
        <v>323</v>
      </c>
      <c r="D30" s="34" t="n">
        <v>600</v>
      </c>
      <c r="E30" s="35" t="n">
        <v>0</v>
      </c>
      <c r="F30" s="35" t="n">
        <v>9438</v>
      </c>
      <c r="G30" s="35" t="n">
        <v>39210</v>
      </c>
      <c r="H30" s="35" t="n">
        <v>32204</v>
      </c>
      <c r="I30" s="34" t="n">
        <f aca="false">H30*D30</f>
        <v>19322400</v>
      </c>
      <c r="J30" s="35" t="n">
        <f aca="false">①札幌予測確定!S30</f>
        <v>8000</v>
      </c>
      <c r="K30" s="35" t="n">
        <f aca="false">①札幌予測確定!P30</f>
        <v>1213</v>
      </c>
      <c r="L30" s="35" t="n">
        <f aca="false">①札幌予測確定!U30</f>
        <v>6787</v>
      </c>
      <c r="M30" s="35" t="n">
        <f aca="false">H30-J30</f>
        <v>24204</v>
      </c>
      <c r="N30" s="35" t="n">
        <f aca="false">M30+ROUND(L30*前提・入力!$B$37,0)</f>
        <v>30991</v>
      </c>
      <c r="O30" s="35" t="n">
        <f aca="false">③石川以降予測!N53</f>
        <v>10154</v>
      </c>
      <c r="P30" s="38" t="n">
        <f aca="false">N30-O30</f>
        <v>20837</v>
      </c>
      <c r="Q30" s="35" t="n">
        <f aca="false">MAX(0,-P30)</f>
        <v>0</v>
      </c>
      <c r="R30" s="35" t="n">
        <f aca="false">IF(Q30&gt;0,ROUNDUP(Q30*(1+前提・入力!$B$35),0),0)</f>
        <v>0</v>
      </c>
      <c r="S30" s="69" t="s">
        <v>518</v>
      </c>
      <c r="T30" s="32"/>
      <c r="U30" s="66" t="str">
        <f aca="false">IF(S30="—","—",IF(T30="再生産不可","×再生産不可",_xlfn.IFS(T30-前提・入力!$B$39&lt;0,"★期限超過",T30-前提・入力!$B$39&lt;=30,"★至急(30日以内)",T30-前提・入力!$B$39&lt;=90,"要着手(90日以内)",TRUE(),"余裕あり")))</f>
        <v>—</v>
      </c>
      <c r="V30" s="66" t="str">
        <f aca="false">IF(Q30&gt;0,"★欠品：追加生産が必要",IF(P30&gt;=O30*2,"大幅余剰","在庫で充足"))</f>
        <v>大幅余剰</v>
      </c>
      <c r="W30" s="39"/>
      <c r="X30" s="69"/>
    </row>
    <row r="31" customFormat="false" ht="15" hidden="false" customHeight="false" outlineLevel="0" collapsed="false">
      <c r="A31" s="32" t="n">
        <v>25</v>
      </c>
      <c r="B31" s="32" t="s">
        <v>324</v>
      </c>
      <c r="C31" s="33" t="s">
        <v>325</v>
      </c>
      <c r="D31" s="34" t="n">
        <v>1500</v>
      </c>
      <c r="E31" s="35" t="n">
        <v>4137</v>
      </c>
      <c r="F31" s="35" t="n">
        <v>3916</v>
      </c>
      <c r="G31" s="35" t="n">
        <v>3748</v>
      </c>
      <c r="H31" s="35" t="n">
        <v>3505</v>
      </c>
      <c r="I31" s="34" t="n">
        <f aca="false">H31*D31</f>
        <v>5257500</v>
      </c>
      <c r="J31" s="35" t="n">
        <f aca="false">①札幌予測確定!S31</f>
        <v>200</v>
      </c>
      <c r="K31" s="35" t="n">
        <f aca="false">①札幌予測確定!P31</f>
        <v>54</v>
      </c>
      <c r="L31" s="35" t="n">
        <f aca="false">①札幌予測確定!U31</f>
        <v>146</v>
      </c>
      <c r="M31" s="35" t="n">
        <f aca="false">H31-J31</f>
        <v>3305</v>
      </c>
      <c r="N31" s="35" t="n">
        <f aca="false">M31+ROUND(L31*前提・入力!$B$37,0)</f>
        <v>3451</v>
      </c>
      <c r="O31" s="35" t="n">
        <f aca="false">③石川以降予測!N54</f>
        <v>409</v>
      </c>
      <c r="P31" s="38" t="n">
        <f aca="false">N31-O31</f>
        <v>3042</v>
      </c>
      <c r="Q31" s="35" t="n">
        <f aca="false">MAX(0,-P31)</f>
        <v>0</v>
      </c>
      <c r="R31" s="35" t="n">
        <f aca="false">IF(Q31&gt;0,ROUNDUP(Q31*(1+前提・入力!$B$35),0),0)</f>
        <v>0</v>
      </c>
      <c r="S31" s="69" t="s">
        <v>518</v>
      </c>
      <c r="T31" s="32"/>
      <c r="U31" s="66" t="str">
        <f aca="false">IF(S31="—","—",IF(T31="再生産不可","×再生産不可",_xlfn.IFS(T31-前提・入力!$B$39&lt;0,"★期限超過",T31-前提・入力!$B$39&lt;=30,"★至急(30日以内)",T31-前提・入力!$B$39&lt;=90,"要着手(90日以内)",TRUE(),"余裕あり")))</f>
        <v>—</v>
      </c>
      <c r="V31" s="66" t="str">
        <f aca="false">IF(Q31&gt;0,"★欠品：追加生産が必要",IF(P31&gt;=O31*2,"大幅余剰","在庫で充足"))</f>
        <v>大幅余剰</v>
      </c>
      <c r="W31" s="39"/>
      <c r="X31" s="69"/>
    </row>
    <row r="32" customFormat="false" ht="15" hidden="false" customHeight="false" outlineLevel="0" collapsed="false">
      <c r="A32" s="32" t="n">
        <v>26</v>
      </c>
      <c r="B32" s="32" t="s">
        <v>326</v>
      </c>
      <c r="C32" s="33" t="s">
        <v>327</v>
      </c>
      <c r="D32" s="34" t="n">
        <v>2200</v>
      </c>
      <c r="E32" s="35" t="n">
        <v>692</v>
      </c>
      <c r="F32" s="35" t="n">
        <v>1784</v>
      </c>
      <c r="G32" s="35" t="n">
        <v>1340</v>
      </c>
      <c r="H32" s="35" t="n">
        <v>497</v>
      </c>
      <c r="I32" s="34" t="n">
        <f aca="false">H32*D32</f>
        <v>1093400</v>
      </c>
      <c r="J32" s="35" t="n">
        <f aca="false">①札幌予測確定!S32</f>
        <v>200</v>
      </c>
      <c r="K32" s="35" t="n">
        <f aca="false">①札幌予測確定!P32</f>
        <v>156</v>
      </c>
      <c r="L32" s="35" t="n">
        <f aca="false">①札幌予測確定!U32</f>
        <v>44</v>
      </c>
      <c r="M32" s="35" t="n">
        <f aca="false">H32-J32</f>
        <v>297</v>
      </c>
      <c r="N32" s="35" t="n">
        <f aca="false">M32+ROUND(L32*前提・入力!$B$37,0)</f>
        <v>341</v>
      </c>
      <c r="O32" s="35" t="n">
        <f aca="false">③石川以降予測!N55</f>
        <v>1270</v>
      </c>
      <c r="P32" s="38" t="n">
        <f aca="false">N32-O32</f>
        <v>-929</v>
      </c>
      <c r="Q32" s="35" t="n">
        <f aca="false">MAX(0,-P32)</f>
        <v>929</v>
      </c>
      <c r="R32" s="35" t="n">
        <f aca="false">IF(Q32&gt;0,ROUNDUP(Q32*(1+前提・入力!$B$35),0),0)</f>
        <v>1022</v>
      </c>
      <c r="S32" s="66" t="s">
        <v>374</v>
      </c>
      <c r="T32" s="67" t="n">
        <f aca="false">DATE(2026,12,16)-75-前提・入力!$B$38</f>
        <v>46283</v>
      </c>
      <c r="U32" s="66" t="str">
        <f aca="false">IF(S32="—","—",IF(T32="再生産不可","×再生産不可",_xlfn.IFS(T32-前提・入力!$B$39&lt;0,"★期限超過",T32-前提・入力!$B$39&lt;=30,"★至急(30日以内)",T32-前提・入力!$B$39&lt;=90,"要着手(90日以内)",TRUE(),"余裕あり")))</f>
        <v>要着手(90日以内)</v>
      </c>
      <c r="V32" s="66" t="str">
        <f aca="false">IF(Q32&gt;0,"★欠品：追加生産が必要",IF(P32&gt;=O32*2,"大幅余剰","在庫で充足"))</f>
        <v>★欠品：追加生産が必要</v>
      </c>
      <c r="W32" s="39" t="s">
        <v>679</v>
      </c>
      <c r="X32" s="66" t="s">
        <v>684</v>
      </c>
    </row>
    <row r="33" customFormat="false" ht="15" hidden="false" customHeight="false" outlineLevel="0" collapsed="false">
      <c r="A33" s="32" t="n">
        <v>27</v>
      </c>
      <c r="B33" s="32" t="s">
        <v>328</v>
      </c>
      <c r="C33" s="33" t="s">
        <v>329</v>
      </c>
      <c r="D33" s="34" t="n">
        <v>1100</v>
      </c>
      <c r="E33" s="35" t="n">
        <v>1518</v>
      </c>
      <c r="F33" s="35" t="n">
        <v>1413</v>
      </c>
      <c r="G33" s="35" t="n">
        <v>1343</v>
      </c>
      <c r="H33" s="35" t="n">
        <v>1198</v>
      </c>
      <c r="I33" s="34" t="n">
        <f aca="false">H33*D33</f>
        <v>1317800</v>
      </c>
      <c r="J33" s="35" t="n">
        <f aca="false">①札幌予測確定!S33</f>
        <v>70</v>
      </c>
      <c r="K33" s="35" t="n">
        <f aca="false">①札幌予測確定!P33</f>
        <v>40</v>
      </c>
      <c r="L33" s="35" t="n">
        <f aca="false">①札幌予測確定!U33</f>
        <v>30</v>
      </c>
      <c r="M33" s="35" t="n">
        <f aca="false">H33-J33</f>
        <v>1128</v>
      </c>
      <c r="N33" s="35" t="n">
        <f aca="false">M33+ROUND(L33*前提・入力!$B$37,0)</f>
        <v>1158</v>
      </c>
      <c r="O33" s="35" t="n">
        <f aca="false">③石川以降予測!N56</f>
        <v>279</v>
      </c>
      <c r="P33" s="38" t="n">
        <f aca="false">N33-O33</f>
        <v>879</v>
      </c>
      <c r="Q33" s="35" t="n">
        <f aca="false">MAX(0,-P33)</f>
        <v>0</v>
      </c>
      <c r="R33" s="35" t="n">
        <f aca="false">IF(Q33&gt;0,ROUNDUP(Q33*(1+前提・入力!$B$35),0),0)</f>
        <v>0</v>
      </c>
      <c r="S33" s="69" t="s">
        <v>518</v>
      </c>
      <c r="T33" s="32"/>
      <c r="U33" s="66" t="str">
        <f aca="false">IF(S33="—","—",IF(T33="再生産不可","×再生産不可",_xlfn.IFS(T33-前提・入力!$B$39&lt;0,"★期限超過",T33-前提・入力!$B$39&lt;=30,"★至急(30日以内)",T33-前提・入力!$B$39&lt;=90,"要着手(90日以内)",TRUE(),"余裕あり")))</f>
        <v>—</v>
      </c>
      <c r="V33" s="66" t="str">
        <f aca="false">IF(Q33&gt;0,"★欠品：追加生産が必要",IF(P33&gt;=O33*2,"大幅余剰","在庫で充足"))</f>
        <v>大幅余剰</v>
      </c>
      <c r="W33" s="39"/>
      <c r="X33" s="69"/>
    </row>
    <row r="34" customFormat="false" ht="73.1" hidden="false" customHeight="false" outlineLevel="0" collapsed="false">
      <c r="A34" s="32" t="n">
        <v>28</v>
      </c>
      <c r="B34" s="32" t="s">
        <v>330</v>
      </c>
      <c r="C34" s="33" t="s">
        <v>331</v>
      </c>
      <c r="D34" s="34" t="n">
        <v>1800</v>
      </c>
      <c r="E34" s="35" t="n">
        <v>440</v>
      </c>
      <c r="F34" s="35" t="n">
        <v>1193</v>
      </c>
      <c r="G34" s="35" t="n">
        <v>860</v>
      </c>
      <c r="H34" s="35" t="n">
        <v>460</v>
      </c>
      <c r="I34" s="34" t="n">
        <f aca="false">H34*D34</f>
        <v>828000</v>
      </c>
      <c r="J34" s="35" t="n">
        <f aca="false">①札幌予測確定!S34</f>
        <v>300</v>
      </c>
      <c r="K34" s="35" t="n">
        <f aca="false">①札幌予測確定!P34</f>
        <v>216</v>
      </c>
      <c r="L34" s="35" t="n">
        <f aca="false">①札幌予測確定!U34</f>
        <v>84</v>
      </c>
      <c r="M34" s="35" t="n">
        <f aca="false">H34-J34</f>
        <v>160</v>
      </c>
      <c r="N34" s="35" t="n">
        <f aca="false">M34+ROUND(L34*前提・入力!$B$37,0)</f>
        <v>244</v>
      </c>
      <c r="O34" s="35" t="n">
        <f aca="false">③石川以降予測!N57</f>
        <v>1267</v>
      </c>
      <c r="P34" s="38" t="n">
        <f aca="false">N34-O34+1200</f>
        <v>177</v>
      </c>
      <c r="Q34" s="35" t="n">
        <f aca="false">MAX(0,-P34)</f>
        <v>0</v>
      </c>
      <c r="R34" s="35" t="n">
        <f aca="false">IF(Q34&gt;0,ROUNDUP(Q34*(1+前提・入力!$B$35),0),0)</f>
        <v>0</v>
      </c>
      <c r="S34" s="69" t="s">
        <v>518</v>
      </c>
      <c r="T34" s="32"/>
      <c r="U34" s="66" t="s">
        <v>526</v>
      </c>
      <c r="V34" s="66" t="str">
        <f aca="false">IF(Q34&gt;0,"★欠品：追加生産が必要",IF(P34&gt;=O34*2,"大幅余剰","在庫で充足"))</f>
        <v>在庫で充足</v>
      </c>
      <c r="W34" s="39" t="s">
        <v>679</v>
      </c>
      <c r="X34" s="66" t="s">
        <v>685</v>
      </c>
    </row>
    <row r="35" customFormat="false" ht="15" hidden="false" customHeight="false" outlineLevel="0" collapsed="false">
      <c r="A35" s="32" t="n">
        <v>29</v>
      </c>
      <c r="B35" s="32" t="s">
        <v>332</v>
      </c>
      <c r="C35" s="33" t="s">
        <v>333</v>
      </c>
      <c r="D35" s="34" t="n">
        <v>1500</v>
      </c>
      <c r="E35" s="35" t="n">
        <v>1190</v>
      </c>
      <c r="F35" s="35" t="n">
        <v>870</v>
      </c>
      <c r="G35" s="35" t="n">
        <v>620</v>
      </c>
      <c r="H35" s="35" t="n">
        <v>420</v>
      </c>
      <c r="I35" s="34" t="n">
        <f aca="false">H35*D35</f>
        <v>630000</v>
      </c>
      <c r="J35" s="35" t="n">
        <f aca="false">①札幌予測確定!S35</f>
        <v>160</v>
      </c>
      <c r="K35" s="35" t="n">
        <f aca="false">①札幌予測確定!P35</f>
        <v>107</v>
      </c>
      <c r="L35" s="35" t="n">
        <f aca="false">①札幌予測確定!U35</f>
        <v>53</v>
      </c>
      <c r="M35" s="35" t="n">
        <f aca="false">H35-J35</f>
        <v>260</v>
      </c>
      <c r="N35" s="35" t="n">
        <f aca="false">M35+ROUND(L35*前提・入力!$B$37,0)</f>
        <v>313</v>
      </c>
      <c r="O35" s="35" t="n">
        <f aca="false">③石川以降予測!N58</f>
        <v>629</v>
      </c>
      <c r="P35" s="38" t="n">
        <f aca="false">N35-O35</f>
        <v>-316</v>
      </c>
      <c r="Q35" s="35" t="n">
        <f aca="false">MAX(0,-P35)</f>
        <v>316</v>
      </c>
      <c r="R35" s="35" t="n">
        <f aca="false">IF(Q35&gt;0,ROUNDUP(Q35*(1+前提・入力!$B$35),0),0)</f>
        <v>348</v>
      </c>
      <c r="S35" s="66" t="s">
        <v>376</v>
      </c>
      <c r="T35" s="67" t="n">
        <f aca="false">DATE(2027,4,1)-90-前提・入力!$B$38</f>
        <v>46374</v>
      </c>
      <c r="U35" s="66" t="str">
        <f aca="false">IF(S35="—","—",IF(T35="再生産不可","×再生産不可",_xlfn.IFS(T35-前提・入力!$B$39&lt;0,"★期限超過",T35-前提・入力!$B$39&lt;=30,"★至急(30日以内)",T35-前提・入力!$B$39&lt;=90,"要着手(90日以内)",TRUE(),"余裕あり")))</f>
        <v>余裕あり</v>
      </c>
      <c r="V35" s="66" t="str">
        <f aca="false">IF(Q35&gt;0,"★欠品：追加生産が必要",IF(P35&gt;=O35*2,"大幅余剰","在庫で充足"))</f>
        <v>★欠品：追加生産が必要</v>
      </c>
      <c r="W35" s="39" t="s">
        <v>679</v>
      </c>
      <c r="X35" s="66" t="s">
        <v>686</v>
      </c>
    </row>
    <row r="36" customFormat="false" ht="15" hidden="false" customHeight="false" outlineLevel="0" collapsed="false">
      <c r="A36" s="32" t="n">
        <v>30</v>
      </c>
      <c r="B36" s="32" t="s">
        <v>334</v>
      </c>
      <c r="C36" s="33" t="s">
        <v>335</v>
      </c>
      <c r="D36" s="34" t="n">
        <v>3300</v>
      </c>
      <c r="E36" s="35" t="n">
        <v>1364</v>
      </c>
      <c r="F36" s="35" t="n">
        <v>1193</v>
      </c>
      <c r="G36" s="35" t="n">
        <v>1103</v>
      </c>
      <c r="H36" s="35" t="n">
        <v>898</v>
      </c>
      <c r="I36" s="34" t="n">
        <f aca="false">H36*D36</f>
        <v>2963400</v>
      </c>
      <c r="J36" s="35" t="n">
        <f aca="false">①札幌予測確定!S36</f>
        <v>250</v>
      </c>
      <c r="K36" s="35" t="n">
        <f aca="false">①札幌予測確定!P36</f>
        <v>63</v>
      </c>
      <c r="L36" s="35" t="n">
        <f aca="false">①札幌予測確定!U36</f>
        <v>187</v>
      </c>
      <c r="M36" s="35" t="n">
        <f aca="false">H36-J36</f>
        <v>648</v>
      </c>
      <c r="N36" s="35" t="n">
        <f aca="false">M36+ROUND(L36*前提・入力!$B$37,0)</f>
        <v>835</v>
      </c>
      <c r="O36" s="35" t="n">
        <f aca="false">③石川以降予測!N59</f>
        <v>425</v>
      </c>
      <c r="P36" s="38" t="n">
        <f aca="false">N36-O36</f>
        <v>410</v>
      </c>
      <c r="Q36" s="35" t="n">
        <f aca="false">MAX(0,-P36)</f>
        <v>0</v>
      </c>
      <c r="R36" s="35" t="n">
        <f aca="false">IF(Q36&gt;0,ROUNDUP(Q36*(1+前提・入力!$B$35),0),0)</f>
        <v>0</v>
      </c>
      <c r="S36" s="69" t="s">
        <v>518</v>
      </c>
      <c r="T36" s="32"/>
      <c r="U36" s="66" t="str">
        <f aca="false">IF(S36="—","—",IF(T36="再生産不可","×再生産不可",_xlfn.IFS(T36-前提・入力!$B$39&lt;0,"★期限超過",T36-前提・入力!$B$39&lt;=30,"★至急(30日以内)",T36-前提・入力!$B$39&lt;=90,"要着手(90日以内)",TRUE(),"余裕あり")))</f>
        <v>—</v>
      </c>
      <c r="V36" s="66" t="str">
        <f aca="false">IF(Q36&gt;0,"★欠品：追加生産が必要",IF(P36&gt;=O36*2,"大幅余剰","在庫で充足"))</f>
        <v>在庫で充足</v>
      </c>
      <c r="W36" s="39"/>
      <c r="X36" s="69"/>
    </row>
    <row r="37" customFormat="false" ht="15" hidden="false" customHeight="false" outlineLevel="0" collapsed="false">
      <c r="A37" s="32" t="n">
        <v>31</v>
      </c>
      <c r="B37" s="32" t="s">
        <v>336</v>
      </c>
      <c r="C37" s="33" t="s">
        <v>337</v>
      </c>
      <c r="D37" s="34" t="n">
        <v>1300</v>
      </c>
      <c r="E37" s="35" t="n">
        <v>1769</v>
      </c>
      <c r="F37" s="35" t="n">
        <v>1533</v>
      </c>
      <c r="G37" s="35" t="n">
        <v>1353</v>
      </c>
      <c r="H37" s="35" t="n">
        <v>926</v>
      </c>
      <c r="I37" s="34" t="n">
        <f aca="false">H37*D37</f>
        <v>1203800</v>
      </c>
      <c r="J37" s="35" t="n">
        <f aca="false">①札幌予測確定!S37</f>
        <v>200</v>
      </c>
      <c r="K37" s="35" t="n">
        <f aca="false">①札幌予測確定!P37</f>
        <v>87</v>
      </c>
      <c r="L37" s="35" t="n">
        <f aca="false">①札幌予測確定!U37</f>
        <v>113</v>
      </c>
      <c r="M37" s="35" t="n">
        <f aca="false">H37-J37</f>
        <v>726</v>
      </c>
      <c r="N37" s="35" t="n">
        <f aca="false">M37+ROUND(L37*前提・入力!$B$37,0)</f>
        <v>839</v>
      </c>
      <c r="O37" s="35" t="n">
        <f aca="false">③石川以降予測!N60</f>
        <v>681</v>
      </c>
      <c r="P37" s="38" t="n">
        <f aca="false">N37-O37</f>
        <v>158</v>
      </c>
      <c r="Q37" s="35" t="n">
        <f aca="false">MAX(0,-P37)</f>
        <v>0</v>
      </c>
      <c r="R37" s="35" t="n">
        <f aca="false">IF(Q37&gt;0,ROUNDUP(Q37*(1+前提・入力!$B$35),0),0)</f>
        <v>0</v>
      </c>
      <c r="S37" s="69" t="s">
        <v>518</v>
      </c>
      <c r="T37" s="32"/>
      <c r="U37" s="66" t="str">
        <f aca="false">IF(S37="—","—",IF(T37="再生産不可","×再生産不可",_xlfn.IFS(T37-前提・入力!$B$39&lt;0,"★期限超過",T37-前提・入力!$B$39&lt;=30,"★至急(30日以内)",T37-前提・入力!$B$39&lt;=90,"要着手(90日以内)",TRUE(),"余裕あり")))</f>
        <v>—</v>
      </c>
      <c r="V37" s="66" t="str">
        <f aca="false">IF(Q37&gt;0,"★欠品：追加生産が必要",IF(P37&gt;=O37*2,"大幅余剰","在庫で充足"))</f>
        <v>在庫で充足</v>
      </c>
      <c r="W37" s="39"/>
      <c r="X37" s="69"/>
    </row>
    <row r="38" customFormat="false" ht="25.35" hidden="false" customHeight="false" outlineLevel="0" collapsed="false">
      <c r="A38" s="32" t="n">
        <v>32</v>
      </c>
      <c r="B38" s="32" t="s">
        <v>338</v>
      </c>
      <c r="C38" s="33" t="s">
        <v>339</v>
      </c>
      <c r="D38" s="34" t="n">
        <v>8800</v>
      </c>
      <c r="E38" s="35" t="n">
        <v>38</v>
      </c>
      <c r="F38" s="35" t="n">
        <v>102</v>
      </c>
      <c r="G38" s="35" t="n">
        <v>73</v>
      </c>
      <c r="H38" s="35" t="n">
        <v>33</v>
      </c>
      <c r="I38" s="34" t="n">
        <f aca="false">H38*D38</f>
        <v>290400</v>
      </c>
      <c r="J38" s="35" t="n">
        <f aca="false">①札幌予測確定!S38</f>
        <v>10</v>
      </c>
      <c r="K38" s="35" t="n">
        <f aca="false">①札幌予測確定!P38</f>
        <v>10</v>
      </c>
      <c r="L38" s="35" t="n">
        <f aca="false">①札幌予測確定!U38</f>
        <v>0</v>
      </c>
      <c r="M38" s="35" t="n">
        <f aca="false">H38-J38</f>
        <v>23</v>
      </c>
      <c r="N38" s="35" t="n">
        <f aca="false">M38+ROUND(L38*前提・入力!$B$37,0)</f>
        <v>23</v>
      </c>
      <c r="O38" s="35" t="n">
        <f aca="false">③石川以降予測!N61</f>
        <v>72</v>
      </c>
      <c r="P38" s="38" t="n">
        <f aca="false">N38-O38</f>
        <v>-49</v>
      </c>
      <c r="Q38" s="35" t="n">
        <f aca="false">MAX(0,-P38)</f>
        <v>49</v>
      </c>
      <c r="R38" s="35" t="n">
        <f aca="false">IF(Q38&gt;0,ROUNDUP(Q38*(1+前提・入力!$B$35),0),0)</f>
        <v>54</v>
      </c>
      <c r="S38" s="66" t="s">
        <v>374</v>
      </c>
      <c r="T38" s="67" t="n">
        <f aca="false">DATE(2026,12,16)-90-前提・入力!$B$38</f>
        <v>46268</v>
      </c>
      <c r="U38" s="66" t="str">
        <f aca="false">IF(S38="—","—",IF(T38="再生産不可","×再生産不可",_xlfn.IFS(T38-前提・入力!$B$39&lt;0,"★期限超過",T38-前提・入力!$B$39&lt;=30,"★至急(30日以内)",T38-前提・入力!$B$39&lt;=90,"要着手(90日以内)",TRUE(),"余裕あり")))</f>
        <v>要着手(90日以内)</v>
      </c>
      <c r="V38" s="66" t="str">
        <f aca="false">IF(Q38&gt;0,"★欠品：追加生産が必要",IF(P38&gt;=O38*2,"大幅余剰","在庫で充足"))</f>
        <v>★欠品：追加生産が必要</v>
      </c>
      <c r="W38" s="39" t="s">
        <v>679</v>
      </c>
      <c r="X38" s="66" t="s">
        <v>687</v>
      </c>
    </row>
    <row r="39" customFormat="false" ht="15" hidden="false" customHeight="false" outlineLevel="0" collapsed="false">
      <c r="A39" s="32" t="n">
        <v>33</v>
      </c>
      <c r="B39" s="32" t="s">
        <v>340</v>
      </c>
      <c r="C39" s="33" t="s">
        <v>341</v>
      </c>
      <c r="D39" s="34" t="n">
        <v>27500</v>
      </c>
      <c r="E39" s="35" t="n">
        <v>13</v>
      </c>
      <c r="F39" s="35" t="n">
        <v>141</v>
      </c>
      <c r="G39" s="35" t="n">
        <v>127</v>
      </c>
      <c r="H39" s="35" t="n">
        <v>106</v>
      </c>
      <c r="I39" s="34" t="n">
        <f aca="false">H39*D39</f>
        <v>2915000</v>
      </c>
      <c r="J39" s="35" t="n">
        <f aca="false">①札幌予測確定!S39</f>
        <v>15</v>
      </c>
      <c r="K39" s="35" t="n">
        <f aca="false">①札幌予測確定!P39</f>
        <v>0</v>
      </c>
      <c r="L39" s="35" t="n">
        <f aca="false">①札幌予測確定!U39</f>
        <v>15</v>
      </c>
      <c r="M39" s="35" t="n">
        <f aca="false">H39-J39</f>
        <v>91</v>
      </c>
      <c r="N39" s="35" t="n">
        <f aca="false">M39+ROUND(L39*前提・入力!$B$37,0)</f>
        <v>106</v>
      </c>
      <c r="O39" s="35" t="n">
        <f aca="false">③石川以降予測!N62</f>
        <v>14</v>
      </c>
      <c r="P39" s="38" t="n">
        <f aca="false">N39-O39</f>
        <v>92</v>
      </c>
      <c r="Q39" s="35" t="n">
        <f aca="false">MAX(0,-P39)</f>
        <v>0</v>
      </c>
      <c r="R39" s="35" t="n">
        <f aca="false">IF(Q39&gt;0,ROUNDUP(Q39*(1+前提・入力!$B$35),0),0)</f>
        <v>0</v>
      </c>
      <c r="S39" s="69" t="s">
        <v>518</v>
      </c>
      <c r="T39" s="32"/>
      <c r="U39" s="66" t="str">
        <f aca="false">IF(S39="—","—",IF(T39="再生産不可","×再生産不可",_xlfn.IFS(T39-前提・入力!$B$39&lt;0,"★期限超過",T39-前提・入力!$B$39&lt;=30,"★至急(30日以内)",T39-前提・入力!$B$39&lt;=90,"要着手(90日以内)",TRUE(),"余裕あり")))</f>
        <v>—</v>
      </c>
      <c r="V39" s="66" t="str">
        <f aca="false">IF(Q39&gt;0,"★欠品：追加生産が必要",IF(P39&gt;=O39*2,"大幅余剰","在庫で充足"))</f>
        <v>大幅余剰</v>
      </c>
      <c r="W39" s="39"/>
      <c r="X39" s="69"/>
    </row>
    <row r="40" customFormat="false" ht="15" hidden="false" customHeight="false" outlineLevel="0" collapsed="false">
      <c r="A40" s="32" t="n">
        <v>34</v>
      </c>
      <c r="B40" s="32" t="s">
        <v>342</v>
      </c>
      <c r="C40" s="33" t="s">
        <v>343</v>
      </c>
      <c r="D40" s="34" t="n">
        <v>27500</v>
      </c>
      <c r="E40" s="35" t="n">
        <v>13</v>
      </c>
      <c r="F40" s="35" t="n">
        <v>10</v>
      </c>
      <c r="G40" s="35" t="n">
        <v>7</v>
      </c>
      <c r="H40" s="35" t="n">
        <v>4</v>
      </c>
      <c r="I40" s="34" t="n">
        <f aca="false">H40*D40</f>
        <v>110000</v>
      </c>
      <c r="J40" s="35" t="n">
        <f aca="false">①札幌予測確定!S40</f>
        <v>2</v>
      </c>
      <c r="K40" s="35" t="n">
        <f aca="false">①札幌予測確定!P40</f>
        <v>1</v>
      </c>
      <c r="L40" s="35" t="n">
        <f aca="false">①札幌予測確定!U40</f>
        <v>1</v>
      </c>
      <c r="M40" s="35" t="n">
        <f aca="false">H40-J40</f>
        <v>2</v>
      </c>
      <c r="N40" s="35" t="n">
        <f aca="false">M40+ROUND(L40*前提・入力!$B$37,0)</f>
        <v>3</v>
      </c>
      <c r="O40" s="35" t="n">
        <f aca="false">③石川以降予測!N63</f>
        <v>7</v>
      </c>
      <c r="P40" s="38" t="n">
        <f aca="false">N40-O40</f>
        <v>-4</v>
      </c>
      <c r="Q40" s="35" t="n">
        <f aca="false">MAX(0,-P40)</f>
        <v>4</v>
      </c>
      <c r="R40" s="35" t="n">
        <f aca="false">IF(Q40&gt;0,ROUNDUP(Q40*(1+前提・入力!$B$35),0),0)</f>
        <v>5</v>
      </c>
      <c r="S40" s="66" t="s">
        <v>375</v>
      </c>
      <c r="T40" s="67" t="n">
        <f aca="false">DATE(2027,3,15)-90-前提・入力!$B$38</f>
        <v>46357</v>
      </c>
      <c r="U40" s="66" t="str">
        <f aca="false">IF(S40="—","—",IF(T40="再生産不可","×再生産不可",_xlfn.IFS(T40-前提・入力!$B$39&lt;0,"★期限超過",T40-前提・入力!$B$39&lt;=30,"★至急(30日以内)",T40-前提・入力!$B$39&lt;=90,"要着手(90日以内)",TRUE(),"余裕あり")))</f>
        <v>余裕あり</v>
      </c>
      <c r="V40" s="66" t="str">
        <f aca="false">IF(Q40&gt;0,"★欠品：追加生産が必要",IF(P40&gt;=O40*2,"大幅余剰","在庫で充足"))</f>
        <v>★欠品：追加生産が必要</v>
      </c>
      <c r="W40" s="39"/>
      <c r="X40" s="69"/>
    </row>
    <row r="41" customFormat="false" ht="15" hidden="false" customHeight="false" outlineLevel="0" collapsed="false">
      <c r="A41" s="32" t="n">
        <v>35</v>
      </c>
      <c r="B41" s="32" t="s">
        <v>344</v>
      </c>
      <c r="C41" s="33" t="s">
        <v>345</v>
      </c>
      <c r="D41" s="34" t="n">
        <v>27500</v>
      </c>
      <c r="E41" s="35" t="n">
        <v>13</v>
      </c>
      <c r="F41" s="35" t="n">
        <v>10</v>
      </c>
      <c r="G41" s="35" t="n">
        <v>7</v>
      </c>
      <c r="H41" s="35" t="n">
        <v>4</v>
      </c>
      <c r="I41" s="34" t="n">
        <f aca="false">H41*D41</f>
        <v>110000</v>
      </c>
      <c r="J41" s="35" t="n">
        <f aca="false">①札幌予測確定!S41</f>
        <v>2</v>
      </c>
      <c r="K41" s="35" t="n">
        <f aca="false">①札幌予測確定!P41</f>
        <v>0</v>
      </c>
      <c r="L41" s="35" t="n">
        <f aca="false">①札幌予測確定!U41</f>
        <v>2</v>
      </c>
      <c r="M41" s="35" t="n">
        <f aca="false">H41-J41</f>
        <v>2</v>
      </c>
      <c r="N41" s="35" t="n">
        <f aca="false">M41+ROUND(L41*前提・入力!$B$37,0)</f>
        <v>4</v>
      </c>
      <c r="O41" s="35" t="n">
        <f aca="false">③石川以降予測!N64</f>
        <v>1</v>
      </c>
      <c r="P41" s="38" t="n">
        <f aca="false">N41-O41</f>
        <v>3</v>
      </c>
      <c r="Q41" s="35" t="n">
        <f aca="false">MAX(0,-P41)</f>
        <v>0</v>
      </c>
      <c r="R41" s="35" t="n">
        <f aca="false">IF(Q41&gt;0,ROUNDUP(Q41*(1+前提・入力!$B$35),0),0)</f>
        <v>0</v>
      </c>
      <c r="S41" s="69" t="s">
        <v>518</v>
      </c>
      <c r="T41" s="32"/>
      <c r="U41" s="66" t="str">
        <f aca="false">IF(S41="—","—",IF(T41="再生産不可","×再生産不可",_xlfn.IFS(T41-前提・入力!$B$39&lt;0,"★期限超過",T41-前提・入力!$B$39&lt;=30,"★至急(30日以内)",T41-前提・入力!$B$39&lt;=90,"要着手(90日以内)",TRUE(),"余裕あり")))</f>
        <v>—</v>
      </c>
      <c r="V41" s="66" t="str">
        <f aca="false">IF(Q41&gt;0,"★欠品：追加生産が必要",IF(P41&gt;=O41*2,"大幅余剰","在庫で充足"))</f>
        <v>大幅余剰</v>
      </c>
      <c r="W41" s="39"/>
      <c r="X41" s="69"/>
    </row>
    <row r="42" customFormat="false" ht="15" hidden="false" customHeight="false" outlineLevel="0" collapsed="false">
      <c r="A42" s="32" t="n">
        <v>36</v>
      </c>
      <c r="B42" s="32" t="s">
        <v>346</v>
      </c>
      <c r="C42" s="33" t="s">
        <v>347</v>
      </c>
      <c r="D42" s="34" t="n">
        <v>27500</v>
      </c>
      <c r="E42" s="35" t="n">
        <v>13</v>
      </c>
      <c r="F42" s="35" t="n">
        <v>10</v>
      </c>
      <c r="G42" s="35" t="n">
        <v>7</v>
      </c>
      <c r="H42" s="35" t="n">
        <v>4</v>
      </c>
      <c r="I42" s="34" t="n">
        <f aca="false">H42*D42</f>
        <v>110000</v>
      </c>
      <c r="J42" s="35" t="n">
        <f aca="false">①札幌予測確定!S42</f>
        <v>2</v>
      </c>
      <c r="K42" s="35" t="n">
        <f aca="false">①札幌予測確定!P42</f>
        <v>0</v>
      </c>
      <c r="L42" s="35" t="n">
        <f aca="false">①札幌予測確定!U42</f>
        <v>2</v>
      </c>
      <c r="M42" s="35" t="n">
        <f aca="false">H42-J42</f>
        <v>2</v>
      </c>
      <c r="N42" s="35" t="n">
        <f aca="false">M42+ROUND(L42*前提・入力!$B$37,0)</f>
        <v>4</v>
      </c>
      <c r="O42" s="35" t="n">
        <f aca="false">③石川以降予測!N65</f>
        <v>1</v>
      </c>
      <c r="P42" s="38" t="n">
        <f aca="false">N42-O42</f>
        <v>3</v>
      </c>
      <c r="Q42" s="35" t="n">
        <f aca="false">MAX(0,-P42)</f>
        <v>0</v>
      </c>
      <c r="R42" s="35" t="n">
        <f aca="false">IF(Q42&gt;0,ROUNDUP(Q42*(1+前提・入力!$B$35),0),0)</f>
        <v>0</v>
      </c>
      <c r="S42" s="69" t="s">
        <v>518</v>
      </c>
      <c r="T42" s="32"/>
      <c r="U42" s="66" t="str">
        <f aca="false">IF(S42="—","—",IF(T42="再生産不可","×再生産不可",_xlfn.IFS(T42-前提・入力!$B$39&lt;0,"★期限超過",T42-前提・入力!$B$39&lt;=30,"★至急(30日以内)",T42-前提・入力!$B$39&lt;=90,"要着手(90日以内)",TRUE(),"余裕あり")))</f>
        <v>—</v>
      </c>
      <c r="V42" s="66" t="str">
        <f aca="false">IF(Q42&gt;0,"★欠品：追加生産が必要",IF(P42&gt;=O42*2,"大幅余剰","在庫で充足"))</f>
        <v>大幅余剰</v>
      </c>
      <c r="W42" s="39"/>
      <c r="X42" s="69"/>
    </row>
    <row r="43" customFormat="false" ht="15" hidden="false" customHeight="false" outlineLevel="0" collapsed="false">
      <c r="A43" s="32" t="n">
        <v>37</v>
      </c>
      <c r="B43" s="32" t="s">
        <v>348</v>
      </c>
      <c r="C43" s="33" t="s">
        <v>349</v>
      </c>
      <c r="D43" s="34" t="n">
        <v>27500</v>
      </c>
      <c r="E43" s="35" t="n">
        <v>13</v>
      </c>
      <c r="F43" s="35" t="n">
        <v>81</v>
      </c>
      <c r="G43" s="35" t="n">
        <v>69</v>
      </c>
      <c r="H43" s="35" t="n">
        <v>43</v>
      </c>
      <c r="I43" s="34" t="n">
        <f aca="false">H43*D43</f>
        <v>1182500</v>
      </c>
      <c r="J43" s="35" t="n">
        <f aca="false">①札幌予測確定!S43</f>
        <v>8</v>
      </c>
      <c r="K43" s="35" t="n">
        <f aca="false">①札幌予測確定!P43</f>
        <v>0</v>
      </c>
      <c r="L43" s="35" t="n">
        <f aca="false">①札幌予測確定!U43</f>
        <v>8</v>
      </c>
      <c r="M43" s="35" t="n">
        <f aca="false">H43-J43</f>
        <v>35</v>
      </c>
      <c r="N43" s="35" t="n">
        <f aca="false">M43+ROUND(L43*前提・入力!$B$37,0)</f>
        <v>43</v>
      </c>
      <c r="O43" s="35" t="n">
        <f aca="false">③石川以降予測!N66</f>
        <v>17</v>
      </c>
      <c r="P43" s="38" t="n">
        <f aca="false">N43-O43</f>
        <v>26</v>
      </c>
      <c r="Q43" s="35" t="n">
        <f aca="false">MAX(0,-P43)</f>
        <v>0</v>
      </c>
      <c r="R43" s="35" t="n">
        <f aca="false">IF(Q43&gt;0,ROUNDUP(Q43*(1+前提・入力!$B$35),0),0)</f>
        <v>0</v>
      </c>
      <c r="S43" s="69" t="s">
        <v>518</v>
      </c>
      <c r="T43" s="32"/>
      <c r="U43" s="66" t="str">
        <f aca="false">IF(S43="—","—",IF(T43="再生産不可","×再生産不可",_xlfn.IFS(T43-前提・入力!$B$39&lt;0,"★期限超過",T43-前提・入力!$B$39&lt;=30,"★至急(30日以内)",T43-前提・入力!$B$39&lt;=90,"要着手(90日以内)",TRUE(),"余裕あり")))</f>
        <v>—</v>
      </c>
      <c r="V43" s="66" t="str">
        <f aca="false">IF(Q43&gt;0,"★欠品：追加生産が必要",IF(P43&gt;=O43*2,"大幅余剰","在庫で充足"))</f>
        <v>在庫で充足</v>
      </c>
      <c r="W43" s="39"/>
      <c r="X43" s="69"/>
    </row>
    <row r="44" customFormat="false" ht="15" hidden="false" customHeight="false" outlineLevel="0" collapsed="false">
      <c r="A44" s="32" t="n">
        <v>38</v>
      </c>
      <c r="B44" s="32" t="s">
        <v>350</v>
      </c>
      <c r="C44" s="33" t="s">
        <v>351</v>
      </c>
      <c r="D44" s="34" t="n">
        <v>27500</v>
      </c>
      <c r="E44" s="35" t="n">
        <v>13</v>
      </c>
      <c r="F44" s="35" t="n">
        <v>10</v>
      </c>
      <c r="G44" s="35" t="n">
        <v>7</v>
      </c>
      <c r="H44" s="35" t="n">
        <v>4</v>
      </c>
      <c r="I44" s="34" t="n">
        <f aca="false">H44*D44</f>
        <v>110000</v>
      </c>
      <c r="J44" s="35" t="n">
        <f aca="false">①札幌予測確定!S44</f>
        <v>2</v>
      </c>
      <c r="K44" s="35" t="n">
        <f aca="false">①札幌予測確定!P44</f>
        <v>2</v>
      </c>
      <c r="L44" s="35" t="n">
        <f aca="false">①札幌予測確定!U44</f>
        <v>0</v>
      </c>
      <c r="M44" s="35" t="n">
        <f aca="false">H44-J44</f>
        <v>2</v>
      </c>
      <c r="N44" s="35" t="n">
        <f aca="false">M44+ROUND(L44*前提・入力!$B$37,0)</f>
        <v>2</v>
      </c>
      <c r="O44" s="35" t="n">
        <f aca="false">③石川以降予測!N67</f>
        <v>11</v>
      </c>
      <c r="P44" s="38" t="n">
        <f aca="false">N44-O44</f>
        <v>-9</v>
      </c>
      <c r="Q44" s="35" t="n">
        <f aca="false">MAX(0,-P44)</f>
        <v>9</v>
      </c>
      <c r="R44" s="35" t="n">
        <f aca="false">IF(Q44&gt;0,ROUNDUP(Q44*(1+前提・入力!$B$35),0),0)</f>
        <v>10</v>
      </c>
      <c r="S44" s="66" t="s">
        <v>535</v>
      </c>
      <c r="T44" s="67" t="n">
        <f aca="false">DATE(2026,9,5)-90-前提・入力!$B$38</f>
        <v>46166</v>
      </c>
      <c r="U44" s="66" t="str">
        <f aca="false">IF(S44="—","—",IF(T44="再生産不可","×再生産不可",_xlfn.IFS(T44-前提・入力!$B$39&lt;0,"★期限超過",T44-前提・入力!$B$39&lt;=30,"★至急(30日以内)",T44-前提・入力!$B$39&lt;=90,"要着手(90日以内)",TRUE(),"余裕あり")))</f>
        <v>★期限超過</v>
      </c>
      <c r="V44" s="66" t="str">
        <f aca="false">IF(Q44&gt;0,"★欠品：追加生産が必要",IF(P44&gt;=O44*2,"大幅余剰","在庫で充足"))</f>
        <v>★欠品：追加生産が必要</v>
      </c>
      <c r="W44" s="39"/>
      <c r="X44" s="69"/>
    </row>
    <row r="45" customFormat="false" ht="15" hidden="false" customHeight="false" outlineLevel="0" collapsed="false">
      <c r="A45" s="32" t="n">
        <v>39</v>
      </c>
      <c r="B45" s="32" t="s">
        <v>352</v>
      </c>
      <c r="C45" s="33" t="s">
        <v>353</v>
      </c>
      <c r="D45" s="34" t="n">
        <v>27500</v>
      </c>
      <c r="E45" s="35" t="n">
        <v>13</v>
      </c>
      <c r="F45" s="35" t="n">
        <v>10</v>
      </c>
      <c r="G45" s="35" t="n">
        <v>8</v>
      </c>
      <c r="H45" s="35" t="n">
        <v>5</v>
      </c>
      <c r="I45" s="34" t="n">
        <f aca="false">H45*D45</f>
        <v>137500</v>
      </c>
      <c r="J45" s="35" t="n">
        <f aca="false">①札幌予測確定!S45</f>
        <v>2</v>
      </c>
      <c r="K45" s="35" t="n">
        <f aca="false">①札幌予測確定!P45</f>
        <v>1</v>
      </c>
      <c r="L45" s="35" t="n">
        <f aca="false">①札幌予測確定!U45</f>
        <v>1</v>
      </c>
      <c r="M45" s="35" t="n">
        <f aca="false">H45-J45</f>
        <v>3</v>
      </c>
      <c r="N45" s="35" t="n">
        <f aca="false">M45+ROUND(L45*前提・入力!$B$37,0)</f>
        <v>4</v>
      </c>
      <c r="O45" s="35" t="n">
        <f aca="false">③石川以降予測!N68</f>
        <v>7</v>
      </c>
      <c r="P45" s="38" t="n">
        <f aca="false">N45-O45</f>
        <v>-3</v>
      </c>
      <c r="Q45" s="35" t="n">
        <f aca="false">MAX(0,-P45)</f>
        <v>3</v>
      </c>
      <c r="R45" s="35" t="n">
        <f aca="false">IF(Q45&gt;0,ROUNDUP(Q45*(1+前提・入力!$B$35),0),0)</f>
        <v>4</v>
      </c>
      <c r="S45" s="66" t="s">
        <v>376</v>
      </c>
      <c r="T45" s="67" t="n">
        <f aca="false">DATE(2027,4,1)-90-前提・入力!$B$38</f>
        <v>46374</v>
      </c>
      <c r="U45" s="66" t="str">
        <f aca="false">IF(S45="—","—",IF(T45="再生産不可","×再生産不可",_xlfn.IFS(T45-前提・入力!$B$39&lt;0,"★期限超過",T45-前提・入力!$B$39&lt;=30,"★至急(30日以内)",T45-前提・入力!$B$39&lt;=90,"要着手(90日以内)",TRUE(),"余裕あり")))</f>
        <v>余裕あり</v>
      </c>
      <c r="V45" s="66" t="str">
        <f aca="false">IF(Q45&gt;0,"★欠品：追加生産が必要",IF(P45&gt;=O45*2,"大幅余剰","在庫で充足"))</f>
        <v>★欠品：追加生産が必要</v>
      </c>
      <c r="W45" s="39"/>
      <c r="X45" s="69"/>
    </row>
    <row r="46" customFormat="false" ht="15" hidden="false" customHeight="false" outlineLevel="0" collapsed="false">
      <c r="A46" s="32" t="n">
        <v>40</v>
      </c>
      <c r="B46" s="32" t="s">
        <v>354</v>
      </c>
      <c r="C46" s="33" t="s">
        <v>355</v>
      </c>
      <c r="D46" s="34" t="n">
        <v>27500</v>
      </c>
      <c r="E46" s="35" t="n">
        <v>13</v>
      </c>
      <c r="F46" s="35" t="n">
        <v>10</v>
      </c>
      <c r="G46" s="35" t="n">
        <v>7</v>
      </c>
      <c r="H46" s="35" t="n">
        <v>4</v>
      </c>
      <c r="I46" s="34" t="n">
        <f aca="false">H46*D46</f>
        <v>110000</v>
      </c>
      <c r="J46" s="35" t="n">
        <f aca="false">①札幌予測確定!S46</f>
        <v>2</v>
      </c>
      <c r="K46" s="35" t="n">
        <f aca="false">①札幌予測確定!P46</f>
        <v>0</v>
      </c>
      <c r="L46" s="35" t="n">
        <f aca="false">①札幌予測確定!U46</f>
        <v>2</v>
      </c>
      <c r="M46" s="35" t="n">
        <f aca="false">H46-J46</f>
        <v>2</v>
      </c>
      <c r="N46" s="35" t="n">
        <f aca="false">M46+ROUND(L46*前提・入力!$B$37,0)</f>
        <v>4</v>
      </c>
      <c r="O46" s="35" t="n">
        <f aca="false">③石川以降予測!N69</f>
        <v>1</v>
      </c>
      <c r="P46" s="38" t="n">
        <f aca="false">N46-O46</f>
        <v>3</v>
      </c>
      <c r="Q46" s="35" t="n">
        <f aca="false">MAX(0,-P46)</f>
        <v>0</v>
      </c>
      <c r="R46" s="35" t="n">
        <f aca="false">IF(Q46&gt;0,ROUNDUP(Q46*(1+前提・入力!$B$35),0),0)</f>
        <v>0</v>
      </c>
      <c r="S46" s="69" t="s">
        <v>518</v>
      </c>
      <c r="T46" s="32"/>
      <c r="U46" s="66" t="str">
        <f aca="false">IF(S46="—","—",IF(T46="再生産不可","×再生産不可",_xlfn.IFS(T46-前提・入力!$B$39&lt;0,"★期限超過",T46-前提・入力!$B$39&lt;=30,"★至急(30日以内)",T46-前提・入力!$B$39&lt;=90,"要着手(90日以内)",TRUE(),"余裕あり")))</f>
        <v>—</v>
      </c>
      <c r="V46" s="66" t="str">
        <f aca="false">IF(Q46&gt;0,"★欠品：追加生産が必要",IF(P46&gt;=O46*2,"大幅余剰","在庫で充足"))</f>
        <v>大幅余剰</v>
      </c>
      <c r="W46" s="39"/>
      <c r="X46" s="69"/>
    </row>
    <row r="47" customFormat="false" ht="15" hidden="false" customHeight="false" outlineLevel="0" collapsed="false">
      <c r="A47" s="32" t="n">
        <v>41</v>
      </c>
      <c r="B47" s="32" t="s">
        <v>356</v>
      </c>
      <c r="C47" s="33" t="s">
        <v>357</v>
      </c>
      <c r="D47" s="34" t="n">
        <v>25000</v>
      </c>
      <c r="E47" s="35" t="n">
        <v>81</v>
      </c>
      <c r="F47" s="35" t="n">
        <v>76</v>
      </c>
      <c r="G47" s="35" t="n">
        <v>75</v>
      </c>
      <c r="H47" s="35" t="n">
        <v>74</v>
      </c>
      <c r="I47" s="34" t="n">
        <f aca="false">H47*D47</f>
        <v>1850000</v>
      </c>
      <c r="J47" s="35" t="n">
        <f aca="false">①札幌予測確定!S47</f>
        <v>4</v>
      </c>
      <c r="K47" s="35" t="n">
        <f aca="false">①札幌予測確定!P47</f>
        <v>0</v>
      </c>
      <c r="L47" s="35" t="n">
        <f aca="false">①札幌予測確定!U47</f>
        <v>4</v>
      </c>
      <c r="M47" s="35" t="n">
        <f aca="false">H47-J47</f>
        <v>70</v>
      </c>
      <c r="N47" s="35" t="n">
        <f aca="false">M47+ROUND(L47*前提・入力!$B$37,0)</f>
        <v>74</v>
      </c>
      <c r="O47" s="35" t="n">
        <f aca="false">③石川以降予測!N70</f>
        <v>1</v>
      </c>
      <c r="P47" s="38" t="n">
        <f aca="false">N47-O47</f>
        <v>73</v>
      </c>
      <c r="Q47" s="35" t="n">
        <f aca="false">MAX(0,-P47)</f>
        <v>0</v>
      </c>
      <c r="R47" s="35" t="n">
        <f aca="false">IF(Q47&gt;0,ROUNDUP(Q47*(1+前提・入力!$B$35),0),0)</f>
        <v>0</v>
      </c>
      <c r="S47" s="69" t="s">
        <v>518</v>
      </c>
      <c r="T47" s="32"/>
      <c r="U47" s="66" t="str">
        <f aca="false">IF(S47="—","—",IF(T47="再生産不可","×再生産不可",_xlfn.IFS(T47-前提・入力!$B$39&lt;0,"★期限超過",T47-前提・入力!$B$39&lt;=30,"★至急(30日以内)",T47-前提・入力!$B$39&lt;=90,"要着手(90日以内)",TRUE(),"余裕あり")))</f>
        <v>—</v>
      </c>
      <c r="V47" s="66" t="str">
        <f aca="false">IF(Q47&gt;0,"★欠品：追加生産が必要",IF(P47&gt;=O47*2,"大幅余剰","在庫で充足"))</f>
        <v>大幅余剰</v>
      </c>
      <c r="W47" s="39"/>
      <c r="X47" s="69"/>
    </row>
    <row r="48" customFormat="false" ht="15" hidden="false" customHeight="false" outlineLevel="0" collapsed="false">
      <c r="A48" s="32" t="n">
        <v>42</v>
      </c>
      <c r="B48" s="32" t="s">
        <v>358</v>
      </c>
      <c r="C48" s="33" t="s">
        <v>359</v>
      </c>
      <c r="D48" s="34" t="n">
        <v>25000</v>
      </c>
      <c r="E48" s="35" t="n">
        <v>69</v>
      </c>
      <c r="F48" s="35" t="n">
        <v>61</v>
      </c>
      <c r="G48" s="35" t="n">
        <v>58</v>
      </c>
      <c r="H48" s="35" t="n">
        <v>49</v>
      </c>
      <c r="I48" s="34" t="n">
        <f aca="false">H48*D48</f>
        <v>1225000</v>
      </c>
      <c r="J48" s="35" t="n">
        <f aca="false">①札幌予測確定!S48</f>
        <v>6</v>
      </c>
      <c r="K48" s="35" t="n">
        <f aca="false">①札幌予測確定!P48</f>
        <v>2</v>
      </c>
      <c r="L48" s="35" t="n">
        <f aca="false">①札幌予測確定!U48</f>
        <v>4</v>
      </c>
      <c r="M48" s="35" t="n">
        <f aca="false">H48-J48</f>
        <v>43</v>
      </c>
      <c r="N48" s="35" t="n">
        <f aca="false">M48+ROUND(L48*前提・入力!$B$37,0)</f>
        <v>47</v>
      </c>
      <c r="O48" s="35" t="n">
        <f aca="false">③石川以降予測!N71</f>
        <v>15</v>
      </c>
      <c r="P48" s="38" t="n">
        <f aca="false">N48-O48</f>
        <v>32</v>
      </c>
      <c r="Q48" s="35" t="n">
        <f aca="false">MAX(0,-P48)</f>
        <v>0</v>
      </c>
      <c r="R48" s="35" t="n">
        <f aca="false">IF(Q48&gt;0,ROUNDUP(Q48*(1+前提・入力!$B$35),0),0)</f>
        <v>0</v>
      </c>
      <c r="S48" s="69" t="s">
        <v>518</v>
      </c>
      <c r="T48" s="32"/>
      <c r="U48" s="66" t="str">
        <f aca="false">IF(S48="—","—",IF(T48="再生産不可","×再生産不可",_xlfn.IFS(T48-前提・入力!$B$39&lt;0,"★期限超過",T48-前提・入力!$B$39&lt;=30,"★至急(30日以内)",T48-前提・入力!$B$39&lt;=90,"要着手(90日以内)",TRUE(),"余裕あり")))</f>
        <v>—</v>
      </c>
      <c r="V48" s="66" t="str">
        <f aca="false">IF(Q48&gt;0,"★欠品：追加生産が必要",IF(P48&gt;=O48*2,"大幅余剰","在庫で充足"))</f>
        <v>大幅余剰</v>
      </c>
      <c r="W48" s="39"/>
      <c r="X48" s="69"/>
    </row>
    <row r="49" customFormat="false" ht="15" hidden="false" customHeight="false" outlineLevel="0" collapsed="false">
      <c r="A49" s="40"/>
      <c r="B49" s="40"/>
      <c r="C49" s="41" t="s">
        <v>360</v>
      </c>
      <c r="D49" s="40"/>
      <c r="E49" s="42" t="n">
        <f aca="false">SUM(E7:E48)</f>
        <v>102310</v>
      </c>
      <c r="F49" s="42" t="n">
        <f aca="false">SUM(F7:F48)</f>
        <v>158693</v>
      </c>
      <c r="G49" s="42" t="n">
        <f aca="false">SUM(G7:G48)</f>
        <v>338784</v>
      </c>
      <c r="H49" s="42" t="n">
        <f aca="false">SUM(H7:H48)</f>
        <v>274688</v>
      </c>
      <c r="I49" s="44" t="n">
        <f aca="false">SUM(I7:I48)</f>
        <v>216459500</v>
      </c>
      <c r="J49" s="42" t="n">
        <f aca="false">SUM(J7:J48)</f>
        <v>50506</v>
      </c>
      <c r="K49" s="42" t="n">
        <f aca="false">SUM(K7:K48)</f>
        <v>8740</v>
      </c>
      <c r="L49" s="42" t="n">
        <f aca="false">SUM(L7:L48)</f>
        <v>41768</v>
      </c>
      <c r="M49" s="42" t="n">
        <f aca="false">SUM(M7:M48)</f>
        <v>224182</v>
      </c>
      <c r="N49" s="42" t="n">
        <f aca="false">SUM(N7:N48)</f>
        <v>265950</v>
      </c>
      <c r="O49" s="42" t="n">
        <f aca="false">SUM(O7:O48)</f>
        <v>81791</v>
      </c>
      <c r="P49" s="42" t="n">
        <f aca="false">SUM(P7:P48)</f>
        <v>185359</v>
      </c>
      <c r="Q49" s="42" t="n">
        <f aca="false">SUM(Q7:Q48)</f>
        <v>2554</v>
      </c>
      <c r="R49" s="42" t="n">
        <f aca="false">SUM(R7:R48)</f>
        <v>2812</v>
      </c>
      <c r="S49" s="40"/>
      <c r="T49" s="40"/>
      <c r="U49" s="40" t="str">
        <f aca="false">COUNTIF(U7:U48,"★期限超過")&amp;"品目が期限超過"</f>
        <v>1品目が期限超過</v>
      </c>
      <c r="V49" s="40" t="str">
        <f aca="false">COUNTIF(V7:V48,"★欠品：追加生産が必要")&amp;"品目が欠品"</f>
        <v>8品目が欠品</v>
      </c>
      <c r="W49" s="40" t="str">
        <f aca="false">COUNTIF(W7:W48,"&lt;&gt;")&amp;"品目"</f>
        <v>8品目</v>
      </c>
      <c r="X49" s="40"/>
    </row>
  </sheetData>
  <conditionalFormatting sqref="V7:V48">
    <cfRule type="expression" priority="2" aboveAverage="0" equalAverage="0" bottom="0" percent="0" rank="0" text="" dxfId="0">
      <formula>LEFT($V7,1)="★"</formula>
    </cfRule>
    <cfRule type="expression" priority="3" aboveAverage="0" equalAverage="0" bottom="0" percent="0" rank="0" text="" dxfId="2">
      <formula>$V7="在庫で充足"</formula>
    </cfRule>
  </conditionalFormatting>
  <conditionalFormatting sqref="W7:W48">
    <cfRule type="expression" priority="4" aboveAverage="0" equalAverage="0" bottom="0" percent="0" rank="0" text="" dxfId="1">
      <formula>$W7&lt;&gt;""</formula>
    </cfRule>
  </conditionalFormatting>
  <conditionalFormatting sqref="S7:S48">
    <cfRule type="expression" priority="5" aboveAverage="0" equalAverage="0" bottom="0" percent="0" rank="0" text="" dxfId="3">
      <formula>$S7&lt;&gt;"—"</formula>
    </cfRule>
  </conditionalFormatting>
  <conditionalFormatting sqref="U7:U48">
    <cfRule type="expression" priority="6" aboveAverage="0" equalAverage="0" bottom="0" percent="0" rank="0" text="" dxfId="3">
      <formula>LEFT($U7,1)="★"</formula>
    </cfRule>
    <cfRule type="expression" priority="7" aboveAverage="0" equalAverage="0" bottom="0" percent="0" rank="0" text="" dxfId="1">
      <formula>$U7="要着手(90日以内)"</formula>
    </cfRule>
  </conditionalFormatting>
  <conditionalFormatting sqref="Q7:Q48">
    <cfRule type="expression" priority="8" aboveAverage="0" equalAverage="0" bottom="0" percent="0" rank="0" text="" dxfId="3">
      <formula>$Q7&gt;0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K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5"/>
    <col collapsed="false" customWidth="true" hidden="false" outlineLevel="0" max="3" min="3" style="0" width="42"/>
    <col collapsed="false" customWidth="true" hidden="false" outlineLevel="0" max="4" min="4" style="0" width="9"/>
    <col collapsed="false" customWidth="true" hidden="false" outlineLevel="0" max="5" min="5" style="0" width="10"/>
    <col collapsed="false" customWidth="true" hidden="false" outlineLevel="0" max="7" min="6" style="0" width="11"/>
    <col collapsed="false" customWidth="true" hidden="false" outlineLevel="0" max="8" min="8" style="0" width="10"/>
    <col collapsed="false" customWidth="true" hidden="false" outlineLevel="0" max="9" min="9" style="0" width="11"/>
    <col collapsed="false" customWidth="true" hidden="false" outlineLevel="0" max="10" min="10" style="0" width="10"/>
    <col collapsed="false" customWidth="true" hidden="false" outlineLevel="0" max="11" min="11" style="0" width="11"/>
    <col collapsed="false" customWidth="true" hidden="false" outlineLevel="0" max="12" min="12" style="0" width="10"/>
    <col collapsed="false" customWidth="true" hidden="false" outlineLevel="0" max="14" min="13" style="0" width="11"/>
    <col collapsed="false" customWidth="true" hidden="false" outlineLevel="0" max="15" min="15" style="0" width="10"/>
    <col collapsed="false" customWidth="true" hidden="false" outlineLevel="0" max="16" min="16" style="0" width="11"/>
    <col collapsed="false" customWidth="true" hidden="false" outlineLevel="0" max="17" min="17" style="0" width="10"/>
    <col collapsed="false" customWidth="true" hidden="false" outlineLevel="0" max="18" min="18" style="0" width="11"/>
    <col collapsed="false" customWidth="true" hidden="false" outlineLevel="0" max="19" min="19" style="0" width="10"/>
    <col collapsed="false" customWidth="true" hidden="false" outlineLevel="0" max="21" min="20" style="0" width="11"/>
    <col collapsed="false" customWidth="true" hidden="false" outlineLevel="0" max="22" min="22" style="0" width="10"/>
    <col collapsed="false" customWidth="true" hidden="false" outlineLevel="0" max="23" min="23" style="0" width="11"/>
    <col collapsed="false" customWidth="true" hidden="false" outlineLevel="0" max="24" min="24" style="0" width="10"/>
    <col collapsed="false" customWidth="true" hidden="false" outlineLevel="0" max="25" min="25" style="0" width="11"/>
    <col collapsed="false" customWidth="true" hidden="false" outlineLevel="0" max="26" min="26" style="0" width="10"/>
    <col collapsed="false" customWidth="true" hidden="false" outlineLevel="0" max="28" min="27" style="0" width="11"/>
    <col collapsed="false" customWidth="true" hidden="false" outlineLevel="0" max="29" min="29" style="0" width="10"/>
    <col collapsed="false" customWidth="true" hidden="false" outlineLevel="0" max="30" min="30" style="0" width="11"/>
    <col collapsed="false" customWidth="true" hidden="false" outlineLevel="0" max="31" min="31" style="0" width="10"/>
    <col collapsed="false" customWidth="true" hidden="false" outlineLevel="0" max="35" min="32" style="0" width="11"/>
    <col collapsed="false" customWidth="true" hidden="false" outlineLevel="0" max="36" min="36" style="0" width="12"/>
    <col collapsed="false" customWidth="true" hidden="false" outlineLevel="0" max="37" min="37" style="0" width="16"/>
  </cols>
  <sheetData>
    <row r="1" customFormat="false" ht="20.1" hidden="false" customHeight="false" outlineLevel="0" collapsed="false">
      <c r="A1" s="1" t="s">
        <v>688</v>
      </c>
    </row>
    <row r="2" customFormat="false" ht="15" hidden="false" customHeight="false" outlineLevel="0" collapsed="false">
      <c r="A2" s="3" t="s">
        <v>689</v>
      </c>
    </row>
    <row r="3" customFormat="false" ht="15" hidden="false" customHeight="false" outlineLevel="0" collapsed="false">
      <c r="A3" s="3" t="s">
        <v>690</v>
      </c>
    </row>
    <row r="4" customFormat="false" ht="15" hidden="false" customHeight="false" outlineLevel="0" collapsed="false">
      <c r="A4" s="3" t="s">
        <v>691</v>
      </c>
    </row>
    <row r="6" customFormat="false" ht="15" hidden="false" customHeight="false" outlineLevel="0" collapsed="false">
      <c r="A6" s="4" t="s">
        <v>692</v>
      </c>
    </row>
    <row r="7" customFormat="false" ht="33.75" hidden="false" customHeight="true" outlineLevel="0" collapsed="false">
      <c r="A7" s="26" t="s">
        <v>414</v>
      </c>
      <c r="B7" s="26" t="s">
        <v>389</v>
      </c>
      <c r="C7" s="26" t="s">
        <v>693</v>
      </c>
      <c r="D7" s="26" t="s">
        <v>694</v>
      </c>
      <c r="E7" s="26" t="s">
        <v>695</v>
      </c>
      <c r="F7" s="26" t="s">
        <v>696</v>
      </c>
      <c r="G7" s="26" t="s">
        <v>697</v>
      </c>
      <c r="H7" s="26" t="s">
        <v>698</v>
      </c>
      <c r="I7" s="26" t="s">
        <v>699</v>
      </c>
      <c r="J7" s="26" t="s">
        <v>700</v>
      </c>
      <c r="K7" s="26" t="s">
        <v>701</v>
      </c>
      <c r="L7" s="26" t="s">
        <v>587</v>
      </c>
    </row>
    <row r="8" customFormat="false" ht="49.25" hidden="false" customHeight="false" outlineLevel="0" collapsed="false">
      <c r="A8" s="53" t="s">
        <v>366</v>
      </c>
      <c r="B8" s="35" t="n">
        <v>25</v>
      </c>
      <c r="C8" s="33" t="s">
        <v>702</v>
      </c>
      <c r="D8" s="36"/>
      <c r="E8" s="35" t="n">
        <v>211152</v>
      </c>
      <c r="F8" s="35"/>
      <c r="G8" s="35" t="n">
        <v>148185</v>
      </c>
      <c r="H8" s="32"/>
      <c r="I8" s="32"/>
      <c r="J8" s="32"/>
      <c r="K8" s="37" t="n">
        <f aca="false">IFERROR(G8/E8,0)</f>
        <v>0.701793021141169</v>
      </c>
      <c r="L8" s="66" t="s">
        <v>703</v>
      </c>
    </row>
    <row r="9" customFormat="false" ht="61.15" hidden="false" customHeight="false" outlineLevel="0" collapsed="false">
      <c r="A9" s="53" t="s">
        <v>367</v>
      </c>
      <c r="B9" s="35" t="n">
        <v>19</v>
      </c>
      <c r="C9" s="33" t="s">
        <v>704</v>
      </c>
      <c r="D9" s="36" t="n">
        <v>1.54221334854535</v>
      </c>
      <c r="E9" s="35" t="n">
        <v>83271</v>
      </c>
      <c r="F9" s="35" t="n">
        <v>59078</v>
      </c>
      <c r="G9" s="35" t="n">
        <v>58600</v>
      </c>
      <c r="H9" s="38" t="n">
        <f aca="false">G9-F9</f>
        <v>-478</v>
      </c>
      <c r="I9" s="78" t="n">
        <f aca="false">IFERROR(-H9/G9,"")</f>
        <v>0.00815699658703072</v>
      </c>
      <c r="J9" s="37" t="n">
        <v>0.0625255972696246</v>
      </c>
      <c r="K9" s="37" t="n">
        <f aca="false">IFERROR(G9/E9,0)</f>
        <v>0.703726387337729</v>
      </c>
      <c r="L9" s="66" t="s">
        <v>705</v>
      </c>
    </row>
    <row r="10" customFormat="false" ht="61.15" hidden="false" customHeight="false" outlineLevel="0" collapsed="false">
      <c r="A10" s="53" t="s">
        <v>368</v>
      </c>
      <c r="B10" s="35" t="n">
        <v>26</v>
      </c>
      <c r="C10" s="33" t="s">
        <v>706</v>
      </c>
      <c r="D10" s="36" t="n">
        <v>2.0315900988829</v>
      </c>
      <c r="E10" s="35" t="n">
        <v>49598</v>
      </c>
      <c r="F10" s="35" t="n">
        <v>32081</v>
      </c>
      <c r="G10" s="35" t="n">
        <v>44871</v>
      </c>
      <c r="H10" s="38" t="n">
        <f aca="false">G10-F10</f>
        <v>12790</v>
      </c>
      <c r="I10" s="78" t="n">
        <f aca="false">IFERROR(-H10/G10,"")</f>
        <v>-0.285039334982505</v>
      </c>
      <c r="J10" s="37" t="n">
        <v>0.315036437788327</v>
      </c>
      <c r="K10" s="37" t="n">
        <f aca="false">IFERROR(G10/E10,0)</f>
        <v>0.904693737650712</v>
      </c>
      <c r="L10" s="69" t="s">
        <v>707</v>
      </c>
    </row>
    <row r="11" customFormat="false" ht="85.05" hidden="false" customHeight="false" outlineLevel="0" collapsed="false">
      <c r="A11" s="53" t="s">
        <v>369</v>
      </c>
      <c r="B11" s="35" t="n">
        <v>20</v>
      </c>
      <c r="C11" s="33" t="s">
        <v>708</v>
      </c>
      <c r="D11" s="36" t="n">
        <v>1.84480786249893</v>
      </c>
      <c r="E11" s="35" t="n">
        <v>137560</v>
      </c>
      <c r="F11" s="35" t="n">
        <v>71190</v>
      </c>
      <c r="G11" s="35" t="n">
        <v>63740</v>
      </c>
      <c r="H11" s="38" t="n">
        <f aca="false">G11-F11</f>
        <v>-7450</v>
      </c>
      <c r="I11" s="78" t="n">
        <f aca="false">IFERROR(-H11/G11,"")</f>
        <v>0.116881079385002</v>
      </c>
      <c r="J11" s="37" t="n">
        <v>0.140288672732978</v>
      </c>
      <c r="K11" s="37" t="n">
        <f aca="false">IFERROR(G11/E11,0)</f>
        <v>0.463361442279732</v>
      </c>
      <c r="L11" s="66" t="s">
        <v>709</v>
      </c>
    </row>
    <row r="12" customFormat="false" ht="61.15" hidden="false" customHeight="false" outlineLevel="0" collapsed="false">
      <c r="A12" s="40" t="s">
        <v>710</v>
      </c>
      <c r="B12" s="40"/>
      <c r="C12" s="41"/>
      <c r="D12" s="40"/>
      <c r="E12" s="42" t="n">
        <f aca="false">SUM(E8:E11)</f>
        <v>481581</v>
      </c>
      <c r="F12" s="42" t="n">
        <f aca="false">SUM(F8:F11)</f>
        <v>162349</v>
      </c>
      <c r="G12" s="42" t="n">
        <f aca="false">SUM(G8:G11)</f>
        <v>315396</v>
      </c>
      <c r="H12" s="46" t="n">
        <f aca="false">G12-F12</f>
        <v>153047</v>
      </c>
      <c r="I12" s="90" t="n">
        <f aca="false">IFERROR(-H12/G12,"")</f>
        <v>-0.485253459143426</v>
      </c>
      <c r="J12" s="40"/>
      <c r="K12" s="45" t="n">
        <f aca="false">IFERROR(G12/E12,0)</f>
        <v>0.654917864284513</v>
      </c>
      <c r="L12" s="87" t="s">
        <v>711</v>
      </c>
    </row>
    <row r="14" customFormat="false" ht="15" hidden="false" customHeight="false" outlineLevel="0" collapsed="false">
      <c r="A14" s="4" t="s">
        <v>712</v>
      </c>
    </row>
    <row r="15" customFormat="false" ht="39.75" hidden="false" customHeight="true" outlineLevel="0" collapsed="false">
      <c r="A15" s="25" t="s">
        <v>253</v>
      </c>
      <c r="B15" s="25" t="s">
        <v>254</v>
      </c>
      <c r="C15" s="26" t="s">
        <v>255</v>
      </c>
      <c r="D15" s="26" t="s">
        <v>495</v>
      </c>
      <c r="E15" s="47" t="s">
        <v>713</v>
      </c>
      <c r="F15" s="47" t="s">
        <v>714</v>
      </c>
      <c r="G15" s="47" t="s">
        <v>715</v>
      </c>
      <c r="H15" s="47" t="s">
        <v>716</v>
      </c>
      <c r="I15" s="47" t="s">
        <v>717</v>
      </c>
      <c r="J15" s="47" t="s">
        <v>718</v>
      </c>
      <c r="K15" s="47" t="s">
        <v>719</v>
      </c>
      <c r="L15" s="28" t="s">
        <v>720</v>
      </c>
      <c r="M15" s="28" t="s">
        <v>721</v>
      </c>
      <c r="N15" s="28" t="s">
        <v>722</v>
      </c>
      <c r="O15" s="28" t="s">
        <v>723</v>
      </c>
      <c r="P15" s="28" t="s">
        <v>724</v>
      </c>
      <c r="Q15" s="28" t="s">
        <v>725</v>
      </c>
      <c r="R15" s="28" t="s">
        <v>726</v>
      </c>
      <c r="S15" s="29" t="s">
        <v>727</v>
      </c>
      <c r="T15" s="29" t="s">
        <v>728</v>
      </c>
      <c r="U15" s="29" t="s">
        <v>729</v>
      </c>
      <c r="V15" s="29" t="s">
        <v>730</v>
      </c>
      <c r="W15" s="29" t="s">
        <v>731</v>
      </c>
      <c r="X15" s="29" t="s">
        <v>732</v>
      </c>
      <c r="Y15" s="29" t="s">
        <v>733</v>
      </c>
      <c r="Z15" s="30" t="s">
        <v>734</v>
      </c>
      <c r="AA15" s="30" t="s">
        <v>735</v>
      </c>
      <c r="AB15" s="30" t="s">
        <v>736</v>
      </c>
      <c r="AC15" s="30" t="s">
        <v>737</v>
      </c>
      <c r="AD15" s="30" t="s">
        <v>738</v>
      </c>
      <c r="AE15" s="30" t="s">
        <v>739</v>
      </c>
      <c r="AF15" s="30" t="s">
        <v>740</v>
      </c>
      <c r="AG15" s="84" t="s">
        <v>741</v>
      </c>
      <c r="AH15" s="84" t="s">
        <v>742</v>
      </c>
      <c r="AI15" s="27" t="s">
        <v>743</v>
      </c>
      <c r="AJ15" s="48" t="s">
        <v>744</v>
      </c>
      <c r="AK15" s="31" t="s">
        <v>745</v>
      </c>
    </row>
    <row r="16" customFormat="false" ht="15" hidden="false" customHeight="false" outlineLevel="0" collapsed="false">
      <c r="A16" s="32" t="n">
        <v>1</v>
      </c>
      <c r="B16" s="32" t="s">
        <v>276</v>
      </c>
      <c r="C16" s="33" t="s">
        <v>277</v>
      </c>
      <c r="D16" s="34" t="n">
        <v>500</v>
      </c>
      <c r="E16" s="35" t="n">
        <v>6000</v>
      </c>
      <c r="F16" s="32" t="s">
        <v>518</v>
      </c>
      <c r="G16" s="35" t="n">
        <v>4965</v>
      </c>
      <c r="H16" s="32" t="s">
        <v>518</v>
      </c>
      <c r="I16" s="37" t="n">
        <f aca="false">IFERROR(E16/E$58,0)</f>
        <v>0.0284155489884065</v>
      </c>
      <c r="J16" s="37" t="n">
        <f aca="false">IFERROR(G16/G$58,0)</f>
        <v>0.0335054155278874</v>
      </c>
      <c r="K16" s="91" t="n">
        <f aca="false">J16-I16</f>
        <v>0.00508986653948098</v>
      </c>
      <c r="L16" s="35" t="n">
        <v>1998</v>
      </c>
      <c r="M16" s="35" t="n">
        <v>974</v>
      </c>
      <c r="N16" s="35" t="n">
        <v>1316</v>
      </c>
      <c r="O16" s="38" t="n">
        <f aca="false">N16-M16</f>
        <v>342</v>
      </c>
      <c r="P16" s="37" t="n">
        <f aca="false">IFERROR(M16/M$58,0)</f>
        <v>0.0164866786282542</v>
      </c>
      <c r="Q16" s="37" t="n">
        <f aca="false">IFERROR(N16/N$58,0)</f>
        <v>0.022457337883959</v>
      </c>
      <c r="R16" s="91" t="n">
        <f aca="false">Q16-P16</f>
        <v>0.00597065925570487</v>
      </c>
      <c r="S16" s="35" t="n">
        <v>1099</v>
      </c>
      <c r="T16" s="35" t="n">
        <v>1177</v>
      </c>
      <c r="U16" s="35" t="n">
        <v>1092</v>
      </c>
      <c r="V16" s="38" t="n">
        <f aca="false">U16-T16</f>
        <v>-85</v>
      </c>
      <c r="W16" s="37" t="n">
        <f aca="false">IFERROR(T16/T$58,0)</f>
        <v>0.0366883825317166</v>
      </c>
      <c r="X16" s="37" t="n">
        <f aca="false">IFERROR(U16/U$58,0)</f>
        <v>0.0243364311024938</v>
      </c>
      <c r="Y16" s="91" t="n">
        <f aca="false">X16-W16</f>
        <v>-0.0123519514292228</v>
      </c>
      <c r="Z16" s="35" t="n">
        <v>3000</v>
      </c>
      <c r="AA16" s="35" t="n">
        <v>2097</v>
      </c>
      <c r="AB16" s="35" t="n">
        <v>2325</v>
      </c>
      <c r="AC16" s="38" t="n">
        <f aca="false">AB16-AA16</f>
        <v>228</v>
      </c>
      <c r="AD16" s="37" t="n">
        <f aca="false">IFERROR(AA16/AA$58,0)</f>
        <v>0.029456384323641</v>
      </c>
      <c r="AE16" s="37" t="n">
        <f aca="false">IFERROR(AB16/AB$58,0)</f>
        <v>0.0364763100094132</v>
      </c>
      <c r="AF16" s="91" t="n">
        <f aca="false">AE16-AD16</f>
        <v>0.00701992568577228</v>
      </c>
      <c r="AG16" s="35" t="n">
        <f aca="false">G16+N16+U16+AB16</f>
        <v>9698</v>
      </c>
      <c r="AH16" s="37" t="n">
        <f aca="false">IFERROR(AG16/AG$58,0)</f>
        <v>0.0307486461464318</v>
      </c>
      <c r="AI16" s="37" t="n">
        <f aca="false">①札幌予測確定!R7</f>
        <v>0.0534324942791762</v>
      </c>
      <c r="AJ16" s="37" t="n">
        <f aca="false">③石川以降予測!H30</f>
        <v>0.0449544021442947</v>
      </c>
      <c r="AK16" s="39" t="str">
        <f aca="false">IF(AJ16-AH16&gt;=0.005,"↑ 上方修正",IF(AJ16-AH16&lt;=-0.005,"↓ 下方修正","→ 据置"))</f>
        <v>↑ 上方修正</v>
      </c>
    </row>
    <row r="17" customFormat="false" ht="15" hidden="false" customHeight="false" outlineLevel="0" collapsed="false">
      <c r="A17" s="32" t="n">
        <v>2</v>
      </c>
      <c r="B17" s="32" t="s">
        <v>278</v>
      </c>
      <c r="C17" s="33" t="s">
        <v>279</v>
      </c>
      <c r="D17" s="34" t="n">
        <v>600</v>
      </c>
      <c r="E17" s="35" t="n">
        <v>5699</v>
      </c>
      <c r="F17" s="32" t="s">
        <v>518</v>
      </c>
      <c r="G17" s="35" t="n">
        <v>4902</v>
      </c>
      <c r="H17" s="32" t="s">
        <v>518</v>
      </c>
      <c r="I17" s="37" t="n">
        <f aca="false">IFERROR(E17/E$58,0)</f>
        <v>0.0269900356141547</v>
      </c>
      <c r="J17" s="37" t="n">
        <f aca="false">IFERROR(G17/G$58,0)</f>
        <v>0.0330802712825185</v>
      </c>
      <c r="K17" s="91" t="n">
        <f aca="false">J17-I17</f>
        <v>0.00609023566836374</v>
      </c>
      <c r="L17" s="35" t="n">
        <v>1999</v>
      </c>
      <c r="M17" s="35" t="n">
        <v>1402</v>
      </c>
      <c r="N17" s="35" t="n">
        <v>1466</v>
      </c>
      <c r="O17" s="38" t="n">
        <f aca="false">N17-M17</f>
        <v>64</v>
      </c>
      <c r="P17" s="37" t="n">
        <f aca="false">IFERROR(M17/M$58,0)</f>
        <v>0.0237313382308135</v>
      </c>
      <c r="Q17" s="37" t="n">
        <f aca="false">IFERROR(N17/N$58,0)</f>
        <v>0.0250170648464164</v>
      </c>
      <c r="R17" s="91" t="n">
        <f aca="false">Q17-P17</f>
        <v>0.00128572661560288</v>
      </c>
      <c r="S17" s="35" t="n">
        <v>1200</v>
      </c>
      <c r="T17" s="35" t="n">
        <v>1167</v>
      </c>
      <c r="U17" s="35" t="n">
        <v>1132</v>
      </c>
      <c r="V17" s="38" t="n">
        <f aca="false">U17-T17</f>
        <v>-35</v>
      </c>
      <c r="W17" s="37" t="n">
        <f aca="false">IFERROR(T17/T$58,0)</f>
        <v>0.0363766715501387</v>
      </c>
      <c r="X17" s="37" t="n">
        <f aca="false">IFERROR(U17/U$58,0)</f>
        <v>0.0252278754652225</v>
      </c>
      <c r="Y17" s="91" t="n">
        <f aca="false">X17-W17</f>
        <v>-0.0111487960849162</v>
      </c>
      <c r="Z17" s="35" t="n">
        <v>3000</v>
      </c>
      <c r="AA17" s="35" t="n">
        <v>2085</v>
      </c>
      <c r="AB17" s="35" t="n">
        <v>1965</v>
      </c>
      <c r="AC17" s="38" t="n">
        <f aca="false">AB17-AA17</f>
        <v>-120</v>
      </c>
      <c r="AD17" s="37" t="n">
        <f aca="false">IFERROR(AA17/AA$58,0)</f>
        <v>0.0292878213232196</v>
      </c>
      <c r="AE17" s="37" t="n">
        <f aca="false">IFERROR(AB17/AB$58,0)</f>
        <v>0.0308283652337622</v>
      </c>
      <c r="AF17" s="91" t="n">
        <f aca="false">AE17-AD17</f>
        <v>0.00154054391054261</v>
      </c>
      <c r="AG17" s="35" t="n">
        <f aca="false">G17+N17+U17+AB17</f>
        <v>9465</v>
      </c>
      <c r="AH17" s="37" t="n">
        <f aca="false">IFERROR(AG17/AG$58,0)</f>
        <v>0.030009892325838</v>
      </c>
      <c r="AI17" s="37" t="n">
        <f aca="false">①札幌予測確定!R8</f>
        <v>0.0582379862700229</v>
      </c>
      <c r="AJ17" s="37" t="n">
        <f aca="false">③石川以降予測!H31</f>
        <v>0.0445331757518925</v>
      </c>
      <c r="AK17" s="39" t="str">
        <f aca="false">IF(AJ17-AH17&gt;=0.005,"↑ 上方修正",IF(AJ17-AH17&lt;=-0.005,"↓ 下方修正","→ 据置"))</f>
        <v>↑ 上方修正</v>
      </c>
    </row>
    <row r="18" customFormat="false" ht="15" hidden="false" customHeight="false" outlineLevel="0" collapsed="false">
      <c r="A18" s="32" t="n">
        <v>3</v>
      </c>
      <c r="B18" s="32" t="s">
        <v>280</v>
      </c>
      <c r="C18" s="33" t="s">
        <v>281</v>
      </c>
      <c r="D18" s="34" t="n">
        <v>1000</v>
      </c>
      <c r="E18" s="35" t="n">
        <v>3700</v>
      </c>
      <c r="F18" s="32" t="s">
        <v>518</v>
      </c>
      <c r="G18" s="35" t="n">
        <v>2956</v>
      </c>
      <c r="H18" s="32" t="s">
        <v>518</v>
      </c>
      <c r="I18" s="37" t="n">
        <f aca="false">IFERROR(E18/E$58,0)</f>
        <v>0.017522921876184</v>
      </c>
      <c r="J18" s="37" t="n">
        <f aca="false">IFERROR(G18/G$58,0)</f>
        <v>0.019948037925566</v>
      </c>
      <c r="K18" s="91" t="n">
        <f aca="false">J18-I18</f>
        <v>0.00242511604938203</v>
      </c>
      <c r="L18" s="35" t="n">
        <v>1200</v>
      </c>
      <c r="M18" s="35" t="n">
        <v>636</v>
      </c>
      <c r="N18" s="35" t="n">
        <v>601</v>
      </c>
      <c r="O18" s="38" t="n">
        <f aca="false">N18-M18</f>
        <v>-35</v>
      </c>
      <c r="P18" s="37" t="n">
        <f aca="false">IFERROR(M18/M$58,0)</f>
        <v>0.010765428755205</v>
      </c>
      <c r="Q18" s="37" t="n">
        <f aca="false">IFERROR(N18/N$58,0)</f>
        <v>0.0102559726962457</v>
      </c>
      <c r="R18" s="91" t="n">
        <f aca="false">Q18-P18</f>
        <v>-0.000509456058959249</v>
      </c>
      <c r="S18" s="35" t="n">
        <v>500</v>
      </c>
      <c r="T18" s="35" t="n">
        <v>412</v>
      </c>
      <c r="U18" s="35" t="n">
        <v>454</v>
      </c>
      <c r="V18" s="38" t="n">
        <f aca="false">U18-T18</f>
        <v>42</v>
      </c>
      <c r="W18" s="37" t="n">
        <f aca="false">IFERROR(T18/T$58,0)</f>
        <v>0.0128424924410087</v>
      </c>
      <c r="X18" s="37" t="n">
        <f aca="false">IFERROR(U18/U$58,0)</f>
        <v>0.0101178935169709</v>
      </c>
      <c r="Y18" s="91" t="n">
        <f aca="false">X18-W18</f>
        <v>-0.00272459892403783</v>
      </c>
      <c r="Z18" s="35" t="n">
        <v>2000</v>
      </c>
      <c r="AA18" s="35" t="n">
        <v>1162</v>
      </c>
      <c r="AB18" s="35" t="n">
        <v>1132</v>
      </c>
      <c r="AC18" s="38" t="n">
        <f aca="false">AB18-AA18</f>
        <v>-30</v>
      </c>
      <c r="AD18" s="37" t="n">
        <f aca="false">IFERROR(AA18/AA$58,0)</f>
        <v>0.016322517207473</v>
      </c>
      <c r="AE18" s="37" t="n">
        <f aca="false">IFERROR(AB18/AB$58,0)</f>
        <v>0.0177596485723251</v>
      </c>
      <c r="AF18" s="91" t="n">
        <f aca="false">AE18-AD18</f>
        <v>0.00143713136485211</v>
      </c>
      <c r="AG18" s="35" t="n">
        <f aca="false">G18+N18+U18+AB18</f>
        <v>5143</v>
      </c>
      <c r="AH18" s="37" t="n">
        <f aca="false">IFERROR(AG18/AG$58,0)</f>
        <v>0.0163064845464115</v>
      </c>
      <c r="AI18" s="37" t="n">
        <f aca="false">①札幌予測確定!R9</f>
        <v>0.018649885583524</v>
      </c>
      <c r="AJ18" s="37" t="n">
        <f aca="false">③石川以降予測!H32</f>
        <v>0.0182047670779246</v>
      </c>
      <c r="AK18" s="39" t="str">
        <f aca="false">IF(AJ18-AH18&gt;=0.005,"↑ 上方修正",IF(AJ18-AH18&lt;=-0.005,"↓ 下方修正","→ 据置"))</f>
        <v>→ 据置</v>
      </c>
    </row>
    <row r="19" customFormat="false" ht="15" hidden="false" customHeight="false" outlineLevel="0" collapsed="false">
      <c r="A19" s="32" t="n">
        <v>4</v>
      </c>
      <c r="B19" s="32" t="s">
        <v>282</v>
      </c>
      <c r="C19" s="33" t="s">
        <v>283</v>
      </c>
      <c r="D19" s="34" t="n">
        <v>1800</v>
      </c>
      <c r="E19" s="35" t="n">
        <v>2620</v>
      </c>
      <c r="F19" s="32" t="s">
        <v>518</v>
      </c>
      <c r="G19" s="35" t="n">
        <v>1819</v>
      </c>
      <c r="H19" s="32" t="s">
        <v>518</v>
      </c>
      <c r="I19" s="37" t="n">
        <f aca="false">IFERROR(E19/E$58,0)</f>
        <v>0.0124081230582708</v>
      </c>
      <c r="J19" s="37" t="n">
        <f aca="false">IFERROR(G19/G$58,0)</f>
        <v>0.0122751965448595</v>
      </c>
      <c r="K19" s="91" t="n">
        <f aca="false">J19-I19</f>
        <v>-0.000132926513411352</v>
      </c>
      <c r="L19" s="35" t="n">
        <v>1330</v>
      </c>
      <c r="M19" s="35" t="n">
        <v>666</v>
      </c>
      <c r="N19" s="35" t="n">
        <v>922</v>
      </c>
      <c r="O19" s="38" t="n">
        <f aca="false">N19-M19</f>
        <v>256</v>
      </c>
      <c r="P19" s="37" t="n">
        <f aca="false">IFERROR(M19/M$58,0)</f>
        <v>0.011273231998375</v>
      </c>
      <c r="Q19" s="37" t="n">
        <f aca="false">IFERROR(N19/N$58,0)</f>
        <v>0.0157337883959044</v>
      </c>
      <c r="R19" s="91" t="n">
        <f aca="false">Q19-P19</f>
        <v>0.00446055639752941</v>
      </c>
      <c r="S19" s="35" t="n">
        <v>800</v>
      </c>
      <c r="T19" s="35" t="n">
        <v>523</v>
      </c>
      <c r="U19" s="35" t="n">
        <v>539</v>
      </c>
      <c r="V19" s="38" t="n">
        <f aca="false">U19-T19</f>
        <v>16</v>
      </c>
      <c r="W19" s="37" t="n">
        <f aca="false">IFERROR(T19/T$58,0)</f>
        <v>0.0163024843365232</v>
      </c>
      <c r="X19" s="37" t="n">
        <f aca="false">IFERROR(U19/U$58,0)</f>
        <v>0.0120122127877694</v>
      </c>
      <c r="Y19" s="91" t="n">
        <f aca="false">X19-W19</f>
        <v>-0.00429027154875379</v>
      </c>
      <c r="Z19" s="35" t="n">
        <v>2000</v>
      </c>
      <c r="AA19" s="35" t="n">
        <v>1102</v>
      </c>
      <c r="AB19" s="35" t="n">
        <v>1310</v>
      </c>
      <c r="AC19" s="38" t="n">
        <f aca="false">AB19-AA19</f>
        <v>208</v>
      </c>
      <c r="AD19" s="37" t="n">
        <f aca="false">IFERROR(AA19/AA$58,0)</f>
        <v>0.0154797022053659</v>
      </c>
      <c r="AE19" s="37" t="n">
        <f aca="false">IFERROR(AB19/AB$58,0)</f>
        <v>0.0205522434891748</v>
      </c>
      <c r="AF19" s="91" t="n">
        <f aca="false">AE19-AD19</f>
        <v>0.00507254128380885</v>
      </c>
      <c r="AG19" s="35" t="n">
        <f aca="false">G19+N19+U19+AB19</f>
        <v>4590</v>
      </c>
      <c r="AH19" s="37" t="n">
        <f aca="false">IFERROR(AG19/AG$58,0)</f>
        <v>0.0145531332039722</v>
      </c>
      <c r="AI19" s="37" t="n">
        <f aca="false">①札幌予測確定!R10</f>
        <v>0.0262013729977117</v>
      </c>
      <c r="AJ19" s="37" t="n">
        <f aca="false">③石川以降予測!H33</f>
        <v>0.0233768082434432</v>
      </c>
      <c r="AK19" s="39" t="str">
        <f aca="false">IF(AJ19-AH19&gt;=0.005,"↑ 上方修正",IF(AJ19-AH19&lt;=-0.005,"↓ 下方修正","→ 据置"))</f>
        <v>↑ 上方修正</v>
      </c>
    </row>
    <row r="20" customFormat="false" ht="15" hidden="false" customHeight="false" outlineLevel="0" collapsed="false">
      <c r="A20" s="32" t="n">
        <v>5</v>
      </c>
      <c r="B20" s="32" t="s">
        <v>284</v>
      </c>
      <c r="C20" s="33" t="s">
        <v>285</v>
      </c>
      <c r="D20" s="34" t="n">
        <v>600</v>
      </c>
      <c r="E20" s="35" t="n">
        <v>24996</v>
      </c>
      <c r="F20" s="32" t="s">
        <v>518</v>
      </c>
      <c r="G20" s="35" t="n">
        <v>18759</v>
      </c>
      <c r="H20" s="32" t="s">
        <v>518</v>
      </c>
      <c r="I20" s="37" t="n">
        <f aca="false">IFERROR(E20/E$58,0)</f>
        <v>0.118379177085701</v>
      </c>
      <c r="J20" s="37" t="n">
        <f aca="false">IFERROR(G20/G$58,0)</f>
        <v>0.126591760299625</v>
      </c>
      <c r="K20" s="91" t="n">
        <f aca="false">J20-I20</f>
        <v>0.00821258321392417</v>
      </c>
      <c r="L20" s="35" t="n">
        <v>16500</v>
      </c>
      <c r="M20" s="35" t="n">
        <v>10892</v>
      </c>
      <c r="N20" s="35" t="n">
        <v>10777</v>
      </c>
      <c r="O20" s="38" t="n">
        <f aca="false">N20-M20</f>
        <v>-115</v>
      </c>
      <c r="P20" s="37" t="n">
        <f aca="false">IFERROR(M20/M$58,0)</f>
        <v>0.184366430820272</v>
      </c>
      <c r="Q20" s="37" t="n">
        <f aca="false">IFERROR(N20/N$58,0)</f>
        <v>0.183907849829352</v>
      </c>
      <c r="R20" s="91" t="n">
        <f aca="false">Q20-P20</f>
        <v>-0.000458580990919971</v>
      </c>
      <c r="S20" s="35" t="n">
        <v>9000</v>
      </c>
      <c r="T20" s="35" t="n">
        <v>5230</v>
      </c>
      <c r="U20" s="35" t="n">
        <v>8991</v>
      </c>
      <c r="V20" s="38" t="n">
        <f aca="false">U20-T20</f>
        <v>3761</v>
      </c>
      <c r="W20" s="37" t="n">
        <f aca="false">IFERROR(T20/T$58,0)</f>
        <v>0.163024843365232</v>
      </c>
      <c r="X20" s="37" t="n">
        <f aca="false">IFERROR(U20/U$58,0)</f>
        <v>0.200374406632346</v>
      </c>
      <c r="Y20" s="91" t="n">
        <f aca="false">X20-W20</f>
        <v>0.0373495632671143</v>
      </c>
      <c r="Z20" s="35" t="n">
        <v>24996</v>
      </c>
      <c r="AA20" s="35" t="n">
        <v>12602</v>
      </c>
      <c r="AB20" s="35" t="n">
        <v>8936</v>
      </c>
      <c r="AC20" s="38" t="n">
        <f aca="false">AB20-AA20</f>
        <v>-3666</v>
      </c>
      <c r="AD20" s="37" t="n">
        <f aca="false">IFERROR(AA20/AA$58,0)</f>
        <v>0.177019244275881</v>
      </c>
      <c r="AE20" s="37" t="n">
        <f aca="false">IFERROR(AB20/AB$58,0)</f>
        <v>0.14019454032005</v>
      </c>
      <c r="AF20" s="91" t="n">
        <f aca="false">AE20-AD20</f>
        <v>-0.0368247039558312</v>
      </c>
      <c r="AG20" s="35" t="n">
        <f aca="false">G20+N20+U20+AB20</f>
        <v>47463</v>
      </c>
      <c r="AH20" s="37" t="n">
        <f aca="false">IFERROR(AG20/AG$58,0)</f>
        <v>0.150487006810486</v>
      </c>
      <c r="AI20" s="37" t="n">
        <f aca="false">①札幌予測確定!R11</f>
        <v>0.0532036613272311</v>
      </c>
      <c r="AJ20" s="37" t="n">
        <f aca="false">③石川以降予測!H34</f>
        <v>0.0966991008236407</v>
      </c>
      <c r="AK20" s="39" t="str">
        <f aca="false">IF(AJ20-AH20&gt;=0.005,"↑ 上方修正",IF(AJ20-AH20&lt;=-0.005,"↓ 下方修正","→ 据置"))</f>
        <v>↓ 下方修正</v>
      </c>
    </row>
    <row r="21" customFormat="false" ht="15" hidden="false" customHeight="false" outlineLevel="0" collapsed="false">
      <c r="A21" s="32" t="n">
        <v>6</v>
      </c>
      <c r="B21" s="32" t="s">
        <v>286</v>
      </c>
      <c r="C21" s="33" t="s">
        <v>287</v>
      </c>
      <c r="D21" s="34" t="n">
        <v>600</v>
      </c>
      <c r="E21" s="35" t="n">
        <v>44999</v>
      </c>
      <c r="F21" s="32" t="s">
        <v>518</v>
      </c>
      <c r="G21" s="35" t="n">
        <v>31070</v>
      </c>
      <c r="H21" s="32" t="s">
        <v>518</v>
      </c>
      <c r="I21" s="37" t="n">
        <f aca="false">IFERROR(E21/E$58,0)</f>
        <v>0.213111881488217</v>
      </c>
      <c r="J21" s="37" t="n">
        <f aca="false">IFERROR(G21/G$58,0)</f>
        <v>0.209670344501805</v>
      </c>
      <c r="K21" s="91" t="n">
        <f aca="false">J21-I21</f>
        <v>-0.00344153698641184</v>
      </c>
      <c r="L21" s="35" t="n">
        <v>21439</v>
      </c>
      <c r="M21" s="35" t="n">
        <v>15582</v>
      </c>
      <c r="N21" s="35" t="n">
        <v>15602</v>
      </c>
      <c r="O21" s="38" t="n">
        <f aca="false">N21-M21</f>
        <v>20</v>
      </c>
      <c r="P21" s="37" t="n">
        <f aca="false">IFERROR(M21/M$58,0)</f>
        <v>0.263753004502522</v>
      </c>
      <c r="Q21" s="37" t="n">
        <f aca="false">IFERROR(N21/N$58,0)</f>
        <v>0.266245733788396</v>
      </c>
      <c r="R21" s="91" t="n">
        <f aca="false">Q21-P21</f>
        <v>0.0024927292858738</v>
      </c>
      <c r="S21" s="35" t="n">
        <v>13986</v>
      </c>
      <c r="T21" s="35" t="n">
        <v>7088</v>
      </c>
      <c r="U21" s="35" t="n">
        <v>13877</v>
      </c>
      <c r="V21" s="38" t="n">
        <f aca="false">U21-T21</f>
        <v>6789</v>
      </c>
      <c r="W21" s="37" t="n">
        <f aca="false">IFERROR(T21/T$58,0)</f>
        <v>0.220940743742402</v>
      </c>
      <c r="X21" s="37" t="n">
        <f aca="false">IFERROR(U21/U$58,0)</f>
        <v>0.309264335539658</v>
      </c>
      <c r="Y21" s="91" t="n">
        <f aca="false">X21-W21</f>
        <v>0.0883235917972561</v>
      </c>
      <c r="Z21" s="35" t="n">
        <v>35999</v>
      </c>
      <c r="AA21" s="35" t="n">
        <v>20543</v>
      </c>
      <c r="AB21" s="35" t="n">
        <v>18611</v>
      </c>
      <c r="AC21" s="38" t="n">
        <f aca="false">AB21-AA21</f>
        <v>-1932</v>
      </c>
      <c r="AD21" s="37" t="n">
        <f aca="false">IFERROR(AA21/AA$58,0)</f>
        <v>0.288565809804748</v>
      </c>
      <c r="AE21" s="37" t="n">
        <f aca="false">IFERROR(AB21/AB$58,0)</f>
        <v>0.291983056165673</v>
      </c>
      <c r="AF21" s="91" t="n">
        <f aca="false">AE21-AD21</f>
        <v>0.00341724636092522</v>
      </c>
      <c r="AG21" s="35" t="n">
        <f aca="false">G21+N21+U21+AB21</f>
        <v>79160</v>
      </c>
      <c r="AH21" s="37" t="n">
        <f aca="false">IFERROR(AG21/AG$58,0)</f>
        <v>0.250986061966544</v>
      </c>
      <c r="AI21" s="37" t="n">
        <f aca="false">①札幌予測確定!R12</f>
        <v>0.150686498855835</v>
      </c>
      <c r="AJ21" s="37" t="n">
        <f aca="false">③石川以降予測!H35</f>
        <v>0.221334777510754</v>
      </c>
      <c r="AK21" s="39" t="str">
        <f aca="false">IF(AJ21-AH21&gt;=0.005,"↑ 上方修正",IF(AJ21-AH21&lt;=-0.005,"↓ 下方修正","→ 据置"))</f>
        <v>↓ 下方修正</v>
      </c>
    </row>
    <row r="22" customFormat="false" ht="15" hidden="false" customHeight="false" outlineLevel="0" collapsed="false">
      <c r="A22" s="32" t="n">
        <v>7</v>
      </c>
      <c r="B22" s="32" t="s">
        <v>288</v>
      </c>
      <c r="C22" s="33" t="s">
        <v>289</v>
      </c>
      <c r="D22" s="34" t="n">
        <v>600</v>
      </c>
      <c r="E22" s="35" t="n">
        <v>7000</v>
      </c>
      <c r="F22" s="32" t="s">
        <v>518</v>
      </c>
      <c r="G22" s="35" t="n">
        <v>3471</v>
      </c>
      <c r="H22" s="32" t="s">
        <v>518</v>
      </c>
      <c r="I22" s="37" t="n">
        <f aca="false">IFERROR(E22/E$58,0)</f>
        <v>0.0331514738198075</v>
      </c>
      <c r="J22" s="37" t="n">
        <f aca="false">IFERROR(G22/G$58,0)</f>
        <v>0.0234234234234234</v>
      </c>
      <c r="K22" s="91" t="n">
        <f aca="false">J22-I22</f>
        <v>-0.00972805039638411</v>
      </c>
      <c r="L22" s="35" t="n">
        <v>1390</v>
      </c>
      <c r="M22" s="35" t="n">
        <v>526</v>
      </c>
      <c r="N22" s="35" t="n">
        <v>520</v>
      </c>
      <c r="O22" s="38" t="n">
        <f aca="false">N22-M22</f>
        <v>-6</v>
      </c>
      <c r="P22" s="37" t="n">
        <f aca="false">IFERROR(M22/M$58,0)</f>
        <v>0.00890348353024815</v>
      </c>
      <c r="Q22" s="37" t="n">
        <f aca="false">IFERROR(N22/N$58,0)</f>
        <v>0.00887372013651877</v>
      </c>
      <c r="R22" s="91" t="n">
        <f aca="false">Q22-P22</f>
        <v>-2.97633937293741E-005</v>
      </c>
      <c r="S22" s="35" t="n">
        <v>400</v>
      </c>
      <c r="T22" s="35" t="n">
        <v>474</v>
      </c>
      <c r="U22" s="35" t="n">
        <v>384</v>
      </c>
      <c r="V22" s="38" t="n">
        <f aca="false">U22-T22</f>
        <v>-90</v>
      </c>
      <c r="W22" s="37" t="n">
        <f aca="false">IFERROR(T22/T$58,0)</f>
        <v>0.0147751005267916</v>
      </c>
      <c r="X22" s="37" t="n">
        <f aca="false">IFERROR(U22/U$58,0)</f>
        <v>0.00855786588219563</v>
      </c>
      <c r="Y22" s="91" t="n">
        <f aca="false">X22-W22</f>
        <v>-0.00621723464459593</v>
      </c>
      <c r="Z22" s="35" t="n">
        <v>2000</v>
      </c>
      <c r="AA22" s="35" t="n">
        <v>1037</v>
      </c>
      <c r="AB22" s="35" t="n">
        <v>940</v>
      </c>
      <c r="AC22" s="38" t="n">
        <f aca="false">AB22-AA22</f>
        <v>-97</v>
      </c>
      <c r="AD22" s="37" t="n">
        <f aca="false">IFERROR(AA22/AA$58,0)</f>
        <v>0.01456665261975</v>
      </c>
      <c r="AE22" s="37" t="n">
        <f aca="false">IFERROR(AB22/AB$58,0)</f>
        <v>0.0147474113586445</v>
      </c>
      <c r="AF22" s="91" t="n">
        <f aca="false">AE22-AD22</f>
        <v>0.000180758738894529</v>
      </c>
      <c r="AG22" s="35" t="n">
        <f aca="false">G22+N22+U22+AB22</f>
        <v>5315</v>
      </c>
      <c r="AH22" s="37" t="n">
        <f aca="false">IFERROR(AG22/AG$58,0)</f>
        <v>0.0168518307144035</v>
      </c>
      <c r="AI22" s="37" t="n">
        <f aca="false">①札幌予測確定!R13</f>
        <v>0.0221967963386728</v>
      </c>
      <c r="AJ22" s="37" t="n">
        <f aca="false">③石川以降予測!H36</f>
        <v>0.0184721038486586</v>
      </c>
      <c r="AK22" s="39" t="str">
        <f aca="false">IF(AJ22-AH22&gt;=0.005,"↑ 上方修正",IF(AJ22-AH22&lt;=-0.005,"↓ 下方修正","→ 据置"))</f>
        <v>→ 据置</v>
      </c>
    </row>
    <row r="23" customFormat="false" ht="15" hidden="false" customHeight="false" outlineLevel="0" collapsed="false">
      <c r="A23" s="32" t="n">
        <v>8</v>
      </c>
      <c r="B23" s="32" t="s">
        <v>290</v>
      </c>
      <c r="C23" s="33" t="s">
        <v>291</v>
      </c>
      <c r="D23" s="34" t="n">
        <v>600</v>
      </c>
      <c r="E23" s="35" t="n">
        <v>12600</v>
      </c>
      <c r="F23" s="32" t="s">
        <v>518</v>
      </c>
      <c r="G23" s="35" t="n">
        <v>5596</v>
      </c>
      <c r="H23" s="32" t="s">
        <v>518</v>
      </c>
      <c r="I23" s="37" t="n">
        <f aca="false">IFERROR(E23/E$58,0)</f>
        <v>0.0596726528756536</v>
      </c>
      <c r="J23" s="37" t="n">
        <f aca="false">IFERROR(G23/G$58,0)</f>
        <v>0.0377636063029321</v>
      </c>
      <c r="K23" s="91" t="n">
        <f aca="false">J23-I23</f>
        <v>-0.0219090465727214</v>
      </c>
      <c r="L23" s="35" t="n">
        <v>2240</v>
      </c>
      <c r="M23" s="35" t="n">
        <v>1107</v>
      </c>
      <c r="N23" s="35" t="n">
        <v>1107</v>
      </c>
      <c r="O23" s="38" t="n">
        <f aca="false">N23-M23</f>
        <v>0</v>
      </c>
      <c r="P23" s="37" t="n">
        <f aca="false">IFERROR(M23/M$58,0)</f>
        <v>0.0187379396729747</v>
      </c>
      <c r="Q23" s="37" t="n">
        <f aca="false">IFERROR(N23/N$58,0)</f>
        <v>0.0188907849829352</v>
      </c>
      <c r="R23" s="91" t="n">
        <f aca="false">Q23-P23</f>
        <v>0.000152845309960441</v>
      </c>
      <c r="S23" s="35" t="n">
        <v>840</v>
      </c>
      <c r="T23" s="35" t="n">
        <v>839</v>
      </c>
      <c r="U23" s="35" t="n">
        <v>799</v>
      </c>
      <c r="V23" s="38" t="n">
        <f aca="false">U23-T23</f>
        <v>-40</v>
      </c>
      <c r="W23" s="37" t="n">
        <f aca="false">IFERROR(T23/T$58,0)</f>
        <v>0.0261525513543842</v>
      </c>
      <c r="X23" s="37" t="n">
        <f aca="false">IFERROR(U23/U$58,0)</f>
        <v>0.017806601145506</v>
      </c>
      <c r="Y23" s="91" t="n">
        <f aca="false">X23-W23</f>
        <v>-0.00834595020887821</v>
      </c>
      <c r="Z23" s="35" t="n">
        <v>3000</v>
      </c>
      <c r="AA23" s="35" t="n">
        <v>1844</v>
      </c>
      <c r="AB23" s="35" t="n">
        <v>1758</v>
      </c>
      <c r="AC23" s="38" t="n">
        <f aca="false">AB23-AA23</f>
        <v>-86</v>
      </c>
      <c r="AD23" s="37" t="n">
        <f aca="false">IFERROR(AA23/AA$58,0)</f>
        <v>0.0259025143980896</v>
      </c>
      <c r="AE23" s="37" t="n">
        <f aca="false">IFERROR(AB23/AB$58,0)</f>
        <v>0.0275807969877628</v>
      </c>
      <c r="AF23" s="91" t="n">
        <f aca="false">AE23-AD23</f>
        <v>0.00167828258967317</v>
      </c>
      <c r="AG23" s="35" t="n">
        <f aca="false">G23+N23+U23+AB23</f>
        <v>9260</v>
      </c>
      <c r="AH23" s="37" t="n">
        <f aca="false">IFERROR(AG23/AG$58,0)</f>
        <v>0.0293599157884057</v>
      </c>
      <c r="AI23" s="37" t="n">
        <f aca="false">①札幌予測確定!R14</f>
        <v>0.0367276887871854</v>
      </c>
      <c r="AJ23" s="37" t="n">
        <f aca="false">③石川以降予測!H37</f>
        <v>0.0321542428874741</v>
      </c>
      <c r="AK23" s="39" t="str">
        <f aca="false">IF(AJ23-AH23&gt;=0.005,"↑ 上方修正",IF(AJ23-AH23&lt;=-0.005,"↓ 下方修正","→ 据置"))</f>
        <v>→ 据置</v>
      </c>
    </row>
    <row r="24" customFormat="false" ht="15" hidden="false" customHeight="false" outlineLevel="0" collapsed="false">
      <c r="A24" s="32" t="n">
        <v>9</v>
      </c>
      <c r="B24" s="32" t="s">
        <v>292</v>
      </c>
      <c r="C24" s="33" t="s">
        <v>293</v>
      </c>
      <c r="D24" s="34" t="n">
        <v>600</v>
      </c>
      <c r="E24" s="35" t="n">
        <v>8749</v>
      </c>
      <c r="F24" s="32" t="s">
        <v>518</v>
      </c>
      <c r="G24" s="35" t="n">
        <v>2381</v>
      </c>
      <c r="H24" s="32" t="s">
        <v>518</v>
      </c>
      <c r="I24" s="37" t="n">
        <f aca="false">IFERROR(E24/E$58,0)</f>
        <v>0.041434606349928</v>
      </c>
      <c r="J24" s="37" t="n">
        <f aca="false">IFERROR(G24/G$58,0)</f>
        <v>0.0160677531464048</v>
      </c>
      <c r="K24" s="91" t="n">
        <f aca="false">J24-I24</f>
        <v>-0.0253668532035232</v>
      </c>
      <c r="L24" s="35" t="n">
        <v>950</v>
      </c>
      <c r="M24" s="35" t="n">
        <v>369</v>
      </c>
      <c r="N24" s="35" t="n">
        <v>313</v>
      </c>
      <c r="O24" s="38" t="n">
        <f aca="false">N24-M24</f>
        <v>-56</v>
      </c>
      <c r="P24" s="37" t="n">
        <f aca="false">IFERROR(M24/M$58,0)</f>
        <v>0.00624597989099157</v>
      </c>
      <c r="Q24" s="37" t="n">
        <f aca="false">IFERROR(N24/N$58,0)</f>
        <v>0.00534129692832765</v>
      </c>
      <c r="R24" s="91" t="n">
        <f aca="false">Q24-P24</f>
        <v>-0.000904682962663925</v>
      </c>
      <c r="S24" s="35" t="n">
        <v>300</v>
      </c>
      <c r="T24" s="35" t="n">
        <v>358</v>
      </c>
      <c r="U24" s="35" t="n">
        <v>301</v>
      </c>
      <c r="V24" s="38" t="n">
        <f aca="false">U24-T24</f>
        <v>-57</v>
      </c>
      <c r="W24" s="37" t="n">
        <f aca="false">IFERROR(T24/T$58,0)</f>
        <v>0.0111592531404881</v>
      </c>
      <c r="X24" s="37" t="n">
        <f aca="false">IFERROR(U24/U$58,0)</f>
        <v>0.00670811882953355</v>
      </c>
      <c r="Y24" s="91" t="n">
        <f aca="false">X24-W24</f>
        <v>-0.00445113431095459</v>
      </c>
      <c r="Z24" s="35" t="n">
        <v>1500</v>
      </c>
      <c r="AA24" s="35" t="n">
        <v>743</v>
      </c>
      <c r="AB24" s="35" t="n">
        <v>743</v>
      </c>
      <c r="AC24" s="38" t="n">
        <f aca="false">AB24-AA24</f>
        <v>0</v>
      </c>
      <c r="AD24" s="37" t="n">
        <f aca="false">IFERROR(AA24/AA$58,0)</f>
        <v>0.0104368591094255</v>
      </c>
      <c r="AE24" s="37" t="n">
        <f aca="false">IFERROR(AB24/AB$58,0)</f>
        <v>0.0116567304675243</v>
      </c>
      <c r="AF24" s="91" t="n">
        <f aca="false">AE24-AD24</f>
        <v>0.00121987135809884</v>
      </c>
      <c r="AG24" s="35" t="n">
        <f aca="false">G24+N24+U24+AB24</f>
        <v>3738</v>
      </c>
      <c r="AH24" s="37" t="n">
        <f aca="false">IFERROR(AG24/AG$58,0)</f>
        <v>0.0118517673020584</v>
      </c>
      <c r="AI24" s="37" t="n">
        <f aca="false">①札幌予測確定!R15</f>
        <v>0.0146453089244851</v>
      </c>
      <c r="AJ24" s="37" t="n">
        <f aca="false">③石川以降予測!H38</f>
        <v>0.0131510196960047</v>
      </c>
      <c r="AK24" s="39" t="str">
        <f aca="false">IF(AJ24-AH24&gt;=0.005,"↑ 上方修正",IF(AJ24-AH24&lt;=-0.005,"↓ 下方修正","→ 据置"))</f>
        <v>→ 据置</v>
      </c>
    </row>
    <row r="25" customFormat="false" ht="15" hidden="false" customHeight="false" outlineLevel="0" collapsed="false">
      <c r="A25" s="32" t="n">
        <v>10</v>
      </c>
      <c r="B25" s="32" t="s">
        <v>294</v>
      </c>
      <c r="C25" s="33" t="s">
        <v>295</v>
      </c>
      <c r="D25" s="34" t="n">
        <v>600</v>
      </c>
      <c r="E25" s="35" t="n">
        <v>4549</v>
      </c>
      <c r="F25" s="32" t="s">
        <v>518</v>
      </c>
      <c r="G25" s="35" t="n">
        <v>1025</v>
      </c>
      <c r="H25" s="32" t="s">
        <v>518</v>
      </c>
      <c r="I25" s="37" t="n">
        <f aca="false">IFERROR(E25/E$58,0)</f>
        <v>0.0215437220580435</v>
      </c>
      <c r="J25" s="37" t="n">
        <f aca="false">IFERROR(G25/G$58,0)</f>
        <v>0.0069170293889395</v>
      </c>
      <c r="K25" s="91" t="n">
        <f aca="false">J25-I25</f>
        <v>-0.014626692669104</v>
      </c>
      <c r="L25" s="35" t="n">
        <v>410</v>
      </c>
      <c r="M25" s="35" t="n">
        <v>166</v>
      </c>
      <c r="N25" s="35" t="n">
        <v>141</v>
      </c>
      <c r="O25" s="38" t="n">
        <f aca="false">N25-M25</f>
        <v>-25</v>
      </c>
      <c r="P25" s="37" t="n">
        <f aca="false">IFERROR(M25/M$58,0)</f>
        <v>0.00280984461220759</v>
      </c>
      <c r="Q25" s="37" t="n">
        <f aca="false">IFERROR(N25/N$58,0)</f>
        <v>0.0024061433447099</v>
      </c>
      <c r="R25" s="91" t="n">
        <f aca="false">Q25-P25</f>
        <v>-0.000403701267497692</v>
      </c>
      <c r="S25" s="35" t="n">
        <v>180</v>
      </c>
      <c r="T25" s="35" t="n">
        <v>163</v>
      </c>
      <c r="U25" s="35" t="n">
        <v>123</v>
      </c>
      <c r="V25" s="38" t="n">
        <f aca="false">U25-T25</f>
        <v>-40</v>
      </c>
      <c r="W25" s="37" t="n">
        <f aca="false">IFERROR(T25/T$58,0)</f>
        <v>0.00508088899971946</v>
      </c>
      <c r="X25" s="37" t="n">
        <f aca="false">IFERROR(U25/U$58,0)</f>
        <v>0.00274119141539079</v>
      </c>
      <c r="Y25" s="91" t="n">
        <f aca="false">X25-W25</f>
        <v>-0.00233969758432867</v>
      </c>
      <c r="Z25" s="35" t="n">
        <v>500</v>
      </c>
      <c r="AA25" s="35" t="n">
        <v>282</v>
      </c>
      <c r="AB25" s="35" t="n">
        <v>277</v>
      </c>
      <c r="AC25" s="38" t="n">
        <f aca="false">AB25-AA25</f>
        <v>-5</v>
      </c>
      <c r="AD25" s="37" t="n">
        <f aca="false">IFERROR(AA25/AA$58,0)</f>
        <v>0.00396123050990308</v>
      </c>
      <c r="AE25" s="37" t="n">
        <f aca="false">IFERROR(AB25/AB$58,0)</f>
        <v>0.00434577973015375</v>
      </c>
      <c r="AF25" s="91" t="n">
        <f aca="false">AE25-AD25</f>
        <v>0.000384549220250673</v>
      </c>
      <c r="AG25" s="35" t="n">
        <f aca="false">G25+N25+U25+AB25</f>
        <v>1566</v>
      </c>
      <c r="AH25" s="37" t="n">
        <f aca="false">IFERROR(AG25/AG$58,0)</f>
        <v>0.00496518662253167</v>
      </c>
      <c r="AI25" s="37" t="n">
        <f aca="false">①札幌予測確定!R16</f>
        <v>0.00549199084668192</v>
      </c>
      <c r="AJ25" s="37" t="n">
        <f aca="false">③石川以降予測!H39</f>
        <v>0.00491888528841784</v>
      </c>
      <c r="AK25" s="39" t="str">
        <f aca="false">IF(AJ25-AH25&gt;=0.005,"↑ 上方修正",IF(AJ25-AH25&lt;=-0.005,"↓ 下方修正","→ 据置"))</f>
        <v>→ 据置</v>
      </c>
    </row>
    <row r="26" customFormat="false" ht="15" hidden="false" customHeight="false" outlineLevel="0" collapsed="false">
      <c r="A26" s="32" t="n">
        <v>11</v>
      </c>
      <c r="B26" s="32" t="s">
        <v>296</v>
      </c>
      <c r="C26" s="33" t="s">
        <v>297</v>
      </c>
      <c r="D26" s="34" t="n">
        <v>600</v>
      </c>
      <c r="E26" s="35" t="n">
        <v>699</v>
      </c>
      <c r="F26" s="32" t="s">
        <v>518</v>
      </c>
      <c r="G26" s="35" t="n">
        <v>215</v>
      </c>
      <c r="H26" s="32" t="s">
        <v>518</v>
      </c>
      <c r="I26" s="37" t="n">
        <f aca="false">IFERROR(E26/E$58,0)</f>
        <v>0.00331041145714935</v>
      </c>
      <c r="J26" s="37" t="n">
        <f aca="false">IFERROR(G26/G$58,0)</f>
        <v>0.00145088909133853</v>
      </c>
      <c r="K26" s="91" t="n">
        <f aca="false">J26-I26</f>
        <v>-0.00185952236581082</v>
      </c>
      <c r="L26" s="35" t="n">
        <v>90</v>
      </c>
      <c r="M26" s="35" t="n">
        <v>25</v>
      </c>
      <c r="N26" s="35" t="n">
        <v>37</v>
      </c>
      <c r="O26" s="38" t="n">
        <f aca="false">N26-M26</f>
        <v>12</v>
      </c>
      <c r="P26" s="37" t="n">
        <f aca="false">IFERROR(M26/M$58,0)</f>
        <v>0.000423169369308372</v>
      </c>
      <c r="Q26" s="37" t="n">
        <f aca="false">IFERROR(N26/N$58,0)</f>
        <v>0.000631399317406143</v>
      </c>
      <c r="R26" s="91" t="n">
        <f aca="false">Q26-P26</f>
        <v>0.000208229948097771</v>
      </c>
      <c r="S26" s="35" t="n">
        <v>30</v>
      </c>
      <c r="T26" s="35" t="n">
        <v>70</v>
      </c>
      <c r="U26" s="35" t="n">
        <v>30</v>
      </c>
      <c r="V26" s="38" t="n">
        <f aca="false">U26-T26</f>
        <v>-40</v>
      </c>
      <c r="W26" s="37" t="n">
        <f aca="false">IFERROR(T26/T$58,0)</f>
        <v>0.00218197687104517</v>
      </c>
      <c r="X26" s="37" t="n">
        <f aca="false">IFERROR(U26/U$58,0)</f>
        <v>0.000668583272046533</v>
      </c>
      <c r="Y26" s="91" t="n">
        <f aca="false">X26-W26</f>
        <v>-0.00151339359899863</v>
      </c>
      <c r="Z26" s="35" t="n">
        <v>100</v>
      </c>
      <c r="AA26" s="35" t="n">
        <v>85</v>
      </c>
      <c r="AB26" s="35" t="n">
        <v>78</v>
      </c>
      <c r="AC26" s="38" t="n">
        <f aca="false">AB26-AA26</f>
        <v>-7</v>
      </c>
      <c r="AD26" s="37" t="n">
        <f aca="false">IFERROR(AA26/AA$58,0)</f>
        <v>0.00119398791965164</v>
      </c>
      <c r="AE26" s="37" t="n">
        <f aca="false">IFERROR(AB26/AB$58,0)</f>
        <v>0.00122372136805773</v>
      </c>
      <c r="AF26" s="91" t="n">
        <f aca="false">AE26-AD26</f>
        <v>2.97334484060982E-005</v>
      </c>
      <c r="AG26" s="35" t="n">
        <f aca="false">G26+N26+U26+AB26</f>
        <v>360</v>
      </c>
      <c r="AH26" s="37" t="n">
        <f aca="false">IFERROR(AG26/AG$58,0)</f>
        <v>0.00114142221207625</v>
      </c>
      <c r="AI26" s="37" t="n">
        <f aca="false">①札幌予測確定!R17</f>
        <v>0.00274599542334096</v>
      </c>
      <c r="AJ26" s="37" t="n">
        <f aca="false">③石川以降予測!H40</f>
        <v>0.00198485839569935</v>
      </c>
      <c r="AK26" s="39" t="str">
        <f aca="false">IF(AJ26-AH26&gt;=0.005,"↑ 上方修正",IF(AJ26-AH26&lt;=-0.005,"↓ 下方修正","→ 据置"))</f>
        <v>→ 据置</v>
      </c>
    </row>
    <row r="27" customFormat="false" ht="15" hidden="false" customHeight="false" outlineLevel="0" collapsed="false">
      <c r="A27" s="32" t="n">
        <v>12</v>
      </c>
      <c r="B27" s="32" t="s">
        <v>298</v>
      </c>
      <c r="C27" s="33" t="s">
        <v>299</v>
      </c>
      <c r="D27" s="34" t="n">
        <v>600</v>
      </c>
      <c r="E27" s="35" t="n">
        <v>1049</v>
      </c>
      <c r="F27" s="32" t="s">
        <v>518</v>
      </c>
      <c r="G27" s="35" t="n">
        <v>291</v>
      </c>
      <c r="H27" s="32" t="s">
        <v>518</v>
      </c>
      <c r="I27" s="37" t="n">
        <f aca="false">IFERROR(E27/E$58,0)</f>
        <v>0.00496798514813973</v>
      </c>
      <c r="J27" s="37" t="n">
        <f aca="false">IFERROR(G27/G$58,0)</f>
        <v>0.00196376151432331</v>
      </c>
      <c r="K27" s="91" t="n">
        <f aca="false">J27-I27</f>
        <v>-0.00300422363381642</v>
      </c>
      <c r="L27" s="35" t="n">
        <v>119</v>
      </c>
      <c r="M27" s="35" t="n">
        <v>68</v>
      </c>
      <c r="N27" s="35" t="n">
        <v>58</v>
      </c>
      <c r="O27" s="38" t="n">
        <f aca="false">N27-M27</f>
        <v>-10</v>
      </c>
      <c r="P27" s="37" t="n">
        <f aca="false">IFERROR(M27/M$58,0)</f>
        <v>0.00115102068451877</v>
      </c>
      <c r="Q27" s="37" t="n">
        <f aca="false">IFERROR(N27/N$58,0)</f>
        <v>0.000989761092150171</v>
      </c>
      <c r="R27" s="91" t="n">
        <f aca="false">Q27-P27</f>
        <v>-0.000161259592368601</v>
      </c>
      <c r="S27" s="35" t="n">
        <v>80</v>
      </c>
      <c r="T27" s="35" t="n">
        <v>39</v>
      </c>
      <c r="U27" s="35" t="n">
        <v>54</v>
      </c>
      <c r="V27" s="38" t="n">
        <f aca="false">U27-T27</f>
        <v>15</v>
      </c>
      <c r="W27" s="37" t="n">
        <f aca="false">IFERROR(T27/T$58,0)</f>
        <v>0.00121567282815374</v>
      </c>
      <c r="X27" s="37" t="n">
        <f aca="false">IFERROR(U27/U$58,0)</f>
        <v>0.00120344988968376</v>
      </c>
      <c r="Y27" s="91" t="n">
        <f aca="false">X27-W27</f>
        <v>-1.22229384699757E-005</v>
      </c>
      <c r="Z27" s="35" t="n">
        <v>150</v>
      </c>
      <c r="AA27" s="35" t="n">
        <v>156</v>
      </c>
      <c r="AB27" s="35" t="n">
        <v>142</v>
      </c>
      <c r="AC27" s="38" t="n">
        <f aca="false">AB27-AA27</f>
        <v>-14</v>
      </c>
      <c r="AD27" s="37" t="n">
        <f aca="false">IFERROR(AA27/AA$58,0)</f>
        <v>0.0021913190054783</v>
      </c>
      <c r="AE27" s="37" t="n">
        <f aca="false">IFERROR(AB27/AB$58,0)</f>
        <v>0.00222780043928459</v>
      </c>
      <c r="AF27" s="91" t="n">
        <f aca="false">AE27-AD27</f>
        <v>3.64814338062961E-005</v>
      </c>
      <c r="AG27" s="35" t="n">
        <f aca="false">G27+N27+U27+AB27</f>
        <v>545</v>
      </c>
      <c r="AH27" s="37" t="n">
        <f aca="false">IFERROR(AG27/AG$58,0)</f>
        <v>0.00172798640439321</v>
      </c>
      <c r="AI27" s="37" t="n">
        <f aca="false">①札幌予測確定!R18</f>
        <v>0.00389016018306636</v>
      </c>
      <c r="AJ27" s="37" t="n">
        <f aca="false">③石川以降予測!H41</f>
        <v>0.00305898031117548</v>
      </c>
      <c r="AK27" s="39" t="str">
        <f aca="false">IF(AJ27-AH27&gt;=0.005,"↑ 上方修正",IF(AJ27-AH27&lt;=-0.005,"↓ 下方修正","→ 据置"))</f>
        <v>→ 据置</v>
      </c>
    </row>
    <row r="28" customFormat="false" ht="15" hidden="false" customHeight="false" outlineLevel="0" collapsed="false">
      <c r="A28" s="32" t="n">
        <v>13</v>
      </c>
      <c r="B28" s="32" t="s">
        <v>300</v>
      </c>
      <c r="C28" s="33" t="s">
        <v>301</v>
      </c>
      <c r="D28" s="34" t="n">
        <v>600</v>
      </c>
      <c r="E28" s="35" t="n">
        <v>349</v>
      </c>
      <c r="F28" s="32" t="s">
        <v>518</v>
      </c>
      <c r="G28" s="35" t="n">
        <v>99</v>
      </c>
      <c r="H28" s="32" t="s">
        <v>518</v>
      </c>
      <c r="I28" s="37" t="n">
        <f aca="false">IFERROR(E28/E$58,0)</f>
        <v>0.00165283776615898</v>
      </c>
      <c r="J28" s="37" t="n">
        <f aca="false">IFERROR(G28/G$58,0)</f>
        <v>0.00066808381415123</v>
      </c>
      <c r="K28" s="91" t="n">
        <f aca="false">J28-I28</f>
        <v>-0.000984753952007746</v>
      </c>
      <c r="L28" s="35" t="n">
        <v>40</v>
      </c>
      <c r="M28" s="35" t="n">
        <v>17</v>
      </c>
      <c r="N28" s="35" t="n">
        <v>16</v>
      </c>
      <c r="O28" s="38" t="n">
        <f aca="false">N28-M28</f>
        <v>-1</v>
      </c>
      <c r="P28" s="37" t="n">
        <f aca="false">IFERROR(M28/M$58,0)</f>
        <v>0.000287755171129693</v>
      </c>
      <c r="Q28" s="37" t="n">
        <f aca="false">IFERROR(N28/N$58,0)</f>
        <v>0.000273037542662116</v>
      </c>
      <c r="R28" s="91" t="n">
        <f aca="false">Q28-P28</f>
        <v>-1.47176284675769E-005</v>
      </c>
      <c r="S28" s="35" t="n">
        <v>25</v>
      </c>
      <c r="T28" s="35" t="n">
        <v>14</v>
      </c>
      <c r="U28" s="35" t="n">
        <v>22</v>
      </c>
      <c r="V28" s="38" t="n">
        <f aca="false">U28-T28</f>
        <v>8</v>
      </c>
      <c r="W28" s="37" t="n">
        <f aca="false">IFERROR(T28/T$58,0)</f>
        <v>0.000436395374209033</v>
      </c>
      <c r="X28" s="37" t="n">
        <f aca="false">IFERROR(U28/U$58,0)</f>
        <v>0.000490294399500791</v>
      </c>
      <c r="Y28" s="91" t="n">
        <f aca="false">X28-W28</f>
        <v>5.38990252917577E-005</v>
      </c>
      <c r="Z28" s="35" t="n">
        <v>50</v>
      </c>
      <c r="AA28" s="35" t="n">
        <v>58</v>
      </c>
      <c r="AB28" s="35" t="n">
        <v>43</v>
      </c>
      <c r="AC28" s="38" t="n">
        <f aca="false">AB28-AA28</f>
        <v>-15</v>
      </c>
      <c r="AD28" s="37" t="n">
        <f aca="false">IFERROR(AA28/AA$58,0)</f>
        <v>0.00081472116870347</v>
      </c>
      <c r="AE28" s="37" t="n">
        <f aca="false">IFERROR(AB28/AB$58,0)</f>
        <v>0.000674615625980546</v>
      </c>
      <c r="AF28" s="91" t="n">
        <f aca="false">AE28-AD28</f>
        <v>-0.000140105542722924</v>
      </c>
      <c r="AG28" s="35" t="n">
        <f aca="false">G28+N28+U28+AB28</f>
        <v>180</v>
      </c>
      <c r="AH28" s="37" t="n">
        <f aca="false">IFERROR(AG28/AG$58,0)</f>
        <v>0.000570711106038124</v>
      </c>
      <c r="AI28" s="37" t="n">
        <f aca="false">①札幌予測確定!R19</f>
        <v>0.0005720823798627</v>
      </c>
      <c r="AJ28" s="37" t="n">
        <f aca="false">③石川以降予測!H42</f>
        <v>0.000623349002921623</v>
      </c>
      <c r="AK28" s="39" t="str">
        <f aca="false">IF(AJ28-AH28&gt;=0.005,"↑ 上方修正",IF(AJ28-AH28&lt;=-0.005,"↓ 下方修正","→ 据置"))</f>
        <v>→ 据置</v>
      </c>
    </row>
    <row r="29" customFormat="false" ht="15" hidden="false" customHeight="false" outlineLevel="0" collapsed="false">
      <c r="A29" s="32" t="n">
        <v>14</v>
      </c>
      <c r="B29" s="32" t="s">
        <v>302</v>
      </c>
      <c r="C29" s="33" t="s">
        <v>303</v>
      </c>
      <c r="D29" s="34" t="n">
        <v>600</v>
      </c>
      <c r="E29" s="35" t="n">
        <v>1750</v>
      </c>
      <c r="F29" s="32" t="s">
        <v>518</v>
      </c>
      <c r="G29" s="35" t="n">
        <v>411</v>
      </c>
      <c r="H29" s="32" t="s">
        <v>518</v>
      </c>
      <c r="I29" s="37" t="n">
        <f aca="false">IFERROR(E29/E$58,0)</f>
        <v>0.00828786845495188</v>
      </c>
      <c r="J29" s="37" t="n">
        <f aca="false">IFERROR(G29/G$58,0)</f>
        <v>0.00277356007693086</v>
      </c>
      <c r="K29" s="91" t="n">
        <f aca="false">J29-I29</f>
        <v>-0.00551430837802102</v>
      </c>
      <c r="L29" s="35" t="n">
        <v>165</v>
      </c>
      <c r="M29" s="35" t="n">
        <v>68</v>
      </c>
      <c r="N29" s="35" t="n">
        <v>73</v>
      </c>
      <c r="O29" s="38" t="n">
        <f aca="false">N29-M29</f>
        <v>5</v>
      </c>
      <c r="P29" s="37" t="n">
        <f aca="false">IFERROR(M29/M$58,0)</f>
        <v>0.00115102068451877</v>
      </c>
      <c r="Q29" s="37" t="n">
        <f aca="false">IFERROR(N29/N$58,0)</f>
        <v>0.0012457337883959</v>
      </c>
      <c r="R29" s="91" t="n">
        <f aca="false">Q29-P29</f>
        <v>9.47131038771328E-005</v>
      </c>
      <c r="S29" s="35" t="n">
        <v>80</v>
      </c>
      <c r="T29" s="35" t="n">
        <v>84</v>
      </c>
      <c r="U29" s="35" t="n">
        <v>79</v>
      </c>
      <c r="V29" s="38" t="n">
        <f aca="false">U29-T29</f>
        <v>-5</v>
      </c>
      <c r="W29" s="37" t="n">
        <f aca="false">IFERROR(T29/T$58,0)</f>
        <v>0.0026183722452542</v>
      </c>
      <c r="X29" s="37" t="n">
        <f aca="false">IFERROR(U29/U$58,0)</f>
        <v>0.0017606026163892</v>
      </c>
      <c r="Y29" s="91" t="n">
        <f aca="false">X29-W29</f>
        <v>-0.000857769628864996</v>
      </c>
      <c r="Z29" s="35" t="n">
        <v>300</v>
      </c>
      <c r="AA29" s="35" t="n">
        <v>125</v>
      </c>
      <c r="AB29" s="35" t="n">
        <v>146</v>
      </c>
      <c r="AC29" s="38" t="n">
        <f aca="false">AB29-AA29</f>
        <v>21</v>
      </c>
      <c r="AD29" s="37" t="n">
        <f aca="false">IFERROR(AA29/AA$58,0)</f>
        <v>0.00175586458772299</v>
      </c>
      <c r="AE29" s="37" t="n">
        <f aca="false">IFERROR(AB29/AB$58,0)</f>
        <v>0.00229055538123627</v>
      </c>
      <c r="AF29" s="91" t="n">
        <f aca="false">AE29-AD29</f>
        <v>0.000534690793513277</v>
      </c>
      <c r="AG29" s="35" t="n">
        <f aca="false">G29+N29+U29+AB29</f>
        <v>709</v>
      </c>
      <c r="AH29" s="37" t="n">
        <f aca="false">IFERROR(AG29/AG$58,0)</f>
        <v>0.00224796763433905</v>
      </c>
      <c r="AI29" s="37" t="n">
        <f aca="false">①札幌予測確定!R20</f>
        <v>0.00434782608695652</v>
      </c>
      <c r="AJ29" s="37" t="n">
        <f aca="false">③石川以降予測!H43</f>
        <v>0.0033191907340964</v>
      </c>
      <c r="AK29" s="39" t="str">
        <f aca="false">IF(AJ29-AH29&gt;=0.005,"↑ 上方修正",IF(AJ29-AH29&lt;=-0.005,"↓ 下方修正","→ 据置"))</f>
        <v>→ 据置</v>
      </c>
    </row>
    <row r="30" customFormat="false" ht="15" hidden="false" customHeight="false" outlineLevel="0" collapsed="false">
      <c r="A30" s="32" t="n">
        <v>15</v>
      </c>
      <c r="B30" s="32" t="s">
        <v>304</v>
      </c>
      <c r="C30" s="33" t="s">
        <v>305</v>
      </c>
      <c r="D30" s="34" t="n">
        <v>600</v>
      </c>
      <c r="E30" s="35" t="n">
        <v>2100</v>
      </c>
      <c r="F30" s="32" t="s">
        <v>518</v>
      </c>
      <c r="G30" s="35" t="n">
        <v>471</v>
      </c>
      <c r="H30" s="32" t="s">
        <v>518</v>
      </c>
      <c r="I30" s="37" t="n">
        <f aca="false">IFERROR(E30/E$58,0)</f>
        <v>0.00994544214594226</v>
      </c>
      <c r="J30" s="37" t="n">
        <f aca="false">IFERROR(G30/G$58,0)</f>
        <v>0.00317845935823464</v>
      </c>
      <c r="K30" s="91" t="n">
        <f aca="false">J30-I30</f>
        <v>-0.00676698278770762</v>
      </c>
      <c r="L30" s="35" t="n">
        <v>190</v>
      </c>
      <c r="M30" s="35" t="n">
        <v>91</v>
      </c>
      <c r="N30" s="35" t="n">
        <v>100</v>
      </c>
      <c r="O30" s="38" t="n">
        <f aca="false">N30-M30</f>
        <v>9</v>
      </c>
      <c r="P30" s="37" t="n">
        <f aca="false">IFERROR(M30/M$58,0)</f>
        <v>0.00154033650428247</v>
      </c>
      <c r="Q30" s="37" t="n">
        <f aca="false">IFERROR(N30/N$58,0)</f>
        <v>0.00170648464163823</v>
      </c>
      <c r="R30" s="91" t="n">
        <f aca="false">Q30-P30</f>
        <v>0.000166148137355751</v>
      </c>
      <c r="S30" s="35" t="n">
        <v>100</v>
      </c>
      <c r="T30" s="35" t="n">
        <v>109</v>
      </c>
      <c r="U30" s="35" t="n">
        <v>100</v>
      </c>
      <c r="V30" s="38" t="n">
        <f aca="false">U30-T30</f>
        <v>-9</v>
      </c>
      <c r="W30" s="37" t="n">
        <f aca="false">IFERROR(T30/T$58,0)</f>
        <v>0.0033976496991989</v>
      </c>
      <c r="X30" s="37" t="n">
        <f aca="false">IFERROR(U30/U$58,0)</f>
        <v>0.00222861090682178</v>
      </c>
      <c r="Y30" s="91" t="n">
        <f aca="false">X30-W30</f>
        <v>-0.00116903879237712</v>
      </c>
      <c r="Z30" s="35" t="n">
        <v>300</v>
      </c>
      <c r="AA30" s="35" t="n">
        <v>204</v>
      </c>
      <c r="AB30" s="35" t="n">
        <v>198</v>
      </c>
      <c r="AC30" s="38" t="n">
        <f aca="false">AB30-AA30</f>
        <v>-6</v>
      </c>
      <c r="AD30" s="37" t="n">
        <f aca="false">IFERROR(AA30/AA$58,0)</f>
        <v>0.00286557100716393</v>
      </c>
      <c r="AE30" s="37" t="n">
        <f aca="false">IFERROR(AB30/AB$58,0)</f>
        <v>0.0031063696266081</v>
      </c>
      <c r="AF30" s="91" t="n">
        <f aca="false">AE30-AD30</f>
        <v>0.000240798619444168</v>
      </c>
      <c r="AG30" s="35" t="n">
        <f aca="false">G30+N30+U30+AB30</f>
        <v>869</v>
      </c>
      <c r="AH30" s="37" t="n">
        <f aca="false">IFERROR(AG30/AG$58,0)</f>
        <v>0.00275526639526183</v>
      </c>
      <c r="AI30" s="37" t="n">
        <f aca="false">①札幌予測確定!R21</f>
        <v>0.00675057208237986</v>
      </c>
      <c r="AJ30" s="37" t="n">
        <f aca="false">③石川以降予測!H44</f>
        <v>0.00492847085449398</v>
      </c>
      <c r="AK30" s="39" t="str">
        <f aca="false">IF(AJ30-AH30&gt;=0.005,"↑ 上方修正",IF(AJ30-AH30&lt;=-0.005,"↓ 下方修正","→ 据置"))</f>
        <v>→ 据置</v>
      </c>
    </row>
    <row r="31" customFormat="false" ht="15" hidden="false" customHeight="false" outlineLevel="0" collapsed="false">
      <c r="A31" s="32" t="n">
        <v>16</v>
      </c>
      <c r="B31" s="32" t="s">
        <v>306</v>
      </c>
      <c r="C31" s="33" t="s">
        <v>307</v>
      </c>
      <c r="D31" s="34" t="n">
        <v>600</v>
      </c>
      <c r="E31" s="35" t="n">
        <v>700</v>
      </c>
      <c r="F31" s="32" t="s">
        <v>518</v>
      </c>
      <c r="G31" s="35" t="n">
        <v>95</v>
      </c>
      <c r="H31" s="32" t="s">
        <v>518</v>
      </c>
      <c r="I31" s="37" t="n">
        <f aca="false">IFERROR(E31/E$58,0)</f>
        <v>0.00331514738198075</v>
      </c>
      <c r="J31" s="37" t="n">
        <f aca="false">IFERROR(G31/G$58,0)</f>
        <v>0.000641090528730978</v>
      </c>
      <c r="K31" s="91" t="n">
        <f aca="false">J31-I31</f>
        <v>-0.00267405685324978</v>
      </c>
      <c r="L31" s="35" t="n">
        <v>40</v>
      </c>
      <c r="M31" s="35" t="n">
        <v>26</v>
      </c>
      <c r="N31" s="35" t="n">
        <v>38</v>
      </c>
      <c r="O31" s="38" t="n">
        <f aca="false">N31-M31</f>
        <v>12</v>
      </c>
      <c r="P31" s="37" t="n">
        <f aca="false">IFERROR(M31/M$58,0)</f>
        <v>0.000440096144080707</v>
      </c>
      <c r="Q31" s="37" t="n">
        <f aca="false">IFERROR(N31/N$58,0)</f>
        <v>0.000648464163822526</v>
      </c>
      <c r="R31" s="91" t="n">
        <f aca="false">Q31-P31</f>
        <v>0.000208368019741819</v>
      </c>
      <c r="S31" s="35" t="n">
        <v>30</v>
      </c>
      <c r="T31" s="35" t="n">
        <v>38</v>
      </c>
      <c r="U31" s="35" t="n">
        <v>30</v>
      </c>
      <c r="V31" s="38" t="n">
        <f aca="false">U31-T31</f>
        <v>-8</v>
      </c>
      <c r="W31" s="37" t="n">
        <f aca="false">IFERROR(T31/T$58,0)</f>
        <v>0.00118450172999595</v>
      </c>
      <c r="X31" s="37" t="n">
        <f aca="false">IFERROR(U31/U$58,0)</f>
        <v>0.000668583272046533</v>
      </c>
      <c r="Y31" s="91" t="n">
        <f aca="false">X31-W31</f>
        <v>-0.000515918457949414</v>
      </c>
      <c r="Z31" s="35" t="n">
        <v>100</v>
      </c>
      <c r="AA31" s="35" t="n">
        <v>67</v>
      </c>
      <c r="AB31" s="35" t="n">
        <v>65</v>
      </c>
      <c r="AC31" s="38" t="n">
        <f aca="false">AB31-AA31</f>
        <v>-2</v>
      </c>
      <c r="AD31" s="37" t="n">
        <f aca="false">IFERROR(AA31/AA$58,0)</f>
        <v>0.000941143419019525</v>
      </c>
      <c r="AE31" s="37" t="n">
        <f aca="false">IFERROR(AB31/AB$58,0)</f>
        <v>0.00101976780671478</v>
      </c>
      <c r="AF31" s="91" t="n">
        <f aca="false">AE31-AD31</f>
        <v>7.86243876952535E-005</v>
      </c>
      <c r="AG31" s="35" t="n">
        <f aca="false">G31+N31+U31+AB31</f>
        <v>228</v>
      </c>
      <c r="AH31" s="37" t="n">
        <f aca="false">IFERROR(AG31/AG$58,0)</f>
        <v>0.000722900734314957</v>
      </c>
      <c r="AI31" s="37" t="n">
        <f aca="false">①札幌予測確定!R22</f>
        <v>0.0017162471395881</v>
      </c>
      <c r="AJ31" s="37" t="n">
        <f aca="false">③石川以降予測!H45</f>
        <v>0.00136800747315144</v>
      </c>
      <c r="AK31" s="39" t="str">
        <f aca="false">IF(AJ31-AH31&gt;=0.005,"↑ 上方修正",IF(AJ31-AH31&lt;=-0.005,"↓ 下方修正","→ 据置"))</f>
        <v>→ 据置</v>
      </c>
    </row>
    <row r="32" customFormat="false" ht="15" hidden="false" customHeight="false" outlineLevel="0" collapsed="false">
      <c r="A32" s="32" t="n">
        <v>17</v>
      </c>
      <c r="B32" s="32" t="s">
        <v>308</v>
      </c>
      <c r="C32" s="33" t="s">
        <v>309</v>
      </c>
      <c r="D32" s="34" t="n">
        <v>600</v>
      </c>
      <c r="E32" s="35" t="n">
        <v>2450</v>
      </c>
      <c r="F32" s="32" t="s">
        <v>518</v>
      </c>
      <c r="G32" s="35" t="n">
        <v>492</v>
      </c>
      <c r="H32" s="32" t="s">
        <v>518</v>
      </c>
      <c r="I32" s="37" t="n">
        <f aca="false">IFERROR(E32/E$58,0)</f>
        <v>0.0116030158369326</v>
      </c>
      <c r="J32" s="37" t="n">
        <f aca="false">IFERROR(G32/G$58,0)</f>
        <v>0.00332017410669096</v>
      </c>
      <c r="K32" s="91" t="n">
        <f aca="false">J32-I32</f>
        <v>-0.00828284173024168</v>
      </c>
      <c r="L32" s="35" t="n">
        <v>198</v>
      </c>
      <c r="M32" s="35" t="n">
        <v>134</v>
      </c>
      <c r="N32" s="35" t="n">
        <v>124</v>
      </c>
      <c r="O32" s="38" t="n">
        <f aca="false">N32-M32</f>
        <v>-10</v>
      </c>
      <c r="P32" s="37" t="n">
        <f aca="false">IFERROR(M32/M$58,0)</f>
        <v>0.00226818781949287</v>
      </c>
      <c r="Q32" s="37" t="n">
        <f aca="false">IFERROR(N32/N$58,0)</f>
        <v>0.0021160409556314</v>
      </c>
      <c r="R32" s="91" t="n">
        <f aca="false">Q32-P32</f>
        <v>-0.000152146863861475</v>
      </c>
      <c r="S32" s="35" t="n">
        <v>100</v>
      </c>
      <c r="T32" s="35" t="n">
        <v>117</v>
      </c>
      <c r="U32" s="35" t="n">
        <v>100</v>
      </c>
      <c r="V32" s="38" t="n">
        <f aca="false">U32-T32</f>
        <v>-17</v>
      </c>
      <c r="W32" s="37" t="n">
        <f aca="false">IFERROR(T32/T$58,0)</f>
        <v>0.00364701848446121</v>
      </c>
      <c r="X32" s="37" t="n">
        <f aca="false">IFERROR(U32/U$58,0)</f>
        <v>0.00222861090682178</v>
      </c>
      <c r="Y32" s="91" t="n">
        <f aca="false">X32-W32</f>
        <v>-0.00141840757763943</v>
      </c>
      <c r="Z32" s="35" t="n">
        <v>300</v>
      </c>
      <c r="AA32" s="35" t="n">
        <v>254</v>
      </c>
      <c r="AB32" s="35" t="n">
        <v>261</v>
      </c>
      <c r="AC32" s="38" t="n">
        <f aca="false">AB32-AA32</f>
        <v>7</v>
      </c>
      <c r="AD32" s="37" t="n">
        <f aca="false">IFERROR(AA32/AA$58,0)</f>
        <v>0.00356791684225313</v>
      </c>
      <c r="AE32" s="37" t="n">
        <f aca="false">IFERROR(AB32/AB$58,0)</f>
        <v>0.00409475996234703</v>
      </c>
      <c r="AF32" s="91" t="n">
        <f aca="false">AE32-AD32</f>
        <v>0.000526843120093909</v>
      </c>
      <c r="AG32" s="35" t="n">
        <f aca="false">G32+N32+U32+AB32</f>
        <v>977</v>
      </c>
      <c r="AH32" s="37" t="n">
        <f aca="false">IFERROR(AG32/AG$58,0)</f>
        <v>0.0030976930588847</v>
      </c>
      <c r="AI32" s="37" t="n">
        <f aca="false">①札幌予測確定!R23</f>
        <v>0.0106407322654462</v>
      </c>
      <c r="AJ32" s="37" t="n">
        <f aca="false">③石川以降予測!H46</f>
        <v>0.00736774611389663</v>
      </c>
      <c r="AK32" s="39" t="str">
        <f aca="false">IF(AJ32-AH32&gt;=0.005,"↑ 上方修正",IF(AJ32-AH32&lt;=-0.005,"↓ 下方修正","→ 据置"))</f>
        <v>→ 据置</v>
      </c>
    </row>
    <row r="33" customFormat="false" ht="15" hidden="false" customHeight="false" outlineLevel="0" collapsed="false">
      <c r="A33" s="32" t="n">
        <v>18</v>
      </c>
      <c r="B33" s="32" t="s">
        <v>310</v>
      </c>
      <c r="C33" s="33" t="s">
        <v>311</v>
      </c>
      <c r="D33" s="34" t="n">
        <v>600</v>
      </c>
      <c r="E33" s="35" t="n">
        <v>8750</v>
      </c>
      <c r="F33" s="32" t="s">
        <v>518</v>
      </c>
      <c r="G33" s="35" t="n">
        <v>5661</v>
      </c>
      <c r="H33" s="32" t="s">
        <v>518</v>
      </c>
      <c r="I33" s="37" t="n">
        <f aca="false">IFERROR(E33/E$58,0)</f>
        <v>0.0414393422747594</v>
      </c>
      <c r="J33" s="37" t="n">
        <f aca="false">IFERROR(G33/G$58,0)</f>
        <v>0.0382022471910112</v>
      </c>
      <c r="K33" s="91" t="n">
        <f aca="false">J33-I33</f>
        <v>-0.00323709508374818</v>
      </c>
      <c r="L33" s="35" t="n">
        <v>2265</v>
      </c>
      <c r="M33" s="35" t="n">
        <v>1193</v>
      </c>
      <c r="N33" s="35" t="n">
        <v>1187</v>
      </c>
      <c r="O33" s="38" t="n">
        <f aca="false">N33-M33</f>
        <v>-6</v>
      </c>
      <c r="P33" s="37" t="n">
        <f aca="false">IFERROR(M33/M$58,0)</f>
        <v>0.0201936423033955</v>
      </c>
      <c r="Q33" s="37" t="n">
        <f aca="false">IFERROR(N33/N$58,0)</f>
        <v>0.0202559726962457</v>
      </c>
      <c r="R33" s="91" t="n">
        <f aca="false">Q33-P33</f>
        <v>6.23303928502239E-005</v>
      </c>
      <c r="S33" s="35" t="n">
        <v>900</v>
      </c>
      <c r="T33" s="35" t="n">
        <v>1030</v>
      </c>
      <c r="U33" s="35" t="n">
        <v>898</v>
      </c>
      <c r="V33" s="38" t="n">
        <f aca="false">U33-T33</f>
        <v>-132</v>
      </c>
      <c r="W33" s="37" t="n">
        <f aca="false">IFERROR(T33/T$58,0)</f>
        <v>0.0321062311025217</v>
      </c>
      <c r="X33" s="37" t="n">
        <f aca="false">IFERROR(U33/U$58,0)</f>
        <v>0.0200129259432596</v>
      </c>
      <c r="Y33" s="91" t="n">
        <f aca="false">X33-W33</f>
        <v>-0.0120933051592622</v>
      </c>
      <c r="Z33" s="35" t="n">
        <v>4000</v>
      </c>
      <c r="AA33" s="35" t="n">
        <v>1954</v>
      </c>
      <c r="AB33" s="35" t="n">
        <v>2021</v>
      </c>
      <c r="AC33" s="38" t="n">
        <f aca="false">AB33-AA33</f>
        <v>67</v>
      </c>
      <c r="AD33" s="37" t="n">
        <f aca="false">IFERROR(AA33/AA$58,0)</f>
        <v>0.0274476752352859</v>
      </c>
      <c r="AE33" s="37" t="n">
        <f aca="false">IFERROR(AB33/AB$58,0)</f>
        <v>0.0317069344210857</v>
      </c>
      <c r="AF33" s="91" t="n">
        <f aca="false">AE33-AD33</f>
        <v>0.0042592591857998</v>
      </c>
      <c r="AG33" s="35" t="n">
        <f aca="false">G33+N33+U33+AB33</f>
        <v>9767</v>
      </c>
      <c r="AH33" s="37" t="n">
        <f aca="false">IFERROR(AG33/AG$58,0)</f>
        <v>0.0309674187370797</v>
      </c>
      <c r="AI33" s="37" t="n">
        <f aca="false">①札幌予測確定!R24</f>
        <v>0.0465675057208238</v>
      </c>
      <c r="AJ33" s="37" t="n">
        <f aca="false">③石川以降予測!H47</f>
        <v>0.0391372200709547</v>
      </c>
      <c r="AK33" s="39" t="str">
        <f aca="false">IF(AJ33-AH33&gt;=0.005,"↑ 上方修正",IF(AJ33-AH33&lt;=-0.005,"↓ 下方修正","→ 据置"))</f>
        <v>↑ 上方修正</v>
      </c>
    </row>
    <row r="34" customFormat="false" ht="15" hidden="false" customHeight="false" outlineLevel="0" collapsed="false">
      <c r="A34" s="32" t="n">
        <v>19</v>
      </c>
      <c r="B34" s="32" t="s">
        <v>312</v>
      </c>
      <c r="C34" s="33" t="s">
        <v>313</v>
      </c>
      <c r="D34" s="34" t="n">
        <v>600</v>
      </c>
      <c r="E34" s="35" t="n">
        <v>1750</v>
      </c>
      <c r="F34" s="32" t="s">
        <v>518</v>
      </c>
      <c r="G34" s="35" t="n">
        <v>168</v>
      </c>
      <c r="H34" s="32" t="s">
        <v>518</v>
      </c>
      <c r="I34" s="37" t="n">
        <f aca="false">IFERROR(E34/E$58,0)</f>
        <v>0.00828786845495188</v>
      </c>
      <c r="J34" s="37" t="n">
        <f aca="false">IFERROR(G34/G$58,0)</f>
        <v>0.00113371798765057</v>
      </c>
      <c r="K34" s="91" t="n">
        <f aca="false">J34-I34</f>
        <v>-0.00715415046730131</v>
      </c>
      <c r="L34" s="35" t="n">
        <v>65</v>
      </c>
      <c r="M34" s="35" t="n">
        <v>29</v>
      </c>
      <c r="N34" s="35" t="n">
        <v>27</v>
      </c>
      <c r="O34" s="38" t="n">
        <f aca="false">N34-M34</f>
        <v>-2</v>
      </c>
      <c r="P34" s="37" t="n">
        <f aca="false">IFERROR(M34/M$58,0)</f>
        <v>0.000490876468397712</v>
      </c>
      <c r="Q34" s="37" t="n">
        <f aca="false">IFERROR(N34/N$58,0)</f>
        <v>0.000460750853242321</v>
      </c>
      <c r="R34" s="91" t="n">
        <f aca="false">Q34-P34</f>
        <v>-3.01256151553906E-005</v>
      </c>
      <c r="S34" s="35" t="n">
        <v>20</v>
      </c>
      <c r="T34" s="35" t="n">
        <v>21</v>
      </c>
      <c r="U34" s="35" t="n">
        <v>19</v>
      </c>
      <c r="V34" s="38" t="n">
        <f aca="false">U34-T34</f>
        <v>-2</v>
      </c>
      <c r="W34" s="37" t="n">
        <f aca="false">IFERROR(T34/T$58,0)</f>
        <v>0.00065459306131355</v>
      </c>
      <c r="X34" s="37" t="n">
        <f aca="false">IFERROR(U34/U$58,0)</f>
        <v>0.000423436072296138</v>
      </c>
      <c r="Y34" s="91" t="n">
        <f aca="false">X34-W34</f>
        <v>-0.000231156989017412</v>
      </c>
      <c r="Z34" s="35" t="n">
        <v>100</v>
      </c>
      <c r="AA34" s="35" t="n">
        <v>47</v>
      </c>
      <c r="AB34" s="35" t="n">
        <v>45</v>
      </c>
      <c r="AC34" s="38" t="n">
        <f aca="false">AB34-AA34</f>
        <v>-2</v>
      </c>
      <c r="AD34" s="37" t="n">
        <f aca="false">IFERROR(AA34/AA$58,0)</f>
        <v>0.000660205084983846</v>
      </c>
      <c r="AE34" s="37" t="n">
        <f aca="false">IFERROR(AB34/AB$58,0)</f>
        <v>0.000705993096956385</v>
      </c>
      <c r="AF34" s="91" t="n">
        <f aca="false">AE34-AD34</f>
        <v>4.57880119725393E-005</v>
      </c>
      <c r="AG34" s="35" t="n">
        <f aca="false">G34+N34+U34+AB34</f>
        <v>259</v>
      </c>
      <c r="AH34" s="37" t="n">
        <f aca="false">IFERROR(AG34/AG$58,0)</f>
        <v>0.000821189869243744</v>
      </c>
      <c r="AI34" s="37" t="n">
        <f aca="false">①札幌予測確定!R25</f>
        <v>0.00183066361556064</v>
      </c>
      <c r="AJ34" s="37" t="n">
        <f aca="false">③石川以降予測!H48</f>
        <v>0.00126832835625851</v>
      </c>
      <c r="AK34" s="39" t="str">
        <f aca="false">IF(AJ34-AH34&gt;=0.005,"↑ 上方修正",IF(AJ34-AH34&lt;=-0.005,"↓ 下方修正","→ 据置"))</f>
        <v>→ 据置</v>
      </c>
    </row>
    <row r="35" customFormat="false" ht="15" hidden="false" customHeight="false" outlineLevel="0" collapsed="false">
      <c r="A35" s="32" t="n">
        <v>20</v>
      </c>
      <c r="B35" s="32" t="s">
        <v>314</v>
      </c>
      <c r="C35" s="33" t="s">
        <v>315</v>
      </c>
      <c r="D35" s="34" t="n">
        <v>600</v>
      </c>
      <c r="E35" s="35" t="n">
        <v>350</v>
      </c>
      <c r="F35" s="32" t="s">
        <v>518</v>
      </c>
      <c r="G35" s="35" t="n">
        <v>117</v>
      </c>
      <c r="H35" s="32" t="s">
        <v>518</v>
      </c>
      <c r="I35" s="37" t="n">
        <f aca="false">IFERROR(E35/E$58,0)</f>
        <v>0.00165757369099038</v>
      </c>
      <c r="J35" s="37" t="n">
        <f aca="false">IFERROR(G35/G$58,0)</f>
        <v>0.000789553598542363</v>
      </c>
      <c r="K35" s="91" t="n">
        <f aca="false">J35-I35</f>
        <v>-0.000868020092448014</v>
      </c>
      <c r="L35" s="35" t="n">
        <v>49</v>
      </c>
      <c r="M35" s="35" t="n">
        <v>22</v>
      </c>
      <c r="N35" s="35" t="n">
        <v>23</v>
      </c>
      <c r="O35" s="38" t="n">
        <f aca="false">N35-M35</f>
        <v>1</v>
      </c>
      <c r="P35" s="37" t="n">
        <f aca="false">IFERROR(M35/M$58,0)</f>
        <v>0.000372389044991367</v>
      </c>
      <c r="Q35" s="37" t="n">
        <f aca="false">IFERROR(N35/N$58,0)</f>
        <v>0.000392491467576792</v>
      </c>
      <c r="R35" s="91" t="n">
        <f aca="false">Q35-P35</f>
        <v>2.01024225854245E-005</v>
      </c>
      <c r="S35" s="35" t="n">
        <v>15</v>
      </c>
      <c r="T35" s="35" t="n">
        <v>33</v>
      </c>
      <c r="U35" s="35" t="n">
        <v>15</v>
      </c>
      <c r="V35" s="38" t="n">
        <f aca="false">U35-T35</f>
        <v>-18</v>
      </c>
      <c r="W35" s="37" t="n">
        <f aca="false">IFERROR(T35/T$58,0)</f>
        <v>0.00102864623920701</v>
      </c>
      <c r="X35" s="37" t="n">
        <f aca="false">IFERROR(U35/U$58,0)</f>
        <v>0.000334291636023267</v>
      </c>
      <c r="Y35" s="91" t="n">
        <f aca="false">X35-W35</f>
        <v>-0.000694354603183741</v>
      </c>
      <c r="Z35" s="35" t="n">
        <v>50</v>
      </c>
      <c r="AA35" s="35" t="n">
        <v>32</v>
      </c>
      <c r="AB35" s="35" t="n">
        <v>42</v>
      </c>
      <c r="AC35" s="38" t="n">
        <f aca="false">AB35-AA35</f>
        <v>10</v>
      </c>
      <c r="AD35" s="37" t="n">
        <f aca="false">IFERROR(AA35/AA$58,0)</f>
        <v>0.000449501334457087</v>
      </c>
      <c r="AE35" s="37" t="n">
        <f aca="false">IFERROR(AB35/AB$58,0)</f>
        <v>0.000658926890492626</v>
      </c>
      <c r="AF35" s="91" t="n">
        <f aca="false">AE35-AD35</f>
        <v>0.00020942555603554</v>
      </c>
      <c r="AG35" s="35" t="n">
        <f aca="false">G35+N35+U35+AB35</f>
        <v>197</v>
      </c>
      <c r="AH35" s="37" t="n">
        <f aca="false">IFERROR(AG35/AG$58,0)</f>
        <v>0.000624611599386169</v>
      </c>
      <c r="AI35" s="37" t="n">
        <f aca="false">①札幌予測確定!R26</f>
        <v>0.00160183066361556</v>
      </c>
      <c r="AJ35" s="37" t="n">
        <f aca="false">③石川以降予測!H49</f>
        <v>0.00113037877705409</v>
      </c>
      <c r="AK35" s="39" t="str">
        <f aca="false">IF(AJ35-AH35&gt;=0.005,"↑ 上方修正",IF(AJ35-AH35&lt;=-0.005,"↓ 下方修正","→ 据置"))</f>
        <v>→ 据置</v>
      </c>
    </row>
    <row r="36" customFormat="false" ht="15" hidden="false" customHeight="false" outlineLevel="0" collapsed="false">
      <c r="A36" s="32" t="n">
        <v>21</v>
      </c>
      <c r="B36" s="32" t="s">
        <v>316</v>
      </c>
      <c r="C36" s="33" t="s">
        <v>317</v>
      </c>
      <c r="D36" s="34" t="n">
        <v>600</v>
      </c>
      <c r="E36" s="35" t="n">
        <v>350</v>
      </c>
      <c r="F36" s="32" t="s">
        <v>518</v>
      </c>
      <c r="G36" s="35" t="n">
        <v>350</v>
      </c>
      <c r="H36" s="32" t="s">
        <v>518</v>
      </c>
      <c r="I36" s="37" t="n">
        <f aca="false">IFERROR(E36/E$58,0)</f>
        <v>0.00165757369099038</v>
      </c>
      <c r="J36" s="37" t="n">
        <f aca="false">IFERROR(G36/G$58,0)</f>
        <v>0.00236191247427202</v>
      </c>
      <c r="K36" s="91" t="n">
        <f aca="false">J36-I36</f>
        <v>0.000704338783281648</v>
      </c>
      <c r="L36" s="35" t="n">
        <v>140</v>
      </c>
      <c r="M36" s="35" t="n">
        <v>208</v>
      </c>
      <c r="N36" s="35" t="n">
        <v>139</v>
      </c>
      <c r="O36" s="38" t="n">
        <f aca="false">N36-M36</f>
        <v>-69</v>
      </c>
      <c r="P36" s="37" t="n">
        <f aca="false">IFERROR(M36/M$58,0)</f>
        <v>0.00352076915264565</v>
      </c>
      <c r="Q36" s="37" t="n">
        <f aca="false">IFERROR(N36/N$58,0)</f>
        <v>0.00237201365187713</v>
      </c>
      <c r="R36" s="91" t="n">
        <f aca="false">Q36-P36</f>
        <v>-0.00114875550076852</v>
      </c>
      <c r="S36" s="35" t="n">
        <v>150</v>
      </c>
      <c r="T36" s="35" t="n">
        <v>153</v>
      </c>
      <c r="U36" s="35" t="n">
        <v>150</v>
      </c>
      <c r="V36" s="38" t="n">
        <f aca="false">U36-T36</f>
        <v>-3</v>
      </c>
      <c r="W36" s="37" t="n">
        <f aca="false">IFERROR(T36/T$58,0)</f>
        <v>0.00476917801814158</v>
      </c>
      <c r="X36" s="37" t="n">
        <f aca="false">IFERROR(U36/U$58,0)</f>
        <v>0.00334291636023267</v>
      </c>
      <c r="Y36" s="91" t="n">
        <f aca="false">X36-W36</f>
        <v>-0.00142626165790891</v>
      </c>
      <c r="Z36" s="35" t="n">
        <v>350</v>
      </c>
      <c r="AA36" s="35" t="n">
        <v>195</v>
      </c>
      <c r="AB36" s="35" t="n">
        <v>252</v>
      </c>
      <c r="AC36" s="38" t="n">
        <f aca="false">AB36-AA36</f>
        <v>57</v>
      </c>
      <c r="AD36" s="37" t="n">
        <f aca="false">IFERROR(AA36/AA$58,0)</f>
        <v>0.00273914875684787</v>
      </c>
      <c r="AE36" s="37" t="n">
        <f aca="false">IFERROR(AB36/AB$58,0)</f>
        <v>0.00395356134295576</v>
      </c>
      <c r="AF36" s="91" t="n">
        <f aca="false">AE36-AD36</f>
        <v>0.00121441258610789</v>
      </c>
      <c r="AG36" s="35" t="n">
        <f aca="false">G36+N36+U36+AB36</f>
        <v>891</v>
      </c>
      <c r="AH36" s="37" t="n">
        <f aca="false">IFERROR(AG36/AG$58,0)</f>
        <v>0.00282501997488871</v>
      </c>
      <c r="AI36" s="37" t="n">
        <f aca="false">①札幌予測確定!R27</f>
        <v>0.0102974828375286</v>
      </c>
      <c r="AJ36" s="37" t="n">
        <f aca="false">③石川以降予測!H50</f>
        <v>0.00712552209024218</v>
      </c>
      <c r="AK36" s="39" t="str">
        <f aca="false">IF(AJ36-AH36&gt;=0.005,"↑ 上方修正",IF(AJ36-AH36&lt;=-0.005,"↓ 下方修正","→ 据置"))</f>
        <v>→ 据置</v>
      </c>
    </row>
    <row r="37" customFormat="false" ht="15" hidden="false" customHeight="false" outlineLevel="0" collapsed="false">
      <c r="A37" s="32" t="n">
        <v>22</v>
      </c>
      <c r="B37" s="32" t="s">
        <v>318</v>
      </c>
      <c r="C37" s="33" t="s">
        <v>319</v>
      </c>
      <c r="D37" s="34" t="n">
        <v>600</v>
      </c>
      <c r="E37" s="35" t="n">
        <v>1400</v>
      </c>
      <c r="F37" s="32" t="s">
        <v>518</v>
      </c>
      <c r="G37" s="35" t="n">
        <v>319</v>
      </c>
      <c r="H37" s="32" t="s">
        <v>518</v>
      </c>
      <c r="I37" s="37" t="n">
        <f aca="false">IFERROR(E37/E$58,0)</f>
        <v>0.00663029476396151</v>
      </c>
      <c r="J37" s="37" t="n">
        <f aca="false">IFERROR(G37/G$58,0)</f>
        <v>0.00215271451226507</v>
      </c>
      <c r="K37" s="91" t="n">
        <f aca="false">J37-I37</f>
        <v>-0.00447758025169643</v>
      </c>
      <c r="L37" s="35" t="n">
        <v>130</v>
      </c>
      <c r="M37" s="35" t="n">
        <v>91</v>
      </c>
      <c r="N37" s="35" t="n">
        <v>99</v>
      </c>
      <c r="O37" s="38" t="n">
        <f aca="false">N37-M37</f>
        <v>8</v>
      </c>
      <c r="P37" s="37" t="n">
        <f aca="false">IFERROR(M37/M$58,0)</f>
        <v>0.00154033650428247</v>
      </c>
      <c r="Q37" s="37" t="n">
        <f aca="false">IFERROR(N37/N$58,0)</f>
        <v>0.00168941979522184</v>
      </c>
      <c r="R37" s="91" t="n">
        <f aca="false">Q37-P37</f>
        <v>0.000149083290939369</v>
      </c>
      <c r="S37" s="35" t="n">
        <v>80</v>
      </c>
      <c r="T37" s="35" t="n">
        <v>76</v>
      </c>
      <c r="U37" s="35" t="n">
        <v>80</v>
      </c>
      <c r="V37" s="38" t="n">
        <f aca="false">U37-T37</f>
        <v>4</v>
      </c>
      <c r="W37" s="37" t="n">
        <f aca="false">IFERROR(T37/T$58,0)</f>
        <v>0.0023690034599919</v>
      </c>
      <c r="X37" s="37" t="n">
        <f aca="false">IFERROR(U37/U$58,0)</f>
        <v>0.00178288872545742</v>
      </c>
      <c r="Y37" s="91" t="n">
        <f aca="false">X37-W37</f>
        <v>-0.000586114734534473</v>
      </c>
      <c r="Z37" s="35" t="n">
        <v>200</v>
      </c>
      <c r="AA37" s="35" t="n">
        <v>213</v>
      </c>
      <c r="AB37" s="35" t="n">
        <v>171</v>
      </c>
      <c r="AC37" s="38" t="n">
        <f aca="false">AB37-AA37</f>
        <v>-42</v>
      </c>
      <c r="AD37" s="37" t="n">
        <f aca="false">IFERROR(AA37/AA$58,0)</f>
        <v>0.00299199325747998</v>
      </c>
      <c r="AE37" s="37" t="n">
        <f aca="false">IFERROR(AB37/AB$58,0)</f>
        <v>0.00268277376843426</v>
      </c>
      <c r="AF37" s="91" t="n">
        <f aca="false">AE37-AD37</f>
        <v>-0.000309219489045719</v>
      </c>
      <c r="AG37" s="35" t="n">
        <f aca="false">G37+N37+U37+AB37</f>
        <v>669</v>
      </c>
      <c r="AH37" s="37" t="n">
        <f aca="false">IFERROR(AG37/AG$58,0)</f>
        <v>0.00212114294410836</v>
      </c>
      <c r="AI37" s="37" t="n">
        <f aca="false">①札幌予測確定!R28</f>
        <v>0.00594965675057208</v>
      </c>
      <c r="AJ37" s="37" t="n">
        <f aca="false">③石川以降予測!H51</f>
        <v>0.00431621525950317</v>
      </c>
      <c r="AK37" s="39" t="str">
        <f aca="false">IF(AJ37-AH37&gt;=0.005,"↑ 上方修正",IF(AJ37-AH37&lt;=-0.005,"↓ 下方修正","→ 据置"))</f>
        <v>→ 据置</v>
      </c>
    </row>
    <row r="38" customFormat="false" ht="15" hidden="false" customHeight="false" outlineLevel="0" collapsed="false">
      <c r="A38" s="32" t="n">
        <v>23</v>
      </c>
      <c r="B38" s="32" t="s">
        <v>320</v>
      </c>
      <c r="C38" s="33" t="s">
        <v>321</v>
      </c>
      <c r="D38" s="34" t="n">
        <v>600</v>
      </c>
      <c r="E38" s="35" t="n">
        <v>45125</v>
      </c>
      <c r="F38" s="32" t="s">
        <v>518</v>
      </c>
      <c r="G38" s="35" t="n">
        <v>41156</v>
      </c>
      <c r="H38" s="32" t="s">
        <v>518</v>
      </c>
      <c r="I38" s="37" t="n">
        <f aca="false">IFERROR(E38/E$58,0)</f>
        <v>0.213708608016974</v>
      </c>
      <c r="J38" s="37" t="n">
        <f aca="false">IFERROR(G38/G$58,0)</f>
        <v>0.27773391368897</v>
      </c>
      <c r="K38" s="91" t="n">
        <f aca="false">J38-I38</f>
        <v>0.0640253056719963</v>
      </c>
      <c r="L38" s="35" t="n">
        <v>16465</v>
      </c>
      <c r="M38" s="35" t="n">
        <v>15193</v>
      </c>
      <c r="N38" s="35" t="n">
        <v>13583</v>
      </c>
      <c r="O38" s="38" t="n">
        <f aca="false">N38-M38</f>
        <v>-1610</v>
      </c>
      <c r="P38" s="37" t="n">
        <f aca="false">IFERROR(M38/M$58,0)</f>
        <v>0.257168489116084</v>
      </c>
      <c r="Q38" s="37" t="n">
        <f aca="false">IFERROR(N38/N$58,0)</f>
        <v>0.23179180887372</v>
      </c>
      <c r="R38" s="91" t="n">
        <f aca="false">Q38-P38</f>
        <v>-0.0253766802423637</v>
      </c>
      <c r="S38" s="35" t="n">
        <v>11000</v>
      </c>
      <c r="T38" s="35" t="n">
        <v>7562</v>
      </c>
      <c r="U38" s="35" t="n">
        <v>8800</v>
      </c>
      <c r="V38" s="38" t="n">
        <f aca="false">U38-T38</f>
        <v>1238</v>
      </c>
      <c r="W38" s="37" t="n">
        <f aca="false">IFERROR(T38/T$58,0)</f>
        <v>0.235715844269194</v>
      </c>
      <c r="X38" s="37" t="n">
        <f aca="false">IFERROR(U38/U$58,0)</f>
        <v>0.196117759800316</v>
      </c>
      <c r="Y38" s="91" t="n">
        <f aca="false">X38-W38</f>
        <v>-0.0395980844688771</v>
      </c>
      <c r="Z38" s="35" t="n">
        <v>29997</v>
      </c>
      <c r="AA38" s="35" t="n">
        <v>14264</v>
      </c>
      <c r="AB38" s="35" t="n">
        <v>12724</v>
      </c>
      <c r="AC38" s="38" t="n">
        <f aca="false">AB38-AA38</f>
        <v>-1540</v>
      </c>
      <c r="AD38" s="37" t="n">
        <f aca="false">IFERROR(AA38/AA$58,0)</f>
        <v>0.200365219834246</v>
      </c>
      <c r="AE38" s="37" t="n">
        <f aca="false">IFERROR(AB38/AB$58,0)</f>
        <v>0.19962347034829</v>
      </c>
      <c r="AF38" s="91" t="n">
        <f aca="false">AE38-AD38</f>
        <v>-0.000741749485956456</v>
      </c>
      <c r="AG38" s="35" t="n">
        <f aca="false">G38+N38+U38+AB38</f>
        <v>76263</v>
      </c>
      <c r="AH38" s="37" t="n">
        <f aca="false">IFERROR(AG38/AG$58,0)</f>
        <v>0.241800783776586</v>
      </c>
      <c r="AI38" s="37" t="n">
        <f aca="false">①札幌予測確定!R29</f>
        <v>0.240274599542334</v>
      </c>
      <c r="AJ38" s="37" t="n">
        <f aca="false">③石川以降予測!H52</f>
        <v>0.219949034945312</v>
      </c>
      <c r="AK38" s="39" t="str">
        <f aca="false">IF(AJ38-AH38&gt;=0.005,"↑ 上方修正",IF(AJ38-AH38&lt;=-0.005,"↓ 下方修正","→ 据置"))</f>
        <v>↓ 下方修正</v>
      </c>
    </row>
    <row r="39" customFormat="false" ht="15" hidden="false" customHeight="false" outlineLevel="0" collapsed="false">
      <c r="A39" s="32" t="n">
        <v>24</v>
      </c>
      <c r="B39" s="32" t="s">
        <v>322</v>
      </c>
      <c r="C39" s="33" t="s">
        <v>323</v>
      </c>
      <c r="D39" s="34" t="n">
        <v>600</v>
      </c>
      <c r="E39" s="35" t="n">
        <v>15000</v>
      </c>
      <c r="F39" s="32" t="s">
        <v>518</v>
      </c>
      <c r="G39" s="35" t="n">
        <v>14981</v>
      </c>
      <c r="H39" s="32" t="s">
        <v>518</v>
      </c>
      <c r="I39" s="37" t="n">
        <f aca="false">IFERROR(E39/E$58,0)</f>
        <v>0.0710388724710162</v>
      </c>
      <c r="J39" s="37" t="n">
        <f aca="false">IFERROR(G39/G$58,0)</f>
        <v>0.101096602220198</v>
      </c>
      <c r="K39" s="91" t="n">
        <f aca="false">J39-I39</f>
        <v>0.0300577297491816</v>
      </c>
      <c r="L39" s="35" t="n">
        <v>11194</v>
      </c>
      <c r="M39" s="35" t="n">
        <v>7396</v>
      </c>
      <c r="N39" s="35" t="n">
        <v>8213</v>
      </c>
      <c r="O39" s="38" t="n">
        <f aca="false">N39-M39</f>
        <v>817</v>
      </c>
      <c r="P39" s="37" t="n">
        <f aca="false">IFERROR(M39/M$58,0)</f>
        <v>0.125190426216189</v>
      </c>
      <c r="Q39" s="37" t="n">
        <f aca="false">IFERROR(N39/N$58,0)</f>
        <v>0.140153583617747</v>
      </c>
      <c r="R39" s="91" t="n">
        <f aca="false">Q39-P39</f>
        <v>0.0149631574015587</v>
      </c>
      <c r="S39" s="35" t="n">
        <v>6999</v>
      </c>
      <c r="T39" s="35" t="n">
        <v>3846</v>
      </c>
      <c r="U39" s="35" t="n">
        <v>5195</v>
      </c>
      <c r="V39" s="38" t="n">
        <f aca="false">U39-T39</f>
        <v>1349</v>
      </c>
      <c r="W39" s="37" t="n">
        <f aca="false">IFERROR(T39/T$58,0)</f>
        <v>0.119884043514853</v>
      </c>
      <c r="X39" s="37" t="n">
        <f aca="false">IFERROR(U39/U$58,0)</f>
        <v>0.115776336609391</v>
      </c>
      <c r="Y39" s="91" t="n">
        <f aca="false">X39-W39</f>
        <v>-0.00410770690546167</v>
      </c>
      <c r="Z39" s="35" t="n">
        <v>19998</v>
      </c>
      <c r="AA39" s="35" t="n">
        <v>7424</v>
      </c>
      <c r="AB39" s="35" t="n">
        <v>6978</v>
      </c>
      <c r="AC39" s="38" t="n">
        <f aca="false">AB39-AA39</f>
        <v>-446</v>
      </c>
      <c r="AD39" s="37" t="n">
        <f aca="false">IFERROR(AA39/AA$58,0)</f>
        <v>0.104284309594044</v>
      </c>
      <c r="AE39" s="37" t="n">
        <f aca="false">IFERROR(AB39/AB$58,0)</f>
        <v>0.109475996234703</v>
      </c>
      <c r="AF39" s="91" t="n">
        <f aca="false">AE39-AD39</f>
        <v>0.00519168664065937</v>
      </c>
      <c r="AG39" s="35" t="n">
        <f aca="false">G39+N39+U39+AB39</f>
        <v>35367</v>
      </c>
      <c r="AH39" s="37" t="n">
        <f aca="false">IFERROR(AG39/AG$58,0)</f>
        <v>0.112135220484724</v>
      </c>
      <c r="AI39" s="37" t="n">
        <f aca="false">①札幌予測確定!R30</f>
        <v>0.138787185354691</v>
      </c>
      <c r="AJ39" s="37" t="n">
        <f aca="false">③石川以降予測!H53</f>
        <v>0.124131590794697</v>
      </c>
      <c r="AK39" s="39" t="str">
        <f aca="false">IF(AJ39-AH39&gt;=0.005,"↑ 上方修正",IF(AJ39-AH39&lt;=-0.005,"↓ 下方修正","→ 据置"))</f>
        <v>↑ 上方修正</v>
      </c>
    </row>
    <row r="40" customFormat="false" ht="15" hidden="false" customHeight="false" outlineLevel="0" collapsed="false">
      <c r="A40" s="32" t="n">
        <v>25</v>
      </c>
      <c r="B40" s="32" t="s">
        <v>324</v>
      </c>
      <c r="C40" s="33" t="s">
        <v>325</v>
      </c>
      <c r="D40" s="34" t="n">
        <v>1500</v>
      </c>
      <c r="E40" s="35" t="n">
        <v>1000</v>
      </c>
      <c r="F40" s="32" t="s">
        <v>518</v>
      </c>
      <c r="G40" s="35" t="n">
        <v>849</v>
      </c>
      <c r="H40" s="32" t="s">
        <v>518</v>
      </c>
      <c r="I40" s="37" t="n">
        <f aca="false">IFERROR(E40/E$58,0)</f>
        <v>0.00473592483140108</v>
      </c>
      <c r="J40" s="37" t="n">
        <f aca="false">IFERROR(G40/G$58,0)</f>
        <v>0.00572932483044843</v>
      </c>
      <c r="K40" s="91" t="n">
        <f aca="false">J40-I40</f>
        <v>0.00099339999904735</v>
      </c>
      <c r="L40" s="35" t="n">
        <v>340</v>
      </c>
      <c r="M40" s="35" t="n">
        <v>231</v>
      </c>
      <c r="N40" s="35" t="n">
        <v>221</v>
      </c>
      <c r="O40" s="38" t="n">
        <f aca="false">N40-M40</f>
        <v>-10</v>
      </c>
      <c r="P40" s="37" t="n">
        <f aca="false">IFERROR(M40/M$58,0)</f>
        <v>0.00391008497240936</v>
      </c>
      <c r="Q40" s="37" t="n">
        <f aca="false">IFERROR(N40/N$58,0)</f>
        <v>0.00377133105802048</v>
      </c>
      <c r="R40" s="91" t="n">
        <f aca="false">Q40-P40</f>
        <v>-0.000138753914388879</v>
      </c>
      <c r="S40" s="35" t="n">
        <v>170</v>
      </c>
      <c r="T40" s="35" t="n">
        <v>189</v>
      </c>
      <c r="U40" s="35" t="n">
        <v>168</v>
      </c>
      <c r="V40" s="38" t="n">
        <f aca="false">U40-T40</f>
        <v>-21</v>
      </c>
      <c r="W40" s="37" t="n">
        <f aca="false">IFERROR(T40/T$58,0)</f>
        <v>0.00589133755182195</v>
      </c>
      <c r="X40" s="37" t="n">
        <f aca="false">IFERROR(U40/U$58,0)</f>
        <v>0.00374406632346059</v>
      </c>
      <c r="Y40" s="91" t="n">
        <f aca="false">X40-W40</f>
        <v>-0.00214727122836136</v>
      </c>
      <c r="Z40" s="35" t="n">
        <v>500</v>
      </c>
      <c r="AA40" s="35" t="n">
        <v>260</v>
      </c>
      <c r="AB40" s="35" t="n">
        <v>243</v>
      </c>
      <c r="AC40" s="38" t="n">
        <f aca="false">AB40-AA40</f>
        <v>-17</v>
      </c>
      <c r="AD40" s="37" t="n">
        <f aca="false">IFERROR(AA40/AA$58,0)</f>
        <v>0.00365219834246383</v>
      </c>
      <c r="AE40" s="37" t="n">
        <f aca="false">IFERROR(AB40/AB$58,0)</f>
        <v>0.00381236272356448</v>
      </c>
      <c r="AF40" s="91" t="n">
        <f aca="false">AE40-AD40</f>
        <v>0.000160164381100651</v>
      </c>
      <c r="AG40" s="35" t="n">
        <f aca="false">G40+N40+U40+AB40</f>
        <v>1481</v>
      </c>
      <c r="AH40" s="37" t="n">
        <f aca="false">IFERROR(AG40/AG$58,0)</f>
        <v>0.00469568415579145</v>
      </c>
      <c r="AI40" s="37" t="n">
        <f aca="false">①札幌予測確定!R31</f>
        <v>0.00617848970251716</v>
      </c>
      <c r="AJ40" s="37" t="n">
        <f aca="false">③石川以降予測!H54</f>
        <v>0.00499542621304082</v>
      </c>
      <c r="AK40" s="39" t="str">
        <f aca="false">IF(AJ40-AH40&gt;=0.005,"↑ 上方修正",IF(AJ40-AH40&lt;=-0.005,"↓ 下方修正","→ 据置"))</f>
        <v>→ 据置</v>
      </c>
    </row>
    <row r="41" customFormat="false" ht="15" hidden="false" customHeight="false" outlineLevel="0" collapsed="false">
      <c r="A41" s="32" t="n">
        <v>26</v>
      </c>
      <c r="B41" s="32" t="s">
        <v>326</v>
      </c>
      <c r="C41" s="33" t="s">
        <v>327</v>
      </c>
      <c r="D41" s="34" t="n">
        <v>2200</v>
      </c>
      <c r="E41" s="35" t="n">
        <v>1293</v>
      </c>
      <c r="F41" s="32" t="s">
        <v>518</v>
      </c>
      <c r="G41" s="35" t="n">
        <v>1283</v>
      </c>
      <c r="H41" s="32" t="s">
        <v>518</v>
      </c>
      <c r="I41" s="37" t="n">
        <f aca="false">IFERROR(E41/E$58,0)</f>
        <v>0.00612355080700159</v>
      </c>
      <c r="J41" s="37" t="n">
        <f aca="false">IFERROR(G41/G$58,0)</f>
        <v>0.00865809629854574</v>
      </c>
      <c r="K41" s="91" t="n">
        <f aca="false">J41-I41</f>
        <v>0.00253454549154415</v>
      </c>
      <c r="L41" s="35" t="n">
        <v>515</v>
      </c>
      <c r="M41" s="35" t="n">
        <v>499</v>
      </c>
      <c r="N41" s="35" t="n">
        <v>513</v>
      </c>
      <c r="O41" s="38" t="n">
        <f aca="false">N41-M41</f>
        <v>14</v>
      </c>
      <c r="P41" s="37" t="n">
        <f aca="false">IFERROR(M41/M$58,0)</f>
        <v>0.0084464606113951</v>
      </c>
      <c r="Q41" s="37" t="n">
        <f aca="false">IFERROR(N41/N$58,0)</f>
        <v>0.0087542662116041</v>
      </c>
      <c r="R41" s="91" t="n">
        <f aca="false">Q41-P41</f>
        <v>0.000307805600208991</v>
      </c>
      <c r="S41" s="35" t="n">
        <v>500</v>
      </c>
      <c r="T41" s="35" t="n">
        <v>282</v>
      </c>
      <c r="U41" s="35" t="n">
        <v>444</v>
      </c>
      <c r="V41" s="38" t="n">
        <f aca="false">U41-T41</f>
        <v>162</v>
      </c>
      <c r="W41" s="37" t="n">
        <f aca="false">IFERROR(T41/T$58,0)</f>
        <v>0.00879024968049624</v>
      </c>
      <c r="X41" s="37" t="n">
        <f aca="false">IFERROR(U41/U$58,0)</f>
        <v>0.0098950324262887</v>
      </c>
      <c r="Y41" s="91" t="n">
        <f aca="false">X41-W41</f>
        <v>0.00110478274579245</v>
      </c>
      <c r="Z41" s="35" t="n">
        <v>900</v>
      </c>
      <c r="AA41" s="35" t="n">
        <v>718</v>
      </c>
      <c r="AB41" s="35" t="n">
        <v>842</v>
      </c>
      <c r="AC41" s="38" t="n">
        <f aca="false">AB41-AA41</f>
        <v>124</v>
      </c>
      <c r="AD41" s="37" t="n">
        <f aca="false">IFERROR(AA41/AA$58,0)</f>
        <v>0.0100856861918809</v>
      </c>
      <c r="AE41" s="37" t="n">
        <f aca="false">IFERROR(AB41/AB$58,0)</f>
        <v>0.0132099152808284</v>
      </c>
      <c r="AF41" s="91" t="n">
        <f aca="false">AE41-AD41</f>
        <v>0.00312422908894748</v>
      </c>
      <c r="AG41" s="35" t="n">
        <f aca="false">G41+N41+U41+AB41</f>
        <v>3082</v>
      </c>
      <c r="AH41" s="37" t="n">
        <f aca="false">IFERROR(AG41/AG$58,0)</f>
        <v>0.00977184238227498</v>
      </c>
      <c r="AI41" s="37" t="n">
        <f aca="false">①札幌予測確定!R32</f>
        <v>0.0178489702517162</v>
      </c>
      <c r="AJ41" s="37" t="n">
        <f aca="false">③石川以降予測!H55</f>
        <v>0.0155294427662723</v>
      </c>
      <c r="AK41" s="39" t="str">
        <f aca="false">IF(AJ41-AH41&gt;=0.005,"↑ 上方修正",IF(AJ41-AH41&lt;=-0.005,"↓ 下方修正","→ 据置"))</f>
        <v>↑ 上方修正</v>
      </c>
    </row>
    <row r="42" customFormat="false" ht="15" hidden="false" customHeight="false" outlineLevel="0" collapsed="false">
      <c r="A42" s="32" t="n">
        <v>27</v>
      </c>
      <c r="B42" s="32" t="s">
        <v>328</v>
      </c>
      <c r="C42" s="33" t="s">
        <v>329</v>
      </c>
      <c r="D42" s="34" t="n">
        <v>1100</v>
      </c>
      <c r="E42" s="35" t="n">
        <v>795</v>
      </c>
      <c r="F42" s="32" t="s">
        <v>518</v>
      </c>
      <c r="G42" s="35" t="n">
        <v>466</v>
      </c>
      <c r="H42" s="32" t="s">
        <v>518</v>
      </c>
      <c r="I42" s="37" t="n">
        <f aca="false">IFERROR(E42/E$58,0)</f>
        <v>0.00376506024096386</v>
      </c>
      <c r="J42" s="37" t="n">
        <f aca="false">IFERROR(G42/G$58,0)</f>
        <v>0.00314471775145932</v>
      </c>
      <c r="K42" s="91" t="n">
        <f aca="false">J42-I42</f>
        <v>-0.000620342489504531</v>
      </c>
      <c r="L42" s="35" t="n">
        <v>185</v>
      </c>
      <c r="M42" s="35" t="n">
        <v>95</v>
      </c>
      <c r="N42" s="35" t="n">
        <v>103</v>
      </c>
      <c r="O42" s="38" t="n">
        <f aca="false">N42-M42</f>
        <v>8</v>
      </c>
      <c r="P42" s="37" t="n">
        <f aca="false">IFERROR(M42/M$58,0)</f>
        <v>0.00160804360337181</v>
      </c>
      <c r="Q42" s="37" t="n">
        <f aca="false">IFERROR(N42/N$58,0)</f>
        <v>0.00175767918088737</v>
      </c>
      <c r="R42" s="91" t="n">
        <f aca="false">Q42-P42</f>
        <v>0.000149635577515558</v>
      </c>
      <c r="S42" s="35" t="n">
        <v>70</v>
      </c>
      <c r="T42" s="35" t="n">
        <v>93</v>
      </c>
      <c r="U42" s="35" t="n">
        <v>69</v>
      </c>
      <c r="V42" s="38" t="n">
        <f aca="false">U42-T42</f>
        <v>-24</v>
      </c>
      <c r="W42" s="37" t="n">
        <f aca="false">IFERROR(T42/T$58,0)</f>
        <v>0.00289891212867429</v>
      </c>
      <c r="X42" s="37" t="n">
        <f aca="false">IFERROR(U42/U$58,0)</f>
        <v>0.00153774152570703</v>
      </c>
      <c r="Y42" s="91" t="n">
        <f aca="false">X42-W42</f>
        <v>-0.00136117060296727</v>
      </c>
      <c r="Z42" s="35" t="n">
        <v>300</v>
      </c>
      <c r="AA42" s="35" t="n">
        <v>165</v>
      </c>
      <c r="AB42" s="35" t="n">
        <v>145</v>
      </c>
      <c r="AC42" s="38" t="n">
        <f aca="false">AB42-AA42</f>
        <v>-20</v>
      </c>
      <c r="AD42" s="37" t="n">
        <f aca="false">IFERROR(AA42/AA$58,0)</f>
        <v>0.00231774125579435</v>
      </c>
      <c r="AE42" s="37" t="n">
        <f aca="false">IFERROR(AB42/AB$58,0)</f>
        <v>0.00227486664574835</v>
      </c>
      <c r="AF42" s="91" t="n">
        <f aca="false">AE42-AD42</f>
        <v>-4.28746100460003E-005</v>
      </c>
      <c r="AG42" s="35" t="n">
        <f aca="false">G42+N42+U42+AB42</f>
        <v>783</v>
      </c>
      <c r="AH42" s="37" t="n">
        <f aca="false">IFERROR(AG42/AG$58,0)</f>
        <v>0.00248259331126584</v>
      </c>
      <c r="AI42" s="37" t="n">
        <f aca="false">①札幌予測確定!R33</f>
        <v>0.0045766590389016</v>
      </c>
      <c r="AJ42" s="37" t="n">
        <f aca="false">③石川以降予測!H56</f>
        <v>0.00342576284232498</v>
      </c>
      <c r="AK42" s="39" t="str">
        <f aca="false">IF(AJ42-AH42&gt;=0.005,"↑ 上方修正",IF(AJ42-AH42&lt;=-0.005,"↓ 下方修正","→ 据置"))</f>
        <v>→ 据置</v>
      </c>
    </row>
    <row r="43" customFormat="false" ht="15" hidden="false" customHeight="false" outlineLevel="0" collapsed="false">
      <c r="A43" s="32" t="n">
        <v>28</v>
      </c>
      <c r="B43" s="32" t="s">
        <v>330</v>
      </c>
      <c r="C43" s="33" t="s">
        <v>331</v>
      </c>
      <c r="D43" s="34" t="n">
        <v>1800</v>
      </c>
      <c r="E43" s="35" t="n">
        <v>1047</v>
      </c>
      <c r="F43" s="32" t="s">
        <v>518</v>
      </c>
      <c r="G43" s="35" t="n">
        <v>1034</v>
      </c>
      <c r="H43" s="32" t="s">
        <v>518</v>
      </c>
      <c r="I43" s="37" t="n">
        <f aca="false">IFERROR(E43/E$58,0)</f>
        <v>0.00495851329847693</v>
      </c>
      <c r="J43" s="37" t="n">
        <f aca="false">IFERROR(G43/G$58,0)</f>
        <v>0.00697776428113507</v>
      </c>
      <c r="K43" s="91" t="n">
        <f aca="false">J43-I43</f>
        <v>0.00201925098265814</v>
      </c>
      <c r="L43" s="35" t="n">
        <v>437</v>
      </c>
      <c r="M43" s="35" t="n">
        <v>507</v>
      </c>
      <c r="N43" s="35" t="n">
        <v>436</v>
      </c>
      <c r="O43" s="38" t="n">
        <f aca="false">N43-M43</f>
        <v>-71</v>
      </c>
      <c r="P43" s="37" t="n">
        <f aca="false">IFERROR(M43/M$58,0)</f>
        <v>0.00858187480957378</v>
      </c>
      <c r="Q43" s="37" t="n">
        <f aca="false">IFERROR(N43/N$58,0)</f>
        <v>0.00744027303754266</v>
      </c>
      <c r="R43" s="91" t="n">
        <f aca="false">Q43-P43</f>
        <v>-0.00114160177203112</v>
      </c>
      <c r="S43" s="35" t="n">
        <v>333</v>
      </c>
      <c r="T43" s="35" t="n">
        <v>338</v>
      </c>
      <c r="U43" s="35" t="n">
        <v>333</v>
      </c>
      <c r="V43" s="38" t="n">
        <f aca="false">U43-T43</f>
        <v>-5</v>
      </c>
      <c r="W43" s="37" t="n">
        <f aca="false">IFERROR(T43/T$58,0)</f>
        <v>0.0105358311773324</v>
      </c>
      <c r="X43" s="37" t="n">
        <f aca="false">IFERROR(U43/U$58,0)</f>
        <v>0.00742127431971652</v>
      </c>
      <c r="Y43" s="91" t="n">
        <f aca="false">X43-W43</f>
        <v>-0.00311455685761586</v>
      </c>
      <c r="Z43" s="35" t="n">
        <v>400</v>
      </c>
      <c r="AA43" s="35" t="n">
        <v>460</v>
      </c>
      <c r="AB43" s="35" t="n">
        <v>400</v>
      </c>
      <c r="AC43" s="38" t="n">
        <f aca="false">AB43-AA43</f>
        <v>-60</v>
      </c>
      <c r="AD43" s="37" t="n">
        <f aca="false">IFERROR(AA43/AA$58,0)</f>
        <v>0.00646158168282062</v>
      </c>
      <c r="AE43" s="37" t="n">
        <f aca="false">IFERROR(AB43/AB$58,0)</f>
        <v>0.00627549419516787</v>
      </c>
      <c r="AF43" s="91" t="n">
        <f aca="false">AE43-AD43</f>
        <v>-0.000186087487652751</v>
      </c>
      <c r="AG43" s="35" t="n">
        <f aca="false">G43+N43+U43+AB43</f>
        <v>2203</v>
      </c>
      <c r="AH43" s="37" t="n">
        <f aca="false">IFERROR(AG43/AG$58,0)</f>
        <v>0.00698486981445548</v>
      </c>
      <c r="AI43" s="37" t="n">
        <f aca="false">①札幌予測確定!R34</f>
        <v>0.0247139588100687</v>
      </c>
      <c r="AJ43" s="37" t="n">
        <f aca="false">③石川以降予測!H57</f>
        <v>0.0154947265026183</v>
      </c>
      <c r="AK43" s="39" t="str">
        <f aca="false">IF(AJ43-AH43&gt;=0.005,"↑ 上方修正",IF(AJ43-AH43&lt;=-0.005,"↓ 下方修正","→ 据置"))</f>
        <v>↑ 上方修正</v>
      </c>
    </row>
    <row r="44" customFormat="false" ht="15" hidden="false" customHeight="false" outlineLevel="0" collapsed="false">
      <c r="A44" s="32" t="n">
        <v>29</v>
      </c>
      <c r="B44" s="32" t="s">
        <v>332</v>
      </c>
      <c r="C44" s="33" t="s">
        <v>333</v>
      </c>
      <c r="D44" s="34" t="n">
        <v>1500</v>
      </c>
      <c r="E44" s="35" t="n">
        <v>795</v>
      </c>
      <c r="F44" s="32" t="s">
        <v>518</v>
      </c>
      <c r="G44" s="35" t="n">
        <v>794</v>
      </c>
      <c r="H44" s="32" t="s">
        <v>518</v>
      </c>
      <c r="I44" s="37" t="n">
        <f aca="false">IFERROR(E44/E$58,0)</f>
        <v>0.00376506024096386</v>
      </c>
      <c r="J44" s="37" t="n">
        <f aca="false">IFERROR(G44/G$58,0)</f>
        <v>0.00535816715591997</v>
      </c>
      <c r="K44" s="91" t="n">
        <f aca="false">J44-I44</f>
        <v>0.00159310691495611</v>
      </c>
      <c r="L44" s="35" t="n">
        <v>319</v>
      </c>
      <c r="M44" s="35" t="n">
        <v>339</v>
      </c>
      <c r="N44" s="35" t="n">
        <v>318</v>
      </c>
      <c r="O44" s="38" t="n">
        <f aca="false">N44-M44</f>
        <v>-21</v>
      </c>
      <c r="P44" s="37" t="n">
        <f aca="false">IFERROR(M44/M$58,0)</f>
        <v>0.00573817664782152</v>
      </c>
      <c r="Q44" s="37" t="n">
        <f aca="false">IFERROR(N44/N$58,0)</f>
        <v>0.00542662116040956</v>
      </c>
      <c r="R44" s="91" t="n">
        <f aca="false">Q44-P44</f>
        <v>-0.000311555487411967</v>
      </c>
      <c r="S44" s="35" t="n">
        <v>250</v>
      </c>
      <c r="T44" s="35" t="n">
        <v>197</v>
      </c>
      <c r="U44" s="35" t="n">
        <v>249</v>
      </c>
      <c r="V44" s="38" t="n">
        <f aca="false">U44-T44</f>
        <v>52</v>
      </c>
      <c r="W44" s="37" t="n">
        <f aca="false">IFERROR(T44/T$58,0)</f>
        <v>0.00614070633708426</v>
      </c>
      <c r="X44" s="37" t="n">
        <f aca="false">IFERROR(U44/U$58,0)</f>
        <v>0.00554924115798623</v>
      </c>
      <c r="Y44" s="91" t="n">
        <f aca="false">X44-W44</f>
        <v>-0.000591465179098028</v>
      </c>
      <c r="Z44" s="35" t="n">
        <v>200</v>
      </c>
      <c r="AA44" s="35" t="n">
        <v>284</v>
      </c>
      <c r="AB44" s="35" t="n">
        <v>200</v>
      </c>
      <c r="AC44" s="38" t="n">
        <f aca="false">AB44-AA44</f>
        <v>-84</v>
      </c>
      <c r="AD44" s="37" t="n">
        <f aca="false">IFERROR(AA44/AA$58,0)</f>
        <v>0.00398932434330664</v>
      </c>
      <c r="AE44" s="37" t="n">
        <f aca="false">IFERROR(AB44/AB$58,0)</f>
        <v>0.00313774709758393</v>
      </c>
      <c r="AF44" s="91" t="n">
        <f aca="false">AE44-AD44</f>
        <v>-0.00085157724572271</v>
      </c>
      <c r="AG44" s="35" t="n">
        <f aca="false">G44+N44+U44+AB44</f>
        <v>1561</v>
      </c>
      <c r="AH44" s="37" t="n">
        <f aca="false">IFERROR(AG44/AG$58,0)</f>
        <v>0.00494933353625284</v>
      </c>
      <c r="AI44" s="37" t="n">
        <f aca="false">①札幌予測確定!R35</f>
        <v>0.0122425629290618</v>
      </c>
      <c r="AJ44" s="37" t="n">
        <f aca="false">③石川以降予測!H58</f>
        <v>0.00769015501332286</v>
      </c>
      <c r="AK44" s="39" t="str">
        <f aca="false">IF(AJ44-AH44&gt;=0.005,"↑ 上方修正",IF(AJ44-AH44&lt;=-0.005,"↓ 下方修正","→ 据置"))</f>
        <v>→ 据置</v>
      </c>
    </row>
    <row r="45" customFormat="false" ht="15" hidden="false" customHeight="false" outlineLevel="0" collapsed="false">
      <c r="A45" s="32" t="n">
        <v>30</v>
      </c>
      <c r="B45" s="32" t="s">
        <v>334</v>
      </c>
      <c r="C45" s="33" t="s">
        <v>335</v>
      </c>
      <c r="D45" s="34" t="n">
        <v>3300</v>
      </c>
      <c r="E45" s="35" t="n">
        <v>794</v>
      </c>
      <c r="F45" s="32" t="s">
        <v>518</v>
      </c>
      <c r="G45" s="35" t="n">
        <v>615</v>
      </c>
      <c r="H45" s="32" t="s">
        <v>518</v>
      </c>
      <c r="I45" s="37" t="n">
        <f aca="false">IFERROR(E45/E$58,0)</f>
        <v>0.00376032431613245</v>
      </c>
      <c r="J45" s="37" t="n">
        <f aca="false">IFERROR(G45/G$58,0)</f>
        <v>0.0041502176333637</v>
      </c>
      <c r="K45" s="91" t="n">
        <f aca="false">J45-I45</f>
        <v>0.000389893317231247</v>
      </c>
      <c r="L45" s="35" t="n">
        <v>250</v>
      </c>
      <c r="M45" s="35" t="n">
        <v>176</v>
      </c>
      <c r="N45" s="35" t="n">
        <v>169</v>
      </c>
      <c r="O45" s="38" t="n">
        <f aca="false">N45-M45</f>
        <v>-7</v>
      </c>
      <c r="P45" s="37" t="n">
        <f aca="false">IFERROR(M45/M$58,0)</f>
        <v>0.00297911235993094</v>
      </c>
      <c r="Q45" s="37" t="n">
        <f aca="false">IFERROR(N45/N$58,0)</f>
        <v>0.0028839590443686</v>
      </c>
      <c r="R45" s="91" t="n">
        <f aca="false">Q45-P45</f>
        <v>-9.51533155623381E-005</v>
      </c>
      <c r="S45" s="35" t="n">
        <v>90</v>
      </c>
      <c r="T45" s="35" t="n">
        <v>68</v>
      </c>
      <c r="U45" s="35" t="n">
        <v>89</v>
      </c>
      <c r="V45" s="38" t="n">
        <f aca="false">U45-T45</f>
        <v>21</v>
      </c>
      <c r="W45" s="37" t="n">
        <f aca="false">IFERROR(T45/T$58,0)</f>
        <v>0.00211963467472959</v>
      </c>
      <c r="X45" s="37" t="n">
        <f aca="false">IFERROR(U45/U$58,0)</f>
        <v>0.00198346370707138</v>
      </c>
      <c r="Y45" s="91" t="n">
        <f aca="false">X45-W45</f>
        <v>-0.000136170967658208</v>
      </c>
      <c r="Z45" s="35" t="n">
        <v>499</v>
      </c>
      <c r="AA45" s="35" t="n">
        <v>208</v>
      </c>
      <c r="AB45" s="35" t="n">
        <v>205</v>
      </c>
      <c r="AC45" s="38" t="n">
        <f aca="false">AB45-AA45</f>
        <v>-3</v>
      </c>
      <c r="AD45" s="37" t="n">
        <f aca="false">IFERROR(AA45/AA$58,0)</f>
        <v>0.00292175867397106</v>
      </c>
      <c r="AE45" s="37" t="n">
        <f aca="false">IFERROR(AB45/AB$58,0)</f>
        <v>0.00321619077502353</v>
      </c>
      <c r="AF45" s="91" t="n">
        <f aca="false">AE45-AD45</f>
        <v>0.00029443210105247</v>
      </c>
      <c r="AG45" s="35" t="n">
        <f aca="false">G45+N45+U45+AB45</f>
        <v>1078</v>
      </c>
      <c r="AH45" s="37" t="n">
        <f aca="false">IFERROR(AG45/AG$58,0)</f>
        <v>0.00341792540171721</v>
      </c>
      <c r="AI45" s="37" t="n">
        <f aca="false">①札幌予測確定!R36</f>
        <v>0.00720823798627002</v>
      </c>
      <c r="AJ45" s="37" t="n">
        <f aca="false">③石川以降予測!H59</f>
        <v>0.00521221438064678</v>
      </c>
      <c r="AK45" s="39" t="str">
        <f aca="false">IF(AJ45-AH45&gt;=0.005,"↑ 上方修正",IF(AJ45-AH45&lt;=-0.005,"↓ 下方修正","→ 据置"))</f>
        <v>→ 据置</v>
      </c>
    </row>
    <row r="46" customFormat="false" ht="15" hidden="false" customHeight="false" outlineLevel="0" collapsed="false">
      <c r="A46" s="32" t="n">
        <v>31</v>
      </c>
      <c r="B46" s="32" t="s">
        <v>336</v>
      </c>
      <c r="C46" s="33" t="s">
        <v>337</v>
      </c>
      <c r="D46" s="34" t="n">
        <v>1300</v>
      </c>
      <c r="E46" s="35" t="n">
        <v>2495</v>
      </c>
      <c r="F46" s="32" t="s">
        <v>518</v>
      </c>
      <c r="G46" s="35" t="n">
        <v>1215</v>
      </c>
      <c r="H46" s="32" t="s">
        <v>518</v>
      </c>
      <c r="I46" s="37" t="n">
        <f aca="false">IFERROR(E46/E$58,0)</f>
        <v>0.0118161324543457</v>
      </c>
      <c r="J46" s="37" t="n">
        <f aca="false">IFERROR(G46/G$58,0)</f>
        <v>0.00819921044640146</v>
      </c>
      <c r="K46" s="91" t="n">
        <f aca="false">J46-I46</f>
        <v>-0.00361692200794423</v>
      </c>
      <c r="L46" s="35" t="n">
        <v>485</v>
      </c>
      <c r="M46" s="35" t="n">
        <v>223</v>
      </c>
      <c r="N46" s="35" t="n">
        <v>235</v>
      </c>
      <c r="O46" s="38" t="n">
        <f aca="false">N46-M46</f>
        <v>12</v>
      </c>
      <c r="P46" s="37" t="n">
        <f aca="false">IFERROR(M46/M$58,0)</f>
        <v>0.00377467077423068</v>
      </c>
      <c r="Q46" s="37" t="n">
        <f aca="false">IFERROR(N46/N$58,0)</f>
        <v>0.00401023890784983</v>
      </c>
      <c r="R46" s="91" t="n">
        <f aca="false">Q46-P46</f>
        <v>0.000235568133619151</v>
      </c>
      <c r="S46" s="35" t="n">
        <v>180</v>
      </c>
      <c r="T46" s="35" t="n">
        <v>202</v>
      </c>
      <c r="U46" s="35" t="n">
        <v>178</v>
      </c>
      <c r="V46" s="38" t="n">
        <f aca="false">U46-T46</f>
        <v>-24</v>
      </c>
      <c r="W46" s="37" t="n">
        <f aca="false">IFERROR(T46/T$58,0)</f>
        <v>0.0062965618278732</v>
      </c>
      <c r="X46" s="37" t="n">
        <f aca="false">IFERROR(U46/U$58,0)</f>
        <v>0.00396692741414277</v>
      </c>
      <c r="Y46" s="91" t="n">
        <f aca="false">X46-W46</f>
        <v>-0.00232963441373043</v>
      </c>
      <c r="Z46" s="35" t="n">
        <v>600</v>
      </c>
      <c r="AA46" s="35" t="n">
        <v>405</v>
      </c>
      <c r="AB46" s="35" t="n">
        <v>427</v>
      </c>
      <c r="AC46" s="38" t="n">
        <f aca="false">AB46-AA46</f>
        <v>22</v>
      </c>
      <c r="AD46" s="37" t="n">
        <f aca="false">IFERROR(AA46/AA$58,0)</f>
        <v>0.0056890012642225</v>
      </c>
      <c r="AE46" s="37" t="n">
        <f aca="false">IFERROR(AB46/AB$58,0)</f>
        <v>0.0066990900533417</v>
      </c>
      <c r="AF46" s="91" t="n">
        <f aca="false">AE46-AD46</f>
        <v>0.0010100887891192</v>
      </c>
      <c r="AG46" s="35" t="n">
        <f aca="false">G46+N46+U46+AB46</f>
        <v>2055</v>
      </c>
      <c r="AH46" s="37" t="n">
        <f aca="false">IFERROR(AG46/AG$58,0)</f>
        <v>0.00651561846060191</v>
      </c>
      <c r="AI46" s="37" t="n">
        <f aca="false">①札幌予測確定!R37</f>
        <v>0.00995423340961098</v>
      </c>
      <c r="AJ46" s="37" t="n">
        <f aca="false">③石川以降予測!H60</f>
        <v>0.00832666173147634</v>
      </c>
      <c r="AK46" s="39" t="str">
        <f aca="false">IF(AJ46-AH46&gt;=0.005,"↑ 上方修正",IF(AJ46-AH46&lt;=-0.005,"↓ 下方修正","→ 据置"))</f>
        <v>→ 据置</v>
      </c>
    </row>
    <row r="47" customFormat="false" ht="15" hidden="false" customHeight="false" outlineLevel="0" collapsed="false">
      <c r="A47" s="32" t="n">
        <v>32</v>
      </c>
      <c r="B47" s="32" t="s">
        <v>338</v>
      </c>
      <c r="C47" s="33" t="s">
        <v>339</v>
      </c>
      <c r="D47" s="34" t="n">
        <v>8800</v>
      </c>
      <c r="E47" s="35" t="n">
        <v>47</v>
      </c>
      <c r="F47" s="32" t="s">
        <v>518</v>
      </c>
      <c r="G47" s="35" t="n">
        <v>47</v>
      </c>
      <c r="H47" s="32" t="s">
        <v>518</v>
      </c>
      <c r="I47" s="37" t="n">
        <f aca="false">IFERROR(E47/E$58,0)</f>
        <v>0.000222588467075851</v>
      </c>
      <c r="J47" s="37" t="n">
        <f aca="false">IFERROR(G47/G$58,0)</f>
        <v>0.000317171103687958</v>
      </c>
      <c r="K47" s="91" t="n">
        <f aca="false">J47-I47</f>
        <v>9.45826366121071E-005</v>
      </c>
      <c r="L47" s="35" t="n">
        <v>36</v>
      </c>
      <c r="M47" s="35" t="n">
        <v>36</v>
      </c>
      <c r="N47" s="35" t="n">
        <v>36</v>
      </c>
      <c r="O47" s="38" t="n">
        <f aca="false">N47-M47</f>
        <v>0</v>
      </c>
      <c r="P47" s="37" t="n">
        <f aca="false">IFERROR(M47/M$58,0)</f>
        <v>0.000609363891804056</v>
      </c>
      <c r="Q47" s="37" t="n">
        <f aca="false">IFERROR(N47/N$58,0)</f>
        <v>0.000614334470989761</v>
      </c>
      <c r="R47" s="91" t="n">
        <f aca="false">Q47-P47</f>
        <v>4.97057918570545E-006</v>
      </c>
      <c r="S47" s="35" t="n">
        <v>29</v>
      </c>
      <c r="T47" s="35" t="n">
        <v>40</v>
      </c>
      <c r="U47" s="35" t="n">
        <v>30</v>
      </c>
      <c r="V47" s="38" t="n">
        <f aca="false">U47-T47</f>
        <v>-10</v>
      </c>
      <c r="W47" s="37" t="n">
        <f aca="false">IFERROR(T47/T$58,0)</f>
        <v>0.00124684392631152</v>
      </c>
      <c r="X47" s="37" t="n">
        <f aca="false">IFERROR(U47/U$58,0)</f>
        <v>0.000668583272046533</v>
      </c>
      <c r="Y47" s="91" t="n">
        <f aca="false">X47-W47</f>
        <v>-0.000578260654264991</v>
      </c>
      <c r="Z47" s="35" t="n">
        <v>40</v>
      </c>
      <c r="AA47" s="35" t="n">
        <v>41</v>
      </c>
      <c r="AB47" s="35" t="n">
        <v>40</v>
      </c>
      <c r="AC47" s="38" t="n">
        <f aca="false">AB47-AA47</f>
        <v>-1</v>
      </c>
      <c r="AD47" s="37" t="n">
        <f aca="false">IFERROR(AA47/AA$58,0)</f>
        <v>0.000575923584773142</v>
      </c>
      <c r="AE47" s="37" t="n">
        <f aca="false">IFERROR(AB47/AB$58,0)</f>
        <v>0.000627549419516787</v>
      </c>
      <c r="AF47" s="91" t="n">
        <f aca="false">AE47-AD47</f>
        <v>5.16258347436446E-005</v>
      </c>
      <c r="AG47" s="35" t="n">
        <f aca="false">G47+N47+U47+AB47</f>
        <v>153</v>
      </c>
      <c r="AH47" s="37" t="n">
        <f aca="false">IFERROR(AG47/AG$58,0)</f>
        <v>0.000485104440132405</v>
      </c>
      <c r="AI47" s="37" t="n">
        <f aca="false">①札幌予測確定!R38</f>
        <v>0.0011441647597254</v>
      </c>
      <c r="AJ47" s="37" t="n">
        <f aca="false">③石川以降予測!H61</f>
        <v>0.000885857089621094</v>
      </c>
      <c r="AK47" s="39" t="str">
        <f aca="false">IF(AJ47-AH47&gt;=0.005,"↑ 上方修正",IF(AJ47-AH47&lt;=-0.005,"↓ 下方修正","→ 据置"))</f>
        <v>→ 据置</v>
      </c>
    </row>
    <row r="48" customFormat="false" ht="15" hidden="false" customHeight="false" outlineLevel="0" collapsed="false">
      <c r="A48" s="32" t="n">
        <v>33</v>
      </c>
      <c r="B48" s="32" t="s">
        <v>340</v>
      </c>
      <c r="C48" s="33" t="s">
        <v>341</v>
      </c>
      <c r="D48" s="34" t="n">
        <v>27500</v>
      </c>
      <c r="E48" s="35" t="n">
        <v>10</v>
      </c>
      <c r="F48" s="32" t="s">
        <v>518</v>
      </c>
      <c r="G48" s="35" t="n">
        <v>10</v>
      </c>
      <c r="H48" s="32" t="s">
        <v>518</v>
      </c>
      <c r="I48" s="37" t="n">
        <f aca="false">IFERROR(E48/E$58,0)</f>
        <v>4.73592483140108E-005</v>
      </c>
      <c r="J48" s="37" t="n">
        <f aca="false">IFERROR(G48/G$58,0)</f>
        <v>6.74832135506293E-005</v>
      </c>
      <c r="K48" s="91" t="n">
        <f aca="false">J48-I48</f>
        <v>2.01239652366185E-005</v>
      </c>
      <c r="L48" s="35" t="n">
        <v>40</v>
      </c>
      <c r="M48" s="35" t="n">
        <v>31</v>
      </c>
      <c r="N48" s="35" t="n">
        <v>37</v>
      </c>
      <c r="O48" s="38" t="n">
        <f aca="false">N48-M48</f>
        <v>6</v>
      </c>
      <c r="P48" s="37" t="n">
        <f aca="false">IFERROR(M48/M$58,0)</f>
        <v>0.000524730017942381</v>
      </c>
      <c r="Q48" s="37" t="n">
        <f aca="false">IFERROR(N48/N$58,0)</f>
        <v>0.000631399317406143</v>
      </c>
      <c r="R48" s="91" t="n">
        <f aca="false">Q48-P48</f>
        <v>0.000106669299463762</v>
      </c>
      <c r="S48" s="35" t="n">
        <v>20</v>
      </c>
      <c r="T48" s="35" t="n">
        <v>12</v>
      </c>
      <c r="U48" s="35" t="n">
        <v>14</v>
      </c>
      <c r="V48" s="38" t="n">
        <f aca="false">U48-T48</f>
        <v>2</v>
      </c>
      <c r="W48" s="37" t="n">
        <f aca="false">IFERROR(T48/T$58,0)</f>
        <v>0.000374053177893457</v>
      </c>
      <c r="X48" s="37" t="n">
        <f aca="false">IFERROR(U48/U$58,0)</f>
        <v>0.000312005526955049</v>
      </c>
      <c r="Y48" s="91" t="n">
        <f aca="false">X48-W48</f>
        <v>-6.20476509384083E-005</v>
      </c>
      <c r="Z48" s="35" t="n">
        <v>50</v>
      </c>
      <c r="AA48" s="35" t="n">
        <v>19</v>
      </c>
      <c r="AB48" s="35" t="n">
        <v>21</v>
      </c>
      <c r="AC48" s="38" t="n">
        <f aca="false">AB48-AA48</f>
        <v>2</v>
      </c>
      <c r="AD48" s="37" t="n">
        <f aca="false">IFERROR(AA48/AA$58,0)</f>
        <v>0.000266891417333895</v>
      </c>
      <c r="AE48" s="37" t="n">
        <f aca="false">IFERROR(AB48/AB$58,0)</f>
        <v>0.000329463445246313</v>
      </c>
      <c r="AF48" s="91" t="n">
        <f aca="false">AE48-AD48</f>
        <v>6.25720279124179E-005</v>
      </c>
      <c r="AG48" s="35" t="n">
        <f aca="false">G48+N48+U48+AB48</f>
        <v>82</v>
      </c>
      <c r="AH48" s="37" t="n">
        <f aca="false">IFERROR(AG48/AG$58,0)</f>
        <v>0.000259990614972923</v>
      </c>
      <c r="AI48" s="37" t="n">
        <f aca="false">①札幌予測確定!R39</f>
        <v>0</v>
      </c>
      <c r="AJ48" s="37" t="n">
        <f aca="false">③石川以降予測!H62</f>
        <v>0.000164731722623157</v>
      </c>
      <c r="AK48" s="39" t="str">
        <f aca="false">IF(AJ48-AH48&gt;=0.005,"↑ 上方修正",IF(AJ48-AH48&lt;=-0.005,"↓ 下方修正","→ 据置"))</f>
        <v>→ 据置</v>
      </c>
    </row>
    <row r="49" customFormat="false" ht="15" hidden="false" customHeight="false" outlineLevel="0" collapsed="false">
      <c r="A49" s="32" t="n">
        <v>34</v>
      </c>
      <c r="B49" s="32" t="s">
        <v>342</v>
      </c>
      <c r="C49" s="33" t="s">
        <v>343</v>
      </c>
      <c r="D49" s="34" t="n">
        <v>27500</v>
      </c>
      <c r="E49" s="35" t="n">
        <v>10</v>
      </c>
      <c r="F49" s="32" t="s">
        <v>518</v>
      </c>
      <c r="G49" s="35" t="n">
        <v>10</v>
      </c>
      <c r="H49" s="32" t="s">
        <v>518</v>
      </c>
      <c r="I49" s="37" t="n">
        <f aca="false">IFERROR(E49/E$58,0)</f>
        <v>4.73592483140108E-005</v>
      </c>
      <c r="J49" s="37" t="n">
        <f aca="false">IFERROR(G49/G$58,0)</f>
        <v>6.74832135506293E-005</v>
      </c>
      <c r="K49" s="91" t="n">
        <f aca="false">J49-I49</f>
        <v>2.01239652366185E-005</v>
      </c>
      <c r="L49" s="35" t="n">
        <v>3</v>
      </c>
      <c r="M49" s="35" t="n">
        <v>3</v>
      </c>
      <c r="N49" s="35" t="n">
        <v>3</v>
      </c>
      <c r="O49" s="38" t="n">
        <f aca="false">N49-M49</f>
        <v>0</v>
      </c>
      <c r="P49" s="37" t="n">
        <f aca="false">IFERROR(M49/M$58,0)</f>
        <v>5.07803243170046E-005</v>
      </c>
      <c r="Q49" s="37" t="n">
        <f aca="false">IFERROR(N49/N$58,0)</f>
        <v>5.11945392491468E-005</v>
      </c>
      <c r="R49" s="91" t="n">
        <f aca="false">Q49-P49</f>
        <v>4.14214932142118E-007</v>
      </c>
      <c r="S49" s="35" t="n">
        <v>3</v>
      </c>
      <c r="T49" s="35" t="n">
        <v>4</v>
      </c>
      <c r="U49" s="35" t="n">
        <v>3</v>
      </c>
      <c r="V49" s="38" t="n">
        <f aca="false">U49-T49</f>
        <v>-1</v>
      </c>
      <c r="W49" s="37" t="n">
        <f aca="false">IFERROR(T49/T$58,0)</f>
        <v>0.000124684392631152</v>
      </c>
      <c r="X49" s="37" t="n">
        <f aca="false">IFERROR(U49/U$58,0)</f>
        <v>6.68583272046533E-005</v>
      </c>
      <c r="Y49" s="91" t="n">
        <f aca="false">X49-W49</f>
        <v>-5.78260654264991E-005</v>
      </c>
      <c r="Z49" s="35" t="n">
        <v>3</v>
      </c>
      <c r="AA49" s="35" t="n">
        <v>3</v>
      </c>
      <c r="AB49" s="35" t="n">
        <v>3</v>
      </c>
      <c r="AC49" s="38" t="n">
        <f aca="false">AB49-AA49</f>
        <v>0</v>
      </c>
      <c r="AD49" s="37" t="n">
        <f aca="false">IFERROR(AA49/AA$58,0)</f>
        <v>4.21407501053519E-005</v>
      </c>
      <c r="AE49" s="37" t="n">
        <f aca="false">IFERROR(AB49/AB$58,0)</f>
        <v>4.7066206463759E-005</v>
      </c>
      <c r="AF49" s="91" t="n">
        <f aca="false">AE49-AD49</f>
        <v>4.92545635840714E-006</v>
      </c>
      <c r="AG49" s="35" t="n">
        <f aca="false">G49+N49+U49+AB49</f>
        <v>19</v>
      </c>
      <c r="AH49" s="37" t="n">
        <f aca="false">IFERROR(AG49/AG$58,0)</f>
        <v>6.02417278595797E-005</v>
      </c>
      <c r="AI49" s="37" t="n">
        <f aca="false">①札幌予測確定!R40</f>
        <v>0.00011441647597254</v>
      </c>
      <c r="AJ49" s="37" t="n">
        <f aca="false">③石川以降予測!H63</f>
        <v>8.07413412181495E-005</v>
      </c>
      <c r="AK49" s="39" t="str">
        <f aca="false">IF(AJ49-AH49&gt;=0.005,"↑ 上方修正",IF(AJ49-AH49&lt;=-0.005,"↓ 下方修正","→ 据置"))</f>
        <v>→ 据置</v>
      </c>
    </row>
    <row r="50" customFormat="false" ht="15" hidden="false" customHeight="false" outlineLevel="0" collapsed="false">
      <c r="A50" s="32" t="n">
        <v>35</v>
      </c>
      <c r="B50" s="32" t="s">
        <v>344</v>
      </c>
      <c r="C50" s="33" t="s">
        <v>345</v>
      </c>
      <c r="D50" s="34" t="n">
        <v>27500</v>
      </c>
      <c r="E50" s="35" t="n">
        <v>10</v>
      </c>
      <c r="F50" s="32" t="s">
        <v>518</v>
      </c>
      <c r="G50" s="35" t="n">
        <v>10</v>
      </c>
      <c r="H50" s="32" t="s">
        <v>518</v>
      </c>
      <c r="I50" s="37" t="n">
        <f aca="false">IFERROR(E50/E$58,0)</f>
        <v>4.73592483140108E-005</v>
      </c>
      <c r="J50" s="37" t="n">
        <f aca="false">IFERROR(G50/G$58,0)</f>
        <v>6.74832135506293E-005</v>
      </c>
      <c r="K50" s="91" t="n">
        <f aca="false">J50-I50</f>
        <v>2.01239652366185E-005</v>
      </c>
      <c r="L50" s="35" t="n">
        <v>3</v>
      </c>
      <c r="M50" s="35" t="n">
        <v>3</v>
      </c>
      <c r="N50" s="35" t="n">
        <v>3</v>
      </c>
      <c r="O50" s="38" t="n">
        <f aca="false">N50-M50</f>
        <v>0</v>
      </c>
      <c r="P50" s="37" t="n">
        <f aca="false">IFERROR(M50/M$58,0)</f>
        <v>5.07803243170046E-005</v>
      </c>
      <c r="Q50" s="37" t="n">
        <f aca="false">IFERROR(N50/N$58,0)</f>
        <v>5.11945392491468E-005</v>
      </c>
      <c r="R50" s="91" t="n">
        <f aca="false">Q50-P50</f>
        <v>4.14214932142118E-007</v>
      </c>
      <c r="S50" s="35" t="n">
        <v>3</v>
      </c>
      <c r="T50" s="35" t="n">
        <v>4</v>
      </c>
      <c r="U50" s="35" t="n">
        <v>3</v>
      </c>
      <c r="V50" s="38" t="n">
        <f aca="false">U50-T50</f>
        <v>-1</v>
      </c>
      <c r="W50" s="37" t="n">
        <f aca="false">IFERROR(T50/T$58,0)</f>
        <v>0.000124684392631152</v>
      </c>
      <c r="X50" s="37" t="n">
        <f aca="false">IFERROR(U50/U$58,0)</f>
        <v>6.68583272046533E-005</v>
      </c>
      <c r="Y50" s="91" t="n">
        <f aca="false">X50-W50</f>
        <v>-5.78260654264991E-005</v>
      </c>
      <c r="Z50" s="35" t="n">
        <v>3</v>
      </c>
      <c r="AA50" s="35" t="n">
        <v>3</v>
      </c>
      <c r="AB50" s="35" t="n">
        <v>3</v>
      </c>
      <c r="AC50" s="38" t="n">
        <f aca="false">AB50-AA50</f>
        <v>0</v>
      </c>
      <c r="AD50" s="37" t="n">
        <f aca="false">IFERROR(AA50/AA$58,0)</f>
        <v>4.21407501053519E-005</v>
      </c>
      <c r="AE50" s="37" t="n">
        <f aca="false">IFERROR(AB50/AB$58,0)</f>
        <v>4.7066206463759E-005</v>
      </c>
      <c r="AF50" s="91" t="n">
        <f aca="false">AE50-AD50</f>
        <v>4.92545635840714E-006</v>
      </c>
      <c r="AG50" s="35" t="n">
        <f aca="false">G50+N50+U50+AB50</f>
        <v>19</v>
      </c>
      <c r="AH50" s="37" t="n">
        <f aca="false">IFERROR(AG50/AG$58,0)</f>
        <v>6.02417278595797E-005</v>
      </c>
      <c r="AI50" s="37" t="n">
        <f aca="false">①札幌予測確定!R41</f>
        <v>0</v>
      </c>
      <c r="AJ50" s="37" t="n">
        <f aca="false">③石川以降予測!H64</f>
        <v>2.35331032318795E-005</v>
      </c>
      <c r="AK50" s="39" t="str">
        <f aca="false">IF(AJ50-AH50&gt;=0.005,"↑ 上方修正",IF(AJ50-AH50&lt;=-0.005,"↓ 下方修正","→ 据置"))</f>
        <v>→ 据置</v>
      </c>
    </row>
    <row r="51" customFormat="false" ht="15" hidden="false" customHeight="false" outlineLevel="0" collapsed="false">
      <c r="A51" s="32" t="n">
        <v>36</v>
      </c>
      <c r="B51" s="32" t="s">
        <v>346</v>
      </c>
      <c r="C51" s="33" t="s">
        <v>347</v>
      </c>
      <c r="D51" s="34" t="n">
        <v>27500</v>
      </c>
      <c r="E51" s="35" t="n">
        <v>8</v>
      </c>
      <c r="F51" s="32" t="s">
        <v>518</v>
      </c>
      <c r="G51" s="35" t="n">
        <v>8</v>
      </c>
      <c r="H51" s="32" t="s">
        <v>518</v>
      </c>
      <c r="I51" s="37" t="n">
        <f aca="false">IFERROR(E51/E$58,0)</f>
        <v>3.78873986512086E-005</v>
      </c>
      <c r="J51" s="37" t="n">
        <f aca="false">IFERROR(G51/G$58,0)</f>
        <v>5.39865708405034E-005</v>
      </c>
      <c r="K51" s="91" t="n">
        <f aca="false">J51-I51</f>
        <v>1.60991721892948E-005</v>
      </c>
      <c r="L51" s="35" t="n">
        <v>3</v>
      </c>
      <c r="M51" s="35" t="n">
        <v>3</v>
      </c>
      <c r="N51" s="35" t="n">
        <v>3</v>
      </c>
      <c r="O51" s="38" t="n">
        <f aca="false">N51-M51</f>
        <v>0</v>
      </c>
      <c r="P51" s="37" t="n">
        <f aca="false">IFERROR(M51/M$58,0)</f>
        <v>5.07803243170046E-005</v>
      </c>
      <c r="Q51" s="37" t="n">
        <f aca="false">IFERROR(N51/N$58,0)</f>
        <v>5.11945392491468E-005</v>
      </c>
      <c r="R51" s="91" t="n">
        <f aca="false">Q51-P51</f>
        <v>4.14214932142118E-007</v>
      </c>
      <c r="S51" s="35" t="n">
        <v>3</v>
      </c>
      <c r="T51" s="35" t="n">
        <v>4</v>
      </c>
      <c r="U51" s="35" t="n">
        <v>3</v>
      </c>
      <c r="V51" s="38" t="n">
        <f aca="false">U51-T51</f>
        <v>-1</v>
      </c>
      <c r="W51" s="37" t="n">
        <f aca="false">IFERROR(T51/T$58,0)</f>
        <v>0.000124684392631152</v>
      </c>
      <c r="X51" s="37" t="n">
        <f aca="false">IFERROR(U51/U$58,0)</f>
        <v>6.68583272046533E-005</v>
      </c>
      <c r="Y51" s="91" t="n">
        <f aca="false">X51-W51</f>
        <v>-5.78260654264991E-005</v>
      </c>
      <c r="Z51" s="35" t="n">
        <v>3</v>
      </c>
      <c r="AA51" s="35" t="n">
        <v>3</v>
      </c>
      <c r="AB51" s="35" t="n">
        <v>3</v>
      </c>
      <c r="AC51" s="38" t="n">
        <f aca="false">AB51-AA51</f>
        <v>0</v>
      </c>
      <c r="AD51" s="37" t="n">
        <f aca="false">IFERROR(AA51/AA$58,0)</f>
        <v>4.21407501053519E-005</v>
      </c>
      <c r="AE51" s="37" t="n">
        <f aca="false">IFERROR(AB51/AB$58,0)</f>
        <v>4.7066206463759E-005</v>
      </c>
      <c r="AF51" s="91" t="n">
        <f aca="false">AE51-AD51</f>
        <v>4.92545635840714E-006</v>
      </c>
      <c r="AG51" s="35" t="n">
        <f aca="false">G51+N51+U51+AB51</f>
        <v>17</v>
      </c>
      <c r="AH51" s="37" t="n">
        <f aca="false">IFERROR(AG51/AG$58,0)</f>
        <v>5.3900493348045E-005</v>
      </c>
      <c r="AI51" s="37" t="n">
        <f aca="false">①札幌予測確定!R42</f>
        <v>0</v>
      </c>
      <c r="AJ51" s="37" t="n">
        <f aca="false">③石川以降予測!H65</f>
        <v>2.35331032318795E-005</v>
      </c>
      <c r="AK51" s="39" t="str">
        <f aca="false">IF(AJ51-AH51&gt;=0.005,"↑ 上方修正",IF(AJ51-AH51&lt;=-0.005,"↓ 下方修正","→ 据置"))</f>
        <v>→ 据置</v>
      </c>
    </row>
    <row r="52" customFormat="false" ht="15" hidden="false" customHeight="false" outlineLevel="0" collapsed="false">
      <c r="A52" s="32" t="n">
        <v>37</v>
      </c>
      <c r="B52" s="32" t="s">
        <v>348</v>
      </c>
      <c r="C52" s="33" t="s">
        <v>349</v>
      </c>
      <c r="D52" s="34" t="n">
        <v>27500</v>
      </c>
      <c r="E52" s="35" t="n">
        <v>10</v>
      </c>
      <c r="F52" s="32" t="s">
        <v>518</v>
      </c>
      <c r="G52" s="35" t="n">
        <v>10</v>
      </c>
      <c r="H52" s="32" t="s">
        <v>518</v>
      </c>
      <c r="I52" s="37" t="n">
        <f aca="false">IFERROR(E52/E$58,0)</f>
        <v>4.73592483140108E-005</v>
      </c>
      <c r="J52" s="37" t="n">
        <f aca="false">IFERROR(G52/G$58,0)</f>
        <v>6.74832135506293E-005</v>
      </c>
      <c r="K52" s="91" t="n">
        <f aca="false">J52-I52</f>
        <v>2.01239652366185E-005</v>
      </c>
      <c r="L52" s="35" t="n">
        <v>20</v>
      </c>
      <c r="M52" s="35" t="n">
        <v>14</v>
      </c>
      <c r="N52" s="35" t="n">
        <v>19</v>
      </c>
      <c r="O52" s="38" t="n">
        <f aca="false">N52-M52</f>
        <v>5</v>
      </c>
      <c r="P52" s="37" t="n">
        <f aca="false">IFERROR(M52/M$58,0)</f>
        <v>0.000236974846812688</v>
      </c>
      <c r="Q52" s="37" t="n">
        <f aca="false">IFERROR(N52/N$58,0)</f>
        <v>0.000324232081911263</v>
      </c>
      <c r="R52" s="91" t="n">
        <f aca="false">Q52-P52</f>
        <v>8.72572350985745E-005</v>
      </c>
      <c r="S52" s="35" t="n">
        <v>15</v>
      </c>
      <c r="T52" s="35" t="n">
        <v>8</v>
      </c>
      <c r="U52" s="35" t="n">
        <v>12</v>
      </c>
      <c r="V52" s="38" t="n">
        <f aca="false">U52-T52</f>
        <v>4</v>
      </c>
      <c r="W52" s="37" t="n">
        <f aca="false">IFERROR(T52/T$58,0)</f>
        <v>0.000249368785262305</v>
      </c>
      <c r="X52" s="37" t="n">
        <f aca="false">IFERROR(U52/U$58,0)</f>
        <v>0.000267433308818613</v>
      </c>
      <c r="Y52" s="91" t="n">
        <f aca="false">X52-W52</f>
        <v>1.80645235563085E-005</v>
      </c>
      <c r="Z52" s="35" t="n">
        <v>28</v>
      </c>
      <c r="AA52" s="35" t="n">
        <v>27</v>
      </c>
      <c r="AB52" s="35" t="n">
        <v>26</v>
      </c>
      <c r="AC52" s="38" t="n">
        <f aca="false">AB52-AA52</f>
        <v>-1</v>
      </c>
      <c r="AD52" s="37" t="n">
        <f aca="false">IFERROR(AA52/AA$58,0)</f>
        <v>0.000379266750948167</v>
      </c>
      <c r="AE52" s="37" t="n">
        <f aca="false">IFERROR(AB52/AB$58,0)</f>
        <v>0.000407907122685912</v>
      </c>
      <c r="AF52" s="91" t="n">
        <f aca="false">AE52-AD52</f>
        <v>2.86403717377446E-005</v>
      </c>
      <c r="AG52" s="35" t="n">
        <f aca="false">G52+N52+U52+AB52</f>
        <v>67</v>
      </c>
      <c r="AH52" s="37" t="n">
        <f aca="false">IFERROR(AG52/AG$58,0)</f>
        <v>0.000212431356136413</v>
      </c>
      <c r="AI52" s="37" t="n">
        <f aca="false">①札幌予測確定!R43</f>
        <v>0</v>
      </c>
      <c r="AJ52" s="37" t="n">
        <f aca="false">③石川以降予測!H66</f>
        <v>0.000203953561342956</v>
      </c>
      <c r="AK52" s="39" t="str">
        <f aca="false">IF(AJ52-AH52&gt;=0.005,"↑ 上方修正",IF(AJ52-AH52&lt;=-0.005,"↓ 下方修正","→ 据置"))</f>
        <v>→ 据置</v>
      </c>
    </row>
    <row r="53" customFormat="false" ht="15" hidden="false" customHeight="false" outlineLevel="0" collapsed="false">
      <c r="A53" s="32" t="n">
        <v>38</v>
      </c>
      <c r="B53" s="32" t="s">
        <v>350</v>
      </c>
      <c r="C53" s="33" t="s">
        <v>351</v>
      </c>
      <c r="D53" s="34" t="n">
        <v>27500</v>
      </c>
      <c r="E53" s="35" t="n">
        <v>10</v>
      </c>
      <c r="F53" s="32" t="s">
        <v>518</v>
      </c>
      <c r="G53" s="35" t="n">
        <v>10</v>
      </c>
      <c r="H53" s="32" t="s">
        <v>518</v>
      </c>
      <c r="I53" s="37" t="n">
        <f aca="false">IFERROR(E53/E$58,0)</f>
        <v>4.73592483140108E-005</v>
      </c>
      <c r="J53" s="37" t="n">
        <f aca="false">IFERROR(G53/G$58,0)</f>
        <v>6.74832135506293E-005</v>
      </c>
      <c r="K53" s="91" t="n">
        <f aca="false">J53-I53</f>
        <v>2.01239652366185E-005</v>
      </c>
      <c r="L53" s="35" t="n">
        <v>3</v>
      </c>
      <c r="M53" s="35" t="n">
        <v>3</v>
      </c>
      <c r="N53" s="35" t="n">
        <v>3</v>
      </c>
      <c r="O53" s="38" t="n">
        <f aca="false">N53-M53</f>
        <v>0</v>
      </c>
      <c r="P53" s="37" t="n">
        <f aca="false">IFERROR(M53/M$58,0)</f>
        <v>5.07803243170046E-005</v>
      </c>
      <c r="Q53" s="37" t="n">
        <f aca="false">IFERROR(N53/N$58,0)</f>
        <v>5.11945392491468E-005</v>
      </c>
      <c r="R53" s="91" t="n">
        <f aca="false">Q53-P53</f>
        <v>4.14214932142118E-007</v>
      </c>
      <c r="S53" s="35" t="n">
        <v>3</v>
      </c>
      <c r="T53" s="35" t="n">
        <v>4</v>
      </c>
      <c r="U53" s="35" t="n">
        <v>3</v>
      </c>
      <c r="V53" s="38" t="n">
        <f aca="false">U53-T53</f>
        <v>-1</v>
      </c>
      <c r="W53" s="37" t="n">
        <f aca="false">IFERROR(T53/T$58,0)</f>
        <v>0.000124684392631152</v>
      </c>
      <c r="X53" s="37" t="n">
        <f aca="false">IFERROR(U53/U$58,0)</f>
        <v>6.68583272046533E-005</v>
      </c>
      <c r="Y53" s="91" t="n">
        <f aca="false">X53-W53</f>
        <v>-5.78260654264991E-005</v>
      </c>
      <c r="Z53" s="35" t="n">
        <v>3</v>
      </c>
      <c r="AA53" s="35" t="n">
        <v>3</v>
      </c>
      <c r="AB53" s="35" t="n">
        <v>3</v>
      </c>
      <c r="AC53" s="38" t="n">
        <f aca="false">AB53-AA53</f>
        <v>0</v>
      </c>
      <c r="AD53" s="37" t="n">
        <f aca="false">IFERROR(AA53/AA$58,0)</f>
        <v>4.21407501053519E-005</v>
      </c>
      <c r="AE53" s="37" t="n">
        <f aca="false">IFERROR(AB53/AB$58,0)</f>
        <v>4.7066206463759E-005</v>
      </c>
      <c r="AF53" s="91" t="n">
        <f aca="false">AE53-AD53</f>
        <v>4.92545635840714E-006</v>
      </c>
      <c r="AG53" s="35" t="n">
        <f aca="false">G53+N53+U53+AB53</f>
        <v>19</v>
      </c>
      <c r="AH53" s="37" t="n">
        <f aca="false">IFERROR(AG53/AG$58,0)</f>
        <v>6.02417278595797E-005</v>
      </c>
      <c r="AI53" s="37" t="n">
        <f aca="false">①札幌予測確定!R44</f>
        <v>0.00022883295194508</v>
      </c>
      <c r="AJ53" s="37" t="n">
        <f aca="false">③石川以降予測!H67</f>
        <v>0.00013794957920442</v>
      </c>
      <c r="AK53" s="39" t="str">
        <f aca="false">IF(AJ53-AH53&gt;=0.005,"↑ 上方修正",IF(AJ53-AH53&lt;=-0.005,"↓ 下方修正","→ 据置"))</f>
        <v>→ 据置</v>
      </c>
    </row>
    <row r="54" customFormat="false" ht="15" hidden="false" customHeight="false" outlineLevel="0" collapsed="false">
      <c r="A54" s="32" t="n">
        <v>39</v>
      </c>
      <c r="B54" s="32" t="s">
        <v>352</v>
      </c>
      <c r="C54" s="33" t="s">
        <v>353</v>
      </c>
      <c r="D54" s="34" t="n">
        <v>27500</v>
      </c>
      <c r="E54" s="35" t="n">
        <v>10</v>
      </c>
      <c r="F54" s="32" t="s">
        <v>518</v>
      </c>
      <c r="G54" s="35" t="n">
        <v>10</v>
      </c>
      <c r="H54" s="32" t="s">
        <v>518</v>
      </c>
      <c r="I54" s="37" t="n">
        <f aca="false">IFERROR(E54/E$58,0)</f>
        <v>4.73592483140108E-005</v>
      </c>
      <c r="J54" s="37" t="n">
        <f aca="false">IFERROR(G54/G$58,0)</f>
        <v>6.74832135506293E-005</v>
      </c>
      <c r="K54" s="91" t="n">
        <f aca="false">J54-I54</f>
        <v>2.01239652366185E-005</v>
      </c>
      <c r="L54" s="35" t="n">
        <v>3</v>
      </c>
      <c r="M54" s="35" t="n">
        <v>3</v>
      </c>
      <c r="N54" s="35" t="n">
        <v>3</v>
      </c>
      <c r="O54" s="38" t="n">
        <f aca="false">N54-M54</f>
        <v>0</v>
      </c>
      <c r="P54" s="37" t="n">
        <f aca="false">IFERROR(M54/M$58,0)</f>
        <v>5.07803243170046E-005</v>
      </c>
      <c r="Q54" s="37" t="n">
        <f aca="false">IFERROR(N54/N$58,0)</f>
        <v>5.11945392491468E-005</v>
      </c>
      <c r="R54" s="91" t="n">
        <f aca="false">Q54-P54</f>
        <v>4.14214932142118E-007</v>
      </c>
      <c r="S54" s="35" t="n">
        <v>2</v>
      </c>
      <c r="T54" s="35" t="n">
        <v>3</v>
      </c>
      <c r="U54" s="35" t="n">
        <v>2</v>
      </c>
      <c r="V54" s="38" t="n">
        <f aca="false">U54-T54</f>
        <v>-1</v>
      </c>
      <c r="W54" s="37" t="n">
        <f aca="false">IFERROR(T54/T$58,0)</f>
        <v>9.35132944733643E-005</v>
      </c>
      <c r="X54" s="37" t="n">
        <f aca="false">IFERROR(U54/U$58,0)</f>
        <v>4.45722181364356E-005</v>
      </c>
      <c r="Y54" s="91" t="n">
        <f aca="false">X54-W54</f>
        <v>-4.89410763369287E-005</v>
      </c>
      <c r="Z54" s="35" t="n">
        <v>3</v>
      </c>
      <c r="AA54" s="35" t="n">
        <v>3</v>
      </c>
      <c r="AB54" s="35" t="n">
        <v>3</v>
      </c>
      <c r="AC54" s="38" t="n">
        <f aca="false">AB54-AA54</f>
        <v>0</v>
      </c>
      <c r="AD54" s="37" t="n">
        <f aca="false">IFERROR(AA54/AA$58,0)</f>
        <v>4.21407501053519E-005</v>
      </c>
      <c r="AE54" s="37" t="n">
        <f aca="false">IFERROR(AB54/AB$58,0)</f>
        <v>4.7066206463759E-005</v>
      </c>
      <c r="AF54" s="91" t="n">
        <f aca="false">AE54-AD54</f>
        <v>4.92545635840714E-006</v>
      </c>
      <c r="AG54" s="35" t="n">
        <f aca="false">G54+N54+U54+AB54</f>
        <v>18</v>
      </c>
      <c r="AH54" s="37" t="n">
        <f aca="false">IFERROR(AG54/AG$58,0)</f>
        <v>5.70711106038124E-005</v>
      </c>
      <c r="AI54" s="37" t="n">
        <f aca="false">①札幌予測確定!R45</f>
        <v>0.00011441647597254</v>
      </c>
      <c r="AJ54" s="37" t="n">
        <f aca="false">③石川以降予測!H68</f>
        <v>8.07413412181495E-005</v>
      </c>
      <c r="AK54" s="39" t="str">
        <f aca="false">IF(AJ54-AH54&gt;=0.005,"↑ 上方修正",IF(AJ54-AH54&lt;=-0.005,"↓ 下方修正","→ 据置"))</f>
        <v>→ 据置</v>
      </c>
    </row>
    <row r="55" customFormat="false" ht="15" hidden="false" customHeight="false" outlineLevel="0" collapsed="false">
      <c r="A55" s="32" t="n">
        <v>40</v>
      </c>
      <c r="B55" s="32" t="s">
        <v>354</v>
      </c>
      <c r="C55" s="33" t="s">
        <v>355</v>
      </c>
      <c r="D55" s="34" t="n">
        <v>27500</v>
      </c>
      <c r="E55" s="35" t="n">
        <v>8</v>
      </c>
      <c r="F55" s="32" t="s">
        <v>518</v>
      </c>
      <c r="G55" s="35" t="n">
        <v>8</v>
      </c>
      <c r="H55" s="32" t="s">
        <v>518</v>
      </c>
      <c r="I55" s="37" t="n">
        <f aca="false">IFERROR(E55/E$58,0)</f>
        <v>3.78873986512086E-005</v>
      </c>
      <c r="J55" s="37" t="n">
        <f aca="false">IFERROR(G55/G$58,0)</f>
        <v>5.39865708405034E-005</v>
      </c>
      <c r="K55" s="91" t="n">
        <f aca="false">J55-I55</f>
        <v>1.60991721892948E-005</v>
      </c>
      <c r="L55" s="35" t="n">
        <v>3</v>
      </c>
      <c r="M55" s="35" t="n">
        <v>3</v>
      </c>
      <c r="N55" s="35" t="n">
        <v>3</v>
      </c>
      <c r="O55" s="38" t="n">
        <f aca="false">N55-M55</f>
        <v>0</v>
      </c>
      <c r="P55" s="37" t="n">
        <f aca="false">IFERROR(M55/M$58,0)</f>
        <v>5.07803243170046E-005</v>
      </c>
      <c r="Q55" s="37" t="n">
        <f aca="false">IFERROR(N55/N$58,0)</f>
        <v>5.11945392491468E-005</v>
      </c>
      <c r="R55" s="91" t="n">
        <f aca="false">Q55-P55</f>
        <v>4.14214932142118E-007</v>
      </c>
      <c r="S55" s="35" t="n">
        <v>3</v>
      </c>
      <c r="T55" s="35" t="n">
        <v>4</v>
      </c>
      <c r="U55" s="35" t="n">
        <v>3</v>
      </c>
      <c r="V55" s="38" t="n">
        <f aca="false">U55-T55</f>
        <v>-1</v>
      </c>
      <c r="W55" s="37" t="n">
        <f aca="false">IFERROR(T55/T$58,0)</f>
        <v>0.000124684392631152</v>
      </c>
      <c r="X55" s="37" t="n">
        <f aca="false">IFERROR(U55/U$58,0)</f>
        <v>6.68583272046533E-005</v>
      </c>
      <c r="Y55" s="91" t="n">
        <f aca="false">X55-W55</f>
        <v>-5.78260654264991E-005</v>
      </c>
      <c r="Z55" s="35" t="n">
        <v>3</v>
      </c>
      <c r="AA55" s="35" t="n">
        <v>3</v>
      </c>
      <c r="AB55" s="35" t="n">
        <v>3</v>
      </c>
      <c r="AC55" s="38" t="n">
        <f aca="false">AB55-AA55</f>
        <v>0</v>
      </c>
      <c r="AD55" s="37" t="n">
        <f aca="false">IFERROR(AA55/AA$58,0)</f>
        <v>4.21407501053519E-005</v>
      </c>
      <c r="AE55" s="37" t="n">
        <f aca="false">IFERROR(AB55/AB$58,0)</f>
        <v>4.7066206463759E-005</v>
      </c>
      <c r="AF55" s="91" t="n">
        <f aca="false">AE55-AD55</f>
        <v>4.92545635840714E-006</v>
      </c>
      <c r="AG55" s="35" t="n">
        <f aca="false">G55+N55+U55+AB55</f>
        <v>17</v>
      </c>
      <c r="AH55" s="37" t="n">
        <f aca="false">IFERROR(AG55/AG$58,0)</f>
        <v>5.3900493348045E-005</v>
      </c>
      <c r="AI55" s="37" t="n">
        <f aca="false">①札幌予測確定!R46</f>
        <v>0</v>
      </c>
      <c r="AJ55" s="37" t="n">
        <f aca="false">③石川以降予測!H69</f>
        <v>2.35331032318795E-005</v>
      </c>
      <c r="AK55" s="39" t="str">
        <f aca="false">IF(AJ55-AH55&gt;=0.005,"↑ 上方修正",IF(AJ55-AH55&lt;=-0.005,"↓ 下方修正","→ 据置"))</f>
        <v>→ 据置</v>
      </c>
    </row>
    <row r="56" customFormat="false" ht="15" hidden="false" customHeight="false" outlineLevel="0" collapsed="false">
      <c r="A56" s="32" t="n">
        <v>41</v>
      </c>
      <c r="B56" s="32" t="s">
        <v>356</v>
      </c>
      <c r="C56" s="33" t="s">
        <v>357</v>
      </c>
      <c r="D56" s="34" t="n">
        <v>25000</v>
      </c>
      <c r="E56" s="35" t="n">
        <v>38</v>
      </c>
      <c r="F56" s="32" t="s">
        <v>518</v>
      </c>
      <c r="G56" s="35" t="n">
        <v>12</v>
      </c>
      <c r="H56" s="32" t="s">
        <v>518</v>
      </c>
      <c r="I56" s="37" t="n">
        <f aca="false">IFERROR(E56/E$58,0)</f>
        <v>0.000179965143593241</v>
      </c>
      <c r="J56" s="37" t="n">
        <f aca="false">IFERROR(G56/G$58,0)</f>
        <v>8.09798562607551E-005</v>
      </c>
      <c r="K56" s="91" t="n">
        <f aca="false">J56-I56</f>
        <v>-9.89852873324858E-005</v>
      </c>
      <c r="L56" s="35" t="n">
        <v>10</v>
      </c>
      <c r="M56" s="35" t="n">
        <v>22</v>
      </c>
      <c r="N56" s="35" t="n">
        <v>5</v>
      </c>
      <c r="O56" s="38" t="n">
        <f aca="false">N56-M56</f>
        <v>-17</v>
      </c>
      <c r="P56" s="37" t="n">
        <f aca="false">IFERROR(M56/M$58,0)</f>
        <v>0.000372389044991367</v>
      </c>
      <c r="Q56" s="37" t="n">
        <f aca="false">IFERROR(N56/N$58,0)</f>
        <v>8.53242320819113E-005</v>
      </c>
      <c r="R56" s="91" t="n">
        <f aca="false">Q56-P56</f>
        <v>-0.000287064812909456</v>
      </c>
      <c r="S56" s="35" t="n">
        <v>5</v>
      </c>
      <c r="T56" s="35" t="n">
        <v>3</v>
      </c>
      <c r="U56" s="35" t="n">
        <v>1</v>
      </c>
      <c r="V56" s="38" t="n">
        <f aca="false">U56-T56</f>
        <v>-2</v>
      </c>
      <c r="W56" s="37" t="n">
        <f aca="false">IFERROR(T56/T$58,0)</f>
        <v>9.35132944733643E-005</v>
      </c>
      <c r="X56" s="37" t="n">
        <f aca="false">IFERROR(U56/U$58,0)</f>
        <v>2.22861090682178E-005</v>
      </c>
      <c r="Y56" s="91" t="n">
        <f aca="false">X56-W56</f>
        <v>-7.12271854051465E-005</v>
      </c>
      <c r="Z56" s="35" t="n">
        <v>15</v>
      </c>
      <c r="AA56" s="35" t="n">
        <v>2</v>
      </c>
      <c r="AB56" s="35" t="n">
        <v>2</v>
      </c>
      <c r="AC56" s="38" t="n">
        <f aca="false">AB56-AA56</f>
        <v>0</v>
      </c>
      <c r="AD56" s="37" t="n">
        <f aca="false">IFERROR(AA56/AA$58,0)</f>
        <v>2.80938334035679E-005</v>
      </c>
      <c r="AE56" s="37" t="n">
        <f aca="false">IFERROR(AB56/AB$58,0)</f>
        <v>3.13774709758394E-005</v>
      </c>
      <c r="AF56" s="91" t="n">
        <f aca="false">AE56-AD56</f>
        <v>3.28363757227143E-006</v>
      </c>
      <c r="AG56" s="35" t="n">
        <f aca="false">G56+N56+U56+AB56</f>
        <v>20</v>
      </c>
      <c r="AH56" s="37" t="n">
        <f aca="false">IFERROR(AG56/AG$58,0)</f>
        <v>6.34123451153471E-005</v>
      </c>
      <c r="AI56" s="37" t="n">
        <f aca="false">①札幌予測確定!R47</f>
        <v>0</v>
      </c>
      <c r="AJ56" s="37" t="n">
        <f aca="false">③石川以降予測!H70</f>
        <v>1.56887354879197E-005</v>
      </c>
      <c r="AK56" s="39" t="str">
        <f aca="false">IF(AJ56-AH56&gt;=0.005,"↑ 上方修正",IF(AJ56-AH56&lt;=-0.005,"↓ 下方修正","→ 据置"))</f>
        <v>→ 据置</v>
      </c>
    </row>
    <row r="57" customFormat="false" ht="15" hidden="false" customHeight="false" outlineLevel="0" collapsed="false">
      <c r="A57" s="32" t="n">
        <v>42</v>
      </c>
      <c r="B57" s="32" t="s">
        <v>358</v>
      </c>
      <c r="C57" s="33" t="s">
        <v>359</v>
      </c>
      <c r="D57" s="34" t="n">
        <v>25000</v>
      </c>
      <c r="E57" s="35" t="n">
        <v>38</v>
      </c>
      <c r="F57" s="32" t="s">
        <v>518</v>
      </c>
      <c r="G57" s="35" t="n">
        <v>24</v>
      </c>
      <c r="H57" s="32" t="s">
        <v>518</v>
      </c>
      <c r="I57" s="37" t="n">
        <f aca="false">IFERROR(E57/E$58,0)</f>
        <v>0.000179965143593241</v>
      </c>
      <c r="J57" s="37" t="n">
        <f aca="false">IFERROR(G57/G$58,0)</f>
        <v>0.00016195971252151</v>
      </c>
      <c r="K57" s="91" t="n">
        <f aca="false">J57-I57</f>
        <v>-1.80054310717306E-005</v>
      </c>
      <c r="L57" s="35" t="n">
        <v>10</v>
      </c>
      <c r="M57" s="35" t="n">
        <v>6</v>
      </c>
      <c r="N57" s="35" t="n">
        <v>8</v>
      </c>
      <c r="O57" s="38" t="n">
        <f aca="false">N57-M57</f>
        <v>2</v>
      </c>
      <c r="P57" s="37" t="n">
        <f aca="false">IFERROR(M57/M$58,0)</f>
        <v>0.000101560648634009</v>
      </c>
      <c r="Q57" s="37" t="n">
        <f aca="false">IFERROR(N57/N$58,0)</f>
        <v>0.000136518771331058</v>
      </c>
      <c r="R57" s="91" t="n">
        <f aca="false">Q57-P57</f>
        <v>3.49581226970487E-005</v>
      </c>
      <c r="S57" s="35" t="n">
        <v>5</v>
      </c>
      <c r="T57" s="35" t="n">
        <v>3</v>
      </c>
      <c r="U57" s="35" t="n">
        <v>3</v>
      </c>
      <c r="V57" s="38" t="n">
        <f aca="false">U57-T57</f>
        <v>0</v>
      </c>
      <c r="W57" s="37" t="n">
        <f aca="false">IFERROR(T57/T$58,0)</f>
        <v>9.35132944733643E-005</v>
      </c>
      <c r="X57" s="37" t="n">
        <f aca="false">IFERROR(U57/U$58,0)</f>
        <v>6.68583272046533E-005</v>
      </c>
      <c r="Y57" s="91" t="n">
        <f aca="false">X57-W57</f>
        <v>-2.6654967268711E-005</v>
      </c>
      <c r="Z57" s="35" t="n">
        <v>20</v>
      </c>
      <c r="AA57" s="35" t="n">
        <v>8</v>
      </c>
      <c r="AB57" s="35" t="n">
        <v>8</v>
      </c>
      <c r="AC57" s="38" t="n">
        <f aca="false">AB57-AA57</f>
        <v>0</v>
      </c>
      <c r="AD57" s="37" t="n">
        <f aca="false">IFERROR(AA57/AA$58,0)</f>
        <v>0.000112375333614272</v>
      </c>
      <c r="AE57" s="37" t="n">
        <f aca="false">IFERROR(AB57/AB$58,0)</f>
        <v>0.000125509883903357</v>
      </c>
      <c r="AF57" s="91" t="n">
        <f aca="false">AE57-AD57</f>
        <v>1.31345502890857E-005</v>
      </c>
      <c r="AG57" s="35" t="n">
        <f aca="false">G57+N57+U57+AB57</f>
        <v>43</v>
      </c>
      <c r="AH57" s="37" t="n">
        <f aca="false">IFERROR(AG57/AG$58,0)</f>
        <v>0.000136336541997996</v>
      </c>
      <c r="AI57" s="37" t="n">
        <f aca="false">①札幌予測確定!R48</f>
        <v>0.00022883295194508</v>
      </c>
      <c r="AJ57" s="37" t="n">
        <f aca="false">③石川以降予測!H71</f>
        <v>0.000177171417924219</v>
      </c>
      <c r="AK57" s="39" t="str">
        <f aca="false">IF(AJ57-AH57&gt;=0.005,"↑ 上方修正",IF(AJ57-AH57&lt;=-0.005,"↓ 下方修正","→ 据置"))</f>
        <v>→ 据置</v>
      </c>
    </row>
    <row r="58" customFormat="false" ht="15" hidden="false" customHeight="false" outlineLevel="0" collapsed="false">
      <c r="A58" s="40"/>
      <c r="B58" s="40"/>
      <c r="C58" s="41" t="s">
        <v>360</v>
      </c>
      <c r="D58" s="40"/>
      <c r="E58" s="42" t="n">
        <f aca="false">SUM(E16:E57)</f>
        <v>211152</v>
      </c>
      <c r="F58" s="40"/>
      <c r="G58" s="42" t="n">
        <f aca="false">SUM(G16:G57)</f>
        <v>148185</v>
      </c>
      <c r="H58" s="40"/>
      <c r="I58" s="45" t="n">
        <v>1</v>
      </c>
      <c r="J58" s="45" t="n">
        <v>1</v>
      </c>
      <c r="K58" s="92" t="n">
        <v>0</v>
      </c>
      <c r="L58" s="42" t="n">
        <f aca="false">SUM(L16:L57)</f>
        <v>83271</v>
      </c>
      <c r="M58" s="42" t="n">
        <f aca="false">SUM(M16:M57)</f>
        <v>59078</v>
      </c>
      <c r="N58" s="42" t="n">
        <f aca="false">SUM(N16:N57)</f>
        <v>58600</v>
      </c>
      <c r="O58" s="46" t="n">
        <f aca="false">SUM(O16:O57)</f>
        <v>-478</v>
      </c>
      <c r="P58" s="45" t="n">
        <v>1</v>
      </c>
      <c r="Q58" s="45" t="n">
        <v>1</v>
      </c>
      <c r="R58" s="92" t="n">
        <v>0</v>
      </c>
      <c r="S58" s="42" t="n">
        <f aca="false">SUM(S16:S57)</f>
        <v>49598</v>
      </c>
      <c r="T58" s="42" t="n">
        <f aca="false">SUM(T16:T57)</f>
        <v>32081</v>
      </c>
      <c r="U58" s="42" t="n">
        <f aca="false">SUM(U16:U57)</f>
        <v>44871</v>
      </c>
      <c r="V58" s="46" t="n">
        <f aca="false">SUM(V16:V57)</f>
        <v>12790</v>
      </c>
      <c r="W58" s="45" t="n">
        <v>1</v>
      </c>
      <c r="X58" s="45" t="n">
        <v>1</v>
      </c>
      <c r="Y58" s="92" t="n">
        <v>0</v>
      </c>
      <c r="Z58" s="42" t="n">
        <f aca="false">SUM(Z16:Z57)</f>
        <v>137560</v>
      </c>
      <c r="AA58" s="42" t="n">
        <f aca="false">SUM(AA16:AA57)</f>
        <v>71190</v>
      </c>
      <c r="AB58" s="42" t="n">
        <f aca="false">SUM(AB16:AB57)</f>
        <v>63740</v>
      </c>
      <c r="AC58" s="46" t="n">
        <f aca="false">SUM(AC16:AC57)</f>
        <v>-7450</v>
      </c>
      <c r="AD58" s="45" t="n">
        <v>1</v>
      </c>
      <c r="AE58" s="45" t="n">
        <v>1</v>
      </c>
      <c r="AF58" s="92" t="n">
        <v>0</v>
      </c>
      <c r="AG58" s="42" t="n">
        <f aca="false">SUM(AG16:AG57)</f>
        <v>315396</v>
      </c>
      <c r="AH58" s="45" t="n">
        <v>1</v>
      </c>
      <c r="AI58" s="45" t="n">
        <v>1</v>
      </c>
      <c r="AJ58" s="45" t="n">
        <v>1</v>
      </c>
      <c r="AK58" s="40"/>
    </row>
    <row r="60" customFormat="false" ht="15" hidden="false" customHeight="false" outlineLevel="0" collapsed="false">
      <c r="A60" s="4" t="s">
        <v>746</v>
      </c>
    </row>
    <row r="61" customFormat="false" ht="15" hidden="false" customHeight="false" outlineLevel="0" collapsed="false">
      <c r="A61" s="5" t="s">
        <v>747</v>
      </c>
      <c r="B61" s="88" t="s">
        <v>748</v>
      </c>
      <c r="C61" s="88"/>
      <c r="D61" s="88"/>
      <c r="E61" s="88"/>
      <c r="F61" s="88"/>
      <c r="G61" s="88"/>
      <c r="H61" s="88"/>
      <c r="I61" s="88"/>
      <c r="J61" s="88"/>
      <c r="K61" s="88"/>
      <c r="L61" s="88"/>
    </row>
    <row r="62" customFormat="false" ht="15" hidden="false" customHeight="false" outlineLevel="0" collapsed="false">
      <c r="A62" s="5" t="s">
        <v>749</v>
      </c>
      <c r="B62" s="88" t="s">
        <v>750</v>
      </c>
      <c r="C62" s="88"/>
      <c r="D62" s="88"/>
      <c r="E62" s="88"/>
      <c r="F62" s="88"/>
      <c r="G62" s="88"/>
      <c r="H62" s="88"/>
      <c r="I62" s="88"/>
      <c r="J62" s="88"/>
      <c r="K62" s="88"/>
      <c r="L62" s="88"/>
    </row>
    <row r="63" customFormat="false" ht="15" hidden="false" customHeight="false" outlineLevel="0" collapsed="false">
      <c r="A63" s="5" t="s">
        <v>751</v>
      </c>
      <c r="B63" s="88" t="s">
        <v>752</v>
      </c>
      <c r="C63" s="88"/>
      <c r="D63" s="88"/>
      <c r="E63" s="88"/>
      <c r="F63" s="88"/>
      <c r="G63" s="88"/>
      <c r="H63" s="88"/>
      <c r="I63" s="88"/>
      <c r="J63" s="88"/>
      <c r="K63" s="88"/>
      <c r="L63" s="88"/>
    </row>
    <row r="64" customFormat="false" ht="15" hidden="false" customHeight="false" outlineLevel="0" collapsed="false">
      <c r="A64" s="5" t="s">
        <v>753</v>
      </c>
      <c r="B64" s="88" t="s">
        <v>754</v>
      </c>
      <c r="C64" s="88"/>
      <c r="D64" s="88"/>
      <c r="E64" s="88"/>
      <c r="F64" s="88"/>
      <c r="G64" s="88"/>
      <c r="H64" s="88"/>
      <c r="I64" s="88"/>
      <c r="J64" s="88"/>
      <c r="K64" s="88"/>
      <c r="L64" s="88"/>
    </row>
    <row r="65" customFormat="false" ht="15" hidden="false" customHeight="false" outlineLevel="0" collapsed="false">
      <c r="A65" s="5" t="s">
        <v>755</v>
      </c>
      <c r="B65" s="93" t="s">
        <v>756</v>
      </c>
      <c r="C65" s="93"/>
      <c r="D65" s="93"/>
      <c r="E65" s="93"/>
      <c r="F65" s="93"/>
      <c r="G65" s="93"/>
      <c r="H65" s="93"/>
      <c r="I65" s="93"/>
      <c r="J65" s="93"/>
      <c r="K65" s="93"/>
      <c r="L65" s="93"/>
    </row>
    <row r="66" customFormat="false" ht="15" hidden="false" customHeight="false" outlineLevel="0" collapsed="false">
      <c r="A66" s="5"/>
      <c r="B66" s="88" t="s">
        <v>757</v>
      </c>
      <c r="C66" s="88"/>
      <c r="D66" s="88"/>
      <c r="E66" s="88"/>
      <c r="F66" s="88"/>
      <c r="G66" s="88"/>
      <c r="H66" s="88"/>
      <c r="I66" s="88"/>
      <c r="J66" s="88"/>
      <c r="K66" s="88"/>
      <c r="L66" s="88"/>
    </row>
  </sheetData>
  <mergeCells count="6">
    <mergeCell ref="B61:L61"/>
    <mergeCell ref="B62:L62"/>
    <mergeCell ref="B63:L63"/>
    <mergeCell ref="B64:L64"/>
    <mergeCell ref="B65:L65"/>
    <mergeCell ref="B66:L66"/>
  </mergeCells>
  <conditionalFormatting sqref="AK16:AK57">
    <cfRule type="expression" priority="2" aboveAverage="0" equalAverage="0" bottom="0" percent="0" rank="0" text="" dxfId="2">
      <formula>LEFT($AK16,1)="↑"</formula>
    </cfRule>
    <cfRule type="expression" priority="3" aboveAverage="0" equalAverage="0" bottom="0" percent="0" rank="0" text="" dxfId="1">
      <formula>LEFT($AK16,1)="↓"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5" min="2" style="0" width="18"/>
    <col collapsed="false" customWidth="true" hidden="false" outlineLevel="0" max="13" min="6" style="0" width="13"/>
  </cols>
  <sheetData>
    <row r="1" customFormat="false" ht="18.55" hidden="false" customHeight="false" outlineLevel="0" collapsed="false">
      <c r="A1" s="1" t="s">
        <v>758</v>
      </c>
    </row>
    <row r="2" customFormat="false" ht="15" hidden="false" customHeight="false" outlineLevel="0" collapsed="false">
      <c r="A2" s="3" t="s">
        <v>759</v>
      </c>
    </row>
    <row r="3" customFormat="false" ht="15" hidden="false" customHeight="false" outlineLevel="0" collapsed="false">
      <c r="A3" s="3" t="s">
        <v>760</v>
      </c>
    </row>
    <row r="4" customFormat="false" ht="15" hidden="false" customHeight="false" outlineLevel="0" collapsed="false">
      <c r="A4" s="3" t="s">
        <v>761</v>
      </c>
    </row>
    <row r="6" customFormat="false" ht="15" hidden="false" customHeight="false" outlineLevel="0" collapsed="false">
      <c r="A6" s="4" t="s">
        <v>762</v>
      </c>
    </row>
    <row r="7" customFormat="false" ht="33.75" hidden="false" customHeight="true" outlineLevel="0" collapsed="false">
      <c r="A7" s="26" t="s">
        <v>414</v>
      </c>
      <c r="B7" s="26" t="s">
        <v>763</v>
      </c>
      <c r="C7" s="26" t="s">
        <v>764</v>
      </c>
      <c r="D7" s="26" t="s">
        <v>765</v>
      </c>
      <c r="E7" s="26" t="s">
        <v>766</v>
      </c>
      <c r="F7" s="26" t="s">
        <v>767</v>
      </c>
      <c r="G7" s="26" t="s">
        <v>587</v>
      </c>
    </row>
    <row r="8" customFormat="false" ht="15" hidden="false" customHeight="false" outlineLevel="0" collapsed="false">
      <c r="A8" s="53" t="s">
        <v>366</v>
      </c>
      <c r="B8" s="34" t="n">
        <v>250000000</v>
      </c>
      <c r="C8" s="62" t="n">
        <f aca="false">B8/$B$8</f>
        <v>1</v>
      </c>
      <c r="D8" s="34" t="n">
        <v>358193925</v>
      </c>
      <c r="E8" s="62" t="n">
        <f aca="false">D8/$D$8</f>
        <v>1</v>
      </c>
      <c r="F8" s="37" t="n">
        <f aca="false">IFERROR(E8/C8,"")</f>
        <v>1</v>
      </c>
      <c r="G8" s="66" t="s">
        <v>768</v>
      </c>
    </row>
    <row r="9" customFormat="false" ht="15" hidden="false" customHeight="false" outlineLevel="0" collapsed="false">
      <c r="A9" s="53" t="s">
        <v>367</v>
      </c>
      <c r="B9" s="34" t="n">
        <v>72000000</v>
      </c>
      <c r="C9" s="62" t="n">
        <f aca="false">B9/$B$8</f>
        <v>0.288</v>
      </c>
      <c r="D9" s="34" t="n">
        <v>138575410</v>
      </c>
      <c r="E9" s="62" t="n">
        <f aca="false">D9/$D$8</f>
        <v>0.386872585848574</v>
      </c>
      <c r="F9" s="37" t="n">
        <f aca="false">IFERROR(E9/C9,"")</f>
        <v>1.34330758975199</v>
      </c>
      <c r="G9" s="66" t="s">
        <v>769</v>
      </c>
    </row>
    <row r="10" customFormat="false" ht="15" hidden="false" customHeight="false" outlineLevel="0" collapsed="false">
      <c r="A10" s="53" t="s">
        <v>368</v>
      </c>
      <c r="B10" s="34" t="n">
        <v>56000000</v>
      </c>
      <c r="C10" s="62" t="n">
        <f aca="false">B10/$B$8</f>
        <v>0.224</v>
      </c>
      <c r="D10" s="34" t="n">
        <v>105540655</v>
      </c>
      <c r="E10" s="62" t="n">
        <f aca="false">D10/$D$8</f>
        <v>0.294646691732698</v>
      </c>
      <c r="F10" s="37" t="n">
        <f aca="false">IFERROR(E10/C10,"")</f>
        <v>1.31538701666383</v>
      </c>
      <c r="G10" s="66" t="s">
        <v>769</v>
      </c>
    </row>
    <row r="11" customFormat="false" ht="37.3" hidden="false" customHeight="false" outlineLevel="0" collapsed="false">
      <c r="A11" s="53" t="s">
        <v>369</v>
      </c>
      <c r="B11" s="34" t="n">
        <v>80000000</v>
      </c>
      <c r="C11" s="62" t="n">
        <f aca="false">B11/$B$8</f>
        <v>0.32</v>
      </c>
      <c r="D11" s="34" t="n">
        <v>215184570</v>
      </c>
      <c r="E11" s="62" t="n">
        <f aca="false">D11/$D$8</f>
        <v>0.600748798294108</v>
      </c>
      <c r="F11" s="37" t="n">
        <f aca="false">IFERROR(E11/C11,"")</f>
        <v>1.87733999466909</v>
      </c>
      <c r="G11" s="66" t="s">
        <v>770</v>
      </c>
    </row>
    <row r="12" customFormat="false" ht="25.35" hidden="false" customHeight="false" outlineLevel="0" collapsed="false">
      <c r="A12" s="53" t="s">
        <v>771</v>
      </c>
      <c r="B12" s="34" t="n">
        <v>54600000</v>
      </c>
      <c r="C12" s="62" t="n">
        <f aca="false">B12/$B$8</f>
        <v>0.2184</v>
      </c>
      <c r="D12" s="34" t="n">
        <v>36375678</v>
      </c>
      <c r="E12" s="62" t="n">
        <f aca="false">D12/$D$8</f>
        <v>0.10155302885162</v>
      </c>
      <c r="F12" s="37" t="n">
        <f aca="false">IFERROR(E12/C12,"")</f>
        <v>0.464986395840751</v>
      </c>
      <c r="G12" s="66" t="s">
        <v>772</v>
      </c>
    </row>
    <row r="13" customFormat="false" ht="25.35" hidden="false" customHeight="false" outlineLevel="0" collapsed="false">
      <c r="A13" s="53" t="s">
        <v>773</v>
      </c>
      <c r="B13" s="34" t="n">
        <v>31200000</v>
      </c>
      <c r="C13" s="62" t="n">
        <f aca="false">B13/$B$8</f>
        <v>0.1248</v>
      </c>
      <c r="D13" s="32" t="s">
        <v>518</v>
      </c>
      <c r="E13" s="32" t="s">
        <v>518</v>
      </c>
      <c r="F13" s="32" t="s">
        <v>518</v>
      </c>
      <c r="G13" s="66" t="s">
        <v>774</v>
      </c>
    </row>
    <row r="14" customFormat="false" ht="25.35" hidden="false" customHeight="false" outlineLevel="0" collapsed="false">
      <c r="A14" s="53" t="s">
        <v>775</v>
      </c>
      <c r="B14" s="34" t="n">
        <v>39000000</v>
      </c>
      <c r="C14" s="62" t="n">
        <f aca="false">B14/$B$8</f>
        <v>0.156</v>
      </c>
      <c r="D14" s="32" t="s">
        <v>518</v>
      </c>
      <c r="E14" s="32" t="s">
        <v>518</v>
      </c>
      <c r="F14" s="32" t="s">
        <v>518</v>
      </c>
      <c r="G14" s="66" t="s">
        <v>774</v>
      </c>
    </row>
    <row r="16" customFormat="false" ht="15" hidden="false" customHeight="false" outlineLevel="0" collapsed="false">
      <c r="A16" s="4" t="s">
        <v>776</v>
      </c>
    </row>
    <row r="17" customFormat="false" ht="33.75" hidden="false" customHeight="true" outlineLevel="0" collapsed="false">
      <c r="A17" s="26" t="s">
        <v>414</v>
      </c>
      <c r="B17" s="26" t="s">
        <v>389</v>
      </c>
      <c r="C17" s="17" t="s">
        <v>777</v>
      </c>
      <c r="D17" s="17" t="s">
        <v>778</v>
      </c>
      <c r="E17" s="17" t="s">
        <v>779</v>
      </c>
      <c r="F17" s="17" t="s">
        <v>780</v>
      </c>
      <c r="G17" s="17" t="s">
        <v>781</v>
      </c>
      <c r="H17" s="17" t="s">
        <v>782</v>
      </c>
      <c r="I17" s="17" t="s">
        <v>783</v>
      </c>
      <c r="J17" s="17" t="s">
        <v>784</v>
      </c>
    </row>
    <row r="18" customFormat="false" ht="15" hidden="false" customHeight="false" outlineLevel="0" collapsed="false">
      <c r="A18" s="49" t="s">
        <v>372</v>
      </c>
      <c r="B18" s="35" t="n">
        <v>18</v>
      </c>
      <c r="C18" s="62" t="n">
        <f aca="false">前提・入力!C16</f>
        <v>0.11</v>
      </c>
      <c r="D18" s="35" t="n">
        <f aca="false">ROUND(前提・入力!$B$12*C18*前提・入力!$B$30/前提・入力!$B$31,0)</f>
        <v>9471</v>
      </c>
      <c r="E18" s="62" t="n">
        <f aca="false">前提・入力!D16</f>
        <v>0.1248</v>
      </c>
      <c r="F18" s="35" t="n">
        <f aca="false">ROUND(前提・入力!$B$12*E18*前提・入力!$B$30/前提・入力!$B$31,0)</f>
        <v>10746</v>
      </c>
      <c r="G18" s="62" t="n">
        <f aca="false">前提・入力!E16</f>
        <v>0.0580303025717001</v>
      </c>
      <c r="H18" s="35" t="n">
        <f aca="false">ROUND(前提・入力!$B$12*G18*前提・入力!$B$30/前提・入力!$B$31,0)</f>
        <v>4997</v>
      </c>
      <c r="I18" s="62" t="n">
        <f aca="false">前提・入力!F16</f>
        <v>0.11</v>
      </c>
      <c r="J18" s="35" t="n">
        <f aca="false">ROUND(前提・入力!$B$12*I18*前提・入力!$B$30/前提・入力!$B$31,0)</f>
        <v>9471</v>
      </c>
    </row>
    <row r="19" customFormat="false" ht="15" hidden="false" customHeight="false" outlineLevel="0" collapsed="false">
      <c r="A19" s="49" t="s">
        <v>438</v>
      </c>
      <c r="B19" s="35" t="n">
        <v>30</v>
      </c>
      <c r="C19" s="62" t="n">
        <f aca="false">前提・入力!C17</f>
        <v>0.13</v>
      </c>
      <c r="D19" s="35" t="n">
        <f aca="false">ROUND(前提・入力!$B$12*C19*前提・入力!$B$30/前提・入力!$B$31,0)</f>
        <v>11193</v>
      </c>
      <c r="E19" s="62" t="n">
        <f aca="false">前提・入力!D17</f>
        <v>0.156</v>
      </c>
      <c r="F19" s="35" t="n">
        <f aca="false">ROUND(前提・入力!$B$12*E19*前提・入力!$B$30/前提・入力!$B$31,0)</f>
        <v>13432</v>
      </c>
      <c r="G19" s="62" t="n">
        <f aca="false">前提・入力!E17</f>
        <v>0.0725378782146252</v>
      </c>
      <c r="H19" s="35" t="n">
        <f aca="false">ROUND(前提・入力!$B$12*G19*前提・入力!$B$30/前提・入力!$B$31,0)</f>
        <v>6246</v>
      </c>
      <c r="I19" s="62" t="n">
        <f aca="false">前提・入力!F17</f>
        <v>0.13</v>
      </c>
      <c r="J19" s="35" t="n">
        <f aca="false">ROUND(前提・入力!$B$12*I19*前提・入力!$B$30/前提・入力!$B$31,0)</f>
        <v>11193</v>
      </c>
    </row>
    <row r="20" customFormat="false" ht="15" hidden="false" customHeight="false" outlineLevel="0" collapsed="false">
      <c r="A20" s="49" t="s">
        <v>374</v>
      </c>
      <c r="B20" s="35" t="n">
        <v>21</v>
      </c>
      <c r="C20" s="62" t="n">
        <f aca="false">前提・入力!C18</f>
        <v>0.12</v>
      </c>
      <c r="D20" s="35" t="n">
        <f aca="false">ROUND(前提・入力!$B$12*C20*前提・入力!$B$30/前提・入力!$B$31,0)</f>
        <v>10332</v>
      </c>
      <c r="E20" s="62" t="n">
        <f aca="false">前提・入力!D18</f>
        <v>0.12</v>
      </c>
      <c r="F20" s="35" t="n">
        <f aca="false">ROUND(前提・入力!$B$12*E20*前提・入力!$B$30/前提・入力!$B$31,0)</f>
        <v>10332</v>
      </c>
      <c r="G20" s="62" t="n">
        <f aca="false">前提・入力!E18</f>
        <v>0.055798367857404</v>
      </c>
      <c r="H20" s="35" t="n">
        <f aca="false">ROUND(前提・入力!$B$12*G20*前提・入力!$B$30/前提・入力!$B$31,0)</f>
        <v>4804</v>
      </c>
      <c r="I20" s="62" t="n">
        <f aca="false">前提・入力!F18</f>
        <v>0.12</v>
      </c>
      <c r="J20" s="35" t="n">
        <f aca="false">ROUND(前提・入力!$B$12*I20*前提・入力!$B$30/前提・入力!$B$31,0)</f>
        <v>10332</v>
      </c>
    </row>
    <row r="21" customFormat="false" ht="15" hidden="false" customHeight="false" outlineLevel="0" collapsed="false">
      <c r="A21" s="49" t="s">
        <v>375</v>
      </c>
      <c r="B21" s="35" t="n">
        <v>21</v>
      </c>
      <c r="C21" s="62" t="n">
        <f aca="false">前提・入力!C19</f>
        <v>0.09</v>
      </c>
      <c r="D21" s="35" t="n">
        <f aca="false">ROUND(前提・入力!$B$12*C21*前提・入力!$B$30/前提・入力!$B$31,0)</f>
        <v>7749</v>
      </c>
      <c r="E21" s="62" t="n">
        <f aca="false">前提・入力!D19</f>
        <v>0.09</v>
      </c>
      <c r="F21" s="35" t="n">
        <f aca="false">ROUND(前提・入力!$B$12*E21*前提・入力!$B$30/前提・入力!$B$31,0)</f>
        <v>7749</v>
      </c>
      <c r="G21" s="62" t="n">
        <f aca="false">前提・入力!E19</f>
        <v>0.041848775893053</v>
      </c>
      <c r="H21" s="35" t="n">
        <f aca="false">ROUND(前提・入力!$B$12*G21*前提・入力!$B$30/前提・入力!$B$31,0)</f>
        <v>3603</v>
      </c>
      <c r="I21" s="62" t="n">
        <f aca="false">前提・入力!F19</f>
        <v>0.09</v>
      </c>
      <c r="J21" s="35" t="n">
        <f aca="false">ROUND(前提・入力!$B$12*I21*前提・入力!$B$30/前提・入力!$B$31,0)</f>
        <v>7749</v>
      </c>
    </row>
    <row r="22" customFormat="false" ht="15" hidden="false" customHeight="false" outlineLevel="0" collapsed="false">
      <c r="A22" s="49" t="s">
        <v>376</v>
      </c>
      <c r="B22" s="35" t="n">
        <v>25</v>
      </c>
      <c r="C22" s="62" t="n">
        <f aca="false">前提・入力!C20</f>
        <v>0.5</v>
      </c>
      <c r="D22" s="35" t="n">
        <f aca="false">ROUND(前提・入力!$B$12*C22*前提・入力!$B$30/前提・入力!$B$31,0)</f>
        <v>43051</v>
      </c>
      <c r="E22" s="62" t="n">
        <f aca="false">前提・入力!D20</f>
        <v>0.5</v>
      </c>
      <c r="F22" s="35" t="n">
        <f aca="false">ROUND(前提・入力!$B$12*E22*前提・入力!$B$30/前提・入力!$B$31,0)</f>
        <v>43051</v>
      </c>
      <c r="G22" s="62" t="n">
        <f aca="false">前提・入力!E20</f>
        <v>0.5</v>
      </c>
      <c r="H22" s="35" t="n">
        <f aca="false">ROUND(前提・入力!$B$12*G22*前提・入力!$B$30/前提・入力!$B$31,0)</f>
        <v>43051</v>
      </c>
      <c r="I22" s="62" t="n">
        <f aca="false">前提・入力!F20</f>
        <v>0.5</v>
      </c>
      <c r="J22" s="35" t="n">
        <f aca="false">ROUND(前提・入力!$B$12*I22*前提・入力!$B$30/前提・入力!$B$31,0)</f>
        <v>43051</v>
      </c>
    </row>
    <row r="23" customFormat="false" ht="15" hidden="false" customHeight="false" outlineLevel="0" collapsed="false">
      <c r="A23" s="85" t="s">
        <v>785</v>
      </c>
      <c r="B23" s="40"/>
      <c r="C23" s="63" t="n">
        <f aca="false">SUM(C18:C22)</f>
        <v>0.95</v>
      </c>
      <c r="D23" s="42" t="n">
        <f aca="false">SUM(D18:D22)</f>
        <v>81796</v>
      </c>
      <c r="E23" s="63" t="n">
        <f aca="false">SUM(E18:E22)</f>
        <v>0.9908</v>
      </c>
      <c r="F23" s="42" t="n">
        <f aca="false">SUM(F18:F22)</f>
        <v>85310</v>
      </c>
      <c r="G23" s="63" t="n">
        <f aca="false">SUM(G18:G22)</f>
        <v>0.728215324536782</v>
      </c>
      <c r="H23" s="42" t="n">
        <f aca="false">SUM(H18:H22)</f>
        <v>62701</v>
      </c>
      <c r="I23" s="63" t="n">
        <f aca="false">SUM(I18:I22)</f>
        <v>0.95</v>
      </c>
      <c r="J23" s="42" t="n">
        <f aca="false">SUM(J18:J22)</f>
        <v>81796</v>
      </c>
    </row>
    <row r="25" customFormat="false" ht="15" hidden="false" customHeight="false" outlineLevel="0" collapsed="false">
      <c r="A25" s="4" t="s">
        <v>786</v>
      </c>
    </row>
    <row r="26" customFormat="false" ht="39.75" hidden="false" customHeight="true" outlineLevel="0" collapsed="false">
      <c r="A26" s="25" t="s">
        <v>253</v>
      </c>
      <c r="B26" s="25" t="s">
        <v>254</v>
      </c>
      <c r="C26" s="26" t="s">
        <v>255</v>
      </c>
      <c r="D26" s="17" t="s">
        <v>787</v>
      </c>
      <c r="E26" s="59" t="s">
        <v>788</v>
      </c>
      <c r="F26" s="48" t="s">
        <v>789</v>
      </c>
      <c r="G26" s="31" t="s">
        <v>790</v>
      </c>
      <c r="H26" s="48" t="s">
        <v>791</v>
      </c>
      <c r="I26" s="31" t="s">
        <v>792</v>
      </c>
      <c r="J26" s="48" t="s">
        <v>793</v>
      </c>
      <c r="K26" s="31" t="s">
        <v>794</v>
      </c>
      <c r="L26" s="48" t="s">
        <v>795</v>
      </c>
      <c r="M26" s="31" t="s">
        <v>796</v>
      </c>
    </row>
    <row r="27" customFormat="false" ht="15" hidden="false" customHeight="false" outlineLevel="0" collapsed="false">
      <c r="A27" s="32" t="n">
        <v>1</v>
      </c>
      <c r="B27" s="32" t="s">
        <v>276</v>
      </c>
      <c r="C27" s="33" t="s">
        <v>277</v>
      </c>
      <c r="D27" s="62" t="n">
        <f aca="false">③石川以降予測!H30</f>
        <v>0.0449544021442947</v>
      </c>
      <c r="E27" s="35" t="n">
        <f aca="false">③石川以降予測!T30</f>
        <v>2797</v>
      </c>
      <c r="F27" s="35" t="n">
        <f aca="false">ROUND($D27*D$23,0)</f>
        <v>3677</v>
      </c>
      <c r="G27" s="35" t="n">
        <f aca="false">MAX(0,F27-$E27)</f>
        <v>880</v>
      </c>
      <c r="H27" s="35" t="n">
        <f aca="false">ROUND($D27*F$23,0)</f>
        <v>3835</v>
      </c>
      <c r="I27" s="35" t="n">
        <f aca="false">MAX(0,H27-$E27)</f>
        <v>1038</v>
      </c>
      <c r="J27" s="35" t="n">
        <f aca="false">ROUND($D27*H$23,0)</f>
        <v>2819</v>
      </c>
      <c r="K27" s="35" t="n">
        <f aca="false">MAX(0,J27-$E27)</f>
        <v>22</v>
      </c>
      <c r="L27" s="35" t="n">
        <f aca="false">ROUND($D27*J$23,0)</f>
        <v>3677</v>
      </c>
      <c r="M27" s="35" t="n">
        <f aca="false">MAX(0,L27-$E27)</f>
        <v>880</v>
      </c>
    </row>
    <row r="28" customFormat="false" ht="15" hidden="false" customHeight="false" outlineLevel="0" collapsed="false">
      <c r="A28" s="32" t="n">
        <v>2</v>
      </c>
      <c r="B28" s="32" t="s">
        <v>278</v>
      </c>
      <c r="C28" s="33" t="s">
        <v>279</v>
      </c>
      <c r="D28" s="62" t="n">
        <f aca="false">③石川以降予測!H31</f>
        <v>0.0445331757518925</v>
      </c>
      <c r="E28" s="35" t="n">
        <f aca="false">③石川以降予測!T31</f>
        <v>4528</v>
      </c>
      <c r="F28" s="35" t="n">
        <f aca="false">ROUND($D28*D$23,0)</f>
        <v>3643</v>
      </c>
      <c r="G28" s="35" t="n">
        <f aca="false">MAX(0,F28-$E28)</f>
        <v>0</v>
      </c>
      <c r="H28" s="35" t="n">
        <f aca="false">ROUND($D28*F$23,0)</f>
        <v>3799</v>
      </c>
      <c r="I28" s="35" t="n">
        <f aca="false">MAX(0,H28-$E28)</f>
        <v>0</v>
      </c>
      <c r="J28" s="35" t="n">
        <f aca="false">ROUND($D28*H$23,0)</f>
        <v>2792</v>
      </c>
      <c r="K28" s="35" t="n">
        <f aca="false">MAX(0,J28-$E28)</f>
        <v>0</v>
      </c>
      <c r="L28" s="35" t="n">
        <f aca="false">ROUND($D28*J$23,0)</f>
        <v>3643</v>
      </c>
      <c r="M28" s="35" t="n">
        <f aca="false">MAX(0,L28-$E28)</f>
        <v>0</v>
      </c>
    </row>
    <row r="29" customFormat="false" ht="15" hidden="false" customHeight="false" outlineLevel="0" collapsed="false">
      <c r="A29" s="32" t="n">
        <v>3</v>
      </c>
      <c r="B29" s="32" t="s">
        <v>280</v>
      </c>
      <c r="C29" s="33" t="s">
        <v>281</v>
      </c>
      <c r="D29" s="62" t="n">
        <f aca="false">③石川以降予測!H32</f>
        <v>0.0182047670779246</v>
      </c>
      <c r="E29" s="35" t="n">
        <f aca="false">③石川以降予測!T32</f>
        <v>5977</v>
      </c>
      <c r="F29" s="35" t="n">
        <f aca="false">ROUND($D29*D$23,0)</f>
        <v>1489</v>
      </c>
      <c r="G29" s="35" t="n">
        <f aca="false">MAX(0,F29-$E29)</f>
        <v>0</v>
      </c>
      <c r="H29" s="35" t="n">
        <f aca="false">ROUND($D29*F$23,0)</f>
        <v>1553</v>
      </c>
      <c r="I29" s="35" t="n">
        <f aca="false">MAX(0,H29-$E29)</f>
        <v>0</v>
      </c>
      <c r="J29" s="35" t="n">
        <f aca="false">ROUND($D29*H$23,0)</f>
        <v>1141</v>
      </c>
      <c r="K29" s="35" t="n">
        <f aca="false">MAX(0,J29-$E29)</f>
        <v>0</v>
      </c>
      <c r="L29" s="35" t="n">
        <f aca="false">ROUND($D29*J$23,0)</f>
        <v>1489</v>
      </c>
      <c r="M29" s="35" t="n">
        <f aca="false">MAX(0,L29-$E29)</f>
        <v>0</v>
      </c>
    </row>
    <row r="30" customFormat="false" ht="15" hidden="false" customHeight="false" outlineLevel="0" collapsed="false">
      <c r="A30" s="32" t="n">
        <v>4</v>
      </c>
      <c r="B30" s="32" t="s">
        <v>282</v>
      </c>
      <c r="C30" s="33" t="s">
        <v>283</v>
      </c>
      <c r="D30" s="62" t="n">
        <f aca="false">③石川以降予測!H33</f>
        <v>0.0233768082434432</v>
      </c>
      <c r="E30" s="35" t="n">
        <f aca="false">③石川以降予測!T33</f>
        <v>27282</v>
      </c>
      <c r="F30" s="35" t="n">
        <f aca="false">ROUND($D30*D$23,0)</f>
        <v>1912</v>
      </c>
      <c r="G30" s="35" t="n">
        <f aca="false">MAX(0,F30-$E30)</f>
        <v>0</v>
      </c>
      <c r="H30" s="35" t="n">
        <f aca="false">ROUND($D30*F$23,0)</f>
        <v>1994</v>
      </c>
      <c r="I30" s="35" t="n">
        <f aca="false">MAX(0,H30-$E30)</f>
        <v>0</v>
      </c>
      <c r="J30" s="35" t="n">
        <f aca="false">ROUND($D30*H$23,0)</f>
        <v>1466</v>
      </c>
      <c r="K30" s="35" t="n">
        <f aca="false">MAX(0,J30-$E30)</f>
        <v>0</v>
      </c>
      <c r="L30" s="35" t="n">
        <f aca="false">ROUND($D30*J$23,0)</f>
        <v>1912</v>
      </c>
      <c r="M30" s="35" t="n">
        <f aca="false">MAX(0,L30-$E30)</f>
        <v>0</v>
      </c>
    </row>
    <row r="31" customFormat="false" ht="15" hidden="false" customHeight="false" outlineLevel="0" collapsed="false">
      <c r="A31" s="32" t="n">
        <v>5</v>
      </c>
      <c r="B31" s="32" t="s">
        <v>284</v>
      </c>
      <c r="C31" s="33" t="s">
        <v>285</v>
      </c>
      <c r="D31" s="62" t="n">
        <f aca="false">③石川以降予測!H34</f>
        <v>0.0966991008236407</v>
      </c>
      <c r="E31" s="35" t="n">
        <f aca="false">③石川以降予測!T34</f>
        <v>39360</v>
      </c>
      <c r="F31" s="35" t="n">
        <f aca="false">ROUND($D31*D$23,0)</f>
        <v>7910</v>
      </c>
      <c r="G31" s="35" t="n">
        <f aca="false">MAX(0,F31-$E31)</f>
        <v>0</v>
      </c>
      <c r="H31" s="35" t="n">
        <f aca="false">ROUND($D31*F$23,0)</f>
        <v>8249</v>
      </c>
      <c r="I31" s="35" t="n">
        <f aca="false">MAX(0,H31-$E31)</f>
        <v>0</v>
      </c>
      <c r="J31" s="35" t="n">
        <f aca="false">ROUND($D31*H$23,0)</f>
        <v>6063</v>
      </c>
      <c r="K31" s="35" t="n">
        <f aca="false">MAX(0,J31-$E31)</f>
        <v>0</v>
      </c>
      <c r="L31" s="35" t="n">
        <f aca="false">ROUND($D31*J$23,0)</f>
        <v>7910</v>
      </c>
      <c r="M31" s="35" t="n">
        <f aca="false">MAX(0,L31-$E31)</f>
        <v>0</v>
      </c>
    </row>
    <row r="32" customFormat="false" ht="15" hidden="false" customHeight="false" outlineLevel="0" collapsed="false">
      <c r="A32" s="32" t="n">
        <v>6</v>
      </c>
      <c r="B32" s="32" t="s">
        <v>286</v>
      </c>
      <c r="C32" s="33" t="s">
        <v>287</v>
      </c>
      <c r="D32" s="62" t="n">
        <f aca="false">③石川以降予測!H35</f>
        <v>0.221334777510754</v>
      </c>
      <c r="E32" s="35" t="n">
        <f aca="false">③石川以降予測!T35</f>
        <v>49517</v>
      </c>
      <c r="F32" s="35" t="n">
        <f aca="false">ROUND($D32*D$23,0)</f>
        <v>18104</v>
      </c>
      <c r="G32" s="35" t="n">
        <f aca="false">MAX(0,F32-$E32)</f>
        <v>0</v>
      </c>
      <c r="H32" s="35" t="n">
        <f aca="false">ROUND($D32*F$23,0)</f>
        <v>18882</v>
      </c>
      <c r="I32" s="35" t="n">
        <f aca="false">MAX(0,H32-$E32)</f>
        <v>0</v>
      </c>
      <c r="J32" s="35" t="n">
        <f aca="false">ROUND($D32*H$23,0)</f>
        <v>13878</v>
      </c>
      <c r="K32" s="35" t="n">
        <f aca="false">MAX(0,J32-$E32)</f>
        <v>0</v>
      </c>
      <c r="L32" s="35" t="n">
        <f aca="false">ROUND($D32*J$23,0)</f>
        <v>18104</v>
      </c>
      <c r="M32" s="35" t="n">
        <f aca="false">MAX(0,L32-$E32)</f>
        <v>0</v>
      </c>
    </row>
    <row r="33" customFormat="false" ht="15" hidden="false" customHeight="false" outlineLevel="0" collapsed="false">
      <c r="A33" s="32" t="n">
        <v>7</v>
      </c>
      <c r="B33" s="32" t="s">
        <v>288</v>
      </c>
      <c r="C33" s="33" t="s">
        <v>289</v>
      </c>
      <c r="D33" s="62" t="n">
        <f aca="false">③石川以降予測!H36</f>
        <v>0.0184721038486586</v>
      </c>
      <c r="E33" s="35" t="n">
        <f aca="false">③石川以降予測!T36</f>
        <v>4348</v>
      </c>
      <c r="F33" s="35" t="n">
        <f aca="false">ROUND($D33*D$23,0)</f>
        <v>1511</v>
      </c>
      <c r="G33" s="35" t="n">
        <f aca="false">MAX(0,F33-$E33)</f>
        <v>0</v>
      </c>
      <c r="H33" s="35" t="n">
        <f aca="false">ROUND($D33*F$23,0)</f>
        <v>1576</v>
      </c>
      <c r="I33" s="35" t="n">
        <f aca="false">MAX(0,H33-$E33)</f>
        <v>0</v>
      </c>
      <c r="J33" s="35" t="n">
        <f aca="false">ROUND($D33*H$23,0)</f>
        <v>1158</v>
      </c>
      <c r="K33" s="35" t="n">
        <f aca="false">MAX(0,J33-$E33)</f>
        <v>0</v>
      </c>
      <c r="L33" s="35" t="n">
        <f aca="false">ROUND($D33*J$23,0)</f>
        <v>1511</v>
      </c>
      <c r="M33" s="35" t="n">
        <f aca="false">MAX(0,L33-$E33)</f>
        <v>0</v>
      </c>
    </row>
    <row r="34" customFormat="false" ht="15" hidden="false" customHeight="false" outlineLevel="0" collapsed="false">
      <c r="A34" s="32" t="n">
        <v>8</v>
      </c>
      <c r="B34" s="32" t="s">
        <v>290</v>
      </c>
      <c r="C34" s="33" t="s">
        <v>291</v>
      </c>
      <c r="D34" s="62" t="n">
        <f aca="false">③石川以降予測!H37</f>
        <v>0.0321542428874741</v>
      </c>
      <c r="E34" s="35" t="n">
        <f aca="false">③石川以降予測!T37</f>
        <v>8230</v>
      </c>
      <c r="F34" s="35" t="n">
        <f aca="false">ROUND($D34*D$23,0)</f>
        <v>2630</v>
      </c>
      <c r="G34" s="35" t="n">
        <f aca="false">MAX(0,F34-$E34)</f>
        <v>0</v>
      </c>
      <c r="H34" s="35" t="n">
        <f aca="false">ROUND($D34*F$23,0)</f>
        <v>2743</v>
      </c>
      <c r="I34" s="35" t="n">
        <f aca="false">MAX(0,H34-$E34)</f>
        <v>0</v>
      </c>
      <c r="J34" s="35" t="n">
        <f aca="false">ROUND($D34*H$23,0)</f>
        <v>2016</v>
      </c>
      <c r="K34" s="35" t="n">
        <f aca="false">MAX(0,J34-$E34)</f>
        <v>0</v>
      </c>
      <c r="L34" s="35" t="n">
        <f aca="false">ROUND($D34*J$23,0)</f>
        <v>2630</v>
      </c>
      <c r="M34" s="35" t="n">
        <f aca="false">MAX(0,L34-$E34)</f>
        <v>0</v>
      </c>
    </row>
    <row r="35" customFormat="false" ht="15" hidden="false" customHeight="false" outlineLevel="0" collapsed="false">
      <c r="A35" s="32" t="n">
        <v>9</v>
      </c>
      <c r="B35" s="32" t="s">
        <v>292</v>
      </c>
      <c r="C35" s="33" t="s">
        <v>293</v>
      </c>
      <c r="D35" s="62" t="n">
        <f aca="false">③石川以降予測!H38</f>
        <v>0.0131510196960047</v>
      </c>
      <c r="E35" s="35" t="n">
        <f aca="false">③石川以降予測!T38</f>
        <v>8631</v>
      </c>
      <c r="F35" s="35" t="n">
        <f aca="false">ROUND($D35*D$23,0)</f>
        <v>1076</v>
      </c>
      <c r="G35" s="35" t="n">
        <f aca="false">MAX(0,F35-$E35)</f>
        <v>0</v>
      </c>
      <c r="H35" s="35" t="n">
        <f aca="false">ROUND($D35*F$23,0)</f>
        <v>1122</v>
      </c>
      <c r="I35" s="35" t="n">
        <f aca="false">MAX(0,H35-$E35)</f>
        <v>0</v>
      </c>
      <c r="J35" s="35" t="n">
        <f aca="false">ROUND($D35*H$23,0)</f>
        <v>825</v>
      </c>
      <c r="K35" s="35" t="n">
        <f aca="false">MAX(0,J35-$E35)</f>
        <v>0</v>
      </c>
      <c r="L35" s="35" t="n">
        <f aca="false">ROUND($D35*J$23,0)</f>
        <v>1076</v>
      </c>
      <c r="M35" s="35" t="n">
        <f aca="false">MAX(0,L35-$E35)</f>
        <v>0</v>
      </c>
    </row>
    <row r="36" customFormat="false" ht="15" hidden="false" customHeight="false" outlineLevel="0" collapsed="false">
      <c r="A36" s="32" t="n">
        <v>10</v>
      </c>
      <c r="B36" s="32" t="s">
        <v>294</v>
      </c>
      <c r="C36" s="33" t="s">
        <v>295</v>
      </c>
      <c r="D36" s="62" t="n">
        <f aca="false">③石川以降予測!H39</f>
        <v>0.00491888528841784</v>
      </c>
      <c r="E36" s="35" t="n">
        <f aca="false">③石川以降予測!T39</f>
        <v>4887</v>
      </c>
      <c r="F36" s="35" t="n">
        <f aca="false">ROUND($D36*D$23,0)</f>
        <v>402</v>
      </c>
      <c r="G36" s="35" t="n">
        <f aca="false">MAX(0,F36-$E36)</f>
        <v>0</v>
      </c>
      <c r="H36" s="35" t="n">
        <f aca="false">ROUND($D36*F$23,0)</f>
        <v>420</v>
      </c>
      <c r="I36" s="35" t="n">
        <f aca="false">MAX(0,H36-$E36)</f>
        <v>0</v>
      </c>
      <c r="J36" s="35" t="n">
        <f aca="false">ROUND($D36*H$23,0)</f>
        <v>308</v>
      </c>
      <c r="K36" s="35" t="n">
        <f aca="false">MAX(0,J36-$E36)</f>
        <v>0</v>
      </c>
      <c r="L36" s="35" t="n">
        <f aca="false">ROUND($D36*J$23,0)</f>
        <v>402</v>
      </c>
      <c r="M36" s="35" t="n">
        <f aca="false">MAX(0,L36-$E36)</f>
        <v>0</v>
      </c>
    </row>
    <row r="37" customFormat="false" ht="15" hidden="false" customHeight="false" outlineLevel="0" collapsed="false">
      <c r="A37" s="32" t="n">
        <v>11</v>
      </c>
      <c r="B37" s="32" t="s">
        <v>296</v>
      </c>
      <c r="C37" s="33" t="s">
        <v>297</v>
      </c>
      <c r="D37" s="62" t="n">
        <f aca="false">③石川以降予測!H40</f>
        <v>0.00198485839569935</v>
      </c>
      <c r="E37" s="35" t="n">
        <f aca="false">③石川以降予測!T40</f>
        <v>616</v>
      </c>
      <c r="F37" s="35" t="n">
        <f aca="false">ROUND($D37*D$23,0)</f>
        <v>162</v>
      </c>
      <c r="G37" s="35" t="n">
        <f aca="false">MAX(0,F37-$E37)</f>
        <v>0</v>
      </c>
      <c r="H37" s="35" t="n">
        <f aca="false">ROUND($D37*F$23,0)</f>
        <v>169</v>
      </c>
      <c r="I37" s="35" t="n">
        <f aca="false">MAX(0,H37-$E37)</f>
        <v>0</v>
      </c>
      <c r="J37" s="35" t="n">
        <f aca="false">ROUND($D37*H$23,0)</f>
        <v>124</v>
      </c>
      <c r="K37" s="35" t="n">
        <f aca="false">MAX(0,J37-$E37)</f>
        <v>0</v>
      </c>
      <c r="L37" s="35" t="n">
        <f aca="false">ROUND($D37*J$23,0)</f>
        <v>162</v>
      </c>
      <c r="M37" s="35" t="n">
        <f aca="false">MAX(0,L37-$E37)</f>
        <v>0</v>
      </c>
    </row>
    <row r="38" customFormat="false" ht="15" hidden="false" customHeight="false" outlineLevel="0" collapsed="false">
      <c r="A38" s="32" t="n">
        <v>12</v>
      </c>
      <c r="B38" s="32" t="s">
        <v>298</v>
      </c>
      <c r="C38" s="33" t="s">
        <v>299</v>
      </c>
      <c r="D38" s="62" t="n">
        <f aca="false">③石川以降予測!H41</f>
        <v>0.00305898031117548</v>
      </c>
      <c r="E38" s="35" t="n">
        <f aca="false">③石川以降予測!T41</f>
        <v>919</v>
      </c>
      <c r="F38" s="35" t="n">
        <f aca="false">ROUND($D38*D$23,0)</f>
        <v>250</v>
      </c>
      <c r="G38" s="35" t="n">
        <f aca="false">MAX(0,F38-$E38)</f>
        <v>0</v>
      </c>
      <c r="H38" s="35" t="n">
        <f aca="false">ROUND($D38*F$23,0)</f>
        <v>261</v>
      </c>
      <c r="I38" s="35" t="n">
        <f aca="false">MAX(0,H38-$E38)</f>
        <v>0</v>
      </c>
      <c r="J38" s="35" t="n">
        <f aca="false">ROUND($D38*H$23,0)</f>
        <v>192</v>
      </c>
      <c r="K38" s="35" t="n">
        <f aca="false">MAX(0,J38-$E38)</f>
        <v>0</v>
      </c>
      <c r="L38" s="35" t="n">
        <f aca="false">ROUND($D38*J$23,0)</f>
        <v>250</v>
      </c>
      <c r="M38" s="35" t="n">
        <f aca="false">MAX(0,L38-$E38)</f>
        <v>0</v>
      </c>
    </row>
    <row r="39" customFormat="false" ht="15" hidden="false" customHeight="false" outlineLevel="0" collapsed="false">
      <c r="A39" s="32" t="n">
        <v>13</v>
      </c>
      <c r="B39" s="32" t="s">
        <v>300</v>
      </c>
      <c r="C39" s="33" t="s">
        <v>301</v>
      </c>
      <c r="D39" s="62" t="n">
        <f aca="false">③石川以降予測!H42</f>
        <v>0.000623349002921623</v>
      </c>
      <c r="E39" s="35" t="n">
        <f aca="false">③石川以降予測!T42</f>
        <v>315</v>
      </c>
      <c r="F39" s="35" t="n">
        <f aca="false">ROUND($D39*D$23,0)</f>
        <v>51</v>
      </c>
      <c r="G39" s="35" t="n">
        <f aca="false">MAX(0,F39-$E39)</f>
        <v>0</v>
      </c>
      <c r="H39" s="35" t="n">
        <f aca="false">ROUND($D39*F$23,0)</f>
        <v>53</v>
      </c>
      <c r="I39" s="35" t="n">
        <f aca="false">MAX(0,H39-$E39)</f>
        <v>0</v>
      </c>
      <c r="J39" s="35" t="n">
        <f aca="false">ROUND($D39*H$23,0)</f>
        <v>39</v>
      </c>
      <c r="K39" s="35" t="n">
        <f aca="false">MAX(0,J39-$E39)</f>
        <v>0</v>
      </c>
      <c r="L39" s="35" t="n">
        <f aca="false">ROUND($D39*J$23,0)</f>
        <v>51</v>
      </c>
      <c r="M39" s="35" t="n">
        <f aca="false">MAX(0,L39-$E39)</f>
        <v>0</v>
      </c>
    </row>
    <row r="40" customFormat="false" ht="15" hidden="false" customHeight="false" outlineLevel="0" collapsed="false">
      <c r="A40" s="32" t="n">
        <v>14</v>
      </c>
      <c r="B40" s="32" t="s">
        <v>302</v>
      </c>
      <c r="C40" s="33" t="s">
        <v>303</v>
      </c>
      <c r="D40" s="62" t="n">
        <f aca="false">③石川以降予測!H43</f>
        <v>0.0033191907340964</v>
      </c>
      <c r="E40" s="35" t="n">
        <f aca="false">③石川以降予測!T43</f>
        <v>1752</v>
      </c>
      <c r="F40" s="35" t="n">
        <f aca="false">ROUND($D40*D$23,0)</f>
        <v>271</v>
      </c>
      <c r="G40" s="35" t="n">
        <f aca="false">MAX(0,F40-$E40)</f>
        <v>0</v>
      </c>
      <c r="H40" s="35" t="n">
        <f aca="false">ROUND($D40*F$23,0)</f>
        <v>283</v>
      </c>
      <c r="I40" s="35" t="n">
        <f aca="false">MAX(0,H40-$E40)</f>
        <v>0</v>
      </c>
      <c r="J40" s="35" t="n">
        <f aca="false">ROUND($D40*H$23,0)</f>
        <v>208</v>
      </c>
      <c r="K40" s="35" t="n">
        <f aca="false">MAX(0,J40-$E40)</f>
        <v>0</v>
      </c>
      <c r="L40" s="35" t="n">
        <f aca="false">ROUND($D40*J$23,0)</f>
        <v>271</v>
      </c>
      <c r="M40" s="35" t="n">
        <f aca="false">MAX(0,L40-$E40)</f>
        <v>0</v>
      </c>
    </row>
    <row r="41" customFormat="false" ht="15" hidden="false" customHeight="false" outlineLevel="0" collapsed="false">
      <c r="A41" s="32" t="n">
        <v>15</v>
      </c>
      <c r="B41" s="32" t="s">
        <v>304</v>
      </c>
      <c r="C41" s="33" t="s">
        <v>305</v>
      </c>
      <c r="D41" s="62" t="n">
        <f aca="false">③石川以降予測!H44</f>
        <v>0.00492847085449398</v>
      </c>
      <c r="E41" s="35" t="n">
        <f aca="false">③石川以降予測!T44</f>
        <v>2072</v>
      </c>
      <c r="F41" s="35" t="n">
        <f aca="false">ROUND($D41*D$23,0)</f>
        <v>403</v>
      </c>
      <c r="G41" s="35" t="n">
        <f aca="false">MAX(0,F41-$E41)</f>
        <v>0</v>
      </c>
      <c r="H41" s="35" t="n">
        <f aca="false">ROUND($D41*F$23,0)</f>
        <v>420</v>
      </c>
      <c r="I41" s="35" t="n">
        <f aca="false">MAX(0,H41-$E41)</f>
        <v>0</v>
      </c>
      <c r="J41" s="35" t="n">
        <f aca="false">ROUND($D41*H$23,0)</f>
        <v>309</v>
      </c>
      <c r="K41" s="35" t="n">
        <f aca="false">MAX(0,J41-$E41)</f>
        <v>0</v>
      </c>
      <c r="L41" s="35" t="n">
        <f aca="false">ROUND($D41*J$23,0)</f>
        <v>403</v>
      </c>
      <c r="M41" s="35" t="n">
        <f aca="false">MAX(0,L41-$E41)</f>
        <v>0</v>
      </c>
    </row>
    <row r="42" customFormat="false" ht="15" hidden="false" customHeight="false" outlineLevel="0" collapsed="false">
      <c r="A42" s="32" t="n">
        <v>16</v>
      </c>
      <c r="B42" s="32" t="s">
        <v>306</v>
      </c>
      <c r="C42" s="33" t="s">
        <v>307</v>
      </c>
      <c r="D42" s="62" t="n">
        <f aca="false">③石川以降予測!H45</f>
        <v>0.00136800747315144</v>
      </c>
      <c r="E42" s="35" t="n">
        <f aca="false">③石川以降予測!T45</f>
        <v>757</v>
      </c>
      <c r="F42" s="35" t="n">
        <f aca="false">ROUND($D42*D$23,0)</f>
        <v>112</v>
      </c>
      <c r="G42" s="35" t="n">
        <f aca="false">MAX(0,F42-$E42)</f>
        <v>0</v>
      </c>
      <c r="H42" s="35" t="n">
        <f aca="false">ROUND($D42*F$23,0)</f>
        <v>117</v>
      </c>
      <c r="I42" s="35" t="n">
        <f aca="false">MAX(0,H42-$E42)</f>
        <v>0</v>
      </c>
      <c r="J42" s="35" t="n">
        <f aca="false">ROUND($D42*H$23,0)</f>
        <v>86</v>
      </c>
      <c r="K42" s="35" t="n">
        <f aca="false">MAX(0,J42-$E42)</f>
        <v>0</v>
      </c>
      <c r="L42" s="35" t="n">
        <f aca="false">ROUND($D42*J$23,0)</f>
        <v>112</v>
      </c>
      <c r="M42" s="35" t="n">
        <f aca="false">MAX(0,L42-$E42)</f>
        <v>0</v>
      </c>
    </row>
    <row r="43" customFormat="false" ht="15" hidden="false" customHeight="false" outlineLevel="0" collapsed="false">
      <c r="A43" s="32" t="n">
        <v>17</v>
      </c>
      <c r="B43" s="32" t="s">
        <v>308</v>
      </c>
      <c r="C43" s="33" t="s">
        <v>309</v>
      </c>
      <c r="D43" s="62" t="n">
        <f aca="false">③石川以降予測!H46</f>
        <v>0.00736774611389663</v>
      </c>
      <c r="E43" s="35" t="n">
        <f aca="false">③石川以降予測!T46</f>
        <v>2430</v>
      </c>
      <c r="F43" s="35" t="n">
        <f aca="false">ROUND($D43*D$23,0)</f>
        <v>603</v>
      </c>
      <c r="G43" s="35" t="n">
        <f aca="false">MAX(0,F43-$E43)</f>
        <v>0</v>
      </c>
      <c r="H43" s="35" t="n">
        <f aca="false">ROUND($D43*F$23,0)</f>
        <v>629</v>
      </c>
      <c r="I43" s="35" t="n">
        <f aca="false">MAX(0,H43-$E43)</f>
        <v>0</v>
      </c>
      <c r="J43" s="35" t="n">
        <f aca="false">ROUND($D43*H$23,0)</f>
        <v>462</v>
      </c>
      <c r="K43" s="35" t="n">
        <f aca="false">MAX(0,J43-$E43)</f>
        <v>0</v>
      </c>
      <c r="L43" s="35" t="n">
        <f aca="false">ROUND($D43*J$23,0)</f>
        <v>603</v>
      </c>
      <c r="M43" s="35" t="n">
        <f aca="false">MAX(0,L43-$E43)</f>
        <v>0</v>
      </c>
    </row>
    <row r="44" customFormat="false" ht="15" hidden="false" customHeight="false" outlineLevel="0" collapsed="false">
      <c r="A44" s="32" t="n">
        <v>18</v>
      </c>
      <c r="B44" s="32" t="s">
        <v>310</v>
      </c>
      <c r="C44" s="33" t="s">
        <v>311</v>
      </c>
      <c r="D44" s="62" t="n">
        <f aca="false">③石川以降予測!H47</f>
        <v>0.0391372200709547</v>
      </c>
      <c r="E44" s="35" t="n">
        <f aca="false">③石川以降予測!T47</f>
        <v>9318</v>
      </c>
      <c r="F44" s="35" t="n">
        <f aca="false">ROUND($D44*D$23,0)</f>
        <v>3201</v>
      </c>
      <c r="G44" s="35" t="n">
        <f aca="false">MAX(0,F44-$E44)</f>
        <v>0</v>
      </c>
      <c r="H44" s="35" t="n">
        <f aca="false">ROUND($D44*F$23,0)</f>
        <v>3339</v>
      </c>
      <c r="I44" s="35" t="n">
        <f aca="false">MAX(0,H44-$E44)</f>
        <v>0</v>
      </c>
      <c r="J44" s="35" t="n">
        <f aca="false">ROUND($D44*H$23,0)</f>
        <v>2454</v>
      </c>
      <c r="K44" s="35" t="n">
        <f aca="false">MAX(0,J44-$E44)</f>
        <v>0</v>
      </c>
      <c r="L44" s="35" t="n">
        <f aca="false">ROUND($D44*J$23,0)</f>
        <v>3201</v>
      </c>
      <c r="M44" s="35" t="n">
        <f aca="false">MAX(0,L44-$E44)</f>
        <v>0</v>
      </c>
    </row>
    <row r="45" customFormat="false" ht="15" hidden="false" customHeight="false" outlineLevel="0" collapsed="false">
      <c r="A45" s="32" t="n">
        <v>19</v>
      </c>
      <c r="B45" s="32" t="s">
        <v>312</v>
      </c>
      <c r="C45" s="33" t="s">
        <v>313</v>
      </c>
      <c r="D45" s="62" t="n">
        <f aca="false">③石川以降予測!H48</f>
        <v>0.00126832835625851</v>
      </c>
      <c r="E45" s="35" t="n">
        <f aca="false">③石川以降予測!T48</f>
        <v>2224</v>
      </c>
      <c r="F45" s="35" t="n">
        <f aca="false">ROUND($D45*D$23,0)</f>
        <v>104</v>
      </c>
      <c r="G45" s="35" t="n">
        <f aca="false">MAX(0,F45-$E45)</f>
        <v>0</v>
      </c>
      <c r="H45" s="35" t="n">
        <f aca="false">ROUND($D45*F$23,0)</f>
        <v>108</v>
      </c>
      <c r="I45" s="35" t="n">
        <f aca="false">MAX(0,H45-$E45)</f>
        <v>0</v>
      </c>
      <c r="J45" s="35" t="n">
        <f aca="false">ROUND($D45*H$23,0)</f>
        <v>80</v>
      </c>
      <c r="K45" s="35" t="n">
        <f aca="false">MAX(0,J45-$E45)</f>
        <v>0</v>
      </c>
      <c r="L45" s="35" t="n">
        <f aca="false">ROUND($D45*J$23,0)</f>
        <v>104</v>
      </c>
      <c r="M45" s="35" t="n">
        <f aca="false">MAX(0,L45-$E45)</f>
        <v>0</v>
      </c>
    </row>
    <row r="46" customFormat="false" ht="15" hidden="false" customHeight="false" outlineLevel="0" collapsed="false">
      <c r="A46" s="32" t="n">
        <v>20</v>
      </c>
      <c r="B46" s="32" t="s">
        <v>314</v>
      </c>
      <c r="C46" s="33" t="s">
        <v>315</v>
      </c>
      <c r="D46" s="62" t="n">
        <f aca="false">③石川以降予測!H49</f>
        <v>0.00113037877705409</v>
      </c>
      <c r="E46" s="35" t="n">
        <f aca="false">③石川以降予測!T49</f>
        <v>287</v>
      </c>
      <c r="F46" s="35" t="n">
        <f aca="false">ROUND($D46*D$23,0)</f>
        <v>92</v>
      </c>
      <c r="G46" s="35" t="n">
        <f aca="false">MAX(0,F46-$E46)</f>
        <v>0</v>
      </c>
      <c r="H46" s="35" t="n">
        <f aca="false">ROUND($D46*F$23,0)</f>
        <v>96</v>
      </c>
      <c r="I46" s="35" t="n">
        <f aca="false">MAX(0,H46-$E46)</f>
        <v>0</v>
      </c>
      <c r="J46" s="35" t="n">
        <f aca="false">ROUND($D46*H$23,0)</f>
        <v>71</v>
      </c>
      <c r="K46" s="35" t="n">
        <f aca="false">MAX(0,J46-$E46)</f>
        <v>0</v>
      </c>
      <c r="L46" s="35" t="n">
        <f aca="false">ROUND($D46*J$23,0)</f>
        <v>92</v>
      </c>
      <c r="M46" s="35" t="n">
        <f aca="false">MAX(0,L46-$E46)</f>
        <v>0</v>
      </c>
    </row>
    <row r="47" customFormat="false" ht="15" hidden="false" customHeight="false" outlineLevel="0" collapsed="false">
      <c r="A47" s="32" t="n">
        <v>21</v>
      </c>
      <c r="B47" s="32" t="s">
        <v>316</v>
      </c>
      <c r="C47" s="33" t="s">
        <v>317</v>
      </c>
      <c r="D47" s="62" t="n">
        <f aca="false">③石川以降予測!H50</f>
        <v>0.00712552209024218</v>
      </c>
      <c r="E47" s="35" t="n">
        <f aca="false">③石川以降予測!T50</f>
        <v>218</v>
      </c>
      <c r="F47" s="35" t="n">
        <f aca="false">ROUND($D47*D$23,0)</f>
        <v>583</v>
      </c>
      <c r="G47" s="35" t="n">
        <f aca="false">MAX(0,F47-$E47)</f>
        <v>365</v>
      </c>
      <c r="H47" s="35" t="n">
        <f aca="false">ROUND($D47*F$23,0)</f>
        <v>608</v>
      </c>
      <c r="I47" s="35" t="n">
        <f aca="false">MAX(0,H47-$E47)</f>
        <v>390</v>
      </c>
      <c r="J47" s="35" t="n">
        <f aca="false">ROUND($D47*H$23,0)</f>
        <v>447</v>
      </c>
      <c r="K47" s="35" t="n">
        <f aca="false">MAX(0,J47-$E47)</f>
        <v>229</v>
      </c>
      <c r="L47" s="35" t="n">
        <f aca="false">ROUND($D47*J$23,0)</f>
        <v>583</v>
      </c>
      <c r="M47" s="35" t="n">
        <f aca="false">MAX(0,L47-$E47)</f>
        <v>365</v>
      </c>
    </row>
    <row r="48" customFormat="false" ht="15" hidden="false" customHeight="false" outlineLevel="0" collapsed="false">
      <c r="A48" s="32" t="n">
        <v>22</v>
      </c>
      <c r="B48" s="32" t="s">
        <v>318</v>
      </c>
      <c r="C48" s="33" t="s">
        <v>319</v>
      </c>
      <c r="D48" s="62" t="n">
        <f aca="false">③石川以降予測!H51</f>
        <v>0.00431621525950317</v>
      </c>
      <c r="E48" s="35" t="n">
        <f aca="false">③石川以降予測!T51</f>
        <v>1279</v>
      </c>
      <c r="F48" s="35" t="n">
        <f aca="false">ROUND($D48*D$23,0)</f>
        <v>353</v>
      </c>
      <c r="G48" s="35" t="n">
        <f aca="false">MAX(0,F48-$E48)</f>
        <v>0</v>
      </c>
      <c r="H48" s="35" t="n">
        <f aca="false">ROUND($D48*F$23,0)</f>
        <v>368</v>
      </c>
      <c r="I48" s="35" t="n">
        <f aca="false">MAX(0,H48-$E48)</f>
        <v>0</v>
      </c>
      <c r="J48" s="35" t="n">
        <f aca="false">ROUND($D48*H$23,0)</f>
        <v>271</v>
      </c>
      <c r="K48" s="35" t="n">
        <f aca="false">MAX(0,J48-$E48)</f>
        <v>0</v>
      </c>
      <c r="L48" s="35" t="n">
        <f aca="false">ROUND($D48*J$23,0)</f>
        <v>353</v>
      </c>
      <c r="M48" s="35" t="n">
        <f aca="false">MAX(0,L48-$E48)</f>
        <v>0</v>
      </c>
    </row>
    <row r="49" customFormat="false" ht="15" hidden="false" customHeight="false" outlineLevel="0" collapsed="false">
      <c r="A49" s="32" t="n">
        <v>23</v>
      </c>
      <c r="B49" s="32" t="s">
        <v>320</v>
      </c>
      <c r="C49" s="33" t="s">
        <v>321</v>
      </c>
      <c r="D49" s="62" t="n">
        <f aca="false">③石川以降予測!H52</f>
        <v>0.219949034945312</v>
      </c>
      <c r="E49" s="35" t="n">
        <f aca="false">③石川以降予測!T52</f>
        <v>49718</v>
      </c>
      <c r="F49" s="35" t="n">
        <f aca="false">ROUND($D49*D$23,0)</f>
        <v>17991</v>
      </c>
      <c r="G49" s="35" t="n">
        <f aca="false">MAX(0,F49-$E49)</f>
        <v>0</v>
      </c>
      <c r="H49" s="35" t="n">
        <f aca="false">ROUND($D49*F$23,0)</f>
        <v>18764</v>
      </c>
      <c r="I49" s="35" t="n">
        <f aca="false">MAX(0,H49-$E49)</f>
        <v>0</v>
      </c>
      <c r="J49" s="35" t="n">
        <f aca="false">ROUND($D49*H$23,0)</f>
        <v>13791</v>
      </c>
      <c r="K49" s="35" t="n">
        <f aca="false">MAX(0,J49-$E49)</f>
        <v>0</v>
      </c>
      <c r="L49" s="35" t="n">
        <f aca="false">ROUND($D49*J$23,0)</f>
        <v>17991</v>
      </c>
      <c r="M49" s="35" t="n">
        <f aca="false">MAX(0,L49-$E49)</f>
        <v>0</v>
      </c>
    </row>
    <row r="50" customFormat="false" ht="15" hidden="false" customHeight="false" outlineLevel="0" collapsed="false">
      <c r="A50" s="32" t="n">
        <v>24</v>
      </c>
      <c r="B50" s="32" t="s">
        <v>322</v>
      </c>
      <c r="C50" s="33" t="s">
        <v>323</v>
      </c>
      <c r="D50" s="62" t="n">
        <f aca="false">③石川以降予測!H53</f>
        <v>0.124131590794697</v>
      </c>
      <c r="E50" s="35" t="n">
        <f aca="false">③石川以降予測!T53</f>
        <v>30991</v>
      </c>
      <c r="F50" s="35" t="n">
        <f aca="false">ROUND($D50*D$23,0)</f>
        <v>10153</v>
      </c>
      <c r="G50" s="35" t="n">
        <f aca="false">MAX(0,F50-$E50)</f>
        <v>0</v>
      </c>
      <c r="H50" s="35" t="n">
        <f aca="false">ROUND($D50*F$23,0)</f>
        <v>10590</v>
      </c>
      <c r="I50" s="35" t="n">
        <f aca="false">MAX(0,H50-$E50)</f>
        <v>0</v>
      </c>
      <c r="J50" s="35" t="n">
        <f aca="false">ROUND($D50*H$23,0)</f>
        <v>7783</v>
      </c>
      <c r="K50" s="35" t="n">
        <f aca="false">MAX(0,J50-$E50)</f>
        <v>0</v>
      </c>
      <c r="L50" s="35" t="n">
        <f aca="false">ROUND($D50*J$23,0)</f>
        <v>10153</v>
      </c>
      <c r="M50" s="35" t="n">
        <f aca="false">MAX(0,L50-$E50)</f>
        <v>0</v>
      </c>
    </row>
    <row r="51" customFormat="false" ht="15" hidden="false" customHeight="false" outlineLevel="0" collapsed="false">
      <c r="A51" s="32" t="n">
        <v>25</v>
      </c>
      <c r="B51" s="32" t="s">
        <v>324</v>
      </c>
      <c r="C51" s="33" t="s">
        <v>325</v>
      </c>
      <c r="D51" s="62" t="n">
        <f aca="false">③石川以降予測!H54</f>
        <v>0.00499542621304082</v>
      </c>
      <c r="E51" s="35" t="n">
        <f aca="false">③石川以降予測!T54</f>
        <v>3451</v>
      </c>
      <c r="F51" s="35" t="n">
        <f aca="false">ROUND($D51*D$23,0)</f>
        <v>409</v>
      </c>
      <c r="G51" s="35" t="n">
        <f aca="false">MAX(0,F51-$E51)</f>
        <v>0</v>
      </c>
      <c r="H51" s="35" t="n">
        <f aca="false">ROUND($D51*F$23,0)</f>
        <v>426</v>
      </c>
      <c r="I51" s="35" t="n">
        <f aca="false">MAX(0,H51-$E51)</f>
        <v>0</v>
      </c>
      <c r="J51" s="35" t="n">
        <f aca="false">ROUND($D51*H$23,0)</f>
        <v>313</v>
      </c>
      <c r="K51" s="35" t="n">
        <f aca="false">MAX(0,J51-$E51)</f>
        <v>0</v>
      </c>
      <c r="L51" s="35" t="n">
        <f aca="false">ROUND($D51*J$23,0)</f>
        <v>409</v>
      </c>
      <c r="M51" s="35" t="n">
        <f aca="false">MAX(0,L51-$E51)</f>
        <v>0</v>
      </c>
    </row>
    <row r="52" customFormat="false" ht="15" hidden="false" customHeight="false" outlineLevel="0" collapsed="false">
      <c r="A52" s="32" t="n">
        <v>26</v>
      </c>
      <c r="B52" s="32" t="s">
        <v>326</v>
      </c>
      <c r="C52" s="33" t="s">
        <v>327</v>
      </c>
      <c r="D52" s="62" t="n">
        <f aca="false">③石川以降予測!H55</f>
        <v>0.0155294427662723</v>
      </c>
      <c r="E52" s="35" t="n">
        <f aca="false">③石川以降予測!T55</f>
        <v>341</v>
      </c>
      <c r="F52" s="35" t="n">
        <f aca="false">ROUND($D52*D$23,0)</f>
        <v>1270</v>
      </c>
      <c r="G52" s="35" t="n">
        <f aca="false">MAX(0,F52-$E52)</f>
        <v>929</v>
      </c>
      <c r="H52" s="35" t="n">
        <f aca="false">ROUND($D52*F$23,0)</f>
        <v>1325</v>
      </c>
      <c r="I52" s="35" t="n">
        <f aca="false">MAX(0,H52-$E52)</f>
        <v>984</v>
      </c>
      <c r="J52" s="35" t="n">
        <f aca="false">ROUND($D52*H$23,0)</f>
        <v>974</v>
      </c>
      <c r="K52" s="35" t="n">
        <f aca="false">MAX(0,J52-$E52)</f>
        <v>633</v>
      </c>
      <c r="L52" s="35" t="n">
        <f aca="false">ROUND($D52*J$23,0)</f>
        <v>1270</v>
      </c>
      <c r="M52" s="35" t="n">
        <f aca="false">MAX(0,L52-$E52)</f>
        <v>929</v>
      </c>
    </row>
    <row r="53" customFormat="false" ht="15" hidden="false" customHeight="false" outlineLevel="0" collapsed="false">
      <c r="A53" s="32" t="n">
        <v>27</v>
      </c>
      <c r="B53" s="32" t="s">
        <v>328</v>
      </c>
      <c r="C53" s="33" t="s">
        <v>329</v>
      </c>
      <c r="D53" s="62" t="n">
        <f aca="false">③石川以降予測!H56</f>
        <v>0.00342576284232498</v>
      </c>
      <c r="E53" s="35" t="n">
        <f aca="false">③石川以降予測!T56</f>
        <v>1158</v>
      </c>
      <c r="F53" s="35" t="n">
        <f aca="false">ROUND($D53*D$23,0)</f>
        <v>280</v>
      </c>
      <c r="G53" s="35" t="n">
        <f aca="false">MAX(0,F53-$E53)</f>
        <v>0</v>
      </c>
      <c r="H53" s="35" t="n">
        <f aca="false">ROUND($D53*F$23,0)</f>
        <v>292</v>
      </c>
      <c r="I53" s="35" t="n">
        <f aca="false">MAX(0,H53-$E53)</f>
        <v>0</v>
      </c>
      <c r="J53" s="35" t="n">
        <f aca="false">ROUND($D53*H$23,0)</f>
        <v>215</v>
      </c>
      <c r="K53" s="35" t="n">
        <f aca="false">MAX(0,J53-$E53)</f>
        <v>0</v>
      </c>
      <c r="L53" s="35" t="n">
        <f aca="false">ROUND($D53*J$23,0)</f>
        <v>280</v>
      </c>
      <c r="M53" s="35" t="n">
        <f aca="false">MAX(0,L53-$E53)</f>
        <v>0</v>
      </c>
    </row>
    <row r="54" customFormat="false" ht="15" hidden="false" customHeight="false" outlineLevel="0" collapsed="false">
      <c r="A54" s="32" t="n">
        <v>28</v>
      </c>
      <c r="B54" s="32" t="s">
        <v>330</v>
      </c>
      <c r="C54" s="33" t="s">
        <v>331</v>
      </c>
      <c r="D54" s="62" t="n">
        <f aca="false">③石川以降予測!H57</f>
        <v>0.0154947265026183</v>
      </c>
      <c r="E54" s="35" t="n">
        <f aca="false">③石川以降予測!T57</f>
        <v>244</v>
      </c>
      <c r="F54" s="35" t="n">
        <f aca="false">ROUND($D54*D$23,0)</f>
        <v>1267</v>
      </c>
      <c r="G54" s="35" t="n">
        <f aca="false">MAX(0,F54-$E54)</f>
        <v>1023</v>
      </c>
      <c r="H54" s="35" t="n">
        <f aca="false">ROUND($D54*F$23,0)</f>
        <v>1322</v>
      </c>
      <c r="I54" s="35" t="n">
        <f aca="false">MAX(0,H54-$E54)</f>
        <v>1078</v>
      </c>
      <c r="J54" s="35" t="n">
        <f aca="false">ROUND($D54*H$23,0)</f>
        <v>972</v>
      </c>
      <c r="K54" s="35" t="n">
        <f aca="false">MAX(0,J54-$E54)</f>
        <v>728</v>
      </c>
      <c r="L54" s="35" t="n">
        <f aca="false">ROUND($D54*J$23,0)</f>
        <v>1267</v>
      </c>
      <c r="M54" s="35" t="n">
        <f aca="false">MAX(0,L54-$E54)</f>
        <v>1023</v>
      </c>
    </row>
    <row r="55" customFormat="false" ht="15" hidden="false" customHeight="false" outlineLevel="0" collapsed="false">
      <c r="A55" s="32" t="n">
        <v>29</v>
      </c>
      <c r="B55" s="32" t="s">
        <v>332</v>
      </c>
      <c r="C55" s="33" t="s">
        <v>333</v>
      </c>
      <c r="D55" s="62" t="n">
        <f aca="false">③石川以降予測!H58</f>
        <v>0.00769015501332286</v>
      </c>
      <c r="E55" s="35" t="n">
        <f aca="false">③石川以降予測!T58</f>
        <v>313</v>
      </c>
      <c r="F55" s="35" t="n">
        <f aca="false">ROUND($D55*D$23,0)</f>
        <v>629</v>
      </c>
      <c r="G55" s="35" t="n">
        <f aca="false">MAX(0,F55-$E55)</f>
        <v>316</v>
      </c>
      <c r="H55" s="35" t="n">
        <f aca="false">ROUND($D55*F$23,0)</f>
        <v>656</v>
      </c>
      <c r="I55" s="35" t="n">
        <f aca="false">MAX(0,H55-$E55)</f>
        <v>343</v>
      </c>
      <c r="J55" s="35" t="n">
        <f aca="false">ROUND($D55*H$23,0)</f>
        <v>482</v>
      </c>
      <c r="K55" s="35" t="n">
        <f aca="false">MAX(0,J55-$E55)</f>
        <v>169</v>
      </c>
      <c r="L55" s="35" t="n">
        <f aca="false">ROUND($D55*J$23,0)</f>
        <v>629</v>
      </c>
      <c r="M55" s="35" t="n">
        <f aca="false">MAX(0,L55-$E55)</f>
        <v>316</v>
      </c>
    </row>
    <row r="56" customFormat="false" ht="15" hidden="false" customHeight="false" outlineLevel="0" collapsed="false">
      <c r="A56" s="32" t="n">
        <v>30</v>
      </c>
      <c r="B56" s="32" t="s">
        <v>334</v>
      </c>
      <c r="C56" s="33" t="s">
        <v>335</v>
      </c>
      <c r="D56" s="62" t="n">
        <f aca="false">③石川以降予測!H59</f>
        <v>0.00521221438064678</v>
      </c>
      <c r="E56" s="35" t="n">
        <f aca="false">③石川以降予測!T59</f>
        <v>835</v>
      </c>
      <c r="F56" s="35" t="n">
        <f aca="false">ROUND($D56*D$23,0)</f>
        <v>426</v>
      </c>
      <c r="G56" s="35" t="n">
        <f aca="false">MAX(0,F56-$E56)</f>
        <v>0</v>
      </c>
      <c r="H56" s="35" t="n">
        <f aca="false">ROUND($D56*F$23,0)</f>
        <v>445</v>
      </c>
      <c r="I56" s="35" t="n">
        <f aca="false">MAX(0,H56-$E56)</f>
        <v>0</v>
      </c>
      <c r="J56" s="35" t="n">
        <f aca="false">ROUND($D56*H$23,0)</f>
        <v>327</v>
      </c>
      <c r="K56" s="35" t="n">
        <f aca="false">MAX(0,J56-$E56)</f>
        <v>0</v>
      </c>
      <c r="L56" s="35" t="n">
        <f aca="false">ROUND($D56*J$23,0)</f>
        <v>426</v>
      </c>
      <c r="M56" s="35" t="n">
        <f aca="false">MAX(0,L56-$E56)</f>
        <v>0</v>
      </c>
    </row>
    <row r="57" customFormat="false" ht="15" hidden="false" customHeight="false" outlineLevel="0" collapsed="false">
      <c r="A57" s="32" t="n">
        <v>31</v>
      </c>
      <c r="B57" s="32" t="s">
        <v>336</v>
      </c>
      <c r="C57" s="33" t="s">
        <v>337</v>
      </c>
      <c r="D57" s="62" t="n">
        <f aca="false">③石川以降予測!H60</f>
        <v>0.00832666173147634</v>
      </c>
      <c r="E57" s="35" t="n">
        <f aca="false">③石川以降予測!T60</f>
        <v>839</v>
      </c>
      <c r="F57" s="35" t="n">
        <f aca="false">ROUND($D57*D$23,0)</f>
        <v>681</v>
      </c>
      <c r="G57" s="35" t="n">
        <f aca="false">MAX(0,F57-$E57)</f>
        <v>0</v>
      </c>
      <c r="H57" s="35" t="n">
        <f aca="false">ROUND($D57*F$23,0)</f>
        <v>710</v>
      </c>
      <c r="I57" s="35" t="n">
        <f aca="false">MAX(0,H57-$E57)</f>
        <v>0</v>
      </c>
      <c r="J57" s="35" t="n">
        <f aca="false">ROUND($D57*H$23,0)</f>
        <v>522</v>
      </c>
      <c r="K57" s="35" t="n">
        <f aca="false">MAX(0,J57-$E57)</f>
        <v>0</v>
      </c>
      <c r="L57" s="35" t="n">
        <f aca="false">ROUND($D57*J$23,0)</f>
        <v>681</v>
      </c>
      <c r="M57" s="35" t="n">
        <f aca="false">MAX(0,L57-$E57)</f>
        <v>0</v>
      </c>
    </row>
    <row r="58" customFormat="false" ht="15" hidden="false" customHeight="false" outlineLevel="0" collapsed="false">
      <c r="A58" s="32" t="n">
        <v>32</v>
      </c>
      <c r="B58" s="32" t="s">
        <v>338</v>
      </c>
      <c r="C58" s="33" t="s">
        <v>339</v>
      </c>
      <c r="D58" s="62" t="n">
        <f aca="false">③石川以降予測!H61</f>
        <v>0.000885857089621094</v>
      </c>
      <c r="E58" s="35" t="n">
        <f aca="false">③石川以降予測!T61</f>
        <v>23</v>
      </c>
      <c r="F58" s="35" t="n">
        <f aca="false">ROUND($D58*D$23,0)</f>
        <v>72</v>
      </c>
      <c r="G58" s="35" t="n">
        <f aca="false">MAX(0,F58-$E58)</f>
        <v>49</v>
      </c>
      <c r="H58" s="35" t="n">
        <f aca="false">ROUND($D58*F$23,0)</f>
        <v>76</v>
      </c>
      <c r="I58" s="35" t="n">
        <f aca="false">MAX(0,H58-$E58)</f>
        <v>53</v>
      </c>
      <c r="J58" s="35" t="n">
        <f aca="false">ROUND($D58*H$23,0)</f>
        <v>56</v>
      </c>
      <c r="K58" s="35" t="n">
        <f aca="false">MAX(0,J58-$E58)</f>
        <v>33</v>
      </c>
      <c r="L58" s="35" t="n">
        <f aca="false">ROUND($D58*J$23,0)</f>
        <v>72</v>
      </c>
      <c r="M58" s="35" t="n">
        <f aca="false">MAX(0,L58-$E58)</f>
        <v>49</v>
      </c>
    </row>
    <row r="59" customFormat="false" ht="15" hidden="false" customHeight="false" outlineLevel="0" collapsed="false">
      <c r="A59" s="32" t="n">
        <v>33</v>
      </c>
      <c r="B59" s="32" t="s">
        <v>340</v>
      </c>
      <c r="C59" s="33" t="s">
        <v>341</v>
      </c>
      <c r="D59" s="62" t="n">
        <f aca="false">③石川以降予測!H62</f>
        <v>0.000164731722623157</v>
      </c>
      <c r="E59" s="35" t="n">
        <f aca="false">③石川以降予測!T62</f>
        <v>106</v>
      </c>
      <c r="F59" s="35" t="n">
        <f aca="false">ROUND($D59*D$23,0)</f>
        <v>13</v>
      </c>
      <c r="G59" s="35" t="n">
        <f aca="false">MAX(0,F59-$E59)</f>
        <v>0</v>
      </c>
      <c r="H59" s="35" t="n">
        <f aca="false">ROUND($D59*F$23,0)</f>
        <v>14</v>
      </c>
      <c r="I59" s="35" t="n">
        <f aca="false">MAX(0,H59-$E59)</f>
        <v>0</v>
      </c>
      <c r="J59" s="35" t="n">
        <f aca="false">ROUND($D59*H$23,0)</f>
        <v>10</v>
      </c>
      <c r="K59" s="35" t="n">
        <f aca="false">MAX(0,J59-$E59)</f>
        <v>0</v>
      </c>
      <c r="L59" s="35" t="n">
        <f aca="false">ROUND($D59*J$23,0)</f>
        <v>13</v>
      </c>
      <c r="M59" s="35" t="n">
        <f aca="false">MAX(0,L59-$E59)</f>
        <v>0</v>
      </c>
    </row>
    <row r="60" customFormat="false" ht="15" hidden="false" customHeight="false" outlineLevel="0" collapsed="false">
      <c r="A60" s="32" t="n">
        <v>34</v>
      </c>
      <c r="B60" s="32" t="s">
        <v>342</v>
      </c>
      <c r="C60" s="33" t="s">
        <v>343</v>
      </c>
      <c r="D60" s="62" t="n">
        <f aca="false">③石川以降予測!H63</f>
        <v>8.07413412181495E-005</v>
      </c>
      <c r="E60" s="35" t="n">
        <f aca="false">③石川以降予測!T63</f>
        <v>3</v>
      </c>
      <c r="F60" s="35" t="n">
        <f aca="false">ROUND($D60*D$23,0)</f>
        <v>7</v>
      </c>
      <c r="G60" s="35" t="n">
        <f aca="false">MAX(0,F60-$E60)</f>
        <v>4</v>
      </c>
      <c r="H60" s="35" t="n">
        <f aca="false">ROUND($D60*F$23,0)</f>
        <v>7</v>
      </c>
      <c r="I60" s="35" t="n">
        <f aca="false">MAX(0,H60-$E60)</f>
        <v>4</v>
      </c>
      <c r="J60" s="35" t="n">
        <f aca="false">ROUND($D60*H$23,0)</f>
        <v>5</v>
      </c>
      <c r="K60" s="35" t="n">
        <f aca="false">MAX(0,J60-$E60)</f>
        <v>2</v>
      </c>
      <c r="L60" s="35" t="n">
        <f aca="false">ROUND($D60*J$23,0)</f>
        <v>7</v>
      </c>
      <c r="M60" s="35" t="n">
        <f aca="false">MAX(0,L60-$E60)</f>
        <v>4</v>
      </c>
    </row>
    <row r="61" customFormat="false" ht="15" hidden="false" customHeight="false" outlineLevel="0" collapsed="false">
      <c r="A61" s="32" t="n">
        <v>35</v>
      </c>
      <c r="B61" s="32" t="s">
        <v>344</v>
      </c>
      <c r="C61" s="33" t="s">
        <v>345</v>
      </c>
      <c r="D61" s="62" t="n">
        <f aca="false">③石川以降予測!H64</f>
        <v>2.35331032318795E-005</v>
      </c>
      <c r="E61" s="35" t="n">
        <f aca="false">③石川以降予測!T64</f>
        <v>4</v>
      </c>
      <c r="F61" s="35" t="n">
        <f aca="false">ROUND($D61*D$23,0)</f>
        <v>2</v>
      </c>
      <c r="G61" s="35" t="n">
        <f aca="false">MAX(0,F61-$E61)</f>
        <v>0</v>
      </c>
      <c r="H61" s="35" t="n">
        <f aca="false">ROUND($D61*F$23,0)</f>
        <v>2</v>
      </c>
      <c r="I61" s="35" t="n">
        <f aca="false">MAX(0,H61-$E61)</f>
        <v>0</v>
      </c>
      <c r="J61" s="35" t="n">
        <f aca="false">ROUND($D61*H$23,0)</f>
        <v>1</v>
      </c>
      <c r="K61" s="35" t="n">
        <f aca="false">MAX(0,J61-$E61)</f>
        <v>0</v>
      </c>
      <c r="L61" s="35" t="n">
        <f aca="false">ROUND($D61*J$23,0)</f>
        <v>2</v>
      </c>
      <c r="M61" s="35" t="n">
        <f aca="false">MAX(0,L61-$E61)</f>
        <v>0</v>
      </c>
    </row>
    <row r="62" customFormat="false" ht="15" hidden="false" customHeight="false" outlineLevel="0" collapsed="false">
      <c r="A62" s="32" t="n">
        <v>36</v>
      </c>
      <c r="B62" s="32" t="s">
        <v>346</v>
      </c>
      <c r="C62" s="33" t="s">
        <v>347</v>
      </c>
      <c r="D62" s="62" t="n">
        <f aca="false">③石川以降予測!H65</f>
        <v>2.35331032318795E-005</v>
      </c>
      <c r="E62" s="35" t="n">
        <f aca="false">③石川以降予測!T65</f>
        <v>4</v>
      </c>
      <c r="F62" s="35" t="n">
        <f aca="false">ROUND($D62*D$23,0)</f>
        <v>2</v>
      </c>
      <c r="G62" s="35" t="n">
        <f aca="false">MAX(0,F62-$E62)</f>
        <v>0</v>
      </c>
      <c r="H62" s="35" t="n">
        <f aca="false">ROUND($D62*F$23,0)</f>
        <v>2</v>
      </c>
      <c r="I62" s="35" t="n">
        <f aca="false">MAX(0,H62-$E62)</f>
        <v>0</v>
      </c>
      <c r="J62" s="35" t="n">
        <f aca="false">ROUND($D62*H$23,0)</f>
        <v>1</v>
      </c>
      <c r="K62" s="35" t="n">
        <f aca="false">MAX(0,J62-$E62)</f>
        <v>0</v>
      </c>
      <c r="L62" s="35" t="n">
        <f aca="false">ROUND($D62*J$23,0)</f>
        <v>2</v>
      </c>
      <c r="M62" s="35" t="n">
        <f aca="false">MAX(0,L62-$E62)</f>
        <v>0</v>
      </c>
    </row>
    <row r="63" customFormat="false" ht="15" hidden="false" customHeight="false" outlineLevel="0" collapsed="false">
      <c r="A63" s="32" t="n">
        <v>37</v>
      </c>
      <c r="B63" s="32" t="s">
        <v>348</v>
      </c>
      <c r="C63" s="33" t="s">
        <v>349</v>
      </c>
      <c r="D63" s="62" t="n">
        <f aca="false">③石川以降予測!H66</f>
        <v>0.000203953561342956</v>
      </c>
      <c r="E63" s="35" t="n">
        <f aca="false">③石川以降予測!T66</f>
        <v>43</v>
      </c>
      <c r="F63" s="35" t="n">
        <f aca="false">ROUND($D63*D$23,0)</f>
        <v>17</v>
      </c>
      <c r="G63" s="35" t="n">
        <f aca="false">MAX(0,F63-$E63)</f>
        <v>0</v>
      </c>
      <c r="H63" s="35" t="n">
        <f aca="false">ROUND($D63*F$23,0)</f>
        <v>17</v>
      </c>
      <c r="I63" s="35" t="n">
        <f aca="false">MAX(0,H63-$E63)</f>
        <v>0</v>
      </c>
      <c r="J63" s="35" t="n">
        <f aca="false">ROUND($D63*H$23,0)</f>
        <v>13</v>
      </c>
      <c r="K63" s="35" t="n">
        <f aca="false">MAX(0,J63-$E63)</f>
        <v>0</v>
      </c>
      <c r="L63" s="35" t="n">
        <f aca="false">ROUND($D63*J$23,0)</f>
        <v>17</v>
      </c>
      <c r="M63" s="35" t="n">
        <f aca="false">MAX(0,L63-$E63)</f>
        <v>0</v>
      </c>
    </row>
    <row r="64" customFormat="false" ht="15" hidden="false" customHeight="false" outlineLevel="0" collapsed="false">
      <c r="A64" s="32" t="n">
        <v>38</v>
      </c>
      <c r="B64" s="32" t="s">
        <v>350</v>
      </c>
      <c r="C64" s="33" t="s">
        <v>351</v>
      </c>
      <c r="D64" s="62" t="n">
        <f aca="false">③石川以降予測!H67</f>
        <v>0.00013794957920442</v>
      </c>
      <c r="E64" s="35" t="n">
        <f aca="false">③石川以降予測!T67</f>
        <v>2</v>
      </c>
      <c r="F64" s="35" t="n">
        <f aca="false">ROUND($D64*D$23,0)</f>
        <v>11</v>
      </c>
      <c r="G64" s="35" t="n">
        <f aca="false">MAX(0,F64-$E64)</f>
        <v>9</v>
      </c>
      <c r="H64" s="35" t="n">
        <f aca="false">ROUND($D64*F$23,0)</f>
        <v>12</v>
      </c>
      <c r="I64" s="35" t="n">
        <f aca="false">MAX(0,H64-$E64)</f>
        <v>10</v>
      </c>
      <c r="J64" s="35" t="n">
        <f aca="false">ROUND($D64*H$23,0)</f>
        <v>9</v>
      </c>
      <c r="K64" s="35" t="n">
        <f aca="false">MAX(0,J64-$E64)</f>
        <v>7</v>
      </c>
      <c r="L64" s="35" t="n">
        <f aca="false">ROUND($D64*J$23,0)</f>
        <v>11</v>
      </c>
      <c r="M64" s="35" t="n">
        <f aca="false">MAX(0,L64-$E64)</f>
        <v>9</v>
      </c>
    </row>
    <row r="65" customFormat="false" ht="15" hidden="false" customHeight="false" outlineLevel="0" collapsed="false">
      <c r="A65" s="32" t="n">
        <v>39</v>
      </c>
      <c r="B65" s="32" t="s">
        <v>352</v>
      </c>
      <c r="C65" s="33" t="s">
        <v>353</v>
      </c>
      <c r="D65" s="62" t="n">
        <f aca="false">③石川以降予測!H68</f>
        <v>8.07413412181495E-005</v>
      </c>
      <c r="E65" s="35" t="n">
        <f aca="false">③石川以降予測!T68</f>
        <v>4</v>
      </c>
      <c r="F65" s="35" t="n">
        <f aca="false">ROUND($D65*D$23,0)</f>
        <v>7</v>
      </c>
      <c r="G65" s="35" t="n">
        <f aca="false">MAX(0,F65-$E65)</f>
        <v>3</v>
      </c>
      <c r="H65" s="35" t="n">
        <f aca="false">ROUND($D65*F$23,0)</f>
        <v>7</v>
      </c>
      <c r="I65" s="35" t="n">
        <f aca="false">MAX(0,H65-$E65)</f>
        <v>3</v>
      </c>
      <c r="J65" s="35" t="n">
        <f aca="false">ROUND($D65*H$23,0)</f>
        <v>5</v>
      </c>
      <c r="K65" s="35" t="n">
        <f aca="false">MAX(0,J65-$E65)</f>
        <v>1</v>
      </c>
      <c r="L65" s="35" t="n">
        <f aca="false">ROUND($D65*J$23,0)</f>
        <v>7</v>
      </c>
      <c r="M65" s="35" t="n">
        <f aca="false">MAX(0,L65-$E65)</f>
        <v>3</v>
      </c>
    </row>
    <row r="66" customFormat="false" ht="15" hidden="false" customHeight="false" outlineLevel="0" collapsed="false">
      <c r="A66" s="32" t="n">
        <v>40</v>
      </c>
      <c r="B66" s="32" t="s">
        <v>354</v>
      </c>
      <c r="C66" s="33" t="s">
        <v>355</v>
      </c>
      <c r="D66" s="62" t="n">
        <f aca="false">③石川以降予測!H69</f>
        <v>2.35331032318795E-005</v>
      </c>
      <c r="E66" s="35" t="n">
        <f aca="false">③石川以降予測!T69</f>
        <v>4</v>
      </c>
      <c r="F66" s="35" t="n">
        <f aca="false">ROUND($D66*D$23,0)</f>
        <v>2</v>
      </c>
      <c r="G66" s="35" t="n">
        <f aca="false">MAX(0,F66-$E66)</f>
        <v>0</v>
      </c>
      <c r="H66" s="35" t="n">
        <f aca="false">ROUND($D66*F$23,0)</f>
        <v>2</v>
      </c>
      <c r="I66" s="35" t="n">
        <f aca="false">MAX(0,H66-$E66)</f>
        <v>0</v>
      </c>
      <c r="J66" s="35" t="n">
        <f aca="false">ROUND($D66*H$23,0)</f>
        <v>1</v>
      </c>
      <c r="K66" s="35" t="n">
        <f aca="false">MAX(0,J66-$E66)</f>
        <v>0</v>
      </c>
      <c r="L66" s="35" t="n">
        <f aca="false">ROUND($D66*J$23,0)</f>
        <v>2</v>
      </c>
      <c r="M66" s="35" t="n">
        <f aca="false">MAX(0,L66-$E66)</f>
        <v>0</v>
      </c>
    </row>
    <row r="67" customFormat="false" ht="15" hidden="false" customHeight="false" outlineLevel="0" collapsed="false">
      <c r="A67" s="32" t="n">
        <v>41</v>
      </c>
      <c r="B67" s="32" t="s">
        <v>356</v>
      </c>
      <c r="C67" s="33" t="s">
        <v>357</v>
      </c>
      <c r="D67" s="62" t="n">
        <f aca="false">③石川以降予測!H70</f>
        <v>1.56887354879197E-005</v>
      </c>
      <c r="E67" s="35" t="n">
        <f aca="false">③石川以降予測!T70</f>
        <v>74</v>
      </c>
      <c r="F67" s="35" t="n">
        <f aca="false">ROUND($D67*D$23,0)</f>
        <v>1</v>
      </c>
      <c r="G67" s="35" t="n">
        <f aca="false">MAX(0,F67-$E67)</f>
        <v>0</v>
      </c>
      <c r="H67" s="35" t="n">
        <f aca="false">ROUND($D67*F$23,0)</f>
        <v>1</v>
      </c>
      <c r="I67" s="35" t="n">
        <f aca="false">MAX(0,H67-$E67)</f>
        <v>0</v>
      </c>
      <c r="J67" s="35" t="n">
        <f aca="false">ROUND($D67*H$23,0)</f>
        <v>1</v>
      </c>
      <c r="K67" s="35" t="n">
        <f aca="false">MAX(0,J67-$E67)</f>
        <v>0</v>
      </c>
      <c r="L67" s="35" t="n">
        <f aca="false">ROUND($D67*J$23,0)</f>
        <v>1</v>
      </c>
      <c r="M67" s="35" t="n">
        <f aca="false">MAX(0,L67-$E67)</f>
        <v>0</v>
      </c>
    </row>
    <row r="68" customFormat="false" ht="15" hidden="false" customHeight="false" outlineLevel="0" collapsed="false">
      <c r="A68" s="32" t="n">
        <v>42</v>
      </c>
      <c r="B68" s="32" t="s">
        <v>358</v>
      </c>
      <c r="C68" s="33" t="s">
        <v>359</v>
      </c>
      <c r="D68" s="62" t="n">
        <f aca="false">③石川以降予測!H71</f>
        <v>0.000177171417924219</v>
      </c>
      <c r="E68" s="35" t="n">
        <f aca="false">③石川以降予測!T71</f>
        <v>47</v>
      </c>
      <c r="F68" s="35" t="n">
        <f aca="false">ROUND($D68*D$23,0)</f>
        <v>14</v>
      </c>
      <c r="G68" s="35" t="n">
        <f aca="false">MAX(0,F68-$E68)</f>
        <v>0</v>
      </c>
      <c r="H68" s="35" t="n">
        <f aca="false">ROUND($D68*F$23,0)</f>
        <v>15</v>
      </c>
      <c r="I68" s="35" t="n">
        <f aca="false">MAX(0,H68-$E68)</f>
        <v>0</v>
      </c>
      <c r="J68" s="35" t="n">
        <f aca="false">ROUND($D68*H$23,0)</f>
        <v>11</v>
      </c>
      <c r="K68" s="35" t="n">
        <f aca="false">MAX(0,J68-$E68)</f>
        <v>0</v>
      </c>
      <c r="L68" s="35" t="n">
        <f aca="false">ROUND($D68*J$23,0)</f>
        <v>14</v>
      </c>
      <c r="M68" s="35" t="n">
        <f aca="false">MAX(0,L68-$E68)</f>
        <v>0</v>
      </c>
    </row>
    <row r="69" customFormat="false" ht="15" hidden="false" customHeight="false" outlineLevel="0" collapsed="false">
      <c r="A69" s="40"/>
      <c r="B69" s="40"/>
      <c r="C69" s="41" t="s">
        <v>360</v>
      </c>
      <c r="D69" s="63" t="n">
        <f aca="false">SUM(D27:D68)</f>
        <v>1</v>
      </c>
      <c r="E69" s="42" t="n">
        <f aca="false">SUM(E27:E68)</f>
        <v>265948</v>
      </c>
      <c r="F69" s="42" t="n">
        <f aca="false">SUM(F27:F68)</f>
        <v>81793</v>
      </c>
      <c r="G69" s="42" t="n">
        <f aca="false">SUM(G27:G68)</f>
        <v>3578</v>
      </c>
      <c r="H69" s="42" t="n">
        <f aca="false">SUM(H27:H68)</f>
        <v>85309</v>
      </c>
      <c r="I69" s="42" t="n">
        <f aca="false">SUM(I27:I68)</f>
        <v>3903</v>
      </c>
      <c r="J69" s="42" t="n">
        <f aca="false">SUM(J27:J68)</f>
        <v>62701</v>
      </c>
      <c r="K69" s="42" t="n">
        <f aca="false">SUM(K27:K68)</f>
        <v>1824</v>
      </c>
      <c r="L69" s="42" t="n">
        <f aca="false">SUM(L27:L68)</f>
        <v>81793</v>
      </c>
      <c r="M69" s="42" t="n">
        <f aca="false">SUM(M27:M68)</f>
        <v>3578</v>
      </c>
    </row>
    <row r="71" customFormat="false" ht="15" hidden="false" customHeight="false" outlineLevel="0" collapsed="false">
      <c r="A71" s="4" t="s">
        <v>797</v>
      </c>
    </row>
    <row r="72" customFormat="false" ht="15" hidden="false" customHeight="false" outlineLevel="0" collapsed="false">
      <c r="A72" s="26" t="s">
        <v>364</v>
      </c>
      <c r="B72" s="17" t="s">
        <v>205</v>
      </c>
      <c r="C72" s="17" t="s">
        <v>206</v>
      </c>
      <c r="D72" s="17" t="s">
        <v>207</v>
      </c>
      <c r="E72" s="17" t="s">
        <v>208</v>
      </c>
    </row>
    <row r="73" customFormat="false" ht="15" hidden="false" customHeight="false" outlineLevel="0" collapsed="false">
      <c r="A73" s="49" t="s">
        <v>798</v>
      </c>
      <c r="B73" s="35" t="n">
        <f aca="false">F69</f>
        <v>81793</v>
      </c>
      <c r="C73" s="35" t="n">
        <f aca="false">H69</f>
        <v>85309</v>
      </c>
      <c r="D73" s="35" t="n">
        <f aca="false">J69</f>
        <v>62701</v>
      </c>
      <c r="E73" s="35" t="n">
        <f aca="false">L69</f>
        <v>81793</v>
      </c>
    </row>
    <row r="74" customFormat="false" ht="15" hidden="false" customHeight="false" outlineLevel="0" collapsed="false">
      <c r="A74" s="49" t="s">
        <v>799</v>
      </c>
      <c r="B74" s="35" t="n">
        <f aca="false">$E$69</f>
        <v>265948</v>
      </c>
      <c r="C74" s="35" t="n">
        <f aca="false">$E$69</f>
        <v>265948</v>
      </c>
      <c r="D74" s="35" t="n">
        <f aca="false">$E$69</f>
        <v>265948</v>
      </c>
      <c r="E74" s="35" t="n">
        <f aca="false">$E$69</f>
        <v>265948</v>
      </c>
    </row>
    <row r="75" customFormat="false" ht="15" hidden="false" customHeight="false" outlineLevel="0" collapsed="false">
      <c r="A75" s="49" t="s">
        <v>800</v>
      </c>
      <c r="B75" s="38" t="n">
        <f aca="false">B74-B73</f>
        <v>184155</v>
      </c>
      <c r="C75" s="38" t="n">
        <f aca="false">C74-C73</f>
        <v>180639</v>
      </c>
      <c r="D75" s="38" t="n">
        <f aca="false">D74-D73</f>
        <v>203247</v>
      </c>
      <c r="E75" s="38" t="n">
        <f aca="false">E74-E73</f>
        <v>184155</v>
      </c>
    </row>
    <row r="76" customFormat="false" ht="15" hidden="false" customHeight="false" outlineLevel="0" collapsed="false">
      <c r="A76" s="94" t="s">
        <v>801</v>
      </c>
      <c r="B76" s="95" t="n">
        <f aca="false">G69</f>
        <v>3578</v>
      </c>
      <c r="C76" s="95" t="n">
        <f aca="false">I69</f>
        <v>3903</v>
      </c>
      <c r="D76" s="95" t="n">
        <f aca="false">K69</f>
        <v>1824</v>
      </c>
      <c r="E76" s="95" t="n">
        <f aca="false">M69</f>
        <v>3578</v>
      </c>
    </row>
    <row r="77" customFormat="false" ht="15" hidden="false" customHeight="false" outlineLevel="0" collapsed="false">
      <c r="A77" s="49" t="s">
        <v>802</v>
      </c>
      <c r="B77" s="32" t="str">
        <f aca="false">COUNTIF(G27:G68,"&gt;0")&amp;"品目"</f>
        <v>9品目</v>
      </c>
      <c r="C77" s="32" t="str">
        <f aca="false">COUNTIF(I27:I68,"&gt;0")&amp;"品目"</f>
        <v>9品目</v>
      </c>
      <c r="D77" s="32" t="str">
        <f aca="false">COUNTIF(K27:K68,"&gt;0")&amp;"品目"</f>
        <v>9品目</v>
      </c>
      <c r="E77" s="32" t="str">
        <f aca="false">COUNTIF(M27:M68,"&gt;0")&amp;"品目"</f>
        <v>9品目</v>
      </c>
    </row>
    <row r="78" customFormat="false" ht="15" hidden="false" customHeight="false" outlineLevel="0" collapsed="false">
      <c r="A78" s="49" t="s">
        <v>803</v>
      </c>
      <c r="B78" s="35" t="n">
        <f aca="false">ROUNDUP(G69*(1+前提・入力!$B$35),0)</f>
        <v>3936</v>
      </c>
      <c r="C78" s="35" t="n">
        <f aca="false">ROUNDUP(I69*(1+前提・入力!$B$35),0)</f>
        <v>4294</v>
      </c>
      <c r="D78" s="35" t="n">
        <f aca="false">ROUNDUP(K69*(1+前提・入力!$B$35),0)</f>
        <v>2007</v>
      </c>
      <c r="E78" s="35" t="n">
        <f aca="false">ROUNDUP(M69*(1+前提・入力!$B$35),0)</f>
        <v>3936</v>
      </c>
    </row>
    <row r="80" customFormat="false" ht="15" hidden="false" customHeight="false" outlineLevel="0" collapsed="false">
      <c r="A80" s="5" t="s">
        <v>804</v>
      </c>
      <c r="B80" s="88" t="s">
        <v>805</v>
      </c>
      <c r="C80" s="88"/>
      <c r="D80" s="88"/>
      <c r="E80" s="88"/>
      <c r="F80" s="88"/>
      <c r="G80" s="88"/>
      <c r="H80" s="88"/>
      <c r="I80" s="88"/>
      <c r="J80" s="88"/>
    </row>
    <row r="81" customFormat="false" ht="15" hidden="false" customHeight="false" outlineLevel="0" collapsed="false">
      <c r="A81" s="5"/>
      <c r="B81" s="88" t="s">
        <v>806</v>
      </c>
      <c r="C81" s="88"/>
      <c r="D81" s="88"/>
      <c r="E81" s="88"/>
      <c r="F81" s="88"/>
      <c r="G81" s="88"/>
      <c r="H81" s="88"/>
      <c r="I81" s="88"/>
      <c r="J81" s="88"/>
    </row>
    <row r="82" customFormat="false" ht="15" hidden="false" customHeight="false" outlineLevel="0" collapsed="false">
      <c r="A82" s="5" t="s">
        <v>807</v>
      </c>
      <c r="B82" s="88" t="s">
        <v>808</v>
      </c>
      <c r="C82" s="88"/>
      <c r="D82" s="88"/>
      <c r="E82" s="88"/>
      <c r="F82" s="88"/>
      <c r="G82" s="88"/>
      <c r="H82" s="88"/>
      <c r="I82" s="88"/>
      <c r="J82" s="88"/>
    </row>
    <row r="83" customFormat="false" ht="15" hidden="false" customHeight="false" outlineLevel="0" collapsed="false">
      <c r="A83" s="5"/>
      <c r="B83" s="88" t="s">
        <v>809</v>
      </c>
      <c r="C83" s="88"/>
      <c r="D83" s="88"/>
      <c r="E83" s="88"/>
      <c r="F83" s="88"/>
      <c r="G83" s="88"/>
      <c r="H83" s="88"/>
      <c r="I83" s="88"/>
      <c r="J83" s="88"/>
    </row>
    <row r="84" customFormat="false" ht="15" hidden="false" customHeight="false" outlineLevel="0" collapsed="false">
      <c r="A84" s="5"/>
      <c r="B84" s="88" t="s">
        <v>810</v>
      </c>
      <c r="C84" s="88"/>
      <c r="D84" s="88"/>
      <c r="E84" s="88"/>
      <c r="F84" s="88"/>
      <c r="G84" s="88"/>
      <c r="H84" s="88"/>
      <c r="I84" s="88"/>
      <c r="J84" s="88"/>
    </row>
  </sheetData>
  <mergeCells count="5">
    <mergeCell ref="B80:J80"/>
    <mergeCell ref="B81:J81"/>
    <mergeCell ref="B82:J82"/>
    <mergeCell ref="B83:J83"/>
    <mergeCell ref="B84:J84"/>
  </mergeCells>
  <conditionalFormatting sqref="F8:F14">
    <cfRule type="expression" priority="2" aboveAverage="0" equalAverage="0" bottom="0" percent="0" rank="0" text="" dxfId="3">
      <formula>AND(ISNUMBER($F8),$F8&lt;0.8)</formula>
    </cfRule>
  </conditionalFormatting>
  <conditionalFormatting sqref="G27:G68">
    <cfRule type="expression" priority="3" aboveAverage="0" equalAverage="0" bottom="0" percent="0" rank="0" text="" dxfId="3">
      <formula>$G27&gt;0</formula>
    </cfRule>
  </conditionalFormatting>
  <conditionalFormatting sqref="I27:I68">
    <cfRule type="expression" priority="4" aboveAverage="0" equalAverage="0" bottom="0" percent="0" rank="0" text="" dxfId="3">
      <formula>$I27&gt;0</formula>
    </cfRule>
  </conditionalFormatting>
  <conditionalFormatting sqref="K27:K68">
    <cfRule type="expression" priority="5" aboveAverage="0" equalAverage="0" bottom="0" percent="0" rank="0" text="" dxfId="3">
      <formula>$K27&gt;0</formula>
    </cfRule>
  </conditionalFormatting>
  <conditionalFormatting sqref="M27:M68">
    <cfRule type="expression" priority="6" aboveAverage="0" equalAverage="0" bottom="0" percent="0" rank="0" text="" dxfId="3">
      <formula>$M27&gt;0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8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8" topLeftCell="E9" activePane="bottomRight" state="frozen"/>
      <selection pane="topLeft" activeCell="A1" activeCellId="0" sqref="A1"/>
      <selection pane="topRight" activeCell="E1" activeCellId="0" sqref="E1"/>
      <selection pane="bottomLeft" activeCell="A9" activeCellId="0" sqref="A9"/>
      <selection pane="bottomRigh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18"/>
    <col collapsed="false" customWidth="true" hidden="false" outlineLevel="0" max="3" min="3" style="0" width="42"/>
    <col collapsed="false" customWidth="true" hidden="false" outlineLevel="0" max="4" min="4" style="0" width="14"/>
    <col collapsed="false" customWidth="true" hidden="false" outlineLevel="0" max="5" min="5" style="0" width="16"/>
    <col collapsed="false" customWidth="true" hidden="false" outlineLevel="0" max="7" min="6" style="0" width="14"/>
    <col collapsed="false" customWidth="true" hidden="false" outlineLevel="0" max="8" min="8" style="0" width="16"/>
    <col collapsed="false" customWidth="true" hidden="false" outlineLevel="0" max="10" min="9" style="0" width="14"/>
    <col collapsed="false" customWidth="true" hidden="false" outlineLevel="0" max="11" min="11" style="0" width="12"/>
    <col collapsed="false" customWidth="true" hidden="false" outlineLevel="0" max="16" min="12" style="0" width="13"/>
    <col collapsed="false" customWidth="true" hidden="false" outlineLevel="0" max="17" min="17" style="0" width="52"/>
    <col collapsed="false" customWidth="true" hidden="false" outlineLevel="0" max="18" min="18" style="0" width="12"/>
    <col collapsed="false" customWidth="true" hidden="false" outlineLevel="0" max="19" min="19" style="0" width="13"/>
    <col collapsed="false" customWidth="true" hidden="false" outlineLevel="0" max="20" min="20" style="0" width="12"/>
    <col collapsed="false" customWidth="true" hidden="false" outlineLevel="0" max="21" min="21" style="0" width="13"/>
    <col collapsed="false" customWidth="true" hidden="false" outlineLevel="0" max="22" min="22" style="0" width="12"/>
    <col collapsed="false" customWidth="true" hidden="false" outlineLevel="0" max="23" min="23" style="0" width="16"/>
    <col collapsed="false" customWidth="true" hidden="false" outlineLevel="0" max="24" min="24" style="0" width="40"/>
  </cols>
  <sheetData>
    <row r="1" customFormat="false" ht="18.55" hidden="false" customHeight="false" outlineLevel="0" collapsed="false">
      <c r="A1" s="1" t="s">
        <v>811</v>
      </c>
    </row>
    <row r="2" customFormat="false" ht="15" hidden="false" customHeight="false" outlineLevel="0" collapsed="false">
      <c r="A2" s="3" t="s">
        <v>812</v>
      </c>
    </row>
    <row r="3" customFormat="false" ht="15" hidden="false" customHeight="false" outlineLevel="0" collapsed="false">
      <c r="A3" s="3" t="s">
        <v>813</v>
      </c>
    </row>
    <row r="5" customFormat="false" ht="15" hidden="false" customHeight="false" outlineLevel="0" collapsed="false">
      <c r="A5" s="4" t="s">
        <v>814</v>
      </c>
    </row>
    <row r="6" customFormat="false" ht="15" hidden="false" customHeight="false" outlineLevel="0" collapsed="false">
      <c r="A6" s="26" t="s">
        <v>815</v>
      </c>
      <c r="B6" s="26" t="s">
        <v>816</v>
      </c>
      <c r="C6" s="26" t="s">
        <v>817</v>
      </c>
      <c r="D6" s="26" t="s">
        <v>419</v>
      </c>
    </row>
    <row r="7" customFormat="false" ht="15" hidden="false" customHeight="false" outlineLevel="0" collapsed="false">
      <c r="A7" s="33" t="s">
        <v>818</v>
      </c>
      <c r="B7" s="32" t="s">
        <v>819</v>
      </c>
      <c r="C7" s="33" t="s">
        <v>820</v>
      </c>
      <c r="D7" s="54"/>
    </row>
    <row r="8" customFormat="false" ht="15" hidden="false" customHeight="false" outlineLevel="0" collapsed="false">
      <c r="A8" s="33" t="s">
        <v>323</v>
      </c>
      <c r="B8" s="32" t="s">
        <v>821</v>
      </c>
      <c r="C8" s="33" t="s">
        <v>822</v>
      </c>
      <c r="D8" s="54"/>
    </row>
    <row r="9" customFormat="false" ht="15" hidden="false" customHeight="false" outlineLevel="0" collapsed="false">
      <c r="A9" s="33" t="s">
        <v>331</v>
      </c>
      <c r="B9" s="32" t="s">
        <v>823</v>
      </c>
      <c r="C9" s="33" t="s">
        <v>824</v>
      </c>
      <c r="D9" s="33" t="s">
        <v>825</v>
      </c>
    </row>
    <row r="10" customFormat="false" ht="15" hidden="false" customHeight="false" outlineLevel="0" collapsed="false">
      <c r="A10" s="49" t="s">
        <v>826</v>
      </c>
      <c r="B10" s="32"/>
      <c r="C10" s="54"/>
      <c r="D10" s="54" t="s">
        <v>827</v>
      </c>
    </row>
    <row r="11" customFormat="false" ht="15" hidden="false" customHeight="false" outlineLevel="0" collapsed="false">
      <c r="A11" s="33" t="s">
        <v>317</v>
      </c>
      <c r="B11" s="32" t="s">
        <v>828</v>
      </c>
      <c r="C11" s="33" t="s">
        <v>829</v>
      </c>
      <c r="D11" s="54" t="s">
        <v>830</v>
      </c>
    </row>
    <row r="12" customFormat="false" ht="15" hidden="false" customHeight="false" outlineLevel="0" collapsed="false">
      <c r="A12" s="33" t="s">
        <v>327</v>
      </c>
      <c r="B12" s="32" t="s">
        <v>828</v>
      </c>
      <c r="C12" s="33" t="s">
        <v>831</v>
      </c>
      <c r="D12" s="54"/>
    </row>
    <row r="13" customFormat="false" ht="15" hidden="false" customHeight="false" outlineLevel="0" collapsed="false">
      <c r="A13" s="33" t="s">
        <v>333</v>
      </c>
      <c r="B13" s="32" t="s">
        <v>828</v>
      </c>
      <c r="C13" s="33" t="s">
        <v>832</v>
      </c>
      <c r="D13" s="54"/>
    </row>
    <row r="14" customFormat="false" ht="15" hidden="false" customHeight="false" outlineLevel="0" collapsed="false">
      <c r="A14" s="33" t="s">
        <v>331</v>
      </c>
      <c r="B14" s="32" t="s">
        <v>828</v>
      </c>
      <c r="C14" s="33" t="s">
        <v>831</v>
      </c>
      <c r="D14" s="33" t="s">
        <v>833</v>
      </c>
    </row>
    <row r="15" customFormat="false" ht="15" hidden="false" customHeight="false" outlineLevel="0" collapsed="false">
      <c r="A15" s="33" t="s">
        <v>834</v>
      </c>
      <c r="B15" s="32" t="s">
        <v>835</v>
      </c>
      <c r="C15" s="33" t="s">
        <v>836</v>
      </c>
      <c r="D15" s="33" t="s">
        <v>837</v>
      </c>
    </row>
    <row r="17" customFormat="false" ht="15" hidden="false" customHeight="false" outlineLevel="0" collapsed="false">
      <c r="A17" s="4" t="s">
        <v>838</v>
      </c>
    </row>
    <row r="18" customFormat="false" ht="42" hidden="false" customHeight="true" outlineLevel="0" collapsed="false">
      <c r="A18" s="25" t="s">
        <v>253</v>
      </c>
      <c r="B18" s="25" t="s">
        <v>254</v>
      </c>
      <c r="C18" s="26" t="s">
        <v>255</v>
      </c>
      <c r="D18" s="48" t="s">
        <v>839</v>
      </c>
      <c r="E18" s="48" t="s">
        <v>840</v>
      </c>
      <c r="F18" s="59" t="s">
        <v>788</v>
      </c>
      <c r="G18" s="48" t="s">
        <v>476</v>
      </c>
      <c r="H18" s="17" t="s">
        <v>841</v>
      </c>
      <c r="I18" s="48" t="s">
        <v>477</v>
      </c>
      <c r="J18" s="17" t="s">
        <v>842</v>
      </c>
      <c r="K18" s="48" t="s">
        <v>478</v>
      </c>
      <c r="L18" s="17" t="s">
        <v>843</v>
      </c>
      <c r="M18" s="48" t="s">
        <v>479</v>
      </c>
      <c r="N18" s="17" t="s">
        <v>844</v>
      </c>
      <c r="O18" s="48" t="s">
        <v>480</v>
      </c>
      <c r="P18" s="17" t="s">
        <v>845</v>
      </c>
      <c r="Q18" s="64" t="s">
        <v>846</v>
      </c>
      <c r="R18" s="64" t="s">
        <v>847</v>
      </c>
      <c r="S18" s="64" t="s">
        <v>848</v>
      </c>
      <c r="T18" s="31" t="s">
        <v>491</v>
      </c>
      <c r="U18" s="31" t="s">
        <v>511</v>
      </c>
      <c r="V18" s="31" t="s">
        <v>512</v>
      </c>
      <c r="W18" s="31" t="s">
        <v>849</v>
      </c>
      <c r="X18" s="65" t="s">
        <v>419</v>
      </c>
    </row>
    <row r="19" customFormat="false" ht="15" hidden="false" customHeight="false" outlineLevel="0" collapsed="false">
      <c r="A19" s="32" t="n">
        <v>1</v>
      </c>
      <c r="B19" s="32" t="s">
        <v>276</v>
      </c>
      <c r="C19" s="33" t="s">
        <v>277</v>
      </c>
      <c r="D19" s="32" t="n">
        <v>1</v>
      </c>
      <c r="E19" s="32" t="n">
        <f aca="false">IF(ISNUMBER(D19),ROUND(D19*30,0),"－")</f>
        <v>30</v>
      </c>
      <c r="F19" s="35" t="n">
        <f aca="false">③石川以降予測!T30</f>
        <v>2797</v>
      </c>
      <c r="G19" s="35" t="n">
        <f aca="false">③石川以降予測!I30</f>
        <v>426</v>
      </c>
      <c r="H19" s="96" t="n">
        <f aca="false">F19-G19</f>
        <v>2371</v>
      </c>
      <c r="I19" s="35" t="n">
        <f aca="false">③石川以降予測!J30</f>
        <v>503</v>
      </c>
      <c r="J19" s="96" t="n">
        <f aca="false">H19-I19</f>
        <v>1868</v>
      </c>
      <c r="K19" s="35" t="n">
        <f aca="false">③石川以降予測!K30</f>
        <v>464</v>
      </c>
      <c r="L19" s="96" t="n">
        <f aca="false">J19-K19</f>
        <v>1404</v>
      </c>
      <c r="M19" s="35" t="n">
        <f aca="false">③石川以降予測!L30</f>
        <v>348</v>
      </c>
      <c r="N19" s="96" t="n">
        <f aca="false">L19-M19</f>
        <v>1056</v>
      </c>
      <c r="O19" s="35" t="n">
        <f aca="false">③石川以降予測!M30</f>
        <v>1935</v>
      </c>
      <c r="P19" s="96" t="n">
        <f aca="false">N19-O19</f>
        <v>-879</v>
      </c>
      <c r="Q19" s="69" t="str">
        <f aca="false">_xlfn.IFS(H19&lt;0,"石川 香林坊大和",J19&lt;0,"仙台 Ebeans",L19&lt;0,"神戸阪急",N19&lt;0,"鳥取島根 夢みなとタワー",P19&lt;0,"東京凱旋 東京建物ぴあホール",TRUE(),"—")</f>
        <v>東京凱旋 東京建物ぴあホール</v>
      </c>
      <c r="R19" s="67" t="n">
        <f aca="false">IF(Q19="—","",_xlfn.IFS(H19&lt;0,DATE(2026,8,14),J19&lt;0,DATE(2026,9,5),L19&lt;0,DATE(2026,12,16),N19&lt;0,DATE(2027,3,15),P19&lt;0,DATE(2027,4,1)))</f>
        <v>46478</v>
      </c>
      <c r="S19" s="35" t="n">
        <f aca="false">MAX(0,-P19)</f>
        <v>879</v>
      </c>
      <c r="T19" s="35" t="n">
        <f aca="false">IF(S19&gt;0,ROUNDUP(S19*(1+前提・入力!$B$35),0),0)</f>
        <v>967</v>
      </c>
      <c r="U19" s="67" t="n">
        <f aca="false">IF(R19="","",IF(NOT(ISNUMBER(D19)),"再生産不可",R19-E19-前提・入力!$B$38))</f>
        <v>46434</v>
      </c>
      <c r="V19" s="68" t="n">
        <f aca="false">IF(OR(U19="",U19="再生産不可"),"",U19-前提・入力!$B$39)</f>
        <v>201</v>
      </c>
      <c r="W19" s="69" t="str">
        <f aca="false">IF(Q19="","—",IF(U19="再生産不可","×再生産不可",_xlfn.IFS(V19&lt;0,"★期限超過",V19&lt;=30,"★至急(30日以内)",V19&lt;=90,"要着手(90日以内)",TRUE(),"余裕あり")))</f>
        <v>余裕あり</v>
      </c>
      <c r="X19" s="69"/>
    </row>
    <row r="20" customFormat="false" ht="15" hidden="false" customHeight="false" outlineLevel="0" collapsed="false">
      <c r="A20" s="32" t="n">
        <v>2</v>
      </c>
      <c r="B20" s="32" t="s">
        <v>278</v>
      </c>
      <c r="C20" s="33" t="s">
        <v>279</v>
      </c>
      <c r="D20" s="32" t="n">
        <v>1</v>
      </c>
      <c r="E20" s="32" t="n">
        <f aca="false">IF(ISNUMBER(D20),ROUND(D20*30,0),"－")</f>
        <v>30</v>
      </c>
      <c r="F20" s="35" t="n">
        <f aca="false">③石川以降予測!T31</f>
        <v>4528</v>
      </c>
      <c r="G20" s="35" t="n">
        <f aca="false">③石川以降予測!I31</f>
        <v>422</v>
      </c>
      <c r="H20" s="96" t="n">
        <f aca="false">F20-G20</f>
        <v>4106</v>
      </c>
      <c r="I20" s="35" t="n">
        <f aca="false">③石川以降予測!J31</f>
        <v>498</v>
      </c>
      <c r="J20" s="96" t="n">
        <f aca="false">H20-I20</f>
        <v>3608</v>
      </c>
      <c r="K20" s="35" t="n">
        <f aca="false">③石川以降予測!K31</f>
        <v>460</v>
      </c>
      <c r="L20" s="96" t="n">
        <f aca="false">J20-K20</f>
        <v>3148</v>
      </c>
      <c r="M20" s="35" t="n">
        <f aca="false">③石川以降予測!L31</f>
        <v>345</v>
      </c>
      <c r="N20" s="96" t="n">
        <f aca="false">L20-M20</f>
        <v>2803</v>
      </c>
      <c r="O20" s="35" t="n">
        <f aca="false">③石川以降予測!M31</f>
        <v>1917</v>
      </c>
      <c r="P20" s="96" t="n">
        <f aca="false">N20-O20</f>
        <v>886</v>
      </c>
      <c r="Q20" s="69" t="str">
        <f aca="false">_xlfn.IFS(H20&lt;0,"石川 香林坊大和",J20&lt;0,"仙台 Ebeans",L20&lt;0,"神戸阪急",N20&lt;0,"鳥取島根 夢みなとタワー",P20&lt;0,"東京凱旋 東京建物ぴあホール",TRUE(),"—")</f>
        <v>—</v>
      </c>
      <c r="R20" s="67" t="str">
        <f aca="false">IF(Q20="—","",_xlfn.IFS(H20&lt;0,DATE(2026,8,14),J20&lt;0,DATE(2026,9,5),L20&lt;0,DATE(2026,12,16),N20&lt;0,DATE(2027,3,15),P20&lt;0,DATE(2027,4,1)))</f>
        <v/>
      </c>
      <c r="S20" s="35" t="n">
        <f aca="false">MAX(0,-P20)</f>
        <v>0</v>
      </c>
      <c r="T20" s="35" t="n">
        <f aca="false">IF(S20&gt;0,ROUNDUP(S20*(1+前提・入力!$B$35),0),0)</f>
        <v>0</v>
      </c>
      <c r="U20" s="67" t="str">
        <f aca="false">IF(R20="","",IF(NOT(ISNUMBER(D20)),"再生産不可",R20-E20-前提・入力!$B$38))</f>
        <v/>
      </c>
      <c r="V20" s="68" t="str">
        <f aca="false">IF(OR(U20="",U20="再生産不可"),"",U20-前提・入力!$B$39)</f>
        <v/>
      </c>
      <c r="W20" s="69" t="str">
        <f aca="false">IF(Q20="","—",IF(U20="再生産不可","×再生産不可",_xlfn.IFS(V20&lt;0,"★期限超過",V20&lt;=30,"★至急(30日以内)",V20&lt;=90,"要着手(90日以内)",TRUE(),"余裕あり")))</f>
        <v>余裕あり</v>
      </c>
      <c r="X20" s="69"/>
    </row>
    <row r="21" customFormat="false" ht="15" hidden="false" customHeight="false" outlineLevel="0" collapsed="false">
      <c r="A21" s="32" t="n">
        <v>3</v>
      </c>
      <c r="B21" s="32" t="s">
        <v>280</v>
      </c>
      <c r="C21" s="33" t="s">
        <v>281</v>
      </c>
      <c r="D21" s="32" t="n">
        <v>1</v>
      </c>
      <c r="E21" s="32" t="n">
        <f aca="false">IF(ISNUMBER(D21),ROUND(D21*30,0),"－")</f>
        <v>30</v>
      </c>
      <c r="F21" s="35" t="n">
        <f aca="false">③石川以降予測!T32</f>
        <v>5977</v>
      </c>
      <c r="G21" s="35" t="n">
        <f aca="false">③石川以降予測!I32</f>
        <v>172</v>
      </c>
      <c r="H21" s="96" t="n">
        <f aca="false">F21-G21</f>
        <v>5805</v>
      </c>
      <c r="I21" s="35" t="n">
        <f aca="false">③石川以降予測!J32</f>
        <v>204</v>
      </c>
      <c r="J21" s="96" t="n">
        <f aca="false">H21-I21</f>
        <v>5601</v>
      </c>
      <c r="K21" s="35" t="n">
        <f aca="false">③石川以降予測!K32</f>
        <v>188</v>
      </c>
      <c r="L21" s="96" t="n">
        <f aca="false">J21-K21</f>
        <v>5413</v>
      </c>
      <c r="M21" s="35" t="n">
        <f aca="false">③石川以降予測!L32</f>
        <v>141</v>
      </c>
      <c r="N21" s="96" t="n">
        <f aca="false">L21-M21</f>
        <v>5272</v>
      </c>
      <c r="O21" s="35" t="n">
        <f aca="false">③石川以降予測!M32</f>
        <v>784</v>
      </c>
      <c r="P21" s="96" t="n">
        <f aca="false">N21-O21</f>
        <v>4488</v>
      </c>
      <c r="Q21" s="69" t="str">
        <f aca="false">_xlfn.IFS(H21&lt;0,"石川 香林坊大和",J21&lt;0,"仙台 Ebeans",L21&lt;0,"神戸阪急",N21&lt;0,"鳥取島根 夢みなとタワー",P21&lt;0,"東京凱旋 東京建物ぴあホール",TRUE(),"—")</f>
        <v>—</v>
      </c>
      <c r="R21" s="67" t="str">
        <f aca="false">IF(Q21="—","",_xlfn.IFS(H21&lt;0,DATE(2026,8,14),J21&lt;0,DATE(2026,9,5),L21&lt;0,DATE(2026,12,16),N21&lt;0,DATE(2027,3,15),P21&lt;0,DATE(2027,4,1)))</f>
        <v/>
      </c>
      <c r="S21" s="35" t="n">
        <f aca="false">MAX(0,-P21)</f>
        <v>0</v>
      </c>
      <c r="T21" s="35" t="n">
        <f aca="false">IF(S21&gt;0,ROUNDUP(S21*(1+前提・入力!$B$35),0),0)</f>
        <v>0</v>
      </c>
      <c r="U21" s="67" t="str">
        <f aca="false">IF(R21="","",IF(NOT(ISNUMBER(D21)),"再生産不可",R21-E21-前提・入力!$B$38))</f>
        <v/>
      </c>
      <c r="V21" s="68" t="str">
        <f aca="false">IF(OR(U21="",U21="再生産不可"),"",U21-前提・入力!$B$39)</f>
        <v/>
      </c>
      <c r="W21" s="69" t="str">
        <f aca="false">IF(Q21="","—",IF(U21="再生産不可","×再生産不可",_xlfn.IFS(V21&lt;0,"★期限超過",V21&lt;=30,"★至急(30日以内)",V21&lt;=90,"要着手(90日以内)",TRUE(),"余裕あり")))</f>
        <v>余裕あり</v>
      </c>
      <c r="X21" s="69"/>
    </row>
    <row r="22" customFormat="false" ht="15" hidden="false" customHeight="false" outlineLevel="0" collapsed="false">
      <c r="A22" s="32" t="n">
        <v>4</v>
      </c>
      <c r="B22" s="32" t="s">
        <v>282</v>
      </c>
      <c r="C22" s="33" t="s">
        <v>283</v>
      </c>
      <c r="D22" s="32" t="n">
        <v>1</v>
      </c>
      <c r="E22" s="32" t="n">
        <f aca="false">IF(ISNUMBER(D22),ROUND(D22*30,0),"－")</f>
        <v>30</v>
      </c>
      <c r="F22" s="35" t="n">
        <f aca="false">③石川以降予測!T33</f>
        <v>27282</v>
      </c>
      <c r="G22" s="35" t="n">
        <f aca="false">③石川以降予測!I33</f>
        <v>221</v>
      </c>
      <c r="H22" s="96" t="n">
        <f aca="false">F22-G22</f>
        <v>27061</v>
      </c>
      <c r="I22" s="35" t="n">
        <f aca="false">③石川以降予測!J33</f>
        <v>262</v>
      </c>
      <c r="J22" s="96" t="n">
        <f aca="false">H22-I22</f>
        <v>26799</v>
      </c>
      <c r="K22" s="35" t="n">
        <f aca="false">③石川以降予測!K33</f>
        <v>242</v>
      </c>
      <c r="L22" s="96" t="n">
        <f aca="false">J22-K22</f>
        <v>26557</v>
      </c>
      <c r="M22" s="35" t="n">
        <f aca="false">③石川以降予測!L33</f>
        <v>181</v>
      </c>
      <c r="N22" s="96" t="n">
        <f aca="false">L22-M22</f>
        <v>26376</v>
      </c>
      <c r="O22" s="35" t="n">
        <f aca="false">③石川以降予測!M33</f>
        <v>1006</v>
      </c>
      <c r="P22" s="96" t="n">
        <f aca="false">N22-O22</f>
        <v>25370</v>
      </c>
      <c r="Q22" s="69" t="str">
        <f aca="false">_xlfn.IFS(H22&lt;0,"石川 香林坊大和",J22&lt;0,"仙台 Ebeans",L22&lt;0,"神戸阪急",N22&lt;0,"鳥取島根 夢みなとタワー",P22&lt;0,"東京凱旋 東京建物ぴあホール",TRUE(),"—")</f>
        <v>—</v>
      </c>
      <c r="R22" s="67" t="str">
        <f aca="false">IF(Q22="—","",_xlfn.IFS(H22&lt;0,DATE(2026,8,14),J22&lt;0,DATE(2026,9,5),L22&lt;0,DATE(2026,12,16),N22&lt;0,DATE(2027,3,15),P22&lt;0,DATE(2027,4,1)))</f>
        <v/>
      </c>
      <c r="S22" s="35" t="n">
        <f aca="false">MAX(0,-P22)</f>
        <v>0</v>
      </c>
      <c r="T22" s="35" t="n">
        <f aca="false">IF(S22&gt;0,ROUNDUP(S22*(1+前提・入力!$B$35),0),0)</f>
        <v>0</v>
      </c>
      <c r="U22" s="67" t="str">
        <f aca="false">IF(R22="","",IF(NOT(ISNUMBER(D22)),"再生産不可",R22-E22-前提・入力!$B$38))</f>
        <v/>
      </c>
      <c r="V22" s="68" t="str">
        <f aca="false">IF(OR(U22="",U22="再生産不可"),"",U22-前提・入力!$B$39)</f>
        <v/>
      </c>
      <c r="W22" s="69" t="str">
        <f aca="false">IF(Q22="","—",IF(U22="再生産不可","×再生産不可",_xlfn.IFS(V22&lt;0,"★期限超過",V22&lt;=30,"★至急(30日以内)",V22&lt;=90,"要着手(90日以内)",TRUE(),"余裕あり")))</f>
        <v>余裕あり</v>
      </c>
      <c r="X22" s="69"/>
    </row>
    <row r="23" customFormat="false" ht="15" hidden="false" customHeight="false" outlineLevel="0" collapsed="false">
      <c r="A23" s="32" t="n">
        <v>5</v>
      </c>
      <c r="B23" s="32" t="s">
        <v>284</v>
      </c>
      <c r="C23" s="33" t="s">
        <v>285</v>
      </c>
      <c r="D23" s="32" t="n">
        <v>1</v>
      </c>
      <c r="E23" s="32" t="n">
        <f aca="false">IF(ISNUMBER(D23),ROUND(D23*30,0),"－")</f>
        <v>30</v>
      </c>
      <c r="F23" s="35" t="n">
        <f aca="false">③石川以降予測!T34</f>
        <v>39360</v>
      </c>
      <c r="G23" s="35" t="n">
        <f aca="false">③石川以降予測!I34</f>
        <v>916</v>
      </c>
      <c r="H23" s="96" t="n">
        <f aca="false">F23-G23</f>
        <v>38444</v>
      </c>
      <c r="I23" s="35" t="n">
        <f aca="false">③石川以降予測!J34</f>
        <v>1082</v>
      </c>
      <c r="J23" s="96" t="n">
        <f aca="false">H23-I23</f>
        <v>37362</v>
      </c>
      <c r="K23" s="35" t="n">
        <f aca="false">③石川以降予測!K34</f>
        <v>999</v>
      </c>
      <c r="L23" s="96" t="n">
        <f aca="false">J23-K23</f>
        <v>36363</v>
      </c>
      <c r="M23" s="35" t="n">
        <f aca="false">③石川以降予測!L34</f>
        <v>749</v>
      </c>
      <c r="N23" s="96" t="n">
        <f aca="false">L23-M23</f>
        <v>35614</v>
      </c>
      <c r="O23" s="35" t="n">
        <f aca="false">③石川以降予測!M34</f>
        <v>4163</v>
      </c>
      <c r="P23" s="96" t="n">
        <f aca="false">N23-O23</f>
        <v>31451</v>
      </c>
      <c r="Q23" s="69" t="str">
        <f aca="false">_xlfn.IFS(H23&lt;0,"石川 香林坊大和",J23&lt;0,"仙台 Ebeans",L23&lt;0,"神戸阪急",N23&lt;0,"鳥取島根 夢みなとタワー",P23&lt;0,"東京凱旋 東京建物ぴあホール",TRUE(),"—")</f>
        <v>—</v>
      </c>
      <c r="R23" s="67" t="str">
        <f aca="false">IF(Q23="—","",_xlfn.IFS(H23&lt;0,DATE(2026,8,14),J23&lt;0,DATE(2026,9,5),L23&lt;0,DATE(2026,12,16),N23&lt;0,DATE(2027,3,15),P23&lt;0,DATE(2027,4,1)))</f>
        <v/>
      </c>
      <c r="S23" s="35" t="n">
        <f aca="false">MAX(0,-P23)</f>
        <v>0</v>
      </c>
      <c r="T23" s="35" t="n">
        <f aca="false">IF(S23&gt;0,ROUNDUP(S23*(1+前提・入力!$B$35),0),0)</f>
        <v>0</v>
      </c>
      <c r="U23" s="67" t="str">
        <f aca="false">IF(R23="","",IF(NOT(ISNUMBER(D23)),"再生産不可",R23-E23-前提・入力!$B$38))</f>
        <v/>
      </c>
      <c r="V23" s="68" t="str">
        <f aca="false">IF(OR(U23="",U23="再生産不可"),"",U23-前提・入力!$B$39)</f>
        <v/>
      </c>
      <c r="W23" s="69" t="str">
        <f aca="false">IF(Q23="","—",IF(U23="再生産不可","×再生産不可",_xlfn.IFS(V23&lt;0,"★期限超過",V23&lt;=30,"★至急(30日以内)",V23&lt;=90,"要着手(90日以内)",TRUE(),"余裕あり")))</f>
        <v>余裕あり</v>
      </c>
      <c r="X23" s="69"/>
    </row>
    <row r="24" customFormat="false" ht="15" hidden="false" customHeight="false" outlineLevel="0" collapsed="false">
      <c r="A24" s="32" t="n">
        <v>6</v>
      </c>
      <c r="B24" s="32" t="s">
        <v>286</v>
      </c>
      <c r="C24" s="33" t="s">
        <v>287</v>
      </c>
      <c r="D24" s="32" t="n">
        <v>1</v>
      </c>
      <c r="E24" s="32" t="n">
        <f aca="false">IF(ISNUMBER(D24),ROUND(D24*30,0),"－")</f>
        <v>30</v>
      </c>
      <c r="F24" s="35" t="n">
        <f aca="false">③石川以降予測!T35</f>
        <v>49517</v>
      </c>
      <c r="G24" s="35" t="n">
        <f aca="false">③石川以降予測!I35</f>
        <v>2096</v>
      </c>
      <c r="H24" s="96" t="n">
        <f aca="false">F24-G24</f>
        <v>47421</v>
      </c>
      <c r="I24" s="35" t="n">
        <f aca="false">③石川以降予測!J35</f>
        <v>2477</v>
      </c>
      <c r="J24" s="96" t="n">
        <f aca="false">H24-I24</f>
        <v>44944</v>
      </c>
      <c r="K24" s="35" t="n">
        <f aca="false">③石川以降予測!K35</f>
        <v>2287</v>
      </c>
      <c r="L24" s="96" t="n">
        <f aca="false">J24-K24</f>
        <v>42657</v>
      </c>
      <c r="M24" s="35" t="n">
        <f aca="false">③石川以降予測!L35</f>
        <v>1715</v>
      </c>
      <c r="N24" s="96" t="n">
        <f aca="false">L24-M24</f>
        <v>40942</v>
      </c>
      <c r="O24" s="35" t="n">
        <f aca="false">③石川以降予測!M35</f>
        <v>9529</v>
      </c>
      <c r="P24" s="96" t="n">
        <f aca="false">N24-O24</f>
        <v>31413</v>
      </c>
      <c r="Q24" s="69" t="str">
        <f aca="false">_xlfn.IFS(H24&lt;0,"石川 香林坊大和",J24&lt;0,"仙台 Ebeans",L24&lt;0,"神戸阪急",N24&lt;0,"鳥取島根 夢みなとタワー",P24&lt;0,"東京凱旋 東京建物ぴあホール",TRUE(),"—")</f>
        <v>—</v>
      </c>
      <c r="R24" s="67" t="str">
        <f aca="false">IF(Q24="—","",_xlfn.IFS(H24&lt;0,DATE(2026,8,14),J24&lt;0,DATE(2026,9,5),L24&lt;0,DATE(2026,12,16),N24&lt;0,DATE(2027,3,15),P24&lt;0,DATE(2027,4,1)))</f>
        <v/>
      </c>
      <c r="S24" s="35" t="n">
        <f aca="false">MAX(0,-P24)</f>
        <v>0</v>
      </c>
      <c r="T24" s="35" t="n">
        <f aca="false">IF(S24&gt;0,ROUNDUP(S24*(1+前提・入力!$B$35),0),0)</f>
        <v>0</v>
      </c>
      <c r="U24" s="67" t="str">
        <f aca="false">IF(R24="","",IF(NOT(ISNUMBER(D24)),"再生産不可",R24-E24-前提・入力!$B$38))</f>
        <v/>
      </c>
      <c r="V24" s="68" t="str">
        <f aca="false">IF(OR(U24="",U24="再生産不可"),"",U24-前提・入力!$B$39)</f>
        <v/>
      </c>
      <c r="W24" s="69" t="str">
        <f aca="false">IF(Q24="","—",IF(U24="再生産不可","×再生産不可",_xlfn.IFS(V24&lt;0,"★期限超過",V24&lt;=30,"★至急(30日以内)",V24&lt;=90,"要着手(90日以内)",TRUE(),"余裕あり")))</f>
        <v>余裕あり</v>
      </c>
      <c r="X24" s="69"/>
    </row>
    <row r="25" customFormat="false" ht="15" hidden="false" customHeight="false" outlineLevel="0" collapsed="false">
      <c r="A25" s="32" t="n">
        <v>7</v>
      </c>
      <c r="B25" s="32" t="s">
        <v>288</v>
      </c>
      <c r="C25" s="33" t="s">
        <v>289</v>
      </c>
      <c r="D25" s="32" t="n">
        <v>1</v>
      </c>
      <c r="E25" s="32" t="n">
        <f aca="false">IF(ISNUMBER(D25),ROUND(D25*30,0),"－")</f>
        <v>30</v>
      </c>
      <c r="F25" s="35" t="n">
        <f aca="false">③石川以降予測!T36</f>
        <v>4348</v>
      </c>
      <c r="G25" s="35" t="n">
        <f aca="false">③石川以降予測!I36</f>
        <v>175</v>
      </c>
      <c r="H25" s="96" t="n">
        <f aca="false">F25-G25</f>
        <v>4173</v>
      </c>
      <c r="I25" s="35" t="n">
        <f aca="false">③石川以降予測!J36</f>
        <v>207</v>
      </c>
      <c r="J25" s="96" t="n">
        <f aca="false">H25-I25</f>
        <v>3966</v>
      </c>
      <c r="K25" s="35" t="n">
        <f aca="false">③石川以降予測!K36</f>
        <v>191</v>
      </c>
      <c r="L25" s="96" t="n">
        <f aca="false">J25-K25</f>
        <v>3775</v>
      </c>
      <c r="M25" s="35" t="n">
        <f aca="false">③石川以降予測!L36</f>
        <v>143</v>
      </c>
      <c r="N25" s="96" t="n">
        <f aca="false">L25-M25</f>
        <v>3632</v>
      </c>
      <c r="O25" s="35" t="n">
        <f aca="false">③石川以降予測!M36</f>
        <v>795</v>
      </c>
      <c r="P25" s="96" t="n">
        <f aca="false">N25-O25</f>
        <v>2837</v>
      </c>
      <c r="Q25" s="69" t="str">
        <f aca="false">_xlfn.IFS(H25&lt;0,"石川 香林坊大和",J25&lt;0,"仙台 Ebeans",L25&lt;0,"神戸阪急",N25&lt;0,"鳥取島根 夢みなとタワー",P25&lt;0,"東京凱旋 東京建物ぴあホール",TRUE(),"—")</f>
        <v>—</v>
      </c>
      <c r="R25" s="67" t="str">
        <f aca="false">IF(Q25="—","",_xlfn.IFS(H25&lt;0,DATE(2026,8,14),J25&lt;0,DATE(2026,9,5),L25&lt;0,DATE(2026,12,16),N25&lt;0,DATE(2027,3,15),P25&lt;0,DATE(2027,4,1)))</f>
        <v/>
      </c>
      <c r="S25" s="35" t="n">
        <f aca="false">MAX(0,-P25)</f>
        <v>0</v>
      </c>
      <c r="T25" s="35" t="n">
        <f aca="false">IF(S25&gt;0,ROUNDUP(S25*(1+前提・入力!$B$35),0),0)</f>
        <v>0</v>
      </c>
      <c r="U25" s="67" t="str">
        <f aca="false">IF(R25="","",IF(NOT(ISNUMBER(D25)),"再生産不可",R25-E25-前提・入力!$B$38))</f>
        <v/>
      </c>
      <c r="V25" s="68" t="str">
        <f aca="false">IF(OR(U25="",U25="再生産不可"),"",U25-前提・入力!$B$39)</f>
        <v/>
      </c>
      <c r="W25" s="69" t="str">
        <f aca="false">IF(Q25="","—",IF(U25="再生産不可","×再生産不可",_xlfn.IFS(V25&lt;0,"★期限超過",V25&lt;=30,"★至急(30日以内)",V25&lt;=90,"要着手(90日以内)",TRUE(),"余裕あり")))</f>
        <v>余裕あり</v>
      </c>
      <c r="X25" s="69"/>
    </row>
    <row r="26" customFormat="false" ht="15" hidden="false" customHeight="false" outlineLevel="0" collapsed="false">
      <c r="A26" s="32" t="n">
        <v>8</v>
      </c>
      <c r="B26" s="32" t="s">
        <v>290</v>
      </c>
      <c r="C26" s="33" t="s">
        <v>291</v>
      </c>
      <c r="D26" s="32" t="n">
        <v>1</v>
      </c>
      <c r="E26" s="32" t="n">
        <f aca="false">IF(ISNUMBER(D26),ROUND(D26*30,0),"－")</f>
        <v>30</v>
      </c>
      <c r="F26" s="35" t="n">
        <f aca="false">③石川以降予測!T37</f>
        <v>8230</v>
      </c>
      <c r="G26" s="35" t="n">
        <f aca="false">③石川以降予測!I37</f>
        <v>305</v>
      </c>
      <c r="H26" s="96" t="n">
        <f aca="false">F26-G26</f>
        <v>7925</v>
      </c>
      <c r="I26" s="35" t="n">
        <f aca="false">③石川以降予測!J37</f>
        <v>360</v>
      </c>
      <c r="J26" s="96" t="n">
        <f aca="false">H26-I26</f>
        <v>7565</v>
      </c>
      <c r="K26" s="35" t="n">
        <f aca="false">③石川以降予測!K37</f>
        <v>332</v>
      </c>
      <c r="L26" s="96" t="n">
        <f aca="false">J26-K26</f>
        <v>7233</v>
      </c>
      <c r="M26" s="35" t="n">
        <f aca="false">③石川以降予測!L37</f>
        <v>249</v>
      </c>
      <c r="N26" s="96" t="n">
        <f aca="false">L26-M26</f>
        <v>6984</v>
      </c>
      <c r="O26" s="35" t="n">
        <f aca="false">③石川以降予測!M37</f>
        <v>1384</v>
      </c>
      <c r="P26" s="96" t="n">
        <f aca="false">N26-O26</f>
        <v>5600</v>
      </c>
      <c r="Q26" s="69" t="str">
        <f aca="false">_xlfn.IFS(H26&lt;0,"石川 香林坊大和",J26&lt;0,"仙台 Ebeans",L26&lt;0,"神戸阪急",N26&lt;0,"鳥取島根 夢みなとタワー",P26&lt;0,"東京凱旋 東京建物ぴあホール",TRUE(),"—")</f>
        <v>—</v>
      </c>
      <c r="R26" s="67" t="str">
        <f aca="false">IF(Q26="—","",_xlfn.IFS(H26&lt;0,DATE(2026,8,14),J26&lt;0,DATE(2026,9,5),L26&lt;0,DATE(2026,12,16),N26&lt;0,DATE(2027,3,15),P26&lt;0,DATE(2027,4,1)))</f>
        <v/>
      </c>
      <c r="S26" s="35" t="n">
        <f aca="false">MAX(0,-P26)</f>
        <v>0</v>
      </c>
      <c r="T26" s="35" t="n">
        <f aca="false">IF(S26&gt;0,ROUNDUP(S26*(1+前提・入力!$B$35),0),0)</f>
        <v>0</v>
      </c>
      <c r="U26" s="67" t="str">
        <f aca="false">IF(R26="","",IF(NOT(ISNUMBER(D26)),"再生産不可",R26-E26-前提・入力!$B$38))</f>
        <v/>
      </c>
      <c r="V26" s="68" t="str">
        <f aca="false">IF(OR(U26="",U26="再生産不可"),"",U26-前提・入力!$B$39)</f>
        <v/>
      </c>
      <c r="W26" s="69" t="str">
        <f aca="false">IF(Q26="","—",IF(U26="再生産不可","×再生産不可",_xlfn.IFS(V26&lt;0,"★期限超過",V26&lt;=30,"★至急(30日以内)",V26&lt;=90,"要着手(90日以内)",TRUE(),"余裕あり")))</f>
        <v>余裕あり</v>
      </c>
      <c r="X26" s="69"/>
    </row>
    <row r="27" customFormat="false" ht="15" hidden="false" customHeight="false" outlineLevel="0" collapsed="false">
      <c r="A27" s="32" t="n">
        <v>9</v>
      </c>
      <c r="B27" s="32" t="s">
        <v>292</v>
      </c>
      <c r="C27" s="33" t="s">
        <v>293</v>
      </c>
      <c r="D27" s="32" t="n">
        <v>1</v>
      </c>
      <c r="E27" s="32" t="n">
        <f aca="false">IF(ISNUMBER(D27),ROUND(D27*30,0),"－")</f>
        <v>30</v>
      </c>
      <c r="F27" s="35" t="n">
        <f aca="false">③石川以降予測!T38</f>
        <v>8631</v>
      </c>
      <c r="G27" s="35" t="n">
        <f aca="false">③石川以降予測!I38</f>
        <v>125</v>
      </c>
      <c r="H27" s="96" t="n">
        <f aca="false">F27-G27</f>
        <v>8506</v>
      </c>
      <c r="I27" s="35" t="n">
        <f aca="false">③石川以降予測!J38</f>
        <v>147</v>
      </c>
      <c r="J27" s="96" t="n">
        <f aca="false">H27-I27</f>
        <v>8359</v>
      </c>
      <c r="K27" s="35" t="n">
        <f aca="false">③石川以降予測!K38</f>
        <v>136</v>
      </c>
      <c r="L27" s="96" t="n">
        <f aca="false">J27-K27</f>
        <v>8223</v>
      </c>
      <c r="M27" s="35" t="n">
        <f aca="false">③石川以降予測!L38</f>
        <v>102</v>
      </c>
      <c r="N27" s="96" t="n">
        <f aca="false">L27-M27</f>
        <v>8121</v>
      </c>
      <c r="O27" s="35" t="n">
        <f aca="false">③石川以降予測!M38</f>
        <v>566</v>
      </c>
      <c r="P27" s="96" t="n">
        <f aca="false">N27-O27</f>
        <v>7555</v>
      </c>
      <c r="Q27" s="69" t="str">
        <f aca="false">_xlfn.IFS(H27&lt;0,"石川 香林坊大和",J27&lt;0,"仙台 Ebeans",L27&lt;0,"神戸阪急",N27&lt;0,"鳥取島根 夢みなとタワー",P27&lt;0,"東京凱旋 東京建物ぴあホール",TRUE(),"—")</f>
        <v>—</v>
      </c>
      <c r="R27" s="67" t="str">
        <f aca="false">IF(Q27="—","",_xlfn.IFS(H27&lt;0,DATE(2026,8,14),J27&lt;0,DATE(2026,9,5),L27&lt;0,DATE(2026,12,16),N27&lt;0,DATE(2027,3,15),P27&lt;0,DATE(2027,4,1)))</f>
        <v/>
      </c>
      <c r="S27" s="35" t="n">
        <f aca="false">MAX(0,-P27)</f>
        <v>0</v>
      </c>
      <c r="T27" s="35" t="n">
        <f aca="false">IF(S27&gt;0,ROUNDUP(S27*(1+前提・入力!$B$35),0),0)</f>
        <v>0</v>
      </c>
      <c r="U27" s="67" t="str">
        <f aca="false">IF(R27="","",IF(NOT(ISNUMBER(D27)),"再生産不可",R27-E27-前提・入力!$B$38))</f>
        <v/>
      </c>
      <c r="V27" s="68" t="str">
        <f aca="false">IF(OR(U27="",U27="再生産不可"),"",U27-前提・入力!$B$39)</f>
        <v/>
      </c>
      <c r="W27" s="69" t="str">
        <f aca="false">IF(Q27="","—",IF(U27="再生産不可","×再生産不可",_xlfn.IFS(V27&lt;0,"★期限超過",V27&lt;=30,"★至急(30日以内)",V27&lt;=90,"要着手(90日以内)",TRUE(),"余裕あり")))</f>
        <v>余裕あり</v>
      </c>
      <c r="X27" s="69"/>
    </row>
    <row r="28" customFormat="false" ht="15" hidden="false" customHeight="false" outlineLevel="0" collapsed="false">
      <c r="A28" s="32" t="n">
        <v>10</v>
      </c>
      <c r="B28" s="32" t="s">
        <v>294</v>
      </c>
      <c r="C28" s="33" t="s">
        <v>295</v>
      </c>
      <c r="D28" s="32" t="n">
        <v>1</v>
      </c>
      <c r="E28" s="32" t="n">
        <f aca="false">IF(ISNUMBER(D28),ROUND(D28*30,0),"－")</f>
        <v>30</v>
      </c>
      <c r="F28" s="35" t="n">
        <f aca="false">③石川以降予測!T39</f>
        <v>4887</v>
      </c>
      <c r="G28" s="35" t="n">
        <f aca="false">③石川以降予測!I39</f>
        <v>47</v>
      </c>
      <c r="H28" s="96" t="n">
        <f aca="false">F28-G28</f>
        <v>4840</v>
      </c>
      <c r="I28" s="35" t="n">
        <f aca="false">③石川以降予測!J39</f>
        <v>55</v>
      </c>
      <c r="J28" s="96" t="n">
        <f aca="false">H28-I28</f>
        <v>4785</v>
      </c>
      <c r="K28" s="35" t="n">
        <f aca="false">③石川以降予測!K39</f>
        <v>51</v>
      </c>
      <c r="L28" s="96" t="n">
        <f aca="false">J28-K28</f>
        <v>4734</v>
      </c>
      <c r="M28" s="35" t="n">
        <f aca="false">③石川以降予測!L39</f>
        <v>38</v>
      </c>
      <c r="N28" s="96" t="n">
        <f aca="false">L28-M28</f>
        <v>4696</v>
      </c>
      <c r="O28" s="35" t="n">
        <f aca="false">③石川以降予測!M39</f>
        <v>212</v>
      </c>
      <c r="P28" s="96" t="n">
        <f aca="false">N28-O28</f>
        <v>4484</v>
      </c>
      <c r="Q28" s="69" t="str">
        <f aca="false">_xlfn.IFS(H28&lt;0,"石川 香林坊大和",J28&lt;0,"仙台 Ebeans",L28&lt;0,"神戸阪急",N28&lt;0,"鳥取島根 夢みなとタワー",P28&lt;0,"東京凱旋 東京建物ぴあホール",TRUE(),"—")</f>
        <v>—</v>
      </c>
      <c r="R28" s="67" t="str">
        <f aca="false">IF(Q28="—","",_xlfn.IFS(H28&lt;0,DATE(2026,8,14),J28&lt;0,DATE(2026,9,5),L28&lt;0,DATE(2026,12,16),N28&lt;0,DATE(2027,3,15),P28&lt;0,DATE(2027,4,1)))</f>
        <v/>
      </c>
      <c r="S28" s="35" t="n">
        <f aca="false">MAX(0,-P28)</f>
        <v>0</v>
      </c>
      <c r="T28" s="35" t="n">
        <f aca="false">IF(S28&gt;0,ROUNDUP(S28*(1+前提・入力!$B$35),0),0)</f>
        <v>0</v>
      </c>
      <c r="U28" s="67" t="str">
        <f aca="false">IF(R28="","",IF(NOT(ISNUMBER(D28)),"再生産不可",R28-E28-前提・入力!$B$38))</f>
        <v/>
      </c>
      <c r="V28" s="68" t="str">
        <f aca="false">IF(OR(U28="",U28="再生産不可"),"",U28-前提・入力!$B$39)</f>
        <v/>
      </c>
      <c r="W28" s="69" t="str">
        <f aca="false">IF(Q28="","—",IF(U28="再生産不可","×再生産不可",_xlfn.IFS(V28&lt;0,"★期限超過",V28&lt;=30,"★至急(30日以内)",V28&lt;=90,"要着手(90日以内)",TRUE(),"余裕あり")))</f>
        <v>余裕あり</v>
      </c>
      <c r="X28" s="69"/>
    </row>
    <row r="29" customFormat="false" ht="15" hidden="false" customHeight="false" outlineLevel="0" collapsed="false">
      <c r="A29" s="32" t="n">
        <v>11</v>
      </c>
      <c r="B29" s="32" t="s">
        <v>296</v>
      </c>
      <c r="C29" s="33" t="s">
        <v>297</v>
      </c>
      <c r="D29" s="32" t="n">
        <v>1</v>
      </c>
      <c r="E29" s="32" t="n">
        <f aca="false">IF(ISNUMBER(D29),ROUND(D29*30,0),"－")</f>
        <v>30</v>
      </c>
      <c r="F29" s="35" t="n">
        <f aca="false">③石川以降予測!T40</f>
        <v>616</v>
      </c>
      <c r="G29" s="35" t="n">
        <f aca="false">③石川以降予測!I40</f>
        <v>19</v>
      </c>
      <c r="H29" s="96" t="n">
        <f aca="false">F29-G29</f>
        <v>597</v>
      </c>
      <c r="I29" s="35" t="n">
        <f aca="false">③石川以降予測!J40</f>
        <v>22</v>
      </c>
      <c r="J29" s="96" t="n">
        <f aca="false">H29-I29</f>
        <v>575</v>
      </c>
      <c r="K29" s="35" t="n">
        <f aca="false">③石川以降予測!K40</f>
        <v>21</v>
      </c>
      <c r="L29" s="96" t="n">
        <f aca="false">J29-K29</f>
        <v>554</v>
      </c>
      <c r="M29" s="35" t="n">
        <f aca="false">③石川以降予測!L40</f>
        <v>15</v>
      </c>
      <c r="N29" s="96" t="n">
        <f aca="false">L29-M29</f>
        <v>539</v>
      </c>
      <c r="O29" s="35" t="n">
        <f aca="false">③石川以降予測!M40</f>
        <v>85</v>
      </c>
      <c r="P29" s="96" t="n">
        <f aca="false">N29-O29</f>
        <v>454</v>
      </c>
      <c r="Q29" s="69" t="str">
        <f aca="false">_xlfn.IFS(H29&lt;0,"石川 香林坊大和",J29&lt;0,"仙台 Ebeans",L29&lt;0,"神戸阪急",N29&lt;0,"鳥取島根 夢みなとタワー",P29&lt;0,"東京凱旋 東京建物ぴあホール",TRUE(),"—")</f>
        <v>—</v>
      </c>
      <c r="R29" s="67" t="str">
        <f aca="false">IF(Q29="—","",_xlfn.IFS(H29&lt;0,DATE(2026,8,14),J29&lt;0,DATE(2026,9,5),L29&lt;0,DATE(2026,12,16),N29&lt;0,DATE(2027,3,15),P29&lt;0,DATE(2027,4,1)))</f>
        <v/>
      </c>
      <c r="S29" s="35" t="n">
        <f aca="false">MAX(0,-P29)</f>
        <v>0</v>
      </c>
      <c r="T29" s="35" t="n">
        <f aca="false">IF(S29&gt;0,ROUNDUP(S29*(1+前提・入力!$B$35),0),0)</f>
        <v>0</v>
      </c>
      <c r="U29" s="67" t="str">
        <f aca="false">IF(R29="","",IF(NOT(ISNUMBER(D29)),"再生産不可",R29-E29-前提・入力!$B$38))</f>
        <v/>
      </c>
      <c r="V29" s="68" t="str">
        <f aca="false">IF(OR(U29="",U29="再生産不可"),"",U29-前提・入力!$B$39)</f>
        <v/>
      </c>
      <c r="W29" s="69" t="str">
        <f aca="false">IF(Q29="","—",IF(U29="再生産不可","×再生産不可",_xlfn.IFS(V29&lt;0,"★期限超過",V29&lt;=30,"★至急(30日以内)",V29&lt;=90,"要着手(90日以内)",TRUE(),"余裕あり")))</f>
        <v>余裕あり</v>
      </c>
      <c r="X29" s="69"/>
    </row>
    <row r="30" customFormat="false" ht="15" hidden="false" customHeight="false" outlineLevel="0" collapsed="false">
      <c r="A30" s="32" t="n">
        <v>12</v>
      </c>
      <c r="B30" s="32" t="s">
        <v>298</v>
      </c>
      <c r="C30" s="33" t="s">
        <v>299</v>
      </c>
      <c r="D30" s="32" t="n">
        <v>1</v>
      </c>
      <c r="E30" s="32" t="n">
        <f aca="false">IF(ISNUMBER(D30),ROUND(D30*30,0),"－")</f>
        <v>30</v>
      </c>
      <c r="F30" s="35" t="n">
        <f aca="false">③石川以降予測!T41</f>
        <v>919</v>
      </c>
      <c r="G30" s="35" t="n">
        <f aca="false">③石川以降予測!I41</f>
        <v>29</v>
      </c>
      <c r="H30" s="96" t="n">
        <f aca="false">F30-G30</f>
        <v>890</v>
      </c>
      <c r="I30" s="35" t="n">
        <f aca="false">③石川以降予測!J41</f>
        <v>34</v>
      </c>
      <c r="J30" s="96" t="n">
        <f aca="false">H30-I30</f>
        <v>856</v>
      </c>
      <c r="K30" s="35" t="n">
        <f aca="false">③石川以降予測!K41</f>
        <v>32</v>
      </c>
      <c r="L30" s="96" t="n">
        <f aca="false">J30-K30</f>
        <v>824</v>
      </c>
      <c r="M30" s="35" t="n">
        <f aca="false">③石川以降予測!L41</f>
        <v>24</v>
      </c>
      <c r="N30" s="96" t="n">
        <f aca="false">L30-M30</f>
        <v>800</v>
      </c>
      <c r="O30" s="35" t="n">
        <f aca="false">③石川以降予測!M41</f>
        <v>132</v>
      </c>
      <c r="P30" s="96" t="n">
        <f aca="false">N30-O30</f>
        <v>668</v>
      </c>
      <c r="Q30" s="69" t="str">
        <f aca="false">_xlfn.IFS(H30&lt;0,"石川 香林坊大和",J30&lt;0,"仙台 Ebeans",L30&lt;0,"神戸阪急",N30&lt;0,"鳥取島根 夢みなとタワー",P30&lt;0,"東京凱旋 東京建物ぴあホール",TRUE(),"—")</f>
        <v>—</v>
      </c>
      <c r="R30" s="67" t="str">
        <f aca="false">IF(Q30="—","",_xlfn.IFS(H30&lt;0,DATE(2026,8,14),J30&lt;0,DATE(2026,9,5),L30&lt;0,DATE(2026,12,16),N30&lt;0,DATE(2027,3,15),P30&lt;0,DATE(2027,4,1)))</f>
        <v/>
      </c>
      <c r="S30" s="35" t="n">
        <f aca="false">MAX(0,-P30)</f>
        <v>0</v>
      </c>
      <c r="T30" s="35" t="n">
        <f aca="false">IF(S30&gt;0,ROUNDUP(S30*(1+前提・入力!$B$35),0),0)</f>
        <v>0</v>
      </c>
      <c r="U30" s="67" t="str">
        <f aca="false">IF(R30="","",IF(NOT(ISNUMBER(D30)),"再生産不可",R30-E30-前提・入力!$B$38))</f>
        <v/>
      </c>
      <c r="V30" s="68" t="str">
        <f aca="false">IF(OR(U30="",U30="再生産不可"),"",U30-前提・入力!$B$39)</f>
        <v/>
      </c>
      <c r="W30" s="69" t="str">
        <f aca="false">IF(Q30="","—",IF(U30="再生産不可","×再生産不可",_xlfn.IFS(V30&lt;0,"★期限超過",V30&lt;=30,"★至急(30日以内)",V30&lt;=90,"要着手(90日以内)",TRUE(),"余裕あり")))</f>
        <v>余裕あり</v>
      </c>
      <c r="X30" s="69"/>
    </row>
    <row r="31" customFormat="false" ht="15" hidden="false" customHeight="false" outlineLevel="0" collapsed="false">
      <c r="A31" s="32" t="n">
        <v>13</v>
      </c>
      <c r="B31" s="32" t="s">
        <v>300</v>
      </c>
      <c r="C31" s="33" t="s">
        <v>301</v>
      </c>
      <c r="D31" s="32" t="n">
        <v>1</v>
      </c>
      <c r="E31" s="32" t="n">
        <f aca="false">IF(ISNUMBER(D31),ROUND(D31*30,0),"－")</f>
        <v>30</v>
      </c>
      <c r="F31" s="35" t="n">
        <f aca="false">③石川以降予測!T42</f>
        <v>315</v>
      </c>
      <c r="G31" s="35" t="n">
        <f aca="false">③石川以降予測!I42</f>
        <v>6</v>
      </c>
      <c r="H31" s="96" t="n">
        <f aca="false">F31-G31</f>
        <v>309</v>
      </c>
      <c r="I31" s="35" t="n">
        <f aca="false">③石川以降予測!J42</f>
        <v>7</v>
      </c>
      <c r="J31" s="96" t="n">
        <f aca="false">H31-I31</f>
        <v>302</v>
      </c>
      <c r="K31" s="35" t="n">
        <f aca="false">③石川以降予測!K42</f>
        <v>6</v>
      </c>
      <c r="L31" s="96" t="n">
        <f aca="false">J31-K31</f>
        <v>296</v>
      </c>
      <c r="M31" s="35" t="n">
        <f aca="false">③石川以降予測!L42</f>
        <v>5</v>
      </c>
      <c r="N31" s="96" t="n">
        <f aca="false">L31-M31</f>
        <v>291</v>
      </c>
      <c r="O31" s="35" t="n">
        <f aca="false">③石川以降予測!M42</f>
        <v>27</v>
      </c>
      <c r="P31" s="96" t="n">
        <f aca="false">N31-O31</f>
        <v>264</v>
      </c>
      <c r="Q31" s="69" t="str">
        <f aca="false">_xlfn.IFS(H31&lt;0,"石川 香林坊大和",J31&lt;0,"仙台 Ebeans",L31&lt;0,"神戸阪急",N31&lt;0,"鳥取島根 夢みなとタワー",P31&lt;0,"東京凱旋 東京建物ぴあホール",TRUE(),"—")</f>
        <v>—</v>
      </c>
      <c r="R31" s="67" t="str">
        <f aca="false">IF(Q31="—","",_xlfn.IFS(H31&lt;0,DATE(2026,8,14),J31&lt;0,DATE(2026,9,5),L31&lt;0,DATE(2026,12,16),N31&lt;0,DATE(2027,3,15),P31&lt;0,DATE(2027,4,1)))</f>
        <v/>
      </c>
      <c r="S31" s="35" t="n">
        <f aca="false">MAX(0,-P31)</f>
        <v>0</v>
      </c>
      <c r="T31" s="35" t="n">
        <f aca="false">IF(S31&gt;0,ROUNDUP(S31*(1+前提・入力!$B$35),0),0)</f>
        <v>0</v>
      </c>
      <c r="U31" s="67" t="str">
        <f aca="false">IF(R31="","",IF(NOT(ISNUMBER(D31)),"再生産不可",R31-E31-前提・入力!$B$38))</f>
        <v/>
      </c>
      <c r="V31" s="68" t="str">
        <f aca="false">IF(OR(U31="",U31="再生産不可"),"",U31-前提・入力!$B$39)</f>
        <v/>
      </c>
      <c r="W31" s="69" t="str">
        <f aca="false">IF(Q31="","—",IF(U31="再生産不可","×再生産不可",_xlfn.IFS(V31&lt;0,"★期限超過",V31&lt;=30,"★至急(30日以内)",V31&lt;=90,"要着手(90日以内)",TRUE(),"余裕あり")))</f>
        <v>余裕あり</v>
      </c>
      <c r="X31" s="69"/>
    </row>
    <row r="32" customFormat="false" ht="15" hidden="false" customHeight="false" outlineLevel="0" collapsed="false">
      <c r="A32" s="32" t="n">
        <v>14</v>
      </c>
      <c r="B32" s="32" t="s">
        <v>302</v>
      </c>
      <c r="C32" s="33" t="s">
        <v>303</v>
      </c>
      <c r="D32" s="32" t="n">
        <v>1</v>
      </c>
      <c r="E32" s="32" t="n">
        <f aca="false">IF(ISNUMBER(D32),ROUND(D32*30,0),"－")</f>
        <v>30</v>
      </c>
      <c r="F32" s="35" t="n">
        <f aca="false">③石川以降予測!T43</f>
        <v>1752</v>
      </c>
      <c r="G32" s="35" t="n">
        <f aca="false">③石川以降予測!I43</f>
        <v>31</v>
      </c>
      <c r="H32" s="96" t="n">
        <f aca="false">F32-G32</f>
        <v>1721</v>
      </c>
      <c r="I32" s="35" t="n">
        <f aca="false">③石川以降予測!J43</f>
        <v>37</v>
      </c>
      <c r="J32" s="96" t="n">
        <f aca="false">H32-I32</f>
        <v>1684</v>
      </c>
      <c r="K32" s="35" t="n">
        <f aca="false">③石川以降予測!K43</f>
        <v>34</v>
      </c>
      <c r="L32" s="96" t="n">
        <f aca="false">J32-K32</f>
        <v>1650</v>
      </c>
      <c r="M32" s="35" t="n">
        <f aca="false">③石川以降予測!L43</f>
        <v>26</v>
      </c>
      <c r="N32" s="96" t="n">
        <f aca="false">L32-M32</f>
        <v>1624</v>
      </c>
      <c r="O32" s="35" t="n">
        <f aca="false">③石川以降予測!M43</f>
        <v>143</v>
      </c>
      <c r="P32" s="96" t="n">
        <f aca="false">N32-O32</f>
        <v>1481</v>
      </c>
      <c r="Q32" s="69" t="str">
        <f aca="false">_xlfn.IFS(H32&lt;0,"石川 香林坊大和",J32&lt;0,"仙台 Ebeans",L32&lt;0,"神戸阪急",N32&lt;0,"鳥取島根 夢みなとタワー",P32&lt;0,"東京凱旋 東京建物ぴあホール",TRUE(),"—")</f>
        <v>—</v>
      </c>
      <c r="R32" s="67" t="str">
        <f aca="false">IF(Q32="—","",_xlfn.IFS(H32&lt;0,DATE(2026,8,14),J32&lt;0,DATE(2026,9,5),L32&lt;0,DATE(2026,12,16),N32&lt;0,DATE(2027,3,15),P32&lt;0,DATE(2027,4,1)))</f>
        <v/>
      </c>
      <c r="S32" s="35" t="n">
        <f aca="false">MAX(0,-P32)</f>
        <v>0</v>
      </c>
      <c r="T32" s="35" t="n">
        <f aca="false">IF(S32&gt;0,ROUNDUP(S32*(1+前提・入力!$B$35),0),0)</f>
        <v>0</v>
      </c>
      <c r="U32" s="67" t="str">
        <f aca="false">IF(R32="","",IF(NOT(ISNUMBER(D32)),"再生産不可",R32-E32-前提・入力!$B$38))</f>
        <v/>
      </c>
      <c r="V32" s="68" t="str">
        <f aca="false">IF(OR(U32="",U32="再生産不可"),"",U32-前提・入力!$B$39)</f>
        <v/>
      </c>
      <c r="W32" s="69" t="str">
        <f aca="false">IF(Q32="","—",IF(U32="再生産不可","×再生産不可",_xlfn.IFS(V32&lt;0,"★期限超過",V32&lt;=30,"★至急(30日以内)",V32&lt;=90,"要着手(90日以内)",TRUE(),"余裕あり")))</f>
        <v>余裕あり</v>
      </c>
      <c r="X32" s="69" t="s">
        <v>850</v>
      </c>
    </row>
    <row r="33" customFormat="false" ht="15" hidden="false" customHeight="false" outlineLevel="0" collapsed="false">
      <c r="A33" s="32" t="n">
        <v>15</v>
      </c>
      <c r="B33" s="32" t="s">
        <v>304</v>
      </c>
      <c r="C33" s="33" t="s">
        <v>305</v>
      </c>
      <c r="D33" s="32" t="n">
        <v>1</v>
      </c>
      <c r="E33" s="32" t="n">
        <f aca="false">IF(ISNUMBER(D33),ROUND(D33*30,0),"－")</f>
        <v>30</v>
      </c>
      <c r="F33" s="35" t="n">
        <f aca="false">③石川以降予測!T44</f>
        <v>2072</v>
      </c>
      <c r="G33" s="35" t="n">
        <f aca="false">③石川以降予測!I44</f>
        <v>47</v>
      </c>
      <c r="H33" s="96" t="n">
        <f aca="false">F33-G33</f>
        <v>2025</v>
      </c>
      <c r="I33" s="35" t="n">
        <f aca="false">③石川以降予測!J44</f>
        <v>55</v>
      </c>
      <c r="J33" s="96" t="n">
        <f aca="false">H33-I33</f>
        <v>1970</v>
      </c>
      <c r="K33" s="35" t="n">
        <f aca="false">③石川以降予測!K44</f>
        <v>51</v>
      </c>
      <c r="L33" s="96" t="n">
        <f aca="false">J33-K33</f>
        <v>1919</v>
      </c>
      <c r="M33" s="35" t="n">
        <f aca="false">③石川以降予測!L44</f>
        <v>38</v>
      </c>
      <c r="N33" s="96" t="n">
        <f aca="false">L33-M33</f>
        <v>1881</v>
      </c>
      <c r="O33" s="35" t="n">
        <f aca="false">③石川以降予測!M44</f>
        <v>212</v>
      </c>
      <c r="P33" s="96" t="n">
        <f aca="false">N33-O33</f>
        <v>1669</v>
      </c>
      <c r="Q33" s="69" t="str">
        <f aca="false">_xlfn.IFS(H33&lt;0,"石川 香林坊大和",J33&lt;0,"仙台 Ebeans",L33&lt;0,"神戸阪急",N33&lt;0,"鳥取島根 夢みなとタワー",P33&lt;0,"東京凱旋 東京建物ぴあホール",TRUE(),"—")</f>
        <v>—</v>
      </c>
      <c r="R33" s="67" t="str">
        <f aca="false">IF(Q33="—","",_xlfn.IFS(H33&lt;0,DATE(2026,8,14),J33&lt;0,DATE(2026,9,5),L33&lt;0,DATE(2026,12,16),N33&lt;0,DATE(2027,3,15),P33&lt;0,DATE(2027,4,1)))</f>
        <v/>
      </c>
      <c r="S33" s="35" t="n">
        <f aca="false">MAX(0,-P33)</f>
        <v>0</v>
      </c>
      <c r="T33" s="35" t="n">
        <f aca="false">IF(S33&gt;0,ROUNDUP(S33*(1+前提・入力!$B$35),0),0)</f>
        <v>0</v>
      </c>
      <c r="U33" s="67" t="str">
        <f aca="false">IF(R33="","",IF(NOT(ISNUMBER(D33)),"再生産不可",R33-E33-前提・入力!$B$38))</f>
        <v/>
      </c>
      <c r="V33" s="68" t="str">
        <f aca="false">IF(OR(U33="",U33="再生産不可"),"",U33-前提・入力!$B$39)</f>
        <v/>
      </c>
      <c r="W33" s="69" t="str">
        <f aca="false">IF(Q33="","—",IF(U33="再生産不可","×再生産不可",_xlfn.IFS(V33&lt;0,"★期限超過",V33&lt;=30,"★至急(30日以内)",V33&lt;=90,"要着手(90日以内)",TRUE(),"余裕あり")))</f>
        <v>余裕あり</v>
      </c>
      <c r="X33" s="69"/>
    </row>
    <row r="34" customFormat="false" ht="15" hidden="false" customHeight="false" outlineLevel="0" collapsed="false">
      <c r="A34" s="32" t="n">
        <v>16</v>
      </c>
      <c r="B34" s="32" t="s">
        <v>306</v>
      </c>
      <c r="C34" s="33" t="s">
        <v>307</v>
      </c>
      <c r="D34" s="32" t="n">
        <v>1</v>
      </c>
      <c r="E34" s="32" t="n">
        <f aca="false">IF(ISNUMBER(D34),ROUND(D34*30,0),"－")</f>
        <v>30</v>
      </c>
      <c r="F34" s="35" t="n">
        <f aca="false">③石川以降予測!T45</f>
        <v>757</v>
      </c>
      <c r="G34" s="35" t="n">
        <f aca="false">③石川以降予測!I45</f>
        <v>13</v>
      </c>
      <c r="H34" s="96" t="n">
        <f aca="false">F34-G34</f>
        <v>744</v>
      </c>
      <c r="I34" s="35" t="n">
        <f aca="false">③石川以降予測!J45</f>
        <v>15</v>
      </c>
      <c r="J34" s="96" t="n">
        <f aca="false">H34-I34</f>
        <v>729</v>
      </c>
      <c r="K34" s="35" t="n">
        <f aca="false">③石川以降予測!K45</f>
        <v>14</v>
      </c>
      <c r="L34" s="96" t="n">
        <f aca="false">J34-K34</f>
        <v>715</v>
      </c>
      <c r="M34" s="35" t="n">
        <f aca="false">③石川以降予測!L45</f>
        <v>11</v>
      </c>
      <c r="N34" s="96" t="n">
        <f aca="false">L34-M34</f>
        <v>704</v>
      </c>
      <c r="O34" s="35" t="n">
        <f aca="false">③石川以降予測!M45</f>
        <v>59</v>
      </c>
      <c r="P34" s="96" t="n">
        <f aca="false">N34-O34</f>
        <v>645</v>
      </c>
      <c r="Q34" s="69" t="str">
        <f aca="false">_xlfn.IFS(H34&lt;0,"石川 香林坊大和",J34&lt;0,"仙台 Ebeans",L34&lt;0,"神戸阪急",N34&lt;0,"鳥取島根 夢みなとタワー",P34&lt;0,"東京凱旋 東京建物ぴあホール",TRUE(),"—")</f>
        <v>—</v>
      </c>
      <c r="R34" s="67" t="str">
        <f aca="false">IF(Q34="—","",_xlfn.IFS(H34&lt;0,DATE(2026,8,14),J34&lt;0,DATE(2026,9,5),L34&lt;0,DATE(2026,12,16),N34&lt;0,DATE(2027,3,15),P34&lt;0,DATE(2027,4,1)))</f>
        <v/>
      </c>
      <c r="S34" s="35" t="n">
        <f aca="false">MAX(0,-P34)</f>
        <v>0</v>
      </c>
      <c r="T34" s="35" t="n">
        <f aca="false">IF(S34&gt;0,ROUNDUP(S34*(1+前提・入力!$B$35),0),0)</f>
        <v>0</v>
      </c>
      <c r="U34" s="67" t="str">
        <f aca="false">IF(R34="","",IF(NOT(ISNUMBER(D34)),"再生産不可",R34-E34-前提・入力!$B$38))</f>
        <v/>
      </c>
      <c r="V34" s="68" t="str">
        <f aca="false">IF(OR(U34="",U34="再生産不可"),"",U34-前提・入力!$B$39)</f>
        <v/>
      </c>
      <c r="W34" s="69" t="str">
        <f aca="false">IF(Q34="","—",IF(U34="再生産不可","×再生産不可",_xlfn.IFS(V34&lt;0,"★期限超過",V34&lt;=30,"★至急(30日以内)",V34&lt;=90,"要着手(90日以内)",TRUE(),"余裕あり")))</f>
        <v>余裕あり</v>
      </c>
      <c r="X34" s="69"/>
    </row>
    <row r="35" customFormat="false" ht="15" hidden="false" customHeight="false" outlineLevel="0" collapsed="false">
      <c r="A35" s="32" t="n">
        <v>17</v>
      </c>
      <c r="B35" s="32" t="s">
        <v>308</v>
      </c>
      <c r="C35" s="33" t="s">
        <v>309</v>
      </c>
      <c r="D35" s="32" t="n">
        <v>1</v>
      </c>
      <c r="E35" s="32" t="n">
        <f aca="false">IF(ISNUMBER(D35),ROUND(D35*30,0),"－")</f>
        <v>30</v>
      </c>
      <c r="F35" s="35" t="n">
        <f aca="false">③石川以降予測!T46</f>
        <v>2430</v>
      </c>
      <c r="G35" s="35" t="n">
        <f aca="false">③石川以降予測!I46</f>
        <v>70</v>
      </c>
      <c r="H35" s="96" t="n">
        <f aca="false">F35-G35</f>
        <v>2360</v>
      </c>
      <c r="I35" s="35" t="n">
        <f aca="false">③石川以降予測!J46</f>
        <v>82</v>
      </c>
      <c r="J35" s="96" t="n">
        <f aca="false">H35-I35</f>
        <v>2278</v>
      </c>
      <c r="K35" s="35" t="n">
        <f aca="false">③石川以降予測!K46</f>
        <v>76</v>
      </c>
      <c r="L35" s="96" t="n">
        <f aca="false">J35-K35</f>
        <v>2202</v>
      </c>
      <c r="M35" s="35" t="n">
        <f aca="false">③石川以降予測!L46</f>
        <v>57</v>
      </c>
      <c r="N35" s="96" t="n">
        <f aca="false">L35-M35</f>
        <v>2145</v>
      </c>
      <c r="O35" s="35" t="n">
        <f aca="false">③石川以降予測!M46</f>
        <v>317</v>
      </c>
      <c r="P35" s="96" t="n">
        <f aca="false">N35-O35</f>
        <v>1828</v>
      </c>
      <c r="Q35" s="69" t="str">
        <f aca="false">_xlfn.IFS(H35&lt;0,"石川 香林坊大和",J35&lt;0,"仙台 Ebeans",L35&lt;0,"神戸阪急",N35&lt;0,"鳥取島根 夢みなとタワー",P35&lt;0,"東京凱旋 東京建物ぴあホール",TRUE(),"—")</f>
        <v>—</v>
      </c>
      <c r="R35" s="67" t="str">
        <f aca="false">IF(Q35="—","",_xlfn.IFS(H35&lt;0,DATE(2026,8,14),J35&lt;0,DATE(2026,9,5),L35&lt;0,DATE(2026,12,16),N35&lt;0,DATE(2027,3,15),P35&lt;0,DATE(2027,4,1)))</f>
        <v/>
      </c>
      <c r="S35" s="35" t="n">
        <f aca="false">MAX(0,-P35)</f>
        <v>0</v>
      </c>
      <c r="T35" s="35" t="n">
        <f aca="false">IF(S35&gt;0,ROUNDUP(S35*(1+前提・入力!$B$35),0),0)</f>
        <v>0</v>
      </c>
      <c r="U35" s="67" t="str">
        <f aca="false">IF(R35="","",IF(NOT(ISNUMBER(D35)),"再生産不可",R35-E35-前提・入力!$B$38))</f>
        <v/>
      </c>
      <c r="V35" s="68" t="str">
        <f aca="false">IF(OR(U35="",U35="再生産不可"),"",U35-前提・入力!$B$39)</f>
        <v/>
      </c>
      <c r="W35" s="69" t="str">
        <f aca="false">IF(Q35="","—",IF(U35="再生産不可","×再生産不可",_xlfn.IFS(V35&lt;0,"★期限超過",V35&lt;=30,"★至急(30日以内)",V35&lt;=90,"要着手(90日以内)",TRUE(),"余裕あり")))</f>
        <v>余裕あり</v>
      </c>
      <c r="X35" s="69" t="s">
        <v>850</v>
      </c>
    </row>
    <row r="36" customFormat="false" ht="15" hidden="false" customHeight="false" outlineLevel="0" collapsed="false">
      <c r="A36" s="32" t="n">
        <v>18</v>
      </c>
      <c r="B36" s="32" t="s">
        <v>310</v>
      </c>
      <c r="C36" s="33" t="s">
        <v>311</v>
      </c>
      <c r="D36" s="32" t="n">
        <v>1</v>
      </c>
      <c r="E36" s="32" t="n">
        <f aca="false">IF(ISNUMBER(D36),ROUND(D36*30,0),"－")</f>
        <v>30</v>
      </c>
      <c r="F36" s="35" t="n">
        <f aca="false">③石川以降予測!T47</f>
        <v>9318</v>
      </c>
      <c r="G36" s="35" t="n">
        <f aca="false">③石川以降予測!I47</f>
        <v>371</v>
      </c>
      <c r="H36" s="96" t="n">
        <f aca="false">F36-G36</f>
        <v>8947</v>
      </c>
      <c r="I36" s="35" t="n">
        <f aca="false">③石川以降予測!J47</f>
        <v>438</v>
      </c>
      <c r="J36" s="96" t="n">
        <f aca="false">H36-I36</f>
        <v>8509</v>
      </c>
      <c r="K36" s="35" t="n">
        <f aca="false">③石川以降予測!K47</f>
        <v>404</v>
      </c>
      <c r="L36" s="96" t="n">
        <f aca="false">J36-K36</f>
        <v>8105</v>
      </c>
      <c r="M36" s="35" t="n">
        <f aca="false">③石川以降予測!L47</f>
        <v>303</v>
      </c>
      <c r="N36" s="96" t="n">
        <f aca="false">L36-M36</f>
        <v>7802</v>
      </c>
      <c r="O36" s="35" t="n">
        <f aca="false">③石川以降予測!M47</f>
        <v>1685</v>
      </c>
      <c r="P36" s="96" t="n">
        <f aca="false">N36-O36</f>
        <v>6117</v>
      </c>
      <c r="Q36" s="69" t="str">
        <f aca="false">_xlfn.IFS(H36&lt;0,"石川 香林坊大和",J36&lt;0,"仙台 Ebeans",L36&lt;0,"神戸阪急",N36&lt;0,"鳥取島根 夢みなとタワー",P36&lt;0,"東京凱旋 東京建物ぴあホール",TRUE(),"—")</f>
        <v>—</v>
      </c>
      <c r="R36" s="67" t="str">
        <f aca="false">IF(Q36="—","",_xlfn.IFS(H36&lt;0,DATE(2026,8,14),J36&lt;0,DATE(2026,9,5),L36&lt;0,DATE(2026,12,16),N36&lt;0,DATE(2027,3,15),P36&lt;0,DATE(2027,4,1)))</f>
        <v/>
      </c>
      <c r="S36" s="35" t="n">
        <f aca="false">MAX(0,-P36)</f>
        <v>0</v>
      </c>
      <c r="T36" s="35" t="n">
        <f aca="false">IF(S36&gt;0,ROUNDUP(S36*(1+前提・入力!$B$35),0),0)</f>
        <v>0</v>
      </c>
      <c r="U36" s="67" t="str">
        <f aca="false">IF(R36="","",IF(NOT(ISNUMBER(D36)),"再生産不可",R36-E36-前提・入力!$B$38))</f>
        <v/>
      </c>
      <c r="V36" s="68" t="str">
        <f aca="false">IF(OR(U36="",U36="再生産不可"),"",U36-前提・入力!$B$39)</f>
        <v/>
      </c>
      <c r="W36" s="69" t="str">
        <f aca="false">IF(Q36="","—",IF(U36="再生産不可","×再生産不可",_xlfn.IFS(V36&lt;0,"★期限超過",V36&lt;=30,"★至急(30日以内)",V36&lt;=90,"要着手(90日以内)",TRUE(),"余裕あり")))</f>
        <v>余裕あり</v>
      </c>
      <c r="X36" s="69"/>
    </row>
    <row r="37" customFormat="false" ht="15" hidden="false" customHeight="false" outlineLevel="0" collapsed="false">
      <c r="A37" s="32" t="n">
        <v>19</v>
      </c>
      <c r="B37" s="32" t="s">
        <v>312</v>
      </c>
      <c r="C37" s="33" t="s">
        <v>313</v>
      </c>
      <c r="D37" s="32" t="n">
        <v>1</v>
      </c>
      <c r="E37" s="32" t="n">
        <f aca="false">IF(ISNUMBER(D37),ROUND(D37*30,0),"－")</f>
        <v>30</v>
      </c>
      <c r="F37" s="35" t="n">
        <f aca="false">③石川以降予測!T48</f>
        <v>2224</v>
      </c>
      <c r="G37" s="35" t="n">
        <f aca="false">③石川以降予測!I48</f>
        <v>12</v>
      </c>
      <c r="H37" s="96" t="n">
        <f aca="false">F37-G37</f>
        <v>2212</v>
      </c>
      <c r="I37" s="35" t="n">
        <f aca="false">③石川以降予測!J48</f>
        <v>14</v>
      </c>
      <c r="J37" s="96" t="n">
        <f aca="false">H37-I37</f>
        <v>2198</v>
      </c>
      <c r="K37" s="35" t="n">
        <f aca="false">③石川以降予測!K48</f>
        <v>13</v>
      </c>
      <c r="L37" s="96" t="n">
        <f aca="false">J37-K37</f>
        <v>2185</v>
      </c>
      <c r="M37" s="35" t="n">
        <f aca="false">③石川以降予測!L48</f>
        <v>10</v>
      </c>
      <c r="N37" s="96" t="n">
        <f aca="false">L37-M37</f>
        <v>2175</v>
      </c>
      <c r="O37" s="35" t="n">
        <f aca="false">③石川以降予測!M48</f>
        <v>55</v>
      </c>
      <c r="P37" s="96" t="n">
        <f aca="false">N37-O37</f>
        <v>2120</v>
      </c>
      <c r="Q37" s="69" t="str">
        <f aca="false">_xlfn.IFS(H37&lt;0,"石川 香林坊大和",J37&lt;0,"仙台 Ebeans",L37&lt;0,"神戸阪急",N37&lt;0,"鳥取島根 夢みなとタワー",P37&lt;0,"東京凱旋 東京建物ぴあホール",TRUE(),"—")</f>
        <v>—</v>
      </c>
      <c r="R37" s="67" t="str">
        <f aca="false">IF(Q37="—","",_xlfn.IFS(H37&lt;0,DATE(2026,8,14),J37&lt;0,DATE(2026,9,5),L37&lt;0,DATE(2026,12,16),N37&lt;0,DATE(2027,3,15),P37&lt;0,DATE(2027,4,1)))</f>
        <v/>
      </c>
      <c r="S37" s="35" t="n">
        <f aca="false">MAX(0,-P37)</f>
        <v>0</v>
      </c>
      <c r="T37" s="35" t="n">
        <f aca="false">IF(S37&gt;0,ROUNDUP(S37*(1+前提・入力!$B$35),0),0)</f>
        <v>0</v>
      </c>
      <c r="U37" s="67" t="str">
        <f aca="false">IF(R37="","",IF(NOT(ISNUMBER(D37)),"再生産不可",R37-E37-前提・入力!$B$38))</f>
        <v/>
      </c>
      <c r="V37" s="68" t="str">
        <f aca="false">IF(OR(U37="",U37="再生産不可"),"",U37-前提・入力!$B$39)</f>
        <v/>
      </c>
      <c r="W37" s="69" t="str">
        <f aca="false">IF(Q37="","—",IF(U37="再生産不可","×再生産不可",_xlfn.IFS(V37&lt;0,"★期限超過",V37&lt;=30,"★至急(30日以内)",V37&lt;=90,"要着手(90日以内)",TRUE(),"余裕あり")))</f>
        <v>余裕あり</v>
      </c>
      <c r="X37" s="69"/>
    </row>
    <row r="38" customFormat="false" ht="15" hidden="false" customHeight="false" outlineLevel="0" collapsed="false">
      <c r="A38" s="32" t="n">
        <v>20</v>
      </c>
      <c r="B38" s="32" t="s">
        <v>314</v>
      </c>
      <c r="C38" s="33" t="s">
        <v>315</v>
      </c>
      <c r="D38" s="32" t="n">
        <v>1</v>
      </c>
      <c r="E38" s="32" t="n">
        <f aca="false">IF(ISNUMBER(D38),ROUND(D38*30,0),"－")</f>
        <v>30</v>
      </c>
      <c r="F38" s="35" t="n">
        <f aca="false">③石川以降予測!T49</f>
        <v>287</v>
      </c>
      <c r="G38" s="35" t="n">
        <f aca="false">③石川以降予測!I49</f>
        <v>11</v>
      </c>
      <c r="H38" s="96" t="n">
        <f aca="false">F38-G38</f>
        <v>276</v>
      </c>
      <c r="I38" s="35" t="n">
        <f aca="false">③石川以降予測!J49</f>
        <v>13</v>
      </c>
      <c r="J38" s="96" t="n">
        <f aca="false">H38-I38</f>
        <v>263</v>
      </c>
      <c r="K38" s="35" t="n">
        <f aca="false">③石川以降予測!K49</f>
        <v>12</v>
      </c>
      <c r="L38" s="96" t="n">
        <f aca="false">J38-K38</f>
        <v>251</v>
      </c>
      <c r="M38" s="35" t="n">
        <f aca="false">③石川以降予測!L49</f>
        <v>9</v>
      </c>
      <c r="N38" s="96" t="n">
        <f aca="false">L38-M38</f>
        <v>242</v>
      </c>
      <c r="O38" s="35" t="n">
        <f aca="false">③石川以降予測!M49</f>
        <v>49</v>
      </c>
      <c r="P38" s="96" t="n">
        <f aca="false">N38-O38</f>
        <v>193</v>
      </c>
      <c r="Q38" s="69" t="str">
        <f aca="false">_xlfn.IFS(H38&lt;0,"石川 香林坊大和",J38&lt;0,"仙台 Ebeans",L38&lt;0,"神戸阪急",N38&lt;0,"鳥取島根 夢みなとタワー",P38&lt;0,"東京凱旋 東京建物ぴあホール",TRUE(),"—")</f>
        <v>—</v>
      </c>
      <c r="R38" s="67" t="str">
        <f aca="false">IF(Q38="—","",_xlfn.IFS(H38&lt;0,DATE(2026,8,14),J38&lt;0,DATE(2026,9,5),L38&lt;0,DATE(2026,12,16),N38&lt;0,DATE(2027,3,15),P38&lt;0,DATE(2027,4,1)))</f>
        <v/>
      </c>
      <c r="S38" s="35" t="n">
        <f aca="false">MAX(0,-P38)</f>
        <v>0</v>
      </c>
      <c r="T38" s="35" t="n">
        <f aca="false">IF(S38&gt;0,ROUNDUP(S38*(1+前提・入力!$B$35),0),0)</f>
        <v>0</v>
      </c>
      <c r="U38" s="67" t="str">
        <f aca="false">IF(R38="","",IF(NOT(ISNUMBER(D38)),"再生産不可",R38-E38-前提・入力!$B$38))</f>
        <v/>
      </c>
      <c r="V38" s="68" t="str">
        <f aca="false">IF(OR(U38="",U38="再生産不可"),"",U38-前提・入力!$B$39)</f>
        <v/>
      </c>
      <c r="W38" s="69" t="str">
        <f aca="false">IF(Q38="","—",IF(U38="再生産不可","×再生産不可",_xlfn.IFS(V38&lt;0,"★期限超過",V38&lt;=30,"★至急(30日以内)",V38&lt;=90,"要着手(90日以内)",TRUE(),"余裕あり")))</f>
        <v>余裕あり</v>
      </c>
      <c r="X38" s="69"/>
    </row>
    <row r="39" customFormat="false" ht="15" hidden="false" customHeight="false" outlineLevel="0" collapsed="false">
      <c r="A39" s="32" t="n">
        <v>21</v>
      </c>
      <c r="B39" s="32" t="s">
        <v>316</v>
      </c>
      <c r="C39" s="33" t="s">
        <v>317</v>
      </c>
      <c r="D39" s="32" t="n">
        <v>1</v>
      </c>
      <c r="E39" s="32" t="n">
        <f aca="false">IF(ISNUMBER(D39),ROUND(D39*30,0),"－")</f>
        <v>30</v>
      </c>
      <c r="F39" s="35" t="n">
        <f aca="false">③石川以降予測!T50</f>
        <v>218</v>
      </c>
      <c r="G39" s="35" t="n">
        <f aca="false">③石川以降予測!I50</f>
        <v>67</v>
      </c>
      <c r="H39" s="96" t="n">
        <f aca="false">F39-G39</f>
        <v>151</v>
      </c>
      <c r="I39" s="35" t="n">
        <f aca="false">③石川以降予測!J50</f>
        <v>80</v>
      </c>
      <c r="J39" s="96" t="n">
        <f aca="false">H39-I39</f>
        <v>71</v>
      </c>
      <c r="K39" s="35" t="n">
        <f aca="false">③石川以降予測!K50</f>
        <v>74</v>
      </c>
      <c r="L39" s="96" t="n">
        <f aca="false">J39-K39</f>
        <v>-3</v>
      </c>
      <c r="M39" s="35" t="n">
        <f aca="false">③石川以降予測!L50</f>
        <v>55</v>
      </c>
      <c r="N39" s="96" t="n">
        <f aca="false">L39-M39</f>
        <v>-58</v>
      </c>
      <c r="O39" s="35" t="n">
        <f aca="false">③石川以降予測!M50</f>
        <v>307</v>
      </c>
      <c r="P39" s="96" t="n">
        <f aca="false">N39-O39</f>
        <v>-365</v>
      </c>
      <c r="Q39" s="69" t="str">
        <f aca="false">_xlfn.IFS(H39&lt;0,"石川 香林坊大和",J39&lt;0,"仙台 Ebeans",L39&lt;0,"神戸阪急",N39&lt;0,"鳥取島根 夢みなとタワー",P39&lt;0,"東京凱旋 東京建物ぴあホール",TRUE(),"—")</f>
        <v>神戸阪急</v>
      </c>
      <c r="R39" s="67" t="n">
        <f aca="false">IF(Q39="—","",_xlfn.IFS(H39&lt;0,DATE(2026,8,14),J39&lt;0,DATE(2026,9,5),L39&lt;0,DATE(2026,12,16),N39&lt;0,DATE(2027,3,15),P39&lt;0,DATE(2027,4,1)))</f>
        <v>46372</v>
      </c>
      <c r="S39" s="35" t="n">
        <f aca="false">MAX(0,-P39)</f>
        <v>365</v>
      </c>
      <c r="T39" s="35" t="n">
        <f aca="false">IF(S39&gt;0,ROUNDUP(S39*(1+前提・入力!$B$35),0),0)</f>
        <v>402</v>
      </c>
      <c r="U39" s="67" t="n">
        <f aca="false">IF(R39="","",IF(NOT(ISNUMBER(D39)),"再生産不可",R39-E39-前提・入力!$B$38))</f>
        <v>46328</v>
      </c>
      <c r="V39" s="68" t="n">
        <f aca="false">IF(OR(U39="",U39="再生産不可"),"",U39-前提・入力!$B$39)</f>
        <v>95</v>
      </c>
      <c r="W39" s="69" t="str">
        <f aca="false">IF(Q39="","—",IF(U39="再生産不可","×再生産不可",_xlfn.IFS(V39&lt;0,"★期限超過",V39&lt;=30,"★至急(30日以内)",V39&lt;=90,"要着手(90日以内)",TRUE(),"余裕あり")))</f>
        <v>余裕あり</v>
      </c>
      <c r="X39" s="69" t="s">
        <v>850</v>
      </c>
    </row>
    <row r="40" customFormat="false" ht="15" hidden="false" customHeight="false" outlineLevel="0" collapsed="false">
      <c r="A40" s="32" t="n">
        <v>22</v>
      </c>
      <c r="B40" s="32" t="s">
        <v>318</v>
      </c>
      <c r="C40" s="33" t="s">
        <v>319</v>
      </c>
      <c r="D40" s="32" t="n">
        <v>1</v>
      </c>
      <c r="E40" s="32" t="n">
        <f aca="false">IF(ISNUMBER(D40),ROUND(D40*30,0),"－")</f>
        <v>30</v>
      </c>
      <c r="F40" s="35" t="n">
        <f aca="false">③石川以降予測!T51</f>
        <v>1279</v>
      </c>
      <c r="G40" s="35" t="n">
        <f aca="false">③石川以降予測!I51</f>
        <v>41</v>
      </c>
      <c r="H40" s="96" t="n">
        <f aca="false">F40-G40</f>
        <v>1238</v>
      </c>
      <c r="I40" s="35" t="n">
        <f aca="false">③石川以降予測!J51</f>
        <v>48</v>
      </c>
      <c r="J40" s="96" t="n">
        <f aca="false">H40-I40</f>
        <v>1190</v>
      </c>
      <c r="K40" s="35" t="n">
        <f aca="false">③石川以降予測!K51</f>
        <v>45</v>
      </c>
      <c r="L40" s="96" t="n">
        <f aca="false">J40-K40</f>
        <v>1145</v>
      </c>
      <c r="M40" s="35" t="n">
        <f aca="false">③石川以降予測!L51</f>
        <v>33</v>
      </c>
      <c r="N40" s="96" t="n">
        <f aca="false">L40-M40</f>
        <v>1112</v>
      </c>
      <c r="O40" s="35" t="n">
        <f aca="false">③石川以降予測!M51</f>
        <v>186</v>
      </c>
      <c r="P40" s="96" t="n">
        <f aca="false">N40-O40</f>
        <v>926</v>
      </c>
      <c r="Q40" s="69" t="str">
        <f aca="false">_xlfn.IFS(H40&lt;0,"石川 香林坊大和",J40&lt;0,"仙台 Ebeans",L40&lt;0,"神戸阪急",N40&lt;0,"鳥取島根 夢みなとタワー",P40&lt;0,"東京凱旋 東京建物ぴあホール",TRUE(),"—")</f>
        <v>—</v>
      </c>
      <c r="R40" s="67" t="str">
        <f aca="false">IF(Q40="—","",_xlfn.IFS(H40&lt;0,DATE(2026,8,14),J40&lt;0,DATE(2026,9,5),L40&lt;0,DATE(2026,12,16),N40&lt;0,DATE(2027,3,15),P40&lt;0,DATE(2027,4,1)))</f>
        <v/>
      </c>
      <c r="S40" s="35" t="n">
        <f aca="false">MAX(0,-P40)</f>
        <v>0</v>
      </c>
      <c r="T40" s="35" t="n">
        <f aca="false">IF(S40&gt;0,ROUNDUP(S40*(1+前提・入力!$B$35),0),0)</f>
        <v>0</v>
      </c>
      <c r="U40" s="67" t="str">
        <f aca="false">IF(R40="","",IF(NOT(ISNUMBER(D40)),"再生産不可",R40-E40-前提・入力!$B$38))</f>
        <v/>
      </c>
      <c r="V40" s="68" t="str">
        <f aca="false">IF(OR(U40="",U40="再生産不可"),"",U40-前提・入力!$B$39)</f>
        <v/>
      </c>
      <c r="W40" s="69" t="str">
        <f aca="false">IF(Q40="","—",IF(U40="再生産不可","×再生産不可",_xlfn.IFS(V40&lt;0,"★期限超過",V40&lt;=30,"★至急(30日以内)",V40&lt;=90,"要着手(90日以内)",TRUE(),"余裕あり")))</f>
        <v>余裕あり</v>
      </c>
      <c r="X40" s="69" t="s">
        <v>850</v>
      </c>
    </row>
    <row r="41" customFormat="false" ht="15" hidden="false" customHeight="false" outlineLevel="0" collapsed="false">
      <c r="A41" s="32" t="n">
        <v>23</v>
      </c>
      <c r="B41" s="32" t="s">
        <v>320</v>
      </c>
      <c r="C41" s="33" t="s">
        <v>321</v>
      </c>
      <c r="D41" s="32" t="n">
        <v>2.5</v>
      </c>
      <c r="E41" s="32" t="n">
        <f aca="false">IF(ISNUMBER(D41),ROUND(D41*30,0),"－")</f>
        <v>75</v>
      </c>
      <c r="F41" s="35" t="n">
        <f aca="false">③石川以降予測!T52</f>
        <v>49718</v>
      </c>
      <c r="G41" s="35" t="n">
        <f aca="false">③石川以降予測!I52</f>
        <v>2083</v>
      </c>
      <c r="H41" s="96" t="n">
        <f aca="false">F41-G41</f>
        <v>47635</v>
      </c>
      <c r="I41" s="35" t="n">
        <f aca="false">③石川以降予測!J52</f>
        <v>2462</v>
      </c>
      <c r="J41" s="96" t="n">
        <f aca="false">H41-I41</f>
        <v>45173</v>
      </c>
      <c r="K41" s="35" t="n">
        <f aca="false">③石川以降予測!K52</f>
        <v>2273</v>
      </c>
      <c r="L41" s="96" t="n">
        <f aca="false">J41-K41</f>
        <v>42900</v>
      </c>
      <c r="M41" s="35" t="n">
        <f aca="false">③石川以降予測!L52</f>
        <v>1704</v>
      </c>
      <c r="N41" s="96" t="n">
        <f aca="false">L41-M41</f>
        <v>41196</v>
      </c>
      <c r="O41" s="35" t="n">
        <f aca="false">③石川以降予測!M52</f>
        <v>9469</v>
      </c>
      <c r="P41" s="96" t="n">
        <f aca="false">N41-O41</f>
        <v>31727</v>
      </c>
      <c r="Q41" s="69" t="str">
        <f aca="false">_xlfn.IFS(H41&lt;0,"石川 香林坊大和",J41&lt;0,"仙台 Ebeans",L41&lt;0,"神戸阪急",N41&lt;0,"鳥取島根 夢みなとタワー",P41&lt;0,"東京凱旋 東京建物ぴあホール",TRUE(),"—")</f>
        <v>—</v>
      </c>
      <c r="R41" s="67" t="str">
        <f aca="false">IF(Q41="—","",_xlfn.IFS(H41&lt;0,DATE(2026,8,14),J41&lt;0,DATE(2026,9,5),L41&lt;0,DATE(2026,12,16),N41&lt;0,DATE(2027,3,15),P41&lt;0,DATE(2027,4,1)))</f>
        <v/>
      </c>
      <c r="S41" s="35" t="n">
        <f aca="false">MAX(0,-P41)</f>
        <v>0</v>
      </c>
      <c r="T41" s="35" t="n">
        <f aca="false">IF(S41&gt;0,ROUNDUP(S41*(1+前提・入力!$B$35),0),0)</f>
        <v>0</v>
      </c>
      <c r="U41" s="67" t="str">
        <f aca="false">IF(R41="","",IF(NOT(ISNUMBER(D41)),"再生産不可",R41-E41-前提・入力!$B$38))</f>
        <v/>
      </c>
      <c r="V41" s="68" t="str">
        <f aca="false">IF(OR(U41="",U41="再生産不可"),"",U41-前提・入力!$B$39)</f>
        <v/>
      </c>
      <c r="W41" s="69" t="str">
        <f aca="false">IF(Q41="","—",IF(U41="再生産不可","×再生産不可",_xlfn.IFS(V41&lt;0,"★期限超過",V41&lt;=30,"★至急(30日以内)",V41&lt;=90,"要着手(90日以内)",TRUE(),"余裕あり")))</f>
        <v>余裕あり</v>
      </c>
      <c r="X41" s="69"/>
    </row>
    <row r="42" customFormat="false" ht="15" hidden="false" customHeight="false" outlineLevel="0" collapsed="false">
      <c r="A42" s="32" t="n">
        <v>24</v>
      </c>
      <c r="B42" s="32" t="s">
        <v>322</v>
      </c>
      <c r="C42" s="33" t="s">
        <v>323</v>
      </c>
      <c r="D42" s="32" t="n">
        <v>2.5</v>
      </c>
      <c r="E42" s="32" t="n">
        <f aca="false">IF(ISNUMBER(D42),ROUND(D42*30,0),"－")</f>
        <v>75</v>
      </c>
      <c r="F42" s="35" t="n">
        <f aca="false">③石川以降予測!T53</f>
        <v>30991</v>
      </c>
      <c r="G42" s="35" t="n">
        <f aca="false">③石川以降予測!I53</f>
        <v>1176</v>
      </c>
      <c r="H42" s="96" t="n">
        <f aca="false">F42-G42</f>
        <v>29815</v>
      </c>
      <c r="I42" s="35" t="n">
        <f aca="false">③石川以降予測!J53</f>
        <v>1389</v>
      </c>
      <c r="J42" s="96" t="n">
        <f aca="false">H42-I42</f>
        <v>28426</v>
      </c>
      <c r="K42" s="35" t="n">
        <f aca="false">③石川以降予測!K53</f>
        <v>1283</v>
      </c>
      <c r="L42" s="96" t="n">
        <f aca="false">J42-K42</f>
        <v>27143</v>
      </c>
      <c r="M42" s="35" t="n">
        <f aca="false">③石川以降予測!L53</f>
        <v>962</v>
      </c>
      <c r="N42" s="96" t="n">
        <f aca="false">L42-M42</f>
        <v>26181</v>
      </c>
      <c r="O42" s="35" t="n">
        <f aca="false">③石川以降予測!M53</f>
        <v>5344</v>
      </c>
      <c r="P42" s="96" t="n">
        <f aca="false">N42-O42</f>
        <v>20837</v>
      </c>
      <c r="Q42" s="69" t="str">
        <f aca="false">_xlfn.IFS(H42&lt;0,"石川 香林坊大和",J42&lt;0,"仙台 Ebeans",L42&lt;0,"神戸阪急",N42&lt;0,"鳥取島根 夢みなとタワー",P42&lt;0,"東京凱旋 東京建物ぴあホール",TRUE(),"—")</f>
        <v>—</v>
      </c>
      <c r="R42" s="67" t="str">
        <f aca="false">IF(Q42="—","",_xlfn.IFS(H42&lt;0,DATE(2026,8,14),J42&lt;0,DATE(2026,9,5),L42&lt;0,DATE(2026,12,16),N42&lt;0,DATE(2027,3,15),P42&lt;0,DATE(2027,4,1)))</f>
        <v/>
      </c>
      <c r="S42" s="35" t="n">
        <f aca="false">MAX(0,-P42)</f>
        <v>0</v>
      </c>
      <c r="T42" s="35" t="n">
        <f aca="false">IF(S42&gt;0,ROUNDUP(S42*(1+前提・入力!$B$35),0),0)</f>
        <v>0</v>
      </c>
      <c r="U42" s="67" t="str">
        <f aca="false">IF(R42="","",IF(NOT(ISNUMBER(D42)),"再生産不可",R42-E42-前提・入力!$B$38))</f>
        <v/>
      </c>
      <c r="V42" s="68" t="str">
        <f aca="false">IF(OR(U42="",U42="再生産不可"),"",U42-前提・入力!$B$39)</f>
        <v/>
      </c>
      <c r="W42" s="69" t="str">
        <f aca="false">IF(Q42="","—",IF(U42="再生産不可","×再生産不可",_xlfn.IFS(V42&lt;0,"★期限超過",V42&lt;=30,"★至急(30日以内)",V42&lt;=90,"要着手(90日以内)",TRUE(),"余裕あり")))</f>
        <v>余裕あり</v>
      </c>
      <c r="X42" s="69"/>
    </row>
    <row r="43" customFormat="false" ht="15" hidden="false" customHeight="false" outlineLevel="0" collapsed="false">
      <c r="A43" s="32" t="n">
        <v>25</v>
      </c>
      <c r="B43" s="32" t="s">
        <v>324</v>
      </c>
      <c r="C43" s="33" t="s">
        <v>325</v>
      </c>
      <c r="D43" s="39" t="s">
        <v>851</v>
      </c>
      <c r="E43" s="32" t="str">
        <f aca="false">IF(ISNUMBER(D43),ROUND(D43*30,0),"－")</f>
        <v>－</v>
      </c>
      <c r="F43" s="35" t="n">
        <f aca="false">③石川以降予測!T54</f>
        <v>3451</v>
      </c>
      <c r="G43" s="35" t="n">
        <f aca="false">③石川以降予測!I54</f>
        <v>47</v>
      </c>
      <c r="H43" s="96" t="n">
        <f aca="false">F43-G43</f>
        <v>3404</v>
      </c>
      <c r="I43" s="35" t="n">
        <f aca="false">③石川以降予測!J54</f>
        <v>56</v>
      </c>
      <c r="J43" s="96" t="n">
        <f aca="false">H43-I43</f>
        <v>3348</v>
      </c>
      <c r="K43" s="35" t="n">
        <f aca="false">③石川以降予測!K54</f>
        <v>52</v>
      </c>
      <c r="L43" s="96" t="n">
        <f aca="false">J43-K43</f>
        <v>3296</v>
      </c>
      <c r="M43" s="35" t="n">
        <f aca="false">③石川以降予測!L54</f>
        <v>39</v>
      </c>
      <c r="N43" s="96" t="n">
        <f aca="false">L43-M43</f>
        <v>3257</v>
      </c>
      <c r="O43" s="35" t="n">
        <f aca="false">③石川以降予測!M54</f>
        <v>215</v>
      </c>
      <c r="P43" s="96" t="n">
        <f aca="false">N43-O43</f>
        <v>3042</v>
      </c>
      <c r="Q43" s="69" t="str">
        <f aca="false">_xlfn.IFS(H43&lt;0,"石川 香林坊大和",J43&lt;0,"仙台 Ebeans",L43&lt;0,"神戸阪急",N43&lt;0,"鳥取島根 夢みなとタワー",P43&lt;0,"東京凱旋 東京建物ぴあホール",TRUE(),"—")</f>
        <v>—</v>
      </c>
      <c r="R43" s="67" t="str">
        <f aca="false">IF(Q43="—","",_xlfn.IFS(H43&lt;0,DATE(2026,8,14),J43&lt;0,DATE(2026,9,5),L43&lt;0,DATE(2026,12,16),N43&lt;0,DATE(2027,3,15),P43&lt;0,DATE(2027,4,1)))</f>
        <v/>
      </c>
      <c r="S43" s="35" t="n">
        <f aca="false">MAX(0,-P43)</f>
        <v>0</v>
      </c>
      <c r="T43" s="35" t="n">
        <f aca="false">IF(S43&gt;0,ROUNDUP(S43*(1+前提・入力!$B$35),0),0)</f>
        <v>0</v>
      </c>
      <c r="U43" s="67" t="str">
        <f aca="false">IF(R43="","",IF(NOT(ISNUMBER(D43)),"再生産不可",R43-E43-前提・入力!$B$38))</f>
        <v/>
      </c>
      <c r="V43" s="68" t="str">
        <f aca="false">IF(OR(U43="",U43="再生産不可"),"",U43-前提・入力!$B$39)</f>
        <v/>
      </c>
      <c r="W43" s="69" t="str">
        <f aca="false">IF(Q43="","—",IF(U43="再生産不可","×再生産不可",_xlfn.IFS(V43&lt;0,"★期限超過",V43&lt;=30,"★至急(30日以内)",V43&lt;=90,"要着手(90日以内)",TRUE(),"余裕あり")))</f>
        <v>余裕あり</v>
      </c>
      <c r="X43" s="66" t="s">
        <v>852</v>
      </c>
    </row>
    <row r="44" customFormat="false" ht="15" hidden="false" customHeight="false" outlineLevel="0" collapsed="false">
      <c r="A44" s="32" t="n">
        <v>26</v>
      </c>
      <c r="B44" s="32" t="s">
        <v>326</v>
      </c>
      <c r="C44" s="33" t="s">
        <v>327</v>
      </c>
      <c r="D44" s="32" t="n">
        <v>2.5</v>
      </c>
      <c r="E44" s="32" t="n">
        <f aca="false">IF(ISNUMBER(D44),ROUND(D44*30,0),"－")</f>
        <v>75</v>
      </c>
      <c r="F44" s="35" t="n">
        <f aca="false">③石川以降予測!T55</f>
        <v>341</v>
      </c>
      <c r="G44" s="35" t="n">
        <f aca="false">③石川以降予測!I55</f>
        <v>147</v>
      </c>
      <c r="H44" s="96" t="n">
        <f aca="false">F44-G44</f>
        <v>194</v>
      </c>
      <c r="I44" s="35" t="n">
        <f aca="false">③石川以降予測!J55</f>
        <v>174</v>
      </c>
      <c r="J44" s="96" t="n">
        <f aca="false">H44-I44</f>
        <v>20</v>
      </c>
      <c r="K44" s="35" t="n">
        <f aca="false">③石川以降予測!K55</f>
        <v>160</v>
      </c>
      <c r="L44" s="96" t="n">
        <f aca="false">J44-K44</f>
        <v>-140</v>
      </c>
      <c r="M44" s="35" t="n">
        <f aca="false">③石川以降予測!L55</f>
        <v>120</v>
      </c>
      <c r="N44" s="96" t="n">
        <f aca="false">L44-M44</f>
        <v>-260</v>
      </c>
      <c r="O44" s="35" t="n">
        <f aca="false">③石川以降予測!M55</f>
        <v>669</v>
      </c>
      <c r="P44" s="96" t="n">
        <f aca="false">N44-O44</f>
        <v>-929</v>
      </c>
      <c r="Q44" s="69" t="str">
        <f aca="false">_xlfn.IFS(H44&lt;0,"石川 香林坊大和",J44&lt;0,"仙台 Ebeans",L44&lt;0,"神戸阪急",N44&lt;0,"鳥取島根 夢みなとタワー",P44&lt;0,"東京凱旋 東京建物ぴあホール",TRUE(),"—")</f>
        <v>神戸阪急</v>
      </c>
      <c r="R44" s="67" t="n">
        <f aca="false">IF(Q44="—","",_xlfn.IFS(H44&lt;0,DATE(2026,8,14),J44&lt;0,DATE(2026,9,5),L44&lt;0,DATE(2026,12,16),N44&lt;0,DATE(2027,3,15),P44&lt;0,DATE(2027,4,1)))</f>
        <v>46372</v>
      </c>
      <c r="S44" s="35" t="n">
        <f aca="false">MAX(0,-P44)</f>
        <v>929</v>
      </c>
      <c r="T44" s="35" t="n">
        <f aca="false">IF(S44&gt;0,ROUNDUP(S44*(1+前提・入力!$B$35),0),0)</f>
        <v>1022</v>
      </c>
      <c r="U44" s="67" t="n">
        <f aca="false">IF(R44="","",IF(NOT(ISNUMBER(D44)),"再生産不可",R44-E44-前提・入力!$B$38))</f>
        <v>46283</v>
      </c>
      <c r="V44" s="68" t="n">
        <f aca="false">IF(OR(U44="",U44="再生産不可"),"",U44-前提・入力!$B$39)</f>
        <v>50</v>
      </c>
      <c r="W44" s="69" t="str">
        <f aca="false">IF(Q44="","—",IF(U44="再生産不可","×再生産不可",_xlfn.IFS(V44&lt;0,"★期限超過",V44&lt;=30,"★至急(30日以内)",V44&lt;=90,"要着手(90日以内)",TRUE(),"余裕あり")))</f>
        <v>要着手(90日以内)</v>
      </c>
      <c r="X44" s="69" t="s">
        <v>850</v>
      </c>
    </row>
    <row r="45" customFormat="false" ht="15" hidden="false" customHeight="false" outlineLevel="0" collapsed="false">
      <c r="A45" s="32" t="n">
        <v>27</v>
      </c>
      <c r="B45" s="32" t="s">
        <v>328</v>
      </c>
      <c r="C45" s="33" t="s">
        <v>329</v>
      </c>
      <c r="D45" s="32" t="n">
        <v>3</v>
      </c>
      <c r="E45" s="32" t="n">
        <f aca="false">IF(ISNUMBER(D45),ROUND(D45*30,0),"－")</f>
        <v>90</v>
      </c>
      <c r="F45" s="35" t="n">
        <f aca="false">③石川以降予測!T56</f>
        <v>1158</v>
      </c>
      <c r="G45" s="35" t="n">
        <f aca="false">③石川以降予測!I56</f>
        <v>32</v>
      </c>
      <c r="H45" s="96" t="n">
        <f aca="false">F45-G45</f>
        <v>1126</v>
      </c>
      <c r="I45" s="35" t="n">
        <f aca="false">③石川以降予測!J56</f>
        <v>38</v>
      </c>
      <c r="J45" s="96" t="n">
        <f aca="false">H45-I45</f>
        <v>1088</v>
      </c>
      <c r="K45" s="35" t="n">
        <f aca="false">③石川以降予測!K56</f>
        <v>35</v>
      </c>
      <c r="L45" s="96" t="n">
        <f aca="false">J45-K45</f>
        <v>1053</v>
      </c>
      <c r="M45" s="35" t="n">
        <f aca="false">③石川以降予測!L56</f>
        <v>27</v>
      </c>
      <c r="N45" s="96" t="n">
        <f aca="false">L45-M45</f>
        <v>1026</v>
      </c>
      <c r="O45" s="35" t="n">
        <f aca="false">③石川以降予測!M56</f>
        <v>147</v>
      </c>
      <c r="P45" s="96" t="n">
        <f aca="false">N45-O45</f>
        <v>879</v>
      </c>
      <c r="Q45" s="69" t="str">
        <f aca="false">_xlfn.IFS(H45&lt;0,"石川 香林坊大和",J45&lt;0,"仙台 Ebeans",L45&lt;0,"神戸阪急",N45&lt;0,"鳥取島根 夢みなとタワー",P45&lt;0,"東京凱旋 東京建物ぴあホール",TRUE(),"—")</f>
        <v>—</v>
      </c>
      <c r="R45" s="67" t="str">
        <f aca="false">IF(Q45="—","",_xlfn.IFS(H45&lt;0,DATE(2026,8,14),J45&lt;0,DATE(2026,9,5),L45&lt;0,DATE(2026,12,16),N45&lt;0,DATE(2027,3,15),P45&lt;0,DATE(2027,4,1)))</f>
        <v/>
      </c>
      <c r="S45" s="35" t="n">
        <f aca="false">MAX(0,-P45)</f>
        <v>0</v>
      </c>
      <c r="T45" s="35" t="n">
        <f aca="false">IF(S45&gt;0,ROUNDUP(S45*(1+前提・入力!$B$35),0),0)</f>
        <v>0</v>
      </c>
      <c r="U45" s="67" t="str">
        <f aca="false">IF(R45="","",IF(NOT(ISNUMBER(D45)),"再生産不可",R45-E45-前提・入力!$B$38))</f>
        <v/>
      </c>
      <c r="V45" s="68" t="str">
        <f aca="false">IF(OR(U45="",U45="再生産不可"),"",U45-前提・入力!$B$39)</f>
        <v/>
      </c>
      <c r="W45" s="69" t="str">
        <f aca="false">IF(Q45="","—",IF(U45="再生産不可","×再生産不可",_xlfn.IFS(V45&lt;0,"★期限超過",V45&lt;=30,"★至急(30日以内)",V45&lt;=90,"要着手(90日以内)",TRUE(),"余裕あり")))</f>
        <v>余裕あり</v>
      </c>
      <c r="X45" s="69"/>
    </row>
    <row r="46" customFormat="false" ht="61.15" hidden="false" customHeight="false" outlineLevel="0" collapsed="false">
      <c r="A46" s="32" t="n">
        <v>28</v>
      </c>
      <c r="B46" s="32" t="s">
        <v>330</v>
      </c>
      <c r="C46" s="33" t="s">
        <v>331</v>
      </c>
      <c r="D46" s="32" t="n">
        <v>3</v>
      </c>
      <c r="E46" s="32" t="n">
        <f aca="false">IF(ISNUMBER(D46),ROUND(D46*30,0),"－")</f>
        <v>90</v>
      </c>
      <c r="F46" s="35" t="n">
        <f aca="false">③石川以降予測!T57</f>
        <v>244</v>
      </c>
      <c r="G46" s="35" t="n">
        <f aca="false">③石川以降予測!I57</f>
        <v>147</v>
      </c>
      <c r="H46" s="96" t="n">
        <f aca="false">F46-G46</f>
        <v>97</v>
      </c>
      <c r="I46" s="35" t="n">
        <f aca="false">③石川以降予測!J57</f>
        <v>173</v>
      </c>
      <c r="J46" s="97" t="n">
        <f aca="false">H46+1200-I46</f>
        <v>1124</v>
      </c>
      <c r="K46" s="35" t="n">
        <f aca="false">③石川以降予測!K57</f>
        <v>160</v>
      </c>
      <c r="L46" s="96" t="n">
        <f aca="false">J46-K46</f>
        <v>964</v>
      </c>
      <c r="M46" s="35" t="n">
        <f aca="false">③石川以降予測!L57</f>
        <v>120</v>
      </c>
      <c r="N46" s="96" t="n">
        <f aca="false">L46-M46</f>
        <v>844</v>
      </c>
      <c r="O46" s="35" t="n">
        <f aca="false">③石川以降予測!M57</f>
        <v>667</v>
      </c>
      <c r="P46" s="96" t="n">
        <f aca="false">N46-O46</f>
        <v>177</v>
      </c>
      <c r="Q46" s="69" t="str">
        <f aca="false">_xlfn.IFS(H46&lt;0,"石川 香林坊大和",J46&lt;0,"仙台 Ebeans",L46&lt;0,"神戸阪急",N46&lt;0,"鳥取島根 夢みなとタワー",P46&lt;0,"東京凱旋 東京建物ぴあホール",TRUE(),"—")</f>
        <v>—</v>
      </c>
      <c r="R46" s="67" t="str">
        <f aca="false">IF(Q46="—","",_xlfn.IFS(H46&lt;0,DATE(2026,8,14),J46&lt;0,DATE(2026,9,5),L46&lt;0,DATE(2026,12,16),N46&lt;0,DATE(2027,3,15),P46&lt;0,DATE(2027,4,1)))</f>
        <v/>
      </c>
      <c r="S46" s="35" t="n">
        <f aca="false">MAX(0,-P46)</f>
        <v>0</v>
      </c>
      <c r="T46" s="35" t="n">
        <f aca="false">IF(S46&gt;0,ROUNDUP(S46*(1+前提・入力!$B$35),0),0)</f>
        <v>0</v>
      </c>
      <c r="U46" s="67" t="str">
        <f aca="false">IF(R46="","",IF(NOT(ISNUMBER(D46)),"再生産不可",R46-E46-前提・入力!$B$38))</f>
        <v/>
      </c>
      <c r="V46" s="68" t="str">
        <f aca="false">IF(OR(U46="",U46="再生産不可"),"",U46-前提・入力!$B$39)</f>
        <v/>
      </c>
      <c r="W46" s="66" t="s">
        <v>526</v>
      </c>
      <c r="X46" s="66" t="s">
        <v>853</v>
      </c>
    </row>
    <row r="47" customFormat="false" ht="15" hidden="false" customHeight="false" outlineLevel="0" collapsed="false">
      <c r="A47" s="32" t="n">
        <v>29</v>
      </c>
      <c r="B47" s="32" t="s">
        <v>332</v>
      </c>
      <c r="C47" s="33" t="s">
        <v>333</v>
      </c>
      <c r="D47" s="32" t="n">
        <v>3</v>
      </c>
      <c r="E47" s="32" t="n">
        <f aca="false">IF(ISNUMBER(D47),ROUND(D47*30,0),"－")</f>
        <v>90</v>
      </c>
      <c r="F47" s="35" t="n">
        <f aca="false">③石川以降予測!T58</f>
        <v>313</v>
      </c>
      <c r="G47" s="35" t="n">
        <f aca="false">③石川以降予測!I58</f>
        <v>73</v>
      </c>
      <c r="H47" s="96" t="n">
        <f aca="false">F47-G47</f>
        <v>240</v>
      </c>
      <c r="I47" s="35" t="n">
        <f aca="false">③石川以降予測!J58</f>
        <v>86</v>
      </c>
      <c r="J47" s="96" t="n">
        <f aca="false">H47-I47</f>
        <v>154</v>
      </c>
      <c r="K47" s="35" t="n">
        <f aca="false">③石川以降予測!K58</f>
        <v>79</v>
      </c>
      <c r="L47" s="96" t="n">
        <f aca="false">J47-K47</f>
        <v>75</v>
      </c>
      <c r="M47" s="35" t="n">
        <f aca="false">③石川以降予測!L58</f>
        <v>60</v>
      </c>
      <c r="N47" s="96" t="n">
        <f aca="false">L47-M47</f>
        <v>15</v>
      </c>
      <c r="O47" s="35" t="n">
        <f aca="false">③石川以降予測!M58</f>
        <v>331</v>
      </c>
      <c r="P47" s="96" t="n">
        <f aca="false">N47-O47</f>
        <v>-316</v>
      </c>
      <c r="Q47" s="69" t="str">
        <f aca="false">_xlfn.IFS(H47&lt;0,"石川 香林坊大和",J47&lt;0,"仙台 Ebeans",L47&lt;0,"神戸阪急",N47&lt;0,"鳥取島根 夢みなとタワー",P47&lt;0,"東京凱旋 東京建物ぴあホール",TRUE(),"—")</f>
        <v>東京凱旋 東京建物ぴあホール</v>
      </c>
      <c r="R47" s="67" t="n">
        <f aca="false">IF(Q47="—","",_xlfn.IFS(H47&lt;0,DATE(2026,8,14),J47&lt;0,DATE(2026,9,5),L47&lt;0,DATE(2026,12,16),N47&lt;0,DATE(2027,3,15),P47&lt;0,DATE(2027,4,1)))</f>
        <v>46478</v>
      </c>
      <c r="S47" s="35" t="n">
        <f aca="false">MAX(0,-P47)</f>
        <v>316</v>
      </c>
      <c r="T47" s="35" t="n">
        <f aca="false">IF(S47&gt;0,ROUNDUP(S47*(1+前提・入力!$B$35),0),0)</f>
        <v>348</v>
      </c>
      <c r="U47" s="67" t="n">
        <f aca="false">IF(R47="","",IF(NOT(ISNUMBER(D47)),"再生産不可",R47-E47-前提・入力!$B$38))</f>
        <v>46374</v>
      </c>
      <c r="V47" s="68" t="n">
        <f aca="false">IF(OR(U47="",U47="再生産不可"),"",U47-前提・入力!$B$39)</f>
        <v>141</v>
      </c>
      <c r="W47" s="69" t="str">
        <f aca="false">IF(Q47="","—",IF(U47="再生産不可","×再生産不可",_xlfn.IFS(V47&lt;0,"★期限超過",V47&lt;=30,"★至急(30日以内)",V47&lt;=90,"要着手(90日以内)",TRUE(),"余裕あり")))</f>
        <v>余裕あり</v>
      </c>
      <c r="X47" s="69" t="s">
        <v>850</v>
      </c>
    </row>
    <row r="48" customFormat="false" ht="15" hidden="false" customHeight="false" outlineLevel="0" collapsed="false">
      <c r="A48" s="32" t="n">
        <v>30</v>
      </c>
      <c r="B48" s="32" t="s">
        <v>334</v>
      </c>
      <c r="C48" s="33" t="s">
        <v>335</v>
      </c>
      <c r="D48" s="32" t="n">
        <v>3</v>
      </c>
      <c r="E48" s="32" t="n">
        <f aca="false">IF(ISNUMBER(D48),ROUND(D48*30,0),"－")</f>
        <v>90</v>
      </c>
      <c r="F48" s="35" t="n">
        <f aca="false">③石川以降予測!T59</f>
        <v>835</v>
      </c>
      <c r="G48" s="35" t="n">
        <f aca="false">③石川以降予測!I59</f>
        <v>49</v>
      </c>
      <c r="H48" s="96" t="n">
        <f aca="false">F48-G48</f>
        <v>786</v>
      </c>
      <c r="I48" s="35" t="n">
        <f aca="false">③石川以降予測!J59</f>
        <v>58</v>
      </c>
      <c r="J48" s="96" t="n">
        <f aca="false">H48-I48</f>
        <v>728</v>
      </c>
      <c r="K48" s="35" t="n">
        <f aca="false">③石川以降予測!K59</f>
        <v>54</v>
      </c>
      <c r="L48" s="96" t="n">
        <f aca="false">J48-K48</f>
        <v>674</v>
      </c>
      <c r="M48" s="35" t="n">
        <f aca="false">③石川以降予測!L59</f>
        <v>40</v>
      </c>
      <c r="N48" s="96" t="n">
        <f aca="false">L48-M48</f>
        <v>634</v>
      </c>
      <c r="O48" s="35" t="n">
        <f aca="false">③石川以降予測!M59</f>
        <v>224</v>
      </c>
      <c r="P48" s="96" t="n">
        <f aca="false">N48-O48</f>
        <v>410</v>
      </c>
      <c r="Q48" s="69" t="str">
        <f aca="false">_xlfn.IFS(H48&lt;0,"石川 香林坊大和",J48&lt;0,"仙台 Ebeans",L48&lt;0,"神戸阪急",N48&lt;0,"鳥取島根 夢みなとタワー",P48&lt;0,"東京凱旋 東京建物ぴあホール",TRUE(),"—")</f>
        <v>—</v>
      </c>
      <c r="R48" s="67" t="str">
        <f aca="false">IF(Q48="—","",_xlfn.IFS(H48&lt;0,DATE(2026,8,14),J48&lt;0,DATE(2026,9,5),L48&lt;0,DATE(2026,12,16),N48&lt;0,DATE(2027,3,15),P48&lt;0,DATE(2027,4,1)))</f>
        <v/>
      </c>
      <c r="S48" s="35" t="n">
        <f aca="false">MAX(0,-P48)</f>
        <v>0</v>
      </c>
      <c r="T48" s="35" t="n">
        <f aca="false">IF(S48&gt;0,ROUNDUP(S48*(1+前提・入力!$B$35),0),0)</f>
        <v>0</v>
      </c>
      <c r="U48" s="67" t="str">
        <f aca="false">IF(R48="","",IF(NOT(ISNUMBER(D48)),"再生産不可",R48-E48-前提・入力!$B$38))</f>
        <v/>
      </c>
      <c r="V48" s="68" t="str">
        <f aca="false">IF(OR(U48="",U48="再生産不可"),"",U48-前提・入力!$B$39)</f>
        <v/>
      </c>
      <c r="W48" s="69" t="str">
        <f aca="false">IF(Q48="","—",IF(U48="再生産不可","×再生産不可",_xlfn.IFS(V48&lt;0,"★期限超過",V48&lt;=30,"★至急(30日以内)",V48&lt;=90,"要着手(90日以内)",TRUE(),"余裕あり")))</f>
        <v>余裕あり</v>
      </c>
      <c r="X48" s="69"/>
    </row>
    <row r="49" customFormat="false" ht="15" hidden="false" customHeight="false" outlineLevel="0" collapsed="false">
      <c r="A49" s="32" t="n">
        <v>31</v>
      </c>
      <c r="B49" s="32" t="s">
        <v>336</v>
      </c>
      <c r="C49" s="33" t="s">
        <v>337</v>
      </c>
      <c r="D49" s="32" t="n">
        <v>1</v>
      </c>
      <c r="E49" s="32" t="n">
        <f aca="false">IF(ISNUMBER(D49),ROUND(D49*30,0),"－")</f>
        <v>30</v>
      </c>
      <c r="F49" s="35" t="n">
        <f aca="false">③石川以降予測!T60</f>
        <v>839</v>
      </c>
      <c r="G49" s="35" t="n">
        <f aca="false">③石川以降予測!I60</f>
        <v>79</v>
      </c>
      <c r="H49" s="96" t="n">
        <f aca="false">F49-G49</f>
        <v>760</v>
      </c>
      <c r="I49" s="35" t="n">
        <f aca="false">③石川以降予測!J60</f>
        <v>93</v>
      </c>
      <c r="J49" s="96" t="n">
        <f aca="false">H49-I49</f>
        <v>667</v>
      </c>
      <c r="K49" s="35" t="n">
        <f aca="false">③石川以降予測!K60</f>
        <v>86</v>
      </c>
      <c r="L49" s="96" t="n">
        <f aca="false">J49-K49</f>
        <v>581</v>
      </c>
      <c r="M49" s="35" t="n">
        <f aca="false">③石川以降予測!L60</f>
        <v>65</v>
      </c>
      <c r="N49" s="96" t="n">
        <f aca="false">L49-M49</f>
        <v>516</v>
      </c>
      <c r="O49" s="35" t="n">
        <f aca="false">③石川以降予測!M60</f>
        <v>358</v>
      </c>
      <c r="P49" s="96" t="n">
        <f aca="false">N49-O49</f>
        <v>158</v>
      </c>
      <c r="Q49" s="69" t="str">
        <f aca="false">_xlfn.IFS(H49&lt;0,"石川 香林坊大和",J49&lt;0,"仙台 Ebeans",L49&lt;0,"神戸阪急",N49&lt;0,"鳥取島根 夢みなとタワー",P49&lt;0,"東京凱旋 東京建物ぴあホール",TRUE(),"—")</f>
        <v>—</v>
      </c>
      <c r="R49" s="67" t="str">
        <f aca="false">IF(Q49="—","",_xlfn.IFS(H49&lt;0,DATE(2026,8,14),J49&lt;0,DATE(2026,9,5),L49&lt;0,DATE(2026,12,16),N49&lt;0,DATE(2027,3,15),P49&lt;0,DATE(2027,4,1)))</f>
        <v/>
      </c>
      <c r="S49" s="35" t="n">
        <f aca="false">MAX(0,-P49)</f>
        <v>0</v>
      </c>
      <c r="T49" s="35" t="n">
        <f aca="false">IF(S49&gt;0,ROUNDUP(S49*(1+前提・入力!$B$35),0),0)</f>
        <v>0</v>
      </c>
      <c r="U49" s="67" t="str">
        <f aca="false">IF(R49="","",IF(NOT(ISNUMBER(D49)),"再生産不可",R49-E49-前提・入力!$B$38))</f>
        <v/>
      </c>
      <c r="V49" s="68" t="str">
        <f aca="false">IF(OR(U49="",U49="再生産不可"),"",U49-前提・入力!$B$39)</f>
        <v/>
      </c>
      <c r="W49" s="69" t="str">
        <f aca="false">IF(Q49="","—",IF(U49="再生産不可","×再生産不可",_xlfn.IFS(V49&lt;0,"★期限超過",V49&lt;=30,"★至急(30日以内)",V49&lt;=90,"要着手(90日以内)",TRUE(),"余裕あり")))</f>
        <v>余裕あり</v>
      </c>
      <c r="X49" s="69"/>
    </row>
    <row r="50" customFormat="false" ht="15" hidden="false" customHeight="false" outlineLevel="0" collapsed="false">
      <c r="A50" s="32" t="n">
        <v>32</v>
      </c>
      <c r="B50" s="32" t="s">
        <v>338</v>
      </c>
      <c r="C50" s="33" t="s">
        <v>339</v>
      </c>
      <c r="D50" s="32" t="n">
        <v>3</v>
      </c>
      <c r="E50" s="32" t="n">
        <f aca="false">IF(ISNUMBER(D50),ROUND(D50*30,0),"－")</f>
        <v>90</v>
      </c>
      <c r="F50" s="35" t="n">
        <f aca="false">③石川以降予測!T61</f>
        <v>23</v>
      </c>
      <c r="G50" s="35" t="n">
        <f aca="false">③石川以降予測!I61</f>
        <v>8</v>
      </c>
      <c r="H50" s="96" t="n">
        <f aca="false">F50-G50</f>
        <v>15</v>
      </c>
      <c r="I50" s="35" t="n">
        <f aca="false">③石川以降予測!J61</f>
        <v>10</v>
      </c>
      <c r="J50" s="96" t="n">
        <f aca="false">H50-I50</f>
        <v>5</v>
      </c>
      <c r="K50" s="35" t="n">
        <f aca="false">③石川以降予測!K61</f>
        <v>9</v>
      </c>
      <c r="L50" s="96" t="n">
        <f aca="false">J50-K50</f>
        <v>-4</v>
      </c>
      <c r="M50" s="35" t="n">
        <f aca="false">③石川以降予測!L61</f>
        <v>7</v>
      </c>
      <c r="N50" s="96" t="n">
        <f aca="false">L50-M50</f>
        <v>-11</v>
      </c>
      <c r="O50" s="35" t="n">
        <f aca="false">③石川以降予測!M61</f>
        <v>38</v>
      </c>
      <c r="P50" s="96" t="n">
        <f aca="false">N50-O50</f>
        <v>-49</v>
      </c>
      <c r="Q50" s="69" t="str">
        <f aca="false">_xlfn.IFS(H50&lt;0,"石川 香林坊大和",J50&lt;0,"仙台 Ebeans",L50&lt;0,"神戸阪急",N50&lt;0,"鳥取島根 夢みなとタワー",P50&lt;0,"東京凱旋 東京建物ぴあホール",TRUE(),"—")</f>
        <v>神戸阪急</v>
      </c>
      <c r="R50" s="67" t="n">
        <f aca="false">IF(Q50="—","",_xlfn.IFS(H50&lt;0,DATE(2026,8,14),J50&lt;0,DATE(2026,9,5),L50&lt;0,DATE(2026,12,16),N50&lt;0,DATE(2027,3,15),P50&lt;0,DATE(2027,4,1)))</f>
        <v>46372</v>
      </c>
      <c r="S50" s="35" t="n">
        <f aca="false">MAX(0,-P50)</f>
        <v>49</v>
      </c>
      <c r="T50" s="35" t="n">
        <f aca="false">IF(S50&gt;0,ROUNDUP(S50*(1+前提・入力!$B$35),0),0)</f>
        <v>54</v>
      </c>
      <c r="U50" s="67" t="n">
        <f aca="false">IF(R50="","",IF(NOT(ISNUMBER(D50)),"再生産不可",R50-E50-前提・入力!$B$38))</f>
        <v>46268</v>
      </c>
      <c r="V50" s="68" t="n">
        <f aca="false">IF(OR(U50="",U50="再生産不可"),"",U50-前提・入力!$B$39)</f>
        <v>35</v>
      </c>
      <c r="W50" s="69" t="str">
        <f aca="false">IF(Q50="","—",IF(U50="再生産不可","×再生産不可",_xlfn.IFS(V50&lt;0,"★期限超過",V50&lt;=30,"★至急(30日以内)",V50&lt;=90,"要着手(90日以内)",TRUE(),"余裕あり")))</f>
        <v>要着手(90日以内)</v>
      </c>
      <c r="X50" s="69" t="s">
        <v>850</v>
      </c>
    </row>
    <row r="51" customFormat="false" ht="15" hidden="false" customHeight="false" outlineLevel="0" collapsed="false">
      <c r="A51" s="32" t="n">
        <v>33</v>
      </c>
      <c r="B51" s="32" t="s">
        <v>340</v>
      </c>
      <c r="C51" s="33" t="s">
        <v>341</v>
      </c>
      <c r="D51" s="32" t="n">
        <v>3</v>
      </c>
      <c r="E51" s="32" t="n">
        <f aca="false">IF(ISNUMBER(D51),ROUND(D51*30,0),"－")</f>
        <v>90</v>
      </c>
      <c r="F51" s="35" t="n">
        <f aca="false">③石川以降予測!T62</f>
        <v>106</v>
      </c>
      <c r="G51" s="35" t="n">
        <f aca="false">③石川以降予測!I62</f>
        <v>2</v>
      </c>
      <c r="H51" s="96" t="n">
        <f aca="false">F51-G51</f>
        <v>104</v>
      </c>
      <c r="I51" s="35" t="n">
        <f aca="false">③石川以降予測!J62</f>
        <v>2</v>
      </c>
      <c r="J51" s="96" t="n">
        <f aca="false">H51-I51</f>
        <v>102</v>
      </c>
      <c r="K51" s="35" t="n">
        <f aca="false">③石川以降予測!K62</f>
        <v>2</v>
      </c>
      <c r="L51" s="96" t="n">
        <f aca="false">J51-K51</f>
        <v>100</v>
      </c>
      <c r="M51" s="35" t="n">
        <f aca="false">③石川以降予測!L62</f>
        <v>1</v>
      </c>
      <c r="N51" s="96" t="n">
        <f aca="false">L51-M51</f>
        <v>99</v>
      </c>
      <c r="O51" s="35" t="n">
        <f aca="false">③石川以降予測!M62</f>
        <v>7</v>
      </c>
      <c r="P51" s="96" t="n">
        <f aca="false">N51-O51</f>
        <v>92</v>
      </c>
      <c r="Q51" s="69" t="str">
        <f aca="false">_xlfn.IFS(H51&lt;0,"石川 香林坊大和",J51&lt;0,"仙台 Ebeans",L51&lt;0,"神戸阪急",N51&lt;0,"鳥取島根 夢みなとタワー",P51&lt;0,"東京凱旋 東京建物ぴあホール",TRUE(),"—")</f>
        <v>—</v>
      </c>
      <c r="R51" s="67" t="str">
        <f aca="false">IF(Q51="—","",_xlfn.IFS(H51&lt;0,DATE(2026,8,14),J51&lt;0,DATE(2026,9,5),L51&lt;0,DATE(2026,12,16),N51&lt;0,DATE(2027,3,15),P51&lt;0,DATE(2027,4,1)))</f>
        <v/>
      </c>
      <c r="S51" s="35" t="n">
        <f aca="false">MAX(0,-P51)</f>
        <v>0</v>
      </c>
      <c r="T51" s="35" t="n">
        <f aca="false">IF(S51&gt;0,ROUNDUP(S51*(1+前提・入力!$B$35),0),0)</f>
        <v>0</v>
      </c>
      <c r="U51" s="67" t="str">
        <f aca="false">IF(R51="","",IF(NOT(ISNUMBER(D51)),"再生産不可",R51-E51-前提・入力!$B$38))</f>
        <v/>
      </c>
      <c r="V51" s="68" t="str">
        <f aca="false">IF(OR(U51="",U51="再生産不可"),"",U51-前提・入力!$B$39)</f>
        <v/>
      </c>
      <c r="W51" s="69" t="str">
        <f aca="false">IF(Q51="","—",IF(U51="再生産不可","×再生産不可",_xlfn.IFS(V51&lt;0,"★期限超過",V51&lt;=30,"★至急(30日以内)",V51&lt;=90,"要着手(90日以内)",TRUE(),"余裕あり")))</f>
        <v>余裕あり</v>
      </c>
      <c r="X51" s="69"/>
    </row>
    <row r="52" customFormat="false" ht="15" hidden="false" customHeight="false" outlineLevel="0" collapsed="false">
      <c r="A52" s="32" t="n">
        <v>34</v>
      </c>
      <c r="B52" s="32" t="s">
        <v>342</v>
      </c>
      <c r="C52" s="33" t="s">
        <v>343</v>
      </c>
      <c r="D52" s="32" t="n">
        <v>3</v>
      </c>
      <c r="E52" s="32" t="n">
        <f aca="false">IF(ISNUMBER(D52),ROUND(D52*30,0),"－")</f>
        <v>90</v>
      </c>
      <c r="F52" s="35" t="n">
        <f aca="false">③石川以降予測!T63</f>
        <v>3</v>
      </c>
      <c r="G52" s="35" t="n">
        <f aca="false">③石川以降予測!I63</f>
        <v>1</v>
      </c>
      <c r="H52" s="96" t="n">
        <f aca="false">F52-G52</f>
        <v>2</v>
      </c>
      <c r="I52" s="35" t="n">
        <f aca="false">③石川以降予測!J63</f>
        <v>1</v>
      </c>
      <c r="J52" s="96" t="n">
        <f aca="false">H52-I52</f>
        <v>1</v>
      </c>
      <c r="K52" s="35" t="n">
        <f aca="false">③石川以降予測!K63</f>
        <v>1</v>
      </c>
      <c r="L52" s="96" t="n">
        <f aca="false">J52-K52</f>
        <v>0</v>
      </c>
      <c r="M52" s="35" t="n">
        <f aca="false">③石川以降予測!L63</f>
        <v>1</v>
      </c>
      <c r="N52" s="96" t="n">
        <f aca="false">L52-M52</f>
        <v>-1</v>
      </c>
      <c r="O52" s="35" t="n">
        <f aca="false">③石川以降予測!M63</f>
        <v>3</v>
      </c>
      <c r="P52" s="96" t="n">
        <f aca="false">N52-O52</f>
        <v>-4</v>
      </c>
      <c r="Q52" s="69" t="str">
        <f aca="false">_xlfn.IFS(H52&lt;0,"石川 香林坊大和",J52&lt;0,"仙台 Ebeans",L52&lt;0,"神戸阪急",N52&lt;0,"鳥取島根 夢みなとタワー",P52&lt;0,"東京凱旋 東京建物ぴあホール",TRUE(),"—")</f>
        <v>鳥取島根 夢みなとタワー</v>
      </c>
      <c r="R52" s="67" t="n">
        <f aca="false">IF(Q52="—","",_xlfn.IFS(H52&lt;0,DATE(2026,8,14),J52&lt;0,DATE(2026,9,5),L52&lt;0,DATE(2026,12,16),N52&lt;0,DATE(2027,3,15),P52&lt;0,DATE(2027,4,1)))</f>
        <v>46461</v>
      </c>
      <c r="S52" s="35" t="n">
        <f aca="false">MAX(0,-P52)</f>
        <v>4</v>
      </c>
      <c r="T52" s="35" t="n">
        <f aca="false">IF(S52&gt;0,ROUNDUP(S52*(1+前提・入力!$B$35),0),0)</f>
        <v>5</v>
      </c>
      <c r="U52" s="67" t="n">
        <f aca="false">IF(R52="","",IF(NOT(ISNUMBER(D52)),"再生産不可",R52-E52-前提・入力!$B$38))</f>
        <v>46357</v>
      </c>
      <c r="V52" s="68" t="n">
        <f aca="false">IF(OR(U52="",U52="再生産不可"),"",U52-前提・入力!$B$39)</f>
        <v>124</v>
      </c>
      <c r="W52" s="69" t="str">
        <f aca="false">IF(Q52="","—",IF(U52="再生産不可","×再生産不可",_xlfn.IFS(V52&lt;0,"★期限超過",V52&lt;=30,"★至急(30日以内)",V52&lt;=90,"要着手(90日以内)",TRUE(),"余裕あり")))</f>
        <v>余裕あり</v>
      </c>
      <c r="X52" s="69"/>
    </row>
    <row r="53" customFormat="false" ht="15" hidden="false" customHeight="false" outlineLevel="0" collapsed="false">
      <c r="A53" s="32" t="n">
        <v>35</v>
      </c>
      <c r="B53" s="32" t="s">
        <v>344</v>
      </c>
      <c r="C53" s="33" t="s">
        <v>345</v>
      </c>
      <c r="D53" s="32" t="n">
        <v>3</v>
      </c>
      <c r="E53" s="32" t="n">
        <f aca="false">IF(ISNUMBER(D53),ROUND(D53*30,0),"－")</f>
        <v>90</v>
      </c>
      <c r="F53" s="35" t="n">
        <f aca="false">③石川以降予測!T64</f>
        <v>4</v>
      </c>
      <c r="G53" s="35" t="n">
        <f aca="false">③石川以降予測!I64</f>
        <v>0</v>
      </c>
      <c r="H53" s="96" t="n">
        <f aca="false">F53-G53</f>
        <v>4</v>
      </c>
      <c r="I53" s="35" t="n">
        <f aca="false">③石川以降予測!J64</f>
        <v>0</v>
      </c>
      <c r="J53" s="96" t="n">
        <f aca="false">H53-I53</f>
        <v>4</v>
      </c>
      <c r="K53" s="35" t="n">
        <f aca="false">③石川以降予測!K64</f>
        <v>0</v>
      </c>
      <c r="L53" s="96" t="n">
        <f aca="false">J53-K53</f>
        <v>4</v>
      </c>
      <c r="M53" s="35" t="n">
        <f aca="false">③石川以降予測!L64</f>
        <v>0</v>
      </c>
      <c r="N53" s="96" t="n">
        <f aca="false">L53-M53</f>
        <v>4</v>
      </c>
      <c r="O53" s="35" t="n">
        <f aca="false">③石川以降予測!M64</f>
        <v>1</v>
      </c>
      <c r="P53" s="96" t="n">
        <f aca="false">N53-O53</f>
        <v>3</v>
      </c>
      <c r="Q53" s="69" t="str">
        <f aca="false">_xlfn.IFS(H53&lt;0,"石川 香林坊大和",J53&lt;0,"仙台 Ebeans",L53&lt;0,"神戸阪急",N53&lt;0,"鳥取島根 夢みなとタワー",P53&lt;0,"東京凱旋 東京建物ぴあホール",TRUE(),"—")</f>
        <v>—</v>
      </c>
      <c r="R53" s="67" t="str">
        <f aca="false">IF(Q53="—","",_xlfn.IFS(H53&lt;0,DATE(2026,8,14),J53&lt;0,DATE(2026,9,5),L53&lt;0,DATE(2026,12,16),N53&lt;0,DATE(2027,3,15),P53&lt;0,DATE(2027,4,1)))</f>
        <v/>
      </c>
      <c r="S53" s="35" t="n">
        <f aca="false">MAX(0,-P53)</f>
        <v>0</v>
      </c>
      <c r="T53" s="35" t="n">
        <f aca="false">IF(S53&gt;0,ROUNDUP(S53*(1+前提・入力!$B$35),0),0)</f>
        <v>0</v>
      </c>
      <c r="U53" s="67" t="str">
        <f aca="false">IF(R53="","",IF(NOT(ISNUMBER(D53)),"再生産不可",R53-E53-前提・入力!$B$38))</f>
        <v/>
      </c>
      <c r="V53" s="68" t="str">
        <f aca="false">IF(OR(U53="",U53="再生産不可"),"",U53-前提・入力!$B$39)</f>
        <v/>
      </c>
      <c r="W53" s="69" t="str">
        <f aca="false">IF(Q53="","—",IF(U53="再生産不可","×再生産不可",_xlfn.IFS(V53&lt;0,"★期限超過",V53&lt;=30,"★至急(30日以内)",V53&lt;=90,"要着手(90日以内)",TRUE(),"余裕あり")))</f>
        <v>余裕あり</v>
      </c>
      <c r="X53" s="69"/>
    </row>
    <row r="54" customFormat="false" ht="15" hidden="false" customHeight="false" outlineLevel="0" collapsed="false">
      <c r="A54" s="32" t="n">
        <v>36</v>
      </c>
      <c r="B54" s="32" t="s">
        <v>346</v>
      </c>
      <c r="C54" s="33" t="s">
        <v>347</v>
      </c>
      <c r="D54" s="32" t="n">
        <v>3</v>
      </c>
      <c r="E54" s="32" t="n">
        <f aca="false">IF(ISNUMBER(D54),ROUND(D54*30,0),"－")</f>
        <v>90</v>
      </c>
      <c r="F54" s="35" t="n">
        <f aca="false">③石川以降予測!T65</f>
        <v>4</v>
      </c>
      <c r="G54" s="35" t="n">
        <f aca="false">③石川以降予測!I65</f>
        <v>0</v>
      </c>
      <c r="H54" s="96" t="n">
        <f aca="false">F54-G54</f>
        <v>4</v>
      </c>
      <c r="I54" s="35" t="n">
        <f aca="false">③石川以降予測!J65</f>
        <v>0</v>
      </c>
      <c r="J54" s="96" t="n">
        <f aca="false">H54-I54</f>
        <v>4</v>
      </c>
      <c r="K54" s="35" t="n">
        <f aca="false">③石川以降予測!K65</f>
        <v>0</v>
      </c>
      <c r="L54" s="96" t="n">
        <f aca="false">J54-K54</f>
        <v>4</v>
      </c>
      <c r="M54" s="35" t="n">
        <f aca="false">③石川以降予測!L65</f>
        <v>0</v>
      </c>
      <c r="N54" s="96" t="n">
        <f aca="false">L54-M54</f>
        <v>4</v>
      </c>
      <c r="O54" s="35" t="n">
        <f aca="false">③石川以降予測!M65</f>
        <v>1</v>
      </c>
      <c r="P54" s="96" t="n">
        <f aca="false">N54-O54</f>
        <v>3</v>
      </c>
      <c r="Q54" s="69" t="str">
        <f aca="false">_xlfn.IFS(H54&lt;0,"石川 香林坊大和",J54&lt;0,"仙台 Ebeans",L54&lt;0,"神戸阪急",N54&lt;0,"鳥取島根 夢みなとタワー",P54&lt;0,"東京凱旋 東京建物ぴあホール",TRUE(),"—")</f>
        <v>—</v>
      </c>
      <c r="R54" s="67" t="str">
        <f aca="false">IF(Q54="—","",_xlfn.IFS(H54&lt;0,DATE(2026,8,14),J54&lt;0,DATE(2026,9,5),L54&lt;0,DATE(2026,12,16),N54&lt;0,DATE(2027,3,15),P54&lt;0,DATE(2027,4,1)))</f>
        <v/>
      </c>
      <c r="S54" s="35" t="n">
        <f aca="false">MAX(0,-P54)</f>
        <v>0</v>
      </c>
      <c r="T54" s="35" t="n">
        <f aca="false">IF(S54&gt;0,ROUNDUP(S54*(1+前提・入力!$B$35),0),0)</f>
        <v>0</v>
      </c>
      <c r="U54" s="67" t="str">
        <f aca="false">IF(R54="","",IF(NOT(ISNUMBER(D54)),"再生産不可",R54-E54-前提・入力!$B$38))</f>
        <v/>
      </c>
      <c r="V54" s="68" t="str">
        <f aca="false">IF(OR(U54="",U54="再生産不可"),"",U54-前提・入力!$B$39)</f>
        <v/>
      </c>
      <c r="W54" s="69" t="str">
        <f aca="false">IF(Q54="","—",IF(U54="再生産不可","×再生産不可",_xlfn.IFS(V54&lt;0,"★期限超過",V54&lt;=30,"★至急(30日以内)",V54&lt;=90,"要着手(90日以内)",TRUE(),"余裕あり")))</f>
        <v>余裕あり</v>
      </c>
      <c r="X54" s="69"/>
    </row>
    <row r="55" customFormat="false" ht="15" hidden="false" customHeight="false" outlineLevel="0" collapsed="false">
      <c r="A55" s="32" t="n">
        <v>37</v>
      </c>
      <c r="B55" s="32" t="s">
        <v>348</v>
      </c>
      <c r="C55" s="33" t="s">
        <v>349</v>
      </c>
      <c r="D55" s="32" t="n">
        <v>3</v>
      </c>
      <c r="E55" s="32" t="n">
        <f aca="false">IF(ISNUMBER(D55),ROUND(D55*30,0),"－")</f>
        <v>90</v>
      </c>
      <c r="F55" s="35" t="n">
        <f aca="false">③石川以降予測!T66</f>
        <v>43</v>
      </c>
      <c r="G55" s="35" t="n">
        <f aca="false">③石川以降予測!I66</f>
        <v>2</v>
      </c>
      <c r="H55" s="96" t="n">
        <f aca="false">F55-G55</f>
        <v>41</v>
      </c>
      <c r="I55" s="35" t="n">
        <f aca="false">③石川以降予測!J66</f>
        <v>2</v>
      </c>
      <c r="J55" s="96" t="n">
        <f aca="false">H55-I55</f>
        <v>39</v>
      </c>
      <c r="K55" s="35" t="n">
        <f aca="false">③石川以降予測!K66</f>
        <v>2</v>
      </c>
      <c r="L55" s="96" t="n">
        <f aca="false">J55-K55</f>
        <v>37</v>
      </c>
      <c r="M55" s="35" t="n">
        <f aca="false">③石川以降予測!L66</f>
        <v>2</v>
      </c>
      <c r="N55" s="96" t="n">
        <f aca="false">L55-M55</f>
        <v>35</v>
      </c>
      <c r="O55" s="35" t="n">
        <f aca="false">③石川以降予測!M66</f>
        <v>9</v>
      </c>
      <c r="P55" s="96" t="n">
        <f aca="false">N55-O55</f>
        <v>26</v>
      </c>
      <c r="Q55" s="69" t="str">
        <f aca="false">_xlfn.IFS(H55&lt;0,"石川 香林坊大和",J55&lt;0,"仙台 Ebeans",L55&lt;0,"神戸阪急",N55&lt;0,"鳥取島根 夢みなとタワー",P55&lt;0,"東京凱旋 東京建物ぴあホール",TRUE(),"—")</f>
        <v>—</v>
      </c>
      <c r="R55" s="67" t="str">
        <f aca="false">IF(Q55="—","",_xlfn.IFS(H55&lt;0,DATE(2026,8,14),J55&lt;0,DATE(2026,9,5),L55&lt;0,DATE(2026,12,16),N55&lt;0,DATE(2027,3,15),P55&lt;0,DATE(2027,4,1)))</f>
        <v/>
      </c>
      <c r="S55" s="35" t="n">
        <f aca="false">MAX(0,-P55)</f>
        <v>0</v>
      </c>
      <c r="T55" s="35" t="n">
        <f aca="false">IF(S55&gt;0,ROUNDUP(S55*(1+前提・入力!$B$35),0),0)</f>
        <v>0</v>
      </c>
      <c r="U55" s="67" t="str">
        <f aca="false">IF(R55="","",IF(NOT(ISNUMBER(D55)),"再生産不可",R55-E55-前提・入力!$B$38))</f>
        <v/>
      </c>
      <c r="V55" s="68" t="str">
        <f aca="false">IF(OR(U55="",U55="再生産不可"),"",U55-前提・入力!$B$39)</f>
        <v/>
      </c>
      <c r="W55" s="69" t="str">
        <f aca="false">IF(Q55="","—",IF(U55="再生産不可","×再生産不可",_xlfn.IFS(V55&lt;0,"★期限超過",V55&lt;=30,"★至急(30日以内)",V55&lt;=90,"要着手(90日以内)",TRUE(),"余裕あり")))</f>
        <v>余裕あり</v>
      </c>
      <c r="X55" s="69"/>
    </row>
    <row r="56" customFormat="false" ht="15" hidden="false" customHeight="false" outlineLevel="0" collapsed="false">
      <c r="A56" s="32" t="n">
        <v>38</v>
      </c>
      <c r="B56" s="32" t="s">
        <v>350</v>
      </c>
      <c r="C56" s="33" t="s">
        <v>351</v>
      </c>
      <c r="D56" s="32" t="n">
        <v>3</v>
      </c>
      <c r="E56" s="32" t="n">
        <f aca="false">IF(ISNUMBER(D56),ROUND(D56*30,0),"－")</f>
        <v>90</v>
      </c>
      <c r="F56" s="35" t="n">
        <f aca="false">③石川以降予測!T67</f>
        <v>2</v>
      </c>
      <c r="G56" s="35" t="n">
        <f aca="false">③石川以降予測!I67</f>
        <v>1</v>
      </c>
      <c r="H56" s="96" t="n">
        <f aca="false">F56-G56</f>
        <v>1</v>
      </c>
      <c r="I56" s="35" t="n">
        <f aca="false">③石川以降予測!J67</f>
        <v>2</v>
      </c>
      <c r="J56" s="96" t="n">
        <f aca="false">H56-I56</f>
        <v>-1</v>
      </c>
      <c r="K56" s="35" t="n">
        <f aca="false">③石川以降予測!K67</f>
        <v>1</v>
      </c>
      <c r="L56" s="96" t="n">
        <f aca="false">J56-K56</f>
        <v>-2</v>
      </c>
      <c r="M56" s="35" t="n">
        <f aca="false">③石川以降予測!L67</f>
        <v>1</v>
      </c>
      <c r="N56" s="96" t="n">
        <f aca="false">L56-M56</f>
        <v>-3</v>
      </c>
      <c r="O56" s="35" t="n">
        <f aca="false">③石川以降予測!M67</f>
        <v>6</v>
      </c>
      <c r="P56" s="96" t="n">
        <f aca="false">N56-O56</f>
        <v>-9</v>
      </c>
      <c r="Q56" s="69" t="str">
        <f aca="false">_xlfn.IFS(H56&lt;0,"石川 香林坊大和",J56&lt;0,"仙台 Ebeans",L56&lt;0,"神戸阪急",N56&lt;0,"鳥取島根 夢みなとタワー",P56&lt;0,"東京凱旋 東京建物ぴあホール",TRUE(),"—")</f>
        <v>仙台 Ebeans</v>
      </c>
      <c r="R56" s="67" t="n">
        <f aca="false">IF(Q56="—","",_xlfn.IFS(H56&lt;0,DATE(2026,8,14),J56&lt;0,DATE(2026,9,5),L56&lt;0,DATE(2026,12,16),N56&lt;0,DATE(2027,3,15),P56&lt;0,DATE(2027,4,1)))</f>
        <v>46270</v>
      </c>
      <c r="S56" s="35" t="n">
        <f aca="false">MAX(0,-P56)</f>
        <v>9</v>
      </c>
      <c r="T56" s="35" t="n">
        <f aca="false">IF(S56&gt;0,ROUNDUP(S56*(1+前提・入力!$B$35),0),0)</f>
        <v>10</v>
      </c>
      <c r="U56" s="67" t="n">
        <f aca="false">IF(R56="","",IF(NOT(ISNUMBER(D56)),"再生産不可",R56-E56-前提・入力!$B$38))</f>
        <v>46166</v>
      </c>
      <c r="V56" s="68" t="n">
        <f aca="false">IF(OR(U56="",U56="再生産不可"),"",U56-前提・入力!$B$39)</f>
        <v>-67</v>
      </c>
      <c r="W56" s="69" t="str">
        <f aca="false">IF(Q56="","—",IF(U56="再生産不可","×再生産不可",_xlfn.IFS(V56&lt;0,"★期限超過",V56&lt;=30,"★至急(30日以内)",V56&lt;=90,"要着手(90日以内)",TRUE(),"余裕あり")))</f>
        <v>★期限超過</v>
      </c>
      <c r="X56" s="69"/>
    </row>
    <row r="57" customFormat="false" ht="15" hidden="false" customHeight="false" outlineLevel="0" collapsed="false">
      <c r="A57" s="32" t="n">
        <v>39</v>
      </c>
      <c r="B57" s="32" t="s">
        <v>352</v>
      </c>
      <c r="C57" s="33" t="s">
        <v>353</v>
      </c>
      <c r="D57" s="32" t="n">
        <v>3</v>
      </c>
      <c r="E57" s="32" t="n">
        <f aca="false">IF(ISNUMBER(D57),ROUND(D57*30,0),"－")</f>
        <v>90</v>
      </c>
      <c r="F57" s="35" t="n">
        <f aca="false">③石川以降予測!T68</f>
        <v>4</v>
      </c>
      <c r="G57" s="35" t="n">
        <f aca="false">③石川以降予測!I68</f>
        <v>1</v>
      </c>
      <c r="H57" s="96" t="n">
        <f aca="false">F57-G57</f>
        <v>3</v>
      </c>
      <c r="I57" s="35" t="n">
        <f aca="false">③石川以降予測!J68</f>
        <v>1</v>
      </c>
      <c r="J57" s="96" t="n">
        <f aca="false">H57-I57</f>
        <v>2</v>
      </c>
      <c r="K57" s="35" t="n">
        <f aca="false">③石川以降予測!K68</f>
        <v>1</v>
      </c>
      <c r="L57" s="96" t="n">
        <f aca="false">J57-K57</f>
        <v>1</v>
      </c>
      <c r="M57" s="35" t="n">
        <f aca="false">③石川以降予測!L68</f>
        <v>1</v>
      </c>
      <c r="N57" s="96" t="n">
        <f aca="false">L57-M57</f>
        <v>0</v>
      </c>
      <c r="O57" s="35" t="n">
        <f aca="false">③石川以降予測!M68</f>
        <v>3</v>
      </c>
      <c r="P57" s="96" t="n">
        <f aca="false">N57-O57</f>
        <v>-3</v>
      </c>
      <c r="Q57" s="69" t="str">
        <f aca="false">_xlfn.IFS(H57&lt;0,"石川 香林坊大和",J57&lt;0,"仙台 Ebeans",L57&lt;0,"神戸阪急",N57&lt;0,"鳥取島根 夢みなとタワー",P57&lt;0,"東京凱旋 東京建物ぴあホール",TRUE(),"—")</f>
        <v>東京凱旋 東京建物ぴあホール</v>
      </c>
      <c r="R57" s="67" t="n">
        <f aca="false">IF(Q57="—","",_xlfn.IFS(H57&lt;0,DATE(2026,8,14),J57&lt;0,DATE(2026,9,5),L57&lt;0,DATE(2026,12,16),N57&lt;0,DATE(2027,3,15),P57&lt;0,DATE(2027,4,1)))</f>
        <v>46478</v>
      </c>
      <c r="S57" s="35" t="n">
        <f aca="false">MAX(0,-P57)</f>
        <v>3</v>
      </c>
      <c r="T57" s="35" t="n">
        <f aca="false">IF(S57&gt;0,ROUNDUP(S57*(1+前提・入力!$B$35),0),0)</f>
        <v>4</v>
      </c>
      <c r="U57" s="67" t="n">
        <f aca="false">IF(R57="","",IF(NOT(ISNUMBER(D57)),"再生産不可",R57-E57-前提・入力!$B$38))</f>
        <v>46374</v>
      </c>
      <c r="V57" s="68" t="n">
        <f aca="false">IF(OR(U57="",U57="再生産不可"),"",U57-前提・入力!$B$39)</f>
        <v>141</v>
      </c>
      <c r="W57" s="69" t="str">
        <f aca="false">IF(Q57="","—",IF(U57="再生産不可","×再生産不可",_xlfn.IFS(V57&lt;0,"★期限超過",V57&lt;=30,"★至急(30日以内)",V57&lt;=90,"要着手(90日以内)",TRUE(),"余裕あり")))</f>
        <v>余裕あり</v>
      </c>
      <c r="X57" s="69"/>
    </row>
    <row r="58" customFormat="false" ht="15" hidden="false" customHeight="false" outlineLevel="0" collapsed="false">
      <c r="A58" s="32" t="n">
        <v>40</v>
      </c>
      <c r="B58" s="32" t="s">
        <v>354</v>
      </c>
      <c r="C58" s="33" t="s">
        <v>355</v>
      </c>
      <c r="D58" s="32" t="n">
        <v>3</v>
      </c>
      <c r="E58" s="32" t="n">
        <f aca="false">IF(ISNUMBER(D58),ROUND(D58*30,0),"－")</f>
        <v>90</v>
      </c>
      <c r="F58" s="35" t="n">
        <f aca="false">③石川以降予測!T69</f>
        <v>4</v>
      </c>
      <c r="G58" s="35" t="n">
        <f aca="false">③石川以降予測!I69</f>
        <v>0</v>
      </c>
      <c r="H58" s="96" t="n">
        <f aca="false">F58-G58</f>
        <v>4</v>
      </c>
      <c r="I58" s="35" t="n">
        <f aca="false">③石川以降予測!J69</f>
        <v>0</v>
      </c>
      <c r="J58" s="96" t="n">
        <f aca="false">H58-I58</f>
        <v>4</v>
      </c>
      <c r="K58" s="35" t="n">
        <f aca="false">③石川以降予測!K69</f>
        <v>0</v>
      </c>
      <c r="L58" s="96" t="n">
        <f aca="false">J58-K58</f>
        <v>4</v>
      </c>
      <c r="M58" s="35" t="n">
        <f aca="false">③石川以降予測!L69</f>
        <v>0</v>
      </c>
      <c r="N58" s="96" t="n">
        <f aca="false">L58-M58</f>
        <v>4</v>
      </c>
      <c r="O58" s="35" t="n">
        <f aca="false">③石川以降予測!M69</f>
        <v>1</v>
      </c>
      <c r="P58" s="96" t="n">
        <f aca="false">N58-O58</f>
        <v>3</v>
      </c>
      <c r="Q58" s="69" t="str">
        <f aca="false">_xlfn.IFS(H58&lt;0,"石川 香林坊大和",J58&lt;0,"仙台 Ebeans",L58&lt;0,"神戸阪急",N58&lt;0,"鳥取島根 夢みなとタワー",P58&lt;0,"東京凱旋 東京建物ぴあホール",TRUE(),"—")</f>
        <v>—</v>
      </c>
      <c r="R58" s="67" t="str">
        <f aca="false">IF(Q58="—","",_xlfn.IFS(H58&lt;0,DATE(2026,8,14),J58&lt;0,DATE(2026,9,5),L58&lt;0,DATE(2026,12,16),N58&lt;0,DATE(2027,3,15),P58&lt;0,DATE(2027,4,1)))</f>
        <v/>
      </c>
      <c r="S58" s="35" t="n">
        <f aca="false">MAX(0,-P58)</f>
        <v>0</v>
      </c>
      <c r="T58" s="35" t="n">
        <f aca="false">IF(S58&gt;0,ROUNDUP(S58*(1+前提・入力!$B$35),0),0)</f>
        <v>0</v>
      </c>
      <c r="U58" s="67" t="str">
        <f aca="false">IF(R58="","",IF(NOT(ISNUMBER(D58)),"再生産不可",R58-E58-前提・入力!$B$38))</f>
        <v/>
      </c>
      <c r="V58" s="68" t="str">
        <f aca="false">IF(OR(U58="",U58="再生産不可"),"",U58-前提・入力!$B$39)</f>
        <v/>
      </c>
      <c r="W58" s="69" t="str">
        <f aca="false">IF(Q58="","—",IF(U58="再生産不可","×再生産不可",_xlfn.IFS(V58&lt;0,"★期限超過",V58&lt;=30,"★至急(30日以内)",V58&lt;=90,"要着手(90日以内)",TRUE(),"余裕あり")))</f>
        <v>余裕あり</v>
      </c>
      <c r="X58" s="69"/>
    </row>
    <row r="59" customFormat="false" ht="15" hidden="false" customHeight="false" outlineLevel="0" collapsed="false">
      <c r="A59" s="32" t="n">
        <v>41</v>
      </c>
      <c r="B59" s="32" t="s">
        <v>356</v>
      </c>
      <c r="C59" s="33" t="s">
        <v>357</v>
      </c>
      <c r="D59" s="32" t="n">
        <v>3</v>
      </c>
      <c r="E59" s="32" t="n">
        <f aca="false">IF(ISNUMBER(D59),ROUND(D59*30,0),"－")</f>
        <v>90</v>
      </c>
      <c r="F59" s="35" t="n">
        <f aca="false">③石川以降予測!T70</f>
        <v>74</v>
      </c>
      <c r="G59" s="35" t="n">
        <f aca="false">③石川以降予測!I70</f>
        <v>0</v>
      </c>
      <c r="H59" s="96" t="n">
        <f aca="false">F59-G59</f>
        <v>74</v>
      </c>
      <c r="I59" s="35" t="n">
        <f aca="false">③石川以降予測!J70</f>
        <v>0</v>
      </c>
      <c r="J59" s="96" t="n">
        <f aca="false">H59-I59</f>
        <v>74</v>
      </c>
      <c r="K59" s="35" t="n">
        <f aca="false">③石川以降予測!K70</f>
        <v>0</v>
      </c>
      <c r="L59" s="96" t="n">
        <f aca="false">J59-K59</f>
        <v>74</v>
      </c>
      <c r="M59" s="35" t="n">
        <f aca="false">③石川以降予測!L70</f>
        <v>0</v>
      </c>
      <c r="N59" s="96" t="n">
        <f aca="false">L59-M59</f>
        <v>74</v>
      </c>
      <c r="O59" s="35" t="n">
        <f aca="false">③石川以降予測!M70</f>
        <v>1</v>
      </c>
      <c r="P59" s="96" t="n">
        <f aca="false">N59-O59</f>
        <v>73</v>
      </c>
      <c r="Q59" s="69" t="str">
        <f aca="false">_xlfn.IFS(H59&lt;0,"石川 香林坊大和",J59&lt;0,"仙台 Ebeans",L59&lt;0,"神戸阪急",N59&lt;0,"鳥取島根 夢みなとタワー",P59&lt;0,"東京凱旋 東京建物ぴあホール",TRUE(),"—")</f>
        <v>—</v>
      </c>
      <c r="R59" s="67" t="str">
        <f aca="false">IF(Q59="—","",_xlfn.IFS(H59&lt;0,DATE(2026,8,14),J59&lt;0,DATE(2026,9,5),L59&lt;0,DATE(2026,12,16),N59&lt;0,DATE(2027,3,15),P59&lt;0,DATE(2027,4,1)))</f>
        <v/>
      </c>
      <c r="S59" s="35" t="n">
        <f aca="false">MAX(0,-P59)</f>
        <v>0</v>
      </c>
      <c r="T59" s="35" t="n">
        <f aca="false">IF(S59&gt;0,ROUNDUP(S59*(1+前提・入力!$B$35),0),0)</f>
        <v>0</v>
      </c>
      <c r="U59" s="67" t="str">
        <f aca="false">IF(R59="","",IF(NOT(ISNUMBER(D59)),"再生産不可",R59-E59-前提・入力!$B$38))</f>
        <v/>
      </c>
      <c r="V59" s="68" t="str">
        <f aca="false">IF(OR(U59="",U59="再生産不可"),"",U59-前提・入力!$B$39)</f>
        <v/>
      </c>
      <c r="W59" s="69" t="str">
        <f aca="false">IF(Q59="","—",IF(U59="再生産不可","×再生産不可",_xlfn.IFS(V59&lt;0,"★期限超過",V59&lt;=30,"★至急(30日以内)",V59&lt;=90,"要着手(90日以内)",TRUE(),"余裕あり")))</f>
        <v>余裕あり</v>
      </c>
      <c r="X59" s="69"/>
    </row>
    <row r="60" customFormat="false" ht="15" hidden="false" customHeight="false" outlineLevel="0" collapsed="false">
      <c r="A60" s="32" t="n">
        <v>42</v>
      </c>
      <c r="B60" s="32" t="s">
        <v>358</v>
      </c>
      <c r="C60" s="33" t="s">
        <v>359</v>
      </c>
      <c r="D60" s="32" t="n">
        <v>3</v>
      </c>
      <c r="E60" s="32" t="n">
        <f aca="false">IF(ISNUMBER(D60),ROUND(D60*30,0),"－")</f>
        <v>90</v>
      </c>
      <c r="F60" s="35" t="n">
        <f aca="false">③石川以降予測!T71</f>
        <v>47</v>
      </c>
      <c r="G60" s="35" t="n">
        <f aca="false">③石川以降予測!I71</f>
        <v>2</v>
      </c>
      <c r="H60" s="96" t="n">
        <f aca="false">F60-G60</f>
        <v>45</v>
      </c>
      <c r="I60" s="35" t="n">
        <f aca="false">③石川以降予測!J71</f>
        <v>2</v>
      </c>
      <c r="J60" s="96" t="n">
        <f aca="false">H60-I60</f>
        <v>43</v>
      </c>
      <c r="K60" s="35" t="n">
        <f aca="false">③石川以降予測!K71</f>
        <v>2</v>
      </c>
      <c r="L60" s="96" t="n">
        <f aca="false">J60-K60</f>
        <v>41</v>
      </c>
      <c r="M60" s="35" t="n">
        <f aca="false">③石川以降予測!L71</f>
        <v>1</v>
      </c>
      <c r="N60" s="96" t="n">
        <f aca="false">L60-M60</f>
        <v>40</v>
      </c>
      <c r="O60" s="35" t="n">
        <f aca="false">③石川以降予測!M71</f>
        <v>8</v>
      </c>
      <c r="P60" s="96" t="n">
        <f aca="false">N60-O60</f>
        <v>32</v>
      </c>
      <c r="Q60" s="69" t="str">
        <f aca="false">_xlfn.IFS(H60&lt;0,"石川 香林坊大和",J60&lt;0,"仙台 Ebeans",L60&lt;0,"神戸阪急",N60&lt;0,"鳥取島根 夢みなとタワー",P60&lt;0,"東京凱旋 東京建物ぴあホール",TRUE(),"—")</f>
        <v>—</v>
      </c>
      <c r="R60" s="67" t="str">
        <f aca="false">IF(Q60="—","",_xlfn.IFS(H60&lt;0,DATE(2026,8,14),J60&lt;0,DATE(2026,9,5),L60&lt;0,DATE(2026,12,16),N60&lt;0,DATE(2027,3,15),P60&lt;0,DATE(2027,4,1)))</f>
        <v/>
      </c>
      <c r="S60" s="35" t="n">
        <f aca="false">MAX(0,-P60)</f>
        <v>0</v>
      </c>
      <c r="T60" s="35" t="n">
        <f aca="false">IF(S60&gt;0,ROUNDUP(S60*(1+前提・入力!$B$35),0),0)</f>
        <v>0</v>
      </c>
      <c r="U60" s="67" t="str">
        <f aca="false">IF(R60="","",IF(NOT(ISNUMBER(D60)),"再生産不可",R60-E60-前提・入力!$B$38))</f>
        <v/>
      </c>
      <c r="V60" s="68" t="str">
        <f aca="false">IF(OR(U60="",U60="再生産不可"),"",U60-前提・入力!$B$39)</f>
        <v/>
      </c>
      <c r="W60" s="69" t="str">
        <f aca="false">IF(Q60="","—",IF(U60="再生産不可","×再生産不可",_xlfn.IFS(V60&lt;0,"★期限超過",V60&lt;=30,"★至急(30日以内)",V60&lt;=90,"要着手(90日以内)",TRUE(),"余裕あり")))</f>
        <v>余裕あり</v>
      </c>
      <c r="X60" s="66" t="s">
        <v>854</v>
      </c>
    </row>
    <row r="61" customFormat="false" ht="15" hidden="false" customHeight="false" outlineLevel="0" collapsed="false">
      <c r="A61" s="40"/>
      <c r="B61" s="40"/>
      <c r="C61" s="41" t="s">
        <v>360</v>
      </c>
      <c r="D61" s="40"/>
      <c r="E61" s="40"/>
      <c r="F61" s="42" t="n">
        <f aca="false">SUM(F19:F60)</f>
        <v>265948</v>
      </c>
      <c r="G61" s="42" t="n">
        <f aca="false">SUM(G19:G60)</f>
        <v>9472</v>
      </c>
      <c r="H61" s="40"/>
      <c r="I61" s="42" t="n">
        <f aca="false">SUM(I19:I60)</f>
        <v>11189</v>
      </c>
      <c r="J61" s="40"/>
      <c r="K61" s="42" t="n">
        <f aca="false">SUM(K19:K60)</f>
        <v>10332</v>
      </c>
      <c r="L61" s="40"/>
      <c r="M61" s="42" t="n">
        <f aca="false">SUM(M19:M60)</f>
        <v>7748</v>
      </c>
      <c r="N61" s="40"/>
      <c r="O61" s="42" t="n">
        <f aca="false">SUM(O19:O60)</f>
        <v>43050</v>
      </c>
      <c r="P61" s="40"/>
      <c r="Q61" s="40" t="str">
        <f aca="false">COUNTIF(Q19:Q60,"&lt;&gt;—")&amp;"品目で欠品"</f>
        <v>8品目で欠品</v>
      </c>
      <c r="R61" s="40"/>
      <c r="S61" s="42" t="n">
        <f aca="false">SUM(S19:S60)</f>
        <v>2554</v>
      </c>
      <c r="T61" s="42" t="n">
        <f aca="false">SUM(T19:T60)</f>
        <v>2812</v>
      </c>
      <c r="U61" s="40"/>
      <c r="V61" s="40"/>
      <c r="W61" s="40"/>
      <c r="X61" s="40"/>
    </row>
    <row r="63" customFormat="false" ht="15" hidden="false" customHeight="false" outlineLevel="0" collapsed="false">
      <c r="A63" s="4" t="s">
        <v>855</v>
      </c>
    </row>
    <row r="64" customFormat="false" ht="33.75" hidden="false" customHeight="true" outlineLevel="0" collapsed="false">
      <c r="A64" s="48" t="s">
        <v>414</v>
      </c>
      <c r="B64" s="48" t="s">
        <v>856</v>
      </c>
      <c r="C64" s="48" t="s">
        <v>857</v>
      </c>
      <c r="D64" s="48" t="s">
        <v>858</v>
      </c>
      <c r="E64" s="48" t="s">
        <v>859</v>
      </c>
      <c r="F64" s="48" t="s">
        <v>860</v>
      </c>
      <c r="G64" s="48" t="s">
        <v>419</v>
      </c>
    </row>
    <row r="65" customFormat="false" ht="15" hidden="false" customHeight="false" outlineLevel="0" collapsed="false">
      <c r="A65" s="49" t="s">
        <v>372</v>
      </c>
      <c r="B65" s="67" t="n">
        <v>46248</v>
      </c>
      <c r="C65" s="67" t="n">
        <f aca="false">B65-30-前提・入力!$B$38</f>
        <v>46204</v>
      </c>
      <c r="D65" s="67" t="n">
        <f aca="false">B65-75-前提・入力!$B$38</f>
        <v>46159</v>
      </c>
      <c r="E65" s="67" t="n">
        <f aca="false">B65-90-前提・入力!$B$38</f>
        <v>46144</v>
      </c>
      <c r="F65" s="68" t="n">
        <f aca="false">E65-前提・入力!$B$39</f>
        <v>-89</v>
      </c>
      <c r="G65" s="33" t="s">
        <v>861</v>
      </c>
    </row>
    <row r="66" customFormat="false" ht="15" hidden="false" customHeight="false" outlineLevel="0" collapsed="false">
      <c r="A66" s="49" t="s">
        <v>438</v>
      </c>
      <c r="B66" s="67" t="n">
        <v>46270</v>
      </c>
      <c r="C66" s="67" t="n">
        <f aca="false">B66-30-前提・入力!$B$38</f>
        <v>46226</v>
      </c>
      <c r="D66" s="67" t="n">
        <f aca="false">B66-75-前提・入力!$B$38</f>
        <v>46181</v>
      </c>
      <c r="E66" s="67" t="n">
        <f aca="false">B66-90-前提・入力!$B$38</f>
        <v>46166</v>
      </c>
      <c r="F66" s="68" t="n">
        <f aca="false">E66-前提・入力!$B$39</f>
        <v>-67</v>
      </c>
      <c r="G66" s="33" t="s">
        <v>862</v>
      </c>
    </row>
    <row r="67" customFormat="false" ht="15" hidden="false" customHeight="false" outlineLevel="0" collapsed="false">
      <c r="A67" s="49" t="s">
        <v>374</v>
      </c>
      <c r="B67" s="67" t="n">
        <v>46372</v>
      </c>
      <c r="C67" s="67" t="n">
        <f aca="false">B67-30-前提・入力!$B$38</f>
        <v>46328</v>
      </c>
      <c r="D67" s="67" t="n">
        <f aca="false">B67-75-前提・入力!$B$38</f>
        <v>46283</v>
      </c>
      <c r="E67" s="67" t="n">
        <f aca="false">B67-90-前提・入力!$B$38</f>
        <v>46268</v>
      </c>
      <c r="F67" s="68" t="n">
        <f aca="false">E67-前提・入力!$B$39</f>
        <v>35</v>
      </c>
      <c r="G67" s="33" t="s">
        <v>863</v>
      </c>
    </row>
    <row r="68" customFormat="false" ht="15" hidden="false" customHeight="false" outlineLevel="0" collapsed="false">
      <c r="A68" s="49" t="s">
        <v>375</v>
      </c>
      <c r="B68" s="67" t="n">
        <v>46461</v>
      </c>
      <c r="C68" s="67" t="n">
        <f aca="false">B68-30-前提・入力!$B$38</f>
        <v>46417</v>
      </c>
      <c r="D68" s="67" t="n">
        <f aca="false">B68-75-前提・入力!$B$38</f>
        <v>46372</v>
      </c>
      <c r="E68" s="67" t="n">
        <f aca="false">B68-90-前提・入力!$B$38</f>
        <v>46357</v>
      </c>
      <c r="F68" s="68" t="n">
        <f aca="false">E68-前提・入力!$B$39</f>
        <v>124</v>
      </c>
      <c r="G68" s="33" t="s">
        <v>863</v>
      </c>
    </row>
    <row r="69" customFormat="false" ht="15" hidden="false" customHeight="false" outlineLevel="0" collapsed="false">
      <c r="A69" s="49" t="s">
        <v>376</v>
      </c>
      <c r="B69" s="67" t="n">
        <v>46478</v>
      </c>
      <c r="C69" s="67" t="n">
        <f aca="false">B69-30-前提・入力!$B$38</f>
        <v>46434</v>
      </c>
      <c r="D69" s="67" t="n">
        <f aca="false">B69-75-前提・入力!$B$38</f>
        <v>46389</v>
      </c>
      <c r="E69" s="67" t="n">
        <f aca="false">B69-90-前提・入力!$B$38</f>
        <v>46374</v>
      </c>
      <c r="F69" s="68" t="n">
        <f aca="false">E69-前提・入力!$B$39</f>
        <v>141</v>
      </c>
      <c r="G69" s="33" t="s">
        <v>864</v>
      </c>
    </row>
    <row r="72" customFormat="false" ht="15" hidden="false" customHeight="false" outlineLevel="0" collapsed="false">
      <c r="A72" s="4" t="s">
        <v>865</v>
      </c>
    </row>
    <row r="73" customFormat="false" ht="15" hidden="false" customHeight="false" outlineLevel="0" collapsed="false">
      <c r="A73" s="3" t="s">
        <v>866</v>
      </c>
    </row>
    <row r="74" customFormat="false" ht="42" hidden="false" customHeight="true" outlineLevel="0" collapsed="false">
      <c r="A74" s="61" t="s">
        <v>815</v>
      </c>
      <c r="B74" s="61" t="s">
        <v>867</v>
      </c>
      <c r="C74" s="61" t="s">
        <v>868</v>
      </c>
      <c r="D74" s="61" t="s">
        <v>788</v>
      </c>
      <c r="E74" s="61" t="s">
        <v>869</v>
      </c>
      <c r="F74" s="61" t="s">
        <v>870</v>
      </c>
      <c r="G74" s="61" t="s">
        <v>871</v>
      </c>
      <c r="H74" s="61" t="s">
        <v>872</v>
      </c>
      <c r="I74" s="61" t="s">
        <v>873</v>
      </c>
      <c r="J74" s="61" t="s">
        <v>874</v>
      </c>
      <c r="K74" s="61" t="s">
        <v>875</v>
      </c>
      <c r="L74" s="61" t="s">
        <v>876</v>
      </c>
      <c r="M74" s="61" t="s">
        <v>877</v>
      </c>
      <c r="N74" s="61" t="s">
        <v>878</v>
      </c>
      <c r="O74" s="61" t="s">
        <v>879</v>
      </c>
      <c r="P74" s="61" t="s">
        <v>880</v>
      </c>
      <c r="Q74" s="61" t="s">
        <v>881</v>
      </c>
    </row>
    <row r="75" customFormat="false" ht="37.3" hidden="false" customHeight="false" outlineLevel="0" collapsed="false">
      <c r="A75" s="98" t="s">
        <v>331</v>
      </c>
      <c r="B75" s="66" t="s">
        <v>372</v>
      </c>
      <c r="C75" s="35" t="n">
        <v>147</v>
      </c>
      <c r="D75" s="35" t="n">
        <v>244</v>
      </c>
      <c r="E75" s="35" t="n">
        <f aca="false">IF(OR(B75="—",C75="—"),"—",MAX(0,D75-C75))</f>
        <v>97</v>
      </c>
      <c r="F75" s="34" t="n">
        <f aca="false">IF(E75="—","—",E75*1800)</f>
        <v>174600</v>
      </c>
      <c r="G75" s="32" t="s">
        <v>882</v>
      </c>
      <c r="H75" s="66" t="s">
        <v>535</v>
      </c>
      <c r="I75" s="35" t="n">
        <v>1120</v>
      </c>
      <c r="J75" s="37" t="n">
        <f aca="false">IFERROR(I75/1200,"")</f>
        <v>0.933333333333333</v>
      </c>
      <c r="K75" s="38" t="n">
        <f aca="false">1200-I75</f>
        <v>80</v>
      </c>
      <c r="L75" s="32" t="s">
        <v>518</v>
      </c>
      <c r="M75" s="37" t="n">
        <v>0.144166666666667</v>
      </c>
      <c r="N75" s="37" t="n">
        <v>0.2775</v>
      </c>
      <c r="O75" s="37" t="n">
        <v>0.3775</v>
      </c>
      <c r="P75" s="37" t="n">
        <v>0.933333333333333</v>
      </c>
      <c r="Q75" s="66" t="s">
        <v>883</v>
      </c>
    </row>
    <row r="77" customFormat="false" ht="15" hidden="false" customHeight="false" outlineLevel="0" collapsed="false">
      <c r="A77" s="4" t="s">
        <v>884</v>
      </c>
    </row>
    <row r="78" customFormat="false" ht="15" hidden="false" customHeight="false" outlineLevel="0" collapsed="false">
      <c r="A78" s="5" t="s">
        <v>885</v>
      </c>
      <c r="B78" s="88" t="s">
        <v>886</v>
      </c>
      <c r="C78" s="88"/>
      <c r="D78" s="88"/>
      <c r="E78" s="88"/>
      <c r="F78" s="88"/>
      <c r="G78" s="88"/>
      <c r="H78" s="88"/>
      <c r="I78" s="88"/>
      <c r="J78" s="88"/>
    </row>
    <row r="79" customFormat="false" ht="15" hidden="false" customHeight="false" outlineLevel="0" collapsed="false">
      <c r="A79" s="5" t="s">
        <v>887</v>
      </c>
      <c r="B79" s="88" t="s">
        <v>888</v>
      </c>
      <c r="C79" s="88"/>
      <c r="D79" s="88"/>
      <c r="E79" s="88"/>
      <c r="F79" s="88"/>
      <c r="G79" s="88"/>
      <c r="H79" s="88"/>
      <c r="I79" s="88"/>
      <c r="J79" s="88"/>
    </row>
    <row r="80" customFormat="false" ht="15" hidden="false" customHeight="false" outlineLevel="0" collapsed="false">
      <c r="A80" s="5"/>
      <c r="B80" s="88" t="s">
        <v>889</v>
      </c>
      <c r="C80" s="88"/>
      <c r="D80" s="88"/>
      <c r="E80" s="88"/>
      <c r="F80" s="88"/>
      <c r="G80" s="88"/>
      <c r="H80" s="88"/>
      <c r="I80" s="88"/>
      <c r="J80" s="88"/>
    </row>
    <row r="81" customFormat="false" ht="15" hidden="false" customHeight="false" outlineLevel="0" collapsed="false">
      <c r="A81" s="5" t="s">
        <v>890</v>
      </c>
      <c r="B81" s="88" t="s">
        <v>891</v>
      </c>
      <c r="C81" s="88"/>
      <c r="D81" s="88"/>
      <c r="E81" s="88"/>
      <c r="F81" s="88"/>
      <c r="G81" s="88"/>
      <c r="H81" s="88"/>
      <c r="I81" s="88"/>
      <c r="J81" s="88"/>
    </row>
    <row r="82" customFormat="false" ht="15" hidden="false" customHeight="false" outlineLevel="0" collapsed="false">
      <c r="A82" s="5" t="s">
        <v>892</v>
      </c>
      <c r="B82" s="93" t="s">
        <v>893</v>
      </c>
      <c r="C82" s="93"/>
      <c r="D82" s="93"/>
      <c r="E82" s="93"/>
      <c r="F82" s="93"/>
      <c r="G82" s="93"/>
      <c r="H82" s="93"/>
      <c r="I82" s="93"/>
      <c r="J82" s="93"/>
    </row>
    <row r="83" customFormat="false" ht="15" hidden="false" customHeight="false" outlineLevel="0" collapsed="false">
      <c r="A83" s="5"/>
      <c r="B83" s="88" t="s">
        <v>894</v>
      </c>
      <c r="C83" s="88"/>
      <c r="D83" s="88"/>
      <c r="E83" s="88"/>
      <c r="F83" s="88"/>
      <c r="G83" s="88"/>
      <c r="H83" s="88"/>
      <c r="I83" s="88"/>
      <c r="J83" s="88"/>
    </row>
    <row r="84" customFormat="false" ht="15" hidden="false" customHeight="false" outlineLevel="0" collapsed="false">
      <c r="A84" s="5" t="s">
        <v>92</v>
      </c>
      <c r="B84" s="88" t="s">
        <v>895</v>
      </c>
      <c r="C84" s="88"/>
      <c r="D84" s="88"/>
      <c r="E84" s="88"/>
      <c r="F84" s="88"/>
      <c r="G84" s="88"/>
      <c r="H84" s="88"/>
      <c r="I84" s="88"/>
      <c r="J84" s="88"/>
    </row>
    <row r="85" customFormat="false" ht="15" hidden="false" customHeight="false" outlineLevel="0" collapsed="false">
      <c r="A85" s="5"/>
      <c r="B85" s="88" t="s">
        <v>896</v>
      </c>
      <c r="C85" s="88"/>
      <c r="D85" s="88"/>
      <c r="E85" s="88"/>
      <c r="F85" s="88"/>
      <c r="G85" s="88"/>
      <c r="H85" s="88"/>
      <c r="I85" s="88"/>
      <c r="J85" s="88"/>
    </row>
    <row r="86" customFormat="false" ht="15" hidden="false" customHeight="false" outlineLevel="0" collapsed="false">
      <c r="A86" s="5"/>
      <c r="B86" s="88" t="s">
        <v>897</v>
      </c>
      <c r="C86" s="88"/>
      <c r="D86" s="88"/>
      <c r="E86" s="88"/>
      <c r="F86" s="88"/>
      <c r="G86" s="88"/>
      <c r="H86" s="88"/>
      <c r="I86" s="88"/>
      <c r="J86" s="88"/>
    </row>
    <row r="87" customFormat="false" ht="15" hidden="false" customHeight="false" outlineLevel="0" collapsed="false">
      <c r="A87" s="5"/>
      <c r="B87" s="88" t="s">
        <v>898</v>
      </c>
      <c r="C87" s="88"/>
      <c r="D87" s="88"/>
      <c r="E87" s="88"/>
      <c r="F87" s="88"/>
      <c r="G87" s="88"/>
      <c r="H87" s="88"/>
      <c r="I87" s="88"/>
      <c r="J87" s="88"/>
    </row>
    <row r="88" customFormat="false" ht="15" hidden="false" customHeight="false" outlineLevel="0" collapsed="false">
      <c r="A88" s="5" t="s">
        <v>899</v>
      </c>
      <c r="B88" s="88" t="s">
        <v>900</v>
      </c>
      <c r="C88" s="88"/>
      <c r="D88" s="88"/>
      <c r="E88" s="88"/>
      <c r="F88" s="88"/>
      <c r="G88" s="88"/>
      <c r="H88" s="88"/>
      <c r="I88" s="88"/>
      <c r="J88" s="88"/>
    </row>
  </sheetData>
  <mergeCells count="11">
    <mergeCell ref="B78:J78"/>
    <mergeCell ref="B79:J79"/>
    <mergeCell ref="B80:J80"/>
    <mergeCell ref="B81:J81"/>
    <mergeCell ref="B82:J82"/>
    <mergeCell ref="B83:J83"/>
    <mergeCell ref="B84:J84"/>
    <mergeCell ref="B85:J85"/>
    <mergeCell ref="B86:J86"/>
    <mergeCell ref="B87:J87"/>
    <mergeCell ref="B88:J88"/>
  </mergeCells>
  <conditionalFormatting sqref="H19:H60">
    <cfRule type="expression" priority="2" aboveAverage="0" equalAverage="0" bottom="0" percent="0" rank="0" text="" dxfId="3">
      <formula>$H19&lt;0</formula>
    </cfRule>
  </conditionalFormatting>
  <conditionalFormatting sqref="J19:J60">
    <cfRule type="expression" priority="3" aboveAverage="0" equalAverage="0" bottom="0" percent="0" rank="0" text="" dxfId="3">
      <formula>$J19&lt;0</formula>
    </cfRule>
  </conditionalFormatting>
  <conditionalFormatting sqref="L19:L60">
    <cfRule type="expression" priority="4" aboveAverage="0" equalAverage="0" bottom="0" percent="0" rank="0" text="" dxfId="3">
      <formula>$L19&lt;0</formula>
    </cfRule>
  </conditionalFormatting>
  <conditionalFormatting sqref="N19:N60">
    <cfRule type="expression" priority="5" aboveAverage="0" equalAverage="0" bottom="0" percent="0" rank="0" text="" dxfId="3">
      <formula>$N19&lt;0</formula>
    </cfRule>
  </conditionalFormatting>
  <conditionalFormatting sqref="P19:P60">
    <cfRule type="expression" priority="6" aboveAverage="0" equalAverage="0" bottom="0" percent="0" rank="0" text="" dxfId="3">
      <formula>$P19&lt;0</formula>
    </cfRule>
  </conditionalFormatting>
  <conditionalFormatting sqref="Q19:Q60">
    <cfRule type="expression" priority="7" aboveAverage="0" equalAverage="0" bottom="0" percent="0" rank="0" text="" dxfId="0">
      <formula>$Q19&lt;&gt;"—"</formula>
    </cfRule>
  </conditionalFormatting>
  <conditionalFormatting sqref="W19:W60">
    <cfRule type="expression" priority="8" aboveAverage="0" equalAverage="0" bottom="0" percent="0" rank="0" text="" dxfId="3">
      <formula>LEFT($W19,1)="★"</formula>
    </cfRule>
    <cfRule type="expression" priority="9" aboveAverage="0" equalAverage="0" bottom="0" percent="0" rank="0" text="" dxfId="1">
      <formula>$W19="要着手(90日以内)"</formula>
    </cfRule>
    <cfRule type="expression" priority="10" aboveAverage="0" equalAverage="0" bottom="0" percent="0" rank="0" text="" dxfId="2">
      <formula>$W19="余裕あり"</formula>
    </cfRule>
    <cfRule type="expression" priority="11" aboveAverage="0" equalAverage="0" bottom="0" percent="0" rank="0" text="" dxfId="2">
      <formula>LEFT($W19,1)="◎"</formula>
    </cfRule>
  </conditionalFormatting>
  <conditionalFormatting sqref="F65:F69">
    <cfRule type="expression" priority="12" aboveAverage="0" equalAverage="0" bottom="0" percent="0" rank="0" text="" dxfId="3">
      <formula>$F65&lt;0</formula>
    </cfRule>
  </conditionalFormatting>
  <conditionalFormatting sqref="E75">
    <cfRule type="expression" priority="13" aboveAverage="0" equalAverage="0" bottom="0" percent="0" rank="0" text="" dxfId="3">
      <formula>AND(ISNUMBER($E75),$E75&gt;0)</formula>
    </cfRule>
  </conditionalFormatting>
  <conditionalFormatting sqref="K75">
    <cfRule type="expression" priority="14" aboveAverage="0" equalAverage="0" bottom="0" percent="0" rank="0" text="" dxfId="1">
      <formula>AND(ISNUMBER($K75),$K75&gt;0)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2026-07-30T14:21:56Z</dcterms:created>
  <dc:creator>openpyxl</dc:creator>
  <dc:description/>
  <dc:language>en-US</dc:language>
  <cp:lastModifiedBy/>
  <dcterms:modified xsi:type="dcterms:W3CDTF">2026-07-30T14:21:57Z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