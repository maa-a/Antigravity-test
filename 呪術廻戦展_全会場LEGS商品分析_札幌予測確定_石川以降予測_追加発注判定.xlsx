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<sst xmlns="http://schemas.openxmlformats.org/spreadsheetml/2006/main" count="1833" uniqueCount="860">
  <si>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</si>
  <si>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</si>
  <si>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</si>
  <si>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</si>
  <si>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</si>
  <si>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9,004</t>
    </r>
    <r>
      <rPr>
        <sz val="9"/>
        <rFont val="WenQuanYi Zen Hei"/>
        <family val="2"/>
      </rPr>
      <t xml:space="preserve">個／販売金額 </t>
    </r>
    <r>
      <rPr>
        <sz val="9"/>
        <rFont val="Meiryo UI"/>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</si>
  <si>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</si>
  <si>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37,413</t>
    </r>
    <r>
      <rPr>
        <sz val="9"/>
        <rFont val="WenQuanYi Zen Hei"/>
        <family val="2"/>
      </rPr>
      <t xml:space="preserve">個／金額 </t>
    </r>
    <r>
      <rPr>
        <sz val="9"/>
        <rFont val="Meiryo UI"/>
        <family val="0"/>
        <charset val="1"/>
      </rPr>
      <t xml:space="preserve">36,568,845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</si>
  <si>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</si>
  <si>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</si>
  <si>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</si>
  <si>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18.7%(</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24.1%(</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</si>
  <si>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</si>
  <si>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</si>
  <si>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</si>
  <si>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83,785</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</si>
  <si>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</si>
  <si>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87,383</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</si>
  <si>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</si>
  <si>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46.7%</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64,332</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</si>
  <si>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</si>
  <si>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</si>
  <si>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　札幌への追納（倉庫から）</t>
  </si>
  <si>
    <r>
      <rPr>
        <sz val="9"/>
        <rFont val="Meiryo UI"/>
        <family val="0"/>
        <charset val="1"/>
      </rPr>
      <t xml:space="preserve">130</t>
    </r>
    <r>
      <rPr>
        <sz val="9"/>
        <rFont val="WenQuanYi Zen Hei"/>
        <family val="2"/>
      </rPr>
      <t xml:space="preserve">個。運営欠品報告への対応分で、追加生産ではなく倉庫在庫から出荷する</t>
    </r>
  </si>
  <si>
    <t xml:space="preserve">　石川以降 供給可能在庫</t>
  </si>
  <si>
    <r>
      <rPr>
        <sz val="9"/>
        <rFont val="Meiryo UI"/>
        <family val="0"/>
        <charset val="1"/>
      </rPr>
      <t xml:space="preserve">265,684</t>
    </r>
    <r>
      <rPr>
        <sz val="9"/>
        <rFont val="WenQuanYi Zen Hei"/>
        <family val="2"/>
      </rPr>
      <t xml:space="preserve">個 ＝ 残在庫</t>
    </r>
    <r>
      <rPr>
        <sz val="9"/>
        <rFont val="Meiryo UI"/>
        <family val="0"/>
        <charset val="1"/>
      </rPr>
      <t xml:space="preserve">274,688</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9,004</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</si>
  <si>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</si>
  <si>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265,684</t>
    </r>
    <r>
      <rPr>
        <sz val="9"/>
        <rFont val="WenQuanYi Zen Hei"/>
        <family val="2"/>
      </rPr>
      <t xml:space="preserve">個 − 必要</t>
    </r>
    <r>
      <rPr>
        <sz val="9"/>
        <rFont val="Meiryo UI"/>
        <family val="0"/>
        <charset val="1"/>
      </rPr>
      <t xml:space="preserve">83,785</t>
    </r>
    <r>
      <rPr>
        <sz val="9"/>
        <rFont val="WenQuanYi Zen Hei"/>
        <family val="2"/>
      </rPr>
      <t xml:space="preserve">個 ＝ </t>
    </r>
    <r>
      <rPr>
        <sz val="9"/>
        <rFont val="Meiryo UI"/>
        <family val="0"/>
        <charset val="1"/>
      </rPr>
      <t xml:space="preserve">+181,899</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</si>
  <si>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</si>
  <si>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9</t>
    </r>
    <r>
      <rPr>
        <sz val="9"/>
        <rFont val="WenQuanYi Zen Hei"/>
        <family val="2"/>
      </rPr>
      <t xml:space="preserve">品目・</t>
    </r>
    <r>
      <rPr>
        <sz val="9"/>
        <rFont val="Meiryo UI"/>
        <family val="0"/>
        <charset val="1"/>
      </rPr>
      <t xml:space="preserve">3,551</t>
    </r>
    <r>
      <rPr>
        <sz val="9"/>
        <rFont val="WenQuanYi Zen Hei"/>
        <family val="2"/>
      </rPr>
      <t xml:space="preserve">個（会場順に在庫を引き当て、在庫が尽きる会場を特定）</t>
    </r>
  </si>
  <si>
    <t xml:space="preserve">　　宿儺の指風お菓子</t>
  </si>
  <si>
    <r>
      <rPr>
        <sz val="9"/>
        <rFont val="WenQuanYi Zen Hei"/>
        <family val="2"/>
      </rPr>
      <t xml:space="preserve">不足</t>
    </r>
    <r>
      <rPr>
        <sz val="9"/>
        <rFont val="Meiryo UI"/>
        <family val="0"/>
        <charset val="1"/>
      </rPr>
      <t xml:space="preserve">1,030</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</si>
  <si>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前髪ヘアバンド</t>
  </si>
  <si>
    <r>
      <rPr>
        <sz val="9"/>
        <rFont val="WenQuanYi Zen Hei"/>
        <family val="2"/>
      </rPr>
      <t xml:space="preserve">不足</t>
    </r>
    <r>
      <rPr>
        <sz val="9"/>
        <rFont val="Meiryo UI"/>
        <family val="0"/>
        <charset val="1"/>
      </rPr>
      <t xml:space="preserve">983</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</si>
  <si>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</si>
  <si>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865</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</si>
  <si>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呪術廻戦 渋谷事変 クリアファイル（脹相）</t>
  </si>
  <si>
    <r>
      <rPr>
        <sz val="9"/>
        <rFont val="WenQuanYi Zen Hei"/>
        <family val="2"/>
      </rPr>
      <t xml:space="preserve">不足</t>
    </r>
    <r>
      <rPr>
        <sz val="9"/>
        <rFont val="Meiryo UI"/>
        <family val="0"/>
        <charset val="1"/>
      </rPr>
      <t xml:space="preserve">372</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2026/11/02</t>
    </r>
  </si>
  <si>
    <t xml:space="preserve">　　脱兎！ポーチ入りクリップセット</t>
  </si>
  <si>
    <r>
      <rPr>
        <sz val="9"/>
        <rFont val="WenQuanYi Zen Hei"/>
        <family val="2"/>
      </rPr>
      <t xml:space="preserve">不足</t>
    </r>
    <r>
      <rPr>
        <sz val="9"/>
        <rFont val="Meiryo UI"/>
        <family val="0"/>
        <charset val="1"/>
      </rPr>
      <t xml:space="preserve">236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</si>
  <si>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</si>
  <si>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</si>
  <si>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</si>
  <si>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</si>
  <si>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</si>
  <si>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</si>
  <si>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</si>
  <si>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3</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</si>
  <si>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</si>
  <si>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-65</t>
    </r>
    <r>
      <rPr>
        <sz val="9"/>
        <rFont val="WenQuanYi Zen Hei"/>
        <family val="2"/>
      </rPr>
      <t xml:space="preserve">日後）。現時点で期限超過の商品はない。</t>
    </r>
  </si>
  <si>
    <t xml:space="preserve">　札幌 会期中の追加発注</t>
  </si>
  <si>
    <r>
      <rPr>
        <sz val="9"/>
        <rFont val="Meiryo UI"/>
        <family val="0"/>
        <charset val="1"/>
      </rPr>
      <t xml:space="preserve">5</t>
    </r>
    <r>
      <rPr>
        <sz val="9"/>
        <rFont val="WenQuanYi Zen Hei"/>
        <family val="2"/>
      </rPr>
      <t xml:space="preserve">品目が会期内に在庫切れ見込：呪術廻戦 渋谷事変 クリアファイル（七海 建人）</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41)</t>
    </r>
    <r>
      <rPr>
        <sz val="9"/>
        <rFont val="WenQuanYi Zen Hei"/>
        <family val="2"/>
      </rPr>
      <t xml:space="preserve">　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6)</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64)</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17)</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</si>
  <si>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</si>
  <si>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</si>
  <si>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</si>
  <si>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</si>
  <si>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</si>
  <si>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</si>
  <si>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Meiryo UI"/>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</si>
  <si>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</si>
  <si>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0</t>
    </r>
    <r>
      <rPr>
        <sz val="9"/>
        <rFont val="WenQuanYi Zen Hei"/>
        <family val="2"/>
      </rPr>
      <t xml:space="preserve">品目：なし</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</si>
  <si>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</si>
  <si>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</si>
  <si>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</si>
  <si>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</si>
  <si>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</si>
  <si>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</si>
  <si>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</si>
  <si>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</si>
  <si>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</si>
  <si>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</si>
  <si>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</si>
  <si>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:258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:397</t>
    </r>
    <r>
      <rPr>
        <sz val="9"/>
        <rFont val="WenQuanYi Zen Hei"/>
        <family val="2"/>
      </rPr>
      <t xml:space="preserve">個　宿儺の指風お菓子</t>
    </r>
    <r>
      <rPr>
        <sz val="9"/>
        <rFont val="Meiryo UI"/>
        <family val="0"/>
        <charset val="1"/>
      </rPr>
      <t xml:space="preserve">:260</t>
    </r>
    <r>
      <rPr>
        <sz val="9"/>
        <rFont val="WenQuanYi Zen Hei"/>
        <family val="2"/>
      </rPr>
      <t xml:space="preserve">個　脱兎！ポーチ入りクリップセット</t>
    </r>
    <r>
      <rPr>
        <sz val="9"/>
        <rFont val="Meiryo UI"/>
        <family val="0"/>
        <charset val="1"/>
      </rPr>
      <t xml:space="preserve">:320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</si>
  <si>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</si>
  <si>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</si>
  <si>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</si>
  <si>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</si>
  <si>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</si>
  <si>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3,104</t>
    </r>
    <r>
      <rPr>
        <sz val="9"/>
        <rFont val="WenQuanYi Zen Hei"/>
        <family val="2"/>
      </rPr>
      <t xml:space="preserve">人（大阪同期間</t>
    </r>
    <r>
      <rPr>
        <sz val="9"/>
        <rFont val="Meiryo UI"/>
        <family val="0"/>
        <charset val="1"/>
      </rPr>
      <t xml:space="preserve">12,279</t>
    </r>
    <r>
      <rPr>
        <sz val="9"/>
        <rFont val="WenQuanYi Zen Hei"/>
        <family val="2"/>
      </rPr>
      <t xml:space="preserve">人の</t>
    </r>
    <r>
      <rPr>
        <sz val="9"/>
        <rFont val="Meiryo UI"/>
        <family val="0"/>
        <charset val="1"/>
      </rPr>
      <t xml:space="preserve">25.3%</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</si>
  <si>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</si>
  <si>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</si>
  <si>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83,785</t>
    </r>
    <r>
      <rPr>
        <sz val="9"/>
        <rFont val="WenQuanYi Zen Hei"/>
        <family val="2"/>
      </rPr>
      <t xml:space="preserve">個のうち</t>
    </r>
    <r>
      <rPr>
        <sz val="9"/>
        <rFont val="Meiryo UI"/>
        <family val="0"/>
        <charset val="1"/>
      </rPr>
      <t xml:space="preserve">44,097</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</si>
  <si>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39,688</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</si>
  <si>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</si>
  <si>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残在庫</t>
    </r>
    <r>
      <rPr>
        <sz val="9"/>
        <rFont val="Meiryo UI"/>
        <family val="0"/>
        <charset val="1"/>
      </rPr>
      <t xml:space="preserve">274,688</t>
    </r>
    <r>
      <rPr>
        <sz val="9"/>
        <rFont val="WenQuanYi Zen Hei"/>
        <family val="2"/>
      </rPr>
      <t xml:space="preserve">個に対し石川以降の必要数は</t>
    </r>
    <r>
      <rPr>
        <sz val="9"/>
        <rFont val="Meiryo UI"/>
        <family val="0"/>
        <charset val="1"/>
      </rPr>
      <t xml:space="preserve">83,785</t>
    </r>
    <r>
      <rPr>
        <sz val="9"/>
        <rFont val="WenQuanYi Zen Hei"/>
        <family val="2"/>
      </rPr>
      <t xml:space="preserve">個。差引</t>
    </r>
    <r>
      <rPr>
        <sz val="9"/>
        <rFont val="Meiryo UI"/>
        <family val="0"/>
        <charset val="1"/>
      </rPr>
      <t xml:space="preserve">181,899</t>
    </r>
    <r>
      <rPr>
        <sz val="9"/>
        <rFont val="WenQuanYi Zen Hei"/>
        <family val="2"/>
      </rPr>
      <t xml:space="preserve">個（残在庫の</t>
    </r>
    <r>
      <rPr>
        <sz val="9"/>
        <rFont val="Meiryo UI"/>
        <family val="0"/>
        <charset val="1"/>
      </rPr>
      <t xml:space="preserve">66%</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</si>
  <si>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27,281</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1,931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(5,982 vs 1,479)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</si>
  <si>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</si>
  <si>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</si>
  <si>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9</t>
    </r>
    <r>
      <rPr>
        <sz val="9"/>
        <rFont val="WenQuanYi Zen Hei"/>
        <family val="2"/>
      </rPr>
      <t xml:space="preserve">品目・</t>
    </r>
    <r>
      <rPr>
        <sz val="9"/>
        <rFont val="Meiryo UI"/>
        <family val="0"/>
        <charset val="1"/>
      </rPr>
      <t xml:space="preserve">3,551</t>
    </r>
    <r>
      <rPr>
        <sz val="9"/>
        <rFont val="WenQuanYi Zen Hei"/>
        <family val="2"/>
      </rPr>
      <t xml:space="preserve">個のみ。うち展示会キービジュアル クリアファイルが</t>
    </r>
    <r>
      <rPr>
        <sz val="9"/>
        <rFont val="Meiryo UI"/>
        <family val="0"/>
        <charset val="1"/>
      </rPr>
      <t xml:space="preserve">1,030</t>
    </r>
    <r>
      <rPr>
        <sz val="9"/>
        <rFont val="WenQuanYi Zen Hei"/>
        <family val="2"/>
      </rPr>
      <t xml:space="preserve">個で全体の</t>
    </r>
    <r>
      <rPr>
        <sz val="9"/>
        <rFont val="Meiryo UI"/>
        <family val="0"/>
        <charset val="1"/>
      </rPr>
      <t xml:space="preserve">29%</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</si>
  <si>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</si>
  <si>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</si>
  <si>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</si>
  <si>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</si>
  <si>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</si>
  <si>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</si>
  <si>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</si>
  <si>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</si>
  <si>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</si>
  <si>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</si>
  <si>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</si>
  <si>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</si>
  <si>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</si>
  <si>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</si>
  <si>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</si>
  <si>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</si>
  <si>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1.919</t>
    </r>
    <r>
      <rPr>
        <sz val="9"/>
        <rFont val="WenQuanYi Zen Hei"/>
        <family val="2"/>
      </rPr>
      <t xml:space="preserve">倍・博多</t>
    </r>
    <r>
      <rPr>
        <sz val="9"/>
        <rFont val="Meiryo UI"/>
        <family val="0"/>
        <charset val="1"/>
      </rPr>
      <t xml:space="preserve">2.382</t>
    </r>
    <r>
      <rPr>
        <sz val="9"/>
        <rFont val="WenQuanYi Zen Hei"/>
        <family val="2"/>
      </rPr>
      <t xml:space="preserve">倍・名古屋</t>
    </r>
    <r>
      <rPr>
        <sz val="9"/>
        <rFont val="Meiryo UI"/>
        <family val="0"/>
        <charset val="1"/>
      </rPr>
      <t xml:space="preserve">1.938</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</si>
  <si>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</si>
  <si>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</si>
  <si>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</si>
  <si>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</si>
  <si>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18.7%</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</si>
  <si>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</si>
  <si>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</si>
  <si>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</si>
  <si>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</si>
  <si>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</si>
  <si>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</si>
  <si>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</si>
  <si>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</si>
  <si>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</si>
  <si>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</si>
  <si>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</si>
  <si>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</si>
  <si>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</si>
  <si>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</si>
  <si>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</si>
  <si>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</si>
  <si>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</si>
  <si>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</si>
  <si>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</si>
  <si>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</si>
  <si>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</si>
  <si>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</si>
  <si>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</si>
  <si>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</si>
  <si>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</si>
  <si>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</si>
  <si>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</si>
  <si>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</si>
  <si>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</si>
  <si>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</si>
  <si>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</si>
  <si>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</si>
  <si>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</si>
  <si>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</si>
  <si>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</si>
  <si>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</si>
  <si>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</si>
  <si>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</si>
  <si>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</si>
  <si>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</si>
  <si>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</si>
  <si>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</si>
  <si>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</si>
  <si>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</si>
  <si>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</si>
  <si>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</si>
  <si>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</si>
  <si>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</si>
  <si>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</si>
  <si>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</si>
  <si>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</si>
  <si>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</si>
  <si>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</si>
  <si>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</si>
  <si>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</si>
  <si>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</si>
  <si>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</si>
  <si>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</si>
  <si>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</si>
  <si>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</si>
  <si>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</si>
  <si>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</si>
  <si>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</si>
  <si>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</si>
  <si>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</si>
  <si>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</si>
  <si>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</si>
  <si>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</si>
  <si>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</si>
  <si>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</si>
  <si>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</si>
  <si>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</si>
  <si>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</si>
  <si>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</si>
  <si>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</si>
  <si>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</si>
  <si>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</si>
  <si>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</si>
  <si>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</si>
  <si>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</si>
  <si>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</si>
  <si>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</si>
  <si>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</si>
  <si>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</si>
  <si>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</si>
  <si>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</si>
  <si>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</si>
  <si>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</si>
  <si>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</si>
  <si>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</si>
  <si>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</si>
  <si>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</si>
  <si>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手動入力（下の手動値を使用）</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</si>
  <si>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</si>
  <si>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</si>
  <si>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</si>
  <si>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</si>
  <si>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</si>
  <si>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</si>
  <si>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</si>
  <si>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</si>
  <si>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</si>
  <si>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</si>
  <si>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</si>
  <si>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</si>
  <si>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</si>
  <si>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</si>
  <si>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</si>
  <si>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46.7% </t>
    </r>
    <r>
      <rPr>
        <sz val="8"/>
        <color rgb="FF555555"/>
        <rFont val="WenQuanYi Zen Hei"/>
        <family val="2"/>
      </rPr>
      <t xml:space="preserve">を乗じたもの（凱旋は据置）</t>
    </r>
  </si>
  <si>
    <t xml:space="preserve">東京対比：石川 香林坊大和</t>
  </si>
  <si>
    <t xml:space="preserve">緑字＝シナリオ選択で自動決定　／　ユーザー指定</t>
  </si>
  <si>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</si>
  <si>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緑字＝シナリオ選択で自動決定　／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</si>
  <si>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</si>
  <si>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t xml:space="preserve">緑字＝シナリオ選択で自動決定　／　★要確認：指定なきため仮置き</t>
  </si>
  <si>
    <t xml:space="preserve">東京対比：鳥取島根 夢みなとタワー</t>
  </si>
  <si>
    <t xml:space="preserve">東京対比：東京凱旋 東京建物ぴあホール</t>
  </si>
  <si>
    <r>
      <rPr>
        <sz val="8"/>
        <color rgb="FF555555"/>
        <rFont val="WenQuanYi Zen Hei"/>
        <family val="2"/>
      </rPr>
      <t xml:space="preserve">緑字＝シナリオ選択で自動決定　／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</si>
  <si>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</si>
  <si>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</si>
  <si>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</si>
  <si>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</si>
  <si>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</si>
  <si>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</si>
  <si>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</si>
  <si>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</si>
  <si>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</si>
  <si>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</si>
  <si>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</si>
  <si>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</si>
  <si>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</si>
  <si>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</si>
  <si>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t xml:space="preserve">在庫フロー台帳の最終実在庫列。商品別の実数を③⑧⑩⑪シートで直接使用</t>
  </si>
  <si>
    <t xml:space="preserve">札幌 会期末残在庫のスライド率</t>
  </si>
  <si>
    <t xml:space="preserve">札幌終了在庫を石川以降へ回せる割合</t>
  </si>
  <si>
    <t xml:space="preserve">発注〜納品バッファ日数（輸送・検品）</t>
  </si>
  <si>
    <t xml:space="preserve">発注期限＝会場初日 − 生産日数 − 本バッファ。⑪シートで使用</t>
  </si>
  <si>
    <t xml:space="preserve">基準日</t>
  </si>
  <si>
    <r>
      <rPr>
        <sz val="8"/>
        <color rgb="FF555555"/>
        <rFont val="WenQuanYi Zen Hei"/>
        <family val="2"/>
      </rPr>
      <t xml:space="preserve">生産日数の提示日＝</t>
    </r>
    <r>
      <rPr>
        <sz val="8"/>
        <color rgb="FF555555"/>
        <rFont val="Meiryo UI"/>
        <family val="0"/>
        <charset val="1"/>
      </rPr>
      <t xml:space="preserve">2026/7/28</t>
    </r>
    <r>
      <rPr>
        <sz val="8"/>
        <color rgb="FF555555"/>
        <rFont val="WenQuanYi Zen Hei"/>
        <family val="2"/>
      </rPr>
      <t xml:space="preserve">。残日数の起点</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</si>
  <si>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</si>
  <si>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</si>
  <si>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</si>
  <si>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</si>
  <si>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</si>
  <si>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</si>
  <si>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</si>
  <si>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</si>
  <si>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</si>
  <si>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</si>
  <si>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</si>
  <si>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</si>
  <si>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</si>
  <si>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</si>
  <si>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</si>
  <si>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</si>
  <si>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</si>
  <si>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</si>
  <si>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</si>
  <si>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</si>
  <si>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</si>
  <si>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</si>
  <si>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</si>
  <si>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</si>
  <si>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</si>
  <si>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</si>
  <si>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</si>
  <si>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</si>
  <si>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</si>
  <si>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</si>
  <si>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</si>
  <si>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</si>
  <si>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</si>
  <si>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</si>
  <si>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</si>
  <si>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</si>
  <si>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</si>
  <si>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</si>
  <si>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</si>
  <si>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</si>
  <si>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</si>
  <si>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</si>
  <si>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</si>
  <si>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</si>
  <si>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</si>
  <si>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</si>
  <si>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</si>
  <si>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</si>
  <si>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</si>
  <si>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</si>
  <si>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</si>
  <si>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</si>
  <si>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</si>
  <si>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</si>
  <si>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</si>
  <si>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</si>
  <si>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</si>
  <si>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</si>
  <si>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</si>
  <si>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</si>
  <si>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</si>
  <si>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</si>
  <si>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</si>
  <si>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</si>
  <si>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</si>
  <si>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</si>
  <si>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</si>
  <si>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</si>
  <si>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</si>
  <si>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</si>
  <si>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</si>
  <si>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</si>
  <si>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</si>
  <si>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</si>
  <si>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</si>
  <si>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</si>
  <si>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</si>
  <si>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</si>
  <si>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</si>
  <si>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</si>
  <si>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</si>
  <si>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</si>
  <si>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</si>
  <si>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</si>
  <si>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</si>
  <si>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</si>
  <si>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</si>
  <si>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</si>
  <si>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</si>
  <si>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</si>
  <si>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</si>
  <si>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</si>
  <si>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</si>
  <si>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</si>
  <si>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</si>
  <si>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</si>
  <si>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</si>
  <si>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</si>
  <si>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</si>
  <si>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</si>
  <si>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</si>
  <si>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</si>
  <si>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</si>
  <si>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</si>
  <si>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</si>
  <si>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</si>
  <si>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</si>
  <si>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</si>
  <si>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</si>
  <si>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</si>
  <si>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</si>
  <si>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</si>
  <si>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</si>
  <si>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</si>
  <si>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</si>
  <si>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</si>
  <si>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</si>
  <si>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</si>
  <si>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</si>
  <si>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</si>
  <si>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</si>
  <si>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</si>
  <si>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</si>
  <si>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</si>
  <si>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</si>
  <si>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</si>
  <si>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</si>
  <si>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</si>
  <si>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</si>
  <si>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</si>
  <si>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</si>
  <si>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</si>
  <si>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</si>
  <si>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</si>
  <si>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</si>
  <si>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</si>
  <si>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</si>
  <si>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</si>
  <si>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</si>
  <si>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</si>
  <si>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</si>
  <si>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</si>
  <si>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</si>
  <si>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</si>
  <si>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</si>
  <si>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</si>
  <si>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</si>
  <si>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</si>
  <si>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</si>
  <si>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</si>
  <si>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</si>
  <si>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</si>
  <si>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</si>
  <si>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</si>
  <si>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</si>
  <si>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</si>
  <si>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</si>
  <si>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</si>
  <si>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</si>
  <si>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</si>
  <si>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</si>
  <si>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</si>
  <si>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</si>
  <si>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</si>
  <si>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</si>
  <si>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</si>
  <si>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</si>
  <si>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</si>
  <si>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</si>
  <si>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</si>
  <si>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</si>
  <si>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</si>
  <si>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</si>
  <si>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</si>
  <si>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</si>
  <si>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</si>
  <si>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</si>
  <si>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</si>
  <si>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</si>
  <si>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</si>
  <si>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</si>
  <si>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</si>
  <si>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</si>
  <si>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</si>
  <si>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</si>
  <si>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</si>
  <si>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</si>
  <si>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</si>
  <si>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</si>
  <si>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</si>
  <si>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</si>
  <si>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</si>
  <si>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</si>
  <si>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</si>
  <si>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</si>
  <si>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</si>
  <si>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</si>
  <si>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</si>
  <si>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</si>
  <si>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</si>
  <si>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r>
      <rPr>
        <b val="true"/>
        <sz val="9"/>
        <rFont val="WenQuanYi Zen Hei"/>
        <family val="2"/>
      </rPr>
      <t xml:space="preserve">　うち札幌会場へ納品（</t>
    </r>
    <r>
      <rPr>
        <b val="true"/>
        <sz val="9"/>
        <rFont val="Meiryo UI"/>
        <family val="0"/>
        <charset val="1"/>
      </rPr>
      <t xml:space="preserve">7/21</t>
    </r>
    <r>
      <rPr>
        <b val="true"/>
        <sz val="9"/>
        <rFont val="WenQuanYi Zen Hei"/>
        <family val="2"/>
      </rPr>
      <t xml:space="preserve">）</t>
    </r>
  </si>
  <si>
    <t xml:space="preserve">札幌の販売可能数</t>
  </si>
  <si>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</si>
  <si>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</si>
  <si>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</si>
  <si>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</si>
  <si>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</si>
  <si>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</si>
  <si>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</si>
  <si>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</si>
  <si>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</si>
  <si>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</si>
  <si>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</si>
  <si>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</si>
  <si>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</si>
  <si>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</si>
  <si>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</si>
  <si>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</si>
  <si>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</si>
  <si>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</si>
  <si>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</si>
  <si>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</si>
  <si>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</si>
  <si>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</si>
  <si>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</si>
  <si>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</si>
  <si>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</si>
  <si>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</si>
  <si>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</si>
  <si>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</si>
  <si>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</si>
  <si>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</si>
  <si>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</si>
  <si>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</si>
  <si>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</si>
  <si>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</si>
  <si>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</si>
  <si>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</si>
  <si>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</si>
  <si>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</si>
  <si>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</si>
  <si>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</si>
  <si>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</si>
  <si>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</si>
  <si>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</si>
  <si>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</si>
  <si>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</si>
  <si>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</si>
  <si>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</si>
  <si>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</si>
  <si>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</si>
  <si>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</si>
  <si>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</si>
  <si>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</si>
  <si>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</si>
  <si>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</si>
  <si>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</si>
  <si>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</si>
  <si>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</si>
  <si>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</si>
  <si>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</si>
  <si>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</si>
  <si>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</si>
  <si>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</si>
  <si>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</si>
  <si>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258</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</si>
  <si>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</si>
  <si>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397</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</si>
  <si>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</si>
  <si>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320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</si>
  <si>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</si>
  <si>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</si>
  <si>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</si>
  <si>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</si>
  <si>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</si>
  <si>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</si>
  <si>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</si>
  <si>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</si>
  <si>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</si>
  <si>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</si>
  <si>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</si>
  <si>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</si>
  <si>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</si>
  <si>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</si>
  <si>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</si>
  <si>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</si>
  <si>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</si>
  <si>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</si>
  <si>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</si>
  <si>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</si>
  <si>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</si>
  <si>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</si>
  <si>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</si>
  <si>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</si>
  <si>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</si>
  <si>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</si>
  <si>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</si>
  <si>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</si>
  <si>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</si>
  <si>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</si>
  <si>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</si>
  <si>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</si>
  <si>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</si>
  <si>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</si>
  <si>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</si>
  <si>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</si>
  <si>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</si>
  <si>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</si>
  <si>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</si>
  <si>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</si>
  <si>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</si>
  <si>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</si>
  <si>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</si>
  <si>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</si>
  <si>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</si>
  <si>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</si>
  <si>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</si>
  <si>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</si>
  <si>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</si>
  <si>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</si>
  <si>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</si>
  <si>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</si>
  <si>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</si>
  <si>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</si>
  <si>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</si>
  <si>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</si>
  <si>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</si>
  <si>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</si>
  <si>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</si>
  <si>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</si>
  <si>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</si>
  <si>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</si>
  <si>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</si>
  <si>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</si>
  <si>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</si>
  <si>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</si>
  <si>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</si>
  <si>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</si>
  <si>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</si>
  <si>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</si>
  <si>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</si>
  <si>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</si>
  <si>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</si>
  <si>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</si>
  <si>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</si>
  <si>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</si>
  <si>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</si>
  <si>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</si>
  <si>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</si>
  <si>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</si>
  <si>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</si>
  <si>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</si>
  <si>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</si>
  <si>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</si>
  <si>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</si>
  <si>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</si>
  <si>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</si>
  <si>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</si>
  <si>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</si>
  <si>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</si>
  <si>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</si>
  <si>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</si>
  <si>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</si>
  <si>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</si>
  <si>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</si>
  <si>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</si>
  <si>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</si>
  <si>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</si>
  <si>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</si>
  <si>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</si>
  <si>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</si>
  <si>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</si>
  <si>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</si>
  <si>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</si>
  <si>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</si>
  <si>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</si>
  <si>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</si>
  <si>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</si>
  <si>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</si>
  <si>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</si>
  <si>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</si>
  <si>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</si>
  <si>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</si>
  <si>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</si>
  <si>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</si>
  <si>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</si>
  <si>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</si>
  <si>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</si>
  <si>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</si>
  <si>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</si>
  <si>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</si>
  <si>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</si>
  <si>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</si>
  <si>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</si>
  <si>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</si>
  <si>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</si>
  <si>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</si>
  <si>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</si>
  <si>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</si>
  <si>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</si>
  <si>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</si>
  <si>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札幌への追納 ＋ 札幌会期末の返送見込」＝ 残在庫 − 札幌会期予測販売数</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</si>
  <si>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</si>
  <si>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</si>
  <si>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</si>
  <si>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</si>
  <si>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</si>
  <si>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</si>
  <si>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</si>
  <si>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</si>
  <si>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</si>
  <si>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</si>
  <si>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</si>
  <si>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</si>
  <si>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</si>
  <si>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</si>
  <si>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</si>
  <si>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</si>
  <si>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</si>
  <si>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</si>
  <si>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</si>
  <si>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258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</si>
  <si>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</si>
  <si>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397</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</si>
  <si>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t>
    </r>
  </si>
  <si>
    <r>
      <rPr>
        <sz val="9"/>
        <rFont val="WenQuanYi Zen Hei"/>
        <family val="2"/>
      </rPr>
      <t xml:space="preserve">倉庫残</t>
    </r>
    <r>
      <rPr>
        <sz val="9"/>
        <rFont val="Meiryo UI"/>
        <family val="0"/>
        <charset val="1"/>
      </rPr>
      <t xml:space="preserve">320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</si>
  <si>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23</t>
    </r>
    <r>
      <rPr>
        <sz val="9"/>
        <rFont val="WenQuanYi Zen Hei"/>
        <family val="2"/>
      </rPr>
      <t xml:space="preserve">個 → ◎倉庫からの追加納品で即対応可能 ／ ★「追納困難」との回答だが実在庫</t>
    </r>
    <r>
      <rPr>
        <sz val="9"/>
        <rFont val="Meiryo UI"/>
        <family val="0"/>
        <charset val="1"/>
      </rPr>
      <t xml:space="preserve">23</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</si>
  <si>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</si>
  <si>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</si>
  <si>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</si>
  <si>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</si>
  <si>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</si>
  <si>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</si>
  <si>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</si>
  <si>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</si>
  <si>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</si>
  <si>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</si>
  <si>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</si>
  <si>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</si>
  <si>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</si>
  <si>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</si>
  <si>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</si>
  <si>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</si>
  <si>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</si>
  <si>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</si>
  <si>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</si>
  <si>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</si>
  <si>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</si>
  <si>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</si>
  <si>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</si>
  <si>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</si>
  <si>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</si>
  <si>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</si>
  <si>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</si>
  <si>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</si>
  <si>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</si>
  <si>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</si>
  <si>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</si>
  <si>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</si>
  <si>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</si>
  <si>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</si>
  <si>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</si>
  <si>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</si>
  <si>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</si>
  <si>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</si>
  <si>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</si>
  <si>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</si>
  <si>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</si>
  <si>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</si>
  <si>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</si>
  <si>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</si>
  <si>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</si>
  <si>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</si>
  <si>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</si>
  <si>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</si>
  <si>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</si>
  <si>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</si>
  <si>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</si>
  <si>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</si>
  <si>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</si>
  <si>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</si>
  <si>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</si>
  <si>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</si>
  <si>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</si>
  <si>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</si>
  <si>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</si>
  <si>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</si>
  <si>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</si>
  <si>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</si>
  <si>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</si>
  <si>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</si>
  <si>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</si>
  <si>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</si>
  <si>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</si>
  <si>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</si>
  <si>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</si>
  <si>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</si>
  <si>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</si>
  <si>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</si>
  <si>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</si>
  <si>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</si>
  <si>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46.7%</t>
    </r>
    <r>
      <rPr>
        <sz val="8"/>
        <color rgb="FF555555"/>
        <rFont val="WenQuanYi Zen Hei"/>
        <family val="2"/>
      </rPr>
      <t xml:space="preserve">（予測東京対比</t>
    </r>
    <r>
      <rPr>
        <sz val="8"/>
        <color rgb="FF555555"/>
        <rFont val="Meiryo UI"/>
        <family val="0"/>
        <charset val="1"/>
      </rPr>
      <t xml:space="preserve">10.21%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</si>
  <si>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</si>
  <si>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</si>
  <si>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</si>
  <si>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</si>
  <si>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</si>
  <si>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</si>
  <si>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</si>
  <si>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</si>
  <si>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</si>
  <si>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</si>
  <si>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</si>
  <si>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</si>
  <si>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</si>
  <si>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</si>
  <si>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</si>
  <si>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</si>
  <si>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</si>
  <si>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</si>
  <si>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</si>
  <si>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</si>
  <si>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</si>
  <si>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</si>
  <si>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</si>
  <si>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</si>
  <si>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</si>
  <si>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</si>
  <si>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</si>
  <si>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</si>
  <si>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</si>
  <si>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</si>
  <si>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</si>
  <si>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</si>
  <si>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</si>
  <si>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</si>
  <si>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</si>
  <si>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</si>
  <si>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</si>
  <si>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</si>
  <si>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</si>
  <si>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</si>
  <si>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</si>
  <si>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</si>
  <si>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</si>
  <si>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</si>
  <si>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</si>
  <si>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</si>
  <si>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</si>
  <si>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</si>
  <si>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</si>
  <si>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</si>
  <si>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</si>
  <si>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</si>
  <si>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</si>
  <si>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</si>
  <si>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</si>
  <si>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</si>
  <si>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</si>
  <si>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</si>
  <si>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</si>
  <si>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</si>
  <si>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</si>
  <si>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</si>
  <si>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</si>
  <si>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</si>
  <si>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</si>
  <si>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</si>
  <si>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</si>
  <si>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</si>
  <si>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</si>
  <si>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</si>
  <si>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</si>
  <si>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</si>
  <si>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</si>
  <si>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</si>
  <si>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</si>
  <si>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最終発注期限</t>
  </si>
  <si>
    <t xml:space="preserve">基準日からの
残日数</t>
  </si>
  <si>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</si>
  <si>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</si>
  <si>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</si>
  <si>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</si>
  <si>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賞味期限</t>
    </r>
    <r>
      <rPr>
        <sz val="9"/>
        <rFont val="Meiryo UI"/>
        <family val="0"/>
        <charset val="1"/>
      </rPr>
      <t xml:space="preserve">4</t>
    </r>
    <r>
      <rPr>
        <sz val="9"/>
        <rFont val="WenQuanYi Zen Hei"/>
        <family val="2"/>
      </rPr>
      <t xml:space="preserve">か月以内の在庫は販売不可。仙台以降向けは</t>
    </r>
    <r>
      <rPr>
        <sz val="9"/>
        <rFont val="Meiryo UI"/>
        <family val="0"/>
        <charset val="1"/>
      </rPr>
      <t xml:space="preserve">2026/5/15</t>
    </r>
    <r>
      <rPr>
        <sz val="9"/>
        <rFont val="WenQuanYi Zen Hei"/>
        <family val="2"/>
      </rPr>
      <t xml:space="preserve">手配済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</si>
  <si>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</si>
  <si>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</si>
  <si>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</si>
  <si>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</si>
  <si>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</si>
  <si>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</si>
  <si>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</si>
  <si>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</si>
  <si>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</si>
  <si>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</si>
  <si>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</si>
  <si>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</si>
  <si>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</si>
  <si>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</si>
  <si>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</si>
  <si>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</si>
  <si>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</si>
  <si>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</si>
  <si>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</si>
  <si>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</si>
  <si>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</si>
  <si>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</si>
  <si>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か月以内のものが販売不可。仙台会場以降向けは</t>
    </r>
    <r>
      <rPr>
        <sz val="9"/>
        <rFont val="Meiryo UI"/>
        <family val="0"/>
        <charset val="1"/>
      </rPr>
      <t xml:space="preserve">2026/5/15</t>
    </r>
    <r>
      <rPr>
        <sz val="9"/>
        <rFont val="WenQuanYi Zen Hei"/>
        <family val="2"/>
      </rPr>
      <t xml:space="preserve">に手配済だが、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</si>
  <si>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向けは賞味期限を逆算した再手配の要否を別途確認すること。</t>
    </r>
  </si>
  <si>
    <t xml:space="preserve">再生産不可品</t>
  </si>
  <si>
    <t xml:space="preserve">虚式『茈』バスボールは生産日数が「－」＝再生産不可。現有在庫の範囲で会場配分を組む必要がある。</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</si>
</sst>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0%;\-0.0%;0.0%"/>
    <numFmt numFmtId="175" formatCode="&quot;+¥&quot;#,##0;&quot;-¥&quot;#,##0;\-"/>
    <numFmt numFmtId="176" formatCode="\+0.0%;\-0.0%;\-"/>
    <numFmt numFmtId="177" formatCode="\+0.00%;\-0.00%;0.00%"/>
    <numFmt numFmtId="178" formatCode="#,##0;\-#,##0;0"/>
    <numFmt numFmtId="179" formatCode="#,##0\日"/>
  </numFmts>
  <fonts count="24">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7">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74" fontId="11" fillId="11"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7" t="s">
        <v>27</v>
      </c>
    </row>
    <row r="18" customFormat="false" ht="15" hidden="false" customHeight="false" outlineLevel="0" collapsed="false">
      <c r="A18" s="5" t="s">
        <v>28</v>
      </c>
      <c r="B18" s="6" t="s">
        <v>29</v>
      </c>
    </row>
    <row r="19" customFormat="false" ht="15" hidden="false" customHeight="false" outlineLevel="0" collapsed="false">
      <c r="A19" s="5" t="s">
        <v>30</v>
      </c>
      <c r="B19" s="7"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3.4"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5" hidden="false" customHeight="false" outlineLevel="0" collapsed="false">
      <c r="A28" s="5" t="s">
        <v>48</v>
      </c>
      <c r="B28" s="7" t="s">
        <v>49</v>
      </c>
    </row>
    <row r="29" customFormat="false" ht="15" hidden="false" customHeight="false" outlineLevel="0" collapsed="false">
      <c r="A29" s="5" t="s">
        <v>50</v>
      </c>
      <c r="B29" s="6" t="s">
        <v>51</v>
      </c>
    </row>
    <row r="31" customFormat="false" ht="15" hidden="false" customHeight="false" outlineLevel="0" collapsed="false">
      <c r="A31" s="4" t="s">
        <v>52</v>
      </c>
    </row>
    <row r="32" customFormat="false" ht="15" hidden="false" customHeight="false" outlineLevel="0" collapsed="false">
      <c r="A32" s="5" t="s">
        <v>53</v>
      </c>
      <c r="B32" s="6" t="s">
        <v>54</v>
      </c>
    </row>
    <row r="33" customFormat="false" ht="15" hidden="false" customHeight="false" outlineLevel="0" collapsed="false">
      <c r="A33" s="5" t="s">
        <v>55</v>
      </c>
      <c r="B33" s="6" t="s">
        <v>56</v>
      </c>
    </row>
    <row r="34" customFormat="false" ht="15" hidden="false" customHeight="false" outlineLevel="0" collapsed="false">
      <c r="A34" s="5" t="s">
        <v>57</v>
      </c>
      <c r="B34" s="6" t="s">
        <v>58</v>
      </c>
    </row>
    <row r="35" customFormat="false" ht="15" hidden="false" customHeight="false" outlineLevel="0" collapsed="false">
      <c r="A35" s="5" t="s">
        <v>59</v>
      </c>
      <c r="B35" s="6" t="s">
        <v>60</v>
      </c>
    </row>
    <row r="36" customFormat="false" ht="15" hidden="false" customHeight="false" outlineLevel="0" collapsed="false">
      <c r="A36" s="5" t="s">
        <v>61</v>
      </c>
      <c r="B36" s="6" t="s">
        <v>62</v>
      </c>
    </row>
    <row r="37" customFormat="false" ht="15" hidden="false" customHeight="false" outlineLevel="0" collapsed="false">
      <c r="A37" s="5" t="s">
        <v>63</v>
      </c>
      <c r="B37" s="7" t="s">
        <v>64</v>
      </c>
    </row>
    <row r="38" customFormat="false" ht="15" hidden="false" customHeight="false" outlineLevel="0" collapsed="false">
      <c r="A38" s="5" t="s">
        <v>65</v>
      </c>
      <c r="B38" s="7" t="s">
        <v>66</v>
      </c>
    </row>
    <row r="39" customFormat="false" ht="15" hidden="false" customHeight="false" outlineLevel="0" collapsed="false">
      <c r="A39" s="9"/>
      <c r="B39" s="6" t="s">
        <v>67</v>
      </c>
    </row>
    <row r="40" customFormat="false" ht="15" hidden="false" customHeight="false" outlineLevel="0" collapsed="false">
      <c r="A40" s="9"/>
      <c r="B40" s="7" t="s">
        <v>68</v>
      </c>
    </row>
    <row r="41" customFormat="false" ht="15" hidden="false" customHeight="false" outlineLevel="0" collapsed="false">
      <c r="A41" s="5" t="s">
        <v>69</v>
      </c>
      <c r="B41" s="7" t="s">
        <v>70</v>
      </c>
    </row>
    <row r="42" customFormat="false" ht="15" hidden="false" customHeight="false" outlineLevel="0" collapsed="false">
      <c r="A42" s="5" t="s">
        <v>71</v>
      </c>
      <c r="B42" s="7" t="s">
        <v>72</v>
      </c>
    </row>
    <row r="43" customFormat="false" ht="15" hidden="false" customHeight="false" outlineLevel="0" collapsed="false">
      <c r="A43" s="5" t="s">
        <v>73</v>
      </c>
      <c r="B43" s="7" t="s">
        <v>74</v>
      </c>
    </row>
    <row r="44" customFormat="false" ht="15" hidden="false" customHeight="false" outlineLevel="0" collapsed="false">
      <c r="A44" s="9"/>
      <c r="B44" s="6" t="s">
        <v>75</v>
      </c>
    </row>
    <row r="46" customFormat="false" ht="15" hidden="false" customHeight="false" outlineLevel="0" collapsed="false">
      <c r="A46" s="4" t="s">
        <v>76</v>
      </c>
    </row>
    <row r="47" customFormat="false" ht="13.4" hidden="false" customHeight="false" outlineLevel="0" collapsed="false">
      <c r="A47" s="5" t="s">
        <v>77</v>
      </c>
      <c r="B47" s="7" t="s">
        <v>78</v>
      </c>
    </row>
    <row r="48" customFormat="false" ht="15" hidden="false" customHeight="false" outlineLevel="0" collapsed="false">
      <c r="A48" s="9"/>
      <c r="B48" s="7" t="s">
        <v>79</v>
      </c>
    </row>
    <row r="49" customFormat="false" ht="13.4" hidden="false" customHeight="false" outlineLevel="0" collapsed="false">
      <c r="A49" s="5" t="s">
        <v>80</v>
      </c>
      <c r="B49" s="7" t="s">
        <v>81</v>
      </c>
    </row>
    <row r="50" customFormat="false" ht="15" hidden="false" customHeight="false" outlineLevel="0" collapsed="false">
      <c r="A50" s="9"/>
      <c r="B50" s="7" t="s">
        <v>82</v>
      </c>
    </row>
    <row r="51" customFormat="false" ht="15" hidden="false" customHeight="false" outlineLevel="0" collapsed="false">
      <c r="A51" s="5" t="s">
        <v>83</v>
      </c>
      <c r="B51" s="7" t="s">
        <v>84</v>
      </c>
    </row>
    <row r="52" customFormat="false" ht="15" hidden="false" customHeight="false" outlineLevel="0" collapsed="false">
      <c r="A52" s="9"/>
      <c r="B52" s="7" t="s">
        <v>85</v>
      </c>
    </row>
    <row r="53" customFormat="false" ht="15" hidden="false" customHeight="false" outlineLevel="0" collapsed="false">
      <c r="A53" s="9"/>
      <c r="B53" s="6" t="s">
        <v>86</v>
      </c>
    </row>
    <row r="54" customFormat="false" ht="15" hidden="false" customHeight="false" outlineLevel="0" collapsed="false">
      <c r="A54" s="5" t="s">
        <v>87</v>
      </c>
      <c r="B54" s="7" t="s">
        <v>88</v>
      </c>
    </row>
    <row r="55" customFormat="false" ht="15" hidden="false" customHeight="false" outlineLevel="0" collapsed="false">
      <c r="A55" s="5" t="s">
        <v>89</v>
      </c>
      <c r="B55" s="7" t="s">
        <v>90</v>
      </c>
    </row>
    <row r="56" customFormat="false" ht="15" hidden="false" customHeight="false" outlineLevel="0" collapsed="false">
      <c r="A56" s="9"/>
      <c r="B56" s="6" t="s">
        <v>91</v>
      </c>
    </row>
    <row r="57" customFormat="false" ht="15" hidden="false" customHeight="false" outlineLevel="0" collapsed="false">
      <c r="A57" s="5" t="s">
        <v>92</v>
      </c>
      <c r="B57" s="7" t="s">
        <v>93</v>
      </c>
    </row>
    <row r="58" customFormat="false" ht="15" hidden="false" customHeight="false" outlineLevel="0" collapsed="false">
      <c r="A58" s="9"/>
      <c r="B58" s="7" t="s">
        <v>94</v>
      </c>
    </row>
    <row r="60" customFormat="false" ht="15" hidden="false" customHeight="false" outlineLevel="0" collapsed="false">
      <c r="A60" s="4" t="s">
        <v>95</v>
      </c>
    </row>
    <row r="61" customFormat="false" ht="15" hidden="false" customHeight="false" outlineLevel="0" collapsed="false">
      <c r="A61" s="5" t="s">
        <v>96</v>
      </c>
      <c r="B61" s="7" t="s">
        <v>97</v>
      </c>
    </row>
    <row r="62" customFormat="false" ht="13.4" hidden="false" customHeight="false" outlineLevel="0" collapsed="false">
      <c r="A62" s="5" t="s">
        <v>98</v>
      </c>
      <c r="B62" s="6" t="s">
        <v>99</v>
      </c>
    </row>
    <row r="63" customFormat="false" ht="15" hidden="false" customHeight="false" outlineLevel="0" collapsed="false">
      <c r="A63" s="5" t="s">
        <v>100</v>
      </c>
      <c r="B63" s="7" t="s">
        <v>101</v>
      </c>
    </row>
    <row r="64" customFormat="false" ht="15" hidden="false" customHeight="false" outlineLevel="0" collapsed="false">
      <c r="A64" s="5" t="s">
        <v>102</v>
      </c>
      <c r="B64" s="7" t="s">
        <v>103</v>
      </c>
    </row>
    <row r="65" customFormat="false" ht="13.4" hidden="false" customHeight="false" outlineLevel="0" collapsed="false">
      <c r="A65" s="8" t="s">
        <v>104</v>
      </c>
      <c r="B65" s="7" t="s">
        <v>105</v>
      </c>
    </row>
    <row r="67" customFormat="false" ht="15" hidden="false" customHeight="false" outlineLevel="0" collapsed="false">
      <c r="A67" s="4" t="s">
        <v>106</v>
      </c>
    </row>
    <row r="68" customFormat="false" ht="15" hidden="false" customHeight="false" outlineLevel="0" collapsed="false">
      <c r="A68" s="5" t="s">
        <v>107</v>
      </c>
      <c r="B68" s="7" t="s">
        <v>108</v>
      </c>
    </row>
    <row r="69" customFormat="false" ht="13.4" hidden="false" customHeight="false" outlineLevel="0" collapsed="false">
      <c r="A69" s="8" t="s">
        <v>109</v>
      </c>
      <c r="B69" s="7" t="s">
        <v>110</v>
      </c>
    </row>
    <row r="70" customFormat="false" ht="13.4" hidden="false" customHeight="false" outlineLevel="0" collapsed="false">
      <c r="A70" s="8" t="s">
        <v>111</v>
      </c>
      <c r="B70" s="6" t="s">
        <v>112</v>
      </c>
    </row>
    <row r="71" customFormat="false" ht="15" hidden="false" customHeight="false" outlineLevel="0" collapsed="false">
      <c r="A71" s="5" t="s">
        <v>113</v>
      </c>
      <c r="B71" s="7" t="s">
        <v>114</v>
      </c>
    </row>
    <row r="72" customFormat="false" ht="15" hidden="false" customHeight="false" outlineLevel="0" collapsed="false">
      <c r="A72" s="5" t="s">
        <v>115</v>
      </c>
      <c r="B72" s="7" t="s">
        <v>116</v>
      </c>
    </row>
    <row r="74" customFormat="false" ht="15" hidden="false" customHeight="false" outlineLevel="0" collapsed="false">
      <c r="A74" s="4" t="s">
        <v>117</v>
      </c>
    </row>
    <row r="75" customFormat="false" ht="15" hidden="false" customHeight="false" outlineLevel="0" collapsed="false">
      <c r="A75" s="5" t="s">
        <v>118</v>
      </c>
      <c r="B75" s="7" t="s">
        <v>119</v>
      </c>
    </row>
    <row r="76" customFormat="false" ht="15" hidden="false" customHeight="false" outlineLevel="0" collapsed="false">
      <c r="A76" s="9"/>
      <c r="B76" s="7" t="s">
        <v>120</v>
      </c>
    </row>
    <row r="77" customFormat="false" ht="13.4" hidden="false" customHeight="false" outlineLevel="0" collapsed="false">
      <c r="A77" s="5" t="s">
        <v>121</v>
      </c>
      <c r="B77" s="7" t="s">
        <v>122</v>
      </c>
    </row>
    <row r="78" customFormat="false" ht="13.4" hidden="false" customHeight="false" outlineLevel="0" collapsed="false">
      <c r="A78" s="8" t="s">
        <v>123</v>
      </c>
      <c r="B78" s="7" t="s">
        <v>124</v>
      </c>
    </row>
    <row r="79" customFormat="false" ht="15" hidden="false" customHeight="false" outlineLevel="0" collapsed="false">
      <c r="A79" s="9"/>
      <c r="B79" s="6" t="s">
        <v>125</v>
      </c>
    </row>
    <row r="80" customFormat="false" ht="15" hidden="false" customHeight="false" outlineLevel="0" collapsed="false">
      <c r="A80" s="5" t="s">
        <v>126</v>
      </c>
      <c r="B80" s="7" t="s">
        <v>127</v>
      </c>
    </row>
    <row r="81" customFormat="false" ht="15" hidden="false" customHeight="false" outlineLevel="0" collapsed="false">
      <c r="A81" s="9"/>
      <c r="B81" s="7" t="s">
        <v>128</v>
      </c>
    </row>
    <row r="82" customFormat="false" ht="15" hidden="false" customHeight="false" outlineLevel="0" collapsed="false">
      <c r="A82" s="5" t="s">
        <v>129</v>
      </c>
      <c r="B82" s="7" t="s">
        <v>130</v>
      </c>
    </row>
    <row r="83" customFormat="false" ht="15" hidden="false" customHeight="false" outlineLevel="0" collapsed="false">
      <c r="A83" s="9"/>
      <c r="B83" s="7" t="s">
        <v>131</v>
      </c>
    </row>
    <row r="85" customFormat="false" ht="15" hidden="false" customHeight="false" outlineLevel="0" collapsed="false">
      <c r="A85" s="4" t="s">
        <v>132</v>
      </c>
    </row>
    <row r="86" customFormat="false" ht="15" hidden="false" customHeight="false" outlineLevel="0" collapsed="false">
      <c r="A86" s="5" t="s">
        <v>133</v>
      </c>
      <c r="B86" s="7" t="s">
        <v>134</v>
      </c>
    </row>
    <row r="87" customFormat="false" ht="15" hidden="false" customHeight="false" outlineLevel="0" collapsed="false">
      <c r="A87" s="5" t="s">
        <v>135</v>
      </c>
      <c r="B87" s="7" t="s">
        <v>136</v>
      </c>
    </row>
    <row r="88" customFormat="false" ht="15" hidden="false" customHeight="false" outlineLevel="0" collapsed="false">
      <c r="A88" s="5" t="s">
        <v>137</v>
      </c>
      <c r="B88" s="7" t="s">
        <v>138</v>
      </c>
    </row>
    <row r="89" customFormat="false" ht="15" hidden="false" customHeight="false" outlineLevel="0" collapsed="false">
      <c r="A89" s="5" t="s">
        <v>139</v>
      </c>
      <c r="B89" s="7" t="s">
        <v>140</v>
      </c>
    </row>
    <row r="90" customFormat="false" ht="15" hidden="false" customHeight="false" outlineLevel="0" collapsed="false">
      <c r="A90" s="5" t="s">
        <v>141</v>
      </c>
      <c r="B90" s="7" t="s">
        <v>142</v>
      </c>
    </row>
    <row r="91" customFormat="false" ht="15" hidden="false" customHeight="false" outlineLevel="0" collapsed="false">
      <c r="A91" s="5" t="s">
        <v>143</v>
      </c>
      <c r="B91" s="6" t="s">
        <v>144</v>
      </c>
    </row>
    <row r="92" customFormat="false" ht="15" hidden="false" customHeight="false" outlineLevel="0" collapsed="false">
      <c r="A92" s="5" t="s">
        <v>145</v>
      </c>
      <c r="B92" s="7" t="s">
        <v>146</v>
      </c>
    </row>
    <row r="93" customFormat="false" ht="15" hidden="false" customHeight="false" outlineLevel="0" collapsed="false">
      <c r="A93" s="5" t="s">
        <v>147</v>
      </c>
      <c r="B93" s="7" t="s">
        <v>148</v>
      </c>
    </row>
    <row r="94" customFormat="false" ht="13.4" hidden="false" customHeight="false" outlineLevel="0" collapsed="false">
      <c r="A94" s="5" t="s">
        <v>149</v>
      </c>
      <c r="B94" s="6" t="s">
        <v>150</v>
      </c>
    </row>
    <row r="95" customFormat="false" ht="15" hidden="false" customHeight="false" outlineLevel="0" collapsed="false">
      <c r="A95" s="5" t="s">
        <v>151</v>
      </c>
      <c r="B95" s="7" t="s">
        <v>152</v>
      </c>
    </row>
    <row r="96" customFormat="false" ht="15" hidden="false" customHeight="false" outlineLevel="0" collapsed="false">
      <c r="A96" s="5" t="s">
        <v>153</v>
      </c>
      <c r="B96" s="7" t="s">
        <v>154</v>
      </c>
    </row>
    <row r="97" customFormat="false" ht="15" hidden="false" customHeight="false" outlineLevel="0" collapsed="false">
      <c r="A97" s="5" t="s">
        <v>155</v>
      </c>
      <c r="B97" s="7" t="s">
        <v>156</v>
      </c>
    </row>
    <row r="98" customFormat="false" ht="15" hidden="false" customHeight="false" outlineLevel="0" collapsed="false">
      <c r="A98" s="5" t="s">
        <v>157</v>
      </c>
      <c r="B98" s="7" t="s">
        <v>158</v>
      </c>
    </row>
    <row r="100" customFormat="false" ht="15" hidden="false" customHeight="false" outlineLevel="0" collapsed="false">
      <c r="A100" s="4" t="s">
        <v>159</v>
      </c>
    </row>
    <row r="101" customFormat="false" ht="15" hidden="false" customHeight="false" outlineLevel="0" collapsed="false">
      <c r="A101" s="5" t="s">
        <v>160</v>
      </c>
      <c r="B101" s="7" t="s">
        <v>161</v>
      </c>
    </row>
    <row r="102" customFormat="false" ht="15" hidden="false" customHeight="false" outlineLevel="0" collapsed="false">
      <c r="A102" s="9"/>
      <c r="B102" s="7" t="s">
        <v>162</v>
      </c>
    </row>
    <row r="103" customFormat="false" ht="13.4" hidden="false" customHeight="false" outlineLevel="0" collapsed="false">
      <c r="A103" s="8" t="s">
        <v>163</v>
      </c>
      <c r="B103" s="7" t="s">
        <v>164</v>
      </c>
    </row>
    <row r="104" customFormat="false" ht="15" hidden="false" customHeight="false" outlineLevel="0" collapsed="false">
      <c r="A104" s="5" t="s">
        <v>165</v>
      </c>
      <c r="B104" s="7" t="s">
        <v>166</v>
      </c>
    </row>
    <row r="105" customFormat="false" ht="15" hidden="false" customHeight="false" outlineLevel="0" collapsed="false">
      <c r="A105" s="5" t="s">
        <v>167</v>
      </c>
      <c r="B105" s="7" t="s">
        <v>168</v>
      </c>
    </row>
    <row r="106" customFormat="false" ht="15" hidden="false" customHeight="false" outlineLevel="0" collapsed="false">
      <c r="A106" s="9"/>
      <c r="B106" s="7" t="s">
        <v>169</v>
      </c>
    </row>
    <row r="107" customFormat="false" ht="15" hidden="false" customHeight="false" outlineLevel="0" collapsed="false">
      <c r="A107" s="5" t="s">
        <v>170</v>
      </c>
      <c r="B107" s="7" t="s">
        <v>171</v>
      </c>
    </row>
    <row r="108" customFormat="false" ht="15" hidden="false" customHeight="false" outlineLevel="0" collapsed="false">
      <c r="A108" s="5" t="s">
        <v>172</v>
      </c>
      <c r="B108" s="7" t="s">
        <v>173</v>
      </c>
    </row>
    <row r="109" customFormat="false" ht="15" hidden="false" customHeight="false" outlineLevel="0" collapsed="false">
      <c r="A109" s="5" t="s">
        <v>174</v>
      </c>
      <c r="B109" s="7" t="s">
        <v>175</v>
      </c>
    </row>
    <row r="110" customFormat="false" ht="15" hidden="false" customHeight="false" outlineLevel="0" collapsed="false">
      <c r="A110" s="5" t="s">
        <v>176</v>
      </c>
      <c r="B110" s="7" t="s">
        <v>177</v>
      </c>
    </row>
    <row r="111" customFormat="false" ht="15" hidden="false" customHeight="false" outlineLevel="0" collapsed="false">
      <c r="A111" s="5" t="s">
        <v>178</v>
      </c>
      <c r="B111" s="7" t="s">
        <v>179</v>
      </c>
    </row>
    <row r="112" customFormat="false" ht="15" hidden="false" customHeight="false" outlineLevel="0" collapsed="false">
      <c r="A112" s="5" t="s">
        <v>180</v>
      </c>
      <c r="B112" s="7" t="s">
        <v>181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 collapsed="false" customWidth="true" hidden="false" outlineLevel="0" max="6" min="4" style="0" width="18"/>
  </cols>
  <sheetData>
    <row r="1" customFormat="false" ht="18.55" hidden="false" customHeight="false" outlineLevel="0" collapsed="false">
      <c r="A1" s="1" t="s">
        <v>182</v>
      </c>
    </row>
    <row r="2" customFormat="false" ht="15" hidden="false" customHeight="false" outlineLevel="0" collapsed="false">
      <c r="A2" s="3" t="s">
        <v>183</v>
      </c>
    </row>
    <row r="4" customFormat="false" ht="15" hidden="false" customHeight="false" outlineLevel="0" collapsed="false">
      <c r="A4" s="4" t="s">
        <v>184</v>
      </c>
    </row>
    <row r="5" customFormat="false" ht="15" hidden="false" customHeight="false" outlineLevel="0" collapsed="false">
      <c r="A5" s="5" t="s">
        <v>185</v>
      </c>
      <c r="B5" s="10" t="n">
        <v>2</v>
      </c>
      <c r="C5" s="11" t="s">
        <v>186</v>
      </c>
    </row>
    <row r="6" customFormat="false" ht="15" hidden="false" customHeight="false" outlineLevel="0" collapsed="false">
      <c r="A6" s="5" t="s">
        <v>187</v>
      </c>
      <c r="B6" s="10" t="n">
        <v>1</v>
      </c>
      <c r="C6" s="11" t="s">
        <v>188</v>
      </c>
    </row>
    <row r="7" customFormat="false" ht="15" hidden="false" customHeight="false" outlineLevel="0" collapsed="false">
      <c r="A7" s="5" t="s">
        <v>189</v>
      </c>
      <c r="B7" s="10" t="n">
        <v>1</v>
      </c>
      <c r="C7" s="11" t="s">
        <v>190</v>
      </c>
    </row>
    <row r="8" customFormat="false" ht="15" hidden="false" customHeight="false" outlineLevel="0" collapsed="false">
      <c r="A8" s="5" t="s">
        <v>191</v>
      </c>
      <c r="B8" s="10" t="n">
        <v>0</v>
      </c>
      <c r="C8" s="12" t="s">
        <v>192</v>
      </c>
    </row>
    <row r="9" customFormat="false" ht="15" hidden="false" customHeight="false" outlineLevel="0" collapsed="false">
      <c r="A9" s="5" t="s">
        <v>193</v>
      </c>
      <c r="B9" s="13" t="n">
        <v>0.0482920309178245</v>
      </c>
      <c r="C9" s="12" t="s">
        <v>194</v>
      </c>
    </row>
    <row r="10" customFormat="false" ht="15" hidden="false" customHeight="false" outlineLevel="0" collapsed="false">
      <c r="A10" s="5" t="s">
        <v>195</v>
      </c>
      <c r="B10" s="14" t="n">
        <v>2.03961163980484</v>
      </c>
      <c r="C10" s="11" t="s">
        <v>196</v>
      </c>
    </row>
    <row r="11" customFormat="false" ht="15" hidden="false" customHeight="false" outlineLevel="0" collapsed="false">
      <c r="A11" s="4" t="s">
        <v>197</v>
      </c>
    </row>
    <row r="12" customFormat="false" ht="15" hidden="false" customHeight="false" outlineLevel="0" collapsed="false">
      <c r="A12" s="5" t="s">
        <v>198</v>
      </c>
      <c r="B12" s="15" t="n">
        <v>358193925</v>
      </c>
      <c r="C12" s="12" t="s">
        <v>199</v>
      </c>
    </row>
    <row r="13" customFormat="false" ht="15" hidden="false" customHeight="false" outlineLevel="0" collapsed="false">
      <c r="A13" s="5" t="s">
        <v>200</v>
      </c>
      <c r="B13" s="16" t="n">
        <v>383342</v>
      </c>
      <c r="C13" s="12" t="s">
        <v>201</v>
      </c>
    </row>
    <row r="14" customFormat="false" ht="15" hidden="false" customHeight="false" outlineLevel="0" collapsed="false">
      <c r="A14" s="5" t="s">
        <v>202</v>
      </c>
      <c r="B14" s="10" t="n">
        <v>1</v>
      </c>
      <c r="C14" s="11" t="s">
        <v>203</v>
      </c>
    </row>
    <row r="15" customFormat="false" ht="15" hidden="false" customHeight="false" outlineLevel="0" collapsed="false">
      <c r="A15" s="5" t="s">
        <v>204</v>
      </c>
      <c r="C15" s="17" t="s">
        <v>205</v>
      </c>
      <c r="D15" s="17" t="s">
        <v>206</v>
      </c>
      <c r="E15" s="17" t="s">
        <v>207</v>
      </c>
      <c r="F15" s="17" t="s">
        <v>208</v>
      </c>
    </row>
    <row r="16" customFormat="false" ht="15" hidden="false" customHeight="false" outlineLevel="0" collapsed="false">
      <c r="A16" s="18" t="s">
        <v>209</v>
      </c>
      <c r="B16" s="19" t="s">
        <v>210</v>
      </c>
      <c r="C16" s="20" t="n">
        <v>0.11</v>
      </c>
      <c r="D16" s="20" t="n">
        <v>0.1248</v>
      </c>
      <c r="E16" s="20" t="n">
        <v>0.0583384622663273</v>
      </c>
      <c r="F16" s="13" t="n">
        <v>0.11</v>
      </c>
    </row>
    <row r="17" customFormat="false" ht="15" hidden="false" customHeight="false" outlineLevel="0" collapsed="false">
      <c r="A17" s="18" t="s">
        <v>211</v>
      </c>
      <c r="B17" s="19" t="s">
        <v>212</v>
      </c>
      <c r="C17" s="20" t="n">
        <v>0.13</v>
      </c>
      <c r="D17" s="20" t="n">
        <v>0.156</v>
      </c>
      <c r="E17" s="20" t="n">
        <v>0.0729230778329091</v>
      </c>
      <c r="F17" s="13" t="n">
        <v>0.13</v>
      </c>
    </row>
    <row r="18" customFormat="false" ht="15" hidden="false" customHeight="false" outlineLevel="0" collapsed="false">
      <c r="A18" s="18" t="s">
        <v>213</v>
      </c>
      <c r="B18" s="19" t="s">
        <v>214</v>
      </c>
      <c r="C18" s="20" t="n">
        <v>0.12</v>
      </c>
      <c r="D18" s="20" t="n">
        <v>0.12</v>
      </c>
      <c r="E18" s="20" t="n">
        <v>0.0560946752560839</v>
      </c>
      <c r="F18" s="13" t="n">
        <v>0.12</v>
      </c>
    </row>
    <row r="19" customFormat="false" ht="15" hidden="false" customHeight="false" outlineLevel="0" collapsed="false">
      <c r="A19" s="18" t="s">
        <v>215</v>
      </c>
      <c r="B19" s="19" t="s">
        <v>216</v>
      </c>
      <c r="C19" s="20" t="n">
        <v>0.09</v>
      </c>
      <c r="D19" s="20" t="n">
        <v>0.09</v>
      </c>
      <c r="E19" s="20" t="n">
        <v>0.0420710064420629</v>
      </c>
      <c r="F19" s="13" t="n">
        <v>0.09</v>
      </c>
    </row>
    <row r="20" customFormat="false" ht="15" hidden="false" customHeight="false" outlineLevel="0" collapsed="false">
      <c r="A20" s="18" t="s">
        <v>217</v>
      </c>
      <c r="B20" s="19" t="s">
        <v>218</v>
      </c>
      <c r="C20" s="20" t="n">
        <v>0.5</v>
      </c>
      <c r="D20" s="20" t="n">
        <v>0.5</v>
      </c>
      <c r="E20" s="20" t="n">
        <v>0.5</v>
      </c>
      <c r="F20" s="13" t="n">
        <v>0.5</v>
      </c>
    </row>
    <row r="21" customFormat="false" ht="15" hidden="false" customHeight="false" outlineLevel="0" collapsed="false">
      <c r="A21" s="3" t="s">
        <v>219</v>
      </c>
    </row>
    <row r="23" customFormat="false" ht="15" hidden="false" customHeight="false" outlineLevel="0" collapsed="false">
      <c r="A23" s="5" t="s">
        <v>220</v>
      </c>
      <c r="B23" s="21" t="n">
        <f aca="false">INDEX(C16:F16,前提・入力!$B$14)</f>
        <v>0.11</v>
      </c>
      <c r="C23" s="12" t="s">
        <v>221</v>
      </c>
    </row>
    <row r="24" customFormat="false" ht="15" hidden="false" customHeight="false" outlineLevel="0" collapsed="false">
      <c r="A24" s="5" t="s">
        <v>222</v>
      </c>
      <c r="B24" s="21" t="n">
        <f aca="false">INDEX(C17:F17,前提・入力!$B$14)</f>
        <v>0.13</v>
      </c>
      <c r="C24" s="12" t="s">
        <v>223</v>
      </c>
    </row>
    <row r="25" customFormat="false" ht="15" hidden="false" customHeight="false" outlineLevel="0" collapsed="false">
      <c r="A25" s="5" t="s">
        <v>224</v>
      </c>
      <c r="B25" s="21" t="n">
        <f aca="false">INDEX(C18:F18,前提・入力!$B$14)</f>
        <v>0.12</v>
      </c>
      <c r="C25" s="12" t="s">
        <v>225</v>
      </c>
    </row>
    <row r="26" customFormat="false" ht="15" hidden="false" customHeight="false" outlineLevel="0" collapsed="false">
      <c r="A26" s="5" t="s">
        <v>226</v>
      </c>
      <c r="B26" s="21" t="n">
        <f aca="false">INDEX(C19:F19,前提・入力!$B$14)</f>
        <v>0.09</v>
      </c>
      <c r="C26" s="12" t="s">
        <v>221</v>
      </c>
    </row>
    <row r="27" customFormat="false" ht="15" hidden="false" customHeight="false" outlineLevel="0" collapsed="false">
      <c r="A27" s="5" t="s">
        <v>227</v>
      </c>
      <c r="B27" s="21" t="n">
        <f aca="false">INDEX(C20:F20,前提・入力!$B$14)</f>
        <v>0.5</v>
      </c>
      <c r="C27" s="12" t="s">
        <v>228</v>
      </c>
    </row>
    <row r="28" customFormat="false" ht="15" hidden="false" customHeight="false" outlineLevel="0" collapsed="false">
      <c r="A28" s="5" t="s">
        <v>229</v>
      </c>
      <c r="B28" s="20"/>
      <c r="C28" s="12" t="s">
        <v>230</v>
      </c>
    </row>
    <row r="29" customFormat="false" ht="15" hidden="false" customHeight="false" outlineLevel="0" collapsed="false">
      <c r="A29" s="4" t="s">
        <v>231</v>
      </c>
    </row>
    <row r="30" customFormat="false" ht="15" hidden="false" customHeight="false" outlineLevel="0" collapsed="false">
      <c r="A30" s="8" t="s">
        <v>232</v>
      </c>
      <c r="B30" s="13" t="n">
        <v>0.187454649608991</v>
      </c>
      <c r="C30" s="12" t="s">
        <v>233</v>
      </c>
    </row>
    <row r="31" customFormat="false" ht="15" hidden="false" customHeight="false" outlineLevel="0" collapsed="false">
      <c r="A31" s="8" t="s">
        <v>234</v>
      </c>
      <c r="B31" s="15" t="n">
        <v>761</v>
      </c>
      <c r="C31" s="12" t="s">
        <v>235</v>
      </c>
    </row>
    <row r="32" customFormat="false" ht="15" hidden="false" customHeight="false" outlineLevel="0" collapsed="false">
      <c r="A32" s="5" t="s">
        <v>236</v>
      </c>
      <c r="B32" s="13" t="n">
        <v>0.5</v>
      </c>
      <c r="C32" s="12"/>
    </row>
    <row r="33" customFormat="false" ht="15" hidden="false" customHeight="false" outlineLevel="0" collapsed="false">
      <c r="A33" s="5" t="s">
        <v>237</v>
      </c>
      <c r="B33" s="13" t="n">
        <v>0.5</v>
      </c>
      <c r="C33" s="12" t="s">
        <v>238</v>
      </c>
    </row>
    <row r="34" customFormat="false" ht="15" hidden="false" customHeight="false" outlineLevel="0" collapsed="false">
      <c r="A34" s="4" t="s">
        <v>239</v>
      </c>
    </row>
    <row r="35" customFormat="false" ht="15" hidden="false" customHeight="false" outlineLevel="0" collapsed="false">
      <c r="A35" s="5" t="s">
        <v>240</v>
      </c>
      <c r="B35" s="13" t="n">
        <v>0.1</v>
      </c>
      <c r="C35" s="12" t="s">
        <v>241</v>
      </c>
    </row>
    <row r="36" customFormat="false" ht="15" hidden="false" customHeight="false" outlineLevel="0" collapsed="false">
      <c r="A36" s="5" t="s">
        <v>242</v>
      </c>
      <c r="B36" s="22" t="n">
        <v>274688</v>
      </c>
      <c r="C36" s="12" t="s">
        <v>243</v>
      </c>
    </row>
    <row r="37" customFormat="false" ht="15" hidden="false" customHeight="false" outlineLevel="0" collapsed="false">
      <c r="A37" s="5" t="s">
        <v>244</v>
      </c>
      <c r="B37" s="13" t="n">
        <v>1</v>
      </c>
      <c r="C37" s="12" t="s">
        <v>245</v>
      </c>
    </row>
    <row r="38" customFormat="false" ht="15" hidden="false" customHeight="false" outlineLevel="0" collapsed="false">
      <c r="A38" s="5" t="s">
        <v>246</v>
      </c>
      <c r="B38" s="23" t="n">
        <v>14</v>
      </c>
      <c r="C38" s="12" t="s">
        <v>247</v>
      </c>
    </row>
    <row r="39" customFormat="false" ht="15" hidden="false" customHeight="false" outlineLevel="0" collapsed="false">
      <c r="A39" s="5" t="s">
        <v>248</v>
      </c>
      <c r="B39" s="24" t="n">
        <v>46231</v>
      </c>
      <c r="C39" s="12" t="s">
        <v>249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250</v>
      </c>
    </row>
    <row r="2" customFormat="false" ht="15" hidden="false" customHeight="false" outlineLevel="0" collapsed="false">
      <c r="A2" s="3" t="s">
        <v>251</v>
      </c>
    </row>
    <row r="3" customFormat="false" ht="15" hidden="false" customHeight="false" outlineLevel="0" collapsed="false">
      <c r="A3" s="3" t="s">
        <v>252</v>
      </c>
    </row>
    <row r="6" customFormat="false" ht="45.75" hidden="false" customHeight="true" outlineLevel="0" collapsed="false">
      <c r="A6" s="25" t="s">
        <v>253</v>
      </c>
      <c r="B6" s="25" t="s">
        <v>254</v>
      </c>
      <c r="C6" s="26" t="s">
        <v>255</v>
      </c>
      <c r="D6" s="26" t="s">
        <v>256</v>
      </c>
      <c r="E6" s="27" t="s">
        <v>257</v>
      </c>
      <c r="F6" s="28" t="s">
        <v>258</v>
      </c>
      <c r="G6" s="28" t="s">
        <v>259</v>
      </c>
      <c r="H6" s="28" t="s">
        <v>260</v>
      </c>
      <c r="I6" s="29" t="s">
        <v>261</v>
      </c>
      <c r="J6" s="29" t="s">
        <v>262</v>
      </c>
      <c r="K6" s="29" t="s">
        <v>263</v>
      </c>
      <c r="L6" s="30" t="s">
        <v>264</v>
      </c>
      <c r="M6" s="30" t="s">
        <v>265</v>
      </c>
      <c r="N6" s="30" t="s">
        <v>266</v>
      </c>
      <c r="O6" s="17" t="s">
        <v>267</v>
      </c>
      <c r="P6" s="31" t="s">
        <v>268</v>
      </c>
      <c r="Q6" s="31" t="s">
        <v>269</v>
      </c>
      <c r="R6" s="31" t="s">
        <v>270</v>
      </c>
      <c r="S6" s="31" t="s">
        <v>271</v>
      </c>
      <c r="T6" s="31" t="s">
        <v>272</v>
      </c>
      <c r="U6" s="31" t="s">
        <v>273</v>
      </c>
      <c r="V6" s="31" t="s">
        <v>274</v>
      </c>
      <c r="W6" s="31" t="s">
        <v>275</v>
      </c>
    </row>
    <row r="7" customFormat="false" ht="15" hidden="false" customHeight="false" outlineLevel="0" collapsed="false">
      <c r="A7" s="32" t="n">
        <v>1</v>
      </c>
      <c r="B7" s="32" t="s">
        <v>276</v>
      </c>
      <c r="C7" s="33" t="s">
        <v>277</v>
      </c>
      <c r="D7" s="34" t="n">
        <v>500</v>
      </c>
      <c r="E7" s="35" t="n">
        <v>220</v>
      </c>
      <c r="F7" s="35" t="n">
        <v>681</v>
      </c>
      <c r="G7" s="35" t="n">
        <v>1316</v>
      </c>
      <c r="H7" s="36" t="n">
        <f aca="false">IF(F7=0,"",G7*(1+前提・入力!$B$9)/F7)</f>
        <v>2.02577432112754</v>
      </c>
      <c r="I7" s="35" t="n">
        <v>467</v>
      </c>
      <c r="J7" s="35" t="n">
        <v>987</v>
      </c>
      <c r="K7" s="36" t="n">
        <f aca="false">IF(I7=0,"",J7/I7)</f>
        <v>2.1134903640257</v>
      </c>
      <c r="L7" s="35" t="n">
        <v>1099</v>
      </c>
      <c r="M7" s="35" t="n">
        <v>2325</v>
      </c>
      <c r="N7" s="36" t="n">
        <f aca="false">IF(L7=0,"",M7/L7)</f>
        <v>2.11555959963603</v>
      </c>
      <c r="O7" s="36" t="n">
        <f aca="false">IFERROR((IF(N7="",0,N7*前提・入力!$B$5)+IF(K7="",0,K7*前提・入力!$B$6)+IF(H7="",0,H7*前提・入力!$B$7))/(IF(N7="",0,前提・入力!$B$5)+IF(K7="",0,前提・入力!$B$6)+IF(H7="",0,前提・入力!$B$7)),前提・入力!$B$10)</f>
        <v>2.09259597110633</v>
      </c>
      <c r="P7" s="35" t="n">
        <f aca="false">ROUND(E7*O7,0)</f>
        <v>460</v>
      </c>
      <c r="Q7" s="34" t="n">
        <f aca="false">P7*D7</f>
        <v>230000</v>
      </c>
      <c r="R7" s="37" t="n">
        <f aca="false">IFERROR(P7/P$49,0)</f>
        <v>0.0510884051532652</v>
      </c>
      <c r="S7" s="35" t="n">
        <v>1000</v>
      </c>
      <c r="T7" s="37" t="n">
        <f aca="false">IFERROR(P7/S7,0)</f>
        <v>0.46</v>
      </c>
      <c r="U7" s="35" t="n">
        <f aca="false">MAX(0,S7-P7)</f>
        <v>540</v>
      </c>
      <c r="V7" s="38" t="n">
        <f aca="false">P7-S7</f>
        <v>-540</v>
      </c>
      <c r="W7" s="39" t="str">
        <f aca="false">IF(V7&gt;0,"会期中に在庫切れ",IF(T7&gt;=0.9,"要注意(90%超)",IF(T7&gt;=0.5,"適正","在庫余剰")))</f>
        <v>在庫余剰</v>
      </c>
    </row>
    <row r="8" customFormat="false" ht="15" hidden="false" customHeight="false" outlineLevel="0" collapsed="false">
      <c r="A8" s="32" t="n">
        <v>2</v>
      </c>
      <c r="B8" s="32" t="s">
        <v>278</v>
      </c>
      <c r="C8" s="33" t="s">
        <v>279</v>
      </c>
      <c r="D8" s="34" t="n">
        <v>600</v>
      </c>
      <c r="E8" s="35" t="n">
        <v>246</v>
      </c>
      <c r="F8" s="35" t="n">
        <v>691</v>
      </c>
      <c r="G8" s="35" t="n">
        <v>1466</v>
      </c>
      <c r="H8" s="36" t="n">
        <f aca="false">IF(F8=0,"",G8*(1+前提・入力!$B$9)/F8)</f>
        <v>2.22401753592696</v>
      </c>
      <c r="I8" s="35" t="n">
        <v>419</v>
      </c>
      <c r="J8" s="35" t="n">
        <v>898</v>
      </c>
      <c r="K8" s="36" t="n">
        <f aca="false">IF(I8=0,"",J8/I8)</f>
        <v>2.14319809069212</v>
      </c>
      <c r="L8" s="35" t="n">
        <v>962</v>
      </c>
      <c r="M8" s="35" t="n">
        <v>1965</v>
      </c>
      <c r="N8" s="36" t="n">
        <f aca="false">IF(L8=0,"",M8/L8)</f>
        <v>2.04261954261954</v>
      </c>
      <c r="O8" s="36" t="n">
        <f aca="false">IFERROR((IF(N8="",0,N8*前提・入力!$B$5)+IF(K8="",0,K8*前提・入力!$B$6)+IF(H8="",0,H8*前提・入力!$B$7))/(IF(N8="",0,前提・入力!$B$5)+IF(K8="",0,前提・入力!$B$6)+IF(H8="",0,前提・入力!$B$7)),前提・入力!$B$10)</f>
        <v>2.11311367796454</v>
      </c>
      <c r="P8" s="35" t="n">
        <f aca="false">ROUND(E8*O8,0)</f>
        <v>520</v>
      </c>
      <c r="Q8" s="34" t="n">
        <f aca="false">P8*D8</f>
        <v>312000</v>
      </c>
      <c r="R8" s="37" t="n">
        <f aca="false">IFERROR(P8/P$49,0)</f>
        <v>0.0577521101732563</v>
      </c>
      <c r="S8" s="35" t="n">
        <v>1000</v>
      </c>
      <c r="T8" s="37" t="n">
        <f aca="false">IFERROR(P8/S8,0)</f>
        <v>0.52</v>
      </c>
      <c r="U8" s="35" t="n">
        <f aca="false">MAX(0,S8-P8)</f>
        <v>480</v>
      </c>
      <c r="V8" s="38" t="n">
        <f aca="false">P8-S8</f>
        <v>-480</v>
      </c>
      <c r="W8" s="39" t="str">
        <f aca="false">IF(V8&gt;0,"会期中に在庫切れ",IF(T8&gt;=0.9,"要注意(90%超)",IF(T8&gt;=0.5,"適正","在庫余剰")))</f>
        <v>適正</v>
      </c>
    </row>
    <row r="9" customFormat="false" ht="15" hidden="false" customHeight="false" outlineLevel="0" collapsed="false">
      <c r="A9" s="32" t="n">
        <v>3</v>
      </c>
      <c r="B9" s="32" t="s">
        <v>280</v>
      </c>
      <c r="C9" s="33" t="s">
        <v>281</v>
      </c>
      <c r="D9" s="34" t="n">
        <v>1000</v>
      </c>
      <c r="E9" s="35" t="n">
        <v>87</v>
      </c>
      <c r="F9" s="35" t="n">
        <v>389</v>
      </c>
      <c r="G9" s="35" t="n">
        <v>601</v>
      </c>
      <c r="H9" s="36" t="n">
        <f aca="false">IF(F9=0,"",G9*(1+前提・入力!$B$9)/F9)</f>
        <v>1.61959771357741</v>
      </c>
      <c r="I9" s="35" t="n">
        <v>185</v>
      </c>
      <c r="J9" s="35" t="n">
        <v>384</v>
      </c>
      <c r="K9" s="36" t="n">
        <f aca="false">IF(I9=0,"",J9/I9)</f>
        <v>2.07567567567568</v>
      </c>
      <c r="L9" s="35" t="n">
        <v>631</v>
      </c>
      <c r="M9" s="35" t="n">
        <v>1132</v>
      </c>
      <c r="N9" s="36" t="n">
        <f aca="false">IF(L9=0,"",M9/L9)</f>
        <v>1.79397781299525</v>
      </c>
      <c r="O9" s="36" t="n">
        <f aca="false">IFERROR((IF(N9="",0,N9*前提・入力!$B$5)+IF(K9="",0,K9*前提・入力!$B$6)+IF(H9="",0,H9*前提・入力!$B$7))/(IF(N9="",0,前提・入力!$B$5)+IF(K9="",0,前提・入力!$B$6)+IF(H9="",0,前提・入力!$B$7)),前提・入力!$B$10)</f>
        <v>1.82080725381089</v>
      </c>
      <c r="P9" s="35" t="n">
        <f aca="false">ROUND(E9*O9,0)</f>
        <v>158</v>
      </c>
      <c r="Q9" s="34" t="n">
        <f aca="false">P9*D9</f>
        <v>158000</v>
      </c>
      <c r="R9" s="37" t="n">
        <f aca="false">IFERROR(P9/P$49,0)</f>
        <v>0.0175477565526433</v>
      </c>
      <c r="S9" s="35" t="n">
        <v>450</v>
      </c>
      <c r="T9" s="37" t="n">
        <f aca="false">IFERROR(P9/S9,0)</f>
        <v>0.351111111111111</v>
      </c>
      <c r="U9" s="35" t="n">
        <f aca="false">MAX(0,S9-P9)</f>
        <v>292</v>
      </c>
      <c r="V9" s="38" t="n">
        <f aca="false">P9-S9</f>
        <v>-292</v>
      </c>
      <c r="W9" s="39" t="str">
        <f aca="false">IF(V9&gt;0,"会期中に在庫切れ",IF(T9&gt;=0.9,"要注意(90%超)",IF(T9&gt;=0.5,"適正","在庫余剰")))</f>
        <v>在庫余剰</v>
      </c>
    </row>
    <row r="10" customFormat="false" ht="15" hidden="false" customHeight="false" outlineLevel="0" collapsed="false">
      <c r="A10" s="32" t="n">
        <v>4</v>
      </c>
      <c r="B10" s="32" t="s">
        <v>282</v>
      </c>
      <c r="C10" s="33" t="s">
        <v>283</v>
      </c>
      <c r="D10" s="34" t="n">
        <v>1800</v>
      </c>
      <c r="E10" s="35" t="n">
        <v>127</v>
      </c>
      <c r="F10" s="35" t="n">
        <v>601</v>
      </c>
      <c r="G10" s="35" t="n">
        <v>922</v>
      </c>
      <c r="H10" s="36" t="n">
        <f aca="false">IF(F10=0,"",G10*(1+前提・入力!$B$9)/F10)</f>
        <v>1.60819509568425</v>
      </c>
      <c r="I10" s="35" t="n">
        <v>232</v>
      </c>
      <c r="J10" s="35" t="n">
        <v>442</v>
      </c>
      <c r="K10" s="36" t="n">
        <f aca="false">IF(I10=0,"",J10/I10)</f>
        <v>1.9051724137931</v>
      </c>
      <c r="L10" s="35" t="n">
        <v>705</v>
      </c>
      <c r="M10" s="35" t="n">
        <v>1310</v>
      </c>
      <c r="N10" s="36" t="n">
        <f aca="false">IF(L10=0,"",M10/L10)</f>
        <v>1.85815602836879</v>
      </c>
      <c r="O10" s="36" t="n">
        <f aca="false">IFERROR((IF(N10="",0,N10*前提・入力!$B$5)+IF(K10="",0,K10*前提・入力!$B$6)+IF(H10="",0,H10*前提・入力!$B$7))/(IF(N10="",0,前提・入力!$B$5)+IF(K10="",0,前提・入力!$B$6)+IF(H10="",0,前提・入力!$B$7)),前提・入力!$B$10)</f>
        <v>1.80741989155374</v>
      </c>
      <c r="P10" s="35" t="n">
        <f aca="false">ROUND(E10*O10,0)</f>
        <v>230</v>
      </c>
      <c r="Q10" s="34" t="n">
        <f aca="false">P10*D10</f>
        <v>414000</v>
      </c>
      <c r="R10" s="37" t="n">
        <f aca="false">IFERROR(P10/P$49,0)</f>
        <v>0.0255442025766326</v>
      </c>
      <c r="S10" s="35" t="n">
        <v>800</v>
      </c>
      <c r="T10" s="37" t="n">
        <f aca="false">IFERROR(P10/S10,0)</f>
        <v>0.2875</v>
      </c>
      <c r="U10" s="35" t="n">
        <f aca="false">MAX(0,S10-P10)</f>
        <v>570</v>
      </c>
      <c r="V10" s="38" t="n">
        <f aca="false">P10-S10</f>
        <v>-570</v>
      </c>
      <c r="W10" s="39" t="str">
        <f aca="false">IF(V10&gt;0,"会期中に在庫切れ",IF(T10&gt;=0.9,"要注意(90%超)",IF(T10&gt;=0.5,"適正","在庫余剰")))</f>
        <v>在庫余剰</v>
      </c>
    </row>
    <row r="11" customFormat="false" ht="15" hidden="false" customHeight="false" outlineLevel="0" collapsed="false">
      <c r="A11" s="32" t="n">
        <v>5</v>
      </c>
      <c r="B11" s="32" t="s">
        <v>284</v>
      </c>
      <c r="C11" s="33" t="s">
        <v>285</v>
      </c>
      <c r="D11" s="34" t="n">
        <v>600</v>
      </c>
      <c r="E11" s="35" t="n">
        <v>252</v>
      </c>
      <c r="F11" s="35" t="n">
        <v>5950</v>
      </c>
      <c r="G11" s="35" t="n">
        <v>10777</v>
      </c>
      <c r="H11" s="36" t="n">
        <f aca="false">IF(F11=0,"",G11*(1+前提・入力!$B$9)/F11)</f>
        <v>1.89872995247082</v>
      </c>
      <c r="I11" s="35" t="n">
        <v>2575</v>
      </c>
      <c r="J11" s="35" t="n">
        <v>6948</v>
      </c>
      <c r="K11" s="36" t="n">
        <f aca="false">IF(I11=0,"",J11/I11)</f>
        <v>2.69825242718447</v>
      </c>
      <c r="L11" s="35" t="n">
        <v>5207</v>
      </c>
      <c r="M11" s="35" t="n">
        <v>8936</v>
      </c>
      <c r="N11" s="36" t="n">
        <f aca="false">IF(L11=0,"",M11/L11)</f>
        <v>1.71615133474169</v>
      </c>
      <c r="O11" s="36" t="n">
        <f aca="false">IFERROR((IF(N11="",0,N11*前提・入力!$B$5)+IF(K11="",0,K11*前提・入力!$B$6)+IF(H11="",0,H11*前提・入力!$B$7))/(IF(N11="",0,前提・入力!$B$5)+IF(K11="",0,前提・入力!$B$6)+IF(H11="",0,前提・入力!$B$7)),前提・入力!$B$10)</f>
        <v>2.00732126228467</v>
      </c>
      <c r="P11" s="35" t="n">
        <f aca="false">ROUND(E11*O11,0)</f>
        <v>506</v>
      </c>
      <c r="Q11" s="34" t="n">
        <f aca="false">P11*D11</f>
        <v>303600</v>
      </c>
      <c r="R11" s="37" t="n">
        <f aca="false">IFERROR(P11/P$49,0)</f>
        <v>0.0561972456685917</v>
      </c>
      <c r="S11" s="35" t="n">
        <v>9000</v>
      </c>
      <c r="T11" s="37" t="n">
        <f aca="false">IFERROR(P11/S11,0)</f>
        <v>0.0562222222222222</v>
      </c>
      <c r="U11" s="35" t="n">
        <f aca="false">MAX(0,S11-P11)</f>
        <v>8494</v>
      </c>
      <c r="V11" s="38" t="n">
        <f aca="false">P11-S11</f>
        <v>-8494</v>
      </c>
      <c r="W11" s="39" t="str">
        <f aca="false">IF(V11&gt;0,"会期中に在庫切れ",IF(T11&gt;=0.9,"要注意(90%超)",IF(T11&gt;=0.5,"適正","在庫余剰")))</f>
        <v>在庫余剰</v>
      </c>
    </row>
    <row r="12" customFormat="false" ht="15" hidden="false" customHeight="false" outlineLevel="0" collapsed="false">
      <c r="A12" s="32" t="n">
        <v>6</v>
      </c>
      <c r="B12" s="32" t="s">
        <v>286</v>
      </c>
      <c r="C12" s="33" t="s">
        <v>287</v>
      </c>
      <c r="D12" s="34" t="n">
        <v>600</v>
      </c>
      <c r="E12" s="35" t="n">
        <v>641</v>
      </c>
      <c r="F12" s="35" t="n">
        <v>7819</v>
      </c>
      <c r="G12" s="35" t="n">
        <v>15602</v>
      </c>
      <c r="H12" s="36" t="n">
        <f aca="false">IF(F12=0,"",G12*(1+前提・入力!$B$9)/F12)</f>
        <v>2.09175754781684</v>
      </c>
      <c r="I12" s="35" t="n">
        <v>3293</v>
      </c>
      <c r="J12" s="35" t="n">
        <v>8314</v>
      </c>
      <c r="K12" s="36" t="n">
        <f aca="false">IF(I12=0,"",J12/I12)</f>
        <v>2.52474946856969</v>
      </c>
      <c r="L12" s="35" t="n">
        <v>8962</v>
      </c>
      <c r="M12" s="35" t="n">
        <v>18611</v>
      </c>
      <c r="N12" s="36" t="n">
        <f aca="false">IF(L12=0,"",M12/L12)</f>
        <v>2.0766569962062</v>
      </c>
      <c r="O12" s="36" t="n">
        <f aca="false">IFERROR((IF(N12="",0,N12*前提・入力!$B$5)+IF(K12="",0,K12*前提・入力!$B$6)+IF(H12="",0,H12*前提・入力!$B$7))/(IF(N12="",0,前提・入力!$B$5)+IF(K12="",0,前提・入力!$B$6)+IF(H12="",0,前提・入力!$B$7)),前提・入力!$B$10)</f>
        <v>2.19245525219974</v>
      </c>
      <c r="P12" s="35" t="n">
        <f aca="false">ROUND(E12*O12,0)</f>
        <v>1405</v>
      </c>
      <c r="Q12" s="34" t="n">
        <f aca="false">P12*D12</f>
        <v>843000</v>
      </c>
      <c r="R12" s="37" t="n">
        <f aca="false">IFERROR(P12/P$49,0)</f>
        <v>0.156041759218125</v>
      </c>
      <c r="S12" s="35" t="n">
        <v>13991</v>
      </c>
      <c r="T12" s="37" t="n">
        <f aca="false">IFERROR(P12/S12,0)</f>
        <v>0.10042169966407</v>
      </c>
      <c r="U12" s="35" t="n">
        <f aca="false">MAX(0,S12-P12)</f>
        <v>12586</v>
      </c>
      <c r="V12" s="38" t="n">
        <f aca="false">P12-S12</f>
        <v>-12586</v>
      </c>
      <c r="W12" s="39" t="str">
        <f aca="false">IF(V12&gt;0,"会期中に在庫切れ",IF(T12&gt;=0.9,"要注意(90%超)",IF(T12&gt;=0.5,"適正","在庫余剰")))</f>
        <v>在庫余剰</v>
      </c>
    </row>
    <row r="13" customFormat="false" ht="15" hidden="false" customHeight="false" outlineLevel="0" collapsed="false">
      <c r="A13" s="32" t="n">
        <v>7</v>
      </c>
      <c r="B13" s="32" t="s">
        <v>288</v>
      </c>
      <c r="C13" s="33" t="s">
        <v>289</v>
      </c>
      <c r="D13" s="34" t="n">
        <v>600</v>
      </c>
      <c r="E13" s="35" t="n">
        <v>93</v>
      </c>
      <c r="F13" s="35" t="n">
        <v>238</v>
      </c>
      <c r="G13" s="35" t="n">
        <v>520</v>
      </c>
      <c r="H13" s="36" t="n">
        <f aca="false">IF(F13=0,"",G13*(1+前提・入力!$B$9)/F13)</f>
        <v>2.29038594990449</v>
      </c>
      <c r="I13" s="35" t="n">
        <v>164</v>
      </c>
      <c r="J13" s="35" t="n">
        <v>349</v>
      </c>
      <c r="K13" s="36" t="n">
        <f aca="false">IF(I13=0,"",J13/I13)</f>
        <v>2.1280487804878</v>
      </c>
      <c r="L13" s="35" t="n">
        <v>473</v>
      </c>
      <c r="M13" s="35" t="n">
        <v>940</v>
      </c>
      <c r="N13" s="36" t="n">
        <f aca="false">IF(L13=0,"",M13/L13)</f>
        <v>1.98731501057082</v>
      </c>
      <c r="O13" s="36" t="n">
        <f aca="false">IFERROR((IF(N13="",0,N13*前提・入力!$B$5)+IF(K13="",0,K13*前提・入力!$B$6)+IF(H13="",0,H13*前提・入力!$B$7))/(IF(N13="",0,前提・入力!$B$5)+IF(K13="",0,前提・入力!$B$6)+IF(H13="",0,前提・入力!$B$7)),前提・入力!$B$10)</f>
        <v>2.09826618788349</v>
      </c>
      <c r="P13" s="35" t="n">
        <f aca="false">ROUND(E13*O13,0)</f>
        <v>195</v>
      </c>
      <c r="Q13" s="34" t="n">
        <f aca="false">P13*D13</f>
        <v>117000</v>
      </c>
      <c r="R13" s="37" t="n">
        <f aca="false">IFERROR(P13/P$49,0)</f>
        <v>0.0216570413149711</v>
      </c>
      <c r="S13" s="35" t="n">
        <v>350</v>
      </c>
      <c r="T13" s="37" t="n">
        <f aca="false">IFERROR(P13/S13,0)</f>
        <v>0.557142857142857</v>
      </c>
      <c r="U13" s="35" t="n">
        <f aca="false">MAX(0,S13-P13)</f>
        <v>155</v>
      </c>
      <c r="V13" s="38" t="n">
        <f aca="false">P13-S13</f>
        <v>-155</v>
      </c>
      <c r="W13" s="39" t="str">
        <f aca="false">IF(V13&gt;0,"会期中に在庫切れ",IF(T13&gt;=0.9,"要注意(90%超)",IF(T13&gt;=0.5,"適正","在庫余剰")))</f>
        <v>適正</v>
      </c>
    </row>
    <row r="14" customFormat="false" ht="15" hidden="false" customHeight="false" outlineLevel="0" collapsed="false">
      <c r="A14" s="32" t="n">
        <v>8</v>
      </c>
      <c r="B14" s="32" t="s">
        <v>290</v>
      </c>
      <c r="C14" s="33" t="s">
        <v>291</v>
      </c>
      <c r="D14" s="34" t="n">
        <v>600</v>
      </c>
      <c r="E14" s="35" t="n">
        <v>155</v>
      </c>
      <c r="F14" s="35" t="n">
        <v>500</v>
      </c>
      <c r="G14" s="35" t="n">
        <v>1107</v>
      </c>
      <c r="H14" s="36" t="n">
        <f aca="false">IF(F14=0,"",G14*(1+前提・入力!$B$9)/F14)</f>
        <v>2.32091855645206</v>
      </c>
      <c r="I14" s="35" t="n">
        <v>255</v>
      </c>
      <c r="J14" s="35" t="n">
        <v>608</v>
      </c>
      <c r="K14" s="36" t="n">
        <f aca="false">IF(I14=0,"",J14/I14)</f>
        <v>2.3843137254902</v>
      </c>
      <c r="L14" s="35" t="n">
        <v>838</v>
      </c>
      <c r="M14" s="35" t="n">
        <v>1758</v>
      </c>
      <c r="N14" s="36" t="n">
        <f aca="false">IF(L14=0,"",M14/L14)</f>
        <v>2.09785202863962</v>
      </c>
      <c r="O14" s="36" t="n">
        <f aca="false">IFERROR((IF(N14="",0,N14*前提・入力!$B$5)+IF(K14="",0,K14*前提・入力!$B$6)+IF(H14="",0,H14*前提・入力!$B$7))/(IF(N14="",0,前提・入力!$B$5)+IF(K14="",0,前提・入力!$B$6)+IF(H14="",0,前提・入力!$B$7)),前提・入力!$B$10)</f>
        <v>2.22523408480537</v>
      </c>
      <c r="P14" s="35" t="n">
        <f aca="false">ROUND(E14*O14,0)</f>
        <v>345</v>
      </c>
      <c r="Q14" s="34" t="n">
        <f aca="false">P14*D14</f>
        <v>207000</v>
      </c>
      <c r="R14" s="37" t="n">
        <f aca="false">IFERROR(P14/P$49,0)</f>
        <v>0.0383163038649489</v>
      </c>
      <c r="S14" s="35" t="n">
        <v>900</v>
      </c>
      <c r="T14" s="37" t="n">
        <f aca="false">IFERROR(P14/S14,0)</f>
        <v>0.383333333333333</v>
      </c>
      <c r="U14" s="35" t="n">
        <f aca="false">MAX(0,S14-P14)</f>
        <v>555</v>
      </c>
      <c r="V14" s="38" t="n">
        <f aca="false">P14-S14</f>
        <v>-555</v>
      </c>
      <c r="W14" s="39" t="str">
        <f aca="false">IF(V14&gt;0,"会期中に在庫切れ",IF(T14&gt;=0.9,"要注意(90%超)",IF(T14&gt;=0.5,"適正","在庫余剰")))</f>
        <v>在庫余剰</v>
      </c>
    </row>
    <row r="15" customFormat="false" ht="15" hidden="false" customHeight="false" outlineLevel="0" collapsed="false">
      <c r="A15" s="32" t="n">
        <v>9</v>
      </c>
      <c r="B15" s="32" t="s">
        <v>292</v>
      </c>
      <c r="C15" s="33" t="s">
        <v>293</v>
      </c>
      <c r="D15" s="34" t="n">
        <v>600</v>
      </c>
      <c r="E15" s="35" t="n">
        <v>80</v>
      </c>
      <c r="F15" s="35" t="n">
        <v>208</v>
      </c>
      <c r="G15" s="35" t="n">
        <v>313</v>
      </c>
      <c r="H15" s="36" t="n">
        <f aca="false">IF(F15=0,"",G15*(1+前提・入力!$B$9)/F15)</f>
        <v>1.57747791191</v>
      </c>
      <c r="I15" s="35" t="n">
        <v>161</v>
      </c>
      <c r="J15" s="35" t="n">
        <v>265</v>
      </c>
      <c r="K15" s="36" t="n">
        <f aca="false">IF(I15=0,"",J15/I15)</f>
        <v>1.64596273291925</v>
      </c>
      <c r="L15" s="35" t="n">
        <v>433</v>
      </c>
      <c r="M15" s="35" t="n">
        <v>743</v>
      </c>
      <c r="N15" s="36" t="n">
        <f aca="false">IF(L15=0,"",M15/L15)</f>
        <v>1.71593533487298</v>
      </c>
      <c r="O15" s="36" t="n">
        <f aca="false">IFERROR((IF(N15="",0,N15*前提・入力!$B$5)+IF(K15="",0,K15*前提・入力!$B$6)+IF(H15="",0,H15*前提・入力!$B$7))/(IF(N15="",0,前提・入力!$B$5)+IF(K15="",0,前提・入力!$B$6)+IF(H15="",0,前提・入力!$B$7)),前提・入力!$B$10)</f>
        <v>1.6638278286438</v>
      </c>
      <c r="P15" s="35" t="n">
        <f aca="false">ROUND(E15*O15,0)</f>
        <v>133</v>
      </c>
      <c r="Q15" s="34" t="n">
        <f aca="false">P15*D15</f>
        <v>79800</v>
      </c>
      <c r="R15" s="37" t="n">
        <f aca="false">IFERROR(P15/P$49,0)</f>
        <v>0.0147712127943136</v>
      </c>
      <c r="S15" s="35" t="n">
        <v>300</v>
      </c>
      <c r="T15" s="37" t="n">
        <f aca="false">IFERROR(P15/S15,0)</f>
        <v>0.443333333333333</v>
      </c>
      <c r="U15" s="35" t="n">
        <f aca="false">MAX(0,S15-P15)</f>
        <v>167</v>
      </c>
      <c r="V15" s="38" t="n">
        <f aca="false">P15-S15</f>
        <v>-167</v>
      </c>
      <c r="W15" s="39" t="str">
        <f aca="false">IF(V15&gt;0,"会期中に在庫切れ",IF(T15&gt;=0.9,"要注意(90%超)",IF(T15&gt;=0.5,"適正","在庫余剰")))</f>
        <v>在庫余剰</v>
      </c>
    </row>
    <row r="16" customFormat="false" ht="15" hidden="false" customHeight="false" outlineLevel="0" collapsed="false">
      <c r="A16" s="32" t="n">
        <v>10</v>
      </c>
      <c r="B16" s="32" t="s">
        <v>294</v>
      </c>
      <c r="C16" s="33" t="s">
        <v>295</v>
      </c>
      <c r="D16" s="34" t="n">
        <v>600</v>
      </c>
      <c r="E16" s="35" t="n">
        <v>32</v>
      </c>
      <c r="F16" s="35" t="n">
        <v>80</v>
      </c>
      <c r="G16" s="35" t="n">
        <v>141</v>
      </c>
      <c r="H16" s="36" t="n">
        <f aca="false">IF(F16=0,"",G16*(1+前提・入力!$B$9)/F16)</f>
        <v>1.84761470449267</v>
      </c>
      <c r="I16" s="35" t="n">
        <v>69</v>
      </c>
      <c r="J16" s="35" t="n">
        <v>108</v>
      </c>
      <c r="K16" s="36" t="n">
        <f aca="false">IF(I16=0,"",J16/I16)</f>
        <v>1.56521739130435</v>
      </c>
      <c r="L16" s="35" t="n">
        <v>159</v>
      </c>
      <c r="M16" s="35" t="n">
        <v>277</v>
      </c>
      <c r="N16" s="36" t="n">
        <f aca="false">IF(L16=0,"",M16/L16)</f>
        <v>1.74213836477987</v>
      </c>
      <c r="O16" s="36" t="n">
        <f aca="false">IFERROR((IF(N16="",0,N16*前提・入力!$B$5)+IF(K16="",0,K16*前提・入力!$B$6)+IF(H16="",0,H16*前提・入力!$B$7))/(IF(N16="",0,前提・入力!$B$5)+IF(K16="",0,前提・入力!$B$6)+IF(H16="",0,前提・入力!$B$7)),前提・入力!$B$10)</f>
        <v>1.72427720633919</v>
      </c>
      <c r="P16" s="35" t="n">
        <f aca="false">ROUND(E16*O16,0)</f>
        <v>55</v>
      </c>
      <c r="Q16" s="34" t="n">
        <f aca="false">P16*D16</f>
        <v>33000</v>
      </c>
      <c r="R16" s="37" t="n">
        <f aca="false">IFERROR(P16/P$49,0)</f>
        <v>0.00610839626832519</v>
      </c>
      <c r="S16" s="35" t="n">
        <v>100</v>
      </c>
      <c r="T16" s="37" t="n">
        <f aca="false">IFERROR(P16/S16,0)</f>
        <v>0.55</v>
      </c>
      <c r="U16" s="35" t="n">
        <f aca="false">MAX(0,S16-P16)</f>
        <v>45</v>
      </c>
      <c r="V16" s="38" t="n">
        <f aca="false">P16-S16</f>
        <v>-45</v>
      </c>
      <c r="W16" s="39" t="str">
        <f aca="false">IF(V16&gt;0,"会期中に在庫切れ",IF(T16&gt;=0.9,"要注意(90%超)",IF(T16&gt;=0.5,"適正","在庫余剰")))</f>
        <v>適正</v>
      </c>
    </row>
    <row r="17" customFormat="false" ht="15" hidden="false" customHeight="false" outlineLevel="0" collapsed="false">
      <c r="A17" s="32" t="n">
        <v>11</v>
      </c>
      <c r="B17" s="32" t="s">
        <v>296</v>
      </c>
      <c r="C17" s="33" t="s">
        <v>297</v>
      </c>
      <c r="D17" s="34" t="n">
        <v>600</v>
      </c>
      <c r="E17" s="35" t="n">
        <v>9</v>
      </c>
      <c r="F17" s="35" t="n">
        <v>8</v>
      </c>
      <c r="G17" s="35" t="n">
        <v>37</v>
      </c>
      <c r="H17" s="36" t="n">
        <f aca="false">IF(F17=0,"",G17*(1+前提・入力!$B$9)/F17)</f>
        <v>4.84835064299494</v>
      </c>
      <c r="I17" s="35" t="n">
        <v>12</v>
      </c>
      <c r="J17" s="35" t="n">
        <v>30</v>
      </c>
      <c r="K17" s="36" t="n">
        <f aca="false">IF(I17=0,"",J17/I17)</f>
        <v>2.5</v>
      </c>
      <c r="L17" s="35" t="n">
        <v>30</v>
      </c>
      <c r="M17" s="35" t="n">
        <v>78</v>
      </c>
      <c r="N17" s="36" t="n">
        <f aca="false">IF(L17=0,"",M17/L17)</f>
        <v>2.6</v>
      </c>
      <c r="O17" s="36" t="n">
        <f aca="false">IFERROR((IF(N17="",0,N17*前提・入力!$B$5)+IF(K17="",0,K17*前提・入力!$B$6)+IF(H17="",0,H17*前提・入力!$B$7))/(IF(N17="",0,前提・入力!$B$5)+IF(K17="",0,前提・入力!$B$6)+IF(H17="",0,前提・入力!$B$7)),前提・入力!$B$10)</f>
        <v>3.13708766074873</v>
      </c>
      <c r="P17" s="35" t="n">
        <f aca="false">ROUND(E17*O17,0)</f>
        <v>28</v>
      </c>
      <c r="Q17" s="34" t="n">
        <f aca="false">P17*D17</f>
        <v>16800</v>
      </c>
      <c r="R17" s="37" t="n">
        <f aca="false">IFERROR(P17/P$49,0)</f>
        <v>0.00310972900932919</v>
      </c>
      <c r="S17" s="35" t="n">
        <v>50</v>
      </c>
      <c r="T17" s="37" t="n">
        <f aca="false">IFERROR(P17/S17,0)</f>
        <v>0.56</v>
      </c>
      <c r="U17" s="35" t="n">
        <f aca="false">MAX(0,S17-P17)</f>
        <v>22</v>
      </c>
      <c r="V17" s="38" t="n">
        <f aca="false">P17-S17</f>
        <v>-22</v>
      </c>
      <c r="W17" s="39" t="str">
        <f aca="false">IF(V17&gt;0,"会期中に在庫切れ",IF(T17&gt;=0.9,"要注意(90%超)",IF(T17&gt;=0.5,"適正","在庫余剰")))</f>
        <v>適正</v>
      </c>
    </row>
    <row r="18" customFormat="false" ht="15" hidden="false" customHeight="false" outlineLevel="0" collapsed="false">
      <c r="A18" s="32" t="n">
        <v>12</v>
      </c>
      <c r="B18" s="32" t="s">
        <v>298</v>
      </c>
      <c r="C18" s="33" t="s">
        <v>299</v>
      </c>
      <c r="D18" s="34" t="n">
        <v>600</v>
      </c>
      <c r="E18" s="35" t="n">
        <v>16</v>
      </c>
      <c r="F18" s="35" t="n">
        <v>35</v>
      </c>
      <c r="G18" s="35" t="n">
        <v>58</v>
      </c>
      <c r="H18" s="36" t="n">
        <f aca="false">IF(F18=0,"",G18*(1+前提・入力!$B$9)/F18)</f>
        <v>1.73716965123525</v>
      </c>
      <c r="I18" s="35" t="n">
        <v>16</v>
      </c>
      <c r="J18" s="35" t="n">
        <v>43</v>
      </c>
      <c r="K18" s="36" t="n">
        <f aca="false">IF(I18=0,"",J18/I18)</f>
        <v>2.6875</v>
      </c>
      <c r="L18" s="35" t="n">
        <v>65</v>
      </c>
      <c r="M18" s="35" t="n">
        <v>142</v>
      </c>
      <c r="N18" s="36" t="n">
        <f aca="false">IF(L18=0,"",M18/L18)</f>
        <v>2.18461538461538</v>
      </c>
      <c r="O18" s="36" t="n">
        <f aca="false">IFERROR((IF(N18="",0,N18*前提・入力!$B$5)+IF(K18="",0,K18*前提・入力!$B$6)+IF(H18="",0,H18*前提・入力!$B$7))/(IF(N18="",0,前提・入力!$B$5)+IF(K18="",0,前提・入力!$B$6)+IF(H18="",0,前提・入力!$B$7)),前提・入力!$B$10)</f>
        <v>2.19847510511651</v>
      </c>
      <c r="P18" s="35" t="n">
        <f aca="false">ROUND(E18*O18,0)</f>
        <v>35</v>
      </c>
      <c r="Q18" s="34" t="n">
        <f aca="false">P18*D18</f>
        <v>21000</v>
      </c>
      <c r="R18" s="37" t="n">
        <f aca="false">IFERROR(P18/P$49,0)</f>
        <v>0.00388716126166148</v>
      </c>
      <c r="S18" s="35" t="n">
        <v>50</v>
      </c>
      <c r="T18" s="37" t="n">
        <f aca="false">IFERROR(P18/S18,0)</f>
        <v>0.7</v>
      </c>
      <c r="U18" s="35" t="n">
        <f aca="false">MAX(0,S18-P18)</f>
        <v>15</v>
      </c>
      <c r="V18" s="38" t="n">
        <f aca="false">P18-S18</f>
        <v>-15</v>
      </c>
      <c r="W18" s="39" t="str">
        <f aca="false">IF(V18&gt;0,"会期中に在庫切れ",IF(T18&gt;=0.9,"要注意(90%超)",IF(T18&gt;=0.5,"適正","在庫余剰")))</f>
        <v>適正</v>
      </c>
    </row>
    <row r="19" customFormat="false" ht="15" hidden="false" customHeight="false" outlineLevel="0" collapsed="false">
      <c r="A19" s="32" t="n">
        <v>13</v>
      </c>
      <c r="B19" s="32" t="s">
        <v>300</v>
      </c>
      <c r="C19" s="33" t="s">
        <v>301</v>
      </c>
      <c r="D19" s="34" t="n">
        <v>600</v>
      </c>
      <c r="E19" s="35" t="n">
        <v>3</v>
      </c>
      <c r="F19" s="35" t="n">
        <v>6</v>
      </c>
      <c r="G19" s="35" t="n">
        <v>16</v>
      </c>
      <c r="H19" s="36" t="n">
        <f aca="false">IF(F19=0,"",G19*(1+前提・入力!$B$9)/F19)</f>
        <v>2.79544541578087</v>
      </c>
      <c r="I19" s="35" t="n">
        <v>6</v>
      </c>
      <c r="J19" s="35" t="n">
        <v>18</v>
      </c>
      <c r="K19" s="36" t="n">
        <f aca="false">IF(I19=0,"",J19/I19)</f>
        <v>3</v>
      </c>
      <c r="L19" s="35" t="n">
        <v>23</v>
      </c>
      <c r="M19" s="35" t="n">
        <v>43</v>
      </c>
      <c r="N19" s="36" t="n">
        <f aca="false">IF(L19=0,"",M19/L19)</f>
        <v>1.8695652173913</v>
      </c>
      <c r="O19" s="36" t="n">
        <f aca="false">IFERROR((IF(N19="",0,N19*前提・入力!$B$5)+IF(K19="",0,K19*前提・入力!$B$6)+IF(H19="",0,H19*前提・入力!$B$7))/(IF(N19="",0,前提・入力!$B$5)+IF(K19="",0,前提・入力!$B$6)+IF(H19="",0,前提・入力!$B$7)),前提・入力!$B$10)</f>
        <v>2.38364396264087</v>
      </c>
      <c r="P19" s="35" t="n">
        <f aca="false">ROUND(E19*O19,0)</f>
        <v>7</v>
      </c>
      <c r="Q19" s="34" t="n">
        <f aca="false">P19*D19</f>
        <v>4200</v>
      </c>
      <c r="R19" s="37" t="n">
        <f aca="false">IFERROR(P19/P$49,0)</f>
        <v>0.000777432252332297</v>
      </c>
      <c r="S19" s="35" t="n">
        <v>50</v>
      </c>
      <c r="T19" s="37" t="n">
        <f aca="false">IFERROR(P19/S19,0)</f>
        <v>0.14</v>
      </c>
      <c r="U19" s="35" t="n">
        <f aca="false">MAX(0,S19-P19)</f>
        <v>43</v>
      </c>
      <c r="V19" s="38" t="n">
        <f aca="false">P19-S19</f>
        <v>-43</v>
      </c>
      <c r="W19" s="39" t="str">
        <f aca="false">IF(V19&gt;0,"会期中に在庫切れ",IF(T19&gt;=0.9,"要注意(90%超)",IF(T19&gt;=0.5,"適正","在庫余剰")))</f>
        <v>在庫余剰</v>
      </c>
    </row>
    <row r="20" customFormat="false" ht="15" hidden="false" customHeight="false" outlineLevel="0" collapsed="false">
      <c r="A20" s="32" t="n">
        <v>14</v>
      </c>
      <c r="B20" s="32" t="s">
        <v>302</v>
      </c>
      <c r="C20" s="33" t="s">
        <v>303</v>
      </c>
      <c r="D20" s="34" t="n">
        <v>600</v>
      </c>
      <c r="E20" s="35" t="n">
        <v>18</v>
      </c>
      <c r="F20" s="35" t="n">
        <v>40</v>
      </c>
      <c r="G20" s="35" t="n">
        <v>73</v>
      </c>
      <c r="H20" s="36" t="n">
        <f aca="false">IF(F20=0,"",G20*(1+前提・入力!$B$9)/F20)</f>
        <v>1.91313295642503</v>
      </c>
      <c r="I20" s="35" t="n">
        <v>34</v>
      </c>
      <c r="J20" s="35" t="n">
        <v>62</v>
      </c>
      <c r="K20" s="36" t="n">
        <f aca="false">IF(I20=0,"",J20/I20)</f>
        <v>1.82352941176471</v>
      </c>
      <c r="L20" s="35" t="n">
        <v>68</v>
      </c>
      <c r="M20" s="35" t="n">
        <v>146</v>
      </c>
      <c r="N20" s="36" t="n">
        <f aca="false">IF(L20=0,"",M20/L20)</f>
        <v>2.14705882352941</v>
      </c>
      <c r="O20" s="36" t="n">
        <f aca="false">IFERROR((IF(N20="",0,N20*前提・入力!$B$5)+IF(K20="",0,K20*前提・入力!$B$6)+IF(H20="",0,H20*前提・入力!$B$7))/(IF(N20="",0,前提・入力!$B$5)+IF(K20="",0,前提・入力!$B$6)+IF(H20="",0,前提・入力!$B$7)),前提・入力!$B$10)</f>
        <v>2.00769500381214</v>
      </c>
      <c r="P20" s="35" t="n">
        <f aca="false">ROUND(E20*O20,0)</f>
        <v>36</v>
      </c>
      <c r="Q20" s="34" t="n">
        <f aca="false">P20*D20</f>
        <v>21600</v>
      </c>
      <c r="R20" s="37" t="n">
        <f aca="false">IFERROR(P20/P$49,0)</f>
        <v>0.00399822301199467</v>
      </c>
      <c r="S20" s="35" t="n">
        <v>50</v>
      </c>
      <c r="T20" s="37" t="n">
        <f aca="false">IFERROR(P20/S20,0)</f>
        <v>0.72</v>
      </c>
      <c r="U20" s="35" t="n">
        <f aca="false">MAX(0,S20-P20)</f>
        <v>14</v>
      </c>
      <c r="V20" s="38" t="n">
        <f aca="false">P20-S20</f>
        <v>-14</v>
      </c>
      <c r="W20" s="39" t="str">
        <f aca="false">IF(V20&gt;0,"会期中に在庫切れ",IF(T20&gt;=0.9,"要注意(90%超)",IF(T20&gt;=0.5,"適正","在庫余剰")))</f>
        <v>適正</v>
      </c>
    </row>
    <row r="21" customFormat="false" ht="15" hidden="false" customHeight="false" outlineLevel="0" collapsed="false">
      <c r="A21" s="32" t="n">
        <v>15</v>
      </c>
      <c r="B21" s="32" t="s">
        <v>304</v>
      </c>
      <c r="C21" s="33" t="s">
        <v>305</v>
      </c>
      <c r="D21" s="34" t="n">
        <v>600</v>
      </c>
      <c r="E21" s="35" t="n">
        <v>29</v>
      </c>
      <c r="F21" s="35" t="n">
        <v>51</v>
      </c>
      <c r="G21" s="35" t="n">
        <v>100</v>
      </c>
      <c r="H21" s="36" t="n">
        <f aca="false">IF(F21=0,"",G21*(1+前提・入力!$B$9)/F21)</f>
        <v>2.05547457042711</v>
      </c>
      <c r="I21" s="35" t="n">
        <v>38</v>
      </c>
      <c r="J21" s="35" t="n">
        <v>91</v>
      </c>
      <c r="K21" s="36" t="n">
        <f aca="false">IF(I21=0,"",J21/I21)</f>
        <v>2.39473684210526</v>
      </c>
      <c r="L21" s="35" t="n">
        <v>102</v>
      </c>
      <c r="M21" s="35" t="n">
        <v>198</v>
      </c>
      <c r="N21" s="36" t="n">
        <f aca="false">IF(L21=0,"",M21/L21)</f>
        <v>1.94117647058824</v>
      </c>
      <c r="O21" s="36" t="n">
        <f aca="false">IFERROR((IF(N21="",0,N21*前提・入力!$B$5)+IF(K21="",0,K21*前提・入力!$B$6)+IF(H21="",0,H21*前提・入力!$B$7))/(IF(N21="",0,前提・入力!$B$5)+IF(K21="",0,前提・入力!$B$6)+IF(H21="",0,前提・入力!$B$7)),前提・入力!$B$10)</f>
        <v>2.08314108842721</v>
      </c>
      <c r="P21" s="35" t="n">
        <f aca="false">ROUND(E21*O21,0)</f>
        <v>60</v>
      </c>
      <c r="Q21" s="34" t="n">
        <f aca="false">P21*D21</f>
        <v>36000</v>
      </c>
      <c r="R21" s="37" t="n">
        <f aca="false">IFERROR(P21/P$49,0)</f>
        <v>0.00666370501999112</v>
      </c>
      <c r="S21" s="35" t="n">
        <v>100</v>
      </c>
      <c r="T21" s="37" t="n">
        <f aca="false">IFERROR(P21/S21,0)</f>
        <v>0.6</v>
      </c>
      <c r="U21" s="35" t="n">
        <f aca="false">MAX(0,S21-P21)</f>
        <v>40</v>
      </c>
      <c r="V21" s="38" t="n">
        <f aca="false">P21-S21</f>
        <v>-40</v>
      </c>
      <c r="W21" s="39" t="str">
        <f aca="false">IF(V21&gt;0,"会期中に在庫切れ",IF(T21&gt;=0.9,"要注意(90%超)",IF(T21&gt;=0.5,"適正","在庫余剰")))</f>
        <v>適正</v>
      </c>
    </row>
    <row r="22" customFormat="false" ht="15" hidden="false" customHeight="false" outlineLevel="0" collapsed="false">
      <c r="A22" s="32" t="n">
        <v>16</v>
      </c>
      <c r="B22" s="32" t="s">
        <v>306</v>
      </c>
      <c r="C22" s="33" t="s">
        <v>307</v>
      </c>
      <c r="D22" s="34" t="n">
        <v>600</v>
      </c>
      <c r="E22" s="35" t="n">
        <v>5</v>
      </c>
      <c r="F22" s="35" t="n">
        <v>14</v>
      </c>
      <c r="G22" s="35" t="n">
        <v>38</v>
      </c>
      <c r="H22" s="36" t="n">
        <f aca="false">IF(F22=0,"",G22*(1+前提・入力!$B$9)/F22)</f>
        <v>2.84536408391981</v>
      </c>
      <c r="I22" s="35" t="n">
        <v>10</v>
      </c>
      <c r="J22" s="35" t="n">
        <v>26</v>
      </c>
      <c r="K22" s="36" t="n">
        <f aca="false">IF(I22=0,"",J22/I22)</f>
        <v>2.6</v>
      </c>
      <c r="L22" s="35" t="n">
        <v>28</v>
      </c>
      <c r="M22" s="35" t="n">
        <v>65</v>
      </c>
      <c r="N22" s="36" t="n">
        <f aca="false">IF(L22=0,"",M22/L22)</f>
        <v>2.32142857142857</v>
      </c>
      <c r="O22" s="36" t="n">
        <f aca="false">IFERROR((IF(N22="",0,N22*前提・入力!$B$5)+IF(K22="",0,K22*前提・入力!$B$6)+IF(H22="",0,H22*前提・入力!$B$7))/(IF(N22="",0,前提・入力!$B$5)+IF(K22="",0,前提・入力!$B$6)+IF(H22="",0,前提・入力!$B$7)),前提・入力!$B$10)</f>
        <v>2.52205530669424</v>
      </c>
      <c r="P22" s="35" t="n">
        <f aca="false">ROUND(E22*O22,0)</f>
        <v>13</v>
      </c>
      <c r="Q22" s="34" t="n">
        <f aca="false">P22*D22</f>
        <v>7800</v>
      </c>
      <c r="R22" s="37" t="n">
        <f aca="false">IFERROR(P22/P$49,0)</f>
        <v>0.00144380275433141</v>
      </c>
      <c r="S22" s="35" t="n">
        <v>50</v>
      </c>
      <c r="T22" s="37" t="n">
        <f aca="false">IFERROR(P22/S22,0)</f>
        <v>0.26</v>
      </c>
      <c r="U22" s="35" t="n">
        <f aca="false">MAX(0,S22-P22)</f>
        <v>37</v>
      </c>
      <c r="V22" s="38" t="n">
        <f aca="false">P22-S22</f>
        <v>-37</v>
      </c>
      <c r="W22" s="39" t="str">
        <f aca="false">IF(V22&gt;0,"会期中に在庫切れ",IF(T22&gt;=0.9,"要注意(90%超)",IF(T22&gt;=0.5,"適正","在庫余剰")))</f>
        <v>在庫余剰</v>
      </c>
    </row>
    <row r="23" customFormat="false" ht="15" hidden="false" customHeight="false" outlineLevel="0" collapsed="false">
      <c r="A23" s="32" t="n">
        <v>17</v>
      </c>
      <c r="B23" s="32" t="s">
        <v>308</v>
      </c>
      <c r="C23" s="33" t="s">
        <v>309</v>
      </c>
      <c r="D23" s="34" t="n">
        <v>600</v>
      </c>
      <c r="E23" s="35" t="n">
        <v>46</v>
      </c>
      <c r="F23" s="35" t="n">
        <v>66</v>
      </c>
      <c r="G23" s="35" t="n">
        <v>124</v>
      </c>
      <c r="H23" s="36" t="n">
        <f aca="false">IF(F23=0,"",G23*(1+前提・入力!$B$9)/F23)</f>
        <v>1.96951836111834</v>
      </c>
      <c r="I23" s="35" t="n">
        <v>46</v>
      </c>
      <c r="J23" s="35" t="n">
        <v>94</v>
      </c>
      <c r="K23" s="36" t="n">
        <f aca="false">IF(I23=0,"",J23/I23)</f>
        <v>2.04347826086957</v>
      </c>
      <c r="L23" s="35" t="n">
        <v>108</v>
      </c>
      <c r="M23" s="35" t="n">
        <v>261</v>
      </c>
      <c r="N23" s="36" t="n">
        <f aca="false">IF(L23=0,"",M23/L23)</f>
        <v>2.41666666666667</v>
      </c>
      <c r="O23" s="36" t="n">
        <f aca="false">IFERROR((IF(N23="",0,N23*前提・入力!$B$5)+IF(K23="",0,K23*前提・入力!$B$6)+IF(H23="",0,H23*前提・入力!$B$7))/(IF(N23="",0,前提・入力!$B$5)+IF(K23="",0,前提・入力!$B$6)+IF(H23="",0,前提・入力!$B$7)),前提・入力!$B$10)</f>
        <v>2.21158248883031</v>
      </c>
      <c r="P23" s="35" t="n">
        <f aca="false">ROUND(E23*O23,0)</f>
        <v>102</v>
      </c>
      <c r="Q23" s="34" t="n">
        <f aca="false">P23*D23</f>
        <v>61200</v>
      </c>
      <c r="R23" s="37" t="n">
        <f aca="false">IFERROR(P23/P$49,0)</f>
        <v>0.0113282985339849</v>
      </c>
      <c r="S23" s="35" t="n">
        <v>100</v>
      </c>
      <c r="T23" s="37" t="n">
        <f aca="false">IFERROR(P23/S23,0)</f>
        <v>1.02</v>
      </c>
      <c r="U23" s="35" t="n">
        <f aca="false">MAX(0,S23-P23)</f>
        <v>0</v>
      </c>
      <c r="V23" s="38" t="n">
        <f aca="false">P23-S23</f>
        <v>2</v>
      </c>
      <c r="W23" s="39" t="str">
        <f aca="false">IF(V23&gt;0,"会期中に在庫切れ",IF(T23&gt;=0.9,"要注意(90%超)",IF(T23&gt;=0.5,"適正","在庫余剰")))</f>
        <v>会期中に在庫切れ</v>
      </c>
    </row>
    <row r="24" customFormat="false" ht="15" hidden="false" customHeight="false" outlineLevel="0" collapsed="false">
      <c r="A24" s="32" t="n">
        <v>18</v>
      </c>
      <c r="B24" s="32" t="s">
        <v>310</v>
      </c>
      <c r="C24" s="33" t="s">
        <v>311</v>
      </c>
      <c r="D24" s="34" t="n">
        <v>600</v>
      </c>
      <c r="E24" s="35" t="n">
        <v>237</v>
      </c>
      <c r="F24" s="35" t="n">
        <v>692</v>
      </c>
      <c r="G24" s="35" t="n">
        <v>1187</v>
      </c>
      <c r="H24" s="36" t="n">
        <f aca="false">IF(F24=0,"",G24*(1+前提・入力!$B$9)/F24)</f>
        <v>1.79815410505702</v>
      </c>
      <c r="I24" s="35" t="n">
        <v>442</v>
      </c>
      <c r="J24" s="35" t="n">
        <v>743</v>
      </c>
      <c r="K24" s="36" t="n">
        <f aca="false">IF(I24=0,"",J24/I24)</f>
        <v>1.68099547511312</v>
      </c>
      <c r="L24" s="35" t="n">
        <v>1092</v>
      </c>
      <c r="M24" s="35" t="n">
        <v>2021</v>
      </c>
      <c r="N24" s="36" t="n">
        <f aca="false">IF(L24=0,"",M24/L24)</f>
        <v>1.8507326007326</v>
      </c>
      <c r="O24" s="36" t="n">
        <f aca="false">IFERROR((IF(N24="",0,N24*前提・入力!$B$5)+IF(K24="",0,K24*前提・入力!$B$6)+IF(H24="",0,H24*前提・入力!$B$7))/(IF(N24="",0,前提・入力!$B$5)+IF(K24="",0,前提・入力!$B$6)+IF(H24="",0,前提・入力!$B$7)),前提・入力!$B$10)</f>
        <v>1.79515369540884</v>
      </c>
      <c r="P24" s="35" t="n">
        <f aca="false">ROUND(E24*O24,0)</f>
        <v>425</v>
      </c>
      <c r="Q24" s="34" t="n">
        <f aca="false">P24*D24</f>
        <v>255000</v>
      </c>
      <c r="R24" s="37" t="n">
        <f aca="false">IFERROR(P24/P$49,0)</f>
        <v>0.0472012438916037</v>
      </c>
      <c r="S24" s="35" t="n">
        <v>1500</v>
      </c>
      <c r="T24" s="37" t="n">
        <f aca="false">IFERROR(P24/S24,0)</f>
        <v>0.283333333333333</v>
      </c>
      <c r="U24" s="35" t="n">
        <f aca="false">MAX(0,S24-P24)</f>
        <v>1075</v>
      </c>
      <c r="V24" s="38" t="n">
        <f aca="false">P24-S24</f>
        <v>-1075</v>
      </c>
      <c r="W24" s="39" t="str">
        <f aca="false">IF(V24&gt;0,"会期中に在庫切れ",IF(T24&gt;=0.9,"要注意(90%超)",IF(T24&gt;=0.5,"適正","在庫余剰")))</f>
        <v>在庫余剰</v>
      </c>
    </row>
    <row r="25" customFormat="false" ht="15" hidden="false" customHeight="false" outlineLevel="0" collapsed="false">
      <c r="A25" s="32" t="n">
        <v>19</v>
      </c>
      <c r="B25" s="32" t="s">
        <v>312</v>
      </c>
      <c r="C25" s="33" t="s">
        <v>313</v>
      </c>
      <c r="D25" s="34" t="n">
        <v>600</v>
      </c>
      <c r="E25" s="35" t="n">
        <v>8</v>
      </c>
      <c r="F25" s="35" t="n">
        <v>19</v>
      </c>
      <c r="G25" s="35" t="n">
        <v>27</v>
      </c>
      <c r="H25" s="36" t="n">
        <f aca="false">IF(F25=0,"",G25*(1+前提・入力!$B$9)/F25)</f>
        <v>1.48967814919901</v>
      </c>
      <c r="I25" s="35" t="n">
        <v>9</v>
      </c>
      <c r="J25" s="35" t="n">
        <v>19</v>
      </c>
      <c r="K25" s="36" t="n">
        <f aca="false">IF(I25=0,"",J25/I25)</f>
        <v>2.11111111111111</v>
      </c>
      <c r="L25" s="35" t="n">
        <v>24</v>
      </c>
      <c r="M25" s="35" t="n">
        <v>45</v>
      </c>
      <c r="N25" s="36" t="n">
        <f aca="false">IF(L25=0,"",M25/L25)</f>
        <v>1.875</v>
      </c>
      <c r="O25" s="36" t="n">
        <f aca="false">IFERROR((IF(N25="",0,N25*前提・入力!$B$5)+IF(K25="",0,K25*前提・入力!$B$6)+IF(H25="",0,H25*前提・入力!$B$7))/(IF(N25="",0,前提・入力!$B$5)+IF(K25="",0,前提・入力!$B$6)+IF(H25="",0,前提・入力!$B$7)),前提・入力!$B$10)</f>
        <v>1.83769731507753</v>
      </c>
      <c r="P25" s="35" t="n">
        <f aca="false">ROUND(E25*O25,0)</f>
        <v>15</v>
      </c>
      <c r="Q25" s="34" t="n">
        <f aca="false">P25*D25</f>
        <v>9000</v>
      </c>
      <c r="R25" s="37" t="n">
        <f aca="false">IFERROR(P25/P$49,0)</f>
        <v>0.00166592625499778</v>
      </c>
      <c r="S25" s="35" t="n">
        <v>50</v>
      </c>
      <c r="T25" s="37" t="n">
        <f aca="false">IFERROR(P25/S25,0)</f>
        <v>0.3</v>
      </c>
      <c r="U25" s="35" t="n">
        <f aca="false">MAX(0,S25-P25)</f>
        <v>35</v>
      </c>
      <c r="V25" s="38" t="n">
        <f aca="false">P25-S25</f>
        <v>-35</v>
      </c>
      <c r="W25" s="39" t="str">
        <f aca="false">IF(V25&gt;0,"会期中に在庫切れ",IF(T25&gt;=0.9,"要注意(90%超)",IF(T25&gt;=0.5,"適正","在庫余剰")))</f>
        <v>在庫余剰</v>
      </c>
    </row>
    <row r="26" customFormat="false" ht="15" hidden="false" customHeight="false" outlineLevel="0" collapsed="false">
      <c r="A26" s="32" t="n">
        <v>20</v>
      </c>
      <c r="B26" s="32" t="s">
        <v>314</v>
      </c>
      <c r="C26" s="33" t="s">
        <v>315</v>
      </c>
      <c r="D26" s="34" t="n">
        <v>600</v>
      </c>
      <c r="E26" s="35" t="n">
        <v>7</v>
      </c>
      <c r="F26" s="35" t="n">
        <v>10</v>
      </c>
      <c r="G26" s="35" t="n">
        <v>23</v>
      </c>
      <c r="H26" s="36" t="n">
        <f aca="false">IF(F26=0,"",G26*(1+前提・入力!$B$9)/F26)</f>
        <v>2.411071671111</v>
      </c>
      <c r="I26" s="35" t="n">
        <v>8</v>
      </c>
      <c r="J26" s="35" t="n">
        <v>15</v>
      </c>
      <c r="K26" s="36" t="n">
        <f aca="false">IF(I26=0,"",J26/I26)</f>
        <v>1.875</v>
      </c>
      <c r="L26" s="35" t="n">
        <v>16</v>
      </c>
      <c r="M26" s="35" t="n">
        <v>42</v>
      </c>
      <c r="N26" s="36" t="n">
        <f aca="false">IF(L26=0,"",M26/L26)</f>
        <v>2.625</v>
      </c>
      <c r="O26" s="36" t="n">
        <f aca="false">IFERROR((IF(N26="",0,N26*前提・入力!$B$5)+IF(K26="",0,K26*前提・入力!$B$6)+IF(H26="",0,H26*前提・入力!$B$7))/(IF(N26="",0,前提・入力!$B$5)+IF(K26="",0,前提・入力!$B$6)+IF(H26="",0,前提・入力!$B$7)),前提・入力!$B$10)</f>
        <v>2.38401791777775</v>
      </c>
      <c r="P26" s="35" t="n">
        <f aca="false">ROUND(E26*O26,0)</f>
        <v>17</v>
      </c>
      <c r="Q26" s="34" t="n">
        <f aca="false">P26*D26</f>
        <v>10200</v>
      </c>
      <c r="R26" s="37" t="n">
        <f aca="false">IFERROR(P26/P$49,0)</f>
        <v>0.00188804975566415</v>
      </c>
      <c r="S26" s="35" t="n">
        <v>30</v>
      </c>
      <c r="T26" s="37" t="n">
        <f aca="false">IFERROR(P26/S26,0)</f>
        <v>0.566666666666667</v>
      </c>
      <c r="U26" s="35" t="n">
        <f aca="false">MAX(0,S26-P26)</f>
        <v>13</v>
      </c>
      <c r="V26" s="38" t="n">
        <f aca="false">P26-S26</f>
        <v>-13</v>
      </c>
      <c r="W26" s="39" t="str">
        <f aca="false">IF(V26&gt;0,"会期中に在庫切れ",IF(T26&gt;=0.9,"要注意(90%超)",IF(T26&gt;=0.5,"適正","在庫余剰")))</f>
        <v>適正</v>
      </c>
    </row>
    <row r="27" customFormat="false" ht="15" hidden="false" customHeight="false" outlineLevel="0" collapsed="false">
      <c r="A27" s="32" t="n">
        <v>21</v>
      </c>
      <c r="B27" s="32" t="s">
        <v>316</v>
      </c>
      <c r="C27" s="33" t="s">
        <v>317</v>
      </c>
      <c r="D27" s="34" t="n">
        <v>600</v>
      </c>
      <c r="E27" s="35" t="n">
        <v>43</v>
      </c>
      <c r="F27" s="35" t="n">
        <v>83</v>
      </c>
      <c r="G27" s="35" t="n">
        <v>139</v>
      </c>
      <c r="H27" s="36" t="n">
        <f aca="false">IF(F27=0,"",G27*(1+前提・入力!$B$9)/F27)</f>
        <v>1.75557340117563</v>
      </c>
      <c r="I27" s="35" t="n">
        <v>69</v>
      </c>
      <c r="J27" s="35" t="n">
        <v>139</v>
      </c>
      <c r="K27" s="36" t="n">
        <f aca="false">IF(I27=0,"",J27/I27)</f>
        <v>2.01449275362319</v>
      </c>
      <c r="L27" s="35" t="n">
        <v>108</v>
      </c>
      <c r="M27" s="35" t="n">
        <v>252</v>
      </c>
      <c r="N27" s="36" t="n">
        <f aca="false">IF(L27=0,"",M27/L27)</f>
        <v>2.33333333333333</v>
      </c>
      <c r="O27" s="36" t="n">
        <f aca="false">IFERROR((IF(N27="",0,N27*前提・入力!$B$5)+IF(K27="",0,K27*前提・入力!$B$6)+IF(H27="",0,H27*前提・入力!$B$7))/(IF(N27="",0,前提・入力!$B$5)+IF(K27="",0,前提・入力!$B$6)+IF(H27="",0,前提・入力!$B$7)),前提・入力!$B$10)</f>
        <v>2.10918320536637</v>
      </c>
      <c r="P27" s="35" t="n">
        <f aca="false">ROUND(E27*O27,0)</f>
        <v>91</v>
      </c>
      <c r="Q27" s="34" t="n">
        <f aca="false">P27*D27</f>
        <v>54600</v>
      </c>
      <c r="R27" s="37" t="n">
        <f aca="false">IFERROR(P27/P$49,0)</f>
        <v>0.0101066192803199</v>
      </c>
      <c r="S27" s="35" t="n">
        <v>50</v>
      </c>
      <c r="T27" s="37" t="n">
        <f aca="false">IFERROR(P27/S27,0)</f>
        <v>1.82</v>
      </c>
      <c r="U27" s="35" t="n">
        <f aca="false">MAX(0,S27-P27)</f>
        <v>0</v>
      </c>
      <c r="V27" s="38" t="n">
        <f aca="false">P27-S27</f>
        <v>41</v>
      </c>
      <c r="W27" s="39" t="str">
        <f aca="false">IF(V27&gt;0,"会期中に在庫切れ",IF(T27&gt;=0.9,"要注意(90%超)",IF(T27&gt;=0.5,"適正","在庫余剰")))</f>
        <v>会期中に在庫切れ</v>
      </c>
    </row>
    <row r="28" customFormat="false" ht="15" hidden="false" customHeight="false" outlineLevel="0" collapsed="false">
      <c r="A28" s="32" t="n">
        <v>22</v>
      </c>
      <c r="B28" s="32" t="s">
        <v>318</v>
      </c>
      <c r="C28" s="33" t="s">
        <v>319</v>
      </c>
      <c r="D28" s="34" t="n">
        <v>600</v>
      </c>
      <c r="E28" s="35" t="n">
        <v>20</v>
      </c>
      <c r="F28" s="35" t="n">
        <v>39</v>
      </c>
      <c r="G28" s="35" t="n">
        <v>99</v>
      </c>
      <c r="H28" s="36" t="n">
        <f aca="false">IF(F28=0,"",G28*(1+前提・入力!$B$9)/F28)</f>
        <v>2.66104900156063</v>
      </c>
      <c r="I28" s="35" t="n">
        <v>21</v>
      </c>
      <c r="J28" s="35" t="n">
        <v>77</v>
      </c>
      <c r="K28" s="36" t="n">
        <f aca="false">IF(I28=0,"",J28/I28)</f>
        <v>3.66666666666667</v>
      </c>
      <c r="L28" s="35" t="n">
        <v>69</v>
      </c>
      <c r="M28" s="35" t="n">
        <v>171</v>
      </c>
      <c r="N28" s="36" t="n">
        <f aca="false">IF(L28=0,"",M28/L28)</f>
        <v>2.47826086956522</v>
      </c>
      <c r="O28" s="36" t="n">
        <f aca="false">IFERROR((IF(N28="",0,N28*前提・入力!$B$5)+IF(K28="",0,K28*前提・入力!$B$6)+IF(H28="",0,H28*前提・入力!$B$7))/(IF(N28="",0,前提・入力!$B$5)+IF(K28="",0,前提・入力!$B$6)+IF(H28="",0,前提・入力!$B$7)),前提・入力!$B$10)</f>
        <v>2.82105935183943</v>
      </c>
      <c r="P28" s="35" t="n">
        <f aca="false">ROUND(E28*O28,0)</f>
        <v>56</v>
      </c>
      <c r="Q28" s="34" t="n">
        <f aca="false">P28*D28</f>
        <v>33600</v>
      </c>
      <c r="R28" s="37" t="n">
        <f aca="false">IFERROR(P28/P$49,0)</f>
        <v>0.00621945801865837</v>
      </c>
      <c r="S28" s="35" t="n">
        <v>50</v>
      </c>
      <c r="T28" s="37" t="n">
        <f aca="false">IFERROR(P28/S28,0)</f>
        <v>1.12</v>
      </c>
      <c r="U28" s="35" t="n">
        <f aca="false">MAX(0,S28-P28)</f>
        <v>0</v>
      </c>
      <c r="V28" s="38" t="n">
        <f aca="false">P28-S28</f>
        <v>6</v>
      </c>
      <c r="W28" s="39" t="str">
        <f aca="false">IF(V28&gt;0,"会期中に在庫切れ",IF(T28&gt;=0.9,"要注意(90%超)",IF(T28&gt;=0.5,"適正","在庫余剰")))</f>
        <v>会期中に在庫切れ</v>
      </c>
    </row>
    <row r="29" customFormat="false" ht="15" hidden="false" customHeight="false" outlineLevel="0" collapsed="false">
      <c r="A29" s="32" t="n">
        <v>23</v>
      </c>
      <c r="B29" s="32" t="s">
        <v>320</v>
      </c>
      <c r="C29" s="33" t="s">
        <v>321</v>
      </c>
      <c r="D29" s="34" t="n">
        <v>600</v>
      </c>
      <c r="E29" s="35" t="n">
        <v>1095</v>
      </c>
      <c r="F29" s="35" t="n">
        <v>7184</v>
      </c>
      <c r="G29" s="35" t="n">
        <v>13583</v>
      </c>
      <c r="H29" s="36" t="n">
        <f aca="false">IF(F29=0,"",G29*(1+前提・入力!$B$9)/F29)</f>
        <v>1.9820365612412</v>
      </c>
      <c r="I29" s="35" t="n">
        <v>2993</v>
      </c>
      <c r="J29" s="35" t="n">
        <v>6933</v>
      </c>
      <c r="K29" s="36" t="n">
        <f aca="false">IF(I29=0,"",J29/I29)</f>
        <v>2.31640494487137</v>
      </c>
      <c r="L29" s="35" t="n">
        <v>6856</v>
      </c>
      <c r="M29" s="35" t="n">
        <v>12724</v>
      </c>
      <c r="N29" s="36" t="n">
        <f aca="false">IF(L29=0,"",M29/L29)</f>
        <v>1.8558926487748</v>
      </c>
      <c r="O29" s="36" t="n">
        <f aca="false">IFERROR((IF(N29="",0,N29*前提・入力!$B$5)+IF(K29="",0,K29*前提・入力!$B$6)+IF(H29="",0,H29*前提・入力!$B$7))/(IF(N29="",0,前提・入力!$B$5)+IF(K29="",0,前提・入力!$B$6)+IF(H29="",0,前提・入力!$B$7)),前提・入力!$B$10)</f>
        <v>2.00255670091554</v>
      </c>
      <c r="P29" s="35" t="n">
        <f aca="false">ROUND(E29*O29,0)</f>
        <v>2193</v>
      </c>
      <c r="Q29" s="34" t="n">
        <f aca="false">P29*D29</f>
        <v>1315800</v>
      </c>
      <c r="R29" s="37" t="n">
        <f aca="false">IFERROR(P29/P$49,0)</f>
        <v>0.243558418480675</v>
      </c>
      <c r="S29" s="35" t="n">
        <v>11000</v>
      </c>
      <c r="T29" s="37" t="n">
        <f aca="false">IFERROR(P29/S29,0)</f>
        <v>0.199363636363636</v>
      </c>
      <c r="U29" s="35" t="n">
        <f aca="false">MAX(0,S29-P29)</f>
        <v>8807</v>
      </c>
      <c r="V29" s="38" t="n">
        <f aca="false">P29-S29</f>
        <v>-8807</v>
      </c>
      <c r="W29" s="39" t="str">
        <f aca="false">IF(V29&gt;0,"会期中に在庫切れ",IF(T29&gt;=0.9,"要注意(90%超)",IF(T29&gt;=0.5,"適正","在庫余剰")))</f>
        <v>在庫余剰</v>
      </c>
    </row>
    <row r="30" customFormat="false" ht="15" hidden="false" customHeight="false" outlineLevel="0" collapsed="false">
      <c r="A30" s="32" t="n">
        <v>24</v>
      </c>
      <c r="B30" s="32" t="s">
        <v>322</v>
      </c>
      <c r="C30" s="33" t="s">
        <v>323</v>
      </c>
      <c r="D30" s="34" t="n">
        <v>600</v>
      </c>
      <c r="E30" s="35" t="n">
        <v>591</v>
      </c>
      <c r="F30" s="35" t="n">
        <v>4824</v>
      </c>
      <c r="G30" s="35" t="n">
        <v>8213</v>
      </c>
      <c r="H30" s="36" t="n">
        <f aca="false">IF(F30=0,"",G30*(1+前提・入力!$B$9)/F30)</f>
        <v>1.78474760570649</v>
      </c>
      <c r="I30" s="35" t="n">
        <v>1703</v>
      </c>
      <c r="J30" s="35" t="n">
        <v>4202</v>
      </c>
      <c r="K30" s="36" t="n">
        <f aca="false">IF(I30=0,"",J30/I30)</f>
        <v>2.46741045214328</v>
      </c>
      <c r="L30" s="35" t="n">
        <v>3636</v>
      </c>
      <c r="M30" s="35" t="n">
        <v>6978</v>
      </c>
      <c r="N30" s="36" t="n">
        <f aca="false">IF(L30=0,"",M30/L30)</f>
        <v>1.91914191419142</v>
      </c>
      <c r="O30" s="36" t="n">
        <f aca="false">IFERROR((IF(N30="",0,N30*前提・入力!$B$5)+IF(K30="",0,K30*前提・入力!$B$6)+IF(H30="",0,H30*前提・入力!$B$7))/(IF(N30="",0,前提・入力!$B$5)+IF(K30="",0,前提・入力!$B$6)+IF(H30="",0,前提・入力!$B$7)),前提・入力!$B$10)</f>
        <v>2.02261047155815</v>
      </c>
      <c r="P30" s="35" t="n">
        <f aca="false">ROUND(E30*O30,0)</f>
        <v>1195</v>
      </c>
      <c r="Q30" s="34" t="n">
        <f aca="false">P30*D30</f>
        <v>717000</v>
      </c>
      <c r="R30" s="37" t="n">
        <f aca="false">IFERROR(P30/P$49,0)</f>
        <v>0.132718791648156</v>
      </c>
      <c r="S30" s="35" t="n">
        <v>8000</v>
      </c>
      <c r="T30" s="37" t="n">
        <f aca="false">IFERROR(P30/S30,0)</f>
        <v>0.149375</v>
      </c>
      <c r="U30" s="35" t="n">
        <f aca="false">MAX(0,S30-P30)</f>
        <v>6805</v>
      </c>
      <c r="V30" s="38" t="n">
        <f aca="false">P30-S30</f>
        <v>-6805</v>
      </c>
      <c r="W30" s="39" t="str">
        <f aca="false">IF(V30&gt;0,"会期中に在庫切れ",IF(T30&gt;=0.9,"要注意(90%超)",IF(T30&gt;=0.5,"適正","在庫余剰")))</f>
        <v>在庫余剰</v>
      </c>
    </row>
    <row r="31" customFormat="false" ht="15" hidden="false" customHeight="false" outlineLevel="0" collapsed="false">
      <c r="A31" s="32" t="n">
        <v>25</v>
      </c>
      <c r="B31" s="32" t="s">
        <v>324</v>
      </c>
      <c r="C31" s="33" t="s">
        <v>325</v>
      </c>
      <c r="D31" s="34" t="n">
        <v>1500</v>
      </c>
      <c r="E31" s="35" t="n">
        <v>20</v>
      </c>
      <c r="F31" s="35" t="n">
        <v>108</v>
      </c>
      <c r="G31" s="35" t="n">
        <v>221</v>
      </c>
      <c r="H31" s="36" t="n">
        <f aca="false">IF(F31=0,"",G31*(1+前提・入力!$B$9)/F31)</f>
        <v>2.14511610030407</v>
      </c>
      <c r="I31" s="35" t="n">
        <v>61</v>
      </c>
      <c r="J31" s="35" t="n">
        <v>140</v>
      </c>
      <c r="K31" s="36" t="n">
        <f aca="false">IF(I31=0,"",J31/I31)</f>
        <v>2.29508196721311</v>
      </c>
      <c r="L31" s="35" t="n">
        <v>115</v>
      </c>
      <c r="M31" s="35" t="n">
        <v>243</v>
      </c>
      <c r="N31" s="36" t="n">
        <f aca="false">IF(L31=0,"",M31/L31)</f>
        <v>2.11304347826087</v>
      </c>
      <c r="O31" s="36" t="n">
        <f aca="false">IFERROR((IF(N31="",0,N31*前提・入力!$B$5)+IF(K31="",0,K31*前提・入力!$B$6)+IF(H31="",0,H31*前提・入力!$B$7))/(IF(N31="",0,前提・入力!$B$5)+IF(K31="",0,前提・入力!$B$6)+IF(H31="",0,前提・入力!$B$7)),前提・入力!$B$10)</f>
        <v>2.16657125600973</v>
      </c>
      <c r="P31" s="35" t="n">
        <f aca="false">ROUND(E31*O31,0)</f>
        <v>43</v>
      </c>
      <c r="Q31" s="34" t="n">
        <f aca="false">P31*D31</f>
        <v>64500</v>
      </c>
      <c r="R31" s="37" t="n">
        <f aca="false">IFERROR(P31/P$49,0)</f>
        <v>0.00477565526432697</v>
      </c>
      <c r="S31" s="35" t="n">
        <v>200</v>
      </c>
      <c r="T31" s="37" t="n">
        <f aca="false">IFERROR(P31/S31,0)</f>
        <v>0.215</v>
      </c>
      <c r="U31" s="35" t="n">
        <f aca="false">MAX(0,S31-P31)</f>
        <v>157</v>
      </c>
      <c r="V31" s="38" t="n">
        <f aca="false">P31-S31</f>
        <v>-157</v>
      </c>
      <c r="W31" s="39" t="str">
        <f aca="false">IF(V31&gt;0,"会期中に在庫切れ",IF(T31&gt;=0.9,"要注意(90%超)",IF(T31&gt;=0.5,"適正","在庫余剰")))</f>
        <v>在庫余剰</v>
      </c>
    </row>
    <row r="32" customFormat="false" ht="15" hidden="false" customHeight="false" outlineLevel="0" collapsed="false">
      <c r="A32" s="32" t="n">
        <v>26</v>
      </c>
      <c r="B32" s="32" t="s">
        <v>326</v>
      </c>
      <c r="C32" s="33" t="s">
        <v>327</v>
      </c>
      <c r="D32" s="34" t="n">
        <v>2200</v>
      </c>
      <c r="E32" s="35" t="n">
        <v>91</v>
      </c>
      <c r="F32" s="35" t="n">
        <v>410</v>
      </c>
      <c r="G32" s="35" t="n">
        <v>513</v>
      </c>
      <c r="H32" s="36" t="n">
        <f aca="false">IF(F32=0,"",G32*(1+前提・入力!$B$9)/F32)</f>
        <v>1.31164344356303</v>
      </c>
      <c r="I32" s="35" t="n">
        <v>172</v>
      </c>
      <c r="J32" s="35" t="n">
        <v>353</v>
      </c>
      <c r="K32" s="36" t="n">
        <f aca="false">IF(I32=0,"",J32/I32)</f>
        <v>2.05232558139535</v>
      </c>
      <c r="L32" s="35" t="n">
        <v>438</v>
      </c>
      <c r="M32" s="35" t="n">
        <v>842</v>
      </c>
      <c r="N32" s="36" t="n">
        <f aca="false">IF(L32=0,"",M32/L32)</f>
        <v>1.92237442922374</v>
      </c>
      <c r="O32" s="36" t="n">
        <f aca="false">IFERROR((IF(N32="",0,N32*前提・入力!$B$5)+IF(K32="",0,K32*前提・入力!$B$6)+IF(H32="",0,H32*前提・入力!$B$7))/(IF(N32="",0,前提・入力!$B$5)+IF(K32="",0,前提・入力!$B$6)+IF(H32="",0,前提・入力!$B$7)),前提・入力!$B$10)</f>
        <v>1.80217947085147</v>
      </c>
      <c r="P32" s="35" t="n">
        <f aca="false">ROUND(E32*O32,0)</f>
        <v>164</v>
      </c>
      <c r="Q32" s="34" t="n">
        <f aca="false">P32*D32</f>
        <v>360800</v>
      </c>
      <c r="R32" s="37" t="n">
        <f aca="false">IFERROR(P32/P$49,0)</f>
        <v>0.0182141270546424</v>
      </c>
      <c r="S32" s="35" t="n">
        <v>100</v>
      </c>
      <c r="T32" s="37" t="n">
        <f aca="false">IFERROR(P32/S32,0)</f>
        <v>1.64</v>
      </c>
      <c r="U32" s="35" t="n">
        <f aca="false">MAX(0,S32-P32)</f>
        <v>0</v>
      </c>
      <c r="V32" s="38" t="n">
        <f aca="false">P32-S32</f>
        <v>64</v>
      </c>
      <c r="W32" s="39" t="str">
        <f aca="false">IF(V32&gt;0,"会期中に在庫切れ",IF(T32&gt;=0.9,"要注意(90%超)",IF(T32&gt;=0.5,"適正","在庫余剰")))</f>
        <v>会期中に在庫切れ</v>
      </c>
    </row>
    <row r="33" customFormat="false" ht="15" hidden="false" customHeight="false" outlineLevel="0" collapsed="false">
      <c r="A33" s="32" t="n">
        <v>27</v>
      </c>
      <c r="B33" s="32" t="s">
        <v>328</v>
      </c>
      <c r="C33" s="33" t="s">
        <v>329</v>
      </c>
      <c r="D33" s="34" t="n">
        <v>1100</v>
      </c>
      <c r="E33" s="35" t="n">
        <v>16</v>
      </c>
      <c r="F33" s="35" t="n">
        <v>39</v>
      </c>
      <c r="G33" s="35" t="n">
        <v>103</v>
      </c>
      <c r="H33" s="36" t="n">
        <f aca="false">IF(F33=0,"",G33*(1+前提・入力!$B$9)/F33)</f>
        <v>2.76856613293682</v>
      </c>
      <c r="I33" s="35" t="n">
        <v>29</v>
      </c>
      <c r="J33" s="35" t="n">
        <v>69</v>
      </c>
      <c r="K33" s="36" t="n">
        <f aca="false">IF(I33=0,"",J33/I33)</f>
        <v>2.37931034482759</v>
      </c>
      <c r="L33" s="35" t="n">
        <v>66</v>
      </c>
      <c r="M33" s="35" t="n">
        <v>145</v>
      </c>
      <c r="N33" s="36" t="n">
        <f aca="false">IF(L33=0,"",M33/L33)</f>
        <v>2.1969696969697</v>
      </c>
      <c r="O33" s="36" t="n">
        <f aca="false">IFERROR((IF(N33="",0,N33*前提・入力!$B$5)+IF(K33="",0,K33*前提・入力!$B$6)+IF(H33="",0,H33*前提・入力!$B$7))/(IF(N33="",0,前提・入力!$B$5)+IF(K33="",0,前提・入力!$B$6)+IF(H33="",0,前提・入力!$B$7)),前提・入力!$B$10)</f>
        <v>2.38545396792595</v>
      </c>
      <c r="P33" s="35" t="n">
        <f aca="false">ROUND(E33*O33,0)</f>
        <v>38</v>
      </c>
      <c r="Q33" s="34" t="n">
        <f aca="false">P33*D33</f>
        <v>41800</v>
      </c>
      <c r="R33" s="37" t="n">
        <f aca="false">IFERROR(P33/P$49,0)</f>
        <v>0.00422034651266104</v>
      </c>
      <c r="S33" s="35" t="n">
        <v>70</v>
      </c>
      <c r="T33" s="37" t="n">
        <f aca="false">IFERROR(P33/S33,0)</f>
        <v>0.542857142857143</v>
      </c>
      <c r="U33" s="35" t="n">
        <f aca="false">MAX(0,S33-P33)</f>
        <v>32</v>
      </c>
      <c r="V33" s="38" t="n">
        <f aca="false">P33-S33</f>
        <v>-32</v>
      </c>
      <c r="W33" s="39" t="str">
        <f aca="false">IF(V33&gt;0,"会期中に在庫切れ",IF(T33&gt;=0.9,"要注意(90%超)",IF(T33&gt;=0.5,"適正","在庫余剰")))</f>
        <v>適正</v>
      </c>
    </row>
    <row r="34" customFormat="false" ht="15" hidden="false" customHeight="false" outlineLevel="0" collapsed="false">
      <c r="A34" s="32" t="n">
        <v>28</v>
      </c>
      <c r="B34" s="32" t="s">
        <v>330</v>
      </c>
      <c r="C34" s="33" t="s">
        <v>331</v>
      </c>
      <c r="D34" s="34" t="n">
        <v>1800</v>
      </c>
      <c r="E34" s="35" t="n">
        <v>153</v>
      </c>
      <c r="F34" s="35" t="n">
        <v>346</v>
      </c>
      <c r="G34" s="35" t="n">
        <v>436</v>
      </c>
      <c r="H34" s="36" t="n">
        <f aca="false">IF(F34=0,"",G34*(1+前提・入力!$B$9)/F34)</f>
        <v>1.32096914878662</v>
      </c>
      <c r="I34" s="35" t="n">
        <v>196</v>
      </c>
      <c r="J34" s="35" t="n">
        <v>333</v>
      </c>
      <c r="K34" s="36" t="n">
        <f aca="false">IF(I34=0,"",J34/I34)</f>
        <v>1.69897959183673</v>
      </c>
      <c r="L34" s="35" t="n">
        <v>301</v>
      </c>
      <c r="M34" s="35" t="n">
        <v>400</v>
      </c>
      <c r="N34" s="36" t="n">
        <f aca="false">IF(L34=0,"",M34/L34)</f>
        <v>1.32890365448505</v>
      </c>
      <c r="O34" s="36" t="n">
        <f aca="false">IFERROR((IF(N34="",0,N34*前提・入力!$B$5)+IF(K34="",0,K34*前提・入力!$B$6)+IF(H34="",0,H34*前提・入力!$B$7))/(IF(N34="",0,前提・入力!$B$5)+IF(K34="",0,前提・入力!$B$6)+IF(H34="",0,前提・入力!$B$7)),前提・入力!$B$10)</f>
        <v>1.41943901239836</v>
      </c>
      <c r="P34" s="35" t="n">
        <f aca="false">ROUND(E34*O34,0)</f>
        <v>217</v>
      </c>
      <c r="Q34" s="34" t="n">
        <f aca="false">P34*D34</f>
        <v>390600</v>
      </c>
      <c r="R34" s="37" t="n">
        <f aca="false">IFERROR(P34/P$49,0)</f>
        <v>0.0241003998223012</v>
      </c>
      <c r="S34" s="35" t="n">
        <v>200</v>
      </c>
      <c r="T34" s="37" t="n">
        <f aca="false">IFERROR(P34/S34,0)</f>
        <v>1.085</v>
      </c>
      <c r="U34" s="35" t="n">
        <f aca="false">MAX(0,S34-P34)</f>
        <v>0</v>
      </c>
      <c r="V34" s="38" t="n">
        <f aca="false">P34-S34</f>
        <v>17</v>
      </c>
      <c r="W34" s="39" t="str">
        <f aca="false">IF(V34&gt;0,"会期中に在庫切れ",IF(T34&gt;=0.9,"要注意(90%超)",IF(T34&gt;=0.5,"適正","在庫余剰")))</f>
        <v>会期中に在庫切れ</v>
      </c>
    </row>
    <row r="35" customFormat="false" ht="15" hidden="false" customHeight="false" outlineLevel="0" collapsed="false">
      <c r="A35" s="32" t="n">
        <v>29</v>
      </c>
      <c r="B35" s="32" t="s">
        <v>332</v>
      </c>
      <c r="C35" s="33" t="s">
        <v>333</v>
      </c>
      <c r="D35" s="34" t="n">
        <v>1500</v>
      </c>
      <c r="E35" s="35" t="n">
        <v>67</v>
      </c>
      <c r="F35" s="35" t="n">
        <v>260</v>
      </c>
      <c r="G35" s="35" t="n">
        <v>318</v>
      </c>
      <c r="H35" s="36" t="n">
        <f aca="false">IF(F35=0,"",G35*(1+前提・入力!$B$9)/F35)</f>
        <v>1.28214179166103</v>
      </c>
      <c r="I35" s="35" t="n">
        <v>110</v>
      </c>
      <c r="J35" s="35" t="n">
        <v>249</v>
      </c>
      <c r="K35" s="36" t="n">
        <f aca="false">IF(I35=0,"",J35/I35)</f>
        <v>2.26363636363636</v>
      </c>
      <c r="L35" s="35" t="n">
        <v>200</v>
      </c>
      <c r="M35" s="35" t="n">
        <v>200</v>
      </c>
      <c r="N35" s="36" t="n">
        <f aca="false">IF(L35=0,"",M35/L35)</f>
        <v>1</v>
      </c>
      <c r="O35" s="36" t="n">
        <f aca="false">IFERROR((IF(N35="",0,N35*前提・入力!$B$5)+IF(K35="",0,K35*前提・入力!$B$6)+IF(H35="",0,H35*前提・入力!$B$7))/(IF(N35="",0,前提・入力!$B$5)+IF(K35="",0,前提・入力!$B$6)+IF(H35="",0,前提・入力!$B$7)),前提・入力!$B$10)</f>
        <v>1.38644453882435</v>
      </c>
      <c r="P35" s="35" t="n">
        <f aca="false">ROUND(E35*O35,0)</f>
        <v>93</v>
      </c>
      <c r="Q35" s="34" t="n">
        <f aca="false">P35*D35</f>
        <v>139500</v>
      </c>
      <c r="R35" s="37" t="n">
        <f aca="false">IFERROR(P35/P$49,0)</f>
        <v>0.0103287427809862</v>
      </c>
      <c r="S35" s="35" t="n">
        <v>100</v>
      </c>
      <c r="T35" s="37" t="n">
        <f aca="false">IFERROR(P35/S35,0)</f>
        <v>0.93</v>
      </c>
      <c r="U35" s="35" t="n">
        <f aca="false">MAX(0,S35-P35)</f>
        <v>7</v>
      </c>
      <c r="V35" s="38" t="n">
        <f aca="false">P35-S35</f>
        <v>-7</v>
      </c>
      <c r="W35" s="39" t="str">
        <f aca="false">IF(V35&gt;0,"会期中に在庫切れ",IF(T35&gt;=0.9,"要注意(90%超)",IF(T35&gt;=0.5,"適正","在庫余剰")))</f>
        <v>要注意(90%超)</v>
      </c>
    </row>
    <row r="36" customFormat="false" ht="15" hidden="false" customHeight="false" outlineLevel="0" collapsed="false">
      <c r="A36" s="32" t="n">
        <v>30</v>
      </c>
      <c r="B36" s="32" t="s">
        <v>334</v>
      </c>
      <c r="C36" s="33" t="s">
        <v>335</v>
      </c>
      <c r="D36" s="34" t="n">
        <v>3300</v>
      </c>
      <c r="E36" s="35" t="n">
        <v>24</v>
      </c>
      <c r="F36" s="35" t="n">
        <v>77</v>
      </c>
      <c r="G36" s="35" t="n">
        <v>169</v>
      </c>
      <c r="H36" s="36" t="n">
        <f aca="false">IF(F36=0,"",G36*(1+前提・入力!$B$9)/F36)</f>
        <v>2.30079679513133</v>
      </c>
      <c r="I36" s="35" t="n">
        <v>21</v>
      </c>
      <c r="J36" s="35" t="n">
        <v>63</v>
      </c>
      <c r="K36" s="36" t="n">
        <f aca="false">IF(I36=0,"",J36/I36)</f>
        <v>3</v>
      </c>
      <c r="L36" s="35" t="n">
        <v>78</v>
      </c>
      <c r="M36" s="35" t="n">
        <v>205</v>
      </c>
      <c r="N36" s="36" t="n">
        <f aca="false">IF(L36=0,"",M36/L36)</f>
        <v>2.62820512820513</v>
      </c>
      <c r="O36" s="36" t="n">
        <f aca="false">IFERROR((IF(N36="",0,N36*前提・入力!$B$5)+IF(K36="",0,K36*前提・入力!$B$6)+IF(H36="",0,H36*前提・入力!$B$7))/(IF(N36="",0,前提・入力!$B$5)+IF(K36="",0,前提・入力!$B$6)+IF(H36="",0,前提・入力!$B$7)),前提・入力!$B$10)</f>
        <v>2.6393017628854</v>
      </c>
      <c r="P36" s="35" t="n">
        <f aca="false">ROUND(E36*O36,0)</f>
        <v>63</v>
      </c>
      <c r="Q36" s="34" t="n">
        <f aca="false">P36*D36</f>
        <v>207900</v>
      </c>
      <c r="R36" s="37" t="n">
        <f aca="false">IFERROR(P36/P$49,0)</f>
        <v>0.00699689027099067</v>
      </c>
      <c r="S36" s="35" t="n">
        <v>250</v>
      </c>
      <c r="T36" s="37" t="n">
        <f aca="false">IFERROR(P36/S36,0)</f>
        <v>0.252</v>
      </c>
      <c r="U36" s="35" t="n">
        <f aca="false">MAX(0,S36-P36)</f>
        <v>187</v>
      </c>
      <c r="V36" s="38" t="n">
        <f aca="false">P36-S36</f>
        <v>-187</v>
      </c>
      <c r="W36" s="39" t="str">
        <f aca="false">IF(V36&gt;0,"会期中に在庫切れ",IF(T36&gt;=0.9,"要注意(90%超)",IF(T36&gt;=0.5,"適正","在庫余剰")))</f>
        <v>在庫余剰</v>
      </c>
    </row>
    <row r="37" customFormat="false" ht="15" hidden="false" customHeight="false" outlineLevel="0" collapsed="false">
      <c r="A37" s="32" t="n">
        <v>31</v>
      </c>
      <c r="B37" s="32" t="s">
        <v>336</v>
      </c>
      <c r="C37" s="33" t="s">
        <v>337</v>
      </c>
      <c r="D37" s="34" t="n">
        <v>1300</v>
      </c>
      <c r="E37" s="35" t="n">
        <v>46</v>
      </c>
      <c r="F37" s="35" t="n">
        <v>130</v>
      </c>
      <c r="G37" s="35" t="n">
        <v>235</v>
      </c>
      <c r="H37" s="36" t="n">
        <f aca="false">IF(F37=0,"",G37*(1+前提・入力!$B$9)/F37)</f>
        <v>1.8949894405053</v>
      </c>
      <c r="I37" s="35" t="n">
        <v>79</v>
      </c>
      <c r="J37" s="35" t="n">
        <v>160</v>
      </c>
      <c r="K37" s="36" t="n">
        <f aca="false">IF(I37=0,"",J37/I37)</f>
        <v>2.0253164556962</v>
      </c>
      <c r="L37" s="35" t="n">
        <v>223</v>
      </c>
      <c r="M37" s="35" t="n">
        <v>427</v>
      </c>
      <c r="N37" s="36" t="n">
        <f aca="false">IF(L37=0,"",M37/L37)</f>
        <v>1.91479820627803</v>
      </c>
      <c r="O37" s="36" t="n">
        <f aca="false">IFERROR((IF(N37="",0,N37*前提・入力!$B$5)+IF(K37="",0,K37*前提・入力!$B$6)+IF(H37="",0,H37*前提・入力!$B$7))/(IF(N37="",0,前提・入力!$B$5)+IF(K37="",0,前提・入力!$B$6)+IF(H37="",0,前提・入力!$B$7)),前提・入力!$B$10)</f>
        <v>1.93747557718939</v>
      </c>
      <c r="P37" s="35" t="n">
        <f aca="false">ROUND(E37*O37,0)</f>
        <v>89</v>
      </c>
      <c r="Q37" s="34" t="n">
        <f aca="false">P37*D37</f>
        <v>115700</v>
      </c>
      <c r="R37" s="37" t="n">
        <f aca="false">IFERROR(P37/P$49,0)</f>
        <v>0.00988449577965349</v>
      </c>
      <c r="S37" s="35" t="n">
        <v>200</v>
      </c>
      <c r="T37" s="37" t="n">
        <f aca="false">IFERROR(P37/S37,0)</f>
        <v>0.445</v>
      </c>
      <c r="U37" s="35" t="n">
        <f aca="false">MAX(0,S37-P37)</f>
        <v>111</v>
      </c>
      <c r="V37" s="38" t="n">
        <f aca="false">P37-S37</f>
        <v>-111</v>
      </c>
      <c r="W37" s="39" t="str">
        <f aca="false">IF(V37&gt;0,"会期中に在庫切れ",IF(T37&gt;=0.9,"要注意(90%超)",IF(T37&gt;=0.5,"適正","在庫余剰")))</f>
        <v>在庫余剰</v>
      </c>
    </row>
    <row r="38" customFormat="false" ht="15" hidden="false" customHeight="false" outlineLevel="0" collapsed="false">
      <c r="A38" s="32" t="n">
        <v>32</v>
      </c>
      <c r="B38" s="32" t="s">
        <v>338</v>
      </c>
      <c r="C38" s="33" t="s">
        <v>339</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0.00111061750333185</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340</v>
      </c>
      <c r="C39" s="33" t="s">
        <v>341</v>
      </c>
      <c r="D39" s="34" t="n">
        <v>27500</v>
      </c>
      <c r="E39" s="35" t="n">
        <v>0</v>
      </c>
      <c r="F39" s="35" t="n">
        <v>28</v>
      </c>
      <c r="G39" s="35" t="n">
        <v>37</v>
      </c>
      <c r="H39" s="36" t="n">
        <f aca="false">IF(F39=0,"",G39*(1+前提・入力!$B$9)/F39)</f>
        <v>1.3852430408557</v>
      </c>
      <c r="I39" s="35" t="n">
        <v>6</v>
      </c>
      <c r="J39" s="35" t="n">
        <v>13</v>
      </c>
      <c r="K39" s="36" t="n">
        <f aca="false">IF(I39=0,"",J39/I39)</f>
        <v>2.16666666666667</v>
      </c>
      <c r="L39" s="35" t="n">
        <v>14</v>
      </c>
      <c r="M39" s="35" t="n">
        <v>21</v>
      </c>
      <c r="N39" s="36" t="n">
        <f aca="false">IF(L39=0,"",M39/L39)</f>
        <v>1.5</v>
      </c>
      <c r="O39" s="36" t="n">
        <f aca="false">IFERROR((IF(N39="",0,N39*前提・入力!$B$5)+IF(K39="",0,K39*前提・入力!$B$6)+IF(H39="",0,H39*前提・入力!$B$7))/(IF(N39="",0,前提・入力!$B$5)+IF(K39="",0,前提・入力!$B$6)+IF(H39="",0,前提・入力!$B$7)),前提・入力!$B$10)</f>
        <v>1.63797742688059</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342</v>
      </c>
      <c r="C40" s="33" t="s">
        <v>343</v>
      </c>
      <c r="D40" s="34" t="n">
        <v>27500</v>
      </c>
      <c r="E40" s="35" t="n">
        <v>1</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1</v>
      </c>
      <c r="Q40" s="34" t="n">
        <f aca="false">P40*D40</f>
        <v>27500</v>
      </c>
      <c r="R40" s="37" t="n">
        <f aca="false">IFERROR(P40/P$49,0)</f>
        <v>0.000111061750333185</v>
      </c>
      <c r="S40" s="35" t="n">
        <v>2</v>
      </c>
      <c r="T40" s="37" t="n">
        <f aca="false">IFERROR(P40/S40,0)</f>
        <v>0.5</v>
      </c>
      <c r="U40" s="35" t="n">
        <f aca="false">MAX(0,S40-P40)</f>
        <v>1</v>
      </c>
      <c r="V40" s="38" t="n">
        <f aca="false">P40-S40</f>
        <v>-1</v>
      </c>
      <c r="W40" s="39" t="str">
        <f aca="false">IF(V40&gt;0,"会期中に在庫切れ",IF(T40&gt;=0.9,"要注意(90%超)",IF(T40&gt;=0.5,"適正","在庫余剰")))</f>
        <v>適正</v>
      </c>
    </row>
    <row r="41" customFormat="false" ht="15" hidden="false" customHeight="false" outlineLevel="0" collapsed="false">
      <c r="A41" s="32" t="n">
        <v>35</v>
      </c>
      <c r="B41" s="32" t="s">
        <v>344</v>
      </c>
      <c r="C41" s="33" t="s">
        <v>345</v>
      </c>
      <c r="D41" s="34" t="n">
        <v>27500</v>
      </c>
      <c r="E41" s="35" t="n">
        <v>0</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0</v>
      </c>
      <c r="Q41" s="34" t="n">
        <f aca="false">P41*D41</f>
        <v>0</v>
      </c>
      <c r="R41" s="37" t="n">
        <f aca="false">IFERROR(P41/P$49,0)</f>
        <v>0</v>
      </c>
      <c r="S41" s="35" t="n">
        <v>2</v>
      </c>
      <c r="T41" s="37" t="n">
        <f aca="false">IFERROR(P41/S41,0)</f>
        <v>0</v>
      </c>
      <c r="U41" s="35" t="n">
        <f aca="false">MAX(0,S41-P41)</f>
        <v>2</v>
      </c>
      <c r="V41" s="38" t="n">
        <f aca="false">P41-S41</f>
        <v>-2</v>
      </c>
      <c r="W41" s="39" t="str">
        <f aca="false">IF(V41&gt;0,"会期中に在庫切れ",IF(T41&gt;=0.9,"要注意(90%超)",IF(T41&gt;=0.5,"適正","在庫余剰")))</f>
        <v>在庫余剰</v>
      </c>
    </row>
    <row r="42" customFormat="false" ht="15" hidden="false" customHeight="false" outlineLevel="0" collapsed="false">
      <c r="A42" s="32" t="n">
        <v>36</v>
      </c>
      <c r="B42" s="32" t="s">
        <v>346</v>
      </c>
      <c r="C42" s="33" t="s">
        <v>347</v>
      </c>
      <c r="D42" s="34" t="n">
        <v>27500</v>
      </c>
      <c r="E42" s="35" t="n">
        <v>0</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0</v>
      </c>
      <c r="Q42" s="34" t="n">
        <f aca="false">P42*D42</f>
        <v>0</v>
      </c>
      <c r="R42" s="37" t="n">
        <f aca="false">IFERROR(P42/P$49,0)</f>
        <v>0</v>
      </c>
      <c r="S42" s="35" t="n">
        <v>2</v>
      </c>
      <c r="T42" s="37" t="n">
        <f aca="false">IFERROR(P42/S42,0)</f>
        <v>0</v>
      </c>
      <c r="U42" s="35" t="n">
        <f aca="false">MAX(0,S42-P42)</f>
        <v>2</v>
      </c>
      <c r="V42" s="38" t="n">
        <f aca="false">P42-S42</f>
        <v>-2</v>
      </c>
      <c r="W42" s="39" t="str">
        <f aca="false">IF(V42&gt;0,"会期中に在庫切れ",IF(T42&gt;=0.9,"要注意(90%超)",IF(T42&gt;=0.5,"適正","在庫余剰")))</f>
        <v>在庫余剰</v>
      </c>
    </row>
    <row r="43" customFormat="false" ht="15" hidden="false" customHeight="false" outlineLevel="0" collapsed="false">
      <c r="A43" s="32" t="n">
        <v>37</v>
      </c>
      <c r="B43" s="32" t="s">
        <v>348</v>
      </c>
      <c r="C43" s="33" t="s">
        <v>349</v>
      </c>
      <c r="D43" s="34" t="n">
        <v>27500</v>
      </c>
      <c r="E43" s="35" t="n">
        <v>0</v>
      </c>
      <c r="F43" s="35" t="n">
        <v>12</v>
      </c>
      <c r="G43" s="35" t="n">
        <v>19</v>
      </c>
      <c r="H43" s="36" t="n">
        <f aca="false">IF(F43=0,"",G43*(1+前提・入力!$B$9)/F43)</f>
        <v>1.65979571561989</v>
      </c>
      <c r="I43" s="35" t="n">
        <v>5</v>
      </c>
      <c r="J43" s="35" t="n">
        <v>10</v>
      </c>
      <c r="K43" s="36" t="n">
        <f aca="false">IF(I43=0,"",J43/I43)</f>
        <v>2</v>
      </c>
      <c r="L43" s="35" t="n">
        <v>16</v>
      </c>
      <c r="M43" s="35" t="n">
        <v>26</v>
      </c>
      <c r="N43" s="36" t="n">
        <f aca="false">IF(L43=0,"",M43/L43)</f>
        <v>1.625</v>
      </c>
      <c r="O43" s="36" t="n">
        <f aca="false">IFERROR((IF(N43="",0,N43*前提・入力!$B$5)+IF(K43="",0,K43*前提・入力!$B$6)+IF(H43="",0,H43*前提・入力!$B$7))/(IF(N43="",0,前提・入力!$B$5)+IF(K43="",0,前提・入力!$B$6)+IF(H43="",0,前提・入力!$B$7)),前提・入力!$B$10)</f>
        <v>1.72744892890497</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350</v>
      </c>
      <c r="C44" s="33" t="s">
        <v>351</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0.000222123500666371</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352</v>
      </c>
      <c r="C45" s="33" t="s">
        <v>353</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0.000111061750333185</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354</v>
      </c>
      <c r="C46" s="33" t="s">
        <v>355</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356</v>
      </c>
      <c r="C47" s="33" t="s">
        <v>357</v>
      </c>
      <c r="D47" s="34" t="n">
        <v>25000</v>
      </c>
      <c r="E47" s="35" t="n">
        <v>0</v>
      </c>
      <c r="F47" s="35" t="n">
        <v>4</v>
      </c>
      <c r="G47" s="35" t="n">
        <v>5</v>
      </c>
      <c r="H47" s="36" t="n">
        <f aca="false">IF(F47=0,"",G47*(1+前提・入力!$B$9)/F47)</f>
        <v>1.31036503864728</v>
      </c>
      <c r="I47" s="35" t="n">
        <v>1</v>
      </c>
      <c r="J47" s="35" t="n">
        <v>1</v>
      </c>
      <c r="K47" s="36" t="n">
        <f aca="false">IF(I47=0,"",J47/I47)</f>
        <v>1</v>
      </c>
      <c r="L47" s="35" t="n">
        <v>1</v>
      </c>
      <c r="M47" s="35" t="n">
        <v>2</v>
      </c>
      <c r="N47" s="36" t="n">
        <f aca="false">IF(L47=0,"",M47/L47)</f>
        <v>2</v>
      </c>
      <c r="O47" s="36" t="n">
        <f aca="false">IFERROR((IF(N47="",0,N47*前提・入力!$B$5)+IF(K47="",0,K47*前提・入力!$B$6)+IF(H47="",0,H47*前提・入力!$B$7))/(IF(N47="",0,前提・入力!$B$5)+IF(K47="",0,前提・入力!$B$6)+IF(H47="",0,前提・入力!$B$7)),前提・入力!$B$10)</f>
        <v>1.57759125966182</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358</v>
      </c>
      <c r="C48" s="33" t="s">
        <v>359</v>
      </c>
      <c r="D48" s="34" t="n">
        <v>25000</v>
      </c>
      <c r="E48" s="35" t="n">
        <v>1</v>
      </c>
      <c r="F48" s="35" t="n">
        <v>3</v>
      </c>
      <c r="G48" s="35" t="n">
        <v>8</v>
      </c>
      <c r="H48" s="36" t="n">
        <f aca="false">IF(F48=0,"",G48*(1+前提・入力!$B$9)/F48)</f>
        <v>2.79544541578087</v>
      </c>
      <c r="I48" s="35" t="n">
        <v>1</v>
      </c>
      <c r="J48" s="35" t="n">
        <v>2</v>
      </c>
      <c r="K48" s="36" t="n">
        <f aca="false">IF(I48=0,"",J48/I48)</f>
        <v>2</v>
      </c>
      <c r="L48" s="35" t="n">
        <v>3</v>
      </c>
      <c r="M48" s="35" t="n">
        <v>8</v>
      </c>
      <c r="N48" s="36" t="n">
        <f aca="false">IF(L48=0,"",M48/L48)</f>
        <v>2.66666666666667</v>
      </c>
      <c r="O48" s="36" t="n">
        <f aca="false">IFERROR((IF(N48="",0,N48*前提・入力!$B$5)+IF(K48="",0,K48*前提・入力!$B$6)+IF(H48="",0,H48*前提・入力!$B$7))/(IF(N48="",0,前提・入力!$B$5)+IF(K48="",0,前提・入力!$B$6)+IF(H48="",0,前提・入力!$B$7)),前提・入力!$B$10)</f>
        <v>2.53219468727855</v>
      </c>
      <c r="P48" s="35" t="n">
        <f aca="false">ROUND(E48*O48,0)</f>
        <v>3</v>
      </c>
      <c r="Q48" s="34" t="n">
        <f aca="false">P48*D48</f>
        <v>75000</v>
      </c>
      <c r="R48" s="37" t="n">
        <f aca="false">IFERROR(P48/P$49,0)</f>
        <v>0.000333185250999556</v>
      </c>
      <c r="S48" s="35" t="n">
        <v>6</v>
      </c>
      <c r="T48" s="37" t="n">
        <f aca="false">IFERROR(P48/S48,0)</f>
        <v>0.5</v>
      </c>
      <c r="U48" s="35" t="n">
        <f aca="false">MAX(0,S48-P48)</f>
        <v>3</v>
      </c>
      <c r="V48" s="38" t="n">
        <f aca="false">P48-S48</f>
        <v>-3</v>
      </c>
      <c r="W48" s="39" t="str">
        <f aca="false">IF(V48&gt;0,"会期中に在庫切れ",IF(T48&gt;=0.9,"要注意(90%超)",IF(T48&gt;=0.5,"適正","在庫余剰")))</f>
        <v>適正</v>
      </c>
    </row>
    <row r="49" customFormat="false" ht="15" hidden="false" customHeight="false" outlineLevel="0" collapsed="false">
      <c r="A49" s="40"/>
      <c r="B49" s="40"/>
      <c r="C49" s="41" t="s">
        <v>360</v>
      </c>
      <c r="D49" s="40"/>
      <c r="E49" s="42" t="n">
        <f aca="false">SUM(E7:E48)</f>
        <v>4492</v>
      </c>
      <c r="F49" s="42" t="n">
        <f aca="false">SUM(F7:F48)</f>
        <v>31699</v>
      </c>
      <c r="G49" s="42" t="n">
        <f aca="false">SUM(G7:G48)</f>
        <v>58600</v>
      </c>
      <c r="H49" s="40"/>
      <c r="I49" s="42" t="n">
        <f aca="false">SUM(I7:I48)</f>
        <v>13955</v>
      </c>
      <c r="J49" s="42" t="n">
        <f aca="false">SUM(J7:J48)</f>
        <v>33235</v>
      </c>
      <c r="K49" s="40"/>
      <c r="L49" s="42" t="n">
        <f aca="false">SUM(L7:L48)</f>
        <v>33207</v>
      </c>
      <c r="M49" s="42" t="n">
        <f aca="false">SUM(M7:M48)</f>
        <v>63740</v>
      </c>
      <c r="N49" s="40"/>
      <c r="O49" s="43" t="n">
        <f aca="false">IFERROR(P49/E49,0)</f>
        <v>2.00445235975067</v>
      </c>
      <c r="P49" s="42" t="n">
        <f aca="false">SUM(P7:P48)</f>
        <v>9004</v>
      </c>
      <c r="Q49" s="44" t="n">
        <f aca="false">SUM(Q7:Q48)</f>
        <v>6855000</v>
      </c>
      <c r="R49" s="45" t="n">
        <v>1</v>
      </c>
      <c r="S49" s="42" t="n">
        <f aca="false">SUM(S7:S48)</f>
        <v>50196</v>
      </c>
      <c r="T49" s="45" t="n">
        <f aca="false">IFERROR(P49/S49,0)</f>
        <v>0.179376842776317</v>
      </c>
      <c r="U49" s="42" t="n">
        <f aca="false">SUM(U7:U48)</f>
        <v>41322</v>
      </c>
      <c r="V49" s="46" t="n">
        <f aca="false">SUM(V7:V48)</f>
        <v>-41192</v>
      </c>
      <c r="W49" s="40"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361</v>
      </c>
    </row>
    <row r="2" customFormat="false" ht="15" hidden="false" customHeight="false" outlineLevel="0" collapsed="false">
      <c r="A2" s="3" t="s">
        <v>362</v>
      </c>
    </row>
    <row r="4" customFormat="false" ht="15" hidden="false" customHeight="false" outlineLevel="0" collapsed="false">
      <c r="A4" s="4" t="s">
        <v>363</v>
      </c>
    </row>
    <row r="5" customFormat="false" ht="33.75" hidden="false" customHeight="true" outlineLevel="0" collapsed="false">
      <c r="A5" s="26" t="s">
        <v>364</v>
      </c>
      <c r="B5" s="26" t="s">
        <v>365</v>
      </c>
      <c r="C5" s="47" t="s">
        <v>366</v>
      </c>
      <c r="D5" s="28" t="s">
        <v>367</v>
      </c>
      <c r="E5" s="29" t="s">
        <v>368</v>
      </c>
      <c r="F5" s="30" t="s">
        <v>369</v>
      </c>
      <c r="G5" s="27" t="s">
        <v>370</v>
      </c>
      <c r="H5" s="27" t="s">
        <v>371</v>
      </c>
      <c r="I5" s="48" t="s">
        <v>372</v>
      </c>
      <c r="J5" s="48" t="s">
        <v>373</v>
      </c>
      <c r="K5" s="48" t="s">
        <v>374</v>
      </c>
      <c r="L5" s="48" t="s">
        <v>375</v>
      </c>
      <c r="M5" s="48" t="s">
        <v>376</v>
      </c>
    </row>
    <row r="6" customFormat="false" ht="39.75" hidden="false" customHeight="true" outlineLevel="0" collapsed="false">
      <c r="A6" s="49" t="s">
        <v>377</v>
      </c>
      <c r="B6" s="32"/>
      <c r="C6" s="22" t="s">
        <v>378</v>
      </c>
      <c r="D6" s="22" t="s">
        <v>379</v>
      </c>
      <c r="E6" s="22" t="s">
        <v>380</v>
      </c>
      <c r="F6" s="22" t="s">
        <v>381</v>
      </c>
      <c r="G6" s="22" t="s">
        <v>382</v>
      </c>
      <c r="H6" s="50" t="s">
        <v>383</v>
      </c>
      <c r="I6" s="50" t="s">
        <v>384</v>
      </c>
      <c r="J6" s="50" t="s">
        <v>385</v>
      </c>
      <c r="K6" s="50" t="s">
        <v>386</v>
      </c>
      <c r="L6" s="50" t="s">
        <v>387</v>
      </c>
      <c r="M6" s="50" t="s">
        <v>388</v>
      </c>
    </row>
    <row r="7" customFormat="false" ht="15" hidden="false" customHeight="false" outlineLevel="0" collapsed="false">
      <c r="A7" s="49" t="s">
        <v>389</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390</v>
      </c>
      <c r="B8" s="32"/>
      <c r="C8" s="35" t="n">
        <v>25</v>
      </c>
      <c r="D8" s="35" t="n">
        <v>19</v>
      </c>
      <c r="E8" s="35" t="n">
        <v>26</v>
      </c>
      <c r="F8" s="35" t="n">
        <v>20</v>
      </c>
      <c r="G8" s="35" t="n">
        <v>6</v>
      </c>
      <c r="H8" s="39" t="s">
        <v>391</v>
      </c>
      <c r="I8" s="39" t="s">
        <v>391</v>
      </c>
      <c r="J8" s="39" t="s">
        <v>391</v>
      </c>
      <c r="K8" s="39" t="s">
        <v>391</v>
      </c>
      <c r="L8" s="39" t="s">
        <v>391</v>
      </c>
      <c r="M8" s="39" t="s">
        <v>391</v>
      </c>
    </row>
    <row r="9" customFormat="false" ht="15" hidden="false" customHeight="false" outlineLevel="0" collapsed="false">
      <c r="A9" s="49" t="s">
        <v>392</v>
      </c>
      <c r="B9" s="32"/>
      <c r="C9" s="35" t="n">
        <v>47339</v>
      </c>
      <c r="D9" s="35" t="n">
        <v>19764</v>
      </c>
      <c r="E9" s="35" t="n">
        <v>18993</v>
      </c>
      <c r="F9" s="35" t="n">
        <v>31267</v>
      </c>
      <c r="G9" s="35" t="n">
        <v>3104</v>
      </c>
      <c r="H9" s="35" t="n">
        <v>7784</v>
      </c>
      <c r="I9" s="32"/>
      <c r="J9" s="32"/>
      <c r="K9" s="32"/>
      <c r="L9" s="32"/>
      <c r="M9" s="32"/>
    </row>
    <row r="10" customFormat="false" ht="15" hidden="false" customHeight="false" outlineLevel="0" collapsed="false">
      <c r="A10" s="49" t="s">
        <v>393</v>
      </c>
      <c r="B10" s="32"/>
      <c r="C10" s="35" t="n">
        <v>383342</v>
      </c>
      <c r="D10" s="35" t="n">
        <v>169802</v>
      </c>
      <c r="E10" s="35" t="n">
        <v>112198</v>
      </c>
      <c r="F10" s="35" t="n">
        <v>238658</v>
      </c>
      <c r="G10" s="35" t="n">
        <v>19790</v>
      </c>
      <c r="H10" s="35" t="n">
        <f aca="false">G10*1.890525</f>
        <v>37413.48975</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394</v>
      </c>
      <c r="B11" s="32"/>
      <c r="C11" s="34" t="n">
        <v>358193925</v>
      </c>
      <c r="D11" s="34" t="n">
        <v>138575410</v>
      </c>
      <c r="E11" s="34" t="n">
        <v>105540655</v>
      </c>
      <c r="F11" s="34" t="n">
        <v>215184570</v>
      </c>
      <c r="G11" s="34" t="n">
        <v>20105215</v>
      </c>
      <c r="H11" s="34" t="n">
        <f aca="false">G11*1.818874</f>
        <v>36568852.82791</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395</v>
      </c>
      <c r="B12" s="32"/>
      <c r="C12" s="35" t="n">
        <v>148185</v>
      </c>
      <c r="D12" s="35" t="n">
        <v>58600</v>
      </c>
      <c r="E12" s="35" t="n">
        <v>44871</v>
      </c>
      <c r="F12" s="35" t="n">
        <v>63740</v>
      </c>
      <c r="G12" s="35" t="n">
        <v>4492</v>
      </c>
      <c r="H12" s="35" t="n">
        <f aca="false">①札幌予測確定!P49</f>
        <v>9004</v>
      </c>
      <c r="I12" s="35" t="n">
        <f aca="false">ROUND(I13/前提・入力!$B$31,0)</f>
        <v>9706</v>
      </c>
      <c r="J12" s="35" t="n">
        <f aca="false">ROUND(J13/前提・入力!$B$31,0)</f>
        <v>11470</v>
      </c>
      <c r="K12" s="35" t="n">
        <f aca="false">ROUND(K13/前提・入力!$B$31,0)</f>
        <v>10588</v>
      </c>
      <c r="L12" s="35" t="n">
        <f aca="false">ROUND(L13/前提・入力!$B$31,0)</f>
        <v>7941</v>
      </c>
      <c r="M12" s="35" t="n">
        <f aca="false">ROUND(M13/前提・入力!$B$31,0)</f>
        <v>44116</v>
      </c>
    </row>
    <row r="13" customFormat="false" ht="15" hidden="false" customHeight="false" outlineLevel="0" collapsed="false">
      <c r="A13" s="51" t="s">
        <v>396</v>
      </c>
      <c r="B13" s="32"/>
      <c r="C13" s="34" t="n">
        <v>102186200</v>
      </c>
      <c r="D13" s="34" t="n">
        <v>41479600</v>
      </c>
      <c r="E13" s="34" t="n">
        <v>31026800</v>
      </c>
      <c r="F13" s="34" t="n">
        <v>45507600</v>
      </c>
      <c r="G13" s="34" t="n">
        <v>3586900</v>
      </c>
      <c r="H13" s="34" t="n">
        <f aca="false">①札幌予測確定!Q49</f>
        <v>6855000</v>
      </c>
      <c r="I13" s="34" t="n">
        <f aca="false">I11*前提・入力!$B$30</f>
        <v>7385962.83732387</v>
      </c>
      <c r="J13" s="34" t="n">
        <f aca="false">J11*前提・入力!$B$30</f>
        <v>8728865.17138276</v>
      </c>
      <c r="K13" s="34" t="n">
        <f aca="false">K11*前提・入力!$B$30</f>
        <v>8057414.00435332</v>
      </c>
      <c r="L13" s="34" t="n">
        <f aca="false">L11*前提・入力!$B$30</f>
        <v>6043060.50326499</v>
      </c>
      <c r="M13" s="34" t="n">
        <f aca="false">M11*前提・入力!$B$30</f>
        <v>33572558.3514722</v>
      </c>
    </row>
    <row r="14" customFormat="false" ht="15" hidden="false" customHeight="false" outlineLevel="0" collapsed="false">
      <c r="A14" s="51" t="s">
        <v>397</v>
      </c>
      <c r="B14" s="32"/>
      <c r="C14" s="37" t="n">
        <f aca="false">C12/C10</f>
        <v>0.386560825581335</v>
      </c>
      <c r="D14" s="37" t="n">
        <f aca="false">D12/D10</f>
        <v>0.345107831474305</v>
      </c>
      <c r="E14" s="37" t="n">
        <f aca="false">E12/E10</f>
        <v>0.39992691491827</v>
      </c>
      <c r="F14" s="37" t="n">
        <f aca="false">F12/F10</f>
        <v>0.267076737423426</v>
      </c>
      <c r="G14" s="37" t="n">
        <f aca="false">G12/G10</f>
        <v>0.226983324911572</v>
      </c>
      <c r="H14" s="37" t="n">
        <f aca="false">H12/H10</f>
        <v>0.240661859135982</v>
      </c>
      <c r="I14" s="37" t="n">
        <f aca="false">I12/I10</f>
        <v>0.230176614188802</v>
      </c>
      <c r="J14" s="37" t="n">
        <f aca="false">J12/J10</f>
        <v>0.230162020417197</v>
      </c>
      <c r="K14" s="37" t="n">
        <f aca="false">K12/K10</f>
        <v>0.230168709229183</v>
      </c>
      <c r="L14" s="37" t="n">
        <f aca="false">L12/L10</f>
        <v>0.230168709229183</v>
      </c>
      <c r="M14" s="37" t="n">
        <f aca="false">M12/M10</f>
        <v>0.23016523104695</v>
      </c>
    </row>
    <row r="15" customFormat="false" ht="15" hidden="false" customHeight="false" outlineLevel="0" collapsed="false">
      <c r="A15" s="51" t="s">
        <v>398</v>
      </c>
      <c r="B15" s="32"/>
      <c r="C15" s="37" t="n">
        <f aca="false">C13/C11</f>
        <v>0.285281778578461</v>
      </c>
      <c r="D15" s="37" t="n">
        <f aca="false">D13/D11</f>
        <v>0.29932871928721</v>
      </c>
      <c r="E15" s="37" t="n">
        <f aca="false">E13/E11</f>
        <v>0.293979604352465</v>
      </c>
      <c r="F15" s="37" t="n">
        <f aca="false">F13/F11</f>
        <v>0.211481706146496</v>
      </c>
      <c r="G15" s="37" t="n">
        <f aca="false">G13/G11</f>
        <v>0.178406448277226</v>
      </c>
      <c r="H15" s="37" t="n">
        <f aca="false">H13/H11</f>
        <v>0.187454608769355</v>
      </c>
      <c r="I15" s="37" t="n">
        <f aca="false">I13/I11</f>
        <v>0.187454649608991</v>
      </c>
      <c r="J15" s="37" t="n">
        <f aca="false">J13/J11</f>
        <v>0.187454649608991</v>
      </c>
      <c r="K15" s="37" t="n">
        <f aca="false">K13/K11</f>
        <v>0.187454649608991</v>
      </c>
      <c r="L15" s="37" t="n">
        <f aca="false">L13/L11</f>
        <v>0.187454649608991</v>
      </c>
      <c r="M15" s="37" t="n">
        <f aca="false">M13/M11</f>
        <v>0.187454649608991</v>
      </c>
    </row>
    <row r="16" customFormat="false" ht="15" hidden="false" customHeight="false" outlineLevel="0" collapsed="false">
      <c r="A16" s="49" t="s">
        <v>399</v>
      </c>
      <c r="B16" s="32"/>
      <c r="C16" s="37" t="n">
        <f aca="false">C10/$C$10</f>
        <v>1</v>
      </c>
      <c r="D16" s="37" t="n">
        <f aca="false">D10/$C$10</f>
        <v>0.442951724569705</v>
      </c>
      <c r="E16" s="37" t="n">
        <f aca="false">E10/$C$10</f>
        <v>0.292683817583255</v>
      </c>
      <c r="F16" s="37" t="n">
        <f aca="false">F10/$C$10</f>
        <v>0.622572011415394</v>
      </c>
      <c r="G16" s="37" t="n">
        <f aca="false">G10/$C$10</f>
        <v>0.0516249197844223</v>
      </c>
      <c r="H16" s="37" t="n">
        <f aca="false">H10/$C$10</f>
        <v>0.0975982014754449</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400</v>
      </c>
      <c r="B17" s="39" t="s">
        <v>401</v>
      </c>
      <c r="C17" s="37" t="n">
        <f aca="false">C11/$C$11</f>
        <v>1</v>
      </c>
      <c r="D17" s="37" t="n">
        <f aca="false">D11/$C$11</f>
        <v>0.386872585848574</v>
      </c>
      <c r="E17" s="37" t="n">
        <f aca="false">E11/$C$11</f>
        <v>0.294646691732698</v>
      </c>
      <c r="F17" s="37" t="n">
        <f aca="false">F11/$C$11</f>
        <v>0.600748798294108</v>
      </c>
      <c r="G17" s="37" t="n">
        <f aca="false">G11/$C$11</f>
        <v>0.0561294136967845</v>
      </c>
      <c r="H17" s="37" t="n">
        <f aca="false">H11/$C$11</f>
        <v>0.102092331208325</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402</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798.508459483526</v>
      </c>
      <c r="H18" s="34" t="n">
        <f aca="false">H13/H12</f>
        <v>761.328298533985</v>
      </c>
      <c r="I18" s="34" t="n">
        <f aca="false">I13/I12</f>
        <v>760.968765436212</v>
      </c>
      <c r="J18" s="34" t="n">
        <f aca="false">J13/J12</f>
        <v>761.017015813667</v>
      </c>
      <c r="K18" s="34" t="n">
        <f aca="false">K13/K12</f>
        <v>760.99490029782</v>
      </c>
      <c r="L18" s="34" t="n">
        <f aca="false">L13/L12</f>
        <v>760.99490029782</v>
      </c>
      <c r="M18" s="34" t="n">
        <f aca="false">M13/M12</f>
        <v>761.006400205643</v>
      </c>
    </row>
    <row r="21" customFormat="false" ht="15" hidden="false" customHeight="false" outlineLevel="0" collapsed="false">
      <c r="A21" s="4" t="s">
        <v>403</v>
      </c>
    </row>
    <row r="22" customFormat="false" ht="15" hidden="false" customHeight="false" outlineLevel="0" collapsed="false">
      <c r="A22" s="26" t="s">
        <v>404</v>
      </c>
      <c r="B22" s="52"/>
      <c r="C22" s="47" t="s">
        <v>366</v>
      </c>
      <c r="D22" s="28" t="s">
        <v>367</v>
      </c>
      <c r="E22" s="29" t="s">
        <v>368</v>
      </c>
      <c r="F22" s="30" t="s">
        <v>369</v>
      </c>
      <c r="G22" s="27" t="s">
        <v>370</v>
      </c>
    </row>
    <row r="23" customFormat="false" ht="15" hidden="false" customHeight="false" outlineLevel="0" collapsed="false">
      <c r="A23" s="51" t="s">
        <v>405</v>
      </c>
      <c r="B23" s="32"/>
      <c r="C23" s="37" t="n">
        <v>0.285281778578461</v>
      </c>
      <c r="D23" s="37" t="n">
        <v>0.29932871928721</v>
      </c>
      <c r="E23" s="37" t="n">
        <v>0.293979604352465</v>
      </c>
      <c r="F23" s="37" t="n">
        <v>0.211481706146496</v>
      </c>
      <c r="G23" s="37" t="n">
        <v>0.178406448277226</v>
      </c>
    </row>
    <row r="24" customFormat="false" ht="15" hidden="false" customHeight="false" outlineLevel="0" collapsed="false">
      <c r="A24" s="49" t="s">
        <v>406</v>
      </c>
      <c r="B24" s="32"/>
      <c r="C24" s="37" t="n">
        <v>0.533839232477212</v>
      </c>
      <c r="D24" s="37" t="n">
        <v>0.351384419501267</v>
      </c>
      <c r="E24" s="37" t="n">
        <v>0.321055426461016</v>
      </c>
      <c r="F24" s="37" t="n">
        <v>0.418945187380303</v>
      </c>
      <c r="G24" s="37" t="n">
        <v>0.416138300435981</v>
      </c>
    </row>
    <row r="25" customFormat="false" ht="15" hidden="false" customHeight="false" outlineLevel="0" collapsed="false">
      <c r="A25" s="49" t="s">
        <v>407</v>
      </c>
      <c r="B25" s="32"/>
      <c r="C25" s="37" t="n">
        <v>0.092163721090468</v>
      </c>
      <c r="D25" s="37" t="n">
        <v>0.0783654906739948</v>
      </c>
      <c r="E25" s="37" t="n">
        <v>0.0782893094608897</v>
      </c>
      <c r="F25" s="37" t="n">
        <v>0.15216207184372</v>
      </c>
      <c r="G25" s="37" t="n">
        <v>0.155407191616702</v>
      </c>
    </row>
    <row r="26" customFormat="false" ht="15" hidden="false" customHeight="false" outlineLevel="0" collapsed="false">
      <c r="A26" s="51" t="s">
        <v>408</v>
      </c>
      <c r="B26" s="32"/>
      <c r="C26" s="37" t="n">
        <v>0</v>
      </c>
      <c r="D26" s="37" t="n">
        <v>0.236180719219954</v>
      </c>
      <c r="E26" s="37" t="n">
        <v>0.232523476379789</v>
      </c>
      <c r="F26" s="37" t="n">
        <v>0.143011090432739</v>
      </c>
      <c r="G26" s="37" t="n">
        <v>0.183418083318184</v>
      </c>
    </row>
    <row r="27" customFormat="false" ht="15" hidden="false" customHeight="false" outlineLevel="0" collapsed="false">
      <c r="A27" s="51" t="s">
        <v>409</v>
      </c>
      <c r="B27" s="32"/>
      <c r="C27" s="37" t="n">
        <v>0.0332721164938797</v>
      </c>
      <c r="D27" s="37" t="n">
        <v>0.034740651317575</v>
      </c>
      <c r="E27" s="37" t="n">
        <v>0.0741521833458396</v>
      </c>
      <c r="F27" s="37" t="n">
        <v>0.0743999441967424</v>
      </c>
      <c r="G27" s="37" t="n">
        <v>0.0666299763519067</v>
      </c>
    </row>
    <row r="28" customFormat="false" ht="15" hidden="false" customHeight="false" outlineLevel="0" collapsed="false">
      <c r="A28" s="49" t="s">
        <v>410</v>
      </c>
      <c r="B28" s="32"/>
      <c r="C28" s="37" t="n">
        <v>0.0554431513599791</v>
      </c>
      <c r="D28" s="37" t="n">
        <v>0</v>
      </c>
      <c r="E28" s="37" t="n">
        <v>0</v>
      </c>
      <c r="F28" s="37" t="n">
        <v>0</v>
      </c>
      <c r="G28" s="37" t="n">
        <v>0</v>
      </c>
    </row>
    <row r="29" customFormat="false" ht="15" hidden="false" customHeight="false" outlineLevel="0" collapsed="false">
      <c r="A29" s="49" t="s">
        <v>411</v>
      </c>
      <c r="B29" s="32"/>
      <c r="C29" s="37" t="n">
        <v>0</v>
      </c>
      <c r="D29" s="37" t="n">
        <v>0</v>
      </c>
      <c r="E29" s="37" t="n">
        <v>0</v>
      </c>
      <c r="F29" s="37" t="n">
        <v>0</v>
      </c>
      <c r="G29" s="37" t="n">
        <v>0</v>
      </c>
    </row>
    <row r="30" customFormat="false" ht="15" hidden="false" customHeight="false" outlineLevel="0" collapsed="false">
      <c r="A30" s="41" t="s">
        <v>412</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413</v>
      </c>
    </row>
    <row r="33" customFormat="false" ht="25.35" hidden="false" customHeight="false" outlineLevel="0" collapsed="false">
      <c r="A33" s="26" t="s">
        <v>414</v>
      </c>
      <c r="B33" s="26"/>
      <c r="C33" s="26" t="s">
        <v>415</v>
      </c>
      <c r="D33" s="26" t="s">
        <v>416</v>
      </c>
      <c r="E33" s="26" t="s">
        <v>417</v>
      </c>
      <c r="F33" s="25" t="s">
        <v>418</v>
      </c>
      <c r="G33" s="26" t="s">
        <v>419</v>
      </c>
    </row>
    <row r="34" customFormat="false" ht="15" hidden="false" customHeight="false" outlineLevel="0" collapsed="false">
      <c r="A34" s="53" t="s">
        <v>366</v>
      </c>
      <c r="B34" s="32"/>
      <c r="C34" s="35" t="n">
        <v>332</v>
      </c>
      <c r="D34" s="35" t="n">
        <v>332</v>
      </c>
      <c r="E34" s="37" t="n">
        <v>1</v>
      </c>
      <c r="F34" s="37" t="n">
        <v>0.293384821569414</v>
      </c>
      <c r="G34" s="33" t="s">
        <v>420</v>
      </c>
    </row>
    <row r="35" customFormat="false" ht="15" hidden="false" customHeight="false" outlineLevel="0" collapsed="false">
      <c r="A35" s="53" t="s">
        <v>367</v>
      </c>
      <c r="B35" s="32"/>
      <c r="C35" s="35" t="n">
        <v>416</v>
      </c>
      <c r="D35" s="35" t="n">
        <v>85</v>
      </c>
      <c r="E35" s="37" t="n">
        <v>0.21496477042646</v>
      </c>
      <c r="F35" s="37" t="n">
        <v>0.30892058625606</v>
      </c>
      <c r="G35" s="54" t="s">
        <v>421</v>
      </c>
    </row>
    <row r="36" customFormat="false" ht="15" hidden="false" customHeight="false" outlineLevel="0" collapsed="false">
      <c r="A36" s="53" t="s">
        <v>368</v>
      </c>
      <c r="B36" s="32"/>
      <c r="C36" s="35" t="n">
        <v>435</v>
      </c>
      <c r="D36" s="35" t="n">
        <v>19</v>
      </c>
      <c r="E36" s="37" t="n">
        <v>0.152541654459953</v>
      </c>
      <c r="F36" s="37" t="n">
        <v>0.246300458223063</v>
      </c>
      <c r="G36" s="33" t="s">
        <v>422</v>
      </c>
    </row>
    <row r="37" customFormat="false" ht="15" hidden="false" customHeight="false" outlineLevel="0" collapsed="false">
      <c r="A37" s="53" t="s">
        <v>369</v>
      </c>
      <c r="B37" s="32"/>
      <c r="C37" s="35" t="n">
        <v>515</v>
      </c>
      <c r="D37" s="35" t="n">
        <v>106</v>
      </c>
      <c r="E37" s="37" t="n">
        <v>0.195341422491579</v>
      </c>
      <c r="F37" s="37" t="n">
        <v>0.20603009978319</v>
      </c>
      <c r="G37" s="33" t="s">
        <v>423</v>
      </c>
    </row>
    <row r="38" customFormat="false" ht="15" hidden="false" customHeight="false" outlineLevel="0" collapsed="false">
      <c r="A38" s="53" t="s">
        <v>370</v>
      </c>
      <c r="B38" s="32"/>
      <c r="C38" s="35" t="n">
        <v>382</v>
      </c>
      <c r="D38" s="35" t="n">
        <v>0</v>
      </c>
      <c r="E38" s="37" t="n">
        <v>0</v>
      </c>
      <c r="F38" s="37" t="n">
        <v>0.178406448277226</v>
      </c>
      <c r="G38" s="33" t="s">
        <v>424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425</v>
      </c>
    </row>
    <row r="2" customFormat="false" ht="15" hidden="false" customHeight="false" outlineLevel="0" collapsed="false">
      <c r="A2" s="3" t="s">
        <v>426</v>
      </c>
    </row>
    <row r="3" customFormat="false" ht="15" hidden="false" customHeight="false" outlineLevel="0" collapsed="false">
      <c r="A3" s="3" t="s">
        <v>427</v>
      </c>
    </row>
    <row r="4" customFormat="false" ht="15" hidden="false" customHeight="false" outlineLevel="0" collapsed="false">
      <c r="A4" s="3" t="s">
        <v>428</v>
      </c>
    </row>
    <row r="5" customFormat="false" ht="15" hidden="false" customHeight="false" outlineLevel="0" collapsed="false">
      <c r="A5" s="4" t="s">
        <v>429</v>
      </c>
    </row>
    <row r="6" customFormat="false" ht="25.35" hidden="false" customHeight="false" outlineLevel="0" collapsed="false">
      <c r="A6" s="48" t="s">
        <v>414</v>
      </c>
      <c r="B6" s="48" t="s">
        <v>377</v>
      </c>
      <c r="C6" s="48" t="s">
        <v>430</v>
      </c>
      <c r="D6" s="48" t="s">
        <v>431</v>
      </c>
      <c r="E6" s="48" t="s">
        <v>432</v>
      </c>
      <c r="F6" s="55" t="s">
        <v>433</v>
      </c>
      <c r="G6" s="55" t="s">
        <v>434</v>
      </c>
      <c r="H6" s="48" t="s">
        <v>435</v>
      </c>
    </row>
    <row r="7" customFormat="false" ht="15" hidden="false" customHeight="false" outlineLevel="0" collapsed="false">
      <c r="A7" s="49" t="s">
        <v>372</v>
      </c>
      <c r="B7" s="32" t="s">
        <v>436</v>
      </c>
      <c r="C7" s="32" t="n">
        <v>18</v>
      </c>
      <c r="D7" s="37" t="n">
        <f aca="false">前提・入力!$B$23</f>
        <v>0.11</v>
      </c>
      <c r="E7" s="34" t="n">
        <f aca="false">前提・入力!$B$12*D7</f>
        <v>39401331.75</v>
      </c>
      <c r="F7" s="34" t="n">
        <f aca="false">E7*前提・入力!$B$30</f>
        <v>7385962.83732387</v>
      </c>
      <c r="G7" s="35" t="n">
        <f aca="false">ROUND(F7/前提・入力!$B$31,0)</f>
        <v>9706</v>
      </c>
      <c r="H7" s="33" t="s">
        <v>437</v>
      </c>
    </row>
    <row r="8" customFormat="false" ht="15" hidden="false" customHeight="false" outlineLevel="0" collapsed="false">
      <c r="A8" s="49" t="s">
        <v>438</v>
      </c>
      <c r="B8" s="32" t="s">
        <v>439</v>
      </c>
      <c r="C8" s="32" t="n">
        <v>30</v>
      </c>
      <c r="D8" s="37" t="n">
        <f aca="false">前提・入力!$B$24</f>
        <v>0.13</v>
      </c>
      <c r="E8" s="34" t="n">
        <f aca="false">前提・入力!$B$12*D8</f>
        <v>46565210.25</v>
      </c>
      <c r="F8" s="34" t="n">
        <f aca="false">E8*前提・入力!$B$30</f>
        <v>8728865.17138276</v>
      </c>
      <c r="G8" s="35" t="n">
        <f aca="false">ROUND(F8/前提・入力!$B$31,0)</f>
        <v>11470</v>
      </c>
      <c r="H8" s="33" t="s">
        <v>440</v>
      </c>
    </row>
    <row r="9" customFormat="false" ht="15" hidden="false" customHeight="false" outlineLevel="0" collapsed="false">
      <c r="A9" s="49" t="s">
        <v>374</v>
      </c>
      <c r="B9" s="32" t="s">
        <v>441</v>
      </c>
      <c r="C9" s="32" t="n">
        <v>21</v>
      </c>
      <c r="D9" s="37" t="n">
        <f aca="false">前提・入力!$B$25</f>
        <v>0.12</v>
      </c>
      <c r="E9" s="34" t="n">
        <f aca="false">前提・入力!$B$12*D9</f>
        <v>42983271</v>
      </c>
      <c r="F9" s="34" t="n">
        <f aca="false">E9*前提・入力!$B$30</f>
        <v>8057414.00435332</v>
      </c>
      <c r="G9" s="35" t="n">
        <f aca="false">ROUND(F9/前提・入力!$B$31,0)</f>
        <v>10588</v>
      </c>
      <c r="H9" s="33" t="s">
        <v>442</v>
      </c>
    </row>
    <row r="10" customFormat="false" ht="15" hidden="false" customHeight="false" outlineLevel="0" collapsed="false">
      <c r="A10" s="49" t="s">
        <v>375</v>
      </c>
      <c r="B10" s="32" t="s">
        <v>443</v>
      </c>
      <c r="C10" s="32" t="n">
        <v>21</v>
      </c>
      <c r="D10" s="37" t="n">
        <f aca="false">前提・入力!$B$26</f>
        <v>0.09</v>
      </c>
      <c r="E10" s="34" t="n">
        <f aca="false">前提・入力!$B$12*D10</f>
        <v>32237453.25</v>
      </c>
      <c r="F10" s="34" t="n">
        <f aca="false">E10*前提・入力!$B$30</f>
        <v>6043060.50326499</v>
      </c>
      <c r="G10" s="35" t="n">
        <f aca="false">ROUND(F10/前提・入力!$B$31,0)</f>
        <v>7941</v>
      </c>
      <c r="H10" s="33" t="s">
        <v>437</v>
      </c>
    </row>
    <row r="11" customFormat="false" ht="15" hidden="false" customHeight="false" outlineLevel="0" collapsed="false">
      <c r="A11" s="49" t="s">
        <v>376</v>
      </c>
      <c r="B11" s="32" t="s">
        <v>444</v>
      </c>
      <c r="C11" s="32" t="n">
        <v>25</v>
      </c>
      <c r="D11" s="37" t="n">
        <f aca="false">前提・入力!$B$27</f>
        <v>0.5</v>
      </c>
      <c r="E11" s="34" t="n">
        <f aca="false">前提・入力!$B$12*D11</f>
        <v>179096962.5</v>
      </c>
      <c r="F11" s="34" t="n">
        <f aca="false">E11*前提・入力!$B$30</f>
        <v>33572558.3514722</v>
      </c>
      <c r="G11" s="35" t="n">
        <f aca="false">ROUND(F11/前提・入力!$B$31,0)</f>
        <v>44116</v>
      </c>
      <c r="H11" s="33" t="s">
        <v>445</v>
      </c>
    </row>
    <row r="12" customFormat="false" ht="15" hidden="false" customHeight="false" outlineLevel="0" collapsed="false">
      <c r="A12" s="41" t="s">
        <v>446</v>
      </c>
      <c r="B12" s="40"/>
      <c r="C12" s="40"/>
      <c r="D12" s="45" t="n">
        <f aca="false">SUM(D7:D11)</f>
        <v>0.95</v>
      </c>
      <c r="E12" s="44" t="n">
        <f aca="false">SUM(E7:E11)</f>
        <v>340284228.75</v>
      </c>
      <c r="F12" s="44" t="n">
        <f aca="false">SUM(F7:F11)</f>
        <v>63787860.8677971</v>
      </c>
      <c r="G12" s="42" t="n">
        <f aca="false">SUM(G7:G11)</f>
        <v>83821</v>
      </c>
      <c r="H12" s="41"/>
    </row>
    <row r="14" customFormat="false" ht="15" hidden="false" customHeight="false" outlineLevel="0" collapsed="false">
      <c r="A14" s="4" t="s">
        <v>447</v>
      </c>
    </row>
    <row r="15" customFormat="false" ht="15" hidden="false" customHeight="false" outlineLevel="0" collapsed="false">
      <c r="A15" s="5" t="s">
        <v>448</v>
      </c>
      <c r="B15" s="22" t="n">
        <v>274688</v>
      </c>
      <c r="C15" s="12" t="s">
        <v>449</v>
      </c>
    </row>
    <row r="16" customFormat="false" ht="15" hidden="false" customHeight="false" outlineLevel="0" collapsed="false">
      <c r="A16" s="5" t="s">
        <v>450</v>
      </c>
      <c r="B16" s="22" t="n">
        <f aca="false">①札幌予測確定!S49</f>
        <v>50196</v>
      </c>
      <c r="C16" s="12" t="s">
        <v>451</v>
      </c>
    </row>
    <row r="17" customFormat="false" ht="15" hidden="false" customHeight="false" outlineLevel="0" collapsed="false">
      <c r="A17" s="5" t="s">
        <v>452</v>
      </c>
      <c r="B17" s="22" t="n">
        <f aca="false">B15-B16</f>
        <v>224492</v>
      </c>
      <c r="C17" s="12" t="s">
        <v>453</v>
      </c>
    </row>
    <row r="18" customFormat="false" ht="15" hidden="false" customHeight="false" outlineLevel="0" collapsed="false">
      <c r="A18" s="5" t="s">
        <v>454</v>
      </c>
      <c r="B18" s="22" t="n">
        <f aca="false">①札幌予測確定!P49</f>
        <v>9004</v>
      </c>
      <c r="C18" s="12"/>
    </row>
    <row r="19" customFormat="false" ht="15" hidden="false" customHeight="false" outlineLevel="0" collapsed="false">
      <c r="A19" s="5" t="s">
        <v>455</v>
      </c>
      <c r="B19" s="22" t="n">
        <f aca="false">R71</f>
        <v>130</v>
      </c>
      <c r="C19" s="12" t="s">
        <v>456</v>
      </c>
    </row>
    <row r="20" customFormat="false" ht="15" hidden="false" customHeight="false" outlineLevel="0" collapsed="false">
      <c r="A20" s="5" t="s">
        <v>457</v>
      </c>
      <c r="B20" s="22" t="n">
        <f aca="false">①札幌予測確定!U49</f>
        <v>41322</v>
      </c>
      <c r="C20" s="12" t="s">
        <v>458</v>
      </c>
    </row>
    <row r="21" customFormat="false" ht="15" hidden="false" customHeight="false" outlineLevel="0" collapsed="false">
      <c r="A21" s="5" t="s">
        <v>459</v>
      </c>
      <c r="B21" s="22" t="n">
        <f aca="false">B20*前提・入力!$B$37</f>
        <v>41322</v>
      </c>
      <c r="C21" s="12" t="s">
        <v>460</v>
      </c>
    </row>
    <row r="22" customFormat="false" ht="15" hidden="false" customHeight="false" outlineLevel="0" collapsed="false">
      <c r="A22" s="5" t="s">
        <v>461</v>
      </c>
      <c r="B22" s="56" t="n">
        <f aca="false">B17-B19+B21</f>
        <v>265684</v>
      </c>
      <c r="C22" s="12" t="s">
        <v>462</v>
      </c>
    </row>
    <row r="23" customFormat="false" ht="15" hidden="false" customHeight="false" outlineLevel="0" collapsed="false">
      <c r="A23" s="5" t="s">
        <v>463</v>
      </c>
      <c r="B23" s="22" t="n">
        <f aca="false">G12</f>
        <v>83821</v>
      </c>
      <c r="C23" s="12"/>
    </row>
    <row r="24" customFormat="false" ht="15" hidden="false" customHeight="false" outlineLevel="0" collapsed="false">
      <c r="A24" s="5" t="s">
        <v>464</v>
      </c>
      <c r="B24" s="57" t="n">
        <f aca="false">B22-B23</f>
        <v>181863</v>
      </c>
      <c r="C24" s="12" t="s">
        <v>465</v>
      </c>
    </row>
    <row r="25" customFormat="false" ht="15" hidden="false" customHeight="false" outlineLevel="0" collapsed="false">
      <c r="A25" s="5" t="s">
        <v>466</v>
      </c>
      <c r="B25" s="58" t="n">
        <f aca="false">V71</f>
        <v>3554</v>
      </c>
      <c r="C25" s="12" t="s">
        <v>467</v>
      </c>
    </row>
    <row r="27" customFormat="false" ht="15" hidden="false" customHeight="false" outlineLevel="0" collapsed="false">
      <c r="A27" s="4" t="s">
        <v>468</v>
      </c>
    </row>
    <row r="28" customFormat="false" ht="42" hidden="false" customHeight="true" outlineLevel="0" collapsed="false">
      <c r="A28" s="25" t="s">
        <v>253</v>
      </c>
      <c r="B28" s="25" t="s">
        <v>254</v>
      </c>
      <c r="C28" s="26" t="s">
        <v>255</v>
      </c>
      <c r="D28" s="30" t="s">
        <v>469</v>
      </c>
      <c r="E28" s="30" t="s">
        <v>470</v>
      </c>
      <c r="F28" s="27" t="s">
        <v>471</v>
      </c>
      <c r="G28" s="27" t="s">
        <v>472</v>
      </c>
      <c r="H28" s="17" t="s">
        <v>473</v>
      </c>
      <c r="I28" s="48" t="s">
        <v>474</v>
      </c>
      <c r="J28" s="48" t="s">
        <v>475</v>
      </c>
      <c r="K28" s="48" t="s">
        <v>476</v>
      </c>
      <c r="L28" s="48" t="s">
        <v>477</v>
      </c>
      <c r="M28" s="48" t="s">
        <v>478</v>
      </c>
      <c r="N28" s="31" t="s">
        <v>479</v>
      </c>
      <c r="O28" s="59" t="s">
        <v>480</v>
      </c>
      <c r="P28" s="59" t="s">
        <v>481</v>
      </c>
      <c r="Q28" s="59" t="s">
        <v>482</v>
      </c>
      <c r="R28" s="60" t="s">
        <v>483</v>
      </c>
      <c r="S28" s="31" t="s">
        <v>484</v>
      </c>
      <c r="T28" s="31" t="s">
        <v>485</v>
      </c>
      <c r="U28" s="31" t="s">
        <v>486</v>
      </c>
      <c r="V28" s="31" t="s">
        <v>487</v>
      </c>
      <c r="W28" s="31" t="s">
        <v>488</v>
      </c>
    </row>
    <row r="29" customFormat="false" ht="15" hidden="false" customHeight="false" outlineLevel="0" collapsed="false">
      <c r="A29" s="32" t="n">
        <v>1</v>
      </c>
      <c r="B29" s="32" t="s">
        <v>276</v>
      </c>
      <c r="C29" s="33" t="s">
        <v>277</v>
      </c>
      <c r="D29" s="35" t="n">
        <v>2325</v>
      </c>
      <c r="E29" s="61" t="n">
        <f aca="false">IFERROR(D29/D$71,0)</f>
        <v>0.0364763100094132</v>
      </c>
      <c r="F29" s="35" t="n">
        <f aca="false">①札幌予測確定!P7</f>
        <v>460</v>
      </c>
      <c r="G29" s="61" t="n">
        <f aca="false">IFERROR(F29/F$71,0)</f>
        <v>0.0510884051532652</v>
      </c>
      <c r="H29" s="61" t="n">
        <f aca="false">E29*前提・入力!$B$32+G29*前提・入力!$B$33</f>
        <v>0.0437823575813392</v>
      </c>
      <c r="I29" s="35" t="n">
        <f aca="false">ROUND($H29*③石川以降予測!$G$7,0)</f>
        <v>425</v>
      </c>
      <c r="J29" s="35" t="n">
        <f aca="false">ROUND($H29*③石川以降予測!$G$8,0)</f>
        <v>502</v>
      </c>
      <c r="K29" s="35" t="n">
        <f aca="false">ROUND($H29*③石川以降予測!$G$9,0)</f>
        <v>464</v>
      </c>
      <c r="L29" s="35" t="n">
        <f aca="false">ROUND($H29*③石川以降予測!$G$10,0)</f>
        <v>348</v>
      </c>
      <c r="M29" s="35" t="n">
        <f aca="false">ROUND($H29*③石川以降予測!$G$11,0)</f>
        <v>1932</v>
      </c>
      <c r="N29" s="35" t="n">
        <f aca="false">SUM(I29:M29)</f>
        <v>3671</v>
      </c>
      <c r="O29" s="35" t="n">
        <v>3264</v>
      </c>
      <c r="P29" s="35" t="n">
        <f aca="false">①札幌予測確定!S7</f>
        <v>1000</v>
      </c>
      <c r="Q29" s="35" t="n">
        <f aca="false">O29-P29</f>
        <v>2264</v>
      </c>
      <c r="R29" s="35" t="n">
        <f aca="false">MAX(0,①札幌予測確定!P7-①札幌予測確定!S7)</f>
        <v>0</v>
      </c>
      <c r="S29" s="35" t="n">
        <f aca="false">ROUND(①札幌予測確定!U7*前提・入力!$B$37,0)</f>
        <v>540</v>
      </c>
      <c r="T29" s="35" t="n">
        <f aca="false">Q29-R29+S29</f>
        <v>2804</v>
      </c>
      <c r="U29" s="38" t="n">
        <f aca="false">N29-T29</f>
        <v>867</v>
      </c>
      <c r="V29" s="35" t="n">
        <f aca="false">MAX(0,U29)</f>
        <v>867</v>
      </c>
      <c r="W29" s="35" t="n">
        <f aca="false">IF(V29&gt;0,ROUNDUP(V29*(1+前提・入力!$B$35),0),0)</f>
        <v>954</v>
      </c>
    </row>
    <row r="30" customFormat="false" ht="15" hidden="false" customHeight="false" outlineLevel="0" collapsed="false">
      <c r="A30" s="32" t="n">
        <v>2</v>
      </c>
      <c r="B30" s="32" t="s">
        <v>278</v>
      </c>
      <c r="C30" s="33" t="s">
        <v>279</v>
      </c>
      <c r="D30" s="35" t="n">
        <v>1965</v>
      </c>
      <c r="E30" s="61" t="n">
        <f aca="false">IFERROR(D30/D$71,0)</f>
        <v>0.0308283652337622</v>
      </c>
      <c r="F30" s="35" t="n">
        <f aca="false">①札幌予測確定!P8</f>
        <v>520</v>
      </c>
      <c r="G30" s="61" t="n">
        <f aca="false">IFERROR(F30/F$71,0)</f>
        <v>0.0577521101732563</v>
      </c>
      <c r="H30" s="61" t="n">
        <f aca="false">E30*前提・入力!$B$32+G30*前提・入力!$B$33</f>
        <v>0.0442902377035093</v>
      </c>
      <c r="I30" s="35" t="n">
        <f aca="false">ROUND($H30*③石川以降予測!$G$7,0)</f>
        <v>430</v>
      </c>
      <c r="J30" s="35" t="n">
        <f aca="false">ROUND($H30*③石川以降予測!$G$8,0)</f>
        <v>508</v>
      </c>
      <c r="K30" s="35" t="n">
        <f aca="false">ROUND($H30*③石川以降予測!$G$9,0)</f>
        <v>469</v>
      </c>
      <c r="L30" s="35" t="n">
        <f aca="false">ROUND($H30*③石川以降予測!$G$10,0)</f>
        <v>352</v>
      </c>
      <c r="M30" s="35" t="n">
        <f aca="false">ROUND($H30*③石川以降予測!$G$11,0)</f>
        <v>1954</v>
      </c>
      <c r="N30" s="35" t="n">
        <f aca="false">SUM(I30:M30)</f>
        <v>3713</v>
      </c>
      <c r="O30" s="35" t="n">
        <v>5037</v>
      </c>
      <c r="P30" s="35" t="n">
        <f aca="false">①札幌予測確定!S8</f>
        <v>1000</v>
      </c>
      <c r="Q30" s="35" t="n">
        <f aca="false">O30-P30</f>
        <v>4037</v>
      </c>
      <c r="R30" s="35" t="n">
        <f aca="false">MAX(0,①札幌予測確定!P8-①札幌予測確定!S8)</f>
        <v>0</v>
      </c>
      <c r="S30" s="35" t="n">
        <f aca="false">ROUND(①札幌予測確定!U8*前提・入力!$B$37,0)</f>
        <v>480</v>
      </c>
      <c r="T30" s="35" t="n">
        <f aca="false">Q30-R30+S30</f>
        <v>4517</v>
      </c>
      <c r="U30" s="38" t="n">
        <f aca="false">N30-T30</f>
        <v>-804</v>
      </c>
      <c r="V30" s="35" t="n">
        <f aca="false">MAX(0,U30)</f>
        <v>0</v>
      </c>
      <c r="W30" s="35" t="n">
        <f aca="false">IF(V30&gt;0,ROUNDUP(V30*(1+前提・入力!$B$35),0),0)</f>
        <v>0</v>
      </c>
    </row>
    <row r="31" customFormat="false" ht="15" hidden="false" customHeight="false" outlineLevel="0" collapsed="false">
      <c r="A31" s="32" t="n">
        <v>3</v>
      </c>
      <c r="B31" s="32" t="s">
        <v>280</v>
      </c>
      <c r="C31" s="33" t="s">
        <v>281</v>
      </c>
      <c r="D31" s="35" t="n">
        <v>1132</v>
      </c>
      <c r="E31" s="61" t="n">
        <f aca="false">IFERROR(D31/D$71,0)</f>
        <v>0.0177596485723251</v>
      </c>
      <c r="F31" s="35" t="n">
        <f aca="false">①札幌予測確定!P9</f>
        <v>158</v>
      </c>
      <c r="G31" s="61" t="n">
        <f aca="false">IFERROR(F31/F$71,0)</f>
        <v>0.0175477565526433</v>
      </c>
      <c r="H31" s="61" t="n">
        <f aca="false">E31*前提・入力!$B$32+G31*前提・入力!$B$33</f>
        <v>0.0176537025624842</v>
      </c>
      <c r="I31" s="35" t="n">
        <f aca="false">ROUND($H31*③石川以降予測!$G$7,0)</f>
        <v>171</v>
      </c>
      <c r="J31" s="35" t="n">
        <f aca="false">ROUND($H31*③石川以降予測!$G$8,0)</f>
        <v>202</v>
      </c>
      <c r="K31" s="35" t="n">
        <f aca="false">ROUND($H31*③石川以降予測!$G$9,0)</f>
        <v>187</v>
      </c>
      <c r="L31" s="35" t="n">
        <f aca="false">ROUND($H31*③石川以降予測!$G$10,0)</f>
        <v>140</v>
      </c>
      <c r="M31" s="35" t="n">
        <f aca="false">ROUND($H31*③石川以降予測!$G$11,0)</f>
        <v>779</v>
      </c>
      <c r="N31" s="35" t="n">
        <f aca="false">SUM(I31:M31)</f>
        <v>1479</v>
      </c>
      <c r="O31" s="35" t="n">
        <v>6140</v>
      </c>
      <c r="P31" s="35" t="n">
        <f aca="false">①札幌予測確定!S9</f>
        <v>450</v>
      </c>
      <c r="Q31" s="35" t="n">
        <f aca="false">O31-P31</f>
        <v>5690</v>
      </c>
      <c r="R31" s="35" t="n">
        <f aca="false">MAX(0,①札幌予測確定!P9-①札幌予測確定!S9)</f>
        <v>0</v>
      </c>
      <c r="S31" s="35" t="n">
        <f aca="false">ROUND(①札幌予測確定!U9*前提・入力!$B$37,0)</f>
        <v>292</v>
      </c>
      <c r="T31" s="35" t="n">
        <f aca="false">Q31-R31+S31</f>
        <v>5982</v>
      </c>
      <c r="U31" s="38" t="n">
        <f aca="false">N31-T31</f>
        <v>-4503</v>
      </c>
      <c r="V31" s="35" t="n">
        <f aca="false">MAX(0,U31)</f>
        <v>0</v>
      </c>
      <c r="W31" s="35" t="n">
        <f aca="false">IF(V31&gt;0,ROUNDUP(V31*(1+前提・入力!$B$35),0),0)</f>
        <v>0</v>
      </c>
    </row>
    <row r="32" customFormat="false" ht="15" hidden="false" customHeight="false" outlineLevel="0" collapsed="false">
      <c r="A32" s="32" t="n">
        <v>4</v>
      </c>
      <c r="B32" s="32" t="s">
        <v>282</v>
      </c>
      <c r="C32" s="33" t="s">
        <v>283</v>
      </c>
      <c r="D32" s="35" t="n">
        <v>1310</v>
      </c>
      <c r="E32" s="61" t="n">
        <f aca="false">IFERROR(D32/D$71,0)</f>
        <v>0.0205522434891748</v>
      </c>
      <c r="F32" s="35" t="n">
        <f aca="false">①札幌予測確定!P10</f>
        <v>230</v>
      </c>
      <c r="G32" s="61" t="n">
        <f aca="false">IFERROR(F32/F$71,0)</f>
        <v>0.0255442025766326</v>
      </c>
      <c r="H32" s="61" t="n">
        <f aca="false">E32*前提・入力!$B$32+G32*前提・入力!$B$33</f>
        <v>0.0230482230329037</v>
      </c>
      <c r="I32" s="35" t="n">
        <f aca="false">ROUND($H32*③石川以降予測!$G$7,0)</f>
        <v>224</v>
      </c>
      <c r="J32" s="35" t="n">
        <f aca="false">ROUND($H32*③石川以降予測!$G$8,0)</f>
        <v>264</v>
      </c>
      <c r="K32" s="35" t="n">
        <f aca="false">ROUND($H32*③石川以降予測!$G$9,0)</f>
        <v>244</v>
      </c>
      <c r="L32" s="35" t="n">
        <f aca="false">ROUND($H32*③石川以降予測!$G$10,0)</f>
        <v>183</v>
      </c>
      <c r="M32" s="35" t="n">
        <f aca="false">ROUND($H32*③石川以降予測!$G$11,0)</f>
        <v>1017</v>
      </c>
      <c r="N32" s="35" t="n">
        <f aca="false">SUM(I32:M32)</f>
        <v>1932</v>
      </c>
      <c r="O32" s="35" t="n">
        <v>27511</v>
      </c>
      <c r="P32" s="35" t="n">
        <f aca="false">①札幌予測確定!S10</f>
        <v>800</v>
      </c>
      <c r="Q32" s="35" t="n">
        <f aca="false">O32-P32</f>
        <v>26711</v>
      </c>
      <c r="R32" s="35" t="n">
        <f aca="false">MAX(0,①札幌予測確定!P10-①札幌予測確定!S10)</f>
        <v>0</v>
      </c>
      <c r="S32" s="35" t="n">
        <f aca="false">ROUND(①札幌予測確定!U10*前提・入力!$B$37,0)</f>
        <v>570</v>
      </c>
      <c r="T32" s="35" t="n">
        <f aca="false">Q32-R32+S32</f>
        <v>27281</v>
      </c>
      <c r="U32" s="38" t="n">
        <f aca="false">N32-T32</f>
        <v>-25349</v>
      </c>
      <c r="V32" s="35" t="n">
        <f aca="false">MAX(0,U32)</f>
        <v>0</v>
      </c>
      <c r="W32" s="35" t="n">
        <f aca="false">IF(V32&gt;0,ROUNDUP(V32*(1+前提・入力!$B$35),0),0)</f>
        <v>0</v>
      </c>
    </row>
    <row r="33" customFormat="false" ht="15" hidden="false" customHeight="false" outlineLevel="0" collapsed="false">
      <c r="A33" s="32" t="n">
        <v>5</v>
      </c>
      <c r="B33" s="32" t="s">
        <v>284</v>
      </c>
      <c r="C33" s="33" t="s">
        <v>285</v>
      </c>
      <c r="D33" s="35" t="n">
        <v>8936</v>
      </c>
      <c r="E33" s="61" t="n">
        <f aca="false">IFERROR(D33/D$71,0)</f>
        <v>0.14019454032005</v>
      </c>
      <c r="F33" s="35" t="n">
        <f aca="false">①札幌予測確定!P11</f>
        <v>506</v>
      </c>
      <c r="G33" s="61" t="n">
        <f aca="false">IFERROR(F33/F$71,0)</f>
        <v>0.0561972456685917</v>
      </c>
      <c r="H33" s="61" t="n">
        <f aca="false">E33*前提・入力!$B$32+G33*前提・入力!$B$33</f>
        <v>0.098195892994321</v>
      </c>
      <c r="I33" s="35" t="n">
        <f aca="false">ROUND($H33*③石川以降予測!$G$7,0)</f>
        <v>953</v>
      </c>
      <c r="J33" s="35" t="n">
        <f aca="false">ROUND($H33*③石川以降予測!$G$8,0)</f>
        <v>1126</v>
      </c>
      <c r="K33" s="35" t="n">
        <f aca="false">ROUND($H33*③石川以降予測!$G$9,0)</f>
        <v>1040</v>
      </c>
      <c r="L33" s="35" t="n">
        <f aca="false">ROUND($H33*③石川以降予測!$G$10,0)</f>
        <v>780</v>
      </c>
      <c r="M33" s="35" t="n">
        <f aca="false">ROUND($H33*③石川以降予測!$G$11,0)</f>
        <v>4332</v>
      </c>
      <c r="N33" s="35" t="n">
        <f aca="false">SUM(I33:M33)</f>
        <v>8231</v>
      </c>
      <c r="O33" s="35" t="n">
        <v>39825</v>
      </c>
      <c r="P33" s="35" t="n">
        <f aca="false">①札幌予測確定!S11</f>
        <v>9000</v>
      </c>
      <c r="Q33" s="35" t="n">
        <f aca="false">O33-P33</f>
        <v>30825</v>
      </c>
      <c r="R33" s="35" t="n">
        <f aca="false">MAX(0,①札幌予測確定!P11-①札幌予測確定!S11)</f>
        <v>0</v>
      </c>
      <c r="S33" s="35" t="n">
        <f aca="false">ROUND(①札幌予測確定!U11*前提・入力!$B$37,0)</f>
        <v>8494</v>
      </c>
      <c r="T33" s="35" t="n">
        <f aca="false">Q33-R33+S33</f>
        <v>39319</v>
      </c>
      <c r="U33" s="38" t="n">
        <f aca="false">N33-T33</f>
        <v>-31088</v>
      </c>
      <c r="V33" s="35" t="n">
        <f aca="false">MAX(0,U33)</f>
        <v>0</v>
      </c>
      <c r="W33" s="35" t="n">
        <f aca="false">IF(V33&gt;0,ROUNDUP(V33*(1+前提・入力!$B$35),0),0)</f>
        <v>0</v>
      </c>
    </row>
    <row r="34" customFormat="false" ht="15" hidden="false" customHeight="false" outlineLevel="0" collapsed="false">
      <c r="A34" s="32" t="n">
        <v>6</v>
      </c>
      <c r="B34" s="32" t="s">
        <v>286</v>
      </c>
      <c r="C34" s="33" t="s">
        <v>287</v>
      </c>
      <c r="D34" s="35" t="n">
        <v>18611</v>
      </c>
      <c r="E34" s="61" t="n">
        <f aca="false">IFERROR(D34/D$71,0)</f>
        <v>0.291983056165673</v>
      </c>
      <c r="F34" s="35" t="n">
        <f aca="false">①札幌予測確定!P12</f>
        <v>1405</v>
      </c>
      <c r="G34" s="61" t="n">
        <f aca="false">IFERROR(F34/F$71,0)</f>
        <v>0.156041759218125</v>
      </c>
      <c r="H34" s="61" t="n">
        <f aca="false">E34*前提・入力!$B$32+G34*前提・入力!$B$33</f>
        <v>0.224012407691899</v>
      </c>
      <c r="I34" s="35" t="n">
        <f aca="false">ROUND($H34*③石川以降予測!$G$7,0)</f>
        <v>2174</v>
      </c>
      <c r="J34" s="35" t="n">
        <f aca="false">ROUND($H34*③石川以降予測!$G$8,0)</f>
        <v>2569</v>
      </c>
      <c r="K34" s="35" t="n">
        <f aca="false">ROUND($H34*③石川以降予測!$G$9,0)</f>
        <v>2372</v>
      </c>
      <c r="L34" s="35" t="n">
        <f aca="false">ROUND($H34*③石川以降予測!$G$10,0)</f>
        <v>1779</v>
      </c>
      <c r="M34" s="35" t="n">
        <f aca="false">ROUND($H34*③石川以降予測!$G$11,0)</f>
        <v>9883</v>
      </c>
      <c r="N34" s="35" t="n">
        <f aca="false">SUM(I34:M34)</f>
        <v>18777</v>
      </c>
      <c r="O34" s="35" t="n">
        <v>50834</v>
      </c>
      <c r="P34" s="35" t="n">
        <f aca="false">①札幌予測確定!S12</f>
        <v>13991</v>
      </c>
      <c r="Q34" s="35" t="n">
        <f aca="false">O34-P34</f>
        <v>36843</v>
      </c>
      <c r="R34" s="35" t="n">
        <f aca="false">MAX(0,①札幌予測確定!P12-①札幌予測確定!S12)</f>
        <v>0</v>
      </c>
      <c r="S34" s="35" t="n">
        <f aca="false">ROUND(①札幌予測確定!U12*前提・入力!$B$37,0)</f>
        <v>12586</v>
      </c>
      <c r="T34" s="35" t="n">
        <f aca="false">Q34-R34+S34</f>
        <v>49429</v>
      </c>
      <c r="U34" s="38" t="n">
        <f aca="false">N34-T34</f>
        <v>-30652</v>
      </c>
      <c r="V34" s="35" t="n">
        <f aca="false">MAX(0,U34)</f>
        <v>0</v>
      </c>
      <c r="W34" s="35" t="n">
        <f aca="false">IF(V34&gt;0,ROUNDUP(V34*(1+前提・入力!$B$35),0),0)</f>
        <v>0</v>
      </c>
    </row>
    <row r="35" customFormat="false" ht="15" hidden="false" customHeight="false" outlineLevel="0" collapsed="false">
      <c r="A35" s="32" t="n">
        <v>7</v>
      </c>
      <c r="B35" s="32" t="s">
        <v>288</v>
      </c>
      <c r="C35" s="33" t="s">
        <v>289</v>
      </c>
      <c r="D35" s="35" t="n">
        <v>940</v>
      </c>
      <c r="E35" s="61" t="n">
        <f aca="false">IFERROR(D35/D$71,0)</f>
        <v>0.0147474113586445</v>
      </c>
      <c r="F35" s="35" t="n">
        <f aca="false">①札幌予測確定!P13</f>
        <v>195</v>
      </c>
      <c r="G35" s="61" t="n">
        <f aca="false">IFERROR(F35/F$71,0)</f>
        <v>0.0216570413149711</v>
      </c>
      <c r="H35" s="61" t="n">
        <f aca="false">E35*前提・入力!$B$32+G35*前提・入力!$B$33</f>
        <v>0.0182022263368078</v>
      </c>
      <c r="I35" s="35" t="n">
        <f aca="false">ROUND($H35*③石川以降予測!$G$7,0)</f>
        <v>177</v>
      </c>
      <c r="J35" s="35" t="n">
        <f aca="false">ROUND($H35*③石川以降予測!$G$8,0)</f>
        <v>209</v>
      </c>
      <c r="K35" s="35" t="n">
        <f aca="false">ROUND($H35*③石川以降予測!$G$9,0)</f>
        <v>193</v>
      </c>
      <c r="L35" s="35" t="n">
        <f aca="false">ROUND($H35*③石川以降予測!$G$10,0)</f>
        <v>145</v>
      </c>
      <c r="M35" s="35" t="n">
        <f aca="false">ROUND($H35*③石川以降予測!$G$11,0)</f>
        <v>803</v>
      </c>
      <c r="N35" s="35" t="n">
        <f aca="false">SUM(I35:M35)</f>
        <v>1527</v>
      </c>
      <c r="O35" s="35" t="n">
        <v>4542</v>
      </c>
      <c r="P35" s="35" t="n">
        <f aca="false">①札幌予測確定!S13</f>
        <v>350</v>
      </c>
      <c r="Q35" s="35" t="n">
        <f aca="false">O35-P35</f>
        <v>4192</v>
      </c>
      <c r="R35" s="35" t="n">
        <f aca="false">MAX(0,①札幌予測確定!P13-①札幌予測確定!S13)</f>
        <v>0</v>
      </c>
      <c r="S35" s="35" t="n">
        <f aca="false">ROUND(①札幌予測確定!U13*前提・入力!$B$37,0)</f>
        <v>155</v>
      </c>
      <c r="T35" s="35" t="n">
        <f aca="false">Q35-R35+S35</f>
        <v>4347</v>
      </c>
      <c r="U35" s="38" t="n">
        <f aca="false">N35-T35</f>
        <v>-2820</v>
      </c>
      <c r="V35" s="35" t="n">
        <f aca="false">MAX(0,U35)</f>
        <v>0</v>
      </c>
      <c r="W35" s="35" t="n">
        <f aca="false">IF(V35&gt;0,ROUNDUP(V35*(1+前提・入力!$B$35),0),0)</f>
        <v>0</v>
      </c>
    </row>
    <row r="36" customFormat="false" ht="15" hidden="false" customHeight="false" outlineLevel="0" collapsed="false">
      <c r="A36" s="32" t="n">
        <v>8</v>
      </c>
      <c r="B36" s="32" t="s">
        <v>290</v>
      </c>
      <c r="C36" s="33" t="s">
        <v>291</v>
      </c>
      <c r="D36" s="35" t="n">
        <v>1758</v>
      </c>
      <c r="E36" s="61" t="n">
        <f aca="false">IFERROR(D36/D$71,0)</f>
        <v>0.0275807969877628</v>
      </c>
      <c r="F36" s="35" t="n">
        <f aca="false">①札幌予測確定!P14</f>
        <v>345</v>
      </c>
      <c r="G36" s="61" t="n">
        <f aca="false">IFERROR(F36/F$71,0)</f>
        <v>0.0383163038649489</v>
      </c>
      <c r="H36" s="61" t="n">
        <f aca="false">E36*前提・入力!$B$32+G36*前提・入力!$B$33</f>
        <v>0.0329485504263558</v>
      </c>
      <c r="I36" s="35" t="n">
        <f aca="false">ROUND($H36*③石川以降予測!$G$7,0)</f>
        <v>320</v>
      </c>
      <c r="J36" s="35" t="n">
        <f aca="false">ROUND($H36*③石川以降予測!$G$8,0)</f>
        <v>378</v>
      </c>
      <c r="K36" s="35" t="n">
        <f aca="false">ROUND($H36*③石川以降予測!$G$9,0)</f>
        <v>349</v>
      </c>
      <c r="L36" s="35" t="n">
        <f aca="false">ROUND($H36*③石川以降予測!$G$10,0)</f>
        <v>262</v>
      </c>
      <c r="M36" s="35" t="n">
        <f aca="false">ROUND($H36*③石川以降予測!$G$11,0)</f>
        <v>1454</v>
      </c>
      <c r="N36" s="35" t="n">
        <f aca="false">SUM(I36:M36)</f>
        <v>2763</v>
      </c>
      <c r="O36" s="35" t="n">
        <v>8551</v>
      </c>
      <c r="P36" s="35" t="n">
        <f aca="false">①札幌予測確定!S14</f>
        <v>900</v>
      </c>
      <c r="Q36" s="35" t="n">
        <f aca="false">O36-P36</f>
        <v>7651</v>
      </c>
      <c r="R36" s="35" t="n">
        <f aca="false">MAX(0,①札幌予測確定!P14-①札幌予測確定!S14)</f>
        <v>0</v>
      </c>
      <c r="S36" s="35" t="n">
        <f aca="false">ROUND(①札幌予測確定!U14*前提・入力!$B$37,0)</f>
        <v>555</v>
      </c>
      <c r="T36" s="35" t="n">
        <f aca="false">Q36-R36+S36</f>
        <v>8206</v>
      </c>
      <c r="U36" s="38" t="n">
        <f aca="false">N36-T36</f>
        <v>-5443</v>
      </c>
      <c r="V36" s="35" t="n">
        <f aca="false">MAX(0,U36)</f>
        <v>0</v>
      </c>
      <c r="W36" s="35" t="n">
        <f aca="false">IF(V36&gt;0,ROUNDUP(V36*(1+前提・入力!$B$35),0),0)</f>
        <v>0</v>
      </c>
    </row>
    <row r="37" customFormat="false" ht="15" hidden="false" customHeight="false" outlineLevel="0" collapsed="false">
      <c r="A37" s="32" t="n">
        <v>9</v>
      </c>
      <c r="B37" s="32" t="s">
        <v>292</v>
      </c>
      <c r="C37" s="33" t="s">
        <v>293</v>
      </c>
      <c r="D37" s="35" t="n">
        <v>743</v>
      </c>
      <c r="E37" s="61" t="n">
        <f aca="false">IFERROR(D37/D$71,0)</f>
        <v>0.0116567304675243</v>
      </c>
      <c r="F37" s="35" t="n">
        <f aca="false">①札幌予測確定!P15</f>
        <v>133</v>
      </c>
      <c r="G37" s="61" t="n">
        <f aca="false">IFERROR(F37/F$71,0)</f>
        <v>0.0147712127943136</v>
      </c>
      <c r="H37" s="61" t="n">
        <f aca="false">E37*前提・入力!$B$32+G37*前提・入力!$B$33</f>
        <v>0.013213971630919</v>
      </c>
      <c r="I37" s="35" t="n">
        <f aca="false">ROUND($H37*③石川以降予測!$G$7,0)</f>
        <v>128</v>
      </c>
      <c r="J37" s="35" t="n">
        <f aca="false">ROUND($H37*③石川以降予測!$G$8,0)</f>
        <v>152</v>
      </c>
      <c r="K37" s="35" t="n">
        <f aca="false">ROUND($H37*③石川以降予測!$G$9,0)</f>
        <v>140</v>
      </c>
      <c r="L37" s="35" t="n">
        <f aca="false">ROUND($H37*③石川以降予測!$G$10,0)</f>
        <v>105</v>
      </c>
      <c r="M37" s="35" t="n">
        <f aca="false">ROUND($H37*③石川以降予測!$G$11,0)</f>
        <v>583</v>
      </c>
      <c r="N37" s="35" t="n">
        <f aca="false">SUM(I37:M37)</f>
        <v>1108</v>
      </c>
      <c r="O37" s="35" t="n">
        <v>8759</v>
      </c>
      <c r="P37" s="35" t="n">
        <f aca="false">①札幌予測確定!S15</f>
        <v>300</v>
      </c>
      <c r="Q37" s="35" t="n">
        <f aca="false">O37-P37</f>
        <v>8459</v>
      </c>
      <c r="R37" s="35" t="n">
        <f aca="false">MAX(0,①札幌予測確定!P15-①札幌予測確定!S15)</f>
        <v>0</v>
      </c>
      <c r="S37" s="35" t="n">
        <f aca="false">ROUND(①札幌予測確定!U15*前提・入力!$B$37,0)</f>
        <v>167</v>
      </c>
      <c r="T37" s="35" t="n">
        <f aca="false">Q37-R37+S37</f>
        <v>8626</v>
      </c>
      <c r="U37" s="38" t="n">
        <f aca="false">N37-T37</f>
        <v>-7518</v>
      </c>
      <c r="V37" s="35" t="n">
        <f aca="false">MAX(0,U37)</f>
        <v>0</v>
      </c>
      <c r="W37" s="35" t="n">
        <f aca="false">IF(V37&gt;0,ROUNDUP(V37*(1+前提・入力!$B$35),0),0)</f>
        <v>0</v>
      </c>
    </row>
    <row r="38" customFormat="false" ht="15" hidden="false" customHeight="false" outlineLevel="0" collapsed="false">
      <c r="A38" s="32" t="n">
        <v>10</v>
      </c>
      <c r="B38" s="32" t="s">
        <v>294</v>
      </c>
      <c r="C38" s="33" t="s">
        <v>295</v>
      </c>
      <c r="D38" s="35" t="n">
        <v>277</v>
      </c>
      <c r="E38" s="61" t="n">
        <f aca="false">IFERROR(D38/D$71,0)</f>
        <v>0.00434577973015375</v>
      </c>
      <c r="F38" s="35" t="n">
        <f aca="false">①札幌予測確定!P16</f>
        <v>55</v>
      </c>
      <c r="G38" s="61" t="n">
        <f aca="false">IFERROR(F38/F$71,0)</f>
        <v>0.00610839626832519</v>
      </c>
      <c r="H38" s="61" t="n">
        <f aca="false">E38*前提・入力!$B$32+G38*前提・入力!$B$33</f>
        <v>0.00522708799923947</v>
      </c>
      <c r="I38" s="35" t="n">
        <f aca="false">ROUND($H38*③石川以降予測!$G$7,0)</f>
        <v>51</v>
      </c>
      <c r="J38" s="35" t="n">
        <f aca="false">ROUND($H38*③石川以降予測!$G$8,0)</f>
        <v>60</v>
      </c>
      <c r="K38" s="35" t="n">
        <f aca="false">ROUND($H38*③石川以降予測!$G$9,0)</f>
        <v>55</v>
      </c>
      <c r="L38" s="35" t="n">
        <f aca="false">ROUND($H38*③石川以降予測!$G$10,0)</f>
        <v>42</v>
      </c>
      <c r="M38" s="35" t="n">
        <f aca="false">ROUND($H38*③石川以降予測!$G$11,0)</f>
        <v>231</v>
      </c>
      <c r="N38" s="35" t="n">
        <f aca="false">SUM(I38:M38)</f>
        <v>439</v>
      </c>
      <c r="O38" s="35" t="n">
        <v>4935</v>
      </c>
      <c r="P38" s="35" t="n">
        <f aca="false">①札幌予測確定!S16</f>
        <v>100</v>
      </c>
      <c r="Q38" s="35" t="n">
        <f aca="false">O38-P38</f>
        <v>4835</v>
      </c>
      <c r="R38" s="35" t="n">
        <f aca="false">MAX(0,①札幌予測確定!P16-①札幌予測確定!S16)</f>
        <v>0</v>
      </c>
      <c r="S38" s="35" t="n">
        <f aca="false">ROUND(①札幌予測確定!U16*前提・入力!$B$37,0)</f>
        <v>45</v>
      </c>
      <c r="T38" s="35" t="n">
        <f aca="false">Q38-R38+S38</f>
        <v>4880</v>
      </c>
      <c r="U38" s="38" t="n">
        <f aca="false">N38-T38</f>
        <v>-4441</v>
      </c>
      <c r="V38" s="35" t="n">
        <f aca="false">MAX(0,U38)</f>
        <v>0</v>
      </c>
      <c r="W38" s="35" t="n">
        <f aca="false">IF(V38&gt;0,ROUNDUP(V38*(1+前提・入力!$B$35),0),0)</f>
        <v>0</v>
      </c>
    </row>
    <row r="39" customFormat="false" ht="15" hidden="false" customHeight="false" outlineLevel="0" collapsed="false">
      <c r="A39" s="32" t="n">
        <v>11</v>
      </c>
      <c r="B39" s="32" t="s">
        <v>296</v>
      </c>
      <c r="C39" s="33" t="s">
        <v>297</v>
      </c>
      <c r="D39" s="35" t="n">
        <v>78</v>
      </c>
      <c r="E39" s="61" t="n">
        <f aca="false">IFERROR(D39/D$71,0)</f>
        <v>0.00122372136805773</v>
      </c>
      <c r="F39" s="35" t="n">
        <f aca="false">①札幌予測確定!P17</f>
        <v>28</v>
      </c>
      <c r="G39" s="61" t="n">
        <f aca="false">IFERROR(F39/F$71,0)</f>
        <v>0.00310972900932919</v>
      </c>
      <c r="H39" s="61" t="n">
        <f aca="false">E39*前提・入力!$B$32+G39*前提・入力!$B$33</f>
        <v>0.00216672518869346</v>
      </c>
      <c r="I39" s="35" t="n">
        <f aca="false">ROUND($H39*③石川以降予測!$G$7,0)</f>
        <v>21</v>
      </c>
      <c r="J39" s="35" t="n">
        <f aca="false">ROUND($H39*③石川以降予測!$G$8,0)</f>
        <v>25</v>
      </c>
      <c r="K39" s="35" t="n">
        <f aca="false">ROUND($H39*③石川以降予測!$G$9,0)</f>
        <v>23</v>
      </c>
      <c r="L39" s="35" t="n">
        <f aca="false">ROUND($H39*③石川以降予測!$G$10,0)</f>
        <v>17</v>
      </c>
      <c r="M39" s="35" t="n">
        <f aca="false">ROUND($H39*③石川以降予測!$G$11,0)</f>
        <v>96</v>
      </c>
      <c r="N39" s="35" t="n">
        <f aca="false">SUM(I39:M39)</f>
        <v>182</v>
      </c>
      <c r="O39" s="35" t="n">
        <v>640</v>
      </c>
      <c r="P39" s="35" t="n">
        <f aca="false">①札幌予測確定!S17</f>
        <v>50</v>
      </c>
      <c r="Q39" s="35" t="n">
        <f aca="false">O39-P39</f>
        <v>590</v>
      </c>
      <c r="R39" s="35" t="n">
        <f aca="false">MAX(0,①札幌予測確定!P17-①札幌予測確定!S17)</f>
        <v>0</v>
      </c>
      <c r="S39" s="35" t="n">
        <f aca="false">ROUND(①札幌予測確定!U17*前提・入力!$B$37,0)</f>
        <v>22</v>
      </c>
      <c r="T39" s="35" t="n">
        <f aca="false">Q39-R39+S39</f>
        <v>612</v>
      </c>
      <c r="U39" s="38" t="n">
        <f aca="false">N39-T39</f>
        <v>-430</v>
      </c>
      <c r="V39" s="35" t="n">
        <f aca="false">MAX(0,U39)</f>
        <v>0</v>
      </c>
      <c r="W39" s="35" t="n">
        <f aca="false">IF(V39&gt;0,ROUNDUP(V39*(1+前提・入力!$B$35),0),0)</f>
        <v>0</v>
      </c>
    </row>
    <row r="40" customFormat="false" ht="15" hidden="false" customHeight="false" outlineLevel="0" collapsed="false">
      <c r="A40" s="32" t="n">
        <v>12</v>
      </c>
      <c r="B40" s="32" t="s">
        <v>298</v>
      </c>
      <c r="C40" s="33" t="s">
        <v>299</v>
      </c>
      <c r="D40" s="35" t="n">
        <v>142</v>
      </c>
      <c r="E40" s="61" t="n">
        <f aca="false">IFERROR(D40/D$71,0)</f>
        <v>0.00222780043928459</v>
      </c>
      <c r="F40" s="35" t="n">
        <f aca="false">①札幌予測確定!P18</f>
        <v>35</v>
      </c>
      <c r="G40" s="61" t="n">
        <f aca="false">IFERROR(F40/F$71,0)</f>
        <v>0.00388716126166148</v>
      </c>
      <c r="H40" s="61" t="n">
        <f aca="false">E40*前提・入力!$B$32+G40*前提・入力!$B$33</f>
        <v>0.00305748085047304</v>
      </c>
      <c r="I40" s="35" t="n">
        <f aca="false">ROUND($H40*③石川以降予測!$G$7,0)</f>
        <v>30</v>
      </c>
      <c r="J40" s="35" t="n">
        <f aca="false">ROUND($H40*③石川以降予測!$G$8,0)</f>
        <v>35</v>
      </c>
      <c r="K40" s="35" t="n">
        <f aca="false">ROUND($H40*③石川以降予測!$G$9,0)</f>
        <v>32</v>
      </c>
      <c r="L40" s="35" t="n">
        <f aca="false">ROUND($H40*③石川以降予測!$G$10,0)</f>
        <v>24</v>
      </c>
      <c r="M40" s="35" t="n">
        <f aca="false">ROUND($H40*③石川以降予測!$G$11,0)</f>
        <v>135</v>
      </c>
      <c r="N40" s="35" t="n">
        <f aca="false">SUM(I40:M40)</f>
        <v>256</v>
      </c>
      <c r="O40" s="35" t="n">
        <v>953</v>
      </c>
      <c r="P40" s="35" t="n">
        <f aca="false">①札幌予測確定!S18</f>
        <v>50</v>
      </c>
      <c r="Q40" s="35" t="n">
        <f aca="false">O40-P40</f>
        <v>903</v>
      </c>
      <c r="R40" s="35" t="n">
        <f aca="false">MAX(0,①札幌予測確定!P18-①札幌予測確定!S18)</f>
        <v>0</v>
      </c>
      <c r="S40" s="35" t="n">
        <f aca="false">ROUND(①札幌予測確定!U18*前提・入力!$B$37,0)</f>
        <v>15</v>
      </c>
      <c r="T40" s="35" t="n">
        <f aca="false">Q40-R40+S40</f>
        <v>918</v>
      </c>
      <c r="U40" s="38" t="n">
        <f aca="false">N40-T40</f>
        <v>-662</v>
      </c>
      <c r="V40" s="35" t="n">
        <f aca="false">MAX(0,U40)</f>
        <v>0</v>
      </c>
      <c r="W40" s="35" t="n">
        <f aca="false">IF(V40&gt;0,ROUNDUP(V40*(1+前提・入力!$B$35),0),0)</f>
        <v>0</v>
      </c>
    </row>
    <row r="41" customFormat="false" ht="15" hidden="false" customHeight="false" outlineLevel="0" collapsed="false">
      <c r="A41" s="32" t="n">
        <v>13</v>
      </c>
      <c r="B41" s="32" t="s">
        <v>300</v>
      </c>
      <c r="C41" s="33" t="s">
        <v>301</v>
      </c>
      <c r="D41" s="35" t="n">
        <v>43</v>
      </c>
      <c r="E41" s="61" t="n">
        <f aca="false">IFERROR(D41/D$71,0)</f>
        <v>0.000674615625980546</v>
      </c>
      <c r="F41" s="35" t="n">
        <f aca="false">①札幌予測確定!P19</f>
        <v>7</v>
      </c>
      <c r="G41" s="61" t="n">
        <f aca="false">IFERROR(F41/F$71,0)</f>
        <v>0.000777432252332297</v>
      </c>
      <c r="H41" s="61" t="n">
        <f aca="false">E41*前提・入力!$B$32+G41*前提・入力!$B$33</f>
        <v>0.000726023939156421</v>
      </c>
      <c r="I41" s="35" t="n">
        <f aca="false">ROUND($H41*③石川以降予測!$G$7,0)</f>
        <v>7</v>
      </c>
      <c r="J41" s="35" t="n">
        <f aca="false">ROUND($H41*③石川以降予測!$G$8,0)</f>
        <v>8</v>
      </c>
      <c r="K41" s="35" t="n">
        <f aca="false">ROUND($H41*③石川以降予測!$G$9,0)</f>
        <v>8</v>
      </c>
      <c r="L41" s="35" t="n">
        <f aca="false">ROUND($H41*③石川以降予測!$G$10,0)</f>
        <v>6</v>
      </c>
      <c r="M41" s="35" t="n">
        <f aca="false">ROUND($H41*③石川以降予測!$G$11,0)</f>
        <v>32</v>
      </c>
      <c r="N41" s="35" t="n">
        <f aca="false">SUM(I41:M41)</f>
        <v>61</v>
      </c>
      <c r="O41" s="35" t="n">
        <v>320</v>
      </c>
      <c r="P41" s="35" t="n">
        <f aca="false">①札幌予測確定!S19</f>
        <v>50</v>
      </c>
      <c r="Q41" s="35" t="n">
        <f aca="false">O41-P41</f>
        <v>270</v>
      </c>
      <c r="R41" s="35" t="n">
        <f aca="false">MAX(0,①札幌予測確定!P19-①札幌予測確定!S19)</f>
        <v>0</v>
      </c>
      <c r="S41" s="35" t="n">
        <f aca="false">ROUND(①札幌予測確定!U19*前提・入力!$B$37,0)</f>
        <v>43</v>
      </c>
      <c r="T41" s="35" t="n">
        <f aca="false">Q41-R41+S41</f>
        <v>313</v>
      </c>
      <c r="U41" s="38" t="n">
        <f aca="false">N41-T41</f>
        <v>-252</v>
      </c>
      <c r="V41" s="35" t="n">
        <f aca="false">MAX(0,U41)</f>
        <v>0</v>
      </c>
      <c r="W41" s="35" t="n">
        <f aca="false">IF(V41&gt;0,ROUNDUP(V41*(1+前提・入力!$B$35),0),0)</f>
        <v>0</v>
      </c>
    </row>
    <row r="42" customFormat="false" ht="15" hidden="false" customHeight="false" outlineLevel="0" collapsed="false">
      <c r="A42" s="32" t="n">
        <v>14</v>
      </c>
      <c r="B42" s="32" t="s">
        <v>302</v>
      </c>
      <c r="C42" s="33" t="s">
        <v>303</v>
      </c>
      <c r="D42" s="35" t="n">
        <v>146</v>
      </c>
      <c r="E42" s="61" t="n">
        <f aca="false">IFERROR(D42/D$71,0)</f>
        <v>0.00229055538123627</v>
      </c>
      <c r="F42" s="35" t="n">
        <f aca="false">①札幌予測確定!P20</f>
        <v>36</v>
      </c>
      <c r="G42" s="61" t="n">
        <f aca="false">IFERROR(F42/F$71,0)</f>
        <v>0.00399822301199467</v>
      </c>
      <c r="H42" s="61" t="n">
        <f aca="false">E42*前提・入力!$B$32+G42*前提・入力!$B$33</f>
        <v>0.00314438919661547</v>
      </c>
      <c r="I42" s="35" t="n">
        <f aca="false">ROUND($H42*③石川以降予測!$G$7,0)</f>
        <v>31</v>
      </c>
      <c r="J42" s="35" t="n">
        <f aca="false">ROUND($H42*③石川以降予測!$G$8,0)</f>
        <v>36</v>
      </c>
      <c r="K42" s="35" t="n">
        <f aca="false">ROUND($H42*③石川以降予測!$G$9,0)</f>
        <v>33</v>
      </c>
      <c r="L42" s="35" t="n">
        <f aca="false">ROUND($H42*③石川以降予測!$G$10,0)</f>
        <v>25</v>
      </c>
      <c r="M42" s="35" t="n">
        <f aca="false">ROUND($H42*③石川以降予測!$G$11,0)</f>
        <v>139</v>
      </c>
      <c r="N42" s="35" t="n">
        <f aca="false">SUM(I42:M42)</f>
        <v>264</v>
      </c>
      <c r="O42" s="35" t="n">
        <v>1790</v>
      </c>
      <c r="P42" s="35" t="n">
        <f aca="false">①札幌予測確定!S20</f>
        <v>50</v>
      </c>
      <c r="Q42" s="35" t="n">
        <f aca="false">O42-P42</f>
        <v>1740</v>
      </c>
      <c r="R42" s="35" t="n">
        <f aca="false">MAX(0,①札幌予測確定!P20-①札幌予測確定!S20)</f>
        <v>0</v>
      </c>
      <c r="S42" s="35" t="n">
        <f aca="false">ROUND(①札幌予測確定!U20*前提・入力!$B$37,0)</f>
        <v>14</v>
      </c>
      <c r="T42" s="35" t="n">
        <f aca="false">Q42-R42+S42</f>
        <v>1754</v>
      </c>
      <c r="U42" s="38" t="n">
        <f aca="false">N42-T42</f>
        <v>-1490</v>
      </c>
      <c r="V42" s="35" t="n">
        <f aca="false">MAX(0,U42)</f>
        <v>0</v>
      </c>
      <c r="W42" s="35" t="n">
        <f aca="false">IF(V42&gt;0,ROUNDUP(V42*(1+前提・入力!$B$35),0),0)</f>
        <v>0</v>
      </c>
    </row>
    <row r="43" customFormat="false" ht="15" hidden="false" customHeight="false" outlineLevel="0" collapsed="false">
      <c r="A43" s="32" t="n">
        <v>15</v>
      </c>
      <c r="B43" s="32" t="s">
        <v>304</v>
      </c>
      <c r="C43" s="33" t="s">
        <v>305</v>
      </c>
      <c r="D43" s="35" t="n">
        <v>198</v>
      </c>
      <c r="E43" s="61" t="n">
        <f aca="false">IFERROR(D43/D$71,0)</f>
        <v>0.0031063696266081</v>
      </c>
      <c r="F43" s="35" t="n">
        <f aca="false">①札幌予測確定!P21</f>
        <v>60</v>
      </c>
      <c r="G43" s="61" t="n">
        <f aca="false">IFERROR(F43/F$71,0)</f>
        <v>0.00666370501999112</v>
      </c>
      <c r="H43" s="61" t="n">
        <f aca="false">E43*前提・入力!$B$32+G43*前提・入力!$B$33</f>
        <v>0.00488503732329961</v>
      </c>
      <c r="I43" s="35" t="n">
        <f aca="false">ROUND($H43*③石川以降予測!$G$7,0)</f>
        <v>47</v>
      </c>
      <c r="J43" s="35" t="n">
        <f aca="false">ROUND($H43*③石川以降予測!$G$8,0)</f>
        <v>56</v>
      </c>
      <c r="K43" s="35" t="n">
        <f aca="false">ROUND($H43*③石川以降予測!$G$9,0)</f>
        <v>52</v>
      </c>
      <c r="L43" s="35" t="n">
        <f aca="false">ROUND($H43*③石川以降予測!$G$10,0)</f>
        <v>39</v>
      </c>
      <c r="M43" s="35" t="n">
        <f aca="false">ROUND($H43*③石川以降予測!$G$11,0)</f>
        <v>216</v>
      </c>
      <c r="N43" s="35" t="n">
        <f aca="false">SUM(I43:M43)</f>
        <v>410</v>
      </c>
      <c r="O43" s="35" t="n">
        <v>2131</v>
      </c>
      <c r="P43" s="35" t="n">
        <f aca="false">①札幌予測確定!S21</f>
        <v>100</v>
      </c>
      <c r="Q43" s="35" t="n">
        <f aca="false">O43-P43</f>
        <v>2031</v>
      </c>
      <c r="R43" s="35" t="n">
        <f aca="false">MAX(0,①札幌予測確定!P21-①札幌予測確定!S21)</f>
        <v>0</v>
      </c>
      <c r="S43" s="35" t="n">
        <f aca="false">ROUND(①札幌予測確定!U21*前提・入力!$B$37,0)</f>
        <v>40</v>
      </c>
      <c r="T43" s="35" t="n">
        <f aca="false">Q43-R43+S43</f>
        <v>2071</v>
      </c>
      <c r="U43" s="38" t="n">
        <f aca="false">N43-T43</f>
        <v>-1661</v>
      </c>
      <c r="V43" s="35" t="n">
        <f aca="false">MAX(0,U43)</f>
        <v>0</v>
      </c>
      <c r="W43" s="35" t="n">
        <f aca="false">IF(V43&gt;0,ROUNDUP(V43*(1+前提・入力!$B$35),0),0)</f>
        <v>0</v>
      </c>
    </row>
    <row r="44" customFormat="false" ht="15" hidden="false" customHeight="false" outlineLevel="0" collapsed="false">
      <c r="A44" s="32" t="n">
        <v>16</v>
      </c>
      <c r="B44" s="32" t="s">
        <v>306</v>
      </c>
      <c r="C44" s="33" t="s">
        <v>307</v>
      </c>
      <c r="D44" s="35" t="n">
        <v>65</v>
      </c>
      <c r="E44" s="61" t="n">
        <f aca="false">IFERROR(D44/D$71,0)</f>
        <v>0.00101976780671478</v>
      </c>
      <c r="F44" s="35" t="n">
        <f aca="false">①札幌予測確定!P22</f>
        <v>13</v>
      </c>
      <c r="G44" s="61" t="n">
        <f aca="false">IFERROR(F44/F$71,0)</f>
        <v>0.00144380275433141</v>
      </c>
      <c r="H44" s="61" t="n">
        <f aca="false">E44*前提・入力!$B$32+G44*前提・入力!$B$33</f>
        <v>0.00123178528052309</v>
      </c>
      <c r="I44" s="35" t="n">
        <f aca="false">ROUND($H44*③石川以降予測!$G$7,0)</f>
        <v>12</v>
      </c>
      <c r="J44" s="35" t="n">
        <f aca="false">ROUND($H44*③石川以降予測!$G$8,0)</f>
        <v>14</v>
      </c>
      <c r="K44" s="35" t="n">
        <f aca="false">ROUND($H44*③石川以降予測!$G$9,0)</f>
        <v>13</v>
      </c>
      <c r="L44" s="35" t="n">
        <f aca="false">ROUND($H44*③石川以降予測!$G$10,0)</f>
        <v>10</v>
      </c>
      <c r="M44" s="35" t="n">
        <f aca="false">ROUND($H44*③石川以降予測!$G$11,0)</f>
        <v>54</v>
      </c>
      <c r="N44" s="35" t="n">
        <f aca="false">SUM(I44:M44)</f>
        <v>103</v>
      </c>
      <c r="O44" s="35" t="n">
        <v>772</v>
      </c>
      <c r="P44" s="35" t="n">
        <f aca="false">①札幌予測確定!S22</f>
        <v>50</v>
      </c>
      <c r="Q44" s="35" t="n">
        <f aca="false">O44-P44</f>
        <v>722</v>
      </c>
      <c r="R44" s="35" t="n">
        <f aca="false">MAX(0,①札幌予測確定!P22-①札幌予測確定!S22)</f>
        <v>0</v>
      </c>
      <c r="S44" s="35" t="n">
        <f aca="false">ROUND(①札幌予測確定!U22*前提・入力!$B$37,0)</f>
        <v>37</v>
      </c>
      <c r="T44" s="35" t="n">
        <f aca="false">Q44-R44+S44</f>
        <v>759</v>
      </c>
      <c r="U44" s="38" t="n">
        <f aca="false">N44-T44</f>
        <v>-656</v>
      </c>
      <c r="V44" s="35" t="n">
        <f aca="false">MAX(0,U44)</f>
        <v>0</v>
      </c>
      <c r="W44" s="35" t="n">
        <f aca="false">IF(V44&gt;0,ROUNDUP(V44*(1+前提・入力!$B$35),0),0)</f>
        <v>0</v>
      </c>
    </row>
    <row r="45" customFormat="false" ht="15" hidden="false" customHeight="false" outlineLevel="0" collapsed="false">
      <c r="A45" s="32" t="n">
        <v>17</v>
      </c>
      <c r="B45" s="32" t="s">
        <v>308</v>
      </c>
      <c r="C45" s="33" t="s">
        <v>309</v>
      </c>
      <c r="D45" s="35" t="n">
        <v>261</v>
      </c>
      <c r="E45" s="61" t="n">
        <f aca="false">IFERROR(D45/D$71,0)</f>
        <v>0.00409475996234703</v>
      </c>
      <c r="F45" s="35" t="n">
        <f aca="false">①札幌予測確定!P23</f>
        <v>102</v>
      </c>
      <c r="G45" s="61" t="n">
        <f aca="false">IFERROR(F45/F$71,0)</f>
        <v>0.0113282985339849</v>
      </c>
      <c r="H45" s="61" t="n">
        <f aca="false">E45*前提・入力!$B$32+G45*前提・入力!$B$33</f>
        <v>0.00771152924816597</v>
      </c>
      <c r="I45" s="35" t="n">
        <f aca="false">ROUND($H45*③石川以降予測!$G$7,0)</f>
        <v>75</v>
      </c>
      <c r="J45" s="35" t="n">
        <f aca="false">ROUND($H45*③石川以降予測!$G$8,0)</f>
        <v>88</v>
      </c>
      <c r="K45" s="35" t="n">
        <f aca="false">ROUND($H45*③石川以降予測!$G$9,0)</f>
        <v>82</v>
      </c>
      <c r="L45" s="35" t="n">
        <f aca="false">ROUND($H45*③石川以降予測!$G$10,0)</f>
        <v>61</v>
      </c>
      <c r="M45" s="35" t="n">
        <f aca="false">ROUND($H45*③石川以降予測!$G$11,0)</f>
        <v>340</v>
      </c>
      <c r="N45" s="35" t="n">
        <f aca="false">SUM(I45:M45)</f>
        <v>646</v>
      </c>
      <c r="O45" s="35" t="n">
        <v>2523</v>
      </c>
      <c r="P45" s="35" t="n">
        <f aca="false">①札幌予測確定!S23</f>
        <v>100</v>
      </c>
      <c r="Q45" s="35" t="n">
        <f aca="false">O45-P45</f>
        <v>2423</v>
      </c>
      <c r="R45" s="35" t="n">
        <f aca="false">MAX(0,①札幌予測確定!P23-①札幌予測確定!S23)</f>
        <v>2</v>
      </c>
      <c r="S45" s="35" t="n">
        <f aca="false">ROUND(①札幌予測確定!U23*前提・入力!$B$37,0)</f>
        <v>0</v>
      </c>
      <c r="T45" s="35" t="n">
        <f aca="false">Q45-R45+S45</f>
        <v>2421</v>
      </c>
      <c r="U45" s="38" t="n">
        <f aca="false">N45-T45</f>
        <v>-1775</v>
      </c>
      <c r="V45" s="35" t="n">
        <f aca="false">MAX(0,U45)</f>
        <v>0</v>
      </c>
      <c r="W45" s="35" t="n">
        <f aca="false">IF(V45&gt;0,ROUNDUP(V45*(1+前提・入力!$B$35),0),0)</f>
        <v>0</v>
      </c>
    </row>
    <row r="46" customFormat="false" ht="15" hidden="false" customHeight="false" outlineLevel="0" collapsed="false">
      <c r="A46" s="32" t="n">
        <v>18</v>
      </c>
      <c r="B46" s="32" t="s">
        <v>310</v>
      </c>
      <c r="C46" s="33" t="s">
        <v>311</v>
      </c>
      <c r="D46" s="35" t="n">
        <v>2021</v>
      </c>
      <c r="E46" s="61" t="n">
        <f aca="false">IFERROR(D46/D$71,0)</f>
        <v>0.0317069344210857</v>
      </c>
      <c r="F46" s="35" t="n">
        <f aca="false">①札幌予測確定!P24</f>
        <v>425</v>
      </c>
      <c r="G46" s="61" t="n">
        <f aca="false">IFERROR(F46/F$71,0)</f>
        <v>0.0472012438916037</v>
      </c>
      <c r="H46" s="61" t="n">
        <f aca="false">E46*前提・入力!$B$32+G46*前提・入力!$B$33</f>
        <v>0.0394540891563447</v>
      </c>
      <c r="I46" s="35" t="n">
        <f aca="false">ROUND($H46*③石川以降予測!$G$7,0)</f>
        <v>383</v>
      </c>
      <c r="J46" s="35" t="n">
        <f aca="false">ROUND($H46*③石川以降予測!$G$8,0)</f>
        <v>453</v>
      </c>
      <c r="K46" s="35" t="n">
        <f aca="false">ROUND($H46*③石川以降予測!$G$9,0)</f>
        <v>418</v>
      </c>
      <c r="L46" s="35" t="n">
        <f aca="false">ROUND($H46*③石川以降予測!$G$10,0)</f>
        <v>313</v>
      </c>
      <c r="M46" s="35" t="n">
        <f aca="false">ROUND($H46*③石川以降予測!$G$11,0)</f>
        <v>1741</v>
      </c>
      <c r="N46" s="35" t="n">
        <f aca="false">SUM(I46:M46)</f>
        <v>3308</v>
      </c>
      <c r="O46" s="35" t="n">
        <v>9725</v>
      </c>
      <c r="P46" s="35" t="n">
        <f aca="false">①札幌予測確定!S24</f>
        <v>1500</v>
      </c>
      <c r="Q46" s="35" t="n">
        <f aca="false">O46-P46</f>
        <v>8225</v>
      </c>
      <c r="R46" s="35" t="n">
        <f aca="false">MAX(0,①札幌予測確定!P24-①札幌予測確定!S24)</f>
        <v>0</v>
      </c>
      <c r="S46" s="35" t="n">
        <f aca="false">ROUND(①札幌予測確定!U24*前提・入力!$B$37,0)</f>
        <v>1075</v>
      </c>
      <c r="T46" s="35" t="n">
        <f aca="false">Q46-R46+S46</f>
        <v>9300</v>
      </c>
      <c r="U46" s="38" t="n">
        <f aca="false">N46-T46</f>
        <v>-5992</v>
      </c>
      <c r="V46" s="35" t="n">
        <f aca="false">MAX(0,U46)</f>
        <v>0</v>
      </c>
      <c r="W46" s="35" t="n">
        <f aca="false">IF(V46&gt;0,ROUNDUP(V46*(1+前提・入力!$B$35),0),0)</f>
        <v>0</v>
      </c>
    </row>
    <row r="47" customFormat="false" ht="15" hidden="false" customHeight="false" outlineLevel="0" collapsed="false">
      <c r="A47" s="32" t="n">
        <v>19</v>
      </c>
      <c r="B47" s="32" t="s">
        <v>312</v>
      </c>
      <c r="C47" s="33" t="s">
        <v>313</v>
      </c>
      <c r="D47" s="35" t="n">
        <v>45</v>
      </c>
      <c r="E47" s="61" t="n">
        <f aca="false">IFERROR(D47/D$71,0)</f>
        <v>0.000705993096956385</v>
      </c>
      <c r="F47" s="35" t="n">
        <f aca="false">①札幌予測確定!P25</f>
        <v>15</v>
      </c>
      <c r="G47" s="61" t="n">
        <f aca="false">IFERROR(F47/F$71,0)</f>
        <v>0.00166592625499778</v>
      </c>
      <c r="H47" s="61" t="n">
        <f aca="false">E47*前提・入力!$B$32+G47*前提・入力!$B$33</f>
        <v>0.00118595967597708</v>
      </c>
      <c r="I47" s="35" t="n">
        <f aca="false">ROUND($H47*③石川以降予測!$G$7,0)</f>
        <v>12</v>
      </c>
      <c r="J47" s="35" t="n">
        <f aca="false">ROUND($H47*③石川以降予測!$G$8,0)</f>
        <v>14</v>
      </c>
      <c r="K47" s="35" t="n">
        <f aca="false">ROUND($H47*③石川以降予測!$G$9,0)</f>
        <v>13</v>
      </c>
      <c r="L47" s="35" t="n">
        <f aca="false">ROUND($H47*③石川以降予測!$G$10,0)</f>
        <v>9</v>
      </c>
      <c r="M47" s="35" t="n">
        <f aca="false">ROUND($H47*③石川以降予測!$G$11,0)</f>
        <v>52</v>
      </c>
      <c r="N47" s="35" t="n">
        <f aca="false">SUM(I47:M47)</f>
        <v>100</v>
      </c>
      <c r="O47" s="35" t="n">
        <v>2240</v>
      </c>
      <c r="P47" s="35" t="n">
        <f aca="false">①札幌予測確定!S25</f>
        <v>50</v>
      </c>
      <c r="Q47" s="35" t="n">
        <f aca="false">O47-P47</f>
        <v>2190</v>
      </c>
      <c r="R47" s="35" t="n">
        <f aca="false">MAX(0,①札幌予測確定!P25-①札幌予測確定!S25)</f>
        <v>0</v>
      </c>
      <c r="S47" s="35" t="n">
        <f aca="false">ROUND(①札幌予測確定!U25*前提・入力!$B$37,0)</f>
        <v>35</v>
      </c>
      <c r="T47" s="35" t="n">
        <f aca="false">Q47-R47+S47</f>
        <v>2225</v>
      </c>
      <c r="U47" s="38" t="n">
        <f aca="false">N47-T47</f>
        <v>-2125</v>
      </c>
      <c r="V47" s="35" t="n">
        <f aca="false">MAX(0,U47)</f>
        <v>0</v>
      </c>
      <c r="W47" s="35" t="n">
        <f aca="false">IF(V47&gt;0,ROUNDUP(V47*(1+前提・入力!$B$35),0),0)</f>
        <v>0</v>
      </c>
    </row>
    <row r="48" customFormat="false" ht="15" hidden="false" customHeight="false" outlineLevel="0" collapsed="false">
      <c r="A48" s="32" t="n">
        <v>20</v>
      </c>
      <c r="B48" s="32" t="s">
        <v>314</v>
      </c>
      <c r="C48" s="33" t="s">
        <v>315</v>
      </c>
      <c r="D48" s="35" t="n">
        <v>42</v>
      </c>
      <c r="E48" s="61" t="n">
        <f aca="false">IFERROR(D48/D$71,0)</f>
        <v>0.000658926890492626</v>
      </c>
      <c r="F48" s="35" t="n">
        <f aca="false">①札幌予測確定!P26</f>
        <v>17</v>
      </c>
      <c r="G48" s="61" t="n">
        <f aca="false">IFERROR(F48/F$71,0)</f>
        <v>0.00188804975566415</v>
      </c>
      <c r="H48" s="61" t="n">
        <f aca="false">E48*前提・入力!$B$32+G48*前提・入力!$B$33</f>
        <v>0.00127348832307839</v>
      </c>
      <c r="I48" s="35" t="n">
        <f aca="false">ROUND($H48*③石川以降予測!$G$7,0)</f>
        <v>12</v>
      </c>
      <c r="J48" s="35" t="n">
        <f aca="false">ROUND($H48*③石川以降予測!$G$8,0)</f>
        <v>15</v>
      </c>
      <c r="K48" s="35" t="n">
        <f aca="false">ROUND($H48*③石川以降予測!$G$9,0)</f>
        <v>13</v>
      </c>
      <c r="L48" s="35" t="n">
        <f aca="false">ROUND($H48*③石川以降予測!$G$10,0)</f>
        <v>10</v>
      </c>
      <c r="M48" s="35" t="n">
        <f aca="false">ROUND($H48*③石川以降予測!$G$11,0)</f>
        <v>56</v>
      </c>
      <c r="N48" s="35" t="n">
        <f aca="false">SUM(I48:M48)</f>
        <v>106</v>
      </c>
      <c r="O48" s="35" t="n">
        <v>301</v>
      </c>
      <c r="P48" s="35" t="n">
        <f aca="false">①札幌予測確定!S26</f>
        <v>30</v>
      </c>
      <c r="Q48" s="35" t="n">
        <f aca="false">O48-P48</f>
        <v>271</v>
      </c>
      <c r="R48" s="35" t="n">
        <f aca="false">MAX(0,①札幌予測確定!P26-①札幌予測確定!S26)</f>
        <v>0</v>
      </c>
      <c r="S48" s="35" t="n">
        <f aca="false">ROUND(①札幌予測確定!U26*前提・入力!$B$37,0)</f>
        <v>13</v>
      </c>
      <c r="T48" s="35" t="n">
        <f aca="false">Q48-R48+S48</f>
        <v>284</v>
      </c>
      <c r="U48" s="38" t="n">
        <f aca="false">N48-T48</f>
        <v>-178</v>
      </c>
      <c r="V48" s="35" t="n">
        <f aca="false">MAX(0,U48)</f>
        <v>0</v>
      </c>
      <c r="W48" s="35" t="n">
        <f aca="false">IF(V48&gt;0,ROUNDUP(V48*(1+前提・入力!$B$35),0),0)</f>
        <v>0</v>
      </c>
    </row>
    <row r="49" customFormat="false" ht="15" hidden="false" customHeight="false" outlineLevel="0" collapsed="false">
      <c r="A49" s="32" t="n">
        <v>21</v>
      </c>
      <c r="B49" s="32" t="s">
        <v>316</v>
      </c>
      <c r="C49" s="33" t="s">
        <v>317</v>
      </c>
      <c r="D49" s="35" t="n">
        <v>252</v>
      </c>
      <c r="E49" s="61" t="n">
        <f aca="false">IFERROR(D49/D$71,0)</f>
        <v>0.00395356134295576</v>
      </c>
      <c r="F49" s="35" t="n">
        <f aca="false">①札幌予測確定!P27</f>
        <v>91</v>
      </c>
      <c r="G49" s="61" t="n">
        <f aca="false">IFERROR(F49/F$71,0)</f>
        <v>0.0101066192803199</v>
      </c>
      <c r="H49" s="61" t="n">
        <f aca="false">E49*前提・入力!$B$32+G49*前提・入力!$B$33</f>
        <v>0.00703009031163781</v>
      </c>
      <c r="I49" s="35" t="n">
        <f aca="false">ROUND($H49*③石川以降予測!$G$7,0)</f>
        <v>68</v>
      </c>
      <c r="J49" s="35" t="n">
        <f aca="false">ROUND($H49*③石川以降予測!$G$8,0)</f>
        <v>81</v>
      </c>
      <c r="K49" s="35" t="n">
        <f aca="false">ROUND($H49*③石川以降予測!$G$9,0)</f>
        <v>74</v>
      </c>
      <c r="L49" s="35" t="n">
        <f aca="false">ROUND($H49*③石川以降予測!$G$10,0)</f>
        <v>56</v>
      </c>
      <c r="M49" s="35" t="n">
        <f aca="false">ROUND($H49*③石川以降予測!$G$11,0)</f>
        <v>310</v>
      </c>
      <c r="N49" s="35" t="n">
        <f aca="false">SUM(I49:M49)</f>
        <v>589</v>
      </c>
      <c r="O49" s="35" t="n">
        <v>308</v>
      </c>
      <c r="P49" s="35" t="n">
        <f aca="false">①札幌予測確定!S27</f>
        <v>50</v>
      </c>
      <c r="Q49" s="35" t="n">
        <f aca="false">O49-P49</f>
        <v>258</v>
      </c>
      <c r="R49" s="35" t="n">
        <f aca="false">MAX(0,①札幌予測確定!P27-①札幌予測確定!S27)</f>
        <v>41</v>
      </c>
      <c r="S49" s="35" t="n">
        <f aca="false">ROUND(①札幌予測確定!U27*前提・入力!$B$37,0)</f>
        <v>0</v>
      </c>
      <c r="T49" s="35" t="n">
        <f aca="false">Q49-R49+S49</f>
        <v>217</v>
      </c>
      <c r="U49" s="38" t="n">
        <f aca="false">N49-T49</f>
        <v>372</v>
      </c>
      <c r="V49" s="35" t="n">
        <f aca="false">MAX(0,U49)</f>
        <v>372</v>
      </c>
      <c r="W49" s="35" t="n">
        <f aca="false">IF(V49&gt;0,ROUNDUP(V49*(1+前提・入力!$B$35),0),0)</f>
        <v>410</v>
      </c>
    </row>
    <row r="50" customFormat="false" ht="15" hidden="false" customHeight="false" outlineLevel="0" collapsed="false">
      <c r="A50" s="32" t="n">
        <v>22</v>
      </c>
      <c r="B50" s="32" t="s">
        <v>318</v>
      </c>
      <c r="C50" s="33" t="s">
        <v>319</v>
      </c>
      <c r="D50" s="35" t="n">
        <v>171</v>
      </c>
      <c r="E50" s="61" t="n">
        <f aca="false">IFERROR(D50/D$71,0)</f>
        <v>0.00268277376843426</v>
      </c>
      <c r="F50" s="35" t="n">
        <f aca="false">①札幌予測確定!P28</f>
        <v>56</v>
      </c>
      <c r="G50" s="61" t="n">
        <f aca="false">IFERROR(F50/F$71,0)</f>
        <v>0.00621945801865837</v>
      </c>
      <c r="H50" s="61" t="n">
        <f aca="false">E50*前提・入力!$B$32+G50*前提・入力!$B$33</f>
        <v>0.00445111589354632</v>
      </c>
      <c r="I50" s="35" t="n">
        <f aca="false">ROUND($H50*③石川以降予測!$G$7,0)</f>
        <v>43</v>
      </c>
      <c r="J50" s="35" t="n">
        <f aca="false">ROUND($H50*③石川以降予測!$G$8,0)</f>
        <v>51</v>
      </c>
      <c r="K50" s="35" t="n">
        <f aca="false">ROUND($H50*③石川以降予測!$G$9,0)</f>
        <v>47</v>
      </c>
      <c r="L50" s="35" t="n">
        <f aca="false">ROUND($H50*③石川以降予測!$G$10,0)</f>
        <v>35</v>
      </c>
      <c r="M50" s="35" t="n">
        <f aca="false">ROUND($H50*③石川以降予測!$G$11,0)</f>
        <v>196</v>
      </c>
      <c r="N50" s="35" t="n">
        <f aca="false">SUM(I50:M50)</f>
        <v>372</v>
      </c>
      <c r="O50" s="35" t="n">
        <v>1331</v>
      </c>
      <c r="P50" s="35" t="n">
        <f aca="false">①札幌予測確定!S28</f>
        <v>50</v>
      </c>
      <c r="Q50" s="35" t="n">
        <f aca="false">O50-P50</f>
        <v>1281</v>
      </c>
      <c r="R50" s="35" t="n">
        <f aca="false">MAX(0,①札幌予測確定!P28-①札幌予測確定!S28)</f>
        <v>6</v>
      </c>
      <c r="S50" s="35" t="n">
        <f aca="false">ROUND(①札幌予測確定!U28*前提・入力!$B$37,0)</f>
        <v>0</v>
      </c>
      <c r="T50" s="35" t="n">
        <f aca="false">Q50-R50+S50</f>
        <v>1275</v>
      </c>
      <c r="U50" s="38" t="n">
        <f aca="false">N50-T50</f>
        <v>-903</v>
      </c>
      <c r="V50" s="35" t="n">
        <f aca="false">MAX(0,U50)</f>
        <v>0</v>
      </c>
      <c r="W50" s="35" t="n">
        <f aca="false">IF(V50&gt;0,ROUNDUP(V50*(1+前提・入力!$B$35),0),0)</f>
        <v>0</v>
      </c>
    </row>
    <row r="51" customFormat="false" ht="15" hidden="false" customHeight="false" outlineLevel="0" collapsed="false">
      <c r="A51" s="32" t="n">
        <v>23</v>
      </c>
      <c r="B51" s="32" t="s">
        <v>320</v>
      </c>
      <c r="C51" s="33" t="s">
        <v>321</v>
      </c>
      <c r="D51" s="35" t="n">
        <v>12724</v>
      </c>
      <c r="E51" s="61" t="n">
        <f aca="false">IFERROR(D51/D$71,0)</f>
        <v>0.19962347034829</v>
      </c>
      <c r="F51" s="35" t="n">
        <f aca="false">①札幌予測確定!P29</f>
        <v>2193</v>
      </c>
      <c r="G51" s="61" t="n">
        <f aca="false">IFERROR(F51/F$71,0)</f>
        <v>0.243558418480675</v>
      </c>
      <c r="H51" s="61" t="n">
        <f aca="false">E51*前提・入力!$B$32+G51*前提・入力!$B$33</f>
        <v>0.221590944414483</v>
      </c>
      <c r="I51" s="35" t="n">
        <f aca="false">ROUND($H51*③石川以降予測!$G$7,0)</f>
        <v>2151</v>
      </c>
      <c r="J51" s="35" t="n">
        <f aca="false">ROUND($H51*③石川以降予測!$G$8,0)</f>
        <v>2542</v>
      </c>
      <c r="K51" s="35" t="n">
        <f aca="false">ROUND($H51*③石川以降予測!$G$9,0)</f>
        <v>2346</v>
      </c>
      <c r="L51" s="35" t="n">
        <f aca="false">ROUND($H51*③石川以降予測!$G$10,0)</f>
        <v>1760</v>
      </c>
      <c r="M51" s="35" t="n">
        <f aca="false">ROUND($H51*③石川以降予測!$G$11,0)</f>
        <v>9776</v>
      </c>
      <c r="N51" s="35" t="n">
        <f aca="false">SUM(I51:M51)</f>
        <v>18575</v>
      </c>
      <c r="O51" s="35" t="n">
        <v>51818</v>
      </c>
      <c r="P51" s="35" t="n">
        <f aca="false">①札幌予測確定!S29</f>
        <v>11000</v>
      </c>
      <c r="Q51" s="35" t="n">
        <f aca="false">O51-P51</f>
        <v>40818</v>
      </c>
      <c r="R51" s="35" t="n">
        <f aca="false">MAX(0,①札幌予測確定!P29-①札幌予測確定!S29)</f>
        <v>0</v>
      </c>
      <c r="S51" s="35" t="n">
        <f aca="false">ROUND(①札幌予測確定!U29*前提・入力!$B$37,0)</f>
        <v>8807</v>
      </c>
      <c r="T51" s="35" t="n">
        <f aca="false">Q51-R51+S51</f>
        <v>49625</v>
      </c>
      <c r="U51" s="38" t="n">
        <f aca="false">N51-T51</f>
        <v>-31050</v>
      </c>
      <c r="V51" s="35" t="n">
        <f aca="false">MAX(0,U51)</f>
        <v>0</v>
      </c>
      <c r="W51" s="35" t="n">
        <f aca="false">IF(V51&gt;0,ROUNDUP(V51*(1+前提・入力!$B$35),0),0)</f>
        <v>0</v>
      </c>
    </row>
    <row r="52" customFormat="false" ht="15" hidden="false" customHeight="false" outlineLevel="0" collapsed="false">
      <c r="A52" s="32" t="n">
        <v>24</v>
      </c>
      <c r="B52" s="32" t="s">
        <v>322</v>
      </c>
      <c r="C52" s="33" t="s">
        <v>323</v>
      </c>
      <c r="D52" s="35" t="n">
        <v>6978</v>
      </c>
      <c r="E52" s="61" t="n">
        <f aca="false">IFERROR(D52/D$71,0)</f>
        <v>0.109475996234703</v>
      </c>
      <c r="F52" s="35" t="n">
        <f aca="false">①札幌予測確定!P30</f>
        <v>1195</v>
      </c>
      <c r="G52" s="61" t="n">
        <f aca="false">IFERROR(F52/F$71,0)</f>
        <v>0.132718791648156</v>
      </c>
      <c r="H52" s="61" t="n">
        <f aca="false">E52*前提・入力!$B$32+G52*前提・入力!$B$33</f>
        <v>0.12109739394143</v>
      </c>
      <c r="I52" s="35" t="n">
        <f aca="false">ROUND($H52*③石川以降予測!$G$7,0)</f>
        <v>1175</v>
      </c>
      <c r="J52" s="35" t="n">
        <f aca="false">ROUND($H52*③石川以降予測!$G$8,0)</f>
        <v>1389</v>
      </c>
      <c r="K52" s="35" t="n">
        <f aca="false">ROUND($H52*③石川以降予測!$G$9,0)</f>
        <v>1282</v>
      </c>
      <c r="L52" s="35" t="n">
        <f aca="false">ROUND($H52*③石川以降予測!$G$10,0)</f>
        <v>962</v>
      </c>
      <c r="M52" s="35" t="n">
        <f aca="false">ROUND($H52*③石川以降予測!$G$11,0)</f>
        <v>5342</v>
      </c>
      <c r="N52" s="35" t="n">
        <f aca="false">SUM(I52:M52)</f>
        <v>10150</v>
      </c>
      <c r="O52" s="35" t="n">
        <v>32204</v>
      </c>
      <c r="P52" s="35" t="n">
        <f aca="false">①札幌予測確定!S30</f>
        <v>8000</v>
      </c>
      <c r="Q52" s="35" t="n">
        <f aca="false">O52-P52</f>
        <v>24204</v>
      </c>
      <c r="R52" s="35" t="n">
        <f aca="false">MAX(0,①札幌予測確定!P30-①札幌予測確定!S30)</f>
        <v>0</v>
      </c>
      <c r="S52" s="35" t="n">
        <f aca="false">ROUND(①札幌予測確定!U30*前提・入力!$B$37,0)</f>
        <v>6805</v>
      </c>
      <c r="T52" s="35" t="n">
        <f aca="false">Q52-R52+S52</f>
        <v>31009</v>
      </c>
      <c r="U52" s="38" t="n">
        <f aca="false">N52-T52</f>
        <v>-20859</v>
      </c>
      <c r="V52" s="35" t="n">
        <f aca="false">MAX(0,U52)</f>
        <v>0</v>
      </c>
      <c r="W52" s="35" t="n">
        <f aca="false">IF(V52&gt;0,ROUNDUP(V52*(1+前提・入力!$B$35),0),0)</f>
        <v>0</v>
      </c>
    </row>
    <row r="53" customFormat="false" ht="15" hidden="false" customHeight="false" outlineLevel="0" collapsed="false">
      <c r="A53" s="32" t="n">
        <v>25</v>
      </c>
      <c r="B53" s="32" t="s">
        <v>324</v>
      </c>
      <c r="C53" s="33" t="s">
        <v>325</v>
      </c>
      <c r="D53" s="35" t="n">
        <v>243</v>
      </c>
      <c r="E53" s="61" t="n">
        <f aca="false">IFERROR(D53/D$71,0)</f>
        <v>0.00381236272356448</v>
      </c>
      <c r="F53" s="35" t="n">
        <f aca="false">①札幌予測確定!P31</f>
        <v>43</v>
      </c>
      <c r="G53" s="61" t="n">
        <f aca="false">IFERROR(F53/F$71,0)</f>
        <v>0.00477565526432697</v>
      </c>
      <c r="H53" s="61" t="n">
        <f aca="false">E53*前提・入力!$B$32+G53*前提・入力!$B$33</f>
        <v>0.00429400899394572</v>
      </c>
      <c r="I53" s="35" t="n">
        <f aca="false">ROUND($H53*③石川以降予測!$G$7,0)</f>
        <v>42</v>
      </c>
      <c r="J53" s="35" t="n">
        <f aca="false">ROUND($H53*③石川以降予測!$G$8,0)</f>
        <v>49</v>
      </c>
      <c r="K53" s="35" t="n">
        <f aca="false">ROUND($H53*③石川以降予測!$G$9,0)</f>
        <v>45</v>
      </c>
      <c r="L53" s="35" t="n">
        <f aca="false">ROUND($H53*③石川以降予測!$G$10,0)</f>
        <v>34</v>
      </c>
      <c r="M53" s="35" t="n">
        <f aca="false">ROUND($H53*③石川以降予測!$G$11,0)</f>
        <v>189</v>
      </c>
      <c r="N53" s="35" t="n">
        <f aca="false">SUM(I53:M53)</f>
        <v>359</v>
      </c>
      <c r="O53" s="35" t="n">
        <v>3505</v>
      </c>
      <c r="P53" s="35" t="n">
        <f aca="false">①札幌予測確定!S31</f>
        <v>200</v>
      </c>
      <c r="Q53" s="35" t="n">
        <f aca="false">O53-P53</f>
        <v>3305</v>
      </c>
      <c r="R53" s="35" t="n">
        <f aca="false">MAX(0,①札幌予測確定!P31-①札幌予測確定!S31)</f>
        <v>0</v>
      </c>
      <c r="S53" s="35" t="n">
        <f aca="false">ROUND(①札幌予測確定!U31*前提・入力!$B$37,0)</f>
        <v>157</v>
      </c>
      <c r="T53" s="35" t="n">
        <f aca="false">Q53-R53+S53</f>
        <v>3462</v>
      </c>
      <c r="U53" s="38" t="n">
        <f aca="false">N53-T53</f>
        <v>-3103</v>
      </c>
      <c r="V53" s="35" t="n">
        <f aca="false">MAX(0,U53)</f>
        <v>0</v>
      </c>
      <c r="W53" s="35" t="n">
        <f aca="false">IF(V53&gt;0,ROUNDUP(V53*(1+前提・入力!$B$35),0),0)</f>
        <v>0</v>
      </c>
    </row>
    <row r="54" customFormat="false" ht="15" hidden="false" customHeight="false" outlineLevel="0" collapsed="false">
      <c r="A54" s="32" t="n">
        <v>26</v>
      </c>
      <c r="B54" s="32" t="s">
        <v>326</v>
      </c>
      <c r="C54" s="33" t="s">
        <v>327</v>
      </c>
      <c r="D54" s="35" t="n">
        <v>842</v>
      </c>
      <c r="E54" s="61" t="n">
        <f aca="false">IFERROR(D54/D$71,0)</f>
        <v>0.0132099152808284</v>
      </c>
      <c r="F54" s="35" t="n">
        <f aca="false">①札幌予測確定!P32</f>
        <v>164</v>
      </c>
      <c r="G54" s="61" t="n">
        <f aca="false">IFERROR(F54/F$71,0)</f>
        <v>0.0182141270546424</v>
      </c>
      <c r="H54" s="61" t="n">
        <f aca="false">E54*前提・入力!$B$32+G54*前提・入力!$B$33</f>
        <v>0.0157120211677354</v>
      </c>
      <c r="I54" s="35" t="n">
        <f aca="false">ROUND($H54*③石川以降予測!$G$7,0)</f>
        <v>153</v>
      </c>
      <c r="J54" s="35" t="n">
        <f aca="false">ROUND($H54*③石川以降予測!$G$8,0)</f>
        <v>180</v>
      </c>
      <c r="K54" s="35" t="n">
        <f aca="false">ROUND($H54*③石川以降予測!$G$9,0)</f>
        <v>166</v>
      </c>
      <c r="L54" s="35" t="n">
        <f aca="false">ROUND($H54*③石川以降予測!$G$10,0)</f>
        <v>125</v>
      </c>
      <c r="M54" s="35" t="n">
        <f aca="false">ROUND($H54*③石川以降予測!$G$11,0)</f>
        <v>693</v>
      </c>
      <c r="N54" s="35" t="n">
        <f aca="false">SUM(I54:M54)</f>
        <v>1317</v>
      </c>
      <c r="O54" s="35" t="n">
        <v>497</v>
      </c>
      <c r="P54" s="35" t="n">
        <f aca="false">①札幌予測確定!S32</f>
        <v>100</v>
      </c>
      <c r="Q54" s="35" t="n">
        <f aca="false">O54-P54</f>
        <v>397</v>
      </c>
      <c r="R54" s="35" t="n">
        <f aca="false">MAX(0,①札幌予測確定!P32-①札幌予測確定!S32)</f>
        <v>64</v>
      </c>
      <c r="S54" s="35" t="n">
        <f aca="false">ROUND(①札幌予測確定!U32*前提・入力!$B$37,0)</f>
        <v>0</v>
      </c>
      <c r="T54" s="35" t="n">
        <f aca="false">Q54-R54+S54</f>
        <v>333</v>
      </c>
      <c r="U54" s="38" t="n">
        <f aca="false">N54-T54</f>
        <v>984</v>
      </c>
      <c r="V54" s="35" t="n">
        <f aca="false">MAX(0,U54)</f>
        <v>984</v>
      </c>
      <c r="W54" s="35" t="n">
        <f aca="false">IF(V54&gt;0,ROUNDUP(V54*(1+前提・入力!$B$35),0),0)</f>
        <v>1083</v>
      </c>
    </row>
    <row r="55" customFormat="false" ht="15" hidden="false" customHeight="false" outlineLevel="0" collapsed="false">
      <c r="A55" s="32" t="n">
        <v>27</v>
      </c>
      <c r="B55" s="32" t="s">
        <v>328</v>
      </c>
      <c r="C55" s="33" t="s">
        <v>329</v>
      </c>
      <c r="D55" s="35" t="n">
        <v>145</v>
      </c>
      <c r="E55" s="61" t="n">
        <f aca="false">IFERROR(D55/D$71,0)</f>
        <v>0.00227486664574835</v>
      </c>
      <c r="F55" s="35" t="n">
        <f aca="false">①札幌予測確定!P33</f>
        <v>38</v>
      </c>
      <c r="G55" s="61" t="n">
        <f aca="false">IFERROR(F55/F$71,0)</f>
        <v>0.00422034651266104</v>
      </c>
      <c r="H55" s="61" t="n">
        <f aca="false">E55*前提・入力!$B$32+G55*前提・入力!$B$33</f>
        <v>0.0032476065792047</v>
      </c>
      <c r="I55" s="35" t="n">
        <f aca="false">ROUND($H55*③石川以降予測!$G$7,0)</f>
        <v>32</v>
      </c>
      <c r="J55" s="35" t="n">
        <f aca="false">ROUND($H55*③石川以降予測!$G$8,0)</f>
        <v>37</v>
      </c>
      <c r="K55" s="35" t="n">
        <f aca="false">ROUND($H55*③石川以降予測!$G$9,0)</f>
        <v>34</v>
      </c>
      <c r="L55" s="35" t="n">
        <f aca="false">ROUND($H55*③石川以降予測!$G$10,0)</f>
        <v>26</v>
      </c>
      <c r="M55" s="35" t="n">
        <f aca="false">ROUND($H55*③石川以降予測!$G$11,0)</f>
        <v>143</v>
      </c>
      <c r="N55" s="35" t="n">
        <f aca="false">SUM(I55:M55)</f>
        <v>272</v>
      </c>
      <c r="O55" s="35" t="n">
        <v>1198</v>
      </c>
      <c r="P55" s="35" t="n">
        <f aca="false">①札幌予測確定!S33</f>
        <v>70</v>
      </c>
      <c r="Q55" s="35" t="n">
        <f aca="false">O55-P55</f>
        <v>1128</v>
      </c>
      <c r="R55" s="35" t="n">
        <f aca="false">MAX(0,①札幌予測確定!P33-①札幌予測確定!S33)</f>
        <v>0</v>
      </c>
      <c r="S55" s="35" t="n">
        <f aca="false">ROUND(①札幌予測確定!U33*前提・入力!$B$37,0)</f>
        <v>32</v>
      </c>
      <c r="T55" s="35" t="n">
        <f aca="false">Q55-R55+S55</f>
        <v>1160</v>
      </c>
      <c r="U55" s="38" t="n">
        <f aca="false">N55-T55</f>
        <v>-888</v>
      </c>
      <c r="V55" s="35" t="n">
        <f aca="false">MAX(0,U55)</f>
        <v>0</v>
      </c>
      <c r="W55" s="35" t="n">
        <f aca="false">IF(V55&gt;0,ROUNDUP(V55*(1+前提・入力!$B$35),0),0)</f>
        <v>0</v>
      </c>
    </row>
    <row r="56" customFormat="false" ht="15" hidden="false" customHeight="false" outlineLevel="0" collapsed="false">
      <c r="A56" s="32" t="n">
        <v>28</v>
      </c>
      <c r="B56" s="32" t="s">
        <v>330</v>
      </c>
      <c r="C56" s="33" t="s">
        <v>331</v>
      </c>
      <c r="D56" s="35" t="n">
        <v>400</v>
      </c>
      <c r="E56" s="61" t="n">
        <f aca="false">IFERROR(D56/D$71,0)</f>
        <v>0.00627549419516787</v>
      </c>
      <c r="F56" s="35" t="n">
        <f aca="false">①札幌予測確定!P34</f>
        <v>217</v>
      </c>
      <c r="G56" s="61" t="n">
        <f aca="false">IFERROR(F56/F$71,0)</f>
        <v>0.0241003998223012</v>
      </c>
      <c r="H56" s="61" t="n">
        <f aca="false">E56*前提・入力!$B$32+G56*前提・入力!$B$33</f>
        <v>0.0151879470087345</v>
      </c>
      <c r="I56" s="35" t="n">
        <f aca="false">ROUND($H56*③石川以降予測!$G$7,0)</f>
        <v>147</v>
      </c>
      <c r="J56" s="35" t="n">
        <f aca="false">ROUND($H56*③石川以降予測!$G$8,0)</f>
        <v>174</v>
      </c>
      <c r="K56" s="35" t="n">
        <f aca="false">ROUND($H56*③石川以降予測!$G$9,0)</f>
        <v>161</v>
      </c>
      <c r="L56" s="35" t="n">
        <f aca="false">ROUND($H56*③石川以降予測!$G$10,0)</f>
        <v>121</v>
      </c>
      <c r="M56" s="35" t="n">
        <f aca="false">ROUND($H56*③石川以降予測!$G$11,0)</f>
        <v>670</v>
      </c>
      <c r="N56" s="35" t="n">
        <f aca="false">SUM(I56:M56)</f>
        <v>1273</v>
      </c>
      <c r="O56" s="35" t="n">
        <v>460</v>
      </c>
      <c r="P56" s="35" t="n">
        <f aca="false">①札幌予測確定!S34</f>
        <v>200</v>
      </c>
      <c r="Q56" s="35" t="n">
        <f aca="false">O56-P56</f>
        <v>260</v>
      </c>
      <c r="R56" s="35" t="n">
        <f aca="false">MAX(0,①札幌予測確定!P34-①札幌予測確定!S34)</f>
        <v>17</v>
      </c>
      <c r="S56" s="35" t="n">
        <f aca="false">ROUND(①札幌予測確定!U34*前提・入力!$B$37,0)</f>
        <v>0</v>
      </c>
      <c r="T56" s="35" t="n">
        <f aca="false">Q56-R56+S56</f>
        <v>243</v>
      </c>
      <c r="U56" s="38" t="n">
        <f aca="false">N56-T56</f>
        <v>1030</v>
      </c>
      <c r="V56" s="35" t="n">
        <f aca="false">MAX(0,U56)</f>
        <v>1030</v>
      </c>
      <c r="W56" s="35" t="n">
        <f aca="false">IF(V56&gt;0,ROUNDUP(V56*(1+前提・入力!$B$35),0),0)</f>
        <v>1133</v>
      </c>
    </row>
    <row r="57" customFormat="false" ht="15" hidden="false" customHeight="false" outlineLevel="0" collapsed="false">
      <c r="A57" s="32" t="n">
        <v>29</v>
      </c>
      <c r="B57" s="32" t="s">
        <v>332</v>
      </c>
      <c r="C57" s="33" t="s">
        <v>333</v>
      </c>
      <c r="D57" s="35" t="n">
        <v>200</v>
      </c>
      <c r="E57" s="61" t="n">
        <f aca="false">IFERROR(D57/D$71,0)</f>
        <v>0.00313774709758393</v>
      </c>
      <c r="F57" s="35" t="n">
        <f aca="false">①札幌予測確定!P35</f>
        <v>93</v>
      </c>
      <c r="G57" s="61" t="n">
        <f aca="false">IFERROR(F57/F$71,0)</f>
        <v>0.0103287427809862</v>
      </c>
      <c r="H57" s="61" t="n">
        <f aca="false">E57*前提・入力!$B$32+G57*前提・入力!$B$33</f>
        <v>0.00673324493928508</v>
      </c>
      <c r="I57" s="35" t="n">
        <f aca="false">ROUND($H57*③石川以降予測!$G$7,0)</f>
        <v>65</v>
      </c>
      <c r="J57" s="35" t="n">
        <f aca="false">ROUND($H57*③石川以降予測!$G$8,0)</f>
        <v>77</v>
      </c>
      <c r="K57" s="35" t="n">
        <f aca="false">ROUND($H57*③石川以降予測!$G$9,0)</f>
        <v>71</v>
      </c>
      <c r="L57" s="35" t="n">
        <f aca="false">ROUND($H57*③石川以降予測!$G$10,0)</f>
        <v>53</v>
      </c>
      <c r="M57" s="35" t="n">
        <f aca="false">ROUND($H57*③石川以降予測!$G$11,0)</f>
        <v>297</v>
      </c>
      <c r="N57" s="35" t="n">
        <f aca="false">SUM(I57:M57)</f>
        <v>563</v>
      </c>
      <c r="O57" s="35" t="n">
        <v>420</v>
      </c>
      <c r="P57" s="35" t="n">
        <f aca="false">①札幌予測確定!S35</f>
        <v>100</v>
      </c>
      <c r="Q57" s="35" t="n">
        <f aca="false">O57-P57</f>
        <v>320</v>
      </c>
      <c r="R57" s="35" t="n">
        <f aca="false">MAX(0,①札幌予測確定!P35-①札幌予測確定!S35)</f>
        <v>0</v>
      </c>
      <c r="S57" s="35" t="n">
        <f aca="false">ROUND(①札幌予測確定!U35*前提・入力!$B$37,0)</f>
        <v>7</v>
      </c>
      <c r="T57" s="35" t="n">
        <f aca="false">Q57-R57+S57</f>
        <v>327</v>
      </c>
      <c r="U57" s="38" t="n">
        <f aca="false">N57-T57</f>
        <v>236</v>
      </c>
      <c r="V57" s="35" t="n">
        <f aca="false">MAX(0,U57)</f>
        <v>236</v>
      </c>
      <c r="W57" s="35" t="n">
        <f aca="false">IF(V57&gt;0,ROUNDUP(V57*(1+前提・入力!$B$35),0),0)</f>
        <v>260</v>
      </c>
    </row>
    <row r="58" customFormat="false" ht="15" hidden="false" customHeight="false" outlineLevel="0" collapsed="false">
      <c r="A58" s="32" t="n">
        <v>30</v>
      </c>
      <c r="B58" s="32" t="s">
        <v>334</v>
      </c>
      <c r="C58" s="33" t="s">
        <v>335</v>
      </c>
      <c r="D58" s="35" t="n">
        <v>205</v>
      </c>
      <c r="E58" s="61" t="n">
        <f aca="false">IFERROR(D58/D$71,0)</f>
        <v>0.00321619077502353</v>
      </c>
      <c r="F58" s="35" t="n">
        <f aca="false">①札幌予測確定!P36</f>
        <v>63</v>
      </c>
      <c r="G58" s="61" t="n">
        <f aca="false">IFERROR(F58/F$71,0)</f>
        <v>0.00699689027099067</v>
      </c>
      <c r="H58" s="61" t="n">
        <f aca="false">E58*前提・入力!$B$32+G58*前提・入力!$B$33</f>
        <v>0.0051065405230071</v>
      </c>
      <c r="I58" s="35" t="n">
        <f aca="false">ROUND($H58*③石川以降予測!$G$7,0)</f>
        <v>50</v>
      </c>
      <c r="J58" s="35" t="n">
        <f aca="false">ROUND($H58*③石川以降予測!$G$8,0)</f>
        <v>59</v>
      </c>
      <c r="K58" s="35" t="n">
        <f aca="false">ROUND($H58*③石川以降予測!$G$9,0)</f>
        <v>54</v>
      </c>
      <c r="L58" s="35" t="n">
        <f aca="false">ROUND($H58*③石川以降予測!$G$10,0)</f>
        <v>41</v>
      </c>
      <c r="M58" s="35" t="n">
        <f aca="false">ROUND($H58*③石川以降予測!$G$11,0)</f>
        <v>225</v>
      </c>
      <c r="N58" s="35" t="n">
        <f aca="false">SUM(I58:M58)</f>
        <v>429</v>
      </c>
      <c r="O58" s="35" t="n">
        <v>898</v>
      </c>
      <c r="P58" s="35" t="n">
        <f aca="false">①札幌予測確定!S36</f>
        <v>250</v>
      </c>
      <c r="Q58" s="35" t="n">
        <f aca="false">O58-P58</f>
        <v>648</v>
      </c>
      <c r="R58" s="35" t="n">
        <f aca="false">MAX(0,①札幌予測確定!P36-①札幌予測確定!S36)</f>
        <v>0</v>
      </c>
      <c r="S58" s="35" t="n">
        <f aca="false">ROUND(①札幌予測確定!U36*前提・入力!$B$37,0)</f>
        <v>187</v>
      </c>
      <c r="T58" s="35" t="n">
        <f aca="false">Q58-R58+S58</f>
        <v>835</v>
      </c>
      <c r="U58" s="38" t="n">
        <f aca="false">N58-T58</f>
        <v>-406</v>
      </c>
      <c r="V58" s="35" t="n">
        <f aca="false">MAX(0,U58)</f>
        <v>0</v>
      </c>
      <c r="W58" s="35" t="n">
        <f aca="false">IF(V58&gt;0,ROUNDUP(V58*(1+前提・入力!$B$35),0),0)</f>
        <v>0</v>
      </c>
    </row>
    <row r="59" customFormat="false" ht="15" hidden="false" customHeight="false" outlineLevel="0" collapsed="false">
      <c r="A59" s="32" t="n">
        <v>31</v>
      </c>
      <c r="B59" s="32" t="s">
        <v>336</v>
      </c>
      <c r="C59" s="33" t="s">
        <v>337</v>
      </c>
      <c r="D59" s="35" t="n">
        <v>427</v>
      </c>
      <c r="E59" s="61" t="n">
        <f aca="false">IFERROR(D59/D$71,0)</f>
        <v>0.0066990900533417</v>
      </c>
      <c r="F59" s="35" t="n">
        <f aca="false">①札幌予測確定!P37</f>
        <v>89</v>
      </c>
      <c r="G59" s="61" t="n">
        <f aca="false">IFERROR(F59/F$71,0)</f>
        <v>0.00988449577965349</v>
      </c>
      <c r="H59" s="61" t="n">
        <f aca="false">E59*前提・入力!$B$32+G59*前提・入力!$B$33</f>
        <v>0.00829179291649759</v>
      </c>
      <c r="I59" s="35" t="n">
        <f aca="false">ROUND($H59*③石川以降予測!$G$7,0)</f>
        <v>80</v>
      </c>
      <c r="J59" s="35" t="n">
        <f aca="false">ROUND($H59*③石川以降予測!$G$8,0)</f>
        <v>95</v>
      </c>
      <c r="K59" s="35" t="n">
        <f aca="false">ROUND($H59*③石川以降予測!$G$9,0)</f>
        <v>88</v>
      </c>
      <c r="L59" s="35" t="n">
        <f aca="false">ROUND($H59*③石川以降予測!$G$10,0)</f>
        <v>66</v>
      </c>
      <c r="M59" s="35" t="n">
        <f aca="false">ROUND($H59*③石川以降予測!$G$11,0)</f>
        <v>366</v>
      </c>
      <c r="N59" s="35" t="n">
        <f aca="false">SUM(I59:M59)</f>
        <v>695</v>
      </c>
      <c r="O59" s="35" t="n">
        <v>926</v>
      </c>
      <c r="P59" s="35" t="n">
        <f aca="false">①札幌予測確定!S37</f>
        <v>200</v>
      </c>
      <c r="Q59" s="35" t="n">
        <f aca="false">O59-P59</f>
        <v>726</v>
      </c>
      <c r="R59" s="35" t="n">
        <f aca="false">MAX(0,①札幌予測確定!P37-①札幌予測確定!S37)</f>
        <v>0</v>
      </c>
      <c r="S59" s="35" t="n">
        <f aca="false">ROUND(①札幌予測確定!U37*前提・入力!$B$37,0)</f>
        <v>111</v>
      </c>
      <c r="T59" s="35" t="n">
        <f aca="false">Q59-R59+S59</f>
        <v>837</v>
      </c>
      <c r="U59" s="38" t="n">
        <f aca="false">N59-T59</f>
        <v>-142</v>
      </c>
      <c r="V59" s="35" t="n">
        <f aca="false">MAX(0,U59)</f>
        <v>0</v>
      </c>
      <c r="W59" s="35" t="n">
        <f aca="false">IF(V59&gt;0,ROUNDUP(V59*(1+前提・入力!$B$35),0),0)</f>
        <v>0</v>
      </c>
    </row>
    <row r="60" customFormat="false" ht="15" hidden="false" customHeight="false" outlineLevel="0" collapsed="false">
      <c r="A60" s="32" t="n">
        <v>32</v>
      </c>
      <c r="B60" s="32" t="s">
        <v>338</v>
      </c>
      <c r="C60" s="33" t="s">
        <v>339</v>
      </c>
      <c r="D60" s="35" t="n">
        <v>40</v>
      </c>
      <c r="E60" s="61" t="n">
        <f aca="false">IFERROR(D60/D$71,0)</f>
        <v>0.000627549419516787</v>
      </c>
      <c r="F60" s="35" t="n">
        <f aca="false">①札幌予測確定!P38</f>
        <v>10</v>
      </c>
      <c r="G60" s="61" t="n">
        <f aca="false">IFERROR(F60/F$71,0)</f>
        <v>0.00111061750333185</v>
      </c>
      <c r="H60" s="61" t="n">
        <f aca="false">E60*前提・入力!$B$32+G60*前提・入力!$B$33</f>
        <v>0.00086908346142432</v>
      </c>
      <c r="I60" s="35" t="n">
        <f aca="false">ROUND($H60*③石川以降予測!$G$7,0)</f>
        <v>8</v>
      </c>
      <c r="J60" s="35" t="n">
        <f aca="false">ROUND($H60*③石川以降予測!$G$8,0)</f>
        <v>10</v>
      </c>
      <c r="K60" s="35" t="n">
        <f aca="false">ROUND($H60*③石川以降予測!$G$9,0)</f>
        <v>9</v>
      </c>
      <c r="L60" s="35" t="n">
        <f aca="false">ROUND($H60*③石川以降予測!$G$10,0)</f>
        <v>7</v>
      </c>
      <c r="M60" s="35" t="n">
        <f aca="false">ROUND($H60*③石川以降予測!$G$11,0)</f>
        <v>38</v>
      </c>
      <c r="N60" s="35" t="n">
        <f aca="false">SUM(I60:M60)</f>
        <v>72</v>
      </c>
      <c r="O60" s="35" t="n">
        <v>33</v>
      </c>
      <c r="P60" s="35" t="n">
        <f aca="false">①札幌予測確定!S38</f>
        <v>10</v>
      </c>
      <c r="Q60" s="35" t="n">
        <f aca="false">O60-P60</f>
        <v>23</v>
      </c>
      <c r="R60" s="35" t="n">
        <f aca="false">MAX(0,①札幌予測確定!P38-①札幌予測確定!S38)</f>
        <v>0</v>
      </c>
      <c r="S60" s="35" t="n">
        <f aca="false">ROUND(①札幌予測確定!U38*前提・入力!$B$37,0)</f>
        <v>0</v>
      </c>
      <c r="T60" s="35" t="n">
        <f aca="false">Q60-R60+S60</f>
        <v>23</v>
      </c>
      <c r="U60" s="38" t="n">
        <f aca="false">N60-T60</f>
        <v>49</v>
      </c>
      <c r="V60" s="35" t="n">
        <f aca="false">MAX(0,U60)</f>
        <v>49</v>
      </c>
      <c r="W60" s="35" t="n">
        <f aca="false">IF(V60&gt;0,ROUNDUP(V60*(1+前提・入力!$B$35),0),0)</f>
        <v>54</v>
      </c>
    </row>
    <row r="61" customFormat="false" ht="15" hidden="false" customHeight="false" outlineLevel="0" collapsed="false">
      <c r="A61" s="32" t="n">
        <v>33</v>
      </c>
      <c r="B61" s="32" t="s">
        <v>340</v>
      </c>
      <c r="C61" s="33" t="s">
        <v>341</v>
      </c>
      <c r="D61" s="35" t="n">
        <v>21</v>
      </c>
      <c r="E61" s="61" t="n">
        <f aca="false">IFERROR(D61/D$71,0)</f>
        <v>0.000329463445246313</v>
      </c>
      <c r="F61" s="35" t="n">
        <f aca="false">①札幌予測確定!P39</f>
        <v>0</v>
      </c>
      <c r="G61" s="61" t="n">
        <f aca="false">IFERROR(F61/F$71,0)</f>
        <v>0</v>
      </c>
      <c r="H61" s="61" t="n">
        <f aca="false">E61*前提・入力!$B$32+G61*前提・入力!$B$33</f>
        <v>0.000164731722623157</v>
      </c>
      <c r="I61" s="35" t="n">
        <f aca="false">ROUND($H61*③石川以降予測!$G$7,0)</f>
        <v>2</v>
      </c>
      <c r="J61" s="35" t="n">
        <f aca="false">ROUND($H61*③石川以降予測!$G$8,0)</f>
        <v>2</v>
      </c>
      <c r="K61" s="35" t="n">
        <f aca="false">ROUND($H61*③石川以降予測!$G$9,0)</f>
        <v>2</v>
      </c>
      <c r="L61" s="35" t="n">
        <f aca="false">ROUND($H61*③石川以降予測!$G$10,0)</f>
        <v>1</v>
      </c>
      <c r="M61" s="35" t="n">
        <f aca="false">ROUND($H61*③石川以降予測!$G$11,0)</f>
        <v>7</v>
      </c>
      <c r="N61" s="35" t="n">
        <f aca="false">SUM(I61:M61)</f>
        <v>14</v>
      </c>
      <c r="O61" s="35" t="n">
        <v>106</v>
      </c>
      <c r="P61" s="35" t="n">
        <f aca="false">①札幌予測確定!S39</f>
        <v>15</v>
      </c>
      <c r="Q61" s="35" t="n">
        <f aca="false">O61-P61</f>
        <v>91</v>
      </c>
      <c r="R61" s="35" t="n">
        <f aca="false">MAX(0,①札幌予測確定!P39-①札幌予測確定!S39)</f>
        <v>0</v>
      </c>
      <c r="S61" s="35" t="n">
        <f aca="false">ROUND(①札幌予測確定!U39*前提・入力!$B$37,0)</f>
        <v>15</v>
      </c>
      <c r="T61" s="35" t="n">
        <f aca="false">Q61-R61+S61</f>
        <v>106</v>
      </c>
      <c r="U61" s="38" t="n">
        <f aca="false">N61-T61</f>
        <v>-92</v>
      </c>
      <c r="V61" s="35" t="n">
        <f aca="false">MAX(0,U61)</f>
        <v>0</v>
      </c>
      <c r="W61" s="35" t="n">
        <f aca="false">IF(V61&gt;0,ROUNDUP(V61*(1+前提・入力!$B$35),0),0)</f>
        <v>0</v>
      </c>
    </row>
    <row r="62" customFormat="false" ht="15" hidden="false" customHeight="false" outlineLevel="0" collapsed="false">
      <c r="A62" s="32" t="n">
        <v>34</v>
      </c>
      <c r="B62" s="32" t="s">
        <v>342</v>
      </c>
      <c r="C62" s="33" t="s">
        <v>343</v>
      </c>
      <c r="D62" s="35" t="n">
        <v>3</v>
      </c>
      <c r="E62" s="61" t="n">
        <f aca="false">IFERROR(D62/D$71,0)</f>
        <v>4.7066206463759E-005</v>
      </c>
      <c r="F62" s="35" t="n">
        <f aca="false">①札幌予測確定!P40</f>
        <v>1</v>
      </c>
      <c r="G62" s="61" t="n">
        <f aca="false">IFERROR(F62/F$71,0)</f>
        <v>0.000111061750333185</v>
      </c>
      <c r="H62" s="61" t="n">
        <f aca="false">E62*前提・入力!$B$32+G62*前提・入力!$B$33</f>
        <v>7.90639783984721E-005</v>
      </c>
      <c r="I62" s="35" t="n">
        <f aca="false">ROUND($H62*③石川以降予測!$G$7,0)</f>
        <v>1</v>
      </c>
      <c r="J62" s="35" t="n">
        <f aca="false">ROUND($H62*③石川以降予測!$G$8,0)</f>
        <v>1</v>
      </c>
      <c r="K62" s="35" t="n">
        <f aca="false">ROUND($H62*③石川以降予測!$G$9,0)</f>
        <v>1</v>
      </c>
      <c r="L62" s="35" t="n">
        <f aca="false">ROUND($H62*③石川以降予測!$G$10,0)</f>
        <v>1</v>
      </c>
      <c r="M62" s="35" t="n">
        <f aca="false">ROUND($H62*③石川以降予測!$G$11,0)</f>
        <v>3</v>
      </c>
      <c r="N62" s="35" t="n">
        <f aca="false">SUM(I62:M62)</f>
        <v>7</v>
      </c>
      <c r="O62" s="35" t="n">
        <v>4</v>
      </c>
      <c r="P62" s="35" t="n">
        <f aca="false">①札幌予測確定!S40</f>
        <v>2</v>
      </c>
      <c r="Q62" s="35" t="n">
        <f aca="false">O62-P62</f>
        <v>2</v>
      </c>
      <c r="R62" s="35" t="n">
        <f aca="false">MAX(0,①札幌予測確定!P40-①札幌予測確定!S40)</f>
        <v>0</v>
      </c>
      <c r="S62" s="35" t="n">
        <f aca="false">ROUND(①札幌予測確定!U40*前提・入力!$B$37,0)</f>
        <v>1</v>
      </c>
      <c r="T62" s="35" t="n">
        <f aca="false">Q62-R62+S62</f>
        <v>3</v>
      </c>
      <c r="U62" s="38" t="n">
        <f aca="false">N62-T62</f>
        <v>4</v>
      </c>
      <c r="V62" s="35" t="n">
        <f aca="false">MAX(0,U62)</f>
        <v>4</v>
      </c>
      <c r="W62" s="35" t="n">
        <f aca="false">IF(V62&gt;0,ROUNDUP(V62*(1+前提・入力!$B$35),0),0)</f>
        <v>5</v>
      </c>
    </row>
    <row r="63" customFormat="false" ht="15" hidden="false" customHeight="false" outlineLevel="0" collapsed="false">
      <c r="A63" s="32" t="n">
        <v>35</v>
      </c>
      <c r="B63" s="32" t="s">
        <v>344</v>
      </c>
      <c r="C63" s="33" t="s">
        <v>345</v>
      </c>
      <c r="D63" s="35" t="n">
        <v>3</v>
      </c>
      <c r="E63" s="61" t="n">
        <f aca="false">IFERROR(D63/D$71,0)</f>
        <v>4.7066206463759E-005</v>
      </c>
      <c r="F63" s="35" t="n">
        <f aca="false">①札幌予測確定!P41</f>
        <v>0</v>
      </c>
      <c r="G63" s="61" t="n">
        <f aca="false">IFERROR(F63/F$71,0)</f>
        <v>0</v>
      </c>
      <c r="H63" s="61" t="n">
        <f aca="false">E63*前提・入力!$B$32+G63*前提・入力!$B$33</f>
        <v>2.35331032318795E-005</v>
      </c>
      <c r="I63" s="35" t="n">
        <f aca="false">ROUND($H63*③石川以降予測!$G$7,0)</f>
        <v>0</v>
      </c>
      <c r="J63" s="35" t="n">
        <f aca="false">ROUND($H63*③石川以降予測!$G$8,0)</f>
        <v>0</v>
      </c>
      <c r="K63" s="35" t="n">
        <f aca="false">ROUND($H63*③石川以降予測!$G$9,0)</f>
        <v>0</v>
      </c>
      <c r="L63" s="35" t="n">
        <f aca="false">ROUND($H63*③石川以降予測!$G$10,0)</f>
        <v>0</v>
      </c>
      <c r="M63" s="35" t="n">
        <f aca="false">ROUND($H63*③石川以降予測!$G$11,0)</f>
        <v>1</v>
      </c>
      <c r="N63" s="35" t="n">
        <f aca="false">SUM(I63:M63)</f>
        <v>1</v>
      </c>
      <c r="O63" s="35" t="n">
        <v>4</v>
      </c>
      <c r="P63" s="35" t="n">
        <f aca="false">①札幌予測確定!S41</f>
        <v>2</v>
      </c>
      <c r="Q63" s="35" t="n">
        <f aca="false">O63-P63</f>
        <v>2</v>
      </c>
      <c r="R63" s="35" t="n">
        <f aca="false">MAX(0,①札幌予測確定!P41-①札幌予測確定!S41)</f>
        <v>0</v>
      </c>
      <c r="S63" s="35" t="n">
        <f aca="false">ROUND(①札幌予測確定!U41*前提・入力!$B$37,0)</f>
        <v>2</v>
      </c>
      <c r="T63" s="35" t="n">
        <f aca="false">Q63-R63+S63</f>
        <v>4</v>
      </c>
      <c r="U63" s="38" t="n">
        <f aca="false">N63-T63</f>
        <v>-3</v>
      </c>
      <c r="V63" s="35" t="n">
        <f aca="false">MAX(0,U63)</f>
        <v>0</v>
      </c>
      <c r="W63" s="35" t="n">
        <f aca="false">IF(V63&gt;0,ROUNDUP(V63*(1+前提・入力!$B$35),0),0)</f>
        <v>0</v>
      </c>
    </row>
    <row r="64" customFormat="false" ht="15" hidden="false" customHeight="false" outlineLevel="0" collapsed="false">
      <c r="A64" s="32" t="n">
        <v>36</v>
      </c>
      <c r="B64" s="32" t="s">
        <v>346</v>
      </c>
      <c r="C64" s="33" t="s">
        <v>347</v>
      </c>
      <c r="D64" s="35" t="n">
        <v>3</v>
      </c>
      <c r="E64" s="61" t="n">
        <f aca="false">IFERROR(D64/D$71,0)</f>
        <v>4.7066206463759E-005</v>
      </c>
      <c r="F64" s="35" t="n">
        <f aca="false">①札幌予測確定!P42</f>
        <v>0</v>
      </c>
      <c r="G64" s="61" t="n">
        <f aca="false">IFERROR(F64/F$71,0)</f>
        <v>0</v>
      </c>
      <c r="H64" s="61" t="n">
        <f aca="false">E64*前提・入力!$B$32+G64*前提・入力!$B$33</f>
        <v>2.35331032318795E-005</v>
      </c>
      <c r="I64" s="35" t="n">
        <f aca="false">ROUND($H64*③石川以降予測!$G$7,0)</f>
        <v>0</v>
      </c>
      <c r="J64" s="35" t="n">
        <f aca="false">ROUND($H64*③石川以降予測!$G$8,0)</f>
        <v>0</v>
      </c>
      <c r="K64" s="35" t="n">
        <f aca="false">ROUND($H64*③石川以降予測!$G$9,0)</f>
        <v>0</v>
      </c>
      <c r="L64" s="35" t="n">
        <f aca="false">ROUND($H64*③石川以降予測!$G$10,0)</f>
        <v>0</v>
      </c>
      <c r="M64" s="35" t="n">
        <f aca="false">ROUND($H64*③石川以降予測!$G$11,0)</f>
        <v>1</v>
      </c>
      <c r="N64" s="35" t="n">
        <f aca="false">SUM(I64:M64)</f>
        <v>1</v>
      </c>
      <c r="O64" s="35" t="n">
        <v>4</v>
      </c>
      <c r="P64" s="35" t="n">
        <f aca="false">①札幌予測確定!S42</f>
        <v>2</v>
      </c>
      <c r="Q64" s="35" t="n">
        <f aca="false">O64-P64</f>
        <v>2</v>
      </c>
      <c r="R64" s="35" t="n">
        <f aca="false">MAX(0,①札幌予測確定!P42-①札幌予測確定!S42)</f>
        <v>0</v>
      </c>
      <c r="S64" s="35" t="n">
        <f aca="false">ROUND(①札幌予測確定!U42*前提・入力!$B$37,0)</f>
        <v>2</v>
      </c>
      <c r="T64" s="35" t="n">
        <f aca="false">Q64-R64+S64</f>
        <v>4</v>
      </c>
      <c r="U64" s="38" t="n">
        <f aca="false">N64-T64</f>
        <v>-3</v>
      </c>
      <c r="V64" s="35" t="n">
        <f aca="false">MAX(0,U64)</f>
        <v>0</v>
      </c>
      <c r="W64" s="35" t="n">
        <f aca="false">IF(V64&gt;0,ROUNDUP(V64*(1+前提・入力!$B$35),0),0)</f>
        <v>0</v>
      </c>
    </row>
    <row r="65" customFormat="false" ht="15" hidden="false" customHeight="false" outlineLevel="0" collapsed="false">
      <c r="A65" s="32" t="n">
        <v>37</v>
      </c>
      <c r="B65" s="32" t="s">
        <v>348</v>
      </c>
      <c r="C65" s="33" t="s">
        <v>349</v>
      </c>
      <c r="D65" s="35" t="n">
        <v>26</v>
      </c>
      <c r="E65" s="61" t="n">
        <f aca="false">IFERROR(D65/D$71,0)</f>
        <v>0.000407907122685912</v>
      </c>
      <c r="F65" s="35" t="n">
        <f aca="false">①札幌予測確定!P43</f>
        <v>0</v>
      </c>
      <c r="G65" s="61" t="n">
        <f aca="false">IFERROR(F65/F$71,0)</f>
        <v>0</v>
      </c>
      <c r="H65" s="61" t="n">
        <f aca="false">E65*前提・入力!$B$32+G65*前提・入力!$B$33</f>
        <v>0.000203953561342956</v>
      </c>
      <c r="I65" s="35" t="n">
        <f aca="false">ROUND($H65*③石川以降予測!$G$7,0)</f>
        <v>2</v>
      </c>
      <c r="J65" s="35" t="n">
        <f aca="false">ROUND($H65*③石川以降予測!$G$8,0)</f>
        <v>2</v>
      </c>
      <c r="K65" s="35" t="n">
        <f aca="false">ROUND($H65*③石川以降予測!$G$9,0)</f>
        <v>2</v>
      </c>
      <c r="L65" s="35" t="n">
        <f aca="false">ROUND($H65*③石川以降予測!$G$10,0)</f>
        <v>2</v>
      </c>
      <c r="M65" s="35" t="n">
        <f aca="false">ROUND($H65*③石川以降予測!$G$11,0)</f>
        <v>9</v>
      </c>
      <c r="N65" s="35" t="n">
        <f aca="false">SUM(I65:M65)</f>
        <v>17</v>
      </c>
      <c r="O65" s="35" t="n">
        <v>43</v>
      </c>
      <c r="P65" s="35" t="n">
        <f aca="false">①札幌予測確定!S43</f>
        <v>8</v>
      </c>
      <c r="Q65" s="35" t="n">
        <f aca="false">O65-P65</f>
        <v>35</v>
      </c>
      <c r="R65" s="35" t="n">
        <f aca="false">MAX(0,①札幌予測確定!P43-①札幌予測確定!S43)</f>
        <v>0</v>
      </c>
      <c r="S65" s="35" t="n">
        <f aca="false">ROUND(①札幌予測確定!U43*前提・入力!$B$37,0)</f>
        <v>8</v>
      </c>
      <c r="T65" s="35" t="n">
        <f aca="false">Q65-R65+S65</f>
        <v>43</v>
      </c>
      <c r="U65" s="38" t="n">
        <f aca="false">N65-T65</f>
        <v>-26</v>
      </c>
      <c r="V65" s="35" t="n">
        <f aca="false">MAX(0,U65)</f>
        <v>0</v>
      </c>
      <c r="W65" s="35" t="n">
        <f aca="false">IF(V65&gt;0,ROUNDUP(V65*(1+前提・入力!$B$35),0),0)</f>
        <v>0</v>
      </c>
    </row>
    <row r="66" customFormat="false" ht="15" hidden="false" customHeight="false" outlineLevel="0" collapsed="false">
      <c r="A66" s="32" t="n">
        <v>38</v>
      </c>
      <c r="B66" s="32" t="s">
        <v>350</v>
      </c>
      <c r="C66" s="33" t="s">
        <v>351</v>
      </c>
      <c r="D66" s="35" t="n">
        <v>3</v>
      </c>
      <c r="E66" s="61" t="n">
        <f aca="false">IFERROR(D66/D$71,0)</f>
        <v>4.7066206463759E-005</v>
      </c>
      <c r="F66" s="35" t="n">
        <f aca="false">①札幌予測確定!P44</f>
        <v>2</v>
      </c>
      <c r="G66" s="61" t="n">
        <f aca="false">IFERROR(F66/F$71,0)</f>
        <v>0.000222123500666371</v>
      </c>
      <c r="H66" s="61" t="n">
        <f aca="false">E66*前提・入力!$B$32+G66*前提・入力!$B$33</f>
        <v>0.000134594853565065</v>
      </c>
      <c r="I66" s="35" t="n">
        <f aca="false">ROUND($H66*③石川以降予測!$G$7,0)</f>
        <v>1</v>
      </c>
      <c r="J66" s="35" t="n">
        <f aca="false">ROUND($H66*③石川以降予測!$G$8,0)</f>
        <v>2</v>
      </c>
      <c r="K66" s="35" t="n">
        <f aca="false">ROUND($H66*③石川以降予測!$G$9,0)</f>
        <v>1</v>
      </c>
      <c r="L66" s="35" t="n">
        <f aca="false">ROUND($H66*③石川以降予測!$G$10,0)</f>
        <v>1</v>
      </c>
      <c r="M66" s="35" t="n">
        <f aca="false">ROUND($H66*③石川以降予測!$G$11,0)</f>
        <v>6</v>
      </c>
      <c r="N66" s="35" t="n">
        <f aca="false">SUM(I66:M66)</f>
        <v>11</v>
      </c>
      <c r="O66" s="35" t="n">
        <v>4</v>
      </c>
      <c r="P66" s="35" t="n">
        <f aca="false">①札幌予測確定!S44</f>
        <v>2</v>
      </c>
      <c r="Q66" s="35" t="n">
        <f aca="false">O66-P66</f>
        <v>2</v>
      </c>
      <c r="R66" s="35" t="n">
        <f aca="false">MAX(0,①札幌予測確定!P44-①札幌予測確定!S44)</f>
        <v>0</v>
      </c>
      <c r="S66" s="35" t="n">
        <f aca="false">ROUND(①札幌予測確定!U44*前提・入力!$B$37,0)</f>
        <v>0</v>
      </c>
      <c r="T66" s="35" t="n">
        <f aca="false">Q66-R66+S66</f>
        <v>2</v>
      </c>
      <c r="U66" s="38" t="n">
        <f aca="false">N66-T66</f>
        <v>9</v>
      </c>
      <c r="V66" s="35" t="n">
        <f aca="false">MAX(0,U66)</f>
        <v>9</v>
      </c>
      <c r="W66" s="35" t="n">
        <f aca="false">IF(V66&gt;0,ROUNDUP(V66*(1+前提・入力!$B$35),0),0)</f>
        <v>10</v>
      </c>
    </row>
    <row r="67" customFormat="false" ht="15" hidden="false" customHeight="false" outlineLevel="0" collapsed="false">
      <c r="A67" s="32" t="n">
        <v>39</v>
      </c>
      <c r="B67" s="32" t="s">
        <v>352</v>
      </c>
      <c r="C67" s="33" t="s">
        <v>353</v>
      </c>
      <c r="D67" s="35" t="n">
        <v>3</v>
      </c>
      <c r="E67" s="61" t="n">
        <f aca="false">IFERROR(D67/D$71,0)</f>
        <v>4.7066206463759E-005</v>
      </c>
      <c r="F67" s="35" t="n">
        <f aca="false">①札幌予測確定!P45</f>
        <v>1</v>
      </c>
      <c r="G67" s="61" t="n">
        <f aca="false">IFERROR(F67/F$71,0)</f>
        <v>0.000111061750333185</v>
      </c>
      <c r="H67" s="61" t="n">
        <f aca="false">E67*前提・入力!$B$32+G67*前提・入力!$B$33</f>
        <v>7.90639783984721E-005</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3</v>
      </c>
      <c r="N67" s="35" t="n">
        <f aca="false">SUM(I67:M67)</f>
        <v>7</v>
      </c>
      <c r="O67" s="35" t="n">
        <v>5</v>
      </c>
      <c r="P67" s="35" t="n">
        <f aca="false">①札幌予測確定!S45</f>
        <v>2</v>
      </c>
      <c r="Q67" s="35" t="n">
        <f aca="false">O67-P67</f>
        <v>3</v>
      </c>
      <c r="R67" s="35" t="n">
        <f aca="false">MAX(0,①札幌予測確定!P45-①札幌予測確定!S45)</f>
        <v>0</v>
      </c>
      <c r="S67" s="35" t="n">
        <f aca="false">ROUND(①札幌予測確定!U45*前提・入力!$B$37,0)</f>
        <v>1</v>
      </c>
      <c r="T67" s="35" t="n">
        <f aca="false">Q67-R67+S67</f>
        <v>4</v>
      </c>
      <c r="U67" s="38" t="n">
        <f aca="false">N67-T67</f>
        <v>3</v>
      </c>
      <c r="V67" s="35" t="n">
        <f aca="false">MAX(0,U67)</f>
        <v>3</v>
      </c>
      <c r="W67" s="35" t="n">
        <f aca="false">IF(V67&gt;0,ROUNDUP(V67*(1+前提・入力!$B$35),0),0)</f>
        <v>4</v>
      </c>
    </row>
    <row r="68" customFormat="false" ht="15" hidden="false" customHeight="false" outlineLevel="0" collapsed="false">
      <c r="A68" s="32" t="n">
        <v>40</v>
      </c>
      <c r="B68" s="32" t="s">
        <v>354</v>
      </c>
      <c r="C68" s="33" t="s">
        <v>355</v>
      </c>
      <c r="D68" s="35" t="n">
        <v>3</v>
      </c>
      <c r="E68" s="61" t="n">
        <f aca="false">IFERROR(D68/D$71,0)</f>
        <v>4.7066206463759E-005</v>
      </c>
      <c r="F68" s="35" t="n">
        <f aca="false">①札幌予測確定!P46</f>
        <v>0</v>
      </c>
      <c r="G68" s="61" t="n">
        <f aca="false">IFERROR(F68/F$71,0)</f>
        <v>0</v>
      </c>
      <c r="H68" s="61" t="n">
        <f aca="false">E68*前提・入力!$B$32+G68*前提・入力!$B$33</f>
        <v>2.35331032318795E-005</v>
      </c>
      <c r="I68" s="35" t="n">
        <f aca="false">ROUND($H68*③石川以降予測!$G$7,0)</f>
        <v>0</v>
      </c>
      <c r="J68" s="35" t="n">
        <f aca="false">ROUND($H68*③石川以降予測!$G$8,0)</f>
        <v>0</v>
      </c>
      <c r="K68" s="35" t="n">
        <f aca="false">ROUND($H68*③石川以降予測!$G$9,0)</f>
        <v>0</v>
      </c>
      <c r="L68" s="35" t="n">
        <f aca="false">ROUND($H68*③石川以降予測!$G$10,0)</f>
        <v>0</v>
      </c>
      <c r="M68" s="35" t="n">
        <f aca="false">ROUND($H68*③石川以降予測!$G$11,0)</f>
        <v>1</v>
      </c>
      <c r="N68" s="35" t="n">
        <f aca="false">SUM(I68:M68)</f>
        <v>1</v>
      </c>
      <c r="O68" s="35" t="n">
        <v>4</v>
      </c>
      <c r="P68" s="35" t="n">
        <f aca="false">①札幌予測確定!S46</f>
        <v>2</v>
      </c>
      <c r="Q68" s="35" t="n">
        <f aca="false">O68-P68</f>
        <v>2</v>
      </c>
      <c r="R68" s="35" t="n">
        <f aca="false">MAX(0,①札幌予測確定!P46-①札幌予測確定!S46)</f>
        <v>0</v>
      </c>
      <c r="S68" s="35" t="n">
        <f aca="false">ROUND(①札幌予測確定!U46*前提・入力!$B$37,0)</f>
        <v>2</v>
      </c>
      <c r="T68" s="35" t="n">
        <f aca="false">Q68-R68+S68</f>
        <v>4</v>
      </c>
      <c r="U68" s="38" t="n">
        <f aca="false">N68-T68</f>
        <v>-3</v>
      </c>
      <c r="V68" s="35" t="n">
        <f aca="false">MAX(0,U68)</f>
        <v>0</v>
      </c>
      <c r="W68" s="35" t="n">
        <f aca="false">IF(V68&gt;0,ROUNDUP(V68*(1+前提・入力!$B$35),0),0)</f>
        <v>0</v>
      </c>
    </row>
    <row r="69" customFormat="false" ht="15" hidden="false" customHeight="false" outlineLevel="0" collapsed="false">
      <c r="A69" s="32" t="n">
        <v>41</v>
      </c>
      <c r="B69" s="32" t="s">
        <v>356</v>
      </c>
      <c r="C69" s="33" t="s">
        <v>357</v>
      </c>
      <c r="D69" s="35" t="n">
        <v>2</v>
      </c>
      <c r="E69" s="61" t="n">
        <f aca="false">IFERROR(D69/D$71,0)</f>
        <v>3.13774709758394E-005</v>
      </c>
      <c r="F69" s="35" t="n">
        <f aca="false">①札幌予測確定!P47</f>
        <v>0</v>
      </c>
      <c r="G69" s="61" t="n">
        <f aca="false">IFERROR(F69/F$71,0)</f>
        <v>0</v>
      </c>
      <c r="H69" s="61" t="n">
        <f aca="false">E69*前提・入力!$B$32+G69*前提・入力!$B$33</f>
        <v>1.56887354879197E-005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74</v>
      </c>
      <c r="P69" s="35" t="n">
        <f aca="false">①札幌予測確定!S47</f>
        <v>4</v>
      </c>
      <c r="Q69" s="35" t="n">
        <f aca="false">O69-P69</f>
        <v>70</v>
      </c>
      <c r="R69" s="35" t="n">
        <f aca="false">MAX(0,①札幌予測確定!P47-①札幌予測確定!S47)</f>
        <v>0</v>
      </c>
      <c r="S69" s="35" t="n">
        <f aca="false">ROUND(①札幌予測確定!U47*前提・入力!$B$37,0)</f>
        <v>4</v>
      </c>
      <c r="T69" s="35" t="n">
        <f aca="false">Q69-R69+S69</f>
        <v>74</v>
      </c>
      <c r="U69" s="38" t="n">
        <f aca="false">N69-T69</f>
        <v>-73</v>
      </c>
      <c r="V69" s="35" t="n">
        <f aca="false">MAX(0,U69)</f>
        <v>0</v>
      </c>
      <c r="W69" s="35" t="n">
        <f aca="false">IF(V69&gt;0,ROUNDUP(V69*(1+前提・入力!$B$35),0),0)</f>
        <v>0</v>
      </c>
    </row>
    <row r="70" customFormat="false" ht="15" hidden="false" customHeight="false" outlineLevel="0" collapsed="false">
      <c r="A70" s="32" t="n">
        <v>42</v>
      </c>
      <c r="B70" s="32" t="s">
        <v>358</v>
      </c>
      <c r="C70" s="33" t="s">
        <v>359</v>
      </c>
      <c r="D70" s="35" t="n">
        <v>8</v>
      </c>
      <c r="E70" s="61" t="n">
        <f aca="false">IFERROR(D70/D$71,0)</f>
        <v>0.000125509883903357</v>
      </c>
      <c r="F70" s="35" t="n">
        <f aca="false">①札幌予測確定!P48</f>
        <v>3</v>
      </c>
      <c r="G70" s="61" t="n">
        <f aca="false">IFERROR(F70/F$71,0)</f>
        <v>0.000333185250999556</v>
      </c>
      <c r="H70" s="61" t="n">
        <f aca="false">E70*前提・入力!$B$32+G70*前提・入力!$B$33</f>
        <v>0.000229347567451457</v>
      </c>
      <c r="I70" s="35" t="n">
        <f aca="false">ROUND($H70*③石川以降予測!$G$7,0)</f>
        <v>2</v>
      </c>
      <c r="J70" s="35" t="n">
        <f aca="false">ROUND($H70*③石川以降予測!$G$8,0)</f>
        <v>3</v>
      </c>
      <c r="K70" s="35" t="n">
        <f aca="false">ROUND($H70*③石川以降予測!$G$9,0)</f>
        <v>2</v>
      </c>
      <c r="L70" s="35" t="n">
        <f aca="false">ROUND($H70*③石川以降予測!$G$10,0)</f>
        <v>2</v>
      </c>
      <c r="M70" s="35" t="n">
        <f aca="false">ROUND($H70*③石川以降予測!$G$11,0)</f>
        <v>10</v>
      </c>
      <c r="N70" s="35" t="n">
        <f aca="false">SUM(I70:M70)</f>
        <v>19</v>
      </c>
      <c r="O70" s="35" t="n">
        <v>49</v>
      </c>
      <c r="P70" s="35" t="n">
        <f aca="false">①札幌予測確定!S48</f>
        <v>6</v>
      </c>
      <c r="Q70" s="35" t="n">
        <f aca="false">O70-P70</f>
        <v>43</v>
      </c>
      <c r="R70" s="35" t="n">
        <f aca="false">MAX(0,①札幌予測確定!P48-①札幌予測確定!S48)</f>
        <v>0</v>
      </c>
      <c r="S70" s="35" t="n">
        <f aca="false">ROUND(①札幌予測確定!U48*前提・入力!$B$37,0)</f>
        <v>3</v>
      </c>
      <c r="T70" s="35" t="n">
        <f aca="false">Q70-R70+S70</f>
        <v>46</v>
      </c>
      <c r="U70" s="38" t="n">
        <f aca="false">N70-T70</f>
        <v>-27</v>
      </c>
      <c r="V70" s="35" t="n">
        <f aca="false">MAX(0,U70)</f>
        <v>0</v>
      </c>
      <c r="W70" s="35" t="n">
        <f aca="false">IF(V70&gt;0,ROUNDUP(V70*(1+前提・入力!$B$35),0),0)</f>
        <v>0</v>
      </c>
    </row>
    <row r="71" customFormat="false" ht="15" hidden="false" customHeight="false" outlineLevel="0" collapsed="false">
      <c r="A71" s="40"/>
      <c r="B71" s="40"/>
      <c r="C71" s="41" t="s">
        <v>360</v>
      </c>
      <c r="D71" s="42" t="n">
        <f aca="false">SUM(D29:D70)</f>
        <v>63740</v>
      </c>
      <c r="E71" s="62" t="n">
        <f aca="false">SUM(E29:E70)</f>
        <v>1</v>
      </c>
      <c r="F71" s="42" t="n">
        <f aca="false">SUM(F29:F70)</f>
        <v>9004</v>
      </c>
      <c r="G71" s="62" t="n">
        <f aca="false">SUM(G29:G70)</f>
        <v>1</v>
      </c>
      <c r="H71" s="62" t="n">
        <f aca="false">SUM(H29:H70)</f>
        <v>1</v>
      </c>
      <c r="I71" s="42" t="n">
        <f aca="false">SUM(I29:I70)</f>
        <v>9706</v>
      </c>
      <c r="J71" s="42" t="n">
        <f aca="false">SUM(J29:J70)</f>
        <v>11469</v>
      </c>
      <c r="K71" s="42" t="n">
        <f aca="false">SUM(K29:K70)</f>
        <v>10586</v>
      </c>
      <c r="L71" s="42" t="n">
        <f aca="false">SUM(L29:L70)</f>
        <v>7944</v>
      </c>
      <c r="M71" s="42" t="n">
        <f aca="false">SUM(M29:M70)</f>
        <v>44116</v>
      </c>
      <c r="N71" s="42" t="n">
        <f aca="false">SUM(N29:N70)</f>
        <v>83821</v>
      </c>
      <c r="O71" s="42" t="n">
        <f aca="false">SUM(O29:O70)</f>
        <v>274688</v>
      </c>
      <c r="P71" s="42" t="n">
        <f aca="false">SUM(P29:P70)</f>
        <v>50196</v>
      </c>
      <c r="Q71" s="42" t="n">
        <f aca="false">SUM(Q29:Q70)</f>
        <v>224492</v>
      </c>
      <c r="R71" s="42" t="n">
        <f aca="false">SUM(R29:R70)</f>
        <v>130</v>
      </c>
      <c r="S71" s="42" t="n">
        <f aca="false">SUM(S29:S70)</f>
        <v>41322</v>
      </c>
      <c r="T71" s="42" t="n">
        <f aca="false">SUM(T29:T70)</f>
        <v>265684</v>
      </c>
      <c r="U71" s="42" t="n">
        <f aca="false">SUM(U29:U70)</f>
        <v>-181863</v>
      </c>
      <c r="V71" s="42" t="n">
        <f aca="false">SUM(V29:V70)</f>
        <v>3554</v>
      </c>
      <c r="W71" s="42" t="n">
        <f aca="false">SUM(W29:W70)</f>
        <v>3913</v>
      </c>
    </row>
  </sheetData>
  <conditionalFormatting sqref="V29:V70">
    <cfRule type="expression" priority="2" aboveAverage="0" equalAverage="0" bottom="0" percent="0" rank="0" text="" dxfId="3">
      <formula>$V29&gt;0</formula>
    </cfRule>
  </conditionalFormatting>
  <conditionalFormatting sqref="U29:U70">
    <cfRule type="expression" priority="3" aboveAverage="0" equalAverage="0" bottom="0" percent="0" rank="0" text="" dxfId="3">
      <formula>$U29&gt;0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489</v>
      </c>
    </row>
    <row r="2" customFormat="false" ht="15" hidden="false" customHeight="false" outlineLevel="0" collapsed="false">
      <c r="A2" s="3" t="s">
        <v>490</v>
      </c>
    </row>
    <row r="3" customFormat="false" ht="15" hidden="false" customHeight="false" outlineLevel="0" collapsed="false">
      <c r="A3" s="3" t="s">
        <v>491</v>
      </c>
    </row>
    <row r="6" customFormat="false" ht="43.5" hidden="false" customHeight="true" outlineLevel="0" collapsed="false">
      <c r="A6" s="25" t="s">
        <v>253</v>
      </c>
      <c r="B6" s="25" t="s">
        <v>254</v>
      </c>
      <c r="C6" s="26" t="s">
        <v>255</v>
      </c>
      <c r="D6" s="26" t="s">
        <v>492</v>
      </c>
      <c r="E6" s="27" t="s">
        <v>493</v>
      </c>
      <c r="F6" s="27" t="s">
        <v>494</v>
      </c>
      <c r="G6" s="27" t="s">
        <v>271</v>
      </c>
      <c r="H6" s="27" t="s">
        <v>495</v>
      </c>
      <c r="I6" s="63" t="s">
        <v>496</v>
      </c>
      <c r="J6" s="63" t="s">
        <v>497</v>
      </c>
      <c r="K6" s="63" t="s">
        <v>498</v>
      </c>
      <c r="L6" s="48" t="s">
        <v>499</v>
      </c>
      <c r="M6" s="48" t="s">
        <v>500</v>
      </c>
      <c r="N6" s="55" t="s">
        <v>501</v>
      </c>
      <c r="O6" s="48" t="s">
        <v>502</v>
      </c>
      <c r="P6" s="48" t="s">
        <v>503</v>
      </c>
      <c r="Q6" s="48" t="s">
        <v>504</v>
      </c>
      <c r="R6" s="31" t="s">
        <v>505</v>
      </c>
      <c r="S6" s="31" t="s">
        <v>506</v>
      </c>
      <c r="T6" s="31" t="s">
        <v>507</v>
      </c>
      <c r="U6" s="63" t="s">
        <v>508</v>
      </c>
      <c r="V6" s="63" t="s">
        <v>509</v>
      </c>
      <c r="W6" s="64" t="s">
        <v>419</v>
      </c>
    </row>
    <row r="7" customFormat="false" ht="15" hidden="false" customHeight="false" outlineLevel="0" collapsed="false">
      <c r="A7" s="32" t="n">
        <v>1</v>
      </c>
      <c r="B7" s="32" t="s">
        <v>276</v>
      </c>
      <c r="C7" s="33" t="s">
        <v>277</v>
      </c>
      <c r="D7" s="34" t="n">
        <v>500</v>
      </c>
      <c r="E7" s="35" t="n">
        <f aca="false">①札幌予測確定!E7</f>
        <v>220</v>
      </c>
      <c r="F7" s="35" t="n">
        <f aca="false">①札幌予測確定!P7</f>
        <v>460</v>
      </c>
      <c r="G7" s="35" t="n">
        <f aca="false">①札幌予測確定!S7</f>
        <v>1000</v>
      </c>
      <c r="H7" s="37" t="n">
        <f aca="false">IFERROR(F7/G7,0)</f>
        <v>0.46</v>
      </c>
      <c r="I7" s="38" t="n">
        <f aca="false">F7-G7</f>
        <v>-540</v>
      </c>
      <c r="J7" s="39" t="str">
        <f aca="false">IF(I7&gt;0,"要 追加発注",IF(H7&gt;=0.9,"要注意(90%超)",IF(H7&gt;=0.5,"適正","在庫余剰")))</f>
        <v>在庫余剰</v>
      </c>
      <c r="K7" s="35" t="n">
        <f aca="false">IF(I7&gt;0,ROUNDUP(I7*(1+前提・入力!$B$35),0),0)</f>
        <v>0</v>
      </c>
      <c r="L7" s="35" t="n">
        <f aca="false">③石川以降予測!N29</f>
        <v>3671</v>
      </c>
      <c r="M7" s="35" t="n">
        <f aca="false">③石川以降予測!S29</f>
        <v>540</v>
      </c>
      <c r="N7" s="35" t="n">
        <f aca="false">③石川以降予測!Q29</f>
        <v>2264</v>
      </c>
      <c r="O7" s="38" t="n">
        <f aca="false">L7-M7-N7</f>
        <v>867</v>
      </c>
      <c r="P7" s="39" t="str">
        <f aca="false">IF(O7&gt;0,"要 追加生産",IF(L7=0,"—","在庫で充足"))</f>
        <v>要 追加生産</v>
      </c>
      <c r="Q7" s="35" t="n">
        <f aca="false">③石川以降予測!W29</f>
        <v>954</v>
      </c>
      <c r="R7" s="35" t="n">
        <f aca="false">K7+Q7</f>
        <v>954</v>
      </c>
      <c r="S7" s="34" t="n">
        <f aca="false">R7*D7</f>
        <v>477000</v>
      </c>
      <c r="T7" s="32" t="str">
        <f aca="false">IF(U7&lt;&gt;"",IF(FALSE(),"S:現場欠品(追納不可)","S:現場欠品"),IF(I7&gt;0,"A:会期中欠品",IF(O7&gt;1000,"B:大口",IF(O7&gt;0,"C:通常","D:不要"))))</f>
        <v>C:通常</v>
      </c>
      <c r="U7" s="65"/>
      <c r="V7" s="65" t="str">
        <f aca="false">IF(U7&lt;&gt;"",IF(I7&gt;0,"◎ 一致（モデルも会期中欠品を検知）",IF(H7&gt;=0.7,"○ 整合（予測消化率70%超）","△ モデル未検知：現場報告を優先")),IF(I7&gt;0,"▲ モデルのみ検知：現場に在庫状況を確認","—"))</f>
        <v>—</v>
      </c>
      <c r="W7" s="66" t="s">
        <v>510</v>
      </c>
    </row>
    <row r="8" customFormat="false" ht="15" hidden="false" customHeight="false" outlineLevel="0" collapsed="false">
      <c r="A8" s="32" t="n">
        <v>2</v>
      </c>
      <c r="B8" s="32" t="s">
        <v>278</v>
      </c>
      <c r="C8" s="33" t="s">
        <v>279</v>
      </c>
      <c r="D8" s="34" t="n">
        <v>600</v>
      </c>
      <c r="E8" s="35" t="n">
        <f aca="false">①札幌予測確定!E8</f>
        <v>246</v>
      </c>
      <c r="F8" s="35" t="n">
        <f aca="false">①札幌予測確定!P8</f>
        <v>520</v>
      </c>
      <c r="G8" s="35" t="n">
        <f aca="false">①札幌予測確定!S8</f>
        <v>1000</v>
      </c>
      <c r="H8" s="37" t="n">
        <f aca="false">IFERROR(F8/G8,0)</f>
        <v>0.52</v>
      </c>
      <c r="I8" s="38" t="n">
        <f aca="false">F8-G8</f>
        <v>-480</v>
      </c>
      <c r="J8" s="39" t="str">
        <f aca="false">IF(I8&gt;0,"要 追加発注",IF(H8&gt;=0.9,"要注意(90%超)",IF(H8&gt;=0.5,"適正","在庫余剰")))</f>
        <v>適正</v>
      </c>
      <c r="K8" s="35" t="n">
        <f aca="false">IF(I8&gt;0,ROUNDUP(I8*(1+前提・入力!$B$35),0),0)</f>
        <v>0</v>
      </c>
      <c r="L8" s="35" t="n">
        <f aca="false">③石川以降予測!N30</f>
        <v>3713</v>
      </c>
      <c r="M8" s="35" t="n">
        <f aca="false">③石川以降予測!S30</f>
        <v>480</v>
      </c>
      <c r="N8" s="35" t="n">
        <f aca="false">③石川以降予測!Q30</f>
        <v>4037</v>
      </c>
      <c r="O8" s="38" t="n">
        <f aca="false">L8-M8-N8</f>
        <v>-804</v>
      </c>
      <c r="P8" s="39" t="str">
        <f aca="false">IF(O8&gt;0,"要 追加生産",IF(L8=0,"—","在庫で充足"))</f>
        <v>在庫で充足</v>
      </c>
      <c r="Q8" s="35" t="n">
        <f aca="false">③石川以降予測!W30</f>
        <v>0</v>
      </c>
      <c r="R8" s="35" t="n">
        <f aca="false">K8+Q8</f>
        <v>0</v>
      </c>
      <c r="S8" s="34" t="n">
        <f aca="false">R8*D8</f>
        <v>0</v>
      </c>
      <c r="T8" s="32" t="str">
        <f aca="false">IF(U8&lt;&gt;"",IF(FALSE(),"S:現場欠品(追納不可)","S:現場欠品"),IF(I8&gt;0,"A:会期中欠品",IF(O8&gt;1000,"B:大口",IF(O8&gt;0,"C:通常","D:不要"))))</f>
        <v>D:不要</v>
      </c>
      <c r="U8" s="65"/>
      <c r="V8" s="65" t="str">
        <f aca="false">IF(U8&lt;&gt;"",IF(I8&gt;0,"◎ 一致（モデルも会期中欠品を検知）",IF(H8&gt;=0.7,"○ 整合（予測消化率70%超）","△ モデル未検知：現場報告を優先")),IF(I8&gt;0,"▲ モデルのみ検知：現場に在庫状況を確認","—"))</f>
        <v>—</v>
      </c>
      <c r="W8" s="66"/>
    </row>
    <row r="9" customFormat="false" ht="15" hidden="false" customHeight="false" outlineLevel="0" collapsed="false">
      <c r="A9" s="32" t="n">
        <v>3</v>
      </c>
      <c r="B9" s="32" t="s">
        <v>280</v>
      </c>
      <c r="C9" s="33" t="s">
        <v>281</v>
      </c>
      <c r="D9" s="34" t="n">
        <v>1000</v>
      </c>
      <c r="E9" s="35" t="n">
        <f aca="false">①札幌予測確定!E9</f>
        <v>87</v>
      </c>
      <c r="F9" s="35" t="n">
        <f aca="false">①札幌予測確定!P9</f>
        <v>158</v>
      </c>
      <c r="G9" s="35" t="n">
        <f aca="false">①札幌予測確定!S9</f>
        <v>450</v>
      </c>
      <c r="H9" s="37" t="n">
        <f aca="false">IFERROR(F9/G9,0)</f>
        <v>0.351111111111111</v>
      </c>
      <c r="I9" s="38" t="n">
        <f aca="false">F9-G9</f>
        <v>-292</v>
      </c>
      <c r="J9" s="39" t="str">
        <f aca="false">IF(I9&gt;0,"要 追加発注",IF(H9&gt;=0.9,"要注意(90%超)",IF(H9&gt;=0.5,"適正","在庫余剰")))</f>
        <v>在庫余剰</v>
      </c>
      <c r="K9" s="35" t="n">
        <f aca="false">IF(I9&gt;0,ROUNDUP(I9*(1+前提・入力!$B$35),0),0)</f>
        <v>0</v>
      </c>
      <c r="L9" s="35" t="n">
        <f aca="false">③石川以降予測!N31</f>
        <v>1479</v>
      </c>
      <c r="M9" s="35" t="n">
        <f aca="false">③石川以降予測!S31</f>
        <v>292</v>
      </c>
      <c r="N9" s="35" t="n">
        <f aca="false">③石川以降予測!Q31</f>
        <v>5690</v>
      </c>
      <c r="O9" s="38" t="n">
        <f aca="false">L9-M9-N9</f>
        <v>-4503</v>
      </c>
      <c r="P9" s="39" t="str">
        <f aca="false">IF(O9&gt;0,"要 追加生産",IF(L9=0,"—","在庫で充足"))</f>
        <v>在庫で充足</v>
      </c>
      <c r="Q9" s="35" t="n">
        <f aca="false">③石川以降予測!W31</f>
        <v>0</v>
      </c>
      <c r="R9" s="35" t="n">
        <f aca="false">K9+Q9</f>
        <v>0</v>
      </c>
      <c r="S9" s="34" t="n">
        <f aca="false">R9*D9</f>
        <v>0</v>
      </c>
      <c r="T9" s="32" t="str">
        <f aca="false">IF(U9&lt;&gt;"",IF(FALSE(),"S:現場欠品(追納不可)","S:現場欠品"),IF(I9&gt;0,"A:会期中欠品",IF(O9&gt;1000,"B:大口",IF(O9&gt;0,"C:通常","D:不要"))))</f>
        <v>D:不要</v>
      </c>
      <c r="U9" s="65"/>
      <c r="V9" s="65" t="str">
        <f aca="false">IF(U9&lt;&gt;"",IF(I9&gt;0,"◎ 一致（モデルも会期中欠品を検知）",IF(H9&gt;=0.7,"○ 整合（予測消化率70%超）","△ モデル未検知：現場報告を優先")),IF(I9&gt;0,"▲ モデルのみ検知：現場に在庫状況を確認","—"))</f>
        <v>—</v>
      </c>
      <c r="W9" s="66"/>
    </row>
    <row r="10" customFormat="false" ht="15" hidden="false" customHeight="false" outlineLevel="0" collapsed="false">
      <c r="A10" s="32" t="n">
        <v>4</v>
      </c>
      <c r="B10" s="32" t="s">
        <v>282</v>
      </c>
      <c r="C10" s="33" t="s">
        <v>283</v>
      </c>
      <c r="D10" s="34" t="n">
        <v>1800</v>
      </c>
      <c r="E10" s="35" t="n">
        <f aca="false">①札幌予測確定!E10</f>
        <v>127</v>
      </c>
      <c r="F10" s="35" t="n">
        <f aca="false">①札幌予測確定!P10</f>
        <v>230</v>
      </c>
      <c r="G10" s="35" t="n">
        <f aca="false">①札幌予測確定!S10</f>
        <v>800</v>
      </c>
      <c r="H10" s="37" t="n">
        <f aca="false">IFERROR(F10/G10,0)</f>
        <v>0.2875</v>
      </c>
      <c r="I10" s="38" t="n">
        <f aca="false">F10-G10</f>
        <v>-570</v>
      </c>
      <c r="J10" s="39" t="str">
        <f aca="false">IF(I10&gt;0,"要 追加発注",IF(H10&gt;=0.9,"要注意(90%超)",IF(H10&gt;=0.5,"適正","在庫余剰")))</f>
        <v>在庫余剰</v>
      </c>
      <c r="K10" s="35" t="n">
        <f aca="false">IF(I10&gt;0,ROUNDUP(I10*(1+前提・入力!$B$35),0),0)</f>
        <v>0</v>
      </c>
      <c r="L10" s="35" t="n">
        <f aca="false">③石川以降予測!N32</f>
        <v>1932</v>
      </c>
      <c r="M10" s="35" t="n">
        <f aca="false">③石川以降予測!S32</f>
        <v>570</v>
      </c>
      <c r="N10" s="35" t="n">
        <f aca="false">③石川以降予測!Q32</f>
        <v>26711</v>
      </c>
      <c r="O10" s="38" t="n">
        <f aca="false">L10-M10-N10</f>
        <v>-25349</v>
      </c>
      <c r="P10" s="39" t="str">
        <f aca="false">IF(O10&gt;0,"要 追加生産",IF(L10=0,"—","在庫で充足"))</f>
        <v>在庫で充足</v>
      </c>
      <c r="Q10" s="35" t="n">
        <f aca="false">③石川以降予測!W32</f>
        <v>0</v>
      </c>
      <c r="R10" s="35" t="n">
        <f aca="false">K10+Q10</f>
        <v>0</v>
      </c>
      <c r="S10" s="34" t="n">
        <f aca="false">R10*D10</f>
        <v>0</v>
      </c>
      <c r="T10" s="32" t="str">
        <f aca="false">IF(U10&lt;&gt;"",IF(FALSE(),"S:現場欠品(追納不可)","S:現場欠品"),IF(I10&gt;0,"A:会期中欠品",IF(O10&gt;1000,"B:大口",IF(O10&gt;0,"C:通常","D:不要"))))</f>
        <v>D:不要</v>
      </c>
      <c r="U10" s="65"/>
      <c r="V10" s="65" t="str">
        <f aca="false">IF(U10&lt;&gt;"",IF(I10&gt;0,"◎ 一致（モデルも会期中欠品を検知）",IF(H10&gt;=0.7,"○ 整合（予測消化率70%超）","△ モデル未検知：現場報告を優先")),IF(I10&gt;0,"▲ モデルのみ検知：現場に在庫状況を確認","—"))</f>
        <v>—</v>
      </c>
      <c r="W10" s="66"/>
    </row>
    <row r="11" customFormat="false" ht="15" hidden="false" customHeight="false" outlineLevel="0" collapsed="false">
      <c r="A11" s="32" t="n">
        <v>5</v>
      </c>
      <c r="B11" s="32" t="s">
        <v>284</v>
      </c>
      <c r="C11" s="33" t="s">
        <v>285</v>
      </c>
      <c r="D11" s="34" t="n">
        <v>600</v>
      </c>
      <c r="E11" s="35" t="n">
        <f aca="false">①札幌予測確定!E11</f>
        <v>252</v>
      </c>
      <c r="F11" s="35" t="n">
        <f aca="false">①札幌予測確定!P11</f>
        <v>506</v>
      </c>
      <c r="G11" s="35" t="n">
        <f aca="false">①札幌予測確定!S11</f>
        <v>9000</v>
      </c>
      <c r="H11" s="37" t="n">
        <f aca="false">IFERROR(F11/G11,0)</f>
        <v>0.0562222222222222</v>
      </c>
      <c r="I11" s="38" t="n">
        <f aca="false">F11-G11</f>
        <v>-8494</v>
      </c>
      <c r="J11" s="39" t="str">
        <f aca="false">IF(I11&gt;0,"要 追加発注",IF(H11&gt;=0.9,"要注意(90%超)",IF(H11&gt;=0.5,"適正","在庫余剰")))</f>
        <v>在庫余剰</v>
      </c>
      <c r="K11" s="35" t="n">
        <f aca="false">IF(I11&gt;0,ROUNDUP(I11*(1+前提・入力!$B$35),0),0)</f>
        <v>0</v>
      </c>
      <c r="L11" s="35" t="n">
        <f aca="false">③石川以降予測!N33</f>
        <v>8231</v>
      </c>
      <c r="M11" s="35" t="n">
        <f aca="false">③石川以降予測!S33</f>
        <v>8494</v>
      </c>
      <c r="N11" s="35" t="n">
        <f aca="false">③石川以降予測!Q33</f>
        <v>30825</v>
      </c>
      <c r="O11" s="38" t="n">
        <f aca="false">L11-M11-N11</f>
        <v>-31088</v>
      </c>
      <c r="P11" s="39" t="str">
        <f aca="false">IF(O11&gt;0,"要 追加生産",IF(L11=0,"—","在庫で充足"))</f>
        <v>在庫で充足</v>
      </c>
      <c r="Q11" s="35" t="n">
        <f aca="false">③石川以降予測!W33</f>
        <v>0</v>
      </c>
      <c r="R11" s="35" t="n">
        <f aca="false">K11+Q11</f>
        <v>0</v>
      </c>
      <c r="S11" s="34" t="n">
        <f aca="false">R11*D11</f>
        <v>0</v>
      </c>
      <c r="T11" s="32" t="str">
        <f aca="false">IF(U11&lt;&gt;"",IF(FALSE(),"S:現場欠品(追納不可)","S:現場欠品"),IF(I11&gt;0,"A:会期中欠品",IF(O11&gt;1000,"B:大口",IF(O11&gt;0,"C:通常","D:不要"))))</f>
        <v>D:不要</v>
      </c>
      <c r="U11" s="65"/>
      <c r="V11" s="65" t="str">
        <f aca="false">IF(U11&lt;&gt;"",IF(I11&gt;0,"◎ 一致（モデルも会期中欠品を検知）",IF(H11&gt;=0.7,"○ 整合（予測消化率70%超）","△ モデル未検知：現場報告を優先")),IF(I11&gt;0,"▲ モデルのみ検知：現場に在庫状況を確認","—"))</f>
        <v>—</v>
      </c>
      <c r="W11" s="66" t="s">
        <v>510</v>
      </c>
    </row>
    <row r="12" customFormat="false" ht="15" hidden="false" customHeight="false" outlineLevel="0" collapsed="false">
      <c r="A12" s="32" t="n">
        <v>6</v>
      </c>
      <c r="B12" s="32" t="s">
        <v>286</v>
      </c>
      <c r="C12" s="33" t="s">
        <v>287</v>
      </c>
      <c r="D12" s="34" t="n">
        <v>600</v>
      </c>
      <c r="E12" s="35" t="n">
        <f aca="false">①札幌予測確定!E12</f>
        <v>641</v>
      </c>
      <c r="F12" s="35" t="n">
        <f aca="false">①札幌予測確定!P12</f>
        <v>1405</v>
      </c>
      <c r="G12" s="35" t="n">
        <f aca="false">①札幌予測確定!S12</f>
        <v>13991</v>
      </c>
      <c r="H12" s="37" t="n">
        <f aca="false">IFERROR(F12/G12,0)</f>
        <v>0.10042169966407</v>
      </c>
      <c r="I12" s="38" t="n">
        <f aca="false">F12-G12</f>
        <v>-12586</v>
      </c>
      <c r="J12" s="39" t="str">
        <f aca="false">IF(I12&gt;0,"要 追加発注",IF(H12&gt;=0.9,"要注意(90%超)",IF(H12&gt;=0.5,"適正","在庫余剰")))</f>
        <v>在庫余剰</v>
      </c>
      <c r="K12" s="35" t="n">
        <f aca="false">IF(I12&gt;0,ROUNDUP(I12*(1+前提・入力!$B$35),0),0)</f>
        <v>0</v>
      </c>
      <c r="L12" s="35" t="n">
        <f aca="false">③石川以降予測!N34</f>
        <v>18777</v>
      </c>
      <c r="M12" s="35" t="n">
        <f aca="false">③石川以降予測!S34</f>
        <v>12586</v>
      </c>
      <c r="N12" s="35" t="n">
        <f aca="false">③石川以降予測!Q34</f>
        <v>36843</v>
      </c>
      <c r="O12" s="38" t="n">
        <f aca="false">L12-M12-N12</f>
        <v>-30652</v>
      </c>
      <c r="P12" s="39" t="str">
        <f aca="false">IF(O12&gt;0,"要 追加生産",IF(L12=0,"—","在庫で充足"))</f>
        <v>在庫で充足</v>
      </c>
      <c r="Q12" s="35" t="n">
        <f aca="false">③石川以降予測!W34</f>
        <v>0</v>
      </c>
      <c r="R12" s="35" t="n">
        <f aca="false">K12+Q12</f>
        <v>0</v>
      </c>
      <c r="S12" s="34" t="n">
        <f aca="false">R12*D12</f>
        <v>0</v>
      </c>
      <c r="T12" s="32" t="str">
        <f aca="false">IF(U12&lt;&gt;"",IF(FALSE(),"S:現場欠品(追納不可)","S:現場欠品"),IF(I12&gt;0,"A:会期中欠品",IF(O12&gt;1000,"B:大口",IF(O12&gt;0,"C:通常","D:不要"))))</f>
        <v>D:不要</v>
      </c>
      <c r="U12" s="65"/>
      <c r="V12" s="65" t="str">
        <f aca="false">IF(U12&lt;&gt;"",IF(I12&gt;0,"◎ 一致（モデルも会期中欠品を検知）",IF(H12&gt;=0.7,"○ 整合（予測消化率70%超）","△ モデル未検知：現場報告を優先")),IF(I12&gt;0,"▲ モデルのみ検知：現場に在庫状況を確認","—"))</f>
        <v>—</v>
      </c>
      <c r="W12" s="66" t="s">
        <v>510</v>
      </c>
    </row>
    <row r="13" customFormat="false" ht="15" hidden="false" customHeight="false" outlineLevel="0" collapsed="false">
      <c r="A13" s="32" t="n">
        <v>7</v>
      </c>
      <c r="B13" s="32" t="s">
        <v>288</v>
      </c>
      <c r="C13" s="33" t="s">
        <v>289</v>
      </c>
      <c r="D13" s="34" t="n">
        <v>600</v>
      </c>
      <c r="E13" s="35" t="n">
        <f aca="false">①札幌予測確定!E13</f>
        <v>93</v>
      </c>
      <c r="F13" s="35" t="n">
        <f aca="false">①札幌予測確定!P13</f>
        <v>195</v>
      </c>
      <c r="G13" s="35" t="n">
        <f aca="false">①札幌予測確定!S13</f>
        <v>350</v>
      </c>
      <c r="H13" s="37" t="n">
        <f aca="false">IFERROR(F13/G13,0)</f>
        <v>0.557142857142857</v>
      </c>
      <c r="I13" s="38" t="n">
        <f aca="false">F13-G13</f>
        <v>-155</v>
      </c>
      <c r="J13" s="39" t="str">
        <f aca="false">IF(I13&gt;0,"要 追加発注",IF(H13&gt;=0.9,"要注意(90%超)",IF(H13&gt;=0.5,"適正","在庫余剰")))</f>
        <v>適正</v>
      </c>
      <c r="K13" s="35" t="n">
        <f aca="false">IF(I13&gt;0,ROUNDUP(I13*(1+前提・入力!$B$35),0),0)</f>
        <v>0</v>
      </c>
      <c r="L13" s="35" t="n">
        <f aca="false">③石川以降予測!N35</f>
        <v>1527</v>
      </c>
      <c r="M13" s="35" t="n">
        <f aca="false">③石川以降予測!S35</f>
        <v>155</v>
      </c>
      <c r="N13" s="35" t="n">
        <f aca="false">③石川以降予測!Q35</f>
        <v>4192</v>
      </c>
      <c r="O13" s="38" t="n">
        <f aca="false">L13-M13-N13</f>
        <v>-2820</v>
      </c>
      <c r="P13" s="39" t="str">
        <f aca="false">IF(O13&gt;0,"要 追加生産",IF(L13=0,"—","在庫で充足"))</f>
        <v>在庫で充足</v>
      </c>
      <c r="Q13" s="35" t="n">
        <f aca="false">③石川以降予測!W35</f>
        <v>0</v>
      </c>
      <c r="R13" s="35" t="n">
        <f aca="false">K13+Q13</f>
        <v>0</v>
      </c>
      <c r="S13" s="34" t="n">
        <f aca="false">R13*D13</f>
        <v>0</v>
      </c>
      <c r="T13" s="32" t="str">
        <f aca="false">IF(U13&lt;&gt;"",IF(FALSE(),"S:現場欠品(追納不可)","S:現場欠品"),IF(I13&gt;0,"A:会期中欠品",IF(O13&gt;1000,"B:大口",IF(O13&gt;0,"C:通常","D:不要"))))</f>
        <v>D:不要</v>
      </c>
      <c r="U13" s="65"/>
      <c r="V13" s="65" t="str">
        <f aca="false">IF(U13&lt;&gt;"",IF(I13&gt;0,"◎ 一致（モデルも会期中欠品を検知）",IF(H13&gt;=0.7,"○ 整合（予測消化率70%超）","△ モデル未検知：現場報告を優先")),IF(I13&gt;0,"▲ モデルのみ検知：現場に在庫状況を確認","—"))</f>
        <v>—</v>
      </c>
      <c r="W13" s="66" t="s">
        <v>510</v>
      </c>
    </row>
    <row r="14" customFormat="false" ht="15" hidden="false" customHeight="false" outlineLevel="0" collapsed="false">
      <c r="A14" s="32" t="n">
        <v>8</v>
      </c>
      <c r="B14" s="32" t="s">
        <v>290</v>
      </c>
      <c r="C14" s="33" t="s">
        <v>291</v>
      </c>
      <c r="D14" s="34" t="n">
        <v>600</v>
      </c>
      <c r="E14" s="35" t="n">
        <f aca="false">①札幌予測確定!E14</f>
        <v>155</v>
      </c>
      <c r="F14" s="35" t="n">
        <f aca="false">①札幌予測確定!P14</f>
        <v>345</v>
      </c>
      <c r="G14" s="35" t="n">
        <f aca="false">①札幌予測確定!S14</f>
        <v>900</v>
      </c>
      <c r="H14" s="37" t="n">
        <f aca="false">IFERROR(F14/G14,0)</f>
        <v>0.383333333333333</v>
      </c>
      <c r="I14" s="38" t="n">
        <f aca="false">F14-G14</f>
        <v>-555</v>
      </c>
      <c r="J14" s="39" t="str">
        <f aca="false">IF(I14&gt;0,"要 追加発注",IF(H14&gt;=0.9,"要注意(90%超)",IF(H14&gt;=0.5,"適正","在庫余剰")))</f>
        <v>在庫余剰</v>
      </c>
      <c r="K14" s="35" t="n">
        <f aca="false">IF(I14&gt;0,ROUNDUP(I14*(1+前提・入力!$B$35),0),0)</f>
        <v>0</v>
      </c>
      <c r="L14" s="35" t="n">
        <f aca="false">③石川以降予測!N36</f>
        <v>2763</v>
      </c>
      <c r="M14" s="35" t="n">
        <f aca="false">③石川以降予測!S36</f>
        <v>555</v>
      </c>
      <c r="N14" s="35" t="n">
        <f aca="false">③石川以降予測!Q36</f>
        <v>7651</v>
      </c>
      <c r="O14" s="38" t="n">
        <f aca="false">L14-M14-N14</f>
        <v>-5443</v>
      </c>
      <c r="P14" s="39" t="str">
        <f aca="false">IF(O14&gt;0,"要 追加生産",IF(L14=0,"—","在庫で充足"))</f>
        <v>在庫で充足</v>
      </c>
      <c r="Q14" s="35" t="n">
        <f aca="false">③石川以降予測!W36</f>
        <v>0</v>
      </c>
      <c r="R14" s="35" t="n">
        <f aca="false">K14+Q14</f>
        <v>0</v>
      </c>
      <c r="S14" s="34" t="n">
        <f aca="false">R14*D14</f>
        <v>0</v>
      </c>
      <c r="T14" s="32" t="str">
        <f aca="false">IF(U14&lt;&gt;"",IF(FALSE(),"S:現場欠品(追納不可)","S:現場欠品"),IF(I14&gt;0,"A:会期中欠品",IF(O14&gt;1000,"B:大口",IF(O14&gt;0,"C:通常","D:不要"))))</f>
        <v>D:不要</v>
      </c>
      <c r="U14" s="65"/>
      <c r="V14" s="65" t="str">
        <f aca="false">IF(U14&lt;&gt;"",IF(I14&gt;0,"◎ 一致（モデルも会期中欠品を検知）",IF(H14&gt;=0.7,"○ 整合（予測消化率70%超）","△ モデル未検知：現場報告を優先")),IF(I14&gt;0,"▲ モデルのみ検知：現場に在庫状況を確認","—"))</f>
        <v>—</v>
      </c>
      <c r="W14" s="66" t="s">
        <v>510</v>
      </c>
    </row>
    <row r="15" customFormat="false" ht="15" hidden="false" customHeight="false" outlineLevel="0" collapsed="false">
      <c r="A15" s="32" t="n">
        <v>9</v>
      </c>
      <c r="B15" s="32" t="s">
        <v>292</v>
      </c>
      <c r="C15" s="33" t="s">
        <v>293</v>
      </c>
      <c r="D15" s="34" t="n">
        <v>600</v>
      </c>
      <c r="E15" s="35" t="n">
        <f aca="false">①札幌予測確定!E15</f>
        <v>80</v>
      </c>
      <c r="F15" s="35" t="n">
        <f aca="false">①札幌予測確定!P15</f>
        <v>133</v>
      </c>
      <c r="G15" s="35" t="n">
        <f aca="false">①札幌予測確定!S15</f>
        <v>300</v>
      </c>
      <c r="H15" s="37" t="n">
        <f aca="false">IFERROR(F15/G15,0)</f>
        <v>0.443333333333333</v>
      </c>
      <c r="I15" s="38" t="n">
        <f aca="false">F15-G15</f>
        <v>-167</v>
      </c>
      <c r="J15" s="39" t="str">
        <f aca="false">IF(I15&gt;0,"要 追加発注",IF(H15&gt;=0.9,"要注意(90%超)",IF(H15&gt;=0.5,"適正","在庫余剰")))</f>
        <v>在庫余剰</v>
      </c>
      <c r="K15" s="35" t="n">
        <f aca="false">IF(I15&gt;0,ROUNDUP(I15*(1+前提・入力!$B$35),0),0)</f>
        <v>0</v>
      </c>
      <c r="L15" s="35" t="n">
        <f aca="false">③石川以降予測!N37</f>
        <v>1108</v>
      </c>
      <c r="M15" s="35" t="n">
        <f aca="false">③石川以降予測!S37</f>
        <v>167</v>
      </c>
      <c r="N15" s="35" t="n">
        <f aca="false">③石川以降予測!Q37</f>
        <v>8459</v>
      </c>
      <c r="O15" s="38" t="n">
        <f aca="false">L15-M15-N15</f>
        <v>-7518</v>
      </c>
      <c r="P15" s="39" t="str">
        <f aca="false">IF(O15&gt;0,"要 追加生産",IF(L15=0,"—","在庫で充足"))</f>
        <v>在庫で充足</v>
      </c>
      <c r="Q15" s="35" t="n">
        <f aca="false">③石川以降予測!W37</f>
        <v>0</v>
      </c>
      <c r="R15" s="35" t="n">
        <f aca="false">K15+Q15</f>
        <v>0</v>
      </c>
      <c r="S15" s="34" t="n">
        <f aca="false">R15*D15</f>
        <v>0</v>
      </c>
      <c r="T15" s="32" t="str">
        <f aca="false">IF(U15&lt;&gt;"",IF(FALSE(),"S:現場欠品(追納不可)","S:現場欠品"),IF(I15&gt;0,"A:会期中欠品",IF(O15&gt;1000,"B:大口",IF(O15&gt;0,"C:通常","D:不要"))))</f>
        <v>D:不要</v>
      </c>
      <c r="U15" s="65"/>
      <c r="V15" s="65" t="str">
        <f aca="false">IF(U15&lt;&gt;"",IF(I15&gt;0,"◎ 一致（モデルも会期中欠品を検知）",IF(H15&gt;=0.7,"○ 整合（予測消化率70%超）","△ モデル未検知：現場報告を優先")),IF(I15&gt;0,"▲ モデルのみ検知：現場に在庫状況を確認","—"))</f>
        <v>—</v>
      </c>
      <c r="W15" s="66" t="s">
        <v>510</v>
      </c>
    </row>
    <row r="16" customFormat="false" ht="15" hidden="false" customHeight="false" outlineLevel="0" collapsed="false">
      <c r="A16" s="32" t="n">
        <v>10</v>
      </c>
      <c r="B16" s="32" t="s">
        <v>294</v>
      </c>
      <c r="C16" s="33" t="s">
        <v>295</v>
      </c>
      <c r="D16" s="34" t="n">
        <v>600</v>
      </c>
      <c r="E16" s="35" t="n">
        <f aca="false">①札幌予測確定!E16</f>
        <v>32</v>
      </c>
      <c r="F16" s="35" t="n">
        <f aca="false">①札幌予測確定!P16</f>
        <v>55</v>
      </c>
      <c r="G16" s="35" t="n">
        <f aca="false">①札幌予測確定!S16</f>
        <v>100</v>
      </c>
      <c r="H16" s="37" t="n">
        <f aca="false">IFERROR(F16/G16,0)</f>
        <v>0.55</v>
      </c>
      <c r="I16" s="38" t="n">
        <f aca="false">F16-G16</f>
        <v>-45</v>
      </c>
      <c r="J16" s="39" t="str">
        <f aca="false">IF(I16&gt;0,"要 追加発注",IF(H16&gt;=0.9,"要注意(90%超)",IF(H16&gt;=0.5,"適正","在庫余剰")))</f>
        <v>適正</v>
      </c>
      <c r="K16" s="35" t="n">
        <f aca="false">IF(I16&gt;0,ROUNDUP(I16*(1+前提・入力!$B$35),0),0)</f>
        <v>0</v>
      </c>
      <c r="L16" s="35" t="n">
        <f aca="false">③石川以降予測!N38</f>
        <v>439</v>
      </c>
      <c r="M16" s="35" t="n">
        <f aca="false">③石川以降予測!S38</f>
        <v>45</v>
      </c>
      <c r="N16" s="35" t="n">
        <f aca="false">③石川以降予測!Q38</f>
        <v>4835</v>
      </c>
      <c r="O16" s="38" t="n">
        <f aca="false">L16-M16-N16</f>
        <v>-4441</v>
      </c>
      <c r="P16" s="39" t="str">
        <f aca="false">IF(O16&gt;0,"要 追加生産",IF(L16=0,"—","在庫で充足"))</f>
        <v>在庫で充足</v>
      </c>
      <c r="Q16" s="35" t="n">
        <f aca="false">③石川以降予測!W38</f>
        <v>0</v>
      </c>
      <c r="R16" s="35" t="n">
        <f aca="false">K16+Q16</f>
        <v>0</v>
      </c>
      <c r="S16" s="34" t="n">
        <f aca="false">R16*D16</f>
        <v>0</v>
      </c>
      <c r="T16" s="32" t="str">
        <f aca="false">IF(U16&lt;&gt;"",IF(FALSE(),"S:現場欠品(追納不可)","S:現場欠品"),IF(I16&gt;0,"A:会期中欠品",IF(O16&gt;1000,"B:大口",IF(O16&gt;0,"C:通常","D:不要"))))</f>
        <v>D:不要</v>
      </c>
      <c r="U16" s="65"/>
      <c r="V16" s="65" t="str">
        <f aca="false">IF(U16&lt;&gt;"",IF(I16&gt;0,"◎ 一致（モデルも会期中欠品を検知）",IF(H16&gt;=0.7,"○ 整合（予測消化率70%超）","△ モデル未検知：現場報告を優先")),IF(I16&gt;0,"▲ モデルのみ検知：現場に在庫状況を確認","—"))</f>
        <v>—</v>
      </c>
      <c r="W16" s="66"/>
    </row>
    <row r="17" customFormat="false" ht="15" hidden="false" customHeight="false" outlineLevel="0" collapsed="false">
      <c r="A17" s="32" t="n">
        <v>11</v>
      </c>
      <c r="B17" s="32" t="s">
        <v>296</v>
      </c>
      <c r="C17" s="33" t="s">
        <v>297</v>
      </c>
      <c r="D17" s="34" t="n">
        <v>600</v>
      </c>
      <c r="E17" s="35" t="n">
        <f aca="false">①札幌予測確定!E17</f>
        <v>9</v>
      </c>
      <c r="F17" s="35" t="n">
        <f aca="false">①札幌予測確定!P17</f>
        <v>28</v>
      </c>
      <c r="G17" s="35" t="n">
        <f aca="false">①札幌予測確定!S17</f>
        <v>50</v>
      </c>
      <c r="H17" s="37" t="n">
        <f aca="false">IFERROR(F17/G17,0)</f>
        <v>0.56</v>
      </c>
      <c r="I17" s="38" t="n">
        <f aca="false">F17-G17</f>
        <v>-22</v>
      </c>
      <c r="J17" s="39" t="str">
        <f aca="false">IF(I17&gt;0,"要 追加発注",IF(H17&gt;=0.9,"要注意(90%超)",IF(H17&gt;=0.5,"適正","在庫余剰")))</f>
        <v>適正</v>
      </c>
      <c r="K17" s="35" t="n">
        <f aca="false">IF(I17&gt;0,ROUNDUP(I17*(1+前提・入力!$B$35),0),0)</f>
        <v>0</v>
      </c>
      <c r="L17" s="35" t="n">
        <f aca="false">③石川以降予測!N39</f>
        <v>182</v>
      </c>
      <c r="M17" s="35" t="n">
        <f aca="false">③石川以降予測!S39</f>
        <v>22</v>
      </c>
      <c r="N17" s="35" t="n">
        <f aca="false">③石川以降予測!Q39</f>
        <v>590</v>
      </c>
      <c r="O17" s="38" t="n">
        <f aca="false">L17-M17-N17</f>
        <v>-430</v>
      </c>
      <c r="P17" s="39" t="str">
        <f aca="false">IF(O17&gt;0,"要 追加生産",IF(L17=0,"—","在庫で充足"))</f>
        <v>在庫で充足</v>
      </c>
      <c r="Q17" s="35" t="n">
        <f aca="false">③石川以降予測!W39</f>
        <v>0</v>
      </c>
      <c r="R17" s="35" t="n">
        <f aca="false">K17+Q17</f>
        <v>0</v>
      </c>
      <c r="S17" s="34" t="n">
        <f aca="false">R17*D17</f>
        <v>0</v>
      </c>
      <c r="T17" s="32" t="str">
        <f aca="false">IF(U17&lt;&gt;"",IF(FALSE(),"S:現場欠品(追納不可)","S:現場欠品"),IF(I17&gt;0,"A:会期中欠品",IF(O17&gt;1000,"B:大口",IF(O17&gt;0,"C:通常","D:不要"))))</f>
        <v>D:不要</v>
      </c>
      <c r="U17" s="65"/>
      <c r="V17" s="65" t="str">
        <f aca="false">IF(U17&lt;&gt;"",IF(I17&gt;0,"◎ 一致（モデルも会期中欠品を検知）",IF(H17&gt;=0.7,"○ 整合（予測消化率70%超）","△ モデル未検知：現場報告を優先")),IF(I17&gt;0,"▲ モデルのみ検知：現場に在庫状況を確認","—"))</f>
        <v>—</v>
      </c>
      <c r="W17" s="66" t="s">
        <v>510</v>
      </c>
    </row>
    <row r="18" customFormat="false" ht="15" hidden="false" customHeight="false" outlineLevel="0" collapsed="false">
      <c r="A18" s="32" t="n">
        <v>12</v>
      </c>
      <c r="B18" s="32" t="s">
        <v>298</v>
      </c>
      <c r="C18" s="33" t="s">
        <v>299</v>
      </c>
      <c r="D18" s="34" t="n">
        <v>600</v>
      </c>
      <c r="E18" s="35" t="n">
        <f aca="false">①札幌予測確定!E18</f>
        <v>16</v>
      </c>
      <c r="F18" s="35" t="n">
        <f aca="false">①札幌予測確定!P18</f>
        <v>35</v>
      </c>
      <c r="G18" s="35" t="n">
        <f aca="false">①札幌予測確定!S18</f>
        <v>50</v>
      </c>
      <c r="H18" s="37" t="n">
        <f aca="false">IFERROR(F18/G18,0)</f>
        <v>0.7</v>
      </c>
      <c r="I18" s="38" t="n">
        <f aca="false">F18-G18</f>
        <v>-15</v>
      </c>
      <c r="J18" s="39" t="str">
        <f aca="false">IF(I18&gt;0,"要 追加発注",IF(H18&gt;=0.9,"要注意(90%超)",IF(H18&gt;=0.5,"適正","在庫余剰")))</f>
        <v>適正</v>
      </c>
      <c r="K18" s="35" t="n">
        <f aca="false">IF(I18&gt;0,ROUNDUP(I18*(1+前提・入力!$B$35),0),0)</f>
        <v>0</v>
      </c>
      <c r="L18" s="35" t="n">
        <f aca="false">③石川以降予測!N40</f>
        <v>256</v>
      </c>
      <c r="M18" s="35" t="n">
        <f aca="false">③石川以降予測!S40</f>
        <v>15</v>
      </c>
      <c r="N18" s="35" t="n">
        <f aca="false">③石川以降予測!Q40</f>
        <v>903</v>
      </c>
      <c r="O18" s="38" t="n">
        <f aca="false">L18-M18-N18</f>
        <v>-662</v>
      </c>
      <c r="P18" s="39" t="str">
        <f aca="false">IF(O18&gt;0,"要 追加生産",IF(L18=0,"—","在庫で充足"))</f>
        <v>在庫で充足</v>
      </c>
      <c r="Q18" s="35" t="n">
        <f aca="false">③石川以降予測!W40</f>
        <v>0</v>
      </c>
      <c r="R18" s="35" t="n">
        <f aca="false">K18+Q18</f>
        <v>0</v>
      </c>
      <c r="S18" s="34" t="n">
        <f aca="false">R18*D18</f>
        <v>0</v>
      </c>
      <c r="T18" s="32" t="str">
        <f aca="false">IF(U18&lt;&gt;"",IF(FALSE(),"S:現場欠品(追納不可)","S:現場欠品"),IF(I18&gt;0,"A:会期中欠品",IF(O18&gt;1000,"B:大口",IF(O18&gt;0,"C:通常","D:不要"))))</f>
        <v>D:不要</v>
      </c>
      <c r="U18" s="65"/>
      <c r="V18" s="65" t="str">
        <f aca="false">IF(U18&lt;&gt;"",IF(I18&gt;0,"◎ 一致（モデルも会期中欠品を検知）",IF(H18&gt;=0.7,"○ 整合（予測消化率70%超）","△ モデル未検知：現場報告を優先")),IF(I18&gt;0,"▲ モデルのみ検知：現場に在庫状況を確認","—"))</f>
        <v>—</v>
      </c>
      <c r="W18" s="66"/>
    </row>
    <row r="19" customFormat="false" ht="15" hidden="false" customHeight="false" outlineLevel="0" collapsed="false">
      <c r="A19" s="32" t="n">
        <v>13</v>
      </c>
      <c r="B19" s="32" t="s">
        <v>300</v>
      </c>
      <c r="C19" s="33" t="s">
        <v>301</v>
      </c>
      <c r="D19" s="34" t="n">
        <v>600</v>
      </c>
      <c r="E19" s="35" t="n">
        <f aca="false">①札幌予測確定!E19</f>
        <v>3</v>
      </c>
      <c r="F19" s="35" t="n">
        <f aca="false">①札幌予測確定!P19</f>
        <v>7</v>
      </c>
      <c r="G19" s="35" t="n">
        <f aca="false">①札幌予測確定!S19</f>
        <v>50</v>
      </c>
      <c r="H19" s="37" t="n">
        <f aca="false">IFERROR(F19/G19,0)</f>
        <v>0.14</v>
      </c>
      <c r="I19" s="38" t="n">
        <f aca="false">F19-G19</f>
        <v>-43</v>
      </c>
      <c r="J19" s="39" t="str">
        <f aca="false">IF(I19&gt;0,"要 追加発注",IF(H19&gt;=0.9,"要注意(90%超)",IF(H19&gt;=0.5,"適正","在庫余剰")))</f>
        <v>在庫余剰</v>
      </c>
      <c r="K19" s="35" t="n">
        <f aca="false">IF(I19&gt;0,ROUNDUP(I19*(1+前提・入力!$B$35),0),0)</f>
        <v>0</v>
      </c>
      <c r="L19" s="35" t="n">
        <f aca="false">③石川以降予測!N41</f>
        <v>61</v>
      </c>
      <c r="M19" s="35" t="n">
        <f aca="false">③石川以降予測!S41</f>
        <v>43</v>
      </c>
      <c r="N19" s="35" t="n">
        <f aca="false">③石川以降予測!Q41</f>
        <v>270</v>
      </c>
      <c r="O19" s="38" t="n">
        <f aca="false">L19-M19-N19</f>
        <v>-252</v>
      </c>
      <c r="P19" s="39" t="str">
        <f aca="false">IF(O19&gt;0,"要 追加生産",IF(L19=0,"—","在庫で充足"))</f>
        <v>在庫で充足</v>
      </c>
      <c r="Q19" s="35" t="n">
        <f aca="false">③石川以降予測!W41</f>
        <v>0</v>
      </c>
      <c r="R19" s="35" t="n">
        <f aca="false">K19+Q19</f>
        <v>0</v>
      </c>
      <c r="S19" s="34" t="n">
        <f aca="false">R19*D19</f>
        <v>0</v>
      </c>
      <c r="T19" s="32" t="str">
        <f aca="false">IF(U19&lt;&gt;"",IF(FALSE(),"S:現場欠品(追納不可)","S:現場欠品"),IF(I19&gt;0,"A:会期中欠品",IF(O19&gt;1000,"B:大口",IF(O19&gt;0,"C:通常","D:不要"))))</f>
        <v>D:不要</v>
      </c>
      <c r="U19" s="65"/>
      <c r="V19" s="65" t="str">
        <f aca="false">IF(U19&lt;&gt;"",IF(I19&gt;0,"◎ 一致（モデルも会期中欠品を検知）",IF(H19&gt;=0.7,"○ 整合（予測消化率70%超）","△ モデル未検知：現場報告を優先")),IF(I19&gt;0,"▲ モデルのみ検知：現場に在庫状況を確認","—"))</f>
        <v>—</v>
      </c>
      <c r="W19" s="66"/>
    </row>
    <row r="20" customFormat="false" ht="37.3" hidden="false" customHeight="false" outlineLevel="0" collapsed="false">
      <c r="A20" s="32" t="n">
        <v>14</v>
      </c>
      <c r="B20" s="32" t="s">
        <v>302</v>
      </c>
      <c r="C20" s="33" t="s">
        <v>303</v>
      </c>
      <c r="D20" s="34" t="n">
        <v>600</v>
      </c>
      <c r="E20" s="35" t="n">
        <f aca="false">①札幌予測確定!E20</f>
        <v>18</v>
      </c>
      <c r="F20" s="35" t="n">
        <f aca="false">①札幌予測確定!P20</f>
        <v>36</v>
      </c>
      <c r="G20" s="35" t="n">
        <f aca="false">①札幌予測確定!S20</f>
        <v>50</v>
      </c>
      <c r="H20" s="37" t="n">
        <f aca="false">IFERROR(F20/G20,0)</f>
        <v>0.72</v>
      </c>
      <c r="I20" s="38" t="n">
        <f aca="false">F20-G20</f>
        <v>-14</v>
      </c>
      <c r="J20" s="39" t="str">
        <f aca="false">IF(I20&gt;0,"要 追加発注",IF(H20&gt;=0.9,"要注意(90%超)",IF(H20&gt;=0.5,"適正","在庫余剰")))</f>
        <v>適正</v>
      </c>
      <c r="K20" s="35" t="n">
        <f aca="false">IF(I20&gt;0,ROUNDUP(I20*(1+前提・入力!$B$35),0),0)</f>
        <v>0</v>
      </c>
      <c r="L20" s="35" t="n">
        <f aca="false">③石川以降予測!N42</f>
        <v>264</v>
      </c>
      <c r="M20" s="35" t="n">
        <f aca="false">③石川以降予測!S42</f>
        <v>14</v>
      </c>
      <c r="N20" s="35" t="n">
        <f aca="false">③石川以降予測!Q42</f>
        <v>1740</v>
      </c>
      <c r="O20" s="38" t="n">
        <f aca="false">L20-M20-N20</f>
        <v>-1490</v>
      </c>
      <c r="P20" s="39" t="str">
        <f aca="false">IF(O20&gt;0,"要 追加生産",IF(L20=0,"—","在庫で充足"))</f>
        <v>在庫で充足</v>
      </c>
      <c r="Q20" s="35" t="n">
        <f aca="false">③石川以降予測!W42</f>
        <v>0</v>
      </c>
      <c r="R20" s="35" t="n">
        <f aca="false">K20+Q20</f>
        <v>0</v>
      </c>
      <c r="S20" s="34" t="n">
        <f aca="false">R20*D20</f>
        <v>0</v>
      </c>
      <c r="T20" s="32" t="str">
        <f aca="false">IF(U20&lt;&gt;"",IF(FALSE(),"S:現場欠品(追納不可)","S:現場欠品"),IF(I20&gt;0,"A:会期中欠品",IF(O20&gt;1000,"B:大口",IF(O20&gt;0,"C:通常","D:不要"))))</f>
        <v>S:現場欠品</v>
      </c>
      <c r="U20" s="66" t="s">
        <v>511</v>
      </c>
      <c r="V20" s="65" t="str">
        <f aca="false">IF(U20&lt;&gt;"",IF(I20&gt;0,"◎ 一致（モデルも会期中欠品を検知）",IF(H20&gt;=0.7,"○ 整合（予測消化率70%超）","△ モデル未検知：現場報告を優先")),IF(I20&gt;0,"▲ モデルのみ検知：現場に在庫状況を確認","—"))</f>
        <v>○ 整合（予測消化率70%超）</v>
      </c>
      <c r="W20" s="66" t="s">
        <v>512</v>
      </c>
    </row>
    <row r="21" customFormat="false" ht="15" hidden="false" customHeight="false" outlineLevel="0" collapsed="false">
      <c r="A21" s="32" t="n">
        <v>15</v>
      </c>
      <c r="B21" s="32" t="s">
        <v>304</v>
      </c>
      <c r="C21" s="33" t="s">
        <v>305</v>
      </c>
      <c r="D21" s="34" t="n">
        <v>600</v>
      </c>
      <c r="E21" s="35" t="n">
        <f aca="false">①札幌予測確定!E21</f>
        <v>29</v>
      </c>
      <c r="F21" s="35" t="n">
        <f aca="false">①札幌予測確定!P21</f>
        <v>60</v>
      </c>
      <c r="G21" s="35" t="n">
        <f aca="false">①札幌予測確定!S21</f>
        <v>100</v>
      </c>
      <c r="H21" s="37" t="n">
        <f aca="false">IFERROR(F21/G21,0)</f>
        <v>0.6</v>
      </c>
      <c r="I21" s="38" t="n">
        <f aca="false">F21-G21</f>
        <v>-40</v>
      </c>
      <c r="J21" s="39" t="str">
        <f aca="false">IF(I21&gt;0,"要 追加発注",IF(H21&gt;=0.9,"要注意(90%超)",IF(H21&gt;=0.5,"適正","在庫余剰")))</f>
        <v>適正</v>
      </c>
      <c r="K21" s="35" t="n">
        <f aca="false">IF(I21&gt;0,ROUNDUP(I21*(1+前提・入力!$B$35),0),0)</f>
        <v>0</v>
      </c>
      <c r="L21" s="35" t="n">
        <f aca="false">③石川以降予測!N43</f>
        <v>410</v>
      </c>
      <c r="M21" s="35" t="n">
        <f aca="false">③石川以降予測!S43</f>
        <v>40</v>
      </c>
      <c r="N21" s="35" t="n">
        <f aca="false">③石川以降予測!Q43</f>
        <v>2031</v>
      </c>
      <c r="O21" s="38" t="n">
        <f aca="false">L21-M21-N21</f>
        <v>-1661</v>
      </c>
      <c r="P21" s="39" t="str">
        <f aca="false">IF(O21&gt;0,"要 追加生産",IF(L21=0,"—","在庫で充足"))</f>
        <v>在庫で充足</v>
      </c>
      <c r="Q21" s="35" t="n">
        <f aca="false">③石川以降予測!W43</f>
        <v>0</v>
      </c>
      <c r="R21" s="35" t="n">
        <f aca="false">K21+Q21</f>
        <v>0</v>
      </c>
      <c r="S21" s="34" t="n">
        <f aca="false">R21*D21</f>
        <v>0</v>
      </c>
      <c r="T21" s="32" t="str">
        <f aca="false">IF(U21&lt;&gt;"",IF(FALSE(),"S:現場欠品(追納不可)","S:現場欠品"),IF(I21&gt;0,"A:会期中欠品",IF(O21&gt;1000,"B:大口",IF(O21&gt;0,"C:通常","D:不要"))))</f>
        <v>D:不要</v>
      </c>
      <c r="U21" s="65"/>
      <c r="V21" s="65" t="str">
        <f aca="false">IF(U21&lt;&gt;"",IF(I21&gt;0,"◎ 一致（モデルも会期中欠品を検知）",IF(H21&gt;=0.7,"○ 整合（予測消化率70%超）","△ モデル未検知：現場報告を優先")),IF(I21&gt;0,"▲ モデルのみ検知：現場に在庫状況を確認","—"))</f>
        <v>—</v>
      </c>
      <c r="W21" s="66" t="s">
        <v>510</v>
      </c>
    </row>
    <row r="22" customFormat="false" ht="25.35" hidden="false" customHeight="false" outlineLevel="0" collapsed="false">
      <c r="A22" s="32" t="n">
        <v>16</v>
      </c>
      <c r="B22" s="32" t="s">
        <v>306</v>
      </c>
      <c r="C22" s="33" t="s">
        <v>307</v>
      </c>
      <c r="D22" s="34" t="n">
        <v>600</v>
      </c>
      <c r="E22" s="35" t="n">
        <f aca="false">①札幌予測確定!E22</f>
        <v>5</v>
      </c>
      <c r="F22" s="35" t="n">
        <f aca="false">①札幌予測確定!P22</f>
        <v>13</v>
      </c>
      <c r="G22" s="35" t="n">
        <f aca="false">①札幌予測確定!S22</f>
        <v>50</v>
      </c>
      <c r="H22" s="37" t="n">
        <f aca="false">IFERROR(F22/G22,0)</f>
        <v>0.26</v>
      </c>
      <c r="I22" s="38" t="n">
        <f aca="false">F22-G22</f>
        <v>-37</v>
      </c>
      <c r="J22" s="39" t="str">
        <f aca="false">IF(I22&gt;0,"要 追加発注",IF(H22&gt;=0.9,"要注意(90%超)",IF(H22&gt;=0.5,"適正","在庫余剰")))</f>
        <v>在庫余剰</v>
      </c>
      <c r="K22" s="35" t="n">
        <f aca="false">IF(I22&gt;0,ROUNDUP(I22*(1+前提・入力!$B$35),0),0)</f>
        <v>0</v>
      </c>
      <c r="L22" s="35" t="n">
        <f aca="false">③石川以降予測!N44</f>
        <v>103</v>
      </c>
      <c r="M22" s="35" t="n">
        <f aca="false">③石川以降予測!S44</f>
        <v>37</v>
      </c>
      <c r="N22" s="35" t="n">
        <f aca="false">③石川以降予測!Q44</f>
        <v>722</v>
      </c>
      <c r="O22" s="38" t="n">
        <f aca="false">L22-M22-N22</f>
        <v>-656</v>
      </c>
      <c r="P22" s="39" t="str">
        <f aca="false">IF(O22&gt;0,"要 追加生産",IF(L22=0,"—","在庫で充足"))</f>
        <v>在庫で充足</v>
      </c>
      <c r="Q22" s="35" t="n">
        <f aca="false">③石川以降予測!W44</f>
        <v>0</v>
      </c>
      <c r="R22" s="35" t="n">
        <f aca="false">K22+Q22</f>
        <v>0</v>
      </c>
      <c r="S22" s="34" t="n">
        <f aca="false">R22*D22</f>
        <v>0</v>
      </c>
      <c r="T22" s="32" t="str">
        <f aca="false">IF(U22&lt;&gt;"",IF(FALSE(),"S:現場欠品(追納不可)","S:現場欠品"),IF(I22&gt;0,"A:会期中欠品",IF(O22&gt;1000,"B:大口",IF(O22&gt;0,"C:通常","D:不要"))))</f>
        <v>D:不要</v>
      </c>
      <c r="U22" s="65"/>
      <c r="V22" s="65" t="str">
        <f aca="false">IF(U22&lt;&gt;"",IF(I22&gt;0,"◎ 一致（モデルも会期中欠品を検知）",IF(H22&gt;=0.7,"○ 整合（予測消化率70%超）","△ モデル未検知：現場報告を優先")),IF(I22&gt;0,"▲ モデルのみ検知：現場に在庫状況を確認","—"))</f>
        <v>—</v>
      </c>
      <c r="W22" s="66" t="s">
        <v>513</v>
      </c>
    </row>
    <row r="23" customFormat="false" ht="37.3" hidden="false" customHeight="false" outlineLevel="0" collapsed="false">
      <c r="A23" s="32" t="n">
        <v>17</v>
      </c>
      <c r="B23" s="32" t="s">
        <v>308</v>
      </c>
      <c r="C23" s="33" t="s">
        <v>309</v>
      </c>
      <c r="D23" s="34" t="n">
        <v>600</v>
      </c>
      <c r="E23" s="35" t="n">
        <f aca="false">①札幌予測確定!E23</f>
        <v>46</v>
      </c>
      <c r="F23" s="35" t="n">
        <f aca="false">①札幌予測確定!P23</f>
        <v>102</v>
      </c>
      <c r="G23" s="35" t="n">
        <f aca="false">①札幌予測確定!S23</f>
        <v>100</v>
      </c>
      <c r="H23" s="37" t="n">
        <f aca="false">IFERROR(F23/G23,0)</f>
        <v>1.02</v>
      </c>
      <c r="I23" s="38" t="n">
        <f aca="false">F23-G23</f>
        <v>2</v>
      </c>
      <c r="J23" s="39" t="str">
        <f aca="false">IF(I23&gt;0,"要 追加発注",IF(H23&gt;=0.9,"要注意(90%超)",IF(H23&gt;=0.5,"適正","在庫余剰")))</f>
        <v>要 追加発注</v>
      </c>
      <c r="K23" s="35" t="n">
        <f aca="false">IF(I23&gt;0,ROUNDUP(I23*(1+前提・入力!$B$35),0),0)</f>
        <v>3</v>
      </c>
      <c r="L23" s="35" t="n">
        <f aca="false">③石川以降予測!N45</f>
        <v>646</v>
      </c>
      <c r="M23" s="35" t="n">
        <f aca="false">③石川以降予測!S45</f>
        <v>0</v>
      </c>
      <c r="N23" s="35" t="n">
        <f aca="false">③石川以降予測!Q45</f>
        <v>2423</v>
      </c>
      <c r="O23" s="38" t="n">
        <f aca="false">L23-M23-N23</f>
        <v>-1777</v>
      </c>
      <c r="P23" s="39" t="str">
        <f aca="false">IF(O23&gt;0,"要 追加生産",IF(L23=0,"—","在庫で充足"))</f>
        <v>在庫で充足</v>
      </c>
      <c r="Q23" s="35" t="n">
        <f aca="false">③石川以降予測!W45</f>
        <v>0</v>
      </c>
      <c r="R23" s="35" t="n">
        <f aca="false">K23+Q23</f>
        <v>3</v>
      </c>
      <c r="S23" s="34" t="n">
        <f aca="false">R23*D23</f>
        <v>1800</v>
      </c>
      <c r="T23" s="32" t="str">
        <f aca="false">IF(U23&lt;&gt;"",IF(FALSE(),"S:現場欠品(追納不可)","S:現場欠品"),IF(I23&gt;0,"A:会期中欠品",IF(O23&gt;1000,"B:大口",IF(O23&gt;0,"C:通常","D:不要"))))</f>
        <v>S:現場欠品</v>
      </c>
      <c r="U23" s="66" t="s">
        <v>511</v>
      </c>
      <c r="V23" s="65" t="str">
        <f aca="false">IF(U23&lt;&gt;"",IF(I23&gt;0,"◎ 一致（モデルも会期中欠品を検知）",IF(H23&gt;=0.7,"○ 整合（予測消化率70%超）","△ モデル未検知：現場報告を優先")),IF(I23&gt;0,"▲ モデルのみ検知：現場に在庫状況を確認","—"))</f>
        <v>◎ 一致（モデルも会期中欠品を検知）</v>
      </c>
      <c r="W23" s="66" t="s">
        <v>514</v>
      </c>
    </row>
    <row r="24" customFormat="false" ht="15" hidden="false" customHeight="false" outlineLevel="0" collapsed="false">
      <c r="A24" s="32" t="n">
        <v>18</v>
      </c>
      <c r="B24" s="32" t="s">
        <v>310</v>
      </c>
      <c r="C24" s="33" t="s">
        <v>311</v>
      </c>
      <c r="D24" s="34" t="n">
        <v>600</v>
      </c>
      <c r="E24" s="35" t="n">
        <f aca="false">①札幌予測確定!E24</f>
        <v>237</v>
      </c>
      <c r="F24" s="35" t="n">
        <f aca="false">①札幌予測確定!P24</f>
        <v>425</v>
      </c>
      <c r="G24" s="35" t="n">
        <f aca="false">①札幌予測確定!S24</f>
        <v>1500</v>
      </c>
      <c r="H24" s="37" t="n">
        <f aca="false">IFERROR(F24/G24,0)</f>
        <v>0.283333333333333</v>
      </c>
      <c r="I24" s="38" t="n">
        <f aca="false">F24-G24</f>
        <v>-1075</v>
      </c>
      <c r="J24" s="39" t="str">
        <f aca="false">IF(I24&gt;0,"要 追加発注",IF(H24&gt;=0.9,"要注意(90%超)",IF(H24&gt;=0.5,"適正","在庫余剰")))</f>
        <v>在庫余剰</v>
      </c>
      <c r="K24" s="35" t="n">
        <f aca="false">IF(I24&gt;0,ROUNDUP(I24*(1+前提・入力!$B$35),0),0)</f>
        <v>0</v>
      </c>
      <c r="L24" s="35" t="n">
        <f aca="false">③石川以降予測!N46</f>
        <v>3308</v>
      </c>
      <c r="M24" s="35" t="n">
        <f aca="false">③石川以降予測!S46</f>
        <v>1075</v>
      </c>
      <c r="N24" s="35" t="n">
        <f aca="false">③石川以降予測!Q46</f>
        <v>8225</v>
      </c>
      <c r="O24" s="38" t="n">
        <f aca="false">L24-M24-N24</f>
        <v>-5992</v>
      </c>
      <c r="P24" s="39" t="str">
        <f aca="false">IF(O24&gt;0,"要 追加生産",IF(L24=0,"—","在庫で充足"))</f>
        <v>在庫で充足</v>
      </c>
      <c r="Q24" s="35" t="n">
        <f aca="false">③石川以降予測!W46</f>
        <v>0</v>
      </c>
      <c r="R24" s="35" t="n">
        <f aca="false">K24+Q24</f>
        <v>0</v>
      </c>
      <c r="S24" s="34" t="n">
        <f aca="false">R24*D24</f>
        <v>0</v>
      </c>
      <c r="T24" s="32" t="str">
        <f aca="false">IF(U24&lt;&gt;"",IF(FALSE(),"S:現場欠品(追納不可)","S:現場欠品"),IF(I24&gt;0,"A:会期中欠品",IF(O24&gt;1000,"B:大口",IF(O24&gt;0,"C:通常","D:不要"))))</f>
        <v>D:不要</v>
      </c>
      <c r="U24" s="65"/>
      <c r="V24" s="65" t="str">
        <f aca="false">IF(U24&lt;&gt;"",IF(I24&gt;0,"◎ 一致（モデルも会期中欠品を検知）",IF(H24&gt;=0.7,"○ 整合（予測消化率70%超）","△ モデル未検知：現場報告を優先")),IF(I24&gt;0,"▲ モデルのみ検知：現場に在庫状況を確認","—"))</f>
        <v>—</v>
      </c>
      <c r="W24" s="66" t="s">
        <v>510</v>
      </c>
    </row>
    <row r="25" customFormat="false" ht="15" hidden="false" customHeight="false" outlineLevel="0" collapsed="false">
      <c r="A25" s="32" t="n">
        <v>19</v>
      </c>
      <c r="B25" s="32" t="s">
        <v>312</v>
      </c>
      <c r="C25" s="33" t="s">
        <v>313</v>
      </c>
      <c r="D25" s="34" t="n">
        <v>600</v>
      </c>
      <c r="E25" s="35" t="n">
        <f aca="false">①札幌予測確定!E25</f>
        <v>8</v>
      </c>
      <c r="F25" s="35" t="n">
        <f aca="false">①札幌予測確定!P25</f>
        <v>15</v>
      </c>
      <c r="G25" s="35" t="n">
        <f aca="false">①札幌予測確定!S25</f>
        <v>50</v>
      </c>
      <c r="H25" s="37" t="n">
        <f aca="false">IFERROR(F25/G25,0)</f>
        <v>0.3</v>
      </c>
      <c r="I25" s="38" t="n">
        <f aca="false">F25-G25</f>
        <v>-35</v>
      </c>
      <c r="J25" s="39" t="str">
        <f aca="false">IF(I25&gt;0,"要 追加発注",IF(H25&gt;=0.9,"要注意(90%超)",IF(H25&gt;=0.5,"適正","在庫余剰")))</f>
        <v>在庫余剰</v>
      </c>
      <c r="K25" s="35" t="n">
        <f aca="false">IF(I25&gt;0,ROUNDUP(I25*(1+前提・入力!$B$35),0),0)</f>
        <v>0</v>
      </c>
      <c r="L25" s="35" t="n">
        <f aca="false">③石川以降予測!N47</f>
        <v>100</v>
      </c>
      <c r="M25" s="35" t="n">
        <f aca="false">③石川以降予測!S47</f>
        <v>35</v>
      </c>
      <c r="N25" s="35" t="n">
        <f aca="false">③石川以降予測!Q47</f>
        <v>2190</v>
      </c>
      <c r="O25" s="38" t="n">
        <f aca="false">L25-M25-N25</f>
        <v>-2125</v>
      </c>
      <c r="P25" s="39" t="str">
        <f aca="false">IF(O25&gt;0,"要 追加生産",IF(L25=0,"—","在庫で充足"))</f>
        <v>在庫で充足</v>
      </c>
      <c r="Q25" s="35" t="n">
        <f aca="false">③石川以降予測!W47</f>
        <v>0</v>
      </c>
      <c r="R25" s="35" t="n">
        <f aca="false">K25+Q25</f>
        <v>0</v>
      </c>
      <c r="S25" s="34" t="n">
        <f aca="false">R25*D25</f>
        <v>0</v>
      </c>
      <c r="T25" s="32" t="str">
        <f aca="false">IF(U25&lt;&gt;"",IF(FALSE(),"S:現場欠品(追納不可)","S:現場欠品"),IF(I25&gt;0,"A:会期中欠品",IF(O25&gt;1000,"B:大口",IF(O25&gt;0,"C:通常","D:不要"))))</f>
        <v>D:不要</v>
      </c>
      <c r="U25" s="65"/>
      <c r="V25" s="65" t="str">
        <f aca="false">IF(U25&lt;&gt;"",IF(I25&gt;0,"◎ 一致（モデルも会期中欠品を検知）",IF(H25&gt;=0.7,"○ 整合（予測消化率70%超）","△ モデル未検知：現場報告を優先")),IF(I25&gt;0,"▲ モデルのみ検知：現場に在庫状況を確認","—"))</f>
        <v>—</v>
      </c>
      <c r="W25" s="66" t="s">
        <v>510</v>
      </c>
    </row>
    <row r="26" customFormat="false" ht="15" hidden="false" customHeight="false" outlineLevel="0" collapsed="false">
      <c r="A26" s="32" t="n">
        <v>20</v>
      </c>
      <c r="B26" s="32" t="s">
        <v>314</v>
      </c>
      <c r="C26" s="33" t="s">
        <v>315</v>
      </c>
      <c r="D26" s="34" t="n">
        <v>600</v>
      </c>
      <c r="E26" s="35" t="n">
        <f aca="false">①札幌予測確定!E26</f>
        <v>7</v>
      </c>
      <c r="F26" s="35" t="n">
        <f aca="false">①札幌予測確定!P26</f>
        <v>17</v>
      </c>
      <c r="G26" s="35" t="n">
        <f aca="false">①札幌予測確定!S26</f>
        <v>30</v>
      </c>
      <c r="H26" s="37" t="n">
        <f aca="false">IFERROR(F26/G26,0)</f>
        <v>0.566666666666667</v>
      </c>
      <c r="I26" s="38" t="n">
        <f aca="false">F26-G26</f>
        <v>-13</v>
      </c>
      <c r="J26" s="39" t="str">
        <f aca="false">IF(I26&gt;0,"要 追加発注",IF(H26&gt;=0.9,"要注意(90%超)",IF(H26&gt;=0.5,"適正","在庫余剰")))</f>
        <v>適正</v>
      </c>
      <c r="K26" s="35" t="n">
        <f aca="false">IF(I26&gt;0,ROUNDUP(I26*(1+前提・入力!$B$35),0),0)</f>
        <v>0</v>
      </c>
      <c r="L26" s="35" t="n">
        <f aca="false">③石川以降予測!N48</f>
        <v>106</v>
      </c>
      <c r="M26" s="35" t="n">
        <f aca="false">③石川以降予測!S48</f>
        <v>13</v>
      </c>
      <c r="N26" s="35" t="n">
        <f aca="false">③石川以降予測!Q48</f>
        <v>271</v>
      </c>
      <c r="O26" s="38" t="n">
        <f aca="false">L26-M26-N26</f>
        <v>-178</v>
      </c>
      <c r="P26" s="39" t="str">
        <f aca="false">IF(O26&gt;0,"要 追加生産",IF(L26=0,"—","在庫で充足"))</f>
        <v>在庫で充足</v>
      </c>
      <c r="Q26" s="35" t="n">
        <f aca="false">③石川以降予測!W48</f>
        <v>0</v>
      </c>
      <c r="R26" s="35" t="n">
        <f aca="false">K26+Q26</f>
        <v>0</v>
      </c>
      <c r="S26" s="34" t="n">
        <f aca="false">R26*D26</f>
        <v>0</v>
      </c>
      <c r="T26" s="32" t="str">
        <f aca="false">IF(U26&lt;&gt;"",IF(FALSE(),"S:現場欠品(追納不可)","S:現場欠品"),IF(I26&gt;0,"A:会期中欠品",IF(O26&gt;1000,"B:大口",IF(O26&gt;0,"C:通常","D:不要"))))</f>
        <v>D:不要</v>
      </c>
      <c r="U26" s="65"/>
      <c r="V26" s="65" t="str">
        <f aca="false">IF(U26&lt;&gt;"",IF(I26&gt;0,"◎ 一致（モデルも会期中欠品を検知）",IF(H26&gt;=0.7,"○ 整合（予測消化率70%超）","△ モデル未検知：現場報告を優先")),IF(I26&gt;0,"▲ モデルのみ検知：現場に在庫状況を確認","—"))</f>
        <v>—</v>
      </c>
      <c r="W26" s="66" t="s">
        <v>510</v>
      </c>
    </row>
    <row r="27" customFormat="false" ht="49.25" hidden="false" customHeight="false" outlineLevel="0" collapsed="false">
      <c r="A27" s="32" t="n">
        <v>21</v>
      </c>
      <c r="B27" s="32" t="s">
        <v>316</v>
      </c>
      <c r="C27" s="33" t="s">
        <v>317</v>
      </c>
      <c r="D27" s="34" t="n">
        <v>600</v>
      </c>
      <c r="E27" s="35" t="n">
        <f aca="false">①札幌予測確定!E27</f>
        <v>43</v>
      </c>
      <c r="F27" s="35" t="n">
        <f aca="false">①札幌予測確定!P27</f>
        <v>91</v>
      </c>
      <c r="G27" s="35" t="n">
        <f aca="false">①札幌予測確定!S27</f>
        <v>50</v>
      </c>
      <c r="H27" s="37" t="n">
        <f aca="false">IFERROR(F27/G27,0)</f>
        <v>1.82</v>
      </c>
      <c r="I27" s="38" t="n">
        <f aca="false">F27-G27</f>
        <v>41</v>
      </c>
      <c r="J27" s="39" t="str">
        <f aca="false">IF(I27&gt;0,"要 追加発注",IF(H27&gt;=0.9,"要注意(90%超)",IF(H27&gt;=0.5,"適正","在庫余剰")))</f>
        <v>要 追加発注</v>
      </c>
      <c r="K27" s="35" t="n">
        <f aca="false">IF(I27&gt;0,ROUNDUP(I27*(1+前提・入力!$B$35),0),0)</f>
        <v>46</v>
      </c>
      <c r="L27" s="35" t="n">
        <f aca="false">③石川以降予測!N49</f>
        <v>589</v>
      </c>
      <c r="M27" s="35" t="n">
        <f aca="false">③石川以降予測!S49</f>
        <v>0</v>
      </c>
      <c r="N27" s="35" t="n">
        <f aca="false">③石川以降予測!Q49</f>
        <v>258</v>
      </c>
      <c r="O27" s="38" t="n">
        <f aca="false">L27-M27-N27</f>
        <v>331</v>
      </c>
      <c r="P27" s="39" t="str">
        <f aca="false">IF(O27&gt;0,"要 追加生産",IF(L27=0,"—","在庫で充足"))</f>
        <v>要 追加生産</v>
      </c>
      <c r="Q27" s="35" t="n">
        <f aca="false">③石川以降予測!W49</f>
        <v>410</v>
      </c>
      <c r="R27" s="35" t="n">
        <f aca="false">K27+Q27</f>
        <v>456</v>
      </c>
      <c r="S27" s="34" t="n">
        <f aca="false">R27*D27</f>
        <v>273600</v>
      </c>
      <c r="T27" s="32" t="str">
        <f aca="false">IF(U27&lt;&gt;"",IF(FALSE(),"S:現場欠品(追納不可)","S:現場欠品"),IF(I27&gt;0,"A:会期中欠品",IF(O27&gt;1000,"B:大口",IF(O27&gt;0,"C:通常","D:不要"))))</f>
        <v>S:現場欠品</v>
      </c>
      <c r="U27" s="66" t="s">
        <v>511</v>
      </c>
      <c r="V27" s="65" t="str">
        <f aca="false">IF(U27&lt;&gt;"",IF(I27&gt;0,"◎ 一致（モデルも会期中欠品を検知）",IF(H27&gt;=0.7,"○ 整合（予測消化率70%超）","△ モデル未検知：現場報告を優先")),IF(I27&gt;0,"▲ モデルのみ検知：現場に在庫状況を確認","—"))</f>
        <v>◎ 一致（モデルも会期中欠品を検知）</v>
      </c>
      <c r="W27" s="66" t="s">
        <v>515</v>
      </c>
    </row>
    <row r="28" customFormat="false" ht="37.3" hidden="false" customHeight="false" outlineLevel="0" collapsed="false">
      <c r="A28" s="32" t="n">
        <v>22</v>
      </c>
      <c r="B28" s="32" t="s">
        <v>318</v>
      </c>
      <c r="C28" s="33" t="s">
        <v>319</v>
      </c>
      <c r="D28" s="34" t="n">
        <v>600</v>
      </c>
      <c r="E28" s="35" t="n">
        <f aca="false">①札幌予測確定!E28</f>
        <v>20</v>
      </c>
      <c r="F28" s="35" t="n">
        <f aca="false">①札幌予測確定!P28</f>
        <v>56</v>
      </c>
      <c r="G28" s="35" t="n">
        <f aca="false">①札幌予測確定!S28</f>
        <v>50</v>
      </c>
      <c r="H28" s="37" t="n">
        <f aca="false">IFERROR(F28/G28,0)</f>
        <v>1.12</v>
      </c>
      <c r="I28" s="38" t="n">
        <f aca="false">F28-G28</f>
        <v>6</v>
      </c>
      <c r="J28" s="39" t="str">
        <f aca="false">IF(I28&gt;0,"要 追加発注",IF(H28&gt;=0.9,"要注意(90%超)",IF(H28&gt;=0.5,"適正","在庫余剰")))</f>
        <v>要 追加発注</v>
      </c>
      <c r="K28" s="35" t="n">
        <f aca="false">IF(I28&gt;0,ROUNDUP(I28*(1+前提・入力!$B$35),0),0)</f>
        <v>7</v>
      </c>
      <c r="L28" s="35" t="n">
        <f aca="false">③石川以降予測!N50</f>
        <v>372</v>
      </c>
      <c r="M28" s="35" t="n">
        <f aca="false">③石川以降予測!S50</f>
        <v>0</v>
      </c>
      <c r="N28" s="35" t="n">
        <f aca="false">③石川以降予測!Q50</f>
        <v>1281</v>
      </c>
      <c r="O28" s="38" t="n">
        <f aca="false">L28-M28-N28</f>
        <v>-909</v>
      </c>
      <c r="P28" s="39" t="str">
        <f aca="false">IF(O28&gt;0,"要 追加生産",IF(L28=0,"—","在庫で充足"))</f>
        <v>在庫で充足</v>
      </c>
      <c r="Q28" s="35" t="n">
        <f aca="false">③石川以降予測!W50</f>
        <v>0</v>
      </c>
      <c r="R28" s="35" t="n">
        <f aca="false">K28+Q28</f>
        <v>7</v>
      </c>
      <c r="S28" s="34" t="n">
        <f aca="false">R28*D28</f>
        <v>4200</v>
      </c>
      <c r="T28" s="32" t="str">
        <f aca="false">IF(U28&lt;&gt;"",IF(FALSE(),"S:現場欠品(追納不可)","S:現場欠品"),IF(I28&gt;0,"A:会期中欠品",IF(O28&gt;1000,"B:大口",IF(O28&gt;0,"C:通常","D:不要"))))</f>
        <v>S:現場欠品</v>
      </c>
      <c r="U28" s="66" t="s">
        <v>511</v>
      </c>
      <c r="V28" s="65" t="str">
        <f aca="false">IF(U28&lt;&gt;"",IF(I28&gt;0,"◎ 一致（モデルも会期中欠品を検知）",IF(H28&gt;=0.7,"○ 整合（予測消化率70%超）","△ モデル未検知：現場報告を優先")),IF(I28&gt;0,"▲ モデルのみ検知：現場に在庫状況を確認","—"))</f>
        <v>◎ 一致（モデルも会期中欠品を検知）</v>
      </c>
      <c r="W28" s="66" t="s">
        <v>516</v>
      </c>
    </row>
    <row r="29" customFormat="false" ht="15" hidden="false" customHeight="false" outlineLevel="0" collapsed="false">
      <c r="A29" s="32" t="n">
        <v>23</v>
      </c>
      <c r="B29" s="32" t="s">
        <v>320</v>
      </c>
      <c r="C29" s="33" t="s">
        <v>321</v>
      </c>
      <c r="D29" s="34" t="n">
        <v>600</v>
      </c>
      <c r="E29" s="35" t="n">
        <f aca="false">①札幌予測確定!E29</f>
        <v>1095</v>
      </c>
      <c r="F29" s="35" t="n">
        <f aca="false">①札幌予測確定!P29</f>
        <v>2193</v>
      </c>
      <c r="G29" s="35" t="n">
        <f aca="false">①札幌予測確定!S29</f>
        <v>11000</v>
      </c>
      <c r="H29" s="37" t="n">
        <f aca="false">IFERROR(F29/G29,0)</f>
        <v>0.199363636363636</v>
      </c>
      <c r="I29" s="38" t="n">
        <f aca="false">F29-G29</f>
        <v>-8807</v>
      </c>
      <c r="J29" s="39" t="str">
        <f aca="false">IF(I29&gt;0,"要 追加発注",IF(H29&gt;=0.9,"要注意(90%超)",IF(H29&gt;=0.5,"適正","在庫余剰")))</f>
        <v>在庫余剰</v>
      </c>
      <c r="K29" s="35" t="n">
        <f aca="false">IF(I29&gt;0,ROUNDUP(I29*(1+前提・入力!$B$35),0),0)</f>
        <v>0</v>
      </c>
      <c r="L29" s="35" t="n">
        <f aca="false">③石川以降予測!N51</f>
        <v>18575</v>
      </c>
      <c r="M29" s="35" t="n">
        <f aca="false">③石川以降予測!S51</f>
        <v>8807</v>
      </c>
      <c r="N29" s="35" t="n">
        <f aca="false">③石川以降予測!Q51</f>
        <v>40818</v>
      </c>
      <c r="O29" s="38" t="n">
        <f aca="false">L29-M29-N29</f>
        <v>-31050</v>
      </c>
      <c r="P29" s="39" t="str">
        <f aca="false">IF(O29&gt;0,"要 追加生産",IF(L29=0,"—","在庫で充足"))</f>
        <v>在庫で充足</v>
      </c>
      <c r="Q29" s="35" t="n">
        <f aca="false">③石川以降予測!W51</f>
        <v>0</v>
      </c>
      <c r="R29" s="35" t="n">
        <f aca="false">K29+Q29</f>
        <v>0</v>
      </c>
      <c r="S29" s="34" t="n">
        <f aca="false">R29*D29</f>
        <v>0</v>
      </c>
      <c r="T29" s="32" t="str">
        <f aca="false">IF(U29&lt;&gt;"",IF(FALSE(),"S:現場欠品(追納不可)","S:現場欠品"),IF(I29&gt;0,"A:会期中欠品",IF(O29&gt;1000,"B:大口",IF(O29&gt;0,"C:通常","D:不要"))))</f>
        <v>D:不要</v>
      </c>
      <c r="U29" s="65"/>
      <c r="V29" s="65" t="str">
        <f aca="false">IF(U29&lt;&gt;"",IF(I29&gt;0,"◎ 一致（モデルも会期中欠品を検知）",IF(H29&gt;=0.7,"○ 整合（予測消化率70%超）","△ モデル未検知：現場報告を優先")),IF(I29&gt;0,"▲ モデルのみ検知：現場に在庫状況を確認","—"))</f>
        <v>—</v>
      </c>
      <c r="W29" s="66"/>
    </row>
    <row r="30" customFormat="false" ht="15" hidden="false" customHeight="false" outlineLevel="0" collapsed="false">
      <c r="A30" s="32" t="n">
        <v>24</v>
      </c>
      <c r="B30" s="32" t="s">
        <v>322</v>
      </c>
      <c r="C30" s="33" t="s">
        <v>323</v>
      </c>
      <c r="D30" s="34" t="n">
        <v>600</v>
      </c>
      <c r="E30" s="35" t="n">
        <f aca="false">①札幌予測確定!E30</f>
        <v>591</v>
      </c>
      <c r="F30" s="35" t="n">
        <f aca="false">①札幌予測確定!P30</f>
        <v>1195</v>
      </c>
      <c r="G30" s="35" t="n">
        <f aca="false">①札幌予測確定!S30</f>
        <v>8000</v>
      </c>
      <c r="H30" s="37" t="n">
        <f aca="false">IFERROR(F30/G30,0)</f>
        <v>0.149375</v>
      </c>
      <c r="I30" s="38" t="n">
        <f aca="false">F30-G30</f>
        <v>-6805</v>
      </c>
      <c r="J30" s="39" t="str">
        <f aca="false">IF(I30&gt;0,"要 追加発注",IF(H30&gt;=0.9,"要注意(90%超)",IF(H30&gt;=0.5,"適正","在庫余剰")))</f>
        <v>在庫余剰</v>
      </c>
      <c r="K30" s="35" t="n">
        <f aca="false">IF(I30&gt;0,ROUNDUP(I30*(1+前提・入力!$B$35),0),0)</f>
        <v>0</v>
      </c>
      <c r="L30" s="35" t="n">
        <f aca="false">③石川以降予測!N52</f>
        <v>10150</v>
      </c>
      <c r="M30" s="35" t="n">
        <f aca="false">③石川以降予測!S52</f>
        <v>6805</v>
      </c>
      <c r="N30" s="35" t="n">
        <f aca="false">③石川以降予測!Q52</f>
        <v>24204</v>
      </c>
      <c r="O30" s="38" t="n">
        <f aca="false">L30-M30-N30</f>
        <v>-20859</v>
      </c>
      <c r="P30" s="39" t="str">
        <f aca="false">IF(O30&gt;0,"要 追加生産",IF(L30=0,"—","在庫で充足"))</f>
        <v>在庫で充足</v>
      </c>
      <c r="Q30" s="35" t="n">
        <f aca="false">③石川以降予測!W52</f>
        <v>0</v>
      </c>
      <c r="R30" s="35" t="n">
        <f aca="false">K30+Q30</f>
        <v>0</v>
      </c>
      <c r="S30" s="34" t="n">
        <f aca="false">R30*D30</f>
        <v>0</v>
      </c>
      <c r="T30" s="32" t="str">
        <f aca="false">IF(U30&lt;&gt;"",IF(FALSE(),"S:現場欠品(追納不可)","S:現場欠品"),IF(I30&gt;0,"A:会期中欠品",IF(O30&gt;1000,"B:大口",IF(O30&gt;0,"C:通常","D:不要"))))</f>
        <v>D:不要</v>
      </c>
      <c r="U30" s="65"/>
      <c r="V30" s="65" t="str">
        <f aca="false">IF(U30&lt;&gt;"",IF(I30&gt;0,"◎ 一致（モデルも会期中欠品を検知）",IF(H30&gt;=0.7,"○ 整合（予測消化率70%超）","△ モデル未検知：現場報告を優先")),IF(I30&gt;0,"▲ モデルのみ検知：現場に在庫状況を確認","—"))</f>
        <v>—</v>
      </c>
      <c r="W30" s="66"/>
    </row>
    <row r="31" customFormat="false" ht="15" hidden="false" customHeight="false" outlineLevel="0" collapsed="false">
      <c r="A31" s="32" t="n">
        <v>25</v>
      </c>
      <c r="B31" s="32" t="s">
        <v>324</v>
      </c>
      <c r="C31" s="33" t="s">
        <v>325</v>
      </c>
      <c r="D31" s="34" t="n">
        <v>1500</v>
      </c>
      <c r="E31" s="35" t="n">
        <f aca="false">①札幌予測確定!E31</f>
        <v>20</v>
      </c>
      <c r="F31" s="35" t="n">
        <f aca="false">①札幌予測確定!P31</f>
        <v>43</v>
      </c>
      <c r="G31" s="35" t="n">
        <f aca="false">①札幌予測確定!S31</f>
        <v>200</v>
      </c>
      <c r="H31" s="37" t="n">
        <f aca="false">IFERROR(F31/G31,0)</f>
        <v>0.215</v>
      </c>
      <c r="I31" s="38" t="n">
        <f aca="false">F31-G31</f>
        <v>-157</v>
      </c>
      <c r="J31" s="39" t="str">
        <f aca="false">IF(I31&gt;0,"要 追加発注",IF(H31&gt;=0.9,"要注意(90%超)",IF(H31&gt;=0.5,"適正","在庫余剰")))</f>
        <v>在庫余剰</v>
      </c>
      <c r="K31" s="35" t="n">
        <f aca="false">IF(I31&gt;0,ROUNDUP(I31*(1+前提・入力!$B$35),0),0)</f>
        <v>0</v>
      </c>
      <c r="L31" s="35" t="n">
        <f aca="false">③石川以降予測!N53</f>
        <v>359</v>
      </c>
      <c r="M31" s="35" t="n">
        <f aca="false">③石川以降予測!S53</f>
        <v>157</v>
      </c>
      <c r="N31" s="35" t="n">
        <f aca="false">③石川以降予測!Q53</f>
        <v>3305</v>
      </c>
      <c r="O31" s="38" t="n">
        <f aca="false">L31-M31-N31</f>
        <v>-3103</v>
      </c>
      <c r="P31" s="39" t="str">
        <f aca="false">IF(O31&gt;0,"要 追加生産",IF(L31=0,"—","在庫で充足"))</f>
        <v>在庫で充足</v>
      </c>
      <c r="Q31" s="35" t="n">
        <f aca="false">③石川以降予測!W53</f>
        <v>0</v>
      </c>
      <c r="R31" s="35" t="n">
        <f aca="false">K31+Q31</f>
        <v>0</v>
      </c>
      <c r="S31" s="34" t="n">
        <f aca="false">R31*D31</f>
        <v>0</v>
      </c>
      <c r="T31" s="32" t="str">
        <f aca="false">IF(U31&lt;&gt;"",IF(FALSE(),"S:現場欠品(追納不可)","S:現場欠品"),IF(I31&gt;0,"A:会期中欠品",IF(O31&gt;1000,"B:大口",IF(O31&gt;0,"C:通常","D:不要"))))</f>
        <v>D:不要</v>
      </c>
      <c r="U31" s="65"/>
      <c r="V31" s="65" t="str">
        <f aca="false">IF(U31&lt;&gt;"",IF(I31&gt;0,"◎ 一致（モデルも会期中欠品を検知）",IF(H31&gt;=0.7,"○ 整合（予測消化率70%超）","△ モデル未検知：現場報告を優先")),IF(I31&gt;0,"▲ モデルのみ検知：現場に在庫状況を確認","—"))</f>
        <v>—</v>
      </c>
      <c r="W31" s="66" t="s">
        <v>510</v>
      </c>
    </row>
    <row r="32" customFormat="false" ht="37.3" hidden="false" customHeight="false" outlineLevel="0" collapsed="false">
      <c r="A32" s="32" t="n">
        <v>26</v>
      </c>
      <c r="B32" s="32" t="s">
        <v>326</v>
      </c>
      <c r="C32" s="33" t="s">
        <v>327</v>
      </c>
      <c r="D32" s="34" t="n">
        <v>2200</v>
      </c>
      <c r="E32" s="35" t="n">
        <f aca="false">①札幌予測確定!E32</f>
        <v>91</v>
      </c>
      <c r="F32" s="35" t="n">
        <f aca="false">①札幌予測確定!P32</f>
        <v>164</v>
      </c>
      <c r="G32" s="35" t="n">
        <f aca="false">①札幌予測確定!S32</f>
        <v>100</v>
      </c>
      <c r="H32" s="37" t="n">
        <f aca="false">IFERROR(F32/G32,0)</f>
        <v>1.64</v>
      </c>
      <c r="I32" s="38" t="n">
        <f aca="false">F32-G32</f>
        <v>64</v>
      </c>
      <c r="J32" s="39" t="str">
        <f aca="false">IF(I32&gt;0,"要 追加発注",IF(H32&gt;=0.9,"要注意(90%超)",IF(H32&gt;=0.5,"適正","在庫余剰")))</f>
        <v>要 追加発注</v>
      </c>
      <c r="K32" s="35" t="n">
        <f aca="false">IF(I32&gt;0,ROUNDUP(I32*(1+前提・入力!$B$35),0),0)</f>
        <v>71</v>
      </c>
      <c r="L32" s="35" t="n">
        <f aca="false">③石川以降予測!N54</f>
        <v>1317</v>
      </c>
      <c r="M32" s="35" t="n">
        <f aca="false">③石川以降予測!S54</f>
        <v>0</v>
      </c>
      <c r="N32" s="35" t="n">
        <f aca="false">③石川以降予測!Q54</f>
        <v>397</v>
      </c>
      <c r="O32" s="38" t="n">
        <f aca="false">L32-M32-N32</f>
        <v>920</v>
      </c>
      <c r="P32" s="39" t="str">
        <f aca="false">IF(O32&gt;0,"要 追加生産",IF(L32=0,"—","在庫で充足"))</f>
        <v>要 追加生産</v>
      </c>
      <c r="Q32" s="35" t="n">
        <f aca="false">③石川以降予測!W54</f>
        <v>1083</v>
      </c>
      <c r="R32" s="35" t="n">
        <f aca="false">K32+Q32</f>
        <v>1154</v>
      </c>
      <c r="S32" s="34" t="n">
        <f aca="false">R32*D32</f>
        <v>2538800</v>
      </c>
      <c r="T32" s="32" t="str">
        <f aca="false">IF(U32&lt;&gt;"",IF(FALSE(),"S:現場欠品(追納不可)","S:現場欠品"),IF(I32&gt;0,"A:会期中欠品",IF(O32&gt;1000,"B:大口",IF(O32&gt;0,"C:通常","D:不要"))))</f>
        <v>S:現場欠品</v>
      </c>
      <c r="U32" s="66" t="s">
        <v>511</v>
      </c>
      <c r="V32" s="65" t="str">
        <f aca="false">IF(U32&lt;&gt;"",IF(I32&gt;0,"◎ 一致（モデルも会期中欠品を検知）",IF(H32&gt;=0.7,"○ 整合（予測消化率70%超）","△ モデル未検知：現場報告を優先")),IF(I32&gt;0,"▲ モデルのみ検知：現場に在庫状況を確認","—"))</f>
        <v>◎ 一致（モデルも会期中欠品を検知）</v>
      </c>
      <c r="W32" s="66" t="s">
        <v>517</v>
      </c>
    </row>
    <row r="33" customFormat="false" ht="15" hidden="false" customHeight="false" outlineLevel="0" collapsed="false">
      <c r="A33" s="32" t="n">
        <v>27</v>
      </c>
      <c r="B33" s="32" t="s">
        <v>328</v>
      </c>
      <c r="C33" s="33" t="s">
        <v>329</v>
      </c>
      <c r="D33" s="34" t="n">
        <v>1100</v>
      </c>
      <c r="E33" s="35" t="n">
        <f aca="false">①札幌予測確定!E33</f>
        <v>16</v>
      </c>
      <c r="F33" s="35" t="n">
        <f aca="false">①札幌予測確定!P33</f>
        <v>38</v>
      </c>
      <c r="G33" s="35" t="n">
        <f aca="false">①札幌予測確定!S33</f>
        <v>70</v>
      </c>
      <c r="H33" s="37" t="n">
        <f aca="false">IFERROR(F33/G33,0)</f>
        <v>0.542857142857143</v>
      </c>
      <c r="I33" s="38" t="n">
        <f aca="false">F33-G33</f>
        <v>-32</v>
      </c>
      <c r="J33" s="39" t="str">
        <f aca="false">IF(I33&gt;0,"要 追加発注",IF(H33&gt;=0.9,"要注意(90%超)",IF(H33&gt;=0.5,"適正","在庫余剰")))</f>
        <v>適正</v>
      </c>
      <c r="K33" s="35" t="n">
        <f aca="false">IF(I33&gt;0,ROUNDUP(I33*(1+前提・入力!$B$35),0),0)</f>
        <v>0</v>
      </c>
      <c r="L33" s="35" t="n">
        <f aca="false">③石川以降予測!N55</f>
        <v>272</v>
      </c>
      <c r="M33" s="35" t="n">
        <f aca="false">③石川以降予測!S55</f>
        <v>32</v>
      </c>
      <c r="N33" s="35" t="n">
        <f aca="false">③石川以降予測!Q55</f>
        <v>1128</v>
      </c>
      <c r="O33" s="38" t="n">
        <f aca="false">L33-M33-N33</f>
        <v>-888</v>
      </c>
      <c r="P33" s="39" t="str">
        <f aca="false">IF(O33&gt;0,"要 追加生産",IF(L33=0,"—","在庫で充足"))</f>
        <v>在庫で充足</v>
      </c>
      <c r="Q33" s="35" t="n">
        <f aca="false">③石川以降予測!W55</f>
        <v>0</v>
      </c>
      <c r="R33" s="35" t="n">
        <f aca="false">K33+Q33</f>
        <v>0</v>
      </c>
      <c r="S33" s="34" t="n">
        <f aca="false">R33*D33</f>
        <v>0</v>
      </c>
      <c r="T33" s="32" t="str">
        <f aca="false">IF(U33&lt;&gt;"",IF(FALSE(),"S:現場欠品(追納不可)","S:現場欠品"),IF(I33&gt;0,"A:会期中欠品",IF(O33&gt;1000,"B:大口",IF(O33&gt;0,"C:通常","D:不要"))))</f>
        <v>D:不要</v>
      </c>
      <c r="U33" s="65"/>
      <c r="V33" s="65" t="str">
        <f aca="false">IF(U33&lt;&gt;"",IF(I33&gt;0,"◎ 一致（モデルも会期中欠品を検知）",IF(H33&gt;=0.7,"○ 整合（予測消化率70%超）","△ モデル未検知：現場報告を優先")),IF(I33&gt;0,"▲ モデルのみ検知：現場に在庫状況を確認","—"))</f>
        <v>—</v>
      </c>
      <c r="W33" s="66" t="s">
        <v>510</v>
      </c>
    </row>
    <row r="34" customFormat="false" ht="61.15" hidden="false" customHeight="false" outlineLevel="0" collapsed="false">
      <c r="A34" s="32" t="n">
        <v>28</v>
      </c>
      <c r="B34" s="32" t="s">
        <v>330</v>
      </c>
      <c r="C34" s="33" t="s">
        <v>331</v>
      </c>
      <c r="D34" s="34" t="n">
        <v>1800</v>
      </c>
      <c r="E34" s="35" t="n">
        <f aca="false">①札幌予測確定!E34</f>
        <v>153</v>
      </c>
      <c r="F34" s="35" t="n">
        <f aca="false">①札幌予測確定!P34</f>
        <v>217</v>
      </c>
      <c r="G34" s="35" t="n">
        <f aca="false">①札幌予測確定!S34</f>
        <v>200</v>
      </c>
      <c r="H34" s="37" t="n">
        <f aca="false">IFERROR(F34/G34,0)</f>
        <v>1.085</v>
      </c>
      <c r="I34" s="38" t="n">
        <f aca="false">F34-G34</f>
        <v>17</v>
      </c>
      <c r="J34" s="39" t="str">
        <f aca="false">IF(I34&gt;0,"要 追加発注",IF(H34&gt;=0.9,"要注意(90%超)",IF(H34&gt;=0.5,"適正","在庫余剰")))</f>
        <v>要 追加発注</v>
      </c>
      <c r="K34" s="35" t="n">
        <f aca="false">IF(I34&gt;0,ROUNDUP(I34*(1+前提・入力!$B$35),0),0)</f>
        <v>19</v>
      </c>
      <c r="L34" s="35" t="n">
        <f aca="false">③石川以降予測!N56</f>
        <v>1273</v>
      </c>
      <c r="M34" s="35" t="n">
        <f aca="false">③石川以降予測!S56</f>
        <v>0</v>
      </c>
      <c r="N34" s="35" t="n">
        <f aca="false">③石川以降予測!Q56</f>
        <v>260</v>
      </c>
      <c r="O34" s="38" t="n">
        <f aca="false">L34-M34-N34</f>
        <v>1013</v>
      </c>
      <c r="P34" s="39" t="str">
        <f aca="false">IF(O34&gt;0,"要 追加生産",IF(L34=0,"—","在庫で充足"))</f>
        <v>要 追加生産</v>
      </c>
      <c r="Q34" s="35" t="n">
        <f aca="false">③石川以降予測!W56</f>
        <v>1133</v>
      </c>
      <c r="R34" s="35" t="n">
        <f aca="false">K34+Q34</f>
        <v>1152</v>
      </c>
      <c r="S34" s="34" t="n">
        <f aca="false">R34*D34</f>
        <v>2073600</v>
      </c>
      <c r="T34" s="32" t="str">
        <f aca="false">IF(U34&lt;&gt;"",IF(FALSE(),"S:現場欠品(追納不可)","S:現場欠品"),IF(I34&gt;0,"A:会期中欠品",IF(O34&gt;1000,"B:大口",IF(O34&gt;0,"C:通常","D:不要"))))</f>
        <v>S:現場欠品</v>
      </c>
      <c r="U34" s="66" t="s">
        <v>511</v>
      </c>
      <c r="V34" s="65" t="str">
        <f aca="false">IF(U34&lt;&gt;"",IF(I34&gt;0,"◎ 一致（モデルも会期中欠品を検知）",IF(H34&gt;=0.7,"○ 整合（予測消化率70%超）","△ モデル未検知：現場報告を優先")),IF(I34&gt;0,"▲ モデルのみ検知：現場に在庫状況を確認","—"))</f>
        <v>◎ 一致（モデルも会期中欠品を検知）</v>
      </c>
      <c r="W34" s="66" t="s">
        <v>518</v>
      </c>
    </row>
    <row r="35" customFormat="false" ht="49.25" hidden="false" customHeight="false" outlineLevel="0" collapsed="false">
      <c r="A35" s="32" t="n">
        <v>29</v>
      </c>
      <c r="B35" s="32" t="s">
        <v>332</v>
      </c>
      <c r="C35" s="33" t="s">
        <v>333</v>
      </c>
      <c r="D35" s="34" t="n">
        <v>1500</v>
      </c>
      <c r="E35" s="35" t="n">
        <f aca="false">①札幌予測確定!E35</f>
        <v>67</v>
      </c>
      <c r="F35" s="35" t="n">
        <f aca="false">①札幌予測確定!P35</f>
        <v>93</v>
      </c>
      <c r="G35" s="35" t="n">
        <f aca="false">①札幌予測確定!S35</f>
        <v>100</v>
      </c>
      <c r="H35" s="37" t="n">
        <f aca="false">IFERROR(F35/G35,0)</f>
        <v>0.93</v>
      </c>
      <c r="I35" s="38" t="n">
        <f aca="false">F35-G35</f>
        <v>-7</v>
      </c>
      <c r="J35" s="39" t="str">
        <f aca="false">IF(I35&gt;0,"要 追加発注",IF(H35&gt;=0.9,"要注意(90%超)",IF(H35&gt;=0.5,"適正","在庫余剰")))</f>
        <v>要注意(90%超)</v>
      </c>
      <c r="K35" s="35" t="n">
        <f aca="false">IF(I35&gt;0,ROUNDUP(I35*(1+前提・入力!$B$35),0),0)</f>
        <v>0</v>
      </c>
      <c r="L35" s="35" t="n">
        <f aca="false">③石川以降予測!N57</f>
        <v>563</v>
      </c>
      <c r="M35" s="35" t="n">
        <f aca="false">③石川以降予測!S57</f>
        <v>7</v>
      </c>
      <c r="N35" s="35" t="n">
        <f aca="false">③石川以降予測!Q57</f>
        <v>320</v>
      </c>
      <c r="O35" s="38" t="n">
        <f aca="false">L35-M35-N35</f>
        <v>236</v>
      </c>
      <c r="P35" s="39" t="str">
        <f aca="false">IF(O35&gt;0,"要 追加生産",IF(L35=0,"—","在庫で充足"))</f>
        <v>要 追加生産</v>
      </c>
      <c r="Q35" s="35" t="n">
        <f aca="false">③石川以降予測!W57</f>
        <v>260</v>
      </c>
      <c r="R35" s="35" t="n">
        <f aca="false">K35+Q35</f>
        <v>260</v>
      </c>
      <c r="S35" s="34" t="n">
        <f aca="false">R35*D35</f>
        <v>390000</v>
      </c>
      <c r="T35" s="32" t="str">
        <f aca="false">IF(U35&lt;&gt;"",IF(FALSE(),"S:現場欠品(追納不可)","S:現場欠品"),IF(I35&gt;0,"A:会期中欠品",IF(O35&gt;1000,"B:大口",IF(O35&gt;0,"C:通常","D:不要"))))</f>
        <v>S:現場欠品</v>
      </c>
      <c r="U35" s="66" t="s">
        <v>511</v>
      </c>
      <c r="V35" s="65" t="str">
        <f aca="false">IF(U35&lt;&gt;"",IF(I35&gt;0,"◎ 一致（モデルも会期中欠品を検知）",IF(H35&gt;=0.7,"○ 整合（予測消化率70%超）","△ モデル未検知：現場報告を優先")),IF(I35&gt;0,"▲ モデルのみ検知：現場に在庫状況を確認","—"))</f>
        <v>○ 整合（予測消化率70%超）</v>
      </c>
      <c r="W35" s="66" t="s">
        <v>519</v>
      </c>
    </row>
    <row r="36" customFormat="false" ht="15" hidden="false" customHeight="false" outlineLevel="0" collapsed="false">
      <c r="A36" s="32" t="n">
        <v>30</v>
      </c>
      <c r="B36" s="32" t="s">
        <v>334</v>
      </c>
      <c r="C36" s="33" t="s">
        <v>335</v>
      </c>
      <c r="D36" s="34" t="n">
        <v>3300</v>
      </c>
      <c r="E36" s="35" t="n">
        <f aca="false">①札幌予測確定!E36</f>
        <v>24</v>
      </c>
      <c r="F36" s="35" t="n">
        <f aca="false">①札幌予測確定!P36</f>
        <v>63</v>
      </c>
      <c r="G36" s="35" t="n">
        <f aca="false">①札幌予測確定!S36</f>
        <v>250</v>
      </c>
      <c r="H36" s="37" t="n">
        <f aca="false">IFERROR(F36/G36,0)</f>
        <v>0.252</v>
      </c>
      <c r="I36" s="38" t="n">
        <f aca="false">F36-G36</f>
        <v>-187</v>
      </c>
      <c r="J36" s="39" t="str">
        <f aca="false">IF(I36&gt;0,"要 追加発注",IF(H36&gt;=0.9,"要注意(90%超)",IF(H36&gt;=0.5,"適正","在庫余剰")))</f>
        <v>在庫余剰</v>
      </c>
      <c r="K36" s="35" t="n">
        <f aca="false">IF(I36&gt;0,ROUNDUP(I36*(1+前提・入力!$B$35),0),0)</f>
        <v>0</v>
      </c>
      <c r="L36" s="35" t="n">
        <f aca="false">③石川以降予測!N58</f>
        <v>429</v>
      </c>
      <c r="M36" s="35" t="n">
        <f aca="false">③石川以降予測!S58</f>
        <v>187</v>
      </c>
      <c r="N36" s="35" t="n">
        <f aca="false">③石川以降予測!Q58</f>
        <v>648</v>
      </c>
      <c r="O36" s="38" t="n">
        <f aca="false">L36-M36-N36</f>
        <v>-406</v>
      </c>
      <c r="P36" s="39" t="str">
        <f aca="false">IF(O36&gt;0,"要 追加生産",IF(L36=0,"—","在庫で充足"))</f>
        <v>在庫で充足</v>
      </c>
      <c r="Q36" s="35" t="n">
        <f aca="false">③石川以降予測!W58</f>
        <v>0</v>
      </c>
      <c r="R36" s="35" t="n">
        <f aca="false">K36+Q36</f>
        <v>0</v>
      </c>
      <c r="S36" s="34" t="n">
        <f aca="false">R36*D36</f>
        <v>0</v>
      </c>
      <c r="T36" s="32" t="str">
        <f aca="false">IF(U36&lt;&gt;"",IF(FALSE(),"S:現場欠品(追納不可)","S:現場欠品"),IF(I36&gt;0,"A:会期中欠品",IF(O36&gt;1000,"B:大口",IF(O36&gt;0,"C:通常","D:不要"))))</f>
        <v>D:不要</v>
      </c>
      <c r="U36" s="65"/>
      <c r="V36" s="65" t="str">
        <f aca="false">IF(U36&lt;&gt;"",IF(I36&gt;0,"◎ 一致（モデルも会期中欠品を検知）",IF(H36&gt;=0.7,"○ 整合（予測消化率70%超）","△ モデル未検知：現場報告を優先")),IF(I36&gt;0,"▲ モデルのみ検知：現場に在庫状況を確認","—"))</f>
        <v>—</v>
      </c>
      <c r="W36" s="66" t="s">
        <v>510</v>
      </c>
    </row>
    <row r="37" customFormat="false" ht="15" hidden="false" customHeight="false" outlineLevel="0" collapsed="false">
      <c r="A37" s="32" t="n">
        <v>31</v>
      </c>
      <c r="B37" s="32" t="s">
        <v>336</v>
      </c>
      <c r="C37" s="33" t="s">
        <v>337</v>
      </c>
      <c r="D37" s="34" t="n">
        <v>1300</v>
      </c>
      <c r="E37" s="35" t="n">
        <f aca="false">①札幌予測確定!E37</f>
        <v>46</v>
      </c>
      <c r="F37" s="35" t="n">
        <f aca="false">①札幌予測確定!P37</f>
        <v>89</v>
      </c>
      <c r="G37" s="35" t="n">
        <f aca="false">①札幌予測確定!S37</f>
        <v>200</v>
      </c>
      <c r="H37" s="37" t="n">
        <f aca="false">IFERROR(F37/G37,0)</f>
        <v>0.445</v>
      </c>
      <c r="I37" s="38" t="n">
        <f aca="false">F37-G37</f>
        <v>-111</v>
      </c>
      <c r="J37" s="39" t="str">
        <f aca="false">IF(I37&gt;0,"要 追加発注",IF(H37&gt;=0.9,"要注意(90%超)",IF(H37&gt;=0.5,"適正","在庫余剰")))</f>
        <v>在庫余剰</v>
      </c>
      <c r="K37" s="35" t="n">
        <f aca="false">IF(I37&gt;0,ROUNDUP(I37*(1+前提・入力!$B$35),0),0)</f>
        <v>0</v>
      </c>
      <c r="L37" s="35" t="n">
        <f aca="false">③石川以降予測!N59</f>
        <v>695</v>
      </c>
      <c r="M37" s="35" t="n">
        <f aca="false">③石川以降予測!S59</f>
        <v>111</v>
      </c>
      <c r="N37" s="35" t="n">
        <f aca="false">③石川以降予測!Q59</f>
        <v>726</v>
      </c>
      <c r="O37" s="38" t="n">
        <f aca="false">L37-M37-N37</f>
        <v>-142</v>
      </c>
      <c r="P37" s="39" t="str">
        <f aca="false">IF(O37&gt;0,"要 追加生産",IF(L37=0,"—","在庫で充足"))</f>
        <v>在庫で充足</v>
      </c>
      <c r="Q37" s="35" t="n">
        <f aca="false">③石川以降予測!W59</f>
        <v>0</v>
      </c>
      <c r="R37" s="35" t="n">
        <f aca="false">K37+Q37</f>
        <v>0</v>
      </c>
      <c r="S37" s="34" t="n">
        <f aca="false">R37*D37</f>
        <v>0</v>
      </c>
      <c r="T37" s="32" t="str">
        <f aca="false">IF(U37&lt;&gt;"",IF(FALSE(),"S:現場欠品(追納不可)","S:現場欠品"),IF(I37&gt;0,"A:会期中欠品",IF(O37&gt;1000,"B:大口",IF(O37&gt;0,"C:通常","D:不要"))))</f>
        <v>D:不要</v>
      </c>
      <c r="U37" s="65"/>
      <c r="V37" s="65" t="str">
        <f aca="false">IF(U37&lt;&gt;"",IF(I37&gt;0,"◎ 一致（モデルも会期中欠品を検知）",IF(H37&gt;=0.7,"○ 整合（予測消化率70%超）","△ モデル未検知：現場報告を優先")),IF(I37&gt;0,"▲ モデルのみ検知：現場に在庫状況を確認","—"))</f>
        <v>—</v>
      </c>
      <c r="W37" s="66" t="s">
        <v>510</v>
      </c>
    </row>
    <row r="38" customFormat="false" ht="73.1" hidden="false" customHeight="false" outlineLevel="0" collapsed="false">
      <c r="A38" s="32" t="n">
        <v>32</v>
      </c>
      <c r="B38" s="32" t="s">
        <v>338</v>
      </c>
      <c r="C38" s="33" t="s">
        <v>339</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③石川以降予測!N60</f>
        <v>72</v>
      </c>
      <c r="M38" s="35" t="n">
        <f aca="false">③石川以降予測!S60</f>
        <v>0</v>
      </c>
      <c r="N38" s="35" t="n">
        <f aca="false">③石川以降予測!Q60</f>
        <v>23</v>
      </c>
      <c r="O38" s="38" t="n">
        <f aca="false">L38-M38-N38</f>
        <v>49</v>
      </c>
      <c r="P38" s="39" t="str">
        <f aca="false">IF(O38&gt;0,"要 追加生産",IF(L38=0,"—","在庫で充足"))</f>
        <v>要 追加生産</v>
      </c>
      <c r="Q38" s="35" t="n">
        <f aca="false">③石川以降予測!W60</f>
        <v>54</v>
      </c>
      <c r="R38" s="35" t="n">
        <f aca="false">K38+Q38</f>
        <v>54</v>
      </c>
      <c r="S38" s="34" t="n">
        <f aca="false">R38*D38</f>
        <v>475200</v>
      </c>
      <c r="T38" s="32" t="str">
        <f aca="false">IF(U38&lt;&gt;"",IF(TRUE(),"S:現場欠品(追納不可)","S:現場欠品"),IF(I38&gt;0,"A:会期中欠品",IF(O38&gt;1000,"B:大口",IF(O38&gt;0,"C:通常","D:不要"))))</f>
        <v>S:現場欠品(追納不可)</v>
      </c>
      <c r="U38" s="66" t="s">
        <v>520</v>
      </c>
      <c r="V38" s="65" t="str">
        <f aca="false">IF(U38&lt;&gt;"",IF(I38&gt;0,"◎ 一致（モデルも会期中欠品を検知）",IF(H38&gt;=0.7,"○ 整合（予測消化率70%超）","△ モデル未検知：現場報告を優先")),IF(I38&gt;0,"▲ モデルのみ検知：現場に在庫状況を確認","—"))</f>
        <v>○ 整合（予測消化率70%超）</v>
      </c>
      <c r="W38" s="66" t="s">
        <v>521</v>
      </c>
    </row>
    <row r="39" customFormat="false" ht="15" hidden="false" customHeight="false" outlineLevel="0" collapsed="false">
      <c r="A39" s="32" t="n">
        <v>33</v>
      </c>
      <c r="B39" s="32" t="s">
        <v>340</v>
      </c>
      <c r="C39" s="33" t="s">
        <v>341</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③石川以降予測!N61</f>
        <v>14</v>
      </c>
      <c r="M39" s="35" t="n">
        <f aca="false">③石川以降予測!S61</f>
        <v>15</v>
      </c>
      <c r="N39" s="35" t="n">
        <f aca="false">③石川以降予測!Q61</f>
        <v>91</v>
      </c>
      <c r="O39" s="38" t="n">
        <f aca="false">L39-M39-N39</f>
        <v>-92</v>
      </c>
      <c r="P39" s="39" t="str">
        <f aca="false">IF(O39&gt;0,"要 追加生産",IF(L39=0,"—","在庫で充足"))</f>
        <v>在庫で充足</v>
      </c>
      <c r="Q39" s="35" t="n">
        <f aca="false">③石川以降予測!W61</f>
        <v>0</v>
      </c>
      <c r="R39" s="35" t="n">
        <f aca="false">K39+Q39</f>
        <v>0</v>
      </c>
      <c r="S39" s="34" t="n">
        <f aca="false">R39*D39</f>
        <v>0</v>
      </c>
      <c r="T39" s="32" t="str">
        <f aca="false">IF(U39&lt;&gt;"",IF(FALSE(),"S:現場欠品(追納不可)","S:現場欠品"),IF(I39&gt;0,"A:会期中欠品",IF(O39&gt;1000,"B:大口",IF(O39&gt;0,"C:通常","D:不要"))))</f>
        <v>D:不要</v>
      </c>
      <c r="U39" s="65"/>
      <c r="V39" s="65" t="str">
        <f aca="false">IF(U39&lt;&gt;"",IF(I39&gt;0,"◎ 一致（モデルも会期中欠品を検知）",IF(H39&gt;=0.7,"○ 整合（予測消化率70%超）","△ モデル未検知：現場報告を優先")),IF(I39&gt;0,"▲ モデルのみ検知：現場に在庫状況を確認","—"))</f>
        <v>—</v>
      </c>
      <c r="W39" s="66" t="s">
        <v>522</v>
      </c>
    </row>
    <row r="40" customFormat="false" ht="37.3" hidden="false" customHeight="false" outlineLevel="0" collapsed="false">
      <c r="A40" s="32" t="n">
        <v>34</v>
      </c>
      <c r="B40" s="32" t="s">
        <v>342</v>
      </c>
      <c r="C40" s="33" t="s">
        <v>343</v>
      </c>
      <c r="D40" s="34" t="n">
        <v>27500</v>
      </c>
      <c r="E40" s="35" t="n">
        <f aca="false">①札幌予測確定!E40</f>
        <v>1</v>
      </c>
      <c r="F40" s="35" t="n">
        <f aca="false">①札幌予測確定!P40</f>
        <v>1</v>
      </c>
      <c r="G40" s="35" t="n">
        <f aca="false">①札幌予測確定!S40</f>
        <v>2</v>
      </c>
      <c r="H40" s="37" t="n">
        <f aca="false">IFERROR(F40/G40,0)</f>
        <v>0.5</v>
      </c>
      <c r="I40" s="38" t="n">
        <f aca="false">F40-G40</f>
        <v>-1</v>
      </c>
      <c r="J40" s="39" t="str">
        <f aca="false">IF(I40&gt;0,"要 追加発注",IF(H40&gt;=0.9,"要注意(90%超)",IF(H40&gt;=0.5,"適正","在庫余剰")))</f>
        <v>適正</v>
      </c>
      <c r="K40" s="35" t="n">
        <f aca="false">IF(I40&gt;0,ROUNDUP(I40*(1+前提・入力!$B$35),0),0)</f>
        <v>0</v>
      </c>
      <c r="L40" s="35" t="n">
        <f aca="false">③石川以降予測!N62</f>
        <v>7</v>
      </c>
      <c r="M40" s="35" t="n">
        <f aca="false">③石川以降予測!S62</f>
        <v>1</v>
      </c>
      <c r="N40" s="35" t="n">
        <f aca="false">③石川以降予測!Q62</f>
        <v>2</v>
      </c>
      <c r="O40" s="38" t="n">
        <f aca="false">L40-M40-N40</f>
        <v>4</v>
      </c>
      <c r="P40" s="39" t="str">
        <f aca="false">IF(O40&gt;0,"要 追加生産",IF(L40=0,"—","在庫で充足"))</f>
        <v>要 追加生産</v>
      </c>
      <c r="Q40" s="35" t="n">
        <f aca="false">③石川以降予測!W62</f>
        <v>5</v>
      </c>
      <c r="R40" s="35" t="n">
        <f aca="false">K40+Q40</f>
        <v>5</v>
      </c>
      <c r="S40" s="34" t="n">
        <f aca="false">R40*D40</f>
        <v>137500</v>
      </c>
      <c r="T40" s="32" t="str">
        <f aca="false">IF(U40&lt;&gt;"",IF(FALSE(),"S:現場欠品(追納不可)","S:現場欠品"),IF(I40&gt;0,"A:会期中欠品",IF(O40&gt;1000,"B:大口",IF(O40&gt;0,"C:通常","D:不要"))))</f>
        <v>C:通常</v>
      </c>
      <c r="U40" s="65"/>
      <c r="V40" s="65" t="str">
        <f aca="false">IF(U40&lt;&gt;"",IF(I40&gt;0,"◎ 一致（モデルも会期中欠品を検知）",IF(H40&gt;=0.7,"○ 整合（予測消化率70%超）","△ モデル未検知：現場報告を優先")),IF(I40&gt;0,"▲ モデルのみ検知：現場に在庫状況を確認","—"))</f>
        <v>—</v>
      </c>
      <c r="W40" s="66" t="s">
        <v>523</v>
      </c>
    </row>
    <row r="41" customFormat="false" ht="49.25" hidden="false" customHeight="false" outlineLevel="0" collapsed="false">
      <c r="A41" s="32" t="n">
        <v>35</v>
      </c>
      <c r="B41" s="32" t="s">
        <v>344</v>
      </c>
      <c r="C41" s="33" t="s">
        <v>345</v>
      </c>
      <c r="D41" s="34" t="n">
        <v>27500</v>
      </c>
      <c r="E41" s="35" t="n">
        <f aca="false">①札幌予測確定!E41</f>
        <v>0</v>
      </c>
      <c r="F41" s="35" t="n">
        <f aca="false">①札幌予測確定!P41</f>
        <v>0</v>
      </c>
      <c r="G41" s="35" t="n">
        <f aca="false">①札幌予測確定!S41</f>
        <v>2</v>
      </c>
      <c r="H41" s="37" t="n">
        <f aca="false">IFERROR(F41/G41,0)</f>
        <v>0</v>
      </c>
      <c r="I41" s="38" t="n">
        <f aca="false">F41-G41</f>
        <v>-2</v>
      </c>
      <c r="J41" s="39" t="str">
        <f aca="false">IF(I41&gt;0,"要 追加発注",IF(H41&gt;=0.9,"要注意(90%超)",IF(H41&gt;=0.5,"適正","在庫余剰")))</f>
        <v>在庫余剰</v>
      </c>
      <c r="K41" s="35" t="n">
        <f aca="false">IF(I41&gt;0,ROUNDUP(I41*(1+前提・入力!$B$35),0),0)</f>
        <v>0</v>
      </c>
      <c r="L41" s="35" t="n">
        <f aca="false">③石川以降予測!N63</f>
        <v>1</v>
      </c>
      <c r="M41" s="35" t="n">
        <f aca="false">③石川以降予測!S63</f>
        <v>2</v>
      </c>
      <c r="N41" s="35" t="n">
        <f aca="false">③石川以降予測!Q63</f>
        <v>2</v>
      </c>
      <c r="O41" s="38" t="n">
        <f aca="false">L41-M41-N41</f>
        <v>-3</v>
      </c>
      <c r="P41" s="39" t="str">
        <f aca="false">IF(O41&gt;0,"要 追加生産",IF(L41=0,"—","在庫で充足"))</f>
        <v>在庫で充足</v>
      </c>
      <c r="Q41" s="35" t="n">
        <f aca="false">③石川以降予測!W63</f>
        <v>0</v>
      </c>
      <c r="R41" s="35" t="n">
        <f aca="false">K41+Q41</f>
        <v>0</v>
      </c>
      <c r="S41" s="34" t="n">
        <f aca="false">R41*D41</f>
        <v>0</v>
      </c>
      <c r="T41" s="32" t="str">
        <f aca="false">IF(U41&lt;&gt;"",IF(FALSE(),"S:現場欠品(追納不可)","S:現場欠品"),IF(I41&gt;0,"A:会期中欠品",IF(O41&gt;1000,"B:大口",IF(O41&gt;0,"C:通常","D:不要"))))</f>
        <v>D:不要</v>
      </c>
      <c r="U41" s="65"/>
      <c r="V41" s="65" t="str">
        <f aca="false">IF(U41&lt;&gt;"",IF(I41&gt;0,"◎ 一致（モデルも会期中欠品を検知）",IF(H41&gt;=0.7,"○ 整合（予測消化率70%超）","△ モデル未検知：現場報告を優先")),IF(I41&gt;0,"▲ モデルのみ検知：現場に在庫状況を確認","—"))</f>
        <v>—</v>
      </c>
      <c r="W41" s="66" t="s">
        <v>524</v>
      </c>
    </row>
    <row r="42" customFormat="false" ht="49.25" hidden="false" customHeight="false" outlineLevel="0" collapsed="false">
      <c r="A42" s="32" t="n">
        <v>36</v>
      </c>
      <c r="B42" s="32" t="s">
        <v>346</v>
      </c>
      <c r="C42" s="33" t="s">
        <v>347</v>
      </c>
      <c r="D42" s="34" t="n">
        <v>27500</v>
      </c>
      <c r="E42" s="35" t="n">
        <f aca="false">①札幌予測確定!E42</f>
        <v>0</v>
      </c>
      <c r="F42" s="35" t="n">
        <f aca="false">①札幌予測確定!P42</f>
        <v>0</v>
      </c>
      <c r="G42" s="35" t="n">
        <f aca="false">①札幌予測確定!S42</f>
        <v>2</v>
      </c>
      <c r="H42" s="37" t="n">
        <f aca="false">IFERROR(F42/G42,0)</f>
        <v>0</v>
      </c>
      <c r="I42" s="38" t="n">
        <f aca="false">F42-G42</f>
        <v>-2</v>
      </c>
      <c r="J42" s="39" t="str">
        <f aca="false">IF(I42&gt;0,"要 追加発注",IF(H42&gt;=0.9,"要注意(90%超)",IF(H42&gt;=0.5,"適正","在庫余剰")))</f>
        <v>在庫余剰</v>
      </c>
      <c r="K42" s="35" t="n">
        <f aca="false">IF(I42&gt;0,ROUNDUP(I42*(1+前提・入力!$B$35),0),0)</f>
        <v>0</v>
      </c>
      <c r="L42" s="35" t="n">
        <f aca="false">③石川以降予測!N64</f>
        <v>1</v>
      </c>
      <c r="M42" s="35" t="n">
        <f aca="false">③石川以降予測!S64</f>
        <v>2</v>
      </c>
      <c r="N42" s="35" t="n">
        <f aca="false">③石川以降予測!Q64</f>
        <v>2</v>
      </c>
      <c r="O42" s="38" t="n">
        <f aca="false">L42-M42-N42</f>
        <v>-3</v>
      </c>
      <c r="P42" s="39" t="str">
        <f aca="false">IF(O42&gt;0,"要 追加生産",IF(L42=0,"—","在庫で充足"))</f>
        <v>在庫で充足</v>
      </c>
      <c r="Q42" s="35" t="n">
        <f aca="false">③石川以降予測!W64</f>
        <v>0</v>
      </c>
      <c r="R42" s="35" t="n">
        <f aca="false">K42+Q42</f>
        <v>0</v>
      </c>
      <c r="S42" s="34" t="n">
        <f aca="false">R42*D42</f>
        <v>0</v>
      </c>
      <c r="T42" s="32" t="str">
        <f aca="false">IF(U42&lt;&gt;"",IF(FALSE(),"S:現場欠品(追納不可)","S:現場欠品"),IF(I42&gt;0,"A:会期中欠品",IF(O42&gt;1000,"B:大口",IF(O42&gt;0,"C:通常","D:不要"))))</f>
        <v>D:不要</v>
      </c>
      <c r="U42" s="65"/>
      <c r="V42" s="65" t="str">
        <f aca="false">IF(U42&lt;&gt;"",IF(I42&gt;0,"◎ 一致（モデルも会期中欠品を検知）",IF(H42&gt;=0.7,"○ 整合（予測消化率70%超）","△ モデル未検知：現場報告を優先")),IF(I42&gt;0,"▲ モデルのみ検知：現場に在庫状況を確認","—"))</f>
        <v>—</v>
      </c>
      <c r="W42" s="66" t="s">
        <v>524</v>
      </c>
    </row>
    <row r="43" customFormat="false" ht="25.35" hidden="false" customHeight="false" outlineLevel="0" collapsed="false">
      <c r="A43" s="32" t="n">
        <v>37</v>
      </c>
      <c r="B43" s="32" t="s">
        <v>348</v>
      </c>
      <c r="C43" s="33" t="s">
        <v>349</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③石川以降予測!N65</f>
        <v>17</v>
      </c>
      <c r="M43" s="35" t="n">
        <f aca="false">③石川以降予測!S65</f>
        <v>8</v>
      </c>
      <c r="N43" s="35" t="n">
        <f aca="false">③石川以降予測!Q65</f>
        <v>35</v>
      </c>
      <c r="O43" s="38" t="n">
        <f aca="false">L43-M43-N43</f>
        <v>-26</v>
      </c>
      <c r="P43" s="39" t="str">
        <f aca="false">IF(O43&gt;0,"要 追加生産",IF(L43=0,"—","在庫で充足"))</f>
        <v>在庫で充足</v>
      </c>
      <c r="Q43" s="35" t="n">
        <f aca="false">③石川以降予測!W65</f>
        <v>0</v>
      </c>
      <c r="R43" s="35" t="n">
        <f aca="false">K43+Q43</f>
        <v>0</v>
      </c>
      <c r="S43" s="34" t="n">
        <f aca="false">R43*D43</f>
        <v>0</v>
      </c>
      <c r="T43" s="32" t="str">
        <f aca="false">IF(U43&lt;&gt;"",IF(FALSE(),"S:現場欠品(追納不可)","S:現場欠品"),IF(I43&gt;0,"A:会期中欠品",IF(O43&gt;1000,"B:大口",IF(O43&gt;0,"C:通常","D:不要"))))</f>
        <v>D:不要</v>
      </c>
      <c r="U43" s="65"/>
      <c r="V43" s="65" t="str">
        <f aca="false">IF(U43&lt;&gt;"",IF(I43&gt;0,"◎ 一致（モデルも会期中欠品を検知）",IF(H43&gt;=0.7,"○ 整合（予測消化率70%超）","△ モデル未検知：現場報告を優先")),IF(I43&gt;0,"▲ モデルのみ検知：現場に在庫状況を確認","—"))</f>
        <v>—</v>
      </c>
      <c r="W43" s="66" t="s">
        <v>525</v>
      </c>
    </row>
    <row r="44" customFormat="false" ht="37.3" hidden="false" customHeight="false" outlineLevel="0" collapsed="false">
      <c r="A44" s="32" t="n">
        <v>38</v>
      </c>
      <c r="B44" s="32" t="s">
        <v>350</v>
      </c>
      <c r="C44" s="33" t="s">
        <v>351</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③石川以降予測!N66</f>
        <v>11</v>
      </c>
      <c r="M44" s="35" t="n">
        <f aca="false">③石川以降予測!S66</f>
        <v>0</v>
      </c>
      <c r="N44" s="35" t="n">
        <f aca="false">③石川以降予測!Q66</f>
        <v>2</v>
      </c>
      <c r="O44" s="38" t="n">
        <f aca="false">L44-M44-N44</f>
        <v>9</v>
      </c>
      <c r="P44" s="39" t="str">
        <f aca="false">IF(O44&gt;0,"要 追加生産",IF(L44=0,"—","在庫で充足"))</f>
        <v>要 追加生産</v>
      </c>
      <c r="Q44" s="35" t="n">
        <f aca="false">③石川以降予測!W66</f>
        <v>10</v>
      </c>
      <c r="R44" s="35" t="n">
        <f aca="false">K44+Q44</f>
        <v>10</v>
      </c>
      <c r="S44" s="34" t="n">
        <f aca="false">R44*D44</f>
        <v>275000</v>
      </c>
      <c r="T44" s="32" t="str">
        <f aca="false">IF(U44&lt;&gt;"",IF(FALSE(),"S:現場欠品(追納不可)","S:現場欠品"),IF(I44&gt;0,"A:会期中欠品",IF(O44&gt;1000,"B:大口",IF(O44&gt;0,"C:通常","D:不要"))))</f>
        <v>C:通常</v>
      </c>
      <c r="U44" s="65"/>
      <c r="V44" s="65" t="str">
        <f aca="false">IF(U44&lt;&gt;"",IF(I44&gt;0,"◎ 一致（モデルも会期中欠品を検知）",IF(H44&gt;=0.7,"○ 整合（予測消化率70%超）","△ モデル未検知：現場報告を優先")),IF(I44&gt;0,"▲ モデルのみ検知：現場に在庫状況を確認","—"))</f>
        <v>—</v>
      </c>
      <c r="W44" s="66" t="s">
        <v>523</v>
      </c>
    </row>
    <row r="45" customFormat="false" ht="37.3" hidden="false" customHeight="false" outlineLevel="0" collapsed="false">
      <c r="A45" s="32" t="n">
        <v>39</v>
      </c>
      <c r="B45" s="32" t="s">
        <v>352</v>
      </c>
      <c r="C45" s="33" t="s">
        <v>353</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③石川以降予測!N67</f>
        <v>7</v>
      </c>
      <c r="M45" s="35" t="n">
        <f aca="false">③石川以降予測!S67</f>
        <v>1</v>
      </c>
      <c r="N45" s="35" t="n">
        <f aca="false">③石川以降予測!Q67</f>
        <v>3</v>
      </c>
      <c r="O45" s="38" t="n">
        <f aca="false">L45-M45-N45</f>
        <v>3</v>
      </c>
      <c r="P45" s="39" t="str">
        <f aca="false">IF(O45&gt;0,"要 追加生産",IF(L45=0,"—","在庫で充足"))</f>
        <v>要 追加生産</v>
      </c>
      <c r="Q45" s="35" t="n">
        <f aca="false">③石川以降予測!W67</f>
        <v>4</v>
      </c>
      <c r="R45" s="35" t="n">
        <f aca="false">K45+Q45</f>
        <v>4</v>
      </c>
      <c r="S45" s="34" t="n">
        <f aca="false">R45*D45</f>
        <v>110000</v>
      </c>
      <c r="T45" s="32" t="str">
        <f aca="false">IF(U45&lt;&gt;"",IF(FALSE(),"S:現場欠品(追納不可)","S:現場欠品"),IF(I45&gt;0,"A:会期中欠品",IF(O45&gt;1000,"B:大口",IF(O45&gt;0,"C:通常","D:不要"))))</f>
        <v>C:通常</v>
      </c>
      <c r="U45" s="65"/>
      <c r="V45" s="65" t="str">
        <f aca="false">IF(U45&lt;&gt;"",IF(I45&gt;0,"◎ 一致（モデルも会期中欠品を検知）",IF(H45&gt;=0.7,"○ 整合（予測消化率70%超）","△ モデル未検知：現場報告を優先")),IF(I45&gt;0,"▲ モデルのみ検知：現場に在庫状況を確認","—"))</f>
        <v>—</v>
      </c>
      <c r="W45" s="66" t="s">
        <v>523</v>
      </c>
    </row>
    <row r="46" customFormat="false" ht="49.25" hidden="false" customHeight="false" outlineLevel="0" collapsed="false">
      <c r="A46" s="32" t="n">
        <v>40</v>
      </c>
      <c r="B46" s="32" t="s">
        <v>354</v>
      </c>
      <c r="C46" s="33" t="s">
        <v>355</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③石川以降予測!N68</f>
        <v>1</v>
      </c>
      <c r="M46" s="35" t="n">
        <f aca="false">③石川以降予測!S68</f>
        <v>2</v>
      </c>
      <c r="N46" s="35" t="n">
        <f aca="false">③石川以降予測!Q68</f>
        <v>2</v>
      </c>
      <c r="O46" s="38" t="n">
        <f aca="false">L46-M46-N46</f>
        <v>-3</v>
      </c>
      <c r="P46" s="39" t="str">
        <f aca="false">IF(O46&gt;0,"要 追加生産",IF(L46=0,"—","在庫で充足"))</f>
        <v>在庫で充足</v>
      </c>
      <c r="Q46" s="35" t="n">
        <f aca="false">③石川以降予測!W68</f>
        <v>0</v>
      </c>
      <c r="R46" s="35" t="n">
        <f aca="false">K46+Q46</f>
        <v>0</v>
      </c>
      <c r="S46" s="34" t="n">
        <f aca="false">R46*D46</f>
        <v>0</v>
      </c>
      <c r="T46" s="32" t="str">
        <f aca="false">IF(U46&lt;&gt;"",IF(FALSE(),"S:現場欠品(追納不可)","S:現場欠品"),IF(I46&gt;0,"A:会期中欠品",IF(O46&gt;1000,"B:大口",IF(O46&gt;0,"C:通常","D:不要"))))</f>
        <v>D:不要</v>
      </c>
      <c r="U46" s="65"/>
      <c r="V46" s="65" t="str">
        <f aca="false">IF(U46&lt;&gt;"",IF(I46&gt;0,"◎ 一致（モデルも会期中欠品を検知）",IF(H46&gt;=0.7,"○ 整合（予測消化率70%超）","△ モデル未検知：現場報告を優先")),IF(I46&gt;0,"▲ モデルのみ検知：現場に在庫状況を確認","—"))</f>
        <v>—</v>
      </c>
      <c r="W46" s="66" t="s">
        <v>524</v>
      </c>
    </row>
    <row r="47" customFormat="false" ht="25.35" hidden="false" customHeight="false" outlineLevel="0" collapsed="false">
      <c r="A47" s="32" t="n">
        <v>41</v>
      </c>
      <c r="B47" s="32" t="s">
        <v>356</v>
      </c>
      <c r="C47" s="33" t="s">
        <v>357</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③石川以降予測!N69</f>
        <v>1</v>
      </c>
      <c r="M47" s="35" t="n">
        <f aca="false">③石川以降予測!S69</f>
        <v>4</v>
      </c>
      <c r="N47" s="35" t="n">
        <f aca="false">③石川以降予測!Q69</f>
        <v>70</v>
      </c>
      <c r="O47" s="38" t="n">
        <f aca="false">L47-M47-N47</f>
        <v>-73</v>
      </c>
      <c r="P47" s="39" t="str">
        <f aca="false">IF(O47&gt;0,"要 追加生産",IF(L47=0,"—","在庫で充足"))</f>
        <v>在庫で充足</v>
      </c>
      <c r="Q47" s="35" t="n">
        <f aca="false">③石川以降予測!W69</f>
        <v>0</v>
      </c>
      <c r="R47" s="35" t="n">
        <f aca="false">K47+Q47</f>
        <v>0</v>
      </c>
      <c r="S47" s="34" t="n">
        <f aca="false">R47*D47</f>
        <v>0</v>
      </c>
      <c r="T47" s="32" t="str">
        <f aca="false">IF(U47&lt;&gt;"",IF(FALSE(),"S:現場欠品(追納不可)","S:現場欠品"),IF(I47&gt;0,"A:会期中欠品",IF(O47&gt;1000,"B:大口",IF(O47&gt;0,"C:通常","D:不要"))))</f>
        <v>D:不要</v>
      </c>
      <c r="U47" s="65"/>
      <c r="V47" s="65" t="str">
        <f aca="false">IF(U47&lt;&gt;"",IF(I47&gt;0,"◎ 一致（モデルも会期中欠品を検知）",IF(H47&gt;=0.7,"○ 整合（予測消化率70%超）","△ モデル未検知：現場報告を優先")),IF(I47&gt;0,"▲ モデルのみ検知：現場に在庫状況を確認","—"))</f>
        <v>—</v>
      </c>
      <c r="W47" s="66" t="s">
        <v>526</v>
      </c>
    </row>
    <row r="48" customFormat="false" ht="15" hidden="false" customHeight="false" outlineLevel="0" collapsed="false">
      <c r="A48" s="32" t="n">
        <v>42</v>
      </c>
      <c r="B48" s="32" t="s">
        <v>358</v>
      </c>
      <c r="C48" s="33" t="s">
        <v>359</v>
      </c>
      <c r="D48" s="34" t="n">
        <v>25000</v>
      </c>
      <c r="E48" s="35" t="n">
        <f aca="false">①札幌予測確定!E48</f>
        <v>1</v>
      </c>
      <c r="F48" s="35" t="n">
        <f aca="false">①札幌予測確定!P48</f>
        <v>3</v>
      </c>
      <c r="G48" s="35" t="n">
        <f aca="false">①札幌予測確定!S48</f>
        <v>6</v>
      </c>
      <c r="H48" s="37" t="n">
        <f aca="false">IFERROR(F48/G48,0)</f>
        <v>0.5</v>
      </c>
      <c r="I48" s="38" t="n">
        <f aca="false">F48-G48</f>
        <v>-3</v>
      </c>
      <c r="J48" s="39" t="str">
        <f aca="false">IF(I48&gt;0,"要 追加発注",IF(H48&gt;=0.9,"要注意(90%超)",IF(H48&gt;=0.5,"適正","在庫余剰")))</f>
        <v>適正</v>
      </c>
      <c r="K48" s="35" t="n">
        <f aca="false">IF(I48&gt;0,ROUNDUP(I48*(1+前提・入力!$B$35),0),0)</f>
        <v>0</v>
      </c>
      <c r="L48" s="35" t="n">
        <f aca="false">③石川以降予測!N70</f>
        <v>19</v>
      </c>
      <c r="M48" s="35" t="n">
        <f aca="false">③石川以降予測!S70</f>
        <v>3</v>
      </c>
      <c r="N48" s="35" t="n">
        <f aca="false">③石川以降予測!Q70</f>
        <v>43</v>
      </c>
      <c r="O48" s="38" t="n">
        <f aca="false">L48-M48-N48</f>
        <v>-27</v>
      </c>
      <c r="P48" s="39" t="str">
        <f aca="false">IF(O48&gt;0,"要 追加生産",IF(L48=0,"—","在庫で充足"))</f>
        <v>在庫で充足</v>
      </c>
      <c r="Q48" s="35" t="n">
        <f aca="false">③石川以降予測!W70</f>
        <v>0</v>
      </c>
      <c r="R48" s="35" t="n">
        <f aca="false">K48+Q48</f>
        <v>0</v>
      </c>
      <c r="S48" s="34" t="n">
        <f aca="false">R48*D48</f>
        <v>0</v>
      </c>
      <c r="T48" s="32" t="str">
        <f aca="false">IF(U48&lt;&gt;"",IF(FALSE(),"S:現場欠品(追納不可)","S:現場欠品"),IF(I48&gt;0,"A:会期中欠品",IF(O48&gt;1000,"B:大口",IF(O48&gt;0,"C:通常","D:不要"))))</f>
        <v>D:不要</v>
      </c>
      <c r="U48" s="65"/>
      <c r="V48" s="65" t="str">
        <f aca="false">IF(U48&lt;&gt;"",IF(I48&gt;0,"◎ 一致（モデルも会期中欠品を検知）",IF(H48&gt;=0.7,"○ 整合（予測消化率70%超）","△ モデル未検知：現場報告を優先")),IF(I48&gt;0,"▲ モデルのみ検知：現場に在庫状況を確認","—"))</f>
        <v>—</v>
      </c>
      <c r="W48" s="66" t="s">
        <v>527</v>
      </c>
    </row>
    <row r="49" customFormat="false" ht="15" hidden="false" customHeight="false" outlineLevel="0" collapsed="false">
      <c r="A49" s="40"/>
      <c r="B49" s="40"/>
      <c r="C49" s="41" t="s">
        <v>360</v>
      </c>
      <c r="D49" s="40"/>
      <c r="E49" s="42" t="n">
        <f aca="false">SUM(E7:E48)</f>
        <v>4492</v>
      </c>
      <c r="F49" s="42" t="n">
        <f aca="false">SUM(F7:F48)</f>
        <v>9004</v>
      </c>
      <c r="G49" s="42" t="n">
        <f aca="false">SUM(G7:G48)</f>
        <v>50196</v>
      </c>
      <c r="H49" s="45" t="n">
        <f aca="false">IFERROR(F49/G49,0)</f>
        <v>0.179376842776317</v>
      </c>
      <c r="I49" s="42" t="n">
        <f aca="false">SUM(I7:I48)</f>
        <v>-41192</v>
      </c>
      <c r="J49" s="40" t="str">
        <f aca="false">COUNTIF(J7:J48,"要 追加発注")&amp;"品目"</f>
        <v>5品目</v>
      </c>
      <c r="K49" s="42" t="n">
        <f aca="false">SUM(K7:K48)</f>
        <v>146</v>
      </c>
      <c r="L49" s="42" t="n">
        <f aca="false">SUM(L7:L48)</f>
        <v>83821</v>
      </c>
      <c r="M49" s="42" t="n">
        <f aca="false">SUM(M7:M48)</f>
        <v>41322</v>
      </c>
      <c r="N49" s="42" t="n">
        <f aca="false">SUM(N7:N48)</f>
        <v>224492</v>
      </c>
      <c r="O49" s="42" t="n">
        <f aca="false">SUM(O7:O48)</f>
        <v>-181993</v>
      </c>
      <c r="P49" s="40" t="str">
        <f aca="false">COUNTIF(P7:P48,"要 追加生産")&amp;"品目"</f>
        <v>9品目</v>
      </c>
      <c r="Q49" s="42" t="n">
        <f aca="false">SUM(Q7:Q48)</f>
        <v>3913</v>
      </c>
      <c r="R49" s="42" t="n">
        <f aca="false">SUM(R7:R48)</f>
        <v>4059</v>
      </c>
      <c r="S49" s="44" t="n">
        <f aca="false">SUM(S7:S48)</f>
        <v>6756700</v>
      </c>
      <c r="T49" s="40"/>
      <c r="U49" s="40" t="str">
        <f aca="false">COUNTIF(U7:U48,"&lt;&gt;")&amp;"品目 報告あり"</f>
        <v>8品目 報告あり</v>
      </c>
      <c r="V49" s="40"/>
      <c r="W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528</v>
      </c>
    </row>
    <row r="2" customFormat="false" ht="15" hidden="false" customHeight="false" outlineLevel="0" collapsed="false">
      <c r="A2" s="3" t="s">
        <v>529</v>
      </c>
    </row>
    <row r="3" customFormat="false" ht="15" hidden="false" customHeight="false" outlineLevel="0" collapsed="false">
      <c r="A3" s="3" t="s">
        <v>530</v>
      </c>
    </row>
    <row r="5" customFormat="false" ht="19.5" hidden="false" customHeight="true" outlineLevel="0" collapsed="false">
      <c r="A5" s="67" t="s">
        <v>531</v>
      </c>
      <c r="B5" s="67"/>
      <c r="C5" s="67"/>
      <c r="D5" s="67"/>
      <c r="E5" s="68" t="s">
        <v>532</v>
      </c>
      <c r="F5" s="68"/>
      <c r="G5" s="68"/>
      <c r="H5" s="68"/>
      <c r="I5" s="68"/>
      <c r="J5" s="68"/>
      <c r="K5" s="68"/>
      <c r="L5" s="69" t="s">
        <v>533</v>
      </c>
      <c r="M5" s="69"/>
      <c r="N5" s="69"/>
      <c r="O5" s="69"/>
      <c r="P5" s="69"/>
      <c r="Q5" s="69"/>
      <c r="R5" s="69"/>
      <c r="S5" s="70" t="s">
        <v>534</v>
      </c>
      <c r="T5" s="70"/>
      <c r="U5" s="70"/>
      <c r="V5" s="70"/>
      <c r="W5" s="70"/>
      <c r="X5" s="70"/>
      <c r="Y5" s="70"/>
      <c r="Z5" s="71" t="s">
        <v>535</v>
      </c>
      <c r="AA5" s="71"/>
      <c r="AB5" s="71"/>
      <c r="AC5" s="71"/>
      <c r="AD5" s="71"/>
      <c r="AE5" s="71"/>
      <c r="AF5" s="71"/>
      <c r="AG5" s="72" t="s">
        <v>536</v>
      </c>
      <c r="AH5" s="72"/>
      <c r="AI5" s="72"/>
      <c r="AJ5" s="72"/>
      <c r="AK5" s="72"/>
      <c r="AL5" s="72"/>
      <c r="AM5" s="72"/>
      <c r="AN5" s="72" t="s">
        <v>537</v>
      </c>
      <c r="AO5" s="72"/>
      <c r="AP5" s="72"/>
      <c r="AQ5" s="72"/>
      <c r="AR5" s="72"/>
      <c r="AS5" s="73" t="s">
        <v>538</v>
      </c>
      <c r="AT5" s="73"/>
      <c r="AU5" s="73"/>
      <c r="AV5" s="73"/>
      <c r="AW5" s="74" t="s">
        <v>539</v>
      </c>
      <c r="AX5" s="74"/>
      <c r="AY5" s="74"/>
      <c r="AZ5" s="74"/>
    </row>
    <row r="6" customFormat="false" ht="33.75" hidden="false" customHeight="true" outlineLevel="0" collapsed="false">
      <c r="A6" s="25" t="s">
        <v>253</v>
      </c>
      <c r="B6" s="25" t="s">
        <v>254</v>
      </c>
      <c r="C6" s="26" t="s">
        <v>255</v>
      </c>
      <c r="D6" s="26" t="s">
        <v>540</v>
      </c>
      <c r="E6" s="47" t="s">
        <v>256</v>
      </c>
      <c r="F6" s="47" t="s">
        <v>541</v>
      </c>
      <c r="G6" s="47" t="s">
        <v>542</v>
      </c>
      <c r="H6" s="47" t="s">
        <v>543</v>
      </c>
      <c r="I6" s="47" t="s">
        <v>544</v>
      </c>
      <c r="J6" s="47" t="s">
        <v>545</v>
      </c>
      <c r="K6" s="47" t="s">
        <v>546</v>
      </c>
      <c r="L6" s="28" t="s">
        <v>256</v>
      </c>
      <c r="M6" s="28" t="s">
        <v>541</v>
      </c>
      <c r="N6" s="28" t="s">
        <v>542</v>
      </c>
      <c r="O6" s="28" t="s">
        <v>543</v>
      </c>
      <c r="P6" s="28" t="s">
        <v>544</v>
      </c>
      <c r="Q6" s="28" t="s">
        <v>545</v>
      </c>
      <c r="R6" s="28" t="s">
        <v>546</v>
      </c>
      <c r="S6" s="29" t="s">
        <v>256</v>
      </c>
      <c r="T6" s="29" t="s">
        <v>541</v>
      </c>
      <c r="U6" s="29" t="s">
        <v>542</v>
      </c>
      <c r="V6" s="29" t="s">
        <v>543</v>
      </c>
      <c r="W6" s="29" t="s">
        <v>544</v>
      </c>
      <c r="X6" s="29" t="s">
        <v>545</v>
      </c>
      <c r="Y6" s="29" t="s">
        <v>546</v>
      </c>
      <c r="Z6" s="30" t="s">
        <v>256</v>
      </c>
      <c r="AA6" s="30" t="s">
        <v>541</v>
      </c>
      <c r="AB6" s="30" t="s">
        <v>542</v>
      </c>
      <c r="AC6" s="30" t="s">
        <v>543</v>
      </c>
      <c r="AD6" s="30" t="s">
        <v>544</v>
      </c>
      <c r="AE6" s="30" t="s">
        <v>545</v>
      </c>
      <c r="AF6" s="30" t="s">
        <v>546</v>
      </c>
      <c r="AG6" s="27" t="s">
        <v>256</v>
      </c>
      <c r="AH6" s="27" t="s">
        <v>541</v>
      </c>
      <c r="AI6" s="27" t="s">
        <v>542</v>
      </c>
      <c r="AJ6" s="27" t="s">
        <v>543</v>
      </c>
      <c r="AK6" s="27" t="s">
        <v>544</v>
      </c>
      <c r="AL6" s="27" t="s">
        <v>545</v>
      </c>
      <c r="AM6" s="27" t="s">
        <v>546</v>
      </c>
      <c r="AN6" s="27" t="s">
        <v>267</v>
      </c>
      <c r="AO6" s="27" t="s">
        <v>547</v>
      </c>
      <c r="AP6" s="27" t="s">
        <v>548</v>
      </c>
      <c r="AQ6" s="27" t="s">
        <v>272</v>
      </c>
      <c r="AR6" s="27" t="s">
        <v>273</v>
      </c>
      <c r="AS6" s="48" t="s">
        <v>549</v>
      </c>
      <c r="AT6" s="48" t="s">
        <v>550</v>
      </c>
      <c r="AU6" s="48" t="s">
        <v>551</v>
      </c>
      <c r="AV6" s="48" t="s">
        <v>487</v>
      </c>
      <c r="AW6" s="31" t="s">
        <v>497</v>
      </c>
      <c r="AX6" s="31" t="s">
        <v>503</v>
      </c>
      <c r="AY6" s="31" t="s">
        <v>552</v>
      </c>
      <c r="AZ6" s="31" t="s">
        <v>507</v>
      </c>
    </row>
    <row r="7" customFormat="false" ht="15" hidden="false" customHeight="false" outlineLevel="0" collapsed="false">
      <c r="A7" s="32" t="n">
        <v>1</v>
      </c>
      <c r="B7" s="32" t="s">
        <v>276</v>
      </c>
      <c r="C7" s="33" t="s">
        <v>277</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220</v>
      </c>
      <c r="AI7" s="37" t="n">
        <f aca="false">IFERROR(AH7/AH$49,0)</f>
        <v>0.0489759572573464</v>
      </c>
      <c r="AJ7" s="34" t="n">
        <f aca="false">AH7*AG7</f>
        <v>110000</v>
      </c>
      <c r="AK7" s="37" t="n">
        <f aca="false">IFERROR(AJ7/AJ$49,0)</f>
        <v>0.0306671499066046</v>
      </c>
      <c r="AL7" s="35" t="n">
        <v>1000</v>
      </c>
      <c r="AM7" s="37" t="n">
        <f aca="false">IFERROR(AH7/AL7,0)</f>
        <v>0.22</v>
      </c>
      <c r="AN7" s="36" t="n">
        <f aca="false">①札幌予測確定!O7</f>
        <v>2.09259597110633</v>
      </c>
      <c r="AO7" s="35" t="n">
        <f aca="false">①札幌予測確定!P7</f>
        <v>460</v>
      </c>
      <c r="AP7" s="34" t="n">
        <f aca="false">①札幌予測確定!Q7</f>
        <v>230000</v>
      </c>
      <c r="AQ7" s="37" t="n">
        <f aca="false">①札幌予測確定!T7</f>
        <v>0.46</v>
      </c>
      <c r="AR7" s="35" t="n">
        <f aca="false">①札幌予測確定!U7</f>
        <v>540</v>
      </c>
      <c r="AS7" s="35" t="n">
        <f aca="false">③石川以降予測!N29</f>
        <v>3671</v>
      </c>
      <c r="AT7" s="35" t="n">
        <f aca="false">③石川以降予測!T29</f>
        <v>2804</v>
      </c>
      <c r="AU7" s="38" t="n">
        <f aca="false">③石川以降予測!U29</f>
        <v>867</v>
      </c>
      <c r="AV7" s="35" t="n">
        <f aca="false">③石川以降予測!V29</f>
        <v>867</v>
      </c>
      <c r="AW7" s="32" t="str">
        <f aca="false">④追加発注判定!J7</f>
        <v>在庫余剰</v>
      </c>
      <c r="AX7" s="32" t="str">
        <f aca="false">④追加発注判定!P7</f>
        <v>要 追加生産</v>
      </c>
      <c r="AY7" s="35" t="n">
        <f aca="false">④追加発注判定!R7</f>
        <v>954</v>
      </c>
      <c r="AZ7" s="32" t="str">
        <f aca="false">④追加発注判定!T7</f>
        <v>C:通常</v>
      </c>
    </row>
    <row r="8" customFormat="false" ht="15" hidden="false" customHeight="false" outlineLevel="0" collapsed="false">
      <c r="A8" s="32" t="n">
        <v>2</v>
      </c>
      <c r="B8" s="32" t="s">
        <v>278</v>
      </c>
      <c r="C8" s="33" t="s">
        <v>279</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246</v>
      </c>
      <c r="AI8" s="37" t="n">
        <f aca="false">IFERROR(AH8/AH$49,0)</f>
        <v>0.0547640249332146</v>
      </c>
      <c r="AJ8" s="34" t="n">
        <f aca="false">AH8*AG8</f>
        <v>147600</v>
      </c>
      <c r="AK8" s="37" t="n">
        <f aca="false">IFERROR(AJ8/AJ$49,0)</f>
        <v>0.0411497393292258</v>
      </c>
      <c r="AL8" s="35" t="n">
        <v>1000</v>
      </c>
      <c r="AM8" s="37" t="n">
        <f aca="false">IFERROR(AH8/AL8,0)</f>
        <v>0.246</v>
      </c>
      <c r="AN8" s="36" t="n">
        <f aca="false">①札幌予測確定!O8</f>
        <v>2.11311367796454</v>
      </c>
      <c r="AO8" s="35" t="n">
        <f aca="false">①札幌予測確定!P8</f>
        <v>520</v>
      </c>
      <c r="AP8" s="34" t="n">
        <f aca="false">①札幌予測確定!Q8</f>
        <v>312000</v>
      </c>
      <c r="AQ8" s="37" t="n">
        <f aca="false">①札幌予測確定!T8</f>
        <v>0.52</v>
      </c>
      <c r="AR8" s="35" t="n">
        <f aca="false">①札幌予測確定!U8</f>
        <v>480</v>
      </c>
      <c r="AS8" s="35" t="n">
        <f aca="false">③石川以降予測!N30</f>
        <v>3713</v>
      </c>
      <c r="AT8" s="35" t="n">
        <f aca="false">③石川以降予測!T30</f>
        <v>4517</v>
      </c>
      <c r="AU8" s="38" t="n">
        <f aca="false">③石川以降予測!U30</f>
        <v>-804</v>
      </c>
      <c r="AV8" s="35" t="n">
        <f aca="false">③石川以降予測!V30</f>
        <v>0</v>
      </c>
      <c r="AW8" s="32" t="str">
        <f aca="false">④追加発注判定!J8</f>
        <v>適正</v>
      </c>
      <c r="AX8" s="32" t="str">
        <f aca="false">④追加発注判定!P8</f>
        <v>在庫で充足</v>
      </c>
      <c r="AY8" s="35" t="n">
        <f aca="false">④追加発注判定!R8</f>
        <v>0</v>
      </c>
      <c r="AZ8" s="32" t="str">
        <f aca="false">④追加発注判定!T8</f>
        <v>D:不要</v>
      </c>
    </row>
    <row r="9" customFormat="false" ht="15" hidden="false" customHeight="false" outlineLevel="0" collapsed="false">
      <c r="A9" s="32" t="n">
        <v>3</v>
      </c>
      <c r="B9" s="32" t="s">
        <v>280</v>
      </c>
      <c r="C9" s="33" t="s">
        <v>281</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87</v>
      </c>
      <c r="AI9" s="37" t="n">
        <f aca="false">IFERROR(AH9/AH$49,0)</f>
        <v>0.0193677649154052</v>
      </c>
      <c r="AJ9" s="34" t="n">
        <f aca="false">AH9*AG9</f>
        <v>87000</v>
      </c>
      <c r="AK9" s="37" t="n">
        <f aca="false">IFERROR(AJ9/AJ$49,0)</f>
        <v>0.0242549276534054</v>
      </c>
      <c r="AL9" s="35" t="n">
        <v>450</v>
      </c>
      <c r="AM9" s="37" t="n">
        <f aca="false">IFERROR(AH9/AL9,0)</f>
        <v>0.193333333333333</v>
      </c>
      <c r="AN9" s="36" t="n">
        <f aca="false">①札幌予測確定!O9</f>
        <v>1.82080725381089</v>
      </c>
      <c r="AO9" s="35" t="n">
        <f aca="false">①札幌予測確定!P9</f>
        <v>158</v>
      </c>
      <c r="AP9" s="34" t="n">
        <f aca="false">①札幌予測確定!Q9</f>
        <v>158000</v>
      </c>
      <c r="AQ9" s="37" t="n">
        <f aca="false">①札幌予測確定!T9</f>
        <v>0.351111111111111</v>
      </c>
      <c r="AR9" s="35" t="n">
        <f aca="false">①札幌予測確定!U9</f>
        <v>292</v>
      </c>
      <c r="AS9" s="35" t="n">
        <f aca="false">③石川以降予測!N31</f>
        <v>1479</v>
      </c>
      <c r="AT9" s="35" t="n">
        <f aca="false">③石川以降予測!T31</f>
        <v>5982</v>
      </c>
      <c r="AU9" s="38" t="n">
        <f aca="false">③石川以降予測!U31</f>
        <v>-4503</v>
      </c>
      <c r="AV9" s="35" t="n">
        <f aca="false">③石川以降予測!V31</f>
        <v>0</v>
      </c>
      <c r="AW9" s="32" t="str">
        <f aca="false">④追加発注判定!J9</f>
        <v>在庫余剰</v>
      </c>
      <c r="AX9" s="32" t="str">
        <f aca="false">④追加発注判定!P9</f>
        <v>在庫で充足</v>
      </c>
      <c r="AY9" s="35" t="n">
        <f aca="false">④追加発注判定!R9</f>
        <v>0</v>
      </c>
      <c r="AZ9" s="32" t="str">
        <f aca="false">④追加発注判定!T9</f>
        <v>D:不要</v>
      </c>
    </row>
    <row r="10" customFormat="false" ht="15" hidden="false" customHeight="false" outlineLevel="0" collapsed="false">
      <c r="A10" s="32" t="n">
        <v>4</v>
      </c>
      <c r="B10" s="32" t="s">
        <v>282</v>
      </c>
      <c r="C10" s="33" t="s">
        <v>283</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127</v>
      </c>
      <c r="AI10" s="37" t="n">
        <f aca="false">IFERROR(AH10/AH$49,0)</f>
        <v>0.0282724844167409</v>
      </c>
      <c r="AJ10" s="34" t="n">
        <f aca="false">AH10*AG10</f>
        <v>228600</v>
      </c>
      <c r="AK10" s="37" t="n">
        <f aca="false">IFERROR(AJ10/AJ$49,0)</f>
        <v>0.0637319133513619</v>
      </c>
      <c r="AL10" s="35" t="n">
        <v>800</v>
      </c>
      <c r="AM10" s="37" t="n">
        <f aca="false">IFERROR(AH10/AL10,0)</f>
        <v>0.15875</v>
      </c>
      <c r="AN10" s="36" t="n">
        <f aca="false">①札幌予測確定!O10</f>
        <v>1.80741989155374</v>
      </c>
      <c r="AO10" s="35" t="n">
        <f aca="false">①札幌予測確定!P10</f>
        <v>230</v>
      </c>
      <c r="AP10" s="34" t="n">
        <f aca="false">①札幌予測確定!Q10</f>
        <v>414000</v>
      </c>
      <c r="AQ10" s="37" t="n">
        <f aca="false">①札幌予測確定!T10</f>
        <v>0.2875</v>
      </c>
      <c r="AR10" s="35" t="n">
        <f aca="false">①札幌予測確定!U10</f>
        <v>570</v>
      </c>
      <c r="AS10" s="35" t="n">
        <f aca="false">③石川以降予測!N32</f>
        <v>1932</v>
      </c>
      <c r="AT10" s="35" t="n">
        <f aca="false">③石川以降予測!T32</f>
        <v>27281</v>
      </c>
      <c r="AU10" s="38" t="n">
        <f aca="false">③石川以降予測!U32</f>
        <v>-25349</v>
      </c>
      <c r="AV10" s="35" t="n">
        <f aca="false">③石川以降予測!V32</f>
        <v>0</v>
      </c>
      <c r="AW10" s="32" t="str">
        <f aca="false">④追加発注判定!J10</f>
        <v>在庫余剰</v>
      </c>
      <c r="AX10" s="32" t="str">
        <f aca="false">④追加発注判定!P10</f>
        <v>在庫で充足</v>
      </c>
      <c r="AY10" s="35" t="n">
        <f aca="false">④追加発注判定!R10</f>
        <v>0</v>
      </c>
      <c r="AZ10" s="32" t="str">
        <f aca="false">④追加発注判定!T10</f>
        <v>D:不要</v>
      </c>
    </row>
    <row r="11" customFormat="false" ht="15" hidden="false" customHeight="false" outlineLevel="0" collapsed="false">
      <c r="A11" s="32" t="n">
        <v>5</v>
      </c>
      <c r="B11" s="32" t="s">
        <v>284</v>
      </c>
      <c r="C11" s="33" t="s">
        <v>285</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252</v>
      </c>
      <c r="AI11" s="37" t="n">
        <f aca="false">IFERROR(AH11/AH$49,0)</f>
        <v>0.056099732858415</v>
      </c>
      <c r="AJ11" s="34" t="n">
        <f aca="false">AH11*AG11</f>
        <v>151200</v>
      </c>
      <c r="AK11" s="37" t="n">
        <f aca="false">IFERROR(AJ11/AJ$49,0)</f>
        <v>0.0421533915079874</v>
      </c>
      <c r="AL11" s="35" t="n">
        <v>9000</v>
      </c>
      <c r="AM11" s="37" t="n">
        <f aca="false">IFERROR(AH11/AL11,0)</f>
        <v>0.028</v>
      </c>
      <c r="AN11" s="36" t="n">
        <f aca="false">①札幌予測確定!O11</f>
        <v>2.00732126228467</v>
      </c>
      <c r="AO11" s="35" t="n">
        <f aca="false">①札幌予測確定!P11</f>
        <v>506</v>
      </c>
      <c r="AP11" s="34" t="n">
        <f aca="false">①札幌予測確定!Q11</f>
        <v>303600</v>
      </c>
      <c r="AQ11" s="37" t="n">
        <f aca="false">①札幌予測確定!T11</f>
        <v>0.0562222222222222</v>
      </c>
      <c r="AR11" s="35" t="n">
        <f aca="false">①札幌予測確定!U11</f>
        <v>8494</v>
      </c>
      <c r="AS11" s="35" t="n">
        <f aca="false">③石川以降予測!N33</f>
        <v>8231</v>
      </c>
      <c r="AT11" s="35" t="n">
        <f aca="false">③石川以降予測!T33</f>
        <v>39319</v>
      </c>
      <c r="AU11" s="38" t="n">
        <f aca="false">③石川以降予測!U33</f>
        <v>-31088</v>
      </c>
      <c r="AV11" s="35" t="n">
        <f aca="false">③石川以降予測!V33</f>
        <v>0</v>
      </c>
      <c r="AW11" s="32" t="str">
        <f aca="false">④追加発注判定!J11</f>
        <v>在庫余剰</v>
      </c>
      <c r="AX11" s="32" t="str">
        <f aca="false">④追加発注判定!P11</f>
        <v>在庫で充足</v>
      </c>
      <c r="AY11" s="35" t="n">
        <f aca="false">④追加発注判定!R11</f>
        <v>0</v>
      </c>
      <c r="AZ11" s="32" t="str">
        <f aca="false">④追加発注判定!T11</f>
        <v>D:不要</v>
      </c>
    </row>
    <row r="12" customFormat="false" ht="15" hidden="false" customHeight="false" outlineLevel="0" collapsed="false">
      <c r="A12" s="32" t="n">
        <v>6</v>
      </c>
      <c r="B12" s="32" t="s">
        <v>286</v>
      </c>
      <c r="C12" s="33" t="s">
        <v>287</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641</v>
      </c>
      <c r="AI12" s="37" t="n">
        <f aca="false">IFERROR(AH12/AH$49,0)</f>
        <v>0.142698130008905</v>
      </c>
      <c r="AJ12" s="34" t="n">
        <f aca="false">AH12*AG12</f>
        <v>384600</v>
      </c>
      <c r="AK12" s="37" t="n">
        <f aca="false">IFERROR(AJ12/AJ$49,0)</f>
        <v>0.107223507764365</v>
      </c>
      <c r="AL12" s="35" t="n">
        <v>13991</v>
      </c>
      <c r="AM12" s="37" t="n">
        <f aca="false">IFERROR(AH12/AL12,0)</f>
        <v>0.0458151668930026</v>
      </c>
      <c r="AN12" s="36" t="n">
        <f aca="false">①札幌予測確定!O12</f>
        <v>2.19245525219974</v>
      </c>
      <c r="AO12" s="35" t="n">
        <f aca="false">①札幌予測確定!P12</f>
        <v>1405</v>
      </c>
      <c r="AP12" s="34" t="n">
        <f aca="false">①札幌予測確定!Q12</f>
        <v>843000</v>
      </c>
      <c r="AQ12" s="37" t="n">
        <f aca="false">①札幌予測確定!T12</f>
        <v>0.10042169966407</v>
      </c>
      <c r="AR12" s="35" t="n">
        <f aca="false">①札幌予測確定!U12</f>
        <v>12586</v>
      </c>
      <c r="AS12" s="35" t="n">
        <f aca="false">③石川以降予測!N34</f>
        <v>18777</v>
      </c>
      <c r="AT12" s="35" t="n">
        <f aca="false">③石川以降予測!T34</f>
        <v>49429</v>
      </c>
      <c r="AU12" s="38" t="n">
        <f aca="false">③石川以降予測!U34</f>
        <v>-30652</v>
      </c>
      <c r="AV12" s="35" t="n">
        <f aca="false">③石川以降予測!V34</f>
        <v>0</v>
      </c>
      <c r="AW12" s="32" t="str">
        <f aca="false">④追加発注判定!J12</f>
        <v>在庫余剰</v>
      </c>
      <c r="AX12" s="32" t="str">
        <f aca="false">④追加発注判定!P12</f>
        <v>在庫で充足</v>
      </c>
      <c r="AY12" s="35" t="n">
        <f aca="false">④追加発注判定!R12</f>
        <v>0</v>
      </c>
      <c r="AZ12" s="32" t="str">
        <f aca="false">④追加発注判定!T12</f>
        <v>D:不要</v>
      </c>
    </row>
    <row r="13" customFormat="false" ht="15" hidden="false" customHeight="false" outlineLevel="0" collapsed="false">
      <c r="A13" s="32" t="n">
        <v>7</v>
      </c>
      <c r="B13" s="32" t="s">
        <v>288</v>
      </c>
      <c r="C13" s="33" t="s">
        <v>289</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93</v>
      </c>
      <c r="AI13" s="37" t="n">
        <f aca="false">IFERROR(AH13/AH$49,0)</f>
        <v>0.0207034728406055</v>
      </c>
      <c r="AJ13" s="34" t="n">
        <f aca="false">AH13*AG13</f>
        <v>55800</v>
      </c>
      <c r="AK13" s="37" t="n">
        <f aca="false">IFERROR(AJ13/AJ$49,0)</f>
        <v>0.0155566087708049</v>
      </c>
      <c r="AL13" s="35" t="n">
        <v>350</v>
      </c>
      <c r="AM13" s="37" t="n">
        <f aca="false">IFERROR(AH13/AL13,0)</f>
        <v>0.265714285714286</v>
      </c>
      <c r="AN13" s="36" t="n">
        <f aca="false">①札幌予測確定!O13</f>
        <v>2.09826618788349</v>
      </c>
      <c r="AO13" s="35" t="n">
        <f aca="false">①札幌予測確定!P13</f>
        <v>195</v>
      </c>
      <c r="AP13" s="34" t="n">
        <f aca="false">①札幌予測確定!Q13</f>
        <v>117000</v>
      </c>
      <c r="AQ13" s="37" t="n">
        <f aca="false">①札幌予測確定!T13</f>
        <v>0.557142857142857</v>
      </c>
      <c r="AR13" s="35" t="n">
        <f aca="false">①札幌予測確定!U13</f>
        <v>155</v>
      </c>
      <c r="AS13" s="35" t="n">
        <f aca="false">③石川以降予測!N35</f>
        <v>1527</v>
      </c>
      <c r="AT13" s="35" t="n">
        <f aca="false">③石川以降予測!T35</f>
        <v>4347</v>
      </c>
      <c r="AU13" s="38" t="n">
        <f aca="false">③石川以降予測!U35</f>
        <v>-2820</v>
      </c>
      <c r="AV13" s="35" t="n">
        <f aca="false">③石川以降予測!V35</f>
        <v>0</v>
      </c>
      <c r="AW13" s="32" t="str">
        <f aca="false">④追加発注判定!J13</f>
        <v>適正</v>
      </c>
      <c r="AX13" s="32" t="str">
        <f aca="false">④追加発注判定!P13</f>
        <v>在庫で充足</v>
      </c>
      <c r="AY13" s="35" t="n">
        <f aca="false">④追加発注判定!R13</f>
        <v>0</v>
      </c>
      <c r="AZ13" s="32" t="str">
        <f aca="false">④追加発注判定!T13</f>
        <v>D:不要</v>
      </c>
    </row>
    <row r="14" customFormat="false" ht="15" hidden="false" customHeight="false" outlineLevel="0" collapsed="false">
      <c r="A14" s="32" t="n">
        <v>8</v>
      </c>
      <c r="B14" s="32" t="s">
        <v>290</v>
      </c>
      <c r="C14" s="33" t="s">
        <v>291</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155</v>
      </c>
      <c r="AI14" s="37" t="n">
        <f aca="false">IFERROR(AH14/AH$49,0)</f>
        <v>0.0345057880676759</v>
      </c>
      <c r="AJ14" s="34" t="n">
        <f aca="false">AH14*AG14</f>
        <v>93000</v>
      </c>
      <c r="AK14" s="37" t="n">
        <f aca="false">IFERROR(AJ14/AJ$49,0)</f>
        <v>0.0259276812846748</v>
      </c>
      <c r="AL14" s="35" t="n">
        <v>900</v>
      </c>
      <c r="AM14" s="37" t="n">
        <f aca="false">IFERROR(AH14/AL14,0)</f>
        <v>0.172222222222222</v>
      </c>
      <c r="AN14" s="36" t="n">
        <f aca="false">①札幌予測確定!O14</f>
        <v>2.22523408480537</v>
      </c>
      <c r="AO14" s="35" t="n">
        <f aca="false">①札幌予測確定!P14</f>
        <v>345</v>
      </c>
      <c r="AP14" s="34" t="n">
        <f aca="false">①札幌予測確定!Q14</f>
        <v>207000</v>
      </c>
      <c r="AQ14" s="37" t="n">
        <f aca="false">①札幌予測確定!T14</f>
        <v>0.383333333333333</v>
      </c>
      <c r="AR14" s="35" t="n">
        <f aca="false">①札幌予測確定!U14</f>
        <v>555</v>
      </c>
      <c r="AS14" s="35" t="n">
        <f aca="false">③石川以降予測!N36</f>
        <v>2763</v>
      </c>
      <c r="AT14" s="35" t="n">
        <f aca="false">③石川以降予測!T36</f>
        <v>8206</v>
      </c>
      <c r="AU14" s="38" t="n">
        <f aca="false">③石川以降予測!U36</f>
        <v>-5443</v>
      </c>
      <c r="AV14" s="35" t="n">
        <f aca="false">③石川以降予測!V36</f>
        <v>0</v>
      </c>
      <c r="AW14" s="32" t="str">
        <f aca="false">④追加発注判定!J14</f>
        <v>在庫余剰</v>
      </c>
      <c r="AX14" s="32" t="str">
        <f aca="false">④追加発注判定!P14</f>
        <v>在庫で充足</v>
      </c>
      <c r="AY14" s="35" t="n">
        <f aca="false">④追加発注判定!R14</f>
        <v>0</v>
      </c>
      <c r="AZ14" s="32" t="str">
        <f aca="false">④追加発注判定!T14</f>
        <v>D:不要</v>
      </c>
    </row>
    <row r="15" customFormat="false" ht="15" hidden="false" customHeight="false" outlineLevel="0" collapsed="false">
      <c r="A15" s="32" t="n">
        <v>9</v>
      </c>
      <c r="B15" s="32" t="s">
        <v>292</v>
      </c>
      <c r="C15" s="33" t="s">
        <v>293</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80</v>
      </c>
      <c r="AI15" s="37" t="n">
        <f aca="false">IFERROR(AH15/AH$49,0)</f>
        <v>0.0178094390026714</v>
      </c>
      <c r="AJ15" s="34" t="n">
        <f aca="false">AH15*AG15</f>
        <v>48000</v>
      </c>
      <c r="AK15" s="37" t="n">
        <f aca="false">IFERROR(AJ15/AJ$49,0)</f>
        <v>0.0133820290501547</v>
      </c>
      <c r="AL15" s="35" t="n">
        <v>300</v>
      </c>
      <c r="AM15" s="37" t="n">
        <f aca="false">IFERROR(AH15/AL15,0)</f>
        <v>0.266666666666667</v>
      </c>
      <c r="AN15" s="36" t="n">
        <f aca="false">①札幌予測確定!O15</f>
        <v>1.6638278286438</v>
      </c>
      <c r="AO15" s="35" t="n">
        <f aca="false">①札幌予測確定!P15</f>
        <v>133</v>
      </c>
      <c r="AP15" s="34" t="n">
        <f aca="false">①札幌予測確定!Q15</f>
        <v>79800</v>
      </c>
      <c r="AQ15" s="37" t="n">
        <f aca="false">①札幌予測確定!T15</f>
        <v>0.443333333333333</v>
      </c>
      <c r="AR15" s="35" t="n">
        <f aca="false">①札幌予測確定!U15</f>
        <v>167</v>
      </c>
      <c r="AS15" s="35" t="n">
        <f aca="false">③石川以降予測!N37</f>
        <v>1108</v>
      </c>
      <c r="AT15" s="35" t="n">
        <f aca="false">③石川以降予測!T37</f>
        <v>8626</v>
      </c>
      <c r="AU15" s="38" t="n">
        <f aca="false">③石川以降予測!U37</f>
        <v>-7518</v>
      </c>
      <c r="AV15" s="35" t="n">
        <f aca="false">③石川以降予測!V37</f>
        <v>0</v>
      </c>
      <c r="AW15" s="32" t="str">
        <f aca="false">④追加発注判定!J15</f>
        <v>在庫余剰</v>
      </c>
      <c r="AX15" s="32" t="str">
        <f aca="false">④追加発注判定!P15</f>
        <v>在庫で充足</v>
      </c>
      <c r="AY15" s="35" t="n">
        <f aca="false">④追加発注判定!R15</f>
        <v>0</v>
      </c>
      <c r="AZ15" s="32" t="str">
        <f aca="false">④追加発注判定!T15</f>
        <v>D:不要</v>
      </c>
    </row>
    <row r="16" customFormat="false" ht="15" hidden="false" customHeight="false" outlineLevel="0" collapsed="false">
      <c r="A16" s="32" t="n">
        <v>10</v>
      </c>
      <c r="B16" s="32" t="s">
        <v>294</v>
      </c>
      <c r="C16" s="33" t="s">
        <v>295</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32</v>
      </c>
      <c r="AI16" s="37" t="n">
        <f aca="false">IFERROR(AH16/AH$49,0)</f>
        <v>0.00712377560106857</v>
      </c>
      <c r="AJ16" s="34" t="n">
        <f aca="false">AH16*AG16</f>
        <v>19200</v>
      </c>
      <c r="AK16" s="37" t="n">
        <f aca="false">IFERROR(AJ16/AJ$49,0)</f>
        <v>0.00535281162006189</v>
      </c>
      <c r="AL16" s="35" t="n">
        <v>100</v>
      </c>
      <c r="AM16" s="37" t="n">
        <f aca="false">IFERROR(AH16/AL16,0)</f>
        <v>0.32</v>
      </c>
      <c r="AN16" s="36" t="n">
        <f aca="false">①札幌予測確定!O16</f>
        <v>1.72427720633919</v>
      </c>
      <c r="AO16" s="35" t="n">
        <f aca="false">①札幌予測確定!P16</f>
        <v>55</v>
      </c>
      <c r="AP16" s="34" t="n">
        <f aca="false">①札幌予測確定!Q16</f>
        <v>33000</v>
      </c>
      <c r="AQ16" s="37" t="n">
        <f aca="false">①札幌予測確定!T16</f>
        <v>0.55</v>
      </c>
      <c r="AR16" s="35" t="n">
        <f aca="false">①札幌予測確定!U16</f>
        <v>45</v>
      </c>
      <c r="AS16" s="35" t="n">
        <f aca="false">③石川以降予測!N38</f>
        <v>439</v>
      </c>
      <c r="AT16" s="35" t="n">
        <f aca="false">③石川以降予測!T38</f>
        <v>4880</v>
      </c>
      <c r="AU16" s="38" t="n">
        <f aca="false">③石川以降予測!U38</f>
        <v>-4441</v>
      </c>
      <c r="AV16" s="35" t="n">
        <f aca="false">③石川以降予測!V38</f>
        <v>0</v>
      </c>
      <c r="AW16" s="32" t="str">
        <f aca="false">④追加発注判定!J16</f>
        <v>適正</v>
      </c>
      <c r="AX16" s="32" t="str">
        <f aca="false">④追加発注判定!P16</f>
        <v>在庫で充足</v>
      </c>
      <c r="AY16" s="35" t="n">
        <f aca="false">④追加発注判定!R16</f>
        <v>0</v>
      </c>
      <c r="AZ16" s="32" t="str">
        <f aca="false">④追加発注判定!T16</f>
        <v>D:不要</v>
      </c>
    </row>
    <row r="17" customFormat="false" ht="15" hidden="false" customHeight="false" outlineLevel="0" collapsed="false">
      <c r="A17" s="32" t="n">
        <v>11</v>
      </c>
      <c r="B17" s="32" t="s">
        <v>296</v>
      </c>
      <c r="C17" s="33" t="s">
        <v>297</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9</v>
      </c>
      <c r="AI17" s="37" t="n">
        <f aca="false">IFERROR(AH17/AH$49,0)</f>
        <v>0.00200356188780053</v>
      </c>
      <c r="AJ17" s="34" t="n">
        <f aca="false">AH17*AG17</f>
        <v>5400</v>
      </c>
      <c r="AK17" s="37" t="n">
        <f aca="false">IFERROR(AJ17/AJ$49,0)</f>
        <v>0.00150547826814241</v>
      </c>
      <c r="AL17" s="35" t="n">
        <v>50</v>
      </c>
      <c r="AM17" s="37" t="n">
        <f aca="false">IFERROR(AH17/AL17,0)</f>
        <v>0.18</v>
      </c>
      <c r="AN17" s="36" t="n">
        <f aca="false">①札幌予測確定!O17</f>
        <v>3.13708766074873</v>
      </c>
      <c r="AO17" s="35" t="n">
        <f aca="false">①札幌予測確定!P17</f>
        <v>28</v>
      </c>
      <c r="AP17" s="34" t="n">
        <f aca="false">①札幌予測確定!Q17</f>
        <v>16800</v>
      </c>
      <c r="AQ17" s="37" t="n">
        <f aca="false">①札幌予測確定!T17</f>
        <v>0.56</v>
      </c>
      <c r="AR17" s="35" t="n">
        <f aca="false">①札幌予測確定!U17</f>
        <v>22</v>
      </c>
      <c r="AS17" s="35" t="n">
        <f aca="false">③石川以降予測!N39</f>
        <v>182</v>
      </c>
      <c r="AT17" s="35" t="n">
        <f aca="false">③石川以降予測!T39</f>
        <v>612</v>
      </c>
      <c r="AU17" s="38" t="n">
        <f aca="false">③石川以降予測!U39</f>
        <v>-430</v>
      </c>
      <c r="AV17" s="35" t="n">
        <f aca="false">③石川以降予測!V39</f>
        <v>0</v>
      </c>
      <c r="AW17" s="32" t="str">
        <f aca="false">④追加発注判定!J17</f>
        <v>適正</v>
      </c>
      <c r="AX17" s="32" t="str">
        <f aca="false">④追加発注判定!P17</f>
        <v>在庫で充足</v>
      </c>
      <c r="AY17" s="35" t="n">
        <f aca="false">④追加発注判定!R17</f>
        <v>0</v>
      </c>
      <c r="AZ17" s="32" t="str">
        <f aca="false">④追加発注判定!T17</f>
        <v>D:不要</v>
      </c>
    </row>
    <row r="18" customFormat="false" ht="15" hidden="false" customHeight="false" outlineLevel="0" collapsed="false">
      <c r="A18" s="32" t="n">
        <v>12</v>
      </c>
      <c r="B18" s="32" t="s">
        <v>298</v>
      </c>
      <c r="C18" s="33" t="s">
        <v>299</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16</v>
      </c>
      <c r="AI18" s="37" t="n">
        <f aca="false">IFERROR(AH18/AH$49,0)</f>
        <v>0.00356188780053428</v>
      </c>
      <c r="AJ18" s="34" t="n">
        <f aca="false">AH18*AG18</f>
        <v>9600</v>
      </c>
      <c r="AK18" s="37" t="n">
        <f aca="false">IFERROR(AJ18/AJ$49,0)</f>
        <v>0.00267640581003095</v>
      </c>
      <c r="AL18" s="35" t="n">
        <v>50</v>
      </c>
      <c r="AM18" s="37" t="n">
        <f aca="false">IFERROR(AH18/AL18,0)</f>
        <v>0.32</v>
      </c>
      <c r="AN18" s="36" t="n">
        <f aca="false">①札幌予測確定!O18</f>
        <v>2.19847510511651</v>
      </c>
      <c r="AO18" s="35" t="n">
        <f aca="false">①札幌予測確定!P18</f>
        <v>35</v>
      </c>
      <c r="AP18" s="34" t="n">
        <f aca="false">①札幌予測確定!Q18</f>
        <v>21000</v>
      </c>
      <c r="AQ18" s="37" t="n">
        <f aca="false">①札幌予測確定!T18</f>
        <v>0.7</v>
      </c>
      <c r="AR18" s="35" t="n">
        <f aca="false">①札幌予測確定!U18</f>
        <v>15</v>
      </c>
      <c r="AS18" s="35" t="n">
        <f aca="false">③石川以降予測!N40</f>
        <v>256</v>
      </c>
      <c r="AT18" s="35" t="n">
        <f aca="false">③石川以降予測!T40</f>
        <v>918</v>
      </c>
      <c r="AU18" s="38" t="n">
        <f aca="false">③石川以降予測!U40</f>
        <v>-662</v>
      </c>
      <c r="AV18" s="35" t="n">
        <f aca="false">③石川以降予測!V40</f>
        <v>0</v>
      </c>
      <c r="AW18" s="32" t="str">
        <f aca="false">④追加発注判定!J18</f>
        <v>適正</v>
      </c>
      <c r="AX18" s="32" t="str">
        <f aca="false">④追加発注判定!P18</f>
        <v>在庫で充足</v>
      </c>
      <c r="AY18" s="35" t="n">
        <f aca="false">④追加発注判定!R18</f>
        <v>0</v>
      </c>
      <c r="AZ18" s="32" t="str">
        <f aca="false">④追加発注判定!T18</f>
        <v>D:不要</v>
      </c>
    </row>
    <row r="19" customFormat="false" ht="15" hidden="false" customHeight="false" outlineLevel="0" collapsed="false">
      <c r="A19" s="32" t="n">
        <v>13</v>
      </c>
      <c r="B19" s="32" t="s">
        <v>300</v>
      </c>
      <c r="C19" s="33" t="s">
        <v>301</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0.000667853962600178</v>
      </c>
      <c r="AJ19" s="34" t="n">
        <f aca="false">AH19*AG19</f>
        <v>1800</v>
      </c>
      <c r="AK19" s="37" t="n">
        <f aca="false">IFERROR(AJ19/AJ$49,0)</f>
        <v>0.000501826089380802</v>
      </c>
      <c r="AL19" s="35" t="n">
        <v>50</v>
      </c>
      <c r="AM19" s="37" t="n">
        <f aca="false">IFERROR(AH19/AL19,0)</f>
        <v>0.06</v>
      </c>
      <c r="AN19" s="36" t="n">
        <f aca="false">①札幌予測確定!O19</f>
        <v>2.38364396264087</v>
      </c>
      <c r="AO19" s="35" t="n">
        <f aca="false">①札幌予測確定!P19</f>
        <v>7</v>
      </c>
      <c r="AP19" s="34" t="n">
        <f aca="false">①札幌予測確定!Q19</f>
        <v>4200</v>
      </c>
      <c r="AQ19" s="37" t="n">
        <f aca="false">①札幌予測確定!T19</f>
        <v>0.14</v>
      </c>
      <c r="AR19" s="35" t="n">
        <f aca="false">①札幌予測確定!U19</f>
        <v>43</v>
      </c>
      <c r="AS19" s="35" t="n">
        <f aca="false">③石川以降予測!N41</f>
        <v>61</v>
      </c>
      <c r="AT19" s="35" t="n">
        <f aca="false">③石川以降予測!T41</f>
        <v>313</v>
      </c>
      <c r="AU19" s="38" t="n">
        <f aca="false">③石川以降予測!U41</f>
        <v>-252</v>
      </c>
      <c r="AV19" s="35" t="n">
        <f aca="false">③石川以降予測!V41</f>
        <v>0</v>
      </c>
      <c r="AW19" s="32" t="str">
        <f aca="false">④追加発注判定!J19</f>
        <v>在庫余剰</v>
      </c>
      <c r="AX19" s="32" t="str">
        <f aca="false">④追加発注判定!P19</f>
        <v>在庫で充足</v>
      </c>
      <c r="AY19" s="35" t="n">
        <f aca="false">④追加発注判定!R19</f>
        <v>0</v>
      </c>
      <c r="AZ19" s="32" t="str">
        <f aca="false">④追加発注判定!T19</f>
        <v>D:不要</v>
      </c>
    </row>
    <row r="20" customFormat="false" ht="15" hidden="false" customHeight="false" outlineLevel="0" collapsed="false">
      <c r="A20" s="32" t="n">
        <v>14</v>
      </c>
      <c r="B20" s="32" t="s">
        <v>302</v>
      </c>
      <c r="C20" s="33" t="s">
        <v>303</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18</v>
      </c>
      <c r="AI20" s="37" t="n">
        <f aca="false">IFERROR(AH20/AH$49,0)</f>
        <v>0.00400712377560107</v>
      </c>
      <c r="AJ20" s="34" t="n">
        <f aca="false">AH20*AG20</f>
        <v>10800</v>
      </c>
      <c r="AK20" s="37" t="n">
        <f aca="false">IFERROR(AJ20/AJ$49,0)</f>
        <v>0.00301095653628481</v>
      </c>
      <c r="AL20" s="35" t="n">
        <v>50</v>
      </c>
      <c r="AM20" s="37" t="n">
        <f aca="false">IFERROR(AH20/AL20,0)</f>
        <v>0.36</v>
      </c>
      <c r="AN20" s="36" t="n">
        <f aca="false">①札幌予測確定!O20</f>
        <v>2.00769500381214</v>
      </c>
      <c r="AO20" s="35" t="n">
        <f aca="false">①札幌予測確定!P20</f>
        <v>36</v>
      </c>
      <c r="AP20" s="34" t="n">
        <f aca="false">①札幌予測確定!Q20</f>
        <v>21600</v>
      </c>
      <c r="AQ20" s="37" t="n">
        <f aca="false">①札幌予測確定!T20</f>
        <v>0.72</v>
      </c>
      <c r="AR20" s="35" t="n">
        <f aca="false">①札幌予測確定!U20</f>
        <v>14</v>
      </c>
      <c r="AS20" s="35" t="n">
        <f aca="false">③石川以降予測!N42</f>
        <v>264</v>
      </c>
      <c r="AT20" s="35" t="n">
        <f aca="false">③石川以降予測!T42</f>
        <v>1754</v>
      </c>
      <c r="AU20" s="38" t="n">
        <f aca="false">③石川以降予測!U42</f>
        <v>-1490</v>
      </c>
      <c r="AV20" s="35" t="n">
        <f aca="false">③石川以降予測!V42</f>
        <v>0</v>
      </c>
      <c r="AW20" s="32" t="str">
        <f aca="false">④追加発注判定!J20</f>
        <v>適正</v>
      </c>
      <c r="AX20" s="32" t="str">
        <f aca="false">④追加発注判定!P20</f>
        <v>在庫で充足</v>
      </c>
      <c r="AY20" s="35" t="n">
        <f aca="false">④追加発注判定!R20</f>
        <v>0</v>
      </c>
      <c r="AZ20" s="32" t="str">
        <f aca="false">④追加発注判定!T20</f>
        <v>S:現場欠品</v>
      </c>
    </row>
    <row r="21" customFormat="false" ht="15" hidden="false" customHeight="false" outlineLevel="0" collapsed="false">
      <c r="A21" s="32" t="n">
        <v>15</v>
      </c>
      <c r="B21" s="32" t="s">
        <v>304</v>
      </c>
      <c r="C21" s="33" t="s">
        <v>305</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29</v>
      </c>
      <c r="AI21" s="37" t="n">
        <f aca="false">IFERROR(AH21/AH$49,0)</f>
        <v>0.00645592163846839</v>
      </c>
      <c r="AJ21" s="34" t="n">
        <f aca="false">AH21*AG21</f>
        <v>17400</v>
      </c>
      <c r="AK21" s="37" t="n">
        <f aca="false">IFERROR(AJ21/AJ$49,0)</f>
        <v>0.00485098553068109</v>
      </c>
      <c r="AL21" s="35" t="n">
        <v>100</v>
      </c>
      <c r="AM21" s="37" t="n">
        <f aca="false">IFERROR(AH21/AL21,0)</f>
        <v>0.29</v>
      </c>
      <c r="AN21" s="36" t="n">
        <f aca="false">①札幌予測確定!O21</f>
        <v>2.08314108842721</v>
      </c>
      <c r="AO21" s="35" t="n">
        <f aca="false">①札幌予測確定!P21</f>
        <v>60</v>
      </c>
      <c r="AP21" s="34" t="n">
        <f aca="false">①札幌予測確定!Q21</f>
        <v>36000</v>
      </c>
      <c r="AQ21" s="37" t="n">
        <f aca="false">①札幌予測確定!T21</f>
        <v>0.6</v>
      </c>
      <c r="AR21" s="35" t="n">
        <f aca="false">①札幌予測確定!U21</f>
        <v>40</v>
      </c>
      <c r="AS21" s="35" t="n">
        <f aca="false">③石川以降予測!N43</f>
        <v>410</v>
      </c>
      <c r="AT21" s="35" t="n">
        <f aca="false">③石川以降予測!T43</f>
        <v>2071</v>
      </c>
      <c r="AU21" s="38" t="n">
        <f aca="false">③石川以降予測!U43</f>
        <v>-1661</v>
      </c>
      <c r="AV21" s="35" t="n">
        <f aca="false">③石川以降予測!V43</f>
        <v>0</v>
      </c>
      <c r="AW21" s="32" t="str">
        <f aca="false">④追加発注判定!J21</f>
        <v>適正</v>
      </c>
      <c r="AX21" s="32" t="str">
        <f aca="false">④追加発注判定!P21</f>
        <v>在庫で充足</v>
      </c>
      <c r="AY21" s="35" t="n">
        <f aca="false">④追加発注判定!R21</f>
        <v>0</v>
      </c>
      <c r="AZ21" s="32" t="str">
        <f aca="false">④追加発注判定!T21</f>
        <v>D:不要</v>
      </c>
    </row>
    <row r="22" customFormat="false" ht="15" hidden="false" customHeight="false" outlineLevel="0" collapsed="false">
      <c r="A22" s="32" t="n">
        <v>16</v>
      </c>
      <c r="B22" s="32" t="s">
        <v>306</v>
      </c>
      <c r="C22" s="33" t="s">
        <v>307</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5</v>
      </c>
      <c r="AI22" s="37" t="n">
        <f aca="false">IFERROR(AH22/AH$49,0)</f>
        <v>0.00111308993766696</v>
      </c>
      <c r="AJ22" s="34" t="n">
        <f aca="false">AH22*AG22</f>
        <v>3000</v>
      </c>
      <c r="AK22" s="37" t="n">
        <f aca="false">IFERROR(AJ22/AJ$49,0)</f>
        <v>0.000836376815634671</v>
      </c>
      <c r="AL22" s="35" t="n">
        <v>50</v>
      </c>
      <c r="AM22" s="37" t="n">
        <f aca="false">IFERROR(AH22/AL22,0)</f>
        <v>0.1</v>
      </c>
      <c r="AN22" s="36" t="n">
        <f aca="false">①札幌予測確定!O22</f>
        <v>2.52205530669424</v>
      </c>
      <c r="AO22" s="35" t="n">
        <f aca="false">①札幌予測確定!P22</f>
        <v>13</v>
      </c>
      <c r="AP22" s="34" t="n">
        <f aca="false">①札幌予測確定!Q22</f>
        <v>7800</v>
      </c>
      <c r="AQ22" s="37" t="n">
        <f aca="false">①札幌予測確定!T22</f>
        <v>0.26</v>
      </c>
      <c r="AR22" s="35" t="n">
        <f aca="false">①札幌予測確定!U22</f>
        <v>37</v>
      </c>
      <c r="AS22" s="35" t="n">
        <f aca="false">③石川以降予測!N44</f>
        <v>103</v>
      </c>
      <c r="AT22" s="35" t="n">
        <f aca="false">③石川以降予測!T44</f>
        <v>759</v>
      </c>
      <c r="AU22" s="38" t="n">
        <f aca="false">③石川以降予測!U44</f>
        <v>-656</v>
      </c>
      <c r="AV22" s="35" t="n">
        <f aca="false">③石川以降予測!V44</f>
        <v>0</v>
      </c>
      <c r="AW22" s="32" t="str">
        <f aca="false">④追加発注判定!J22</f>
        <v>在庫余剰</v>
      </c>
      <c r="AX22" s="32" t="str">
        <f aca="false">④追加発注判定!P22</f>
        <v>在庫で充足</v>
      </c>
      <c r="AY22" s="35" t="n">
        <f aca="false">④追加発注判定!R22</f>
        <v>0</v>
      </c>
      <c r="AZ22" s="32" t="str">
        <f aca="false">④追加発注判定!T22</f>
        <v>D:不要</v>
      </c>
    </row>
    <row r="23" customFormat="false" ht="15" hidden="false" customHeight="false" outlineLevel="0" collapsed="false">
      <c r="A23" s="32" t="n">
        <v>17</v>
      </c>
      <c r="B23" s="32" t="s">
        <v>308</v>
      </c>
      <c r="C23" s="33" t="s">
        <v>309</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46</v>
      </c>
      <c r="AI23" s="37" t="n">
        <f aca="false">IFERROR(AH23/AH$49,0)</f>
        <v>0.0102404274265361</v>
      </c>
      <c r="AJ23" s="34" t="n">
        <f aca="false">AH23*AG23</f>
        <v>27600</v>
      </c>
      <c r="AK23" s="37" t="n">
        <f aca="false">IFERROR(AJ23/AJ$49,0)</f>
        <v>0.00769466670383897</v>
      </c>
      <c r="AL23" s="35" t="n">
        <v>100</v>
      </c>
      <c r="AM23" s="37" t="n">
        <f aca="false">IFERROR(AH23/AL23,0)</f>
        <v>0.46</v>
      </c>
      <c r="AN23" s="36" t="n">
        <f aca="false">①札幌予測確定!O23</f>
        <v>2.21158248883031</v>
      </c>
      <c r="AO23" s="35" t="n">
        <f aca="false">①札幌予測確定!P23</f>
        <v>102</v>
      </c>
      <c r="AP23" s="34" t="n">
        <f aca="false">①札幌予測確定!Q23</f>
        <v>61200</v>
      </c>
      <c r="AQ23" s="37" t="n">
        <f aca="false">①札幌予測確定!T23</f>
        <v>1.02</v>
      </c>
      <c r="AR23" s="35" t="n">
        <f aca="false">①札幌予測確定!U23</f>
        <v>0</v>
      </c>
      <c r="AS23" s="35" t="n">
        <f aca="false">③石川以降予測!N45</f>
        <v>646</v>
      </c>
      <c r="AT23" s="35" t="n">
        <f aca="false">③石川以降予測!T45</f>
        <v>2421</v>
      </c>
      <c r="AU23" s="38" t="n">
        <f aca="false">③石川以降予測!U45</f>
        <v>-1775</v>
      </c>
      <c r="AV23" s="35" t="n">
        <f aca="false">③石川以降予測!V45</f>
        <v>0</v>
      </c>
      <c r="AW23" s="32" t="str">
        <f aca="false">④追加発注判定!J23</f>
        <v>要 追加発注</v>
      </c>
      <c r="AX23" s="32" t="str">
        <f aca="false">④追加発注判定!P23</f>
        <v>在庫で充足</v>
      </c>
      <c r="AY23" s="35" t="n">
        <f aca="false">④追加発注判定!R23</f>
        <v>3</v>
      </c>
      <c r="AZ23" s="32" t="str">
        <f aca="false">④追加発注判定!T23</f>
        <v>S:現場欠品</v>
      </c>
    </row>
    <row r="24" customFormat="false" ht="15" hidden="false" customHeight="false" outlineLevel="0" collapsed="false">
      <c r="A24" s="32" t="n">
        <v>18</v>
      </c>
      <c r="B24" s="32" t="s">
        <v>310</v>
      </c>
      <c r="C24" s="33" t="s">
        <v>311</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237</v>
      </c>
      <c r="AI24" s="37" t="n">
        <f aca="false">IFERROR(AH24/AH$49,0)</f>
        <v>0.0527604630454141</v>
      </c>
      <c r="AJ24" s="34" t="n">
        <f aca="false">AH24*AG24</f>
        <v>142200</v>
      </c>
      <c r="AK24" s="37" t="n">
        <f aca="false">IFERROR(AJ24/AJ$49,0)</f>
        <v>0.0396442610610834</v>
      </c>
      <c r="AL24" s="35" t="n">
        <v>1500</v>
      </c>
      <c r="AM24" s="37" t="n">
        <f aca="false">IFERROR(AH24/AL24,0)</f>
        <v>0.158</v>
      </c>
      <c r="AN24" s="36" t="n">
        <f aca="false">①札幌予測確定!O24</f>
        <v>1.79515369540884</v>
      </c>
      <c r="AO24" s="35" t="n">
        <f aca="false">①札幌予測確定!P24</f>
        <v>425</v>
      </c>
      <c r="AP24" s="34" t="n">
        <f aca="false">①札幌予測確定!Q24</f>
        <v>255000</v>
      </c>
      <c r="AQ24" s="37" t="n">
        <f aca="false">①札幌予測確定!T24</f>
        <v>0.283333333333333</v>
      </c>
      <c r="AR24" s="35" t="n">
        <f aca="false">①札幌予測確定!U24</f>
        <v>1075</v>
      </c>
      <c r="AS24" s="35" t="n">
        <f aca="false">③石川以降予測!N46</f>
        <v>3308</v>
      </c>
      <c r="AT24" s="35" t="n">
        <f aca="false">③石川以降予測!T46</f>
        <v>9300</v>
      </c>
      <c r="AU24" s="38" t="n">
        <f aca="false">③石川以降予測!U46</f>
        <v>-5992</v>
      </c>
      <c r="AV24" s="35" t="n">
        <f aca="false">③石川以降予測!V46</f>
        <v>0</v>
      </c>
      <c r="AW24" s="32" t="str">
        <f aca="false">④追加発注判定!J24</f>
        <v>在庫余剰</v>
      </c>
      <c r="AX24" s="32" t="str">
        <f aca="false">④追加発注判定!P24</f>
        <v>在庫で充足</v>
      </c>
      <c r="AY24" s="35" t="n">
        <f aca="false">④追加発注判定!R24</f>
        <v>0</v>
      </c>
      <c r="AZ24" s="32" t="str">
        <f aca="false">④追加発注判定!T24</f>
        <v>D:不要</v>
      </c>
    </row>
    <row r="25" customFormat="false" ht="15" hidden="false" customHeight="false" outlineLevel="0" collapsed="false">
      <c r="A25" s="32" t="n">
        <v>19</v>
      </c>
      <c r="B25" s="32" t="s">
        <v>312</v>
      </c>
      <c r="C25" s="33" t="s">
        <v>313</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8</v>
      </c>
      <c r="AI25" s="37" t="n">
        <f aca="false">IFERROR(AH25/AH$49,0)</f>
        <v>0.00178094390026714</v>
      </c>
      <c r="AJ25" s="34" t="n">
        <f aca="false">AH25*AG25</f>
        <v>4800</v>
      </c>
      <c r="AK25" s="37" t="n">
        <f aca="false">IFERROR(AJ25/AJ$49,0)</f>
        <v>0.00133820290501547</v>
      </c>
      <c r="AL25" s="35" t="n">
        <v>50</v>
      </c>
      <c r="AM25" s="37" t="n">
        <f aca="false">IFERROR(AH25/AL25,0)</f>
        <v>0.16</v>
      </c>
      <c r="AN25" s="36" t="n">
        <f aca="false">①札幌予測確定!O25</f>
        <v>1.83769731507753</v>
      </c>
      <c r="AO25" s="35" t="n">
        <f aca="false">①札幌予測確定!P25</f>
        <v>15</v>
      </c>
      <c r="AP25" s="34" t="n">
        <f aca="false">①札幌予測確定!Q25</f>
        <v>9000</v>
      </c>
      <c r="AQ25" s="37" t="n">
        <f aca="false">①札幌予測確定!T25</f>
        <v>0.3</v>
      </c>
      <c r="AR25" s="35" t="n">
        <f aca="false">①札幌予測確定!U25</f>
        <v>35</v>
      </c>
      <c r="AS25" s="35" t="n">
        <f aca="false">③石川以降予測!N47</f>
        <v>100</v>
      </c>
      <c r="AT25" s="35" t="n">
        <f aca="false">③石川以降予測!T47</f>
        <v>2225</v>
      </c>
      <c r="AU25" s="38" t="n">
        <f aca="false">③石川以降予測!U47</f>
        <v>-2125</v>
      </c>
      <c r="AV25" s="35" t="n">
        <f aca="false">③石川以降予測!V47</f>
        <v>0</v>
      </c>
      <c r="AW25" s="32" t="str">
        <f aca="false">④追加発注判定!J25</f>
        <v>在庫余剰</v>
      </c>
      <c r="AX25" s="32" t="str">
        <f aca="false">④追加発注判定!P25</f>
        <v>在庫で充足</v>
      </c>
      <c r="AY25" s="35" t="n">
        <f aca="false">④追加発注判定!R25</f>
        <v>0</v>
      </c>
      <c r="AZ25" s="32" t="str">
        <f aca="false">④追加発注判定!T25</f>
        <v>D:不要</v>
      </c>
    </row>
    <row r="26" customFormat="false" ht="15" hidden="false" customHeight="false" outlineLevel="0" collapsed="false">
      <c r="A26" s="32" t="n">
        <v>20</v>
      </c>
      <c r="B26" s="32" t="s">
        <v>314</v>
      </c>
      <c r="C26" s="33" t="s">
        <v>315</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7</v>
      </c>
      <c r="AI26" s="37" t="n">
        <f aca="false">IFERROR(AH26/AH$49,0)</f>
        <v>0.00155832591273375</v>
      </c>
      <c r="AJ26" s="34" t="n">
        <f aca="false">AH26*AG26</f>
        <v>4200</v>
      </c>
      <c r="AK26" s="37" t="n">
        <f aca="false">IFERROR(AJ26/AJ$49,0)</f>
        <v>0.00117092754188854</v>
      </c>
      <c r="AL26" s="35" t="n">
        <v>30</v>
      </c>
      <c r="AM26" s="37" t="n">
        <f aca="false">IFERROR(AH26/AL26,0)</f>
        <v>0.233333333333333</v>
      </c>
      <c r="AN26" s="36" t="n">
        <f aca="false">①札幌予測確定!O26</f>
        <v>2.38401791777775</v>
      </c>
      <c r="AO26" s="35" t="n">
        <f aca="false">①札幌予測確定!P26</f>
        <v>17</v>
      </c>
      <c r="AP26" s="34" t="n">
        <f aca="false">①札幌予測確定!Q26</f>
        <v>10200</v>
      </c>
      <c r="AQ26" s="37" t="n">
        <f aca="false">①札幌予測確定!T26</f>
        <v>0.566666666666667</v>
      </c>
      <c r="AR26" s="35" t="n">
        <f aca="false">①札幌予測確定!U26</f>
        <v>13</v>
      </c>
      <c r="AS26" s="35" t="n">
        <f aca="false">③石川以降予測!N48</f>
        <v>106</v>
      </c>
      <c r="AT26" s="35" t="n">
        <f aca="false">③石川以降予測!T48</f>
        <v>284</v>
      </c>
      <c r="AU26" s="38" t="n">
        <f aca="false">③石川以降予測!U48</f>
        <v>-178</v>
      </c>
      <c r="AV26" s="35" t="n">
        <f aca="false">③石川以降予測!V48</f>
        <v>0</v>
      </c>
      <c r="AW26" s="32" t="str">
        <f aca="false">④追加発注判定!J26</f>
        <v>適正</v>
      </c>
      <c r="AX26" s="32" t="str">
        <f aca="false">④追加発注判定!P26</f>
        <v>在庫で充足</v>
      </c>
      <c r="AY26" s="35" t="n">
        <f aca="false">④追加発注判定!R26</f>
        <v>0</v>
      </c>
      <c r="AZ26" s="32" t="str">
        <f aca="false">④追加発注判定!T26</f>
        <v>D:不要</v>
      </c>
    </row>
    <row r="27" customFormat="false" ht="15" hidden="false" customHeight="false" outlineLevel="0" collapsed="false">
      <c r="A27" s="32" t="n">
        <v>21</v>
      </c>
      <c r="B27" s="32" t="s">
        <v>316</v>
      </c>
      <c r="C27" s="33" t="s">
        <v>317</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43</v>
      </c>
      <c r="AI27" s="37" t="n">
        <f aca="false">IFERROR(AH27/AH$49,0)</f>
        <v>0.00957257346393589</v>
      </c>
      <c r="AJ27" s="34" t="n">
        <f aca="false">AH27*AG27</f>
        <v>25800</v>
      </c>
      <c r="AK27" s="37" t="n">
        <f aca="false">IFERROR(AJ27/AJ$49,0)</f>
        <v>0.00719284061445817</v>
      </c>
      <c r="AL27" s="35" t="n">
        <v>50</v>
      </c>
      <c r="AM27" s="37" t="n">
        <f aca="false">IFERROR(AH27/AL27,0)</f>
        <v>0.86</v>
      </c>
      <c r="AN27" s="36" t="n">
        <f aca="false">①札幌予測確定!O27</f>
        <v>2.10918320536637</v>
      </c>
      <c r="AO27" s="35" t="n">
        <f aca="false">①札幌予測確定!P27</f>
        <v>91</v>
      </c>
      <c r="AP27" s="34" t="n">
        <f aca="false">①札幌予測確定!Q27</f>
        <v>54600</v>
      </c>
      <c r="AQ27" s="37" t="n">
        <f aca="false">①札幌予測確定!T27</f>
        <v>1.82</v>
      </c>
      <c r="AR27" s="35" t="n">
        <f aca="false">①札幌予測確定!U27</f>
        <v>0</v>
      </c>
      <c r="AS27" s="35" t="n">
        <f aca="false">③石川以降予測!N49</f>
        <v>589</v>
      </c>
      <c r="AT27" s="35" t="n">
        <f aca="false">③石川以降予測!T49</f>
        <v>217</v>
      </c>
      <c r="AU27" s="38" t="n">
        <f aca="false">③石川以降予測!U49</f>
        <v>372</v>
      </c>
      <c r="AV27" s="35" t="n">
        <f aca="false">③石川以降予測!V49</f>
        <v>372</v>
      </c>
      <c r="AW27" s="32" t="str">
        <f aca="false">④追加発注判定!J27</f>
        <v>要 追加発注</v>
      </c>
      <c r="AX27" s="32" t="str">
        <f aca="false">④追加発注判定!P27</f>
        <v>要 追加生産</v>
      </c>
      <c r="AY27" s="35" t="n">
        <f aca="false">④追加発注判定!R27</f>
        <v>456</v>
      </c>
      <c r="AZ27" s="32" t="str">
        <f aca="false">④追加発注判定!T27</f>
        <v>S:現場欠品</v>
      </c>
    </row>
    <row r="28" customFormat="false" ht="15" hidden="false" customHeight="false" outlineLevel="0" collapsed="false">
      <c r="A28" s="32" t="n">
        <v>22</v>
      </c>
      <c r="B28" s="32" t="s">
        <v>318</v>
      </c>
      <c r="C28" s="33" t="s">
        <v>319</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20</v>
      </c>
      <c r="AI28" s="37" t="n">
        <f aca="false">IFERROR(AH28/AH$49,0)</f>
        <v>0.00445235975066785</v>
      </c>
      <c r="AJ28" s="34" t="n">
        <f aca="false">AH28*AG28</f>
        <v>12000</v>
      </c>
      <c r="AK28" s="37" t="n">
        <f aca="false">IFERROR(AJ28/AJ$49,0)</f>
        <v>0.00334550726253868</v>
      </c>
      <c r="AL28" s="35" t="n">
        <v>50</v>
      </c>
      <c r="AM28" s="37" t="n">
        <f aca="false">IFERROR(AH28/AL28,0)</f>
        <v>0.4</v>
      </c>
      <c r="AN28" s="36" t="n">
        <f aca="false">①札幌予測確定!O28</f>
        <v>2.82105935183943</v>
      </c>
      <c r="AO28" s="35" t="n">
        <f aca="false">①札幌予測確定!P28</f>
        <v>56</v>
      </c>
      <c r="AP28" s="34" t="n">
        <f aca="false">①札幌予測確定!Q28</f>
        <v>33600</v>
      </c>
      <c r="AQ28" s="37" t="n">
        <f aca="false">①札幌予測確定!T28</f>
        <v>1.12</v>
      </c>
      <c r="AR28" s="35" t="n">
        <f aca="false">①札幌予測確定!U28</f>
        <v>0</v>
      </c>
      <c r="AS28" s="35" t="n">
        <f aca="false">③石川以降予測!N50</f>
        <v>372</v>
      </c>
      <c r="AT28" s="35" t="n">
        <f aca="false">③石川以降予測!T50</f>
        <v>1275</v>
      </c>
      <c r="AU28" s="38" t="n">
        <f aca="false">③石川以降予測!U50</f>
        <v>-903</v>
      </c>
      <c r="AV28" s="35" t="n">
        <f aca="false">③石川以降予測!V50</f>
        <v>0</v>
      </c>
      <c r="AW28" s="32" t="str">
        <f aca="false">④追加発注判定!J28</f>
        <v>要 追加発注</v>
      </c>
      <c r="AX28" s="32" t="str">
        <f aca="false">④追加発注判定!P28</f>
        <v>在庫で充足</v>
      </c>
      <c r="AY28" s="35" t="n">
        <f aca="false">④追加発注判定!R28</f>
        <v>7</v>
      </c>
      <c r="AZ28" s="32" t="str">
        <f aca="false">④追加発注判定!T28</f>
        <v>S:現場欠品</v>
      </c>
    </row>
    <row r="29" customFormat="false" ht="15" hidden="false" customHeight="false" outlineLevel="0" collapsed="false">
      <c r="A29" s="32" t="n">
        <v>23</v>
      </c>
      <c r="B29" s="32" t="s">
        <v>320</v>
      </c>
      <c r="C29" s="33" t="s">
        <v>321</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1095</v>
      </c>
      <c r="AI29" s="37" t="n">
        <f aca="false">IFERROR(AH29/AH$49,0)</f>
        <v>0.243766696349065</v>
      </c>
      <c r="AJ29" s="34" t="n">
        <f aca="false">AH29*AG29</f>
        <v>657000</v>
      </c>
      <c r="AK29" s="37" t="n">
        <f aca="false">IFERROR(AJ29/AJ$49,0)</f>
        <v>0.183166522623993</v>
      </c>
      <c r="AL29" s="35" t="n">
        <v>11000</v>
      </c>
      <c r="AM29" s="37" t="n">
        <f aca="false">IFERROR(AH29/AL29,0)</f>
        <v>0.0995454545454546</v>
      </c>
      <c r="AN29" s="36" t="n">
        <f aca="false">①札幌予測確定!O29</f>
        <v>2.00255670091554</v>
      </c>
      <c r="AO29" s="35" t="n">
        <f aca="false">①札幌予測確定!P29</f>
        <v>2193</v>
      </c>
      <c r="AP29" s="34" t="n">
        <f aca="false">①札幌予測確定!Q29</f>
        <v>1315800</v>
      </c>
      <c r="AQ29" s="37" t="n">
        <f aca="false">①札幌予測確定!T29</f>
        <v>0.199363636363636</v>
      </c>
      <c r="AR29" s="35" t="n">
        <f aca="false">①札幌予測確定!U29</f>
        <v>8807</v>
      </c>
      <c r="AS29" s="35" t="n">
        <f aca="false">③石川以降予測!N51</f>
        <v>18575</v>
      </c>
      <c r="AT29" s="35" t="n">
        <f aca="false">③石川以降予測!T51</f>
        <v>49625</v>
      </c>
      <c r="AU29" s="38" t="n">
        <f aca="false">③石川以降予測!U51</f>
        <v>-31050</v>
      </c>
      <c r="AV29" s="35" t="n">
        <f aca="false">③石川以降予測!V51</f>
        <v>0</v>
      </c>
      <c r="AW29" s="32" t="str">
        <f aca="false">④追加発注判定!J29</f>
        <v>在庫余剰</v>
      </c>
      <c r="AX29" s="32" t="str">
        <f aca="false">④追加発注判定!P29</f>
        <v>在庫で充足</v>
      </c>
      <c r="AY29" s="35" t="n">
        <f aca="false">④追加発注判定!R29</f>
        <v>0</v>
      </c>
      <c r="AZ29" s="32" t="str">
        <f aca="false">④追加発注判定!T29</f>
        <v>D:不要</v>
      </c>
    </row>
    <row r="30" customFormat="false" ht="15" hidden="false" customHeight="false" outlineLevel="0" collapsed="false">
      <c r="A30" s="32" t="n">
        <v>24</v>
      </c>
      <c r="B30" s="32" t="s">
        <v>322</v>
      </c>
      <c r="C30" s="33" t="s">
        <v>323</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591</v>
      </c>
      <c r="AI30" s="37" t="n">
        <f aca="false">IFERROR(AH30/AH$49,0)</f>
        <v>0.131567230632235</v>
      </c>
      <c r="AJ30" s="34" t="n">
        <f aca="false">AH30*AG30</f>
        <v>354600</v>
      </c>
      <c r="AK30" s="37" t="n">
        <f aca="false">IFERROR(AJ30/AJ$49,0)</f>
        <v>0.0988597396080181</v>
      </c>
      <c r="AL30" s="35" t="n">
        <v>8000</v>
      </c>
      <c r="AM30" s="37" t="n">
        <f aca="false">IFERROR(AH30/AL30,0)</f>
        <v>0.073875</v>
      </c>
      <c r="AN30" s="36" t="n">
        <f aca="false">①札幌予測確定!O30</f>
        <v>2.02261047155815</v>
      </c>
      <c r="AO30" s="35" t="n">
        <f aca="false">①札幌予測確定!P30</f>
        <v>1195</v>
      </c>
      <c r="AP30" s="34" t="n">
        <f aca="false">①札幌予測確定!Q30</f>
        <v>717000</v>
      </c>
      <c r="AQ30" s="37" t="n">
        <f aca="false">①札幌予測確定!T30</f>
        <v>0.149375</v>
      </c>
      <c r="AR30" s="35" t="n">
        <f aca="false">①札幌予測確定!U30</f>
        <v>6805</v>
      </c>
      <c r="AS30" s="35" t="n">
        <f aca="false">③石川以降予測!N52</f>
        <v>10150</v>
      </c>
      <c r="AT30" s="35" t="n">
        <f aca="false">③石川以降予測!T52</f>
        <v>31009</v>
      </c>
      <c r="AU30" s="38" t="n">
        <f aca="false">③石川以降予測!U52</f>
        <v>-20859</v>
      </c>
      <c r="AV30" s="35" t="n">
        <f aca="false">③石川以降予測!V52</f>
        <v>0</v>
      </c>
      <c r="AW30" s="32" t="str">
        <f aca="false">④追加発注判定!J30</f>
        <v>在庫余剰</v>
      </c>
      <c r="AX30" s="32" t="str">
        <f aca="false">④追加発注判定!P30</f>
        <v>在庫で充足</v>
      </c>
      <c r="AY30" s="35" t="n">
        <f aca="false">④追加発注判定!R30</f>
        <v>0</v>
      </c>
      <c r="AZ30" s="32" t="str">
        <f aca="false">④追加発注判定!T30</f>
        <v>D:不要</v>
      </c>
    </row>
    <row r="31" customFormat="false" ht="15" hidden="false" customHeight="false" outlineLevel="0" collapsed="false">
      <c r="A31" s="32" t="n">
        <v>25</v>
      </c>
      <c r="B31" s="32" t="s">
        <v>324</v>
      </c>
      <c r="C31" s="33" t="s">
        <v>325</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20</v>
      </c>
      <c r="AI31" s="37" t="n">
        <f aca="false">IFERROR(AH31/AH$49,0)</f>
        <v>0.00445235975066785</v>
      </c>
      <c r="AJ31" s="34" t="n">
        <f aca="false">AH31*AG31</f>
        <v>30000</v>
      </c>
      <c r="AK31" s="37" t="n">
        <f aca="false">IFERROR(AJ31/AJ$49,0)</f>
        <v>0.00836376815634671</v>
      </c>
      <c r="AL31" s="35" t="n">
        <v>200</v>
      </c>
      <c r="AM31" s="37" t="n">
        <f aca="false">IFERROR(AH31/AL31,0)</f>
        <v>0.1</v>
      </c>
      <c r="AN31" s="36" t="n">
        <f aca="false">①札幌予測確定!O31</f>
        <v>2.16657125600973</v>
      </c>
      <c r="AO31" s="35" t="n">
        <f aca="false">①札幌予測確定!P31</f>
        <v>43</v>
      </c>
      <c r="AP31" s="34" t="n">
        <f aca="false">①札幌予測確定!Q31</f>
        <v>64500</v>
      </c>
      <c r="AQ31" s="37" t="n">
        <f aca="false">①札幌予測確定!T31</f>
        <v>0.215</v>
      </c>
      <c r="AR31" s="35" t="n">
        <f aca="false">①札幌予測確定!U31</f>
        <v>157</v>
      </c>
      <c r="AS31" s="35" t="n">
        <f aca="false">③石川以降予測!N53</f>
        <v>359</v>
      </c>
      <c r="AT31" s="35" t="n">
        <f aca="false">③石川以降予測!T53</f>
        <v>3462</v>
      </c>
      <c r="AU31" s="38" t="n">
        <f aca="false">③石川以降予測!U53</f>
        <v>-3103</v>
      </c>
      <c r="AV31" s="35" t="n">
        <f aca="false">③石川以降予測!V53</f>
        <v>0</v>
      </c>
      <c r="AW31" s="32" t="str">
        <f aca="false">④追加発注判定!J31</f>
        <v>在庫余剰</v>
      </c>
      <c r="AX31" s="32" t="str">
        <f aca="false">④追加発注判定!P31</f>
        <v>在庫で充足</v>
      </c>
      <c r="AY31" s="35" t="n">
        <f aca="false">④追加発注判定!R31</f>
        <v>0</v>
      </c>
      <c r="AZ31" s="32" t="str">
        <f aca="false">④追加発注判定!T31</f>
        <v>D:不要</v>
      </c>
    </row>
    <row r="32" customFormat="false" ht="15" hidden="false" customHeight="false" outlineLevel="0" collapsed="false">
      <c r="A32" s="32" t="n">
        <v>26</v>
      </c>
      <c r="B32" s="32" t="s">
        <v>326</v>
      </c>
      <c r="C32" s="33" t="s">
        <v>327</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91</v>
      </c>
      <c r="AI32" s="37" t="n">
        <f aca="false">IFERROR(AH32/AH$49,0)</f>
        <v>0.0202582368655387</v>
      </c>
      <c r="AJ32" s="34" t="n">
        <f aca="false">AH32*AG32</f>
        <v>200200</v>
      </c>
      <c r="AK32" s="37" t="n">
        <f aca="false">IFERROR(AJ32/AJ$49,0)</f>
        <v>0.0558142128300204</v>
      </c>
      <c r="AL32" s="35" t="n">
        <v>100</v>
      </c>
      <c r="AM32" s="37" t="n">
        <f aca="false">IFERROR(AH32/AL32,0)</f>
        <v>0.91</v>
      </c>
      <c r="AN32" s="36" t="n">
        <f aca="false">①札幌予測確定!O32</f>
        <v>1.80217947085147</v>
      </c>
      <c r="AO32" s="35" t="n">
        <f aca="false">①札幌予測確定!P32</f>
        <v>164</v>
      </c>
      <c r="AP32" s="34" t="n">
        <f aca="false">①札幌予測確定!Q32</f>
        <v>360800</v>
      </c>
      <c r="AQ32" s="37" t="n">
        <f aca="false">①札幌予測確定!T32</f>
        <v>1.64</v>
      </c>
      <c r="AR32" s="35" t="n">
        <f aca="false">①札幌予測確定!U32</f>
        <v>0</v>
      </c>
      <c r="AS32" s="35" t="n">
        <f aca="false">③石川以降予測!N54</f>
        <v>1317</v>
      </c>
      <c r="AT32" s="35" t="n">
        <f aca="false">③石川以降予測!T54</f>
        <v>333</v>
      </c>
      <c r="AU32" s="38" t="n">
        <f aca="false">③石川以降予測!U54</f>
        <v>984</v>
      </c>
      <c r="AV32" s="35" t="n">
        <f aca="false">③石川以降予測!V54</f>
        <v>984</v>
      </c>
      <c r="AW32" s="32" t="str">
        <f aca="false">④追加発注判定!J32</f>
        <v>要 追加発注</v>
      </c>
      <c r="AX32" s="32" t="str">
        <f aca="false">④追加発注判定!P32</f>
        <v>要 追加生産</v>
      </c>
      <c r="AY32" s="35" t="n">
        <f aca="false">④追加発注判定!R32</f>
        <v>1154</v>
      </c>
      <c r="AZ32" s="32" t="str">
        <f aca="false">④追加発注判定!T32</f>
        <v>S:現場欠品</v>
      </c>
    </row>
    <row r="33" customFormat="false" ht="15" hidden="false" customHeight="false" outlineLevel="0" collapsed="false">
      <c r="A33" s="32" t="n">
        <v>27</v>
      </c>
      <c r="B33" s="32" t="s">
        <v>328</v>
      </c>
      <c r="C33" s="33" t="s">
        <v>329</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16</v>
      </c>
      <c r="AI33" s="37" t="n">
        <f aca="false">IFERROR(AH33/AH$49,0)</f>
        <v>0.00356188780053428</v>
      </c>
      <c r="AJ33" s="34" t="n">
        <f aca="false">AH33*AG33</f>
        <v>17600</v>
      </c>
      <c r="AK33" s="37" t="n">
        <f aca="false">IFERROR(AJ33/AJ$49,0)</f>
        <v>0.00490674398505673</v>
      </c>
      <c r="AL33" s="35" t="n">
        <v>70</v>
      </c>
      <c r="AM33" s="37" t="n">
        <f aca="false">IFERROR(AH33/AL33,0)</f>
        <v>0.228571428571429</v>
      </c>
      <c r="AN33" s="36" t="n">
        <f aca="false">①札幌予測確定!O33</f>
        <v>2.38545396792595</v>
      </c>
      <c r="AO33" s="35" t="n">
        <f aca="false">①札幌予測確定!P33</f>
        <v>38</v>
      </c>
      <c r="AP33" s="34" t="n">
        <f aca="false">①札幌予測確定!Q33</f>
        <v>41800</v>
      </c>
      <c r="AQ33" s="37" t="n">
        <f aca="false">①札幌予測確定!T33</f>
        <v>0.542857142857143</v>
      </c>
      <c r="AR33" s="35" t="n">
        <f aca="false">①札幌予測確定!U33</f>
        <v>32</v>
      </c>
      <c r="AS33" s="35" t="n">
        <f aca="false">③石川以降予測!N55</f>
        <v>272</v>
      </c>
      <c r="AT33" s="35" t="n">
        <f aca="false">③石川以降予測!T55</f>
        <v>1160</v>
      </c>
      <c r="AU33" s="38" t="n">
        <f aca="false">③石川以降予測!U55</f>
        <v>-888</v>
      </c>
      <c r="AV33" s="35" t="n">
        <f aca="false">③石川以降予測!V55</f>
        <v>0</v>
      </c>
      <c r="AW33" s="32" t="str">
        <f aca="false">④追加発注判定!J33</f>
        <v>適正</v>
      </c>
      <c r="AX33" s="32" t="str">
        <f aca="false">④追加発注判定!P33</f>
        <v>在庫で充足</v>
      </c>
      <c r="AY33" s="35" t="n">
        <f aca="false">④追加発注判定!R33</f>
        <v>0</v>
      </c>
      <c r="AZ33" s="32" t="str">
        <f aca="false">④追加発注判定!T33</f>
        <v>D:不要</v>
      </c>
    </row>
    <row r="34" customFormat="false" ht="15" hidden="false" customHeight="false" outlineLevel="0" collapsed="false">
      <c r="A34" s="32" t="n">
        <v>28</v>
      </c>
      <c r="B34" s="32" t="s">
        <v>330</v>
      </c>
      <c r="C34" s="33" t="s">
        <v>331</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153</v>
      </c>
      <c r="AI34" s="37" t="n">
        <f aca="false">IFERROR(AH34/AH$49,0)</f>
        <v>0.0340605520926091</v>
      </c>
      <c r="AJ34" s="34" t="n">
        <f aca="false">AH34*AG34</f>
        <v>275400</v>
      </c>
      <c r="AK34" s="37" t="n">
        <f aca="false">IFERROR(AJ34/AJ$49,0)</f>
        <v>0.0767793916752628</v>
      </c>
      <c r="AL34" s="35" t="n">
        <v>200</v>
      </c>
      <c r="AM34" s="37" t="n">
        <f aca="false">IFERROR(AH34/AL34,0)</f>
        <v>0.765</v>
      </c>
      <c r="AN34" s="36" t="n">
        <f aca="false">①札幌予測確定!O34</f>
        <v>1.41943901239836</v>
      </c>
      <c r="AO34" s="35" t="n">
        <f aca="false">①札幌予測確定!P34</f>
        <v>217</v>
      </c>
      <c r="AP34" s="34" t="n">
        <f aca="false">①札幌予測確定!Q34</f>
        <v>390600</v>
      </c>
      <c r="AQ34" s="37" t="n">
        <f aca="false">①札幌予測確定!T34</f>
        <v>1.085</v>
      </c>
      <c r="AR34" s="35" t="n">
        <f aca="false">①札幌予測確定!U34</f>
        <v>0</v>
      </c>
      <c r="AS34" s="35" t="n">
        <f aca="false">③石川以降予測!N56</f>
        <v>1273</v>
      </c>
      <c r="AT34" s="35" t="n">
        <f aca="false">③石川以降予測!T56</f>
        <v>243</v>
      </c>
      <c r="AU34" s="38" t="n">
        <f aca="false">③石川以降予測!U56</f>
        <v>1030</v>
      </c>
      <c r="AV34" s="35" t="n">
        <f aca="false">③石川以降予測!V56</f>
        <v>1030</v>
      </c>
      <c r="AW34" s="32" t="str">
        <f aca="false">④追加発注判定!J34</f>
        <v>要 追加発注</v>
      </c>
      <c r="AX34" s="32" t="str">
        <f aca="false">④追加発注判定!P34</f>
        <v>要 追加生産</v>
      </c>
      <c r="AY34" s="35" t="n">
        <f aca="false">④追加発注判定!R34</f>
        <v>1152</v>
      </c>
      <c r="AZ34" s="32" t="str">
        <f aca="false">④追加発注判定!T34</f>
        <v>S:現場欠品</v>
      </c>
    </row>
    <row r="35" customFormat="false" ht="15" hidden="false" customHeight="false" outlineLevel="0" collapsed="false">
      <c r="A35" s="32" t="n">
        <v>29</v>
      </c>
      <c r="B35" s="32" t="s">
        <v>332</v>
      </c>
      <c r="C35" s="33" t="s">
        <v>333</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67</v>
      </c>
      <c r="AI35" s="37" t="n">
        <f aca="false">IFERROR(AH35/AH$49,0)</f>
        <v>0.0149154051647373</v>
      </c>
      <c r="AJ35" s="34" t="n">
        <f aca="false">AH35*AG35</f>
        <v>100500</v>
      </c>
      <c r="AK35" s="37" t="n">
        <f aca="false">IFERROR(AJ35/AJ$49,0)</f>
        <v>0.0280186233237615</v>
      </c>
      <c r="AL35" s="35" t="n">
        <v>100</v>
      </c>
      <c r="AM35" s="37" t="n">
        <f aca="false">IFERROR(AH35/AL35,0)</f>
        <v>0.67</v>
      </c>
      <c r="AN35" s="36" t="n">
        <f aca="false">①札幌予測確定!O35</f>
        <v>1.38644453882435</v>
      </c>
      <c r="AO35" s="35" t="n">
        <f aca="false">①札幌予測確定!P35</f>
        <v>93</v>
      </c>
      <c r="AP35" s="34" t="n">
        <f aca="false">①札幌予測確定!Q35</f>
        <v>139500</v>
      </c>
      <c r="AQ35" s="37" t="n">
        <f aca="false">①札幌予測確定!T35</f>
        <v>0.93</v>
      </c>
      <c r="AR35" s="35" t="n">
        <f aca="false">①札幌予測確定!U35</f>
        <v>7</v>
      </c>
      <c r="AS35" s="35" t="n">
        <f aca="false">③石川以降予測!N57</f>
        <v>563</v>
      </c>
      <c r="AT35" s="35" t="n">
        <f aca="false">③石川以降予測!T57</f>
        <v>327</v>
      </c>
      <c r="AU35" s="38" t="n">
        <f aca="false">③石川以降予測!U57</f>
        <v>236</v>
      </c>
      <c r="AV35" s="35" t="n">
        <f aca="false">③石川以降予測!V57</f>
        <v>236</v>
      </c>
      <c r="AW35" s="32" t="str">
        <f aca="false">④追加発注判定!J35</f>
        <v>要注意(90%超)</v>
      </c>
      <c r="AX35" s="32" t="str">
        <f aca="false">④追加発注判定!P35</f>
        <v>要 追加生産</v>
      </c>
      <c r="AY35" s="35" t="n">
        <f aca="false">④追加発注判定!R35</f>
        <v>260</v>
      </c>
      <c r="AZ35" s="32" t="str">
        <f aca="false">④追加発注判定!T35</f>
        <v>S:現場欠品</v>
      </c>
    </row>
    <row r="36" customFormat="false" ht="15" hidden="false" customHeight="false" outlineLevel="0" collapsed="false">
      <c r="A36" s="32" t="n">
        <v>30</v>
      </c>
      <c r="B36" s="32" t="s">
        <v>334</v>
      </c>
      <c r="C36" s="33" t="s">
        <v>335</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24</v>
      </c>
      <c r="AI36" s="37" t="n">
        <f aca="false">IFERROR(AH36/AH$49,0)</f>
        <v>0.00534283170080143</v>
      </c>
      <c r="AJ36" s="34" t="n">
        <f aca="false">AH36*AG36</f>
        <v>79200</v>
      </c>
      <c r="AK36" s="37" t="n">
        <f aca="false">IFERROR(AJ36/AJ$49,0)</f>
        <v>0.0220803479327553</v>
      </c>
      <c r="AL36" s="35" t="n">
        <v>250</v>
      </c>
      <c r="AM36" s="37" t="n">
        <f aca="false">IFERROR(AH36/AL36,0)</f>
        <v>0.096</v>
      </c>
      <c r="AN36" s="36" t="n">
        <f aca="false">①札幌予測確定!O36</f>
        <v>2.6393017628854</v>
      </c>
      <c r="AO36" s="35" t="n">
        <f aca="false">①札幌予測確定!P36</f>
        <v>63</v>
      </c>
      <c r="AP36" s="34" t="n">
        <f aca="false">①札幌予測確定!Q36</f>
        <v>207900</v>
      </c>
      <c r="AQ36" s="37" t="n">
        <f aca="false">①札幌予測確定!T36</f>
        <v>0.252</v>
      </c>
      <c r="AR36" s="35" t="n">
        <f aca="false">①札幌予測確定!U36</f>
        <v>187</v>
      </c>
      <c r="AS36" s="35" t="n">
        <f aca="false">③石川以降予測!N58</f>
        <v>429</v>
      </c>
      <c r="AT36" s="35" t="n">
        <f aca="false">③石川以降予測!T58</f>
        <v>835</v>
      </c>
      <c r="AU36" s="38" t="n">
        <f aca="false">③石川以降予測!U58</f>
        <v>-406</v>
      </c>
      <c r="AV36" s="35" t="n">
        <f aca="false">③石川以降予測!V58</f>
        <v>0</v>
      </c>
      <c r="AW36" s="32" t="str">
        <f aca="false">④追加発注判定!J36</f>
        <v>在庫余剰</v>
      </c>
      <c r="AX36" s="32" t="str">
        <f aca="false">④追加発注判定!P36</f>
        <v>在庫で充足</v>
      </c>
      <c r="AY36" s="35" t="n">
        <f aca="false">④追加発注判定!R36</f>
        <v>0</v>
      </c>
      <c r="AZ36" s="32" t="str">
        <f aca="false">④追加発注判定!T36</f>
        <v>D:不要</v>
      </c>
    </row>
    <row r="37" customFormat="false" ht="15" hidden="false" customHeight="false" outlineLevel="0" collapsed="false">
      <c r="A37" s="32" t="n">
        <v>31</v>
      </c>
      <c r="B37" s="32" t="s">
        <v>336</v>
      </c>
      <c r="C37" s="33" t="s">
        <v>337</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46</v>
      </c>
      <c r="AI37" s="37" t="n">
        <f aca="false">IFERROR(AH37/AH$49,0)</f>
        <v>0.0102404274265361</v>
      </c>
      <c r="AJ37" s="34" t="n">
        <f aca="false">AH37*AG37</f>
        <v>59800</v>
      </c>
      <c r="AK37" s="37" t="n">
        <f aca="false">IFERROR(AJ37/AJ$49,0)</f>
        <v>0.0166717778583178</v>
      </c>
      <c r="AL37" s="35" t="n">
        <v>200</v>
      </c>
      <c r="AM37" s="37" t="n">
        <f aca="false">IFERROR(AH37/AL37,0)</f>
        <v>0.23</v>
      </c>
      <c r="AN37" s="36" t="n">
        <f aca="false">①札幌予測確定!O37</f>
        <v>1.93747557718939</v>
      </c>
      <c r="AO37" s="35" t="n">
        <f aca="false">①札幌予測確定!P37</f>
        <v>89</v>
      </c>
      <c r="AP37" s="34" t="n">
        <f aca="false">①札幌予測確定!Q37</f>
        <v>115700</v>
      </c>
      <c r="AQ37" s="37" t="n">
        <f aca="false">①札幌予測確定!T37</f>
        <v>0.445</v>
      </c>
      <c r="AR37" s="35" t="n">
        <f aca="false">①札幌予測確定!U37</f>
        <v>111</v>
      </c>
      <c r="AS37" s="35" t="n">
        <f aca="false">③石川以降予測!N59</f>
        <v>695</v>
      </c>
      <c r="AT37" s="35" t="n">
        <f aca="false">③石川以降予測!T59</f>
        <v>837</v>
      </c>
      <c r="AU37" s="38" t="n">
        <f aca="false">③石川以降予測!U59</f>
        <v>-142</v>
      </c>
      <c r="AV37" s="35" t="n">
        <f aca="false">③石川以降予測!V59</f>
        <v>0</v>
      </c>
      <c r="AW37" s="32" t="str">
        <f aca="false">④追加発注判定!J37</f>
        <v>在庫余剰</v>
      </c>
      <c r="AX37" s="32" t="str">
        <f aca="false">④追加発注判定!P37</f>
        <v>在庫で充足</v>
      </c>
      <c r="AY37" s="35" t="n">
        <f aca="false">④追加発注判定!R37</f>
        <v>0</v>
      </c>
      <c r="AZ37" s="32" t="str">
        <f aca="false">④追加発注判定!T37</f>
        <v>D:不要</v>
      </c>
    </row>
    <row r="38" customFormat="false" ht="15" hidden="false" customHeight="false" outlineLevel="0" collapsed="false">
      <c r="A38" s="32" t="n">
        <v>32</v>
      </c>
      <c r="B38" s="32" t="s">
        <v>338</v>
      </c>
      <c r="C38" s="33" t="s">
        <v>339</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0.00222617987533393</v>
      </c>
      <c r="AJ38" s="34" t="n">
        <f aca="false">AH38*AG38</f>
        <v>88000</v>
      </c>
      <c r="AK38" s="37" t="n">
        <f aca="false">IFERROR(AJ38/AJ$49,0)</f>
        <v>0.0245337199252837</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③石川以降予測!N60</f>
        <v>72</v>
      </c>
      <c r="AT38" s="35" t="n">
        <f aca="false">③石川以降予測!T60</f>
        <v>23</v>
      </c>
      <c r="AU38" s="38" t="n">
        <f aca="false">③石川以降予測!U60</f>
        <v>49</v>
      </c>
      <c r="AV38" s="35" t="n">
        <f aca="false">③石川以降予測!V60</f>
        <v>49</v>
      </c>
      <c r="AW38" s="32" t="str">
        <f aca="false">④追加発注判定!J38</f>
        <v>要注意(90%超)</v>
      </c>
      <c r="AX38" s="32" t="str">
        <f aca="false">④追加発注判定!P38</f>
        <v>要 追加生産</v>
      </c>
      <c r="AY38" s="35" t="n">
        <f aca="false">④追加発注判定!R38</f>
        <v>54</v>
      </c>
      <c r="AZ38" s="32" t="str">
        <f aca="false">④追加発注判定!T38</f>
        <v>S:現場欠品(追納不可)</v>
      </c>
    </row>
    <row r="39" customFormat="false" ht="15" hidden="false" customHeight="false" outlineLevel="0" collapsed="false">
      <c r="A39" s="32" t="n">
        <v>33</v>
      </c>
      <c r="B39" s="32" t="s">
        <v>340</v>
      </c>
      <c r="C39" s="33" t="s">
        <v>341</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1.63797742688059</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③石川以降予測!N61</f>
        <v>14</v>
      </c>
      <c r="AT39" s="35" t="n">
        <f aca="false">③石川以降予測!T61</f>
        <v>106</v>
      </c>
      <c r="AU39" s="38" t="n">
        <f aca="false">③石川以降予測!U61</f>
        <v>-92</v>
      </c>
      <c r="AV39" s="35" t="n">
        <f aca="false">③石川以降予測!V61</f>
        <v>0</v>
      </c>
      <c r="AW39" s="32" t="str">
        <f aca="false">④追加発注判定!J39</f>
        <v>在庫余剰</v>
      </c>
      <c r="AX39" s="32" t="str">
        <f aca="false">④追加発注判定!P39</f>
        <v>在庫で充足</v>
      </c>
      <c r="AY39" s="35" t="n">
        <f aca="false">④追加発注判定!R39</f>
        <v>0</v>
      </c>
      <c r="AZ39" s="32" t="str">
        <f aca="false">④追加発注判定!T39</f>
        <v>D:不要</v>
      </c>
    </row>
    <row r="40" customFormat="false" ht="15" hidden="false" customHeight="false" outlineLevel="0" collapsed="false">
      <c r="A40" s="32" t="n">
        <v>34</v>
      </c>
      <c r="B40" s="32" t="s">
        <v>342</v>
      </c>
      <c r="C40" s="33" t="s">
        <v>343</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1</v>
      </c>
      <c r="AI40" s="37" t="n">
        <f aca="false">IFERROR(AH40/AH$49,0)</f>
        <v>0.000222617987533393</v>
      </c>
      <c r="AJ40" s="34" t="n">
        <f aca="false">AH40*AG40</f>
        <v>27500</v>
      </c>
      <c r="AK40" s="37" t="n">
        <f aca="false">IFERROR(AJ40/AJ$49,0)</f>
        <v>0.00766678747665115</v>
      </c>
      <c r="AL40" s="35" t="n">
        <v>2</v>
      </c>
      <c r="AM40" s="37" t="n">
        <f aca="false">IFERROR(AH40/AL40,0)</f>
        <v>0.5</v>
      </c>
      <c r="AN40" s="36" t="n">
        <f aca="false">①札幌予測確定!O40</f>
        <v>1.01207300772946</v>
      </c>
      <c r="AO40" s="35" t="n">
        <f aca="false">①札幌予測確定!P40</f>
        <v>1</v>
      </c>
      <c r="AP40" s="34" t="n">
        <f aca="false">①札幌予測確定!Q40</f>
        <v>27500</v>
      </c>
      <c r="AQ40" s="37" t="n">
        <f aca="false">①札幌予測確定!T40</f>
        <v>0.5</v>
      </c>
      <c r="AR40" s="35" t="n">
        <f aca="false">①札幌予測確定!U40</f>
        <v>1</v>
      </c>
      <c r="AS40" s="35" t="n">
        <f aca="false">③石川以降予測!N62</f>
        <v>7</v>
      </c>
      <c r="AT40" s="35" t="n">
        <f aca="false">③石川以降予測!T62</f>
        <v>3</v>
      </c>
      <c r="AU40" s="38" t="n">
        <f aca="false">③石川以降予測!U62</f>
        <v>4</v>
      </c>
      <c r="AV40" s="35" t="n">
        <f aca="false">③石川以降予測!V62</f>
        <v>4</v>
      </c>
      <c r="AW40" s="32" t="str">
        <f aca="false">④追加発注判定!J40</f>
        <v>適正</v>
      </c>
      <c r="AX40" s="32" t="str">
        <f aca="false">④追加発注判定!P40</f>
        <v>要 追加生産</v>
      </c>
      <c r="AY40" s="35" t="n">
        <f aca="false">④追加発注判定!R40</f>
        <v>5</v>
      </c>
      <c r="AZ40" s="32" t="str">
        <f aca="false">④追加発注判定!T40</f>
        <v>C:通常</v>
      </c>
    </row>
    <row r="41" customFormat="false" ht="15" hidden="false" customHeight="false" outlineLevel="0" collapsed="false">
      <c r="A41" s="32" t="n">
        <v>35</v>
      </c>
      <c r="B41" s="32" t="s">
        <v>344</v>
      </c>
      <c r="C41" s="33" t="s">
        <v>345</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0</v>
      </c>
      <c r="AI41" s="37" t="n">
        <f aca="false">IFERROR(AH41/AH$49,0)</f>
        <v>0</v>
      </c>
      <c r="AJ41" s="34" t="n">
        <f aca="false">AH41*AG41</f>
        <v>0</v>
      </c>
      <c r="AK41" s="37" t="n">
        <f aca="false">IFERROR(AJ41/AJ$49,0)</f>
        <v>0</v>
      </c>
      <c r="AL41" s="35" t="n">
        <v>2</v>
      </c>
      <c r="AM41" s="37" t="n">
        <f aca="false">IFERROR(AH41/AL41,0)</f>
        <v>0</v>
      </c>
      <c r="AN41" s="36" t="n">
        <f aca="false">①札幌予測確定!O41</f>
        <v>1.01207300772946</v>
      </c>
      <c r="AO41" s="35" t="n">
        <f aca="false">①札幌予測確定!P41</f>
        <v>0</v>
      </c>
      <c r="AP41" s="34" t="n">
        <f aca="false">①札幌予測確定!Q41</f>
        <v>0</v>
      </c>
      <c r="AQ41" s="37" t="n">
        <f aca="false">①札幌予測確定!T41</f>
        <v>0</v>
      </c>
      <c r="AR41" s="35" t="n">
        <f aca="false">①札幌予測確定!U41</f>
        <v>2</v>
      </c>
      <c r="AS41" s="35" t="n">
        <f aca="false">③石川以降予測!N63</f>
        <v>1</v>
      </c>
      <c r="AT41" s="35" t="n">
        <f aca="false">③石川以降予測!T63</f>
        <v>4</v>
      </c>
      <c r="AU41" s="38" t="n">
        <f aca="false">③石川以降予測!U63</f>
        <v>-3</v>
      </c>
      <c r="AV41" s="35" t="n">
        <f aca="false">③石川以降予測!V63</f>
        <v>0</v>
      </c>
      <c r="AW41" s="32" t="str">
        <f aca="false">④追加発注判定!J41</f>
        <v>在庫余剰</v>
      </c>
      <c r="AX41" s="32" t="str">
        <f aca="false">④追加発注判定!P41</f>
        <v>在庫で充足</v>
      </c>
      <c r="AY41" s="35" t="n">
        <f aca="false">④追加発注判定!R41</f>
        <v>0</v>
      </c>
      <c r="AZ41" s="32" t="str">
        <f aca="false">④追加発注判定!T41</f>
        <v>D:不要</v>
      </c>
    </row>
    <row r="42" customFormat="false" ht="15" hidden="false" customHeight="false" outlineLevel="0" collapsed="false">
      <c r="A42" s="32" t="n">
        <v>36</v>
      </c>
      <c r="B42" s="32" t="s">
        <v>346</v>
      </c>
      <c r="C42" s="33" t="s">
        <v>347</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0</v>
      </c>
      <c r="AI42" s="37" t="n">
        <f aca="false">IFERROR(AH42/AH$49,0)</f>
        <v>0</v>
      </c>
      <c r="AJ42" s="34" t="n">
        <f aca="false">AH42*AG42</f>
        <v>0</v>
      </c>
      <c r="AK42" s="37" t="n">
        <f aca="false">IFERROR(AJ42/AJ$49,0)</f>
        <v>0</v>
      </c>
      <c r="AL42" s="35" t="n">
        <v>2</v>
      </c>
      <c r="AM42" s="37" t="n">
        <f aca="false">IFERROR(AH42/AL42,0)</f>
        <v>0</v>
      </c>
      <c r="AN42" s="36" t="n">
        <f aca="false">①札幌予測確定!O42</f>
        <v>1.01207300772946</v>
      </c>
      <c r="AO42" s="35" t="n">
        <f aca="false">①札幌予測確定!P42</f>
        <v>0</v>
      </c>
      <c r="AP42" s="34" t="n">
        <f aca="false">①札幌予測確定!Q42</f>
        <v>0</v>
      </c>
      <c r="AQ42" s="37" t="n">
        <f aca="false">①札幌予測確定!T42</f>
        <v>0</v>
      </c>
      <c r="AR42" s="35" t="n">
        <f aca="false">①札幌予測確定!U42</f>
        <v>2</v>
      </c>
      <c r="AS42" s="35" t="n">
        <f aca="false">③石川以降予測!N64</f>
        <v>1</v>
      </c>
      <c r="AT42" s="35" t="n">
        <f aca="false">③石川以降予測!T64</f>
        <v>4</v>
      </c>
      <c r="AU42" s="38" t="n">
        <f aca="false">③石川以降予測!U64</f>
        <v>-3</v>
      </c>
      <c r="AV42" s="35" t="n">
        <f aca="false">③石川以降予測!V64</f>
        <v>0</v>
      </c>
      <c r="AW42" s="32" t="str">
        <f aca="false">④追加発注判定!J42</f>
        <v>在庫余剰</v>
      </c>
      <c r="AX42" s="32" t="str">
        <f aca="false">④追加発注判定!P42</f>
        <v>在庫で充足</v>
      </c>
      <c r="AY42" s="35" t="n">
        <f aca="false">④追加発注判定!R42</f>
        <v>0</v>
      </c>
      <c r="AZ42" s="32" t="str">
        <f aca="false">④追加発注判定!T42</f>
        <v>D:不要</v>
      </c>
    </row>
    <row r="43" customFormat="false" ht="15" hidden="false" customHeight="false" outlineLevel="0" collapsed="false">
      <c r="A43" s="32" t="n">
        <v>37</v>
      </c>
      <c r="B43" s="32" t="s">
        <v>348</v>
      </c>
      <c r="C43" s="33" t="s">
        <v>349</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1.72744892890497</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③石川以降予測!N65</f>
        <v>17</v>
      </c>
      <c r="AT43" s="35" t="n">
        <f aca="false">③石川以降予測!T65</f>
        <v>43</v>
      </c>
      <c r="AU43" s="38" t="n">
        <f aca="false">③石川以降予測!U65</f>
        <v>-26</v>
      </c>
      <c r="AV43" s="35" t="n">
        <f aca="false">③石川以降予測!V65</f>
        <v>0</v>
      </c>
      <c r="AW43" s="32" t="str">
        <f aca="false">④追加発注判定!J43</f>
        <v>在庫余剰</v>
      </c>
      <c r="AX43" s="32" t="str">
        <f aca="false">④追加発注判定!P43</f>
        <v>在庫で充足</v>
      </c>
      <c r="AY43" s="35" t="n">
        <f aca="false">④追加発注判定!R43</f>
        <v>0</v>
      </c>
      <c r="AZ43" s="32" t="str">
        <f aca="false">④追加発注判定!T43</f>
        <v>D:不要</v>
      </c>
    </row>
    <row r="44" customFormat="false" ht="15" hidden="false" customHeight="false" outlineLevel="0" collapsed="false">
      <c r="A44" s="32" t="n">
        <v>38</v>
      </c>
      <c r="B44" s="32" t="s">
        <v>350</v>
      </c>
      <c r="C44" s="33" t="s">
        <v>351</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0.000445235975066785</v>
      </c>
      <c r="AJ44" s="34" t="n">
        <f aca="false">AH44*AG44</f>
        <v>55000</v>
      </c>
      <c r="AK44" s="37" t="n">
        <f aca="false">IFERROR(AJ44/AJ$49,0)</f>
        <v>0.0153335749533023</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③石川以降予測!N66</f>
        <v>11</v>
      </c>
      <c r="AT44" s="35" t="n">
        <f aca="false">③石川以降予測!T66</f>
        <v>2</v>
      </c>
      <c r="AU44" s="38" t="n">
        <f aca="false">③石川以降予測!U66</f>
        <v>9</v>
      </c>
      <c r="AV44" s="35" t="n">
        <f aca="false">③石川以降予測!V66</f>
        <v>9</v>
      </c>
      <c r="AW44" s="32" t="str">
        <f aca="false">④追加発注判定!J44</f>
        <v>要注意(90%超)</v>
      </c>
      <c r="AX44" s="32" t="str">
        <f aca="false">④追加発注判定!P44</f>
        <v>要 追加生産</v>
      </c>
      <c r="AY44" s="35" t="n">
        <f aca="false">④追加発注判定!R44</f>
        <v>10</v>
      </c>
      <c r="AZ44" s="32" t="str">
        <f aca="false">④追加発注判定!T44</f>
        <v>C:通常</v>
      </c>
    </row>
    <row r="45" customFormat="false" ht="15" hidden="false" customHeight="false" outlineLevel="0" collapsed="false">
      <c r="A45" s="32" t="n">
        <v>39</v>
      </c>
      <c r="B45" s="32" t="s">
        <v>352</v>
      </c>
      <c r="C45" s="33" t="s">
        <v>353</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0.000222617987533393</v>
      </c>
      <c r="AJ45" s="34" t="n">
        <f aca="false">AH45*AG45</f>
        <v>27500</v>
      </c>
      <c r="AK45" s="37" t="n">
        <f aca="false">IFERROR(AJ45/AJ$49,0)</f>
        <v>0.00766678747665115</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③石川以降予測!N67</f>
        <v>7</v>
      </c>
      <c r="AT45" s="35" t="n">
        <f aca="false">③石川以降予測!T67</f>
        <v>4</v>
      </c>
      <c r="AU45" s="38" t="n">
        <f aca="false">③石川以降予測!U67</f>
        <v>3</v>
      </c>
      <c r="AV45" s="35" t="n">
        <f aca="false">③石川以降予測!V67</f>
        <v>3</v>
      </c>
      <c r="AW45" s="32" t="str">
        <f aca="false">④追加発注判定!J45</f>
        <v>適正</v>
      </c>
      <c r="AX45" s="32" t="str">
        <f aca="false">④追加発注判定!P45</f>
        <v>要 追加生産</v>
      </c>
      <c r="AY45" s="35" t="n">
        <f aca="false">④追加発注判定!R45</f>
        <v>4</v>
      </c>
      <c r="AZ45" s="32" t="str">
        <f aca="false">④追加発注判定!T45</f>
        <v>C:通常</v>
      </c>
    </row>
    <row r="46" customFormat="false" ht="15" hidden="false" customHeight="false" outlineLevel="0" collapsed="false">
      <c r="A46" s="32" t="n">
        <v>40</v>
      </c>
      <c r="B46" s="32" t="s">
        <v>354</v>
      </c>
      <c r="C46" s="33" t="s">
        <v>355</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③石川以降予測!N68</f>
        <v>1</v>
      </c>
      <c r="AT46" s="35" t="n">
        <f aca="false">③石川以降予測!T68</f>
        <v>4</v>
      </c>
      <c r="AU46" s="38" t="n">
        <f aca="false">③石川以降予測!U68</f>
        <v>-3</v>
      </c>
      <c r="AV46" s="35" t="n">
        <f aca="false">③石川以降予測!V68</f>
        <v>0</v>
      </c>
      <c r="AW46" s="32" t="str">
        <f aca="false">④追加発注判定!J46</f>
        <v>在庫余剰</v>
      </c>
      <c r="AX46" s="32" t="str">
        <f aca="false">④追加発注判定!P46</f>
        <v>在庫で充足</v>
      </c>
      <c r="AY46" s="35" t="n">
        <f aca="false">④追加発注判定!R46</f>
        <v>0</v>
      </c>
      <c r="AZ46" s="32" t="str">
        <f aca="false">④追加発注判定!T46</f>
        <v>D:不要</v>
      </c>
    </row>
    <row r="47" customFormat="false" ht="15" hidden="false" customHeight="false" outlineLevel="0" collapsed="false">
      <c r="A47" s="32" t="n">
        <v>41</v>
      </c>
      <c r="B47" s="32" t="s">
        <v>356</v>
      </c>
      <c r="C47" s="33" t="s">
        <v>357</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1.57759125966182</v>
      </c>
      <c r="AO47" s="35" t="n">
        <f aca="false">①札幌予測確定!P47</f>
        <v>0</v>
      </c>
      <c r="AP47" s="34" t="n">
        <f aca="false">①札幌予測確定!Q47</f>
        <v>0</v>
      </c>
      <c r="AQ47" s="37" t="n">
        <f aca="false">①札幌予測確定!T47</f>
        <v>0</v>
      </c>
      <c r="AR47" s="35" t="n">
        <f aca="false">①札幌予測確定!U47</f>
        <v>4</v>
      </c>
      <c r="AS47" s="35" t="n">
        <f aca="false">③石川以降予測!N69</f>
        <v>1</v>
      </c>
      <c r="AT47" s="35" t="n">
        <f aca="false">③石川以降予測!T69</f>
        <v>74</v>
      </c>
      <c r="AU47" s="38" t="n">
        <f aca="false">③石川以降予測!U69</f>
        <v>-73</v>
      </c>
      <c r="AV47" s="35" t="n">
        <f aca="false">③石川以降予測!V69</f>
        <v>0</v>
      </c>
      <c r="AW47" s="32" t="str">
        <f aca="false">④追加発注判定!J47</f>
        <v>在庫余剰</v>
      </c>
      <c r="AX47" s="32" t="str">
        <f aca="false">④追加発注判定!P47</f>
        <v>在庫で充足</v>
      </c>
      <c r="AY47" s="35" t="n">
        <f aca="false">④追加発注判定!R47</f>
        <v>0</v>
      </c>
      <c r="AZ47" s="32" t="str">
        <f aca="false">④追加発注判定!T47</f>
        <v>D:不要</v>
      </c>
    </row>
    <row r="48" customFormat="false" ht="15" hidden="false" customHeight="false" outlineLevel="0" collapsed="false">
      <c r="A48" s="32" t="n">
        <v>42</v>
      </c>
      <c r="B48" s="32" t="s">
        <v>358</v>
      </c>
      <c r="C48" s="33" t="s">
        <v>359</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0.000222617987533393</v>
      </c>
      <c r="AJ48" s="34" t="n">
        <f aca="false">AH48*AG48</f>
        <v>25000</v>
      </c>
      <c r="AK48" s="37" t="n">
        <f aca="false">IFERROR(AJ48/AJ$49,0)</f>
        <v>0.00696980679695559</v>
      </c>
      <c r="AL48" s="35" t="n">
        <v>6</v>
      </c>
      <c r="AM48" s="37" t="n">
        <f aca="false">IFERROR(AH48/AL48,0)</f>
        <v>0.166666666666667</v>
      </c>
      <c r="AN48" s="36" t="n">
        <f aca="false">①札幌予測確定!O48</f>
        <v>2.53219468727855</v>
      </c>
      <c r="AO48" s="35" t="n">
        <f aca="false">①札幌予測確定!P48</f>
        <v>3</v>
      </c>
      <c r="AP48" s="34" t="n">
        <f aca="false">①札幌予測確定!Q48</f>
        <v>75000</v>
      </c>
      <c r="AQ48" s="37" t="n">
        <f aca="false">①札幌予測確定!T48</f>
        <v>0.5</v>
      </c>
      <c r="AR48" s="35" t="n">
        <f aca="false">①札幌予測確定!U48</f>
        <v>3</v>
      </c>
      <c r="AS48" s="35" t="n">
        <f aca="false">③石川以降予測!N70</f>
        <v>19</v>
      </c>
      <c r="AT48" s="35" t="n">
        <f aca="false">③石川以降予測!T70</f>
        <v>46</v>
      </c>
      <c r="AU48" s="38" t="n">
        <f aca="false">③石川以降予測!U70</f>
        <v>-27</v>
      </c>
      <c r="AV48" s="35" t="n">
        <f aca="false">③石川以降予測!V70</f>
        <v>0</v>
      </c>
      <c r="AW48" s="32" t="str">
        <f aca="false">④追加発注判定!J48</f>
        <v>適正</v>
      </c>
      <c r="AX48" s="32" t="str">
        <f aca="false">④追加発注判定!P48</f>
        <v>在庫で充足</v>
      </c>
      <c r="AY48" s="35" t="n">
        <f aca="false">④追加発注判定!R48</f>
        <v>0</v>
      </c>
      <c r="AZ48" s="32" t="str">
        <f aca="false">④追加発注判定!T48</f>
        <v>D:不要</v>
      </c>
    </row>
    <row r="49" customFormat="false" ht="15" hidden="false" customHeight="false" outlineLevel="0" collapsed="false">
      <c r="A49" s="40"/>
      <c r="B49" s="40"/>
      <c r="C49" s="41" t="s">
        <v>360</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4492</v>
      </c>
      <c r="AI49" s="40"/>
      <c r="AJ49" s="44" t="n">
        <f aca="false">SUM(AJ7:AJ48)</f>
        <v>3586900</v>
      </c>
      <c r="AK49" s="40"/>
      <c r="AL49" s="42" t="n">
        <f aca="false">SUM(AL7:AL48)</f>
        <v>50196</v>
      </c>
      <c r="AM49" s="40"/>
      <c r="AN49" s="40"/>
      <c r="AO49" s="42" t="n">
        <f aca="false">SUM(AO7:AO48)</f>
        <v>9004</v>
      </c>
      <c r="AP49" s="44" t="n">
        <f aca="false">SUM(AP7:AP48)</f>
        <v>6855000</v>
      </c>
      <c r="AQ49" s="40"/>
      <c r="AR49" s="42" t="n">
        <f aca="false">SUM(AR7:AR48)</f>
        <v>41322</v>
      </c>
      <c r="AS49" s="42" t="n">
        <f aca="false">SUM(AS7:AS48)</f>
        <v>83821</v>
      </c>
      <c r="AT49" s="42" t="n">
        <f aca="false">SUM(AT7:AT48)</f>
        <v>265684</v>
      </c>
      <c r="AU49" s="46" t="n">
        <f aca="false">SUM(AU7:AU48)</f>
        <v>-181863</v>
      </c>
      <c r="AV49" s="42" t="n">
        <f aca="false">SUM(AV7:AV48)</f>
        <v>3554</v>
      </c>
      <c r="AW49" s="40"/>
      <c r="AX49" s="40"/>
      <c r="AY49" s="42" t="n">
        <f aca="false">SUM(AY7:AY48)</f>
        <v>4059</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553</v>
      </c>
    </row>
    <row r="2" customFormat="false" ht="15" hidden="false" customHeight="false" outlineLevel="0" collapsed="false">
      <c r="A2" s="3" t="s">
        <v>554</v>
      </c>
    </row>
    <row r="5" customFormat="false" ht="33.75" hidden="false" customHeight="true" outlineLevel="0" collapsed="false">
      <c r="A5" s="25" t="s">
        <v>253</v>
      </c>
      <c r="B5" s="25" t="s">
        <v>254</v>
      </c>
      <c r="C5" s="26" t="s">
        <v>255</v>
      </c>
      <c r="D5" s="47" t="s">
        <v>555</v>
      </c>
      <c r="E5" s="28" t="s">
        <v>556</v>
      </c>
      <c r="F5" s="29" t="s">
        <v>557</v>
      </c>
      <c r="G5" s="30" t="s">
        <v>558</v>
      </c>
      <c r="H5" s="27" t="s">
        <v>559</v>
      </c>
      <c r="I5" s="47" t="s">
        <v>560</v>
      </c>
      <c r="J5" s="28" t="s">
        <v>561</v>
      </c>
      <c r="K5" s="29" t="s">
        <v>562</v>
      </c>
      <c r="L5" s="30" t="s">
        <v>470</v>
      </c>
      <c r="M5" s="27" t="s">
        <v>472</v>
      </c>
      <c r="N5" s="31" t="s">
        <v>563</v>
      </c>
      <c r="O5" s="31" t="s">
        <v>564</v>
      </c>
      <c r="P5" s="31" t="s">
        <v>565</v>
      </c>
      <c r="Q5" s="31" t="s">
        <v>566</v>
      </c>
    </row>
    <row r="6" customFormat="false" ht="15" hidden="false" customHeight="false" outlineLevel="0" collapsed="false">
      <c r="A6" s="32" t="n">
        <v>1</v>
      </c>
      <c r="B6" s="32" t="s">
        <v>276</v>
      </c>
      <c r="C6" s="33" t="s">
        <v>277</v>
      </c>
      <c r="D6" s="35" t="n">
        <v>4965</v>
      </c>
      <c r="E6" s="35" t="n">
        <v>1316</v>
      </c>
      <c r="F6" s="35" t="n">
        <v>1092</v>
      </c>
      <c r="G6" s="35" t="n">
        <v>2325</v>
      </c>
      <c r="H6" s="35" t="n">
        <v>220</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0.0489759572573464</v>
      </c>
      <c r="N6" s="37" t="n">
        <f aca="false">①札幌予測確定!R7</f>
        <v>0.0510884051532652</v>
      </c>
      <c r="O6" s="75" t="n">
        <f aca="false">N6-L6</f>
        <v>0.014612095143852</v>
      </c>
      <c r="P6" s="75" t="n">
        <f aca="false">L6-I6</f>
        <v>0.0029708944815258</v>
      </c>
      <c r="Q6" s="39" t="str">
        <f aca="false">IF(O6&gt;=0.005,"↑ 伸長",IF(O6&lt;=-0.005,"↓ 減退","→ 横ばい"))</f>
        <v>↑ 伸長</v>
      </c>
    </row>
    <row r="7" customFormat="false" ht="15" hidden="false" customHeight="false" outlineLevel="0" collapsed="false">
      <c r="A7" s="32" t="n">
        <v>2</v>
      </c>
      <c r="B7" s="32" t="s">
        <v>278</v>
      </c>
      <c r="C7" s="33" t="s">
        <v>279</v>
      </c>
      <c r="D7" s="35" t="n">
        <v>4902</v>
      </c>
      <c r="E7" s="35" t="n">
        <v>1466</v>
      </c>
      <c r="F7" s="35" t="n">
        <v>1132</v>
      </c>
      <c r="G7" s="35" t="n">
        <v>1965</v>
      </c>
      <c r="H7" s="35" t="n">
        <v>246</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0.0547640249332146</v>
      </c>
      <c r="N7" s="37" t="n">
        <f aca="false">①札幌予測確定!R8</f>
        <v>0.0577521101732563</v>
      </c>
      <c r="O7" s="75" t="n">
        <f aca="false">N7-L7</f>
        <v>0.0269237449394942</v>
      </c>
      <c r="P7" s="75" t="n">
        <f aca="false">L7-I7</f>
        <v>-0.00225190604875632</v>
      </c>
      <c r="Q7" s="39" t="str">
        <f aca="false">IF(O7&gt;=0.005,"↑ 伸長",IF(O7&lt;=-0.005,"↓ 減退","→ 横ばい"))</f>
        <v>↑ 伸長</v>
      </c>
    </row>
    <row r="8" customFormat="false" ht="15" hidden="false" customHeight="false" outlineLevel="0" collapsed="false">
      <c r="A8" s="32" t="n">
        <v>3</v>
      </c>
      <c r="B8" s="32" t="s">
        <v>280</v>
      </c>
      <c r="C8" s="33" t="s">
        <v>281</v>
      </c>
      <c r="D8" s="35" t="n">
        <v>2956</v>
      </c>
      <c r="E8" s="35" t="n">
        <v>601</v>
      </c>
      <c r="F8" s="35" t="n">
        <v>454</v>
      </c>
      <c r="G8" s="35" t="n">
        <v>1132</v>
      </c>
      <c r="H8" s="35" t="n">
        <v>87</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0.0193677649154052</v>
      </c>
      <c r="N8" s="37" t="n">
        <f aca="false">①札幌予測確定!R9</f>
        <v>0.0175477565526433</v>
      </c>
      <c r="O8" s="75" t="n">
        <f aca="false">N8-L8</f>
        <v>-0.000211892019681803</v>
      </c>
      <c r="P8" s="75" t="n">
        <f aca="false">L8-I8</f>
        <v>-0.00218838935324094</v>
      </c>
      <c r="Q8" s="39" t="str">
        <f aca="false">IF(O8&gt;=0.005,"↑ 伸長",IF(O8&lt;=-0.005,"↓ 減退","→ 横ばい"))</f>
        <v>→ 横ばい</v>
      </c>
    </row>
    <row r="9" customFormat="false" ht="15" hidden="false" customHeight="false" outlineLevel="0" collapsed="false">
      <c r="A9" s="32" t="n">
        <v>4</v>
      </c>
      <c r="B9" s="32" t="s">
        <v>282</v>
      </c>
      <c r="C9" s="33" t="s">
        <v>283</v>
      </c>
      <c r="D9" s="35" t="n">
        <v>1819</v>
      </c>
      <c r="E9" s="35" t="n">
        <v>922</v>
      </c>
      <c r="F9" s="35" t="n">
        <v>539</v>
      </c>
      <c r="G9" s="35" t="n">
        <v>1310</v>
      </c>
      <c r="H9" s="35" t="n">
        <v>127</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0.0282724844167409</v>
      </c>
      <c r="N9" s="37" t="n">
        <f aca="false">①札幌予測確定!R10</f>
        <v>0.0255442025766326</v>
      </c>
      <c r="O9" s="75" t="n">
        <f aca="false">N9-L9</f>
        <v>0.00499195908745784</v>
      </c>
      <c r="P9" s="75" t="n">
        <f aca="false">L9-I9</f>
        <v>0.0082770469443153</v>
      </c>
      <c r="Q9" s="39" t="str">
        <f aca="false">IF(O9&gt;=0.005,"↑ 伸長",IF(O9&lt;=-0.005,"↓ 減退","→ 横ばい"))</f>
        <v>→ 横ばい</v>
      </c>
    </row>
    <row r="10" customFormat="false" ht="15" hidden="false" customHeight="false" outlineLevel="0" collapsed="false">
      <c r="A10" s="32" t="n">
        <v>5</v>
      </c>
      <c r="B10" s="32" t="s">
        <v>284</v>
      </c>
      <c r="C10" s="33" t="s">
        <v>285</v>
      </c>
      <c r="D10" s="35" t="n">
        <v>18759</v>
      </c>
      <c r="E10" s="35" t="n">
        <v>10777</v>
      </c>
      <c r="F10" s="35" t="n">
        <v>8991</v>
      </c>
      <c r="G10" s="35" t="n">
        <v>8936</v>
      </c>
      <c r="H10" s="35" t="n">
        <v>252</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0.056099732858415</v>
      </c>
      <c r="N10" s="37" t="n">
        <f aca="false">①札幌予測確定!R11</f>
        <v>0.0561972456685917</v>
      </c>
      <c r="O10" s="75" t="n">
        <f aca="false">N10-L10</f>
        <v>-0.0839972946514585</v>
      </c>
      <c r="P10" s="75" t="n">
        <f aca="false">L10-I10</f>
        <v>0.0136027800204248</v>
      </c>
      <c r="Q10" s="39" t="str">
        <f aca="false">IF(O10&gt;=0.005,"↑ 伸長",IF(O10&lt;=-0.005,"↓ 減退","→ 横ばい"))</f>
        <v>↓ 減退</v>
      </c>
    </row>
    <row r="11" customFormat="false" ht="15" hidden="false" customHeight="false" outlineLevel="0" collapsed="false">
      <c r="A11" s="32" t="n">
        <v>6</v>
      </c>
      <c r="B11" s="32" t="s">
        <v>286</v>
      </c>
      <c r="C11" s="33" t="s">
        <v>287</v>
      </c>
      <c r="D11" s="35" t="n">
        <v>31070</v>
      </c>
      <c r="E11" s="35" t="n">
        <v>15602</v>
      </c>
      <c r="F11" s="35" t="n">
        <v>13877</v>
      </c>
      <c r="G11" s="35" t="n">
        <v>18611</v>
      </c>
      <c r="H11" s="35" t="n">
        <v>641</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0.142698130008905</v>
      </c>
      <c r="N11" s="37" t="n">
        <f aca="false">①札幌予測確定!R12</f>
        <v>0.156041759218125</v>
      </c>
      <c r="O11" s="75" t="n">
        <f aca="false">N11-L11</f>
        <v>-0.135941296947548</v>
      </c>
      <c r="P11" s="75" t="n">
        <f aca="false">L11-I11</f>
        <v>0.0823127116638679</v>
      </c>
      <c r="Q11" s="39" t="str">
        <f aca="false">IF(O11&gt;=0.005,"↑ 伸長",IF(O11&lt;=-0.005,"↓ 減退","→ 横ばい"))</f>
        <v>↓ 減退</v>
      </c>
    </row>
    <row r="12" customFormat="false" ht="15" hidden="false" customHeight="false" outlineLevel="0" collapsed="false">
      <c r="A12" s="32" t="n">
        <v>7</v>
      </c>
      <c r="B12" s="32" t="s">
        <v>288</v>
      </c>
      <c r="C12" s="33" t="s">
        <v>289</v>
      </c>
      <c r="D12" s="35" t="n">
        <v>3471</v>
      </c>
      <c r="E12" s="35" t="n">
        <v>520</v>
      </c>
      <c r="F12" s="35" t="n">
        <v>384</v>
      </c>
      <c r="G12" s="35" t="n">
        <v>940</v>
      </c>
      <c r="H12" s="35" t="n">
        <v>93</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0.0207034728406055</v>
      </c>
      <c r="N12" s="37" t="n">
        <f aca="false">①札幌予測確定!R13</f>
        <v>0.0216570413149711</v>
      </c>
      <c r="O12" s="75" t="n">
        <f aca="false">N12-L12</f>
        <v>0.00690962995632663</v>
      </c>
      <c r="P12" s="75" t="n">
        <f aca="false">L12-I12</f>
        <v>-0.00867601206477893</v>
      </c>
      <c r="Q12" s="39" t="str">
        <f aca="false">IF(O12&gt;=0.005,"↑ 伸長",IF(O12&lt;=-0.005,"↓ 減退","→ 横ばい"))</f>
        <v>↑ 伸長</v>
      </c>
    </row>
    <row r="13" customFormat="false" ht="15" hidden="false" customHeight="false" outlineLevel="0" collapsed="false">
      <c r="A13" s="32" t="n">
        <v>8</v>
      </c>
      <c r="B13" s="32" t="s">
        <v>290</v>
      </c>
      <c r="C13" s="33" t="s">
        <v>291</v>
      </c>
      <c r="D13" s="35" t="n">
        <v>5596</v>
      </c>
      <c r="E13" s="35" t="n">
        <v>1107</v>
      </c>
      <c r="F13" s="35" t="n">
        <v>799</v>
      </c>
      <c r="G13" s="35" t="n">
        <v>1758</v>
      </c>
      <c r="H13" s="35" t="n">
        <v>155</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0.0345057880676759</v>
      </c>
      <c r="N13" s="37" t="n">
        <f aca="false">①札幌予測確定!R14</f>
        <v>0.0383163038649489</v>
      </c>
      <c r="O13" s="75" t="n">
        <f aca="false">N13-L13</f>
        <v>0.0107355068771861</v>
      </c>
      <c r="P13" s="75" t="n">
        <f aca="false">L13-I13</f>
        <v>-0.0101828093151694</v>
      </c>
      <c r="Q13" s="39" t="str">
        <f aca="false">IF(O13&gt;=0.005,"↑ 伸長",IF(O13&lt;=-0.005,"↓ 減退","→ 横ばい"))</f>
        <v>↑ 伸長</v>
      </c>
    </row>
    <row r="14" customFormat="false" ht="15" hidden="false" customHeight="false" outlineLevel="0" collapsed="false">
      <c r="A14" s="32" t="n">
        <v>9</v>
      </c>
      <c r="B14" s="32" t="s">
        <v>292</v>
      </c>
      <c r="C14" s="33" t="s">
        <v>293</v>
      </c>
      <c r="D14" s="35" t="n">
        <v>2381</v>
      </c>
      <c r="E14" s="35" t="n">
        <v>313</v>
      </c>
      <c r="F14" s="35" t="n">
        <v>301</v>
      </c>
      <c r="G14" s="35" t="n">
        <v>743</v>
      </c>
      <c r="H14" s="35" t="n">
        <v>80</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0.0178094390026714</v>
      </c>
      <c r="N14" s="37" t="n">
        <f aca="false">①札幌予測確定!R15</f>
        <v>0.0147712127943136</v>
      </c>
      <c r="O14" s="75" t="n">
        <f aca="false">N14-L14</f>
        <v>0.00311448232678932</v>
      </c>
      <c r="P14" s="75" t="n">
        <f aca="false">L14-I14</f>
        <v>-0.00441102267888052</v>
      </c>
      <c r="Q14" s="39" t="str">
        <f aca="false">IF(O14&gt;=0.005,"↑ 伸長",IF(O14&lt;=-0.005,"↓ 減退","→ 横ばい"))</f>
        <v>→ 横ばい</v>
      </c>
    </row>
    <row r="15" customFormat="false" ht="15" hidden="false" customHeight="false" outlineLevel="0" collapsed="false">
      <c r="A15" s="32" t="n">
        <v>10</v>
      </c>
      <c r="B15" s="32" t="s">
        <v>294</v>
      </c>
      <c r="C15" s="33" t="s">
        <v>295</v>
      </c>
      <c r="D15" s="35" t="n">
        <v>1025</v>
      </c>
      <c r="E15" s="35" t="n">
        <v>141</v>
      </c>
      <c r="F15" s="35" t="n">
        <v>123</v>
      </c>
      <c r="G15" s="35" t="n">
        <v>277</v>
      </c>
      <c r="H15" s="35" t="n">
        <v>32</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0.00712377560106857</v>
      </c>
      <c r="N15" s="37" t="n">
        <f aca="false">①札幌予測確定!R16</f>
        <v>0.00610839626832519</v>
      </c>
      <c r="O15" s="75" t="n">
        <f aca="false">N15-L15</f>
        <v>0.00176261653817144</v>
      </c>
      <c r="P15" s="75" t="n">
        <f aca="false">L15-I15</f>
        <v>-0.00257124965878575</v>
      </c>
      <c r="Q15" s="39" t="str">
        <f aca="false">IF(O15&gt;=0.005,"↑ 伸長",IF(O15&lt;=-0.005,"↓ 減退","→ 横ばい"))</f>
        <v>→ 横ばい</v>
      </c>
    </row>
    <row r="16" customFormat="false" ht="15" hidden="false" customHeight="false" outlineLevel="0" collapsed="false">
      <c r="A16" s="32" t="n">
        <v>11</v>
      </c>
      <c r="B16" s="32" t="s">
        <v>296</v>
      </c>
      <c r="C16" s="33" t="s">
        <v>297</v>
      </c>
      <c r="D16" s="35" t="n">
        <v>215</v>
      </c>
      <c r="E16" s="35" t="n">
        <v>37</v>
      </c>
      <c r="F16" s="35" t="n">
        <v>30</v>
      </c>
      <c r="G16" s="35" t="n">
        <v>78</v>
      </c>
      <c r="H16" s="35" t="n">
        <v>9</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0.00200356188780053</v>
      </c>
      <c r="N16" s="37" t="n">
        <f aca="false">①札幌予測確定!R17</f>
        <v>0.00310972900932919</v>
      </c>
      <c r="O16" s="75" t="n">
        <f aca="false">N16-L16</f>
        <v>0.00188600764127145</v>
      </c>
      <c r="P16" s="75" t="n">
        <f aca="false">L16-I16</f>
        <v>-0.000227167723280795</v>
      </c>
      <c r="Q16" s="39" t="str">
        <f aca="false">IF(O16&gt;=0.005,"↑ 伸長",IF(O16&lt;=-0.005,"↓ 減退","→ 横ばい"))</f>
        <v>→ 横ばい</v>
      </c>
    </row>
    <row r="17" customFormat="false" ht="15" hidden="false" customHeight="false" outlineLevel="0" collapsed="false">
      <c r="A17" s="32" t="n">
        <v>12</v>
      </c>
      <c r="B17" s="32" t="s">
        <v>298</v>
      </c>
      <c r="C17" s="33" t="s">
        <v>299</v>
      </c>
      <c r="D17" s="35" t="n">
        <v>291</v>
      </c>
      <c r="E17" s="35" t="n">
        <v>58</v>
      </c>
      <c r="F17" s="35" t="n">
        <v>54</v>
      </c>
      <c r="G17" s="35" t="n">
        <v>142</v>
      </c>
      <c r="H17" s="35" t="n">
        <v>16</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0.00356188780053428</v>
      </c>
      <c r="N17" s="37" t="n">
        <f aca="false">①札幌予測確定!R18</f>
        <v>0.00388716126166148</v>
      </c>
      <c r="O17" s="75" t="n">
        <f aca="false">N17-L17</f>
        <v>0.00165936082237689</v>
      </c>
      <c r="P17" s="75" t="n">
        <f aca="false">L17-I17</f>
        <v>0.000264038924961282</v>
      </c>
      <c r="Q17" s="39" t="str">
        <f aca="false">IF(O17&gt;=0.005,"↑ 伸長",IF(O17&lt;=-0.005,"↓ 減退","→ 横ばい"))</f>
        <v>→ 横ばい</v>
      </c>
    </row>
    <row r="18" customFormat="false" ht="15" hidden="false" customHeight="false" outlineLevel="0" collapsed="false">
      <c r="A18" s="32" t="n">
        <v>13</v>
      </c>
      <c r="B18" s="32" t="s">
        <v>300</v>
      </c>
      <c r="C18" s="33" t="s">
        <v>301</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0.000667853962600178</v>
      </c>
      <c r="N18" s="37" t="n">
        <f aca="false">①札幌予測確定!R19</f>
        <v>0.000777432252332297</v>
      </c>
      <c r="O18" s="75" t="n">
        <f aca="false">N18-L18</f>
        <v>0.000102816626351751</v>
      </c>
      <c r="P18" s="75" t="n">
        <f aca="false">L18-I18</f>
        <v>6.53181182931606E-006</v>
      </c>
      <c r="Q18" s="39" t="str">
        <f aca="false">IF(O18&gt;=0.005,"↑ 伸長",IF(O18&lt;=-0.005,"↓ 減退","→ 横ばい"))</f>
        <v>→ 横ばい</v>
      </c>
    </row>
    <row r="19" customFormat="false" ht="15" hidden="false" customHeight="false" outlineLevel="0" collapsed="false">
      <c r="A19" s="32" t="n">
        <v>14</v>
      </c>
      <c r="B19" s="32" t="s">
        <v>302</v>
      </c>
      <c r="C19" s="33" t="s">
        <v>303</v>
      </c>
      <c r="D19" s="35" t="n">
        <v>411</v>
      </c>
      <c r="E19" s="35" t="n">
        <v>73</v>
      </c>
      <c r="F19" s="35" t="n">
        <v>79</v>
      </c>
      <c r="G19" s="35" t="n">
        <v>146</v>
      </c>
      <c r="H19" s="35" t="n">
        <v>18</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0.00400712377560107</v>
      </c>
      <c r="N19" s="37" t="n">
        <f aca="false">①札幌予測確定!R20</f>
        <v>0.00399822301199467</v>
      </c>
      <c r="O19" s="75" t="n">
        <f aca="false">N19-L19</f>
        <v>0.0017076676307584</v>
      </c>
      <c r="P19" s="75" t="n">
        <f aca="false">L19-I19</f>
        <v>-0.000483004695694591</v>
      </c>
      <c r="Q19" s="39" t="str">
        <f aca="false">IF(O19&gt;=0.005,"↑ 伸長",IF(O19&lt;=-0.005,"↓ 減退","→ 横ばい"))</f>
        <v>→ 横ばい</v>
      </c>
    </row>
    <row r="20" customFormat="false" ht="15" hidden="false" customHeight="false" outlineLevel="0" collapsed="false">
      <c r="A20" s="32" t="n">
        <v>15</v>
      </c>
      <c r="B20" s="32" t="s">
        <v>304</v>
      </c>
      <c r="C20" s="33" t="s">
        <v>305</v>
      </c>
      <c r="D20" s="35" t="n">
        <v>471</v>
      </c>
      <c r="E20" s="35" t="n">
        <v>100</v>
      </c>
      <c r="F20" s="35" t="n">
        <v>100</v>
      </c>
      <c r="G20" s="35" t="n">
        <v>198</v>
      </c>
      <c r="H20" s="35" t="n">
        <v>29</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0.00645592163846839</v>
      </c>
      <c r="N20" s="37" t="n">
        <f aca="false">①札幌予測確定!R21</f>
        <v>0.00666370501999112</v>
      </c>
      <c r="O20" s="75" t="n">
        <f aca="false">N20-L20</f>
        <v>0.00355733539338302</v>
      </c>
      <c r="P20" s="75" t="n">
        <f aca="false">L20-I20</f>
        <v>-7.20897316265436E-005</v>
      </c>
      <c r="Q20" s="39" t="str">
        <f aca="false">IF(O20&gt;=0.005,"↑ 伸長",IF(O20&lt;=-0.005,"↓ 減退","→ 横ばい"))</f>
        <v>→ 横ばい</v>
      </c>
    </row>
    <row r="21" customFormat="false" ht="15" hidden="false" customHeight="false" outlineLevel="0" collapsed="false">
      <c r="A21" s="32" t="n">
        <v>16</v>
      </c>
      <c r="B21" s="32" t="s">
        <v>306</v>
      </c>
      <c r="C21" s="33" t="s">
        <v>307</v>
      </c>
      <c r="D21" s="35" t="n">
        <v>95</v>
      </c>
      <c r="E21" s="35" t="n">
        <v>38</v>
      </c>
      <c r="F21" s="35" t="n">
        <v>30</v>
      </c>
      <c r="G21" s="35" t="n">
        <v>65</v>
      </c>
      <c r="H21" s="35" t="n">
        <v>5</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0.00111308993766696</v>
      </c>
      <c r="N21" s="37" t="n">
        <f aca="false">①札幌予測確定!R22</f>
        <v>0.00144380275433141</v>
      </c>
      <c r="O21" s="75" t="n">
        <f aca="false">N21-L21</f>
        <v>0.00042403494761663</v>
      </c>
      <c r="P21" s="75" t="n">
        <f aca="false">L21-I21</f>
        <v>0.000378677277983801</v>
      </c>
      <c r="Q21" s="39" t="str">
        <f aca="false">IF(O21&gt;=0.005,"↑ 伸長",IF(O21&lt;=-0.005,"↓ 減退","→ 横ばい"))</f>
        <v>→ 横ばい</v>
      </c>
    </row>
    <row r="22" customFormat="false" ht="15" hidden="false" customHeight="false" outlineLevel="0" collapsed="false">
      <c r="A22" s="32" t="n">
        <v>17</v>
      </c>
      <c r="B22" s="32" t="s">
        <v>308</v>
      </c>
      <c r="C22" s="33" t="s">
        <v>309</v>
      </c>
      <c r="D22" s="35" t="n">
        <v>492</v>
      </c>
      <c r="E22" s="35" t="n">
        <v>124</v>
      </c>
      <c r="F22" s="35" t="n">
        <v>100</v>
      </c>
      <c r="G22" s="35" t="n">
        <v>261</v>
      </c>
      <c r="H22" s="35" t="n">
        <v>46</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0.0102404274265361</v>
      </c>
      <c r="N22" s="37" t="n">
        <f aca="false">①札幌予測確定!R23</f>
        <v>0.0113282985339849</v>
      </c>
      <c r="O22" s="75" t="n">
        <f aca="false">N22-L22</f>
        <v>0.00723353857163786</v>
      </c>
      <c r="P22" s="75" t="n">
        <f aca="false">L22-I22</f>
        <v>0.000774585855656074</v>
      </c>
      <c r="Q22" s="39" t="str">
        <f aca="false">IF(O22&gt;=0.005,"↑ 伸長",IF(O22&lt;=-0.005,"↓ 減退","→ 横ばい"))</f>
        <v>↑ 伸長</v>
      </c>
    </row>
    <row r="23" customFormat="false" ht="15" hidden="false" customHeight="false" outlineLevel="0" collapsed="false">
      <c r="A23" s="32" t="n">
        <v>18</v>
      </c>
      <c r="B23" s="32" t="s">
        <v>310</v>
      </c>
      <c r="C23" s="33" t="s">
        <v>311</v>
      </c>
      <c r="D23" s="35" t="n">
        <v>5661</v>
      </c>
      <c r="E23" s="35" t="n">
        <v>1187</v>
      </c>
      <c r="F23" s="35" t="n">
        <v>898</v>
      </c>
      <c r="G23" s="35" t="n">
        <v>2021</v>
      </c>
      <c r="H23" s="35" t="n">
        <v>237</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0.0527604630454141</v>
      </c>
      <c r="N23" s="37" t="n">
        <f aca="false">①札幌予測確定!R24</f>
        <v>0.0472012438916037</v>
      </c>
      <c r="O23" s="75" t="n">
        <f aca="false">N23-L23</f>
        <v>0.0154943094705181</v>
      </c>
      <c r="P23" s="75" t="n">
        <f aca="false">L23-I23</f>
        <v>-0.00649531276992558</v>
      </c>
      <c r="Q23" s="39" t="str">
        <f aca="false">IF(O23&gt;=0.005,"↑ 伸長",IF(O23&lt;=-0.005,"↓ 減退","→ 横ばい"))</f>
        <v>↑ 伸長</v>
      </c>
    </row>
    <row r="24" customFormat="false" ht="15" hidden="false" customHeight="false" outlineLevel="0" collapsed="false">
      <c r="A24" s="32" t="n">
        <v>19</v>
      </c>
      <c r="B24" s="32" t="s">
        <v>312</v>
      </c>
      <c r="C24" s="33" t="s">
        <v>313</v>
      </c>
      <c r="D24" s="35" t="n">
        <v>168</v>
      </c>
      <c r="E24" s="35" t="n">
        <v>27</v>
      </c>
      <c r="F24" s="35" t="n">
        <v>19</v>
      </c>
      <c r="G24" s="35" t="n">
        <v>45</v>
      </c>
      <c r="H24" s="35" t="n">
        <v>8</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0.00178094390026714</v>
      </c>
      <c r="N24" s="37" t="n">
        <f aca="false">①札幌予測確定!R25</f>
        <v>0.00166592625499778</v>
      </c>
      <c r="O24" s="75" t="n">
        <f aca="false">N24-L24</f>
        <v>0.000959933158041394</v>
      </c>
      <c r="P24" s="75" t="n">
        <f aca="false">L24-I24</f>
        <v>-0.000427724890694187</v>
      </c>
      <c r="Q24" s="39" t="str">
        <f aca="false">IF(O24&gt;=0.005,"↑ 伸長",IF(O24&lt;=-0.005,"↓ 減退","→ 横ばい"))</f>
        <v>→ 横ばい</v>
      </c>
    </row>
    <row r="25" customFormat="false" ht="15" hidden="false" customHeight="false" outlineLevel="0" collapsed="false">
      <c r="A25" s="32" t="n">
        <v>20</v>
      </c>
      <c r="B25" s="32" t="s">
        <v>314</v>
      </c>
      <c r="C25" s="33" t="s">
        <v>315</v>
      </c>
      <c r="D25" s="35" t="n">
        <v>117</v>
      </c>
      <c r="E25" s="35" t="n">
        <v>23</v>
      </c>
      <c r="F25" s="35" t="n">
        <v>15</v>
      </c>
      <c r="G25" s="35" t="n">
        <v>42</v>
      </c>
      <c r="H25" s="35" t="n">
        <v>7</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0.00155832591273375</v>
      </c>
      <c r="N25" s="37" t="n">
        <f aca="false">①札幌予測確定!R26</f>
        <v>0.00188804975566415</v>
      </c>
      <c r="O25" s="75" t="n">
        <f aca="false">N25-L25</f>
        <v>0.00122912286517152</v>
      </c>
      <c r="P25" s="75" t="n">
        <f aca="false">L25-I25</f>
        <v>-0.000130626708049736</v>
      </c>
      <c r="Q25" s="39" t="str">
        <f aca="false">IF(O25&gt;=0.005,"↑ 伸長",IF(O25&lt;=-0.005,"↓ 減退","→ 横ばい"))</f>
        <v>→ 横ばい</v>
      </c>
    </row>
    <row r="26" customFormat="false" ht="15" hidden="false" customHeight="false" outlineLevel="0" collapsed="false">
      <c r="A26" s="32" t="n">
        <v>21</v>
      </c>
      <c r="B26" s="32" t="s">
        <v>316</v>
      </c>
      <c r="C26" s="33" t="s">
        <v>317</v>
      </c>
      <c r="D26" s="35" t="n">
        <v>350</v>
      </c>
      <c r="E26" s="35" t="n">
        <v>139</v>
      </c>
      <c r="F26" s="35" t="n">
        <v>150</v>
      </c>
      <c r="G26" s="35" t="n">
        <v>252</v>
      </c>
      <c r="H26" s="35" t="n">
        <v>43</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0.00957257346393589</v>
      </c>
      <c r="N26" s="37" t="n">
        <f aca="false">①札幌予測確定!R27</f>
        <v>0.0101066192803199</v>
      </c>
      <c r="O26" s="75" t="n">
        <f aca="false">N26-L26</f>
        <v>0.0061530579373641</v>
      </c>
      <c r="P26" s="75" t="n">
        <f aca="false">L26-I26</f>
        <v>0.00159164886868373</v>
      </c>
      <c r="Q26" s="39" t="str">
        <f aca="false">IF(O26&gt;=0.005,"↑ 伸長",IF(O26&lt;=-0.005,"↓ 減退","→ 横ばい"))</f>
        <v>↑ 伸長</v>
      </c>
    </row>
    <row r="27" customFormat="false" ht="15" hidden="false" customHeight="false" outlineLevel="0" collapsed="false">
      <c r="A27" s="32" t="n">
        <v>22</v>
      </c>
      <c r="B27" s="32" t="s">
        <v>318</v>
      </c>
      <c r="C27" s="33" t="s">
        <v>319</v>
      </c>
      <c r="D27" s="35" t="n">
        <v>319</v>
      </c>
      <c r="E27" s="35" t="n">
        <v>99</v>
      </c>
      <c r="F27" s="35" t="n">
        <v>80</v>
      </c>
      <c r="G27" s="35" t="n">
        <v>171</v>
      </c>
      <c r="H27" s="35" t="n">
        <v>20</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0.00445235975066785</v>
      </c>
      <c r="N27" s="37" t="n">
        <f aca="false">①札幌予測確定!R28</f>
        <v>0.00621945801865837</v>
      </c>
      <c r="O27" s="75" t="n">
        <f aca="false">N27-L27</f>
        <v>0.00353668425022411</v>
      </c>
      <c r="P27" s="75" t="n">
        <f aca="false">L27-I27</f>
        <v>0.00053005925616919</v>
      </c>
      <c r="Q27" s="39" t="str">
        <f aca="false">IF(O27&gt;=0.005,"↑ 伸長",IF(O27&lt;=-0.005,"↓ 減退","→ 横ばい"))</f>
        <v>→ 横ばい</v>
      </c>
    </row>
    <row r="28" customFormat="false" ht="15" hidden="false" customHeight="false" outlineLevel="0" collapsed="false">
      <c r="A28" s="32" t="n">
        <v>23</v>
      </c>
      <c r="B28" s="32" t="s">
        <v>320</v>
      </c>
      <c r="C28" s="33" t="s">
        <v>321</v>
      </c>
      <c r="D28" s="35" t="n">
        <v>41156</v>
      </c>
      <c r="E28" s="35" t="n">
        <v>13583</v>
      </c>
      <c r="F28" s="35" t="n">
        <v>8800</v>
      </c>
      <c r="G28" s="35" t="n">
        <v>12724</v>
      </c>
      <c r="H28" s="35" t="n">
        <v>1095</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0.243766696349065</v>
      </c>
      <c r="N28" s="37" t="n">
        <f aca="false">①札幌予測確定!R29</f>
        <v>0.243558418480675</v>
      </c>
      <c r="O28" s="75" t="n">
        <f aca="false">N28-L28</f>
        <v>0.0439349481323853</v>
      </c>
      <c r="P28" s="75" t="n">
        <f aca="false">L28-I28</f>
        <v>-0.07811044334068</v>
      </c>
      <c r="Q28" s="39" t="str">
        <f aca="false">IF(O28&gt;=0.005,"↑ 伸長",IF(O28&lt;=-0.005,"↓ 減退","→ 横ばい"))</f>
        <v>↑ 伸長</v>
      </c>
    </row>
    <row r="29" customFormat="false" ht="15" hidden="false" customHeight="false" outlineLevel="0" collapsed="false">
      <c r="A29" s="32" t="n">
        <v>24</v>
      </c>
      <c r="B29" s="32" t="s">
        <v>322</v>
      </c>
      <c r="C29" s="33" t="s">
        <v>323</v>
      </c>
      <c r="D29" s="35" t="n">
        <v>14981</v>
      </c>
      <c r="E29" s="35" t="n">
        <v>8213</v>
      </c>
      <c r="F29" s="35" t="n">
        <v>5195</v>
      </c>
      <c r="G29" s="35" t="n">
        <v>6978</v>
      </c>
      <c r="H29" s="35" t="n">
        <v>591</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0.131567230632235</v>
      </c>
      <c r="N29" s="37" t="n">
        <f aca="false">①札幌予測確定!R30</f>
        <v>0.132718791648156</v>
      </c>
      <c r="O29" s="75" t="n">
        <f aca="false">N29-L29</f>
        <v>0.0232427954134529</v>
      </c>
      <c r="P29" s="75" t="n">
        <f aca="false">L29-I29</f>
        <v>0.00837939401450576</v>
      </c>
      <c r="Q29" s="39" t="str">
        <f aca="false">IF(O29&gt;=0.005,"↑ 伸長",IF(O29&lt;=-0.005,"↓ 減退","→ 横ばい"))</f>
        <v>↑ 伸長</v>
      </c>
    </row>
    <row r="30" customFormat="false" ht="15" hidden="false" customHeight="false" outlineLevel="0" collapsed="false">
      <c r="A30" s="32" t="n">
        <v>25</v>
      </c>
      <c r="B30" s="32" t="s">
        <v>324</v>
      </c>
      <c r="C30" s="33" t="s">
        <v>325</v>
      </c>
      <c r="D30" s="35" t="n">
        <v>849</v>
      </c>
      <c r="E30" s="35" t="n">
        <v>221</v>
      </c>
      <c r="F30" s="35" t="n">
        <v>168</v>
      </c>
      <c r="G30" s="35" t="n">
        <v>243</v>
      </c>
      <c r="H30" s="35" t="n">
        <v>20</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0.00445235975066785</v>
      </c>
      <c r="N30" s="37" t="n">
        <f aca="false">①札幌予測確定!R31</f>
        <v>0.00477565526432697</v>
      </c>
      <c r="O30" s="75" t="n">
        <f aca="false">N30-L30</f>
        <v>0.000963292540762485</v>
      </c>
      <c r="P30" s="75" t="n">
        <f aca="false">L30-I30</f>
        <v>-0.00191696210688395</v>
      </c>
      <c r="Q30" s="39" t="str">
        <f aca="false">IF(O30&gt;=0.005,"↑ 伸長",IF(O30&lt;=-0.005,"↓ 減退","→ 横ばい"))</f>
        <v>→ 横ばい</v>
      </c>
    </row>
    <row r="31" customFormat="false" ht="15" hidden="false" customHeight="false" outlineLevel="0" collapsed="false">
      <c r="A31" s="32" t="n">
        <v>26</v>
      </c>
      <c r="B31" s="32" t="s">
        <v>326</v>
      </c>
      <c r="C31" s="33" t="s">
        <v>327</v>
      </c>
      <c r="D31" s="35" t="n">
        <v>1283</v>
      </c>
      <c r="E31" s="35" t="n">
        <v>513</v>
      </c>
      <c r="F31" s="35" t="n">
        <v>444</v>
      </c>
      <c r="G31" s="35" t="n">
        <v>842</v>
      </c>
      <c r="H31" s="35" t="n">
        <v>91</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0.0202582368655387</v>
      </c>
      <c r="N31" s="37" t="n">
        <f aca="false">①札幌予測確定!R32</f>
        <v>0.0182141270546424</v>
      </c>
      <c r="O31" s="75" t="n">
        <f aca="false">N31-L31</f>
        <v>0.00500421177381402</v>
      </c>
      <c r="P31" s="75" t="n">
        <f aca="false">L31-I31</f>
        <v>0.00455181898228263</v>
      </c>
      <c r="Q31" s="39" t="str">
        <f aca="false">IF(O31&gt;=0.005,"↑ 伸長",IF(O31&lt;=-0.005,"↓ 減退","→ 横ばい"))</f>
        <v>↑ 伸長</v>
      </c>
    </row>
    <row r="32" customFormat="false" ht="15" hidden="false" customHeight="false" outlineLevel="0" collapsed="false">
      <c r="A32" s="32" t="n">
        <v>27</v>
      </c>
      <c r="B32" s="32" t="s">
        <v>328</v>
      </c>
      <c r="C32" s="33" t="s">
        <v>329</v>
      </c>
      <c r="D32" s="35" t="n">
        <v>466</v>
      </c>
      <c r="E32" s="35" t="n">
        <v>103</v>
      </c>
      <c r="F32" s="35" t="n">
        <v>69</v>
      </c>
      <c r="G32" s="35" t="n">
        <v>145</v>
      </c>
      <c r="H32" s="35" t="n">
        <v>16</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0.00356188780053428</v>
      </c>
      <c r="N32" s="37" t="n">
        <f aca="false">①札幌予測確定!R33</f>
        <v>0.00422034651266104</v>
      </c>
      <c r="O32" s="75" t="n">
        <f aca="false">N32-L32</f>
        <v>0.00194547986691269</v>
      </c>
      <c r="P32" s="75" t="n">
        <f aca="false">L32-I32</f>
        <v>-0.000869851105710972</v>
      </c>
      <c r="Q32" s="39" t="str">
        <f aca="false">IF(O32&gt;=0.005,"↑ 伸長",IF(O32&lt;=-0.005,"↓ 減退","→ 横ばい"))</f>
        <v>→ 横ばい</v>
      </c>
    </row>
    <row r="33" customFormat="false" ht="15" hidden="false" customHeight="false" outlineLevel="0" collapsed="false">
      <c r="A33" s="32" t="n">
        <v>28</v>
      </c>
      <c r="B33" s="32" t="s">
        <v>330</v>
      </c>
      <c r="C33" s="33" t="s">
        <v>331</v>
      </c>
      <c r="D33" s="35" t="n">
        <v>1034</v>
      </c>
      <c r="E33" s="35" t="n">
        <v>436</v>
      </c>
      <c r="F33" s="35" t="n">
        <v>333</v>
      </c>
      <c r="G33" s="35" t="n">
        <v>400</v>
      </c>
      <c r="H33" s="35" t="n">
        <v>153</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0.0340605520926091</v>
      </c>
      <c r="N33" s="37" t="n">
        <f aca="false">①札幌予測確定!R34</f>
        <v>0.0241003998223012</v>
      </c>
      <c r="O33" s="75" t="n">
        <f aca="false">N33-L33</f>
        <v>0.0178249056271333</v>
      </c>
      <c r="P33" s="75" t="n">
        <f aca="false">L33-I33</f>
        <v>-0.000702270085967198</v>
      </c>
      <c r="Q33" s="39" t="str">
        <f aca="false">IF(O33&gt;=0.005,"↑ 伸長",IF(O33&lt;=-0.005,"↓ 減退","→ 横ばい"))</f>
        <v>↑ 伸長</v>
      </c>
    </row>
    <row r="34" customFormat="false" ht="15" hidden="false" customHeight="false" outlineLevel="0" collapsed="false">
      <c r="A34" s="32" t="n">
        <v>29</v>
      </c>
      <c r="B34" s="32" t="s">
        <v>332</v>
      </c>
      <c r="C34" s="33" t="s">
        <v>333</v>
      </c>
      <c r="D34" s="35" t="n">
        <v>794</v>
      </c>
      <c r="E34" s="35" t="n">
        <v>318</v>
      </c>
      <c r="F34" s="35" t="n">
        <v>249</v>
      </c>
      <c r="G34" s="35" t="n">
        <v>200</v>
      </c>
      <c r="H34" s="35" t="n">
        <v>67</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0.0149154051647373</v>
      </c>
      <c r="N34" s="37" t="n">
        <f aca="false">①札幌予測確定!R35</f>
        <v>0.0103287427809862</v>
      </c>
      <c r="O34" s="75" t="n">
        <f aca="false">N34-L34</f>
        <v>0.00719099568340229</v>
      </c>
      <c r="P34" s="75" t="n">
        <f aca="false">L34-I34</f>
        <v>-0.00222042005833603</v>
      </c>
      <c r="Q34" s="39" t="str">
        <f aca="false">IF(O34&gt;=0.005,"↑ 伸長",IF(O34&lt;=-0.005,"↓ 減退","→ 横ばい"))</f>
        <v>↑ 伸長</v>
      </c>
    </row>
    <row r="35" customFormat="false" ht="15" hidden="false" customHeight="false" outlineLevel="0" collapsed="false">
      <c r="A35" s="32" t="n">
        <v>30</v>
      </c>
      <c r="B35" s="32" t="s">
        <v>334</v>
      </c>
      <c r="C35" s="33" t="s">
        <v>335</v>
      </c>
      <c r="D35" s="35" t="n">
        <v>615</v>
      </c>
      <c r="E35" s="35" t="n">
        <v>169</v>
      </c>
      <c r="F35" s="35" t="n">
        <v>89</v>
      </c>
      <c r="G35" s="35" t="n">
        <v>205</v>
      </c>
      <c r="H35" s="35" t="n">
        <v>24</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0.00534283170080143</v>
      </c>
      <c r="N35" s="37" t="n">
        <f aca="false">①札幌予測確定!R36</f>
        <v>0.00699689027099067</v>
      </c>
      <c r="O35" s="75" t="n">
        <f aca="false">N35-L35</f>
        <v>0.00378069949596714</v>
      </c>
      <c r="P35" s="75" t="n">
        <f aca="false">L35-I35</f>
        <v>-0.000934026858340168</v>
      </c>
      <c r="Q35" s="39" t="str">
        <f aca="false">IF(O35&gt;=0.005,"↑ 伸長",IF(O35&lt;=-0.005,"↓ 減退","→ 横ばい"))</f>
        <v>→ 横ばい</v>
      </c>
    </row>
    <row r="36" customFormat="false" ht="15" hidden="false" customHeight="false" outlineLevel="0" collapsed="false">
      <c r="A36" s="32" t="n">
        <v>31</v>
      </c>
      <c r="B36" s="32" t="s">
        <v>336</v>
      </c>
      <c r="C36" s="33" t="s">
        <v>337</v>
      </c>
      <c r="D36" s="35" t="n">
        <v>1215</v>
      </c>
      <c r="E36" s="35" t="n">
        <v>235</v>
      </c>
      <c r="F36" s="35" t="n">
        <v>178</v>
      </c>
      <c r="G36" s="35" t="n">
        <v>427</v>
      </c>
      <c r="H36" s="35" t="n">
        <v>46</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0.0102404274265361</v>
      </c>
      <c r="N36" s="37" t="n">
        <f aca="false">①札幌予測確定!R37</f>
        <v>0.00988449577965349</v>
      </c>
      <c r="O36" s="75" t="n">
        <f aca="false">N36-L36</f>
        <v>0.00318540572631179</v>
      </c>
      <c r="P36" s="75" t="n">
        <f aca="false">L36-I36</f>
        <v>-0.00150012039305976</v>
      </c>
      <c r="Q36" s="39" t="str">
        <f aca="false">IF(O36&gt;=0.005,"↑ 伸長",IF(O36&lt;=-0.005,"↓ 減退","→ 横ばい"))</f>
        <v>→ 横ばい</v>
      </c>
    </row>
    <row r="37" customFormat="false" ht="15" hidden="false" customHeight="false" outlineLevel="0" collapsed="false">
      <c r="A37" s="32" t="n">
        <v>32</v>
      </c>
      <c r="B37" s="32" t="s">
        <v>338</v>
      </c>
      <c r="C37" s="33" t="s">
        <v>339</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0.00222617987533393</v>
      </c>
      <c r="N37" s="37" t="n">
        <f aca="false">①札幌予測確定!R38</f>
        <v>0.00111061750333185</v>
      </c>
      <c r="O37" s="75" t="n">
        <f aca="false">N37-L37</f>
        <v>0.000483068083815066</v>
      </c>
      <c r="P37" s="75" t="n">
        <f aca="false">L37-I37</f>
        <v>0.000310378315828829</v>
      </c>
      <c r="Q37" s="39" t="str">
        <f aca="false">IF(O37&gt;=0.005,"↑ 伸長",IF(O37&lt;=-0.005,"↓ 減退","→ 横ばい"))</f>
        <v>→ 横ばい</v>
      </c>
    </row>
    <row r="38" customFormat="false" ht="15" hidden="false" customHeight="false" outlineLevel="0" collapsed="false">
      <c r="A38" s="32" t="n">
        <v>33</v>
      </c>
      <c r="B38" s="32" t="s">
        <v>340</v>
      </c>
      <c r="C38" s="33" t="s">
        <v>341</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5" t="n">
        <f aca="false">N38-L38</f>
        <v>-0.000329463445246313</v>
      </c>
      <c r="P38" s="75" t="n">
        <f aca="false">L38-I38</f>
        <v>0.000261980231695684</v>
      </c>
      <c r="Q38" s="39" t="str">
        <f aca="false">IF(O38&gt;=0.005,"↑ 伸長",IF(O38&lt;=-0.005,"↓ 減退","→ 横ばい"))</f>
        <v>→ 横ばい</v>
      </c>
    </row>
    <row r="39" customFormat="false" ht="15" hidden="false" customHeight="false" outlineLevel="0" collapsed="false">
      <c r="A39" s="32" t="n">
        <v>34</v>
      </c>
      <c r="B39" s="32" t="s">
        <v>342</v>
      </c>
      <c r="C39" s="33" t="s">
        <v>343</v>
      </c>
      <c r="D39" s="35" t="n">
        <v>10</v>
      </c>
      <c r="E39" s="35" t="n">
        <v>3</v>
      </c>
      <c r="F39" s="35" t="n">
        <v>3</v>
      </c>
      <c r="G39" s="35" t="n">
        <v>3</v>
      </c>
      <c r="H39" s="35" t="n">
        <v>1</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0.000222617987533393</v>
      </c>
      <c r="N39" s="37" t="n">
        <f aca="false">①札幌予測確定!R40</f>
        <v>0.000111061750333185</v>
      </c>
      <c r="O39" s="75" t="n">
        <f aca="false">N39-L39</f>
        <v>6.39955438694262E-005</v>
      </c>
      <c r="P39" s="75" t="n">
        <f aca="false">L39-I39</f>
        <v>-2.04170070868703E-005</v>
      </c>
      <c r="Q39" s="39" t="str">
        <f aca="false">IF(O39&gt;=0.005,"↑ 伸長",IF(O39&lt;=-0.005,"↓ 減退","→ 横ばい"))</f>
        <v>→ 横ばい</v>
      </c>
    </row>
    <row r="40" customFormat="false" ht="15" hidden="false" customHeight="false" outlineLevel="0" collapsed="false">
      <c r="A40" s="32" t="n">
        <v>35</v>
      </c>
      <c r="B40" s="32" t="s">
        <v>344</v>
      </c>
      <c r="C40" s="33" t="s">
        <v>345</v>
      </c>
      <c r="D40" s="35" t="n">
        <v>10</v>
      </c>
      <c r="E40" s="35" t="n">
        <v>3</v>
      </c>
      <c r="F40" s="35" t="n">
        <v>3</v>
      </c>
      <c r="G40" s="35" t="n">
        <v>3</v>
      </c>
      <c r="H40" s="35" t="n">
        <v>0</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v>
      </c>
      <c r="N40" s="37" t="n">
        <f aca="false">①札幌予測確定!R41</f>
        <v>0</v>
      </c>
      <c r="O40" s="75" t="n">
        <f aca="false">N40-L40</f>
        <v>-4.7066206463759E-005</v>
      </c>
      <c r="P40" s="75" t="n">
        <f aca="false">L40-I40</f>
        <v>-2.04170070868703E-005</v>
      </c>
      <c r="Q40" s="39" t="str">
        <f aca="false">IF(O40&gt;=0.005,"↑ 伸長",IF(O40&lt;=-0.005,"↓ 減退","→ 横ばい"))</f>
        <v>→ 横ばい</v>
      </c>
    </row>
    <row r="41" customFormat="false" ht="15" hidden="false" customHeight="false" outlineLevel="0" collapsed="false">
      <c r="A41" s="32" t="n">
        <v>36</v>
      </c>
      <c r="B41" s="32" t="s">
        <v>346</v>
      </c>
      <c r="C41" s="33" t="s">
        <v>347</v>
      </c>
      <c r="D41" s="35" t="n">
        <v>8</v>
      </c>
      <c r="E41" s="35" t="n">
        <v>3</v>
      </c>
      <c r="F41" s="35" t="n">
        <v>3</v>
      </c>
      <c r="G41" s="35" t="n">
        <v>3</v>
      </c>
      <c r="H41" s="35" t="n">
        <v>0</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v>
      </c>
      <c r="N41" s="37" t="n">
        <f aca="false">①札幌予測確定!R42</f>
        <v>0</v>
      </c>
      <c r="O41" s="75" t="n">
        <f aca="false">N41-L41</f>
        <v>-4.7066206463759E-005</v>
      </c>
      <c r="P41" s="75" t="n">
        <f aca="false">L41-I41</f>
        <v>-6.92036437674441E-006</v>
      </c>
      <c r="Q41" s="39" t="str">
        <f aca="false">IF(O41&gt;=0.005,"↑ 伸長",IF(O41&lt;=-0.005,"↓ 減退","→ 横ばい"))</f>
        <v>→ 横ばい</v>
      </c>
    </row>
    <row r="42" customFormat="false" ht="15" hidden="false" customHeight="false" outlineLevel="0" collapsed="false">
      <c r="A42" s="32" t="n">
        <v>37</v>
      </c>
      <c r="B42" s="32" t="s">
        <v>348</v>
      </c>
      <c r="C42" s="33" t="s">
        <v>349</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5" t="n">
        <f aca="false">N42-L42</f>
        <v>-0.000407907122685912</v>
      </c>
      <c r="P42" s="75" t="n">
        <f aca="false">L42-I42</f>
        <v>0.000340423909135282</v>
      </c>
      <c r="Q42" s="39" t="str">
        <f aca="false">IF(O42&gt;=0.005,"↑ 伸長",IF(O42&lt;=-0.005,"↓ 減退","→ 横ばい"))</f>
        <v>→ 横ばい</v>
      </c>
    </row>
    <row r="43" customFormat="false" ht="15" hidden="false" customHeight="false" outlineLevel="0" collapsed="false">
      <c r="A43" s="32" t="n">
        <v>38</v>
      </c>
      <c r="B43" s="32" t="s">
        <v>350</v>
      </c>
      <c r="C43" s="33" t="s">
        <v>351</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0.000445235975066785</v>
      </c>
      <c r="N43" s="37" t="n">
        <f aca="false">①札幌予測確定!R44</f>
        <v>0.000222123500666371</v>
      </c>
      <c r="O43" s="75" t="n">
        <f aca="false">N43-L43</f>
        <v>0.000175057294202611</v>
      </c>
      <c r="P43" s="75" t="n">
        <f aca="false">L43-I43</f>
        <v>-2.04170070868703E-005</v>
      </c>
      <c r="Q43" s="39" t="str">
        <f aca="false">IF(O43&gt;=0.005,"↑ 伸長",IF(O43&lt;=-0.005,"↓ 減退","→ 横ばい"))</f>
        <v>→ 横ばい</v>
      </c>
    </row>
    <row r="44" customFormat="false" ht="15" hidden="false" customHeight="false" outlineLevel="0" collapsed="false">
      <c r="A44" s="32" t="n">
        <v>39</v>
      </c>
      <c r="B44" s="32" t="s">
        <v>352</v>
      </c>
      <c r="C44" s="33" t="s">
        <v>353</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0.000222617987533393</v>
      </c>
      <c r="N44" s="37" t="n">
        <f aca="false">①札幌予測確定!R45</f>
        <v>0.000111061750333185</v>
      </c>
      <c r="O44" s="75" t="n">
        <f aca="false">N44-L44</f>
        <v>6.39955438694262E-005</v>
      </c>
      <c r="P44" s="75" t="n">
        <f aca="false">L44-I44</f>
        <v>-2.04170070868703E-005</v>
      </c>
      <c r="Q44" s="39" t="str">
        <f aca="false">IF(O44&gt;=0.005,"↑ 伸長",IF(O44&lt;=-0.005,"↓ 減退","→ 横ばい"))</f>
        <v>→ 横ばい</v>
      </c>
    </row>
    <row r="45" customFormat="false" ht="15" hidden="false" customHeight="false" outlineLevel="0" collapsed="false">
      <c r="A45" s="32" t="n">
        <v>40</v>
      </c>
      <c r="B45" s="32" t="s">
        <v>354</v>
      </c>
      <c r="C45" s="33" t="s">
        <v>355</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5" t="n">
        <f aca="false">N45-L45</f>
        <v>-4.7066206463759E-005</v>
      </c>
      <c r="P45" s="75" t="n">
        <f aca="false">L45-I45</f>
        <v>-6.92036437674441E-006</v>
      </c>
      <c r="Q45" s="39" t="str">
        <f aca="false">IF(O45&gt;=0.005,"↑ 伸長",IF(O45&lt;=-0.005,"↓ 減退","→ 横ばい"))</f>
        <v>→ 横ばい</v>
      </c>
    </row>
    <row r="46" customFormat="false" ht="15" hidden="false" customHeight="false" outlineLevel="0" collapsed="false">
      <c r="A46" s="32" t="n">
        <v>41</v>
      </c>
      <c r="B46" s="32" t="s">
        <v>356</v>
      </c>
      <c r="C46" s="33" t="s">
        <v>357</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5" t="n">
        <f aca="false">N46-L46</f>
        <v>-3.13774709758394E-005</v>
      </c>
      <c r="P46" s="75" t="n">
        <f aca="false">L46-I46</f>
        <v>-4.96023852849158E-005</v>
      </c>
      <c r="Q46" s="39" t="str">
        <f aca="false">IF(O46&gt;=0.005,"↑ 伸長",IF(O46&lt;=-0.005,"↓ 減退","→ 横ばい"))</f>
        <v>→ 横ばい</v>
      </c>
    </row>
    <row r="47" customFormat="false" ht="15" hidden="false" customHeight="false" outlineLevel="0" collapsed="false">
      <c r="A47" s="32" t="n">
        <v>42</v>
      </c>
      <c r="B47" s="32" t="s">
        <v>358</v>
      </c>
      <c r="C47" s="33" t="s">
        <v>359</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0.000222617987533393</v>
      </c>
      <c r="N47" s="37" t="n">
        <f aca="false">①札幌予測確定!R48</f>
        <v>0.000333185250999556</v>
      </c>
      <c r="O47" s="75" t="n">
        <f aca="false">N47-L47</f>
        <v>0.000207675367096198</v>
      </c>
      <c r="P47" s="75" t="n">
        <f aca="false">L47-I47</f>
        <v>-3.64498286181529E-005</v>
      </c>
      <c r="Q47" s="39" t="str">
        <f aca="false">IF(O47&gt;=0.005,"↑ 伸長",IF(O47&lt;=-0.005,"↓ 減退","→ 横ばい"))</f>
        <v>→ 横ばい</v>
      </c>
    </row>
    <row r="48" customFormat="false" ht="15" hidden="false" customHeight="false" outlineLevel="0" collapsed="false">
      <c r="A48" s="40"/>
      <c r="B48" s="40"/>
      <c r="C48" s="41" t="s">
        <v>360</v>
      </c>
      <c r="D48" s="42" t="n">
        <f aca="false">SUM(D6:D47)</f>
        <v>148185</v>
      </c>
      <c r="E48" s="42" t="n">
        <f aca="false">SUM(E6:E47)</f>
        <v>58600</v>
      </c>
      <c r="F48" s="42" t="n">
        <f aca="false">SUM(F6:F47)</f>
        <v>44871</v>
      </c>
      <c r="G48" s="42" t="n">
        <f aca="false">SUM(G6:G47)</f>
        <v>63740</v>
      </c>
      <c r="H48" s="42" t="n">
        <f aca="false">SUM(H6:H47)</f>
        <v>4492</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567</v>
      </c>
    </row>
    <row r="2" customFormat="false" ht="15" hidden="false" customHeight="false" outlineLevel="0" collapsed="false">
      <c r="A2" s="3" t="s">
        <v>568</v>
      </c>
    </row>
    <row r="4" customFormat="false" ht="15" hidden="false" customHeight="false" outlineLevel="0" collapsed="false">
      <c r="A4" s="4" t="s">
        <v>569</v>
      </c>
    </row>
    <row r="5" customFormat="false" ht="15" hidden="false" customHeight="false" outlineLevel="0" collapsed="false">
      <c r="A5" s="18" t="s">
        <v>570</v>
      </c>
    </row>
    <row r="6" customFormat="false" ht="15" hidden="false" customHeight="false" outlineLevel="0" collapsed="false">
      <c r="A6" s="18" t="s">
        <v>571</v>
      </c>
    </row>
    <row r="7" customFormat="false" ht="15" hidden="false" customHeight="false" outlineLevel="0" collapsed="false">
      <c r="A7" s="18" t="s">
        <v>572</v>
      </c>
    </row>
    <row r="8" customFormat="false" ht="15" hidden="false" customHeight="false" outlineLevel="0" collapsed="false">
      <c r="A8" s="18" t="s">
        <v>573</v>
      </c>
    </row>
    <row r="10" customFormat="false" ht="15" hidden="false" customHeight="false" outlineLevel="0" collapsed="false">
      <c r="A10" s="4" t="s">
        <v>574</v>
      </c>
    </row>
    <row r="11" customFormat="false" ht="31.5" hidden="false" customHeight="true" outlineLevel="0" collapsed="false">
      <c r="A11" s="26" t="s">
        <v>404</v>
      </c>
      <c r="B11" s="47" t="s">
        <v>366</v>
      </c>
      <c r="C11" s="28" t="s">
        <v>367</v>
      </c>
      <c r="D11" s="29" t="s">
        <v>368</v>
      </c>
      <c r="E11" s="30" t="s">
        <v>369</v>
      </c>
      <c r="F11" s="27" t="s">
        <v>370</v>
      </c>
      <c r="G11" s="31" t="s">
        <v>575</v>
      </c>
      <c r="H11" s="31" t="s">
        <v>576</v>
      </c>
      <c r="I11" s="64" t="s">
        <v>577</v>
      </c>
    </row>
    <row r="12" customFormat="false" ht="15" hidden="false" customHeight="false" outlineLevel="0" collapsed="false">
      <c r="A12" s="51" t="s">
        <v>405</v>
      </c>
      <c r="B12" s="34" t="n">
        <v>2159</v>
      </c>
      <c r="C12" s="34" t="n">
        <v>2099</v>
      </c>
      <c r="D12" s="34" t="n">
        <v>1634</v>
      </c>
      <c r="E12" s="34" t="n">
        <v>1455</v>
      </c>
      <c r="F12" s="34" t="n">
        <v>1156</v>
      </c>
      <c r="G12" s="76" t="n">
        <f aca="false">E12-C12</f>
        <v>-644</v>
      </c>
      <c r="H12" s="77" t="n">
        <f aca="false">IFERROR(G12/C12,"")</f>
        <v>-0.306812767984755</v>
      </c>
      <c r="I12" s="33" t="s">
        <v>578</v>
      </c>
    </row>
    <row r="13" customFormat="false" ht="15" hidden="false" customHeight="false" outlineLevel="0" collapsed="false">
      <c r="A13" s="49" t="s">
        <v>406</v>
      </c>
      <c r="B13" s="34" t="n">
        <v>4039</v>
      </c>
      <c r="C13" s="34" t="n">
        <v>2464</v>
      </c>
      <c r="D13" s="34" t="n">
        <v>1784</v>
      </c>
      <c r="E13" s="34" t="n">
        <v>2883</v>
      </c>
      <c r="F13" s="34" t="n">
        <v>2695</v>
      </c>
      <c r="G13" s="76" t="n">
        <f aca="false">E13-C13</f>
        <v>419</v>
      </c>
      <c r="H13" s="77" t="n">
        <f aca="false">IFERROR(G13/C13,"")</f>
        <v>0.170048701298701</v>
      </c>
      <c r="I13" s="33" t="s">
        <v>579</v>
      </c>
    </row>
    <row r="14" customFormat="false" ht="15" hidden="false" customHeight="false" outlineLevel="0" collapsed="false">
      <c r="A14" s="49" t="s">
        <v>407</v>
      </c>
      <c r="B14" s="34" t="n">
        <v>697</v>
      </c>
      <c r="C14" s="34" t="n">
        <v>549</v>
      </c>
      <c r="D14" s="34" t="n">
        <v>435</v>
      </c>
      <c r="E14" s="34" t="n">
        <v>1047</v>
      </c>
      <c r="F14" s="34" t="n">
        <v>1007</v>
      </c>
      <c r="G14" s="76" t="n">
        <f aca="false">E14-C14</f>
        <v>498</v>
      </c>
      <c r="H14" s="77" t="n">
        <f aca="false">IFERROR(G14/C14,"")</f>
        <v>0.907103825136612</v>
      </c>
      <c r="I14" s="33" t="s">
        <v>580</v>
      </c>
    </row>
    <row r="15" customFormat="false" ht="15" hidden="false" customHeight="false" outlineLevel="0" collapsed="false">
      <c r="A15" s="51" t="s">
        <v>408</v>
      </c>
      <c r="B15" s="34" t="n">
        <v>0</v>
      </c>
      <c r="C15" s="34" t="n">
        <v>1656</v>
      </c>
      <c r="D15" s="34" t="n">
        <v>1292</v>
      </c>
      <c r="E15" s="34" t="n">
        <v>984</v>
      </c>
      <c r="F15" s="34" t="n">
        <v>1188</v>
      </c>
      <c r="G15" s="76" t="n">
        <f aca="false">E15-C15</f>
        <v>-672</v>
      </c>
      <c r="H15" s="77" t="n">
        <f aca="false">IFERROR(G15/C15,"")</f>
        <v>-0.405797101449275</v>
      </c>
      <c r="I15" s="54" t="s">
        <v>581</v>
      </c>
    </row>
    <row r="16" customFormat="false" ht="15" hidden="false" customHeight="false" outlineLevel="0" collapsed="false">
      <c r="A16" s="51" t="s">
        <v>409</v>
      </c>
      <c r="B16" s="34" t="n">
        <v>252</v>
      </c>
      <c r="C16" s="34" t="n">
        <v>244</v>
      </c>
      <c r="D16" s="34" t="n">
        <v>412</v>
      </c>
      <c r="E16" s="34" t="n">
        <v>512</v>
      </c>
      <c r="F16" s="34" t="n">
        <v>432</v>
      </c>
      <c r="G16" s="76" t="n">
        <f aca="false">E16-C16</f>
        <v>268</v>
      </c>
      <c r="H16" s="77" t="n">
        <f aca="false">IFERROR(G16/C16,"")</f>
        <v>1.09836065573771</v>
      </c>
      <c r="I16" s="33" t="s">
        <v>582</v>
      </c>
    </row>
    <row r="17" customFormat="false" ht="15" hidden="false" customHeight="false" outlineLevel="0" collapsed="false">
      <c r="A17" s="49" t="s">
        <v>410</v>
      </c>
      <c r="B17" s="34" t="n">
        <v>420</v>
      </c>
      <c r="C17" s="34" t="n">
        <v>0</v>
      </c>
      <c r="D17" s="34" t="n">
        <v>0</v>
      </c>
      <c r="E17" s="34" t="n">
        <v>0</v>
      </c>
      <c r="F17" s="34" t="n">
        <v>0</v>
      </c>
      <c r="G17" s="76" t="n">
        <f aca="false">E17-C17</f>
        <v>0</v>
      </c>
      <c r="H17" s="77" t="str">
        <f aca="false">IFERROR(G17/C17,"")</f>
        <v/>
      </c>
      <c r="I17" s="33" t="s">
        <v>583</v>
      </c>
    </row>
    <row r="18" customFormat="false" ht="15" hidden="false" customHeight="false" outlineLevel="0" collapsed="false">
      <c r="A18" s="41" t="s">
        <v>584</v>
      </c>
      <c r="B18" s="44" t="n">
        <v>7567</v>
      </c>
      <c r="C18" s="44" t="n">
        <v>7012</v>
      </c>
      <c r="D18" s="44" t="n">
        <v>5557</v>
      </c>
      <c r="E18" s="44" t="n">
        <v>6882</v>
      </c>
      <c r="F18" s="44" t="n">
        <v>6477</v>
      </c>
      <c r="G18" s="78" t="n">
        <f aca="false">E18-C18</f>
        <v>-130</v>
      </c>
      <c r="H18" s="79" t="n">
        <f aca="false">IFERROR(G18/C18,"")</f>
        <v>-0.0185396463205933</v>
      </c>
      <c r="I18" s="41" t="s">
        <v>585</v>
      </c>
    </row>
    <row r="20" customFormat="false" ht="15" hidden="false" customHeight="false" outlineLevel="0" collapsed="false">
      <c r="A20" s="4" t="s">
        <v>586</v>
      </c>
    </row>
    <row r="21" customFormat="false" ht="31.5" hidden="false" customHeight="true" outlineLevel="0" collapsed="false">
      <c r="A21" s="26" t="s">
        <v>414</v>
      </c>
      <c r="B21" s="26" t="s">
        <v>416</v>
      </c>
      <c r="C21" s="26" t="s">
        <v>587</v>
      </c>
      <c r="D21" s="25" t="s">
        <v>588</v>
      </c>
      <c r="E21" s="25" t="s">
        <v>589</v>
      </c>
      <c r="F21" s="26" t="s">
        <v>590</v>
      </c>
      <c r="G21" s="26" t="s">
        <v>591</v>
      </c>
    </row>
    <row r="22" customFormat="false" ht="25.35" hidden="false" customHeight="false" outlineLevel="0" collapsed="false">
      <c r="A22" s="53" t="s">
        <v>366</v>
      </c>
      <c r="B22" s="35" t="n">
        <v>332</v>
      </c>
      <c r="C22" s="34" t="n">
        <v>7567</v>
      </c>
      <c r="D22" s="34" t="n">
        <v>2159</v>
      </c>
      <c r="E22" s="76"/>
      <c r="F22" s="34" t="n">
        <v>7567</v>
      </c>
      <c r="G22" s="66" t="s">
        <v>592</v>
      </c>
    </row>
    <row r="23" customFormat="false" ht="49.25" hidden="false" customHeight="false" outlineLevel="0" collapsed="false">
      <c r="A23" s="53" t="s">
        <v>367</v>
      </c>
      <c r="B23" s="35" t="n">
        <v>85</v>
      </c>
      <c r="C23" s="34" t="n">
        <v>1480</v>
      </c>
      <c r="D23" s="34" t="n">
        <v>2099</v>
      </c>
      <c r="E23" s="76" t="n">
        <f aca="false">D23-D22</f>
        <v>-60</v>
      </c>
      <c r="F23" s="34" t="n">
        <v>7012</v>
      </c>
      <c r="G23" s="65" t="s">
        <v>593</v>
      </c>
    </row>
    <row r="24" customFormat="false" ht="73.1" hidden="false" customHeight="false" outlineLevel="0" collapsed="false">
      <c r="A24" s="53" t="s">
        <v>368</v>
      </c>
      <c r="B24" s="35" t="n">
        <v>19</v>
      </c>
      <c r="C24" s="34" t="n">
        <v>712</v>
      </c>
      <c r="D24" s="34" t="n">
        <v>1634</v>
      </c>
      <c r="E24" s="76" t="n">
        <f aca="false">D24-D23</f>
        <v>-465</v>
      </c>
      <c r="F24" s="34" t="n">
        <v>5557</v>
      </c>
      <c r="G24" s="66" t="s">
        <v>594</v>
      </c>
    </row>
    <row r="25" customFormat="false" ht="85.05" hidden="false" customHeight="false" outlineLevel="0" collapsed="false">
      <c r="A25" s="53" t="s">
        <v>369</v>
      </c>
      <c r="B25" s="35" t="n">
        <v>106</v>
      </c>
      <c r="C25" s="34" t="n">
        <v>1360</v>
      </c>
      <c r="D25" s="34" t="n">
        <v>1455</v>
      </c>
      <c r="E25" s="76" t="n">
        <f aca="false">D25-D24</f>
        <v>-179</v>
      </c>
      <c r="F25" s="34" t="n">
        <v>6882</v>
      </c>
      <c r="G25" s="66" t="s">
        <v>595</v>
      </c>
    </row>
    <row r="26" customFormat="false" ht="25.35" hidden="false" customHeight="false" outlineLevel="0" collapsed="false">
      <c r="A26" s="53" t="s">
        <v>370</v>
      </c>
      <c r="B26" s="35" t="n">
        <v>0</v>
      </c>
      <c r="C26" s="34" t="n">
        <v>0</v>
      </c>
      <c r="D26" s="34" t="n">
        <v>1156</v>
      </c>
      <c r="E26" s="76" t="n">
        <f aca="false">D26-D25</f>
        <v>-299</v>
      </c>
      <c r="F26" s="34" t="n">
        <v>6477</v>
      </c>
      <c r="G26" s="66" t="s">
        <v>596</v>
      </c>
    </row>
    <row r="29" customFormat="false" ht="15" hidden="false" customHeight="false" outlineLevel="0" collapsed="false">
      <c r="A29" s="80" t="s">
        <v>597</v>
      </c>
    </row>
    <row r="30" customFormat="false" ht="31.5" hidden="false" customHeight="true" outlineLevel="0" collapsed="false">
      <c r="A30" s="25" t="s">
        <v>598</v>
      </c>
      <c r="B30" s="47" t="s">
        <v>366</v>
      </c>
      <c r="C30" s="28" t="s">
        <v>367</v>
      </c>
      <c r="D30" s="29" t="s">
        <v>368</v>
      </c>
      <c r="E30" s="30" t="s">
        <v>369</v>
      </c>
      <c r="F30" s="27" t="s">
        <v>370</v>
      </c>
      <c r="G30" s="31" t="s">
        <v>575</v>
      </c>
      <c r="H30" s="81" t="s">
        <v>599</v>
      </c>
      <c r="I30" s="31" t="s">
        <v>600</v>
      </c>
    </row>
    <row r="31" customFormat="false" ht="25.35" hidden="false" customHeight="false" outlineLevel="0" collapsed="false">
      <c r="A31" s="49" t="s">
        <v>601</v>
      </c>
      <c r="B31" s="34" t="n">
        <v>632</v>
      </c>
      <c r="C31" s="34" t="n">
        <v>801</v>
      </c>
      <c r="D31" s="34" t="n">
        <v>722</v>
      </c>
      <c r="E31" s="34" t="n">
        <v>529</v>
      </c>
      <c r="F31" s="34" t="n">
        <v>173</v>
      </c>
      <c r="G31" s="76" t="n">
        <f aca="false">E31-C31</f>
        <v>-272</v>
      </c>
      <c r="H31" s="37" t="n">
        <f aca="false">IFERROR(G31/G$38,"")</f>
        <v>0.423017107309487</v>
      </c>
      <c r="I31" s="66" t="s">
        <v>602</v>
      </c>
    </row>
    <row r="32" customFormat="false" ht="25.35" hidden="false" customHeight="false" outlineLevel="0" collapsed="false">
      <c r="A32" s="49" t="s">
        <v>603</v>
      </c>
      <c r="B32" s="34" t="n">
        <v>712</v>
      </c>
      <c r="C32" s="34" t="n">
        <v>662</v>
      </c>
      <c r="D32" s="34" t="n">
        <v>442</v>
      </c>
      <c r="E32" s="34" t="n">
        <v>378</v>
      </c>
      <c r="F32" s="34" t="n">
        <v>326</v>
      </c>
      <c r="G32" s="76" t="n">
        <f aca="false">E32-C32</f>
        <v>-284</v>
      </c>
      <c r="H32" s="37" t="n">
        <f aca="false">IFERROR(G32/G$38,"")</f>
        <v>0.441679626749611</v>
      </c>
      <c r="I32" s="66" t="s">
        <v>604</v>
      </c>
    </row>
    <row r="33" customFormat="false" ht="25.35" hidden="false" customHeight="false" outlineLevel="0" collapsed="false">
      <c r="A33" s="49" t="s">
        <v>605</v>
      </c>
      <c r="B33" s="34" t="n">
        <v>215</v>
      </c>
      <c r="C33" s="34" t="n">
        <v>117</v>
      </c>
      <c r="D33" s="34" t="n">
        <v>99</v>
      </c>
      <c r="E33" s="34" t="n">
        <v>124</v>
      </c>
      <c r="F33" s="34" t="n">
        <v>154</v>
      </c>
      <c r="G33" s="76" t="n">
        <f aca="false">E33-C33</f>
        <v>7</v>
      </c>
      <c r="H33" s="37" t="n">
        <f aca="false">IFERROR(G33/G$38,"")</f>
        <v>-0.0108864696734059</v>
      </c>
      <c r="I33" s="66" t="s">
        <v>606</v>
      </c>
    </row>
    <row r="34" customFormat="false" ht="15" hidden="false" customHeight="false" outlineLevel="0" collapsed="false">
      <c r="A34" s="49" t="s">
        <v>607</v>
      </c>
      <c r="B34" s="34" t="n">
        <v>184</v>
      </c>
      <c r="C34" s="34" t="n">
        <v>148</v>
      </c>
      <c r="D34" s="34" t="n">
        <v>104</v>
      </c>
      <c r="E34" s="34" t="n">
        <v>149</v>
      </c>
      <c r="F34" s="34" t="n">
        <v>137</v>
      </c>
      <c r="G34" s="76" t="n">
        <f aca="false">E34-C34</f>
        <v>1</v>
      </c>
      <c r="H34" s="37" t="n">
        <f aca="false">IFERROR(G34/G$38,"")</f>
        <v>-0.0015552099533437</v>
      </c>
      <c r="I34" s="66" t="s">
        <v>608</v>
      </c>
    </row>
    <row r="35" customFormat="false" ht="15" hidden="false" customHeight="false" outlineLevel="0" collapsed="false">
      <c r="A35" s="49" t="s">
        <v>609</v>
      </c>
      <c r="B35" s="34" t="n">
        <v>115</v>
      </c>
      <c r="C35" s="34" t="n">
        <v>49</v>
      </c>
      <c r="D35" s="34" t="n">
        <v>37</v>
      </c>
      <c r="E35" s="34" t="n">
        <v>52</v>
      </c>
      <c r="F35" s="34" t="n">
        <v>48</v>
      </c>
      <c r="G35" s="76" t="n">
        <f aca="false">E35-C35</f>
        <v>3</v>
      </c>
      <c r="H35" s="37" t="n">
        <f aca="false">IFERROR(G35/G$38,"")</f>
        <v>-0.00466562986003111</v>
      </c>
      <c r="I35" s="66" t="s">
        <v>610</v>
      </c>
    </row>
    <row r="36" customFormat="false" ht="25.35" hidden="false" customHeight="false" outlineLevel="0" collapsed="false">
      <c r="A36" s="49" t="s">
        <v>611</v>
      </c>
      <c r="B36" s="34" t="n">
        <v>247</v>
      </c>
      <c r="C36" s="34" t="n">
        <v>203</v>
      </c>
      <c r="D36" s="34" t="n">
        <v>161</v>
      </c>
      <c r="E36" s="34" t="n">
        <v>159</v>
      </c>
      <c r="F36" s="34" t="n">
        <v>274</v>
      </c>
      <c r="G36" s="76" t="n">
        <f aca="false">E36-C36</f>
        <v>-44</v>
      </c>
      <c r="H36" s="37" t="n">
        <f aca="false">IFERROR(G36/G$38,"")</f>
        <v>0.0684292379471229</v>
      </c>
      <c r="I36" s="66" t="s">
        <v>612</v>
      </c>
    </row>
    <row r="37" customFormat="false" ht="15" hidden="false" customHeight="false" outlineLevel="0" collapsed="false">
      <c r="A37" s="49" t="s">
        <v>613</v>
      </c>
      <c r="B37" s="34" t="n">
        <v>54</v>
      </c>
      <c r="C37" s="34" t="n">
        <v>119</v>
      </c>
      <c r="D37" s="34" t="n">
        <v>68</v>
      </c>
      <c r="E37" s="34" t="n">
        <v>65</v>
      </c>
      <c r="F37" s="34" t="n">
        <v>43</v>
      </c>
      <c r="G37" s="76" t="n">
        <f aca="false">E37-C37</f>
        <v>-54</v>
      </c>
      <c r="H37" s="37" t="n">
        <f aca="false">IFERROR(G37/G$38,"")</f>
        <v>0.0839813374805599</v>
      </c>
      <c r="I37" s="66" t="s">
        <v>614</v>
      </c>
    </row>
    <row r="38" customFormat="false" ht="15" hidden="false" customHeight="false" outlineLevel="0" collapsed="false">
      <c r="A38" s="82" t="s">
        <v>615</v>
      </c>
      <c r="B38" s="44" t="n">
        <f aca="false">SUM(B31:B37)</f>
        <v>2159</v>
      </c>
      <c r="C38" s="44" t="n">
        <f aca="false">SUM(C31:C37)</f>
        <v>2099</v>
      </c>
      <c r="D38" s="44" t="n">
        <f aca="false">SUM(D31:D37)</f>
        <v>1633</v>
      </c>
      <c r="E38" s="44" t="n">
        <f aca="false">SUM(E31:E37)</f>
        <v>1456</v>
      </c>
      <c r="F38" s="44" t="n">
        <f aca="false">SUM(F31:F37)</f>
        <v>1155</v>
      </c>
      <c r="G38" s="78" t="n">
        <f aca="false">E38-C38</f>
        <v>-643</v>
      </c>
      <c r="H38" s="45" t="n">
        <v>1</v>
      </c>
      <c r="I38" s="83"/>
    </row>
    <row r="40" customFormat="false" ht="15" hidden="false" customHeight="false" outlineLevel="0" collapsed="false">
      <c r="A40" s="4" t="s">
        <v>616</v>
      </c>
    </row>
    <row r="41" customFormat="false" ht="31.5" hidden="false" customHeight="true" outlineLevel="0" collapsed="false">
      <c r="A41" s="48" t="s">
        <v>617</v>
      </c>
      <c r="B41" s="55" t="s">
        <v>618</v>
      </c>
      <c r="C41" s="48" t="s">
        <v>619</v>
      </c>
      <c r="D41" s="48" t="s">
        <v>620</v>
      </c>
      <c r="E41" s="48" t="s">
        <v>621</v>
      </c>
      <c r="F41" s="55" t="s">
        <v>622</v>
      </c>
      <c r="G41" s="48" t="s">
        <v>623</v>
      </c>
    </row>
    <row r="42" customFormat="false" ht="37.3" hidden="false" customHeight="false" outlineLevel="0" collapsed="false">
      <c r="A42" s="49" t="s">
        <v>624</v>
      </c>
      <c r="B42" s="35" t="n">
        <v>39</v>
      </c>
      <c r="C42" s="35" t="n">
        <v>11147</v>
      </c>
      <c r="D42" s="34" t="n">
        <v>14080770</v>
      </c>
      <c r="E42" s="37" t="n">
        <f aca="false">D42/215184570</f>
        <v>0.0654357791546113</v>
      </c>
      <c r="F42" s="34" t="n">
        <f aca="false">ROUND(D42/31267,0)</f>
        <v>450</v>
      </c>
      <c r="G42" s="66" t="s">
        <v>625</v>
      </c>
    </row>
    <row r="43" customFormat="false" ht="37.3" hidden="false" customHeight="false" outlineLevel="0" collapsed="false">
      <c r="A43" s="49" t="s">
        <v>626</v>
      </c>
      <c r="B43" s="35" t="n">
        <v>7</v>
      </c>
      <c r="C43" s="35" t="n">
        <v>17060</v>
      </c>
      <c r="D43" s="34" t="n">
        <v>9360615</v>
      </c>
      <c r="E43" s="37" t="n">
        <f aca="false">D43/215184570</f>
        <v>0.043500400609579</v>
      </c>
      <c r="F43" s="34" t="n">
        <f aca="false">ROUND(D43/31267,0)</f>
        <v>299</v>
      </c>
      <c r="G43" s="66" t="s">
        <v>627</v>
      </c>
    </row>
    <row r="44" customFormat="false" ht="37.3" hidden="false" customHeight="false" outlineLevel="0" collapsed="false">
      <c r="A44" s="49" t="s">
        <v>605</v>
      </c>
      <c r="B44" s="35" t="n">
        <v>10</v>
      </c>
      <c r="C44" s="35" t="n">
        <v>11836</v>
      </c>
      <c r="D44" s="34" t="n">
        <v>6460410</v>
      </c>
      <c r="E44" s="37" t="n">
        <f aca="false">D44/215184570</f>
        <v>0.0300226452110391</v>
      </c>
      <c r="F44" s="34" t="n">
        <f aca="false">ROUND(D44/31267,0)</f>
        <v>207</v>
      </c>
      <c r="G44" s="66" t="s">
        <v>628</v>
      </c>
    </row>
    <row r="45" customFormat="false" ht="37.3" hidden="false" customHeight="false" outlineLevel="0" collapsed="false">
      <c r="A45" s="49" t="s">
        <v>629</v>
      </c>
      <c r="B45" s="35" t="n">
        <v>14</v>
      </c>
      <c r="C45" s="35" t="n">
        <v>5531</v>
      </c>
      <c r="D45" s="34" t="n">
        <v>6084100</v>
      </c>
      <c r="E45" s="37" t="n">
        <f aca="false">D45/215184570</f>
        <v>0.0282738674060134</v>
      </c>
      <c r="F45" s="34" t="n">
        <f aca="false">ROUND(D45/31267,0)</f>
        <v>195</v>
      </c>
      <c r="G45" s="66" t="s">
        <v>630</v>
      </c>
    </row>
    <row r="46" customFormat="false" ht="25.35" hidden="false" customHeight="false" outlineLevel="0" collapsed="false">
      <c r="A46" s="49" t="s">
        <v>631</v>
      </c>
      <c r="B46" s="35" t="n">
        <v>9</v>
      </c>
      <c r="C46" s="35" t="n">
        <v>5528</v>
      </c>
      <c r="D46" s="34" t="n">
        <v>3778060</v>
      </c>
      <c r="E46" s="37" t="n">
        <f aca="false">D46/215184570</f>
        <v>0.0175572997636401</v>
      </c>
      <c r="F46" s="34" t="n">
        <f aca="false">ROUND(D46/31267,0)</f>
        <v>121</v>
      </c>
      <c r="G46" s="66" t="s">
        <v>632</v>
      </c>
    </row>
    <row r="47" customFormat="false" ht="15" hidden="false" customHeight="false" outlineLevel="0" collapsed="false">
      <c r="A47" s="49" t="s">
        <v>633</v>
      </c>
      <c r="B47" s="35" t="n">
        <v>16</v>
      </c>
      <c r="C47" s="35" t="n">
        <v>1561</v>
      </c>
      <c r="D47" s="34" t="n">
        <v>1814100</v>
      </c>
      <c r="E47" s="37" t="n">
        <f aca="false">D47/215184570</f>
        <v>0.00843043718236861</v>
      </c>
      <c r="F47" s="34" t="n">
        <f aca="false">ROUND(D47/31267,0)</f>
        <v>58</v>
      </c>
      <c r="G47" s="66" t="s">
        <v>611</v>
      </c>
    </row>
    <row r="48" customFormat="false" ht="25.35" hidden="false" customHeight="false" outlineLevel="0" collapsed="false">
      <c r="A48" s="49" t="s">
        <v>634</v>
      </c>
      <c r="B48" s="35" t="n">
        <v>11</v>
      </c>
      <c r="C48" s="35" t="n">
        <v>1719</v>
      </c>
      <c r="D48" s="34" t="n">
        <v>945450</v>
      </c>
      <c r="E48" s="37" t="n">
        <f aca="false">D48/215184570</f>
        <v>0.00439367004799647</v>
      </c>
      <c r="F48" s="34" t="n">
        <f aca="false">ROUND(D48/31267,0)</f>
        <v>30</v>
      </c>
      <c r="G48" s="66" t="s">
        <v>635</v>
      </c>
    </row>
    <row r="49" customFormat="false" ht="25.35" hidden="false" customHeight="false" outlineLevel="0" collapsed="false">
      <c r="A49" s="41" t="s">
        <v>636</v>
      </c>
      <c r="B49" s="42" t="n">
        <f aca="false">SUM(B42:B48)</f>
        <v>106</v>
      </c>
      <c r="C49" s="42" t="n">
        <f aca="false">SUM(C42:C48)</f>
        <v>54382</v>
      </c>
      <c r="D49" s="44" t="n">
        <f aca="false">SUM(D42:D48)</f>
        <v>42523505</v>
      </c>
      <c r="E49" s="45" t="n">
        <f aca="false">D49/215184570</f>
        <v>0.197614099375248</v>
      </c>
      <c r="F49" s="44" t="n">
        <f aca="false">ROUND(D49/31267,0)</f>
        <v>1360</v>
      </c>
      <c r="G49" s="84" t="s">
        <v>637</v>
      </c>
    </row>
    <row r="51" customFormat="false" ht="15" hidden="false" customHeight="false" outlineLevel="0" collapsed="false">
      <c r="A51" s="4" t="s">
        <v>638</v>
      </c>
    </row>
    <row r="52" customFormat="false" ht="13.4" hidden="false" customHeight="false" outlineLevel="0" collapsed="false">
      <c r="A52" s="8" t="s">
        <v>639</v>
      </c>
      <c r="B52" s="85" t="s">
        <v>640</v>
      </c>
      <c r="C52" s="85"/>
      <c r="D52" s="85"/>
      <c r="E52" s="85"/>
      <c r="F52" s="85"/>
      <c r="G52" s="85"/>
      <c r="H52" s="85"/>
      <c r="I52" s="85"/>
    </row>
    <row r="53" customFormat="false" ht="15" hidden="false" customHeight="false" outlineLevel="0" collapsed="false">
      <c r="A53" s="5" t="s">
        <v>641</v>
      </c>
      <c r="B53" s="85" t="s">
        <v>642</v>
      </c>
      <c r="C53" s="85"/>
      <c r="D53" s="85"/>
      <c r="E53" s="85"/>
      <c r="F53" s="85"/>
      <c r="G53" s="85"/>
      <c r="H53" s="85"/>
      <c r="I53" s="85"/>
    </row>
    <row r="54" customFormat="false" ht="15" hidden="false" customHeight="false" outlineLevel="0" collapsed="false">
      <c r="A54" s="5" t="s">
        <v>643</v>
      </c>
      <c r="B54" s="85" t="s">
        <v>644</v>
      </c>
      <c r="C54" s="85"/>
      <c r="D54" s="85"/>
      <c r="E54" s="85"/>
      <c r="F54" s="85"/>
      <c r="G54" s="85"/>
      <c r="H54" s="85"/>
      <c r="I54" s="85"/>
    </row>
    <row r="55" customFormat="false" ht="15" hidden="false" customHeight="false" outlineLevel="0" collapsed="false">
      <c r="A55" s="5" t="s">
        <v>645</v>
      </c>
      <c r="B55" s="85" t="s">
        <v>646</v>
      </c>
      <c r="C55" s="85"/>
      <c r="D55" s="85"/>
      <c r="E55" s="85"/>
      <c r="F55" s="85"/>
      <c r="G55" s="85"/>
      <c r="H55" s="85"/>
      <c r="I55" s="85"/>
    </row>
    <row r="56" customFormat="false" ht="15" hidden="false" customHeight="false" outlineLevel="0" collapsed="false">
      <c r="A56" s="5" t="s">
        <v>647</v>
      </c>
      <c r="B56" s="85" t="s">
        <v>648</v>
      </c>
      <c r="C56" s="85"/>
      <c r="D56" s="85"/>
      <c r="E56" s="85"/>
      <c r="F56" s="85"/>
      <c r="G56" s="85"/>
      <c r="H56" s="85"/>
      <c r="I56" s="85"/>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9" min="8"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1" t="s">
        <v>649</v>
      </c>
    </row>
    <row r="2" customFormat="false" ht="15" hidden="false" customHeight="false" outlineLevel="0" collapsed="false">
      <c r="A2" s="3" t="s">
        <v>650</v>
      </c>
    </row>
    <row r="3" customFormat="false" ht="15" hidden="false" customHeight="false" outlineLevel="0" collapsed="false">
      <c r="A3" s="3" t="s">
        <v>651</v>
      </c>
    </row>
    <row r="4" customFormat="false" ht="15" hidden="false" customHeight="false" outlineLevel="0" collapsed="false">
      <c r="A4" s="3" t="s">
        <v>652</v>
      </c>
    </row>
    <row r="6" customFormat="false" ht="45.75" hidden="false" customHeight="true" outlineLevel="0" collapsed="false">
      <c r="A6" s="25" t="s">
        <v>253</v>
      </c>
      <c r="B6" s="25" t="s">
        <v>254</v>
      </c>
      <c r="C6" s="26" t="s">
        <v>255</v>
      </c>
      <c r="D6" s="26" t="s">
        <v>492</v>
      </c>
      <c r="E6" s="86" t="s">
        <v>653</v>
      </c>
      <c r="F6" s="86" t="s">
        <v>654</v>
      </c>
      <c r="G6" s="86" t="s">
        <v>655</v>
      </c>
      <c r="H6" s="59" t="s">
        <v>656</v>
      </c>
      <c r="I6" s="59" t="s">
        <v>657</v>
      </c>
      <c r="J6" s="27" t="s">
        <v>658</v>
      </c>
      <c r="K6" s="27" t="s">
        <v>659</v>
      </c>
      <c r="L6" s="27" t="s">
        <v>660</v>
      </c>
      <c r="M6" s="17" t="s">
        <v>661</v>
      </c>
      <c r="N6" s="17" t="s">
        <v>485</v>
      </c>
      <c r="O6" s="48" t="s">
        <v>499</v>
      </c>
      <c r="P6" s="31" t="s">
        <v>662</v>
      </c>
      <c r="Q6" s="31" t="s">
        <v>663</v>
      </c>
      <c r="R6" s="31" t="s">
        <v>488</v>
      </c>
      <c r="S6" s="31" t="s">
        <v>664</v>
      </c>
      <c r="T6" s="63" t="s">
        <v>665</v>
      </c>
      <c r="U6" s="64" t="s">
        <v>419</v>
      </c>
    </row>
    <row r="7" customFormat="false" ht="15" hidden="false" customHeight="false" outlineLevel="0" collapsed="false">
      <c r="A7" s="32" t="n">
        <v>1</v>
      </c>
      <c r="B7" s="32" t="s">
        <v>276</v>
      </c>
      <c r="C7" s="33" t="s">
        <v>277</v>
      </c>
      <c r="D7" s="34" t="n">
        <v>500</v>
      </c>
      <c r="E7" s="35" t="n">
        <v>4024</v>
      </c>
      <c r="F7" s="35" t="n">
        <v>2689</v>
      </c>
      <c r="G7" s="35" t="n">
        <v>5590</v>
      </c>
      <c r="H7" s="35" t="n">
        <v>3264</v>
      </c>
      <c r="I7" s="34" t="n">
        <f aca="false">H7*D7</f>
        <v>1632000</v>
      </c>
      <c r="J7" s="35" t="n">
        <f aca="false">①札幌予測確定!S7</f>
        <v>1000</v>
      </c>
      <c r="K7" s="35" t="n">
        <f aca="false">①札幌予測確定!P7</f>
        <v>460</v>
      </c>
      <c r="L7" s="35" t="n">
        <f aca="false">①札幌予測確定!U7</f>
        <v>540</v>
      </c>
      <c r="M7" s="35" t="n">
        <f aca="false">H7-J7</f>
        <v>2264</v>
      </c>
      <c r="N7" s="35" t="n">
        <f aca="false">M7+ROUND(L7*前提・入力!$B$37,0)</f>
        <v>2804</v>
      </c>
      <c r="O7" s="35" t="n">
        <f aca="false">③石川以降予測!N29</f>
        <v>3671</v>
      </c>
      <c r="P7" s="38" t="n">
        <f aca="false">N7-O7</f>
        <v>-867</v>
      </c>
      <c r="Q7" s="35" t="n">
        <f aca="false">MAX(0,-P7)</f>
        <v>867</v>
      </c>
      <c r="R7" s="35" t="n">
        <f aca="false">IF(Q7&gt;0,ROUNDUP(Q7*(1+前提・入力!$B$35),0),0)</f>
        <v>954</v>
      </c>
      <c r="S7" s="66" t="str">
        <f aca="false">IF(Q7&gt;0,"★欠品：追加生産が必要",IF(P7&gt;=O7*2,"大幅余剰","在庫で充足"))</f>
        <v>★欠品：追加生産が必要</v>
      </c>
      <c r="T7" s="39"/>
      <c r="U7" s="65"/>
    </row>
    <row r="8" customFormat="false" ht="15" hidden="false" customHeight="false" outlineLevel="0" collapsed="false">
      <c r="A8" s="32" t="n">
        <v>2</v>
      </c>
      <c r="B8" s="32" t="s">
        <v>278</v>
      </c>
      <c r="C8" s="33" t="s">
        <v>279</v>
      </c>
      <c r="D8" s="34" t="n">
        <v>600</v>
      </c>
      <c r="E8" s="35" t="n">
        <v>1096</v>
      </c>
      <c r="F8" s="35" t="n">
        <v>5135</v>
      </c>
      <c r="G8" s="35" t="n">
        <v>7002</v>
      </c>
      <c r="H8" s="35" t="n">
        <v>5037</v>
      </c>
      <c r="I8" s="34" t="n">
        <f aca="false">H8*D8</f>
        <v>3022200</v>
      </c>
      <c r="J8" s="35" t="n">
        <f aca="false">①札幌予測確定!S8</f>
        <v>1000</v>
      </c>
      <c r="K8" s="35" t="n">
        <f aca="false">①札幌予測確定!P8</f>
        <v>520</v>
      </c>
      <c r="L8" s="35" t="n">
        <f aca="false">①札幌予測確定!U8</f>
        <v>480</v>
      </c>
      <c r="M8" s="35" t="n">
        <f aca="false">H8-J8</f>
        <v>4037</v>
      </c>
      <c r="N8" s="35" t="n">
        <f aca="false">M8+ROUND(L8*前提・入力!$B$37,0)</f>
        <v>4517</v>
      </c>
      <c r="O8" s="35" t="n">
        <f aca="false">③石川以降予測!N30</f>
        <v>3713</v>
      </c>
      <c r="P8" s="38" t="n">
        <f aca="false">N8-O8</f>
        <v>804</v>
      </c>
      <c r="Q8" s="35" t="n">
        <f aca="false">MAX(0,-P8)</f>
        <v>0</v>
      </c>
      <c r="R8" s="35" t="n">
        <f aca="false">IF(Q8&gt;0,ROUNDUP(Q8*(1+前提・入力!$B$35),0),0)</f>
        <v>0</v>
      </c>
      <c r="S8" s="66" t="str">
        <f aca="false">IF(Q8&gt;0,"★欠品：追加生産が必要",IF(P8&gt;=O8*2,"大幅余剰","在庫で充足"))</f>
        <v>在庫で充足</v>
      </c>
      <c r="T8" s="39"/>
      <c r="U8" s="65"/>
    </row>
    <row r="9" customFormat="false" ht="15" hidden="false" customHeight="false" outlineLevel="0" collapsed="false">
      <c r="A9" s="32" t="n">
        <v>3</v>
      </c>
      <c r="B9" s="32" t="s">
        <v>280</v>
      </c>
      <c r="C9" s="33" t="s">
        <v>281</v>
      </c>
      <c r="D9" s="34" t="n">
        <v>1000</v>
      </c>
      <c r="E9" s="35" t="n">
        <v>3340</v>
      </c>
      <c r="F9" s="35" t="n">
        <v>2735</v>
      </c>
      <c r="G9" s="35" t="n">
        <v>7280</v>
      </c>
      <c r="H9" s="35" t="n">
        <v>6140</v>
      </c>
      <c r="I9" s="34" t="n">
        <f aca="false">H9*D9</f>
        <v>6140000</v>
      </c>
      <c r="J9" s="35" t="n">
        <f aca="false">①札幌予測確定!S9</f>
        <v>450</v>
      </c>
      <c r="K9" s="35" t="n">
        <f aca="false">①札幌予測確定!P9</f>
        <v>158</v>
      </c>
      <c r="L9" s="35" t="n">
        <f aca="false">①札幌予測確定!U9</f>
        <v>292</v>
      </c>
      <c r="M9" s="35" t="n">
        <f aca="false">H9-J9</f>
        <v>5690</v>
      </c>
      <c r="N9" s="35" t="n">
        <f aca="false">M9+ROUND(L9*前提・入力!$B$37,0)</f>
        <v>5982</v>
      </c>
      <c r="O9" s="35" t="n">
        <f aca="false">③石川以降予測!N31</f>
        <v>1479</v>
      </c>
      <c r="P9" s="38" t="n">
        <f aca="false">N9-O9</f>
        <v>4503</v>
      </c>
      <c r="Q9" s="35" t="n">
        <f aca="false">MAX(0,-P9)</f>
        <v>0</v>
      </c>
      <c r="R9" s="35" t="n">
        <f aca="false">IF(Q9&gt;0,ROUNDUP(Q9*(1+前提・入力!$B$35),0),0)</f>
        <v>0</v>
      </c>
      <c r="S9" s="66" t="str">
        <f aca="false">IF(Q9&gt;0,"★欠品：追加生産が必要",IF(P9&gt;=O9*2,"大幅余剰","在庫で充足"))</f>
        <v>大幅余剰</v>
      </c>
      <c r="T9" s="39"/>
      <c r="U9" s="65" t="s">
        <v>666</v>
      </c>
    </row>
    <row r="10" customFormat="false" ht="15" hidden="false" customHeight="false" outlineLevel="0" collapsed="false">
      <c r="A10" s="32" t="n">
        <v>4</v>
      </c>
      <c r="B10" s="32" t="s">
        <v>282</v>
      </c>
      <c r="C10" s="33" t="s">
        <v>283</v>
      </c>
      <c r="D10" s="34" t="n">
        <v>1800</v>
      </c>
      <c r="E10" s="35" t="n">
        <v>3297</v>
      </c>
      <c r="F10" s="35" t="n">
        <v>2368</v>
      </c>
      <c r="G10" s="35" t="n">
        <v>28823</v>
      </c>
      <c r="H10" s="35" t="n">
        <v>27511</v>
      </c>
      <c r="I10" s="34" t="n">
        <f aca="false">H10*D10</f>
        <v>49519800</v>
      </c>
      <c r="J10" s="35" t="n">
        <f aca="false">①札幌予測確定!S10</f>
        <v>800</v>
      </c>
      <c r="K10" s="35" t="n">
        <f aca="false">①札幌予測確定!P10</f>
        <v>230</v>
      </c>
      <c r="L10" s="35" t="n">
        <f aca="false">①札幌予測確定!U10</f>
        <v>570</v>
      </c>
      <c r="M10" s="35" t="n">
        <f aca="false">H10-J10</f>
        <v>26711</v>
      </c>
      <c r="N10" s="35" t="n">
        <f aca="false">M10+ROUND(L10*前提・入力!$B$37,0)</f>
        <v>27281</v>
      </c>
      <c r="O10" s="35" t="n">
        <f aca="false">③石川以降予測!N32</f>
        <v>1932</v>
      </c>
      <c r="P10" s="38" t="n">
        <f aca="false">N10-O10</f>
        <v>25349</v>
      </c>
      <c r="Q10" s="35" t="n">
        <f aca="false">MAX(0,-P10)</f>
        <v>0</v>
      </c>
      <c r="R10" s="35" t="n">
        <f aca="false">IF(Q10&gt;0,ROUNDUP(Q10*(1+前提・入力!$B$35),0),0)</f>
        <v>0</v>
      </c>
      <c r="S10" s="66" t="str">
        <f aca="false">IF(Q10&gt;0,"★欠品：追加生産が必要",IF(P10&gt;=O10*2,"大幅余剰","在庫で充足"))</f>
        <v>大幅余剰</v>
      </c>
      <c r="T10" s="39"/>
      <c r="U10" s="65" t="s">
        <v>667</v>
      </c>
    </row>
    <row r="11" customFormat="false" ht="15" hidden="false" customHeight="false" outlineLevel="0" collapsed="false">
      <c r="A11" s="32" t="n">
        <v>5</v>
      </c>
      <c r="B11" s="32" t="s">
        <v>284</v>
      </c>
      <c r="C11" s="33" t="s">
        <v>285</v>
      </c>
      <c r="D11" s="34" t="n">
        <v>600</v>
      </c>
      <c r="E11" s="35" t="n">
        <v>5958</v>
      </c>
      <c r="F11" s="35" t="n">
        <v>10871</v>
      </c>
      <c r="G11" s="35" t="n">
        <v>48871</v>
      </c>
      <c r="H11" s="35" t="n">
        <v>39825</v>
      </c>
      <c r="I11" s="34" t="n">
        <f aca="false">H11*D11</f>
        <v>23895000</v>
      </c>
      <c r="J11" s="35" t="n">
        <f aca="false">①札幌予測確定!S11</f>
        <v>9000</v>
      </c>
      <c r="K11" s="35" t="n">
        <f aca="false">①札幌予測確定!P11</f>
        <v>506</v>
      </c>
      <c r="L11" s="35" t="n">
        <f aca="false">①札幌予測確定!U11</f>
        <v>8494</v>
      </c>
      <c r="M11" s="35" t="n">
        <f aca="false">H11-J11</f>
        <v>30825</v>
      </c>
      <c r="N11" s="35" t="n">
        <f aca="false">M11+ROUND(L11*前提・入力!$B$37,0)</f>
        <v>39319</v>
      </c>
      <c r="O11" s="35" t="n">
        <f aca="false">③石川以降予測!N33</f>
        <v>8231</v>
      </c>
      <c r="P11" s="38" t="n">
        <f aca="false">N11-O11</f>
        <v>31088</v>
      </c>
      <c r="Q11" s="35" t="n">
        <f aca="false">MAX(0,-P11)</f>
        <v>0</v>
      </c>
      <c r="R11" s="35" t="n">
        <f aca="false">IF(Q11&gt;0,ROUNDUP(Q11*(1+前提・入力!$B$35),0),0)</f>
        <v>0</v>
      </c>
      <c r="S11" s="66" t="str">
        <f aca="false">IF(Q11&gt;0,"★欠品：追加生産が必要",IF(P11&gt;=O11*2,"大幅余剰","在庫で充足"))</f>
        <v>大幅余剰</v>
      </c>
      <c r="T11" s="39"/>
      <c r="U11" s="65"/>
    </row>
    <row r="12" customFormat="false" ht="15" hidden="false" customHeight="false" outlineLevel="0" collapsed="false">
      <c r="A12" s="32" t="n">
        <v>6</v>
      </c>
      <c r="B12" s="32" t="s">
        <v>286</v>
      </c>
      <c r="C12" s="33" t="s">
        <v>287</v>
      </c>
      <c r="D12" s="34" t="n">
        <v>600</v>
      </c>
      <c r="E12" s="35" t="n">
        <v>12914</v>
      </c>
      <c r="F12" s="35" t="n">
        <v>18595</v>
      </c>
      <c r="G12" s="35" t="n">
        <v>69589</v>
      </c>
      <c r="H12" s="35" t="n">
        <v>50834</v>
      </c>
      <c r="I12" s="34" t="n">
        <f aca="false">H12*D12</f>
        <v>30500400</v>
      </c>
      <c r="J12" s="35" t="n">
        <f aca="false">①札幌予測確定!S12</f>
        <v>13991</v>
      </c>
      <c r="K12" s="35" t="n">
        <f aca="false">①札幌予測確定!P12</f>
        <v>1405</v>
      </c>
      <c r="L12" s="35" t="n">
        <f aca="false">①札幌予測確定!U12</f>
        <v>12586</v>
      </c>
      <c r="M12" s="35" t="n">
        <f aca="false">H12-J12</f>
        <v>36843</v>
      </c>
      <c r="N12" s="35" t="n">
        <f aca="false">M12+ROUND(L12*前提・入力!$B$37,0)</f>
        <v>49429</v>
      </c>
      <c r="O12" s="35" t="n">
        <f aca="false">③石川以降予測!N34</f>
        <v>18777</v>
      </c>
      <c r="P12" s="38" t="n">
        <f aca="false">N12-O12</f>
        <v>30652</v>
      </c>
      <c r="Q12" s="35" t="n">
        <f aca="false">MAX(0,-P12)</f>
        <v>0</v>
      </c>
      <c r="R12" s="35" t="n">
        <f aca="false">IF(Q12&gt;0,ROUNDUP(Q12*(1+前提・入力!$B$35),0),0)</f>
        <v>0</v>
      </c>
      <c r="S12" s="66" t="str">
        <f aca="false">IF(Q12&gt;0,"★欠品：追加生産が必要",IF(P12&gt;=O12*2,"大幅余剰","在庫で充足"))</f>
        <v>在庫で充足</v>
      </c>
      <c r="T12" s="39"/>
      <c r="U12" s="65"/>
    </row>
    <row r="13" customFormat="false" ht="15" hidden="false" customHeight="false" outlineLevel="0" collapsed="false">
      <c r="A13" s="32" t="n">
        <v>7</v>
      </c>
      <c r="B13" s="32" t="s">
        <v>288</v>
      </c>
      <c r="C13" s="33" t="s">
        <v>289</v>
      </c>
      <c r="D13" s="34" t="n">
        <v>600</v>
      </c>
      <c r="E13" s="35" t="n">
        <v>6467</v>
      </c>
      <c r="F13" s="35" t="n">
        <v>5884</v>
      </c>
      <c r="G13" s="35" t="n">
        <v>5484</v>
      </c>
      <c r="H13" s="35" t="n">
        <v>4542</v>
      </c>
      <c r="I13" s="34" t="n">
        <f aca="false">H13*D13</f>
        <v>2725200</v>
      </c>
      <c r="J13" s="35" t="n">
        <f aca="false">①札幌予測確定!S13</f>
        <v>350</v>
      </c>
      <c r="K13" s="35" t="n">
        <f aca="false">①札幌予測確定!P13</f>
        <v>195</v>
      </c>
      <c r="L13" s="35" t="n">
        <f aca="false">①札幌予測確定!U13</f>
        <v>155</v>
      </c>
      <c r="M13" s="35" t="n">
        <f aca="false">H13-J13</f>
        <v>4192</v>
      </c>
      <c r="N13" s="35" t="n">
        <f aca="false">M13+ROUND(L13*前提・入力!$B$37,0)</f>
        <v>4347</v>
      </c>
      <c r="O13" s="35" t="n">
        <f aca="false">③石川以降予測!N35</f>
        <v>1527</v>
      </c>
      <c r="P13" s="38" t="n">
        <f aca="false">N13-O13</f>
        <v>2820</v>
      </c>
      <c r="Q13" s="35" t="n">
        <f aca="false">MAX(0,-P13)</f>
        <v>0</v>
      </c>
      <c r="R13" s="35" t="n">
        <f aca="false">IF(Q13&gt;0,ROUNDUP(Q13*(1+前提・入力!$B$35),0),0)</f>
        <v>0</v>
      </c>
      <c r="S13" s="66" t="str">
        <f aca="false">IF(Q13&gt;0,"★欠品：追加生産が必要",IF(P13&gt;=O13*2,"大幅余剰","在庫で充足"))</f>
        <v>在庫で充足</v>
      </c>
      <c r="T13" s="39"/>
      <c r="U13" s="65"/>
    </row>
    <row r="14" customFormat="false" ht="15" hidden="false" customHeight="false" outlineLevel="0" collapsed="false">
      <c r="A14" s="32" t="n">
        <v>8</v>
      </c>
      <c r="B14" s="32" t="s">
        <v>290</v>
      </c>
      <c r="C14" s="33" t="s">
        <v>291</v>
      </c>
      <c r="D14" s="34" t="n">
        <v>600</v>
      </c>
      <c r="E14" s="35" t="n">
        <v>12329</v>
      </c>
      <c r="F14" s="35" t="n">
        <v>11145</v>
      </c>
      <c r="G14" s="35" t="n">
        <v>10317</v>
      </c>
      <c r="H14" s="35" t="n">
        <v>8551</v>
      </c>
      <c r="I14" s="34" t="n">
        <f aca="false">H14*D14</f>
        <v>5130600</v>
      </c>
      <c r="J14" s="35" t="n">
        <f aca="false">①札幌予測確定!S14</f>
        <v>900</v>
      </c>
      <c r="K14" s="35" t="n">
        <f aca="false">①札幌予測確定!P14</f>
        <v>345</v>
      </c>
      <c r="L14" s="35" t="n">
        <f aca="false">①札幌予測確定!U14</f>
        <v>555</v>
      </c>
      <c r="M14" s="35" t="n">
        <f aca="false">H14-J14</f>
        <v>7651</v>
      </c>
      <c r="N14" s="35" t="n">
        <f aca="false">M14+ROUND(L14*前提・入力!$B$37,0)</f>
        <v>8206</v>
      </c>
      <c r="O14" s="35" t="n">
        <f aca="false">③石川以降予測!N36</f>
        <v>2763</v>
      </c>
      <c r="P14" s="38" t="n">
        <f aca="false">N14-O14</f>
        <v>5443</v>
      </c>
      <c r="Q14" s="35" t="n">
        <f aca="false">MAX(0,-P14)</f>
        <v>0</v>
      </c>
      <c r="R14" s="35" t="n">
        <f aca="false">IF(Q14&gt;0,ROUNDUP(Q14*(1+前提・入力!$B$35),0),0)</f>
        <v>0</v>
      </c>
      <c r="S14" s="66" t="str">
        <f aca="false">IF(Q14&gt;0,"★欠品：追加生産が必要",IF(P14&gt;=O14*2,"大幅余剰","在庫で充足"))</f>
        <v>在庫で充足</v>
      </c>
      <c r="T14" s="39"/>
      <c r="U14" s="65"/>
    </row>
    <row r="15" customFormat="false" ht="15" hidden="false" customHeight="false" outlineLevel="0" collapsed="false">
      <c r="A15" s="32" t="n">
        <v>9</v>
      </c>
      <c r="B15" s="32" t="s">
        <v>292</v>
      </c>
      <c r="C15" s="33" t="s">
        <v>293</v>
      </c>
      <c r="D15" s="34" t="n">
        <v>600</v>
      </c>
      <c r="E15" s="35" t="n">
        <v>10118</v>
      </c>
      <c r="F15" s="35" t="n">
        <v>9802</v>
      </c>
      <c r="G15" s="35" t="n">
        <v>9502</v>
      </c>
      <c r="H15" s="35" t="n">
        <v>8759</v>
      </c>
      <c r="I15" s="34" t="n">
        <f aca="false">H15*D15</f>
        <v>5255400</v>
      </c>
      <c r="J15" s="35" t="n">
        <f aca="false">①札幌予測確定!S15</f>
        <v>300</v>
      </c>
      <c r="K15" s="35" t="n">
        <f aca="false">①札幌予測確定!P15</f>
        <v>133</v>
      </c>
      <c r="L15" s="35" t="n">
        <f aca="false">①札幌予測確定!U15</f>
        <v>167</v>
      </c>
      <c r="M15" s="35" t="n">
        <f aca="false">H15-J15</f>
        <v>8459</v>
      </c>
      <c r="N15" s="35" t="n">
        <f aca="false">M15+ROUND(L15*前提・入力!$B$37,0)</f>
        <v>8626</v>
      </c>
      <c r="O15" s="35" t="n">
        <f aca="false">③石川以降予測!N37</f>
        <v>1108</v>
      </c>
      <c r="P15" s="38" t="n">
        <f aca="false">N15-O15</f>
        <v>7518</v>
      </c>
      <c r="Q15" s="35" t="n">
        <f aca="false">MAX(0,-P15)</f>
        <v>0</v>
      </c>
      <c r="R15" s="35" t="n">
        <f aca="false">IF(Q15&gt;0,ROUNDUP(Q15*(1+前提・入力!$B$35),0),0)</f>
        <v>0</v>
      </c>
      <c r="S15" s="66" t="str">
        <f aca="false">IF(Q15&gt;0,"★欠品：追加生産が必要",IF(P15&gt;=O15*2,"大幅余剰","在庫で充足"))</f>
        <v>大幅余剰</v>
      </c>
      <c r="T15" s="39"/>
      <c r="U15" s="65"/>
    </row>
    <row r="16" customFormat="false" ht="15" hidden="false" customHeight="false" outlineLevel="0" collapsed="false">
      <c r="A16" s="32" t="n">
        <v>10</v>
      </c>
      <c r="B16" s="32" t="s">
        <v>294</v>
      </c>
      <c r="C16" s="33" t="s">
        <v>295</v>
      </c>
      <c r="D16" s="34" t="n">
        <v>600</v>
      </c>
      <c r="E16" s="35" t="n">
        <v>5476</v>
      </c>
      <c r="F16" s="35" t="n">
        <v>5335</v>
      </c>
      <c r="G16" s="35" t="n">
        <v>5213</v>
      </c>
      <c r="H16" s="35" t="n">
        <v>4935</v>
      </c>
      <c r="I16" s="34" t="n">
        <f aca="false">H16*D16</f>
        <v>2961000</v>
      </c>
      <c r="J16" s="35" t="n">
        <f aca="false">①札幌予測確定!S16</f>
        <v>100</v>
      </c>
      <c r="K16" s="35" t="n">
        <f aca="false">①札幌予測確定!P16</f>
        <v>55</v>
      </c>
      <c r="L16" s="35" t="n">
        <f aca="false">①札幌予測確定!U16</f>
        <v>45</v>
      </c>
      <c r="M16" s="35" t="n">
        <f aca="false">H16-J16</f>
        <v>4835</v>
      </c>
      <c r="N16" s="35" t="n">
        <f aca="false">M16+ROUND(L16*前提・入力!$B$37,0)</f>
        <v>4880</v>
      </c>
      <c r="O16" s="35" t="n">
        <f aca="false">③石川以降予測!N38</f>
        <v>439</v>
      </c>
      <c r="P16" s="38" t="n">
        <f aca="false">N16-O16</f>
        <v>4441</v>
      </c>
      <c r="Q16" s="35" t="n">
        <f aca="false">MAX(0,-P16)</f>
        <v>0</v>
      </c>
      <c r="R16" s="35" t="n">
        <f aca="false">IF(Q16&gt;0,ROUNDUP(Q16*(1+前提・入力!$B$35),0),0)</f>
        <v>0</v>
      </c>
      <c r="S16" s="66" t="str">
        <f aca="false">IF(Q16&gt;0,"★欠品：追加生産が必要",IF(P16&gt;=O16*2,"大幅余剰","在庫で充足"))</f>
        <v>大幅余剰</v>
      </c>
      <c r="T16" s="39"/>
      <c r="U16" s="65"/>
    </row>
    <row r="17" customFormat="false" ht="15" hidden="false" customHeight="false" outlineLevel="0" collapsed="false">
      <c r="A17" s="32" t="n">
        <v>11</v>
      </c>
      <c r="B17" s="32" t="s">
        <v>296</v>
      </c>
      <c r="C17" s="33" t="s">
        <v>297</v>
      </c>
      <c r="D17" s="34" t="n">
        <v>600</v>
      </c>
      <c r="E17" s="35" t="n">
        <v>785</v>
      </c>
      <c r="F17" s="35" t="n">
        <v>748</v>
      </c>
      <c r="G17" s="35" t="n">
        <v>718</v>
      </c>
      <c r="H17" s="35" t="n">
        <v>640</v>
      </c>
      <c r="I17" s="34" t="n">
        <f aca="false">H17*D17</f>
        <v>384000</v>
      </c>
      <c r="J17" s="35" t="n">
        <f aca="false">①札幌予測確定!S17</f>
        <v>50</v>
      </c>
      <c r="K17" s="35" t="n">
        <f aca="false">①札幌予測確定!P17</f>
        <v>28</v>
      </c>
      <c r="L17" s="35" t="n">
        <f aca="false">①札幌予測確定!U17</f>
        <v>22</v>
      </c>
      <c r="M17" s="35" t="n">
        <f aca="false">H17-J17</f>
        <v>590</v>
      </c>
      <c r="N17" s="35" t="n">
        <f aca="false">M17+ROUND(L17*前提・入力!$B$37,0)</f>
        <v>612</v>
      </c>
      <c r="O17" s="35" t="n">
        <f aca="false">③石川以降予測!N39</f>
        <v>182</v>
      </c>
      <c r="P17" s="38" t="n">
        <f aca="false">N17-O17</f>
        <v>430</v>
      </c>
      <c r="Q17" s="35" t="n">
        <f aca="false">MAX(0,-P17)</f>
        <v>0</v>
      </c>
      <c r="R17" s="35" t="n">
        <f aca="false">IF(Q17&gt;0,ROUNDUP(Q17*(1+前提・入力!$B$35),0),0)</f>
        <v>0</v>
      </c>
      <c r="S17" s="66" t="str">
        <f aca="false">IF(Q17&gt;0,"★欠品：追加生産が必要",IF(P17&gt;=O17*2,"大幅余剰","在庫で充足"))</f>
        <v>大幅余剰</v>
      </c>
      <c r="T17" s="39"/>
      <c r="U17" s="65"/>
    </row>
    <row r="18" customFormat="false" ht="15" hidden="false" customHeight="false" outlineLevel="0" collapsed="false">
      <c r="A18" s="32" t="n">
        <v>12</v>
      </c>
      <c r="B18" s="32" t="s">
        <v>298</v>
      </c>
      <c r="C18" s="33" t="s">
        <v>299</v>
      </c>
      <c r="D18" s="34" t="n">
        <v>600</v>
      </c>
      <c r="E18" s="35" t="n">
        <v>1209</v>
      </c>
      <c r="F18" s="35" t="n">
        <v>1149</v>
      </c>
      <c r="G18" s="35" t="n">
        <v>1095</v>
      </c>
      <c r="H18" s="35" t="n">
        <v>953</v>
      </c>
      <c r="I18" s="34" t="n">
        <f aca="false">H18*D18</f>
        <v>571800</v>
      </c>
      <c r="J18" s="35" t="n">
        <f aca="false">①札幌予測確定!S18</f>
        <v>50</v>
      </c>
      <c r="K18" s="35" t="n">
        <f aca="false">①札幌予測確定!P18</f>
        <v>35</v>
      </c>
      <c r="L18" s="35" t="n">
        <f aca="false">①札幌予測確定!U18</f>
        <v>15</v>
      </c>
      <c r="M18" s="35" t="n">
        <f aca="false">H18-J18</f>
        <v>903</v>
      </c>
      <c r="N18" s="35" t="n">
        <f aca="false">M18+ROUND(L18*前提・入力!$B$37,0)</f>
        <v>918</v>
      </c>
      <c r="O18" s="35" t="n">
        <f aca="false">③石川以降予測!N40</f>
        <v>256</v>
      </c>
      <c r="P18" s="38" t="n">
        <f aca="false">N18-O18</f>
        <v>662</v>
      </c>
      <c r="Q18" s="35" t="n">
        <f aca="false">MAX(0,-P18)</f>
        <v>0</v>
      </c>
      <c r="R18" s="35" t="n">
        <f aca="false">IF(Q18&gt;0,ROUNDUP(Q18*(1+前提・入力!$B$35),0),0)</f>
        <v>0</v>
      </c>
      <c r="S18" s="66" t="str">
        <f aca="false">IF(Q18&gt;0,"★欠品：追加生産が必要",IF(P18&gt;=O18*2,"大幅余剰","在庫で充足"))</f>
        <v>大幅余剰</v>
      </c>
      <c r="T18" s="39"/>
      <c r="U18" s="65"/>
    </row>
    <row r="19" customFormat="false" ht="15" hidden="false" customHeight="false" outlineLevel="0" collapsed="false">
      <c r="A19" s="32" t="n">
        <v>13</v>
      </c>
      <c r="B19" s="32" t="s">
        <v>300</v>
      </c>
      <c r="C19" s="33" t="s">
        <v>301</v>
      </c>
      <c r="D19" s="34" t="n">
        <v>600</v>
      </c>
      <c r="E19" s="35" t="n">
        <v>401</v>
      </c>
      <c r="F19" s="35" t="n">
        <v>385</v>
      </c>
      <c r="G19" s="35" t="n">
        <v>363</v>
      </c>
      <c r="H19" s="35" t="n">
        <v>320</v>
      </c>
      <c r="I19" s="34" t="n">
        <f aca="false">H19*D19</f>
        <v>192000</v>
      </c>
      <c r="J19" s="35" t="n">
        <f aca="false">①札幌予測確定!S19</f>
        <v>50</v>
      </c>
      <c r="K19" s="35" t="n">
        <f aca="false">①札幌予測確定!P19</f>
        <v>7</v>
      </c>
      <c r="L19" s="35" t="n">
        <f aca="false">①札幌予測確定!U19</f>
        <v>43</v>
      </c>
      <c r="M19" s="35" t="n">
        <f aca="false">H19-J19</f>
        <v>270</v>
      </c>
      <c r="N19" s="35" t="n">
        <f aca="false">M19+ROUND(L19*前提・入力!$B$37,0)</f>
        <v>313</v>
      </c>
      <c r="O19" s="35" t="n">
        <f aca="false">③石川以降予測!N41</f>
        <v>61</v>
      </c>
      <c r="P19" s="38" t="n">
        <f aca="false">N19-O19</f>
        <v>252</v>
      </c>
      <c r="Q19" s="35" t="n">
        <f aca="false">MAX(0,-P19)</f>
        <v>0</v>
      </c>
      <c r="R19" s="35" t="n">
        <f aca="false">IF(Q19&gt;0,ROUNDUP(Q19*(1+前提・入力!$B$35),0),0)</f>
        <v>0</v>
      </c>
      <c r="S19" s="66" t="str">
        <f aca="false">IF(Q19&gt;0,"★欠品：追加生産が必要",IF(P19&gt;=O19*2,"大幅余剰","在庫で充足"))</f>
        <v>大幅余剰</v>
      </c>
      <c r="T19" s="39"/>
      <c r="U19" s="65"/>
    </row>
    <row r="20" customFormat="false" ht="15" hidden="false" customHeight="false" outlineLevel="0" collapsed="false">
      <c r="A20" s="32" t="n">
        <v>14</v>
      </c>
      <c r="B20" s="32" t="s">
        <v>302</v>
      </c>
      <c r="C20" s="33" t="s">
        <v>303</v>
      </c>
      <c r="D20" s="34" t="n">
        <v>600</v>
      </c>
      <c r="E20" s="35" t="n">
        <v>2089</v>
      </c>
      <c r="F20" s="35" t="n">
        <v>2016</v>
      </c>
      <c r="G20" s="35" t="n">
        <v>1936</v>
      </c>
      <c r="H20" s="35" t="n">
        <v>1790</v>
      </c>
      <c r="I20" s="34" t="n">
        <f aca="false">H20*D20</f>
        <v>1074000</v>
      </c>
      <c r="J20" s="35" t="n">
        <f aca="false">①札幌予測確定!S20</f>
        <v>50</v>
      </c>
      <c r="K20" s="35" t="n">
        <f aca="false">①札幌予測確定!P20</f>
        <v>36</v>
      </c>
      <c r="L20" s="35" t="n">
        <f aca="false">①札幌予測確定!U20</f>
        <v>14</v>
      </c>
      <c r="M20" s="35" t="n">
        <f aca="false">H20-J20</f>
        <v>1740</v>
      </c>
      <c r="N20" s="35" t="n">
        <f aca="false">M20+ROUND(L20*前提・入力!$B$37,0)</f>
        <v>1754</v>
      </c>
      <c r="O20" s="35" t="n">
        <f aca="false">③石川以降予測!N42</f>
        <v>264</v>
      </c>
      <c r="P20" s="38" t="n">
        <f aca="false">N20-O20</f>
        <v>1490</v>
      </c>
      <c r="Q20" s="35" t="n">
        <f aca="false">MAX(0,-P20)</f>
        <v>0</v>
      </c>
      <c r="R20" s="35" t="n">
        <f aca="false">IF(Q20&gt;0,ROUNDUP(Q20*(1+前提・入力!$B$35),0),0)</f>
        <v>0</v>
      </c>
      <c r="S20" s="66" t="str">
        <f aca="false">IF(Q20&gt;0,"★欠品：追加生産が必要",IF(P20&gt;=O20*2,"大幅余剰","在庫で充足"))</f>
        <v>大幅余剰</v>
      </c>
      <c r="T20" s="39" t="s">
        <v>668</v>
      </c>
      <c r="U20" s="66" t="s">
        <v>669</v>
      </c>
    </row>
    <row r="21" customFormat="false" ht="15" hidden="false" customHeight="false" outlineLevel="0" collapsed="false">
      <c r="A21" s="32" t="n">
        <v>15</v>
      </c>
      <c r="B21" s="32" t="s">
        <v>304</v>
      </c>
      <c r="C21" s="33" t="s">
        <v>305</v>
      </c>
      <c r="D21" s="34" t="n">
        <v>600</v>
      </c>
      <c r="E21" s="35" t="n">
        <v>2529</v>
      </c>
      <c r="F21" s="35" t="n">
        <v>2429</v>
      </c>
      <c r="G21" s="35" t="n">
        <v>2329</v>
      </c>
      <c r="H21" s="35" t="n">
        <v>2131</v>
      </c>
      <c r="I21" s="34" t="n">
        <f aca="false">H21*D21</f>
        <v>1278600</v>
      </c>
      <c r="J21" s="35" t="n">
        <f aca="false">①札幌予測確定!S21</f>
        <v>100</v>
      </c>
      <c r="K21" s="35" t="n">
        <f aca="false">①札幌予測確定!P21</f>
        <v>60</v>
      </c>
      <c r="L21" s="35" t="n">
        <f aca="false">①札幌予測確定!U21</f>
        <v>40</v>
      </c>
      <c r="M21" s="35" t="n">
        <f aca="false">H21-J21</f>
        <v>2031</v>
      </c>
      <c r="N21" s="35" t="n">
        <f aca="false">M21+ROUND(L21*前提・入力!$B$37,0)</f>
        <v>2071</v>
      </c>
      <c r="O21" s="35" t="n">
        <f aca="false">③石川以降予測!N43</f>
        <v>410</v>
      </c>
      <c r="P21" s="38" t="n">
        <f aca="false">N21-O21</f>
        <v>1661</v>
      </c>
      <c r="Q21" s="35" t="n">
        <f aca="false">MAX(0,-P21)</f>
        <v>0</v>
      </c>
      <c r="R21" s="35" t="n">
        <f aca="false">IF(Q21&gt;0,ROUNDUP(Q21*(1+前提・入力!$B$35),0),0)</f>
        <v>0</v>
      </c>
      <c r="S21" s="66" t="str">
        <f aca="false">IF(Q21&gt;0,"★欠品：追加生産が必要",IF(P21&gt;=O21*2,"大幅余剰","在庫で充足"))</f>
        <v>大幅余剰</v>
      </c>
      <c r="T21" s="39"/>
      <c r="U21" s="65"/>
    </row>
    <row r="22" customFormat="false" ht="15" hidden="false" customHeight="false" outlineLevel="0" collapsed="false">
      <c r="A22" s="32" t="n">
        <v>16</v>
      </c>
      <c r="B22" s="32" t="s">
        <v>306</v>
      </c>
      <c r="C22" s="33" t="s">
        <v>307</v>
      </c>
      <c r="D22" s="34" t="n">
        <v>600</v>
      </c>
      <c r="E22" s="35" t="n">
        <v>905</v>
      </c>
      <c r="F22" s="35" t="n">
        <v>867</v>
      </c>
      <c r="G22" s="35" t="n">
        <v>837</v>
      </c>
      <c r="H22" s="35" t="n">
        <v>772</v>
      </c>
      <c r="I22" s="34" t="n">
        <f aca="false">H22*D22</f>
        <v>463200</v>
      </c>
      <c r="J22" s="35" t="n">
        <f aca="false">①札幌予測確定!S22</f>
        <v>50</v>
      </c>
      <c r="K22" s="35" t="n">
        <f aca="false">①札幌予測確定!P22</f>
        <v>13</v>
      </c>
      <c r="L22" s="35" t="n">
        <f aca="false">①札幌予測確定!U22</f>
        <v>37</v>
      </c>
      <c r="M22" s="35" t="n">
        <f aca="false">H22-J22</f>
        <v>722</v>
      </c>
      <c r="N22" s="35" t="n">
        <f aca="false">M22+ROUND(L22*前提・入力!$B$37,0)</f>
        <v>759</v>
      </c>
      <c r="O22" s="35" t="n">
        <f aca="false">③石川以降予測!N44</f>
        <v>103</v>
      </c>
      <c r="P22" s="38" t="n">
        <f aca="false">N22-O22</f>
        <v>656</v>
      </c>
      <c r="Q22" s="35" t="n">
        <f aca="false">MAX(0,-P22)</f>
        <v>0</v>
      </c>
      <c r="R22" s="35" t="n">
        <f aca="false">IF(Q22&gt;0,ROUNDUP(Q22*(1+前提・入力!$B$35),0),0)</f>
        <v>0</v>
      </c>
      <c r="S22" s="66" t="str">
        <f aca="false">IF(Q22&gt;0,"★欠品：追加生産が必要",IF(P22&gt;=O22*2,"大幅余剰","在庫で充足"))</f>
        <v>大幅余剰</v>
      </c>
      <c r="T22" s="39"/>
      <c r="U22" s="65"/>
    </row>
    <row r="23" customFormat="false" ht="15" hidden="false" customHeight="false" outlineLevel="0" collapsed="false">
      <c r="A23" s="32" t="n">
        <v>17</v>
      </c>
      <c r="B23" s="32" t="s">
        <v>308</v>
      </c>
      <c r="C23" s="33" t="s">
        <v>309</v>
      </c>
      <c r="D23" s="34" t="n">
        <v>600</v>
      </c>
      <c r="E23" s="35" t="n">
        <v>3008</v>
      </c>
      <c r="F23" s="35" t="n">
        <v>2885</v>
      </c>
      <c r="G23" s="35" t="n">
        <v>2785</v>
      </c>
      <c r="H23" s="35" t="n">
        <v>2523</v>
      </c>
      <c r="I23" s="34" t="n">
        <f aca="false">H23*D23</f>
        <v>1513800</v>
      </c>
      <c r="J23" s="35" t="n">
        <f aca="false">①札幌予測確定!S23</f>
        <v>100</v>
      </c>
      <c r="K23" s="35" t="n">
        <f aca="false">①札幌予測確定!P23</f>
        <v>102</v>
      </c>
      <c r="L23" s="35" t="n">
        <f aca="false">①札幌予測確定!U23</f>
        <v>0</v>
      </c>
      <c r="M23" s="35" t="n">
        <f aca="false">H23-J23</f>
        <v>2423</v>
      </c>
      <c r="N23" s="35" t="n">
        <f aca="false">M23+ROUND(L23*前提・入力!$B$37,0)</f>
        <v>2423</v>
      </c>
      <c r="O23" s="35" t="n">
        <f aca="false">③石川以降予測!N45</f>
        <v>646</v>
      </c>
      <c r="P23" s="38" t="n">
        <f aca="false">N23-O23</f>
        <v>1777</v>
      </c>
      <c r="Q23" s="35" t="n">
        <f aca="false">MAX(0,-P23)</f>
        <v>0</v>
      </c>
      <c r="R23" s="35" t="n">
        <f aca="false">IF(Q23&gt;0,ROUNDUP(Q23*(1+前提・入力!$B$35),0),0)</f>
        <v>0</v>
      </c>
      <c r="S23" s="66" t="str">
        <f aca="false">IF(Q23&gt;0,"★欠品：追加生産が必要",IF(P23&gt;=O23*2,"大幅余剰","在庫で充足"))</f>
        <v>大幅余剰</v>
      </c>
      <c r="T23" s="39" t="s">
        <v>668</v>
      </c>
      <c r="U23" s="66" t="s">
        <v>670</v>
      </c>
    </row>
    <row r="24" customFormat="false" ht="15" hidden="false" customHeight="false" outlineLevel="0" collapsed="false">
      <c r="A24" s="32" t="n">
        <v>18</v>
      </c>
      <c r="B24" s="32" t="s">
        <v>310</v>
      </c>
      <c r="C24" s="33" t="s">
        <v>311</v>
      </c>
      <c r="D24" s="34" t="n">
        <v>600</v>
      </c>
      <c r="E24" s="35" t="n">
        <v>6837</v>
      </c>
      <c r="F24" s="35" t="n">
        <v>12650</v>
      </c>
      <c r="G24" s="35" t="n">
        <v>11750</v>
      </c>
      <c r="H24" s="35" t="n">
        <v>9725</v>
      </c>
      <c r="I24" s="34" t="n">
        <f aca="false">H24*D24</f>
        <v>5835000</v>
      </c>
      <c r="J24" s="35" t="n">
        <f aca="false">①札幌予測確定!S24</f>
        <v>1500</v>
      </c>
      <c r="K24" s="35" t="n">
        <f aca="false">①札幌予測確定!P24</f>
        <v>425</v>
      </c>
      <c r="L24" s="35" t="n">
        <f aca="false">①札幌予測確定!U24</f>
        <v>1075</v>
      </c>
      <c r="M24" s="35" t="n">
        <f aca="false">H24-J24</f>
        <v>8225</v>
      </c>
      <c r="N24" s="35" t="n">
        <f aca="false">M24+ROUND(L24*前提・入力!$B$37,0)</f>
        <v>9300</v>
      </c>
      <c r="O24" s="35" t="n">
        <f aca="false">③石川以降予測!N46</f>
        <v>3308</v>
      </c>
      <c r="P24" s="38" t="n">
        <f aca="false">N24-O24</f>
        <v>5992</v>
      </c>
      <c r="Q24" s="35" t="n">
        <f aca="false">MAX(0,-P24)</f>
        <v>0</v>
      </c>
      <c r="R24" s="35" t="n">
        <f aca="false">IF(Q24&gt;0,ROUNDUP(Q24*(1+前提・入力!$B$35),0),0)</f>
        <v>0</v>
      </c>
      <c r="S24" s="66" t="str">
        <f aca="false">IF(Q24&gt;0,"★欠品：追加生産が必要",IF(P24&gt;=O24*2,"大幅余剰","在庫で充足"))</f>
        <v>在庫で充足</v>
      </c>
      <c r="T24" s="39"/>
      <c r="U24" s="65"/>
    </row>
    <row r="25" customFormat="false" ht="15" hidden="false" customHeight="false" outlineLevel="0" collapsed="false">
      <c r="A25" s="32" t="n">
        <v>19</v>
      </c>
      <c r="B25" s="32" t="s">
        <v>312</v>
      </c>
      <c r="C25" s="33" t="s">
        <v>313</v>
      </c>
      <c r="D25" s="34" t="n">
        <v>600</v>
      </c>
      <c r="E25" s="35" t="n">
        <v>2332</v>
      </c>
      <c r="F25" s="35" t="n">
        <v>2305</v>
      </c>
      <c r="G25" s="35" t="n">
        <v>2285</v>
      </c>
      <c r="H25" s="35" t="n">
        <v>2240</v>
      </c>
      <c r="I25" s="34" t="n">
        <f aca="false">H25*D25</f>
        <v>1344000</v>
      </c>
      <c r="J25" s="35" t="n">
        <f aca="false">①札幌予測確定!S25</f>
        <v>50</v>
      </c>
      <c r="K25" s="35" t="n">
        <f aca="false">①札幌予測確定!P25</f>
        <v>15</v>
      </c>
      <c r="L25" s="35" t="n">
        <f aca="false">①札幌予測確定!U25</f>
        <v>35</v>
      </c>
      <c r="M25" s="35" t="n">
        <f aca="false">H25-J25</f>
        <v>2190</v>
      </c>
      <c r="N25" s="35" t="n">
        <f aca="false">M25+ROUND(L25*前提・入力!$B$37,0)</f>
        <v>2225</v>
      </c>
      <c r="O25" s="35" t="n">
        <f aca="false">③石川以降予測!N47</f>
        <v>100</v>
      </c>
      <c r="P25" s="38" t="n">
        <f aca="false">N25-O25</f>
        <v>2125</v>
      </c>
      <c r="Q25" s="35" t="n">
        <f aca="false">MAX(0,-P25)</f>
        <v>0</v>
      </c>
      <c r="R25" s="35" t="n">
        <f aca="false">IF(Q25&gt;0,ROUNDUP(Q25*(1+前提・入力!$B$35),0),0)</f>
        <v>0</v>
      </c>
      <c r="S25" s="66" t="str">
        <f aca="false">IF(Q25&gt;0,"★欠品：追加生産が必要",IF(P25&gt;=O25*2,"大幅余剰","在庫で充足"))</f>
        <v>大幅余剰</v>
      </c>
      <c r="T25" s="39"/>
      <c r="U25" s="65"/>
    </row>
    <row r="26" customFormat="false" ht="15" hidden="false" customHeight="false" outlineLevel="0" collapsed="false">
      <c r="A26" s="32" t="n">
        <v>20</v>
      </c>
      <c r="B26" s="32" t="s">
        <v>314</v>
      </c>
      <c r="C26" s="33" t="s">
        <v>315</v>
      </c>
      <c r="D26" s="34" t="n">
        <v>600</v>
      </c>
      <c r="E26" s="35" t="n">
        <v>382</v>
      </c>
      <c r="F26" s="35" t="n">
        <v>358</v>
      </c>
      <c r="G26" s="35" t="n">
        <v>343</v>
      </c>
      <c r="H26" s="35" t="n">
        <v>301</v>
      </c>
      <c r="I26" s="34" t="n">
        <f aca="false">H26*D26</f>
        <v>180600</v>
      </c>
      <c r="J26" s="35" t="n">
        <f aca="false">①札幌予測確定!S26</f>
        <v>30</v>
      </c>
      <c r="K26" s="35" t="n">
        <f aca="false">①札幌予測確定!P26</f>
        <v>17</v>
      </c>
      <c r="L26" s="35" t="n">
        <f aca="false">①札幌予測確定!U26</f>
        <v>13</v>
      </c>
      <c r="M26" s="35" t="n">
        <f aca="false">H26-J26</f>
        <v>271</v>
      </c>
      <c r="N26" s="35" t="n">
        <f aca="false">M26+ROUND(L26*前提・入力!$B$37,0)</f>
        <v>284</v>
      </c>
      <c r="O26" s="35" t="n">
        <f aca="false">③石川以降予測!N48</f>
        <v>106</v>
      </c>
      <c r="P26" s="38" t="n">
        <f aca="false">N26-O26</f>
        <v>178</v>
      </c>
      <c r="Q26" s="35" t="n">
        <f aca="false">MAX(0,-P26)</f>
        <v>0</v>
      </c>
      <c r="R26" s="35" t="n">
        <f aca="false">IF(Q26&gt;0,ROUNDUP(Q26*(1+前提・入力!$B$35),0),0)</f>
        <v>0</v>
      </c>
      <c r="S26" s="66" t="str">
        <f aca="false">IF(Q26&gt;0,"★欠品：追加生産が必要",IF(P26&gt;=O26*2,"大幅余剰","在庫で充足"))</f>
        <v>在庫で充足</v>
      </c>
      <c r="T26" s="39"/>
      <c r="U26" s="65"/>
    </row>
    <row r="27" customFormat="false" ht="15" hidden="false" customHeight="false" outlineLevel="0" collapsed="false">
      <c r="A27" s="32" t="n">
        <v>21</v>
      </c>
      <c r="B27" s="32" t="s">
        <v>316</v>
      </c>
      <c r="C27" s="33" t="s">
        <v>317</v>
      </c>
      <c r="D27" s="34" t="n">
        <v>600</v>
      </c>
      <c r="E27" s="35" t="n">
        <v>150</v>
      </c>
      <c r="F27" s="35" t="n">
        <v>710</v>
      </c>
      <c r="G27" s="35" t="n">
        <v>560</v>
      </c>
      <c r="H27" s="35" t="n">
        <v>308</v>
      </c>
      <c r="I27" s="34" t="n">
        <f aca="false">H27*D27</f>
        <v>184800</v>
      </c>
      <c r="J27" s="35" t="n">
        <f aca="false">①札幌予測確定!S27</f>
        <v>50</v>
      </c>
      <c r="K27" s="35" t="n">
        <f aca="false">①札幌予測確定!P27</f>
        <v>91</v>
      </c>
      <c r="L27" s="35" t="n">
        <f aca="false">①札幌予測確定!U27</f>
        <v>0</v>
      </c>
      <c r="M27" s="35" t="n">
        <f aca="false">H27-J27</f>
        <v>258</v>
      </c>
      <c r="N27" s="35" t="n">
        <f aca="false">M27+ROUND(L27*前提・入力!$B$37,0)</f>
        <v>258</v>
      </c>
      <c r="O27" s="35" t="n">
        <f aca="false">③石川以降予測!N49</f>
        <v>589</v>
      </c>
      <c r="P27" s="38" t="n">
        <f aca="false">N27-O27</f>
        <v>-331</v>
      </c>
      <c r="Q27" s="35" t="n">
        <f aca="false">MAX(0,-P27)</f>
        <v>331</v>
      </c>
      <c r="R27" s="35" t="n">
        <f aca="false">IF(Q27&gt;0,ROUNDUP(Q27*(1+前提・入力!$B$35),0),0)</f>
        <v>365</v>
      </c>
      <c r="S27" s="66" t="str">
        <f aca="false">IF(Q27&gt;0,"★欠品：追加生産が必要",IF(P27&gt;=O27*2,"大幅余剰","在庫で充足"))</f>
        <v>★欠品：追加生産が必要</v>
      </c>
      <c r="T27" s="39" t="s">
        <v>668</v>
      </c>
      <c r="U27" s="66" t="s">
        <v>671</v>
      </c>
    </row>
    <row r="28" customFormat="false" ht="15" hidden="false" customHeight="false" outlineLevel="0" collapsed="false">
      <c r="A28" s="32" t="n">
        <v>22</v>
      </c>
      <c r="B28" s="32" t="s">
        <v>318</v>
      </c>
      <c r="C28" s="33" t="s">
        <v>319</v>
      </c>
      <c r="D28" s="34" t="n">
        <v>600</v>
      </c>
      <c r="E28" s="35" t="n">
        <v>1681</v>
      </c>
      <c r="F28" s="35" t="n">
        <v>1582</v>
      </c>
      <c r="G28" s="35" t="n">
        <v>1502</v>
      </c>
      <c r="H28" s="35" t="n">
        <v>1331</v>
      </c>
      <c r="I28" s="34" t="n">
        <f aca="false">H28*D28</f>
        <v>798600</v>
      </c>
      <c r="J28" s="35" t="n">
        <f aca="false">①札幌予測確定!S28</f>
        <v>50</v>
      </c>
      <c r="K28" s="35" t="n">
        <f aca="false">①札幌予測確定!P28</f>
        <v>56</v>
      </c>
      <c r="L28" s="35" t="n">
        <f aca="false">①札幌予測確定!U28</f>
        <v>0</v>
      </c>
      <c r="M28" s="35" t="n">
        <f aca="false">H28-J28</f>
        <v>1281</v>
      </c>
      <c r="N28" s="35" t="n">
        <f aca="false">M28+ROUND(L28*前提・入力!$B$37,0)</f>
        <v>1281</v>
      </c>
      <c r="O28" s="35" t="n">
        <f aca="false">③石川以降予測!N50</f>
        <v>372</v>
      </c>
      <c r="P28" s="38" t="n">
        <f aca="false">N28-O28</f>
        <v>909</v>
      </c>
      <c r="Q28" s="35" t="n">
        <f aca="false">MAX(0,-P28)</f>
        <v>0</v>
      </c>
      <c r="R28" s="35" t="n">
        <f aca="false">IF(Q28&gt;0,ROUNDUP(Q28*(1+前提・入力!$B$35),0),0)</f>
        <v>0</v>
      </c>
      <c r="S28" s="66" t="str">
        <f aca="false">IF(Q28&gt;0,"★欠品：追加生産が必要",IF(P28&gt;=O28*2,"大幅余剰","在庫で充足"))</f>
        <v>大幅余剰</v>
      </c>
      <c r="T28" s="39" t="s">
        <v>668</v>
      </c>
      <c r="U28" s="66" t="s">
        <v>672</v>
      </c>
    </row>
    <row r="29" customFormat="false" ht="15" hidden="false" customHeight="false" outlineLevel="0" collapsed="false">
      <c r="A29" s="32" t="n">
        <v>23</v>
      </c>
      <c r="B29" s="32" t="s">
        <v>320</v>
      </c>
      <c r="C29" s="33" t="s">
        <v>321</v>
      </c>
      <c r="D29" s="34" t="n">
        <v>600</v>
      </c>
      <c r="E29" s="35" t="n">
        <v>3581</v>
      </c>
      <c r="F29" s="35" t="n">
        <v>34189</v>
      </c>
      <c r="G29" s="35" t="n">
        <v>64588</v>
      </c>
      <c r="H29" s="35" t="n">
        <v>51818</v>
      </c>
      <c r="I29" s="34" t="n">
        <f aca="false">H29*D29</f>
        <v>31090800</v>
      </c>
      <c r="J29" s="35" t="n">
        <f aca="false">①札幌予測確定!S29</f>
        <v>11000</v>
      </c>
      <c r="K29" s="35" t="n">
        <f aca="false">①札幌予測確定!P29</f>
        <v>2193</v>
      </c>
      <c r="L29" s="35" t="n">
        <f aca="false">①札幌予測確定!U29</f>
        <v>8807</v>
      </c>
      <c r="M29" s="35" t="n">
        <f aca="false">H29-J29</f>
        <v>40818</v>
      </c>
      <c r="N29" s="35" t="n">
        <f aca="false">M29+ROUND(L29*前提・入力!$B$37,0)</f>
        <v>49625</v>
      </c>
      <c r="O29" s="35" t="n">
        <f aca="false">③石川以降予測!N51</f>
        <v>18575</v>
      </c>
      <c r="P29" s="38" t="n">
        <f aca="false">N29-O29</f>
        <v>31050</v>
      </c>
      <c r="Q29" s="35" t="n">
        <f aca="false">MAX(0,-P29)</f>
        <v>0</v>
      </c>
      <c r="R29" s="35" t="n">
        <f aca="false">IF(Q29&gt;0,ROUNDUP(Q29*(1+前提・入力!$B$35),0),0)</f>
        <v>0</v>
      </c>
      <c r="S29" s="66" t="str">
        <f aca="false">IF(Q29&gt;0,"★欠品：追加生産が必要",IF(P29&gt;=O29*2,"大幅余剰","在庫で充足"))</f>
        <v>在庫で充足</v>
      </c>
      <c r="T29" s="39"/>
      <c r="U29" s="65"/>
    </row>
    <row r="30" customFormat="false" ht="15" hidden="false" customHeight="false" outlineLevel="0" collapsed="false">
      <c r="A30" s="32" t="n">
        <v>24</v>
      </c>
      <c r="B30" s="32" t="s">
        <v>322</v>
      </c>
      <c r="C30" s="33" t="s">
        <v>323</v>
      </c>
      <c r="D30" s="34" t="n">
        <v>600</v>
      </c>
      <c r="E30" s="35" t="n">
        <v>0</v>
      </c>
      <c r="F30" s="35" t="n">
        <v>9438</v>
      </c>
      <c r="G30" s="35" t="n">
        <v>39210</v>
      </c>
      <c r="H30" s="35" t="n">
        <v>32204</v>
      </c>
      <c r="I30" s="34" t="n">
        <f aca="false">H30*D30</f>
        <v>19322400</v>
      </c>
      <c r="J30" s="35" t="n">
        <f aca="false">①札幌予測確定!S30</f>
        <v>8000</v>
      </c>
      <c r="K30" s="35" t="n">
        <f aca="false">①札幌予測確定!P30</f>
        <v>1195</v>
      </c>
      <c r="L30" s="35" t="n">
        <f aca="false">①札幌予測確定!U30</f>
        <v>6805</v>
      </c>
      <c r="M30" s="35" t="n">
        <f aca="false">H30-J30</f>
        <v>24204</v>
      </c>
      <c r="N30" s="35" t="n">
        <f aca="false">M30+ROUND(L30*前提・入力!$B$37,0)</f>
        <v>31009</v>
      </c>
      <c r="O30" s="35" t="n">
        <f aca="false">③石川以降予測!N52</f>
        <v>10150</v>
      </c>
      <c r="P30" s="38" t="n">
        <f aca="false">N30-O30</f>
        <v>20859</v>
      </c>
      <c r="Q30" s="35" t="n">
        <f aca="false">MAX(0,-P30)</f>
        <v>0</v>
      </c>
      <c r="R30" s="35" t="n">
        <f aca="false">IF(Q30&gt;0,ROUNDUP(Q30*(1+前提・入力!$B$35),0),0)</f>
        <v>0</v>
      </c>
      <c r="S30" s="66" t="str">
        <f aca="false">IF(Q30&gt;0,"★欠品：追加生産が必要",IF(P30&gt;=O30*2,"大幅余剰","在庫で充足"))</f>
        <v>大幅余剰</v>
      </c>
      <c r="T30" s="39"/>
      <c r="U30" s="65"/>
    </row>
    <row r="31" customFormat="false" ht="15" hidden="false" customHeight="false" outlineLevel="0" collapsed="false">
      <c r="A31" s="32" t="n">
        <v>25</v>
      </c>
      <c r="B31" s="32" t="s">
        <v>324</v>
      </c>
      <c r="C31" s="33" t="s">
        <v>325</v>
      </c>
      <c r="D31" s="34" t="n">
        <v>1500</v>
      </c>
      <c r="E31" s="35" t="n">
        <v>4137</v>
      </c>
      <c r="F31" s="35" t="n">
        <v>3916</v>
      </c>
      <c r="G31" s="35" t="n">
        <v>3748</v>
      </c>
      <c r="H31" s="35" t="n">
        <v>3505</v>
      </c>
      <c r="I31" s="34" t="n">
        <f aca="false">H31*D31</f>
        <v>5257500</v>
      </c>
      <c r="J31" s="35" t="n">
        <f aca="false">①札幌予測確定!S31</f>
        <v>200</v>
      </c>
      <c r="K31" s="35" t="n">
        <f aca="false">①札幌予測確定!P31</f>
        <v>43</v>
      </c>
      <c r="L31" s="35" t="n">
        <f aca="false">①札幌予測確定!U31</f>
        <v>157</v>
      </c>
      <c r="M31" s="35" t="n">
        <f aca="false">H31-J31</f>
        <v>3305</v>
      </c>
      <c r="N31" s="35" t="n">
        <f aca="false">M31+ROUND(L31*前提・入力!$B$37,0)</f>
        <v>3462</v>
      </c>
      <c r="O31" s="35" t="n">
        <f aca="false">③石川以降予測!N53</f>
        <v>359</v>
      </c>
      <c r="P31" s="38" t="n">
        <f aca="false">N31-O31</f>
        <v>3103</v>
      </c>
      <c r="Q31" s="35" t="n">
        <f aca="false">MAX(0,-P31)</f>
        <v>0</v>
      </c>
      <c r="R31" s="35" t="n">
        <f aca="false">IF(Q31&gt;0,ROUNDUP(Q31*(1+前提・入力!$B$35),0),0)</f>
        <v>0</v>
      </c>
      <c r="S31" s="66" t="str">
        <f aca="false">IF(Q31&gt;0,"★欠品：追加生産が必要",IF(P31&gt;=O31*2,"大幅余剰","在庫で充足"))</f>
        <v>大幅余剰</v>
      </c>
      <c r="T31" s="39"/>
      <c r="U31" s="65"/>
    </row>
    <row r="32" customFormat="false" ht="15" hidden="false" customHeight="false" outlineLevel="0" collapsed="false">
      <c r="A32" s="32" t="n">
        <v>26</v>
      </c>
      <c r="B32" s="32" t="s">
        <v>326</v>
      </c>
      <c r="C32" s="33" t="s">
        <v>327</v>
      </c>
      <c r="D32" s="34" t="n">
        <v>2200</v>
      </c>
      <c r="E32" s="35" t="n">
        <v>692</v>
      </c>
      <c r="F32" s="35" t="n">
        <v>1784</v>
      </c>
      <c r="G32" s="35" t="n">
        <v>1340</v>
      </c>
      <c r="H32" s="35" t="n">
        <v>497</v>
      </c>
      <c r="I32" s="34" t="n">
        <f aca="false">H32*D32</f>
        <v>1093400</v>
      </c>
      <c r="J32" s="35" t="n">
        <f aca="false">①札幌予測確定!S32</f>
        <v>100</v>
      </c>
      <c r="K32" s="35" t="n">
        <f aca="false">①札幌予測確定!P32</f>
        <v>164</v>
      </c>
      <c r="L32" s="35" t="n">
        <f aca="false">①札幌予測確定!U32</f>
        <v>0</v>
      </c>
      <c r="M32" s="35" t="n">
        <f aca="false">H32-J32</f>
        <v>397</v>
      </c>
      <c r="N32" s="35" t="n">
        <f aca="false">M32+ROUND(L32*前提・入力!$B$37,0)</f>
        <v>397</v>
      </c>
      <c r="O32" s="35" t="n">
        <f aca="false">③石川以降予測!N54</f>
        <v>1317</v>
      </c>
      <c r="P32" s="38" t="n">
        <f aca="false">N32-O32</f>
        <v>-920</v>
      </c>
      <c r="Q32" s="35" t="n">
        <f aca="false">MAX(0,-P32)</f>
        <v>920</v>
      </c>
      <c r="R32" s="35" t="n">
        <f aca="false">IF(Q32&gt;0,ROUNDUP(Q32*(1+前提・入力!$B$35),0),0)</f>
        <v>1012</v>
      </c>
      <c r="S32" s="66" t="str">
        <f aca="false">IF(Q32&gt;0,"★欠品：追加生産が必要",IF(P32&gt;=O32*2,"大幅余剰","在庫で充足"))</f>
        <v>★欠品：追加生産が必要</v>
      </c>
      <c r="T32" s="39" t="s">
        <v>668</v>
      </c>
      <c r="U32" s="66" t="s">
        <v>673</v>
      </c>
    </row>
    <row r="33" customFormat="false" ht="15" hidden="false" customHeight="false" outlineLevel="0" collapsed="false">
      <c r="A33" s="32" t="n">
        <v>27</v>
      </c>
      <c r="B33" s="32" t="s">
        <v>328</v>
      </c>
      <c r="C33" s="33" t="s">
        <v>329</v>
      </c>
      <c r="D33" s="34" t="n">
        <v>1100</v>
      </c>
      <c r="E33" s="35" t="n">
        <v>1518</v>
      </c>
      <c r="F33" s="35" t="n">
        <v>1413</v>
      </c>
      <c r="G33" s="35" t="n">
        <v>1343</v>
      </c>
      <c r="H33" s="35" t="n">
        <v>1198</v>
      </c>
      <c r="I33" s="34" t="n">
        <f aca="false">H33*D33</f>
        <v>1317800</v>
      </c>
      <c r="J33" s="35" t="n">
        <f aca="false">①札幌予測確定!S33</f>
        <v>70</v>
      </c>
      <c r="K33" s="35" t="n">
        <f aca="false">①札幌予測確定!P33</f>
        <v>38</v>
      </c>
      <c r="L33" s="35" t="n">
        <f aca="false">①札幌予測確定!U33</f>
        <v>32</v>
      </c>
      <c r="M33" s="35" t="n">
        <f aca="false">H33-J33</f>
        <v>1128</v>
      </c>
      <c r="N33" s="35" t="n">
        <f aca="false">M33+ROUND(L33*前提・入力!$B$37,0)</f>
        <v>1160</v>
      </c>
      <c r="O33" s="35" t="n">
        <f aca="false">③石川以降予測!N55</f>
        <v>272</v>
      </c>
      <c r="P33" s="38" t="n">
        <f aca="false">N33-O33</f>
        <v>888</v>
      </c>
      <c r="Q33" s="35" t="n">
        <f aca="false">MAX(0,-P33)</f>
        <v>0</v>
      </c>
      <c r="R33" s="35" t="n">
        <f aca="false">IF(Q33&gt;0,ROUNDUP(Q33*(1+前提・入力!$B$35),0),0)</f>
        <v>0</v>
      </c>
      <c r="S33" s="66" t="str">
        <f aca="false">IF(Q33&gt;0,"★欠品：追加生産が必要",IF(P33&gt;=O33*2,"大幅余剰","在庫で充足"))</f>
        <v>大幅余剰</v>
      </c>
      <c r="T33" s="39"/>
      <c r="U33" s="65"/>
    </row>
    <row r="34" customFormat="false" ht="25.35" hidden="false" customHeight="false" outlineLevel="0" collapsed="false">
      <c r="A34" s="32" t="n">
        <v>28</v>
      </c>
      <c r="B34" s="32" t="s">
        <v>330</v>
      </c>
      <c r="C34" s="33" t="s">
        <v>331</v>
      </c>
      <c r="D34" s="34" t="n">
        <v>1800</v>
      </c>
      <c r="E34" s="35" t="n">
        <v>440</v>
      </c>
      <c r="F34" s="35" t="n">
        <v>1193</v>
      </c>
      <c r="G34" s="35" t="n">
        <v>860</v>
      </c>
      <c r="H34" s="35" t="n">
        <v>460</v>
      </c>
      <c r="I34" s="34" t="n">
        <f aca="false">H34*D34</f>
        <v>828000</v>
      </c>
      <c r="J34" s="35" t="n">
        <f aca="false">①札幌予測確定!S34</f>
        <v>200</v>
      </c>
      <c r="K34" s="35" t="n">
        <f aca="false">①札幌予測確定!P34</f>
        <v>217</v>
      </c>
      <c r="L34" s="35" t="n">
        <f aca="false">①札幌予測確定!U34</f>
        <v>0</v>
      </c>
      <c r="M34" s="35" t="n">
        <f aca="false">H34-J34</f>
        <v>260</v>
      </c>
      <c r="N34" s="35" t="n">
        <f aca="false">M34+ROUND(L34*前提・入力!$B$37,0)</f>
        <v>260</v>
      </c>
      <c r="O34" s="35" t="n">
        <f aca="false">③石川以降予測!N56</f>
        <v>1273</v>
      </c>
      <c r="P34" s="38" t="n">
        <f aca="false">N34-O34</f>
        <v>-1013</v>
      </c>
      <c r="Q34" s="35" t="n">
        <f aca="false">MAX(0,-P34)</f>
        <v>1013</v>
      </c>
      <c r="R34" s="35" t="n">
        <f aca="false">IF(Q34&gt;0,ROUNDUP(Q34*(1+前提・入力!$B$35),0),0)</f>
        <v>1115</v>
      </c>
      <c r="S34" s="66" t="str">
        <f aca="false">IF(Q34&gt;0,"★欠品：追加生産が必要",IF(P34&gt;=O34*2,"大幅余剰","在庫で充足"))</f>
        <v>★欠品：追加生産が必要</v>
      </c>
      <c r="T34" s="39" t="s">
        <v>668</v>
      </c>
      <c r="U34" s="66" t="s">
        <v>674</v>
      </c>
    </row>
    <row r="35" customFormat="false" ht="15" hidden="false" customHeight="false" outlineLevel="0" collapsed="false">
      <c r="A35" s="32" t="n">
        <v>29</v>
      </c>
      <c r="B35" s="32" t="s">
        <v>332</v>
      </c>
      <c r="C35" s="33" t="s">
        <v>333</v>
      </c>
      <c r="D35" s="34" t="n">
        <v>1500</v>
      </c>
      <c r="E35" s="35" t="n">
        <v>1190</v>
      </c>
      <c r="F35" s="35" t="n">
        <v>870</v>
      </c>
      <c r="G35" s="35" t="n">
        <v>620</v>
      </c>
      <c r="H35" s="35" t="n">
        <v>420</v>
      </c>
      <c r="I35" s="34" t="n">
        <f aca="false">H35*D35</f>
        <v>630000</v>
      </c>
      <c r="J35" s="35" t="n">
        <f aca="false">①札幌予測確定!S35</f>
        <v>100</v>
      </c>
      <c r="K35" s="35" t="n">
        <f aca="false">①札幌予測確定!P35</f>
        <v>93</v>
      </c>
      <c r="L35" s="35" t="n">
        <f aca="false">①札幌予測確定!U35</f>
        <v>7</v>
      </c>
      <c r="M35" s="35" t="n">
        <f aca="false">H35-J35</f>
        <v>320</v>
      </c>
      <c r="N35" s="35" t="n">
        <f aca="false">M35+ROUND(L35*前提・入力!$B$37,0)</f>
        <v>327</v>
      </c>
      <c r="O35" s="35" t="n">
        <f aca="false">③石川以降予測!N57</f>
        <v>563</v>
      </c>
      <c r="P35" s="38" t="n">
        <f aca="false">N35-O35</f>
        <v>-236</v>
      </c>
      <c r="Q35" s="35" t="n">
        <f aca="false">MAX(0,-P35)</f>
        <v>236</v>
      </c>
      <c r="R35" s="35" t="n">
        <f aca="false">IF(Q35&gt;0,ROUNDUP(Q35*(1+前提・入力!$B$35),0),0)</f>
        <v>260</v>
      </c>
      <c r="S35" s="66" t="str">
        <f aca="false">IF(Q35&gt;0,"★欠品：追加生産が必要",IF(P35&gt;=O35*2,"大幅余剰","在庫で充足"))</f>
        <v>★欠品：追加生産が必要</v>
      </c>
      <c r="T35" s="39" t="s">
        <v>668</v>
      </c>
      <c r="U35" s="66" t="s">
        <v>675</v>
      </c>
    </row>
    <row r="36" customFormat="false" ht="15" hidden="false" customHeight="false" outlineLevel="0" collapsed="false">
      <c r="A36" s="32" t="n">
        <v>30</v>
      </c>
      <c r="B36" s="32" t="s">
        <v>334</v>
      </c>
      <c r="C36" s="33" t="s">
        <v>335</v>
      </c>
      <c r="D36" s="34" t="n">
        <v>3300</v>
      </c>
      <c r="E36" s="35" t="n">
        <v>1364</v>
      </c>
      <c r="F36" s="35" t="n">
        <v>1193</v>
      </c>
      <c r="G36" s="35" t="n">
        <v>1103</v>
      </c>
      <c r="H36" s="35" t="n">
        <v>898</v>
      </c>
      <c r="I36" s="34" t="n">
        <f aca="false">H36*D36</f>
        <v>2963400</v>
      </c>
      <c r="J36" s="35" t="n">
        <f aca="false">①札幌予測確定!S36</f>
        <v>250</v>
      </c>
      <c r="K36" s="35" t="n">
        <f aca="false">①札幌予測確定!P36</f>
        <v>63</v>
      </c>
      <c r="L36" s="35" t="n">
        <f aca="false">①札幌予測確定!U36</f>
        <v>187</v>
      </c>
      <c r="M36" s="35" t="n">
        <f aca="false">H36-J36</f>
        <v>648</v>
      </c>
      <c r="N36" s="35" t="n">
        <f aca="false">M36+ROUND(L36*前提・入力!$B$37,0)</f>
        <v>835</v>
      </c>
      <c r="O36" s="35" t="n">
        <f aca="false">③石川以降予測!N58</f>
        <v>429</v>
      </c>
      <c r="P36" s="38" t="n">
        <f aca="false">N36-O36</f>
        <v>406</v>
      </c>
      <c r="Q36" s="35" t="n">
        <f aca="false">MAX(0,-P36)</f>
        <v>0</v>
      </c>
      <c r="R36" s="35" t="n">
        <f aca="false">IF(Q36&gt;0,ROUNDUP(Q36*(1+前提・入力!$B$35),0),0)</f>
        <v>0</v>
      </c>
      <c r="S36" s="66" t="str">
        <f aca="false">IF(Q36&gt;0,"★欠品：追加生産が必要",IF(P36&gt;=O36*2,"大幅余剰","在庫で充足"))</f>
        <v>在庫で充足</v>
      </c>
      <c r="T36" s="39"/>
      <c r="U36" s="65"/>
    </row>
    <row r="37" customFormat="false" ht="15" hidden="false" customHeight="false" outlineLevel="0" collapsed="false">
      <c r="A37" s="32" t="n">
        <v>31</v>
      </c>
      <c r="B37" s="32" t="s">
        <v>336</v>
      </c>
      <c r="C37" s="33" t="s">
        <v>337</v>
      </c>
      <c r="D37" s="34" t="n">
        <v>1300</v>
      </c>
      <c r="E37" s="35" t="n">
        <v>1769</v>
      </c>
      <c r="F37" s="35" t="n">
        <v>1533</v>
      </c>
      <c r="G37" s="35" t="n">
        <v>1353</v>
      </c>
      <c r="H37" s="35" t="n">
        <v>926</v>
      </c>
      <c r="I37" s="34" t="n">
        <f aca="false">H37*D37</f>
        <v>1203800</v>
      </c>
      <c r="J37" s="35" t="n">
        <f aca="false">①札幌予測確定!S37</f>
        <v>200</v>
      </c>
      <c r="K37" s="35" t="n">
        <f aca="false">①札幌予測確定!P37</f>
        <v>89</v>
      </c>
      <c r="L37" s="35" t="n">
        <f aca="false">①札幌予測確定!U37</f>
        <v>111</v>
      </c>
      <c r="M37" s="35" t="n">
        <f aca="false">H37-J37</f>
        <v>726</v>
      </c>
      <c r="N37" s="35" t="n">
        <f aca="false">M37+ROUND(L37*前提・入力!$B$37,0)</f>
        <v>837</v>
      </c>
      <c r="O37" s="35" t="n">
        <f aca="false">③石川以降予測!N59</f>
        <v>695</v>
      </c>
      <c r="P37" s="38" t="n">
        <f aca="false">N37-O37</f>
        <v>142</v>
      </c>
      <c r="Q37" s="35" t="n">
        <f aca="false">MAX(0,-P37)</f>
        <v>0</v>
      </c>
      <c r="R37" s="35" t="n">
        <f aca="false">IF(Q37&gt;0,ROUNDUP(Q37*(1+前提・入力!$B$35),0),0)</f>
        <v>0</v>
      </c>
      <c r="S37" s="66" t="str">
        <f aca="false">IF(Q37&gt;0,"★欠品：追加生産が必要",IF(P37&gt;=O37*2,"大幅余剰","在庫で充足"))</f>
        <v>在庫で充足</v>
      </c>
      <c r="T37" s="39"/>
      <c r="U37" s="65"/>
    </row>
    <row r="38" customFormat="false" ht="25.35" hidden="false" customHeight="false" outlineLevel="0" collapsed="false">
      <c r="A38" s="32" t="n">
        <v>32</v>
      </c>
      <c r="B38" s="32" t="s">
        <v>338</v>
      </c>
      <c r="C38" s="33" t="s">
        <v>339</v>
      </c>
      <c r="D38" s="34" t="n">
        <v>8800</v>
      </c>
      <c r="E38" s="35" t="n">
        <v>38</v>
      </c>
      <c r="F38" s="35" t="n">
        <v>102</v>
      </c>
      <c r="G38" s="35" t="n">
        <v>73</v>
      </c>
      <c r="H38" s="35" t="n">
        <v>33</v>
      </c>
      <c r="I38" s="34" t="n">
        <f aca="false">H38*D38</f>
        <v>290400</v>
      </c>
      <c r="J38" s="35" t="n">
        <f aca="false">①札幌予測確定!S38</f>
        <v>10</v>
      </c>
      <c r="K38" s="35" t="n">
        <f aca="false">①札幌予測確定!P38</f>
        <v>10</v>
      </c>
      <c r="L38" s="35" t="n">
        <f aca="false">①札幌予測確定!U38</f>
        <v>0</v>
      </c>
      <c r="M38" s="35" t="n">
        <f aca="false">H38-J38</f>
        <v>23</v>
      </c>
      <c r="N38" s="35" t="n">
        <f aca="false">M38+ROUND(L38*前提・入力!$B$37,0)</f>
        <v>23</v>
      </c>
      <c r="O38" s="35" t="n">
        <f aca="false">③石川以降予測!N60</f>
        <v>72</v>
      </c>
      <c r="P38" s="38" t="n">
        <f aca="false">N38-O38</f>
        <v>-49</v>
      </c>
      <c r="Q38" s="35" t="n">
        <f aca="false">MAX(0,-P38)</f>
        <v>49</v>
      </c>
      <c r="R38" s="35" t="n">
        <f aca="false">IF(Q38&gt;0,ROUNDUP(Q38*(1+前提・入力!$B$35),0),0)</f>
        <v>54</v>
      </c>
      <c r="S38" s="66" t="str">
        <f aca="false">IF(Q38&gt;0,"★欠品：追加生産が必要",IF(P38&gt;=O38*2,"大幅余剰","在庫で充足"))</f>
        <v>★欠品：追加生産が必要</v>
      </c>
      <c r="T38" s="39" t="s">
        <v>668</v>
      </c>
      <c r="U38" s="66" t="s">
        <v>676</v>
      </c>
    </row>
    <row r="39" customFormat="false" ht="15" hidden="false" customHeight="false" outlineLevel="0" collapsed="false">
      <c r="A39" s="32" t="n">
        <v>33</v>
      </c>
      <c r="B39" s="32" t="s">
        <v>340</v>
      </c>
      <c r="C39" s="33" t="s">
        <v>341</v>
      </c>
      <c r="D39" s="34" t="n">
        <v>27500</v>
      </c>
      <c r="E39" s="35" t="n">
        <v>13</v>
      </c>
      <c r="F39" s="35" t="n">
        <v>141</v>
      </c>
      <c r="G39" s="35" t="n">
        <v>127</v>
      </c>
      <c r="H39" s="35" t="n">
        <v>106</v>
      </c>
      <c r="I39" s="34" t="n">
        <f aca="false">H39*D39</f>
        <v>2915000</v>
      </c>
      <c r="J39" s="35" t="n">
        <f aca="false">①札幌予測確定!S39</f>
        <v>15</v>
      </c>
      <c r="K39" s="35" t="n">
        <f aca="false">①札幌予測確定!P39</f>
        <v>0</v>
      </c>
      <c r="L39" s="35" t="n">
        <f aca="false">①札幌予測確定!U39</f>
        <v>15</v>
      </c>
      <c r="M39" s="35" t="n">
        <f aca="false">H39-J39</f>
        <v>91</v>
      </c>
      <c r="N39" s="35" t="n">
        <f aca="false">M39+ROUND(L39*前提・入力!$B$37,0)</f>
        <v>106</v>
      </c>
      <c r="O39" s="35" t="n">
        <f aca="false">③石川以降予測!N61</f>
        <v>14</v>
      </c>
      <c r="P39" s="38" t="n">
        <f aca="false">N39-O39</f>
        <v>92</v>
      </c>
      <c r="Q39" s="35" t="n">
        <f aca="false">MAX(0,-P39)</f>
        <v>0</v>
      </c>
      <c r="R39" s="35" t="n">
        <f aca="false">IF(Q39&gt;0,ROUNDUP(Q39*(1+前提・入力!$B$35),0),0)</f>
        <v>0</v>
      </c>
      <c r="S39" s="66" t="str">
        <f aca="false">IF(Q39&gt;0,"★欠品：追加生産が必要",IF(P39&gt;=O39*2,"大幅余剰","在庫で充足"))</f>
        <v>大幅余剰</v>
      </c>
      <c r="T39" s="39"/>
      <c r="U39" s="65"/>
    </row>
    <row r="40" customFormat="false" ht="15" hidden="false" customHeight="false" outlineLevel="0" collapsed="false">
      <c r="A40" s="32" t="n">
        <v>34</v>
      </c>
      <c r="B40" s="32" t="s">
        <v>342</v>
      </c>
      <c r="C40" s="33" t="s">
        <v>343</v>
      </c>
      <c r="D40" s="34" t="n">
        <v>27500</v>
      </c>
      <c r="E40" s="35" t="n">
        <v>13</v>
      </c>
      <c r="F40" s="35" t="n">
        <v>10</v>
      </c>
      <c r="G40" s="35" t="n">
        <v>7</v>
      </c>
      <c r="H40" s="35" t="n">
        <v>4</v>
      </c>
      <c r="I40" s="34" t="n">
        <f aca="false">H40*D40</f>
        <v>110000</v>
      </c>
      <c r="J40" s="35" t="n">
        <f aca="false">①札幌予測確定!S40</f>
        <v>2</v>
      </c>
      <c r="K40" s="35" t="n">
        <f aca="false">①札幌予測確定!P40</f>
        <v>1</v>
      </c>
      <c r="L40" s="35" t="n">
        <f aca="false">①札幌予測確定!U40</f>
        <v>1</v>
      </c>
      <c r="M40" s="35" t="n">
        <f aca="false">H40-J40</f>
        <v>2</v>
      </c>
      <c r="N40" s="35" t="n">
        <f aca="false">M40+ROUND(L40*前提・入力!$B$37,0)</f>
        <v>3</v>
      </c>
      <c r="O40" s="35" t="n">
        <f aca="false">③石川以降予測!N62</f>
        <v>7</v>
      </c>
      <c r="P40" s="38" t="n">
        <f aca="false">N40-O40</f>
        <v>-4</v>
      </c>
      <c r="Q40" s="35" t="n">
        <f aca="false">MAX(0,-P40)</f>
        <v>4</v>
      </c>
      <c r="R40" s="35" t="n">
        <f aca="false">IF(Q40&gt;0,ROUNDUP(Q40*(1+前提・入力!$B$35),0),0)</f>
        <v>5</v>
      </c>
      <c r="S40" s="66" t="str">
        <f aca="false">IF(Q40&gt;0,"★欠品：追加生産が必要",IF(P40&gt;=O40*2,"大幅余剰","在庫で充足"))</f>
        <v>★欠品：追加生産が必要</v>
      </c>
      <c r="T40" s="39"/>
      <c r="U40" s="65"/>
    </row>
    <row r="41" customFormat="false" ht="15" hidden="false" customHeight="false" outlineLevel="0" collapsed="false">
      <c r="A41" s="32" t="n">
        <v>35</v>
      </c>
      <c r="B41" s="32" t="s">
        <v>344</v>
      </c>
      <c r="C41" s="33" t="s">
        <v>345</v>
      </c>
      <c r="D41" s="34" t="n">
        <v>27500</v>
      </c>
      <c r="E41" s="35" t="n">
        <v>13</v>
      </c>
      <c r="F41" s="35" t="n">
        <v>10</v>
      </c>
      <c r="G41" s="35" t="n">
        <v>7</v>
      </c>
      <c r="H41" s="35" t="n">
        <v>4</v>
      </c>
      <c r="I41" s="34" t="n">
        <f aca="false">H41*D41</f>
        <v>110000</v>
      </c>
      <c r="J41" s="35" t="n">
        <f aca="false">①札幌予測確定!S41</f>
        <v>2</v>
      </c>
      <c r="K41" s="35" t="n">
        <f aca="false">①札幌予測確定!P41</f>
        <v>0</v>
      </c>
      <c r="L41" s="35" t="n">
        <f aca="false">①札幌予測確定!U41</f>
        <v>2</v>
      </c>
      <c r="M41" s="35" t="n">
        <f aca="false">H41-J41</f>
        <v>2</v>
      </c>
      <c r="N41" s="35" t="n">
        <f aca="false">M41+ROUND(L41*前提・入力!$B$37,0)</f>
        <v>4</v>
      </c>
      <c r="O41" s="35" t="n">
        <f aca="false">③石川以降予測!N63</f>
        <v>1</v>
      </c>
      <c r="P41" s="38" t="n">
        <f aca="false">N41-O41</f>
        <v>3</v>
      </c>
      <c r="Q41" s="35" t="n">
        <f aca="false">MAX(0,-P41)</f>
        <v>0</v>
      </c>
      <c r="R41" s="35" t="n">
        <f aca="false">IF(Q41&gt;0,ROUNDUP(Q41*(1+前提・入力!$B$35),0),0)</f>
        <v>0</v>
      </c>
      <c r="S41" s="66" t="str">
        <f aca="false">IF(Q41&gt;0,"★欠品：追加生産が必要",IF(P41&gt;=O41*2,"大幅余剰","在庫で充足"))</f>
        <v>大幅余剰</v>
      </c>
      <c r="T41" s="39"/>
      <c r="U41" s="65"/>
    </row>
    <row r="42" customFormat="false" ht="15" hidden="false" customHeight="false" outlineLevel="0" collapsed="false">
      <c r="A42" s="32" t="n">
        <v>36</v>
      </c>
      <c r="B42" s="32" t="s">
        <v>346</v>
      </c>
      <c r="C42" s="33" t="s">
        <v>347</v>
      </c>
      <c r="D42" s="34" t="n">
        <v>27500</v>
      </c>
      <c r="E42" s="35" t="n">
        <v>13</v>
      </c>
      <c r="F42" s="35" t="n">
        <v>10</v>
      </c>
      <c r="G42" s="35" t="n">
        <v>7</v>
      </c>
      <c r="H42" s="35" t="n">
        <v>4</v>
      </c>
      <c r="I42" s="34" t="n">
        <f aca="false">H42*D42</f>
        <v>110000</v>
      </c>
      <c r="J42" s="35" t="n">
        <f aca="false">①札幌予測確定!S42</f>
        <v>2</v>
      </c>
      <c r="K42" s="35" t="n">
        <f aca="false">①札幌予測確定!P42</f>
        <v>0</v>
      </c>
      <c r="L42" s="35" t="n">
        <f aca="false">①札幌予測確定!U42</f>
        <v>2</v>
      </c>
      <c r="M42" s="35" t="n">
        <f aca="false">H42-J42</f>
        <v>2</v>
      </c>
      <c r="N42" s="35" t="n">
        <f aca="false">M42+ROUND(L42*前提・入力!$B$37,0)</f>
        <v>4</v>
      </c>
      <c r="O42" s="35" t="n">
        <f aca="false">③石川以降予測!N64</f>
        <v>1</v>
      </c>
      <c r="P42" s="38" t="n">
        <f aca="false">N42-O42</f>
        <v>3</v>
      </c>
      <c r="Q42" s="35" t="n">
        <f aca="false">MAX(0,-P42)</f>
        <v>0</v>
      </c>
      <c r="R42" s="35" t="n">
        <f aca="false">IF(Q42&gt;0,ROUNDUP(Q42*(1+前提・入力!$B$35),0),0)</f>
        <v>0</v>
      </c>
      <c r="S42" s="66" t="str">
        <f aca="false">IF(Q42&gt;0,"★欠品：追加生産が必要",IF(P42&gt;=O42*2,"大幅余剰","在庫で充足"))</f>
        <v>大幅余剰</v>
      </c>
      <c r="T42" s="39"/>
      <c r="U42" s="65"/>
    </row>
    <row r="43" customFormat="false" ht="15" hidden="false" customHeight="false" outlineLevel="0" collapsed="false">
      <c r="A43" s="32" t="n">
        <v>37</v>
      </c>
      <c r="B43" s="32" t="s">
        <v>348</v>
      </c>
      <c r="C43" s="33" t="s">
        <v>349</v>
      </c>
      <c r="D43" s="34" t="n">
        <v>27500</v>
      </c>
      <c r="E43" s="35" t="n">
        <v>13</v>
      </c>
      <c r="F43" s="35" t="n">
        <v>81</v>
      </c>
      <c r="G43" s="35" t="n">
        <v>69</v>
      </c>
      <c r="H43" s="35" t="n">
        <v>43</v>
      </c>
      <c r="I43" s="34" t="n">
        <f aca="false">H43*D43</f>
        <v>1182500</v>
      </c>
      <c r="J43" s="35" t="n">
        <f aca="false">①札幌予測確定!S43</f>
        <v>8</v>
      </c>
      <c r="K43" s="35" t="n">
        <f aca="false">①札幌予測確定!P43</f>
        <v>0</v>
      </c>
      <c r="L43" s="35" t="n">
        <f aca="false">①札幌予測確定!U43</f>
        <v>8</v>
      </c>
      <c r="M43" s="35" t="n">
        <f aca="false">H43-J43</f>
        <v>35</v>
      </c>
      <c r="N43" s="35" t="n">
        <f aca="false">M43+ROUND(L43*前提・入力!$B$37,0)</f>
        <v>43</v>
      </c>
      <c r="O43" s="35" t="n">
        <f aca="false">③石川以降予測!N65</f>
        <v>17</v>
      </c>
      <c r="P43" s="38" t="n">
        <f aca="false">N43-O43</f>
        <v>26</v>
      </c>
      <c r="Q43" s="35" t="n">
        <f aca="false">MAX(0,-P43)</f>
        <v>0</v>
      </c>
      <c r="R43" s="35" t="n">
        <f aca="false">IF(Q43&gt;0,ROUNDUP(Q43*(1+前提・入力!$B$35),0),0)</f>
        <v>0</v>
      </c>
      <c r="S43" s="66" t="str">
        <f aca="false">IF(Q43&gt;0,"★欠品：追加生産が必要",IF(P43&gt;=O43*2,"大幅余剰","在庫で充足"))</f>
        <v>在庫で充足</v>
      </c>
      <c r="T43" s="39"/>
      <c r="U43" s="65"/>
    </row>
    <row r="44" customFormat="false" ht="15" hidden="false" customHeight="false" outlineLevel="0" collapsed="false">
      <c r="A44" s="32" t="n">
        <v>38</v>
      </c>
      <c r="B44" s="32" t="s">
        <v>350</v>
      </c>
      <c r="C44" s="33" t="s">
        <v>351</v>
      </c>
      <c r="D44" s="34" t="n">
        <v>27500</v>
      </c>
      <c r="E44" s="35" t="n">
        <v>13</v>
      </c>
      <c r="F44" s="35" t="n">
        <v>10</v>
      </c>
      <c r="G44" s="35" t="n">
        <v>7</v>
      </c>
      <c r="H44" s="35" t="n">
        <v>4</v>
      </c>
      <c r="I44" s="34" t="n">
        <f aca="false">H44*D44</f>
        <v>110000</v>
      </c>
      <c r="J44" s="35" t="n">
        <f aca="false">①札幌予測確定!S44</f>
        <v>2</v>
      </c>
      <c r="K44" s="35" t="n">
        <f aca="false">①札幌予測確定!P44</f>
        <v>2</v>
      </c>
      <c r="L44" s="35" t="n">
        <f aca="false">①札幌予測確定!U44</f>
        <v>0</v>
      </c>
      <c r="M44" s="35" t="n">
        <f aca="false">H44-J44</f>
        <v>2</v>
      </c>
      <c r="N44" s="35" t="n">
        <f aca="false">M44+ROUND(L44*前提・入力!$B$37,0)</f>
        <v>2</v>
      </c>
      <c r="O44" s="35" t="n">
        <f aca="false">③石川以降予測!N66</f>
        <v>11</v>
      </c>
      <c r="P44" s="38" t="n">
        <f aca="false">N44-O44</f>
        <v>-9</v>
      </c>
      <c r="Q44" s="35" t="n">
        <f aca="false">MAX(0,-P44)</f>
        <v>9</v>
      </c>
      <c r="R44" s="35" t="n">
        <f aca="false">IF(Q44&gt;0,ROUNDUP(Q44*(1+前提・入力!$B$35),0),0)</f>
        <v>10</v>
      </c>
      <c r="S44" s="66" t="str">
        <f aca="false">IF(Q44&gt;0,"★欠品：追加生産が必要",IF(P44&gt;=O44*2,"大幅余剰","在庫で充足"))</f>
        <v>★欠品：追加生産が必要</v>
      </c>
      <c r="T44" s="39"/>
      <c r="U44" s="65"/>
    </row>
    <row r="45" customFormat="false" ht="15" hidden="false" customHeight="false" outlineLevel="0" collapsed="false">
      <c r="A45" s="32" t="n">
        <v>39</v>
      </c>
      <c r="B45" s="32" t="s">
        <v>352</v>
      </c>
      <c r="C45" s="33" t="s">
        <v>353</v>
      </c>
      <c r="D45" s="34" t="n">
        <v>27500</v>
      </c>
      <c r="E45" s="35" t="n">
        <v>13</v>
      </c>
      <c r="F45" s="35" t="n">
        <v>10</v>
      </c>
      <c r="G45" s="35" t="n">
        <v>8</v>
      </c>
      <c r="H45" s="35" t="n">
        <v>5</v>
      </c>
      <c r="I45" s="34" t="n">
        <f aca="false">H45*D45</f>
        <v>137500</v>
      </c>
      <c r="J45" s="35" t="n">
        <f aca="false">①札幌予測確定!S45</f>
        <v>2</v>
      </c>
      <c r="K45" s="35" t="n">
        <f aca="false">①札幌予測確定!P45</f>
        <v>1</v>
      </c>
      <c r="L45" s="35" t="n">
        <f aca="false">①札幌予測確定!U45</f>
        <v>1</v>
      </c>
      <c r="M45" s="35" t="n">
        <f aca="false">H45-J45</f>
        <v>3</v>
      </c>
      <c r="N45" s="35" t="n">
        <f aca="false">M45+ROUND(L45*前提・入力!$B$37,0)</f>
        <v>4</v>
      </c>
      <c r="O45" s="35" t="n">
        <f aca="false">③石川以降予測!N67</f>
        <v>7</v>
      </c>
      <c r="P45" s="38" t="n">
        <f aca="false">N45-O45</f>
        <v>-3</v>
      </c>
      <c r="Q45" s="35" t="n">
        <f aca="false">MAX(0,-P45)</f>
        <v>3</v>
      </c>
      <c r="R45" s="35" t="n">
        <f aca="false">IF(Q45&gt;0,ROUNDUP(Q45*(1+前提・入力!$B$35),0),0)</f>
        <v>4</v>
      </c>
      <c r="S45" s="66" t="str">
        <f aca="false">IF(Q45&gt;0,"★欠品：追加生産が必要",IF(P45&gt;=O45*2,"大幅余剰","在庫で充足"))</f>
        <v>★欠品：追加生産が必要</v>
      </c>
      <c r="T45" s="39"/>
      <c r="U45" s="65"/>
    </row>
    <row r="46" customFormat="false" ht="15" hidden="false" customHeight="false" outlineLevel="0" collapsed="false">
      <c r="A46" s="32" t="n">
        <v>40</v>
      </c>
      <c r="B46" s="32" t="s">
        <v>354</v>
      </c>
      <c r="C46" s="33" t="s">
        <v>355</v>
      </c>
      <c r="D46" s="34" t="n">
        <v>27500</v>
      </c>
      <c r="E46" s="35" t="n">
        <v>13</v>
      </c>
      <c r="F46" s="35" t="n">
        <v>10</v>
      </c>
      <c r="G46" s="35" t="n">
        <v>7</v>
      </c>
      <c r="H46" s="35" t="n">
        <v>4</v>
      </c>
      <c r="I46" s="34" t="n">
        <f aca="false">H46*D46</f>
        <v>110000</v>
      </c>
      <c r="J46" s="35" t="n">
        <f aca="false">①札幌予測確定!S46</f>
        <v>2</v>
      </c>
      <c r="K46" s="35" t="n">
        <f aca="false">①札幌予測確定!P46</f>
        <v>0</v>
      </c>
      <c r="L46" s="35" t="n">
        <f aca="false">①札幌予測確定!U46</f>
        <v>2</v>
      </c>
      <c r="M46" s="35" t="n">
        <f aca="false">H46-J46</f>
        <v>2</v>
      </c>
      <c r="N46" s="35" t="n">
        <f aca="false">M46+ROUND(L46*前提・入力!$B$37,0)</f>
        <v>4</v>
      </c>
      <c r="O46" s="35" t="n">
        <f aca="false">③石川以降予測!N68</f>
        <v>1</v>
      </c>
      <c r="P46" s="38" t="n">
        <f aca="false">N46-O46</f>
        <v>3</v>
      </c>
      <c r="Q46" s="35" t="n">
        <f aca="false">MAX(0,-P46)</f>
        <v>0</v>
      </c>
      <c r="R46" s="35" t="n">
        <f aca="false">IF(Q46&gt;0,ROUNDUP(Q46*(1+前提・入力!$B$35),0),0)</f>
        <v>0</v>
      </c>
      <c r="S46" s="66" t="str">
        <f aca="false">IF(Q46&gt;0,"★欠品：追加生産が必要",IF(P46&gt;=O46*2,"大幅余剰","在庫で充足"))</f>
        <v>大幅余剰</v>
      </c>
      <c r="T46" s="39"/>
      <c r="U46" s="65"/>
    </row>
    <row r="47" customFormat="false" ht="15" hidden="false" customHeight="false" outlineLevel="0" collapsed="false">
      <c r="A47" s="32" t="n">
        <v>41</v>
      </c>
      <c r="B47" s="32" t="s">
        <v>356</v>
      </c>
      <c r="C47" s="33" t="s">
        <v>357</v>
      </c>
      <c r="D47" s="34" t="n">
        <v>25000</v>
      </c>
      <c r="E47" s="35" t="n">
        <v>81</v>
      </c>
      <c r="F47" s="35" t="n">
        <v>76</v>
      </c>
      <c r="G47" s="35" t="n">
        <v>75</v>
      </c>
      <c r="H47" s="35" t="n">
        <v>74</v>
      </c>
      <c r="I47" s="34" t="n">
        <f aca="false">H47*D47</f>
        <v>1850000</v>
      </c>
      <c r="J47" s="35" t="n">
        <f aca="false">①札幌予測確定!S47</f>
        <v>4</v>
      </c>
      <c r="K47" s="35" t="n">
        <f aca="false">①札幌予測確定!P47</f>
        <v>0</v>
      </c>
      <c r="L47" s="35" t="n">
        <f aca="false">①札幌予測確定!U47</f>
        <v>4</v>
      </c>
      <c r="M47" s="35" t="n">
        <f aca="false">H47-J47</f>
        <v>70</v>
      </c>
      <c r="N47" s="35" t="n">
        <f aca="false">M47+ROUND(L47*前提・入力!$B$37,0)</f>
        <v>74</v>
      </c>
      <c r="O47" s="35" t="n">
        <f aca="false">③石川以降予測!N69</f>
        <v>1</v>
      </c>
      <c r="P47" s="38" t="n">
        <f aca="false">N47-O47</f>
        <v>73</v>
      </c>
      <c r="Q47" s="35" t="n">
        <f aca="false">MAX(0,-P47)</f>
        <v>0</v>
      </c>
      <c r="R47" s="35" t="n">
        <f aca="false">IF(Q47&gt;0,ROUNDUP(Q47*(1+前提・入力!$B$35),0),0)</f>
        <v>0</v>
      </c>
      <c r="S47" s="66" t="str">
        <f aca="false">IF(Q47&gt;0,"★欠品：追加生産が必要",IF(P47&gt;=O47*2,"大幅余剰","在庫で充足"))</f>
        <v>大幅余剰</v>
      </c>
      <c r="T47" s="39"/>
      <c r="U47" s="65"/>
    </row>
    <row r="48" customFormat="false" ht="15" hidden="false" customHeight="false" outlineLevel="0" collapsed="false">
      <c r="A48" s="32" t="n">
        <v>42</v>
      </c>
      <c r="B48" s="32" t="s">
        <v>358</v>
      </c>
      <c r="C48" s="33" t="s">
        <v>359</v>
      </c>
      <c r="D48" s="34" t="n">
        <v>25000</v>
      </c>
      <c r="E48" s="35" t="n">
        <v>69</v>
      </c>
      <c r="F48" s="35" t="n">
        <v>61</v>
      </c>
      <c r="G48" s="35" t="n">
        <v>58</v>
      </c>
      <c r="H48" s="35" t="n">
        <v>49</v>
      </c>
      <c r="I48" s="34" t="n">
        <f aca="false">H48*D48</f>
        <v>1225000</v>
      </c>
      <c r="J48" s="35" t="n">
        <f aca="false">①札幌予測確定!S48</f>
        <v>6</v>
      </c>
      <c r="K48" s="35" t="n">
        <f aca="false">①札幌予測確定!P48</f>
        <v>3</v>
      </c>
      <c r="L48" s="35" t="n">
        <f aca="false">①札幌予測確定!U48</f>
        <v>3</v>
      </c>
      <c r="M48" s="35" t="n">
        <f aca="false">H48-J48</f>
        <v>43</v>
      </c>
      <c r="N48" s="35" t="n">
        <f aca="false">M48+ROUND(L48*前提・入力!$B$37,0)</f>
        <v>46</v>
      </c>
      <c r="O48" s="35" t="n">
        <f aca="false">③石川以降予測!N70</f>
        <v>19</v>
      </c>
      <c r="P48" s="38" t="n">
        <f aca="false">N48-O48</f>
        <v>27</v>
      </c>
      <c r="Q48" s="35" t="n">
        <f aca="false">MAX(0,-P48)</f>
        <v>0</v>
      </c>
      <c r="R48" s="35" t="n">
        <f aca="false">IF(Q48&gt;0,ROUNDUP(Q48*(1+前提・入力!$B$35),0),0)</f>
        <v>0</v>
      </c>
      <c r="S48" s="66" t="str">
        <f aca="false">IF(Q48&gt;0,"★欠品：追加生産が必要",IF(P48&gt;=O48*2,"大幅余剰","在庫で充足"))</f>
        <v>在庫で充足</v>
      </c>
      <c r="T48" s="39"/>
      <c r="U48" s="65"/>
    </row>
    <row r="49" customFormat="false" ht="15" hidden="false" customHeight="false" outlineLevel="0" collapsed="false">
      <c r="A49" s="40"/>
      <c r="B49" s="40"/>
      <c r="C49" s="41" t="s">
        <v>360</v>
      </c>
      <c r="D49" s="40"/>
      <c r="E49" s="42" t="n">
        <f aca="false">SUM(E7:E48)</f>
        <v>102310</v>
      </c>
      <c r="F49" s="42" t="n">
        <f aca="false">SUM(F7:F48)</f>
        <v>158693</v>
      </c>
      <c r="G49" s="42" t="n">
        <f aca="false">SUM(G7:G48)</f>
        <v>338784</v>
      </c>
      <c r="H49" s="42" t="n">
        <f aca="false">SUM(H7:H48)</f>
        <v>274688</v>
      </c>
      <c r="I49" s="44" t="n">
        <f aca="false">SUM(I7:I48)</f>
        <v>216459500</v>
      </c>
      <c r="J49" s="42" t="n">
        <f aca="false">SUM(J7:J48)</f>
        <v>50196</v>
      </c>
      <c r="K49" s="42" t="n">
        <f aca="false">SUM(K7:K48)</f>
        <v>9004</v>
      </c>
      <c r="L49" s="42" t="n">
        <f aca="false">SUM(L7:L48)</f>
        <v>41322</v>
      </c>
      <c r="M49" s="42" t="n">
        <f aca="false">SUM(M7:M48)</f>
        <v>224492</v>
      </c>
      <c r="N49" s="42" t="n">
        <f aca="false">SUM(N7:N48)</f>
        <v>265814</v>
      </c>
      <c r="O49" s="42" t="n">
        <f aca="false">SUM(O7:O48)</f>
        <v>83821</v>
      </c>
      <c r="P49" s="42" t="n">
        <f aca="false">SUM(P7:P48)</f>
        <v>181993</v>
      </c>
      <c r="Q49" s="42" t="n">
        <f aca="false">SUM(Q7:Q48)</f>
        <v>3432</v>
      </c>
      <c r="R49" s="42" t="n">
        <f aca="false">SUM(R7:R48)</f>
        <v>3779</v>
      </c>
      <c r="S49" s="40" t="str">
        <f aca="false">COUNTIF(S7:S48,"★欠品：追加生産が必要")&amp;"品目が欠品"</f>
        <v>9品目が欠品</v>
      </c>
      <c r="T49" s="40" t="str">
        <f aca="false">COUNTIF(T7:T48,"&lt;&gt;")&amp;"品目"</f>
        <v>8品目</v>
      </c>
      <c r="U49" s="40"/>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677</v>
      </c>
    </row>
    <row r="2" customFormat="false" ht="15" hidden="false" customHeight="false" outlineLevel="0" collapsed="false">
      <c r="A2" s="3" t="s">
        <v>678</v>
      </c>
    </row>
    <row r="3" customFormat="false" ht="15" hidden="false" customHeight="false" outlineLevel="0" collapsed="false">
      <c r="A3" s="3" t="s">
        <v>679</v>
      </c>
    </row>
    <row r="4" customFormat="false" ht="15" hidden="false" customHeight="false" outlineLevel="0" collapsed="false">
      <c r="A4" s="3" t="s">
        <v>680</v>
      </c>
    </row>
    <row r="6" customFormat="false" ht="15" hidden="false" customHeight="false" outlineLevel="0" collapsed="false">
      <c r="A6" s="4" t="s">
        <v>681</v>
      </c>
    </row>
    <row r="7" customFormat="false" ht="33.75" hidden="false" customHeight="true" outlineLevel="0" collapsed="false">
      <c r="A7" s="26" t="s">
        <v>414</v>
      </c>
      <c r="B7" s="26" t="s">
        <v>389</v>
      </c>
      <c r="C7" s="26" t="s">
        <v>682</v>
      </c>
      <c r="D7" s="26" t="s">
        <v>683</v>
      </c>
      <c r="E7" s="26" t="s">
        <v>684</v>
      </c>
      <c r="F7" s="26" t="s">
        <v>685</v>
      </c>
      <c r="G7" s="26" t="s">
        <v>686</v>
      </c>
      <c r="H7" s="26" t="s">
        <v>687</v>
      </c>
      <c r="I7" s="26" t="s">
        <v>688</v>
      </c>
      <c r="J7" s="26" t="s">
        <v>689</v>
      </c>
      <c r="K7" s="26" t="s">
        <v>690</v>
      </c>
      <c r="L7" s="26" t="s">
        <v>577</v>
      </c>
    </row>
    <row r="8" customFormat="false" ht="49.25" hidden="false" customHeight="false" outlineLevel="0" collapsed="false">
      <c r="A8" s="53" t="s">
        <v>366</v>
      </c>
      <c r="B8" s="35" t="n">
        <v>25</v>
      </c>
      <c r="C8" s="33" t="s">
        <v>691</v>
      </c>
      <c r="D8" s="36"/>
      <c r="E8" s="35" t="n">
        <v>211152</v>
      </c>
      <c r="F8" s="35"/>
      <c r="G8" s="35" t="n">
        <v>148185</v>
      </c>
      <c r="H8" s="32"/>
      <c r="I8" s="32"/>
      <c r="J8" s="32"/>
      <c r="K8" s="37" t="n">
        <f aca="false">IFERROR(G8/E8,0)</f>
        <v>0.701793021141169</v>
      </c>
      <c r="L8" s="66" t="s">
        <v>692</v>
      </c>
    </row>
    <row r="9" customFormat="false" ht="61.15" hidden="false" customHeight="false" outlineLevel="0" collapsed="false">
      <c r="A9" s="53" t="s">
        <v>367</v>
      </c>
      <c r="B9" s="35" t="n">
        <v>19</v>
      </c>
      <c r="C9" s="33" t="s">
        <v>693</v>
      </c>
      <c r="D9" s="36" t="n">
        <v>1.77259315921757</v>
      </c>
      <c r="E9" s="35" t="n">
        <v>83271</v>
      </c>
      <c r="F9" s="35" t="n">
        <v>55190</v>
      </c>
      <c r="G9" s="35" t="n">
        <v>58600</v>
      </c>
      <c r="H9" s="38" t="n">
        <f aca="false">G9-F9</f>
        <v>3410</v>
      </c>
      <c r="I9" s="75" t="n">
        <f aca="false">IFERROR(-H9/G9,"")</f>
        <v>-0.0581911262798635</v>
      </c>
      <c r="J9" s="37" t="n">
        <v>0.103993174061433</v>
      </c>
      <c r="K9" s="37" t="n">
        <f aca="false">IFERROR(G9/E9,0)</f>
        <v>0.703726387337729</v>
      </c>
      <c r="L9" s="66" t="s">
        <v>694</v>
      </c>
    </row>
    <row r="10" customFormat="false" ht="61.15" hidden="false" customHeight="false" outlineLevel="0" collapsed="false">
      <c r="A10" s="53" t="s">
        <v>368</v>
      </c>
      <c r="B10" s="35" t="n">
        <v>26</v>
      </c>
      <c r="C10" s="33" t="s">
        <v>695</v>
      </c>
      <c r="D10" s="36" t="n">
        <v>2.44446054672724</v>
      </c>
      <c r="E10" s="35" t="n">
        <v>49598</v>
      </c>
      <c r="F10" s="35" t="n">
        <v>34058</v>
      </c>
      <c r="G10" s="35" t="n">
        <v>44871</v>
      </c>
      <c r="H10" s="38" t="n">
        <f aca="false">G10-F10</f>
        <v>10813</v>
      </c>
      <c r="I10" s="75" t="n">
        <f aca="false">IFERROR(-H10/G10,"")</f>
        <v>-0.240979697354639</v>
      </c>
      <c r="J10" s="37" t="n">
        <v>0.267544739363955</v>
      </c>
      <c r="K10" s="37" t="n">
        <f aca="false">IFERROR(G10/E10,0)</f>
        <v>0.904693737650712</v>
      </c>
      <c r="L10" s="65" t="s">
        <v>696</v>
      </c>
    </row>
    <row r="11" customFormat="false" ht="85.05" hidden="false" customHeight="false" outlineLevel="0" collapsed="false">
      <c r="A11" s="53" t="s">
        <v>369</v>
      </c>
      <c r="B11" s="35" t="n">
        <v>20</v>
      </c>
      <c r="C11" s="33" t="s">
        <v>697</v>
      </c>
      <c r="D11" s="36" t="n">
        <v>2.13018207045762</v>
      </c>
      <c r="E11" s="35" t="n">
        <v>137560</v>
      </c>
      <c r="F11" s="35" t="n">
        <v>70701</v>
      </c>
      <c r="G11" s="35" t="n">
        <v>63740</v>
      </c>
      <c r="H11" s="38" t="n">
        <f aca="false">G11-F11</f>
        <v>-6961</v>
      </c>
      <c r="I11" s="75" t="n">
        <f aca="false">IFERROR(-H11/G11,"")</f>
        <v>0.109209287731409</v>
      </c>
      <c r="J11" s="37" t="n">
        <v>0.130138060872294</v>
      </c>
      <c r="K11" s="37" t="n">
        <f aca="false">IFERROR(G11/E11,0)</f>
        <v>0.463361442279732</v>
      </c>
      <c r="L11" s="66" t="s">
        <v>698</v>
      </c>
    </row>
    <row r="12" customFormat="false" ht="61.15" hidden="false" customHeight="false" outlineLevel="0" collapsed="false">
      <c r="A12" s="40" t="s">
        <v>699</v>
      </c>
      <c r="B12" s="40"/>
      <c r="C12" s="41"/>
      <c r="D12" s="40"/>
      <c r="E12" s="42" t="n">
        <f aca="false">SUM(E8:E11)</f>
        <v>481581</v>
      </c>
      <c r="F12" s="42" t="n">
        <f aca="false">SUM(F8:F11)</f>
        <v>159949</v>
      </c>
      <c r="G12" s="42" t="n">
        <f aca="false">SUM(G8:G11)</f>
        <v>315396</v>
      </c>
      <c r="H12" s="46" t="n">
        <f aca="false">G12-F12</f>
        <v>155447</v>
      </c>
      <c r="I12" s="87" t="n">
        <f aca="false">IFERROR(-H12/G12,"")</f>
        <v>-0.492862940557268</v>
      </c>
      <c r="J12" s="40"/>
      <c r="K12" s="45" t="n">
        <f aca="false">IFERROR(G12/E12,0)</f>
        <v>0.654917864284513</v>
      </c>
      <c r="L12" s="84" t="s">
        <v>700</v>
      </c>
    </row>
    <row r="14" customFormat="false" ht="15" hidden="false" customHeight="false" outlineLevel="0" collapsed="false">
      <c r="A14" s="4" t="s">
        <v>701</v>
      </c>
    </row>
    <row r="15" customFormat="false" ht="39.75" hidden="false" customHeight="true" outlineLevel="0" collapsed="false">
      <c r="A15" s="25" t="s">
        <v>253</v>
      </c>
      <c r="B15" s="25" t="s">
        <v>254</v>
      </c>
      <c r="C15" s="26" t="s">
        <v>255</v>
      </c>
      <c r="D15" s="26" t="s">
        <v>492</v>
      </c>
      <c r="E15" s="47" t="s">
        <v>702</v>
      </c>
      <c r="F15" s="47" t="s">
        <v>703</v>
      </c>
      <c r="G15" s="47" t="s">
        <v>704</v>
      </c>
      <c r="H15" s="47" t="s">
        <v>705</v>
      </c>
      <c r="I15" s="47" t="s">
        <v>706</v>
      </c>
      <c r="J15" s="47" t="s">
        <v>707</v>
      </c>
      <c r="K15" s="47" t="s">
        <v>708</v>
      </c>
      <c r="L15" s="28" t="s">
        <v>709</v>
      </c>
      <c r="M15" s="28" t="s">
        <v>710</v>
      </c>
      <c r="N15" s="28" t="s">
        <v>711</v>
      </c>
      <c r="O15" s="28" t="s">
        <v>712</v>
      </c>
      <c r="P15" s="28" t="s">
        <v>713</v>
      </c>
      <c r="Q15" s="28" t="s">
        <v>714</v>
      </c>
      <c r="R15" s="28" t="s">
        <v>715</v>
      </c>
      <c r="S15" s="29" t="s">
        <v>716</v>
      </c>
      <c r="T15" s="29" t="s">
        <v>717</v>
      </c>
      <c r="U15" s="29" t="s">
        <v>718</v>
      </c>
      <c r="V15" s="29" t="s">
        <v>719</v>
      </c>
      <c r="W15" s="29" t="s">
        <v>720</v>
      </c>
      <c r="X15" s="29" t="s">
        <v>721</v>
      </c>
      <c r="Y15" s="29" t="s">
        <v>722</v>
      </c>
      <c r="Z15" s="30" t="s">
        <v>723</v>
      </c>
      <c r="AA15" s="30" t="s">
        <v>724</v>
      </c>
      <c r="AB15" s="30" t="s">
        <v>725</v>
      </c>
      <c r="AC15" s="30" t="s">
        <v>726</v>
      </c>
      <c r="AD15" s="30" t="s">
        <v>727</v>
      </c>
      <c r="AE15" s="30" t="s">
        <v>728</v>
      </c>
      <c r="AF15" s="30" t="s">
        <v>729</v>
      </c>
      <c r="AG15" s="81" t="s">
        <v>730</v>
      </c>
      <c r="AH15" s="81" t="s">
        <v>731</v>
      </c>
      <c r="AI15" s="27" t="s">
        <v>732</v>
      </c>
      <c r="AJ15" s="48" t="s">
        <v>733</v>
      </c>
      <c r="AK15" s="31" t="s">
        <v>734</v>
      </c>
    </row>
    <row r="16" customFormat="false" ht="15" hidden="false" customHeight="false" outlineLevel="0" collapsed="false">
      <c r="A16" s="32" t="n">
        <v>1</v>
      </c>
      <c r="B16" s="32" t="s">
        <v>276</v>
      </c>
      <c r="C16" s="33" t="s">
        <v>277</v>
      </c>
      <c r="D16" s="34" t="n">
        <v>500</v>
      </c>
      <c r="E16" s="35" t="n">
        <v>6000</v>
      </c>
      <c r="F16" s="32" t="s">
        <v>735</v>
      </c>
      <c r="G16" s="35" t="n">
        <v>4965</v>
      </c>
      <c r="H16" s="32" t="s">
        <v>735</v>
      </c>
      <c r="I16" s="37" t="n">
        <f aca="false">IFERROR(E16/E$58,0)</f>
        <v>0.0284155489884065</v>
      </c>
      <c r="J16" s="37" t="n">
        <f aca="false">IFERROR(G16/G$58,0)</f>
        <v>0.0335054155278874</v>
      </c>
      <c r="K16" s="88" t="n">
        <f aca="false">J16-I16</f>
        <v>0.00508986653948098</v>
      </c>
      <c r="L16" s="35" t="n">
        <v>1998</v>
      </c>
      <c r="M16" s="35" t="n">
        <v>1002</v>
      </c>
      <c r="N16" s="35" t="n">
        <v>1316</v>
      </c>
      <c r="O16" s="38" t="n">
        <f aca="false">N16-M16</f>
        <v>314</v>
      </c>
      <c r="P16" s="37" t="n">
        <f aca="false">IFERROR(M16/M$58,0)</f>
        <v>0.0181554629461859</v>
      </c>
      <c r="Q16" s="37" t="n">
        <f aca="false">IFERROR(N16/N$58,0)</f>
        <v>0.022457337883959</v>
      </c>
      <c r="R16" s="88" t="n">
        <f aca="false">Q16-P16</f>
        <v>0.00430187493777314</v>
      </c>
      <c r="S16" s="35" t="n">
        <v>1099</v>
      </c>
      <c r="T16" s="35" t="n">
        <v>1149</v>
      </c>
      <c r="U16" s="35" t="n">
        <v>1092</v>
      </c>
      <c r="V16" s="38" t="n">
        <f aca="false">U16-T16</f>
        <v>-57</v>
      </c>
      <c r="W16" s="37" t="n">
        <f aca="false">IFERROR(T16/T$58,0)</f>
        <v>0.0337365670327089</v>
      </c>
      <c r="X16" s="37" t="n">
        <f aca="false">IFERROR(U16/U$58,0)</f>
        <v>0.0243364311024938</v>
      </c>
      <c r="Y16" s="88" t="n">
        <f aca="false">X16-W16</f>
        <v>-0.00940013593021509</v>
      </c>
      <c r="Z16" s="35" t="n">
        <v>3000</v>
      </c>
      <c r="AA16" s="35" t="n">
        <v>2141</v>
      </c>
      <c r="AB16" s="35" t="n">
        <v>2325</v>
      </c>
      <c r="AC16" s="38" t="n">
        <f aca="false">AB16-AA16</f>
        <v>184</v>
      </c>
      <c r="AD16" s="37" t="n">
        <f aca="false">IFERROR(AA16/AA$58,0)</f>
        <v>0.0302824571081031</v>
      </c>
      <c r="AE16" s="37" t="n">
        <f aca="false">IFERROR(AB16/AB$58,0)</f>
        <v>0.0364763100094132</v>
      </c>
      <c r="AF16" s="88" t="n">
        <f aca="false">AE16-AD16</f>
        <v>0.0061938529013101</v>
      </c>
      <c r="AG16" s="35" t="n">
        <f aca="false">G16+N16+U16+AB16</f>
        <v>9698</v>
      </c>
      <c r="AH16" s="37" t="n">
        <f aca="false">IFERROR(AG16/AG$58,0)</f>
        <v>0.0307486461464318</v>
      </c>
      <c r="AI16" s="37" t="n">
        <f aca="false">①札幌予測確定!R7</f>
        <v>0.0510884051532652</v>
      </c>
      <c r="AJ16" s="37" t="n">
        <f aca="false">③石川以降予測!H29</f>
        <v>0.0437823575813392</v>
      </c>
      <c r="AK16" s="39" t="str">
        <f aca="false">IF(AJ16-AH16&gt;=0.005,"↑ 上方修正",IF(AJ16-AH16&lt;=-0.005,"↓ 下方修正","→ 据置"))</f>
        <v>↑ 上方修正</v>
      </c>
    </row>
    <row r="17" customFormat="false" ht="15" hidden="false" customHeight="false" outlineLevel="0" collapsed="false">
      <c r="A17" s="32" t="n">
        <v>2</v>
      </c>
      <c r="B17" s="32" t="s">
        <v>278</v>
      </c>
      <c r="C17" s="33" t="s">
        <v>279</v>
      </c>
      <c r="D17" s="34" t="n">
        <v>600</v>
      </c>
      <c r="E17" s="35" t="n">
        <v>5699</v>
      </c>
      <c r="F17" s="32" t="s">
        <v>735</v>
      </c>
      <c r="G17" s="35" t="n">
        <v>4902</v>
      </c>
      <c r="H17" s="32" t="s">
        <v>735</v>
      </c>
      <c r="I17" s="37" t="n">
        <f aca="false">IFERROR(E17/E$58,0)</f>
        <v>0.0269900356141547</v>
      </c>
      <c r="J17" s="37" t="n">
        <f aca="false">IFERROR(G17/G$58,0)</f>
        <v>0.0330802712825185</v>
      </c>
      <c r="K17" s="88" t="n">
        <f aca="false">J17-I17</f>
        <v>0.00609023566836374</v>
      </c>
      <c r="L17" s="35" t="n">
        <v>1999</v>
      </c>
      <c r="M17" s="35" t="n">
        <v>1452</v>
      </c>
      <c r="N17" s="35" t="n">
        <v>1466</v>
      </c>
      <c r="O17" s="38" t="n">
        <f aca="false">N17-M17</f>
        <v>14</v>
      </c>
      <c r="P17" s="37" t="n">
        <f aca="false">IFERROR(M17/M$58,0)</f>
        <v>0.0263091139699221</v>
      </c>
      <c r="Q17" s="37" t="n">
        <f aca="false">IFERROR(N17/N$58,0)</f>
        <v>0.0250170648464164</v>
      </c>
      <c r="R17" s="88" t="n">
        <f aca="false">Q17-P17</f>
        <v>-0.0012920491235057</v>
      </c>
      <c r="S17" s="35" t="n">
        <v>1200</v>
      </c>
      <c r="T17" s="35" t="n">
        <v>1194</v>
      </c>
      <c r="U17" s="35" t="n">
        <v>1132</v>
      </c>
      <c r="V17" s="38" t="n">
        <f aca="false">U17-T17</f>
        <v>-62</v>
      </c>
      <c r="W17" s="37" t="n">
        <f aca="false">IFERROR(T17/T$58,0)</f>
        <v>0.0350578425039638</v>
      </c>
      <c r="X17" s="37" t="n">
        <f aca="false">IFERROR(U17/U$58,0)</f>
        <v>0.0252278754652225</v>
      </c>
      <c r="Y17" s="88" t="n">
        <f aca="false">X17-W17</f>
        <v>-0.0098299670387413</v>
      </c>
      <c r="Z17" s="35" t="n">
        <v>3000</v>
      </c>
      <c r="AA17" s="35" t="n">
        <v>2077</v>
      </c>
      <c r="AB17" s="35" t="n">
        <v>1965</v>
      </c>
      <c r="AC17" s="38" t="n">
        <f aca="false">AB17-AA17</f>
        <v>-112</v>
      </c>
      <c r="AD17" s="37" t="n">
        <f aca="false">IFERROR(AA17/AA$58,0)</f>
        <v>0.0293772365313079</v>
      </c>
      <c r="AE17" s="37" t="n">
        <f aca="false">IFERROR(AB17/AB$58,0)</f>
        <v>0.0308283652337622</v>
      </c>
      <c r="AF17" s="88" t="n">
        <f aca="false">AE17-AD17</f>
        <v>0.00145112870245426</v>
      </c>
      <c r="AG17" s="35" t="n">
        <f aca="false">G17+N17+U17+AB17</f>
        <v>9465</v>
      </c>
      <c r="AH17" s="37" t="n">
        <f aca="false">IFERROR(AG17/AG$58,0)</f>
        <v>0.030009892325838</v>
      </c>
      <c r="AI17" s="37" t="n">
        <f aca="false">①札幌予測確定!R8</f>
        <v>0.0577521101732563</v>
      </c>
      <c r="AJ17" s="37" t="n">
        <f aca="false">③石川以降予測!H30</f>
        <v>0.0442902377035093</v>
      </c>
      <c r="AK17" s="39" t="str">
        <f aca="false">IF(AJ17-AH17&gt;=0.005,"↑ 上方修正",IF(AJ17-AH17&lt;=-0.005,"↓ 下方修正","→ 据置"))</f>
        <v>↑ 上方修正</v>
      </c>
    </row>
    <row r="18" customFormat="false" ht="15" hidden="false" customHeight="false" outlineLevel="0" collapsed="false">
      <c r="A18" s="32" t="n">
        <v>3</v>
      </c>
      <c r="B18" s="32" t="s">
        <v>280</v>
      </c>
      <c r="C18" s="33" t="s">
        <v>281</v>
      </c>
      <c r="D18" s="34" t="n">
        <v>1000</v>
      </c>
      <c r="E18" s="35" t="n">
        <v>3700</v>
      </c>
      <c r="F18" s="32" t="s">
        <v>735</v>
      </c>
      <c r="G18" s="35" t="n">
        <v>2956</v>
      </c>
      <c r="H18" s="32" t="s">
        <v>735</v>
      </c>
      <c r="I18" s="37" t="n">
        <f aca="false">IFERROR(E18/E$58,0)</f>
        <v>0.017522921876184</v>
      </c>
      <c r="J18" s="37" t="n">
        <f aca="false">IFERROR(G18/G$58,0)</f>
        <v>0.019948037925566</v>
      </c>
      <c r="K18" s="88" t="n">
        <f aca="false">J18-I18</f>
        <v>0.00242511604938203</v>
      </c>
      <c r="L18" s="35" t="n">
        <v>1200</v>
      </c>
      <c r="M18" s="35" t="n">
        <v>661</v>
      </c>
      <c r="N18" s="35" t="n">
        <v>601</v>
      </c>
      <c r="O18" s="38" t="n">
        <f aca="false">N18-M18</f>
        <v>-60</v>
      </c>
      <c r="P18" s="37" t="n">
        <f aca="false">IFERROR(M18/M$58,0)</f>
        <v>0.0119768073926436</v>
      </c>
      <c r="Q18" s="37" t="n">
        <f aca="false">IFERROR(N18/N$58,0)</f>
        <v>0.0102559726962457</v>
      </c>
      <c r="R18" s="88" t="n">
        <f aca="false">Q18-P18</f>
        <v>-0.00172083469639786</v>
      </c>
      <c r="S18" s="35" t="n">
        <v>500</v>
      </c>
      <c r="T18" s="35" t="n">
        <v>393</v>
      </c>
      <c r="U18" s="35" t="n">
        <v>454</v>
      </c>
      <c r="V18" s="38" t="n">
        <f aca="false">U18-T18</f>
        <v>61</v>
      </c>
      <c r="W18" s="37" t="n">
        <f aca="false">IFERROR(T18/T$58,0)</f>
        <v>0.0115391391156263</v>
      </c>
      <c r="X18" s="37" t="n">
        <f aca="false">IFERROR(U18/U$58,0)</f>
        <v>0.0101178935169709</v>
      </c>
      <c r="Y18" s="88" t="n">
        <f aca="false">X18-W18</f>
        <v>-0.00142124559865541</v>
      </c>
      <c r="Z18" s="35" t="n">
        <v>2000</v>
      </c>
      <c r="AA18" s="35" t="n">
        <v>1181</v>
      </c>
      <c r="AB18" s="35" t="n">
        <v>1132</v>
      </c>
      <c r="AC18" s="38" t="n">
        <f aca="false">AB18-AA18</f>
        <v>-49</v>
      </c>
      <c r="AD18" s="37" t="n">
        <f aca="false">IFERROR(AA18/AA$58,0)</f>
        <v>0.0167041484561746</v>
      </c>
      <c r="AE18" s="37" t="n">
        <f aca="false">IFERROR(AB18/AB$58,0)</f>
        <v>0.0177596485723251</v>
      </c>
      <c r="AF18" s="88" t="n">
        <f aca="false">AE18-AD18</f>
        <v>0.00105550011615048</v>
      </c>
      <c r="AG18" s="35" t="n">
        <f aca="false">G18+N18+U18+AB18</f>
        <v>5143</v>
      </c>
      <c r="AH18" s="37" t="n">
        <f aca="false">IFERROR(AG18/AG$58,0)</f>
        <v>0.0163064845464115</v>
      </c>
      <c r="AI18" s="37" t="n">
        <f aca="false">①札幌予測確定!R9</f>
        <v>0.0175477565526433</v>
      </c>
      <c r="AJ18" s="37" t="n">
        <f aca="false">③石川以降予測!H31</f>
        <v>0.0176537025624842</v>
      </c>
      <c r="AK18" s="39" t="str">
        <f aca="false">IF(AJ18-AH18&gt;=0.005,"↑ 上方修正",IF(AJ18-AH18&lt;=-0.005,"↓ 下方修正","→ 据置"))</f>
        <v>→ 据置</v>
      </c>
    </row>
    <row r="19" customFormat="false" ht="15" hidden="false" customHeight="false" outlineLevel="0" collapsed="false">
      <c r="A19" s="32" t="n">
        <v>4</v>
      </c>
      <c r="B19" s="32" t="s">
        <v>282</v>
      </c>
      <c r="C19" s="33" t="s">
        <v>283</v>
      </c>
      <c r="D19" s="34" t="n">
        <v>1800</v>
      </c>
      <c r="E19" s="35" t="n">
        <v>2620</v>
      </c>
      <c r="F19" s="32" t="s">
        <v>735</v>
      </c>
      <c r="G19" s="35" t="n">
        <v>1819</v>
      </c>
      <c r="H19" s="32" t="s">
        <v>735</v>
      </c>
      <c r="I19" s="37" t="n">
        <f aca="false">IFERROR(E19/E$58,0)</f>
        <v>0.0124081230582708</v>
      </c>
      <c r="J19" s="37" t="n">
        <f aca="false">IFERROR(G19/G$58,0)</f>
        <v>0.0122751965448595</v>
      </c>
      <c r="K19" s="88" t="n">
        <f aca="false">J19-I19</f>
        <v>-0.000132926513411352</v>
      </c>
      <c r="L19" s="35" t="n">
        <v>1330</v>
      </c>
      <c r="M19" s="35" t="n">
        <v>623</v>
      </c>
      <c r="N19" s="35" t="n">
        <v>922</v>
      </c>
      <c r="O19" s="38" t="n">
        <f aca="false">N19-M19</f>
        <v>299</v>
      </c>
      <c r="P19" s="37" t="n">
        <f aca="false">IFERROR(M19/M$58,0)</f>
        <v>0.0112882768617503</v>
      </c>
      <c r="Q19" s="37" t="n">
        <f aca="false">IFERROR(N19/N$58,0)</f>
        <v>0.0157337883959044</v>
      </c>
      <c r="R19" s="88" t="n">
        <f aca="false">Q19-P19</f>
        <v>0.00444551153415412</v>
      </c>
      <c r="S19" s="35" t="n">
        <v>800</v>
      </c>
      <c r="T19" s="35" t="n">
        <v>471</v>
      </c>
      <c r="U19" s="35" t="n">
        <v>539</v>
      </c>
      <c r="V19" s="38" t="n">
        <f aca="false">U19-T19</f>
        <v>68</v>
      </c>
      <c r="W19" s="37" t="n">
        <f aca="false">IFERROR(T19/T$58,0)</f>
        <v>0.0138293499324681</v>
      </c>
      <c r="X19" s="37" t="n">
        <f aca="false">IFERROR(U19/U$58,0)</f>
        <v>0.0120122127877694</v>
      </c>
      <c r="Y19" s="88" t="n">
        <f aca="false">X19-W19</f>
        <v>-0.00181713714469876</v>
      </c>
      <c r="Z19" s="35" t="n">
        <v>2000</v>
      </c>
      <c r="AA19" s="35" t="n">
        <v>1141</v>
      </c>
      <c r="AB19" s="35" t="n">
        <v>1310</v>
      </c>
      <c r="AC19" s="38" t="n">
        <f aca="false">AB19-AA19</f>
        <v>169</v>
      </c>
      <c r="AD19" s="37" t="n">
        <f aca="false">IFERROR(AA19/AA$58,0)</f>
        <v>0.0161383855956776</v>
      </c>
      <c r="AE19" s="37" t="n">
        <f aca="false">IFERROR(AB19/AB$58,0)</f>
        <v>0.0205522434891748</v>
      </c>
      <c r="AF19" s="88" t="n">
        <f aca="false">AE19-AD19</f>
        <v>0.0044138578934972</v>
      </c>
      <c r="AG19" s="35" t="n">
        <f aca="false">G19+N19+U19+AB19</f>
        <v>4590</v>
      </c>
      <c r="AH19" s="37" t="n">
        <f aca="false">IFERROR(AG19/AG$58,0)</f>
        <v>0.0145531332039722</v>
      </c>
      <c r="AI19" s="37" t="n">
        <f aca="false">①札幌予測確定!R10</f>
        <v>0.0255442025766326</v>
      </c>
      <c r="AJ19" s="37" t="n">
        <f aca="false">③石川以降予測!H32</f>
        <v>0.0230482230329037</v>
      </c>
      <c r="AK19" s="39" t="str">
        <f aca="false">IF(AJ19-AH19&gt;=0.005,"↑ 上方修正",IF(AJ19-AH19&lt;=-0.005,"↓ 下方修正","→ 据置"))</f>
        <v>↑ 上方修正</v>
      </c>
    </row>
    <row r="20" customFormat="false" ht="15" hidden="false" customHeight="false" outlineLevel="0" collapsed="false">
      <c r="A20" s="32" t="n">
        <v>5</v>
      </c>
      <c r="B20" s="32" t="s">
        <v>284</v>
      </c>
      <c r="C20" s="33" t="s">
        <v>285</v>
      </c>
      <c r="D20" s="34" t="n">
        <v>600</v>
      </c>
      <c r="E20" s="35" t="n">
        <v>24996</v>
      </c>
      <c r="F20" s="32" t="s">
        <v>735</v>
      </c>
      <c r="G20" s="35" t="n">
        <v>18759</v>
      </c>
      <c r="H20" s="32" t="s">
        <v>735</v>
      </c>
      <c r="I20" s="37" t="n">
        <f aca="false">IFERROR(E20/E$58,0)</f>
        <v>0.118379177085701</v>
      </c>
      <c r="J20" s="37" t="n">
        <f aca="false">IFERROR(G20/G$58,0)</f>
        <v>0.126591760299625</v>
      </c>
      <c r="K20" s="88" t="n">
        <f aca="false">J20-I20</f>
        <v>0.00821258321392417</v>
      </c>
      <c r="L20" s="35" t="n">
        <v>16500</v>
      </c>
      <c r="M20" s="35" t="n">
        <v>9615</v>
      </c>
      <c r="N20" s="35" t="n">
        <v>10777</v>
      </c>
      <c r="O20" s="38" t="n">
        <f aca="false">N20-M20</f>
        <v>1162</v>
      </c>
      <c r="P20" s="37" t="n">
        <f aca="false">IFERROR(M20/M$58,0)</f>
        <v>0.174216343540496</v>
      </c>
      <c r="Q20" s="37" t="n">
        <f aca="false">IFERROR(N20/N$58,0)</f>
        <v>0.183907849829352</v>
      </c>
      <c r="R20" s="88" t="n">
        <f aca="false">Q20-P20</f>
        <v>0.00969150628885507</v>
      </c>
      <c r="S20" s="35" t="n">
        <v>9000</v>
      </c>
      <c r="T20" s="35" t="n">
        <v>6043</v>
      </c>
      <c r="U20" s="35" t="n">
        <v>8991</v>
      </c>
      <c r="V20" s="38" t="n">
        <f aca="false">U20-T20</f>
        <v>2948</v>
      </c>
      <c r="W20" s="37" t="n">
        <f aca="false">IFERROR(T20/T$58,0)</f>
        <v>0.177432614950966</v>
      </c>
      <c r="X20" s="37" t="n">
        <f aca="false">IFERROR(U20/U$58,0)</f>
        <v>0.200374406632346</v>
      </c>
      <c r="Y20" s="88" t="n">
        <f aca="false">X20-W20</f>
        <v>0.0229417916813801</v>
      </c>
      <c r="Z20" s="35" t="n">
        <v>24996</v>
      </c>
      <c r="AA20" s="35" t="n">
        <v>11670</v>
      </c>
      <c r="AB20" s="35" t="n">
        <v>8936</v>
      </c>
      <c r="AC20" s="38" t="n">
        <f aca="false">AB20-AA20</f>
        <v>-2734</v>
      </c>
      <c r="AD20" s="37" t="n">
        <f aca="false">IFERROR(AA20/AA$58,0)</f>
        <v>0.165061314550006</v>
      </c>
      <c r="AE20" s="37" t="n">
        <f aca="false">IFERROR(AB20/AB$58,0)</f>
        <v>0.14019454032005</v>
      </c>
      <c r="AF20" s="88" t="n">
        <f aca="false">AE20-AD20</f>
        <v>-0.0248667742299561</v>
      </c>
      <c r="AG20" s="35" t="n">
        <f aca="false">G20+N20+U20+AB20</f>
        <v>47463</v>
      </c>
      <c r="AH20" s="37" t="n">
        <f aca="false">IFERROR(AG20/AG$58,0)</f>
        <v>0.150487006810486</v>
      </c>
      <c r="AI20" s="37" t="n">
        <f aca="false">①札幌予測確定!R11</f>
        <v>0.0561972456685917</v>
      </c>
      <c r="AJ20" s="37" t="n">
        <f aca="false">③石川以降予測!H33</f>
        <v>0.098195892994321</v>
      </c>
      <c r="AK20" s="39" t="str">
        <f aca="false">IF(AJ20-AH20&gt;=0.005,"↑ 上方修正",IF(AJ20-AH20&lt;=-0.005,"↓ 下方修正","→ 据置"))</f>
        <v>↓ 下方修正</v>
      </c>
    </row>
    <row r="21" customFormat="false" ht="15" hidden="false" customHeight="false" outlineLevel="0" collapsed="false">
      <c r="A21" s="32" t="n">
        <v>6</v>
      </c>
      <c r="B21" s="32" t="s">
        <v>286</v>
      </c>
      <c r="C21" s="33" t="s">
        <v>287</v>
      </c>
      <c r="D21" s="34" t="n">
        <v>600</v>
      </c>
      <c r="E21" s="35" t="n">
        <v>44999</v>
      </c>
      <c r="F21" s="32" t="s">
        <v>735</v>
      </c>
      <c r="G21" s="35" t="n">
        <v>31070</v>
      </c>
      <c r="H21" s="32" t="s">
        <v>735</v>
      </c>
      <c r="I21" s="37" t="n">
        <f aca="false">IFERROR(E21/E$58,0)</f>
        <v>0.213111881488217</v>
      </c>
      <c r="J21" s="37" t="n">
        <f aca="false">IFERROR(G21/G$58,0)</f>
        <v>0.209670344501805</v>
      </c>
      <c r="K21" s="88" t="n">
        <f aca="false">J21-I21</f>
        <v>-0.00344153698641184</v>
      </c>
      <c r="L21" s="35" t="n">
        <v>21439</v>
      </c>
      <c r="M21" s="35" t="n">
        <v>13118</v>
      </c>
      <c r="N21" s="35" t="n">
        <v>15602</v>
      </c>
      <c r="O21" s="38" t="n">
        <f aca="false">N21-M21</f>
        <v>2484</v>
      </c>
      <c r="P21" s="37" t="n">
        <f aca="false">IFERROR(M21/M$58,0)</f>
        <v>0.237687986954158</v>
      </c>
      <c r="Q21" s="37" t="n">
        <f aca="false">IFERROR(N21/N$58,0)</f>
        <v>0.266245733788396</v>
      </c>
      <c r="R21" s="88" t="n">
        <f aca="false">Q21-P21</f>
        <v>0.0285577468342375</v>
      </c>
      <c r="S21" s="35" t="n">
        <v>13986</v>
      </c>
      <c r="T21" s="35" t="n">
        <v>8419</v>
      </c>
      <c r="U21" s="35" t="n">
        <v>13877</v>
      </c>
      <c r="V21" s="38" t="n">
        <f aca="false">U21-T21</f>
        <v>5458</v>
      </c>
      <c r="W21" s="37" t="n">
        <f aca="false">IFERROR(T21/T$58,0)</f>
        <v>0.247195959833226</v>
      </c>
      <c r="X21" s="37" t="n">
        <f aca="false">IFERROR(U21/U$58,0)</f>
        <v>0.309264335539658</v>
      </c>
      <c r="Y21" s="88" t="n">
        <f aca="false">X21-W21</f>
        <v>0.0620683757064325</v>
      </c>
      <c r="Z21" s="35" t="n">
        <v>35999</v>
      </c>
      <c r="AA21" s="35" t="n">
        <v>19881</v>
      </c>
      <c r="AB21" s="35" t="n">
        <v>18611</v>
      </c>
      <c r="AC21" s="38" t="n">
        <f aca="false">AB21-AA21</f>
        <v>-1270</v>
      </c>
      <c r="AD21" s="37" t="n">
        <f aca="false">IFERROR(AA21/AA$58,0)</f>
        <v>0.281198285738533</v>
      </c>
      <c r="AE21" s="37" t="n">
        <f aca="false">IFERROR(AB21/AB$58,0)</f>
        <v>0.291983056165673</v>
      </c>
      <c r="AF21" s="88" t="n">
        <f aca="false">AE21-AD21</f>
        <v>0.0107847704271404</v>
      </c>
      <c r="AG21" s="35" t="n">
        <f aca="false">G21+N21+U21+AB21</f>
        <v>79160</v>
      </c>
      <c r="AH21" s="37" t="n">
        <f aca="false">IFERROR(AG21/AG$58,0)</f>
        <v>0.250986061966544</v>
      </c>
      <c r="AI21" s="37" t="n">
        <f aca="false">①札幌予測確定!R12</f>
        <v>0.156041759218125</v>
      </c>
      <c r="AJ21" s="37" t="n">
        <f aca="false">③石川以降予測!H34</f>
        <v>0.224012407691899</v>
      </c>
      <c r="AK21" s="39" t="str">
        <f aca="false">IF(AJ21-AH21&gt;=0.005,"↑ 上方修正",IF(AJ21-AH21&lt;=-0.005,"↓ 下方修正","→ 据置"))</f>
        <v>↓ 下方修正</v>
      </c>
    </row>
    <row r="22" customFormat="false" ht="15" hidden="false" customHeight="false" outlineLevel="0" collapsed="false">
      <c r="A22" s="32" t="n">
        <v>7</v>
      </c>
      <c r="B22" s="32" t="s">
        <v>288</v>
      </c>
      <c r="C22" s="33" t="s">
        <v>289</v>
      </c>
      <c r="D22" s="34" t="n">
        <v>600</v>
      </c>
      <c r="E22" s="35" t="n">
        <v>7000</v>
      </c>
      <c r="F22" s="32" t="s">
        <v>735</v>
      </c>
      <c r="G22" s="35" t="n">
        <v>3471</v>
      </c>
      <c r="H22" s="32" t="s">
        <v>735</v>
      </c>
      <c r="I22" s="37" t="n">
        <f aca="false">IFERROR(E22/E$58,0)</f>
        <v>0.0331514738198075</v>
      </c>
      <c r="J22" s="37" t="n">
        <f aca="false">IFERROR(G22/G$58,0)</f>
        <v>0.0234234234234234</v>
      </c>
      <c r="K22" s="88" t="n">
        <f aca="false">J22-I22</f>
        <v>-0.00972805039638411</v>
      </c>
      <c r="L22" s="35" t="n">
        <v>1390</v>
      </c>
      <c r="M22" s="35" t="n">
        <v>511</v>
      </c>
      <c r="N22" s="35" t="n">
        <v>520</v>
      </c>
      <c r="O22" s="38" t="n">
        <f aca="false">N22-M22</f>
        <v>9</v>
      </c>
      <c r="P22" s="37" t="n">
        <f aca="false">IFERROR(M22/M$58,0)</f>
        <v>0.00925892371806487</v>
      </c>
      <c r="Q22" s="37" t="n">
        <f aca="false">IFERROR(N22/N$58,0)</f>
        <v>0.00887372013651877</v>
      </c>
      <c r="R22" s="88" t="n">
        <f aca="false">Q22-P22</f>
        <v>-0.000385203581546095</v>
      </c>
      <c r="S22" s="35" t="n">
        <v>400</v>
      </c>
      <c r="T22" s="35" t="n">
        <v>480</v>
      </c>
      <c r="U22" s="35" t="n">
        <v>384</v>
      </c>
      <c r="V22" s="38" t="n">
        <f aca="false">U22-T22</f>
        <v>-96</v>
      </c>
      <c r="W22" s="37" t="n">
        <f aca="false">IFERROR(T22/T$58,0)</f>
        <v>0.0140936050267191</v>
      </c>
      <c r="X22" s="37" t="n">
        <f aca="false">IFERROR(U22/U$58,0)</f>
        <v>0.00855786588219563</v>
      </c>
      <c r="Y22" s="88" t="n">
        <f aca="false">X22-W22</f>
        <v>-0.0055357391445235</v>
      </c>
      <c r="Z22" s="35" t="n">
        <v>2000</v>
      </c>
      <c r="AA22" s="35" t="n">
        <v>1036</v>
      </c>
      <c r="AB22" s="35" t="n">
        <v>940</v>
      </c>
      <c r="AC22" s="38" t="n">
        <f aca="false">AB22-AA22</f>
        <v>-96</v>
      </c>
      <c r="AD22" s="37" t="n">
        <f aca="false">IFERROR(AA22/AA$58,0)</f>
        <v>0.0146532580868729</v>
      </c>
      <c r="AE22" s="37" t="n">
        <f aca="false">IFERROR(AB22/AB$58,0)</f>
        <v>0.0147474113586445</v>
      </c>
      <c r="AF22" s="88" t="n">
        <f aca="false">AE22-AD22</f>
        <v>9.41532717716048E-005</v>
      </c>
      <c r="AG22" s="35" t="n">
        <f aca="false">G22+N22+U22+AB22</f>
        <v>5315</v>
      </c>
      <c r="AH22" s="37" t="n">
        <f aca="false">IFERROR(AG22/AG$58,0)</f>
        <v>0.0168518307144035</v>
      </c>
      <c r="AI22" s="37" t="n">
        <f aca="false">①札幌予測確定!R13</f>
        <v>0.0216570413149711</v>
      </c>
      <c r="AJ22" s="37" t="n">
        <f aca="false">③石川以降予測!H35</f>
        <v>0.0182022263368078</v>
      </c>
      <c r="AK22" s="39" t="str">
        <f aca="false">IF(AJ22-AH22&gt;=0.005,"↑ 上方修正",IF(AJ22-AH22&lt;=-0.005,"↓ 下方修正","→ 据置"))</f>
        <v>→ 据置</v>
      </c>
    </row>
    <row r="23" customFormat="false" ht="15" hidden="false" customHeight="false" outlineLevel="0" collapsed="false">
      <c r="A23" s="32" t="n">
        <v>8</v>
      </c>
      <c r="B23" s="32" t="s">
        <v>290</v>
      </c>
      <c r="C23" s="33" t="s">
        <v>291</v>
      </c>
      <c r="D23" s="34" t="n">
        <v>600</v>
      </c>
      <c r="E23" s="35" t="n">
        <v>12600</v>
      </c>
      <c r="F23" s="32" t="s">
        <v>735</v>
      </c>
      <c r="G23" s="35" t="n">
        <v>5596</v>
      </c>
      <c r="H23" s="32" t="s">
        <v>735</v>
      </c>
      <c r="I23" s="37" t="n">
        <f aca="false">IFERROR(E23/E$58,0)</f>
        <v>0.0596726528756536</v>
      </c>
      <c r="J23" s="37" t="n">
        <f aca="false">IFERROR(G23/G$58,0)</f>
        <v>0.0377636063029321</v>
      </c>
      <c r="K23" s="88" t="n">
        <f aca="false">J23-I23</f>
        <v>-0.0219090465727214</v>
      </c>
      <c r="L23" s="35" t="n">
        <v>2240</v>
      </c>
      <c r="M23" s="35" t="n">
        <v>1097</v>
      </c>
      <c r="N23" s="35" t="n">
        <v>1107</v>
      </c>
      <c r="O23" s="38" t="n">
        <f aca="false">N23-M23</f>
        <v>10</v>
      </c>
      <c r="P23" s="37" t="n">
        <f aca="false">IFERROR(M23/M$58,0)</f>
        <v>0.0198767892734191</v>
      </c>
      <c r="Q23" s="37" t="n">
        <f aca="false">IFERROR(N23/N$58,0)</f>
        <v>0.0188907849829352</v>
      </c>
      <c r="R23" s="88" t="n">
        <f aca="false">Q23-P23</f>
        <v>-0.000986004290483945</v>
      </c>
      <c r="S23" s="35" t="n">
        <v>840</v>
      </c>
      <c r="T23" s="35" t="n">
        <v>761</v>
      </c>
      <c r="U23" s="35" t="n">
        <v>799</v>
      </c>
      <c r="V23" s="38" t="n">
        <f aca="false">U23-T23</f>
        <v>38</v>
      </c>
      <c r="W23" s="37" t="n">
        <f aca="false">IFERROR(T23/T$58,0)</f>
        <v>0.0223442363027776</v>
      </c>
      <c r="X23" s="37" t="n">
        <f aca="false">IFERROR(U23/U$58,0)</f>
        <v>0.017806601145506</v>
      </c>
      <c r="Y23" s="88" t="n">
        <f aca="false">X23-W23</f>
        <v>-0.00453763515727161</v>
      </c>
      <c r="Z23" s="35" t="n">
        <v>3000</v>
      </c>
      <c r="AA23" s="35" t="n">
        <v>1957</v>
      </c>
      <c r="AB23" s="35" t="n">
        <v>1758</v>
      </c>
      <c r="AC23" s="38" t="n">
        <f aca="false">AB23-AA23</f>
        <v>-199</v>
      </c>
      <c r="AD23" s="37" t="n">
        <f aca="false">IFERROR(AA23/AA$58,0)</f>
        <v>0.0276799479498168</v>
      </c>
      <c r="AE23" s="37" t="n">
        <f aca="false">IFERROR(AB23/AB$58,0)</f>
        <v>0.0275807969877628</v>
      </c>
      <c r="AF23" s="88" t="n">
        <f aca="false">AE23-AD23</f>
        <v>-9.91509620540468E-005</v>
      </c>
      <c r="AG23" s="35" t="n">
        <f aca="false">G23+N23+U23+AB23</f>
        <v>9260</v>
      </c>
      <c r="AH23" s="37" t="n">
        <f aca="false">IFERROR(AG23/AG$58,0)</f>
        <v>0.0293599157884057</v>
      </c>
      <c r="AI23" s="37" t="n">
        <f aca="false">①札幌予測確定!R14</f>
        <v>0.0383163038649489</v>
      </c>
      <c r="AJ23" s="37" t="n">
        <f aca="false">③石川以降予測!H36</f>
        <v>0.0329485504263558</v>
      </c>
      <c r="AK23" s="39" t="str">
        <f aca="false">IF(AJ23-AH23&gt;=0.005,"↑ 上方修正",IF(AJ23-AH23&lt;=-0.005,"↓ 下方修正","→ 据置"))</f>
        <v>→ 据置</v>
      </c>
    </row>
    <row r="24" customFormat="false" ht="15" hidden="false" customHeight="false" outlineLevel="0" collapsed="false">
      <c r="A24" s="32" t="n">
        <v>9</v>
      </c>
      <c r="B24" s="32" t="s">
        <v>292</v>
      </c>
      <c r="C24" s="33" t="s">
        <v>293</v>
      </c>
      <c r="D24" s="34" t="n">
        <v>600</v>
      </c>
      <c r="E24" s="35" t="n">
        <v>8749</v>
      </c>
      <c r="F24" s="32" t="s">
        <v>735</v>
      </c>
      <c r="G24" s="35" t="n">
        <v>2381</v>
      </c>
      <c r="H24" s="32" t="s">
        <v>735</v>
      </c>
      <c r="I24" s="37" t="n">
        <f aca="false">IFERROR(E24/E$58,0)</f>
        <v>0.041434606349928</v>
      </c>
      <c r="J24" s="37" t="n">
        <f aca="false">IFERROR(G24/G$58,0)</f>
        <v>0.0160677531464048</v>
      </c>
      <c r="K24" s="88" t="n">
        <f aca="false">J24-I24</f>
        <v>-0.0253668532035232</v>
      </c>
      <c r="L24" s="35" t="n">
        <v>950</v>
      </c>
      <c r="M24" s="35" t="n">
        <v>399</v>
      </c>
      <c r="N24" s="35" t="n">
        <v>313</v>
      </c>
      <c r="O24" s="38" t="n">
        <f aca="false">N24-M24</f>
        <v>-86</v>
      </c>
      <c r="P24" s="37" t="n">
        <f aca="false">IFERROR(M24/M$58,0)</f>
        <v>0.00722957057437942</v>
      </c>
      <c r="Q24" s="37" t="n">
        <f aca="false">IFERROR(N24/N$58,0)</f>
        <v>0.00534129692832765</v>
      </c>
      <c r="R24" s="88" t="n">
        <f aca="false">Q24-P24</f>
        <v>-0.00188827364605177</v>
      </c>
      <c r="S24" s="35" t="n">
        <v>300</v>
      </c>
      <c r="T24" s="35" t="n">
        <v>346</v>
      </c>
      <c r="U24" s="35" t="n">
        <v>301</v>
      </c>
      <c r="V24" s="38" t="n">
        <f aca="false">U24-T24</f>
        <v>-45</v>
      </c>
      <c r="W24" s="37" t="n">
        <f aca="false">IFERROR(T24/T$58,0)</f>
        <v>0.0101591402900934</v>
      </c>
      <c r="X24" s="37" t="n">
        <f aca="false">IFERROR(U24/U$58,0)</f>
        <v>0.00670811882953355</v>
      </c>
      <c r="Y24" s="88" t="n">
        <f aca="false">X24-W24</f>
        <v>-0.00345102146055982</v>
      </c>
      <c r="Z24" s="35" t="n">
        <v>1500</v>
      </c>
      <c r="AA24" s="35" t="n">
        <v>741</v>
      </c>
      <c r="AB24" s="35" t="n">
        <v>743</v>
      </c>
      <c r="AC24" s="38" t="n">
        <f aca="false">AB24-AA24</f>
        <v>2</v>
      </c>
      <c r="AD24" s="37" t="n">
        <f aca="false">IFERROR(AA24/AA$58,0)</f>
        <v>0.0104807569907073</v>
      </c>
      <c r="AE24" s="37" t="n">
        <f aca="false">IFERROR(AB24/AB$58,0)</f>
        <v>0.0116567304675243</v>
      </c>
      <c r="AF24" s="88" t="n">
        <f aca="false">AE24-AD24</f>
        <v>0.00117597347681697</v>
      </c>
      <c r="AG24" s="35" t="n">
        <f aca="false">G24+N24+U24+AB24</f>
        <v>3738</v>
      </c>
      <c r="AH24" s="37" t="n">
        <f aca="false">IFERROR(AG24/AG$58,0)</f>
        <v>0.0118517673020584</v>
      </c>
      <c r="AI24" s="37" t="n">
        <f aca="false">①札幌予測確定!R15</f>
        <v>0.0147712127943136</v>
      </c>
      <c r="AJ24" s="37" t="n">
        <f aca="false">③石川以降予測!H37</f>
        <v>0.013213971630919</v>
      </c>
      <c r="AK24" s="39" t="str">
        <f aca="false">IF(AJ24-AH24&gt;=0.005,"↑ 上方修正",IF(AJ24-AH24&lt;=-0.005,"↓ 下方修正","→ 据置"))</f>
        <v>→ 据置</v>
      </c>
    </row>
    <row r="25" customFormat="false" ht="15" hidden="false" customHeight="false" outlineLevel="0" collapsed="false">
      <c r="A25" s="32" t="n">
        <v>10</v>
      </c>
      <c r="B25" s="32" t="s">
        <v>294</v>
      </c>
      <c r="C25" s="33" t="s">
        <v>295</v>
      </c>
      <c r="D25" s="34" t="n">
        <v>600</v>
      </c>
      <c r="E25" s="35" t="n">
        <v>4549</v>
      </c>
      <c r="F25" s="32" t="s">
        <v>735</v>
      </c>
      <c r="G25" s="35" t="n">
        <v>1025</v>
      </c>
      <c r="H25" s="32" t="s">
        <v>735</v>
      </c>
      <c r="I25" s="37" t="n">
        <f aca="false">IFERROR(E25/E$58,0)</f>
        <v>0.0215437220580435</v>
      </c>
      <c r="J25" s="37" t="n">
        <f aca="false">IFERROR(G25/G$58,0)</f>
        <v>0.0069170293889395</v>
      </c>
      <c r="K25" s="88" t="n">
        <f aca="false">J25-I25</f>
        <v>-0.014626692669104</v>
      </c>
      <c r="L25" s="35" t="n">
        <v>410</v>
      </c>
      <c r="M25" s="35" t="n">
        <v>160</v>
      </c>
      <c r="N25" s="35" t="n">
        <v>141</v>
      </c>
      <c r="O25" s="38" t="n">
        <f aca="false">N25-M25</f>
        <v>-19</v>
      </c>
      <c r="P25" s="37" t="n">
        <f aca="false">IFERROR(M25/M$58,0)</f>
        <v>0.00289907591955064</v>
      </c>
      <c r="Q25" s="37" t="n">
        <f aca="false">IFERROR(N25/N$58,0)</f>
        <v>0.0024061433447099</v>
      </c>
      <c r="R25" s="88" t="n">
        <f aca="false">Q25-P25</f>
        <v>-0.000492932574840746</v>
      </c>
      <c r="S25" s="35" t="n">
        <v>180</v>
      </c>
      <c r="T25" s="35" t="n">
        <v>167</v>
      </c>
      <c r="U25" s="35" t="n">
        <v>123</v>
      </c>
      <c r="V25" s="38" t="n">
        <f aca="false">U25-T25</f>
        <v>-44</v>
      </c>
      <c r="W25" s="37" t="n">
        <f aca="false">IFERROR(T25/T$58,0)</f>
        <v>0.0049034000822127</v>
      </c>
      <c r="X25" s="37" t="n">
        <f aca="false">IFERROR(U25/U$58,0)</f>
        <v>0.00274119141539079</v>
      </c>
      <c r="Y25" s="88" t="n">
        <f aca="false">X25-W25</f>
        <v>-0.00216220866682191</v>
      </c>
      <c r="Z25" s="35" t="n">
        <v>500</v>
      </c>
      <c r="AA25" s="35" t="n">
        <v>280</v>
      </c>
      <c r="AB25" s="35" t="n">
        <v>277</v>
      </c>
      <c r="AC25" s="38" t="n">
        <f aca="false">AB25-AA25</f>
        <v>-3</v>
      </c>
      <c r="AD25" s="37" t="n">
        <f aca="false">IFERROR(AA25/AA$58,0)</f>
        <v>0.00396034002347916</v>
      </c>
      <c r="AE25" s="37" t="n">
        <f aca="false">IFERROR(AB25/AB$58,0)</f>
        <v>0.00434577973015375</v>
      </c>
      <c r="AF25" s="88" t="n">
        <f aca="false">AE25-AD25</f>
        <v>0.000385439706674591</v>
      </c>
      <c r="AG25" s="35" t="n">
        <f aca="false">G25+N25+U25+AB25</f>
        <v>1566</v>
      </c>
      <c r="AH25" s="37" t="n">
        <f aca="false">IFERROR(AG25/AG$58,0)</f>
        <v>0.00496518662253167</v>
      </c>
      <c r="AI25" s="37" t="n">
        <f aca="false">①札幌予測確定!R16</f>
        <v>0.00610839626832519</v>
      </c>
      <c r="AJ25" s="37" t="n">
        <f aca="false">③石川以降予測!H38</f>
        <v>0.00522708799923947</v>
      </c>
      <c r="AK25" s="39" t="str">
        <f aca="false">IF(AJ25-AH25&gt;=0.005,"↑ 上方修正",IF(AJ25-AH25&lt;=-0.005,"↓ 下方修正","→ 据置"))</f>
        <v>→ 据置</v>
      </c>
    </row>
    <row r="26" customFormat="false" ht="15" hidden="false" customHeight="false" outlineLevel="0" collapsed="false">
      <c r="A26" s="32" t="n">
        <v>11</v>
      </c>
      <c r="B26" s="32" t="s">
        <v>296</v>
      </c>
      <c r="C26" s="33" t="s">
        <v>297</v>
      </c>
      <c r="D26" s="34" t="n">
        <v>600</v>
      </c>
      <c r="E26" s="35" t="n">
        <v>699</v>
      </c>
      <c r="F26" s="32" t="s">
        <v>735</v>
      </c>
      <c r="G26" s="35" t="n">
        <v>215</v>
      </c>
      <c r="H26" s="32" t="s">
        <v>735</v>
      </c>
      <c r="I26" s="37" t="n">
        <f aca="false">IFERROR(E26/E$58,0)</f>
        <v>0.00331041145714935</v>
      </c>
      <c r="J26" s="37" t="n">
        <f aca="false">IFERROR(G26/G$58,0)</f>
        <v>0.00145088909133853</v>
      </c>
      <c r="K26" s="88" t="n">
        <f aca="false">J26-I26</f>
        <v>-0.00185952236581082</v>
      </c>
      <c r="L26" s="35" t="n">
        <v>90</v>
      </c>
      <c r="M26" s="35" t="n">
        <v>25</v>
      </c>
      <c r="N26" s="35" t="n">
        <v>37</v>
      </c>
      <c r="O26" s="38" t="n">
        <f aca="false">N26-M26</f>
        <v>12</v>
      </c>
      <c r="P26" s="37" t="n">
        <f aca="false">IFERROR(M26/M$58,0)</f>
        <v>0.000452980612429788</v>
      </c>
      <c r="Q26" s="37" t="n">
        <f aca="false">IFERROR(N26/N$58,0)</f>
        <v>0.000631399317406143</v>
      </c>
      <c r="R26" s="88" t="n">
        <f aca="false">Q26-P26</f>
        <v>0.000178418704976355</v>
      </c>
      <c r="S26" s="35" t="n">
        <v>30</v>
      </c>
      <c r="T26" s="35" t="n">
        <v>67</v>
      </c>
      <c r="U26" s="35" t="n">
        <v>30</v>
      </c>
      <c r="V26" s="38" t="n">
        <f aca="false">U26-T26</f>
        <v>-37</v>
      </c>
      <c r="W26" s="37" t="n">
        <f aca="false">IFERROR(T26/T$58,0)</f>
        <v>0.00196723236831288</v>
      </c>
      <c r="X26" s="37" t="n">
        <f aca="false">IFERROR(U26/U$58,0)</f>
        <v>0.000668583272046533</v>
      </c>
      <c r="Y26" s="88" t="n">
        <f aca="false">X26-W26</f>
        <v>-0.00129864909626635</v>
      </c>
      <c r="Z26" s="35" t="n">
        <v>100</v>
      </c>
      <c r="AA26" s="35" t="n">
        <v>98</v>
      </c>
      <c r="AB26" s="35" t="n">
        <v>78</v>
      </c>
      <c r="AC26" s="38" t="n">
        <f aca="false">AB26-AA26</f>
        <v>-20</v>
      </c>
      <c r="AD26" s="37" t="n">
        <f aca="false">IFERROR(AA26/AA$58,0)</f>
        <v>0.00138611900821771</v>
      </c>
      <c r="AE26" s="37" t="n">
        <f aca="false">IFERROR(AB26/AB$58,0)</f>
        <v>0.00122372136805773</v>
      </c>
      <c r="AF26" s="88" t="n">
        <f aca="false">AE26-AD26</f>
        <v>-0.000162397640159971</v>
      </c>
      <c r="AG26" s="35" t="n">
        <f aca="false">G26+N26+U26+AB26</f>
        <v>360</v>
      </c>
      <c r="AH26" s="37" t="n">
        <f aca="false">IFERROR(AG26/AG$58,0)</f>
        <v>0.00114142221207625</v>
      </c>
      <c r="AI26" s="37" t="n">
        <f aca="false">①札幌予測確定!R17</f>
        <v>0.00310972900932919</v>
      </c>
      <c r="AJ26" s="37" t="n">
        <f aca="false">③石川以降予測!H39</f>
        <v>0.00216672518869346</v>
      </c>
      <c r="AK26" s="39" t="str">
        <f aca="false">IF(AJ26-AH26&gt;=0.005,"↑ 上方修正",IF(AJ26-AH26&lt;=-0.005,"↓ 下方修正","→ 据置"))</f>
        <v>→ 据置</v>
      </c>
    </row>
    <row r="27" customFormat="false" ht="15" hidden="false" customHeight="false" outlineLevel="0" collapsed="false">
      <c r="A27" s="32" t="n">
        <v>12</v>
      </c>
      <c r="B27" s="32" t="s">
        <v>298</v>
      </c>
      <c r="C27" s="33" t="s">
        <v>299</v>
      </c>
      <c r="D27" s="34" t="n">
        <v>600</v>
      </c>
      <c r="E27" s="35" t="n">
        <v>1049</v>
      </c>
      <c r="F27" s="32" t="s">
        <v>735</v>
      </c>
      <c r="G27" s="35" t="n">
        <v>291</v>
      </c>
      <c r="H27" s="32" t="s">
        <v>735</v>
      </c>
      <c r="I27" s="37" t="n">
        <f aca="false">IFERROR(E27/E$58,0)</f>
        <v>0.00496798514813973</v>
      </c>
      <c r="J27" s="37" t="n">
        <f aca="false">IFERROR(G27/G$58,0)</f>
        <v>0.00196376151432331</v>
      </c>
      <c r="K27" s="88" t="n">
        <f aca="false">J27-I27</f>
        <v>-0.00300422363381642</v>
      </c>
      <c r="L27" s="35" t="n">
        <v>119</v>
      </c>
      <c r="M27" s="35" t="n">
        <v>69</v>
      </c>
      <c r="N27" s="35" t="n">
        <v>58</v>
      </c>
      <c r="O27" s="38" t="n">
        <f aca="false">N27-M27</f>
        <v>-11</v>
      </c>
      <c r="P27" s="37" t="n">
        <f aca="false">IFERROR(M27/M$58,0)</f>
        <v>0.00125022649030621</v>
      </c>
      <c r="Q27" s="37" t="n">
        <f aca="false">IFERROR(N27/N$58,0)</f>
        <v>0.000989761092150171</v>
      </c>
      <c r="R27" s="88" t="n">
        <f aca="false">Q27-P27</f>
        <v>-0.000260465398156044</v>
      </c>
      <c r="S27" s="35" t="n">
        <v>80</v>
      </c>
      <c r="T27" s="35" t="n">
        <v>37</v>
      </c>
      <c r="U27" s="35" t="n">
        <v>54</v>
      </c>
      <c r="V27" s="38" t="n">
        <f aca="false">U27-T27</f>
        <v>17</v>
      </c>
      <c r="W27" s="37" t="n">
        <f aca="false">IFERROR(T27/T$58,0)</f>
        <v>0.00108638205414293</v>
      </c>
      <c r="X27" s="37" t="n">
        <f aca="false">IFERROR(U27/U$58,0)</f>
        <v>0.00120344988968376</v>
      </c>
      <c r="Y27" s="88" t="n">
        <f aca="false">X27-W27</f>
        <v>0.000117067835540828</v>
      </c>
      <c r="Z27" s="35" t="n">
        <v>150</v>
      </c>
      <c r="AA27" s="35" t="n">
        <v>149</v>
      </c>
      <c r="AB27" s="35" t="n">
        <v>142</v>
      </c>
      <c r="AC27" s="38" t="n">
        <f aca="false">AB27-AA27</f>
        <v>-7</v>
      </c>
      <c r="AD27" s="37" t="n">
        <f aca="false">IFERROR(AA27/AA$58,0)</f>
        <v>0.00210746665535141</v>
      </c>
      <c r="AE27" s="37" t="n">
        <f aca="false">IFERROR(AB27/AB$58,0)</f>
        <v>0.00222780043928459</v>
      </c>
      <c r="AF27" s="88" t="n">
        <f aca="false">AE27-AD27</f>
        <v>0.000120333783933184</v>
      </c>
      <c r="AG27" s="35" t="n">
        <f aca="false">G27+N27+U27+AB27</f>
        <v>545</v>
      </c>
      <c r="AH27" s="37" t="n">
        <f aca="false">IFERROR(AG27/AG$58,0)</f>
        <v>0.00172798640439321</v>
      </c>
      <c r="AI27" s="37" t="n">
        <f aca="false">①札幌予測確定!R18</f>
        <v>0.00388716126166148</v>
      </c>
      <c r="AJ27" s="37" t="n">
        <f aca="false">③石川以降予測!H40</f>
        <v>0.00305748085047304</v>
      </c>
      <c r="AK27" s="39" t="str">
        <f aca="false">IF(AJ27-AH27&gt;=0.005,"↑ 上方修正",IF(AJ27-AH27&lt;=-0.005,"↓ 下方修正","→ 据置"))</f>
        <v>→ 据置</v>
      </c>
    </row>
    <row r="28" customFormat="false" ht="15" hidden="false" customHeight="false" outlineLevel="0" collapsed="false">
      <c r="A28" s="32" t="n">
        <v>13</v>
      </c>
      <c r="B28" s="32" t="s">
        <v>300</v>
      </c>
      <c r="C28" s="33" t="s">
        <v>301</v>
      </c>
      <c r="D28" s="34" t="n">
        <v>600</v>
      </c>
      <c r="E28" s="35" t="n">
        <v>349</v>
      </c>
      <c r="F28" s="32" t="s">
        <v>735</v>
      </c>
      <c r="G28" s="35" t="n">
        <v>99</v>
      </c>
      <c r="H28" s="32" t="s">
        <v>735</v>
      </c>
      <c r="I28" s="37" t="n">
        <f aca="false">IFERROR(E28/E$58,0)</f>
        <v>0.00165283776615898</v>
      </c>
      <c r="J28" s="37" t="n">
        <f aca="false">IFERROR(G28/G$58,0)</f>
        <v>0.00066808381415123</v>
      </c>
      <c r="K28" s="88" t="n">
        <f aca="false">J28-I28</f>
        <v>-0.000984753952007746</v>
      </c>
      <c r="L28" s="35" t="n">
        <v>40</v>
      </c>
      <c r="M28" s="35" t="n">
        <v>11</v>
      </c>
      <c r="N28" s="35" t="n">
        <v>16</v>
      </c>
      <c r="O28" s="38" t="n">
        <f aca="false">N28-M28</f>
        <v>5</v>
      </c>
      <c r="P28" s="37" t="n">
        <f aca="false">IFERROR(M28/M$58,0)</f>
        <v>0.000199311469469107</v>
      </c>
      <c r="Q28" s="37" t="n">
        <f aca="false">IFERROR(N28/N$58,0)</f>
        <v>0.000273037542662116</v>
      </c>
      <c r="R28" s="88" t="n">
        <f aca="false">Q28-P28</f>
        <v>7.37260731930093E-005</v>
      </c>
      <c r="S28" s="35" t="n">
        <v>25</v>
      </c>
      <c r="T28" s="35" t="n">
        <v>19</v>
      </c>
      <c r="U28" s="35" t="n">
        <v>22</v>
      </c>
      <c r="V28" s="38" t="n">
        <f aca="false">U28-T28</f>
        <v>3</v>
      </c>
      <c r="W28" s="37" t="n">
        <f aca="false">IFERROR(T28/T$58,0)</f>
        <v>0.000557871865640965</v>
      </c>
      <c r="X28" s="37" t="n">
        <f aca="false">IFERROR(U28/U$58,0)</f>
        <v>0.000490294399500791</v>
      </c>
      <c r="Y28" s="88" t="n">
        <f aca="false">X28-W28</f>
        <v>-6.75774661401743E-005</v>
      </c>
      <c r="Z28" s="35" t="n">
        <v>50</v>
      </c>
      <c r="AA28" s="35" t="n">
        <v>61</v>
      </c>
      <c r="AB28" s="35" t="n">
        <v>43</v>
      </c>
      <c r="AC28" s="38" t="n">
        <f aca="false">AB28-AA28</f>
        <v>-18</v>
      </c>
      <c r="AD28" s="37" t="n">
        <f aca="false">IFERROR(AA28/AA$58,0)</f>
        <v>0.00086278836225796</v>
      </c>
      <c r="AE28" s="37" t="n">
        <f aca="false">IFERROR(AB28/AB$58,0)</f>
        <v>0.000674615625980546</v>
      </c>
      <c r="AF28" s="88" t="n">
        <f aca="false">AE28-AD28</f>
        <v>-0.000188172736277414</v>
      </c>
      <c r="AG28" s="35" t="n">
        <f aca="false">G28+N28+U28+AB28</f>
        <v>180</v>
      </c>
      <c r="AH28" s="37" t="n">
        <f aca="false">IFERROR(AG28/AG$58,0)</f>
        <v>0.000570711106038124</v>
      </c>
      <c r="AI28" s="37" t="n">
        <f aca="false">①札幌予測確定!R19</f>
        <v>0.000777432252332297</v>
      </c>
      <c r="AJ28" s="37" t="n">
        <f aca="false">③石川以降予測!H41</f>
        <v>0.000726023939156421</v>
      </c>
      <c r="AK28" s="39" t="str">
        <f aca="false">IF(AJ28-AH28&gt;=0.005,"↑ 上方修正",IF(AJ28-AH28&lt;=-0.005,"↓ 下方修正","→ 据置"))</f>
        <v>→ 据置</v>
      </c>
    </row>
    <row r="29" customFormat="false" ht="15" hidden="false" customHeight="false" outlineLevel="0" collapsed="false">
      <c r="A29" s="32" t="n">
        <v>14</v>
      </c>
      <c r="B29" s="32" t="s">
        <v>302</v>
      </c>
      <c r="C29" s="33" t="s">
        <v>303</v>
      </c>
      <c r="D29" s="34" t="n">
        <v>600</v>
      </c>
      <c r="E29" s="35" t="n">
        <v>1750</v>
      </c>
      <c r="F29" s="32" t="s">
        <v>735</v>
      </c>
      <c r="G29" s="35" t="n">
        <v>411</v>
      </c>
      <c r="H29" s="32" t="s">
        <v>735</v>
      </c>
      <c r="I29" s="37" t="n">
        <f aca="false">IFERROR(E29/E$58,0)</f>
        <v>0.00828786845495188</v>
      </c>
      <c r="J29" s="37" t="n">
        <f aca="false">IFERROR(G29/G$58,0)</f>
        <v>0.00277356007693086</v>
      </c>
      <c r="K29" s="88" t="n">
        <f aca="false">J29-I29</f>
        <v>-0.00551430837802102</v>
      </c>
      <c r="L29" s="35" t="n">
        <v>165</v>
      </c>
      <c r="M29" s="35" t="n">
        <v>74</v>
      </c>
      <c r="N29" s="35" t="n">
        <v>73</v>
      </c>
      <c r="O29" s="38" t="n">
        <f aca="false">N29-M29</f>
        <v>-1</v>
      </c>
      <c r="P29" s="37" t="n">
        <f aca="false">IFERROR(M29/M$58,0)</f>
        <v>0.00134082261279217</v>
      </c>
      <c r="Q29" s="37" t="n">
        <f aca="false">IFERROR(N29/N$58,0)</f>
        <v>0.0012457337883959</v>
      </c>
      <c r="R29" s="88" t="n">
        <f aca="false">Q29-P29</f>
        <v>-9.5088824396268E-005</v>
      </c>
      <c r="S29" s="35" t="n">
        <v>80</v>
      </c>
      <c r="T29" s="35" t="n">
        <v>82</v>
      </c>
      <c r="U29" s="35" t="n">
        <v>79</v>
      </c>
      <c r="V29" s="38" t="n">
        <f aca="false">U29-T29</f>
        <v>-3</v>
      </c>
      <c r="W29" s="37" t="n">
        <f aca="false">IFERROR(T29/T$58,0)</f>
        <v>0.00240765752539785</v>
      </c>
      <c r="X29" s="37" t="n">
        <f aca="false">IFERROR(U29/U$58,0)</f>
        <v>0.0017606026163892</v>
      </c>
      <c r="Y29" s="88" t="n">
        <f aca="false">X29-W29</f>
        <v>-0.000647054909008646</v>
      </c>
      <c r="Z29" s="35" t="n">
        <v>300</v>
      </c>
      <c r="AA29" s="35" t="n">
        <v>127</v>
      </c>
      <c r="AB29" s="35" t="n">
        <v>146</v>
      </c>
      <c r="AC29" s="38" t="n">
        <f aca="false">AB29-AA29</f>
        <v>19</v>
      </c>
      <c r="AD29" s="37" t="n">
        <f aca="false">IFERROR(AA29/AA$58,0)</f>
        <v>0.00179629708207805</v>
      </c>
      <c r="AE29" s="37" t="n">
        <f aca="false">IFERROR(AB29/AB$58,0)</f>
        <v>0.00229055538123627</v>
      </c>
      <c r="AF29" s="88" t="n">
        <f aca="false">AE29-AD29</f>
        <v>0.000494258299158225</v>
      </c>
      <c r="AG29" s="35" t="n">
        <f aca="false">G29+N29+U29+AB29</f>
        <v>709</v>
      </c>
      <c r="AH29" s="37" t="n">
        <f aca="false">IFERROR(AG29/AG$58,0)</f>
        <v>0.00224796763433905</v>
      </c>
      <c r="AI29" s="37" t="n">
        <f aca="false">①札幌予測確定!R20</f>
        <v>0.00399822301199467</v>
      </c>
      <c r="AJ29" s="37" t="n">
        <f aca="false">③石川以降予測!H42</f>
        <v>0.00314438919661547</v>
      </c>
      <c r="AK29" s="39" t="str">
        <f aca="false">IF(AJ29-AH29&gt;=0.005,"↑ 上方修正",IF(AJ29-AH29&lt;=-0.005,"↓ 下方修正","→ 据置"))</f>
        <v>→ 据置</v>
      </c>
    </row>
    <row r="30" customFormat="false" ht="15" hidden="false" customHeight="false" outlineLevel="0" collapsed="false">
      <c r="A30" s="32" t="n">
        <v>15</v>
      </c>
      <c r="B30" s="32" t="s">
        <v>304</v>
      </c>
      <c r="C30" s="33" t="s">
        <v>305</v>
      </c>
      <c r="D30" s="34" t="n">
        <v>600</v>
      </c>
      <c r="E30" s="35" t="n">
        <v>2100</v>
      </c>
      <c r="F30" s="32" t="s">
        <v>735</v>
      </c>
      <c r="G30" s="35" t="n">
        <v>471</v>
      </c>
      <c r="H30" s="32" t="s">
        <v>735</v>
      </c>
      <c r="I30" s="37" t="n">
        <f aca="false">IFERROR(E30/E$58,0)</f>
        <v>0.00994544214594226</v>
      </c>
      <c r="J30" s="37" t="n">
        <f aca="false">IFERROR(G30/G$58,0)</f>
        <v>0.00317845935823464</v>
      </c>
      <c r="K30" s="88" t="n">
        <f aca="false">J30-I30</f>
        <v>-0.00676698278770762</v>
      </c>
      <c r="L30" s="35" t="n">
        <v>190</v>
      </c>
      <c r="M30" s="35" t="n">
        <v>98</v>
      </c>
      <c r="N30" s="35" t="n">
        <v>100</v>
      </c>
      <c r="O30" s="38" t="n">
        <f aca="false">N30-M30</f>
        <v>2</v>
      </c>
      <c r="P30" s="37" t="n">
        <f aca="false">IFERROR(M30/M$58,0)</f>
        <v>0.00177568400072477</v>
      </c>
      <c r="Q30" s="37" t="n">
        <f aca="false">IFERROR(N30/N$58,0)</f>
        <v>0.00170648464163823</v>
      </c>
      <c r="R30" s="88" t="n">
        <f aca="false">Q30-P30</f>
        <v>-6.91993590865437E-005</v>
      </c>
      <c r="S30" s="35" t="n">
        <v>100</v>
      </c>
      <c r="T30" s="35" t="n">
        <v>99</v>
      </c>
      <c r="U30" s="35" t="n">
        <v>100</v>
      </c>
      <c r="V30" s="38" t="n">
        <f aca="false">U30-T30</f>
        <v>1</v>
      </c>
      <c r="W30" s="37" t="n">
        <f aca="false">IFERROR(T30/T$58,0)</f>
        <v>0.00290680603676082</v>
      </c>
      <c r="X30" s="37" t="n">
        <f aca="false">IFERROR(U30/U$58,0)</f>
        <v>0.00222861090682178</v>
      </c>
      <c r="Y30" s="88" t="n">
        <f aca="false">X30-W30</f>
        <v>-0.000678195129939042</v>
      </c>
      <c r="Z30" s="35" t="n">
        <v>300</v>
      </c>
      <c r="AA30" s="35" t="n">
        <v>225</v>
      </c>
      <c r="AB30" s="35" t="n">
        <v>198</v>
      </c>
      <c r="AC30" s="38" t="n">
        <f aca="false">AB30-AA30</f>
        <v>-27</v>
      </c>
      <c r="AD30" s="37" t="n">
        <f aca="false">IFERROR(AA30/AA$58,0)</f>
        <v>0.00318241609029575</v>
      </c>
      <c r="AE30" s="37" t="n">
        <f aca="false">IFERROR(AB30/AB$58,0)</f>
        <v>0.0031063696266081</v>
      </c>
      <c r="AF30" s="88" t="n">
        <f aca="false">AE30-AD30</f>
        <v>-7.6046463687657E-005</v>
      </c>
      <c r="AG30" s="35" t="n">
        <f aca="false">G30+N30+U30+AB30</f>
        <v>869</v>
      </c>
      <c r="AH30" s="37" t="n">
        <f aca="false">IFERROR(AG30/AG$58,0)</f>
        <v>0.00275526639526183</v>
      </c>
      <c r="AI30" s="37" t="n">
        <f aca="false">①札幌予測確定!R21</f>
        <v>0.00666370501999112</v>
      </c>
      <c r="AJ30" s="37" t="n">
        <f aca="false">③石川以降予測!H43</f>
        <v>0.00488503732329961</v>
      </c>
      <c r="AK30" s="39" t="str">
        <f aca="false">IF(AJ30-AH30&gt;=0.005,"↑ 上方修正",IF(AJ30-AH30&lt;=-0.005,"↓ 下方修正","→ 据置"))</f>
        <v>→ 据置</v>
      </c>
    </row>
    <row r="31" customFormat="false" ht="15" hidden="false" customHeight="false" outlineLevel="0" collapsed="false">
      <c r="A31" s="32" t="n">
        <v>16</v>
      </c>
      <c r="B31" s="32" t="s">
        <v>306</v>
      </c>
      <c r="C31" s="33" t="s">
        <v>307</v>
      </c>
      <c r="D31" s="34" t="n">
        <v>600</v>
      </c>
      <c r="E31" s="35" t="n">
        <v>700</v>
      </c>
      <c r="F31" s="32" t="s">
        <v>735</v>
      </c>
      <c r="G31" s="35" t="n">
        <v>95</v>
      </c>
      <c r="H31" s="32" t="s">
        <v>735</v>
      </c>
      <c r="I31" s="37" t="n">
        <f aca="false">IFERROR(E31/E$58,0)</f>
        <v>0.00331514738198075</v>
      </c>
      <c r="J31" s="37" t="n">
        <f aca="false">IFERROR(G31/G$58,0)</f>
        <v>0.000641090528730978</v>
      </c>
      <c r="K31" s="88" t="n">
        <f aca="false">J31-I31</f>
        <v>-0.00267405685324978</v>
      </c>
      <c r="L31" s="35" t="n">
        <v>40</v>
      </c>
      <c r="M31" s="35" t="n">
        <v>28</v>
      </c>
      <c r="N31" s="35" t="n">
        <v>38</v>
      </c>
      <c r="O31" s="38" t="n">
        <f aca="false">N31-M31</f>
        <v>10</v>
      </c>
      <c r="P31" s="37" t="n">
        <f aca="false">IFERROR(M31/M$58,0)</f>
        <v>0.000507338285921363</v>
      </c>
      <c r="Q31" s="37" t="n">
        <f aca="false">IFERROR(N31/N$58,0)</f>
        <v>0.000648464163822526</v>
      </c>
      <c r="R31" s="88" t="n">
        <f aca="false">Q31-P31</f>
        <v>0.000141125877901163</v>
      </c>
      <c r="S31" s="35" t="n">
        <v>30</v>
      </c>
      <c r="T31" s="35" t="n">
        <v>34</v>
      </c>
      <c r="U31" s="35" t="n">
        <v>30</v>
      </c>
      <c r="V31" s="38" t="n">
        <f aca="false">U31-T31</f>
        <v>-4</v>
      </c>
      <c r="W31" s="37" t="n">
        <f aca="false">IFERROR(T31/T$58,0)</f>
        <v>0.000998297022725938</v>
      </c>
      <c r="X31" s="37" t="n">
        <f aca="false">IFERROR(U31/U$58,0)</f>
        <v>0.000668583272046533</v>
      </c>
      <c r="Y31" s="88" t="n">
        <f aca="false">X31-W31</f>
        <v>-0.000329713750679405</v>
      </c>
      <c r="Z31" s="35" t="n">
        <v>100</v>
      </c>
      <c r="AA31" s="35" t="n">
        <v>71</v>
      </c>
      <c r="AB31" s="35" t="n">
        <v>65</v>
      </c>
      <c r="AC31" s="38" t="n">
        <f aca="false">AB31-AA31</f>
        <v>-6</v>
      </c>
      <c r="AD31" s="37" t="n">
        <f aca="false">IFERROR(AA31/AA$58,0)</f>
        <v>0.00100422907738222</v>
      </c>
      <c r="AE31" s="37" t="n">
        <f aca="false">IFERROR(AB31/AB$58,0)</f>
        <v>0.00101976780671478</v>
      </c>
      <c r="AF31" s="88" t="n">
        <f aca="false">AE31-AD31</f>
        <v>1.55387293325636E-005</v>
      </c>
      <c r="AG31" s="35" t="n">
        <f aca="false">G31+N31+U31+AB31</f>
        <v>228</v>
      </c>
      <c r="AH31" s="37" t="n">
        <f aca="false">IFERROR(AG31/AG$58,0)</f>
        <v>0.000722900734314957</v>
      </c>
      <c r="AI31" s="37" t="n">
        <f aca="false">①札幌予測確定!R22</f>
        <v>0.00144380275433141</v>
      </c>
      <c r="AJ31" s="37" t="n">
        <f aca="false">③石川以降予測!H44</f>
        <v>0.00123178528052309</v>
      </c>
      <c r="AK31" s="39" t="str">
        <f aca="false">IF(AJ31-AH31&gt;=0.005,"↑ 上方修正",IF(AJ31-AH31&lt;=-0.005,"↓ 下方修正","→ 据置"))</f>
        <v>→ 据置</v>
      </c>
    </row>
    <row r="32" customFormat="false" ht="15" hidden="false" customHeight="false" outlineLevel="0" collapsed="false">
      <c r="A32" s="32" t="n">
        <v>17</v>
      </c>
      <c r="B32" s="32" t="s">
        <v>308</v>
      </c>
      <c r="C32" s="33" t="s">
        <v>309</v>
      </c>
      <c r="D32" s="34" t="n">
        <v>600</v>
      </c>
      <c r="E32" s="35" t="n">
        <v>2450</v>
      </c>
      <c r="F32" s="32" t="s">
        <v>735</v>
      </c>
      <c r="G32" s="35" t="n">
        <v>492</v>
      </c>
      <c r="H32" s="32" t="s">
        <v>735</v>
      </c>
      <c r="I32" s="37" t="n">
        <f aca="false">IFERROR(E32/E$58,0)</f>
        <v>0.0116030158369326</v>
      </c>
      <c r="J32" s="37" t="n">
        <f aca="false">IFERROR(G32/G$58,0)</f>
        <v>0.00332017410669096</v>
      </c>
      <c r="K32" s="88" t="n">
        <f aca="false">J32-I32</f>
        <v>-0.00828284173024168</v>
      </c>
      <c r="L32" s="35" t="n">
        <v>198</v>
      </c>
      <c r="M32" s="35" t="n">
        <v>142</v>
      </c>
      <c r="N32" s="35" t="n">
        <v>124</v>
      </c>
      <c r="O32" s="38" t="n">
        <f aca="false">N32-M32</f>
        <v>-18</v>
      </c>
      <c r="P32" s="37" t="n">
        <f aca="false">IFERROR(M32/M$58,0)</f>
        <v>0.0025729298786012</v>
      </c>
      <c r="Q32" s="37" t="n">
        <f aca="false">IFERROR(N32/N$58,0)</f>
        <v>0.0021160409556314</v>
      </c>
      <c r="R32" s="88" t="n">
        <f aca="false">Q32-P32</f>
        <v>-0.000456888922969797</v>
      </c>
      <c r="S32" s="35" t="n">
        <v>100</v>
      </c>
      <c r="T32" s="35" t="n">
        <v>122</v>
      </c>
      <c r="U32" s="35" t="n">
        <v>100</v>
      </c>
      <c r="V32" s="38" t="n">
        <f aca="false">U32-T32</f>
        <v>-22</v>
      </c>
      <c r="W32" s="37" t="n">
        <f aca="false">IFERROR(T32/T$58,0)</f>
        <v>0.00358212461095778</v>
      </c>
      <c r="X32" s="37" t="n">
        <f aca="false">IFERROR(U32/U$58,0)</f>
        <v>0.00222861090682178</v>
      </c>
      <c r="Y32" s="88" t="n">
        <f aca="false">X32-W32</f>
        <v>-0.001353513704136</v>
      </c>
      <c r="Z32" s="35" t="n">
        <v>300</v>
      </c>
      <c r="AA32" s="35" t="n">
        <v>224</v>
      </c>
      <c r="AB32" s="35" t="n">
        <v>261</v>
      </c>
      <c r="AC32" s="38" t="n">
        <f aca="false">AB32-AA32</f>
        <v>37</v>
      </c>
      <c r="AD32" s="37" t="n">
        <f aca="false">IFERROR(AA32/AA$58,0)</f>
        <v>0.00316827201878333</v>
      </c>
      <c r="AE32" s="37" t="n">
        <f aca="false">IFERROR(AB32/AB$58,0)</f>
        <v>0.00409475996234703</v>
      </c>
      <c r="AF32" s="88" t="n">
        <f aca="false">AE32-AD32</f>
        <v>0.000926487943563707</v>
      </c>
      <c r="AG32" s="35" t="n">
        <f aca="false">G32+N32+U32+AB32</f>
        <v>977</v>
      </c>
      <c r="AH32" s="37" t="n">
        <f aca="false">IFERROR(AG32/AG$58,0)</f>
        <v>0.0030976930588847</v>
      </c>
      <c r="AI32" s="37" t="n">
        <f aca="false">①札幌予測確定!R23</f>
        <v>0.0113282985339849</v>
      </c>
      <c r="AJ32" s="37" t="n">
        <f aca="false">③石川以降予測!H45</f>
        <v>0.00771152924816597</v>
      </c>
      <c r="AK32" s="39" t="str">
        <f aca="false">IF(AJ32-AH32&gt;=0.005,"↑ 上方修正",IF(AJ32-AH32&lt;=-0.005,"↓ 下方修正","→ 据置"))</f>
        <v>→ 据置</v>
      </c>
    </row>
    <row r="33" customFormat="false" ht="15" hidden="false" customHeight="false" outlineLevel="0" collapsed="false">
      <c r="A33" s="32" t="n">
        <v>18</v>
      </c>
      <c r="B33" s="32" t="s">
        <v>310</v>
      </c>
      <c r="C33" s="33" t="s">
        <v>311</v>
      </c>
      <c r="D33" s="34" t="n">
        <v>600</v>
      </c>
      <c r="E33" s="35" t="n">
        <v>8750</v>
      </c>
      <c r="F33" s="32" t="s">
        <v>735</v>
      </c>
      <c r="G33" s="35" t="n">
        <v>5661</v>
      </c>
      <c r="H33" s="32" t="s">
        <v>735</v>
      </c>
      <c r="I33" s="37" t="n">
        <f aca="false">IFERROR(E33/E$58,0)</f>
        <v>0.0414393422747594</v>
      </c>
      <c r="J33" s="37" t="n">
        <f aca="false">IFERROR(G33/G$58,0)</f>
        <v>0.0382022471910112</v>
      </c>
      <c r="K33" s="88" t="n">
        <f aca="false">J33-I33</f>
        <v>-0.00323709508374818</v>
      </c>
      <c r="L33" s="35" t="n">
        <v>2265</v>
      </c>
      <c r="M33" s="35" t="n">
        <v>1232</v>
      </c>
      <c r="N33" s="35" t="n">
        <v>1187</v>
      </c>
      <c r="O33" s="38" t="n">
        <f aca="false">N33-M33</f>
        <v>-45</v>
      </c>
      <c r="P33" s="37" t="n">
        <f aca="false">IFERROR(M33/M$58,0)</f>
        <v>0.02232288458054</v>
      </c>
      <c r="Q33" s="37" t="n">
        <f aca="false">IFERROR(N33/N$58,0)</f>
        <v>0.0202559726962457</v>
      </c>
      <c r="R33" s="88" t="n">
        <f aca="false">Q33-P33</f>
        <v>-0.00206691188429422</v>
      </c>
      <c r="S33" s="35" t="n">
        <v>900</v>
      </c>
      <c r="T33" s="35" t="n">
        <v>1020</v>
      </c>
      <c r="U33" s="35" t="n">
        <v>898</v>
      </c>
      <c r="V33" s="38" t="n">
        <f aca="false">U33-T33</f>
        <v>-122</v>
      </c>
      <c r="W33" s="37" t="n">
        <f aca="false">IFERROR(T33/T$58,0)</f>
        <v>0.0299489106817781</v>
      </c>
      <c r="X33" s="37" t="n">
        <f aca="false">IFERROR(U33/U$58,0)</f>
        <v>0.0200129259432596</v>
      </c>
      <c r="Y33" s="88" t="n">
        <f aca="false">X33-W33</f>
        <v>-0.00993598473851858</v>
      </c>
      <c r="Z33" s="35" t="n">
        <v>4000</v>
      </c>
      <c r="AA33" s="35" t="n">
        <v>1908</v>
      </c>
      <c r="AB33" s="35" t="n">
        <v>2021</v>
      </c>
      <c r="AC33" s="38" t="n">
        <f aca="false">AB33-AA33</f>
        <v>113</v>
      </c>
      <c r="AD33" s="37" t="n">
        <f aca="false">IFERROR(AA33/AA$58,0)</f>
        <v>0.026986888445708</v>
      </c>
      <c r="AE33" s="37" t="n">
        <f aca="false">IFERROR(AB33/AB$58,0)</f>
        <v>0.0317069344210857</v>
      </c>
      <c r="AF33" s="88" t="n">
        <f aca="false">AE33-AD33</f>
        <v>0.00472004597537768</v>
      </c>
      <c r="AG33" s="35" t="n">
        <f aca="false">G33+N33+U33+AB33</f>
        <v>9767</v>
      </c>
      <c r="AH33" s="37" t="n">
        <f aca="false">IFERROR(AG33/AG$58,0)</f>
        <v>0.0309674187370797</v>
      </c>
      <c r="AI33" s="37" t="n">
        <f aca="false">①札幌予測確定!R24</f>
        <v>0.0472012438916037</v>
      </c>
      <c r="AJ33" s="37" t="n">
        <f aca="false">③石川以降予測!H46</f>
        <v>0.0394540891563447</v>
      </c>
      <c r="AK33" s="39" t="str">
        <f aca="false">IF(AJ33-AH33&gt;=0.005,"↑ 上方修正",IF(AJ33-AH33&lt;=-0.005,"↓ 下方修正","→ 据置"))</f>
        <v>↑ 上方修正</v>
      </c>
    </row>
    <row r="34" customFormat="false" ht="15" hidden="false" customHeight="false" outlineLevel="0" collapsed="false">
      <c r="A34" s="32" t="n">
        <v>19</v>
      </c>
      <c r="B34" s="32" t="s">
        <v>312</v>
      </c>
      <c r="C34" s="33" t="s">
        <v>313</v>
      </c>
      <c r="D34" s="34" t="n">
        <v>600</v>
      </c>
      <c r="E34" s="35" t="n">
        <v>1750</v>
      </c>
      <c r="F34" s="32" t="s">
        <v>735</v>
      </c>
      <c r="G34" s="35" t="n">
        <v>168</v>
      </c>
      <c r="H34" s="32" t="s">
        <v>735</v>
      </c>
      <c r="I34" s="37" t="n">
        <f aca="false">IFERROR(E34/E$58,0)</f>
        <v>0.00828786845495188</v>
      </c>
      <c r="J34" s="37" t="n">
        <f aca="false">IFERROR(G34/G$58,0)</f>
        <v>0.00113371798765057</v>
      </c>
      <c r="K34" s="88" t="n">
        <f aca="false">J34-I34</f>
        <v>-0.00715415046730131</v>
      </c>
      <c r="L34" s="35" t="n">
        <v>65</v>
      </c>
      <c r="M34" s="35" t="n">
        <v>32</v>
      </c>
      <c r="N34" s="35" t="n">
        <v>27</v>
      </c>
      <c r="O34" s="38" t="n">
        <f aca="false">N34-M34</f>
        <v>-5</v>
      </c>
      <c r="P34" s="37" t="n">
        <f aca="false">IFERROR(M34/M$58,0)</f>
        <v>0.000579815183910129</v>
      </c>
      <c r="Q34" s="37" t="n">
        <f aca="false">IFERROR(N34/N$58,0)</f>
        <v>0.000460750853242321</v>
      </c>
      <c r="R34" s="88" t="n">
        <f aca="false">Q34-P34</f>
        <v>-0.000119064330667808</v>
      </c>
      <c r="S34" s="35" t="n">
        <v>20</v>
      </c>
      <c r="T34" s="35" t="n">
        <v>18</v>
      </c>
      <c r="U34" s="35" t="n">
        <v>19</v>
      </c>
      <c r="V34" s="38" t="n">
        <f aca="false">U34-T34</f>
        <v>1</v>
      </c>
      <c r="W34" s="37" t="n">
        <f aca="false">IFERROR(T34/T$58,0)</f>
        <v>0.000528510188501967</v>
      </c>
      <c r="X34" s="37" t="n">
        <f aca="false">IFERROR(U34/U$58,0)</f>
        <v>0.000423436072296138</v>
      </c>
      <c r="Y34" s="88" t="n">
        <f aca="false">X34-W34</f>
        <v>-0.000105074116205829</v>
      </c>
      <c r="Z34" s="35" t="n">
        <v>100</v>
      </c>
      <c r="AA34" s="35" t="n">
        <v>45</v>
      </c>
      <c r="AB34" s="35" t="n">
        <v>45</v>
      </c>
      <c r="AC34" s="38" t="n">
        <f aca="false">AB34-AA34</f>
        <v>0</v>
      </c>
      <c r="AD34" s="37" t="n">
        <f aca="false">IFERROR(AA34/AA$58,0)</f>
        <v>0.000636483218059151</v>
      </c>
      <c r="AE34" s="37" t="n">
        <f aca="false">IFERROR(AB34/AB$58,0)</f>
        <v>0.000705993096956385</v>
      </c>
      <c r="AF34" s="88" t="n">
        <f aca="false">AE34-AD34</f>
        <v>6.95098788972349E-005</v>
      </c>
      <c r="AG34" s="35" t="n">
        <f aca="false">G34+N34+U34+AB34</f>
        <v>259</v>
      </c>
      <c r="AH34" s="37" t="n">
        <f aca="false">IFERROR(AG34/AG$58,0)</f>
        <v>0.000821189869243744</v>
      </c>
      <c r="AI34" s="37" t="n">
        <f aca="false">①札幌予測確定!R25</f>
        <v>0.00166592625499778</v>
      </c>
      <c r="AJ34" s="37" t="n">
        <f aca="false">③石川以降予測!H47</f>
        <v>0.00118595967597708</v>
      </c>
      <c r="AK34" s="39" t="str">
        <f aca="false">IF(AJ34-AH34&gt;=0.005,"↑ 上方修正",IF(AJ34-AH34&lt;=-0.005,"↓ 下方修正","→ 据置"))</f>
        <v>→ 据置</v>
      </c>
    </row>
    <row r="35" customFormat="false" ht="15" hidden="false" customHeight="false" outlineLevel="0" collapsed="false">
      <c r="A35" s="32" t="n">
        <v>20</v>
      </c>
      <c r="B35" s="32" t="s">
        <v>314</v>
      </c>
      <c r="C35" s="33" t="s">
        <v>315</v>
      </c>
      <c r="D35" s="34" t="n">
        <v>600</v>
      </c>
      <c r="E35" s="35" t="n">
        <v>350</v>
      </c>
      <c r="F35" s="32" t="s">
        <v>735</v>
      </c>
      <c r="G35" s="35" t="n">
        <v>117</v>
      </c>
      <c r="H35" s="32" t="s">
        <v>735</v>
      </c>
      <c r="I35" s="37" t="n">
        <f aca="false">IFERROR(E35/E$58,0)</f>
        <v>0.00165757369099038</v>
      </c>
      <c r="J35" s="37" t="n">
        <f aca="false">IFERROR(G35/G$58,0)</f>
        <v>0.000789553598542363</v>
      </c>
      <c r="K35" s="88" t="n">
        <f aca="false">J35-I35</f>
        <v>-0.000868020092448014</v>
      </c>
      <c r="L35" s="35" t="n">
        <v>49</v>
      </c>
      <c r="M35" s="35" t="n">
        <v>21</v>
      </c>
      <c r="N35" s="35" t="n">
        <v>23</v>
      </c>
      <c r="O35" s="38" t="n">
        <f aca="false">N35-M35</f>
        <v>2</v>
      </c>
      <c r="P35" s="37" t="n">
        <f aca="false">IFERROR(M35/M$58,0)</f>
        <v>0.000380503714441022</v>
      </c>
      <c r="Q35" s="37" t="n">
        <f aca="false">IFERROR(N35/N$58,0)</f>
        <v>0.000392491467576792</v>
      </c>
      <c r="R35" s="88" t="n">
        <f aca="false">Q35-P35</f>
        <v>1.19877531357699E-005</v>
      </c>
      <c r="S35" s="35" t="n">
        <v>15</v>
      </c>
      <c r="T35" s="35" t="n">
        <v>24</v>
      </c>
      <c r="U35" s="35" t="n">
        <v>15</v>
      </c>
      <c r="V35" s="38" t="n">
        <f aca="false">U35-T35</f>
        <v>-9</v>
      </c>
      <c r="W35" s="37" t="n">
        <f aca="false">IFERROR(T35/T$58,0)</f>
        <v>0.000704680251335956</v>
      </c>
      <c r="X35" s="37" t="n">
        <f aca="false">IFERROR(U35/U$58,0)</f>
        <v>0.000334291636023267</v>
      </c>
      <c r="Y35" s="88" t="n">
        <f aca="false">X35-W35</f>
        <v>-0.00037038861531269</v>
      </c>
      <c r="Z35" s="35" t="n">
        <v>50</v>
      </c>
      <c r="AA35" s="35" t="n">
        <v>33</v>
      </c>
      <c r="AB35" s="35" t="n">
        <v>42</v>
      </c>
      <c r="AC35" s="38" t="n">
        <f aca="false">AB35-AA35</f>
        <v>9</v>
      </c>
      <c r="AD35" s="37" t="n">
        <f aca="false">IFERROR(AA35/AA$58,0)</f>
        <v>0.000466754359910044</v>
      </c>
      <c r="AE35" s="37" t="n">
        <f aca="false">IFERROR(AB35/AB$58,0)</f>
        <v>0.000658926890492626</v>
      </c>
      <c r="AF35" s="88" t="n">
        <f aca="false">AE35-AD35</f>
        <v>0.000192172530582583</v>
      </c>
      <c r="AG35" s="35" t="n">
        <f aca="false">G35+N35+U35+AB35</f>
        <v>197</v>
      </c>
      <c r="AH35" s="37" t="n">
        <f aca="false">IFERROR(AG35/AG$58,0)</f>
        <v>0.000624611599386169</v>
      </c>
      <c r="AI35" s="37" t="n">
        <f aca="false">①札幌予測確定!R26</f>
        <v>0.00188804975566415</v>
      </c>
      <c r="AJ35" s="37" t="n">
        <f aca="false">③石川以降予測!H48</f>
        <v>0.00127348832307839</v>
      </c>
      <c r="AK35" s="39" t="str">
        <f aca="false">IF(AJ35-AH35&gt;=0.005,"↑ 上方修正",IF(AJ35-AH35&lt;=-0.005,"↓ 下方修正","→ 据置"))</f>
        <v>→ 据置</v>
      </c>
    </row>
    <row r="36" customFormat="false" ht="15" hidden="false" customHeight="false" outlineLevel="0" collapsed="false">
      <c r="A36" s="32" t="n">
        <v>21</v>
      </c>
      <c r="B36" s="32" t="s">
        <v>316</v>
      </c>
      <c r="C36" s="33" t="s">
        <v>317</v>
      </c>
      <c r="D36" s="34" t="n">
        <v>600</v>
      </c>
      <c r="E36" s="35" t="n">
        <v>350</v>
      </c>
      <c r="F36" s="32" t="s">
        <v>735</v>
      </c>
      <c r="G36" s="35" t="n">
        <v>350</v>
      </c>
      <c r="H36" s="32" t="s">
        <v>735</v>
      </c>
      <c r="I36" s="37" t="n">
        <f aca="false">IFERROR(E36/E$58,0)</f>
        <v>0.00165757369099038</v>
      </c>
      <c r="J36" s="37" t="n">
        <f aca="false">IFERROR(G36/G$58,0)</f>
        <v>0.00236191247427202</v>
      </c>
      <c r="K36" s="88" t="n">
        <f aca="false">J36-I36</f>
        <v>0.000704338783281648</v>
      </c>
      <c r="L36" s="35" t="n">
        <v>140</v>
      </c>
      <c r="M36" s="35" t="n">
        <v>208</v>
      </c>
      <c r="N36" s="35" t="n">
        <v>139</v>
      </c>
      <c r="O36" s="38" t="n">
        <f aca="false">N36-M36</f>
        <v>-69</v>
      </c>
      <c r="P36" s="37" t="n">
        <f aca="false">IFERROR(M36/M$58,0)</f>
        <v>0.00376879869541584</v>
      </c>
      <c r="Q36" s="37" t="n">
        <f aca="false">IFERROR(N36/N$58,0)</f>
        <v>0.00237201365187713</v>
      </c>
      <c r="R36" s="88" t="n">
        <f aca="false">Q36-P36</f>
        <v>-0.0013967850435387</v>
      </c>
      <c r="S36" s="35" t="n">
        <v>150</v>
      </c>
      <c r="T36" s="35" t="n">
        <v>168</v>
      </c>
      <c r="U36" s="35" t="n">
        <v>150</v>
      </c>
      <c r="V36" s="38" t="n">
        <f aca="false">U36-T36</f>
        <v>-18</v>
      </c>
      <c r="W36" s="37" t="n">
        <f aca="false">IFERROR(T36/T$58,0)</f>
        <v>0.00493276175935169</v>
      </c>
      <c r="X36" s="37" t="n">
        <f aca="false">IFERROR(U36/U$58,0)</f>
        <v>0.00334291636023267</v>
      </c>
      <c r="Y36" s="88" t="n">
        <f aca="false">X36-W36</f>
        <v>-0.00158984539911903</v>
      </c>
      <c r="Z36" s="35" t="n">
        <v>350</v>
      </c>
      <c r="AA36" s="35" t="n">
        <v>224</v>
      </c>
      <c r="AB36" s="35" t="n">
        <v>252</v>
      </c>
      <c r="AC36" s="38" t="n">
        <f aca="false">AB36-AA36</f>
        <v>28</v>
      </c>
      <c r="AD36" s="37" t="n">
        <f aca="false">IFERROR(AA36/AA$58,0)</f>
        <v>0.00316827201878333</v>
      </c>
      <c r="AE36" s="37" t="n">
        <f aca="false">IFERROR(AB36/AB$58,0)</f>
        <v>0.00395356134295576</v>
      </c>
      <c r="AF36" s="88" t="n">
        <f aca="false">AE36-AD36</f>
        <v>0.000785289324172431</v>
      </c>
      <c r="AG36" s="35" t="n">
        <f aca="false">G36+N36+U36+AB36</f>
        <v>891</v>
      </c>
      <c r="AH36" s="37" t="n">
        <f aca="false">IFERROR(AG36/AG$58,0)</f>
        <v>0.00282501997488871</v>
      </c>
      <c r="AI36" s="37" t="n">
        <f aca="false">①札幌予測確定!R27</f>
        <v>0.0101066192803199</v>
      </c>
      <c r="AJ36" s="37" t="n">
        <f aca="false">③石川以降予測!H49</f>
        <v>0.00703009031163781</v>
      </c>
      <c r="AK36" s="39" t="str">
        <f aca="false">IF(AJ36-AH36&gt;=0.005,"↑ 上方修正",IF(AJ36-AH36&lt;=-0.005,"↓ 下方修正","→ 据置"))</f>
        <v>→ 据置</v>
      </c>
    </row>
    <row r="37" customFormat="false" ht="15" hidden="false" customHeight="false" outlineLevel="0" collapsed="false">
      <c r="A37" s="32" t="n">
        <v>22</v>
      </c>
      <c r="B37" s="32" t="s">
        <v>318</v>
      </c>
      <c r="C37" s="33" t="s">
        <v>319</v>
      </c>
      <c r="D37" s="34" t="n">
        <v>600</v>
      </c>
      <c r="E37" s="35" t="n">
        <v>1400</v>
      </c>
      <c r="F37" s="32" t="s">
        <v>735</v>
      </c>
      <c r="G37" s="35" t="n">
        <v>319</v>
      </c>
      <c r="H37" s="32" t="s">
        <v>735</v>
      </c>
      <c r="I37" s="37" t="n">
        <f aca="false">IFERROR(E37/E$58,0)</f>
        <v>0.00663029476396151</v>
      </c>
      <c r="J37" s="37" t="n">
        <f aca="false">IFERROR(G37/G$58,0)</f>
        <v>0.00215271451226507</v>
      </c>
      <c r="K37" s="88" t="n">
        <f aca="false">J37-I37</f>
        <v>-0.00447758025169643</v>
      </c>
      <c r="L37" s="35" t="n">
        <v>130</v>
      </c>
      <c r="M37" s="35" t="n">
        <v>92</v>
      </c>
      <c r="N37" s="35" t="n">
        <v>99</v>
      </c>
      <c r="O37" s="38" t="n">
        <f aca="false">N37-M37</f>
        <v>7</v>
      </c>
      <c r="P37" s="37" t="n">
        <f aca="false">IFERROR(M37/M$58,0)</f>
        <v>0.00166696865374162</v>
      </c>
      <c r="Q37" s="37" t="n">
        <f aca="false">IFERROR(N37/N$58,0)</f>
        <v>0.00168941979522184</v>
      </c>
      <c r="R37" s="88" t="n">
        <f aca="false">Q37-P37</f>
        <v>2.24511414802231E-005</v>
      </c>
      <c r="S37" s="35" t="n">
        <v>80</v>
      </c>
      <c r="T37" s="35" t="n">
        <v>72</v>
      </c>
      <c r="U37" s="35" t="n">
        <v>80</v>
      </c>
      <c r="V37" s="38" t="n">
        <f aca="false">U37-T37</f>
        <v>8</v>
      </c>
      <c r="W37" s="37" t="n">
        <f aca="false">IFERROR(T37/T$58,0)</f>
        <v>0.00211404075400787</v>
      </c>
      <c r="X37" s="37" t="n">
        <f aca="false">IFERROR(U37/U$58,0)</f>
        <v>0.00178288872545742</v>
      </c>
      <c r="Y37" s="88" t="n">
        <f aca="false">X37-W37</f>
        <v>-0.000331152028550446</v>
      </c>
      <c r="Z37" s="35" t="n">
        <v>200</v>
      </c>
      <c r="AA37" s="35" t="n">
        <v>214</v>
      </c>
      <c r="AB37" s="35" t="n">
        <v>171</v>
      </c>
      <c r="AC37" s="38" t="n">
        <f aca="false">AB37-AA37</f>
        <v>-43</v>
      </c>
      <c r="AD37" s="37" t="n">
        <f aca="false">IFERROR(AA37/AA$58,0)</f>
        <v>0.00302683130365907</v>
      </c>
      <c r="AE37" s="37" t="n">
        <f aca="false">IFERROR(AB37/AB$58,0)</f>
        <v>0.00268277376843426</v>
      </c>
      <c r="AF37" s="88" t="n">
        <f aca="false">AE37-AD37</f>
        <v>-0.000344057535224807</v>
      </c>
      <c r="AG37" s="35" t="n">
        <f aca="false">G37+N37+U37+AB37</f>
        <v>669</v>
      </c>
      <c r="AH37" s="37" t="n">
        <f aca="false">IFERROR(AG37/AG$58,0)</f>
        <v>0.00212114294410836</v>
      </c>
      <c r="AI37" s="37" t="n">
        <f aca="false">①札幌予測確定!R28</f>
        <v>0.00621945801865837</v>
      </c>
      <c r="AJ37" s="37" t="n">
        <f aca="false">③石川以降予測!H50</f>
        <v>0.00445111589354632</v>
      </c>
      <c r="AK37" s="39" t="str">
        <f aca="false">IF(AJ37-AH37&gt;=0.005,"↑ 上方修正",IF(AJ37-AH37&lt;=-0.005,"↓ 下方修正","→ 据置"))</f>
        <v>→ 据置</v>
      </c>
    </row>
    <row r="38" customFormat="false" ht="15" hidden="false" customHeight="false" outlineLevel="0" collapsed="false">
      <c r="A38" s="32" t="n">
        <v>23</v>
      </c>
      <c r="B38" s="32" t="s">
        <v>320</v>
      </c>
      <c r="C38" s="33" t="s">
        <v>321</v>
      </c>
      <c r="D38" s="34" t="n">
        <v>600</v>
      </c>
      <c r="E38" s="35" t="n">
        <v>45125</v>
      </c>
      <c r="F38" s="32" t="s">
        <v>735</v>
      </c>
      <c r="G38" s="35" t="n">
        <v>41156</v>
      </c>
      <c r="H38" s="32" t="s">
        <v>735</v>
      </c>
      <c r="I38" s="37" t="n">
        <f aca="false">IFERROR(E38/E$58,0)</f>
        <v>0.213708608016974</v>
      </c>
      <c r="J38" s="37" t="n">
        <f aca="false">IFERROR(G38/G$58,0)</f>
        <v>0.27773391368897</v>
      </c>
      <c r="K38" s="88" t="n">
        <f aca="false">J38-I38</f>
        <v>0.0640253056719963</v>
      </c>
      <c r="L38" s="35" t="n">
        <v>16465</v>
      </c>
      <c r="M38" s="35" t="n">
        <v>14392</v>
      </c>
      <c r="N38" s="35" t="n">
        <v>13583</v>
      </c>
      <c r="O38" s="38" t="n">
        <f aca="false">N38-M38</f>
        <v>-809</v>
      </c>
      <c r="P38" s="37" t="n">
        <f aca="false">IFERROR(M38/M$58,0)</f>
        <v>0.26077187896358</v>
      </c>
      <c r="Q38" s="37" t="n">
        <f aca="false">IFERROR(N38/N$58,0)</f>
        <v>0.23179180887372</v>
      </c>
      <c r="R38" s="88" t="n">
        <f aca="false">Q38-P38</f>
        <v>-0.0289800700898602</v>
      </c>
      <c r="S38" s="35" t="n">
        <v>11000</v>
      </c>
      <c r="T38" s="35" t="n">
        <v>7760</v>
      </c>
      <c r="U38" s="35" t="n">
        <v>8800</v>
      </c>
      <c r="V38" s="38" t="n">
        <f aca="false">U38-T38</f>
        <v>1040</v>
      </c>
      <c r="W38" s="37" t="n">
        <f aca="false">IFERROR(T38/T$58,0)</f>
        <v>0.227846614598626</v>
      </c>
      <c r="X38" s="37" t="n">
        <f aca="false">IFERROR(U38/U$58,0)</f>
        <v>0.196117759800316</v>
      </c>
      <c r="Y38" s="88" t="n">
        <f aca="false">X38-W38</f>
        <v>-0.0317288547983094</v>
      </c>
      <c r="Z38" s="35" t="n">
        <v>29997</v>
      </c>
      <c r="AA38" s="35" t="n">
        <v>14863</v>
      </c>
      <c r="AB38" s="35" t="n">
        <v>12724</v>
      </c>
      <c r="AC38" s="38" t="n">
        <f aca="false">AB38-AA38</f>
        <v>-2139</v>
      </c>
      <c r="AD38" s="37" t="n">
        <f aca="false">IFERROR(AA38/AA$58,0)</f>
        <v>0.210223334889181</v>
      </c>
      <c r="AE38" s="37" t="n">
        <f aca="false">IFERROR(AB38/AB$58,0)</f>
        <v>0.19962347034829</v>
      </c>
      <c r="AF38" s="88" t="n">
        <f aca="false">AE38-AD38</f>
        <v>-0.0105998645408913</v>
      </c>
      <c r="AG38" s="35" t="n">
        <f aca="false">G38+N38+U38+AB38</f>
        <v>76263</v>
      </c>
      <c r="AH38" s="37" t="n">
        <f aca="false">IFERROR(AG38/AG$58,0)</f>
        <v>0.241800783776586</v>
      </c>
      <c r="AI38" s="37" t="n">
        <f aca="false">①札幌予測確定!R29</f>
        <v>0.243558418480675</v>
      </c>
      <c r="AJ38" s="37" t="n">
        <f aca="false">③石川以降予測!H51</f>
        <v>0.221590944414483</v>
      </c>
      <c r="AK38" s="39" t="str">
        <f aca="false">IF(AJ38-AH38&gt;=0.005,"↑ 上方修正",IF(AJ38-AH38&lt;=-0.005,"↓ 下方修正","→ 据置"))</f>
        <v>↓ 下方修正</v>
      </c>
    </row>
    <row r="39" customFormat="false" ht="15" hidden="false" customHeight="false" outlineLevel="0" collapsed="false">
      <c r="A39" s="32" t="n">
        <v>24</v>
      </c>
      <c r="B39" s="32" t="s">
        <v>322</v>
      </c>
      <c r="C39" s="33" t="s">
        <v>323</v>
      </c>
      <c r="D39" s="34" t="n">
        <v>600</v>
      </c>
      <c r="E39" s="35" t="n">
        <v>15000</v>
      </c>
      <c r="F39" s="32" t="s">
        <v>735</v>
      </c>
      <c r="G39" s="35" t="n">
        <v>14981</v>
      </c>
      <c r="H39" s="32" t="s">
        <v>735</v>
      </c>
      <c r="I39" s="37" t="n">
        <f aca="false">IFERROR(E39/E$58,0)</f>
        <v>0.0710388724710162</v>
      </c>
      <c r="J39" s="37" t="n">
        <f aca="false">IFERROR(G39/G$58,0)</f>
        <v>0.101096602220198</v>
      </c>
      <c r="K39" s="88" t="n">
        <f aca="false">J39-I39</f>
        <v>0.0300577297491816</v>
      </c>
      <c r="L39" s="35" t="n">
        <v>11194</v>
      </c>
      <c r="M39" s="35" t="n">
        <v>7826</v>
      </c>
      <c r="N39" s="35" t="n">
        <v>8213</v>
      </c>
      <c r="O39" s="38" t="n">
        <f aca="false">N39-M39</f>
        <v>387</v>
      </c>
      <c r="P39" s="37" t="n">
        <f aca="false">IFERROR(M39/M$58,0)</f>
        <v>0.141801050915021</v>
      </c>
      <c r="Q39" s="37" t="n">
        <f aca="false">IFERROR(N39/N$58,0)</f>
        <v>0.140153583617747</v>
      </c>
      <c r="R39" s="88" t="n">
        <f aca="false">Q39-P39</f>
        <v>-0.00164746729727341</v>
      </c>
      <c r="S39" s="35" t="n">
        <v>6999</v>
      </c>
      <c r="T39" s="35" t="n">
        <v>3695</v>
      </c>
      <c r="U39" s="35" t="n">
        <v>5195</v>
      </c>
      <c r="V39" s="38" t="n">
        <f aca="false">U39-T39</f>
        <v>1500</v>
      </c>
      <c r="W39" s="37" t="n">
        <f aca="false">IFERROR(T39/T$58,0)</f>
        <v>0.108491397028598</v>
      </c>
      <c r="X39" s="37" t="n">
        <f aca="false">IFERROR(U39/U$58,0)</f>
        <v>0.115776336609391</v>
      </c>
      <c r="Y39" s="88" t="n">
        <f aca="false">X39-W39</f>
        <v>0.00728493958079308</v>
      </c>
      <c r="Z39" s="35" t="n">
        <v>19998</v>
      </c>
      <c r="AA39" s="35" t="n">
        <v>7601</v>
      </c>
      <c r="AB39" s="35" t="n">
        <v>6978</v>
      </c>
      <c r="AC39" s="38" t="n">
        <f aca="false">AB39-AA39</f>
        <v>-623</v>
      </c>
      <c r="AD39" s="37" t="n">
        <f aca="false">IFERROR(AA39/AA$58,0)</f>
        <v>0.107509087565947</v>
      </c>
      <c r="AE39" s="37" t="n">
        <f aca="false">IFERROR(AB39/AB$58,0)</f>
        <v>0.109475996234703</v>
      </c>
      <c r="AF39" s="88" t="n">
        <f aca="false">AE39-AD39</f>
        <v>0.00196690866875675</v>
      </c>
      <c r="AG39" s="35" t="n">
        <f aca="false">G39+N39+U39+AB39</f>
        <v>35367</v>
      </c>
      <c r="AH39" s="37" t="n">
        <f aca="false">IFERROR(AG39/AG$58,0)</f>
        <v>0.112135220484724</v>
      </c>
      <c r="AI39" s="37" t="n">
        <f aca="false">①札幌予測確定!R30</f>
        <v>0.132718791648156</v>
      </c>
      <c r="AJ39" s="37" t="n">
        <f aca="false">③石川以降予測!H52</f>
        <v>0.12109739394143</v>
      </c>
      <c r="AK39" s="39" t="str">
        <f aca="false">IF(AJ39-AH39&gt;=0.005,"↑ 上方修正",IF(AJ39-AH39&lt;=-0.005,"↓ 下方修正","→ 据置"))</f>
        <v>↑ 上方修正</v>
      </c>
    </row>
    <row r="40" customFormat="false" ht="15" hidden="false" customHeight="false" outlineLevel="0" collapsed="false">
      <c r="A40" s="32" t="n">
        <v>25</v>
      </c>
      <c r="B40" s="32" t="s">
        <v>324</v>
      </c>
      <c r="C40" s="33" t="s">
        <v>325</v>
      </c>
      <c r="D40" s="34" t="n">
        <v>1500</v>
      </c>
      <c r="E40" s="35" t="n">
        <v>1000</v>
      </c>
      <c r="F40" s="32" t="s">
        <v>735</v>
      </c>
      <c r="G40" s="35" t="n">
        <v>849</v>
      </c>
      <c r="H40" s="32" t="s">
        <v>735</v>
      </c>
      <c r="I40" s="37" t="n">
        <f aca="false">IFERROR(E40/E$58,0)</f>
        <v>0.00473592483140108</v>
      </c>
      <c r="J40" s="37" t="n">
        <f aca="false">IFERROR(G40/G$58,0)</f>
        <v>0.00572932483044843</v>
      </c>
      <c r="K40" s="88" t="n">
        <f aca="false">J40-I40</f>
        <v>0.00099339999904735</v>
      </c>
      <c r="L40" s="35" t="n">
        <v>340</v>
      </c>
      <c r="M40" s="35" t="n">
        <v>239</v>
      </c>
      <c r="N40" s="35" t="n">
        <v>221</v>
      </c>
      <c r="O40" s="38" t="n">
        <f aca="false">N40-M40</f>
        <v>-18</v>
      </c>
      <c r="P40" s="37" t="n">
        <f aca="false">IFERROR(M40/M$58,0)</f>
        <v>0.00433049465482877</v>
      </c>
      <c r="Q40" s="37" t="n">
        <f aca="false">IFERROR(N40/N$58,0)</f>
        <v>0.00377133105802048</v>
      </c>
      <c r="R40" s="88" t="n">
        <f aca="false">Q40-P40</f>
        <v>-0.000559163596808296</v>
      </c>
      <c r="S40" s="35" t="n">
        <v>170</v>
      </c>
      <c r="T40" s="35" t="n">
        <v>177</v>
      </c>
      <c r="U40" s="35" t="n">
        <v>168</v>
      </c>
      <c r="V40" s="38" t="n">
        <f aca="false">U40-T40</f>
        <v>-9</v>
      </c>
      <c r="W40" s="37" t="n">
        <f aca="false">IFERROR(T40/T$58,0)</f>
        <v>0.00519701685360268</v>
      </c>
      <c r="X40" s="37" t="n">
        <f aca="false">IFERROR(U40/U$58,0)</f>
        <v>0.00374406632346059</v>
      </c>
      <c r="Y40" s="88" t="n">
        <f aca="false">X40-W40</f>
        <v>-0.00145295053014209</v>
      </c>
      <c r="Z40" s="35" t="n">
        <v>500</v>
      </c>
      <c r="AA40" s="35" t="n">
        <v>259</v>
      </c>
      <c r="AB40" s="35" t="n">
        <v>243</v>
      </c>
      <c r="AC40" s="38" t="n">
        <f aca="false">AB40-AA40</f>
        <v>-16</v>
      </c>
      <c r="AD40" s="37" t="n">
        <f aca="false">IFERROR(AA40/AA$58,0)</f>
        <v>0.00366331452171822</v>
      </c>
      <c r="AE40" s="37" t="n">
        <f aca="false">IFERROR(AB40/AB$58,0)</f>
        <v>0.00381236272356448</v>
      </c>
      <c r="AF40" s="88" t="n">
        <f aca="false">AE40-AD40</f>
        <v>0.000149048201846259</v>
      </c>
      <c r="AG40" s="35" t="n">
        <f aca="false">G40+N40+U40+AB40</f>
        <v>1481</v>
      </c>
      <c r="AH40" s="37" t="n">
        <f aca="false">IFERROR(AG40/AG$58,0)</f>
        <v>0.00469568415579145</v>
      </c>
      <c r="AI40" s="37" t="n">
        <f aca="false">①札幌予測確定!R31</f>
        <v>0.00477565526432697</v>
      </c>
      <c r="AJ40" s="37" t="n">
        <f aca="false">③石川以降予測!H53</f>
        <v>0.00429400899394572</v>
      </c>
      <c r="AK40" s="39" t="str">
        <f aca="false">IF(AJ40-AH40&gt;=0.005,"↑ 上方修正",IF(AJ40-AH40&lt;=-0.005,"↓ 下方修正","→ 据置"))</f>
        <v>→ 据置</v>
      </c>
    </row>
    <row r="41" customFormat="false" ht="15" hidden="false" customHeight="false" outlineLevel="0" collapsed="false">
      <c r="A41" s="32" t="n">
        <v>26</v>
      </c>
      <c r="B41" s="32" t="s">
        <v>326</v>
      </c>
      <c r="C41" s="33" t="s">
        <v>327</v>
      </c>
      <c r="D41" s="34" t="n">
        <v>2200</v>
      </c>
      <c r="E41" s="35" t="n">
        <v>1293</v>
      </c>
      <c r="F41" s="32" t="s">
        <v>735</v>
      </c>
      <c r="G41" s="35" t="n">
        <v>1283</v>
      </c>
      <c r="H41" s="32" t="s">
        <v>735</v>
      </c>
      <c r="I41" s="37" t="n">
        <f aca="false">IFERROR(E41/E$58,0)</f>
        <v>0.00612355080700159</v>
      </c>
      <c r="J41" s="37" t="n">
        <f aca="false">IFERROR(G41/G$58,0)</f>
        <v>0.00865809629854574</v>
      </c>
      <c r="K41" s="88" t="n">
        <f aca="false">J41-I41</f>
        <v>0.00253454549154415</v>
      </c>
      <c r="L41" s="35" t="n">
        <v>515</v>
      </c>
      <c r="M41" s="35" t="n">
        <v>533</v>
      </c>
      <c r="N41" s="35" t="n">
        <v>513</v>
      </c>
      <c r="O41" s="38" t="n">
        <f aca="false">N41-M41</f>
        <v>-20</v>
      </c>
      <c r="P41" s="37" t="n">
        <f aca="false">IFERROR(M41/M$58,0)</f>
        <v>0.00965754665700308</v>
      </c>
      <c r="Q41" s="37" t="n">
        <f aca="false">IFERROR(N41/N$58,0)</f>
        <v>0.0087542662116041</v>
      </c>
      <c r="R41" s="88" t="n">
        <f aca="false">Q41-P41</f>
        <v>-0.000903280445398984</v>
      </c>
      <c r="S41" s="35" t="n">
        <v>500</v>
      </c>
      <c r="T41" s="35" t="n">
        <v>281</v>
      </c>
      <c r="U41" s="35" t="n">
        <v>444</v>
      </c>
      <c r="V41" s="38" t="n">
        <f aca="false">U41-T41</f>
        <v>163</v>
      </c>
      <c r="W41" s="37" t="n">
        <f aca="false">IFERROR(T41/T$58,0)</f>
        <v>0.00825063127605849</v>
      </c>
      <c r="X41" s="37" t="n">
        <f aca="false">IFERROR(U41/U$58,0)</f>
        <v>0.0098950324262887</v>
      </c>
      <c r="Y41" s="88" t="n">
        <f aca="false">X41-W41</f>
        <v>0.00164440115023021</v>
      </c>
      <c r="Z41" s="35" t="n">
        <v>900</v>
      </c>
      <c r="AA41" s="35" t="n">
        <v>737</v>
      </c>
      <c r="AB41" s="35" t="n">
        <v>842</v>
      </c>
      <c r="AC41" s="38" t="n">
        <f aca="false">AB41-AA41</f>
        <v>105</v>
      </c>
      <c r="AD41" s="37" t="n">
        <f aca="false">IFERROR(AA41/AA$58,0)</f>
        <v>0.0104241807046576</v>
      </c>
      <c r="AE41" s="37" t="n">
        <f aca="false">IFERROR(AB41/AB$58,0)</f>
        <v>0.0132099152808284</v>
      </c>
      <c r="AF41" s="88" t="n">
        <f aca="false">AE41-AD41</f>
        <v>0.00278573457617072</v>
      </c>
      <c r="AG41" s="35" t="n">
        <f aca="false">G41+N41+U41+AB41</f>
        <v>3082</v>
      </c>
      <c r="AH41" s="37" t="n">
        <f aca="false">IFERROR(AG41/AG$58,0)</f>
        <v>0.00977184238227498</v>
      </c>
      <c r="AI41" s="37" t="n">
        <f aca="false">①札幌予測確定!R32</f>
        <v>0.0182141270546424</v>
      </c>
      <c r="AJ41" s="37" t="n">
        <f aca="false">③石川以降予測!H54</f>
        <v>0.0157120211677354</v>
      </c>
      <c r="AK41" s="39" t="str">
        <f aca="false">IF(AJ41-AH41&gt;=0.005,"↑ 上方修正",IF(AJ41-AH41&lt;=-0.005,"↓ 下方修正","→ 据置"))</f>
        <v>↑ 上方修正</v>
      </c>
    </row>
    <row r="42" customFormat="false" ht="15" hidden="false" customHeight="false" outlineLevel="0" collapsed="false">
      <c r="A42" s="32" t="n">
        <v>27</v>
      </c>
      <c r="B42" s="32" t="s">
        <v>328</v>
      </c>
      <c r="C42" s="33" t="s">
        <v>329</v>
      </c>
      <c r="D42" s="34" t="n">
        <v>1100</v>
      </c>
      <c r="E42" s="35" t="n">
        <v>795</v>
      </c>
      <c r="F42" s="32" t="s">
        <v>735</v>
      </c>
      <c r="G42" s="35" t="n">
        <v>466</v>
      </c>
      <c r="H42" s="32" t="s">
        <v>735</v>
      </c>
      <c r="I42" s="37" t="n">
        <f aca="false">IFERROR(E42/E$58,0)</f>
        <v>0.00376506024096386</v>
      </c>
      <c r="J42" s="37" t="n">
        <f aca="false">IFERROR(G42/G$58,0)</f>
        <v>0.00314471775145932</v>
      </c>
      <c r="K42" s="88" t="n">
        <f aca="false">J42-I42</f>
        <v>-0.000620342489504531</v>
      </c>
      <c r="L42" s="35" t="n">
        <v>185</v>
      </c>
      <c r="M42" s="35" t="n">
        <v>94</v>
      </c>
      <c r="N42" s="35" t="n">
        <v>103</v>
      </c>
      <c r="O42" s="38" t="n">
        <f aca="false">N42-M42</f>
        <v>9</v>
      </c>
      <c r="P42" s="37" t="n">
        <f aca="false">IFERROR(M42/M$58,0)</f>
        <v>0.001703207102736</v>
      </c>
      <c r="Q42" s="37" t="n">
        <f aca="false">IFERROR(N42/N$58,0)</f>
        <v>0.00175767918088737</v>
      </c>
      <c r="R42" s="88" t="n">
        <f aca="false">Q42-P42</f>
        <v>5.44720781513691E-005</v>
      </c>
      <c r="S42" s="35" t="n">
        <v>70</v>
      </c>
      <c r="T42" s="35" t="n">
        <v>100</v>
      </c>
      <c r="U42" s="35" t="n">
        <v>69</v>
      </c>
      <c r="V42" s="38" t="n">
        <f aca="false">U42-T42</f>
        <v>-31</v>
      </c>
      <c r="W42" s="37" t="n">
        <f aca="false">IFERROR(T42/T$58,0)</f>
        <v>0.00293616771389982</v>
      </c>
      <c r="X42" s="37" t="n">
        <f aca="false">IFERROR(U42/U$58,0)</f>
        <v>0.00153774152570703</v>
      </c>
      <c r="Y42" s="88" t="n">
        <f aca="false">X42-W42</f>
        <v>-0.00139842618819279</v>
      </c>
      <c r="Z42" s="35" t="n">
        <v>300</v>
      </c>
      <c r="AA42" s="35" t="n">
        <v>165</v>
      </c>
      <c r="AB42" s="35" t="n">
        <v>145</v>
      </c>
      <c r="AC42" s="38" t="n">
        <f aca="false">AB42-AA42</f>
        <v>-20</v>
      </c>
      <c r="AD42" s="37" t="n">
        <f aca="false">IFERROR(AA42/AA$58,0)</f>
        <v>0.00233377179955022</v>
      </c>
      <c r="AE42" s="37" t="n">
        <f aca="false">IFERROR(AB42/AB$58,0)</f>
        <v>0.00227486664574835</v>
      </c>
      <c r="AF42" s="88" t="n">
        <f aca="false">AE42-AD42</f>
        <v>-5.89051538018659E-005</v>
      </c>
      <c r="AG42" s="35" t="n">
        <f aca="false">G42+N42+U42+AB42</f>
        <v>783</v>
      </c>
      <c r="AH42" s="37" t="n">
        <f aca="false">IFERROR(AG42/AG$58,0)</f>
        <v>0.00248259331126584</v>
      </c>
      <c r="AI42" s="37" t="n">
        <f aca="false">①札幌予測確定!R33</f>
        <v>0.00422034651266104</v>
      </c>
      <c r="AJ42" s="37" t="n">
        <f aca="false">③石川以降予測!H55</f>
        <v>0.0032476065792047</v>
      </c>
      <c r="AK42" s="39" t="str">
        <f aca="false">IF(AJ42-AH42&gt;=0.005,"↑ 上方修正",IF(AJ42-AH42&lt;=-0.005,"↓ 下方修正","→ 据置"))</f>
        <v>→ 据置</v>
      </c>
    </row>
    <row r="43" customFormat="false" ht="15" hidden="false" customHeight="false" outlineLevel="0" collapsed="false">
      <c r="A43" s="32" t="n">
        <v>28</v>
      </c>
      <c r="B43" s="32" t="s">
        <v>330</v>
      </c>
      <c r="C43" s="33" t="s">
        <v>331</v>
      </c>
      <c r="D43" s="34" t="n">
        <v>1800</v>
      </c>
      <c r="E43" s="35" t="n">
        <v>1047</v>
      </c>
      <c r="F43" s="32" t="s">
        <v>735</v>
      </c>
      <c r="G43" s="35" t="n">
        <v>1034</v>
      </c>
      <c r="H43" s="32" t="s">
        <v>735</v>
      </c>
      <c r="I43" s="37" t="n">
        <f aca="false">IFERROR(E43/E$58,0)</f>
        <v>0.00495851329847693</v>
      </c>
      <c r="J43" s="37" t="n">
        <f aca="false">IFERROR(G43/G$58,0)</f>
        <v>0.00697776428113507</v>
      </c>
      <c r="K43" s="88" t="n">
        <f aca="false">J43-I43</f>
        <v>0.00201925098265814</v>
      </c>
      <c r="L43" s="35" t="n">
        <v>437</v>
      </c>
      <c r="M43" s="35" t="n">
        <v>538</v>
      </c>
      <c r="N43" s="35" t="n">
        <v>436</v>
      </c>
      <c r="O43" s="38" t="n">
        <f aca="false">N43-M43</f>
        <v>-102</v>
      </c>
      <c r="P43" s="37" t="n">
        <f aca="false">IFERROR(M43/M$58,0)</f>
        <v>0.00974814277948904</v>
      </c>
      <c r="Q43" s="37" t="n">
        <f aca="false">IFERROR(N43/N$58,0)</f>
        <v>0.00744027303754266</v>
      </c>
      <c r="R43" s="88" t="n">
        <f aca="false">Q43-P43</f>
        <v>-0.00230786974194637</v>
      </c>
      <c r="S43" s="35" t="n">
        <v>333</v>
      </c>
      <c r="T43" s="35" t="n">
        <v>338</v>
      </c>
      <c r="U43" s="35" t="n">
        <v>333</v>
      </c>
      <c r="V43" s="38" t="n">
        <f aca="false">U43-T43</f>
        <v>-5</v>
      </c>
      <c r="W43" s="37" t="n">
        <f aca="false">IFERROR(T43/T$58,0)</f>
        <v>0.00992424687298139</v>
      </c>
      <c r="X43" s="37" t="n">
        <f aca="false">IFERROR(U43/U$58,0)</f>
        <v>0.00742127431971652</v>
      </c>
      <c r="Y43" s="88" t="n">
        <f aca="false">X43-W43</f>
        <v>-0.00250297255326486</v>
      </c>
      <c r="Z43" s="35" t="n">
        <v>400</v>
      </c>
      <c r="AA43" s="35" t="n">
        <v>473</v>
      </c>
      <c r="AB43" s="35" t="n">
        <v>400</v>
      </c>
      <c r="AC43" s="38" t="n">
        <f aca="false">AB43-AA43</f>
        <v>-73</v>
      </c>
      <c r="AD43" s="37" t="n">
        <f aca="false">IFERROR(AA43/AA$58,0)</f>
        <v>0.00669014582537729</v>
      </c>
      <c r="AE43" s="37" t="n">
        <f aca="false">IFERROR(AB43/AB$58,0)</f>
        <v>0.00627549419516787</v>
      </c>
      <c r="AF43" s="88" t="n">
        <f aca="false">AE43-AD43</f>
        <v>-0.000414651630209424</v>
      </c>
      <c r="AG43" s="35" t="n">
        <f aca="false">G43+N43+U43+AB43</f>
        <v>2203</v>
      </c>
      <c r="AH43" s="37" t="n">
        <f aca="false">IFERROR(AG43/AG$58,0)</f>
        <v>0.00698486981445548</v>
      </c>
      <c r="AI43" s="37" t="n">
        <f aca="false">①札幌予測確定!R34</f>
        <v>0.0241003998223012</v>
      </c>
      <c r="AJ43" s="37" t="n">
        <f aca="false">③石川以降予測!H56</f>
        <v>0.0151879470087345</v>
      </c>
      <c r="AK43" s="39" t="str">
        <f aca="false">IF(AJ43-AH43&gt;=0.005,"↑ 上方修正",IF(AJ43-AH43&lt;=-0.005,"↓ 下方修正","→ 据置"))</f>
        <v>↑ 上方修正</v>
      </c>
    </row>
    <row r="44" customFormat="false" ht="15" hidden="false" customHeight="false" outlineLevel="0" collapsed="false">
      <c r="A44" s="32" t="n">
        <v>29</v>
      </c>
      <c r="B44" s="32" t="s">
        <v>332</v>
      </c>
      <c r="C44" s="33" t="s">
        <v>333</v>
      </c>
      <c r="D44" s="34" t="n">
        <v>1500</v>
      </c>
      <c r="E44" s="35" t="n">
        <v>795</v>
      </c>
      <c r="F44" s="32" t="s">
        <v>735</v>
      </c>
      <c r="G44" s="35" t="n">
        <v>794</v>
      </c>
      <c r="H44" s="32" t="s">
        <v>735</v>
      </c>
      <c r="I44" s="37" t="n">
        <f aca="false">IFERROR(E44/E$58,0)</f>
        <v>0.00376506024096386</v>
      </c>
      <c r="J44" s="37" t="n">
        <f aca="false">IFERROR(G44/G$58,0)</f>
        <v>0.00535816715591997</v>
      </c>
      <c r="K44" s="88" t="n">
        <f aca="false">J44-I44</f>
        <v>0.00159310691495611</v>
      </c>
      <c r="L44" s="35" t="n">
        <v>319</v>
      </c>
      <c r="M44" s="35" t="n">
        <v>345</v>
      </c>
      <c r="N44" s="35" t="n">
        <v>318</v>
      </c>
      <c r="O44" s="38" t="n">
        <f aca="false">N44-M44</f>
        <v>-27</v>
      </c>
      <c r="P44" s="37" t="n">
        <f aca="false">IFERROR(M44/M$58,0)</f>
        <v>0.00625113245153107</v>
      </c>
      <c r="Q44" s="37" t="n">
        <f aca="false">IFERROR(N44/N$58,0)</f>
        <v>0.00542662116040956</v>
      </c>
      <c r="R44" s="88" t="n">
        <f aca="false">Q44-P44</f>
        <v>-0.000824511291121518</v>
      </c>
      <c r="S44" s="35" t="n">
        <v>250</v>
      </c>
      <c r="T44" s="35" t="n">
        <v>177</v>
      </c>
      <c r="U44" s="35" t="n">
        <v>249</v>
      </c>
      <c r="V44" s="38" t="n">
        <f aca="false">U44-T44</f>
        <v>72</v>
      </c>
      <c r="W44" s="37" t="n">
        <f aca="false">IFERROR(T44/T$58,0)</f>
        <v>0.00519701685360268</v>
      </c>
      <c r="X44" s="37" t="n">
        <f aca="false">IFERROR(U44/U$58,0)</f>
        <v>0.00554924115798623</v>
      </c>
      <c r="Y44" s="88" t="n">
        <f aca="false">X44-W44</f>
        <v>0.00035222430438355</v>
      </c>
      <c r="Z44" s="35" t="n">
        <v>200</v>
      </c>
      <c r="AA44" s="35" t="n">
        <v>357</v>
      </c>
      <c r="AB44" s="35" t="n">
        <v>200</v>
      </c>
      <c r="AC44" s="38" t="n">
        <f aca="false">AB44-AA44</f>
        <v>-157</v>
      </c>
      <c r="AD44" s="37" t="n">
        <f aca="false">IFERROR(AA44/AA$58,0)</f>
        <v>0.00504943352993593</v>
      </c>
      <c r="AE44" s="37" t="n">
        <f aca="false">IFERROR(AB44/AB$58,0)</f>
        <v>0.00313774709758393</v>
      </c>
      <c r="AF44" s="88" t="n">
        <f aca="false">AE44-AD44</f>
        <v>-0.00191168643235199</v>
      </c>
      <c r="AG44" s="35" t="n">
        <f aca="false">G44+N44+U44+AB44</f>
        <v>1561</v>
      </c>
      <c r="AH44" s="37" t="n">
        <f aca="false">IFERROR(AG44/AG$58,0)</f>
        <v>0.00494933353625284</v>
      </c>
      <c r="AI44" s="37" t="n">
        <f aca="false">①札幌予測確定!R35</f>
        <v>0.0103287427809862</v>
      </c>
      <c r="AJ44" s="37" t="n">
        <f aca="false">③石川以降予測!H57</f>
        <v>0.00673324493928508</v>
      </c>
      <c r="AK44" s="39" t="str">
        <f aca="false">IF(AJ44-AH44&gt;=0.005,"↑ 上方修正",IF(AJ44-AH44&lt;=-0.005,"↓ 下方修正","→ 据置"))</f>
        <v>→ 据置</v>
      </c>
    </row>
    <row r="45" customFormat="false" ht="15" hidden="false" customHeight="false" outlineLevel="0" collapsed="false">
      <c r="A45" s="32" t="n">
        <v>30</v>
      </c>
      <c r="B45" s="32" t="s">
        <v>334</v>
      </c>
      <c r="C45" s="33" t="s">
        <v>335</v>
      </c>
      <c r="D45" s="34" t="n">
        <v>3300</v>
      </c>
      <c r="E45" s="35" t="n">
        <v>794</v>
      </c>
      <c r="F45" s="32" t="s">
        <v>735</v>
      </c>
      <c r="G45" s="35" t="n">
        <v>615</v>
      </c>
      <c r="H45" s="32" t="s">
        <v>735</v>
      </c>
      <c r="I45" s="37" t="n">
        <f aca="false">IFERROR(E45/E$58,0)</f>
        <v>0.00376032431613245</v>
      </c>
      <c r="J45" s="37" t="n">
        <f aca="false">IFERROR(G45/G$58,0)</f>
        <v>0.0041502176333637</v>
      </c>
      <c r="K45" s="88" t="n">
        <f aca="false">J45-I45</f>
        <v>0.000389893317231247</v>
      </c>
      <c r="L45" s="35" t="n">
        <v>250</v>
      </c>
      <c r="M45" s="35" t="n">
        <v>182</v>
      </c>
      <c r="N45" s="35" t="n">
        <v>169</v>
      </c>
      <c r="O45" s="38" t="n">
        <f aca="false">N45-M45</f>
        <v>-13</v>
      </c>
      <c r="P45" s="37" t="n">
        <f aca="false">IFERROR(M45/M$58,0)</f>
        <v>0.00329769885848886</v>
      </c>
      <c r="Q45" s="37" t="n">
        <f aca="false">IFERROR(N45/N$58,0)</f>
        <v>0.0028839590443686</v>
      </c>
      <c r="R45" s="88" t="n">
        <f aca="false">Q45-P45</f>
        <v>-0.000413739814120256</v>
      </c>
      <c r="S45" s="35" t="n">
        <v>90</v>
      </c>
      <c r="T45" s="35" t="n">
        <v>65</v>
      </c>
      <c r="U45" s="35" t="n">
        <v>89</v>
      </c>
      <c r="V45" s="38" t="n">
        <f aca="false">U45-T45</f>
        <v>24</v>
      </c>
      <c r="W45" s="37" t="n">
        <f aca="false">IFERROR(T45/T$58,0)</f>
        <v>0.00190850901403488</v>
      </c>
      <c r="X45" s="37" t="n">
        <f aca="false">IFERROR(U45/U$58,0)</f>
        <v>0.00198346370707138</v>
      </c>
      <c r="Y45" s="88" t="n">
        <f aca="false">X45-W45</f>
        <v>7.49546930365007E-005</v>
      </c>
      <c r="Z45" s="35" t="n">
        <v>499</v>
      </c>
      <c r="AA45" s="35" t="n">
        <v>210</v>
      </c>
      <c r="AB45" s="35" t="n">
        <v>205</v>
      </c>
      <c r="AC45" s="38" t="n">
        <f aca="false">AB45-AA45</f>
        <v>-5</v>
      </c>
      <c r="AD45" s="37" t="n">
        <f aca="false">IFERROR(AA45/AA$58,0)</f>
        <v>0.00297025501760937</v>
      </c>
      <c r="AE45" s="37" t="n">
        <f aca="false">IFERROR(AB45/AB$58,0)</f>
        <v>0.00321619077502353</v>
      </c>
      <c r="AF45" s="88" t="n">
        <f aca="false">AE45-AD45</f>
        <v>0.000245935757414164</v>
      </c>
      <c r="AG45" s="35" t="n">
        <f aca="false">G45+N45+U45+AB45</f>
        <v>1078</v>
      </c>
      <c r="AH45" s="37" t="n">
        <f aca="false">IFERROR(AG45/AG$58,0)</f>
        <v>0.00341792540171721</v>
      </c>
      <c r="AI45" s="37" t="n">
        <f aca="false">①札幌予測確定!R36</f>
        <v>0.00699689027099067</v>
      </c>
      <c r="AJ45" s="37" t="n">
        <f aca="false">③石川以降予測!H58</f>
        <v>0.0051065405230071</v>
      </c>
      <c r="AK45" s="39" t="str">
        <f aca="false">IF(AJ45-AH45&gt;=0.005,"↑ 上方修正",IF(AJ45-AH45&lt;=-0.005,"↓ 下方修正","→ 据置"))</f>
        <v>→ 据置</v>
      </c>
    </row>
    <row r="46" customFormat="false" ht="15" hidden="false" customHeight="false" outlineLevel="0" collapsed="false">
      <c r="A46" s="32" t="n">
        <v>31</v>
      </c>
      <c r="B46" s="32" t="s">
        <v>336</v>
      </c>
      <c r="C46" s="33" t="s">
        <v>337</v>
      </c>
      <c r="D46" s="34" t="n">
        <v>1300</v>
      </c>
      <c r="E46" s="35" t="n">
        <v>2495</v>
      </c>
      <c r="F46" s="32" t="s">
        <v>735</v>
      </c>
      <c r="G46" s="35" t="n">
        <v>1215</v>
      </c>
      <c r="H46" s="32" t="s">
        <v>735</v>
      </c>
      <c r="I46" s="37" t="n">
        <f aca="false">IFERROR(E46/E$58,0)</f>
        <v>0.0118161324543457</v>
      </c>
      <c r="J46" s="37" t="n">
        <f aca="false">IFERROR(G46/G$58,0)</f>
        <v>0.00819921044640146</v>
      </c>
      <c r="K46" s="88" t="n">
        <f aca="false">J46-I46</f>
        <v>-0.00361692200794423</v>
      </c>
      <c r="L46" s="35" t="n">
        <v>485</v>
      </c>
      <c r="M46" s="35" t="n">
        <v>225</v>
      </c>
      <c r="N46" s="35" t="n">
        <v>235</v>
      </c>
      <c r="O46" s="38" t="n">
        <f aca="false">N46-M46</f>
        <v>10</v>
      </c>
      <c r="P46" s="37" t="n">
        <f aca="false">IFERROR(M46/M$58,0)</f>
        <v>0.00407682551186809</v>
      </c>
      <c r="Q46" s="37" t="n">
        <f aca="false">IFERROR(N46/N$58,0)</f>
        <v>0.00401023890784983</v>
      </c>
      <c r="R46" s="88" t="n">
        <f aca="false">Q46-P46</f>
        <v>-6.65866040182629E-005</v>
      </c>
      <c r="S46" s="35" t="n">
        <v>180</v>
      </c>
      <c r="T46" s="35" t="n">
        <v>189</v>
      </c>
      <c r="U46" s="35" t="n">
        <v>178</v>
      </c>
      <c r="V46" s="38" t="n">
        <f aca="false">U46-T46</f>
        <v>-11</v>
      </c>
      <c r="W46" s="37" t="n">
        <f aca="false">IFERROR(T46/T$58,0)</f>
        <v>0.00554935697927066</v>
      </c>
      <c r="X46" s="37" t="n">
        <f aca="false">IFERROR(U46/U$58,0)</f>
        <v>0.00396692741414277</v>
      </c>
      <c r="Y46" s="88" t="n">
        <f aca="false">X46-W46</f>
        <v>-0.00158242956512789</v>
      </c>
      <c r="Z46" s="35" t="n">
        <v>600</v>
      </c>
      <c r="AA46" s="35" t="n">
        <v>431</v>
      </c>
      <c r="AB46" s="35" t="n">
        <v>427</v>
      </c>
      <c r="AC46" s="38" t="n">
        <f aca="false">AB46-AA46</f>
        <v>-4</v>
      </c>
      <c r="AD46" s="37" t="n">
        <f aca="false">IFERROR(AA46/AA$58,0)</f>
        <v>0.00609609482185542</v>
      </c>
      <c r="AE46" s="37" t="n">
        <f aca="false">IFERROR(AB46/AB$58,0)</f>
        <v>0.0066990900533417</v>
      </c>
      <c r="AF46" s="88" t="n">
        <f aca="false">AE46-AD46</f>
        <v>0.000602995231486281</v>
      </c>
      <c r="AG46" s="35" t="n">
        <f aca="false">G46+N46+U46+AB46</f>
        <v>2055</v>
      </c>
      <c r="AH46" s="37" t="n">
        <f aca="false">IFERROR(AG46/AG$58,0)</f>
        <v>0.00651561846060191</v>
      </c>
      <c r="AI46" s="37" t="n">
        <f aca="false">①札幌予測確定!R37</f>
        <v>0.00988449577965349</v>
      </c>
      <c r="AJ46" s="37" t="n">
        <f aca="false">③石川以降予測!H59</f>
        <v>0.00829179291649759</v>
      </c>
      <c r="AK46" s="39" t="str">
        <f aca="false">IF(AJ46-AH46&gt;=0.005,"↑ 上方修正",IF(AJ46-AH46&lt;=-0.005,"↓ 下方修正","→ 据置"))</f>
        <v>→ 据置</v>
      </c>
    </row>
    <row r="47" customFormat="false" ht="15" hidden="false" customHeight="false" outlineLevel="0" collapsed="false">
      <c r="A47" s="32" t="n">
        <v>32</v>
      </c>
      <c r="B47" s="32" t="s">
        <v>338</v>
      </c>
      <c r="C47" s="33" t="s">
        <v>339</v>
      </c>
      <c r="D47" s="34" t="n">
        <v>8800</v>
      </c>
      <c r="E47" s="35" t="n">
        <v>47</v>
      </c>
      <c r="F47" s="32" t="s">
        <v>735</v>
      </c>
      <c r="G47" s="35" t="n">
        <v>47</v>
      </c>
      <c r="H47" s="32" t="s">
        <v>735</v>
      </c>
      <c r="I47" s="37" t="n">
        <f aca="false">IFERROR(E47/E$58,0)</f>
        <v>0.000222588467075851</v>
      </c>
      <c r="J47" s="37" t="n">
        <f aca="false">IFERROR(G47/G$58,0)</f>
        <v>0.000317171103687958</v>
      </c>
      <c r="K47" s="88" t="n">
        <f aca="false">J47-I47</f>
        <v>9.45826366121071E-005</v>
      </c>
      <c r="L47" s="35" t="n">
        <v>36</v>
      </c>
      <c r="M47" s="35" t="n">
        <v>36</v>
      </c>
      <c r="N47" s="35" t="n">
        <v>36</v>
      </c>
      <c r="O47" s="38" t="n">
        <f aca="false">N47-M47</f>
        <v>0</v>
      </c>
      <c r="P47" s="37" t="n">
        <f aca="false">IFERROR(M47/M$58,0)</f>
        <v>0.000652292081898895</v>
      </c>
      <c r="Q47" s="37" t="n">
        <f aca="false">IFERROR(N47/N$58,0)</f>
        <v>0.000614334470989761</v>
      </c>
      <c r="R47" s="88" t="n">
        <f aca="false">Q47-P47</f>
        <v>-3.79576109091336E-005</v>
      </c>
      <c r="S47" s="35" t="n">
        <v>29</v>
      </c>
      <c r="T47" s="35" t="n">
        <v>40</v>
      </c>
      <c r="U47" s="35" t="n">
        <v>30</v>
      </c>
      <c r="V47" s="38" t="n">
        <f aca="false">U47-T47</f>
        <v>-10</v>
      </c>
      <c r="W47" s="37" t="n">
        <f aca="false">IFERROR(T47/T$58,0)</f>
        <v>0.00117446708555993</v>
      </c>
      <c r="X47" s="37" t="n">
        <f aca="false">IFERROR(U47/U$58,0)</f>
        <v>0.000668583272046533</v>
      </c>
      <c r="Y47" s="88" t="n">
        <f aca="false">X47-W47</f>
        <v>-0.000505883813513394</v>
      </c>
      <c r="Z47" s="35" t="n">
        <v>40</v>
      </c>
      <c r="AA47" s="35" t="n">
        <v>41</v>
      </c>
      <c r="AB47" s="35" t="n">
        <v>40</v>
      </c>
      <c r="AC47" s="38" t="n">
        <f aca="false">AB47-AA47</f>
        <v>-1</v>
      </c>
      <c r="AD47" s="37" t="n">
        <f aca="false">IFERROR(AA47/AA$58,0)</f>
        <v>0.000579906932009448</v>
      </c>
      <c r="AE47" s="37" t="n">
        <f aca="false">IFERROR(AB47/AB$58,0)</f>
        <v>0.000627549419516787</v>
      </c>
      <c r="AF47" s="88" t="n">
        <f aca="false">AE47-AD47</f>
        <v>4.76424875073386E-005</v>
      </c>
      <c r="AG47" s="35" t="n">
        <f aca="false">G47+N47+U47+AB47</f>
        <v>153</v>
      </c>
      <c r="AH47" s="37" t="n">
        <f aca="false">IFERROR(AG47/AG$58,0)</f>
        <v>0.000485104440132405</v>
      </c>
      <c r="AI47" s="37" t="n">
        <f aca="false">①札幌予測確定!R38</f>
        <v>0.00111061750333185</v>
      </c>
      <c r="AJ47" s="37" t="n">
        <f aca="false">③石川以降予測!H60</f>
        <v>0.00086908346142432</v>
      </c>
      <c r="AK47" s="39" t="str">
        <f aca="false">IF(AJ47-AH47&gt;=0.005,"↑ 上方修正",IF(AJ47-AH47&lt;=-0.005,"↓ 下方修正","→ 据置"))</f>
        <v>→ 据置</v>
      </c>
    </row>
    <row r="48" customFormat="false" ht="15" hidden="false" customHeight="false" outlineLevel="0" collapsed="false">
      <c r="A48" s="32" t="n">
        <v>33</v>
      </c>
      <c r="B48" s="32" t="s">
        <v>340</v>
      </c>
      <c r="C48" s="33" t="s">
        <v>341</v>
      </c>
      <c r="D48" s="34" t="n">
        <v>27500</v>
      </c>
      <c r="E48" s="35" t="n">
        <v>10</v>
      </c>
      <c r="F48" s="32" t="s">
        <v>735</v>
      </c>
      <c r="G48" s="35" t="n">
        <v>10</v>
      </c>
      <c r="H48" s="32" t="s">
        <v>735</v>
      </c>
      <c r="I48" s="37" t="n">
        <f aca="false">IFERROR(E48/E$58,0)</f>
        <v>4.73592483140108E-005</v>
      </c>
      <c r="J48" s="37" t="n">
        <f aca="false">IFERROR(G48/G$58,0)</f>
        <v>6.74832135506293E-005</v>
      </c>
      <c r="K48" s="88" t="n">
        <f aca="false">J48-I48</f>
        <v>2.01239652366185E-005</v>
      </c>
      <c r="L48" s="35" t="n">
        <v>40</v>
      </c>
      <c r="M48" s="35" t="n">
        <v>28</v>
      </c>
      <c r="N48" s="35" t="n">
        <v>37</v>
      </c>
      <c r="O48" s="38" t="n">
        <f aca="false">N48-M48</f>
        <v>9</v>
      </c>
      <c r="P48" s="37" t="n">
        <f aca="false">IFERROR(M48/M$58,0)</f>
        <v>0.000507338285921363</v>
      </c>
      <c r="Q48" s="37" t="n">
        <f aca="false">IFERROR(N48/N$58,0)</f>
        <v>0.000631399317406143</v>
      </c>
      <c r="R48" s="88" t="n">
        <f aca="false">Q48-P48</f>
        <v>0.000124061031484781</v>
      </c>
      <c r="S48" s="35" t="n">
        <v>20</v>
      </c>
      <c r="T48" s="35" t="n">
        <v>10</v>
      </c>
      <c r="U48" s="35" t="n">
        <v>14</v>
      </c>
      <c r="V48" s="38" t="n">
        <f aca="false">U48-T48</f>
        <v>4</v>
      </c>
      <c r="W48" s="37" t="n">
        <f aca="false">IFERROR(T48/T$58,0)</f>
        <v>0.000293616771389982</v>
      </c>
      <c r="X48" s="37" t="n">
        <f aca="false">IFERROR(U48/U$58,0)</f>
        <v>0.000312005526955049</v>
      </c>
      <c r="Y48" s="88" t="n">
        <f aca="false">X48-W48</f>
        <v>1.83887555650671E-005</v>
      </c>
      <c r="Z48" s="35" t="n">
        <v>50</v>
      </c>
      <c r="AA48" s="35" t="n">
        <v>24</v>
      </c>
      <c r="AB48" s="35" t="n">
        <v>21</v>
      </c>
      <c r="AC48" s="38" t="n">
        <f aca="false">AB48-AA48</f>
        <v>-3</v>
      </c>
      <c r="AD48" s="37" t="n">
        <f aca="false">IFERROR(AA48/AA$58,0)</f>
        <v>0.000339457716298214</v>
      </c>
      <c r="AE48" s="37" t="n">
        <f aca="false">IFERROR(AB48/AB$58,0)</f>
        <v>0.000329463445246313</v>
      </c>
      <c r="AF48" s="88" t="n">
        <f aca="false">AE48-AD48</f>
        <v>-9.99427105190047E-006</v>
      </c>
      <c r="AG48" s="35" t="n">
        <f aca="false">G48+N48+U48+AB48</f>
        <v>82</v>
      </c>
      <c r="AH48" s="37" t="n">
        <f aca="false">IFERROR(AG48/AG$58,0)</f>
        <v>0.000259990614972923</v>
      </c>
      <c r="AI48" s="37" t="n">
        <f aca="false">①札幌予測確定!R39</f>
        <v>0</v>
      </c>
      <c r="AJ48" s="37" t="n">
        <f aca="false">③石川以降予測!H61</f>
        <v>0.000164731722623157</v>
      </c>
      <c r="AK48" s="39" t="str">
        <f aca="false">IF(AJ48-AH48&gt;=0.005,"↑ 上方修正",IF(AJ48-AH48&lt;=-0.005,"↓ 下方修正","→ 据置"))</f>
        <v>→ 据置</v>
      </c>
    </row>
    <row r="49" customFormat="false" ht="15" hidden="false" customHeight="false" outlineLevel="0" collapsed="false">
      <c r="A49" s="32" t="n">
        <v>34</v>
      </c>
      <c r="B49" s="32" t="s">
        <v>342</v>
      </c>
      <c r="C49" s="33" t="s">
        <v>343</v>
      </c>
      <c r="D49" s="34" t="n">
        <v>27500</v>
      </c>
      <c r="E49" s="35" t="n">
        <v>10</v>
      </c>
      <c r="F49" s="32" t="s">
        <v>735</v>
      </c>
      <c r="G49" s="35" t="n">
        <v>10</v>
      </c>
      <c r="H49" s="32" t="s">
        <v>735</v>
      </c>
      <c r="I49" s="37" t="n">
        <f aca="false">IFERROR(E49/E$58,0)</f>
        <v>4.73592483140108E-005</v>
      </c>
      <c r="J49" s="37" t="n">
        <f aca="false">IFERROR(G49/G$58,0)</f>
        <v>6.74832135506293E-005</v>
      </c>
      <c r="K49" s="88" t="n">
        <f aca="false">J49-I49</f>
        <v>2.01239652366185E-005</v>
      </c>
      <c r="L49" s="35" t="n">
        <v>3</v>
      </c>
      <c r="M49" s="35" t="n">
        <v>3</v>
      </c>
      <c r="N49" s="35" t="n">
        <v>3</v>
      </c>
      <c r="O49" s="38" t="n">
        <f aca="false">N49-M49</f>
        <v>0</v>
      </c>
      <c r="P49" s="37" t="n">
        <f aca="false">IFERROR(M49/M$58,0)</f>
        <v>5.43576734915746E-005</v>
      </c>
      <c r="Q49" s="37" t="n">
        <f aca="false">IFERROR(N49/N$58,0)</f>
        <v>5.11945392491468E-005</v>
      </c>
      <c r="R49" s="88" t="n">
        <f aca="false">Q49-P49</f>
        <v>-3.16313424242781E-006</v>
      </c>
      <c r="S49" s="35" t="n">
        <v>3</v>
      </c>
      <c r="T49" s="35" t="n">
        <v>4</v>
      </c>
      <c r="U49" s="35" t="n">
        <v>3</v>
      </c>
      <c r="V49" s="38" t="n">
        <f aca="false">U49-T49</f>
        <v>-1</v>
      </c>
      <c r="W49" s="37" t="n">
        <f aca="false">IFERROR(T49/T$58,0)</f>
        <v>0.000117446708555993</v>
      </c>
      <c r="X49" s="37" t="n">
        <f aca="false">IFERROR(U49/U$58,0)</f>
        <v>6.68583272046533E-005</v>
      </c>
      <c r="Y49" s="88" t="n">
        <f aca="false">X49-W49</f>
        <v>-5.05883813513394E-005</v>
      </c>
      <c r="Z49" s="35" t="n">
        <v>3</v>
      </c>
      <c r="AA49" s="35" t="n">
        <v>3</v>
      </c>
      <c r="AB49" s="35" t="n">
        <v>3</v>
      </c>
      <c r="AC49" s="38" t="n">
        <f aca="false">AB49-AA49</f>
        <v>0</v>
      </c>
      <c r="AD49" s="37" t="n">
        <f aca="false">IFERROR(AA49/AA$58,0)</f>
        <v>4.24322145372767E-005</v>
      </c>
      <c r="AE49" s="37" t="n">
        <f aca="false">IFERROR(AB49/AB$58,0)</f>
        <v>4.7066206463759E-005</v>
      </c>
      <c r="AF49" s="88" t="n">
        <f aca="false">AE49-AD49</f>
        <v>4.63399192648232E-006</v>
      </c>
      <c r="AG49" s="35" t="n">
        <f aca="false">G49+N49+U49+AB49</f>
        <v>19</v>
      </c>
      <c r="AH49" s="37" t="n">
        <f aca="false">IFERROR(AG49/AG$58,0)</f>
        <v>6.02417278595797E-005</v>
      </c>
      <c r="AI49" s="37" t="n">
        <f aca="false">①札幌予測確定!R40</f>
        <v>0.000111061750333185</v>
      </c>
      <c r="AJ49" s="37" t="n">
        <f aca="false">③石川以降予測!H62</f>
        <v>7.90639783984721E-005</v>
      </c>
      <c r="AK49" s="39" t="str">
        <f aca="false">IF(AJ49-AH49&gt;=0.005,"↑ 上方修正",IF(AJ49-AH49&lt;=-0.005,"↓ 下方修正","→ 据置"))</f>
        <v>→ 据置</v>
      </c>
    </row>
    <row r="50" customFormat="false" ht="15" hidden="false" customHeight="false" outlineLevel="0" collapsed="false">
      <c r="A50" s="32" t="n">
        <v>35</v>
      </c>
      <c r="B50" s="32" t="s">
        <v>344</v>
      </c>
      <c r="C50" s="33" t="s">
        <v>345</v>
      </c>
      <c r="D50" s="34" t="n">
        <v>27500</v>
      </c>
      <c r="E50" s="35" t="n">
        <v>10</v>
      </c>
      <c r="F50" s="32" t="s">
        <v>735</v>
      </c>
      <c r="G50" s="35" t="n">
        <v>10</v>
      </c>
      <c r="H50" s="32" t="s">
        <v>735</v>
      </c>
      <c r="I50" s="37" t="n">
        <f aca="false">IFERROR(E50/E$58,0)</f>
        <v>4.73592483140108E-005</v>
      </c>
      <c r="J50" s="37" t="n">
        <f aca="false">IFERROR(G50/G$58,0)</f>
        <v>6.74832135506293E-005</v>
      </c>
      <c r="K50" s="88" t="n">
        <f aca="false">J50-I50</f>
        <v>2.01239652366185E-005</v>
      </c>
      <c r="L50" s="35" t="n">
        <v>3</v>
      </c>
      <c r="M50" s="35" t="n">
        <v>3</v>
      </c>
      <c r="N50" s="35" t="n">
        <v>3</v>
      </c>
      <c r="O50" s="38" t="n">
        <f aca="false">N50-M50</f>
        <v>0</v>
      </c>
      <c r="P50" s="37" t="n">
        <f aca="false">IFERROR(M50/M$58,0)</f>
        <v>5.43576734915746E-005</v>
      </c>
      <c r="Q50" s="37" t="n">
        <f aca="false">IFERROR(N50/N$58,0)</f>
        <v>5.11945392491468E-005</v>
      </c>
      <c r="R50" s="88" t="n">
        <f aca="false">Q50-P50</f>
        <v>-3.16313424242781E-006</v>
      </c>
      <c r="S50" s="35" t="n">
        <v>3</v>
      </c>
      <c r="T50" s="35" t="n">
        <v>4</v>
      </c>
      <c r="U50" s="35" t="n">
        <v>3</v>
      </c>
      <c r="V50" s="38" t="n">
        <f aca="false">U50-T50</f>
        <v>-1</v>
      </c>
      <c r="W50" s="37" t="n">
        <f aca="false">IFERROR(T50/T$58,0)</f>
        <v>0.000117446708555993</v>
      </c>
      <c r="X50" s="37" t="n">
        <f aca="false">IFERROR(U50/U$58,0)</f>
        <v>6.68583272046533E-005</v>
      </c>
      <c r="Y50" s="88" t="n">
        <f aca="false">X50-W50</f>
        <v>-5.05883813513394E-005</v>
      </c>
      <c r="Z50" s="35" t="n">
        <v>3</v>
      </c>
      <c r="AA50" s="35" t="n">
        <v>3</v>
      </c>
      <c r="AB50" s="35" t="n">
        <v>3</v>
      </c>
      <c r="AC50" s="38" t="n">
        <f aca="false">AB50-AA50</f>
        <v>0</v>
      </c>
      <c r="AD50" s="37" t="n">
        <f aca="false">IFERROR(AA50/AA$58,0)</f>
        <v>4.24322145372767E-005</v>
      </c>
      <c r="AE50" s="37" t="n">
        <f aca="false">IFERROR(AB50/AB$58,0)</f>
        <v>4.7066206463759E-005</v>
      </c>
      <c r="AF50" s="88" t="n">
        <f aca="false">AE50-AD50</f>
        <v>4.63399192648232E-006</v>
      </c>
      <c r="AG50" s="35" t="n">
        <f aca="false">G50+N50+U50+AB50</f>
        <v>19</v>
      </c>
      <c r="AH50" s="37" t="n">
        <f aca="false">IFERROR(AG50/AG$58,0)</f>
        <v>6.02417278595797E-005</v>
      </c>
      <c r="AI50" s="37" t="n">
        <f aca="false">①札幌予測確定!R41</f>
        <v>0</v>
      </c>
      <c r="AJ50" s="37" t="n">
        <f aca="false">③石川以降予測!H63</f>
        <v>2.35331032318795E-005</v>
      </c>
      <c r="AK50" s="39" t="str">
        <f aca="false">IF(AJ50-AH50&gt;=0.005,"↑ 上方修正",IF(AJ50-AH50&lt;=-0.005,"↓ 下方修正","→ 据置"))</f>
        <v>→ 据置</v>
      </c>
    </row>
    <row r="51" customFormat="false" ht="15" hidden="false" customHeight="false" outlineLevel="0" collapsed="false">
      <c r="A51" s="32" t="n">
        <v>36</v>
      </c>
      <c r="B51" s="32" t="s">
        <v>346</v>
      </c>
      <c r="C51" s="33" t="s">
        <v>347</v>
      </c>
      <c r="D51" s="34" t="n">
        <v>27500</v>
      </c>
      <c r="E51" s="35" t="n">
        <v>8</v>
      </c>
      <c r="F51" s="32" t="s">
        <v>735</v>
      </c>
      <c r="G51" s="35" t="n">
        <v>8</v>
      </c>
      <c r="H51" s="32" t="s">
        <v>735</v>
      </c>
      <c r="I51" s="37" t="n">
        <f aca="false">IFERROR(E51/E$58,0)</f>
        <v>3.78873986512086E-005</v>
      </c>
      <c r="J51" s="37" t="n">
        <f aca="false">IFERROR(G51/G$58,0)</f>
        <v>5.39865708405034E-005</v>
      </c>
      <c r="K51" s="88" t="n">
        <f aca="false">J51-I51</f>
        <v>1.60991721892948E-005</v>
      </c>
      <c r="L51" s="35" t="n">
        <v>3</v>
      </c>
      <c r="M51" s="35" t="n">
        <v>3</v>
      </c>
      <c r="N51" s="35" t="n">
        <v>3</v>
      </c>
      <c r="O51" s="38" t="n">
        <f aca="false">N51-M51</f>
        <v>0</v>
      </c>
      <c r="P51" s="37" t="n">
        <f aca="false">IFERROR(M51/M$58,0)</f>
        <v>5.43576734915746E-005</v>
      </c>
      <c r="Q51" s="37" t="n">
        <f aca="false">IFERROR(N51/N$58,0)</f>
        <v>5.11945392491468E-005</v>
      </c>
      <c r="R51" s="88" t="n">
        <f aca="false">Q51-P51</f>
        <v>-3.16313424242781E-006</v>
      </c>
      <c r="S51" s="35" t="n">
        <v>3</v>
      </c>
      <c r="T51" s="35" t="n">
        <v>4</v>
      </c>
      <c r="U51" s="35" t="n">
        <v>3</v>
      </c>
      <c r="V51" s="38" t="n">
        <f aca="false">U51-T51</f>
        <v>-1</v>
      </c>
      <c r="W51" s="37" t="n">
        <f aca="false">IFERROR(T51/T$58,0)</f>
        <v>0.000117446708555993</v>
      </c>
      <c r="X51" s="37" t="n">
        <f aca="false">IFERROR(U51/U$58,0)</f>
        <v>6.68583272046533E-005</v>
      </c>
      <c r="Y51" s="88" t="n">
        <f aca="false">X51-W51</f>
        <v>-5.05883813513394E-005</v>
      </c>
      <c r="Z51" s="35" t="n">
        <v>3</v>
      </c>
      <c r="AA51" s="35" t="n">
        <v>3</v>
      </c>
      <c r="AB51" s="35" t="n">
        <v>3</v>
      </c>
      <c r="AC51" s="38" t="n">
        <f aca="false">AB51-AA51</f>
        <v>0</v>
      </c>
      <c r="AD51" s="37" t="n">
        <f aca="false">IFERROR(AA51/AA$58,0)</f>
        <v>4.24322145372767E-005</v>
      </c>
      <c r="AE51" s="37" t="n">
        <f aca="false">IFERROR(AB51/AB$58,0)</f>
        <v>4.7066206463759E-005</v>
      </c>
      <c r="AF51" s="88" t="n">
        <f aca="false">AE51-AD51</f>
        <v>4.63399192648232E-006</v>
      </c>
      <c r="AG51" s="35" t="n">
        <f aca="false">G51+N51+U51+AB51</f>
        <v>17</v>
      </c>
      <c r="AH51" s="37" t="n">
        <f aca="false">IFERROR(AG51/AG$58,0)</f>
        <v>5.3900493348045E-005</v>
      </c>
      <c r="AI51" s="37" t="n">
        <f aca="false">①札幌予測確定!R42</f>
        <v>0</v>
      </c>
      <c r="AJ51" s="37" t="n">
        <f aca="false">③石川以降予測!H64</f>
        <v>2.35331032318795E-005</v>
      </c>
      <c r="AK51" s="39" t="str">
        <f aca="false">IF(AJ51-AH51&gt;=0.005,"↑ 上方修正",IF(AJ51-AH51&lt;=-0.005,"↓ 下方修正","→ 据置"))</f>
        <v>→ 据置</v>
      </c>
    </row>
    <row r="52" customFormat="false" ht="15" hidden="false" customHeight="false" outlineLevel="0" collapsed="false">
      <c r="A52" s="32" t="n">
        <v>37</v>
      </c>
      <c r="B52" s="32" t="s">
        <v>348</v>
      </c>
      <c r="C52" s="33" t="s">
        <v>349</v>
      </c>
      <c r="D52" s="34" t="n">
        <v>27500</v>
      </c>
      <c r="E52" s="35" t="n">
        <v>10</v>
      </c>
      <c r="F52" s="32" t="s">
        <v>735</v>
      </c>
      <c r="G52" s="35" t="n">
        <v>10</v>
      </c>
      <c r="H52" s="32" t="s">
        <v>735</v>
      </c>
      <c r="I52" s="37" t="n">
        <f aca="false">IFERROR(E52/E$58,0)</f>
        <v>4.73592483140108E-005</v>
      </c>
      <c r="J52" s="37" t="n">
        <f aca="false">IFERROR(G52/G$58,0)</f>
        <v>6.74832135506293E-005</v>
      </c>
      <c r="K52" s="88" t="n">
        <f aca="false">J52-I52</f>
        <v>2.01239652366185E-005</v>
      </c>
      <c r="L52" s="35" t="n">
        <v>20</v>
      </c>
      <c r="M52" s="35" t="n">
        <v>12</v>
      </c>
      <c r="N52" s="35" t="n">
        <v>19</v>
      </c>
      <c r="O52" s="38" t="n">
        <f aca="false">N52-M52</f>
        <v>7</v>
      </c>
      <c r="P52" s="37" t="n">
        <f aca="false">IFERROR(M52/M$58,0)</f>
        <v>0.000217430693966298</v>
      </c>
      <c r="Q52" s="37" t="n">
        <f aca="false">IFERROR(N52/N$58,0)</f>
        <v>0.000324232081911263</v>
      </c>
      <c r="R52" s="88" t="n">
        <f aca="false">Q52-P52</f>
        <v>0.000106801387944965</v>
      </c>
      <c r="S52" s="35" t="n">
        <v>15</v>
      </c>
      <c r="T52" s="35" t="n">
        <v>9</v>
      </c>
      <c r="U52" s="35" t="n">
        <v>12</v>
      </c>
      <c r="V52" s="38" t="n">
        <f aca="false">U52-T52</f>
        <v>3</v>
      </c>
      <c r="W52" s="37" t="n">
        <f aca="false">IFERROR(T52/T$58,0)</f>
        <v>0.000264255094250984</v>
      </c>
      <c r="X52" s="37" t="n">
        <f aca="false">IFERROR(U52/U$58,0)</f>
        <v>0.000267433308818613</v>
      </c>
      <c r="Y52" s="88" t="n">
        <f aca="false">X52-W52</f>
        <v>3.17821456762973E-006</v>
      </c>
      <c r="Z52" s="35" t="n">
        <v>28</v>
      </c>
      <c r="AA52" s="35" t="n">
        <v>27</v>
      </c>
      <c r="AB52" s="35" t="n">
        <v>26</v>
      </c>
      <c r="AC52" s="38" t="n">
        <f aca="false">AB52-AA52</f>
        <v>-1</v>
      </c>
      <c r="AD52" s="37" t="n">
        <f aca="false">IFERROR(AA52/AA$58,0)</f>
        <v>0.00038188993083549</v>
      </c>
      <c r="AE52" s="37" t="n">
        <f aca="false">IFERROR(AB52/AB$58,0)</f>
        <v>0.000407907122685912</v>
      </c>
      <c r="AF52" s="88" t="n">
        <f aca="false">AE52-AD52</f>
        <v>2.60171918504212E-005</v>
      </c>
      <c r="AG52" s="35" t="n">
        <f aca="false">G52+N52+U52+AB52</f>
        <v>67</v>
      </c>
      <c r="AH52" s="37" t="n">
        <f aca="false">IFERROR(AG52/AG$58,0)</f>
        <v>0.000212431356136413</v>
      </c>
      <c r="AI52" s="37" t="n">
        <f aca="false">①札幌予測確定!R43</f>
        <v>0</v>
      </c>
      <c r="AJ52" s="37" t="n">
        <f aca="false">③石川以降予測!H65</f>
        <v>0.000203953561342956</v>
      </c>
      <c r="AK52" s="39" t="str">
        <f aca="false">IF(AJ52-AH52&gt;=0.005,"↑ 上方修正",IF(AJ52-AH52&lt;=-0.005,"↓ 下方修正","→ 据置"))</f>
        <v>→ 据置</v>
      </c>
    </row>
    <row r="53" customFormat="false" ht="15" hidden="false" customHeight="false" outlineLevel="0" collapsed="false">
      <c r="A53" s="32" t="n">
        <v>38</v>
      </c>
      <c r="B53" s="32" t="s">
        <v>350</v>
      </c>
      <c r="C53" s="33" t="s">
        <v>351</v>
      </c>
      <c r="D53" s="34" t="n">
        <v>27500</v>
      </c>
      <c r="E53" s="35" t="n">
        <v>10</v>
      </c>
      <c r="F53" s="32" t="s">
        <v>735</v>
      </c>
      <c r="G53" s="35" t="n">
        <v>10</v>
      </c>
      <c r="H53" s="32" t="s">
        <v>735</v>
      </c>
      <c r="I53" s="37" t="n">
        <f aca="false">IFERROR(E53/E$58,0)</f>
        <v>4.73592483140108E-005</v>
      </c>
      <c r="J53" s="37" t="n">
        <f aca="false">IFERROR(G53/G$58,0)</f>
        <v>6.74832135506293E-005</v>
      </c>
      <c r="K53" s="88" t="n">
        <f aca="false">J53-I53</f>
        <v>2.01239652366185E-005</v>
      </c>
      <c r="L53" s="35" t="n">
        <v>3</v>
      </c>
      <c r="M53" s="35" t="n">
        <v>3</v>
      </c>
      <c r="N53" s="35" t="n">
        <v>3</v>
      </c>
      <c r="O53" s="38" t="n">
        <f aca="false">N53-M53</f>
        <v>0</v>
      </c>
      <c r="P53" s="37" t="n">
        <f aca="false">IFERROR(M53/M$58,0)</f>
        <v>5.43576734915746E-005</v>
      </c>
      <c r="Q53" s="37" t="n">
        <f aca="false">IFERROR(N53/N$58,0)</f>
        <v>5.11945392491468E-005</v>
      </c>
      <c r="R53" s="88" t="n">
        <f aca="false">Q53-P53</f>
        <v>-3.16313424242781E-006</v>
      </c>
      <c r="S53" s="35" t="n">
        <v>3</v>
      </c>
      <c r="T53" s="35" t="n">
        <v>4</v>
      </c>
      <c r="U53" s="35" t="n">
        <v>3</v>
      </c>
      <c r="V53" s="38" t="n">
        <f aca="false">U53-T53</f>
        <v>-1</v>
      </c>
      <c r="W53" s="37" t="n">
        <f aca="false">IFERROR(T53/T$58,0)</f>
        <v>0.000117446708555993</v>
      </c>
      <c r="X53" s="37" t="n">
        <f aca="false">IFERROR(U53/U$58,0)</f>
        <v>6.68583272046533E-005</v>
      </c>
      <c r="Y53" s="88" t="n">
        <f aca="false">X53-W53</f>
        <v>-5.05883813513394E-005</v>
      </c>
      <c r="Z53" s="35" t="n">
        <v>3</v>
      </c>
      <c r="AA53" s="35" t="n">
        <v>3</v>
      </c>
      <c r="AB53" s="35" t="n">
        <v>3</v>
      </c>
      <c r="AC53" s="38" t="n">
        <f aca="false">AB53-AA53</f>
        <v>0</v>
      </c>
      <c r="AD53" s="37" t="n">
        <f aca="false">IFERROR(AA53/AA$58,0)</f>
        <v>4.24322145372767E-005</v>
      </c>
      <c r="AE53" s="37" t="n">
        <f aca="false">IFERROR(AB53/AB$58,0)</f>
        <v>4.7066206463759E-005</v>
      </c>
      <c r="AF53" s="88" t="n">
        <f aca="false">AE53-AD53</f>
        <v>4.63399192648232E-006</v>
      </c>
      <c r="AG53" s="35" t="n">
        <f aca="false">G53+N53+U53+AB53</f>
        <v>19</v>
      </c>
      <c r="AH53" s="37" t="n">
        <f aca="false">IFERROR(AG53/AG$58,0)</f>
        <v>6.02417278595797E-005</v>
      </c>
      <c r="AI53" s="37" t="n">
        <f aca="false">①札幌予測確定!R44</f>
        <v>0.000222123500666371</v>
      </c>
      <c r="AJ53" s="37" t="n">
        <f aca="false">③石川以降予測!H66</f>
        <v>0.000134594853565065</v>
      </c>
      <c r="AK53" s="39" t="str">
        <f aca="false">IF(AJ53-AH53&gt;=0.005,"↑ 上方修正",IF(AJ53-AH53&lt;=-0.005,"↓ 下方修正","→ 据置"))</f>
        <v>→ 据置</v>
      </c>
    </row>
    <row r="54" customFormat="false" ht="15" hidden="false" customHeight="false" outlineLevel="0" collapsed="false">
      <c r="A54" s="32" t="n">
        <v>39</v>
      </c>
      <c r="B54" s="32" t="s">
        <v>352</v>
      </c>
      <c r="C54" s="33" t="s">
        <v>353</v>
      </c>
      <c r="D54" s="34" t="n">
        <v>27500</v>
      </c>
      <c r="E54" s="35" t="n">
        <v>10</v>
      </c>
      <c r="F54" s="32" t="s">
        <v>735</v>
      </c>
      <c r="G54" s="35" t="n">
        <v>10</v>
      </c>
      <c r="H54" s="32" t="s">
        <v>735</v>
      </c>
      <c r="I54" s="37" t="n">
        <f aca="false">IFERROR(E54/E$58,0)</f>
        <v>4.73592483140108E-005</v>
      </c>
      <c r="J54" s="37" t="n">
        <f aca="false">IFERROR(G54/G$58,0)</f>
        <v>6.74832135506293E-005</v>
      </c>
      <c r="K54" s="88" t="n">
        <f aca="false">J54-I54</f>
        <v>2.01239652366185E-005</v>
      </c>
      <c r="L54" s="35" t="n">
        <v>3</v>
      </c>
      <c r="M54" s="35" t="n">
        <v>3</v>
      </c>
      <c r="N54" s="35" t="n">
        <v>3</v>
      </c>
      <c r="O54" s="38" t="n">
        <f aca="false">N54-M54</f>
        <v>0</v>
      </c>
      <c r="P54" s="37" t="n">
        <f aca="false">IFERROR(M54/M$58,0)</f>
        <v>5.43576734915746E-005</v>
      </c>
      <c r="Q54" s="37" t="n">
        <f aca="false">IFERROR(N54/N$58,0)</f>
        <v>5.11945392491468E-005</v>
      </c>
      <c r="R54" s="88" t="n">
        <f aca="false">Q54-P54</f>
        <v>-3.16313424242781E-006</v>
      </c>
      <c r="S54" s="35" t="n">
        <v>2</v>
      </c>
      <c r="T54" s="35" t="n">
        <v>3</v>
      </c>
      <c r="U54" s="35" t="n">
        <v>2</v>
      </c>
      <c r="V54" s="38" t="n">
        <f aca="false">U54-T54</f>
        <v>-1</v>
      </c>
      <c r="W54" s="37" t="n">
        <f aca="false">IFERROR(T54/T$58,0)</f>
        <v>8.80850314169945E-005</v>
      </c>
      <c r="X54" s="37" t="n">
        <f aca="false">IFERROR(U54/U$58,0)</f>
        <v>4.45722181364356E-005</v>
      </c>
      <c r="Y54" s="88" t="n">
        <f aca="false">X54-W54</f>
        <v>-4.3512813280559E-005</v>
      </c>
      <c r="Z54" s="35" t="n">
        <v>3</v>
      </c>
      <c r="AA54" s="35" t="n">
        <v>3</v>
      </c>
      <c r="AB54" s="35" t="n">
        <v>3</v>
      </c>
      <c r="AC54" s="38" t="n">
        <f aca="false">AB54-AA54</f>
        <v>0</v>
      </c>
      <c r="AD54" s="37" t="n">
        <f aca="false">IFERROR(AA54/AA$58,0)</f>
        <v>4.24322145372767E-005</v>
      </c>
      <c r="AE54" s="37" t="n">
        <f aca="false">IFERROR(AB54/AB$58,0)</f>
        <v>4.7066206463759E-005</v>
      </c>
      <c r="AF54" s="88" t="n">
        <f aca="false">AE54-AD54</f>
        <v>4.63399192648232E-006</v>
      </c>
      <c r="AG54" s="35" t="n">
        <f aca="false">G54+N54+U54+AB54</f>
        <v>18</v>
      </c>
      <c r="AH54" s="37" t="n">
        <f aca="false">IFERROR(AG54/AG$58,0)</f>
        <v>5.70711106038124E-005</v>
      </c>
      <c r="AI54" s="37" t="n">
        <f aca="false">①札幌予測確定!R45</f>
        <v>0.000111061750333185</v>
      </c>
      <c r="AJ54" s="37" t="n">
        <f aca="false">③石川以降予測!H67</f>
        <v>7.90639783984721E-005</v>
      </c>
      <c r="AK54" s="39" t="str">
        <f aca="false">IF(AJ54-AH54&gt;=0.005,"↑ 上方修正",IF(AJ54-AH54&lt;=-0.005,"↓ 下方修正","→ 据置"))</f>
        <v>→ 据置</v>
      </c>
    </row>
    <row r="55" customFormat="false" ht="15" hidden="false" customHeight="false" outlineLevel="0" collapsed="false">
      <c r="A55" s="32" t="n">
        <v>40</v>
      </c>
      <c r="B55" s="32" t="s">
        <v>354</v>
      </c>
      <c r="C55" s="33" t="s">
        <v>355</v>
      </c>
      <c r="D55" s="34" t="n">
        <v>27500</v>
      </c>
      <c r="E55" s="35" t="n">
        <v>8</v>
      </c>
      <c r="F55" s="32" t="s">
        <v>735</v>
      </c>
      <c r="G55" s="35" t="n">
        <v>8</v>
      </c>
      <c r="H55" s="32" t="s">
        <v>735</v>
      </c>
      <c r="I55" s="37" t="n">
        <f aca="false">IFERROR(E55/E$58,0)</f>
        <v>3.78873986512086E-005</v>
      </c>
      <c r="J55" s="37" t="n">
        <f aca="false">IFERROR(G55/G$58,0)</f>
        <v>5.39865708405034E-005</v>
      </c>
      <c r="K55" s="88" t="n">
        <f aca="false">J55-I55</f>
        <v>1.60991721892948E-005</v>
      </c>
      <c r="L55" s="35" t="n">
        <v>3</v>
      </c>
      <c r="M55" s="35" t="n">
        <v>3</v>
      </c>
      <c r="N55" s="35" t="n">
        <v>3</v>
      </c>
      <c r="O55" s="38" t="n">
        <f aca="false">N55-M55</f>
        <v>0</v>
      </c>
      <c r="P55" s="37" t="n">
        <f aca="false">IFERROR(M55/M$58,0)</f>
        <v>5.43576734915746E-005</v>
      </c>
      <c r="Q55" s="37" t="n">
        <f aca="false">IFERROR(N55/N$58,0)</f>
        <v>5.11945392491468E-005</v>
      </c>
      <c r="R55" s="88" t="n">
        <f aca="false">Q55-P55</f>
        <v>-3.16313424242781E-006</v>
      </c>
      <c r="S55" s="35" t="n">
        <v>3</v>
      </c>
      <c r="T55" s="35" t="n">
        <v>4</v>
      </c>
      <c r="U55" s="35" t="n">
        <v>3</v>
      </c>
      <c r="V55" s="38" t="n">
        <f aca="false">U55-T55</f>
        <v>-1</v>
      </c>
      <c r="W55" s="37" t="n">
        <f aca="false">IFERROR(T55/T$58,0)</f>
        <v>0.000117446708555993</v>
      </c>
      <c r="X55" s="37" t="n">
        <f aca="false">IFERROR(U55/U$58,0)</f>
        <v>6.68583272046533E-005</v>
      </c>
      <c r="Y55" s="88" t="n">
        <f aca="false">X55-W55</f>
        <v>-5.05883813513394E-005</v>
      </c>
      <c r="Z55" s="35" t="n">
        <v>3</v>
      </c>
      <c r="AA55" s="35" t="n">
        <v>3</v>
      </c>
      <c r="AB55" s="35" t="n">
        <v>3</v>
      </c>
      <c r="AC55" s="38" t="n">
        <f aca="false">AB55-AA55</f>
        <v>0</v>
      </c>
      <c r="AD55" s="37" t="n">
        <f aca="false">IFERROR(AA55/AA$58,0)</f>
        <v>4.24322145372767E-005</v>
      </c>
      <c r="AE55" s="37" t="n">
        <f aca="false">IFERROR(AB55/AB$58,0)</f>
        <v>4.7066206463759E-005</v>
      </c>
      <c r="AF55" s="88" t="n">
        <f aca="false">AE55-AD55</f>
        <v>4.63399192648232E-006</v>
      </c>
      <c r="AG55" s="35" t="n">
        <f aca="false">G55+N55+U55+AB55</f>
        <v>17</v>
      </c>
      <c r="AH55" s="37" t="n">
        <f aca="false">IFERROR(AG55/AG$58,0)</f>
        <v>5.3900493348045E-005</v>
      </c>
      <c r="AI55" s="37" t="n">
        <f aca="false">①札幌予測確定!R46</f>
        <v>0</v>
      </c>
      <c r="AJ55" s="37" t="n">
        <f aca="false">③石川以降予測!H68</f>
        <v>2.35331032318795E-005</v>
      </c>
      <c r="AK55" s="39" t="str">
        <f aca="false">IF(AJ55-AH55&gt;=0.005,"↑ 上方修正",IF(AJ55-AH55&lt;=-0.005,"↓ 下方修正","→ 据置"))</f>
        <v>→ 据置</v>
      </c>
    </row>
    <row r="56" customFormat="false" ht="15" hidden="false" customHeight="false" outlineLevel="0" collapsed="false">
      <c r="A56" s="32" t="n">
        <v>41</v>
      </c>
      <c r="B56" s="32" t="s">
        <v>356</v>
      </c>
      <c r="C56" s="33" t="s">
        <v>357</v>
      </c>
      <c r="D56" s="34" t="n">
        <v>25000</v>
      </c>
      <c r="E56" s="35" t="n">
        <v>38</v>
      </c>
      <c r="F56" s="32" t="s">
        <v>735</v>
      </c>
      <c r="G56" s="35" t="n">
        <v>12</v>
      </c>
      <c r="H56" s="32" t="s">
        <v>735</v>
      </c>
      <c r="I56" s="37" t="n">
        <f aca="false">IFERROR(E56/E$58,0)</f>
        <v>0.000179965143593241</v>
      </c>
      <c r="J56" s="37" t="n">
        <f aca="false">IFERROR(G56/G$58,0)</f>
        <v>8.09798562607551E-005</v>
      </c>
      <c r="K56" s="88" t="n">
        <f aca="false">J56-I56</f>
        <v>-9.89852873324858E-005</v>
      </c>
      <c r="L56" s="35" t="n">
        <v>10</v>
      </c>
      <c r="M56" s="35" t="n">
        <v>44</v>
      </c>
      <c r="N56" s="35" t="n">
        <v>5</v>
      </c>
      <c r="O56" s="38" t="n">
        <f aca="false">N56-M56</f>
        <v>-39</v>
      </c>
      <c r="P56" s="37" t="n">
        <f aca="false">IFERROR(M56/M$58,0)</f>
        <v>0.000797245877876427</v>
      </c>
      <c r="Q56" s="37" t="n">
        <f aca="false">IFERROR(N56/N$58,0)</f>
        <v>8.53242320819113E-005</v>
      </c>
      <c r="R56" s="88" t="n">
        <f aca="false">Q56-P56</f>
        <v>-0.000711921645794516</v>
      </c>
      <c r="S56" s="35" t="n">
        <v>5</v>
      </c>
      <c r="T56" s="35" t="n">
        <v>5</v>
      </c>
      <c r="U56" s="35" t="n">
        <v>1</v>
      </c>
      <c r="V56" s="38" t="n">
        <f aca="false">U56-T56</f>
        <v>-4</v>
      </c>
      <c r="W56" s="37" t="n">
        <f aca="false">IFERROR(T56/T$58,0)</f>
        <v>0.000146808385694991</v>
      </c>
      <c r="X56" s="37" t="n">
        <f aca="false">IFERROR(U56/U$58,0)</f>
        <v>2.22861090682178E-005</v>
      </c>
      <c r="Y56" s="88" t="n">
        <f aca="false">X56-W56</f>
        <v>-0.000124522276626773</v>
      </c>
      <c r="Z56" s="35" t="n">
        <v>15</v>
      </c>
      <c r="AA56" s="35" t="n">
        <v>4</v>
      </c>
      <c r="AB56" s="35" t="n">
        <v>2</v>
      </c>
      <c r="AC56" s="38" t="n">
        <f aca="false">AB56-AA56</f>
        <v>-2</v>
      </c>
      <c r="AD56" s="37" t="n">
        <f aca="false">IFERROR(AA56/AA$58,0)</f>
        <v>5.65762860497023E-005</v>
      </c>
      <c r="AE56" s="37" t="n">
        <f aca="false">IFERROR(AB56/AB$58,0)</f>
        <v>3.13774709758394E-005</v>
      </c>
      <c r="AF56" s="88" t="n">
        <f aca="false">AE56-AD56</f>
        <v>-2.51988150738629E-005</v>
      </c>
      <c r="AG56" s="35" t="n">
        <f aca="false">G56+N56+U56+AB56</f>
        <v>20</v>
      </c>
      <c r="AH56" s="37" t="n">
        <f aca="false">IFERROR(AG56/AG$58,0)</f>
        <v>6.34123451153471E-005</v>
      </c>
      <c r="AI56" s="37" t="n">
        <f aca="false">①札幌予測確定!R47</f>
        <v>0</v>
      </c>
      <c r="AJ56" s="37" t="n">
        <f aca="false">③石川以降予測!H69</f>
        <v>1.56887354879197E-005</v>
      </c>
      <c r="AK56" s="39" t="str">
        <f aca="false">IF(AJ56-AH56&gt;=0.005,"↑ 上方修正",IF(AJ56-AH56&lt;=-0.005,"↓ 下方修正","→ 据置"))</f>
        <v>→ 据置</v>
      </c>
    </row>
    <row r="57" customFormat="false" ht="15" hidden="false" customHeight="false" outlineLevel="0" collapsed="false">
      <c r="A57" s="32" t="n">
        <v>42</v>
      </c>
      <c r="B57" s="32" t="s">
        <v>358</v>
      </c>
      <c r="C57" s="33" t="s">
        <v>359</v>
      </c>
      <c r="D57" s="34" t="n">
        <v>25000</v>
      </c>
      <c r="E57" s="35" t="n">
        <v>38</v>
      </c>
      <c r="F57" s="32" t="s">
        <v>735</v>
      </c>
      <c r="G57" s="35" t="n">
        <v>24</v>
      </c>
      <c r="H57" s="32" t="s">
        <v>735</v>
      </c>
      <c r="I57" s="37" t="n">
        <f aca="false">IFERROR(E57/E$58,0)</f>
        <v>0.000179965143593241</v>
      </c>
      <c r="J57" s="37" t="n">
        <f aca="false">IFERROR(G57/G$58,0)</f>
        <v>0.00016195971252151</v>
      </c>
      <c r="K57" s="88" t="n">
        <f aca="false">J57-I57</f>
        <v>-1.80054310717306E-005</v>
      </c>
      <c r="L57" s="35" t="n">
        <v>10</v>
      </c>
      <c r="M57" s="35" t="n">
        <v>8</v>
      </c>
      <c r="N57" s="35" t="n">
        <v>8</v>
      </c>
      <c r="O57" s="38" t="n">
        <f aca="false">N57-M57</f>
        <v>0</v>
      </c>
      <c r="P57" s="37" t="n">
        <f aca="false">IFERROR(M57/M$58,0)</f>
        <v>0.000144953795977532</v>
      </c>
      <c r="Q57" s="37" t="n">
        <f aca="false">IFERROR(N57/N$58,0)</f>
        <v>0.000136518771331058</v>
      </c>
      <c r="R57" s="88" t="n">
        <f aca="false">Q57-P57</f>
        <v>-8.43502464647415E-006</v>
      </c>
      <c r="S57" s="35" t="n">
        <v>5</v>
      </c>
      <c r="T57" s="35" t="n">
        <v>4</v>
      </c>
      <c r="U57" s="35" t="n">
        <v>3</v>
      </c>
      <c r="V57" s="38" t="n">
        <f aca="false">U57-T57</f>
        <v>-1</v>
      </c>
      <c r="W57" s="37" t="n">
        <f aca="false">IFERROR(T57/T$58,0)</f>
        <v>0.000117446708555993</v>
      </c>
      <c r="X57" s="37" t="n">
        <f aca="false">IFERROR(U57/U$58,0)</f>
        <v>6.68583272046533E-005</v>
      </c>
      <c r="Y57" s="88" t="n">
        <f aca="false">X57-W57</f>
        <v>-5.05883813513394E-005</v>
      </c>
      <c r="Z57" s="35" t="n">
        <v>20</v>
      </c>
      <c r="AA57" s="35" t="n">
        <v>7</v>
      </c>
      <c r="AB57" s="35" t="n">
        <v>8</v>
      </c>
      <c r="AC57" s="38" t="n">
        <f aca="false">AB57-AA57</f>
        <v>1</v>
      </c>
      <c r="AD57" s="37" t="n">
        <f aca="false">IFERROR(AA57/AA$58,0)</f>
        <v>9.9008500586979E-005</v>
      </c>
      <c r="AE57" s="37" t="n">
        <f aca="false">IFERROR(AB57/AB$58,0)</f>
        <v>0.000125509883903357</v>
      </c>
      <c r="AF57" s="88" t="n">
        <f aca="false">AE57-AD57</f>
        <v>2.65013833163784E-005</v>
      </c>
      <c r="AG57" s="35" t="n">
        <f aca="false">G57+N57+U57+AB57</f>
        <v>43</v>
      </c>
      <c r="AH57" s="37" t="n">
        <f aca="false">IFERROR(AG57/AG$58,0)</f>
        <v>0.000136336541997996</v>
      </c>
      <c r="AI57" s="37" t="n">
        <f aca="false">①札幌予測確定!R48</f>
        <v>0.000333185250999556</v>
      </c>
      <c r="AJ57" s="37" t="n">
        <f aca="false">③石川以降予測!H70</f>
        <v>0.000229347567451457</v>
      </c>
      <c r="AK57" s="39" t="str">
        <f aca="false">IF(AJ57-AH57&gt;=0.005,"↑ 上方修正",IF(AJ57-AH57&lt;=-0.005,"↓ 下方修正","→ 据置"))</f>
        <v>→ 据置</v>
      </c>
    </row>
    <row r="58" customFormat="false" ht="15" hidden="false" customHeight="false" outlineLevel="0" collapsed="false">
      <c r="A58" s="40"/>
      <c r="B58" s="40"/>
      <c r="C58" s="41" t="s">
        <v>360</v>
      </c>
      <c r="D58" s="40"/>
      <c r="E58" s="42" t="n">
        <f aca="false">SUM(E16:E57)</f>
        <v>211152</v>
      </c>
      <c r="F58" s="40"/>
      <c r="G58" s="42" t="n">
        <f aca="false">SUM(G16:G57)</f>
        <v>148185</v>
      </c>
      <c r="H58" s="40"/>
      <c r="I58" s="45" t="n">
        <v>1</v>
      </c>
      <c r="J58" s="45" t="n">
        <v>1</v>
      </c>
      <c r="K58" s="89" t="n">
        <v>0</v>
      </c>
      <c r="L58" s="42" t="n">
        <f aca="false">SUM(L16:L57)</f>
        <v>83271</v>
      </c>
      <c r="M58" s="42" t="n">
        <f aca="false">SUM(M16:M57)</f>
        <v>55190</v>
      </c>
      <c r="N58" s="42" t="n">
        <f aca="false">SUM(N16:N57)</f>
        <v>58600</v>
      </c>
      <c r="O58" s="46" t="n">
        <f aca="false">SUM(O16:O57)</f>
        <v>3410</v>
      </c>
      <c r="P58" s="45" t="n">
        <v>1</v>
      </c>
      <c r="Q58" s="45" t="n">
        <v>1</v>
      </c>
      <c r="R58" s="89" t="n">
        <v>0</v>
      </c>
      <c r="S58" s="42" t="n">
        <f aca="false">SUM(S16:S57)</f>
        <v>49598</v>
      </c>
      <c r="T58" s="42" t="n">
        <f aca="false">SUM(T16:T57)</f>
        <v>34058</v>
      </c>
      <c r="U58" s="42" t="n">
        <f aca="false">SUM(U16:U57)</f>
        <v>44871</v>
      </c>
      <c r="V58" s="46" t="n">
        <f aca="false">SUM(V16:V57)</f>
        <v>10813</v>
      </c>
      <c r="W58" s="45" t="n">
        <v>1</v>
      </c>
      <c r="X58" s="45" t="n">
        <v>1</v>
      </c>
      <c r="Y58" s="89" t="n">
        <v>0</v>
      </c>
      <c r="Z58" s="42" t="n">
        <f aca="false">SUM(Z16:Z57)</f>
        <v>137560</v>
      </c>
      <c r="AA58" s="42" t="n">
        <f aca="false">SUM(AA16:AA57)</f>
        <v>70701</v>
      </c>
      <c r="AB58" s="42" t="n">
        <f aca="false">SUM(AB16:AB57)</f>
        <v>63740</v>
      </c>
      <c r="AC58" s="46" t="n">
        <f aca="false">SUM(AC16:AC57)</f>
        <v>-6961</v>
      </c>
      <c r="AD58" s="45" t="n">
        <v>1</v>
      </c>
      <c r="AE58" s="45" t="n">
        <v>1</v>
      </c>
      <c r="AF58" s="89" t="n">
        <v>0</v>
      </c>
      <c r="AG58" s="42" t="n">
        <f aca="false">SUM(AG16:AG57)</f>
        <v>315396</v>
      </c>
      <c r="AH58" s="45" t="n">
        <v>1</v>
      </c>
      <c r="AI58" s="45" t="n">
        <v>1</v>
      </c>
      <c r="AJ58" s="45" t="n">
        <v>1</v>
      </c>
      <c r="AK58" s="40"/>
    </row>
    <row r="60" customFormat="false" ht="15" hidden="false" customHeight="false" outlineLevel="0" collapsed="false">
      <c r="A60" s="4" t="s">
        <v>736</v>
      </c>
    </row>
    <row r="61" customFormat="false" ht="15" hidden="false" customHeight="false" outlineLevel="0" collapsed="false">
      <c r="A61" s="5" t="s">
        <v>737</v>
      </c>
      <c r="B61" s="85" t="s">
        <v>738</v>
      </c>
      <c r="C61" s="85"/>
      <c r="D61" s="85"/>
      <c r="E61" s="85"/>
      <c r="F61" s="85"/>
      <c r="G61" s="85"/>
      <c r="H61" s="85"/>
      <c r="I61" s="85"/>
      <c r="J61" s="85"/>
      <c r="K61" s="85"/>
      <c r="L61" s="85"/>
    </row>
    <row r="62" customFormat="false" ht="15" hidden="false" customHeight="false" outlineLevel="0" collapsed="false">
      <c r="A62" s="5" t="s">
        <v>739</v>
      </c>
      <c r="B62" s="85" t="s">
        <v>740</v>
      </c>
      <c r="C62" s="85"/>
      <c r="D62" s="85"/>
      <c r="E62" s="85"/>
      <c r="F62" s="85"/>
      <c r="G62" s="85"/>
      <c r="H62" s="85"/>
      <c r="I62" s="85"/>
      <c r="J62" s="85"/>
      <c r="K62" s="85"/>
      <c r="L62" s="85"/>
    </row>
    <row r="63" customFormat="false" ht="15" hidden="false" customHeight="false" outlineLevel="0" collapsed="false">
      <c r="A63" s="5" t="s">
        <v>741</v>
      </c>
      <c r="B63" s="85" t="s">
        <v>742</v>
      </c>
      <c r="C63" s="85"/>
      <c r="D63" s="85"/>
      <c r="E63" s="85"/>
      <c r="F63" s="85"/>
      <c r="G63" s="85"/>
      <c r="H63" s="85"/>
      <c r="I63" s="85"/>
      <c r="J63" s="85"/>
      <c r="K63" s="85"/>
      <c r="L63" s="85"/>
    </row>
    <row r="64" customFormat="false" ht="15" hidden="false" customHeight="false" outlineLevel="0" collapsed="false">
      <c r="A64" s="5" t="s">
        <v>743</v>
      </c>
      <c r="B64" s="85" t="s">
        <v>744</v>
      </c>
      <c r="C64" s="85"/>
      <c r="D64" s="85"/>
      <c r="E64" s="85"/>
      <c r="F64" s="85"/>
      <c r="G64" s="85"/>
      <c r="H64" s="85"/>
      <c r="I64" s="85"/>
      <c r="J64" s="85"/>
      <c r="K64" s="85"/>
      <c r="L64" s="85"/>
    </row>
    <row r="65" customFormat="false" ht="15" hidden="false" customHeight="false" outlineLevel="0" collapsed="false">
      <c r="A65" s="5" t="s">
        <v>745</v>
      </c>
      <c r="B65" s="90" t="s">
        <v>746</v>
      </c>
      <c r="C65" s="90"/>
      <c r="D65" s="90"/>
      <c r="E65" s="90"/>
      <c r="F65" s="90"/>
      <c r="G65" s="90"/>
      <c r="H65" s="90"/>
      <c r="I65" s="90"/>
      <c r="J65" s="90"/>
      <c r="K65" s="90"/>
      <c r="L65" s="90"/>
    </row>
    <row r="66" customFormat="false" ht="15" hidden="false" customHeight="false" outlineLevel="0" collapsed="false">
      <c r="A66" s="5"/>
      <c r="B66" s="85" t="s">
        <v>747</v>
      </c>
      <c r="C66" s="85"/>
      <c r="D66" s="85"/>
      <c r="E66" s="85"/>
      <c r="F66" s="85"/>
      <c r="G66" s="85"/>
      <c r="H66" s="85"/>
      <c r="I66" s="85"/>
      <c r="J66" s="85"/>
      <c r="K66" s="85"/>
      <c r="L66" s="85"/>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748</v>
      </c>
    </row>
    <row r="2" customFormat="false" ht="15" hidden="false" customHeight="false" outlineLevel="0" collapsed="false">
      <c r="A2" s="3" t="s">
        <v>749</v>
      </c>
    </row>
    <row r="3" customFormat="false" ht="15" hidden="false" customHeight="false" outlineLevel="0" collapsed="false">
      <c r="A3" s="3" t="s">
        <v>750</v>
      </c>
    </row>
    <row r="4" customFormat="false" ht="15" hidden="false" customHeight="false" outlineLevel="0" collapsed="false">
      <c r="A4" s="3" t="s">
        <v>751</v>
      </c>
    </row>
    <row r="6" customFormat="false" ht="15" hidden="false" customHeight="false" outlineLevel="0" collapsed="false">
      <c r="A6" s="4" t="s">
        <v>752</v>
      </c>
    </row>
    <row r="7" customFormat="false" ht="33.75" hidden="false" customHeight="true" outlineLevel="0" collapsed="false">
      <c r="A7" s="26" t="s">
        <v>414</v>
      </c>
      <c r="B7" s="26" t="s">
        <v>753</v>
      </c>
      <c r="C7" s="26" t="s">
        <v>754</v>
      </c>
      <c r="D7" s="26" t="s">
        <v>755</v>
      </c>
      <c r="E7" s="26" t="s">
        <v>756</v>
      </c>
      <c r="F7" s="26" t="s">
        <v>757</v>
      </c>
      <c r="G7" s="26" t="s">
        <v>577</v>
      </c>
    </row>
    <row r="8" customFormat="false" ht="15" hidden="false" customHeight="false" outlineLevel="0" collapsed="false">
      <c r="A8" s="53" t="s">
        <v>366</v>
      </c>
      <c r="B8" s="34" t="n">
        <v>250000000</v>
      </c>
      <c r="C8" s="61" t="n">
        <f aca="false">B8/$B$8</f>
        <v>1</v>
      </c>
      <c r="D8" s="34" t="n">
        <v>358193925</v>
      </c>
      <c r="E8" s="61" t="n">
        <f aca="false">D8/$D$8</f>
        <v>1</v>
      </c>
      <c r="F8" s="37" t="n">
        <f aca="false">IFERROR(E8/C8,"")</f>
        <v>1</v>
      </c>
      <c r="G8" s="66" t="s">
        <v>758</v>
      </c>
    </row>
    <row r="9" customFormat="false" ht="15" hidden="false" customHeight="false" outlineLevel="0" collapsed="false">
      <c r="A9" s="53" t="s">
        <v>367</v>
      </c>
      <c r="B9" s="34" t="n">
        <v>72000000</v>
      </c>
      <c r="C9" s="61" t="n">
        <f aca="false">B9/$B$8</f>
        <v>0.288</v>
      </c>
      <c r="D9" s="34" t="n">
        <v>138575410</v>
      </c>
      <c r="E9" s="61" t="n">
        <f aca="false">D9/$D$8</f>
        <v>0.386872585848574</v>
      </c>
      <c r="F9" s="37" t="n">
        <f aca="false">IFERROR(E9/C9,"")</f>
        <v>1.34330758975199</v>
      </c>
      <c r="G9" s="66" t="s">
        <v>759</v>
      </c>
    </row>
    <row r="10" customFormat="false" ht="15" hidden="false" customHeight="false" outlineLevel="0" collapsed="false">
      <c r="A10" s="53" t="s">
        <v>368</v>
      </c>
      <c r="B10" s="34" t="n">
        <v>56000000</v>
      </c>
      <c r="C10" s="61" t="n">
        <f aca="false">B10/$B$8</f>
        <v>0.224</v>
      </c>
      <c r="D10" s="34" t="n">
        <v>105540655</v>
      </c>
      <c r="E10" s="61" t="n">
        <f aca="false">D10/$D$8</f>
        <v>0.294646691732698</v>
      </c>
      <c r="F10" s="37" t="n">
        <f aca="false">IFERROR(E10/C10,"")</f>
        <v>1.31538701666383</v>
      </c>
      <c r="G10" s="66" t="s">
        <v>759</v>
      </c>
    </row>
    <row r="11" customFormat="false" ht="37.3" hidden="false" customHeight="false" outlineLevel="0" collapsed="false">
      <c r="A11" s="53" t="s">
        <v>369</v>
      </c>
      <c r="B11" s="34" t="n">
        <v>80000000</v>
      </c>
      <c r="C11" s="61" t="n">
        <f aca="false">B11/$B$8</f>
        <v>0.32</v>
      </c>
      <c r="D11" s="34" t="n">
        <v>215184570</v>
      </c>
      <c r="E11" s="61" t="n">
        <f aca="false">D11/$D$8</f>
        <v>0.600748798294108</v>
      </c>
      <c r="F11" s="37" t="n">
        <f aca="false">IFERROR(E11/C11,"")</f>
        <v>1.87733999466909</v>
      </c>
      <c r="G11" s="66" t="s">
        <v>760</v>
      </c>
    </row>
    <row r="12" customFormat="false" ht="25.35" hidden="false" customHeight="false" outlineLevel="0" collapsed="false">
      <c r="A12" s="53" t="s">
        <v>761</v>
      </c>
      <c r="B12" s="34" t="n">
        <v>54600000</v>
      </c>
      <c r="C12" s="61" t="n">
        <f aca="false">B12/$B$8</f>
        <v>0.2184</v>
      </c>
      <c r="D12" s="34" t="n">
        <v>36568845</v>
      </c>
      <c r="E12" s="61" t="n">
        <f aca="false">D12/$D$8</f>
        <v>0.102092309354493</v>
      </c>
      <c r="F12" s="37" t="n">
        <f aca="false">IFERROR(E12/C12,"")</f>
        <v>0.467455628912513</v>
      </c>
      <c r="G12" s="66" t="s">
        <v>762</v>
      </c>
    </row>
    <row r="13" customFormat="false" ht="25.35" hidden="false" customHeight="false" outlineLevel="0" collapsed="false">
      <c r="A13" s="53" t="s">
        <v>763</v>
      </c>
      <c r="B13" s="34" t="n">
        <v>31200000</v>
      </c>
      <c r="C13" s="61" t="n">
        <f aca="false">B13/$B$8</f>
        <v>0.1248</v>
      </c>
      <c r="D13" s="32" t="s">
        <v>735</v>
      </c>
      <c r="E13" s="32" t="s">
        <v>735</v>
      </c>
      <c r="F13" s="32" t="s">
        <v>735</v>
      </c>
      <c r="G13" s="66" t="s">
        <v>764</v>
      </c>
    </row>
    <row r="14" customFormat="false" ht="25.35" hidden="false" customHeight="false" outlineLevel="0" collapsed="false">
      <c r="A14" s="53" t="s">
        <v>765</v>
      </c>
      <c r="B14" s="34" t="n">
        <v>39000000</v>
      </c>
      <c r="C14" s="61" t="n">
        <f aca="false">B14/$B$8</f>
        <v>0.156</v>
      </c>
      <c r="D14" s="32" t="s">
        <v>735</v>
      </c>
      <c r="E14" s="32" t="s">
        <v>735</v>
      </c>
      <c r="F14" s="32" t="s">
        <v>735</v>
      </c>
      <c r="G14" s="66" t="s">
        <v>764</v>
      </c>
    </row>
    <row r="16" customFormat="false" ht="15" hidden="false" customHeight="false" outlineLevel="0" collapsed="false">
      <c r="A16" s="4" t="s">
        <v>766</v>
      </c>
    </row>
    <row r="17" customFormat="false" ht="33.75" hidden="false" customHeight="true" outlineLevel="0" collapsed="false">
      <c r="A17" s="26" t="s">
        <v>414</v>
      </c>
      <c r="B17" s="26" t="s">
        <v>389</v>
      </c>
      <c r="C17" s="17" t="s">
        <v>767</v>
      </c>
      <c r="D17" s="17" t="s">
        <v>768</v>
      </c>
      <c r="E17" s="17" t="s">
        <v>769</v>
      </c>
      <c r="F17" s="17" t="s">
        <v>770</v>
      </c>
      <c r="G17" s="17" t="s">
        <v>771</v>
      </c>
      <c r="H17" s="17" t="s">
        <v>772</v>
      </c>
      <c r="I17" s="17" t="s">
        <v>773</v>
      </c>
      <c r="J17" s="17" t="s">
        <v>774</v>
      </c>
    </row>
    <row r="18" customFormat="false" ht="15" hidden="false" customHeight="false" outlineLevel="0" collapsed="false">
      <c r="A18" s="49" t="s">
        <v>372</v>
      </c>
      <c r="B18" s="35" t="n">
        <v>18</v>
      </c>
      <c r="C18" s="61" t="n">
        <f aca="false">前提・入力!C16</f>
        <v>0.11</v>
      </c>
      <c r="D18" s="35" t="n">
        <f aca="false">ROUND(前提・入力!$B$12*C18*前提・入力!$B$30/前提・入力!$B$31,0)</f>
        <v>9706</v>
      </c>
      <c r="E18" s="61" t="n">
        <f aca="false">前提・入力!D16</f>
        <v>0.1248</v>
      </c>
      <c r="F18" s="35" t="n">
        <f aca="false">ROUND(前提・入力!$B$12*E18*前提・入力!$B$30/前提・入力!$B$31,0)</f>
        <v>11011</v>
      </c>
      <c r="G18" s="61" t="n">
        <f aca="false">前提・入力!E16</f>
        <v>0.0583384622663273</v>
      </c>
      <c r="H18" s="35" t="n">
        <f aca="false">ROUND(前提・入力!$B$12*G18*前提・入力!$B$30/前提・入力!$B$31,0)</f>
        <v>5147</v>
      </c>
      <c r="I18" s="61" t="n">
        <f aca="false">前提・入力!F16</f>
        <v>0.11</v>
      </c>
      <c r="J18" s="35" t="n">
        <f aca="false">ROUND(前提・入力!$B$12*I18*前提・入力!$B$30/前提・入力!$B$31,0)</f>
        <v>9706</v>
      </c>
    </row>
    <row r="19" customFormat="false" ht="15" hidden="false" customHeight="false" outlineLevel="0" collapsed="false">
      <c r="A19" s="49" t="s">
        <v>438</v>
      </c>
      <c r="B19" s="35" t="n">
        <v>30</v>
      </c>
      <c r="C19" s="61" t="n">
        <f aca="false">前提・入力!C17</f>
        <v>0.13</v>
      </c>
      <c r="D19" s="35" t="n">
        <f aca="false">ROUND(前提・入力!$B$12*C19*前提・入力!$B$30/前提・入力!$B$31,0)</f>
        <v>11470</v>
      </c>
      <c r="E19" s="61" t="n">
        <f aca="false">前提・入力!D17</f>
        <v>0.156</v>
      </c>
      <c r="F19" s="35" t="n">
        <f aca="false">ROUND(前提・入力!$B$12*E19*前提・入力!$B$30/前提・入力!$B$31,0)</f>
        <v>13764</v>
      </c>
      <c r="G19" s="61" t="n">
        <f aca="false">前提・入力!E17</f>
        <v>0.0729230778329091</v>
      </c>
      <c r="H19" s="35" t="n">
        <f aca="false">ROUND(前提・入力!$B$12*G19*前提・入力!$B$30/前提・入力!$B$31,0)</f>
        <v>6434</v>
      </c>
      <c r="I19" s="61" t="n">
        <f aca="false">前提・入力!F17</f>
        <v>0.13</v>
      </c>
      <c r="J19" s="35" t="n">
        <f aca="false">ROUND(前提・入力!$B$12*I19*前提・入力!$B$30/前提・入力!$B$31,0)</f>
        <v>11470</v>
      </c>
    </row>
    <row r="20" customFormat="false" ht="15" hidden="false" customHeight="false" outlineLevel="0" collapsed="false">
      <c r="A20" s="49" t="s">
        <v>374</v>
      </c>
      <c r="B20" s="35" t="n">
        <v>21</v>
      </c>
      <c r="C20" s="61" t="n">
        <f aca="false">前提・入力!C18</f>
        <v>0.12</v>
      </c>
      <c r="D20" s="35" t="n">
        <f aca="false">ROUND(前提・入力!$B$12*C20*前提・入力!$B$30/前提・入力!$B$31,0)</f>
        <v>10588</v>
      </c>
      <c r="E20" s="61" t="n">
        <f aca="false">前提・入力!D18</f>
        <v>0.12</v>
      </c>
      <c r="F20" s="35" t="n">
        <f aca="false">ROUND(前提・入力!$B$12*E20*前提・入力!$B$30/前提・入力!$B$31,0)</f>
        <v>10588</v>
      </c>
      <c r="G20" s="61" t="n">
        <f aca="false">前提・入力!E18</f>
        <v>0.0560946752560839</v>
      </c>
      <c r="H20" s="35" t="n">
        <f aca="false">ROUND(前提・入力!$B$12*G20*前提・入力!$B$30/前提・入力!$B$31,0)</f>
        <v>4949</v>
      </c>
      <c r="I20" s="61" t="n">
        <f aca="false">前提・入力!F18</f>
        <v>0.12</v>
      </c>
      <c r="J20" s="35" t="n">
        <f aca="false">ROUND(前提・入力!$B$12*I20*前提・入力!$B$30/前提・入力!$B$31,0)</f>
        <v>10588</v>
      </c>
    </row>
    <row r="21" customFormat="false" ht="15" hidden="false" customHeight="false" outlineLevel="0" collapsed="false">
      <c r="A21" s="49" t="s">
        <v>375</v>
      </c>
      <c r="B21" s="35" t="n">
        <v>21</v>
      </c>
      <c r="C21" s="61" t="n">
        <f aca="false">前提・入力!C19</f>
        <v>0.09</v>
      </c>
      <c r="D21" s="35" t="n">
        <f aca="false">ROUND(前提・入力!$B$12*C21*前提・入力!$B$30/前提・入力!$B$31,0)</f>
        <v>7941</v>
      </c>
      <c r="E21" s="61" t="n">
        <f aca="false">前提・入力!D19</f>
        <v>0.09</v>
      </c>
      <c r="F21" s="35" t="n">
        <f aca="false">ROUND(前提・入力!$B$12*E21*前提・入力!$B$30/前提・入力!$B$31,0)</f>
        <v>7941</v>
      </c>
      <c r="G21" s="61" t="n">
        <f aca="false">前提・入力!E19</f>
        <v>0.0420710064420629</v>
      </c>
      <c r="H21" s="35" t="n">
        <f aca="false">ROUND(前提・入力!$B$12*G21*前提・入力!$B$30/前提・入力!$B$31,0)</f>
        <v>3712</v>
      </c>
      <c r="I21" s="61" t="n">
        <f aca="false">前提・入力!F19</f>
        <v>0.09</v>
      </c>
      <c r="J21" s="35" t="n">
        <f aca="false">ROUND(前提・入力!$B$12*I21*前提・入力!$B$30/前提・入力!$B$31,0)</f>
        <v>7941</v>
      </c>
    </row>
    <row r="22" customFormat="false" ht="15" hidden="false" customHeight="false" outlineLevel="0" collapsed="false">
      <c r="A22" s="49" t="s">
        <v>376</v>
      </c>
      <c r="B22" s="35" t="n">
        <v>25</v>
      </c>
      <c r="C22" s="61" t="n">
        <f aca="false">前提・入力!C20</f>
        <v>0.5</v>
      </c>
      <c r="D22" s="35" t="n">
        <f aca="false">ROUND(前提・入力!$B$12*C22*前提・入力!$B$30/前提・入力!$B$31,0)</f>
        <v>44116</v>
      </c>
      <c r="E22" s="61" t="n">
        <f aca="false">前提・入力!D20</f>
        <v>0.5</v>
      </c>
      <c r="F22" s="35" t="n">
        <f aca="false">ROUND(前提・入力!$B$12*E22*前提・入力!$B$30/前提・入力!$B$31,0)</f>
        <v>44116</v>
      </c>
      <c r="G22" s="61" t="n">
        <f aca="false">前提・入力!E20</f>
        <v>0.5</v>
      </c>
      <c r="H22" s="35" t="n">
        <f aca="false">ROUND(前提・入力!$B$12*G22*前提・入力!$B$30/前提・入力!$B$31,0)</f>
        <v>44116</v>
      </c>
      <c r="I22" s="61" t="n">
        <f aca="false">前提・入力!F20</f>
        <v>0.5</v>
      </c>
      <c r="J22" s="35" t="n">
        <f aca="false">ROUND(前提・入力!$B$12*I22*前提・入力!$B$30/前提・入力!$B$31,0)</f>
        <v>44116</v>
      </c>
    </row>
    <row r="23" customFormat="false" ht="15" hidden="false" customHeight="false" outlineLevel="0" collapsed="false">
      <c r="A23" s="82" t="s">
        <v>775</v>
      </c>
      <c r="B23" s="40"/>
      <c r="C23" s="62" t="n">
        <f aca="false">SUM(C18:C22)</f>
        <v>0.95</v>
      </c>
      <c r="D23" s="42" t="n">
        <f aca="false">SUM(D18:D22)</f>
        <v>83821</v>
      </c>
      <c r="E23" s="62" t="n">
        <f aca="false">SUM(E18:E22)</f>
        <v>0.9908</v>
      </c>
      <c r="F23" s="42" t="n">
        <f aca="false">SUM(F18:F22)</f>
        <v>87420</v>
      </c>
      <c r="G23" s="62" t="n">
        <f aca="false">SUM(G18:G22)</f>
        <v>0.729427221797383</v>
      </c>
      <c r="H23" s="42" t="n">
        <f aca="false">SUM(H18:H22)</f>
        <v>64358</v>
      </c>
      <c r="I23" s="62" t="n">
        <f aca="false">SUM(I18:I22)</f>
        <v>0.95</v>
      </c>
      <c r="J23" s="42" t="n">
        <f aca="false">SUM(J18:J22)</f>
        <v>83821</v>
      </c>
    </row>
    <row r="25" customFormat="false" ht="15" hidden="false" customHeight="false" outlineLevel="0" collapsed="false">
      <c r="A25" s="4" t="s">
        <v>776</v>
      </c>
    </row>
    <row r="26" customFormat="false" ht="39.75" hidden="false" customHeight="true" outlineLevel="0" collapsed="false">
      <c r="A26" s="25" t="s">
        <v>253</v>
      </c>
      <c r="B26" s="25" t="s">
        <v>254</v>
      </c>
      <c r="C26" s="26" t="s">
        <v>255</v>
      </c>
      <c r="D26" s="17" t="s">
        <v>777</v>
      </c>
      <c r="E26" s="59" t="s">
        <v>778</v>
      </c>
      <c r="F26" s="48" t="s">
        <v>779</v>
      </c>
      <c r="G26" s="31" t="s">
        <v>780</v>
      </c>
      <c r="H26" s="48" t="s">
        <v>781</v>
      </c>
      <c r="I26" s="31" t="s">
        <v>782</v>
      </c>
      <c r="J26" s="48" t="s">
        <v>783</v>
      </c>
      <c r="K26" s="31" t="s">
        <v>784</v>
      </c>
      <c r="L26" s="48" t="s">
        <v>785</v>
      </c>
      <c r="M26" s="31" t="s">
        <v>786</v>
      </c>
    </row>
    <row r="27" customFormat="false" ht="15" hidden="false" customHeight="false" outlineLevel="0" collapsed="false">
      <c r="A27" s="32" t="n">
        <v>1</v>
      </c>
      <c r="B27" s="32" t="s">
        <v>276</v>
      </c>
      <c r="C27" s="33" t="s">
        <v>277</v>
      </c>
      <c r="D27" s="61" t="n">
        <f aca="false">③石川以降予測!H29</f>
        <v>0.0437823575813392</v>
      </c>
      <c r="E27" s="35" t="n">
        <f aca="false">③石川以降予測!T29</f>
        <v>2804</v>
      </c>
      <c r="F27" s="35" t="n">
        <f aca="false">ROUND($D27*D$23,0)</f>
        <v>3670</v>
      </c>
      <c r="G27" s="35" t="n">
        <f aca="false">MAX(0,F27-$E27)</f>
        <v>866</v>
      </c>
      <c r="H27" s="35" t="n">
        <f aca="false">ROUND($D27*F$23,0)</f>
        <v>3827</v>
      </c>
      <c r="I27" s="35" t="n">
        <f aca="false">MAX(0,H27-$E27)</f>
        <v>1023</v>
      </c>
      <c r="J27" s="35" t="n">
        <f aca="false">ROUND($D27*H$23,0)</f>
        <v>2818</v>
      </c>
      <c r="K27" s="35" t="n">
        <f aca="false">MAX(0,J27-$E27)</f>
        <v>14</v>
      </c>
      <c r="L27" s="35" t="n">
        <f aca="false">ROUND($D27*J$23,0)</f>
        <v>3670</v>
      </c>
      <c r="M27" s="35" t="n">
        <f aca="false">MAX(0,L27-$E27)</f>
        <v>866</v>
      </c>
    </row>
    <row r="28" customFormat="false" ht="15" hidden="false" customHeight="false" outlineLevel="0" collapsed="false">
      <c r="A28" s="32" t="n">
        <v>2</v>
      </c>
      <c r="B28" s="32" t="s">
        <v>278</v>
      </c>
      <c r="C28" s="33" t="s">
        <v>279</v>
      </c>
      <c r="D28" s="61" t="n">
        <f aca="false">③石川以降予測!H30</f>
        <v>0.0442902377035093</v>
      </c>
      <c r="E28" s="35" t="n">
        <f aca="false">③石川以降予測!T30</f>
        <v>4517</v>
      </c>
      <c r="F28" s="35" t="n">
        <f aca="false">ROUND($D28*D$23,0)</f>
        <v>3712</v>
      </c>
      <c r="G28" s="35" t="n">
        <f aca="false">MAX(0,F28-$E28)</f>
        <v>0</v>
      </c>
      <c r="H28" s="35" t="n">
        <f aca="false">ROUND($D28*F$23,0)</f>
        <v>3872</v>
      </c>
      <c r="I28" s="35" t="n">
        <f aca="false">MAX(0,H28-$E28)</f>
        <v>0</v>
      </c>
      <c r="J28" s="35" t="n">
        <f aca="false">ROUND($D28*H$23,0)</f>
        <v>2850</v>
      </c>
      <c r="K28" s="35" t="n">
        <f aca="false">MAX(0,J28-$E28)</f>
        <v>0</v>
      </c>
      <c r="L28" s="35" t="n">
        <f aca="false">ROUND($D28*J$23,0)</f>
        <v>3712</v>
      </c>
      <c r="M28" s="35" t="n">
        <f aca="false">MAX(0,L28-$E28)</f>
        <v>0</v>
      </c>
    </row>
    <row r="29" customFormat="false" ht="15" hidden="false" customHeight="false" outlineLevel="0" collapsed="false">
      <c r="A29" s="32" t="n">
        <v>3</v>
      </c>
      <c r="B29" s="32" t="s">
        <v>280</v>
      </c>
      <c r="C29" s="33" t="s">
        <v>281</v>
      </c>
      <c r="D29" s="61" t="n">
        <f aca="false">③石川以降予測!H31</f>
        <v>0.0176537025624842</v>
      </c>
      <c r="E29" s="35" t="n">
        <f aca="false">③石川以降予測!T31</f>
        <v>5982</v>
      </c>
      <c r="F29" s="35" t="n">
        <f aca="false">ROUND($D29*D$23,0)</f>
        <v>1480</v>
      </c>
      <c r="G29" s="35" t="n">
        <f aca="false">MAX(0,F29-$E29)</f>
        <v>0</v>
      </c>
      <c r="H29" s="35" t="n">
        <f aca="false">ROUND($D29*F$23,0)</f>
        <v>1543</v>
      </c>
      <c r="I29" s="35" t="n">
        <f aca="false">MAX(0,H29-$E29)</f>
        <v>0</v>
      </c>
      <c r="J29" s="35" t="n">
        <f aca="false">ROUND($D29*H$23,0)</f>
        <v>1136</v>
      </c>
      <c r="K29" s="35" t="n">
        <f aca="false">MAX(0,J29-$E29)</f>
        <v>0</v>
      </c>
      <c r="L29" s="35" t="n">
        <f aca="false">ROUND($D29*J$23,0)</f>
        <v>1480</v>
      </c>
      <c r="M29" s="35" t="n">
        <f aca="false">MAX(0,L29-$E29)</f>
        <v>0</v>
      </c>
    </row>
    <row r="30" customFormat="false" ht="15" hidden="false" customHeight="false" outlineLevel="0" collapsed="false">
      <c r="A30" s="32" t="n">
        <v>4</v>
      </c>
      <c r="B30" s="32" t="s">
        <v>282</v>
      </c>
      <c r="C30" s="33" t="s">
        <v>283</v>
      </c>
      <c r="D30" s="61" t="n">
        <f aca="false">③石川以降予測!H32</f>
        <v>0.0230482230329037</v>
      </c>
      <c r="E30" s="35" t="n">
        <f aca="false">③石川以降予測!T32</f>
        <v>27281</v>
      </c>
      <c r="F30" s="35" t="n">
        <f aca="false">ROUND($D30*D$23,0)</f>
        <v>1932</v>
      </c>
      <c r="G30" s="35" t="n">
        <f aca="false">MAX(0,F30-$E30)</f>
        <v>0</v>
      </c>
      <c r="H30" s="35" t="n">
        <f aca="false">ROUND($D30*F$23,0)</f>
        <v>2015</v>
      </c>
      <c r="I30" s="35" t="n">
        <f aca="false">MAX(0,H30-$E30)</f>
        <v>0</v>
      </c>
      <c r="J30" s="35" t="n">
        <f aca="false">ROUND($D30*H$23,0)</f>
        <v>1483</v>
      </c>
      <c r="K30" s="35" t="n">
        <f aca="false">MAX(0,J30-$E30)</f>
        <v>0</v>
      </c>
      <c r="L30" s="35" t="n">
        <f aca="false">ROUND($D30*J$23,0)</f>
        <v>1932</v>
      </c>
      <c r="M30" s="35" t="n">
        <f aca="false">MAX(0,L30-$E30)</f>
        <v>0</v>
      </c>
    </row>
    <row r="31" customFormat="false" ht="15" hidden="false" customHeight="false" outlineLevel="0" collapsed="false">
      <c r="A31" s="32" t="n">
        <v>5</v>
      </c>
      <c r="B31" s="32" t="s">
        <v>284</v>
      </c>
      <c r="C31" s="33" t="s">
        <v>285</v>
      </c>
      <c r="D31" s="61" t="n">
        <f aca="false">③石川以降予測!H33</f>
        <v>0.098195892994321</v>
      </c>
      <c r="E31" s="35" t="n">
        <f aca="false">③石川以降予測!T33</f>
        <v>39319</v>
      </c>
      <c r="F31" s="35" t="n">
        <f aca="false">ROUND($D31*D$23,0)</f>
        <v>8231</v>
      </c>
      <c r="G31" s="35" t="n">
        <f aca="false">MAX(0,F31-$E31)</f>
        <v>0</v>
      </c>
      <c r="H31" s="35" t="n">
        <f aca="false">ROUND($D31*F$23,0)</f>
        <v>8584</v>
      </c>
      <c r="I31" s="35" t="n">
        <f aca="false">MAX(0,H31-$E31)</f>
        <v>0</v>
      </c>
      <c r="J31" s="35" t="n">
        <f aca="false">ROUND($D31*H$23,0)</f>
        <v>6320</v>
      </c>
      <c r="K31" s="35" t="n">
        <f aca="false">MAX(0,J31-$E31)</f>
        <v>0</v>
      </c>
      <c r="L31" s="35" t="n">
        <f aca="false">ROUND($D31*J$23,0)</f>
        <v>8231</v>
      </c>
      <c r="M31" s="35" t="n">
        <f aca="false">MAX(0,L31-$E31)</f>
        <v>0</v>
      </c>
    </row>
    <row r="32" customFormat="false" ht="15" hidden="false" customHeight="false" outlineLevel="0" collapsed="false">
      <c r="A32" s="32" t="n">
        <v>6</v>
      </c>
      <c r="B32" s="32" t="s">
        <v>286</v>
      </c>
      <c r="C32" s="33" t="s">
        <v>287</v>
      </c>
      <c r="D32" s="61" t="n">
        <f aca="false">③石川以降予測!H34</f>
        <v>0.224012407691899</v>
      </c>
      <c r="E32" s="35" t="n">
        <f aca="false">③石川以降予測!T34</f>
        <v>49429</v>
      </c>
      <c r="F32" s="35" t="n">
        <f aca="false">ROUND($D32*D$23,0)</f>
        <v>18777</v>
      </c>
      <c r="G32" s="35" t="n">
        <f aca="false">MAX(0,F32-$E32)</f>
        <v>0</v>
      </c>
      <c r="H32" s="35" t="n">
        <f aca="false">ROUND($D32*F$23,0)</f>
        <v>19583</v>
      </c>
      <c r="I32" s="35" t="n">
        <f aca="false">MAX(0,H32-$E32)</f>
        <v>0</v>
      </c>
      <c r="J32" s="35" t="n">
        <f aca="false">ROUND($D32*H$23,0)</f>
        <v>14417</v>
      </c>
      <c r="K32" s="35" t="n">
        <f aca="false">MAX(0,J32-$E32)</f>
        <v>0</v>
      </c>
      <c r="L32" s="35" t="n">
        <f aca="false">ROUND($D32*J$23,0)</f>
        <v>18777</v>
      </c>
      <c r="M32" s="35" t="n">
        <f aca="false">MAX(0,L32-$E32)</f>
        <v>0</v>
      </c>
    </row>
    <row r="33" customFormat="false" ht="15" hidden="false" customHeight="false" outlineLevel="0" collapsed="false">
      <c r="A33" s="32" t="n">
        <v>7</v>
      </c>
      <c r="B33" s="32" t="s">
        <v>288</v>
      </c>
      <c r="C33" s="33" t="s">
        <v>289</v>
      </c>
      <c r="D33" s="61" t="n">
        <f aca="false">③石川以降予測!H35</f>
        <v>0.0182022263368078</v>
      </c>
      <c r="E33" s="35" t="n">
        <f aca="false">③石川以降予測!T35</f>
        <v>4347</v>
      </c>
      <c r="F33" s="35" t="n">
        <f aca="false">ROUND($D33*D$23,0)</f>
        <v>1526</v>
      </c>
      <c r="G33" s="35" t="n">
        <f aca="false">MAX(0,F33-$E33)</f>
        <v>0</v>
      </c>
      <c r="H33" s="35" t="n">
        <f aca="false">ROUND($D33*F$23,0)</f>
        <v>1591</v>
      </c>
      <c r="I33" s="35" t="n">
        <f aca="false">MAX(0,H33-$E33)</f>
        <v>0</v>
      </c>
      <c r="J33" s="35" t="n">
        <f aca="false">ROUND($D33*H$23,0)</f>
        <v>1171</v>
      </c>
      <c r="K33" s="35" t="n">
        <f aca="false">MAX(0,J33-$E33)</f>
        <v>0</v>
      </c>
      <c r="L33" s="35" t="n">
        <f aca="false">ROUND($D33*J$23,0)</f>
        <v>1526</v>
      </c>
      <c r="M33" s="35" t="n">
        <f aca="false">MAX(0,L33-$E33)</f>
        <v>0</v>
      </c>
    </row>
    <row r="34" customFormat="false" ht="15" hidden="false" customHeight="false" outlineLevel="0" collapsed="false">
      <c r="A34" s="32" t="n">
        <v>8</v>
      </c>
      <c r="B34" s="32" t="s">
        <v>290</v>
      </c>
      <c r="C34" s="33" t="s">
        <v>291</v>
      </c>
      <c r="D34" s="61" t="n">
        <f aca="false">③石川以降予測!H36</f>
        <v>0.0329485504263558</v>
      </c>
      <c r="E34" s="35" t="n">
        <f aca="false">③石川以降予測!T36</f>
        <v>8206</v>
      </c>
      <c r="F34" s="35" t="n">
        <f aca="false">ROUND($D34*D$23,0)</f>
        <v>2762</v>
      </c>
      <c r="G34" s="35" t="n">
        <f aca="false">MAX(0,F34-$E34)</f>
        <v>0</v>
      </c>
      <c r="H34" s="35" t="n">
        <f aca="false">ROUND($D34*F$23,0)</f>
        <v>2880</v>
      </c>
      <c r="I34" s="35" t="n">
        <f aca="false">MAX(0,H34-$E34)</f>
        <v>0</v>
      </c>
      <c r="J34" s="35" t="n">
        <f aca="false">ROUND($D34*H$23,0)</f>
        <v>2121</v>
      </c>
      <c r="K34" s="35" t="n">
        <f aca="false">MAX(0,J34-$E34)</f>
        <v>0</v>
      </c>
      <c r="L34" s="35" t="n">
        <f aca="false">ROUND($D34*J$23,0)</f>
        <v>2762</v>
      </c>
      <c r="M34" s="35" t="n">
        <f aca="false">MAX(0,L34-$E34)</f>
        <v>0</v>
      </c>
    </row>
    <row r="35" customFormat="false" ht="15" hidden="false" customHeight="false" outlineLevel="0" collapsed="false">
      <c r="A35" s="32" t="n">
        <v>9</v>
      </c>
      <c r="B35" s="32" t="s">
        <v>292</v>
      </c>
      <c r="C35" s="33" t="s">
        <v>293</v>
      </c>
      <c r="D35" s="61" t="n">
        <f aca="false">③石川以降予測!H37</f>
        <v>0.013213971630919</v>
      </c>
      <c r="E35" s="35" t="n">
        <f aca="false">③石川以降予測!T37</f>
        <v>8626</v>
      </c>
      <c r="F35" s="35" t="n">
        <f aca="false">ROUND($D35*D$23,0)</f>
        <v>1108</v>
      </c>
      <c r="G35" s="35" t="n">
        <f aca="false">MAX(0,F35-$E35)</f>
        <v>0</v>
      </c>
      <c r="H35" s="35" t="n">
        <f aca="false">ROUND($D35*F$23,0)</f>
        <v>1155</v>
      </c>
      <c r="I35" s="35" t="n">
        <f aca="false">MAX(0,H35-$E35)</f>
        <v>0</v>
      </c>
      <c r="J35" s="35" t="n">
        <f aca="false">ROUND($D35*H$23,0)</f>
        <v>850</v>
      </c>
      <c r="K35" s="35" t="n">
        <f aca="false">MAX(0,J35-$E35)</f>
        <v>0</v>
      </c>
      <c r="L35" s="35" t="n">
        <f aca="false">ROUND($D35*J$23,0)</f>
        <v>1108</v>
      </c>
      <c r="M35" s="35" t="n">
        <f aca="false">MAX(0,L35-$E35)</f>
        <v>0</v>
      </c>
    </row>
    <row r="36" customFormat="false" ht="15" hidden="false" customHeight="false" outlineLevel="0" collapsed="false">
      <c r="A36" s="32" t="n">
        <v>10</v>
      </c>
      <c r="B36" s="32" t="s">
        <v>294</v>
      </c>
      <c r="C36" s="33" t="s">
        <v>295</v>
      </c>
      <c r="D36" s="61" t="n">
        <f aca="false">③石川以降予測!H38</f>
        <v>0.00522708799923947</v>
      </c>
      <c r="E36" s="35" t="n">
        <f aca="false">③石川以降予測!T38</f>
        <v>4880</v>
      </c>
      <c r="F36" s="35" t="n">
        <f aca="false">ROUND($D36*D$23,0)</f>
        <v>438</v>
      </c>
      <c r="G36" s="35" t="n">
        <f aca="false">MAX(0,F36-$E36)</f>
        <v>0</v>
      </c>
      <c r="H36" s="35" t="n">
        <f aca="false">ROUND($D36*F$23,0)</f>
        <v>457</v>
      </c>
      <c r="I36" s="35" t="n">
        <f aca="false">MAX(0,H36-$E36)</f>
        <v>0</v>
      </c>
      <c r="J36" s="35" t="n">
        <f aca="false">ROUND($D36*H$23,0)</f>
        <v>336</v>
      </c>
      <c r="K36" s="35" t="n">
        <f aca="false">MAX(0,J36-$E36)</f>
        <v>0</v>
      </c>
      <c r="L36" s="35" t="n">
        <f aca="false">ROUND($D36*J$23,0)</f>
        <v>438</v>
      </c>
      <c r="M36" s="35" t="n">
        <f aca="false">MAX(0,L36-$E36)</f>
        <v>0</v>
      </c>
    </row>
    <row r="37" customFormat="false" ht="15" hidden="false" customHeight="false" outlineLevel="0" collapsed="false">
      <c r="A37" s="32" t="n">
        <v>11</v>
      </c>
      <c r="B37" s="32" t="s">
        <v>296</v>
      </c>
      <c r="C37" s="33" t="s">
        <v>297</v>
      </c>
      <c r="D37" s="61" t="n">
        <f aca="false">③石川以降予測!H39</f>
        <v>0.00216672518869346</v>
      </c>
      <c r="E37" s="35" t="n">
        <f aca="false">③石川以降予測!T39</f>
        <v>612</v>
      </c>
      <c r="F37" s="35" t="n">
        <f aca="false">ROUND($D37*D$23,0)</f>
        <v>182</v>
      </c>
      <c r="G37" s="35" t="n">
        <f aca="false">MAX(0,F37-$E37)</f>
        <v>0</v>
      </c>
      <c r="H37" s="35" t="n">
        <f aca="false">ROUND($D37*F$23,0)</f>
        <v>189</v>
      </c>
      <c r="I37" s="35" t="n">
        <f aca="false">MAX(0,H37-$E37)</f>
        <v>0</v>
      </c>
      <c r="J37" s="35" t="n">
        <f aca="false">ROUND($D37*H$23,0)</f>
        <v>139</v>
      </c>
      <c r="K37" s="35" t="n">
        <f aca="false">MAX(0,J37-$E37)</f>
        <v>0</v>
      </c>
      <c r="L37" s="35" t="n">
        <f aca="false">ROUND($D37*J$23,0)</f>
        <v>182</v>
      </c>
      <c r="M37" s="35" t="n">
        <f aca="false">MAX(0,L37-$E37)</f>
        <v>0</v>
      </c>
    </row>
    <row r="38" customFormat="false" ht="15" hidden="false" customHeight="false" outlineLevel="0" collapsed="false">
      <c r="A38" s="32" t="n">
        <v>12</v>
      </c>
      <c r="B38" s="32" t="s">
        <v>298</v>
      </c>
      <c r="C38" s="33" t="s">
        <v>299</v>
      </c>
      <c r="D38" s="61" t="n">
        <f aca="false">③石川以降予測!H40</f>
        <v>0.00305748085047304</v>
      </c>
      <c r="E38" s="35" t="n">
        <f aca="false">③石川以降予測!T40</f>
        <v>918</v>
      </c>
      <c r="F38" s="35" t="n">
        <f aca="false">ROUND($D38*D$23,0)</f>
        <v>256</v>
      </c>
      <c r="G38" s="35" t="n">
        <f aca="false">MAX(0,F38-$E38)</f>
        <v>0</v>
      </c>
      <c r="H38" s="35" t="n">
        <f aca="false">ROUND($D38*F$23,0)</f>
        <v>267</v>
      </c>
      <c r="I38" s="35" t="n">
        <f aca="false">MAX(0,H38-$E38)</f>
        <v>0</v>
      </c>
      <c r="J38" s="35" t="n">
        <f aca="false">ROUND($D38*H$23,0)</f>
        <v>197</v>
      </c>
      <c r="K38" s="35" t="n">
        <f aca="false">MAX(0,J38-$E38)</f>
        <v>0</v>
      </c>
      <c r="L38" s="35" t="n">
        <f aca="false">ROUND($D38*J$23,0)</f>
        <v>256</v>
      </c>
      <c r="M38" s="35" t="n">
        <f aca="false">MAX(0,L38-$E38)</f>
        <v>0</v>
      </c>
    </row>
    <row r="39" customFormat="false" ht="15" hidden="false" customHeight="false" outlineLevel="0" collapsed="false">
      <c r="A39" s="32" t="n">
        <v>13</v>
      </c>
      <c r="B39" s="32" t="s">
        <v>300</v>
      </c>
      <c r="C39" s="33" t="s">
        <v>301</v>
      </c>
      <c r="D39" s="61" t="n">
        <f aca="false">③石川以降予測!H41</f>
        <v>0.000726023939156421</v>
      </c>
      <c r="E39" s="35" t="n">
        <f aca="false">③石川以降予測!T41</f>
        <v>313</v>
      </c>
      <c r="F39" s="35" t="n">
        <f aca="false">ROUND($D39*D$23,0)</f>
        <v>61</v>
      </c>
      <c r="G39" s="35" t="n">
        <f aca="false">MAX(0,F39-$E39)</f>
        <v>0</v>
      </c>
      <c r="H39" s="35" t="n">
        <f aca="false">ROUND($D39*F$23,0)</f>
        <v>63</v>
      </c>
      <c r="I39" s="35" t="n">
        <f aca="false">MAX(0,H39-$E39)</f>
        <v>0</v>
      </c>
      <c r="J39" s="35" t="n">
        <f aca="false">ROUND($D39*H$23,0)</f>
        <v>47</v>
      </c>
      <c r="K39" s="35" t="n">
        <f aca="false">MAX(0,J39-$E39)</f>
        <v>0</v>
      </c>
      <c r="L39" s="35" t="n">
        <f aca="false">ROUND($D39*J$23,0)</f>
        <v>61</v>
      </c>
      <c r="M39" s="35" t="n">
        <f aca="false">MAX(0,L39-$E39)</f>
        <v>0</v>
      </c>
    </row>
    <row r="40" customFormat="false" ht="15" hidden="false" customHeight="false" outlineLevel="0" collapsed="false">
      <c r="A40" s="32" t="n">
        <v>14</v>
      </c>
      <c r="B40" s="32" t="s">
        <v>302</v>
      </c>
      <c r="C40" s="33" t="s">
        <v>303</v>
      </c>
      <c r="D40" s="61" t="n">
        <f aca="false">③石川以降予測!H42</f>
        <v>0.00314438919661547</v>
      </c>
      <c r="E40" s="35" t="n">
        <f aca="false">③石川以降予測!T42</f>
        <v>1754</v>
      </c>
      <c r="F40" s="35" t="n">
        <f aca="false">ROUND($D40*D$23,0)</f>
        <v>264</v>
      </c>
      <c r="G40" s="35" t="n">
        <f aca="false">MAX(0,F40-$E40)</f>
        <v>0</v>
      </c>
      <c r="H40" s="35" t="n">
        <f aca="false">ROUND($D40*F$23,0)</f>
        <v>275</v>
      </c>
      <c r="I40" s="35" t="n">
        <f aca="false">MAX(0,H40-$E40)</f>
        <v>0</v>
      </c>
      <c r="J40" s="35" t="n">
        <f aca="false">ROUND($D40*H$23,0)</f>
        <v>202</v>
      </c>
      <c r="K40" s="35" t="n">
        <f aca="false">MAX(0,J40-$E40)</f>
        <v>0</v>
      </c>
      <c r="L40" s="35" t="n">
        <f aca="false">ROUND($D40*J$23,0)</f>
        <v>264</v>
      </c>
      <c r="M40" s="35" t="n">
        <f aca="false">MAX(0,L40-$E40)</f>
        <v>0</v>
      </c>
    </row>
    <row r="41" customFormat="false" ht="15" hidden="false" customHeight="false" outlineLevel="0" collapsed="false">
      <c r="A41" s="32" t="n">
        <v>15</v>
      </c>
      <c r="B41" s="32" t="s">
        <v>304</v>
      </c>
      <c r="C41" s="33" t="s">
        <v>305</v>
      </c>
      <c r="D41" s="61" t="n">
        <f aca="false">③石川以降予測!H43</f>
        <v>0.00488503732329961</v>
      </c>
      <c r="E41" s="35" t="n">
        <f aca="false">③石川以降予測!T43</f>
        <v>2071</v>
      </c>
      <c r="F41" s="35" t="n">
        <f aca="false">ROUND($D41*D$23,0)</f>
        <v>409</v>
      </c>
      <c r="G41" s="35" t="n">
        <f aca="false">MAX(0,F41-$E41)</f>
        <v>0</v>
      </c>
      <c r="H41" s="35" t="n">
        <f aca="false">ROUND($D41*F$23,0)</f>
        <v>427</v>
      </c>
      <c r="I41" s="35" t="n">
        <f aca="false">MAX(0,H41-$E41)</f>
        <v>0</v>
      </c>
      <c r="J41" s="35" t="n">
        <f aca="false">ROUND($D41*H$23,0)</f>
        <v>314</v>
      </c>
      <c r="K41" s="35" t="n">
        <f aca="false">MAX(0,J41-$E41)</f>
        <v>0</v>
      </c>
      <c r="L41" s="35" t="n">
        <f aca="false">ROUND($D41*J$23,0)</f>
        <v>409</v>
      </c>
      <c r="M41" s="35" t="n">
        <f aca="false">MAX(0,L41-$E41)</f>
        <v>0</v>
      </c>
    </row>
    <row r="42" customFormat="false" ht="15" hidden="false" customHeight="false" outlineLevel="0" collapsed="false">
      <c r="A42" s="32" t="n">
        <v>16</v>
      </c>
      <c r="B42" s="32" t="s">
        <v>306</v>
      </c>
      <c r="C42" s="33" t="s">
        <v>307</v>
      </c>
      <c r="D42" s="61" t="n">
        <f aca="false">③石川以降予測!H44</f>
        <v>0.00123178528052309</v>
      </c>
      <c r="E42" s="35" t="n">
        <f aca="false">③石川以降予測!T44</f>
        <v>759</v>
      </c>
      <c r="F42" s="35" t="n">
        <f aca="false">ROUND($D42*D$23,0)</f>
        <v>103</v>
      </c>
      <c r="G42" s="35" t="n">
        <f aca="false">MAX(0,F42-$E42)</f>
        <v>0</v>
      </c>
      <c r="H42" s="35" t="n">
        <f aca="false">ROUND($D42*F$23,0)</f>
        <v>108</v>
      </c>
      <c r="I42" s="35" t="n">
        <f aca="false">MAX(0,H42-$E42)</f>
        <v>0</v>
      </c>
      <c r="J42" s="35" t="n">
        <f aca="false">ROUND($D42*H$23,0)</f>
        <v>79</v>
      </c>
      <c r="K42" s="35" t="n">
        <f aca="false">MAX(0,J42-$E42)</f>
        <v>0</v>
      </c>
      <c r="L42" s="35" t="n">
        <f aca="false">ROUND($D42*J$23,0)</f>
        <v>103</v>
      </c>
      <c r="M42" s="35" t="n">
        <f aca="false">MAX(0,L42-$E42)</f>
        <v>0</v>
      </c>
    </row>
    <row r="43" customFormat="false" ht="15" hidden="false" customHeight="false" outlineLevel="0" collapsed="false">
      <c r="A43" s="32" t="n">
        <v>17</v>
      </c>
      <c r="B43" s="32" t="s">
        <v>308</v>
      </c>
      <c r="C43" s="33" t="s">
        <v>309</v>
      </c>
      <c r="D43" s="61" t="n">
        <f aca="false">③石川以降予測!H45</f>
        <v>0.00771152924816597</v>
      </c>
      <c r="E43" s="35" t="n">
        <f aca="false">③石川以降予測!T45</f>
        <v>2421</v>
      </c>
      <c r="F43" s="35" t="n">
        <f aca="false">ROUND($D43*D$23,0)</f>
        <v>646</v>
      </c>
      <c r="G43" s="35" t="n">
        <f aca="false">MAX(0,F43-$E43)</f>
        <v>0</v>
      </c>
      <c r="H43" s="35" t="n">
        <f aca="false">ROUND($D43*F$23,0)</f>
        <v>674</v>
      </c>
      <c r="I43" s="35" t="n">
        <f aca="false">MAX(0,H43-$E43)</f>
        <v>0</v>
      </c>
      <c r="J43" s="35" t="n">
        <f aca="false">ROUND($D43*H$23,0)</f>
        <v>496</v>
      </c>
      <c r="K43" s="35" t="n">
        <f aca="false">MAX(0,J43-$E43)</f>
        <v>0</v>
      </c>
      <c r="L43" s="35" t="n">
        <f aca="false">ROUND($D43*J$23,0)</f>
        <v>646</v>
      </c>
      <c r="M43" s="35" t="n">
        <f aca="false">MAX(0,L43-$E43)</f>
        <v>0</v>
      </c>
    </row>
    <row r="44" customFormat="false" ht="15" hidden="false" customHeight="false" outlineLevel="0" collapsed="false">
      <c r="A44" s="32" t="n">
        <v>18</v>
      </c>
      <c r="B44" s="32" t="s">
        <v>310</v>
      </c>
      <c r="C44" s="33" t="s">
        <v>311</v>
      </c>
      <c r="D44" s="61" t="n">
        <f aca="false">③石川以降予測!H46</f>
        <v>0.0394540891563447</v>
      </c>
      <c r="E44" s="35" t="n">
        <f aca="false">③石川以降予測!T46</f>
        <v>9300</v>
      </c>
      <c r="F44" s="35" t="n">
        <f aca="false">ROUND($D44*D$23,0)</f>
        <v>3307</v>
      </c>
      <c r="G44" s="35" t="n">
        <f aca="false">MAX(0,F44-$E44)</f>
        <v>0</v>
      </c>
      <c r="H44" s="35" t="n">
        <f aca="false">ROUND($D44*F$23,0)</f>
        <v>3449</v>
      </c>
      <c r="I44" s="35" t="n">
        <f aca="false">MAX(0,H44-$E44)</f>
        <v>0</v>
      </c>
      <c r="J44" s="35" t="n">
        <f aca="false">ROUND($D44*H$23,0)</f>
        <v>2539</v>
      </c>
      <c r="K44" s="35" t="n">
        <f aca="false">MAX(0,J44-$E44)</f>
        <v>0</v>
      </c>
      <c r="L44" s="35" t="n">
        <f aca="false">ROUND($D44*J$23,0)</f>
        <v>3307</v>
      </c>
      <c r="M44" s="35" t="n">
        <f aca="false">MAX(0,L44-$E44)</f>
        <v>0</v>
      </c>
    </row>
    <row r="45" customFormat="false" ht="15" hidden="false" customHeight="false" outlineLevel="0" collapsed="false">
      <c r="A45" s="32" t="n">
        <v>19</v>
      </c>
      <c r="B45" s="32" t="s">
        <v>312</v>
      </c>
      <c r="C45" s="33" t="s">
        <v>313</v>
      </c>
      <c r="D45" s="61" t="n">
        <f aca="false">③石川以降予測!H47</f>
        <v>0.00118595967597708</v>
      </c>
      <c r="E45" s="35" t="n">
        <f aca="false">③石川以降予測!T47</f>
        <v>2225</v>
      </c>
      <c r="F45" s="35" t="n">
        <f aca="false">ROUND($D45*D$23,0)</f>
        <v>99</v>
      </c>
      <c r="G45" s="35" t="n">
        <f aca="false">MAX(0,F45-$E45)</f>
        <v>0</v>
      </c>
      <c r="H45" s="35" t="n">
        <f aca="false">ROUND($D45*F$23,0)</f>
        <v>104</v>
      </c>
      <c r="I45" s="35" t="n">
        <f aca="false">MAX(0,H45-$E45)</f>
        <v>0</v>
      </c>
      <c r="J45" s="35" t="n">
        <f aca="false">ROUND($D45*H$23,0)</f>
        <v>76</v>
      </c>
      <c r="K45" s="35" t="n">
        <f aca="false">MAX(0,J45-$E45)</f>
        <v>0</v>
      </c>
      <c r="L45" s="35" t="n">
        <f aca="false">ROUND($D45*J$23,0)</f>
        <v>99</v>
      </c>
      <c r="M45" s="35" t="n">
        <f aca="false">MAX(0,L45-$E45)</f>
        <v>0</v>
      </c>
    </row>
    <row r="46" customFormat="false" ht="15" hidden="false" customHeight="false" outlineLevel="0" collapsed="false">
      <c r="A46" s="32" t="n">
        <v>20</v>
      </c>
      <c r="B46" s="32" t="s">
        <v>314</v>
      </c>
      <c r="C46" s="33" t="s">
        <v>315</v>
      </c>
      <c r="D46" s="61" t="n">
        <f aca="false">③石川以降予測!H48</f>
        <v>0.00127348832307839</v>
      </c>
      <c r="E46" s="35" t="n">
        <f aca="false">③石川以降予測!T48</f>
        <v>284</v>
      </c>
      <c r="F46" s="35" t="n">
        <f aca="false">ROUND($D46*D$23,0)</f>
        <v>107</v>
      </c>
      <c r="G46" s="35" t="n">
        <f aca="false">MAX(0,F46-$E46)</f>
        <v>0</v>
      </c>
      <c r="H46" s="35" t="n">
        <f aca="false">ROUND($D46*F$23,0)</f>
        <v>111</v>
      </c>
      <c r="I46" s="35" t="n">
        <f aca="false">MAX(0,H46-$E46)</f>
        <v>0</v>
      </c>
      <c r="J46" s="35" t="n">
        <f aca="false">ROUND($D46*H$23,0)</f>
        <v>82</v>
      </c>
      <c r="K46" s="35" t="n">
        <f aca="false">MAX(0,J46-$E46)</f>
        <v>0</v>
      </c>
      <c r="L46" s="35" t="n">
        <f aca="false">ROUND($D46*J$23,0)</f>
        <v>107</v>
      </c>
      <c r="M46" s="35" t="n">
        <f aca="false">MAX(0,L46-$E46)</f>
        <v>0</v>
      </c>
    </row>
    <row r="47" customFormat="false" ht="15" hidden="false" customHeight="false" outlineLevel="0" collapsed="false">
      <c r="A47" s="32" t="n">
        <v>21</v>
      </c>
      <c r="B47" s="32" t="s">
        <v>316</v>
      </c>
      <c r="C47" s="33" t="s">
        <v>317</v>
      </c>
      <c r="D47" s="61" t="n">
        <f aca="false">③石川以降予測!H49</f>
        <v>0.00703009031163781</v>
      </c>
      <c r="E47" s="35" t="n">
        <f aca="false">③石川以降予測!T49</f>
        <v>217</v>
      </c>
      <c r="F47" s="35" t="n">
        <f aca="false">ROUND($D47*D$23,0)</f>
        <v>589</v>
      </c>
      <c r="G47" s="35" t="n">
        <f aca="false">MAX(0,F47-$E47)</f>
        <v>372</v>
      </c>
      <c r="H47" s="35" t="n">
        <f aca="false">ROUND($D47*F$23,0)</f>
        <v>615</v>
      </c>
      <c r="I47" s="35" t="n">
        <f aca="false">MAX(0,H47-$E47)</f>
        <v>398</v>
      </c>
      <c r="J47" s="35" t="n">
        <f aca="false">ROUND($D47*H$23,0)</f>
        <v>452</v>
      </c>
      <c r="K47" s="35" t="n">
        <f aca="false">MAX(0,J47-$E47)</f>
        <v>235</v>
      </c>
      <c r="L47" s="35" t="n">
        <f aca="false">ROUND($D47*J$23,0)</f>
        <v>589</v>
      </c>
      <c r="M47" s="35" t="n">
        <f aca="false">MAX(0,L47-$E47)</f>
        <v>372</v>
      </c>
    </row>
    <row r="48" customFormat="false" ht="15" hidden="false" customHeight="false" outlineLevel="0" collapsed="false">
      <c r="A48" s="32" t="n">
        <v>22</v>
      </c>
      <c r="B48" s="32" t="s">
        <v>318</v>
      </c>
      <c r="C48" s="33" t="s">
        <v>319</v>
      </c>
      <c r="D48" s="61" t="n">
        <f aca="false">③石川以降予測!H50</f>
        <v>0.00445111589354632</v>
      </c>
      <c r="E48" s="35" t="n">
        <f aca="false">③石川以降予測!T50</f>
        <v>1275</v>
      </c>
      <c r="F48" s="35" t="n">
        <f aca="false">ROUND($D48*D$23,0)</f>
        <v>373</v>
      </c>
      <c r="G48" s="35" t="n">
        <f aca="false">MAX(0,F48-$E48)</f>
        <v>0</v>
      </c>
      <c r="H48" s="35" t="n">
        <f aca="false">ROUND($D48*F$23,0)</f>
        <v>389</v>
      </c>
      <c r="I48" s="35" t="n">
        <f aca="false">MAX(0,H48-$E48)</f>
        <v>0</v>
      </c>
      <c r="J48" s="35" t="n">
        <f aca="false">ROUND($D48*H$23,0)</f>
        <v>286</v>
      </c>
      <c r="K48" s="35" t="n">
        <f aca="false">MAX(0,J48-$E48)</f>
        <v>0</v>
      </c>
      <c r="L48" s="35" t="n">
        <f aca="false">ROUND($D48*J$23,0)</f>
        <v>373</v>
      </c>
      <c r="M48" s="35" t="n">
        <f aca="false">MAX(0,L48-$E48)</f>
        <v>0</v>
      </c>
    </row>
    <row r="49" customFormat="false" ht="15" hidden="false" customHeight="false" outlineLevel="0" collapsed="false">
      <c r="A49" s="32" t="n">
        <v>23</v>
      </c>
      <c r="B49" s="32" t="s">
        <v>320</v>
      </c>
      <c r="C49" s="33" t="s">
        <v>321</v>
      </c>
      <c r="D49" s="61" t="n">
        <f aca="false">③石川以降予測!H51</f>
        <v>0.221590944414483</v>
      </c>
      <c r="E49" s="35" t="n">
        <f aca="false">③石川以降予測!T51</f>
        <v>49625</v>
      </c>
      <c r="F49" s="35" t="n">
        <f aca="false">ROUND($D49*D$23,0)</f>
        <v>18574</v>
      </c>
      <c r="G49" s="35" t="n">
        <f aca="false">MAX(0,F49-$E49)</f>
        <v>0</v>
      </c>
      <c r="H49" s="35" t="n">
        <f aca="false">ROUND($D49*F$23,0)</f>
        <v>19371</v>
      </c>
      <c r="I49" s="35" t="n">
        <f aca="false">MAX(0,H49-$E49)</f>
        <v>0</v>
      </c>
      <c r="J49" s="35" t="n">
        <f aca="false">ROUND($D49*H$23,0)</f>
        <v>14261</v>
      </c>
      <c r="K49" s="35" t="n">
        <f aca="false">MAX(0,J49-$E49)</f>
        <v>0</v>
      </c>
      <c r="L49" s="35" t="n">
        <f aca="false">ROUND($D49*J$23,0)</f>
        <v>18574</v>
      </c>
      <c r="M49" s="35" t="n">
        <f aca="false">MAX(0,L49-$E49)</f>
        <v>0</v>
      </c>
    </row>
    <row r="50" customFormat="false" ht="15" hidden="false" customHeight="false" outlineLevel="0" collapsed="false">
      <c r="A50" s="32" t="n">
        <v>24</v>
      </c>
      <c r="B50" s="32" t="s">
        <v>322</v>
      </c>
      <c r="C50" s="33" t="s">
        <v>323</v>
      </c>
      <c r="D50" s="61" t="n">
        <f aca="false">③石川以降予測!H52</f>
        <v>0.12109739394143</v>
      </c>
      <c r="E50" s="35" t="n">
        <f aca="false">③石川以降予測!T52</f>
        <v>31009</v>
      </c>
      <c r="F50" s="35" t="n">
        <f aca="false">ROUND($D50*D$23,0)</f>
        <v>10151</v>
      </c>
      <c r="G50" s="35" t="n">
        <f aca="false">MAX(0,F50-$E50)</f>
        <v>0</v>
      </c>
      <c r="H50" s="35" t="n">
        <f aca="false">ROUND($D50*F$23,0)</f>
        <v>10586</v>
      </c>
      <c r="I50" s="35" t="n">
        <f aca="false">MAX(0,H50-$E50)</f>
        <v>0</v>
      </c>
      <c r="J50" s="35" t="n">
        <f aca="false">ROUND($D50*H$23,0)</f>
        <v>7794</v>
      </c>
      <c r="K50" s="35" t="n">
        <f aca="false">MAX(0,J50-$E50)</f>
        <v>0</v>
      </c>
      <c r="L50" s="35" t="n">
        <f aca="false">ROUND($D50*J$23,0)</f>
        <v>10151</v>
      </c>
      <c r="M50" s="35" t="n">
        <f aca="false">MAX(0,L50-$E50)</f>
        <v>0</v>
      </c>
    </row>
    <row r="51" customFormat="false" ht="15" hidden="false" customHeight="false" outlineLevel="0" collapsed="false">
      <c r="A51" s="32" t="n">
        <v>25</v>
      </c>
      <c r="B51" s="32" t="s">
        <v>324</v>
      </c>
      <c r="C51" s="33" t="s">
        <v>325</v>
      </c>
      <c r="D51" s="61" t="n">
        <f aca="false">③石川以降予測!H53</f>
        <v>0.00429400899394572</v>
      </c>
      <c r="E51" s="35" t="n">
        <f aca="false">③石川以降予測!T53</f>
        <v>3462</v>
      </c>
      <c r="F51" s="35" t="n">
        <f aca="false">ROUND($D51*D$23,0)</f>
        <v>360</v>
      </c>
      <c r="G51" s="35" t="n">
        <f aca="false">MAX(0,F51-$E51)</f>
        <v>0</v>
      </c>
      <c r="H51" s="35" t="n">
        <f aca="false">ROUND($D51*F$23,0)</f>
        <v>375</v>
      </c>
      <c r="I51" s="35" t="n">
        <f aca="false">MAX(0,H51-$E51)</f>
        <v>0</v>
      </c>
      <c r="J51" s="35" t="n">
        <f aca="false">ROUND($D51*H$23,0)</f>
        <v>276</v>
      </c>
      <c r="K51" s="35" t="n">
        <f aca="false">MAX(0,J51-$E51)</f>
        <v>0</v>
      </c>
      <c r="L51" s="35" t="n">
        <f aca="false">ROUND($D51*J$23,0)</f>
        <v>360</v>
      </c>
      <c r="M51" s="35" t="n">
        <f aca="false">MAX(0,L51-$E51)</f>
        <v>0</v>
      </c>
    </row>
    <row r="52" customFormat="false" ht="15" hidden="false" customHeight="false" outlineLevel="0" collapsed="false">
      <c r="A52" s="32" t="n">
        <v>26</v>
      </c>
      <c r="B52" s="32" t="s">
        <v>326</v>
      </c>
      <c r="C52" s="33" t="s">
        <v>327</v>
      </c>
      <c r="D52" s="61" t="n">
        <f aca="false">③石川以降予測!H54</f>
        <v>0.0157120211677354</v>
      </c>
      <c r="E52" s="35" t="n">
        <f aca="false">③石川以降予測!T54</f>
        <v>333</v>
      </c>
      <c r="F52" s="35" t="n">
        <f aca="false">ROUND($D52*D$23,0)</f>
        <v>1317</v>
      </c>
      <c r="G52" s="35" t="n">
        <f aca="false">MAX(0,F52-$E52)</f>
        <v>984</v>
      </c>
      <c r="H52" s="35" t="n">
        <f aca="false">ROUND($D52*F$23,0)</f>
        <v>1374</v>
      </c>
      <c r="I52" s="35" t="n">
        <f aca="false">MAX(0,H52-$E52)</f>
        <v>1041</v>
      </c>
      <c r="J52" s="35" t="n">
        <f aca="false">ROUND($D52*H$23,0)</f>
        <v>1011</v>
      </c>
      <c r="K52" s="35" t="n">
        <f aca="false">MAX(0,J52-$E52)</f>
        <v>678</v>
      </c>
      <c r="L52" s="35" t="n">
        <f aca="false">ROUND($D52*J$23,0)</f>
        <v>1317</v>
      </c>
      <c r="M52" s="35" t="n">
        <f aca="false">MAX(0,L52-$E52)</f>
        <v>984</v>
      </c>
    </row>
    <row r="53" customFormat="false" ht="15" hidden="false" customHeight="false" outlineLevel="0" collapsed="false">
      <c r="A53" s="32" t="n">
        <v>27</v>
      </c>
      <c r="B53" s="32" t="s">
        <v>328</v>
      </c>
      <c r="C53" s="33" t="s">
        <v>329</v>
      </c>
      <c r="D53" s="61" t="n">
        <f aca="false">③石川以降予測!H55</f>
        <v>0.0032476065792047</v>
      </c>
      <c r="E53" s="35" t="n">
        <f aca="false">③石川以降予測!T55</f>
        <v>1160</v>
      </c>
      <c r="F53" s="35" t="n">
        <f aca="false">ROUND($D53*D$23,0)</f>
        <v>272</v>
      </c>
      <c r="G53" s="35" t="n">
        <f aca="false">MAX(0,F53-$E53)</f>
        <v>0</v>
      </c>
      <c r="H53" s="35" t="n">
        <f aca="false">ROUND($D53*F$23,0)</f>
        <v>284</v>
      </c>
      <c r="I53" s="35" t="n">
        <f aca="false">MAX(0,H53-$E53)</f>
        <v>0</v>
      </c>
      <c r="J53" s="35" t="n">
        <f aca="false">ROUND($D53*H$23,0)</f>
        <v>209</v>
      </c>
      <c r="K53" s="35" t="n">
        <f aca="false">MAX(0,J53-$E53)</f>
        <v>0</v>
      </c>
      <c r="L53" s="35" t="n">
        <f aca="false">ROUND($D53*J$23,0)</f>
        <v>272</v>
      </c>
      <c r="M53" s="35" t="n">
        <f aca="false">MAX(0,L53-$E53)</f>
        <v>0</v>
      </c>
    </row>
    <row r="54" customFormat="false" ht="15" hidden="false" customHeight="false" outlineLevel="0" collapsed="false">
      <c r="A54" s="32" t="n">
        <v>28</v>
      </c>
      <c r="B54" s="32" t="s">
        <v>330</v>
      </c>
      <c r="C54" s="33" t="s">
        <v>331</v>
      </c>
      <c r="D54" s="61" t="n">
        <f aca="false">③石川以降予測!H56</f>
        <v>0.0151879470087345</v>
      </c>
      <c r="E54" s="35" t="n">
        <f aca="false">③石川以降予測!T56</f>
        <v>243</v>
      </c>
      <c r="F54" s="35" t="n">
        <f aca="false">ROUND($D54*D$23,0)</f>
        <v>1273</v>
      </c>
      <c r="G54" s="35" t="n">
        <f aca="false">MAX(0,F54-$E54)</f>
        <v>1030</v>
      </c>
      <c r="H54" s="35" t="n">
        <f aca="false">ROUND($D54*F$23,0)</f>
        <v>1328</v>
      </c>
      <c r="I54" s="35" t="n">
        <f aca="false">MAX(0,H54-$E54)</f>
        <v>1085</v>
      </c>
      <c r="J54" s="35" t="n">
        <f aca="false">ROUND($D54*H$23,0)</f>
        <v>977</v>
      </c>
      <c r="K54" s="35" t="n">
        <f aca="false">MAX(0,J54-$E54)</f>
        <v>734</v>
      </c>
      <c r="L54" s="35" t="n">
        <f aca="false">ROUND($D54*J$23,0)</f>
        <v>1273</v>
      </c>
      <c r="M54" s="35" t="n">
        <f aca="false">MAX(0,L54-$E54)</f>
        <v>1030</v>
      </c>
    </row>
    <row r="55" customFormat="false" ht="15" hidden="false" customHeight="false" outlineLevel="0" collapsed="false">
      <c r="A55" s="32" t="n">
        <v>29</v>
      </c>
      <c r="B55" s="32" t="s">
        <v>332</v>
      </c>
      <c r="C55" s="33" t="s">
        <v>333</v>
      </c>
      <c r="D55" s="61" t="n">
        <f aca="false">③石川以降予測!H57</f>
        <v>0.00673324493928508</v>
      </c>
      <c r="E55" s="35" t="n">
        <f aca="false">③石川以降予測!T57</f>
        <v>327</v>
      </c>
      <c r="F55" s="35" t="n">
        <f aca="false">ROUND($D55*D$23,0)</f>
        <v>564</v>
      </c>
      <c r="G55" s="35" t="n">
        <f aca="false">MAX(0,F55-$E55)</f>
        <v>237</v>
      </c>
      <c r="H55" s="35" t="n">
        <f aca="false">ROUND($D55*F$23,0)</f>
        <v>589</v>
      </c>
      <c r="I55" s="35" t="n">
        <f aca="false">MAX(0,H55-$E55)</f>
        <v>262</v>
      </c>
      <c r="J55" s="35" t="n">
        <f aca="false">ROUND($D55*H$23,0)</f>
        <v>433</v>
      </c>
      <c r="K55" s="35" t="n">
        <f aca="false">MAX(0,J55-$E55)</f>
        <v>106</v>
      </c>
      <c r="L55" s="35" t="n">
        <f aca="false">ROUND($D55*J$23,0)</f>
        <v>564</v>
      </c>
      <c r="M55" s="35" t="n">
        <f aca="false">MAX(0,L55-$E55)</f>
        <v>237</v>
      </c>
    </row>
    <row r="56" customFormat="false" ht="15" hidden="false" customHeight="false" outlineLevel="0" collapsed="false">
      <c r="A56" s="32" t="n">
        <v>30</v>
      </c>
      <c r="B56" s="32" t="s">
        <v>334</v>
      </c>
      <c r="C56" s="33" t="s">
        <v>335</v>
      </c>
      <c r="D56" s="61" t="n">
        <f aca="false">③石川以降予測!H58</f>
        <v>0.0051065405230071</v>
      </c>
      <c r="E56" s="35" t="n">
        <f aca="false">③石川以降予測!T58</f>
        <v>835</v>
      </c>
      <c r="F56" s="35" t="n">
        <f aca="false">ROUND($D56*D$23,0)</f>
        <v>428</v>
      </c>
      <c r="G56" s="35" t="n">
        <f aca="false">MAX(0,F56-$E56)</f>
        <v>0</v>
      </c>
      <c r="H56" s="35" t="n">
        <f aca="false">ROUND($D56*F$23,0)</f>
        <v>446</v>
      </c>
      <c r="I56" s="35" t="n">
        <f aca="false">MAX(0,H56-$E56)</f>
        <v>0</v>
      </c>
      <c r="J56" s="35" t="n">
        <f aca="false">ROUND($D56*H$23,0)</f>
        <v>329</v>
      </c>
      <c r="K56" s="35" t="n">
        <f aca="false">MAX(0,J56-$E56)</f>
        <v>0</v>
      </c>
      <c r="L56" s="35" t="n">
        <f aca="false">ROUND($D56*J$23,0)</f>
        <v>428</v>
      </c>
      <c r="M56" s="35" t="n">
        <f aca="false">MAX(0,L56-$E56)</f>
        <v>0</v>
      </c>
    </row>
    <row r="57" customFormat="false" ht="15" hidden="false" customHeight="false" outlineLevel="0" collapsed="false">
      <c r="A57" s="32" t="n">
        <v>31</v>
      </c>
      <c r="B57" s="32" t="s">
        <v>336</v>
      </c>
      <c r="C57" s="33" t="s">
        <v>337</v>
      </c>
      <c r="D57" s="61" t="n">
        <f aca="false">③石川以降予測!H59</f>
        <v>0.00829179291649759</v>
      </c>
      <c r="E57" s="35" t="n">
        <f aca="false">③石川以降予測!T59</f>
        <v>837</v>
      </c>
      <c r="F57" s="35" t="n">
        <f aca="false">ROUND($D57*D$23,0)</f>
        <v>695</v>
      </c>
      <c r="G57" s="35" t="n">
        <f aca="false">MAX(0,F57-$E57)</f>
        <v>0</v>
      </c>
      <c r="H57" s="35" t="n">
        <f aca="false">ROUND($D57*F$23,0)</f>
        <v>725</v>
      </c>
      <c r="I57" s="35" t="n">
        <f aca="false">MAX(0,H57-$E57)</f>
        <v>0</v>
      </c>
      <c r="J57" s="35" t="n">
        <f aca="false">ROUND($D57*H$23,0)</f>
        <v>534</v>
      </c>
      <c r="K57" s="35" t="n">
        <f aca="false">MAX(0,J57-$E57)</f>
        <v>0</v>
      </c>
      <c r="L57" s="35" t="n">
        <f aca="false">ROUND($D57*J$23,0)</f>
        <v>695</v>
      </c>
      <c r="M57" s="35" t="n">
        <f aca="false">MAX(0,L57-$E57)</f>
        <v>0</v>
      </c>
    </row>
    <row r="58" customFormat="false" ht="15" hidden="false" customHeight="false" outlineLevel="0" collapsed="false">
      <c r="A58" s="32" t="n">
        <v>32</v>
      </c>
      <c r="B58" s="32" t="s">
        <v>338</v>
      </c>
      <c r="C58" s="33" t="s">
        <v>339</v>
      </c>
      <c r="D58" s="61" t="n">
        <f aca="false">③石川以降予測!H60</f>
        <v>0.00086908346142432</v>
      </c>
      <c r="E58" s="35" t="n">
        <f aca="false">③石川以降予測!T60</f>
        <v>23</v>
      </c>
      <c r="F58" s="35" t="n">
        <f aca="false">ROUND($D58*D$23,0)</f>
        <v>73</v>
      </c>
      <c r="G58" s="35" t="n">
        <f aca="false">MAX(0,F58-$E58)</f>
        <v>50</v>
      </c>
      <c r="H58" s="35" t="n">
        <f aca="false">ROUND($D58*F$23,0)</f>
        <v>76</v>
      </c>
      <c r="I58" s="35" t="n">
        <f aca="false">MAX(0,H58-$E58)</f>
        <v>53</v>
      </c>
      <c r="J58" s="35" t="n">
        <f aca="false">ROUND($D58*H$23,0)</f>
        <v>56</v>
      </c>
      <c r="K58" s="35" t="n">
        <f aca="false">MAX(0,J58-$E58)</f>
        <v>33</v>
      </c>
      <c r="L58" s="35" t="n">
        <f aca="false">ROUND($D58*J$23,0)</f>
        <v>73</v>
      </c>
      <c r="M58" s="35" t="n">
        <f aca="false">MAX(0,L58-$E58)</f>
        <v>50</v>
      </c>
    </row>
    <row r="59" customFormat="false" ht="15" hidden="false" customHeight="false" outlineLevel="0" collapsed="false">
      <c r="A59" s="32" t="n">
        <v>33</v>
      </c>
      <c r="B59" s="32" t="s">
        <v>340</v>
      </c>
      <c r="C59" s="33" t="s">
        <v>341</v>
      </c>
      <c r="D59" s="61" t="n">
        <f aca="false">③石川以降予測!H61</f>
        <v>0.000164731722623157</v>
      </c>
      <c r="E59" s="35" t="n">
        <f aca="false">③石川以降予測!T61</f>
        <v>106</v>
      </c>
      <c r="F59" s="35" t="n">
        <f aca="false">ROUND($D59*D$23,0)</f>
        <v>14</v>
      </c>
      <c r="G59" s="35" t="n">
        <f aca="false">MAX(0,F59-$E59)</f>
        <v>0</v>
      </c>
      <c r="H59" s="35" t="n">
        <f aca="false">ROUND($D59*F$23,0)</f>
        <v>14</v>
      </c>
      <c r="I59" s="35" t="n">
        <f aca="false">MAX(0,H59-$E59)</f>
        <v>0</v>
      </c>
      <c r="J59" s="35" t="n">
        <f aca="false">ROUND($D59*H$23,0)</f>
        <v>11</v>
      </c>
      <c r="K59" s="35" t="n">
        <f aca="false">MAX(0,J59-$E59)</f>
        <v>0</v>
      </c>
      <c r="L59" s="35" t="n">
        <f aca="false">ROUND($D59*J$23,0)</f>
        <v>14</v>
      </c>
      <c r="M59" s="35" t="n">
        <f aca="false">MAX(0,L59-$E59)</f>
        <v>0</v>
      </c>
    </row>
    <row r="60" customFormat="false" ht="15" hidden="false" customHeight="false" outlineLevel="0" collapsed="false">
      <c r="A60" s="32" t="n">
        <v>34</v>
      </c>
      <c r="B60" s="32" t="s">
        <v>342</v>
      </c>
      <c r="C60" s="33" t="s">
        <v>343</v>
      </c>
      <c r="D60" s="61" t="n">
        <f aca="false">③石川以降予測!H62</f>
        <v>7.90639783984721E-005</v>
      </c>
      <c r="E60" s="35" t="n">
        <f aca="false">③石川以降予測!T62</f>
        <v>3</v>
      </c>
      <c r="F60" s="35" t="n">
        <f aca="false">ROUND($D60*D$23,0)</f>
        <v>7</v>
      </c>
      <c r="G60" s="35" t="n">
        <f aca="false">MAX(0,F60-$E60)</f>
        <v>4</v>
      </c>
      <c r="H60" s="35" t="n">
        <f aca="false">ROUND($D60*F$23,0)</f>
        <v>7</v>
      </c>
      <c r="I60" s="35" t="n">
        <f aca="false">MAX(0,H60-$E60)</f>
        <v>4</v>
      </c>
      <c r="J60" s="35" t="n">
        <f aca="false">ROUND($D60*H$23,0)</f>
        <v>5</v>
      </c>
      <c r="K60" s="35" t="n">
        <f aca="false">MAX(0,J60-$E60)</f>
        <v>2</v>
      </c>
      <c r="L60" s="35" t="n">
        <f aca="false">ROUND($D60*J$23,0)</f>
        <v>7</v>
      </c>
      <c r="M60" s="35" t="n">
        <f aca="false">MAX(0,L60-$E60)</f>
        <v>4</v>
      </c>
    </row>
    <row r="61" customFormat="false" ht="15" hidden="false" customHeight="false" outlineLevel="0" collapsed="false">
      <c r="A61" s="32" t="n">
        <v>35</v>
      </c>
      <c r="B61" s="32" t="s">
        <v>344</v>
      </c>
      <c r="C61" s="33" t="s">
        <v>345</v>
      </c>
      <c r="D61" s="61" t="n">
        <f aca="false">③石川以降予測!H63</f>
        <v>2.35331032318795E-005</v>
      </c>
      <c r="E61" s="35" t="n">
        <f aca="false">③石川以降予測!T63</f>
        <v>4</v>
      </c>
      <c r="F61" s="35" t="n">
        <f aca="false">ROUND($D61*D$23,0)</f>
        <v>2</v>
      </c>
      <c r="G61" s="35" t="n">
        <f aca="false">MAX(0,F61-$E61)</f>
        <v>0</v>
      </c>
      <c r="H61" s="35" t="n">
        <f aca="false">ROUND($D61*F$23,0)</f>
        <v>2</v>
      </c>
      <c r="I61" s="35" t="n">
        <f aca="false">MAX(0,H61-$E61)</f>
        <v>0</v>
      </c>
      <c r="J61" s="35" t="n">
        <f aca="false">ROUND($D61*H$23,0)</f>
        <v>2</v>
      </c>
      <c r="K61" s="35" t="n">
        <f aca="false">MAX(0,J61-$E61)</f>
        <v>0</v>
      </c>
      <c r="L61" s="35" t="n">
        <f aca="false">ROUND($D61*J$23,0)</f>
        <v>2</v>
      </c>
      <c r="M61" s="35" t="n">
        <f aca="false">MAX(0,L61-$E61)</f>
        <v>0</v>
      </c>
    </row>
    <row r="62" customFormat="false" ht="15" hidden="false" customHeight="false" outlineLevel="0" collapsed="false">
      <c r="A62" s="32" t="n">
        <v>36</v>
      </c>
      <c r="B62" s="32" t="s">
        <v>346</v>
      </c>
      <c r="C62" s="33" t="s">
        <v>347</v>
      </c>
      <c r="D62" s="61" t="n">
        <f aca="false">③石川以降予測!H64</f>
        <v>2.35331032318795E-005</v>
      </c>
      <c r="E62" s="35" t="n">
        <f aca="false">③石川以降予測!T64</f>
        <v>4</v>
      </c>
      <c r="F62" s="35" t="n">
        <f aca="false">ROUND($D62*D$23,0)</f>
        <v>2</v>
      </c>
      <c r="G62" s="35" t="n">
        <f aca="false">MAX(0,F62-$E62)</f>
        <v>0</v>
      </c>
      <c r="H62" s="35" t="n">
        <f aca="false">ROUND($D62*F$23,0)</f>
        <v>2</v>
      </c>
      <c r="I62" s="35" t="n">
        <f aca="false">MAX(0,H62-$E62)</f>
        <v>0</v>
      </c>
      <c r="J62" s="35" t="n">
        <f aca="false">ROUND($D62*H$23,0)</f>
        <v>2</v>
      </c>
      <c r="K62" s="35" t="n">
        <f aca="false">MAX(0,J62-$E62)</f>
        <v>0</v>
      </c>
      <c r="L62" s="35" t="n">
        <f aca="false">ROUND($D62*J$23,0)</f>
        <v>2</v>
      </c>
      <c r="M62" s="35" t="n">
        <f aca="false">MAX(0,L62-$E62)</f>
        <v>0</v>
      </c>
    </row>
    <row r="63" customFormat="false" ht="15" hidden="false" customHeight="false" outlineLevel="0" collapsed="false">
      <c r="A63" s="32" t="n">
        <v>37</v>
      </c>
      <c r="B63" s="32" t="s">
        <v>348</v>
      </c>
      <c r="C63" s="33" t="s">
        <v>349</v>
      </c>
      <c r="D63" s="61" t="n">
        <f aca="false">③石川以降予測!H65</f>
        <v>0.000203953561342956</v>
      </c>
      <c r="E63" s="35" t="n">
        <f aca="false">③石川以降予測!T65</f>
        <v>43</v>
      </c>
      <c r="F63" s="35" t="n">
        <f aca="false">ROUND($D63*D$23,0)</f>
        <v>17</v>
      </c>
      <c r="G63" s="35" t="n">
        <f aca="false">MAX(0,F63-$E63)</f>
        <v>0</v>
      </c>
      <c r="H63" s="35" t="n">
        <f aca="false">ROUND($D63*F$23,0)</f>
        <v>18</v>
      </c>
      <c r="I63" s="35" t="n">
        <f aca="false">MAX(0,H63-$E63)</f>
        <v>0</v>
      </c>
      <c r="J63" s="35" t="n">
        <f aca="false">ROUND($D63*H$23,0)</f>
        <v>13</v>
      </c>
      <c r="K63" s="35" t="n">
        <f aca="false">MAX(0,J63-$E63)</f>
        <v>0</v>
      </c>
      <c r="L63" s="35" t="n">
        <f aca="false">ROUND($D63*J$23,0)</f>
        <v>17</v>
      </c>
      <c r="M63" s="35" t="n">
        <f aca="false">MAX(0,L63-$E63)</f>
        <v>0</v>
      </c>
    </row>
    <row r="64" customFormat="false" ht="15" hidden="false" customHeight="false" outlineLevel="0" collapsed="false">
      <c r="A64" s="32" t="n">
        <v>38</v>
      </c>
      <c r="B64" s="32" t="s">
        <v>350</v>
      </c>
      <c r="C64" s="33" t="s">
        <v>351</v>
      </c>
      <c r="D64" s="61" t="n">
        <f aca="false">③石川以降予測!H66</f>
        <v>0.000134594853565065</v>
      </c>
      <c r="E64" s="35" t="n">
        <f aca="false">③石川以降予測!T66</f>
        <v>2</v>
      </c>
      <c r="F64" s="35" t="n">
        <f aca="false">ROUND($D64*D$23,0)</f>
        <v>11</v>
      </c>
      <c r="G64" s="35" t="n">
        <f aca="false">MAX(0,F64-$E64)</f>
        <v>9</v>
      </c>
      <c r="H64" s="35" t="n">
        <f aca="false">ROUND($D64*F$23,0)</f>
        <v>12</v>
      </c>
      <c r="I64" s="35" t="n">
        <f aca="false">MAX(0,H64-$E64)</f>
        <v>10</v>
      </c>
      <c r="J64" s="35" t="n">
        <f aca="false">ROUND($D64*H$23,0)</f>
        <v>9</v>
      </c>
      <c r="K64" s="35" t="n">
        <f aca="false">MAX(0,J64-$E64)</f>
        <v>7</v>
      </c>
      <c r="L64" s="35" t="n">
        <f aca="false">ROUND($D64*J$23,0)</f>
        <v>11</v>
      </c>
      <c r="M64" s="35" t="n">
        <f aca="false">MAX(0,L64-$E64)</f>
        <v>9</v>
      </c>
    </row>
    <row r="65" customFormat="false" ht="15" hidden="false" customHeight="false" outlineLevel="0" collapsed="false">
      <c r="A65" s="32" t="n">
        <v>39</v>
      </c>
      <c r="B65" s="32" t="s">
        <v>352</v>
      </c>
      <c r="C65" s="33" t="s">
        <v>353</v>
      </c>
      <c r="D65" s="61" t="n">
        <f aca="false">③石川以降予測!H67</f>
        <v>7.90639783984721E-005</v>
      </c>
      <c r="E65" s="35" t="n">
        <f aca="false">③石川以降予測!T67</f>
        <v>4</v>
      </c>
      <c r="F65" s="35" t="n">
        <f aca="false">ROUND($D65*D$23,0)</f>
        <v>7</v>
      </c>
      <c r="G65" s="35" t="n">
        <f aca="false">MAX(0,F65-$E65)</f>
        <v>3</v>
      </c>
      <c r="H65" s="35" t="n">
        <f aca="false">ROUND($D65*F$23,0)</f>
        <v>7</v>
      </c>
      <c r="I65" s="35" t="n">
        <f aca="false">MAX(0,H65-$E65)</f>
        <v>3</v>
      </c>
      <c r="J65" s="35" t="n">
        <f aca="false">ROUND($D65*H$23,0)</f>
        <v>5</v>
      </c>
      <c r="K65" s="35" t="n">
        <f aca="false">MAX(0,J65-$E65)</f>
        <v>1</v>
      </c>
      <c r="L65" s="35" t="n">
        <f aca="false">ROUND($D65*J$23,0)</f>
        <v>7</v>
      </c>
      <c r="M65" s="35" t="n">
        <f aca="false">MAX(0,L65-$E65)</f>
        <v>3</v>
      </c>
    </row>
    <row r="66" customFormat="false" ht="15" hidden="false" customHeight="false" outlineLevel="0" collapsed="false">
      <c r="A66" s="32" t="n">
        <v>40</v>
      </c>
      <c r="B66" s="32" t="s">
        <v>354</v>
      </c>
      <c r="C66" s="33" t="s">
        <v>355</v>
      </c>
      <c r="D66" s="61" t="n">
        <f aca="false">③石川以降予測!H68</f>
        <v>2.35331032318795E-005</v>
      </c>
      <c r="E66" s="35" t="n">
        <f aca="false">③石川以降予測!T68</f>
        <v>4</v>
      </c>
      <c r="F66" s="35" t="n">
        <f aca="false">ROUND($D66*D$23,0)</f>
        <v>2</v>
      </c>
      <c r="G66" s="35" t="n">
        <f aca="false">MAX(0,F66-$E66)</f>
        <v>0</v>
      </c>
      <c r="H66" s="35" t="n">
        <f aca="false">ROUND($D66*F$23,0)</f>
        <v>2</v>
      </c>
      <c r="I66" s="35" t="n">
        <f aca="false">MAX(0,H66-$E66)</f>
        <v>0</v>
      </c>
      <c r="J66" s="35" t="n">
        <f aca="false">ROUND($D66*H$23,0)</f>
        <v>2</v>
      </c>
      <c r="K66" s="35" t="n">
        <f aca="false">MAX(0,J66-$E66)</f>
        <v>0</v>
      </c>
      <c r="L66" s="35" t="n">
        <f aca="false">ROUND($D66*J$23,0)</f>
        <v>2</v>
      </c>
      <c r="M66" s="35" t="n">
        <f aca="false">MAX(0,L66-$E66)</f>
        <v>0</v>
      </c>
    </row>
    <row r="67" customFormat="false" ht="15" hidden="false" customHeight="false" outlineLevel="0" collapsed="false">
      <c r="A67" s="32" t="n">
        <v>41</v>
      </c>
      <c r="B67" s="32" t="s">
        <v>356</v>
      </c>
      <c r="C67" s="33" t="s">
        <v>357</v>
      </c>
      <c r="D67" s="61" t="n">
        <f aca="false">③石川以降予測!H69</f>
        <v>1.56887354879197E-005</v>
      </c>
      <c r="E67" s="35" t="n">
        <f aca="false">③石川以降予測!T69</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358</v>
      </c>
      <c r="C68" s="33" t="s">
        <v>359</v>
      </c>
      <c r="D68" s="61" t="n">
        <f aca="false">③石川以降予測!H70</f>
        <v>0.000229347567451457</v>
      </c>
      <c r="E68" s="35" t="n">
        <f aca="false">③石川以降予測!T70</f>
        <v>46</v>
      </c>
      <c r="F68" s="35" t="n">
        <f aca="false">ROUND($D68*D$23,0)</f>
        <v>19</v>
      </c>
      <c r="G68" s="35" t="n">
        <f aca="false">MAX(0,F68-$E68)</f>
        <v>0</v>
      </c>
      <c r="H68" s="35" t="n">
        <f aca="false">ROUND($D68*F$23,0)</f>
        <v>20</v>
      </c>
      <c r="I68" s="35" t="n">
        <f aca="false">MAX(0,H68-$E68)</f>
        <v>0</v>
      </c>
      <c r="J68" s="35" t="n">
        <f aca="false">ROUND($D68*H$23,0)</f>
        <v>15</v>
      </c>
      <c r="K68" s="35" t="n">
        <f aca="false">MAX(0,J68-$E68)</f>
        <v>0</v>
      </c>
      <c r="L68" s="35" t="n">
        <f aca="false">ROUND($D68*J$23,0)</f>
        <v>19</v>
      </c>
      <c r="M68" s="35" t="n">
        <f aca="false">MAX(0,L68-$E68)</f>
        <v>0</v>
      </c>
    </row>
    <row r="69" customFormat="false" ht="15" hidden="false" customHeight="false" outlineLevel="0" collapsed="false">
      <c r="A69" s="40"/>
      <c r="B69" s="40"/>
      <c r="C69" s="41" t="s">
        <v>360</v>
      </c>
      <c r="D69" s="62" t="n">
        <f aca="false">SUM(D27:D68)</f>
        <v>1</v>
      </c>
      <c r="E69" s="42" t="n">
        <f aca="false">SUM(E27:E68)</f>
        <v>265684</v>
      </c>
      <c r="F69" s="42" t="n">
        <f aca="false">SUM(F27:F68)</f>
        <v>83821</v>
      </c>
      <c r="G69" s="42" t="n">
        <f aca="false">SUM(G27:G68)</f>
        <v>3555</v>
      </c>
      <c r="H69" s="42" t="n">
        <f aca="false">SUM(H27:H68)</f>
        <v>87417</v>
      </c>
      <c r="I69" s="42" t="n">
        <f aca="false">SUM(I27:I68)</f>
        <v>3879</v>
      </c>
      <c r="J69" s="42" t="n">
        <f aca="false">SUM(J27:J68)</f>
        <v>64356</v>
      </c>
      <c r="K69" s="42" t="n">
        <f aca="false">SUM(K27:K68)</f>
        <v>1810</v>
      </c>
      <c r="L69" s="42" t="n">
        <f aca="false">SUM(L27:L68)</f>
        <v>83821</v>
      </c>
      <c r="M69" s="42" t="n">
        <f aca="false">SUM(M27:M68)</f>
        <v>3555</v>
      </c>
    </row>
    <row r="71" customFormat="false" ht="15" hidden="false" customHeight="false" outlineLevel="0" collapsed="false">
      <c r="A71" s="4" t="s">
        <v>787</v>
      </c>
    </row>
    <row r="72" customFormat="false" ht="15" hidden="false" customHeight="false" outlineLevel="0" collapsed="false">
      <c r="A72" s="26" t="s">
        <v>364</v>
      </c>
      <c r="B72" s="17" t="s">
        <v>205</v>
      </c>
      <c r="C72" s="17" t="s">
        <v>206</v>
      </c>
      <c r="D72" s="17" t="s">
        <v>207</v>
      </c>
      <c r="E72" s="17" t="s">
        <v>208</v>
      </c>
    </row>
    <row r="73" customFormat="false" ht="15" hidden="false" customHeight="false" outlineLevel="0" collapsed="false">
      <c r="A73" s="49" t="s">
        <v>788</v>
      </c>
      <c r="B73" s="35" t="n">
        <f aca="false">F69</f>
        <v>83821</v>
      </c>
      <c r="C73" s="35" t="n">
        <f aca="false">H69</f>
        <v>87417</v>
      </c>
      <c r="D73" s="35" t="n">
        <f aca="false">J69</f>
        <v>64356</v>
      </c>
      <c r="E73" s="35" t="n">
        <f aca="false">L69</f>
        <v>83821</v>
      </c>
    </row>
    <row r="74" customFormat="false" ht="15" hidden="false" customHeight="false" outlineLevel="0" collapsed="false">
      <c r="A74" s="49" t="s">
        <v>789</v>
      </c>
      <c r="B74" s="35" t="n">
        <f aca="false">$E$69</f>
        <v>265684</v>
      </c>
      <c r="C74" s="35" t="n">
        <f aca="false">$E$69</f>
        <v>265684</v>
      </c>
      <c r="D74" s="35" t="n">
        <f aca="false">$E$69</f>
        <v>265684</v>
      </c>
      <c r="E74" s="35" t="n">
        <f aca="false">$E$69</f>
        <v>265684</v>
      </c>
    </row>
    <row r="75" customFormat="false" ht="15" hidden="false" customHeight="false" outlineLevel="0" collapsed="false">
      <c r="A75" s="49" t="s">
        <v>790</v>
      </c>
      <c r="B75" s="38" t="n">
        <f aca="false">B74-B73</f>
        <v>181863</v>
      </c>
      <c r="C75" s="38" t="n">
        <f aca="false">C74-C73</f>
        <v>178267</v>
      </c>
      <c r="D75" s="38" t="n">
        <f aca="false">D74-D73</f>
        <v>201328</v>
      </c>
      <c r="E75" s="38" t="n">
        <f aca="false">E74-E73</f>
        <v>181863</v>
      </c>
    </row>
    <row r="76" customFormat="false" ht="15" hidden="false" customHeight="false" outlineLevel="0" collapsed="false">
      <c r="A76" s="91" t="s">
        <v>791</v>
      </c>
      <c r="B76" s="92" t="n">
        <f aca="false">G69</f>
        <v>3555</v>
      </c>
      <c r="C76" s="92" t="n">
        <f aca="false">I69</f>
        <v>3879</v>
      </c>
      <c r="D76" s="92" t="n">
        <f aca="false">K69</f>
        <v>1810</v>
      </c>
      <c r="E76" s="92" t="n">
        <f aca="false">M69</f>
        <v>3555</v>
      </c>
    </row>
    <row r="77" customFormat="false" ht="15" hidden="false" customHeight="false" outlineLevel="0" collapsed="false">
      <c r="A77" s="49" t="s">
        <v>792</v>
      </c>
      <c r="B77" s="32" t="str">
        <f aca="false">COUNTIF(G27:G68,"&gt;0")&amp;"品目"</f>
        <v>9品目</v>
      </c>
      <c r="C77" s="32" t="str">
        <f aca="false">COUNTIF(I27:I68,"&gt;0")&amp;"品目"</f>
        <v>9品目</v>
      </c>
      <c r="D77" s="32" t="str">
        <f aca="false">COUNTIF(K27:K68,"&gt;0")&amp;"品目"</f>
        <v>9品目</v>
      </c>
      <c r="E77" s="32" t="str">
        <f aca="false">COUNTIF(M27:M68,"&gt;0")&amp;"品目"</f>
        <v>9品目</v>
      </c>
    </row>
    <row r="78" customFormat="false" ht="15" hidden="false" customHeight="false" outlineLevel="0" collapsed="false">
      <c r="A78" s="49" t="s">
        <v>793</v>
      </c>
      <c r="B78" s="35" t="n">
        <f aca="false">ROUNDUP(G69*(1+前提・入力!$B$35),0)</f>
        <v>3911</v>
      </c>
      <c r="C78" s="35" t="n">
        <f aca="false">ROUNDUP(I69*(1+前提・入力!$B$35),0)</f>
        <v>4267</v>
      </c>
      <c r="D78" s="35" t="n">
        <f aca="false">ROUNDUP(K69*(1+前提・入力!$B$35),0)</f>
        <v>1991</v>
      </c>
      <c r="E78" s="35" t="n">
        <f aca="false">ROUNDUP(M69*(1+前提・入力!$B$35),0)</f>
        <v>3911</v>
      </c>
    </row>
    <row r="80" customFormat="false" ht="15" hidden="false" customHeight="false" outlineLevel="0" collapsed="false">
      <c r="A80" s="5" t="s">
        <v>794</v>
      </c>
      <c r="B80" s="85" t="s">
        <v>795</v>
      </c>
      <c r="C80" s="85"/>
      <c r="D80" s="85"/>
      <c r="E80" s="85"/>
      <c r="F80" s="85"/>
      <c r="G80" s="85"/>
      <c r="H80" s="85"/>
      <c r="I80" s="85"/>
      <c r="J80" s="85"/>
    </row>
    <row r="81" customFormat="false" ht="15" hidden="false" customHeight="false" outlineLevel="0" collapsed="false">
      <c r="A81" s="5"/>
      <c r="B81" s="85" t="s">
        <v>796</v>
      </c>
      <c r="C81" s="85"/>
      <c r="D81" s="85"/>
      <c r="E81" s="85"/>
      <c r="F81" s="85"/>
      <c r="G81" s="85"/>
      <c r="H81" s="85"/>
      <c r="I81" s="85"/>
      <c r="J81" s="85"/>
    </row>
    <row r="82" customFormat="false" ht="15" hidden="false" customHeight="false" outlineLevel="0" collapsed="false">
      <c r="A82" s="5" t="s">
        <v>797</v>
      </c>
      <c r="B82" s="85" t="s">
        <v>798</v>
      </c>
      <c r="C82" s="85"/>
      <c r="D82" s="85"/>
      <c r="E82" s="85"/>
      <c r="F82" s="85"/>
      <c r="G82" s="85"/>
      <c r="H82" s="85"/>
      <c r="I82" s="85"/>
      <c r="J82" s="85"/>
    </row>
    <row r="83" customFormat="false" ht="15" hidden="false" customHeight="false" outlineLevel="0" collapsed="false">
      <c r="A83" s="5"/>
      <c r="B83" s="85" t="s">
        <v>799</v>
      </c>
      <c r="C83" s="85"/>
      <c r="D83" s="85"/>
      <c r="E83" s="85"/>
      <c r="F83" s="85"/>
      <c r="G83" s="85"/>
      <c r="H83" s="85"/>
      <c r="I83" s="85"/>
      <c r="J83" s="85"/>
    </row>
    <row r="84" customFormat="false" ht="15" hidden="false" customHeight="false" outlineLevel="0" collapsed="false">
      <c r="A84" s="5"/>
      <c r="B84" s="85" t="s">
        <v>800</v>
      </c>
      <c r="C84" s="85"/>
      <c r="D84" s="85"/>
      <c r="E84" s="85"/>
      <c r="F84" s="85"/>
      <c r="G84" s="85"/>
      <c r="H84" s="85"/>
      <c r="I84" s="85"/>
      <c r="J84" s="85"/>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5" min="4" style="0" width="10"/>
    <col collapsed="false" customWidth="true" hidden="false" outlineLevel="0" max="6" min="6" style="0" width="13"/>
    <col collapsed="false" customWidth="true" hidden="false" outlineLevel="0" max="7" min="7" style="0" width="10"/>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2" min="12" style="0" width="11"/>
    <col collapsed="false" customWidth="true" hidden="false" outlineLevel="0" max="13" min="13" style="0" width="10"/>
    <col collapsed="false" customWidth="true" hidden="false" outlineLevel="0" max="14" min="14" style="0" width="11"/>
    <col collapsed="false" customWidth="true" hidden="false" outlineLevel="0" max="15" min="15" style="0" width="10"/>
    <col collapsed="false" customWidth="true" hidden="false" outlineLevel="0" max="16" min="16" style="0" width="11"/>
    <col collapsed="false" customWidth="true" hidden="false" outlineLevel="0" max="17" min="17" style="0" width="2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801</v>
      </c>
    </row>
    <row r="2" customFormat="false" ht="15" hidden="false" customHeight="false" outlineLevel="0" collapsed="false">
      <c r="A2" s="3" t="s">
        <v>802</v>
      </c>
    </row>
    <row r="3" customFormat="false" ht="15" hidden="false" customHeight="false" outlineLevel="0" collapsed="false">
      <c r="A3" s="3" t="s">
        <v>803</v>
      </c>
    </row>
    <row r="5" customFormat="false" ht="15" hidden="false" customHeight="false" outlineLevel="0" collapsed="false">
      <c r="A5" s="4" t="s">
        <v>804</v>
      </c>
    </row>
    <row r="6" customFormat="false" ht="15" hidden="false" customHeight="false" outlineLevel="0" collapsed="false">
      <c r="A6" s="26" t="s">
        <v>805</v>
      </c>
      <c r="B6" s="26" t="s">
        <v>806</v>
      </c>
      <c r="C6" s="26" t="s">
        <v>807</v>
      </c>
      <c r="D6" s="26" t="s">
        <v>419</v>
      </c>
    </row>
    <row r="7" customFormat="false" ht="15" hidden="false" customHeight="false" outlineLevel="0" collapsed="false">
      <c r="A7" s="33" t="s">
        <v>808</v>
      </c>
      <c r="B7" s="32" t="s">
        <v>809</v>
      </c>
      <c r="C7" s="33" t="s">
        <v>810</v>
      </c>
      <c r="D7" s="54"/>
    </row>
    <row r="8" customFormat="false" ht="15" hidden="false" customHeight="false" outlineLevel="0" collapsed="false">
      <c r="A8" s="33" t="s">
        <v>323</v>
      </c>
      <c r="B8" s="32" t="s">
        <v>811</v>
      </c>
      <c r="C8" s="33" t="s">
        <v>812</v>
      </c>
      <c r="D8" s="54"/>
    </row>
    <row r="9" customFormat="false" ht="15" hidden="false" customHeight="false" outlineLevel="0" collapsed="false">
      <c r="A9" s="33" t="s">
        <v>331</v>
      </c>
      <c r="B9" s="32" t="s">
        <v>813</v>
      </c>
      <c r="C9" s="33" t="s">
        <v>814</v>
      </c>
      <c r="D9" s="33" t="s">
        <v>815</v>
      </c>
    </row>
    <row r="11" customFormat="false" ht="15" hidden="false" customHeight="false" outlineLevel="0" collapsed="false">
      <c r="A11" s="4" t="s">
        <v>816</v>
      </c>
    </row>
    <row r="12" customFormat="false" ht="42" hidden="false" customHeight="true" outlineLevel="0" collapsed="false">
      <c r="A12" s="25" t="s">
        <v>253</v>
      </c>
      <c r="B12" s="25" t="s">
        <v>254</v>
      </c>
      <c r="C12" s="26" t="s">
        <v>255</v>
      </c>
      <c r="D12" s="48" t="s">
        <v>817</v>
      </c>
      <c r="E12" s="48" t="s">
        <v>818</v>
      </c>
      <c r="F12" s="59" t="s">
        <v>778</v>
      </c>
      <c r="G12" s="48" t="s">
        <v>474</v>
      </c>
      <c r="H12" s="17" t="s">
        <v>819</v>
      </c>
      <c r="I12" s="48" t="s">
        <v>475</v>
      </c>
      <c r="J12" s="17" t="s">
        <v>820</v>
      </c>
      <c r="K12" s="48" t="s">
        <v>476</v>
      </c>
      <c r="L12" s="17" t="s">
        <v>821</v>
      </c>
      <c r="M12" s="48" t="s">
        <v>477</v>
      </c>
      <c r="N12" s="17" t="s">
        <v>822</v>
      </c>
      <c r="O12" s="48" t="s">
        <v>478</v>
      </c>
      <c r="P12" s="17" t="s">
        <v>823</v>
      </c>
      <c r="Q12" s="63" t="s">
        <v>824</v>
      </c>
      <c r="R12" s="63" t="s">
        <v>825</v>
      </c>
      <c r="S12" s="63" t="s">
        <v>826</v>
      </c>
      <c r="T12" s="31" t="s">
        <v>488</v>
      </c>
      <c r="U12" s="31" t="s">
        <v>827</v>
      </c>
      <c r="V12" s="31" t="s">
        <v>828</v>
      </c>
      <c r="W12" s="31" t="s">
        <v>829</v>
      </c>
      <c r="X12" s="64" t="s">
        <v>419</v>
      </c>
    </row>
    <row r="13" customFormat="false" ht="15" hidden="false" customHeight="false" outlineLevel="0" collapsed="false">
      <c r="A13" s="32" t="n">
        <v>1</v>
      </c>
      <c r="B13" s="32" t="s">
        <v>276</v>
      </c>
      <c r="C13" s="33" t="s">
        <v>277</v>
      </c>
      <c r="D13" s="32" t="n">
        <v>1</v>
      </c>
      <c r="E13" s="32" t="n">
        <f aca="false">IF(ISNUMBER(D13),ROUND(D13*30,0),"－")</f>
        <v>30</v>
      </c>
      <c r="F13" s="35" t="n">
        <f aca="false">③石川以降予測!T29</f>
        <v>2804</v>
      </c>
      <c r="G13" s="35" t="n">
        <f aca="false">③石川以降予測!I29</f>
        <v>425</v>
      </c>
      <c r="H13" s="93" t="n">
        <f aca="false">F13-G13</f>
        <v>2379</v>
      </c>
      <c r="I13" s="35" t="n">
        <f aca="false">③石川以降予測!J29</f>
        <v>502</v>
      </c>
      <c r="J13" s="93" t="n">
        <f aca="false">H13-I13</f>
        <v>1877</v>
      </c>
      <c r="K13" s="35" t="n">
        <f aca="false">③石川以降予測!K29</f>
        <v>464</v>
      </c>
      <c r="L13" s="93" t="n">
        <f aca="false">J13-K13</f>
        <v>1413</v>
      </c>
      <c r="M13" s="35" t="n">
        <f aca="false">③石川以降予測!L29</f>
        <v>348</v>
      </c>
      <c r="N13" s="93" t="n">
        <f aca="false">L13-M13</f>
        <v>1065</v>
      </c>
      <c r="O13" s="35" t="n">
        <f aca="false">③石川以降予測!M29</f>
        <v>1932</v>
      </c>
      <c r="P13" s="93" t="n">
        <f aca="false">N13-O13</f>
        <v>-867</v>
      </c>
      <c r="Q13" s="66" t="str">
        <f aca="false">_xlfn.IFS(H13&lt;0,"石川 香林坊大和",J13&lt;0,"仙台 Ebeans",L13&lt;0,"神戸阪急",N13&lt;0,"鳥取島根 夢みなとタワー",P13&lt;0,"東京凱旋 東京建物ぴあホール",TRUE(),"—")</f>
        <v>東京凱旋 東京建物ぴあホール</v>
      </c>
      <c r="R13" s="94" t="n">
        <f aca="false">IF(Q13="—","",_xlfn.IFS(H13&lt;0,DATE(2026,8,14),J13&lt;0,DATE(2026,9,5),L13&lt;0,DATE(2026,12,16),N13&lt;0,DATE(2027,3,15),P13&lt;0,DATE(2027,4,1)))</f>
        <v>46478</v>
      </c>
      <c r="S13" s="35" t="n">
        <f aca="false">MAX(0,-P13)</f>
        <v>867</v>
      </c>
      <c r="T13" s="35" t="n">
        <f aca="false">IF(S13&gt;0,ROUNDUP(S13*(1+前提・入力!$B$35),0),0)</f>
        <v>954</v>
      </c>
      <c r="U13" s="94" t="n">
        <f aca="false">IF(R13="","",IF(NOT(ISNUMBER(D13)),"再生産不可",R13-E13-前提・入力!$B$38))</f>
        <v>46434</v>
      </c>
      <c r="V13" s="95" t="n">
        <f aca="false">IF(OR(U13="",U13="再生産不可"),"",U13-前提・入力!$B$39)</f>
        <v>203</v>
      </c>
      <c r="W13" s="66" t="str">
        <f aca="false">IF(Q13="","—",IF(U13="再生産不可","×再生産不可",_xlfn.IFS(V13&lt;0,"★期限超過",V13&lt;=30,"★至急(30日以内)",V13&lt;=90,"要着手(90日以内)",TRUE(),"余裕あり")))</f>
        <v>余裕あり</v>
      </c>
      <c r="X13" s="65"/>
    </row>
    <row r="14" customFormat="false" ht="15" hidden="false" customHeight="false" outlineLevel="0" collapsed="false">
      <c r="A14" s="32" t="n">
        <v>2</v>
      </c>
      <c r="B14" s="32" t="s">
        <v>278</v>
      </c>
      <c r="C14" s="33" t="s">
        <v>279</v>
      </c>
      <c r="D14" s="32" t="n">
        <v>1</v>
      </c>
      <c r="E14" s="32" t="n">
        <f aca="false">IF(ISNUMBER(D14),ROUND(D14*30,0),"－")</f>
        <v>30</v>
      </c>
      <c r="F14" s="35" t="n">
        <f aca="false">③石川以降予測!T30</f>
        <v>4517</v>
      </c>
      <c r="G14" s="35" t="n">
        <f aca="false">③石川以降予測!I30</f>
        <v>430</v>
      </c>
      <c r="H14" s="93" t="n">
        <f aca="false">F14-G14</f>
        <v>4087</v>
      </c>
      <c r="I14" s="35" t="n">
        <f aca="false">③石川以降予測!J30</f>
        <v>508</v>
      </c>
      <c r="J14" s="93" t="n">
        <f aca="false">H14-I14</f>
        <v>3579</v>
      </c>
      <c r="K14" s="35" t="n">
        <f aca="false">③石川以降予測!K30</f>
        <v>469</v>
      </c>
      <c r="L14" s="93" t="n">
        <f aca="false">J14-K14</f>
        <v>3110</v>
      </c>
      <c r="M14" s="35" t="n">
        <f aca="false">③石川以降予測!L30</f>
        <v>352</v>
      </c>
      <c r="N14" s="93" t="n">
        <f aca="false">L14-M14</f>
        <v>2758</v>
      </c>
      <c r="O14" s="35" t="n">
        <f aca="false">③石川以降予測!M30</f>
        <v>1954</v>
      </c>
      <c r="P14" s="93" t="n">
        <f aca="false">N14-O14</f>
        <v>804</v>
      </c>
      <c r="Q14" s="66" t="str">
        <f aca="false">_xlfn.IFS(H14&lt;0,"石川 香林坊大和",J14&lt;0,"仙台 Ebeans",L14&lt;0,"神戸阪急",N14&lt;0,"鳥取島根 夢みなとタワー",P14&lt;0,"東京凱旋 東京建物ぴあホール",TRUE(),"—")</f>
        <v>—</v>
      </c>
      <c r="R14" s="94" t="str">
        <f aca="false">IF(Q14="—","",_xlfn.IFS(H14&lt;0,DATE(2026,8,14),J14&lt;0,DATE(2026,9,5),L14&lt;0,DATE(2026,12,16),N14&lt;0,DATE(2027,3,15),P14&lt;0,DATE(2027,4,1)))</f>
        <v/>
      </c>
      <c r="S14" s="35" t="n">
        <f aca="false">MAX(0,-P14)</f>
        <v>0</v>
      </c>
      <c r="T14" s="35" t="n">
        <f aca="false">IF(S14&gt;0,ROUNDUP(S14*(1+前提・入力!$B$35),0),0)</f>
        <v>0</v>
      </c>
      <c r="U14" s="94" t="str">
        <f aca="false">IF(R14="","",IF(NOT(ISNUMBER(D14)),"再生産不可",R14-E14-前提・入力!$B$38))</f>
        <v/>
      </c>
      <c r="V14" s="95" t="str">
        <f aca="false">IF(OR(U14="",U14="再生産不可"),"",U14-前提・入力!$B$39)</f>
        <v/>
      </c>
      <c r="W14" s="66" t="str">
        <f aca="false">IF(Q14="","—",IF(U14="再生産不可","×再生産不可",_xlfn.IFS(V14&lt;0,"★期限超過",V14&lt;=30,"★至急(30日以内)",V14&lt;=90,"要着手(90日以内)",TRUE(),"余裕あり")))</f>
        <v>余裕あり</v>
      </c>
      <c r="X14" s="65"/>
    </row>
    <row r="15" customFormat="false" ht="15" hidden="false" customHeight="false" outlineLevel="0" collapsed="false">
      <c r="A15" s="32" t="n">
        <v>3</v>
      </c>
      <c r="B15" s="32" t="s">
        <v>280</v>
      </c>
      <c r="C15" s="33" t="s">
        <v>281</v>
      </c>
      <c r="D15" s="32" t="n">
        <v>1</v>
      </c>
      <c r="E15" s="32" t="n">
        <f aca="false">IF(ISNUMBER(D15),ROUND(D15*30,0),"－")</f>
        <v>30</v>
      </c>
      <c r="F15" s="35" t="n">
        <f aca="false">③石川以降予測!T31</f>
        <v>5982</v>
      </c>
      <c r="G15" s="35" t="n">
        <f aca="false">③石川以降予測!I31</f>
        <v>171</v>
      </c>
      <c r="H15" s="93" t="n">
        <f aca="false">F15-G15</f>
        <v>5811</v>
      </c>
      <c r="I15" s="35" t="n">
        <f aca="false">③石川以降予測!J31</f>
        <v>202</v>
      </c>
      <c r="J15" s="93" t="n">
        <f aca="false">H15-I15</f>
        <v>5609</v>
      </c>
      <c r="K15" s="35" t="n">
        <f aca="false">③石川以降予測!K31</f>
        <v>187</v>
      </c>
      <c r="L15" s="93" t="n">
        <f aca="false">J15-K15</f>
        <v>5422</v>
      </c>
      <c r="M15" s="35" t="n">
        <f aca="false">③石川以降予測!L31</f>
        <v>140</v>
      </c>
      <c r="N15" s="93" t="n">
        <f aca="false">L15-M15</f>
        <v>5282</v>
      </c>
      <c r="O15" s="35" t="n">
        <f aca="false">③石川以降予測!M31</f>
        <v>779</v>
      </c>
      <c r="P15" s="93" t="n">
        <f aca="false">N15-O15</f>
        <v>4503</v>
      </c>
      <c r="Q15" s="66" t="str">
        <f aca="false">_xlfn.IFS(H15&lt;0,"石川 香林坊大和",J15&lt;0,"仙台 Ebeans",L15&lt;0,"神戸阪急",N15&lt;0,"鳥取島根 夢みなとタワー",P15&lt;0,"東京凱旋 東京建物ぴあホール",TRUE(),"—")</f>
        <v>—</v>
      </c>
      <c r="R15" s="94" t="str">
        <f aca="false">IF(Q15="—","",_xlfn.IFS(H15&lt;0,DATE(2026,8,14),J15&lt;0,DATE(2026,9,5),L15&lt;0,DATE(2026,12,16),N15&lt;0,DATE(2027,3,15),P15&lt;0,DATE(2027,4,1)))</f>
        <v/>
      </c>
      <c r="S15" s="35" t="n">
        <f aca="false">MAX(0,-P15)</f>
        <v>0</v>
      </c>
      <c r="T15" s="35" t="n">
        <f aca="false">IF(S15&gt;0,ROUNDUP(S15*(1+前提・入力!$B$35),0),0)</f>
        <v>0</v>
      </c>
      <c r="U15" s="94" t="str">
        <f aca="false">IF(R15="","",IF(NOT(ISNUMBER(D15)),"再生産不可",R15-E15-前提・入力!$B$38))</f>
        <v/>
      </c>
      <c r="V15" s="95" t="str">
        <f aca="false">IF(OR(U15="",U15="再生産不可"),"",U15-前提・入力!$B$39)</f>
        <v/>
      </c>
      <c r="W15" s="66" t="str">
        <f aca="false">IF(Q15="","—",IF(U15="再生産不可","×再生産不可",_xlfn.IFS(V15&lt;0,"★期限超過",V15&lt;=30,"★至急(30日以内)",V15&lt;=90,"要着手(90日以内)",TRUE(),"余裕あり")))</f>
        <v>余裕あり</v>
      </c>
      <c r="X15" s="65"/>
    </row>
    <row r="16" customFormat="false" ht="15" hidden="false" customHeight="false" outlineLevel="0" collapsed="false">
      <c r="A16" s="32" t="n">
        <v>4</v>
      </c>
      <c r="B16" s="32" t="s">
        <v>282</v>
      </c>
      <c r="C16" s="33" t="s">
        <v>283</v>
      </c>
      <c r="D16" s="32" t="n">
        <v>1</v>
      </c>
      <c r="E16" s="32" t="n">
        <f aca="false">IF(ISNUMBER(D16),ROUND(D16*30,0),"－")</f>
        <v>30</v>
      </c>
      <c r="F16" s="35" t="n">
        <f aca="false">③石川以降予測!T32</f>
        <v>27281</v>
      </c>
      <c r="G16" s="35" t="n">
        <f aca="false">③石川以降予測!I32</f>
        <v>224</v>
      </c>
      <c r="H16" s="93" t="n">
        <f aca="false">F16-G16</f>
        <v>27057</v>
      </c>
      <c r="I16" s="35" t="n">
        <f aca="false">③石川以降予測!J32</f>
        <v>264</v>
      </c>
      <c r="J16" s="93" t="n">
        <f aca="false">H16-I16</f>
        <v>26793</v>
      </c>
      <c r="K16" s="35" t="n">
        <f aca="false">③石川以降予測!K32</f>
        <v>244</v>
      </c>
      <c r="L16" s="93" t="n">
        <f aca="false">J16-K16</f>
        <v>26549</v>
      </c>
      <c r="M16" s="35" t="n">
        <f aca="false">③石川以降予測!L32</f>
        <v>183</v>
      </c>
      <c r="N16" s="93" t="n">
        <f aca="false">L16-M16</f>
        <v>26366</v>
      </c>
      <c r="O16" s="35" t="n">
        <f aca="false">③石川以降予測!M32</f>
        <v>1017</v>
      </c>
      <c r="P16" s="93" t="n">
        <f aca="false">N16-O16</f>
        <v>25349</v>
      </c>
      <c r="Q16" s="66" t="str">
        <f aca="false">_xlfn.IFS(H16&lt;0,"石川 香林坊大和",J16&lt;0,"仙台 Ebeans",L16&lt;0,"神戸阪急",N16&lt;0,"鳥取島根 夢みなとタワー",P16&lt;0,"東京凱旋 東京建物ぴあホール",TRUE(),"—")</f>
        <v>—</v>
      </c>
      <c r="R16" s="94" t="str">
        <f aca="false">IF(Q16="—","",_xlfn.IFS(H16&lt;0,DATE(2026,8,14),J16&lt;0,DATE(2026,9,5),L16&lt;0,DATE(2026,12,16),N16&lt;0,DATE(2027,3,15),P16&lt;0,DATE(2027,4,1)))</f>
        <v/>
      </c>
      <c r="S16" s="35" t="n">
        <f aca="false">MAX(0,-P16)</f>
        <v>0</v>
      </c>
      <c r="T16" s="35" t="n">
        <f aca="false">IF(S16&gt;0,ROUNDUP(S16*(1+前提・入力!$B$35),0),0)</f>
        <v>0</v>
      </c>
      <c r="U16" s="94" t="str">
        <f aca="false">IF(R16="","",IF(NOT(ISNUMBER(D16)),"再生産不可",R16-E16-前提・入力!$B$38))</f>
        <v/>
      </c>
      <c r="V16" s="95" t="str">
        <f aca="false">IF(OR(U16="",U16="再生産不可"),"",U16-前提・入力!$B$39)</f>
        <v/>
      </c>
      <c r="W16" s="66" t="str">
        <f aca="false">IF(Q16="","—",IF(U16="再生産不可","×再生産不可",_xlfn.IFS(V16&lt;0,"★期限超過",V16&lt;=30,"★至急(30日以内)",V16&lt;=90,"要着手(90日以内)",TRUE(),"余裕あり")))</f>
        <v>余裕あり</v>
      </c>
      <c r="X16" s="65"/>
    </row>
    <row r="17" customFormat="false" ht="15" hidden="false" customHeight="false" outlineLevel="0" collapsed="false">
      <c r="A17" s="32" t="n">
        <v>5</v>
      </c>
      <c r="B17" s="32" t="s">
        <v>284</v>
      </c>
      <c r="C17" s="33" t="s">
        <v>285</v>
      </c>
      <c r="D17" s="32" t="n">
        <v>1</v>
      </c>
      <c r="E17" s="32" t="n">
        <f aca="false">IF(ISNUMBER(D17),ROUND(D17*30,0),"－")</f>
        <v>30</v>
      </c>
      <c r="F17" s="35" t="n">
        <f aca="false">③石川以降予測!T33</f>
        <v>39319</v>
      </c>
      <c r="G17" s="35" t="n">
        <f aca="false">③石川以降予測!I33</f>
        <v>953</v>
      </c>
      <c r="H17" s="93" t="n">
        <f aca="false">F17-G17</f>
        <v>38366</v>
      </c>
      <c r="I17" s="35" t="n">
        <f aca="false">③石川以降予測!J33</f>
        <v>1126</v>
      </c>
      <c r="J17" s="93" t="n">
        <f aca="false">H17-I17</f>
        <v>37240</v>
      </c>
      <c r="K17" s="35" t="n">
        <f aca="false">③石川以降予測!K33</f>
        <v>1040</v>
      </c>
      <c r="L17" s="93" t="n">
        <f aca="false">J17-K17</f>
        <v>36200</v>
      </c>
      <c r="M17" s="35" t="n">
        <f aca="false">③石川以降予測!L33</f>
        <v>780</v>
      </c>
      <c r="N17" s="93" t="n">
        <f aca="false">L17-M17</f>
        <v>35420</v>
      </c>
      <c r="O17" s="35" t="n">
        <f aca="false">③石川以降予測!M33</f>
        <v>4332</v>
      </c>
      <c r="P17" s="93" t="n">
        <f aca="false">N17-O17</f>
        <v>31088</v>
      </c>
      <c r="Q17" s="66" t="str">
        <f aca="false">_xlfn.IFS(H17&lt;0,"石川 香林坊大和",J17&lt;0,"仙台 Ebeans",L17&lt;0,"神戸阪急",N17&lt;0,"鳥取島根 夢みなとタワー",P17&lt;0,"東京凱旋 東京建物ぴあホール",TRUE(),"—")</f>
        <v>—</v>
      </c>
      <c r="R17" s="94" t="str">
        <f aca="false">IF(Q17="—","",_xlfn.IFS(H17&lt;0,DATE(2026,8,14),J17&lt;0,DATE(2026,9,5),L17&lt;0,DATE(2026,12,16),N17&lt;0,DATE(2027,3,15),P17&lt;0,DATE(2027,4,1)))</f>
        <v/>
      </c>
      <c r="S17" s="35" t="n">
        <f aca="false">MAX(0,-P17)</f>
        <v>0</v>
      </c>
      <c r="T17" s="35" t="n">
        <f aca="false">IF(S17&gt;0,ROUNDUP(S17*(1+前提・入力!$B$35),0),0)</f>
        <v>0</v>
      </c>
      <c r="U17" s="94" t="str">
        <f aca="false">IF(R17="","",IF(NOT(ISNUMBER(D17)),"再生産不可",R17-E17-前提・入力!$B$38))</f>
        <v/>
      </c>
      <c r="V17" s="95" t="str">
        <f aca="false">IF(OR(U17="",U17="再生産不可"),"",U17-前提・入力!$B$39)</f>
        <v/>
      </c>
      <c r="W17" s="66" t="str">
        <f aca="false">IF(Q17="","—",IF(U17="再生産不可","×再生産不可",_xlfn.IFS(V17&lt;0,"★期限超過",V17&lt;=30,"★至急(30日以内)",V17&lt;=90,"要着手(90日以内)",TRUE(),"余裕あり")))</f>
        <v>余裕あり</v>
      </c>
      <c r="X17" s="65"/>
    </row>
    <row r="18" customFormat="false" ht="15" hidden="false" customHeight="false" outlineLevel="0" collapsed="false">
      <c r="A18" s="32" t="n">
        <v>6</v>
      </c>
      <c r="B18" s="32" t="s">
        <v>286</v>
      </c>
      <c r="C18" s="33" t="s">
        <v>287</v>
      </c>
      <c r="D18" s="32" t="n">
        <v>1</v>
      </c>
      <c r="E18" s="32" t="n">
        <f aca="false">IF(ISNUMBER(D18),ROUND(D18*30,0),"－")</f>
        <v>30</v>
      </c>
      <c r="F18" s="35" t="n">
        <f aca="false">③石川以降予測!T34</f>
        <v>49429</v>
      </c>
      <c r="G18" s="35" t="n">
        <f aca="false">③石川以降予測!I34</f>
        <v>2174</v>
      </c>
      <c r="H18" s="93" t="n">
        <f aca="false">F18-G18</f>
        <v>47255</v>
      </c>
      <c r="I18" s="35" t="n">
        <f aca="false">③石川以降予測!J34</f>
        <v>2569</v>
      </c>
      <c r="J18" s="93" t="n">
        <f aca="false">H18-I18</f>
        <v>44686</v>
      </c>
      <c r="K18" s="35" t="n">
        <f aca="false">③石川以降予測!K34</f>
        <v>2372</v>
      </c>
      <c r="L18" s="93" t="n">
        <f aca="false">J18-K18</f>
        <v>42314</v>
      </c>
      <c r="M18" s="35" t="n">
        <f aca="false">③石川以降予測!L34</f>
        <v>1779</v>
      </c>
      <c r="N18" s="93" t="n">
        <f aca="false">L18-M18</f>
        <v>40535</v>
      </c>
      <c r="O18" s="35" t="n">
        <f aca="false">③石川以降予測!M34</f>
        <v>9883</v>
      </c>
      <c r="P18" s="93" t="n">
        <f aca="false">N18-O18</f>
        <v>30652</v>
      </c>
      <c r="Q18" s="66" t="str">
        <f aca="false">_xlfn.IFS(H18&lt;0,"石川 香林坊大和",J18&lt;0,"仙台 Ebeans",L18&lt;0,"神戸阪急",N18&lt;0,"鳥取島根 夢みなとタワー",P18&lt;0,"東京凱旋 東京建物ぴあホール",TRUE(),"—")</f>
        <v>—</v>
      </c>
      <c r="R18" s="94" t="str">
        <f aca="false">IF(Q18="—","",_xlfn.IFS(H18&lt;0,DATE(2026,8,14),J18&lt;0,DATE(2026,9,5),L18&lt;0,DATE(2026,12,16),N18&lt;0,DATE(2027,3,15),P18&lt;0,DATE(2027,4,1)))</f>
        <v/>
      </c>
      <c r="S18" s="35" t="n">
        <f aca="false">MAX(0,-P18)</f>
        <v>0</v>
      </c>
      <c r="T18" s="35" t="n">
        <f aca="false">IF(S18&gt;0,ROUNDUP(S18*(1+前提・入力!$B$35),0),0)</f>
        <v>0</v>
      </c>
      <c r="U18" s="94" t="str">
        <f aca="false">IF(R18="","",IF(NOT(ISNUMBER(D18)),"再生産不可",R18-E18-前提・入力!$B$38))</f>
        <v/>
      </c>
      <c r="V18" s="95" t="str">
        <f aca="false">IF(OR(U18="",U18="再生産不可"),"",U18-前提・入力!$B$39)</f>
        <v/>
      </c>
      <c r="W18" s="66" t="str">
        <f aca="false">IF(Q18="","—",IF(U18="再生産不可","×再生産不可",_xlfn.IFS(V18&lt;0,"★期限超過",V18&lt;=30,"★至急(30日以内)",V18&lt;=90,"要着手(90日以内)",TRUE(),"余裕あり")))</f>
        <v>余裕あり</v>
      </c>
      <c r="X18" s="65"/>
    </row>
    <row r="19" customFormat="false" ht="15" hidden="false" customHeight="false" outlineLevel="0" collapsed="false">
      <c r="A19" s="32" t="n">
        <v>7</v>
      </c>
      <c r="B19" s="32" t="s">
        <v>288</v>
      </c>
      <c r="C19" s="33" t="s">
        <v>289</v>
      </c>
      <c r="D19" s="32" t="n">
        <v>1</v>
      </c>
      <c r="E19" s="32" t="n">
        <f aca="false">IF(ISNUMBER(D19),ROUND(D19*30,0),"－")</f>
        <v>30</v>
      </c>
      <c r="F19" s="35" t="n">
        <f aca="false">③石川以降予測!T35</f>
        <v>4347</v>
      </c>
      <c r="G19" s="35" t="n">
        <f aca="false">③石川以降予測!I35</f>
        <v>177</v>
      </c>
      <c r="H19" s="93" t="n">
        <f aca="false">F19-G19</f>
        <v>4170</v>
      </c>
      <c r="I19" s="35" t="n">
        <f aca="false">③石川以降予測!J35</f>
        <v>209</v>
      </c>
      <c r="J19" s="93" t="n">
        <f aca="false">H19-I19</f>
        <v>3961</v>
      </c>
      <c r="K19" s="35" t="n">
        <f aca="false">③石川以降予測!K35</f>
        <v>193</v>
      </c>
      <c r="L19" s="93" t="n">
        <f aca="false">J19-K19</f>
        <v>3768</v>
      </c>
      <c r="M19" s="35" t="n">
        <f aca="false">③石川以降予測!L35</f>
        <v>145</v>
      </c>
      <c r="N19" s="93" t="n">
        <f aca="false">L19-M19</f>
        <v>3623</v>
      </c>
      <c r="O19" s="35" t="n">
        <f aca="false">③石川以降予測!M35</f>
        <v>803</v>
      </c>
      <c r="P19" s="93" t="n">
        <f aca="false">N19-O19</f>
        <v>2820</v>
      </c>
      <c r="Q19" s="66" t="str">
        <f aca="false">_xlfn.IFS(H19&lt;0,"石川 香林坊大和",J19&lt;0,"仙台 Ebeans",L19&lt;0,"神戸阪急",N19&lt;0,"鳥取島根 夢みなとタワー",P19&lt;0,"東京凱旋 東京建物ぴあホール",TRUE(),"—")</f>
        <v>—</v>
      </c>
      <c r="R19" s="94" t="str">
        <f aca="false">IF(Q19="—","",_xlfn.IFS(H19&lt;0,DATE(2026,8,14),J19&lt;0,DATE(2026,9,5),L19&lt;0,DATE(2026,12,16),N19&lt;0,DATE(2027,3,15),P19&lt;0,DATE(2027,4,1)))</f>
        <v/>
      </c>
      <c r="S19" s="35" t="n">
        <f aca="false">MAX(0,-P19)</f>
        <v>0</v>
      </c>
      <c r="T19" s="35" t="n">
        <f aca="false">IF(S19&gt;0,ROUNDUP(S19*(1+前提・入力!$B$35),0),0)</f>
        <v>0</v>
      </c>
      <c r="U19" s="94" t="str">
        <f aca="false">IF(R19="","",IF(NOT(ISNUMBER(D19)),"再生産不可",R19-E19-前提・入力!$B$38))</f>
        <v/>
      </c>
      <c r="V19" s="95" t="str">
        <f aca="false">IF(OR(U19="",U19="再生産不可"),"",U19-前提・入力!$B$39)</f>
        <v/>
      </c>
      <c r="W19" s="66" t="str">
        <f aca="false">IF(Q19="","—",IF(U19="再生産不可","×再生産不可",_xlfn.IFS(V19&lt;0,"★期限超過",V19&lt;=30,"★至急(30日以内)",V19&lt;=90,"要着手(90日以内)",TRUE(),"余裕あり")))</f>
        <v>余裕あり</v>
      </c>
      <c r="X19" s="65"/>
    </row>
    <row r="20" customFormat="false" ht="15" hidden="false" customHeight="false" outlineLevel="0" collapsed="false">
      <c r="A20" s="32" t="n">
        <v>8</v>
      </c>
      <c r="B20" s="32" t="s">
        <v>290</v>
      </c>
      <c r="C20" s="33" t="s">
        <v>291</v>
      </c>
      <c r="D20" s="32" t="n">
        <v>1</v>
      </c>
      <c r="E20" s="32" t="n">
        <f aca="false">IF(ISNUMBER(D20),ROUND(D20*30,0),"－")</f>
        <v>30</v>
      </c>
      <c r="F20" s="35" t="n">
        <f aca="false">③石川以降予測!T36</f>
        <v>8206</v>
      </c>
      <c r="G20" s="35" t="n">
        <f aca="false">③石川以降予測!I36</f>
        <v>320</v>
      </c>
      <c r="H20" s="93" t="n">
        <f aca="false">F20-G20</f>
        <v>7886</v>
      </c>
      <c r="I20" s="35" t="n">
        <f aca="false">③石川以降予測!J36</f>
        <v>378</v>
      </c>
      <c r="J20" s="93" t="n">
        <f aca="false">H20-I20</f>
        <v>7508</v>
      </c>
      <c r="K20" s="35" t="n">
        <f aca="false">③石川以降予測!K36</f>
        <v>349</v>
      </c>
      <c r="L20" s="93" t="n">
        <f aca="false">J20-K20</f>
        <v>7159</v>
      </c>
      <c r="M20" s="35" t="n">
        <f aca="false">③石川以降予測!L36</f>
        <v>262</v>
      </c>
      <c r="N20" s="93" t="n">
        <f aca="false">L20-M20</f>
        <v>6897</v>
      </c>
      <c r="O20" s="35" t="n">
        <f aca="false">③石川以降予測!M36</f>
        <v>1454</v>
      </c>
      <c r="P20" s="93" t="n">
        <f aca="false">N20-O20</f>
        <v>5443</v>
      </c>
      <c r="Q20" s="66" t="str">
        <f aca="false">_xlfn.IFS(H20&lt;0,"石川 香林坊大和",J20&lt;0,"仙台 Ebeans",L20&lt;0,"神戸阪急",N20&lt;0,"鳥取島根 夢みなとタワー",P20&lt;0,"東京凱旋 東京建物ぴあホール",TRUE(),"—")</f>
        <v>—</v>
      </c>
      <c r="R20" s="94" t="str">
        <f aca="false">IF(Q20="—","",_xlfn.IFS(H20&lt;0,DATE(2026,8,14),J20&lt;0,DATE(2026,9,5),L20&lt;0,DATE(2026,12,16),N20&lt;0,DATE(2027,3,15),P20&lt;0,DATE(2027,4,1)))</f>
        <v/>
      </c>
      <c r="S20" s="35" t="n">
        <f aca="false">MAX(0,-P20)</f>
        <v>0</v>
      </c>
      <c r="T20" s="35" t="n">
        <f aca="false">IF(S20&gt;0,ROUNDUP(S20*(1+前提・入力!$B$35),0),0)</f>
        <v>0</v>
      </c>
      <c r="U20" s="94" t="str">
        <f aca="false">IF(R20="","",IF(NOT(ISNUMBER(D20)),"再生産不可",R20-E20-前提・入力!$B$38))</f>
        <v/>
      </c>
      <c r="V20" s="95" t="str">
        <f aca="false">IF(OR(U20="",U20="再生産不可"),"",U20-前提・入力!$B$39)</f>
        <v/>
      </c>
      <c r="W20" s="66" t="str">
        <f aca="false">IF(Q20="","—",IF(U20="再生産不可","×再生産不可",_xlfn.IFS(V20&lt;0,"★期限超過",V20&lt;=30,"★至急(30日以内)",V20&lt;=90,"要着手(90日以内)",TRUE(),"余裕あり")))</f>
        <v>余裕あり</v>
      </c>
      <c r="X20" s="65"/>
    </row>
    <row r="21" customFormat="false" ht="15" hidden="false" customHeight="false" outlineLevel="0" collapsed="false">
      <c r="A21" s="32" t="n">
        <v>9</v>
      </c>
      <c r="B21" s="32" t="s">
        <v>292</v>
      </c>
      <c r="C21" s="33" t="s">
        <v>293</v>
      </c>
      <c r="D21" s="32" t="n">
        <v>1</v>
      </c>
      <c r="E21" s="32" t="n">
        <f aca="false">IF(ISNUMBER(D21),ROUND(D21*30,0),"－")</f>
        <v>30</v>
      </c>
      <c r="F21" s="35" t="n">
        <f aca="false">③石川以降予測!T37</f>
        <v>8626</v>
      </c>
      <c r="G21" s="35" t="n">
        <f aca="false">③石川以降予測!I37</f>
        <v>128</v>
      </c>
      <c r="H21" s="93" t="n">
        <f aca="false">F21-G21</f>
        <v>8498</v>
      </c>
      <c r="I21" s="35" t="n">
        <f aca="false">③石川以降予測!J37</f>
        <v>152</v>
      </c>
      <c r="J21" s="93" t="n">
        <f aca="false">H21-I21</f>
        <v>8346</v>
      </c>
      <c r="K21" s="35" t="n">
        <f aca="false">③石川以降予測!K37</f>
        <v>140</v>
      </c>
      <c r="L21" s="93" t="n">
        <f aca="false">J21-K21</f>
        <v>8206</v>
      </c>
      <c r="M21" s="35" t="n">
        <f aca="false">③石川以降予測!L37</f>
        <v>105</v>
      </c>
      <c r="N21" s="93" t="n">
        <f aca="false">L21-M21</f>
        <v>8101</v>
      </c>
      <c r="O21" s="35" t="n">
        <f aca="false">③石川以降予測!M37</f>
        <v>583</v>
      </c>
      <c r="P21" s="93" t="n">
        <f aca="false">N21-O21</f>
        <v>7518</v>
      </c>
      <c r="Q21" s="66" t="str">
        <f aca="false">_xlfn.IFS(H21&lt;0,"石川 香林坊大和",J21&lt;0,"仙台 Ebeans",L21&lt;0,"神戸阪急",N21&lt;0,"鳥取島根 夢みなとタワー",P21&lt;0,"東京凱旋 東京建物ぴあホール",TRUE(),"—")</f>
        <v>—</v>
      </c>
      <c r="R21" s="94" t="str">
        <f aca="false">IF(Q21="—","",_xlfn.IFS(H21&lt;0,DATE(2026,8,14),J21&lt;0,DATE(2026,9,5),L21&lt;0,DATE(2026,12,16),N21&lt;0,DATE(2027,3,15),P21&lt;0,DATE(2027,4,1)))</f>
        <v/>
      </c>
      <c r="S21" s="35" t="n">
        <f aca="false">MAX(0,-P21)</f>
        <v>0</v>
      </c>
      <c r="T21" s="35" t="n">
        <f aca="false">IF(S21&gt;0,ROUNDUP(S21*(1+前提・入力!$B$35),0),0)</f>
        <v>0</v>
      </c>
      <c r="U21" s="94" t="str">
        <f aca="false">IF(R21="","",IF(NOT(ISNUMBER(D21)),"再生産不可",R21-E21-前提・入力!$B$38))</f>
        <v/>
      </c>
      <c r="V21" s="95" t="str">
        <f aca="false">IF(OR(U21="",U21="再生産不可"),"",U21-前提・入力!$B$39)</f>
        <v/>
      </c>
      <c r="W21" s="66" t="str">
        <f aca="false">IF(Q21="","—",IF(U21="再生産不可","×再生産不可",_xlfn.IFS(V21&lt;0,"★期限超過",V21&lt;=30,"★至急(30日以内)",V21&lt;=90,"要着手(90日以内)",TRUE(),"余裕あり")))</f>
        <v>余裕あり</v>
      </c>
      <c r="X21" s="65"/>
    </row>
    <row r="22" customFormat="false" ht="15" hidden="false" customHeight="false" outlineLevel="0" collapsed="false">
      <c r="A22" s="32" t="n">
        <v>10</v>
      </c>
      <c r="B22" s="32" t="s">
        <v>294</v>
      </c>
      <c r="C22" s="33" t="s">
        <v>295</v>
      </c>
      <c r="D22" s="32" t="n">
        <v>1</v>
      </c>
      <c r="E22" s="32" t="n">
        <f aca="false">IF(ISNUMBER(D22),ROUND(D22*30,0),"－")</f>
        <v>30</v>
      </c>
      <c r="F22" s="35" t="n">
        <f aca="false">③石川以降予測!T38</f>
        <v>4880</v>
      </c>
      <c r="G22" s="35" t="n">
        <f aca="false">③石川以降予測!I38</f>
        <v>51</v>
      </c>
      <c r="H22" s="93" t="n">
        <f aca="false">F22-G22</f>
        <v>4829</v>
      </c>
      <c r="I22" s="35" t="n">
        <f aca="false">③石川以降予測!J38</f>
        <v>60</v>
      </c>
      <c r="J22" s="93" t="n">
        <f aca="false">H22-I22</f>
        <v>4769</v>
      </c>
      <c r="K22" s="35" t="n">
        <f aca="false">③石川以降予測!K38</f>
        <v>55</v>
      </c>
      <c r="L22" s="93" t="n">
        <f aca="false">J22-K22</f>
        <v>4714</v>
      </c>
      <c r="M22" s="35" t="n">
        <f aca="false">③石川以降予測!L38</f>
        <v>42</v>
      </c>
      <c r="N22" s="93" t="n">
        <f aca="false">L22-M22</f>
        <v>4672</v>
      </c>
      <c r="O22" s="35" t="n">
        <f aca="false">③石川以降予測!M38</f>
        <v>231</v>
      </c>
      <c r="P22" s="93" t="n">
        <f aca="false">N22-O22</f>
        <v>4441</v>
      </c>
      <c r="Q22" s="66" t="str">
        <f aca="false">_xlfn.IFS(H22&lt;0,"石川 香林坊大和",J22&lt;0,"仙台 Ebeans",L22&lt;0,"神戸阪急",N22&lt;0,"鳥取島根 夢みなとタワー",P22&lt;0,"東京凱旋 東京建物ぴあホール",TRUE(),"—")</f>
        <v>—</v>
      </c>
      <c r="R22" s="94" t="str">
        <f aca="false">IF(Q22="—","",_xlfn.IFS(H22&lt;0,DATE(2026,8,14),J22&lt;0,DATE(2026,9,5),L22&lt;0,DATE(2026,12,16),N22&lt;0,DATE(2027,3,15),P22&lt;0,DATE(2027,4,1)))</f>
        <v/>
      </c>
      <c r="S22" s="35" t="n">
        <f aca="false">MAX(0,-P22)</f>
        <v>0</v>
      </c>
      <c r="T22" s="35" t="n">
        <f aca="false">IF(S22&gt;0,ROUNDUP(S22*(1+前提・入力!$B$35),0),0)</f>
        <v>0</v>
      </c>
      <c r="U22" s="94" t="str">
        <f aca="false">IF(R22="","",IF(NOT(ISNUMBER(D22)),"再生産不可",R22-E22-前提・入力!$B$38))</f>
        <v/>
      </c>
      <c r="V22" s="95" t="str">
        <f aca="false">IF(OR(U22="",U22="再生産不可"),"",U22-前提・入力!$B$39)</f>
        <v/>
      </c>
      <c r="W22" s="66" t="str">
        <f aca="false">IF(Q22="","—",IF(U22="再生産不可","×再生産不可",_xlfn.IFS(V22&lt;0,"★期限超過",V22&lt;=30,"★至急(30日以内)",V22&lt;=90,"要着手(90日以内)",TRUE(),"余裕あり")))</f>
        <v>余裕あり</v>
      </c>
      <c r="X22" s="65"/>
    </row>
    <row r="23" customFormat="false" ht="15" hidden="false" customHeight="false" outlineLevel="0" collapsed="false">
      <c r="A23" s="32" t="n">
        <v>11</v>
      </c>
      <c r="B23" s="32" t="s">
        <v>296</v>
      </c>
      <c r="C23" s="33" t="s">
        <v>297</v>
      </c>
      <c r="D23" s="32" t="n">
        <v>1</v>
      </c>
      <c r="E23" s="32" t="n">
        <f aca="false">IF(ISNUMBER(D23),ROUND(D23*30,0),"－")</f>
        <v>30</v>
      </c>
      <c r="F23" s="35" t="n">
        <f aca="false">③石川以降予測!T39</f>
        <v>612</v>
      </c>
      <c r="G23" s="35" t="n">
        <f aca="false">③石川以降予測!I39</f>
        <v>21</v>
      </c>
      <c r="H23" s="93" t="n">
        <f aca="false">F23-G23</f>
        <v>591</v>
      </c>
      <c r="I23" s="35" t="n">
        <f aca="false">③石川以降予測!J39</f>
        <v>25</v>
      </c>
      <c r="J23" s="93" t="n">
        <f aca="false">H23-I23</f>
        <v>566</v>
      </c>
      <c r="K23" s="35" t="n">
        <f aca="false">③石川以降予測!K39</f>
        <v>23</v>
      </c>
      <c r="L23" s="93" t="n">
        <f aca="false">J23-K23</f>
        <v>543</v>
      </c>
      <c r="M23" s="35" t="n">
        <f aca="false">③石川以降予測!L39</f>
        <v>17</v>
      </c>
      <c r="N23" s="93" t="n">
        <f aca="false">L23-M23</f>
        <v>526</v>
      </c>
      <c r="O23" s="35" t="n">
        <f aca="false">③石川以降予測!M39</f>
        <v>96</v>
      </c>
      <c r="P23" s="93" t="n">
        <f aca="false">N23-O23</f>
        <v>430</v>
      </c>
      <c r="Q23" s="66" t="str">
        <f aca="false">_xlfn.IFS(H23&lt;0,"石川 香林坊大和",J23&lt;0,"仙台 Ebeans",L23&lt;0,"神戸阪急",N23&lt;0,"鳥取島根 夢みなとタワー",P23&lt;0,"東京凱旋 東京建物ぴあホール",TRUE(),"—")</f>
        <v>—</v>
      </c>
      <c r="R23" s="94" t="str">
        <f aca="false">IF(Q23="—","",_xlfn.IFS(H23&lt;0,DATE(2026,8,14),J23&lt;0,DATE(2026,9,5),L23&lt;0,DATE(2026,12,16),N23&lt;0,DATE(2027,3,15),P23&lt;0,DATE(2027,4,1)))</f>
        <v/>
      </c>
      <c r="S23" s="35" t="n">
        <f aca="false">MAX(0,-P23)</f>
        <v>0</v>
      </c>
      <c r="T23" s="35" t="n">
        <f aca="false">IF(S23&gt;0,ROUNDUP(S23*(1+前提・入力!$B$35),0),0)</f>
        <v>0</v>
      </c>
      <c r="U23" s="94" t="str">
        <f aca="false">IF(R23="","",IF(NOT(ISNUMBER(D23)),"再生産不可",R23-E23-前提・入力!$B$38))</f>
        <v/>
      </c>
      <c r="V23" s="95" t="str">
        <f aca="false">IF(OR(U23="",U23="再生産不可"),"",U23-前提・入力!$B$39)</f>
        <v/>
      </c>
      <c r="W23" s="66" t="str">
        <f aca="false">IF(Q23="","—",IF(U23="再生産不可","×再生産不可",_xlfn.IFS(V23&lt;0,"★期限超過",V23&lt;=30,"★至急(30日以内)",V23&lt;=90,"要着手(90日以内)",TRUE(),"余裕あり")))</f>
        <v>余裕あり</v>
      </c>
      <c r="X23" s="65"/>
    </row>
    <row r="24" customFormat="false" ht="15" hidden="false" customHeight="false" outlineLevel="0" collapsed="false">
      <c r="A24" s="32" t="n">
        <v>12</v>
      </c>
      <c r="B24" s="32" t="s">
        <v>298</v>
      </c>
      <c r="C24" s="33" t="s">
        <v>299</v>
      </c>
      <c r="D24" s="32" t="n">
        <v>1</v>
      </c>
      <c r="E24" s="32" t="n">
        <f aca="false">IF(ISNUMBER(D24),ROUND(D24*30,0),"－")</f>
        <v>30</v>
      </c>
      <c r="F24" s="35" t="n">
        <f aca="false">③石川以降予測!T40</f>
        <v>918</v>
      </c>
      <c r="G24" s="35" t="n">
        <f aca="false">③石川以降予測!I40</f>
        <v>30</v>
      </c>
      <c r="H24" s="93" t="n">
        <f aca="false">F24-G24</f>
        <v>888</v>
      </c>
      <c r="I24" s="35" t="n">
        <f aca="false">③石川以降予測!J40</f>
        <v>35</v>
      </c>
      <c r="J24" s="93" t="n">
        <f aca="false">H24-I24</f>
        <v>853</v>
      </c>
      <c r="K24" s="35" t="n">
        <f aca="false">③石川以降予測!K40</f>
        <v>32</v>
      </c>
      <c r="L24" s="93" t="n">
        <f aca="false">J24-K24</f>
        <v>821</v>
      </c>
      <c r="M24" s="35" t="n">
        <f aca="false">③石川以降予測!L40</f>
        <v>24</v>
      </c>
      <c r="N24" s="93" t="n">
        <f aca="false">L24-M24</f>
        <v>797</v>
      </c>
      <c r="O24" s="35" t="n">
        <f aca="false">③石川以降予測!M40</f>
        <v>135</v>
      </c>
      <c r="P24" s="93" t="n">
        <f aca="false">N24-O24</f>
        <v>662</v>
      </c>
      <c r="Q24" s="66" t="str">
        <f aca="false">_xlfn.IFS(H24&lt;0,"石川 香林坊大和",J24&lt;0,"仙台 Ebeans",L24&lt;0,"神戸阪急",N24&lt;0,"鳥取島根 夢みなとタワー",P24&lt;0,"東京凱旋 東京建物ぴあホール",TRUE(),"—")</f>
        <v>—</v>
      </c>
      <c r="R24" s="94" t="str">
        <f aca="false">IF(Q24="—","",_xlfn.IFS(H24&lt;0,DATE(2026,8,14),J24&lt;0,DATE(2026,9,5),L24&lt;0,DATE(2026,12,16),N24&lt;0,DATE(2027,3,15),P24&lt;0,DATE(2027,4,1)))</f>
        <v/>
      </c>
      <c r="S24" s="35" t="n">
        <f aca="false">MAX(0,-P24)</f>
        <v>0</v>
      </c>
      <c r="T24" s="35" t="n">
        <f aca="false">IF(S24&gt;0,ROUNDUP(S24*(1+前提・入力!$B$35),0),0)</f>
        <v>0</v>
      </c>
      <c r="U24" s="94" t="str">
        <f aca="false">IF(R24="","",IF(NOT(ISNUMBER(D24)),"再生産不可",R24-E24-前提・入力!$B$38))</f>
        <v/>
      </c>
      <c r="V24" s="95" t="str">
        <f aca="false">IF(OR(U24="",U24="再生産不可"),"",U24-前提・入力!$B$39)</f>
        <v/>
      </c>
      <c r="W24" s="66" t="str">
        <f aca="false">IF(Q24="","—",IF(U24="再生産不可","×再生産不可",_xlfn.IFS(V24&lt;0,"★期限超過",V24&lt;=30,"★至急(30日以内)",V24&lt;=90,"要着手(90日以内)",TRUE(),"余裕あり")))</f>
        <v>余裕あり</v>
      </c>
      <c r="X24" s="65"/>
    </row>
    <row r="25" customFormat="false" ht="15" hidden="false" customHeight="false" outlineLevel="0" collapsed="false">
      <c r="A25" s="32" t="n">
        <v>13</v>
      </c>
      <c r="B25" s="32" t="s">
        <v>300</v>
      </c>
      <c r="C25" s="33" t="s">
        <v>301</v>
      </c>
      <c r="D25" s="32" t="n">
        <v>1</v>
      </c>
      <c r="E25" s="32" t="n">
        <f aca="false">IF(ISNUMBER(D25),ROUND(D25*30,0),"－")</f>
        <v>30</v>
      </c>
      <c r="F25" s="35" t="n">
        <f aca="false">③石川以降予測!T41</f>
        <v>313</v>
      </c>
      <c r="G25" s="35" t="n">
        <f aca="false">③石川以降予測!I41</f>
        <v>7</v>
      </c>
      <c r="H25" s="93" t="n">
        <f aca="false">F25-G25</f>
        <v>306</v>
      </c>
      <c r="I25" s="35" t="n">
        <f aca="false">③石川以降予測!J41</f>
        <v>8</v>
      </c>
      <c r="J25" s="93" t="n">
        <f aca="false">H25-I25</f>
        <v>298</v>
      </c>
      <c r="K25" s="35" t="n">
        <f aca="false">③石川以降予測!K41</f>
        <v>8</v>
      </c>
      <c r="L25" s="93" t="n">
        <f aca="false">J25-K25</f>
        <v>290</v>
      </c>
      <c r="M25" s="35" t="n">
        <f aca="false">③石川以降予測!L41</f>
        <v>6</v>
      </c>
      <c r="N25" s="93" t="n">
        <f aca="false">L25-M25</f>
        <v>284</v>
      </c>
      <c r="O25" s="35" t="n">
        <f aca="false">③石川以降予測!M41</f>
        <v>32</v>
      </c>
      <c r="P25" s="93" t="n">
        <f aca="false">N25-O25</f>
        <v>252</v>
      </c>
      <c r="Q25" s="66" t="str">
        <f aca="false">_xlfn.IFS(H25&lt;0,"石川 香林坊大和",J25&lt;0,"仙台 Ebeans",L25&lt;0,"神戸阪急",N25&lt;0,"鳥取島根 夢みなとタワー",P25&lt;0,"東京凱旋 東京建物ぴあホール",TRUE(),"—")</f>
        <v>—</v>
      </c>
      <c r="R25" s="94" t="str">
        <f aca="false">IF(Q25="—","",_xlfn.IFS(H25&lt;0,DATE(2026,8,14),J25&lt;0,DATE(2026,9,5),L25&lt;0,DATE(2026,12,16),N25&lt;0,DATE(2027,3,15),P25&lt;0,DATE(2027,4,1)))</f>
        <v/>
      </c>
      <c r="S25" s="35" t="n">
        <f aca="false">MAX(0,-P25)</f>
        <v>0</v>
      </c>
      <c r="T25" s="35" t="n">
        <f aca="false">IF(S25&gt;0,ROUNDUP(S25*(1+前提・入力!$B$35),0),0)</f>
        <v>0</v>
      </c>
      <c r="U25" s="94" t="str">
        <f aca="false">IF(R25="","",IF(NOT(ISNUMBER(D25)),"再生産不可",R25-E25-前提・入力!$B$38))</f>
        <v/>
      </c>
      <c r="V25" s="95" t="str">
        <f aca="false">IF(OR(U25="",U25="再生産不可"),"",U25-前提・入力!$B$39)</f>
        <v/>
      </c>
      <c r="W25" s="66" t="str">
        <f aca="false">IF(Q25="","—",IF(U25="再生産不可","×再生産不可",_xlfn.IFS(V25&lt;0,"★期限超過",V25&lt;=30,"★至急(30日以内)",V25&lt;=90,"要着手(90日以内)",TRUE(),"余裕あり")))</f>
        <v>余裕あり</v>
      </c>
      <c r="X25" s="65"/>
    </row>
    <row r="26" customFormat="false" ht="15" hidden="false" customHeight="false" outlineLevel="0" collapsed="false">
      <c r="A26" s="32" t="n">
        <v>14</v>
      </c>
      <c r="B26" s="32" t="s">
        <v>302</v>
      </c>
      <c r="C26" s="33" t="s">
        <v>303</v>
      </c>
      <c r="D26" s="32" t="n">
        <v>1</v>
      </c>
      <c r="E26" s="32" t="n">
        <f aca="false">IF(ISNUMBER(D26),ROUND(D26*30,0),"－")</f>
        <v>30</v>
      </c>
      <c r="F26" s="35" t="n">
        <f aca="false">③石川以降予測!T42</f>
        <v>1754</v>
      </c>
      <c r="G26" s="35" t="n">
        <f aca="false">③石川以降予測!I42</f>
        <v>31</v>
      </c>
      <c r="H26" s="93" t="n">
        <f aca="false">F26-G26</f>
        <v>1723</v>
      </c>
      <c r="I26" s="35" t="n">
        <f aca="false">③石川以降予測!J42</f>
        <v>36</v>
      </c>
      <c r="J26" s="93" t="n">
        <f aca="false">H26-I26</f>
        <v>1687</v>
      </c>
      <c r="K26" s="35" t="n">
        <f aca="false">③石川以降予測!K42</f>
        <v>33</v>
      </c>
      <c r="L26" s="93" t="n">
        <f aca="false">J26-K26</f>
        <v>1654</v>
      </c>
      <c r="M26" s="35" t="n">
        <f aca="false">③石川以降予測!L42</f>
        <v>25</v>
      </c>
      <c r="N26" s="93" t="n">
        <f aca="false">L26-M26</f>
        <v>1629</v>
      </c>
      <c r="O26" s="35" t="n">
        <f aca="false">③石川以降予測!M42</f>
        <v>139</v>
      </c>
      <c r="P26" s="93" t="n">
        <f aca="false">N26-O26</f>
        <v>1490</v>
      </c>
      <c r="Q26" s="66" t="str">
        <f aca="false">_xlfn.IFS(H26&lt;0,"石川 香林坊大和",J26&lt;0,"仙台 Ebeans",L26&lt;0,"神戸阪急",N26&lt;0,"鳥取島根 夢みなとタワー",P26&lt;0,"東京凱旋 東京建物ぴあホール",TRUE(),"—")</f>
        <v>—</v>
      </c>
      <c r="R26" s="94" t="str">
        <f aca="false">IF(Q26="—","",_xlfn.IFS(H26&lt;0,DATE(2026,8,14),J26&lt;0,DATE(2026,9,5),L26&lt;0,DATE(2026,12,16),N26&lt;0,DATE(2027,3,15),P26&lt;0,DATE(2027,4,1)))</f>
        <v/>
      </c>
      <c r="S26" s="35" t="n">
        <f aca="false">MAX(0,-P26)</f>
        <v>0</v>
      </c>
      <c r="T26" s="35" t="n">
        <f aca="false">IF(S26&gt;0,ROUNDUP(S26*(1+前提・入力!$B$35),0),0)</f>
        <v>0</v>
      </c>
      <c r="U26" s="94" t="str">
        <f aca="false">IF(R26="","",IF(NOT(ISNUMBER(D26)),"再生産不可",R26-E26-前提・入力!$B$38))</f>
        <v/>
      </c>
      <c r="V26" s="95" t="str">
        <f aca="false">IF(OR(U26="",U26="再生産不可"),"",U26-前提・入力!$B$39)</f>
        <v/>
      </c>
      <c r="W26" s="66" t="str">
        <f aca="false">IF(Q26="","—",IF(U26="再生産不可","×再生産不可",_xlfn.IFS(V26&lt;0,"★期限超過",V26&lt;=30,"★至急(30日以内)",V26&lt;=90,"要着手(90日以内)",TRUE(),"余裕あり")))</f>
        <v>余裕あり</v>
      </c>
      <c r="X26" s="65" t="s">
        <v>830</v>
      </c>
    </row>
    <row r="27" customFormat="false" ht="15" hidden="false" customHeight="false" outlineLevel="0" collapsed="false">
      <c r="A27" s="32" t="n">
        <v>15</v>
      </c>
      <c r="B27" s="32" t="s">
        <v>304</v>
      </c>
      <c r="C27" s="33" t="s">
        <v>305</v>
      </c>
      <c r="D27" s="32" t="n">
        <v>1</v>
      </c>
      <c r="E27" s="32" t="n">
        <f aca="false">IF(ISNUMBER(D27),ROUND(D27*30,0),"－")</f>
        <v>30</v>
      </c>
      <c r="F27" s="35" t="n">
        <f aca="false">③石川以降予測!T43</f>
        <v>2071</v>
      </c>
      <c r="G27" s="35" t="n">
        <f aca="false">③石川以降予測!I43</f>
        <v>47</v>
      </c>
      <c r="H27" s="93" t="n">
        <f aca="false">F27-G27</f>
        <v>2024</v>
      </c>
      <c r="I27" s="35" t="n">
        <f aca="false">③石川以降予測!J43</f>
        <v>56</v>
      </c>
      <c r="J27" s="93" t="n">
        <f aca="false">H27-I27</f>
        <v>1968</v>
      </c>
      <c r="K27" s="35" t="n">
        <f aca="false">③石川以降予測!K43</f>
        <v>52</v>
      </c>
      <c r="L27" s="93" t="n">
        <f aca="false">J27-K27</f>
        <v>1916</v>
      </c>
      <c r="M27" s="35" t="n">
        <f aca="false">③石川以降予測!L43</f>
        <v>39</v>
      </c>
      <c r="N27" s="93" t="n">
        <f aca="false">L27-M27</f>
        <v>1877</v>
      </c>
      <c r="O27" s="35" t="n">
        <f aca="false">③石川以降予測!M43</f>
        <v>216</v>
      </c>
      <c r="P27" s="93" t="n">
        <f aca="false">N27-O27</f>
        <v>1661</v>
      </c>
      <c r="Q27" s="66" t="str">
        <f aca="false">_xlfn.IFS(H27&lt;0,"石川 香林坊大和",J27&lt;0,"仙台 Ebeans",L27&lt;0,"神戸阪急",N27&lt;0,"鳥取島根 夢みなとタワー",P27&lt;0,"東京凱旋 東京建物ぴあホール",TRUE(),"—")</f>
        <v>—</v>
      </c>
      <c r="R27" s="94" t="str">
        <f aca="false">IF(Q27="—","",_xlfn.IFS(H27&lt;0,DATE(2026,8,14),J27&lt;0,DATE(2026,9,5),L27&lt;0,DATE(2026,12,16),N27&lt;0,DATE(2027,3,15),P27&lt;0,DATE(2027,4,1)))</f>
        <v/>
      </c>
      <c r="S27" s="35" t="n">
        <f aca="false">MAX(0,-P27)</f>
        <v>0</v>
      </c>
      <c r="T27" s="35" t="n">
        <f aca="false">IF(S27&gt;0,ROUNDUP(S27*(1+前提・入力!$B$35),0),0)</f>
        <v>0</v>
      </c>
      <c r="U27" s="94" t="str">
        <f aca="false">IF(R27="","",IF(NOT(ISNUMBER(D27)),"再生産不可",R27-E27-前提・入力!$B$38))</f>
        <v/>
      </c>
      <c r="V27" s="95" t="str">
        <f aca="false">IF(OR(U27="",U27="再生産不可"),"",U27-前提・入力!$B$39)</f>
        <v/>
      </c>
      <c r="W27" s="66" t="str">
        <f aca="false">IF(Q27="","—",IF(U27="再生産不可","×再生産不可",_xlfn.IFS(V27&lt;0,"★期限超過",V27&lt;=30,"★至急(30日以内)",V27&lt;=90,"要着手(90日以内)",TRUE(),"余裕あり")))</f>
        <v>余裕あり</v>
      </c>
      <c r="X27" s="65"/>
    </row>
    <row r="28" customFormat="false" ht="15" hidden="false" customHeight="false" outlineLevel="0" collapsed="false">
      <c r="A28" s="32" t="n">
        <v>16</v>
      </c>
      <c r="B28" s="32" t="s">
        <v>306</v>
      </c>
      <c r="C28" s="33" t="s">
        <v>307</v>
      </c>
      <c r="D28" s="32" t="n">
        <v>1</v>
      </c>
      <c r="E28" s="32" t="n">
        <f aca="false">IF(ISNUMBER(D28),ROUND(D28*30,0),"－")</f>
        <v>30</v>
      </c>
      <c r="F28" s="35" t="n">
        <f aca="false">③石川以降予測!T44</f>
        <v>759</v>
      </c>
      <c r="G28" s="35" t="n">
        <f aca="false">③石川以降予測!I44</f>
        <v>12</v>
      </c>
      <c r="H28" s="93" t="n">
        <f aca="false">F28-G28</f>
        <v>747</v>
      </c>
      <c r="I28" s="35" t="n">
        <f aca="false">③石川以降予測!J44</f>
        <v>14</v>
      </c>
      <c r="J28" s="93" t="n">
        <f aca="false">H28-I28</f>
        <v>733</v>
      </c>
      <c r="K28" s="35" t="n">
        <f aca="false">③石川以降予測!K44</f>
        <v>13</v>
      </c>
      <c r="L28" s="93" t="n">
        <f aca="false">J28-K28</f>
        <v>720</v>
      </c>
      <c r="M28" s="35" t="n">
        <f aca="false">③石川以降予測!L44</f>
        <v>10</v>
      </c>
      <c r="N28" s="93" t="n">
        <f aca="false">L28-M28</f>
        <v>710</v>
      </c>
      <c r="O28" s="35" t="n">
        <f aca="false">③石川以降予測!M44</f>
        <v>54</v>
      </c>
      <c r="P28" s="93" t="n">
        <f aca="false">N28-O28</f>
        <v>656</v>
      </c>
      <c r="Q28" s="66" t="str">
        <f aca="false">_xlfn.IFS(H28&lt;0,"石川 香林坊大和",J28&lt;0,"仙台 Ebeans",L28&lt;0,"神戸阪急",N28&lt;0,"鳥取島根 夢みなとタワー",P28&lt;0,"東京凱旋 東京建物ぴあホール",TRUE(),"—")</f>
        <v>—</v>
      </c>
      <c r="R28" s="94" t="str">
        <f aca="false">IF(Q28="—","",_xlfn.IFS(H28&lt;0,DATE(2026,8,14),J28&lt;0,DATE(2026,9,5),L28&lt;0,DATE(2026,12,16),N28&lt;0,DATE(2027,3,15),P28&lt;0,DATE(2027,4,1)))</f>
        <v/>
      </c>
      <c r="S28" s="35" t="n">
        <f aca="false">MAX(0,-P28)</f>
        <v>0</v>
      </c>
      <c r="T28" s="35" t="n">
        <f aca="false">IF(S28&gt;0,ROUNDUP(S28*(1+前提・入力!$B$35),0),0)</f>
        <v>0</v>
      </c>
      <c r="U28" s="94" t="str">
        <f aca="false">IF(R28="","",IF(NOT(ISNUMBER(D28)),"再生産不可",R28-E28-前提・入力!$B$38))</f>
        <v/>
      </c>
      <c r="V28" s="95" t="str">
        <f aca="false">IF(OR(U28="",U28="再生産不可"),"",U28-前提・入力!$B$39)</f>
        <v/>
      </c>
      <c r="W28" s="66" t="str">
        <f aca="false">IF(Q28="","—",IF(U28="再生産不可","×再生産不可",_xlfn.IFS(V28&lt;0,"★期限超過",V28&lt;=30,"★至急(30日以内)",V28&lt;=90,"要着手(90日以内)",TRUE(),"余裕あり")))</f>
        <v>余裕あり</v>
      </c>
      <c r="X28" s="65"/>
    </row>
    <row r="29" customFormat="false" ht="15" hidden="false" customHeight="false" outlineLevel="0" collapsed="false">
      <c r="A29" s="32" t="n">
        <v>17</v>
      </c>
      <c r="B29" s="32" t="s">
        <v>308</v>
      </c>
      <c r="C29" s="33" t="s">
        <v>309</v>
      </c>
      <c r="D29" s="32" t="n">
        <v>1</v>
      </c>
      <c r="E29" s="32" t="n">
        <f aca="false">IF(ISNUMBER(D29),ROUND(D29*30,0),"－")</f>
        <v>30</v>
      </c>
      <c r="F29" s="35" t="n">
        <f aca="false">③石川以降予測!T45</f>
        <v>2421</v>
      </c>
      <c r="G29" s="35" t="n">
        <f aca="false">③石川以降予測!I45</f>
        <v>75</v>
      </c>
      <c r="H29" s="93" t="n">
        <f aca="false">F29-G29</f>
        <v>2346</v>
      </c>
      <c r="I29" s="35" t="n">
        <f aca="false">③石川以降予測!J45</f>
        <v>88</v>
      </c>
      <c r="J29" s="93" t="n">
        <f aca="false">H29-I29</f>
        <v>2258</v>
      </c>
      <c r="K29" s="35" t="n">
        <f aca="false">③石川以降予測!K45</f>
        <v>82</v>
      </c>
      <c r="L29" s="93" t="n">
        <f aca="false">J29-K29</f>
        <v>2176</v>
      </c>
      <c r="M29" s="35" t="n">
        <f aca="false">③石川以降予測!L45</f>
        <v>61</v>
      </c>
      <c r="N29" s="93" t="n">
        <f aca="false">L29-M29</f>
        <v>2115</v>
      </c>
      <c r="O29" s="35" t="n">
        <f aca="false">③石川以降予測!M45</f>
        <v>340</v>
      </c>
      <c r="P29" s="93" t="n">
        <f aca="false">N29-O29</f>
        <v>1775</v>
      </c>
      <c r="Q29" s="66" t="str">
        <f aca="false">_xlfn.IFS(H29&lt;0,"石川 香林坊大和",J29&lt;0,"仙台 Ebeans",L29&lt;0,"神戸阪急",N29&lt;0,"鳥取島根 夢みなとタワー",P29&lt;0,"東京凱旋 東京建物ぴあホール",TRUE(),"—")</f>
        <v>—</v>
      </c>
      <c r="R29" s="94" t="str">
        <f aca="false">IF(Q29="—","",_xlfn.IFS(H29&lt;0,DATE(2026,8,14),J29&lt;0,DATE(2026,9,5),L29&lt;0,DATE(2026,12,16),N29&lt;0,DATE(2027,3,15),P29&lt;0,DATE(2027,4,1)))</f>
        <v/>
      </c>
      <c r="S29" s="35" t="n">
        <f aca="false">MAX(0,-P29)</f>
        <v>0</v>
      </c>
      <c r="T29" s="35" t="n">
        <f aca="false">IF(S29&gt;0,ROUNDUP(S29*(1+前提・入力!$B$35),0),0)</f>
        <v>0</v>
      </c>
      <c r="U29" s="94" t="str">
        <f aca="false">IF(R29="","",IF(NOT(ISNUMBER(D29)),"再生産不可",R29-E29-前提・入力!$B$38))</f>
        <v/>
      </c>
      <c r="V29" s="95" t="str">
        <f aca="false">IF(OR(U29="",U29="再生産不可"),"",U29-前提・入力!$B$39)</f>
        <v/>
      </c>
      <c r="W29" s="66" t="str">
        <f aca="false">IF(Q29="","—",IF(U29="再生産不可","×再生産不可",_xlfn.IFS(V29&lt;0,"★期限超過",V29&lt;=30,"★至急(30日以内)",V29&lt;=90,"要着手(90日以内)",TRUE(),"余裕あり")))</f>
        <v>余裕あり</v>
      </c>
      <c r="X29" s="65" t="s">
        <v>830</v>
      </c>
    </row>
    <row r="30" customFormat="false" ht="15" hidden="false" customHeight="false" outlineLevel="0" collapsed="false">
      <c r="A30" s="32" t="n">
        <v>18</v>
      </c>
      <c r="B30" s="32" t="s">
        <v>310</v>
      </c>
      <c r="C30" s="33" t="s">
        <v>311</v>
      </c>
      <c r="D30" s="32" t="n">
        <v>1</v>
      </c>
      <c r="E30" s="32" t="n">
        <f aca="false">IF(ISNUMBER(D30),ROUND(D30*30,0),"－")</f>
        <v>30</v>
      </c>
      <c r="F30" s="35" t="n">
        <f aca="false">③石川以降予測!T46</f>
        <v>9300</v>
      </c>
      <c r="G30" s="35" t="n">
        <f aca="false">③石川以降予測!I46</f>
        <v>383</v>
      </c>
      <c r="H30" s="93" t="n">
        <f aca="false">F30-G30</f>
        <v>8917</v>
      </c>
      <c r="I30" s="35" t="n">
        <f aca="false">③石川以降予測!J46</f>
        <v>453</v>
      </c>
      <c r="J30" s="93" t="n">
        <f aca="false">H30-I30</f>
        <v>8464</v>
      </c>
      <c r="K30" s="35" t="n">
        <f aca="false">③石川以降予測!K46</f>
        <v>418</v>
      </c>
      <c r="L30" s="93" t="n">
        <f aca="false">J30-K30</f>
        <v>8046</v>
      </c>
      <c r="M30" s="35" t="n">
        <f aca="false">③石川以降予測!L46</f>
        <v>313</v>
      </c>
      <c r="N30" s="93" t="n">
        <f aca="false">L30-M30</f>
        <v>7733</v>
      </c>
      <c r="O30" s="35" t="n">
        <f aca="false">③石川以降予測!M46</f>
        <v>1741</v>
      </c>
      <c r="P30" s="93" t="n">
        <f aca="false">N30-O30</f>
        <v>5992</v>
      </c>
      <c r="Q30" s="66" t="str">
        <f aca="false">_xlfn.IFS(H30&lt;0,"石川 香林坊大和",J30&lt;0,"仙台 Ebeans",L30&lt;0,"神戸阪急",N30&lt;0,"鳥取島根 夢みなとタワー",P30&lt;0,"東京凱旋 東京建物ぴあホール",TRUE(),"—")</f>
        <v>—</v>
      </c>
      <c r="R30" s="94" t="str">
        <f aca="false">IF(Q30="—","",_xlfn.IFS(H30&lt;0,DATE(2026,8,14),J30&lt;0,DATE(2026,9,5),L30&lt;0,DATE(2026,12,16),N30&lt;0,DATE(2027,3,15),P30&lt;0,DATE(2027,4,1)))</f>
        <v/>
      </c>
      <c r="S30" s="35" t="n">
        <f aca="false">MAX(0,-P30)</f>
        <v>0</v>
      </c>
      <c r="T30" s="35" t="n">
        <f aca="false">IF(S30&gt;0,ROUNDUP(S30*(1+前提・入力!$B$35),0),0)</f>
        <v>0</v>
      </c>
      <c r="U30" s="94" t="str">
        <f aca="false">IF(R30="","",IF(NOT(ISNUMBER(D30)),"再生産不可",R30-E30-前提・入力!$B$38))</f>
        <v/>
      </c>
      <c r="V30" s="95" t="str">
        <f aca="false">IF(OR(U30="",U30="再生産不可"),"",U30-前提・入力!$B$39)</f>
        <v/>
      </c>
      <c r="W30" s="66" t="str">
        <f aca="false">IF(Q30="","—",IF(U30="再生産不可","×再生産不可",_xlfn.IFS(V30&lt;0,"★期限超過",V30&lt;=30,"★至急(30日以内)",V30&lt;=90,"要着手(90日以内)",TRUE(),"余裕あり")))</f>
        <v>余裕あり</v>
      </c>
      <c r="X30" s="65"/>
    </row>
    <row r="31" customFormat="false" ht="15" hidden="false" customHeight="false" outlineLevel="0" collapsed="false">
      <c r="A31" s="32" t="n">
        <v>19</v>
      </c>
      <c r="B31" s="32" t="s">
        <v>312</v>
      </c>
      <c r="C31" s="33" t="s">
        <v>313</v>
      </c>
      <c r="D31" s="32" t="n">
        <v>1</v>
      </c>
      <c r="E31" s="32" t="n">
        <f aca="false">IF(ISNUMBER(D31),ROUND(D31*30,0),"－")</f>
        <v>30</v>
      </c>
      <c r="F31" s="35" t="n">
        <f aca="false">③石川以降予測!T47</f>
        <v>2225</v>
      </c>
      <c r="G31" s="35" t="n">
        <f aca="false">③石川以降予測!I47</f>
        <v>12</v>
      </c>
      <c r="H31" s="93" t="n">
        <f aca="false">F31-G31</f>
        <v>2213</v>
      </c>
      <c r="I31" s="35" t="n">
        <f aca="false">③石川以降予測!J47</f>
        <v>14</v>
      </c>
      <c r="J31" s="93" t="n">
        <f aca="false">H31-I31</f>
        <v>2199</v>
      </c>
      <c r="K31" s="35" t="n">
        <f aca="false">③石川以降予測!K47</f>
        <v>13</v>
      </c>
      <c r="L31" s="93" t="n">
        <f aca="false">J31-K31</f>
        <v>2186</v>
      </c>
      <c r="M31" s="35" t="n">
        <f aca="false">③石川以降予測!L47</f>
        <v>9</v>
      </c>
      <c r="N31" s="93" t="n">
        <f aca="false">L31-M31</f>
        <v>2177</v>
      </c>
      <c r="O31" s="35" t="n">
        <f aca="false">③石川以降予測!M47</f>
        <v>52</v>
      </c>
      <c r="P31" s="93" t="n">
        <f aca="false">N31-O31</f>
        <v>2125</v>
      </c>
      <c r="Q31" s="66" t="str">
        <f aca="false">_xlfn.IFS(H31&lt;0,"石川 香林坊大和",J31&lt;0,"仙台 Ebeans",L31&lt;0,"神戸阪急",N31&lt;0,"鳥取島根 夢みなとタワー",P31&lt;0,"東京凱旋 東京建物ぴあホール",TRUE(),"—")</f>
        <v>—</v>
      </c>
      <c r="R31" s="94" t="str">
        <f aca="false">IF(Q31="—","",_xlfn.IFS(H31&lt;0,DATE(2026,8,14),J31&lt;0,DATE(2026,9,5),L31&lt;0,DATE(2026,12,16),N31&lt;0,DATE(2027,3,15),P31&lt;0,DATE(2027,4,1)))</f>
        <v/>
      </c>
      <c r="S31" s="35" t="n">
        <f aca="false">MAX(0,-P31)</f>
        <v>0</v>
      </c>
      <c r="T31" s="35" t="n">
        <f aca="false">IF(S31&gt;0,ROUNDUP(S31*(1+前提・入力!$B$35),0),0)</f>
        <v>0</v>
      </c>
      <c r="U31" s="94" t="str">
        <f aca="false">IF(R31="","",IF(NOT(ISNUMBER(D31)),"再生産不可",R31-E31-前提・入力!$B$38))</f>
        <v/>
      </c>
      <c r="V31" s="95" t="str">
        <f aca="false">IF(OR(U31="",U31="再生産不可"),"",U31-前提・入力!$B$39)</f>
        <v/>
      </c>
      <c r="W31" s="66" t="str">
        <f aca="false">IF(Q31="","—",IF(U31="再生産不可","×再生産不可",_xlfn.IFS(V31&lt;0,"★期限超過",V31&lt;=30,"★至急(30日以内)",V31&lt;=90,"要着手(90日以内)",TRUE(),"余裕あり")))</f>
        <v>余裕あり</v>
      </c>
      <c r="X31" s="65"/>
    </row>
    <row r="32" customFormat="false" ht="15" hidden="false" customHeight="false" outlineLevel="0" collapsed="false">
      <c r="A32" s="32" t="n">
        <v>20</v>
      </c>
      <c r="B32" s="32" t="s">
        <v>314</v>
      </c>
      <c r="C32" s="33" t="s">
        <v>315</v>
      </c>
      <c r="D32" s="32" t="n">
        <v>1</v>
      </c>
      <c r="E32" s="32" t="n">
        <f aca="false">IF(ISNUMBER(D32),ROUND(D32*30,0),"－")</f>
        <v>30</v>
      </c>
      <c r="F32" s="35" t="n">
        <f aca="false">③石川以降予測!T48</f>
        <v>284</v>
      </c>
      <c r="G32" s="35" t="n">
        <f aca="false">③石川以降予測!I48</f>
        <v>12</v>
      </c>
      <c r="H32" s="93" t="n">
        <f aca="false">F32-G32</f>
        <v>272</v>
      </c>
      <c r="I32" s="35" t="n">
        <f aca="false">③石川以降予測!J48</f>
        <v>15</v>
      </c>
      <c r="J32" s="93" t="n">
        <f aca="false">H32-I32</f>
        <v>257</v>
      </c>
      <c r="K32" s="35" t="n">
        <f aca="false">③石川以降予測!K48</f>
        <v>13</v>
      </c>
      <c r="L32" s="93" t="n">
        <f aca="false">J32-K32</f>
        <v>244</v>
      </c>
      <c r="M32" s="35" t="n">
        <f aca="false">③石川以降予測!L48</f>
        <v>10</v>
      </c>
      <c r="N32" s="93" t="n">
        <f aca="false">L32-M32</f>
        <v>234</v>
      </c>
      <c r="O32" s="35" t="n">
        <f aca="false">③石川以降予測!M48</f>
        <v>56</v>
      </c>
      <c r="P32" s="93" t="n">
        <f aca="false">N32-O32</f>
        <v>178</v>
      </c>
      <c r="Q32" s="66" t="str">
        <f aca="false">_xlfn.IFS(H32&lt;0,"石川 香林坊大和",J32&lt;0,"仙台 Ebeans",L32&lt;0,"神戸阪急",N32&lt;0,"鳥取島根 夢みなとタワー",P32&lt;0,"東京凱旋 東京建物ぴあホール",TRUE(),"—")</f>
        <v>—</v>
      </c>
      <c r="R32" s="94" t="str">
        <f aca="false">IF(Q32="—","",_xlfn.IFS(H32&lt;0,DATE(2026,8,14),J32&lt;0,DATE(2026,9,5),L32&lt;0,DATE(2026,12,16),N32&lt;0,DATE(2027,3,15),P32&lt;0,DATE(2027,4,1)))</f>
        <v/>
      </c>
      <c r="S32" s="35" t="n">
        <f aca="false">MAX(0,-P32)</f>
        <v>0</v>
      </c>
      <c r="T32" s="35" t="n">
        <f aca="false">IF(S32&gt;0,ROUNDUP(S32*(1+前提・入力!$B$35),0),0)</f>
        <v>0</v>
      </c>
      <c r="U32" s="94" t="str">
        <f aca="false">IF(R32="","",IF(NOT(ISNUMBER(D32)),"再生産不可",R32-E32-前提・入力!$B$38))</f>
        <v/>
      </c>
      <c r="V32" s="95" t="str">
        <f aca="false">IF(OR(U32="",U32="再生産不可"),"",U32-前提・入力!$B$39)</f>
        <v/>
      </c>
      <c r="W32" s="66" t="str">
        <f aca="false">IF(Q32="","—",IF(U32="再生産不可","×再生産不可",_xlfn.IFS(V32&lt;0,"★期限超過",V32&lt;=30,"★至急(30日以内)",V32&lt;=90,"要着手(90日以内)",TRUE(),"余裕あり")))</f>
        <v>余裕あり</v>
      </c>
      <c r="X32" s="65"/>
    </row>
    <row r="33" customFormat="false" ht="15" hidden="false" customHeight="false" outlineLevel="0" collapsed="false">
      <c r="A33" s="32" t="n">
        <v>21</v>
      </c>
      <c r="B33" s="32" t="s">
        <v>316</v>
      </c>
      <c r="C33" s="33" t="s">
        <v>317</v>
      </c>
      <c r="D33" s="32" t="n">
        <v>1</v>
      </c>
      <c r="E33" s="32" t="n">
        <f aca="false">IF(ISNUMBER(D33),ROUND(D33*30,0),"－")</f>
        <v>30</v>
      </c>
      <c r="F33" s="35" t="n">
        <f aca="false">③石川以降予測!T49</f>
        <v>217</v>
      </c>
      <c r="G33" s="35" t="n">
        <f aca="false">③石川以降予測!I49</f>
        <v>68</v>
      </c>
      <c r="H33" s="93" t="n">
        <f aca="false">F33-G33</f>
        <v>149</v>
      </c>
      <c r="I33" s="35" t="n">
        <f aca="false">③石川以降予測!J49</f>
        <v>81</v>
      </c>
      <c r="J33" s="93" t="n">
        <f aca="false">H33-I33</f>
        <v>68</v>
      </c>
      <c r="K33" s="35" t="n">
        <f aca="false">③石川以降予測!K49</f>
        <v>74</v>
      </c>
      <c r="L33" s="93" t="n">
        <f aca="false">J33-K33</f>
        <v>-6</v>
      </c>
      <c r="M33" s="35" t="n">
        <f aca="false">③石川以降予測!L49</f>
        <v>56</v>
      </c>
      <c r="N33" s="93" t="n">
        <f aca="false">L33-M33</f>
        <v>-62</v>
      </c>
      <c r="O33" s="35" t="n">
        <f aca="false">③石川以降予測!M49</f>
        <v>310</v>
      </c>
      <c r="P33" s="93" t="n">
        <f aca="false">N33-O33</f>
        <v>-372</v>
      </c>
      <c r="Q33" s="66" t="str">
        <f aca="false">_xlfn.IFS(H33&lt;0,"石川 香林坊大和",J33&lt;0,"仙台 Ebeans",L33&lt;0,"神戸阪急",N33&lt;0,"鳥取島根 夢みなとタワー",P33&lt;0,"東京凱旋 東京建物ぴあホール",TRUE(),"—")</f>
        <v>神戸阪急</v>
      </c>
      <c r="R33" s="94" t="n">
        <f aca="false">IF(Q33="—","",_xlfn.IFS(H33&lt;0,DATE(2026,8,14),J33&lt;0,DATE(2026,9,5),L33&lt;0,DATE(2026,12,16),N33&lt;0,DATE(2027,3,15),P33&lt;0,DATE(2027,4,1)))</f>
        <v>46372</v>
      </c>
      <c r="S33" s="35" t="n">
        <f aca="false">MAX(0,-P33)</f>
        <v>372</v>
      </c>
      <c r="T33" s="35" t="n">
        <f aca="false">IF(S33&gt;0,ROUNDUP(S33*(1+前提・入力!$B$35),0),0)</f>
        <v>410</v>
      </c>
      <c r="U33" s="94" t="n">
        <f aca="false">IF(R33="","",IF(NOT(ISNUMBER(D33)),"再生産不可",R33-E33-前提・入力!$B$38))</f>
        <v>46328</v>
      </c>
      <c r="V33" s="95" t="n">
        <f aca="false">IF(OR(U33="",U33="再生産不可"),"",U33-前提・入力!$B$39)</f>
        <v>97</v>
      </c>
      <c r="W33" s="66" t="str">
        <f aca="false">IF(Q33="","—",IF(U33="再生産不可","×再生産不可",_xlfn.IFS(V33&lt;0,"★期限超過",V33&lt;=30,"★至急(30日以内)",V33&lt;=90,"要着手(90日以内)",TRUE(),"余裕あり")))</f>
        <v>余裕あり</v>
      </c>
      <c r="X33" s="65" t="s">
        <v>830</v>
      </c>
    </row>
    <row r="34" customFormat="false" ht="15" hidden="false" customHeight="false" outlineLevel="0" collapsed="false">
      <c r="A34" s="32" t="n">
        <v>22</v>
      </c>
      <c r="B34" s="32" t="s">
        <v>318</v>
      </c>
      <c r="C34" s="33" t="s">
        <v>319</v>
      </c>
      <c r="D34" s="32" t="n">
        <v>1</v>
      </c>
      <c r="E34" s="32" t="n">
        <f aca="false">IF(ISNUMBER(D34),ROUND(D34*30,0),"－")</f>
        <v>30</v>
      </c>
      <c r="F34" s="35" t="n">
        <f aca="false">③石川以降予測!T50</f>
        <v>1275</v>
      </c>
      <c r="G34" s="35" t="n">
        <f aca="false">③石川以降予測!I50</f>
        <v>43</v>
      </c>
      <c r="H34" s="93" t="n">
        <f aca="false">F34-G34</f>
        <v>1232</v>
      </c>
      <c r="I34" s="35" t="n">
        <f aca="false">③石川以降予測!J50</f>
        <v>51</v>
      </c>
      <c r="J34" s="93" t="n">
        <f aca="false">H34-I34</f>
        <v>1181</v>
      </c>
      <c r="K34" s="35" t="n">
        <f aca="false">③石川以降予測!K50</f>
        <v>47</v>
      </c>
      <c r="L34" s="93" t="n">
        <f aca="false">J34-K34</f>
        <v>1134</v>
      </c>
      <c r="M34" s="35" t="n">
        <f aca="false">③石川以降予測!L50</f>
        <v>35</v>
      </c>
      <c r="N34" s="93" t="n">
        <f aca="false">L34-M34</f>
        <v>1099</v>
      </c>
      <c r="O34" s="35" t="n">
        <f aca="false">③石川以降予測!M50</f>
        <v>196</v>
      </c>
      <c r="P34" s="93" t="n">
        <f aca="false">N34-O34</f>
        <v>903</v>
      </c>
      <c r="Q34" s="66" t="str">
        <f aca="false">_xlfn.IFS(H34&lt;0,"石川 香林坊大和",J34&lt;0,"仙台 Ebeans",L34&lt;0,"神戸阪急",N34&lt;0,"鳥取島根 夢みなとタワー",P34&lt;0,"東京凱旋 東京建物ぴあホール",TRUE(),"—")</f>
        <v>—</v>
      </c>
      <c r="R34" s="94" t="str">
        <f aca="false">IF(Q34="—","",_xlfn.IFS(H34&lt;0,DATE(2026,8,14),J34&lt;0,DATE(2026,9,5),L34&lt;0,DATE(2026,12,16),N34&lt;0,DATE(2027,3,15),P34&lt;0,DATE(2027,4,1)))</f>
        <v/>
      </c>
      <c r="S34" s="35" t="n">
        <f aca="false">MAX(0,-P34)</f>
        <v>0</v>
      </c>
      <c r="T34" s="35" t="n">
        <f aca="false">IF(S34&gt;0,ROUNDUP(S34*(1+前提・入力!$B$35),0),0)</f>
        <v>0</v>
      </c>
      <c r="U34" s="94" t="str">
        <f aca="false">IF(R34="","",IF(NOT(ISNUMBER(D34)),"再生産不可",R34-E34-前提・入力!$B$38))</f>
        <v/>
      </c>
      <c r="V34" s="95" t="str">
        <f aca="false">IF(OR(U34="",U34="再生産不可"),"",U34-前提・入力!$B$39)</f>
        <v/>
      </c>
      <c r="W34" s="66" t="str">
        <f aca="false">IF(Q34="","—",IF(U34="再生産不可","×再生産不可",_xlfn.IFS(V34&lt;0,"★期限超過",V34&lt;=30,"★至急(30日以内)",V34&lt;=90,"要着手(90日以内)",TRUE(),"余裕あり")))</f>
        <v>余裕あり</v>
      </c>
      <c r="X34" s="65" t="s">
        <v>830</v>
      </c>
    </row>
    <row r="35" customFormat="false" ht="15" hidden="false" customHeight="false" outlineLevel="0" collapsed="false">
      <c r="A35" s="32" t="n">
        <v>23</v>
      </c>
      <c r="B35" s="32" t="s">
        <v>320</v>
      </c>
      <c r="C35" s="33" t="s">
        <v>321</v>
      </c>
      <c r="D35" s="32" t="n">
        <v>2.5</v>
      </c>
      <c r="E35" s="32" t="n">
        <f aca="false">IF(ISNUMBER(D35),ROUND(D35*30,0),"－")</f>
        <v>75</v>
      </c>
      <c r="F35" s="35" t="n">
        <f aca="false">③石川以降予測!T51</f>
        <v>49625</v>
      </c>
      <c r="G35" s="35" t="n">
        <f aca="false">③石川以降予測!I51</f>
        <v>2151</v>
      </c>
      <c r="H35" s="93" t="n">
        <f aca="false">F35-G35</f>
        <v>47474</v>
      </c>
      <c r="I35" s="35" t="n">
        <f aca="false">③石川以降予測!J51</f>
        <v>2542</v>
      </c>
      <c r="J35" s="93" t="n">
        <f aca="false">H35-I35</f>
        <v>44932</v>
      </c>
      <c r="K35" s="35" t="n">
        <f aca="false">③石川以降予測!K51</f>
        <v>2346</v>
      </c>
      <c r="L35" s="93" t="n">
        <f aca="false">J35-K35</f>
        <v>42586</v>
      </c>
      <c r="M35" s="35" t="n">
        <f aca="false">③石川以降予測!L51</f>
        <v>1760</v>
      </c>
      <c r="N35" s="93" t="n">
        <f aca="false">L35-M35</f>
        <v>40826</v>
      </c>
      <c r="O35" s="35" t="n">
        <f aca="false">③石川以降予測!M51</f>
        <v>9776</v>
      </c>
      <c r="P35" s="93" t="n">
        <f aca="false">N35-O35</f>
        <v>31050</v>
      </c>
      <c r="Q35" s="66" t="str">
        <f aca="false">_xlfn.IFS(H35&lt;0,"石川 香林坊大和",J35&lt;0,"仙台 Ebeans",L35&lt;0,"神戸阪急",N35&lt;0,"鳥取島根 夢みなとタワー",P35&lt;0,"東京凱旋 東京建物ぴあホール",TRUE(),"—")</f>
        <v>—</v>
      </c>
      <c r="R35" s="94" t="str">
        <f aca="false">IF(Q35="—","",_xlfn.IFS(H35&lt;0,DATE(2026,8,14),J35&lt;0,DATE(2026,9,5),L35&lt;0,DATE(2026,12,16),N35&lt;0,DATE(2027,3,15),P35&lt;0,DATE(2027,4,1)))</f>
        <v/>
      </c>
      <c r="S35" s="35" t="n">
        <f aca="false">MAX(0,-P35)</f>
        <v>0</v>
      </c>
      <c r="T35" s="35" t="n">
        <f aca="false">IF(S35&gt;0,ROUNDUP(S35*(1+前提・入力!$B$35),0),0)</f>
        <v>0</v>
      </c>
      <c r="U35" s="94" t="str">
        <f aca="false">IF(R35="","",IF(NOT(ISNUMBER(D35)),"再生産不可",R35-E35-前提・入力!$B$38))</f>
        <v/>
      </c>
      <c r="V35" s="95" t="str">
        <f aca="false">IF(OR(U35="",U35="再生産不可"),"",U35-前提・入力!$B$39)</f>
        <v/>
      </c>
      <c r="W35" s="66" t="str">
        <f aca="false">IF(Q35="","—",IF(U35="再生産不可","×再生産不可",_xlfn.IFS(V35&lt;0,"★期限超過",V35&lt;=30,"★至急(30日以内)",V35&lt;=90,"要着手(90日以内)",TRUE(),"余裕あり")))</f>
        <v>余裕あり</v>
      </c>
      <c r="X35" s="65"/>
    </row>
    <row r="36" customFormat="false" ht="15" hidden="false" customHeight="false" outlineLevel="0" collapsed="false">
      <c r="A36" s="32" t="n">
        <v>24</v>
      </c>
      <c r="B36" s="32" t="s">
        <v>322</v>
      </c>
      <c r="C36" s="33" t="s">
        <v>323</v>
      </c>
      <c r="D36" s="32" t="n">
        <v>2.5</v>
      </c>
      <c r="E36" s="32" t="n">
        <f aca="false">IF(ISNUMBER(D36),ROUND(D36*30,0),"－")</f>
        <v>75</v>
      </c>
      <c r="F36" s="35" t="n">
        <f aca="false">③石川以降予測!T52</f>
        <v>31009</v>
      </c>
      <c r="G36" s="35" t="n">
        <f aca="false">③石川以降予測!I52</f>
        <v>1175</v>
      </c>
      <c r="H36" s="93" t="n">
        <f aca="false">F36-G36</f>
        <v>29834</v>
      </c>
      <c r="I36" s="35" t="n">
        <f aca="false">③石川以降予測!J52</f>
        <v>1389</v>
      </c>
      <c r="J36" s="93" t="n">
        <f aca="false">H36-I36</f>
        <v>28445</v>
      </c>
      <c r="K36" s="35" t="n">
        <f aca="false">③石川以降予測!K52</f>
        <v>1282</v>
      </c>
      <c r="L36" s="93" t="n">
        <f aca="false">J36-K36</f>
        <v>27163</v>
      </c>
      <c r="M36" s="35" t="n">
        <f aca="false">③石川以降予測!L52</f>
        <v>962</v>
      </c>
      <c r="N36" s="93" t="n">
        <f aca="false">L36-M36</f>
        <v>26201</v>
      </c>
      <c r="O36" s="35" t="n">
        <f aca="false">③石川以降予測!M52</f>
        <v>5342</v>
      </c>
      <c r="P36" s="93" t="n">
        <f aca="false">N36-O36</f>
        <v>20859</v>
      </c>
      <c r="Q36" s="66" t="str">
        <f aca="false">_xlfn.IFS(H36&lt;0,"石川 香林坊大和",J36&lt;0,"仙台 Ebeans",L36&lt;0,"神戸阪急",N36&lt;0,"鳥取島根 夢みなとタワー",P36&lt;0,"東京凱旋 東京建物ぴあホール",TRUE(),"—")</f>
        <v>—</v>
      </c>
      <c r="R36" s="94" t="str">
        <f aca="false">IF(Q36="—","",_xlfn.IFS(H36&lt;0,DATE(2026,8,14),J36&lt;0,DATE(2026,9,5),L36&lt;0,DATE(2026,12,16),N36&lt;0,DATE(2027,3,15),P36&lt;0,DATE(2027,4,1)))</f>
        <v/>
      </c>
      <c r="S36" s="35" t="n">
        <f aca="false">MAX(0,-P36)</f>
        <v>0</v>
      </c>
      <c r="T36" s="35" t="n">
        <f aca="false">IF(S36&gt;0,ROUNDUP(S36*(1+前提・入力!$B$35),0),0)</f>
        <v>0</v>
      </c>
      <c r="U36" s="94" t="str">
        <f aca="false">IF(R36="","",IF(NOT(ISNUMBER(D36)),"再生産不可",R36-E36-前提・入力!$B$38))</f>
        <v/>
      </c>
      <c r="V36" s="95" t="str">
        <f aca="false">IF(OR(U36="",U36="再生産不可"),"",U36-前提・入力!$B$39)</f>
        <v/>
      </c>
      <c r="W36" s="66" t="str">
        <f aca="false">IF(Q36="","—",IF(U36="再生産不可","×再生産不可",_xlfn.IFS(V36&lt;0,"★期限超過",V36&lt;=30,"★至急(30日以内)",V36&lt;=90,"要着手(90日以内)",TRUE(),"余裕あり")))</f>
        <v>余裕あり</v>
      </c>
      <c r="X36" s="65"/>
    </row>
    <row r="37" customFormat="false" ht="15" hidden="false" customHeight="false" outlineLevel="0" collapsed="false">
      <c r="A37" s="32" t="n">
        <v>25</v>
      </c>
      <c r="B37" s="32" t="s">
        <v>324</v>
      </c>
      <c r="C37" s="33" t="s">
        <v>325</v>
      </c>
      <c r="D37" s="39" t="s">
        <v>831</v>
      </c>
      <c r="E37" s="32" t="str">
        <f aca="false">IF(ISNUMBER(D37),ROUND(D37*30,0),"－")</f>
        <v>－</v>
      </c>
      <c r="F37" s="35" t="n">
        <f aca="false">③石川以降予測!T53</f>
        <v>3462</v>
      </c>
      <c r="G37" s="35" t="n">
        <f aca="false">③石川以降予測!I53</f>
        <v>42</v>
      </c>
      <c r="H37" s="93" t="n">
        <f aca="false">F37-G37</f>
        <v>3420</v>
      </c>
      <c r="I37" s="35" t="n">
        <f aca="false">③石川以降予測!J53</f>
        <v>49</v>
      </c>
      <c r="J37" s="93" t="n">
        <f aca="false">H37-I37</f>
        <v>3371</v>
      </c>
      <c r="K37" s="35" t="n">
        <f aca="false">③石川以降予測!K53</f>
        <v>45</v>
      </c>
      <c r="L37" s="93" t="n">
        <f aca="false">J37-K37</f>
        <v>3326</v>
      </c>
      <c r="M37" s="35" t="n">
        <f aca="false">③石川以降予測!L53</f>
        <v>34</v>
      </c>
      <c r="N37" s="93" t="n">
        <f aca="false">L37-M37</f>
        <v>3292</v>
      </c>
      <c r="O37" s="35" t="n">
        <f aca="false">③石川以降予測!M53</f>
        <v>189</v>
      </c>
      <c r="P37" s="93" t="n">
        <f aca="false">N37-O37</f>
        <v>3103</v>
      </c>
      <c r="Q37" s="66" t="str">
        <f aca="false">_xlfn.IFS(H37&lt;0,"石川 香林坊大和",J37&lt;0,"仙台 Ebeans",L37&lt;0,"神戸阪急",N37&lt;0,"鳥取島根 夢みなとタワー",P37&lt;0,"東京凱旋 東京建物ぴあホール",TRUE(),"—")</f>
        <v>—</v>
      </c>
      <c r="R37" s="94" t="str">
        <f aca="false">IF(Q37="—","",_xlfn.IFS(H37&lt;0,DATE(2026,8,14),J37&lt;0,DATE(2026,9,5),L37&lt;0,DATE(2026,12,16),N37&lt;0,DATE(2027,3,15),P37&lt;0,DATE(2027,4,1)))</f>
        <v/>
      </c>
      <c r="S37" s="35" t="n">
        <f aca="false">MAX(0,-P37)</f>
        <v>0</v>
      </c>
      <c r="T37" s="35" t="n">
        <f aca="false">IF(S37&gt;0,ROUNDUP(S37*(1+前提・入力!$B$35),0),0)</f>
        <v>0</v>
      </c>
      <c r="U37" s="94" t="str">
        <f aca="false">IF(R37="","",IF(NOT(ISNUMBER(D37)),"再生産不可",R37-E37-前提・入力!$B$38))</f>
        <v/>
      </c>
      <c r="V37" s="95" t="str">
        <f aca="false">IF(OR(U37="",U37="再生産不可"),"",U37-前提・入力!$B$39)</f>
        <v/>
      </c>
      <c r="W37" s="66" t="str">
        <f aca="false">IF(Q37="","—",IF(U37="再生産不可","×再生産不可",_xlfn.IFS(V37&lt;0,"★期限超過",V37&lt;=30,"★至急(30日以内)",V37&lt;=90,"要着手(90日以内)",TRUE(),"余裕あり")))</f>
        <v>余裕あり</v>
      </c>
      <c r="X37" s="66" t="s">
        <v>832</v>
      </c>
    </row>
    <row r="38" customFormat="false" ht="15" hidden="false" customHeight="false" outlineLevel="0" collapsed="false">
      <c r="A38" s="32" t="n">
        <v>26</v>
      </c>
      <c r="B38" s="32" t="s">
        <v>326</v>
      </c>
      <c r="C38" s="33" t="s">
        <v>327</v>
      </c>
      <c r="D38" s="32" t="n">
        <v>2.5</v>
      </c>
      <c r="E38" s="32" t="n">
        <f aca="false">IF(ISNUMBER(D38),ROUND(D38*30,0),"－")</f>
        <v>75</v>
      </c>
      <c r="F38" s="35" t="n">
        <f aca="false">③石川以降予測!T54</f>
        <v>333</v>
      </c>
      <c r="G38" s="35" t="n">
        <f aca="false">③石川以降予測!I54</f>
        <v>153</v>
      </c>
      <c r="H38" s="93" t="n">
        <f aca="false">F38-G38</f>
        <v>180</v>
      </c>
      <c r="I38" s="35" t="n">
        <f aca="false">③石川以降予測!J54</f>
        <v>180</v>
      </c>
      <c r="J38" s="93" t="n">
        <f aca="false">H38-I38</f>
        <v>0</v>
      </c>
      <c r="K38" s="35" t="n">
        <f aca="false">③石川以降予測!K54</f>
        <v>166</v>
      </c>
      <c r="L38" s="93" t="n">
        <f aca="false">J38-K38</f>
        <v>-166</v>
      </c>
      <c r="M38" s="35" t="n">
        <f aca="false">③石川以降予測!L54</f>
        <v>125</v>
      </c>
      <c r="N38" s="93" t="n">
        <f aca="false">L38-M38</f>
        <v>-291</v>
      </c>
      <c r="O38" s="35" t="n">
        <f aca="false">③石川以降予測!M54</f>
        <v>693</v>
      </c>
      <c r="P38" s="93" t="n">
        <f aca="false">N38-O38</f>
        <v>-984</v>
      </c>
      <c r="Q38" s="66" t="str">
        <f aca="false">_xlfn.IFS(H38&lt;0,"石川 香林坊大和",J38&lt;0,"仙台 Ebeans",L38&lt;0,"神戸阪急",N38&lt;0,"鳥取島根 夢みなとタワー",P38&lt;0,"東京凱旋 東京建物ぴあホール",TRUE(),"—")</f>
        <v>神戸阪急</v>
      </c>
      <c r="R38" s="94" t="n">
        <f aca="false">IF(Q38="—","",_xlfn.IFS(H38&lt;0,DATE(2026,8,14),J38&lt;0,DATE(2026,9,5),L38&lt;0,DATE(2026,12,16),N38&lt;0,DATE(2027,3,15),P38&lt;0,DATE(2027,4,1)))</f>
        <v>46372</v>
      </c>
      <c r="S38" s="35" t="n">
        <f aca="false">MAX(0,-P38)</f>
        <v>984</v>
      </c>
      <c r="T38" s="35" t="n">
        <f aca="false">IF(S38&gt;0,ROUNDUP(S38*(1+前提・入力!$B$35),0),0)</f>
        <v>1083</v>
      </c>
      <c r="U38" s="94" t="n">
        <f aca="false">IF(R38="","",IF(NOT(ISNUMBER(D38)),"再生産不可",R38-E38-前提・入力!$B$38))</f>
        <v>46283</v>
      </c>
      <c r="V38" s="95" t="n">
        <f aca="false">IF(OR(U38="",U38="再生産不可"),"",U38-前提・入力!$B$39)</f>
        <v>52</v>
      </c>
      <c r="W38" s="66" t="str">
        <f aca="false">IF(Q38="","—",IF(U38="再生産不可","×再生産不可",_xlfn.IFS(V38&lt;0,"★期限超過",V38&lt;=30,"★至急(30日以内)",V38&lt;=90,"要着手(90日以内)",TRUE(),"余裕あり")))</f>
        <v>要着手(90日以内)</v>
      </c>
      <c r="X38" s="65" t="s">
        <v>830</v>
      </c>
    </row>
    <row r="39" customFormat="false" ht="15" hidden="false" customHeight="false" outlineLevel="0" collapsed="false">
      <c r="A39" s="32" t="n">
        <v>27</v>
      </c>
      <c r="B39" s="32" t="s">
        <v>328</v>
      </c>
      <c r="C39" s="33" t="s">
        <v>329</v>
      </c>
      <c r="D39" s="32" t="n">
        <v>3</v>
      </c>
      <c r="E39" s="32" t="n">
        <f aca="false">IF(ISNUMBER(D39),ROUND(D39*30,0),"－")</f>
        <v>90</v>
      </c>
      <c r="F39" s="35" t="n">
        <f aca="false">③石川以降予測!T55</f>
        <v>1160</v>
      </c>
      <c r="G39" s="35" t="n">
        <f aca="false">③石川以降予測!I55</f>
        <v>32</v>
      </c>
      <c r="H39" s="93" t="n">
        <f aca="false">F39-G39</f>
        <v>1128</v>
      </c>
      <c r="I39" s="35" t="n">
        <f aca="false">③石川以降予測!J55</f>
        <v>37</v>
      </c>
      <c r="J39" s="93" t="n">
        <f aca="false">H39-I39</f>
        <v>1091</v>
      </c>
      <c r="K39" s="35" t="n">
        <f aca="false">③石川以降予測!K55</f>
        <v>34</v>
      </c>
      <c r="L39" s="93" t="n">
        <f aca="false">J39-K39</f>
        <v>1057</v>
      </c>
      <c r="M39" s="35" t="n">
        <f aca="false">③石川以降予測!L55</f>
        <v>26</v>
      </c>
      <c r="N39" s="93" t="n">
        <f aca="false">L39-M39</f>
        <v>1031</v>
      </c>
      <c r="O39" s="35" t="n">
        <f aca="false">③石川以降予測!M55</f>
        <v>143</v>
      </c>
      <c r="P39" s="93" t="n">
        <f aca="false">N39-O39</f>
        <v>888</v>
      </c>
      <c r="Q39" s="66" t="str">
        <f aca="false">_xlfn.IFS(H39&lt;0,"石川 香林坊大和",J39&lt;0,"仙台 Ebeans",L39&lt;0,"神戸阪急",N39&lt;0,"鳥取島根 夢みなとタワー",P39&lt;0,"東京凱旋 東京建物ぴあホール",TRUE(),"—")</f>
        <v>—</v>
      </c>
      <c r="R39" s="94" t="str">
        <f aca="false">IF(Q39="—","",_xlfn.IFS(H39&lt;0,DATE(2026,8,14),J39&lt;0,DATE(2026,9,5),L39&lt;0,DATE(2026,12,16),N39&lt;0,DATE(2027,3,15),P39&lt;0,DATE(2027,4,1)))</f>
        <v/>
      </c>
      <c r="S39" s="35" t="n">
        <f aca="false">MAX(0,-P39)</f>
        <v>0</v>
      </c>
      <c r="T39" s="35" t="n">
        <f aca="false">IF(S39&gt;0,ROUNDUP(S39*(1+前提・入力!$B$35),0),0)</f>
        <v>0</v>
      </c>
      <c r="U39" s="94" t="str">
        <f aca="false">IF(R39="","",IF(NOT(ISNUMBER(D39)),"再生産不可",R39-E39-前提・入力!$B$38))</f>
        <v/>
      </c>
      <c r="V39" s="95" t="str">
        <f aca="false">IF(OR(U39="",U39="再生産不可"),"",U39-前提・入力!$B$39)</f>
        <v/>
      </c>
      <c r="W39" s="66" t="str">
        <f aca="false">IF(Q39="","—",IF(U39="再生産不可","×再生産不可",_xlfn.IFS(V39&lt;0,"★期限超過",V39&lt;=30,"★至急(30日以内)",V39&lt;=90,"要着手(90日以内)",TRUE(),"余裕あり")))</f>
        <v>余裕あり</v>
      </c>
      <c r="X39" s="65"/>
    </row>
    <row r="40" customFormat="false" ht="25.35" hidden="false" customHeight="false" outlineLevel="0" collapsed="false">
      <c r="A40" s="32" t="n">
        <v>28</v>
      </c>
      <c r="B40" s="32" t="s">
        <v>330</v>
      </c>
      <c r="C40" s="33" t="s">
        <v>331</v>
      </c>
      <c r="D40" s="32" t="n">
        <v>3</v>
      </c>
      <c r="E40" s="32" t="n">
        <f aca="false">IF(ISNUMBER(D40),ROUND(D40*30,0),"－")</f>
        <v>90</v>
      </c>
      <c r="F40" s="35" t="n">
        <f aca="false">③石川以降予測!T56</f>
        <v>243</v>
      </c>
      <c r="G40" s="35" t="n">
        <f aca="false">③石川以降予測!I56</f>
        <v>147</v>
      </c>
      <c r="H40" s="93" t="n">
        <f aca="false">F40-G40</f>
        <v>96</v>
      </c>
      <c r="I40" s="35" t="n">
        <f aca="false">③石川以降予測!J56</f>
        <v>174</v>
      </c>
      <c r="J40" s="93" t="n">
        <f aca="false">H40-I40</f>
        <v>-78</v>
      </c>
      <c r="K40" s="35" t="n">
        <f aca="false">③石川以降予測!K56</f>
        <v>161</v>
      </c>
      <c r="L40" s="93" t="n">
        <f aca="false">J40-K40</f>
        <v>-239</v>
      </c>
      <c r="M40" s="35" t="n">
        <f aca="false">③石川以降予測!L56</f>
        <v>121</v>
      </c>
      <c r="N40" s="93" t="n">
        <f aca="false">L40-M40</f>
        <v>-360</v>
      </c>
      <c r="O40" s="35" t="n">
        <f aca="false">③石川以降予測!M56</f>
        <v>670</v>
      </c>
      <c r="P40" s="93" t="n">
        <f aca="false">N40-O40</f>
        <v>-1030</v>
      </c>
      <c r="Q40" s="66" t="str">
        <f aca="false">_xlfn.IFS(H40&lt;0,"石川 香林坊大和",J40&lt;0,"仙台 Ebeans",L40&lt;0,"神戸阪急",N40&lt;0,"鳥取島根 夢みなとタワー",P40&lt;0,"東京凱旋 東京建物ぴあホール",TRUE(),"—")</f>
        <v>仙台 Ebeans</v>
      </c>
      <c r="R40" s="94" t="n">
        <f aca="false">IF(Q40="—","",_xlfn.IFS(H40&lt;0,DATE(2026,8,14),J40&lt;0,DATE(2026,9,5),L40&lt;0,DATE(2026,12,16),N40&lt;0,DATE(2027,3,15),P40&lt;0,DATE(2027,4,1)))</f>
        <v>46270</v>
      </c>
      <c r="S40" s="35" t="n">
        <f aca="false">MAX(0,-P40)</f>
        <v>1030</v>
      </c>
      <c r="T40" s="35" t="n">
        <f aca="false">IF(S40&gt;0,ROUNDUP(S40*(1+前提・入力!$B$35),0),0)</f>
        <v>1133</v>
      </c>
      <c r="U40" s="94" t="n">
        <f aca="false">IF(R40="","",IF(NOT(ISNUMBER(D40)),"再生産不可",R40-E40-前提・入力!$B$38))</f>
        <v>46166</v>
      </c>
      <c r="V40" s="95" t="n">
        <f aca="false">IF(OR(U40="",U40="再生産不可"),"",U40-前提・入力!$B$39)</f>
        <v>-65</v>
      </c>
      <c r="W40" s="66" t="str">
        <f aca="false">IF(Q40="","—",IF(U40="再生産不可","×再生産不可",_xlfn.IFS(V40&lt;0,"★期限超過",V40&lt;=30,"★至急(30日以内)",V40&lt;=90,"要着手(90日以内)",TRUE(),"余裕あり")))</f>
        <v>★期限超過</v>
      </c>
      <c r="X40" s="66" t="s">
        <v>833</v>
      </c>
    </row>
    <row r="41" customFormat="false" ht="15" hidden="false" customHeight="false" outlineLevel="0" collapsed="false">
      <c r="A41" s="32" t="n">
        <v>29</v>
      </c>
      <c r="B41" s="32" t="s">
        <v>332</v>
      </c>
      <c r="C41" s="33" t="s">
        <v>333</v>
      </c>
      <c r="D41" s="32" t="n">
        <v>3</v>
      </c>
      <c r="E41" s="32" t="n">
        <f aca="false">IF(ISNUMBER(D41),ROUND(D41*30,0),"－")</f>
        <v>90</v>
      </c>
      <c r="F41" s="35" t="n">
        <f aca="false">③石川以降予測!T57</f>
        <v>327</v>
      </c>
      <c r="G41" s="35" t="n">
        <f aca="false">③石川以降予測!I57</f>
        <v>65</v>
      </c>
      <c r="H41" s="93" t="n">
        <f aca="false">F41-G41</f>
        <v>262</v>
      </c>
      <c r="I41" s="35" t="n">
        <f aca="false">③石川以降予測!J57</f>
        <v>77</v>
      </c>
      <c r="J41" s="93" t="n">
        <f aca="false">H41-I41</f>
        <v>185</v>
      </c>
      <c r="K41" s="35" t="n">
        <f aca="false">③石川以降予測!K57</f>
        <v>71</v>
      </c>
      <c r="L41" s="93" t="n">
        <f aca="false">J41-K41</f>
        <v>114</v>
      </c>
      <c r="M41" s="35" t="n">
        <f aca="false">③石川以降予測!L57</f>
        <v>53</v>
      </c>
      <c r="N41" s="93" t="n">
        <f aca="false">L41-M41</f>
        <v>61</v>
      </c>
      <c r="O41" s="35" t="n">
        <f aca="false">③石川以降予測!M57</f>
        <v>297</v>
      </c>
      <c r="P41" s="93" t="n">
        <f aca="false">N41-O41</f>
        <v>-236</v>
      </c>
      <c r="Q41" s="66" t="str">
        <f aca="false">_xlfn.IFS(H41&lt;0,"石川 香林坊大和",J41&lt;0,"仙台 Ebeans",L41&lt;0,"神戸阪急",N41&lt;0,"鳥取島根 夢みなとタワー",P41&lt;0,"東京凱旋 東京建物ぴあホール",TRUE(),"—")</f>
        <v>東京凱旋 東京建物ぴあホール</v>
      </c>
      <c r="R41" s="94" t="n">
        <f aca="false">IF(Q41="—","",_xlfn.IFS(H41&lt;0,DATE(2026,8,14),J41&lt;0,DATE(2026,9,5),L41&lt;0,DATE(2026,12,16),N41&lt;0,DATE(2027,3,15),P41&lt;0,DATE(2027,4,1)))</f>
        <v>46478</v>
      </c>
      <c r="S41" s="35" t="n">
        <f aca="false">MAX(0,-P41)</f>
        <v>236</v>
      </c>
      <c r="T41" s="35" t="n">
        <f aca="false">IF(S41&gt;0,ROUNDUP(S41*(1+前提・入力!$B$35),0),0)</f>
        <v>260</v>
      </c>
      <c r="U41" s="94" t="n">
        <f aca="false">IF(R41="","",IF(NOT(ISNUMBER(D41)),"再生産不可",R41-E41-前提・入力!$B$38))</f>
        <v>46374</v>
      </c>
      <c r="V41" s="95" t="n">
        <f aca="false">IF(OR(U41="",U41="再生産不可"),"",U41-前提・入力!$B$39)</f>
        <v>143</v>
      </c>
      <c r="W41" s="66" t="str">
        <f aca="false">IF(Q41="","—",IF(U41="再生産不可","×再生産不可",_xlfn.IFS(V41&lt;0,"★期限超過",V41&lt;=30,"★至急(30日以内)",V41&lt;=90,"要着手(90日以内)",TRUE(),"余裕あり")))</f>
        <v>余裕あり</v>
      </c>
      <c r="X41" s="65" t="s">
        <v>830</v>
      </c>
    </row>
    <row r="42" customFormat="false" ht="15" hidden="false" customHeight="false" outlineLevel="0" collapsed="false">
      <c r="A42" s="32" t="n">
        <v>30</v>
      </c>
      <c r="B42" s="32" t="s">
        <v>334</v>
      </c>
      <c r="C42" s="33" t="s">
        <v>335</v>
      </c>
      <c r="D42" s="32" t="n">
        <v>3</v>
      </c>
      <c r="E42" s="32" t="n">
        <f aca="false">IF(ISNUMBER(D42),ROUND(D42*30,0),"－")</f>
        <v>90</v>
      </c>
      <c r="F42" s="35" t="n">
        <f aca="false">③石川以降予測!T58</f>
        <v>835</v>
      </c>
      <c r="G42" s="35" t="n">
        <f aca="false">③石川以降予測!I58</f>
        <v>50</v>
      </c>
      <c r="H42" s="93" t="n">
        <f aca="false">F42-G42</f>
        <v>785</v>
      </c>
      <c r="I42" s="35" t="n">
        <f aca="false">③石川以降予測!J58</f>
        <v>59</v>
      </c>
      <c r="J42" s="93" t="n">
        <f aca="false">H42-I42</f>
        <v>726</v>
      </c>
      <c r="K42" s="35" t="n">
        <f aca="false">③石川以降予測!K58</f>
        <v>54</v>
      </c>
      <c r="L42" s="93" t="n">
        <f aca="false">J42-K42</f>
        <v>672</v>
      </c>
      <c r="M42" s="35" t="n">
        <f aca="false">③石川以降予測!L58</f>
        <v>41</v>
      </c>
      <c r="N42" s="93" t="n">
        <f aca="false">L42-M42</f>
        <v>631</v>
      </c>
      <c r="O42" s="35" t="n">
        <f aca="false">③石川以降予測!M58</f>
        <v>225</v>
      </c>
      <c r="P42" s="93" t="n">
        <f aca="false">N42-O42</f>
        <v>406</v>
      </c>
      <c r="Q42" s="66" t="str">
        <f aca="false">_xlfn.IFS(H42&lt;0,"石川 香林坊大和",J42&lt;0,"仙台 Ebeans",L42&lt;0,"神戸阪急",N42&lt;0,"鳥取島根 夢みなとタワー",P42&lt;0,"東京凱旋 東京建物ぴあホール",TRUE(),"—")</f>
        <v>—</v>
      </c>
      <c r="R42" s="94" t="str">
        <f aca="false">IF(Q42="—","",_xlfn.IFS(H42&lt;0,DATE(2026,8,14),J42&lt;0,DATE(2026,9,5),L42&lt;0,DATE(2026,12,16),N42&lt;0,DATE(2027,3,15),P42&lt;0,DATE(2027,4,1)))</f>
        <v/>
      </c>
      <c r="S42" s="35" t="n">
        <f aca="false">MAX(0,-P42)</f>
        <v>0</v>
      </c>
      <c r="T42" s="35" t="n">
        <f aca="false">IF(S42&gt;0,ROUNDUP(S42*(1+前提・入力!$B$35),0),0)</f>
        <v>0</v>
      </c>
      <c r="U42" s="94" t="str">
        <f aca="false">IF(R42="","",IF(NOT(ISNUMBER(D42)),"再生産不可",R42-E42-前提・入力!$B$38))</f>
        <v/>
      </c>
      <c r="V42" s="95" t="str">
        <f aca="false">IF(OR(U42="",U42="再生産不可"),"",U42-前提・入力!$B$39)</f>
        <v/>
      </c>
      <c r="W42" s="66" t="str">
        <f aca="false">IF(Q42="","—",IF(U42="再生産不可","×再生産不可",_xlfn.IFS(V42&lt;0,"★期限超過",V42&lt;=30,"★至急(30日以内)",V42&lt;=90,"要着手(90日以内)",TRUE(),"余裕あり")))</f>
        <v>余裕あり</v>
      </c>
      <c r="X42" s="65"/>
    </row>
    <row r="43" customFormat="false" ht="15" hidden="false" customHeight="false" outlineLevel="0" collapsed="false">
      <c r="A43" s="32" t="n">
        <v>31</v>
      </c>
      <c r="B43" s="32" t="s">
        <v>336</v>
      </c>
      <c r="C43" s="33" t="s">
        <v>337</v>
      </c>
      <c r="D43" s="32" t="n">
        <v>1</v>
      </c>
      <c r="E43" s="32" t="n">
        <f aca="false">IF(ISNUMBER(D43),ROUND(D43*30,0),"－")</f>
        <v>30</v>
      </c>
      <c r="F43" s="35" t="n">
        <f aca="false">③石川以降予測!T59</f>
        <v>837</v>
      </c>
      <c r="G43" s="35" t="n">
        <f aca="false">③石川以降予測!I59</f>
        <v>80</v>
      </c>
      <c r="H43" s="93" t="n">
        <f aca="false">F43-G43</f>
        <v>757</v>
      </c>
      <c r="I43" s="35" t="n">
        <f aca="false">③石川以降予測!J59</f>
        <v>95</v>
      </c>
      <c r="J43" s="93" t="n">
        <f aca="false">H43-I43</f>
        <v>662</v>
      </c>
      <c r="K43" s="35" t="n">
        <f aca="false">③石川以降予測!K59</f>
        <v>88</v>
      </c>
      <c r="L43" s="93" t="n">
        <f aca="false">J43-K43</f>
        <v>574</v>
      </c>
      <c r="M43" s="35" t="n">
        <f aca="false">③石川以降予測!L59</f>
        <v>66</v>
      </c>
      <c r="N43" s="93" t="n">
        <f aca="false">L43-M43</f>
        <v>508</v>
      </c>
      <c r="O43" s="35" t="n">
        <f aca="false">③石川以降予測!M59</f>
        <v>366</v>
      </c>
      <c r="P43" s="93" t="n">
        <f aca="false">N43-O43</f>
        <v>142</v>
      </c>
      <c r="Q43" s="66" t="str">
        <f aca="false">_xlfn.IFS(H43&lt;0,"石川 香林坊大和",J43&lt;0,"仙台 Ebeans",L43&lt;0,"神戸阪急",N43&lt;0,"鳥取島根 夢みなとタワー",P43&lt;0,"東京凱旋 東京建物ぴあホール",TRUE(),"—")</f>
        <v>—</v>
      </c>
      <c r="R43" s="94" t="str">
        <f aca="false">IF(Q43="—","",_xlfn.IFS(H43&lt;0,DATE(2026,8,14),J43&lt;0,DATE(2026,9,5),L43&lt;0,DATE(2026,12,16),N43&lt;0,DATE(2027,3,15),P43&lt;0,DATE(2027,4,1)))</f>
        <v/>
      </c>
      <c r="S43" s="35" t="n">
        <f aca="false">MAX(0,-P43)</f>
        <v>0</v>
      </c>
      <c r="T43" s="35" t="n">
        <f aca="false">IF(S43&gt;0,ROUNDUP(S43*(1+前提・入力!$B$35),0),0)</f>
        <v>0</v>
      </c>
      <c r="U43" s="94" t="str">
        <f aca="false">IF(R43="","",IF(NOT(ISNUMBER(D43)),"再生産不可",R43-E43-前提・入力!$B$38))</f>
        <v/>
      </c>
      <c r="V43" s="95" t="str">
        <f aca="false">IF(OR(U43="",U43="再生産不可"),"",U43-前提・入力!$B$39)</f>
        <v/>
      </c>
      <c r="W43" s="66" t="str">
        <f aca="false">IF(Q43="","—",IF(U43="再生産不可","×再生産不可",_xlfn.IFS(V43&lt;0,"★期限超過",V43&lt;=30,"★至急(30日以内)",V43&lt;=90,"要着手(90日以内)",TRUE(),"余裕あり")))</f>
        <v>余裕あり</v>
      </c>
      <c r="X43" s="65"/>
    </row>
    <row r="44" customFormat="false" ht="15" hidden="false" customHeight="false" outlineLevel="0" collapsed="false">
      <c r="A44" s="32" t="n">
        <v>32</v>
      </c>
      <c r="B44" s="32" t="s">
        <v>338</v>
      </c>
      <c r="C44" s="33" t="s">
        <v>339</v>
      </c>
      <c r="D44" s="32" t="n">
        <v>3</v>
      </c>
      <c r="E44" s="32" t="n">
        <f aca="false">IF(ISNUMBER(D44),ROUND(D44*30,0),"－")</f>
        <v>90</v>
      </c>
      <c r="F44" s="35" t="n">
        <f aca="false">③石川以降予測!T60</f>
        <v>23</v>
      </c>
      <c r="G44" s="35" t="n">
        <f aca="false">③石川以降予測!I60</f>
        <v>8</v>
      </c>
      <c r="H44" s="93" t="n">
        <f aca="false">F44-G44</f>
        <v>15</v>
      </c>
      <c r="I44" s="35" t="n">
        <f aca="false">③石川以降予測!J60</f>
        <v>10</v>
      </c>
      <c r="J44" s="93" t="n">
        <f aca="false">H44-I44</f>
        <v>5</v>
      </c>
      <c r="K44" s="35" t="n">
        <f aca="false">③石川以降予測!K60</f>
        <v>9</v>
      </c>
      <c r="L44" s="93" t="n">
        <f aca="false">J44-K44</f>
        <v>-4</v>
      </c>
      <c r="M44" s="35" t="n">
        <f aca="false">③石川以降予測!L60</f>
        <v>7</v>
      </c>
      <c r="N44" s="93" t="n">
        <f aca="false">L44-M44</f>
        <v>-11</v>
      </c>
      <c r="O44" s="35" t="n">
        <f aca="false">③石川以降予測!M60</f>
        <v>38</v>
      </c>
      <c r="P44" s="93" t="n">
        <f aca="false">N44-O44</f>
        <v>-49</v>
      </c>
      <c r="Q44" s="66" t="str">
        <f aca="false">_xlfn.IFS(H44&lt;0,"石川 香林坊大和",J44&lt;0,"仙台 Ebeans",L44&lt;0,"神戸阪急",N44&lt;0,"鳥取島根 夢みなとタワー",P44&lt;0,"東京凱旋 東京建物ぴあホール",TRUE(),"—")</f>
        <v>神戸阪急</v>
      </c>
      <c r="R44" s="94" t="n">
        <f aca="false">IF(Q44="—","",_xlfn.IFS(H44&lt;0,DATE(2026,8,14),J44&lt;0,DATE(2026,9,5),L44&lt;0,DATE(2026,12,16),N44&lt;0,DATE(2027,3,15),P44&lt;0,DATE(2027,4,1)))</f>
        <v>46372</v>
      </c>
      <c r="S44" s="35" t="n">
        <f aca="false">MAX(0,-P44)</f>
        <v>49</v>
      </c>
      <c r="T44" s="35" t="n">
        <f aca="false">IF(S44&gt;0,ROUNDUP(S44*(1+前提・入力!$B$35),0),0)</f>
        <v>54</v>
      </c>
      <c r="U44" s="94" t="n">
        <f aca="false">IF(R44="","",IF(NOT(ISNUMBER(D44)),"再生産不可",R44-E44-前提・入力!$B$38))</f>
        <v>46268</v>
      </c>
      <c r="V44" s="95" t="n">
        <f aca="false">IF(OR(U44="",U44="再生産不可"),"",U44-前提・入力!$B$39)</f>
        <v>37</v>
      </c>
      <c r="W44" s="66" t="str">
        <f aca="false">IF(Q44="","—",IF(U44="再生産不可","×再生産不可",_xlfn.IFS(V44&lt;0,"★期限超過",V44&lt;=30,"★至急(30日以内)",V44&lt;=90,"要着手(90日以内)",TRUE(),"余裕あり")))</f>
        <v>要着手(90日以内)</v>
      </c>
      <c r="X44" s="65" t="s">
        <v>830</v>
      </c>
    </row>
    <row r="45" customFormat="false" ht="15" hidden="false" customHeight="false" outlineLevel="0" collapsed="false">
      <c r="A45" s="32" t="n">
        <v>33</v>
      </c>
      <c r="B45" s="32" t="s">
        <v>340</v>
      </c>
      <c r="C45" s="33" t="s">
        <v>341</v>
      </c>
      <c r="D45" s="32" t="n">
        <v>3</v>
      </c>
      <c r="E45" s="32" t="n">
        <f aca="false">IF(ISNUMBER(D45),ROUND(D45*30,0),"－")</f>
        <v>90</v>
      </c>
      <c r="F45" s="35" t="n">
        <f aca="false">③石川以降予測!T61</f>
        <v>106</v>
      </c>
      <c r="G45" s="35" t="n">
        <f aca="false">③石川以降予測!I61</f>
        <v>2</v>
      </c>
      <c r="H45" s="93" t="n">
        <f aca="false">F45-G45</f>
        <v>104</v>
      </c>
      <c r="I45" s="35" t="n">
        <f aca="false">③石川以降予測!J61</f>
        <v>2</v>
      </c>
      <c r="J45" s="93" t="n">
        <f aca="false">H45-I45</f>
        <v>102</v>
      </c>
      <c r="K45" s="35" t="n">
        <f aca="false">③石川以降予測!K61</f>
        <v>2</v>
      </c>
      <c r="L45" s="93" t="n">
        <f aca="false">J45-K45</f>
        <v>100</v>
      </c>
      <c r="M45" s="35" t="n">
        <f aca="false">③石川以降予測!L61</f>
        <v>1</v>
      </c>
      <c r="N45" s="93" t="n">
        <f aca="false">L45-M45</f>
        <v>99</v>
      </c>
      <c r="O45" s="35" t="n">
        <f aca="false">③石川以降予測!M61</f>
        <v>7</v>
      </c>
      <c r="P45" s="93" t="n">
        <f aca="false">N45-O45</f>
        <v>92</v>
      </c>
      <c r="Q45" s="66" t="str">
        <f aca="false">_xlfn.IFS(H45&lt;0,"石川 香林坊大和",J45&lt;0,"仙台 Ebeans",L45&lt;0,"神戸阪急",N45&lt;0,"鳥取島根 夢みなとタワー",P45&lt;0,"東京凱旋 東京建物ぴあホール",TRUE(),"—")</f>
        <v>—</v>
      </c>
      <c r="R45" s="94" t="str">
        <f aca="false">IF(Q45="—","",_xlfn.IFS(H45&lt;0,DATE(2026,8,14),J45&lt;0,DATE(2026,9,5),L45&lt;0,DATE(2026,12,16),N45&lt;0,DATE(2027,3,15),P45&lt;0,DATE(2027,4,1)))</f>
        <v/>
      </c>
      <c r="S45" s="35" t="n">
        <f aca="false">MAX(0,-P45)</f>
        <v>0</v>
      </c>
      <c r="T45" s="35" t="n">
        <f aca="false">IF(S45&gt;0,ROUNDUP(S45*(1+前提・入力!$B$35),0),0)</f>
        <v>0</v>
      </c>
      <c r="U45" s="94" t="str">
        <f aca="false">IF(R45="","",IF(NOT(ISNUMBER(D45)),"再生産不可",R45-E45-前提・入力!$B$38))</f>
        <v/>
      </c>
      <c r="V45" s="95" t="str">
        <f aca="false">IF(OR(U45="",U45="再生産不可"),"",U45-前提・入力!$B$39)</f>
        <v/>
      </c>
      <c r="W45" s="66" t="str">
        <f aca="false">IF(Q45="","—",IF(U45="再生産不可","×再生産不可",_xlfn.IFS(V45&lt;0,"★期限超過",V45&lt;=30,"★至急(30日以内)",V45&lt;=90,"要着手(90日以内)",TRUE(),"余裕あり")))</f>
        <v>余裕あり</v>
      </c>
      <c r="X45" s="65"/>
    </row>
    <row r="46" customFormat="false" ht="15" hidden="false" customHeight="false" outlineLevel="0" collapsed="false">
      <c r="A46" s="32" t="n">
        <v>34</v>
      </c>
      <c r="B46" s="32" t="s">
        <v>342</v>
      </c>
      <c r="C46" s="33" t="s">
        <v>343</v>
      </c>
      <c r="D46" s="32" t="n">
        <v>3</v>
      </c>
      <c r="E46" s="32" t="n">
        <f aca="false">IF(ISNUMBER(D46),ROUND(D46*30,0),"－")</f>
        <v>90</v>
      </c>
      <c r="F46" s="35" t="n">
        <f aca="false">③石川以降予測!T62</f>
        <v>3</v>
      </c>
      <c r="G46" s="35" t="n">
        <f aca="false">③石川以降予測!I62</f>
        <v>1</v>
      </c>
      <c r="H46" s="93" t="n">
        <f aca="false">F46-G46</f>
        <v>2</v>
      </c>
      <c r="I46" s="35" t="n">
        <f aca="false">③石川以降予測!J62</f>
        <v>1</v>
      </c>
      <c r="J46" s="93" t="n">
        <f aca="false">H46-I46</f>
        <v>1</v>
      </c>
      <c r="K46" s="35" t="n">
        <f aca="false">③石川以降予測!K62</f>
        <v>1</v>
      </c>
      <c r="L46" s="93" t="n">
        <f aca="false">J46-K46</f>
        <v>0</v>
      </c>
      <c r="M46" s="35" t="n">
        <f aca="false">③石川以降予測!L62</f>
        <v>1</v>
      </c>
      <c r="N46" s="93" t="n">
        <f aca="false">L46-M46</f>
        <v>-1</v>
      </c>
      <c r="O46" s="35" t="n">
        <f aca="false">③石川以降予測!M62</f>
        <v>3</v>
      </c>
      <c r="P46" s="93" t="n">
        <f aca="false">N46-O46</f>
        <v>-4</v>
      </c>
      <c r="Q46" s="66" t="str">
        <f aca="false">_xlfn.IFS(H46&lt;0,"石川 香林坊大和",J46&lt;0,"仙台 Ebeans",L46&lt;0,"神戸阪急",N46&lt;0,"鳥取島根 夢みなとタワー",P46&lt;0,"東京凱旋 東京建物ぴあホール",TRUE(),"—")</f>
        <v>鳥取島根 夢みなとタワー</v>
      </c>
      <c r="R46" s="94" t="n">
        <f aca="false">IF(Q46="—","",_xlfn.IFS(H46&lt;0,DATE(2026,8,14),J46&lt;0,DATE(2026,9,5),L46&lt;0,DATE(2026,12,16),N46&lt;0,DATE(2027,3,15),P46&lt;0,DATE(2027,4,1)))</f>
        <v>46461</v>
      </c>
      <c r="S46" s="35" t="n">
        <f aca="false">MAX(0,-P46)</f>
        <v>4</v>
      </c>
      <c r="T46" s="35" t="n">
        <f aca="false">IF(S46&gt;0,ROUNDUP(S46*(1+前提・入力!$B$35),0),0)</f>
        <v>5</v>
      </c>
      <c r="U46" s="94" t="n">
        <f aca="false">IF(R46="","",IF(NOT(ISNUMBER(D46)),"再生産不可",R46-E46-前提・入力!$B$38))</f>
        <v>46357</v>
      </c>
      <c r="V46" s="95" t="n">
        <f aca="false">IF(OR(U46="",U46="再生産不可"),"",U46-前提・入力!$B$39)</f>
        <v>126</v>
      </c>
      <c r="W46" s="66" t="str">
        <f aca="false">IF(Q46="","—",IF(U46="再生産不可","×再生産不可",_xlfn.IFS(V46&lt;0,"★期限超過",V46&lt;=30,"★至急(30日以内)",V46&lt;=90,"要着手(90日以内)",TRUE(),"余裕あり")))</f>
        <v>余裕あり</v>
      </c>
      <c r="X46" s="65"/>
    </row>
    <row r="47" customFormat="false" ht="15" hidden="false" customHeight="false" outlineLevel="0" collapsed="false">
      <c r="A47" s="32" t="n">
        <v>35</v>
      </c>
      <c r="B47" s="32" t="s">
        <v>344</v>
      </c>
      <c r="C47" s="33" t="s">
        <v>345</v>
      </c>
      <c r="D47" s="32" t="n">
        <v>3</v>
      </c>
      <c r="E47" s="32" t="n">
        <f aca="false">IF(ISNUMBER(D47),ROUND(D47*30,0),"－")</f>
        <v>90</v>
      </c>
      <c r="F47" s="35" t="n">
        <f aca="false">③石川以降予測!T63</f>
        <v>4</v>
      </c>
      <c r="G47" s="35" t="n">
        <f aca="false">③石川以降予測!I63</f>
        <v>0</v>
      </c>
      <c r="H47" s="93" t="n">
        <f aca="false">F47-G47</f>
        <v>4</v>
      </c>
      <c r="I47" s="35" t="n">
        <f aca="false">③石川以降予測!J63</f>
        <v>0</v>
      </c>
      <c r="J47" s="93" t="n">
        <f aca="false">H47-I47</f>
        <v>4</v>
      </c>
      <c r="K47" s="35" t="n">
        <f aca="false">③石川以降予測!K63</f>
        <v>0</v>
      </c>
      <c r="L47" s="93" t="n">
        <f aca="false">J47-K47</f>
        <v>4</v>
      </c>
      <c r="M47" s="35" t="n">
        <f aca="false">③石川以降予測!L63</f>
        <v>0</v>
      </c>
      <c r="N47" s="93" t="n">
        <f aca="false">L47-M47</f>
        <v>4</v>
      </c>
      <c r="O47" s="35" t="n">
        <f aca="false">③石川以降予測!M63</f>
        <v>1</v>
      </c>
      <c r="P47" s="93" t="n">
        <f aca="false">N47-O47</f>
        <v>3</v>
      </c>
      <c r="Q47" s="66" t="str">
        <f aca="false">_xlfn.IFS(H47&lt;0,"石川 香林坊大和",J47&lt;0,"仙台 Ebeans",L47&lt;0,"神戸阪急",N47&lt;0,"鳥取島根 夢みなとタワー",P47&lt;0,"東京凱旋 東京建物ぴあホール",TRUE(),"—")</f>
        <v>—</v>
      </c>
      <c r="R47" s="94" t="str">
        <f aca="false">IF(Q47="—","",_xlfn.IFS(H47&lt;0,DATE(2026,8,14),J47&lt;0,DATE(2026,9,5),L47&lt;0,DATE(2026,12,16),N47&lt;0,DATE(2027,3,15),P47&lt;0,DATE(2027,4,1)))</f>
        <v/>
      </c>
      <c r="S47" s="35" t="n">
        <f aca="false">MAX(0,-P47)</f>
        <v>0</v>
      </c>
      <c r="T47" s="35" t="n">
        <f aca="false">IF(S47&gt;0,ROUNDUP(S47*(1+前提・入力!$B$35),0),0)</f>
        <v>0</v>
      </c>
      <c r="U47" s="94" t="str">
        <f aca="false">IF(R47="","",IF(NOT(ISNUMBER(D47)),"再生産不可",R47-E47-前提・入力!$B$38))</f>
        <v/>
      </c>
      <c r="V47" s="95" t="str">
        <f aca="false">IF(OR(U47="",U47="再生産不可"),"",U47-前提・入力!$B$39)</f>
        <v/>
      </c>
      <c r="W47" s="66" t="str">
        <f aca="false">IF(Q47="","—",IF(U47="再生産不可","×再生産不可",_xlfn.IFS(V47&lt;0,"★期限超過",V47&lt;=30,"★至急(30日以内)",V47&lt;=90,"要着手(90日以内)",TRUE(),"余裕あり")))</f>
        <v>余裕あり</v>
      </c>
      <c r="X47" s="65"/>
    </row>
    <row r="48" customFormat="false" ht="15" hidden="false" customHeight="false" outlineLevel="0" collapsed="false">
      <c r="A48" s="32" t="n">
        <v>36</v>
      </c>
      <c r="B48" s="32" t="s">
        <v>346</v>
      </c>
      <c r="C48" s="33" t="s">
        <v>347</v>
      </c>
      <c r="D48" s="32" t="n">
        <v>3</v>
      </c>
      <c r="E48" s="32" t="n">
        <f aca="false">IF(ISNUMBER(D48),ROUND(D48*30,0),"－")</f>
        <v>90</v>
      </c>
      <c r="F48" s="35" t="n">
        <f aca="false">③石川以降予測!T64</f>
        <v>4</v>
      </c>
      <c r="G48" s="35" t="n">
        <f aca="false">③石川以降予測!I64</f>
        <v>0</v>
      </c>
      <c r="H48" s="93" t="n">
        <f aca="false">F48-G48</f>
        <v>4</v>
      </c>
      <c r="I48" s="35" t="n">
        <f aca="false">③石川以降予測!J64</f>
        <v>0</v>
      </c>
      <c r="J48" s="93" t="n">
        <f aca="false">H48-I48</f>
        <v>4</v>
      </c>
      <c r="K48" s="35" t="n">
        <f aca="false">③石川以降予測!K64</f>
        <v>0</v>
      </c>
      <c r="L48" s="93" t="n">
        <f aca="false">J48-K48</f>
        <v>4</v>
      </c>
      <c r="M48" s="35" t="n">
        <f aca="false">③石川以降予測!L64</f>
        <v>0</v>
      </c>
      <c r="N48" s="93" t="n">
        <f aca="false">L48-M48</f>
        <v>4</v>
      </c>
      <c r="O48" s="35" t="n">
        <f aca="false">③石川以降予測!M64</f>
        <v>1</v>
      </c>
      <c r="P48" s="93" t="n">
        <f aca="false">N48-O48</f>
        <v>3</v>
      </c>
      <c r="Q48" s="66" t="str">
        <f aca="false">_xlfn.IFS(H48&lt;0,"石川 香林坊大和",J48&lt;0,"仙台 Ebeans",L48&lt;0,"神戸阪急",N48&lt;0,"鳥取島根 夢みなとタワー",P48&lt;0,"東京凱旋 東京建物ぴあホール",TRUE(),"—")</f>
        <v>—</v>
      </c>
      <c r="R48" s="94" t="str">
        <f aca="false">IF(Q48="—","",_xlfn.IFS(H48&lt;0,DATE(2026,8,14),J48&lt;0,DATE(2026,9,5),L48&lt;0,DATE(2026,12,16),N48&lt;0,DATE(2027,3,15),P48&lt;0,DATE(2027,4,1)))</f>
        <v/>
      </c>
      <c r="S48" s="35" t="n">
        <f aca="false">MAX(0,-P48)</f>
        <v>0</v>
      </c>
      <c r="T48" s="35" t="n">
        <f aca="false">IF(S48&gt;0,ROUNDUP(S48*(1+前提・入力!$B$35),0),0)</f>
        <v>0</v>
      </c>
      <c r="U48" s="94" t="str">
        <f aca="false">IF(R48="","",IF(NOT(ISNUMBER(D48)),"再生産不可",R48-E48-前提・入力!$B$38))</f>
        <v/>
      </c>
      <c r="V48" s="95" t="str">
        <f aca="false">IF(OR(U48="",U48="再生産不可"),"",U48-前提・入力!$B$39)</f>
        <v/>
      </c>
      <c r="W48" s="66" t="str">
        <f aca="false">IF(Q48="","—",IF(U48="再生産不可","×再生産不可",_xlfn.IFS(V48&lt;0,"★期限超過",V48&lt;=30,"★至急(30日以内)",V48&lt;=90,"要着手(90日以内)",TRUE(),"余裕あり")))</f>
        <v>余裕あり</v>
      </c>
      <c r="X48" s="65"/>
    </row>
    <row r="49" customFormat="false" ht="15" hidden="false" customHeight="false" outlineLevel="0" collapsed="false">
      <c r="A49" s="32" t="n">
        <v>37</v>
      </c>
      <c r="B49" s="32" t="s">
        <v>348</v>
      </c>
      <c r="C49" s="33" t="s">
        <v>349</v>
      </c>
      <c r="D49" s="32" t="n">
        <v>3</v>
      </c>
      <c r="E49" s="32" t="n">
        <f aca="false">IF(ISNUMBER(D49),ROUND(D49*30,0),"－")</f>
        <v>90</v>
      </c>
      <c r="F49" s="35" t="n">
        <f aca="false">③石川以降予測!T65</f>
        <v>43</v>
      </c>
      <c r="G49" s="35" t="n">
        <f aca="false">③石川以降予測!I65</f>
        <v>2</v>
      </c>
      <c r="H49" s="93" t="n">
        <f aca="false">F49-G49</f>
        <v>41</v>
      </c>
      <c r="I49" s="35" t="n">
        <f aca="false">③石川以降予測!J65</f>
        <v>2</v>
      </c>
      <c r="J49" s="93" t="n">
        <f aca="false">H49-I49</f>
        <v>39</v>
      </c>
      <c r="K49" s="35" t="n">
        <f aca="false">③石川以降予測!K65</f>
        <v>2</v>
      </c>
      <c r="L49" s="93" t="n">
        <f aca="false">J49-K49</f>
        <v>37</v>
      </c>
      <c r="M49" s="35" t="n">
        <f aca="false">③石川以降予測!L65</f>
        <v>2</v>
      </c>
      <c r="N49" s="93" t="n">
        <f aca="false">L49-M49</f>
        <v>35</v>
      </c>
      <c r="O49" s="35" t="n">
        <f aca="false">③石川以降予測!M65</f>
        <v>9</v>
      </c>
      <c r="P49" s="93" t="n">
        <f aca="false">N49-O49</f>
        <v>26</v>
      </c>
      <c r="Q49" s="66" t="str">
        <f aca="false">_xlfn.IFS(H49&lt;0,"石川 香林坊大和",J49&lt;0,"仙台 Ebeans",L49&lt;0,"神戸阪急",N49&lt;0,"鳥取島根 夢みなとタワー",P49&lt;0,"東京凱旋 東京建物ぴあホール",TRUE(),"—")</f>
        <v>—</v>
      </c>
      <c r="R49" s="94" t="str">
        <f aca="false">IF(Q49="—","",_xlfn.IFS(H49&lt;0,DATE(2026,8,14),J49&lt;0,DATE(2026,9,5),L49&lt;0,DATE(2026,12,16),N49&lt;0,DATE(2027,3,15),P49&lt;0,DATE(2027,4,1)))</f>
        <v/>
      </c>
      <c r="S49" s="35" t="n">
        <f aca="false">MAX(0,-P49)</f>
        <v>0</v>
      </c>
      <c r="T49" s="35" t="n">
        <f aca="false">IF(S49&gt;0,ROUNDUP(S49*(1+前提・入力!$B$35),0),0)</f>
        <v>0</v>
      </c>
      <c r="U49" s="94" t="str">
        <f aca="false">IF(R49="","",IF(NOT(ISNUMBER(D49)),"再生産不可",R49-E49-前提・入力!$B$38))</f>
        <v/>
      </c>
      <c r="V49" s="95" t="str">
        <f aca="false">IF(OR(U49="",U49="再生産不可"),"",U49-前提・入力!$B$39)</f>
        <v/>
      </c>
      <c r="W49" s="66" t="str">
        <f aca="false">IF(Q49="","—",IF(U49="再生産不可","×再生産不可",_xlfn.IFS(V49&lt;0,"★期限超過",V49&lt;=30,"★至急(30日以内)",V49&lt;=90,"要着手(90日以内)",TRUE(),"余裕あり")))</f>
        <v>余裕あり</v>
      </c>
      <c r="X49" s="65"/>
    </row>
    <row r="50" customFormat="false" ht="15" hidden="false" customHeight="false" outlineLevel="0" collapsed="false">
      <c r="A50" s="32" t="n">
        <v>38</v>
      </c>
      <c r="B50" s="32" t="s">
        <v>350</v>
      </c>
      <c r="C50" s="33" t="s">
        <v>351</v>
      </c>
      <c r="D50" s="32" t="n">
        <v>3</v>
      </c>
      <c r="E50" s="32" t="n">
        <f aca="false">IF(ISNUMBER(D50),ROUND(D50*30,0),"－")</f>
        <v>90</v>
      </c>
      <c r="F50" s="35" t="n">
        <f aca="false">③石川以降予測!T66</f>
        <v>2</v>
      </c>
      <c r="G50" s="35" t="n">
        <f aca="false">③石川以降予測!I66</f>
        <v>1</v>
      </c>
      <c r="H50" s="93" t="n">
        <f aca="false">F50-G50</f>
        <v>1</v>
      </c>
      <c r="I50" s="35" t="n">
        <f aca="false">③石川以降予測!J66</f>
        <v>2</v>
      </c>
      <c r="J50" s="93" t="n">
        <f aca="false">H50-I50</f>
        <v>-1</v>
      </c>
      <c r="K50" s="35" t="n">
        <f aca="false">③石川以降予測!K66</f>
        <v>1</v>
      </c>
      <c r="L50" s="93" t="n">
        <f aca="false">J50-K50</f>
        <v>-2</v>
      </c>
      <c r="M50" s="35" t="n">
        <f aca="false">③石川以降予測!L66</f>
        <v>1</v>
      </c>
      <c r="N50" s="93" t="n">
        <f aca="false">L50-M50</f>
        <v>-3</v>
      </c>
      <c r="O50" s="35" t="n">
        <f aca="false">③石川以降予測!M66</f>
        <v>6</v>
      </c>
      <c r="P50" s="93" t="n">
        <f aca="false">N50-O50</f>
        <v>-9</v>
      </c>
      <c r="Q50" s="66" t="str">
        <f aca="false">_xlfn.IFS(H50&lt;0,"石川 香林坊大和",J50&lt;0,"仙台 Ebeans",L50&lt;0,"神戸阪急",N50&lt;0,"鳥取島根 夢みなとタワー",P50&lt;0,"東京凱旋 東京建物ぴあホール",TRUE(),"—")</f>
        <v>仙台 Ebeans</v>
      </c>
      <c r="R50" s="94" t="n">
        <f aca="false">IF(Q50="—","",_xlfn.IFS(H50&lt;0,DATE(2026,8,14),J50&lt;0,DATE(2026,9,5),L50&lt;0,DATE(2026,12,16),N50&lt;0,DATE(2027,3,15),P50&lt;0,DATE(2027,4,1)))</f>
        <v>46270</v>
      </c>
      <c r="S50" s="35" t="n">
        <f aca="false">MAX(0,-P50)</f>
        <v>9</v>
      </c>
      <c r="T50" s="35" t="n">
        <f aca="false">IF(S50&gt;0,ROUNDUP(S50*(1+前提・入力!$B$35),0),0)</f>
        <v>10</v>
      </c>
      <c r="U50" s="94" t="n">
        <f aca="false">IF(R50="","",IF(NOT(ISNUMBER(D50)),"再生産不可",R50-E50-前提・入力!$B$38))</f>
        <v>46166</v>
      </c>
      <c r="V50" s="95" t="n">
        <f aca="false">IF(OR(U50="",U50="再生産不可"),"",U50-前提・入力!$B$39)</f>
        <v>-65</v>
      </c>
      <c r="W50" s="66" t="str">
        <f aca="false">IF(Q50="","—",IF(U50="再生産不可","×再生産不可",_xlfn.IFS(V50&lt;0,"★期限超過",V50&lt;=30,"★至急(30日以内)",V50&lt;=90,"要着手(90日以内)",TRUE(),"余裕あり")))</f>
        <v>★期限超過</v>
      </c>
      <c r="X50" s="65"/>
    </row>
    <row r="51" customFormat="false" ht="15" hidden="false" customHeight="false" outlineLevel="0" collapsed="false">
      <c r="A51" s="32" t="n">
        <v>39</v>
      </c>
      <c r="B51" s="32" t="s">
        <v>352</v>
      </c>
      <c r="C51" s="33" t="s">
        <v>353</v>
      </c>
      <c r="D51" s="32" t="n">
        <v>3</v>
      </c>
      <c r="E51" s="32" t="n">
        <f aca="false">IF(ISNUMBER(D51),ROUND(D51*30,0),"－")</f>
        <v>90</v>
      </c>
      <c r="F51" s="35" t="n">
        <f aca="false">③石川以降予測!T67</f>
        <v>4</v>
      </c>
      <c r="G51" s="35" t="n">
        <f aca="false">③石川以降予測!I67</f>
        <v>1</v>
      </c>
      <c r="H51" s="93" t="n">
        <f aca="false">F51-G51</f>
        <v>3</v>
      </c>
      <c r="I51" s="35" t="n">
        <f aca="false">③石川以降予測!J67</f>
        <v>1</v>
      </c>
      <c r="J51" s="93" t="n">
        <f aca="false">H51-I51</f>
        <v>2</v>
      </c>
      <c r="K51" s="35" t="n">
        <f aca="false">③石川以降予測!K67</f>
        <v>1</v>
      </c>
      <c r="L51" s="93" t="n">
        <f aca="false">J51-K51</f>
        <v>1</v>
      </c>
      <c r="M51" s="35" t="n">
        <f aca="false">③石川以降予測!L67</f>
        <v>1</v>
      </c>
      <c r="N51" s="93" t="n">
        <f aca="false">L51-M51</f>
        <v>0</v>
      </c>
      <c r="O51" s="35" t="n">
        <f aca="false">③石川以降予測!M67</f>
        <v>3</v>
      </c>
      <c r="P51" s="93" t="n">
        <f aca="false">N51-O51</f>
        <v>-3</v>
      </c>
      <c r="Q51" s="66" t="str">
        <f aca="false">_xlfn.IFS(H51&lt;0,"石川 香林坊大和",J51&lt;0,"仙台 Ebeans",L51&lt;0,"神戸阪急",N51&lt;0,"鳥取島根 夢みなとタワー",P51&lt;0,"東京凱旋 東京建物ぴあホール",TRUE(),"—")</f>
        <v>東京凱旋 東京建物ぴあホール</v>
      </c>
      <c r="R51" s="94" t="n">
        <f aca="false">IF(Q51="—","",_xlfn.IFS(H51&lt;0,DATE(2026,8,14),J51&lt;0,DATE(2026,9,5),L51&lt;0,DATE(2026,12,16),N51&lt;0,DATE(2027,3,15),P51&lt;0,DATE(2027,4,1)))</f>
        <v>46478</v>
      </c>
      <c r="S51" s="35" t="n">
        <f aca="false">MAX(0,-P51)</f>
        <v>3</v>
      </c>
      <c r="T51" s="35" t="n">
        <f aca="false">IF(S51&gt;0,ROUNDUP(S51*(1+前提・入力!$B$35),0),0)</f>
        <v>4</v>
      </c>
      <c r="U51" s="94" t="n">
        <f aca="false">IF(R51="","",IF(NOT(ISNUMBER(D51)),"再生産不可",R51-E51-前提・入力!$B$38))</f>
        <v>46374</v>
      </c>
      <c r="V51" s="95" t="n">
        <f aca="false">IF(OR(U51="",U51="再生産不可"),"",U51-前提・入力!$B$39)</f>
        <v>143</v>
      </c>
      <c r="W51" s="66" t="str">
        <f aca="false">IF(Q51="","—",IF(U51="再生産不可","×再生産不可",_xlfn.IFS(V51&lt;0,"★期限超過",V51&lt;=30,"★至急(30日以内)",V51&lt;=90,"要着手(90日以内)",TRUE(),"余裕あり")))</f>
        <v>余裕あり</v>
      </c>
      <c r="X51" s="65"/>
    </row>
    <row r="52" customFormat="false" ht="15" hidden="false" customHeight="false" outlineLevel="0" collapsed="false">
      <c r="A52" s="32" t="n">
        <v>40</v>
      </c>
      <c r="B52" s="32" t="s">
        <v>354</v>
      </c>
      <c r="C52" s="33" t="s">
        <v>355</v>
      </c>
      <c r="D52" s="32" t="n">
        <v>3</v>
      </c>
      <c r="E52" s="32" t="n">
        <f aca="false">IF(ISNUMBER(D52),ROUND(D52*30,0),"－")</f>
        <v>90</v>
      </c>
      <c r="F52" s="35" t="n">
        <f aca="false">③石川以降予測!T68</f>
        <v>4</v>
      </c>
      <c r="G52" s="35" t="n">
        <f aca="false">③石川以降予測!I68</f>
        <v>0</v>
      </c>
      <c r="H52" s="93" t="n">
        <f aca="false">F52-G52</f>
        <v>4</v>
      </c>
      <c r="I52" s="35" t="n">
        <f aca="false">③石川以降予測!J68</f>
        <v>0</v>
      </c>
      <c r="J52" s="93" t="n">
        <f aca="false">H52-I52</f>
        <v>4</v>
      </c>
      <c r="K52" s="35" t="n">
        <f aca="false">③石川以降予測!K68</f>
        <v>0</v>
      </c>
      <c r="L52" s="93" t="n">
        <f aca="false">J52-K52</f>
        <v>4</v>
      </c>
      <c r="M52" s="35" t="n">
        <f aca="false">③石川以降予測!L68</f>
        <v>0</v>
      </c>
      <c r="N52" s="93" t="n">
        <f aca="false">L52-M52</f>
        <v>4</v>
      </c>
      <c r="O52" s="35" t="n">
        <f aca="false">③石川以降予測!M68</f>
        <v>1</v>
      </c>
      <c r="P52" s="93" t="n">
        <f aca="false">N52-O52</f>
        <v>3</v>
      </c>
      <c r="Q52" s="66" t="str">
        <f aca="false">_xlfn.IFS(H52&lt;0,"石川 香林坊大和",J52&lt;0,"仙台 Ebeans",L52&lt;0,"神戸阪急",N52&lt;0,"鳥取島根 夢みなとタワー",P52&lt;0,"東京凱旋 東京建物ぴあホール",TRUE(),"—")</f>
        <v>—</v>
      </c>
      <c r="R52" s="94" t="str">
        <f aca="false">IF(Q52="—","",_xlfn.IFS(H52&lt;0,DATE(2026,8,14),J52&lt;0,DATE(2026,9,5),L52&lt;0,DATE(2026,12,16),N52&lt;0,DATE(2027,3,15),P52&lt;0,DATE(2027,4,1)))</f>
        <v/>
      </c>
      <c r="S52" s="35" t="n">
        <f aca="false">MAX(0,-P52)</f>
        <v>0</v>
      </c>
      <c r="T52" s="35" t="n">
        <f aca="false">IF(S52&gt;0,ROUNDUP(S52*(1+前提・入力!$B$35),0),0)</f>
        <v>0</v>
      </c>
      <c r="U52" s="94" t="str">
        <f aca="false">IF(R52="","",IF(NOT(ISNUMBER(D52)),"再生産不可",R52-E52-前提・入力!$B$38))</f>
        <v/>
      </c>
      <c r="V52" s="95" t="str">
        <f aca="false">IF(OR(U52="",U52="再生産不可"),"",U52-前提・入力!$B$39)</f>
        <v/>
      </c>
      <c r="W52" s="66" t="str">
        <f aca="false">IF(Q52="","—",IF(U52="再生産不可","×再生産不可",_xlfn.IFS(V52&lt;0,"★期限超過",V52&lt;=30,"★至急(30日以内)",V52&lt;=90,"要着手(90日以内)",TRUE(),"余裕あり")))</f>
        <v>余裕あり</v>
      </c>
      <c r="X52" s="65"/>
    </row>
    <row r="53" customFormat="false" ht="15" hidden="false" customHeight="false" outlineLevel="0" collapsed="false">
      <c r="A53" s="32" t="n">
        <v>41</v>
      </c>
      <c r="B53" s="32" t="s">
        <v>356</v>
      </c>
      <c r="C53" s="33" t="s">
        <v>357</v>
      </c>
      <c r="D53" s="32" t="n">
        <v>3</v>
      </c>
      <c r="E53" s="32" t="n">
        <f aca="false">IF(ISNUMBER(D53),ROUND(D53*30,0),"－")</f>
        <v>90</v>
      </c>
      <c r="F53" s="35" t="n">
        <f aca="false">③石川以降予測!T69</f>
        <v>74</v>
      </c>
      <c r="G53" s="35" t="n">
        <f aca="false">③石川以降予測!I69</f>
        <v>0</v>
      </c>
      <c r="H53" s="93" t="n">
        <f aca="false">F53-G53</f>
        <v>74</v>
      </c>
      <c r="I53" s="35" t="n">
        <f aca="false">③石川以降予測!J69</f>
        <v>0</v>
      </c>
      <c r="J53" s="93" t="n">
        <f aca="false">H53-I53</f>
        <v>74</v>
      </c>
      <c r="K53" s="35" t="n">
        <f aca="false">③石川以降予測!K69</f>
        <v>0</v>
      </c>
      <c r="L53" s="93" t="n">
        <f aca="false">J53-K53</f>
        <v>74</v>
      </c>
      <c r="M53" s="35" t="n">
        <f aca="false">③石川以降予測!L69</f>
        <v>0</v>
      </c>
      <c r="N53" s="93" t="n">
        <f aca="false">L53-M53</f>
        <v>74</v>
      </c>
      <c r="O53" s="35" t="n">
        <f aca="false">③石川以降予測!M69</f>
        <v>1</v>
      </c>
      <c r="P53" s="93" t="n">
        <f aca="false">N53-O53</f>
        <v>73</v>
      </c>
      <c r="Q53" s="66" t="str">
        <f aca="false">_xlfn.IFS(H53&lt;0,"石川 香林坊大和",J53&lt;0,"仙台 Ebeans",L53&lt;0,"神戸阪急",N53&lt;0,"鳥取島根 夢みなとタワー",P53&lt;0,"東京凱旋 東京建物ぴあホール",TRUE(),"—")</f>
        <v>—</v>
      </c>
      <c r="R53" s="94" t="str">
        <f aca="false">IF(Q53="—","",_xlfn.IFS(H53&lt;0,DATE(2026,8,14),J53&lt;0,DATE(2026,9,5),L53&lt;0,DATE(2026,12,16),N53&lt;0,DATE(2027,3,15),P53&lt;0,DATE(2027,4,1)))</f>
        <v/>
      </c>
      <c r="S53" s="35" t="n">
        <f aca="false">MAX(0,-P53)</f>
        <v>0</v>
      </c>
      <c r="T53" s="35" t="n">
        <f aca="false">IF(S53&gt;0,ROUNDUP(S53*(1+前提・入力!$B$35),0),0)</f>
        <v>0</v>
      </c>
      <c r="U53" s="94" t="str">
        <f aca="false">IF(R53="","",IF(NOT(ISNUMBER(D53)),"再生産不可",R53-E53-前提・入力!$B$38))</f>
        <v/>
      </c>
      <c r="V53" s="95" t="str">
        <f aca="false">IF(OR(U53="",U53="再生産不可"),"",U53-前提・入力!$B$39)</f>
        <v/>
      </c>
      <c r="W53" s="66" t="str">
        <f aca="false">IF(Q53="","—",IF(U53="再生産不可","×再生産不可",_xlfn.IFS(V53&lt;0,"★期限超過",V53&lt;=30,"★至急(30日以内)",V53&lt;=90,"要着手(90日以内)",TRUE(),"余裕あり")))</f>
        <v>余裕あり</v>
      </c>
      <c r="X53" s="65"/>
    </row>
    <row r="54" customFormat="false" ht="15" hidden="false" customHeight="false" outlineLevel="0" collapsed="false">
      <c r="A54" s="32" t="n">
        <v>42</v>
      </c>
      <c r="B54" s="32" t="s">
        <v>358</v>
      </c>
      <c r="C54" s="33" t="s">
        <v>359</v>
      </c>
      <c r="D54" s="32" t="n">
        <v>3</v>
      </c>
      <c r="E54" s="32" t="n">
        <f aca="false">IF(ISNUMBER(D54),ROUND(D54*30,0),"－")</f>
        <v>90</v>
      </c>
      <c r="F54" s="35" t="n">
        <f aca="false">③石川以降予測!T70</f>
        <v>46</v>
      </c>
      <c r="G54" s="35" t="n">
        <f aca="false">③石川以降予測!I70</f>
        <v>2</v>
      </c>
      <c r="H54" s="93" t="n">
        <f aca="false">F54-G54</f>
        <v>44</v>
      </c>
      <c r="I54" s="35" t="n">
        <f aca="false">③石川以降予測!J70</f>
        <v>3</v>
      </c>
      <c r="J54" s="93" t="n">
        <f aca="false">H54-I54</f>
        <v>41</v>
      </c>
      <c r="K54" s="35" t="n">
        <f aca="false">③石川以降予測!K70</f>
        <v>2</v>
      </c>
      <c r="L54" s="93" t="n">
        <f aca="false">J54-K54</f>
        <v>39</v>
      </c>
      <c r="M54" s="35" t="n">
        <f aca="false">③石川以降予測!L70</f>
        <v>2</v>
      </c>
      <c r="N54" s="93" t="n">
        <f aca="false">L54-M54</f>
        <v>37</v>
      </c>
      <c r="O54" s="35" t="n">
        <f aca="false">③石川以降予測!M70</f>
        <v>10</v>
      </c>
      <c r="P54" s="93" t="n">
        <f aca="false">N54-O54</f>
        <v>27</v>
      </c>
      <c r="Q54" s="66" t="str">
        <f aca="false">_xlfn.IFS(H54&lt;0,"石川 香林坊大和",J54&lt;0,"仙台 Ebeans",L54&lt;0,"神戸阪急",N54&lt;0,"鳥取島根 夢みなとタワー",P54&lt;0,"東京凱旋 東京建物ぴあホール",TRUE(),"—")</f>
        <v>—</v>
      </c>
      <c r="R54" s="94" t="str">
        <f aca="false">IF(Q54="—","",_xlfn.IFS(H54&lt;0,DATE(2026,8,14),J54&lt;0,DATE(2026,9,5),L54&lt;0,DATE(2026,12,16),N54&lt;0,DATE(2027,3,15),P54&lt;0,DATE(2027,4,1)))</f>
        <v/>
      </c>
      <c r="S54" s="35" t="n">
        <f aca="false">MAX(0,-P54)</f>
        <v>0</v>
      </c>
      <c r="T54" s="35" t="n">
        <f aca="false">IF(S54&gt;0,ROUNDUP(S54*(1+前提・入力!$B$35),0),0)</f>
        <v>0</v>
      </c>
      <c r="U54" s="94" t="str">
        <f aca="false">IF(R54="","",IF(NOT(ISNUMBER(D54)),"再生産不可",R54-E54-前提・入力!$B$38))</f>
        <v/>
      </c>
      <c r="V54" s="95" t="str">
        <f aca="false">IF(OR(U54="",U54="再生産不可"),"",U54-前提・入力!$B$39)</f>
        <v/>
      </c>
      <c r="W54" s="66" t="str">
        <f aca="false">IF(Q54="","—",IF(U54="再生産不可","×再生産不可",_xlfn.IFS(V54&lt;0,"★期限超過",V54&lt;=30,"★至急(30日以内)",V54&lt;=90,"要着手(90日以内)",TRUE(),"余裕あり")))</f>
        <v>余裕あり</v>
      </c>
      <c r="X54" s="66" t="s">
        <v>834</v>
      </c>
    </row>
    <row r="55" customFormat="false" ht="15" hidden="false" customHeight="false" outlineLevel="0" collapsed="false">
      <c r="A55" s="40"/>
      <c r="B55" s="40"/>
      <c r="C55" s="41" t="s">
        <v>360</v>
      </c>
      <c r="D55" s="40"/>
      <c r="E55" s="40"/>
      <c r="F55" s="42" t="n">
        <f aca="false">SUM(F13:F54)</f>
        <v>265684</v>
      </c>
      <c r="G55" s="42" t="n">
        <f aca="false">SUM(G13:G54)</f>
        <v>9706</v>
      </c>
      <c r="H55" s="40"/>
      <c r="I55" s="42" t="n">
        <f aca="false">SUM(I13:I54)</f>
        <v>11469</v>
      </c>
      <c r="J55" s="40"/>
      <c r="K55" s="42" t="n">
        <f aca="false">SUM(K13:K54)</f>
        <v>10586</v>
      </c>
      <c r="L55" s="40"/>
      <c r="M55" s="42" t="n">
        <f aca="false">SUM(M13:M54)</f>
        <v>7944</v>
      </c>
      <c r="N55" s="40"/>
      <c r="O55" s="42" t="n">
        <f aca="false">SUM(O13:O54)</f>
        <v>44116</v>
      </c>
      <c r="P55" s="40"/>
      <c r="Q55" s="40" t="str">
        <f aca="false">COUNTIF(Q13:Q54,"&lt;&gt;—")&amp;"品目で欠品"</f>
        <v>9品目で欠品</v>
      </c>
      <c r="R55" s="40"/>
      <c r="S55" s="42" t="n">
        <f aca="false">SUM(S13:S54)</f>
        <v>3554</v>
      </c>
      <c r="T55" s="42" t="n">
        <f aca="false">SUM(T13:T54)</f>
        <v>3913</v>
      </c>
      <c r="U55" s="40"/>
      <c r="V55" s="40"/>
      <c r="W55" s="40"/>
      <c r="X55" s="40"/>
    </row>
    <row r="57" customFormat="false" ht="15" hidden="false" customHeight="false" outlineLevel="0" collapsed="false">
      <c r="A57" s="4" t="s">
        <v>835</v>
      </c>
    </row>
    <row r="58" customFormat="false" ht="33.75" hidden="false" customHeight="true" outlineLevel="0" collapsed="false">
      <c r="A58" s="48" t="s">
        <v>414</v>
      </c>
      <c r="B58" s="48" t="s">
        <v>836</v>
      </c>
      <c r="C58" s="48" t="s">
        <v>837</v>
      </c>
      <c r="D58" s="48" t="s">
        <v>838</v>
      </c>
      <c r="E58" s="48" t="s">
        <v>839</v>
      </c>
      <c r="F58" s="48" t="s">
        <v>840</v>
      </c>
      <c r="G58" s="48" t="s">
        <v>419</v>
      </c>
    </row>
    <row r="59" customFormat="false" ht="15" hidden="false" customHeight="false" outlineLevel="0" collapsed="false">
      <c r="A59" s="49" t="s">
        <v>372</v>
      </c>
      <c r="B59" s="94" t="n">
        <v>46248</v>
      </c>
      <c r="C59" s="94" t="n">
        <f aca="false">B59-30-前提・入力!$B$38</f>
        <v>46204</v>
      </c>
      <c r="D59" s="94" t="n">
        <f aca="false">B59-75-前提・入力!$B$38</f>
        <v>46159</v>
      </c>
      <c r="E59" s="94" t="n">
        <f aca="false">B59-90-前提・入力!$B$38</f>
        <v>46144</v>
      </c>
      <c r="F59" s="95" t="n">
        <f aca="false">E59-前提・入力!$B$39</f>
        <v>-87</v>
      </c>
      <c r="G59" s="33" t="s">
        <v>841</v>
      </c>
    </row>
    <row r="60" customFormat="false" ht="15" hidden="false" customHeight="false" outlineLevel="0" collapsed="false">
      <c r="A60" s="49" t="s">
        <v>438</v>
      </c>
      <c r="B60" s="94" t="n">
        <v>46270</v>
      </c>
      <c r="C60" s="94" t="n">
        <f aca="false">B60-30-前提・入力!$B$38</f>
        <v>46226</v>
      </c>
      <c r="D60" s="94" t="n">
        <f aca="false">B60-75-前提・入力!$B$38</f>
        <v>46181</v>
      </c>
      <c r="E60" s="94" t="n">
        <f aca="false">B60-90-前提・入力!$B$38</f>
        <v>46166</v>
      </c>
      <c r="F60" s="95" t="n">
        <f aca="false">E60-前提・入力!$B$39</f>
        <v>-65</v>
      </c>
      <c r="G60" s="33" t="s">
        <v>842</v>
      </c>
    </row>
    <row r="61" customFormat="false" ht="15" hidden="false" customHeight="false" outlineLevel="0" collapsed="false">
      <c r="A61" s="49" t="s">
        <v>374</v>
      </c>
      <c r="B61" s="94" t="n">
        <v>46372</v>
      </c>
      <c r="C61" s="94" t="n">
        <f aca="false">B61-30-前提・入力!$B$38</f>
        <v>46328</v>
      </c>
      <c r="D61" s="94" t="n">
        <f aca="false">B61-75-前提・入力!$B$38</f>
        <v>46283</v>
      </c>
      <c r="E61" s="94" t="n">
        <f aca="false">B61-90-前提・入力!$B$38</f>
        <v>46268</v>
      </c>
      <c r="F61" s="95" t="n">
        <f aca="false">E61-前提・入力!$B$39</f>
        <v>37</v>
      </c>
      <c r="G61" s="33" t="s">
        <v>843</v>
      </c>
    </row>
    <row r="62" customFormat="false" ht="15" hidden="false" customHeight="false" outlineLevel="0" collapsed="false">
      <c r="A62" s="49" t="s">
        <v>375</v>
      </c>
      <c r="B62" s="94" t="n">
        <v>46461</v>
      </c>
      <c r="C62" s="94" t="n">
        <f aca="false">B62-30-前提・入力!$B$38</f>
        <v>46417</v>
      </c>
      <c r="D62" s="94" t="n">
        <f aca="false">B62-75-前提・入力!$B$38</f>
        <v>46372</v>
      </c>
      <c r="E62" s="94" t="n">
        <f aca="false">B62-90-前提・入力!$B$38</f>
        <v>46357</v>
      </c>
      <c r="F62" s="95" t="n">
        <f aca="false">E62-前提・入力!$B$39</f>
        <v>126</v>
      </c>
      <c r="G62" s="33" t="s">
        <v>843</v>
      </c>
    </row>
    <row r="63" customFormat="false" ht="15" hidden="false" customHeight="false" outlineLevel="0" collapsed="false">
      <c r="A63" s="49" t="s">
        <v>376</v>
      </c>
      <c r="B63" s="94" t="n">
        <v>46478</v>
      </c>
      <c r="C63" s="94" t="n">
        <f aca="false">B63-30-前提・入力!$B$38</f>
        <v>46434</v>
      </c>
      <c r="D63" s="94" t="n">
        <f aca="false">B63-75-前提・入力!$B$38</f>
        <v>46389</v>
      </c>
      <c r="E63" s="94" t="n">
        <f aca="false">B63-90-前提・入力!$B$38</f>
        <v>46374</v>
      </c>
      <c r="F63" s="95" t="n">
        <f aca="false">E63-前提・入力!$B$39</f>
        <v>143</v>
      </c>
      <c r="G63" s="33" t="s">
        <v>844</v>
      </c>
    </row>
    <row r="66" customFormat="false" ht="15" hidden="false" customHeight="false" outlineLevel="0" collapsed="false">
      <c r="A66" s="4" t="s">
        <v>845</v>
      </c>
    </row>
    <row r="67" customFormat="false" ht="15" hidden="false" customHeight="false" outlineLevel="0" collapsed="false">
      <c r="A67" s="5" t="s">
        <v>846</v>
      </c>
      <c r="B67" s="85" t="s">
        <v>847</v>
      </c>
      <c r="C67" s="85"/>
      <c r="D67" s="85"/>
      <c r="E67" s="85"/>
      <c r="F67" s="85"/>
      <c r="G67" s="85"/>
      <c r="H67" s="85"/>
      <c r="I67" s="85"/>
      <c r="J67" s="85"/>
    </row>
    <row r="68" customFormat="false" ht="15" hidden="false" customHeight="false" outlineLevel="0" collapsed="false">
      <c r="A68" s="5" t="s">
        <v>848</v>
      </c>
      <c r="B68" s="85" t="s">
        <v>849</v>
      </c>
      <c r="C68" s="85"/>
      <c r="D68" s="85"/>
      <c r="E68" s="85"/>
      <c r="F68" s="85"/>
      <c r="G68" s="85"/>
      <c r="H68" s="85"/>
      <c r="I68" s="85"/>
      <c r="J68" s="85"/>
    </row>
    <row r="69" customFormat="false" ht="15" hidden="false" customHeight="false" outlineLevel="0" collapsed="false">
      <c r="A69" s="5"/>
      <c r="B69" s="85" t="s">
        <v>850</v>
      </c>
      <c r="C69" s="85"/>
      <c r="D69" s="85"/>
      <c r="E69" s="85"/>
      <c r="F69" s="85"/>
      <c r="G69" s="85"/>
      <c r="H69" s="85"/>
      <c r="I69" s="85"/>
      <c r="J69" s="85"/>
    </row>
    <row r="70" customFormat="false" ht="15" hidden="false" customHeight="false" outlineLevel="0" collapsed="false">
      <c r="A70" s="5" t="s">
        <v>851</v>
      </c>
      <c r="B70" s="85" t="s">
        <v>852</v>
      </c>
      <c r="C70" s="85"/>
      <c r="D70" s="85"/>
      <c r="E70" s="85"/>
      <c r="F70" s="85"/>
      <c r="G70" s="85"/>
      <c r="H70" s="85"/>
      <c r="I70" s="85"/>
      <c r="J70" s="85"/>
    </row>
    <row r="71" customFormat="false" ht="15" hidden="false" customHeight="false" outlineLevel="0" collapsed="false">
      <c r="A71" s="5" t="s">
        <v>853</v>
      </c>
      <c r="B71" s="90" t="s">
        <v>854</v>
      </c>
      <c r="C71" s="90"/>
      <c r="D71" s="90"/>
      <c r="E71" s="90"/>
      <c r="F71" s="90"/>
      <c r="G71" s="90"/>
      <c r="H71" s="90"/>
      <c r="I71" s="90"/>
      <c r="J71" s="90"/>
    </row>
    <row r="72" customFormat="false" ht="15" hidden="false" customHeight="false" outlineLevel="0" collapsed="false">
      <c r="A72" s="5"/>
      <c r="B72" s="85" t="s">
        <v>855</v>
      </c>
      <c r="C72" s="85"/>
      <c r="D72" s="85"/>
      <c r="E72" s="85"/>
      <c r="F72" s="85"/>
      <c r="G72" s="85"/>
      <c r="H72" s="85"/>
      <c r="I72" s="85"/>
      <c r="J72" s="85"/>
    </row>
    <row r="73" customFormat="false" ht="15" hidden="false" customHeight="false" outlineLevel="0" collapsed="false">
      <c r="A73" s="5" t="s">
        <v>92</v>
      </c>
      <c r="B73" s="85" t="s">
        <v>856</v>
      </c>
      <c r="C73" s="85"/>
      <c r="D73" s="85"/>
      <c r="E73" s="85"/>
      <c r="F73" s="85"/>
      <c r="G73" s="85"/>
      <c r="H73" s="85"/>
      <c r="I73" s="85"/>
      <c r="J73" s="85"/>
    </row>
    <row r="74" customFormat="false" ht="15" hidden="false" customHeight="false" outlineLevel="0" collapsed="false">
      <c r="A74" s="5"/>
      <c r="B74" s="85" t="s">
        <v>857</v>
      </c>
      <c r="C74" s="85"/>
      <c r="D74" s="85"/>
      <c r="E74" s="85"/>
      <c r="F74" s="85"/>
      <c r="G74" s="85"/>
      <c r="H74" s="85"/>
      <c r="I74" s="85"/>
      <c r="J74" s="85"/>
    </row>
    <row r="75" customFormat="false" ht="15" hidden="false" customHeight="false" outlineLevel="0" collapsed="false">
      <c r="A75" s="5" t="s">
        <v>858</v>
      </c>
      <c r="B75" s="85" t="s">
        <v>859</v>
      </c>
      <c r="C75" s="85"/>
      <c r="D75" s="85"/>
      <c r="E75" s="85"/>
      <c r="F75" s="85"/>
      <c r="G75" s="85"/>
      <c r="H75" s="85"/>
      <c r="I75" s="85"/>
      <c r="J75" s="85"/>
    </row>
  </sheetData>
  <mergeCells count="9">
    <mergeCell ref="B67:J67"/>
    <mergeCell ref="B68:J68"/>
    <mergeCell ref="B69:J69"/>
    <mergeCell ref="B70:J70"/>
    <mergeCell ref="B71:J71"/>
    <mergeCell ref="B72:J72"/>
    <mergeCell ref="B73:J73"/>
    <mergeCell ref="B74:J74"/>
    <mergeCell ref="B75:J75"/>
  </mergeCells>
  <conditionalFormatting sqref="H13:H54">
    <cfRule type="expression" priority="2" aboveAverage="0" equalAverage="0" bottom="0" percent="0" rank="0" text="" dxfId="3">
      <formula>$H13&lt;0</formula>
    </cfRule>
  </conditionalFormatting>
  <conditionalFormatting sqref="J13:J54">
    <cfRule type="expression" priority="3" aboveAverage="0" equalAverage="0" bottom="0" percent="0" rank="0" text="" dxfId="3">
      <formula>$J13&lt;0</formula>
    </cfRule>
  </conditionalFormatting>
  <conditionalFormatting sqref="L13:L54">
    <cfRule type="expression" priority="4" aboveAverage="0" equalAverage="0" bottom="0" percent="0" rank="0" text="" dxfId="3">
      <formula>$L13&lt;0</formula>
    </cfRule>
  </conditionalFormatting>
  <conditionalFormatting sqref="N13:N54">
    <cfRule type="expression" priority="5" aboveAverage="0" equalAverage="0" bottom="0" percent="0" rank="0" text="" dxfId="3">
      <formula>$N13&lt;0</formula>
    </cfRule>
  </conditionalFormatting>
  <conditionalFormatting sqref="P13:P54">
    <cfRule type="expression" priority="6" aboveAverage="0" equalAverage="0" bottom="0" percent="0" rank="0" text="" dxfId="3">
      <formula>$P13&lt;0</formula>
    </cfRule>
  </conditionalFormatting>
  <conditionalFormatting sqref="Q13:Q54">
    <cfRule type="expression" priority="7" aboveAverage="0" equalAverage="0" bottom="0" percent="0" rank="0" text="" dxfId="0">
      <formula>$Q13&lt;&gt;"—"</formula>
    </cfRule>
  </conditionalFormatting>
  <conditionalFormatting sqref="W13:W54">
    <cfRule type="expression" priority="8" aboveAverage="0" equalAverage="0" bottom="0" percent="0" rank="0" text="" dxfId="3">
      <formula>LEFT($W13,1)="★"</formula>
    </cfRule>
    <cfRule type="expression" priority="9" aboveAverage="0" equalAverage="0" bottom="0" percent="0" rank="0" text="" dxfId="1">
      <formula>$W13="要着手(90日以内)"</formula>
    </cfRule>
    <cfRule type="expression" priority="10" aboveAverage="0" equalAverage="0" bottom="0" percent="0" rank="0" text="" dxfId="2">
      <formula>$W13="余裕あり"</formula>
    </cfRule>
  </conditionalFormatting>
  <conditionalFormatting sqref="F59:F63">
    <cfRule type="expression" priority="11" aboveAverage="0" equalAverage="0" bottom="0" percent="0" rank="0" text="" dxfId="3">
      <formula>$F59&lt;0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2026-07-30T09:57:12Z</dcterms:created>
  <dc:creator>openpyxl</dc:creator>
  <dc:description/>
  <dc:language>en-US</dc:language>
  <cp:lastModifiedBy/>
  <dcterms:modified xsi:type="dcterms:W3CDTF">2026-07-30T09:57:13Z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