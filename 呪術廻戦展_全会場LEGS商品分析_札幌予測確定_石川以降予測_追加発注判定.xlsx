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<sst xmlns="http://schemas.openxmlformats.org/spreadsheetml/2006/main" count="995" uniqueCount="532">
  <si>
    <t xml:space="preserve">アニメーション 呪術廻戦展「懐玉・玉折」「渋谷事変」</t>
  </si>
  <si>
    <r>
      <rPr>
        <b val="true"/>
        <sz val="11"/>
        <color rgb="FF2E5C8A"/>
        <rFont val="Arial"/>
        <family val="0"/>
        <charset val="1"/>
      </rPr>
      <t xml:space="preserve">LEGS</t>
    </r>
    <r>
      <rPr>
        <b val="true"/>
        <sz val="11"/>
        <color rgb="FF2E5C8A"/>
        <rFont val="WenQuanYi Zen Hei"/>
        <family val="2"/>
      </rPr>
      <t xml:space="preserve">／イベント記念商品 </t>
    </r>
    <r>
      <rPr>
        <b val="true"/>
        <sz val="11"/>
        <color rgb="FF2E5C8A"/>
        <rFont val="Arial"/>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</si>
  <si>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Arial"/>
        <family val="0"/>
        <charset val="1"/>
      </rPr>
      <t xml:space="preserve">2026</t>
    </r>
    <r>
      <rPr>
        <sz val="8"/>
        <color rgb="FF555555"/>
        <rFont val="WenQuanYi Zen Hei"/>
        <family val="2"/>
      </rPr>
      <t xml:space="preserve">年</t>
    </r>
    <r>
      <rPr>
        <sz val="8"/>
        <color rgb="FF555555"/>
        <rFont val="Arial"/>
        <family val="0"/>
        <charset val="1"/>
      </rPr>
      <t xml:space="preserve">7</t>
    </r>
    <r>
      <rPr>
        <sz val="8"/>
        <color rgb="FF555555"/>
        <rFont val="WenQuanYi Zen Hei"/>
        <family val="2"/>
      </rPr>
      <t xml:space="preserve">月</t>
    </r>
    <r>
      <rPr>
        <sz val="8"/>
        <color rgb="FF555555"/>
        <rFont val="Arial"/>
        <family val="0"/>
        <charset val="1"/>
      </rPr>
      <t xml:space="preserve">28</t>
    </r>
    <r>
      <rPr>
        <sz val="8"/>
        <color rgb="FF555555"/>
        <rFont val="WenQuanYi Zen Hei"/>
        <family val="2"/>
      </rPr>
      <t xml:space="preserve">日　／　実績データ：東京</t>
    </r>
    <r>
      <rPr>
        <sz val="8"/>
        <color rgb="FF555555"/>
        <rFont val="Arial"/>
        <family val="0"/>
        <charset val="1"/>
      </rPr>
      <t xml:space="preserve">(25</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・名古屋</t>
    </r>
    <r>
      <rPr>
        <sz val="8"/>
        <color rgb="FF555555"/>
        <rFont val="Arial"/>
        <family val="0"/>
        <charset val="1"/>
      </rPr>
      <t xml:space="preserve">(19</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・博多</t>
    </r>
    <r>
      <rPr>
        <sz val="8"/>
        <color rgb="FF555555"/>
        <rFont val="Arial"/>
        <family val="0"/>
        <charset val="1"/>
      </rPr>
      <t xml:space="preserve">(26</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・大阪</t>
    </r>
    <r>
      <rPr>
        <sz val="8"/>
        <color rgb="FF555555"/>
        <rFont val="Arial"/>
        <family val="0"/>
        <charset val="1"/>
      </rPr>
      <t xml:space="preserve">(20</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＝全会期、札幌＝</t>
    </r>
    <r>
      <rPr>
        <sz val="8"/>
        <color rgb="FF555555"/>
        <rFont val="Arial"/>
        <family val="0"/>
        <charset val="1"/>
      </rPr>
      <t xml:space="preserve">7/26(</t>
    </r>
    <r>
      <rPr>
        <sz val="8"/>
        <color rgb="FF555555"/>
        <rFont val="WenQuanYi Zen Hei"/>
        <family val="2"/>
      </rPr>
      <t xml:space="preserve">会期</t>
    </r>
    <r>
      <rPr>
        <sz val="8"/>
        <color rgb="FF555555"/>
        <rFont val="Arial"/>
        <family val="0"/>
        <charset val="1"/>
      </rPr>
      <t xml:space="preserve">5</t>
    </r>
    <r>
      <rPr>
        <sz val="8"/>
        <color rgb="FF555555"/>
        <rFont val="WenQuanYi Zen Hei"/>
        <family val="2"/>
      </rPr>
      <t xml:space="preserve">日目</t>
    </r>
    <r>
      <rPr>
        <sz val="8"/>
        <color rgb="FF555555"/>
        <rFont val="Arial"/>
        <family val="0"/>
        <charset val="1"/>
      </rPr>
      <t xml:space="preserve">)</t>
    </r>
    <r>
      <rPr>
        <sz val="8"/>
        <color rgb="FF555555"/>
        <rFont val="WenQuanYi Zen Hei"/>
        <family val="2"/>
      </rPr>
      <t xml:space="preserve">まで</t>
    </r>
  </si>
  <si>
    <t xml:space="preserve">■ 結論サマリー</t>
  </si>
  <si>
    <r>
      <rPr>
        <b val="true"/>
        <sz val="9"/>
        <rFont val="WenQuanYi Zen Hei"/>
        <family val="2"/>
      </rPr>
      <t xml:space="preserve">① 札幌 会期</t>
    </r>
    <r>
      <rPr>
        <b val="true"/>
        <sz val="9"/>
        <rFont val="Arial"/>
        <family val="0"/>
        <charset val="1"/>
      </rPr>
      <t xml:space="preserve">20</t>
    </r>
    <r>
      <rPr>
        <b val="true"/>
        <sz val="9"/>
        <rFont val="WenQuanYi Zen Hei"/>
        <family val="2"/>
      </rPr>
      <t xml:space="preserve">日予測（確定値）</t>
    </r>
  </si>
  <si>
    <r>
      <rPr>
        <sz val="9"/>
        <rFont val="Arial"/>
        <family val="0"/>
        <charset val="1"/>
      </rPr>
      <t xml:space="preserve">LEGS42SKU </t>
    </r>
    <r>
      <rPr>
        <sz val="9"/>
        <rFont val="WenQuanYi Zen Hei"/>
        <family val="2"/>
      </rPr>
      <t xml:space="preserve">販売数 </t>
    </r>
    <r>
      <rPr>
        <sz val="9"/>
        <rFont val="Arial"/>
        <family val="0"/>
        <charset val="1"/>
      </rPr>
      <t xml:space="preserve">9,474</t>
    </r>
    <r>
      <rPr>
        <sz val="9"/>
        <rFont val="WenQuanYi Zen Hei"/>
        <family val="2"/>
      </rPr>
      <t xml:space="preserve">個／販売金額 </t>
    </r>
    <r>
      <rPr>
        <sz val="9"/>
        <rFont val="Arial"/>
        <family val="0"/>
        <charset val="1"/>
      </rPr>
      <t xml:space="preserve">7,142,000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</si>
  <si>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</si>
  <si>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Arial"/>
        <family val="0"/>
        <charset val="1"/>
      </rPr>
      <t xml:space="preserve">38,681</t>
    </r>
    <r>
      <rPr>
        <sz val="9"/>
        <rFont val="WenQuanYi Zen Hei"/>
        <family val="2"/>
      </rPr>
      <t xml:space="preserve">個／金額 </t>
    </r>
    <r>
      <rPr>
        <sz val="9"/>
        <rFont val="Arial"/>
        <family val="0"/>
        <charset val="1"/>
      </rPr>
      <t xml:space="preserve">37,496,786</t>
    </r>
    <r>
      <rPr>
        <sz val="9"/>
        <rFont val="WenQuanYi Zen Hei"/>
        <family val="2"/>
      </rPr>
      <t xml:space="preserve">円　→ 東京</t>
    </r>
    <r>
      <rPr>
        <sz val="9"/>
        <rFont val="Arial"/>
        <family val="0"/>
        <charset val="1"/>
      </rPr>
      <t xml:space="preserve">(</t>
    </r>
    <r>
      <rPr>
        <sz val="9"/>
        <rFont val="WenQuanYi Zen Hei"/>
        <family val="2"/>
      </rPr>
      <t xml:space="preserve">初回</t>
    </r>
    <r>
      <rPr>
        <sz val="9"/>
        <rFont val="Arial"/>
        <family val="0"/>
        <charset val="1"/>
      </rPr>
      <t xml:space="preserve">)</t>
    </r>
    <r>
      <rPr>
        <sz val="9"/>
        <rFont val="WenQuanYi Zen Hei"/>
        <family val="2"/>
      </rPr>
      <t xml:space="preserve">対比 </t>
    </r>
    <r>
      <rPr>
        <sz val="9"/>
        <rFont val="Arial"/>
        <family val="0"/>
        <charset val="1"/>
      </rPr>
      <t xml:space="preserve">10.5%</t>
    </r>
    <r>
      <rPr>
        <sz val="9"/>
        <rFont val="WenQuanYi Zen Hei"/>
        <family val="2"/>
      </rPr>
      <t xml:space="preserve">　※コナン実績の北海道</t>
    </r>
    <r>
      <rPr>
        <sz val="9"/>
        <rFont val="Arial"/>
        <family val="0"/>
        <charset val="1"/>
      </rPr>
      <t xml:space="preserve">13.3%</t>
    </r>
    <r>
      <rPr>
        <sz val="9"/>
        <rFont val="WenQuanYi Zen Hei"/>
        <family val="2"/>
      </rPr>
      <t xml:space="preserve">を下回る水準</t>
    </r>
  </si>
  <si>
    <t xml:space="preserve">　札幌 入場者予測</t>
  </si>
  <si>
    <r>
      <rPr>
        <sz val="9"/>
        <rFont val="Arial"/>
        <family val="0"/>
        <charset val="1"/>
      </rPr>
      <t xml:space="preserve">7,784</t>
    </r>
    <r>
      <rPr>
        <sz val="9"/>
        <rFont val="WenQuanYi Zen Hei"/>
        <family val="2"/>
      </rPr>
      <t xml:space="preserve">人（委員会予測</t>
    </r>
    <r>
      <rPr>
        <sz val="9"/>
        <rFont val="Arial"/>
        <family val="0"/>
        <charset val="1"/>
      </rPr>
      <t xml:space="preserve">18,000</t>
    </r>
    <r>
      <rPr>
        <sz val="9"/>
        <rFont val="WenQuanYi Zen Hei"/>
        <family val="2"/>
      </rPr>
      <t xml:space="preserve">人の</t>
    </r>
    <r>
      <rPr>
        <sz val="9"/>
        <rFont val="Arial"/>
        <family val="0"/>
        <charset val="1"/>
      </rPr>
      <t xml:space="preserve">43%</t>
    </r>
    <r>
      <rPr>
        <sz val="9"/>
        <rFont val="WenQuanYi Zen Hei"/>
        <family val="2"/>
      </rPr>
      <t xml:space="preserve">／</t>
    </r>
    <r>
      <rPr>
        <sz val="9"/>
        <rFont val="Arial"/>
        <family val="0"/>
        <charset val="1"/>
      </rPr>
      <t xml:space="preserve">LEGS</t>
    </r>
    <r>
      <rPr>
        <sz val="9"/>
        <rFont val="WenQuanYi Zen Hei"/>
        <family val="2"/>
      </rPr>
      <t xml:space="preserve">予測</t>
    </r>
    <r>
      <rPr>
        <sz val="9"/>
        <rFont val="Arial"/>
        <family val="0"/>
        <charset val="1"/>
      </rPr>
      <t xml:space="preserve">14,000</t>
    </r>
    <r>
      <rPr>
        <sz val="9"/>
        <rFont val="WenQuanYi Zen Hei"/>
        <family val="2"/>
      </rPr>
      <t xml:space="preserve">人の</t>
    </r>
    <r>
      <rPr>
        <sz val="9"/>
        <rFont val="Arial"/>
        <family val="0"/>
        <charset val="1"/>
      </rPr>
      <t xml:space="preserve">56%</t>
    </r>
    <r>
      <rPr>
        <sz val="9"/>
        <rFont val="WenQuanYi Zen Hei"/>
        <family val="2"/>
      </rPr>
      <t xml:space="preserve">）＝計画を大幅に下回る</t>
    </r>
  </si>
  <si>
    <r>
      <rPr>
        <b val="true"/>
        <sz val="9"/>
        <rFont val="Arial"/>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</si>
  <si>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Arial"/>
        <family val="0"/>
        <charset val="1"/>
      </rPr>
      <t xml:space="preserve">28.5%→</t>
    </r>
    <r>
      <rPr>
        <sz val="9"/>
        <rFont val="WenQuanYi Zen Hei"/>
        <family val="2"/>
      </rPr>
      <t xml:space="preserve">名古屋</t>
    </r>
    <r>
      <rPr>
        <sz val="9"/>
        <rFont val="Arial"/>
        <family val="0"/>
        <charset val="1"/>
      </rPr>
      <t xml:space="preserve">30.5%→</t>
    </r>
    <r>
      <rPr>
        <sz val="9"/>
        <rFont val="WenQuanYi Zen Hei"/>
        <family val="2"/>
      </rPr>
      <t xml:space="preserve">博多</t>
    </r>
    <r>
      <rPr>
        <sz val="9"/>
        <rFont val="Arial"/>
        <family val="0"/>
        <charset val="1"/>
      </rPr>
      <t xml:space="preserve">29.4%→</t>
    </r>
    <r>
      <rPr>
        <sz val="9"/>
        <rFont val="WenQuanYi Zen Hei"/>
        <family val="2"/>
      </rPr>
      <t xml:space="preserve">大阪</t>
    </r>
    <r>
      <rPr>
        <sz val="9"/>
        <rFont val="Arial"/>
        <family val="0"/>
        <charset val="1"/>
      </rPr>
      <t xml:space="preserve">21.1%→</t>
    </r>
    <r>
      <rPr>
        <sz val="9"/>
        <rFont val="WenQuanYi Zen Hei"/>
        <family val="2"/>
      </rPr>
      <t xml:space="preserve">札幌</t>
    </r>
    <r>
      <rPr>
        <sz val="9"/>
        <rFont val="Arial"/>
        <family val="0"/>
        <charset val="1"/>
      </rPr>
      <t xml:space="preserve">19.6%(</t>
    </r>
    <r>
      <rPr>
        <sz val="9"/>
        <rFont val="WenQuanYi Zen Hei"/>
        <family val="2"/>
      </rPr>
      <t xml:space="preserve">予測</t>
    </r>
    <r>
      <rPr>
        <sz val="9"/>
        <rFont val="Arial"/>
        <family val="0"/>
        <charset val="1"/>
      </rPr>
      <t xml:space="preserve">)</t>
    </r>
    <r>
      <rPr>
        <sz val="9"/>
        <rFont val="WenQuanYi Zen Hei"/>
        <family val="2"/>
      </rPr>
      <t xml:space="preserve">　数量：</t>
    </r>
    <r>
      <rPr>
        <sz val="9"/>
        <rFont val="Arial"/>
        <family val="0"/>
        <charset val="1"/>
      </rPr>
      <t xml:space="preserve">38.7%→34.5%→40.0%→26.7%→25.1%(</t>
    </r>
    <r>
      <rPr>
        <sz val="9"/>
        <rFont val="WenQuanYi Zen Hei"/>
        <family val="2"/>
      </rPr>
      <t xml:space="preserve">予測</t>
    </r>
    <r>
      <rPr>
        <sz val="9"/>
        <rFont val="Arial"/>
        <family val="0"/>
        <charset val="1"/>
      </rPr>
      <t xml:space="preserve">)</t>
    </r>
  </si>
  <si>
    <t xml:space="preserve">　構成比低下の主因</t>
  </si>
  <si>
    <r>
      <rPr>
        <sz val="9"/>
        <rFont val="WenQuanYi Zen Hei"/>
        <family val="2"/>
      </rPr>
      <t xml:space="preserve">大阪会場からの新商品</t>
    </r>
    <r>
      <rPr>
        <sz val="9"/>
        <rFont val="Arial"/>
        <family val="0"/>
        <charset val="1"/>
      </rPr>
      <t xml:space="preserve">106SKU</t>
    </r>
    <r>
      <rPr>
        <sz val="9"/>
        <rFont val="WenQuanYi Zen Hei"/>
        <family val="2"/>
      </rPr>
      <t xml:space="preserve">投入（大阪の初</t>
    </r>
    <r>
      <rPr>
        <sz val="9"/>
        <rFont val="Arial"/>
        <family val="0"/>
        <charset val="1"/>
      </rPr>
      <t xml:space="preserve">5</t>
    </r>
    <r>
      <rPr>
        <sz val="9"/>
        <rFont val="WenQuanYi Zen Hei"/>
        <family val="2"/>
      </rPr>
      <t xml:space="preserve">日金額シェア</t>
    </r>
    <r>
      <rPr>
        <sz val="9"/>
        <rFont val="Arial"/>
        <family val="0"/>
        <charset val="1"/>
      </rPr>
      <t xml:space="preserve">19.9%</t>
    </r>
    <r>
      <rPr>
        <sz val="9"/>
        <rFont val="WenQuanYi Zen Hei"/>
        <family val="2"/>
      </rPr>
      <t xml:space="preserve">）。札幌は新規</t>
    </r>
    <r>
      <rPr>
        <sz val="9"/>
        <rFont val="Arial"/>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</si>
  <si>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Arial"/>
        <family val="0"/>
        <charset val="1"/>
      </rPr>
      <t xml:space="preserve">5</t>
    </r>
    <r>
      <rPr>
        <b val="true"/>
        <sz val="9"/>
        <rFont val="WenQuanYi Zen Hei"/>
        <family val="2"/>
      </rPr>
      <t xml:space="preserve">会場 </t>
    </r>
    <r>
      <rPr>
        <b val="true"/>
        <sz val="9"/>
        <rFont val="Arial"/>
        <family val="0"/>
        <charset val="1"/>
      </rPr>
      <t xml:space="preserve">LEGS</t>
    </r>
    <r>
      <rPr>
        <b val="true"/>
        <sz val="9"/>
        <rFont val="WenQuanYi Zen Hei"/>
        <family val="2"/>
      </rPr>
      <t xml:space="preserve">必要数</t>
    </r>
  </si>
  <si>
    <r>
      <rPr>
        <sz val="9"/>
        <rFont val="Arial"/>
        <family val="0"/>
        <charset val="1"/>
      </rPr>
      <t xml:space="preserve">85,977</t>
    </r>
    <r>
      <rPr>
        <sz val="9"/>
        <rFont val="WenQuanYi Zen Hei"/>
        <family val="2"/>
      </rPr>
      <t xml:space="preserve">個（東京対比 石川</t>
    </r>
    <r>
      <rPr>
        <sz val="9"/>
        <rFont val="Arial"/>
        <family val="0"/>
        <charset val="1"/>
      </rPr>
      <t xml:space="preserve">11%</t>
    </r>
    <r>
      <rPr>
        <sz val="9"/>
        <rFont val="WenQuanYi Zen Hei"/>
        <family val="2"/>
      </rPr>
      <t xml:space="preserve">・仙台</t>
    </r>
    <r>
      <rPr>
        <sz val="9"/>
        <rFont val="Arial"/>
        <family val="0"/>
        <charset val="1"/>
      </rPr>
      <t xml:space="preserve">13%</t>
    </r>
    <r>
      <rPr>
        <sz val="9"/>
        <rFont val="WenQuanYi Zen Hei"/>
        <family val="2"/>
      </rPr>
      <t xml:space="preserve">・神戸</t>
    </r>
    <r>
      <rPr>
        <sz val="9"/>
        <rFont val="Arial"/>
        <family val="0"/>
        <charset val="1"/>
      </rPr>
      <t xml:space="preserve">12%(</t>
    </r>
    <r>
      <rPr>
        <sz val="9"/>
        <rFont val="WenQuanYi Zen Hei"/>
        <family val="2"/>
      </rPr>
      <t xml:space="preserve">仮</t>
    </r>
    <r>
      <rPr>
        <sz val="9"/>
        <rFont val="Arial"/>
        <family val="0"/>
        <charset val="1"/>
      </rPr>
      <t xml:space="preserve">)</t>
    </r>
    <r>
      <rPr>
        <sz val="9"/>
        <rFont val="WenQuanYi Zen Hei"/>
        <family val="2"/>
      </rPr>
      <t xml:space="preserve">・鳥取</t>
    </r>
    <r>
      <rPr>
        <sz val="9"/>
        <rFont val="Arial"/>
        <family val="0"/>
        <charset val="1"/>
      </rPr>
      <t xml:space="preserve">9%</t>
    </r>
    <r>
      <rPr>
        <sz val="9"/>
        <rFont val="WenQuanYi Zen Hei"/>
        <family val="2"/>
      </rPr>
      <t xml:space="preserve">・東京凱旋</t>
    </r>
    <r>
      <rPr>
        <sz val="9"/>
        <rFont val="Arial"/>
        <family val="0"/>
        <charset val="1"/>
      </rPr>
      <t xml:space="preserve">50%</t>
    </r>
    <r>
      <rPr>
        <sz val="9"/>
        <rFont val="WenQuanYi Zen Hei"/>
        <family val="2"/>
      </rPr>
      <t xml:space="preserve">）</t>
    </r>
  </si>
  <si>
    <t xml:space="preserve">　追加生産 必要数</t>
  </si>
  <si>
    <r>
      <rPr>
        <sz val="9"/>
        <rFont val="Arial"/>
        <family val="0"/>
        <charset val="1"/>
      </rPr>
      <t xml:space="preserve">45,255</t>
    </r>
    <r>
      <rPr>
        <sz val="9"/>
        <rFont val="WenQuanYi Zen Hei"/>
        <family val="2"/>
      </rPr>
      <t xml:space="preserve">個　＝ 石川以降必要数 </t>
    </r>
    <r>
      <rPr>
        <sz val="9"/>
        <rFont val="Arial"/>
        <family val="0"/>
        <charset val="1"/>
      </rPr>
      <t xml:space="preserve">85,977</t>
    </r>
    <r>
      <rPr>
        <sz val="9"/>
        <rFont val="WenQuanYi Zen Hei"/>
        <family val="2"/>
      </rPr>
      <t xml:space="preserve">個 − 札幌会期末残在庫 </t>
    </r>
    <r>
      <rPr>
        <sz val="9"/>
        <rFont val="Arial"/>
        <family val="0"/>
        <charset val="1"/>
      </rPr>
      <t xml:space="preserve">40,722</t>
    </r>
    <r>
      <rPr>
        <sz val="9"/>
        <rFont val="WenQuanYi Zen Hei"/>
        <family val="2"/>
      </rPr>
      <t xml:space="preserve">個　※</t>
    </r>
    <r>
      <rPr>
        <sz val="9"/>
        <rFont val="Arial"/>
        <family val="0"/>
        <charset val="1"/>
      </rPr>
      <t xml:space="preserve">SPJ</t>
    </r>
    <r>
      <rPr>
        <sz val="9"/>
        <rFont val="WenQuanYi Zen Hei"/>
        <family val="2"/>
      </rPr>
      <t xml:space="preserve">倉庫在庫は未反映（要相殺）</t>
    </r>
  </si>
  <si>
    <t xml:space="preserve">　札幌 会期中の追加発注</t>
  </si>
  <si>
    <r>
      <rPr>
        <sz val="9"/>
        <rFont val="Arial"/>
        <family val="0"/>
        <charset val="1"/>
      </rPr>
      <t xml:space="preserve">3</t>
    </r>
    <r>
      <rPr>
        <sz val="9"/>
        <rFont val="WenQuanYi Zen Hei"/>
        <family val="2"/>
      </rPr>
      <t xml:space="preserve">品目が会期内に在庫切れ見込：呪術廻戦 渋谷事変 クリアファイル（脹相）</t>
    </r>
    <r>
      <rPr>
        <sz val="9"/>
        <rFont val="Arial"/>
        <family val="0"/>
        <charset val="1"/>
      </rPr>
      <t xml:space="preserve">(</t>
    </r>
    <r>
      <rPr>
        <sz val="9"/>
        <rFont val="WenQuanYi Zen Hei"/>
        <family val="2"/>
      </rPr>
      <t xml:space="preserve">不足</t>
    </r>
    <r>
      <rPr>
        <sz val="9"/>
        <rFont val="Arial"/>
        <family val="0"/>
        <charset val="1"/>
      </rPr>
      <t xml:space="preserve">46)</t>
    </r>
    <r>
      <rPr>
        <sz val="9"/>
        <rFont val="WenQuanYi Zen Hei"/>
        <family val="2"/>
      </rPr>
      <t xml:space="preserve">　前髪ヘアバンド</t>
    </r>
    <r>
      <rPr>
        <sz val="9"/>
        <rFont val="Arial"/>
        <family val="0"/>
        <charset val="1"/>
      </rPr>
      <t xml:space="preserve">(</t>
    </r>
    <r>
      <rPr>
        <sz val="9"/>
        <rFont val="WenQuanYi Zen Hei"/>
        <family val="2"/>
      </rPr>
      <t xml:space="preserve">不足</t>
    </r>
    <r>
      <rPr>
        <sz val="9"/>
        <rFont val="Arial"/>
        <family val="0"/>
        <charset val="1"/>
      </rPr>
      <t xml:space="preserve">69)</t>
    </r>
    <r>
      <rPr>
        <sz val="9"/>
        <rFont val="WenQuanYi Zen Hei"/>
        <family val="2"/>
      </rPr>
      <t xml:space="preserve">　宿儺の指風お菓子</t>
    </r>
    <r>
      <rPr>
        <sz val="9"/>
        <rFont val="Arial"/>
        <family val="0"/>
        <charset val="1"/>
      </rPr>
      <t xml:space="preserve">(</t>
    </r>
    <r>
      <rPr>
        <sz val="9"/>
        <rFont val="WenQuanYi Zen Hei"/>
        <family val="2"/>
      </rPr>
      <t xml:space="preserve">不足</t>
    </r>
    <r>
      <rPr>
        <sz val="9"/>
        <rFont val="Arial"/>
        <family val="0"/>
        <charset val="1"/>
      </rPr>
      <t xml:space="preserve">14)</t>
    </r>
  </si>
  <si>
    <t xml:space="preserve">■ 最重要リスクと打ち手</t>
  </si>
  <si>
    <r>
      <rPr>
        <b val="true"/>
        <sz val="9"/>
        <rFont val="WenQuanYi Zen Hei"/>
        <family val="2"/>
      </rPr>
      <t xml:space="preserve">札幌の動員が計画比</t>
    </r>
    <r>
      <rPr>
        <b val="true"/>
        <sz val="9"/>
        <rFont val="Arial"/>
        <family val="0"/>
        <charset val="1"/>
      </rPr>
      <t xml:space="preserve">43%</t>
    </r>
  </si>
  <si>
    <r>
      <rPr>
        <sz val="9"/>
        <rFont val="WenQuanYi Zen Hei"/>
        <family val="2"/>
      </rPr>
      <t xml:space="preserve">初</t>
    </r>
    <r>
      <rPr>
        <sz val="9"/>
        <rFont val="Arial"/>
        <family val="0"/>
        <charset val="1"/>
      </rPr>
      <t xml:space="preserve">5</t>
    </r>
    <r>
      <rPr>
        <sz val="9"/>
        <rFont val="WenQuanYi Zen Hei"/>
        <family val="2"/>
      </rPr>
      <t xml:space="preserve">日入場者</t>
    </r>
    <r>
      <rPr>
        <sz val="9"/>
        <rFont val="Arial"/>
        <family val="0"/>
        <charset val="1"/>
      </rPr>
      <t xml:space="preserve">2,688</t>
    </r>
    <r>
      <rPr>
        <sz val="9"/>
        <rFont val="WenQuanYi Zen Hei"/>
        <family val="2"/>
      </rPr>
      <t xml:space="preserve">人（大阪同期間</t>
    </r>
    <r>
      <rPr>
        <sz val="9"/>
        <rFont val="Arial"/>
        <family val="0"/>
        <charset val="1"/>
      </rPr>
      <t xml:space="preserve">10,797</t>
    </r>
    <r>
      <rPr>
        <sz val="9"/>
        <rFont val="WenQuanYi Zen Hei"/>
        <family val="2"/>
      </rPr>
      <t xml:space="preserve">人の</t>
    </r>
    <r>
      <rPr>
        <sz val="9"/>
        <rFont val="Arial"/>
        <family val="0"/>
        <charset val="1"/>
      </rPr>
      <t xml:space="preserve">24.9%</t>
    </r>
    <r>
      <rPr>
        <sz val="9"/>
        <rFont val="WenQuanYi Zen Hei"/>
        <family val="2"/>
      </rPr>
      <t xml:space="preserve">）。物販売上も東京対比</t>
    </r>
    <r>
      <rPr>
        <sz val="9"/>
        <rFont val="Arial"/>
        <family val="0"/>
        <charset val="1"/>
      </rPr>
      <t xml:space="preserve">10.5%</t>
    </r>
    <r>
      <rPr>
        <sz val="9"/>
        <rFont val="WenQuanYi Zen Hei"/>
        <family val="2"/>
      </rPr>
      <t xml:space="preserve">と、</t>
    </r>
  </si>
  <si>
    <r>
      <rPr>
        <sz val="9"/>
        <rFont val="WenQuanYi Zen Hei"/>
        <family val="2"/>
      </rPr>
      <t xml:space="preserve">石川</t>
    </r>
    <r>
      <rPr>
        <sz val="9"/>
        <rFont val="Arial"/>
        <family val="0"/>
        <charset val="1"/>
      </rPr>
      <t xml:space="preserve">11%</t>
    </r>
    <r>
      <rPr>
        <sz val="9"/>
        <rFont val="WenQuanYi Zen Hei"/>
        <family val="2"/>
      </rPr>
      <t xml:space="preserve">・鳥取</t>
    </r>
    <r>
      <rPr>
        <sz val="9"/>
        <rFont val="Arial"/>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</si>
  <si>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Arial"/>
        <family val="0"/>
        <charset val="1"/>
      </rPr>
      <t xml:space="preserve">53%</t>
    </r>
  </si>
  <si>
    <r>
      <rPr>
        <sz val="9"/>
        <rFont val="WenQuanYi Zen Hei"/>
        <family val="2"/>
      </rPr>
      <t xml:space="preserve">石川以降必要数</t>
    </r>
    <r>
      <rPr>
        <sz val="9"/>
        <rFont val="Arial"/>
        <family val="0"/>
        <charset val="1"/>
      </rPr>
      <t xml:space="preserve">85,977</t>
    </r>
    <r>
      <rPr>
        <sz val="9"/>
        <rFont val="WenQuanYi Zen Hei"/>
        <family val="2"/>
      </rPr>
      <t xml:space="preserve">個のうち</t>
    </r>
    <r>
      <rPr>
        <sz val="9"/>
        <rFont val="Arial"/>
        <family val="0"/>
        <charset val="1"/>
      </rPr>
      <t xml:space="preserve">45,251</t>
    </r>
    <r>
      <rPr>
        <sz val="9"/>
        <rFont val="WenQuanYi Zen Hei"/>
        <family val="2"/>
      </rPr>
      <t xml:space="preserve">個</t>
    </r>
    <r>
      <rPr>
        <sz val="9"/>
        <rFont val="Arial"/>
        <family val="0"/>
        <charset val="1"/>
      </rPr>
      <t xml:space="preserve">(53%)</t>
    </r>
    <r>
      <rPr>
        <sz val="9"/>
        <rFont val="WenQuanYi Zen Hei"/>
        <family val="2"/>
      </rPr>
      <t xml:space="preserve">が東京凱旋。凱旋の</t>
    </r>
    <r>
      <rPr>
        <sz val="9"/>
        <rFont val="Arial"/>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</si>
  <si>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Arial"/>
        <family val="0"/>
        <charset val="1"/>
      </rPr>
      <t xml:space="preserve">(4</t>
    </r>
    <r>
      <rPr>
        <sz val="9"/>
        <rFont val="WenQuanYi Zen Hei"/>
        <family val="2"/>
      </rPr>
      <t xml:space="preserve">会場・</t>
    </r>
    <r>
      <rPr>
        <sz val="9"/>
        <rFont val="Arial"/>
        <family val="0"/>
        <charset val="1"/>
      </rPr>
      <t xml:space="preserve">40,726</t>
    </r>
    <r>
      <rPr>
        <sz val="9"/>
        <rFont val="WenQuanYi Zen Hei"/>
        <family val="2"/>
      </rPr>
      <t xml:space="preserve">個</t>
    </r>
    <r>
      <rPr>
        <sz val="9"/>
        <rFont val="Arial"/>
        <family val="0"/>
        <charset val="1"/>
      </rPr>
      <t xml:space="preserve">)</t>
    </r>
    <r>
      <rPr>
        <sz val="9"/>
        <rFont val="WenQuanYi Zen Hei"/>
        <family val="2"/>
      </rPr>
      <t xml:space="preserve">」を先行確定し、凱旋分は会期確定後に第</t>
    </r>
    <r>
      <rPr>
        <sz val="9"/>
        <rFont val="Arial"/>
        <family val="0"/>
        <charset val="1"/>
      </rPr>
      <t xml:space="preserve">2</t>
    </r>
    <r>
      <rPr>
        <sz val="9"/>
        <rFont val="WenQuanYi Zen Hei"/>
        <family val="2"/>
      </rPr>
      <t xml:space="preserve">弾発注とするのが安全。</t>
    </r>
  </si>
  <si>
    <t xml:space="preserve">ブラインド系の在庫偏り</t>
  </si>
  <si>
    <r>
      <rPr>
        <sz val="9"/>
        <rFont val="WenQuanYi Zen Hei"/>
        <family val="2"/>
      </rPr>
      <t xml:space="preserve">懐玉・玉折ミニ色紙・渋谷事変缶バッジは札幌に大量在庫（</t>
    </r>
    <r>
      <rPr>
        <sz val="9"/>
        <rFont val="Arial"/>
        <family val="0"/>
        <charset val="1"/>
      </rPr>
      <t xml:space="preserve">8,715</t>
    </r>
    <r>
      <rPr>
        <sz val="9"/>
        <rFont val="WenQuanYi Zen Hei"/>
        <family val="2"/>
      </rPr>
      <t xml:space="preserve">個</t>
    </r>
    <r>
      <rPr>
        <sz val="9"/>
        <rFont val="Arial"/>
        <family val="0"/>
        <charset val="1"/>
      </rPr>
      <t xml:space="preserve">/12,422</t>
    </r>
    <r>
      <rPr>
        <sz val="9"/>
        <rFont val="WenQuanYi Zen Hei"/>
        <family val="2"/>
      </rPr>
      <t xml:space="preserve">個残）を持つ一方、</t>
    </r>
  </si>
  <si>
    <r>
      <rPr>
        <sz val="9"/>
        <rFont val="WenQuanYi Zen Hei"/>
        <family val="2"/>
      </rPr>
      <t xml:space="preserve">石川以降の必要数がそれを上回る（</t>
    </r>
    <r>
      <rPr>
        <sz val="9"/>
        <rFont val="Arial"/>
        <family val="0"/>
        <charset val="1"/>
      </rPr>
      <t xml:space="preserve">+10,235</t>
    </r>
    <r>
      <rPr>
        <sz val="9"/>
        <rFont val="WenQuanYi Zen Hei"/>
        <family val="2"/>
      </rPr>
      <t xml:space="preserve">個</t>
    </r>
    <r>
      <rPr>
        <sz val="9"/>
        <rFont val="Arial"/>
        <family val="0"/>
        <charset val="1"/>
      </rPr>
      <t xml:space="preserve">/+7,249</t>
    </r>
    <r>
      <rPr>
        <sz val="9"/>
        <rFont val="WenQuanYi Zen Hei"/>
        <family val="2"/>
      </rPr>
      <t xml:space="preserve">個）。スライド在庫を前提に不足分のみ追加生産する。</t>
    </r>
  </si>
  <si>
    <t xml:space="preserve">クリアファイル系の恒常的不足</t>
  </si>
  <si>
    <r>
      <rPr>
        <sz val="9"/>
        <rFont val="WenQuanYi Zen Hei"/>
        <family val="2"/>
      </rPr>
      <t xml:space="preserve">展示会キービジュアル</t>
    </r>
    <r>
      <rPr>
        <sz val="9"/>
        <rFont val="Arial"/>
        <family val="0"/>
        <charset val="1"/>
      </rPr>
      <t xml:space="preserve">2</t>
    </r>
    <r>
      <rPr>
        <sz val="9"/>
        <rFont val="WenQuanYi Zen Hei"/>
        <family val="2"/>
      </rPr>
      <t xml:space="preserve">種・渋谷事変</t>
    </r>
    <r>
      <rPr>
        <sz val="9"/>
        <rFont val="Arial"/>
        <family val="0"/>
        <charset val="1"/>
      </rPr>
      <t xml:space="preserve">(</t>
    </r>
    <r>
      <rPr>
        <sz val="9"/>
        <rFont val="WenQuanYi Zen Hei"/>
        <family val="2"/>
      </rPr>
      <t xml:space="preserve">五条</t>
    </r>
    <r>
      <rPr>
        <sz val="9"/>
        <rFont val="Arial"/>
        <family val="0"/>
        <charset val="1"/>
      </rPr>
      <t xml:space="preserve">)</t>
    </r>
    <r>
      <rPr>
        <sz val="9"/>
        <rFont val="WenQuanYi Zen Hei"/>
        <family val="2"/>
      </rPr>
      <t xml:space="preserve">は札幌の初期在庫が薄く、石川以降で計 </t>
    </r>
    <r>
      <rPr>
        <sz val="9"/>
        <rFont val="Arial"/>
        <family val="0"/>
        <charset val="1"/>
      </rPr>
      <t xml:space="preserve">+9,035</t>
    </r>
    <r>
      <rPr>
        <sz val="9"/>
        <rFont val="WenQuanYi Zen Hei"/>
        <family val="2"/>
      </rPr>
      <t xml:space="preserve">個の不足。</t>
    </r>
  </si>
  <si>
    <t xml:space="preserve">■ 算出モデル（①札幌予測）</t>
  </si>
  <si>
    <t xml:space="preserve">基本式</t>
  </si>
  <si>
    <r>
      <rPr>
        <sz val="9"/>
        <rFont val="WenQuanYi Zen Hei"/>
        <family val="2"/>
      </rPr>
      <t xml:space="preserve">札幌 会期</t>
    </r>
    <r>
      <rPr>
        <sz val="9"/>
        <rFont val="Arial"/>
        <family val="0"/>
        <charset val="1"/>
      </rPr>
      <t xml:space="preserve">20</t>
    </r>
    <r>
      <rPr>
        <sz val="9"/>
        <rFont val="WenQuanYi Zen Hei"/>
        <family val="2"/>
      </rPr>
      <t xml:space="preserve">日予測販売数 ＝ 札幌 初</t>
    </r>
    <r>
      <rPr>
        <sz val="9"/>
        <rFont val="Arial"/>
        <family val="0"/>
        <charset val="1"/>
      </rPr>
      <t xml:space="preserve">5</t>
    </r>
    <r>
      <rPr>
        <sz val="9"/>
        <rFont val="WenQuanYi Zen Hei"/>
        <family val="2"/>
      </rPr>
      <t xml:space="preserve">日</t>
    </r>
    <r>
      <rPr>
        <sz val="9"/>
        <rFont val="Arial"/>
        <family val="0"/>
        <charset val="1"/>
      </rPr>
      <t xml:space="preserve">(7/22-7/26)</t>
    </r>
    <r>
      <rPr>
        <sz val="9"/>
        <rFont val="WenQuanYi Zen Hei"/>
        <family val="2"/>
      </rPr>
      <t xml:space="preserve">販売数 </t>
    </r>
    <r>
      <rPr>
        <sz val="9"/>
        <rFont val="Arial"/>
        <family val="0"/>
        <charset val="1"/>
      </rPr>
      <t xml:space="preserve">× </t>
    </r>
    <r>
      <rPr>
        <sz val="9"/>
        <rFont val="WenQuanYi Zen Hei"/>
        <family val="2"/>
      </rPr>
      <t xml:space="preserve">会期倍率 </t>
    </r>
    <r>
      <rPr>
        <sz val="9"/>
        <rFont val="Arial"/>
        <family val="0"/>
        <charset val="1"/>
      </rPr>
      <t xml:space="preserve">g</t>
    </r>
  </si>
  <si>
    <r>
      <rPr>
        <b val="true"/>
        <sz val="9"/>
        <rFont val="WenQuanYi Zen Hei"/>
        <family val="2"/>
      </rPr>
      <t xml:space="preserve">会期倍率 </t>
    </r>
    <r>
      <rPr>
        <b val="true"/>
        <sz val="9"/>
        <rFont val="Arial"/>
        <family val="0"/>
        <charset val="1"/>
      </rPr>
      <t xml:space="preserve">g</t>
    </r>
  </si>
  <si>
    <r>
      <rPr>
        <sz val="9"/>
        <rFont val="Arial"/>
        <family val="0"/>
        <charset val="1"/>
      </rPr>
      <t xml:space="preserve">g </t>
    </r>
    <r>
      <rPr>
        <sz val="9"/>
        <rFont val="WenQuanYi Zen Hei"/>
        <family val="2"/>
      </rPr>
      <t xml:space="preserve">＝ 各会場の「</t>
    </r>
    <r>
      <rPr>
        <sz val="9"/>
        <rFont val="Arial"/>
        <family val="0"/>
        <charset val="1"/>
      </rPr>
      <t xml:space="preserve">20</t>
    </r>
    <r>
      <rPr>
        <sz val="9"/>
        <rFont val="WenQuanYi Zen Hei"/>
        <family val="2"/>
      </rPr>
      <t xml:space="preserve">日累計販売数 </t>
    </r>
    <r>
      <rPr>
        <sz val="9"/>
        <rFont val="Arial"/>
        <family val="0"/>
        <charset val="1"/>
      </rPr>
      <t xml:space="preserve">÷ </t>
    </r>
    <r>
      <rPr>
        <sz val="9"/>
        <rFont val="WenQuanYi Zen Hei"/>
        <family val="2"/>
      </rPr>
      <t xml:space="preserve">初</t>
    </r>
    <r>
      <rPr>
        <sz val="9"/>
        <rFont val="Arial"/>
        <family val="0"/>
        <charset val="1"/>
      </rPr>
      <t xml:space="preserve">5</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</si>
  <si>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</si>
  <si>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Arial"/>
        <family val="0"/>
        <charset val="1"/>
      </rPr>
      <t xml:space="preserve">×2</t>
    </r>
    <r>
      <rPr>
        <sz val="9"/>
        <rFont val="WenQuanYi Zen Hei"/>
        <family val="2"/>
      </rPr>
      <t xml:space="preserve">（</t>
    </r>
    <r>
      <rPr>
        <sz val="9"/>
        <rFont val="Arial"/>
        <family val="0"/>
        <charset val="1"/>
      </rPr>
      <t xml:space="preserve">20</t>
    </r>
    <r>
      <rPr>
        <sz val="9"/>
        <rFont val="WenQuanYi Zen Hei"/>
        <family val="2"/>
      </rPr>
      <t xml:space="preserve">日会期・水曜開始・新商品投入後で札幌と同条件）、博多</t>
    </r>
    <r>
      <rPr>
        <sz val="9"/>
        <rFont val="Arial"/>
        <family val="0"/>
        <charset val="1"/>
      </rPr>
      <t xml:space="preserve">×1</t>
    </r>
    <r>
      <rPr>
        <sz val="9"/>
        <rFont val="WenQuanYi Zen Hei"/>
        <family val="2"/>
      </rPr>
      <t xml:space="preserve">、名古屋</t>
    </r>
    <r>
      <rPr>
        <sz val="9"/>
        <rFont val="Arial"/>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</si>
  <si>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</si>
  <si>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Arial"/>
        <family val="0"/>
        <charset val="1"/>
      </rPr>
      <t xml:space="preserve">19</t>
    </r>
    <r>
      <rPr>
        <sz val="9"/>
        <rFont val="WenQuanYi Zen Hei"/>
        <family val="2"/>
      </rPr>
      <t xml:space="preserve">日会期の全日実績あり。札幌</t>
    </r>
    <r>
      <rPr>
        <sz val="9"/>
        <rFont val="Arial"/>
        <family val="0"/>
        <charset val="1"/>
      </rPr>
      <t xml:space="preserve">20</t>
    </r>
    <r>
      <rPr>
        <sz val="9"/>
        <rFont val="WenQuanYi Zen Hei"/>
        <family val="2"/>
      </rPr>
      <t xml:space="preserve">日会期と揃えるため</t>
    </r>
    <r>
      <rPr>
        <sz val="9"/>
        <rFont val="Arial"/>
        <family val="0"/>
        <charset val="1"/>
      </rPr>
      <t xml:space="preserve">20</t>
    </r>
    <r>
      <rPr>
        <sz val="9"/>
        <rFont val="WenQuanYi Zen Hei"/>
        <family val="2"/>
      </rPr>
      <t xml:space="preserve">日目分 </t>
    </r>
    <r>
      <rPr>
        <sz val="9"/>
        <rFont val="Arial"/>
        <family val="0"/>
        <charset val="1"/>
      </rPr>
      <t xml:space="preserve">+4.83%</t>
    </r>
    <r>
      <rPr>
        <sz val="9"/>
        <rFont val="WenQuanYi Zen Hei"/>
        <family val="2"/>
      </rPr>
      <t xml:space="preserve">（大阪・博多の実績比率）のみ補完</t>
    </r>
  </si>
  <si>
    <r>
      <rPr>
        <b val="true"/>
        <sz val="9"/>
        <rFont val="Arial"/>
        <family val="0"/>
        <charset val="1"/>
      </rPr>
      <t xml:space="preserve">42</t>
    </r>
    <r>
      <rPr>
        <b val="true"/>
        <sz val="9"/>
        <rFont val="WenQuanYi Zen Hei"/>
        <family val="2"/>
      </rPr>
      <t xml:space="preserve">品計の実効倍率</t>
    </r>
  </si>
  <si>
    <r>
      <rPr>
        <sz val="9"/>
        <rFont val="WenQuanYi Zen Hei"/>
        <family val="2"/>
      </rPr>
      <t xml:space="preserve">大阪</t>
    </r>
    <r>
      <rPr>
        <sz val="9"/>
        <rFont val="Arial"/>
        <family val="0"/>
        <charset val="1"/>
      </rPr>
      <t xml:space="preserve">2.166</t>
    </r>
    <r>
      <rPr>
        <sz val="9"/>
        <rFont val="WenQuanYi Zen Hei"/>
        <family val="2"/>
      </rPr>
      <t xml:space="preserve">倍・博多</t>
    </r>
    <r>
      <rPr>
        <sz val="9"/>
        <rFont val="Arial"/>
        <family val="0"/>
        <charset val="1"/>
      </rPr>
      <t xml:space="preserve">2.693</t>
    </r>
    <r>
      <rPr>
        <sz val="9"/>
        <rFont val="WenQuanYi Zen Hei"/>
        <family val="2"/>
      </rPr>
      <t xml:space="preserve">倍・名古屋</t>
    </r>
    <r>
      <rPr>
        <sz val="9"/>
        <rFont val="Arial"/>
        <family val="0"/>
        <charset val="1"/>
      </rPr>
      <t xml:space="preserve">2.215</t>
    </r>
    <r>
      <rPr>
        <sz val="9"/>
        <rFont val="WenQuanYi Zen Hei"/>
        <family val="2"/>
      </rPr>
      <t xml:space="preserve">倍</t>
    </r>
    <r>
      <rPr>
        <sz val="9"/>
        <rFont val="Arial"/>
        <family val="0"/>
        <charset val="1"/>
      </rPr>
      <t xml:space="preserve">(20</t>
    </r>
    <r>
      <rPr>
        <sz val="9"/>
        <rFont val="WenQuanYi Zen Hei"/>
        <family val="2"/>
      </rPr>
      <t xml:space="preserve">日換算後</t>
    </r>
    <r>
      <rPr>
        <sz val="9"/>
        <rFont val="Arial"/>
        <family val="0"/>
        <charset val="1"/>
      </rPr>
      <t xml:space="preserve">) → </t>
    </r>
    <r>
      <rPr>
        <sz val="9"/>
        <rFont val="WenQuanYi Zen Hei"/>
        <family val="2"/>
      </rPr>
      <t xml:space="preserve">加重平均 </t>
    </r>
    <r>
      <rPr>
        <sz val="9"/>
        <rFont val="Arial"/>
        <family val="0"/>
        <charset val="1"/>
      </rPr>
      <t xml:space="preserve">2.310</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</si>
  <si>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</si>
  <si>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</si>
  <si>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Arial"/>
        <family val="0"/>
        <charset val="1"/>
      </rPr>
      <t xml:space="preserve">(</t>
    </r>
    <r>
      <rPr>
        <sz val="9"/>
        <rFont val="WenQuanYi Zen Hei"/>
        <family val="2"/>
      </rPr>
      <t xml:space="preserve">初回</t>
    </r>
    <r>
      <rPr>
        <sz val="9"/>
        <rFont val="Arial"/>
        <family val="0"/>
        <charset val="1"/>
      </rPr>
      <t xml:space="preserve">)</t>
    </r>
    <r>
      <rPr>
        <sz val="9"/>
        <rFont val="WenQuanYi Zen Hei"/>
        <family val="2"/>
      </rPr>
      <t xml:space="preserve">全物販売上 </t>
    </r>
    <r>
      <rPr>
        <sz val="9"/>
        <rFont val="Arial"/>
        <family val="0"/>
        <charset val="1"/>
      </rPr>
      <t xml:space="preserve">358,193,925</t>
    </r>
    <r>
      <rPr>
        <sz val="9"/>
        <rFont val="WenQuanYi Zen Hei"/>
        <family val="2"/>
      </rPr>
      <t xml:space="preserve">円 </t>
    </r>
    <r>
      <rPr>
        <sz val="9"/>
        <rFont val="Arial"/>
        <family val="0"/>
        <charset val="1"/>
      </rPr>
      <t xml:space="preserve">× </t>
    </r>
    <r>
      <rPr>
        <sz val="9"/>
        <rFont val="WenQuanYi Zen Hei"/>
        <family val="2"/>
      </rPr>
      <t xml:space="preserve">東京対比比率</t>
    </r>
  </si>
  <si>
    <r>
      <rPr>
        <b val="true"/>
        <sz val="9"/>
        <rFont val="Arial"/>
        <family val="0"/>
        <charset val="1"/>
      </rPr>
      <t xml:space="preserve">LEGS</t>
    </r>
    <r>
      <rPr>
        <b val="true"/>
        <sz val="9"/>
        <rFont val="WenQuanYi Zen Hei"/>
        <family val="2"/>
      </rPr>
      <t xml:space="preserve">売上</t>
    </r>
  </si>
  <si>
    <r>
      <rPr>
        <sz val="9"/>
        <rFont val="WenQuanYi Zen Hei"/>
        <family val="2"/>
      </rPr>
      <t xml:space="preserve">会場物販売上 </t>
    </r>
    <r>
      <rPr>
        <sz val="9"/>
        <rFont val="Arial"/>
        <family val="0"/>
        <charset val="1"/>
      </rPr>
      <t xml:space="preserve">× LEGS</t>
    </r>
    <r>
      <rPr>
        <sz val="9"/>
        <rFont val="WenQuanYi Zen Hei"/>
        <family val="2"/>
      </rPr>
      <t xml:space="preserve">金額構成比 </t>
    </r>
    <r>
      <rPr>
        <sz val="9"/>
        <rFont val="Arial"/>
        <family val="0"/>
        <charset val="1"/>
      </rPr>
      <t xml:space="preserve">19.0%</t>
    </r>
    <r>
      <rPr>
        <sz val="9"/>
        <rFont val="WenQuanYi Zen Hei"/>
        <family val="2"/>
      </rPr>
      <t xml:space="preserve">（札幌予測値＝大阪以降の推移の到達点を採用）</t>
    </r>
  </si>
  <si>
    <r>
      <rPr>
        <b val="true"/>
        <sz val="9"/>
        <rFont val="Arial"/>
        <family val="0"/>
        <charset val="1"/>
      </rPr>
      <t xml:space="preserve">LEGS</t>
    </r>
    <r>
      <rPr>
        <b val="true"/>
        <sz val="9"/>
        <rFont val="WenQuanYi Zen Hei"/>
        <family val="2"/>
      </rPr>
      <t xml:space="preserve">数量</t>
    </r>
  </si>
  <si>
    <r>
      <rPr>
        <sz val="9"/>
        <rFont val="Arial"/>
        <family val="0"/>
        <charset val="1"/>
      </rPr>
      <t xml:space="preserve">LEGS</t>
    </r>
    <r>
      <rPr>
        <sz val="9"/>
        <rFont val="WenQuanYi Zen Hei"/>
        <family val="2"/>
      </rPr>
      <t xml:space="preserve">売上 </t>
    </r>
    <r>
      <rPr>
        <sz val="9"/>
        <rFont val="Arial"/>
        <family val="0"/>
        <charset val="1"/>
      </rPr>
      <t xml:space="preserve">÷ LEGS</t>
    </r>
    <r>
      <rPr>
        <sz val="9"/>
        <rFont val="WenQuanYi Zen Hei"/>
        <family val="2"/>
      </rPr>
      <t xml:space="preserve">平均単価 </t>
    </r>
    <r>
      <rPr>
        <sz val="9"/>
        <rFont val="Arial"/>
        <family val="0"/>
        <charset val="1"/>
      </rPr>
      <t xml:space="preserve">754</t>
    </r>
    <r>
      <rPr>
        <sz val="9"/>
        <rFont val="WenQuanYi Zen Hei"/>
        <family val="2"/>
      </rPr>
      <t xml:space="preserve">円（札幌予測ミックスベース）</t>
    </r>
  </si>
  <si>
    <t xml:space="preserve">商品別按分</t>
  </si>
  <si>
    <r>
      <rPr>
        <sz val="9"/>
        <rFont val="WenQuanYi Zen Hei"/>
        <family val="2"/>
      </rPr>
      <t xml:space="preserve">大阪</t>
    </r>
    <r>
      <rPr>
        <sz val="9"/>
        <rFont val="Arial"/>
        <family val="0"/>
        <charset val="1"/>
      </rPr>
      <t xml:space="preserve">20</t>
    </r>
    <r>
      <rPr>
        <sz val="9"/>
        <rFont val="WenQuanYi Zen Hei"/>
        <family val="2"/>
      </rPr>
      <t xml:space="preserve">日実績の数量構成比</t>
    </r>
    <r>
      <rPr>
        <sz val="9"/>
        <rFont val="Arial"/>
        <family val="0"/>
        <charset val="1"/>
      </rPr>
      <t xml:space="preserve">50%</t>
    </r>
    <r>
      <rPr>
        <sz val="9"/>
        <rFont val="WenQuanYi Zen Hei"/>
        <family val="2"/>
      </rPr>
      <t xml:space="preserve">＋札幌</t>
    </r>
    <r>
      <rPr>
        <sz val="9"/>
        <rFont val="Arial"/>
        <family val="0"/>
        <charset val="1"/>
      </rPr>
      <t xml:space="preserve">20</t>
    </r>
    <r>
      <rPr>
        <sz val="9"/>
        <rFont val="WenQuanYi Zen Hei"/>
        <family val="2"/>
      </rPr>
      <t xml:space="preserve">日予測の数量構成比</t>
    </r>
    <r>
      <rPr>
        <sz val="9"/>
        <rFont val="Arial"/>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</si>
  <si>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</si>
  <si>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</si>
  <si>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Arial"/>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</si>
  <si>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</si>
  <si>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Arial"/>
        <family val="0"/>
        <charset val="1"/>
      </rPr>
      <t xml:space="preserve">7,012</t>
    </r>
    <r>
      <rPr>
        <sz val="9"/>
        <rFont val="WenQuanYi Zen Hei"/>
        <family val="2"/>
      </rPr>
      <t xml:space="preserve">円</t>
    </r>
    <r>
      <rPr>
        <sz val="9"/>
        <rFont val="Arial"/>
        <family val="0"/>
        <charset val="1"/>
      </rPr>
      <t xml:space="preserve">/</t>
    </r>
    <r>
      <rPr>
        <sz val="9"/>
        <rFont val="WenQuanYi Zen Hei"/>
        <family val="2"/>
      </rPr>
      <t xml:space="preserve">人→大阪</t>
    </r>
    <r>
      <rPr>
        <sz val="9"/>
        <rFont val="Arial"/>
        <family val="0"/>
        <charset val="1"/>
      </rPr>
      <t xml:space="preserve">6,882</t>
    </r>
    <r>
      <rPr>
        <sz val="9"/>
        <rFont val="WenQuanYi Zen Hei"/>
        <family val="2"/>
      </rPr>
      <t xml:space="preserve">円</t>
    </r>
    <r>
      <rPr>
        <sz val="9"/>
        <rFont val="Arial"/>
        <family val="0"/>
        <charset val="1"/>
      </rPr>
      <t xml:space="preserve">/</t>
    </r>
    <r>
      <rPr>
        <sz val="9"/>
        <rFont val="WenQuanYi Zen Hei"/>
        <family val="2"/>
      </rPr>
      <t xml:space="preserve">人と▲</t>
    </r>
    <r>
      <rPr>
        <sz val="9"/>
        <rFont val="Arial"/>
        <family val="0"/>
        <charset val="1"/>
      </rPr>
      <t xml:space="preserve">1.8%</t>
    </r>
    <r>
      <rPr>
        <sz val="9"/>
        <rFont val="WenQuanYi Zen Hei"/>
        <family val="2"/>
      </rPr>
      <t xml:space="preserve">でほぼ横ばい。</t>
    </r>
  </si>
  <si>
    <r>
      <rPr>
        <sz val="9"/>
        <rFont val="WenQuanYi Zen Hei"/>
        <family val="2"/>
      </rPr>
      <t xml:space="preserve">同期間に</t>
    </r>
    <r>
      <rPr>
        <sz val="9"/>
        <rFont val="Arial"/>
        <family val="0"/>
        <charset val="1"/>
      </rPr>
      <t xml:space="preserve">LEGS</t>
    </r>
    <r>
      <rPr>
        <sz val="9"/>
        <rFont val="WenQuanYi Zen Hei"/>
        <family val="2"/>
      </rPr>
      <t xml:space="preserve">は</t>
    </r>
    <r>
      <rPr>
        <sz val="9"/>
        <rFont val="Arial"/>
        <family val="0"/>
        <charset val="1"/>
      </rPr>
      <t xml:space="preserve">2,099</t>
    </r>
    <r>
      <rPr>
        <sz val="9"/>
        <rFont val="WenQuanYi Zen Hei"/>
        <family val="2"/>
      </rPr>
      <t xml:space="preserve">円</t>
    </r>
    <r>
      <rPr>
        <sz val="9"/>
        <rFont val="Arial"/>
        <family val="0"/>
        <charset val="1"/>
      </rPr>
      <t xml:space="preserve">/</t>
    </r>
    <r>
      <rPr>
        <sz val="9"/>
        <rFont val="WenQuanYi Zen Hei"/>
        <family val="2"/>
      </rPr>
      <t xml:space="preserve">人→</t>
    </r>
    <r>
      <rPr>
        <sz val="9"/>
        <rFont val="Arial"/>
        <family val="0"/>
        <charset val="1"/>
      </rPr>
      <t xml:space="preserve">1,455</t>
    </r>
    <r>
      <rPr>
        <sz val="9"/>
        <rFont val="WenQuanYi Zen Hei"/>
        <family val="2"/>
      </rPr>
      <t xml:space="preserve">円</t>
    </r>
    <r>
      <rPr>
        <sz val="9"/>
        <rFont val="Arial"/>
        <family val="0"/>
        <charset val="1"/>
      </rPr>
      <t xml:space="preserve">/</t>
    </r>
    <r>
      <rPr>
        <sz val="9"/>
        <rFont val="WenQuanYi Zen Hei"/>
        <family val="2"/>
      </rPr>
      <t xml:space="preserve">人と▲</t>
    </r>
    <r>
      <rPr>
        <sz val="9"/>
        <rFont val="Arial"/>
        <family val="0"/>
        <charset val="1"/>
      </rPr>
      <t xml:space="preserve">30.7%</t>
    </r>
    <r>
      <rPr>
        <sz val="9"/>
        <rFont val="WenQuanYi Zen Hei"/>
        <family val="2"/>
      </rPr>
      <t xml:space="preserve">（▲</t>
    </r>
    <r>
      <rPr>
        <sz val="9"/>
        <rFont val="Arial"/>
        <family val="0"/>
        <charset val="1"/>
      </rPr>
      <t xml:space="preserve">643</t>
    </r>
    <r>
      <rPr>
        <sz val="9"/>
        <rFont val="WenQuanYi Zen Hei"/>
        <family val="2"/>
      </rPr>
      <t xml:space="preserve">円</t>
    </r>
    <r>
      <rPr>
        <sz val="9"/>
        <rFont val="Arial"/>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</si>
  <si>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Arial"/>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</si>
  <si>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Arial"/>
        <family val="0"/>
        <charset val="1"/>
      </rPr>
      <t xml:space="preserve">106SKU</t>
    </r>
    <r>
      <rPr>
        <sz val="9"/>
        <rFont val="WenQuanYi Zen Hei"/>
        <family val="2"/>
      </rPr>
      <t xml:space="preserve">は</t>
    </r>
    <r>
      <rPr>
        <sz val="9"/>
        <rFont val="Arial"/>
        <family val="0"/>
        <charset val="1"/>
      </rPr>
      <t xml:space="preserve">1,360</t>
    </r>
    <r>
      <rPr>
        <sz val="9"/>
        <rFont val="WenQuanYi Zen Hei"/>
        <family val="2"/>
      </rPr>
      <t xml:space="preserve">円</t>
    </r>
    <r>
      <rPr>
        <sz val="9"/>
        <rFont val="Arial"/>
        <family val="0"/>
        <charset val="1"/>
      </rPr>
      <t xml:space="preserve">/</t>
    </r>
    <r>
      <rPr>
        <sz val="9"/>
        <rFont val="WenQuanYi Zen Hei"/>
        <family val="2"/>
      </rPr>
      <t xml:space="preserve">人を稼いだが、</t>
    </r>
    <r>
      <rPr>
        <sz val="9"/>
        <rFont val="Arial"/>
        <family val="0"/>
        <charset val="1"/>
      </rPr>
      <t xml:space="preserve">LEGS</t>
    </r>
    <r>
      <rPr>
        <sz val="9"/>
        <rFont val="WenQuanYi Zen Hei"/>
        <family val="2"/>
      </rPr>
      <t xml:space="preserve">減少</t>
    </r>
    <r>
      <rPr>
        <sz val="9"/>
        <rFont val="Arial"/>
        <family val="0"/>
        <charset val="1"/>
      </rPr>
      <t xml:space="preserve">643</t>
    </r>
    <r>
      <rPr>
        <sz val="9"/>
        <rFont val="WenQuanYi Zen Hei"/>
        <family val="2"/>
      </rPr>
      <t xml:space="preserve">円</t>
    </r>
    <r>
      <rPr>
        <sz val="9"/>
        <rFont val="Arial"/>
        <family val="0"/>
        <charset val="1"/>
      </rPr>
      <t xml:space="preserve">/</t>
    </r>
    <r>
      <rPr>
        <sz val="9"/>
        <rFont val="WenQuanYi Zen Hei"/>
        <family val="2"/>
      </rPr>
      <t xml:space="preserve">人はその</t>
    </r>
    <r>
      <rPr>
        <sz val="9"/>
        <rFont val="Arial"/>
        <family val="0"/>
        <charset val="1"/>
      </rPr>
      <t xml:space="preserve">47%</t>
    </r>
    <r>
      <rPr>
        <sz val="9"/>
        <rFont val="WenQuanYi Zen Hei"/>
        <family val="2"/>
      </rPr>
      <t xml:space="preserve">に相当。</t>
    </r>
  </si>
  <si>
    <r>
      <rPr>
        <b val="true"/>
        <sz val="9"/>
        <rFont val="Arial"/>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</si>
  <si>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Arial"/>
        <family val="0"/>
        <charset val="1"/>
      </rPr>
      <t xml:space="preserve">8</t>
    </r>
    <r>
      <rPr>
        <sz val="9"/>
        <rFont val="WenQuanYi Zen Hei"/>
        <family val="2"/>
      </rPr>
      <t xml:space="preserve">種」</t>
    </r>
    <r>
      <rPr>
        <sz val="9"/>
        <rFont val="Arial"/>
        <family val="0"/>
        <charset val="1"/>
      </rPr>
      <t xml:space="preserve">(230</t>
    </r>
    <r>
      <rPr>
        <sz val="9"/>
        <rFont val="WenQuanYi Zen Hei"/>
        <family val="2"/>
      </rPr>
      <t xml:space="preserve">円</t>
    </r>
    <r>
      <rPr>
        <sz val="9"/>
        <rFont val="Arial"/>
        <family val="0"/>
        <charset val="1"/>
      </rPr>
      <t xml:space="preserve">/</t>
    </r>
    <r>
      <rPr>
        <sz val="9"/>
        <rFont val="WenQuanYi Zen Hei"/>
        <family val="2"/>
      </rPr>
      <t xml:space="preserve">人</t>
    </r>
    <r>
      <rPr>
        <sz val="9"/>
        <rFont val="Arial"/>
        <family val="0"/>
        <charset val="1"/>
      </rPr>
      <t xml:space="preserve">)</t>
    </r>
    <r>
      <rPr>
        <sz val="9"/>
        <rFont val="WenQuanYi Zen Hei"/>
        <family val="2"/>
      </rPr>
      <t xml:space="preserve">＋アクリルカードスタンド</t>
    </r>
    <r>
      <rPr>
        <sz val="9"/>
        <rFont val="Arial"/>
        <family val="0"/>
        <charset val="1"/>
      </rPr>
      <t xml:space="preserve">(233</t>
    </r>
    <r>
      <rPr>
        <sz val="9"/>
        <rFont val="WenQuanYi Zen Hei"/>
        <family val="2"/>
      </rPr>
      <t xml:space="preserve">円</t>
    </r>
    <r>
      <rPr>
        <sz val="9"/>
        <rFont val="Arial"/>
        <family val="0"/>
        <charset val="1"/>
      </rPr>
      <t xml:space="preserve">/</t>
    </r>
    <r>
      <rPr>
        <sz val="9"/>
        <rFont val="WenQuanYi Zen Hei"/>
        <family val="2"/>
      </rPr>
      <t xml:space="preserve">人</t>
    </r>
    <r>
      <rPr>
        <sz val="9"/>
        <rFont val="Arial"/>
        <family val="0"/>
        <charset val="1"/>
      </rPr>
      <t xml:space="preserve">)</t>
    </r>
    <r>
      <rPr>
        <sz val="9"/>
        <rFont val="WenQuanYi Zen Hei"/>
        <family val="2"/>
      </rPr>
      <t xml:space="preserve">を投入し、</t>
    </r>
  </si>
  <si>
    <r>
      <rPr>
        <sz val="9"/>
        <rFont val="Arial"/>
        <family val="0"/>
        <charset val="1"/>
      </rPr>
      <t xml:space="preserve">LEGS</t>
    </r>
    <r>
      <rPr>
        <sz val="9"/>
        <rFont val="WenQuanYi Zen Hei"/>
        <family val="2"/>
      </rPr>
      <t xml:space="preserve">は</t>
    </r>
    <r>
      <rPr>
        <sz val="9"/>
        <rFont val="Arial"/>
        <family val="0"/>
        <charset val="1"/>
      </rPr>
      <t xml:space="preserve">2,099→1,634</t>
    </r>
    <r>
      <rPr>
        <sz val="9"/>
        <rFont val="WenQuanYi Zen Hei"/>
        <family val="2"/>
      </rPr>
      <t xml:space="preserve">円</t>
    </r>
    <r>
      <rPr>
        <sz val="9"/>
        <rFont val="Arial"/>
        <family val="0"/>
        <charset val="1"/>
      </rPr>
      <t xml:space="preserve">/</t>
    </r>
    <r>
      <rPr>
        <sz val="9"/>
        <rFont val="WenQuanYi Zen Hei"/>
        <family val="2"/>
      </rPr>
      <t xml:space="preserve">人（▲</t>
    </r>
    <r>
      <rPr>
        <sz val="9"/>
        <rFont val="Arial"/>
        <family val="0"/>
        <charset val="1"/>
      </rPr>
      <t xml:space="preserve">465</t>
    </r>
    <r>
      <rPr>
        <sz val="9"/>
        <rFont val="WenQuanYi Zen Hei"/>
        <family val="2"/>
      </rPr>
      <t xml:space="preserve">）。大阪のうちわ</t>
    </r>
    <r>
      <rPr>
        <sz val="9"/>
        <rFont val="Arial"/>
        <family val="0"/>
        <charset val="1"/>
      </rPr>
      <t xml:space="preserve">14</t>
    </r>
    <r>
      <rPr>
        <sz val="9"/>
        <rFont val="WenQuanYi Zen Hei"/>
        <family val="2"/>
      </rPr>
      <t xml:space="preserve">種・アクリル系</t>
    </r>
    <r>
      <rPr>
        <sz val="9"/>
        <rFont val="Arial"/>
        <family val="0"/>
        <charset val="1"/>
      </rPr>
      <t xml:space="preserve">39</t>
    </r>
    <r>
      <rPr>
        <sz val="9"/>
        <rFont val="WenQuanYi Zen Hei"/>
        <family val="2"/>
      </rPr>
      <t xml:space="preserve">種でさらに▲</t>
    </r>
    <r>
      <rPr>
        <sz val="9"/>
        <rFont val="Arial"/>
        <family val="0"/>
        <charset val="1"/>
      </rPr>
      <t xml:space="preserve">179</t>
    </r>
    <r>
      <rPr>
        <sz val="9"/>
        <rFont val="WenQuanYi Zen Hei"/>
        <family val="2"/>
      </rPr>
      <t xml:space="preserve">円</t>
    </r>
    <r>
      <rPr>
        <sz val="9"/>
        <rFont val="Arial"/>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</si>
  <si>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</si>
  <si>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Arial"/>
        <family val="0"/>
        <charset val="1"/>
      </rPr>
      <t xml:space="preserve">272</t>
    </r>
    <r>
      <rPr>
        <sz val="9"/>
        <rFont val="WenQuanYi Zen Hei"/>
        <family val="2"/>
      </rPr>
      <t xml:space="preserve">円</t>
    </r>
    <r>
      <rPr>
        <sz val="9"/>
        <rFont val="Arial"/>
        <family val="0"/>
        <charset val="1"/>
      </rPr>
      <t xml:space="preserve">/</t>
    </r>
    <r>
      <rPr>
        <sz val="9"/>
        <rFont val="WenQuanYi Zen Hei"/>
        <family val="2"/>
      </rPr>
      <t xml:space="preserve">人・ブラインドミニ色紙▲</t>
    </r>
    <r>
      <rPr>
        <sz val="9"/>
        <rFont val="Arial"/>
        <family val="0"/>
        <charset val="1"/>
      </rPr>
      <t xml:space="preserve">284</t>
    </r>
    <r>
      <rPr>
        <sz val="9"/>
        <rFont val="WenQuanYi Zen Hei"/>
        <family val="2"/>
      </rPr>
      <t xml:space="preserve">円</t>
    </r>
    <r>
      <rPr>
        <sz val="9"/>
        <rFont val="Arial"/>
        <family val="0"/>
        <charset val="1"/>
      </rPr>
      <t xml:space="preserve">/</t>
    </r>
    <r>
      <rPr>
        <sz val="9"/>
        <rFont val="WenQuanYi Zen Hei"/>
        <family val="2"/>
      </rPr>
      <t xml:space="preserve">人の</t>
    </r>
    <r>
      <rPr>
        <sz val="9"/>
        <rFont val="Arial"/>
        <family val="0"/>
        <charset val="1"/>
      </rPr>
      <t xml:space="preserve">2</t>
    </r>
    <r>
      <rPr>
        <sz val="9"/>
        <rFont val="WenQuanYi Zen Hei"/>
        <family val="2"/>
      </rPr>
      <t xml:space="preserve">タイプで</t>
    </r>
    <r>
      <rPr>
        <sz val="9"/>
        <rFont val="Arial"/>
        <family val="0"/>
        <charset val="1"/>
      </rPr>
      <t xml:space="preserve">LEGS</t>
    </r>
    <r>
      <rPr>
        <sz val="9"/>
        <rFont val="WenQuanYi Zen Hei"/>
        <family val="2"/>
      </rPr>
      <t xml:space="preserve">減少の</t>
    </r>
    <r>
      <rPr>
        <sz val="9"/>
        <rFont val="Arial"/>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</si>
  <si>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</si>
  <si>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</si>
  <si>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Arial"/>
        <family val="0"/>
        <charset val="1"/>
      </rPr>
      <t xml:space="preserve">86,000</t>
    </r>
    <r>
      <rPr>
        <sz val="9"/>
        <rFont val="WenQuanYi Zen Hei"/>
        <family val="2"/>
      </rPr>
      <t xml:space="preserve">個は最大</t>
    </r>
    <r>
      <rPr>
        <sz val="9"/>
        <rFont val="Arial"/>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</si>
  <si>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</si>
  <si>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</si>
  <si>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</si>
  <si>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</si>
  <si>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</si>
  <si>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Arial"/>
        <family val="0"/>
        <charset val="1"/>
      </rPr>
      <t xml:space="preserve">20</t>
    </r>
    <r>
      <rPr>
        <sz val="9"/>
        <rFont val="WenQuanYi Zen Hei"/>
        <family val="2"/>
      </rPr>
      <t xml:space="preserve">日予測（会場別</t>
    </r>
    <r>
      <rPr>
        <sz val="9"/>
        <rFont val="Arial"/>
        <family val="0"/>
        <charset val="1"/>
      </rPr>
      <t xml:space="preserve">g</t>
    </r>
    <r>
      <rPr>
        <sz val="9"/>
        <rFont val="WenQuanYi Zen Hei"/>
        <family val="2"/>
      </rPr>
      <t xml:space="preserve">・予測数量</t>
    </r>
    <r>
      <rPr>
        <sz val="9"/>
        <rFont val="Arial"/>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</si>
  <si>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</si>
  <si>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Arial"/>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</si>
  <si>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</si>
  <si>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Arial"/>
        <family val="0"/>
        <charset val="1"/>
      </rPr>
      <t xml:space="preserve">5</t>
    </r>
    <r>
      <rPr>
        <sz val="9"/>
        <rFont val="WenQuanYi Zen Hei"/>
        <family val="2"/>
      </rPr>
      <t xml:space="preserve">会場の</t>
    </r>
    <r>
      <rPr>
        <sz val="9"/>
        <rFont val="Arial"/>
        <family val="0"/>
        <charset val="1"/>
      </rPr>
      <t xml:space="preserve">LEGS</t>
    </r>
    <r>
      <rPr>
        <sz val="9"/>
        <rFont val="WenQuanYi Zen Hei"/>
        <family val="2"/>
      </rPr>
      <t xml:space="preserve">売上</t>
    </r>
    <r>
      <rPr>
        <sz val="9"/>
        <rFont val="Arial"/>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</si>
  <si>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</si>
  <si>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</si>
  <si>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</si>
  <si>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Arial"/>
        <family val="0"/>
        <charset val="1"/>
      </rPr>
      <t xml:space="preserve">5</t>
    </r>
    <r>
      <rPr>
        <sz val="9"/>
        <rFont val="WenQuanYi Zen Hei"/>
        <family val="2"/>
      </rPr>
      <t xml:space="preserve">会場</t>
    </r>
    <r>
      <rPr>
        <sz val="9"/>
        <rFont val="Arial"/>
        <family val="0"/>
        <charset val="1"/>
      </rPr>
      <t xml:space="preserve">×42</t>
    </r>
    <r>
      <rPr>
        <sz val="9"/>
        <rFont val="WenQuanYi Zen Hei"/>
        <family val="2"/>
      </rPr>
      <t xml:space="preserve">商品の全実績・構成比・消化率・予測を</t>
    </r>
    <r>
      <rPr>
        <sz val="9"/>
        <rFont val="Arial"/>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</si>
  <si>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</si>
  <si>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</si>
  <si>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</si>
  <si>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Arial"/>
        <family val="0"/>
        <charset val="1"/>
      </rPr>
      <t xml:space="preserve">LEGS</t>
    </r>
    <r>
      <rPr>
        <sz val="9"/>
        <rFont val="WenQuanYi Zen Hei"/>
        <family val="2"/>
      </rPr>
      <t xml:space="preserve">売上低下の要因分析</t>
    </r>
  </si>
  <si>
    <t xml:space="preserve">■ 前提と留意事項</t>
  </si>
  <si>
    <t xml:space="preserve">データ再読込</t>
  </si>
  <si>
    <r>
      <rPr>
        <sz val="9"/>
        <rFont val="WenQuanYi Zen Hei"/>
        <family val="2"/>
      </rPr>
      <t xml:space="preserve">全</t>
    </r>
    <r>
      <rPr>
        <sz val="9"/>
        <rFont val="Arial"/>
        <family val="0"/>
        <charset val="1"/>
      </rPr>
      <t xml:space="preserve">5</t>
    </r>
    <r>
      <rPr>
        <sz val="9"/>
        <rFont val="WenQuanYi Zen Hei"/>
        <family val="2"/>
      </rPr>
      <t xml:space="preserve">会場のレジ通過単品売上を全件再読込・再集計。名古屋は後半</t>
    </r>
    <r>
      <rPr>
        <sz val="9"/>
        <rFont val="Arial"/>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</si>
  <si>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Arial"/>
        <family val="0"/>
        <charset val="1"/>
      </rPr>
      <t xml:space="preserve">19</t>
    </r>
    <r>
      <rPr>
        <sz val="9"/>
        <rFont val="WenQuanYi Zen Hei"/>
        <family val="2"/>
      </rPr>
      <t xml:space="preserve">日間（</t>
    </r>
    <r>
      <rPr>
        <sz val="9"/>
        <rFont val="Arial"/>
        <family val="0"/>
        <charset val="1"/>
      </rPr>
      <t xml:space="preserve">3/18-4/5</t>
    </r>
    <r>
      <rPr>
        <sz val="9"/>
        <rFont val="WenQuanYi Zen Hei"/>
        <family val="2"/>
      </rPr>
      <t xml:space="preserve">）の完全実績となった。これに伴い名古屋の会期倍率</t>
    </r>
    <r>
      <rPr>
        <sz val="9"/>
        <rFont val="Arial"/>
        <family val="0"/>
        <charset val="1"/>
      </rPr>
      <t xml:space="preserve">g</t>
    </r>
    <r>
      <rPr>
        <sz val="9"/>
        <rFont val="WenQuanYi Zen Hei"/>
        <family val="2"/>
      </rPr>
      <t xml:space="preserve">は推計</t>
    </r>
    <r>
      <rPr>
        <sz val="9"/>
        <rFont val="Arial"/>
        <family val="0"/>
        <charset val="1"/>
      </rPr>
      <t xml:space="preserve">2.438</t>
    </r>
    <r>
      <rPr>
        <sz val="9"/>
        <rFont val="WenQuanYi Zen Hei"/>
        <family val="2"/>
      </rPr>
      <t xml:space="preserve">倍→実績</t>
    </r>
    <r>
      <rPr>
        <sz val="9"/>
        <rFont val="Arial"/>
        <family val="0"/>
        <charset val="1"/>
      </rPr>
      <t xml:space="preserve">2.215</t>
    </r>
    <r>
      <rPr>
        <sz val="9"/>
        <rFont val="WenQuanYi Zen Hei"/>
        <family val="2"/>
      </rPr>
      <t xml:space="preserve">倍に修正。</t>
    </r>
  </si>
  <si>
    <r>
      <rPr>
        <b val="true"/>
        <sz val="9"/>
        <rFont val="Arial"/>
        <family val="0"/>
        <charset val="1"/>
      </rPr>
      <t xml:space="preserve">LEGS</t>
    </r>
    <r>
      <rPr>
        <b val="true"/>
        <sz val="9"/>
        <rFont val="WenQuanYi Zen Hei"/>
        <family val="2"/>
      </rPr>
      <t xml:space="preserve">＝</t>
    </r>
    <r>
      <rPr>
        <b val="true"/>
        <sz val="9"/>
        <rFont val="Arial"/>
        <family val="0"/>
        <charset val="1"/>
      </rPr>
      <t xml:space="preserve">42SKU</t>
    </r>
  </si>
  <si>
    <r>
      <rPr>
        <sz val="9"/>
        <rFont val="WenQuanYi Zen Hei"/>
        <family val="2"/>
      </rPr>
      <t xml:space="preserve">各会場の商品分類「記念商品</t>
    </r>
    <r>
      <rPr>
        <sz val="9"/>
        <rFont val="Arial"/>
        <family val="0"/>
        <charset val="1"/>
      </rPr>
      <t xml:space="preserve">/</t>
    </r>
    <r>
      <rPr>
        <sz val="9"/>
        <rFont val="WenQuanYi Zen Hei"/>
        <family val="2"/>
      </rPr>
      <t xml:space="preserve">レッグス」「レッグス</t>
    </r>
    <r>
      <rPr>
        <sz val="9"/>
        <rFont val="Arial"/>
        <family val="0"/>
        <charset val="1"/>
      </rPr>
      <t xml:space="preserve">/</t>
    </r>
    <r>
      <rPr>
        <sz val="9"/>
        <rFont val="WenQuanYi Zen Hei"/>
        <family val="2"/>
      </rPr>
      <t xml:space="preserve">イベント記念」は全会場で本</t>
    </r>
    <r>
      <rPr>
        <sz val="9"/>
        <rFont val="Arial"/>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</si>
  <si>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</si>
  <si>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</si>
  <si>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r>
      <rPr>
        <b val="true"/>
        <sz val="9"/>
        <rFont val="Arial"/>
        <family val="0"/>
        <charset val="1"/>
      </rPr>
      <t xml:space="preserve">SPJ</t>
    </r>
    <r>
      <rPr>
        <b val="true"/>
        <sz val="9"/>
        <rFont val="WenQuanYi Zen Hei"/>
        <family val="2"/>
      </rPr>
      <t xml:space="preserve">倉庫在庫</t>
    </r>
  </si>
  <si>
    <t xml:space="preserve">提供データに中央倉庫在庫が無いため、追加生産必要数は「札幌会期末残在庫のみスライド」の前提。</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</si>
  <si>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</si>
  <si>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</si>
  <si>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Arial"/>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</si>
  <si>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</si>
  <si>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Arial"/>
        <family val="0"/>
        <charset val="1"/>
      </rPr>
      <t xml:space="preserve">13%</t>
    </r>
    <r>
      <rPr>
        <sz val="9"/>
        <rFont val="WenQuanYi Zen Hei"/>
        <family val="2"/>
      </rPr>
      <t xml:space="preserve">を採用。コナンカフェ</t>
    </r>
    <r>
      <rPr>
        <sz val="9"/>
        <rFont val="Arial"/>
        <family val="0"/>
        <charset val="1"/>
      </rPr>
      <t xml:space="preserve">2026</t>
    </r>
    <r>
      <rPr>
        <sz val="9"/>
        <rFont val="WenQuanYi Zen Hei"/>
        <family val="2"/>
      </rPr>
      <t xml:space="preserve">実績（東京対比</t>
    </r>
    <r>
      <rPr>
        <sz val="9"/>
        <rFont val="Arial"/>
        <family val="0"/>
        <charset val="1"/>
      </rPr>
      <t xml:space="preserve">10.5%</t>
    </r>
    <r>
      <rPr>
        <sz val="9"/>
        <rFont val="WenQuanYi Zen Hei"/>
        <family val="2"/>
      </rPr>
      <t xml:space="preserve">）とは</t>
    </r>
    <r>
      <rPr>
        <sz val="9"/>
        <rFont val="Arial"/>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</si>
  <si>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</si>
  <si>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Arial"/>
        <family val="0"/>
        <charset val="1"/>
      </rPr>
      <t xml:space="preserve">3/15-4/4</t>
    </r>
    <r>
      <rPr>
        <sz val="9"/>
        <rFont val="WenQuanYi Zen Hei"/>
        <family val="2"/>
      </rPr>
      <t xml:space="preserve">を</t>
    </r>
    <r>
      <rPr>
        <sz val="9"/>
        <rFont val="Arial"/>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</si>
  <si>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</si>
  <si>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Arial"/>
        <family val="0"/>
        <charset val="1"/>
      </rPr>
      <t xml:space="preserve">8</t>
    </r>
    <r>
      <rPr>
        <sz val="9"/>
        <rFont val="WenQuanYi Zen Hei"/>
        <family val="2"/>
      </rPr>
      <t xml:space="preserve">種は東京</t>
    </r>
    <r>
      <rPr>
        <sz val="9"/>
        <rFont val="Arial"/>
        <family val="0"/>
        <charset val="1"/>
      </rPr>
      <t xml:space="preserve">¥22,000→</t>
    </r>
    <r>
      <rPr>
        <sz val="9"/>
        <rFont val="WenQuanYi Zen Hei"/>
        <family val="2"/>
      </rPr>
      <t xml:space="preserve">名古屋以降</t>
    </r>
    <r>
      <rPr>
        <sz val="9"/>
        <rFont val="Arial"/>
        <family val="0"/>
        <charset val="1"/>
      </rPr>
      <t xml:space="preserve">¥27,500</t>
    </r>
    <r>
      <rPr>
        <sz val="9"/>
        <rFont val="WenQuanYi Zen Hei"/>
        <family val="2"/>
      </rPr>
      <t xml:space="preserve">に改定。⑤では会場別の実売単価で金額を算出。</t>
    </r>
  </si>
  <si>
    <t xml:space="preserve">東京の内覧会</t>
  </si>
  <si>
    <r>
      <rPr>
        <sz val="9"/>
        <rFont val="WenQuanYi Zen Hei"/>
        <family val="2"/>
      </rPr>
      <t xml:space="preserve">東京の</t>
    </r>
    <r>
      <rPr>
        <sz val="9"/>
        <rFont val="Arial"/>
        <family val="0"/>
        <charset val="1"/>
      </rPr>
      <t xml:space="preserve">12/4</t>
    </r>
    <r>
      <rPr>
        <sz val="9"/>
        <rFont val="WenQuanYi Zen Hei"/>
        <family val="2"/>
      </rPr>
      <t xml:space="preserve">内覧会分（全商品計</t>
    </r>
    <r>
      <rPr>
        <sz val="9"/>
        <rFont val="Arial"/>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</si>
  <si>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</si>
  <si>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</si>
  <si>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</si>
  <si>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加重：大阪</t>
    </r>
  </si>
  <si>
    <r>
      <rPr>
        <sz val="8"/>
        <color rgb="FF555555"/>
        <rFont val="Arial"/>
        <family val="0"/>
        <charset val="1"/>
      </rPr>
      <t xml:space="preserve">20</t>
    </r>
    <r>
      <rPr>
        <sz val="8"/>
        <color rgb="FF555555"/>
        <rFont val="WenQuanYi Zen Hei"/>
        <family val="2"/>
      </rPr>
      <t xml:space="preserve">日会期・水曜開始・新商品投入後で札幌と同条件のため</t>
    </r>
    <r>
      <rPr>
        <sz val="8"/>
        <color rgb="FF555555"/>
        <rFont val="Arial"/>
        <family val="0"/>
        <charset val="1"/>
      </rPr>
      <t xml:space="preserve">2</t>
    </r>
    <r>
      <rPr>
        <sz val="8"/>
        <color rgb="FF555555"/>
        <rFont val="WenQuanYi Zen Hei"/>
        <family val="2"/>
      </rPr>
      <t xml:space="preserve">倍加重</t>
    </r>
  </si>
  <si>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加重：博多</t>
    </r>
  </si>
  <si>
    <r>
      <rPr>
        <sz val="8"/>
        <color rgb="FF555555"/>
        <rFont val="Arial"/>
        <family val="0"/>
        <charset val="1"/>
      </rPr>
      <t xml:space="preserve">26</t>
    </r>
    <r>
      <rPr>
        <sz val="8"/>
        <color rgb="FF555555"/>
        <rFont val="WenQuanYi Zen Hei"/>
        <family val="2"/>
      </rPr>
      <t xml:space="preserve">日会期のうち初</t>
    </r>
    <r>
      <rPr>
        <sz val="8"/>
        <color rgb="FF555555"/>
        <rFont val="Arial"/>
        <family val="0"/>
        <charset val="1"/>
      </rPr>
      <t xml:space="preserve">20</t>
    </r>
    <r>
      <rPr>
        <sz val="8"/>
        <color rgb="FF555555"/>
        <rFont val="WenQuanYi Zen Hei"/>
        <family val="2"/>
      </rPr>
      <t xml:space="preserve">日で算出</t>
    </r>
  </si>
  <si>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加重：名古屋</t>
    </r>
  </si>
  <si>
    <r>
      <rPr>
        <sz val="8"/>
        <color rgb="FF555555"/>
        <rFont val="Arial"/>
        <family val="0"/>
        <charset val="1"/>
      </rPr>
      <t xml:space="preserve">19</t>
    </r>
    <r>
      <rPr>
        <sz val="8"/>
        <color rgb="FF555555"/>
        <rFont val="WenQuanYi Zen Hei"/>
        <family val="2"/>
      </rPr>
      <t xml:space="preserve">日会期・全日実績あり。</t>
    </r>
    <r>
      <rPr>
        <sz val="8"/>
        <color rgb="FF555555"/>
        <rFont val="Arial"/>
        <family val="0"/>
        <charset val="1"/>
      </rPr>
      <t xml:space="preserve">20</t>
    </r>
    <r>
      <rPr>
        <sz val="8"/>
        <color rgb="FF555555"/>
        <rFont val="WenQuanYi Zen Hei"/>
        <family val="2"/>
      </rPr>
      <t xml:space="preserve">日目分のみ補完して札幌</t>
    </r>
    <r>
      <rPr>
        <sz val="8"/>
        <color rgb="FF555555"/>
        <rFont val="Arial"/>
        <family val="0"/>
        <charset val="1"/>
      </rPr>
      <t xml:space="preserve">20</t>
    </r>
    <r>
      <rPr>
        <sz val="8"/>
        <color rgb="FF555555"/>
        <rFont val="WenQuanYi Zen Hei"/>
        <family val="2"/>
      </rPr>
      <t xml:space="preserve">日と揃える</t>
    </r>
  </si>
  <si>
    <r>
      <rPr>
        <b val="true"/>
        <sz val="9"/>
        <rFont val="WenQuanYi Zen Hei"/>
        <family val="2"/>
      </rPr>
      <t xml:space="preserve">会期倍率</t>
    </r>
    <r>
      <rPr>
        <b val="true"/>
        <sz val="9"/>
        <rFont val="Arial"/>
        <family val="0"/>
        <charset val="1"/>
      </rPr>
      <t xml:space="preserve">g </t>
    </r>
    <r>
      <rPr>
        <b val="true"/>
        <sz val="9"/>
        <rFont val="WenQuanYi Zen Hei"/>
        <family val="2"/>
      </rPr>
      <t xml:space="preserve">加重：東京</t>
    </r>
  </si>
  <si>
    <r>
      <rPr>
        <sz val="8"/>
        <color rgb="FF555555"/>
        <rFont val="WenQuanYi Zen Hei"/>
        <family val="2"/>
      </rPr>
      <t xml:space="preserve">ユーザー指示により東京は算出根拠から除外（</t>
    </r>
    <r>
      <rPr>
        <sz val="8"/>
        <color rgb="FF555555"/>
        <rFont val="Arial"/>
        <family val="0"/>
        <charset val="1"/>
      </rPr>
      <t xml:space="preserve">0</t>
    </r>
    <r>
      <rPr>
        <sz val="8"/>
        <color rgb="FF555555"/>
        <rFont val="WenQuanYi Zen Hei"/>
        <family val="2"/>
      </rPr>
      <t xml:space="preserve">固定）</t>
    </r>
  </si>
  <si>
    <r>
      <rPr>
        <b val="true"/>
        <sz val="9"/>
        <rFont val="WenQuanYi Zen Hei"/>
        <family val="2"/>
      </rPr>
      <t xml:space="preserve">名古屋 </t>
    </r>
    <r>
      <rPr>
        <b val="true"/>
        <sz val="9"/>
        <rFont val="Arial"/>
        <family val="0"/>
        <charset val="1"/>
      </rPr>
      <t xml:space="preserve">20</t>
    </r>
    <r>
      <rPr>
        <b val="true"/>
        <sz val="9"/>
        <rFont val="WenQuanYi Zen Hei"/>
        <family val="2"/>
      </rPr>
      <t xml:space="preserve">日目 補完率</t>
    </r>
  </si>
  <si>
    <r>
      <rPr>
        <sz val="8"/>
        <color rgb="FF555555"/>
        <rFont val="WenQuanYi Zen Hei"/>
        <family val="2"/>
      </rPr>
      <t xml:space="preserve">大阪・博多の「</t>
    </r>
    <r>
      <rPr>
        <sz val="8"/>
        <color rgb="FF555555"/>
        <rFont val="Arial"/>
        <family val="0"/>
        <charset val="1"/>
      </rPr>
      <t xml:space="preserve">20</t>
    </r>
    <r>
      <rPr>
        <sz val="8"/>
        <color rgb="FF555555"/>
        <rFont val="WenQuanYi Zen Hei"/>
        <family val="2"/>
      </rPr>
      <t xml:space="preserve">日目</t>
    </r>
    <r>
      <rPr>
        <sz val="8"/>
        <color rgb="FF555555"/>
        <rFont val="Arial"/>
        <family val="0"/>
        <charset val="1"/>
      </rPr>
      <t xml:space="preserve">÷1-19</t>
    </r>
    <r>
      <rPr>
        <sz val="8"/>
        <color rgb="FF555555"/>
        <rFont val="WenQuanYi Zen Hei"/>
        <family val="2"/>
      </rPr>
      <t xml:space="preserve">日累計」平均。名古屋</t>
    </r>
    <r>
      <rPr>
        <sz val="8"/>
        <color rgb="FF555555"/>
        <rFont val="Arial"/>
        <family val="0"/>
        <charset val="1"/>
      </rPr>
      <t xml:space="preserve">19</t>
    </r>
    <r>
      <rPr>
        <sz val="8"/>
        <color rgb="FF555555"/>
        <rFont val="WenQuanYi Zen Hei"/>
        <family val="2"/>
      </rPr>
      <t xml:space="preserve">日会期を</t>
    </r>
    <r>
      <rPr>
        <sz val="8"/>
        <color rgb="FF555555"/>
        <rFont val="Arial"/>
        <family val="0"/>
        <charset val="1"/>
      </rPr>
      <t xml:space="preserve">20</t>
    </r>
    <r>
      <rPr>
        <sz val="8"/>
        <color rgb="FF555555"/>
        <rFont val="WenQuanYi Zen Hei"/>
        <family val="2"/>
      </rPr>
      <t xml:space="preserve">日相当に換算</t>
    </r>
  </si>
  <si>
    <r>
      <rPr>
        <b val="true"/>
        <sz val="9"/>
        <rFont val="WenQuanYi Zen Hei"/>
        <family val="2"/>
      </rPr>
      <t xml:space="preserve">全体倍率</t>
    </r>
    <r>
      <rPr>
        <b val="true"/>
        <sz val="9"/>
        <rFont val="Arial"/>
        <family val="0"/>
        <charset val="1"/>
      </rPr>
      <t xml:space="preserve">g</t>
    </r>
    <r>
      <rPr>
        <b val="true"/>
        <sz val="9"/>
        <rFont val="WenQuanYi Zen Hei"/>
        <family val="2"/>
      </rPr>
      <t xml:space="preserve">（実績ゼロ品のフォールバック）</t>
    </r>
  </si>
  <si>
    <r>
      <rPr>
        <sz val="8"/>
        <color rgb="FF555555"/>
        <rFont val="Arial"/>
        <family val="0"/>
        <charset val="1"/>
      </rPr>
      <t xml:space="preserve">42</t>
    </r>
    <r>
      <rPr>
        <sz val="8"/>
        <color rgb="FF555555"/>
        <rFont val="WenQuanYi Zen Hei"/>
        <family val="2"/>
      </rPr>
      <t xml:space="preserve">品計の加重平均倍率</t>
    </r>
  </si>
  <si>
    <t xml:space="preserve">■ ②③会場比率 前提</t>
  </si>
  <si>
    <r>
      <rPr>
        <b val="true"/>
        <sz val="9"/>
        <rFont val="WenQuanYi Zen Hei"/>
        <family val="2"/>
      </rPr>
      <t xml:space="preserve">東京</t>
    </r>
    <r>
      <rPr>
        <b val="true"/>
        <sz val="9"/>
        <rFont val="Arial"/>
        <family val="0"/>
        <charset val="1"/>
      </rPr>
      <t xml:space="preserve">(</t>
    </r>
    <r>
      <rPr>
        <b val="true"/>
        <sz val="9"/>
        <rFont val="WenQuanYi Zen Hei"/>
        <family val="2"/>
      </rPr>
      <t xml:space="preserve">初回</t>
    </r>
    <r>
      <rPr>
        <b val="true"/>
        <sz val="9"/>
        <rFont val="Arial"/>
        <family val="0"/>
        <charset val="1"/>
      </rPr>
      <t xml:space="preserve">) </t>
    </r>
    <r>
      <rPr>
        <b val="true"/>
        <sz val="9"/>
        <rFont val="WenQuanYi Zen Hei"/>
        <family val="2"/>
      </rPr>
      <t xml:space="preserve">全物販売上（税込）</t>
    </r>
  </si>
  <si>
    <r>
      <rPr>
        <sz val="8"/>
        <color rgb="FF555555"/>
        <rFont val="WenQuanYi Zen Hei"/>
        <family val="2"/>
      </rPr>
      <t xml:space="preserve">池袋サンシャイン</t>
    </r>
    <r>
      <rPr>
        <sz val="8"/>
        <color rgb="FF555555"/>
        <rFont val="Arial"/>
        <family val="0"/>
        <charset val="1"/>
      </rPr>
      <t xml:space="preserve">25</t>
    </r>
    <r>
      <rPr>
        <sz val="8"/>
        <color rgb="FF555555"/>
        <rFont val="WenQuanYi Zen Hei"/>
        <family val="2"/>
      </rPr>
      <t xml:space="preserve">日間・レジ袋</t>
    </r>
    <r>
      <rPr>
        <sz val="8"/>
        <color rgb="FF555555"/>
        <rFont val="Arial"/>
        <family val="0"/>
        <charset val="1"/>
      </rPr>
      <t xml:space="preserve">/</t>
    </r>
    <r>
      <rPr>
        <sz val="8"/>
        <color rgb="FF555555"/>
        <rFont val="WenQuanYi Zen Hei"/>
        <family val="2"/>
      </rPr>
      <t xml:space="preserve">音声ガイド</t>
    </r>
    <r>
      <rPr>
        <sz val="8"/>
        <color rgb="FF555555"/>
        <rFont val="Arial"/>
        <family val="0"/>
        <charset val="1"/>
      </rPr>
      <t xml:space="preserve">/</t>
    </r>
    <r>
      <rPr>
        <sz val="8"/>
        <color rgb="FF555555"/>
        <rFont val="WenQuanYi Zen Hei"/>
        <family val="2"/>
      </rPr>
      <t xml:space="preserve">当日券を除く</t>
    </r>
  </si>
  <si>
    <r>
      <rPr>
        <b val="true"/>
        <sz val="9"/>
        <rFont val="WenQuanYi Zen Hei"/>
        <family val="2"/>
      </rPr>
      <t xml:space="preserve">東京</t>
    </r>
    <r>
      <rPr>
        <b val="true"/>
        <sz val="9"/>
        <rFont val="Arial"/>
        <family val="0"/>
        <charset val="1"/>
      </rPr>
      <t xml:space="preserve">(</t>
    </r>
    <r>
      <rPr>
        <b val="true"/>
        <sz val="9"/>
        <rFont val="WenQuanYi Zen Hei"/>
        <family val="2"/>
      </rPr>
      <t xml:space="preserve">初回</t>
    </r>
    <r>
      <rPr>
        <b val="true"/>
        <sz val="9"/>
        <rFont val="Arial"/>
        <family val="0"/>
        <charset val="1"/>
      </rPr>
      <t xml:space="preserve">) </t>
    </r>
    <r>
      <rPr>
        <b val="true"/>
        <sz val="9"/>
        <rFont val="WenQuanYi Zen Hei"/>
        <family val="2"/>
      </rPr>
      <t xml:space="preserve">全物販 販売数量</t>
    </r>
  </si>
  <si>
    <t xml:space="preserve">同上</t>
  </si>
  <si>
    <t xml:space="preserve">東京対比：石川 香林坊大和</t>
  </si>
  <si>
    <r>
      <rPr>
        <sz val="8"/>
        <color rgb="FF555555"/>
        <rFont val="Arial"/>
        <family val="0"/>
        <charset val="1"/>
      </rPr>
      <t xml:space="preserve">26/8/14(</t>
    </r>
    <r>
      <rPr>
        <sz val="8"/>
        <color rgb="FF555555"/>
        <rFont val="WenQuanYi Zen Hei"/>
        <family val="2"/>
      </rPr>
      <t xml:space="preserve">金</t>
    </r>
    <r>
      <rPr>
        <sz val="8"/>
        <color rgb="FF555555"/>
        <rFont val="Arial"/>
        <family val="0"/>
        <charset val="1"/>
      </rPr>
      <t xml:space="preserve">)-8/31(</t>
    </r>
    <r>
      <rPr>
        <sz val="8"/>
        <color rgb="FF555555"/>
        <rFont val="WenQuanYi Zen Hei"/>
        <family val="2"/>
      </rPr>
      <t xml:space="preserve">月</t>
    </r>
    <r>
      <rPr>
        <sz val="8"/>
        <color rgb="FF555555"/>
        <rFont val="Arial"/>
        <family val="0"/>
        <charset val="1"/>
      </rPr>
      <t xml:space="preserve">)</t>
    </r>
    <r>
      <rPr>
        <sz val="8"/>
        <color rgb="FF555555"/>
        <rFont val="WenQuanYi Zen Hei"/>
        <family val="2"/>
      </rPr>
      <t xml:space="preserve">（</t>
    </r>
    <r>
      <rPr>
        <sz val="8"/>
        <color rgb="FF555555"/>
        <rFont val="Arial"/>
        <family val="0"/>
        <charset val="1"/>
      </rPr>
      <t xml:space="preserve">18</t>
    </r>
    <r>
      <rPr>
        <sz val="8"/>
        <color rgb="FF555555"/>
        <rFont val="WenQuanYi Zen Hei"/>
        <family val="2"/>
      </rPr>
      <t xml:space="preserve">日間）　ユーザー指定</t>
    </r>
  </si>
  <si>
    <r>
      <rPr>
        <b val="true"/>
        <sz val="9"/>
        <rFont val="WenQuanYi Zen Hei"/>
        <family val="2"/>
      </rPr>
      <t xml:space="preserve">東京対比：仙台 </t>
    </r>
    <r>
      <rPr>
        <b val="true"/>
        <sz val="9"/>
        <rFont val="Arial"/>
        <family val="0"/>
        <charset val="1"/>
      </rPr>
      <t xml:space="preserve">Ebeans</t>
    </r>
  </si>
  <si>
    <r>
      <rPr>
        <sz val="8"/>
        <color rgb="FF555555"/>
        <rFont val="Arial"/>
        <family val="0"/>
        <charset val="1"/>
      </rPr>
      <t xml:space="preserve">26/9/5(</t>
    </r>
    <r>
      <rPr>
        <sz val="8"/>
        <color rgb="FF555555"/>
        <rFont val="WenQuanYi Zen Hei"/>
        <family val="2"/>
      </rPr>
      <t xml:space="preserve">土</t>
    </r>
    <r>
      <rPr>
        <sz val="8"/>
        <color rgb="FF555555"/>
        <rFont val="Arial"/>
        <family val="0"/>
        <charset val="1"/>
      </rPr>
      <t xml:space="preserve">)-10/4(</t>
    </r>
    <r>
      <rPr>
        <sz val="8"/>
        <color rgb="FF555555"/>
        <rFont val="WenQuanYi Zen Hei"/>
        <family val="2"/>
      </rPr>
      <t xml:space="preserve">日</t>
    </r>
    <r>
      <rPr>
        <sz val="8"/>
        <color rgb="FF555555"/>
        <rFont val="Arial"/>
        <family val="0"/>
        <charset val="1"/>
      </rPr>
      <t xml:space="preserve">)</t>
    </r>
    <r>
      <rPr>
        <sz val="8"/>
        <color rgb="FF555555"/>
        <rFont val="WenQuanYi Zen Hei"/>
        <family val="2"/>
      </rPr>
      <t xml:space="preserve">（</t>
    </r>
    <r>
      <rPr>
        <sz val="8"/>
        <color rgb="FF555555"/>
        <rFont val="Arial"/>
        <family val="0"/>
        <charset val="1"/>
      </rPr>
      <t xml:space="preserve">30</t>
    </r>
    <r>
      <rPr>
        <sz val="8"/>
        <color rgb="FF555555"/>
        <rFont val="WenQuanYi Zen Hei"/>
        <family val="2"/>
      </rPr>
      <t xml:space="preserve">日間）　ユーザー指定（コナン実績は</t>
    </r>
    <r>
      <rPr>
        <sz val="8"/>
        <color rgb="FF555555"/>
        <rFont val="Arial"/>
        <family val="0"/>
        <charset val="1"/>
      </rPr>
      <t xml:space="preserve">10.5%</t>
    </r>
    <r>
      <rPr>
        <sz val="8"/>
        <color rgb="FF555555"/>
        <rFont val="WenQuanYi Zen Hei"/>
        <family val="2"/>
      </rPr>
      <t xml:space="preserve">）</t>
    </r>
  </si>
  <si>
    <t xml:space="preserve">東京対比：神戸阪急</t>
  </si>
  <si>
    <r>
      <rPr>
        <sz val="8"/>
        <color rgb="FF555555"/>
        <rFont val="Arial"/>
        <family val="0"/>
        <charset val="1"/>
      </rPr>
      <t xml:space="preserve">26/12/16(</t>
    </r>
    <r>
      <rPr>
        <sz val="8"/>
        <color rgb="FF555555"/>
        <rFont val="WenQuanYi Zen Hei"/>
        <family val="2"/>
      </rPr>
      <t xml:space="preserve">水</t>
    </r>
    <r>
      <rPr>
        <sz val="8"/>
        <color rgb="FF555555"/>
        <rFont val="Arial"/>
        <family val="0"/>
        <charset val="1"/>
      </rPr>
      <t xml:space="preserve">)-27/1/7(</t>
    </r>
    <r>
      <rPr>
        <sz val="8"/>
        <color rgb="FF555555"/>
        <rFont val="WenQuanYi Zen Hei"/>
        <family val="2"/>
      </rPr>
      <t xml:space="preserve">木</t>
    </r>
    <r>
      <rPr>
        <sz val="8"/>
        <color rgb="FF555555"/>
        <rFont val="Arial"/>
        <family val="0"/>
        <charset val="1"/>
      </rPr>
      <t xml:space="preserve">)</t>
    </r>
    <r>
      <rPr>
        <sz val="8"/>
        <color rgb="FF555555"/>
        <rFont val="WenQuanYi Zen Hei"/>
        <family val="2"/>
      </rPr>
      <t xml:space="preserve">（</t>
    </r>
    <r>
      <rPr>
        <sz val="8"/>
        <color rgb="FF555555"/>
        <rFont val="Arial"/>
        <family val="0"/>
        <charset val="1"/>
      </rPr>
      <t xml:space="preserve">21</t>
    </r>
    <r>
      <rPr>
        <sz val="8"/>
        <color rgb="FF555555"/>
        <rFont val="WenQuanYi Zen Hei"/>
        <family val="2"/>
      </rPr>
      <t xml:space="preserve">日間）　★要確認：指定なきため仮置き</t>
    </r>
  </si>
  <si>
    <t xml:space="preserve">東京対比：鳥取島根 夢みなとタワー</t>
  </si>
  <si>
    <r>
      <rPr>
        <sz val="8"/>
        <color rgb="FF555555"/>
        <rFont val="Arial"/>
        <family val="0"/>
        <charset val="1"/>
      </rPr>
      <t xml:space="preserve">27/3/15-4/4</t>
    </r>
    <r>
      <rPr>
        <sz val="8"/>
        <color rgb="FF555555"/>
        <rFont val="WenQuanYi Zen Hei"/>
        <family val="2"/>
      </rPr>
      <t xml:space="preserve">（</t>
    </r>
    <r>
      <rPr>
        <sz val="8"/>
        <color rgb="FF555555"/>
        <rFont val="Arial"/>
        <family val="0"/>
        <charset val="1"/>
      </rPr>
      <t xml:space="preserve">21</t>
    </r>
    <r>
      <rPr>
        <sz val="8"/>
        <color rgb="FF555555"/>
        <rFont val="WenQuanYi Zen Hei"/>
        <family val="2"/>
      </rPr>
      <t xml:space="preserve">日間）　ユーザー指定</t>
    </r>
  </si>
  <si>
    <t xml:space="preserve">東京対比：東京凱旋 東京建物ぴあホール</t>
  </si>
  <si>
    <r>
      <rPr>
        <sz val="8"/>
        <color rgb="FF555555"/>
        <rFont val="Arial"/>
        <family val="0"/>
        <charset val="1"/>
      </rPr>
      <t xml:space="preserve">27</t>
    </r>
    <r>
      <rPr>
        <sz val="8"/>
        <color rgb="FF555555"/>
        <rFont val="WenQuanYi Zen Hei"/>
        <family val="2"/>
      </rPr>
      <t xml:space="preserve">年</t>
    </r>
    <r>
      <rPr>
        <sz val="8"/>
        <color rgb="FF555555"/>
        <rFont val="Arial"/>
        <family val="0"/>
        <charset val="1"/>
      </rPr>
      <t xml:space="preserve">4-5</t>
    </r>
    <r>
      <rPr>
        <sz val="8"/>
        <color rgb="FF555555"/>
        <rFont val="WenQuanYi Zen Hei"/>
        <family val="2"/>
      </rPr>
      <t xml:space="preserve">月（</t>
    </r>
    <r>
      <rPr>
        <sz val="8"/>
        <color rgb="FF555555"/>
        <rFont val="Arial"/>
        <family val="0"/>
        <charset val="1"/>
      </rPr>
      <t xml:space="preserve">25</t>
    </r>
    <r>
      <rPr>
        <sz val="8"/>
        <color rgb="FF555555"/>
        <rFont val="WenQuanYi Zen Hei"/>
        <family val="2"/>
      </rPr>
      <t xml:space="preserve">日間）　ユーザー指定（初回東京の</t>
    </r>
    <r>
      <rPr>
        <sz val="8"/>
        <color rgb="FF555555"/>
        <rFont val="Arial"/>
        <family val="0"/>
        <charset val="1"/>
      </rPr>
      <t xml:space="preserve">50%</t>
    </r>
    <r>
      <rPr>
        <sz val="8"/>
        <color rgb="FF555555"/>
        <rFont val="WenQuanYi Zen Hei"/>
        <family val="2"/>
      </rPr>
      <t xml:space="preserve">）</t>
    </r>
  </si>
  <si>
    <r>
      <rPr>
        <b val="true"/>
        <sz val="9"/>
        <rFont val="WenQuanYi Zen Hei"/>
        <family val="2"/>
      </rPr>
      <t xml:space="preserve">［参考］コナンカフェ</t>
    </r>
    <r>
      <rPr>
        <b val="true"/>
        <sz val="9"/>
        <rFont val="Arial"/>
        <family val="0"/>
        <charset val="1"/>
      </rPr>
      <t xml:space="preserve">2026 </t>
    </r>
    <r>
      <rPr>
        <b val="true"/>
        <sz val="9"/>
        <rFont val="WenQuanYi Zen Hei"/>
        <family val="2"/>
      </rPr>
      <t xml:space="preserve">東京対比</t>
    </r>
  </si>
  <si>
    <r>
      <rPr>
        <sz val="8"/>
        <color rgb="FF555555"/>
        <rFont val="WenQuanYi Zen Hei"/>
        <family val="2"/>
      </rPr>
      <t xml:space="preserve">大阪</t>
    </r>
    <r>
      <rPr>
        <sz val="8"/>
        <color rgb="FF555555"/>
        <rFont val="Arial"/>
        <family val="0"/>
        <charset val="1"/>
      </rPr>
      <t xml:space="preserve">53.6% </t>
    </r>
    <r>
      <rPr>
        <sz val="8"/>
        <color rgb="FF555555"/>
        <rFont val="WenQuanYi Zen Hei"/>
        <family val="2"/>
      </rPr>
      <t xml:space="preserve">名古屋</t>
    </r>
    <r>
      <rPr>
        <sz val="8"/>
        <color rgb="FF555555"/>
        <rFont val="Arial"/>
        <family val="0"/>
        <charset val="1"/>
      </rPr>
      <t xml:space="preserve">26.8% </t>
    </r>
    <r>
      <rPr>
        <sz val="8"/>
        <color rgb="FF555555"/>
        <rFont val="WenQuanYi Zen Hei"/>
        <family val="2"/>
      </rPr>
      <t xml:space="preserve">神奈川</t>
    </r>
    <r>
      <rPr>
        <sz val="8"/>
        <color rgb="FF555555"/>
        <rFont val="Arial"/>
        <family val="0"/>
        <charset val="1"/>
      </rPr>
      <t xml:space="preserve">19.1% </t>
    </r>
    <r>
      <rPr>
        <sz val="8"/>
        <color rgb="FF555555"/>
        <rFont val="WenQuanYi Zen Hei"/>
        <family val="2"/>
      </rPr>
      <t xml:space="preserve">北海道</t>
    </r>
    <r>
      <rPr>
        <sz val="8"/>
        <color rgb="FF555555"/>
        <rFont val="Arial"/>
        <family val="0"/>
        <charset val="1"/>
      </rPr>
      <t xml:space="preserve">13.3% </t>
    </r>
    <r>
      <rPr>
        <sz val="8"/>
        <color rgb="FF555555"/>
        <rFont val="WenQuanYi Zen Hei"/>
        <family val="2"/>
      </rPr>
      <t xml:space="preserve">仙台</t>
    </r>
    <r>
      <rPr>
        <sz val="8"/>
        <color rgb="FF555555"/>
        <rFont val="Arial"/>
        <family val="0"/>
        <charset val="1"/>
      </rPr>
      <t xml:space="preserve">10.5%</t>
    </r>
  </si>
  <si>
    <r>
      <rPr>
        <b val="true"/>
        <sz val="11"/>
        <color rgb="FFC00000"/>
        <rFont val="WenQuanYi Zen Hei"/>
        <family val="2"/>
      </rPr>
      <t xml:space="preserve">■ ③石川以降 </t>
    </r>
    <r>
      <rPr>
        <b val="true"/>
        <sz val="11"/>
        <color rgb="FFC00000"/>
        <rFont val="Arial"/>
        <family val="0"/>
        <charset val="1"/>
      </rPr>
      <t xml:space="preserve">LEGS</t>
    </r>
    <r>
      <rPr>
        <b val="true"/>
        <sz val="11"/>
        <color rgb="FFC00000"/>
        <rFont val="WenQuanYi Zen Hei"/>
        <family val="2"/>
      </rPr>
      <t xml:space="preserve">構成比 前提</t>
    </r>
  </si>
  <si>
    <r>
      <rPr>
        <b val="true"/>
        <sz val="9"/>
        <rFont val="Arial"/>
        <family val="0"/>
        <charset val="1"/>
      </rPr>
      <t xml:space="preserve">LEGS </t>
    </r>
    <r>
      <rPr>
        <b val="true"/>
        <sz val="9"/>
        <rFont val="WenQuanYi Zen Hei"/>
        <family val="2"/>
      </rPr>
      <t xml:space="preserve">金額構成比（石川以降）</t>
    </r>
  </si>
  <si>
    <r>
      <rPr>
        <sz val="8"/>
        <color rgb="FF555555"/>
        <rFont val="WenQuanYi Zen Hei"/>
        <family val="2"/>
      </rPr>
      <t xml:space="preserve">札幌の会期</t>
    </r>
    <r>
      <rPr>
        <sz val="8"/>
        <color rgb="FF555555"/>
        <rFont val="Arial"/>
        <family val="0"/>
        <charset val="1"/>
      </rPr>
      <t xml:space="preserve">20</t>
    </r>
    <r>
      <rPr>
        <sz val="8"/>
        <color rgb="FF555555"/>
        <rFont val="WenQuanYi Zen Hei"/>
        <family val="2"/>
      </rPr>
      <t xml:space="preserve">日予測値。大阪</t>
    </r>
    <r>
      <rPr>
        <sz val="8"/>
        <color rgb="FF555555"/>
        <rFont val="Arial"/>
        <family val="0"/>
        <charset val="1"/>
      </rPr>
      <t xml:space="preserve">21.1%→</t>
    </r>
    <r>
      <rPr>
        <sz val="8"/>
        <color rgb="FF555555"/>
        <rFont val="WenQuanYi Zen Hei"/>
        <family val="2"/>
      </rPr>
      <t xml:space="preserve">札幌</t>
    </r>
    <r>
      <rPr>
        <sz val="8"/>
        <color rgb="FF555555"/>
        <rFont val="Arial"/>
        <family val="0"/>
        <charset val="1"/>
      </rPr>
      <t xml:space="preserve">19.6%</t>
    </r>
    <r>
      <rPr>
        <sz val="8"/>
        <color rgb="FF555555"/>
        <rFont val="WenQuanYi Zen Hei"/>
        <family val="2"/>
      </rPr>
      <t xml:space="preserve">の到達点を採用</t>
    </r>
  </si>
  <si>
    <r>
      <rPr>
        <b val="true"/>
        <sz val="9"/>
        <rFont val="Arial"/>
        <family val="0"/>
        <charset val="1"/>
      </rPr>
      <t xml:space="preserve">LEGS </t>
    </r>
    <r>
      <rPr>
        <b val="true"/>
        <sz val="9"/>
        <rFont val="WenQuanYi Zen Hei"/>
        <family val="2"/>
      </rPr>
      <t xml:space="preserve">平均単価（税込）</t>
    </r>
  </si>
  <si>
    <r>
      <rPr>
        <sz val="8"/>
        <color rgb="FF555555"/>
        <rFont val="WenQuanYi Zen Hei"/>
        <family val="2"/>
      </rPr>
      <t xml:space="preserve">札幌</t>
    </r>
    <r>
      <rPr>
        <sz val="8"/>
        <color rgb="FF555555"/>
        <rFont val="Arial"/>
        <family val="0"/>
        <charset val="1"/>
      </rPr>
      <t xml:space="preserve">20</t>
    </r>
    <r>
      <rPr>
        <sz val="8"/>
        <color rgb="FF555555"/>
        <rFont val="WenQuanYi Zen Hei"/>
        <family val="2"/>
      </rPr>
      <t xml:space="preserve">日予測ミックスの加重平均単価</t>
    </r>
  </si>
  <si>
    <r>
      <rPr>
        <b val="true"/>
        <sz val="9"/>
        <rFont val="WenQuanYi Zen Hei"/>
        <family val="2"/>
      </rPr>
      <t xml:space="preserve">商品別按分：大阪</t>
    </r>
    <r>
      <rPr>
        <b val="true"/>
        <sz val="9"/>
        <rFont val="Arial"/>
        <family val="0"/>
        <charset val="1"/>
      </rPr>
      <t xml:space="preserve">20</t>
    </r>
    <r>
      <rPr>
        <b val="true"/>
        <sz val="9"/>
        <rFont val="WenQuanYi Zen Hei"/>
        <family val="2"/>
      </rPr>
      <t xml:space="preserve">日実績の構成比ウェイト</t>
    </r>
  </si>
  <si>
    <r>
      <rPr>
        <b val="true"/>
        <sz val="9"/>
        <rFont val="WenQuanYi Zen Hei"/>
        <family val="2"/>
      </rPr>
      <t xml:space="preserve">商品別按分：札幌</t>
    </r>
    <r>
      <rPr>
        <b val="true"/>
        <sz val="9"/>
        <rFont val="Arial"/>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</si>
  <si>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Arial"/>
        <family val="0"/>
        <charset val="1"/>
      </rPr>
      <t xml:space="preserve">100%</t>
    </r>
    <r>
      <rPr>
        <sz val="8"/>
        <color rgb="FF555555"/>
        <rFont val="WenQuanYi Zen Hei"/>
        <family val="2"/>
      </rPr>
      <t xml:space="preserve">になるよう設定</t>
    </r>
  </si>
  <si>
    <t xml:space="preserve">■ ④追加発注 前提</t>
  </si>
  <si>
    <t xml:space="preserve">安全率（不足数に対する上乗せ）</t>
  </si>
  <si>
    <r>
      <rPr>
        <sz val="8"/>
        <color rgb="FF555555"/>
        <rFont val="WenQuanYi Zen Hei"/>
        <family val="2"/>
      </rPr>
      <t xml:space="preserve">推奨発注数＝不足数</t>
    </r>
    <r>
      <rPr>
        <sz val="8"/>
        <color rgb="FF555555"/>
        <rFont val="Arial"/>
        <family val="0"/>
        <charset val="1"/>
      </rPr>
      <t xml:space="preserve">×(1+</t>
    </r>
    <r>
      <rPr>
        <sz val="8"/>
        <color rgb="FF555555"/>
        <rFont val="WenQuanYi Zen Hei"/>
        <family val="2"/>
      </rPr>
      <t xml:space="preserve">安全率</t>
    </r>
    <r>
      <rPr>
        <sz val="8"/>
        <color rgb="FF555555"/>
        <rFont val="Arial"/>
        <family val="0"/>
        <charset val="1"/>
      </rPr>
      <t xml:space="preserve">)</t>
    </r>
    <r>
      <rPr>
        <sz val="8"/>
        <color rgb="FF555555"/>
        <rFont val="WenQuanYi Zen Hei"/>
        <family val="2"/>
      </rPr>
      <t xml:space="preserve">を切り上げ</t>
    </r>
  </si>
  <si>
    <r>
      <rPr>
        <b val="true"/>
        <sz val="9"/>
        <rFont val="Arial"/>
        <family val="0"/>
        <charset val="1"/>
      </rPr>
      <t xml:space="preserve">SPJ</t>
    </r>
    <r>
      <rPr>
        <b val="true"/>
        <sz val="9"/>
        <rFont val="WenQuanYi Zen Hei"/>
        <family val="2"/>
      </rPr>
      <t xml:space="preserve">倉庫・過去会場返品の流用可能在庫（全品計）</t>
    </r>
  </si>
  <si>
    <r>
      <rPr>
        <sz val="8"/>
        <color rgb="FF555555"/>
        <rFont val="WenQuanYi Zen Hei"/>
        <family val="2"/>
      </rPr>
      <t xml:space="preserve">★提供データに無いため</t>
    </r>
    <r>
      <rPr>
        <sz val="8"/>
        <color rgb="FF555555"/>
        <rFont val="Arial"/>
        <family val="0"/>
        <charset val="1"/>
      </rPr>
      <t xml:space="preserve">0</t>
    </r>
    <r>
      <rPr>
        <sz val="8"/>
        <color rgb="FF555555"/>
        <rFont val="WenQuanYi Zen Hei"/>
        <family val="2"/>
      </rPr>
      <t xml:space="preserve">。判明分を入力すると追加生産必要数から控除される（⑤で按分控除）</t>
    </r>
  </si>
  <si>
    <t xml:space="preserve">札幌 会期末残在庫のスライド率</t>
  </si>
  <si>
    <t xml:space="preserve">札幌終了在庫を石川以降へ回せる割合</t>
  </si>
  <si>
    <r>
      <rPr>
        <b val="true"/>
        <sz val="15"/>
        <color rgb="FF1F3864"/>
        <rFont val="WenQuanYi Zen Hei"/>
        <family val="2"/>
      </rPr>
      <t xml:space="preserve">① 札幌会場 会期</t>
    </r>
    <r>
      <rPr>
        <b val="true"/>
        <sz val="15"/>
        <color rgb="FF1F3864"/>
        <rFont val="Arial"/>
        <family val="0"/>
        <charset val="1"/>
      </rPr>
      <t xml:space="preserve">20</t>
    </r>
    <r>
      <rPr>
        <b val="true"/>
        <sz val="15"/>
        <color rgb="FF1F3864"/>
        <rFont val="WenQuanYi Zen Hei"/>
        <family val="2"/>
      </rPr>
      <t xml:space="preserve">日間（</t>
    </r>
    <r>
      <rPr>
        <b val="true"/>
        <sz val="15"/>
        <color rgb="FF1F3864"/>
        <rFont val="Arial"/>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</si>
  <si>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Arial"/>
        <family val="0"/>
        <charset val="1"/>
      </rPr>
      <t xml:space="preserve">20</t>
    </r>
    <r>
      <rPr>
        <sz val="8"/>
        <color rgb="FF555555"/>
        <rFont val="WenQuanYi Zen Hei"/>
        <family val="2"/>
      </rPr>
      <t xml:space="preserve">日累計 </t>
    </r>
    <r>
      <rPr>
        <sz val="8"/>
        <color rgb="FF555555"/>
        <rFont val="Arial"/>
        <family val="0"/>
        <charset val="1"/>
      </rPr>
      <t xml:space="preserve">÷ </t>
    </r>
    <r>
      <rPr>
        <sz val="8"/>
        <color rgb="FF555555"/>
        <rFont val="WenQuanYi Zen Hei"/>
        <family val="2"/>
      </rPr>
      <t xml:space="preserve">初</t>
    </r>
    <r>
      <rPr>
        <sz val="8"/>
        <color rgb="FF555555"/>
        <rFont val="Arial"/>
        <family val="0"/>
        <charset val="1"/>
      </rPr>
      <t xml:space="preserve">5</t>
    </r>
    <r>
      <rPr>
        <sz val="8"/>
        <color rgb="FF555555"/>
        <rFont val="WenQuanYi Zen Hei"/>
        <family val="2"/>
      </rPr>
      <t xml:space="preserve">日」倍率を商品別に加重平均し、札幌の初</t>
    </r>
    <r>
      <rPr>
        <sz val="8"/>
        <color rgb="FF555555"/>
        <rFont val="Arial"/>
        <family val="0"/>
        <charset val="1"/>
      </rPr>
      <t xml:space="preserve">5</t>
    </r>
    <r>
      <rPr>
        <sz val="8"/>
        <color rgb="FF555555"/>
        <rFont val="WenQuanYi Zen Hei"/>
        <family val="2"/>
      </rPr>
      <t xml:space="preserve">日実績に乗算</t>
    </r>
  </si>
  <si>
    <r>
      <rPr>
        <sz val="8"/>
        <color rgb="FF555555"/>
        <rFont val="WenQuanYi Zen Hei"/>
        <family val="2"/>
      </rPr>
      <t xml:space="preserve">加重：大阪</t>
    </r>
    <r>
      <rPr>
        <sz val="8"/>
        <color rgb="FF555555"/>
        <rFont val="Arial"/>
        <family val="0"/>
        <charset val="1"/>
      </rPr>
      <t xml:space="preserve">2</t>
    </r>
    <r>
      <rPr>
        <sz val="8"/>
        <color rgb="FF555555"/>
        <rFont val="WenQuanYi Zen Hei"/>
        <family val="2"/>
      </rPr>
      <t xml:space="preserve">・博多</t>
    </r>
    <r>
      <rPr>
        <sz val="8"/>
        <color rgb="FF555555"/>
        <rFont val="Arial"/>
        <family val="0"/>
        <charset val="1"/>
      </rPr>
      <t xml:space="preserve">1</t>
    </r>
    <r>
      <rPr>
        <sz val="8"/>
        <color rgb="FF555555"/>
        <rFont val="WenQuanYi Zen Hei"/>
        <family val="2"/>
      </rPr>
      <t xml:space="preserve">・名古屋</t>
    </r>
    <r>
      <rPr>
        <sz val="8"/>
        <color rgb="FF555555"/>
        <rFont val="Arial"/>
        <family val="0"/>
        <charset val="1"/>
      </rPr>
      <t xml:space="preserve">1</t>
    </r>
    <r>
      <rPr>
        <sz val="8"/>
        <color rgb="FF555555"/>
        <rFont val="WenQuanYi Zen Hei"/>
        <family val="2"/>
      </rPr>
      <t xml:space="preserve">（「前提・入力」シートで変更可）／名古屋は</t>
    </r>
    <r>
      <rPr>
        <sz val="8"/>
        <color rgb="FF555555"/>
        <rFont val="Arial"/>
        <family val="0"/>
        <charset val="1"/>
      </rPr>
      <t xml:space="preserve">19</t>
    </r>
    <r>
      <rPr>
        <sz val="8"/>
        <color rgb="FF555555"/>
        <rFont val="WenQuanYi Zen Hei"/>
        <family val="2"/>
      </rPr>
      <t xml:space="preserve">日全会期実績を</t>
    </r>
    <r>
      <rPr>
        <sz val="8"/>
        <color rgb="FF555555"/>
        <rFont val="Arial"/>
        <family val="0"/>
        <charset val="1"/>
      </rPr>
      <t xml:space="preserve">20</t>
    </r>
    <r>
      <rPr>
        <sz val="8"/>
        <color rgb="FF555555"/>
        <rFont val="WenQuanYi Zen Hei"/>
        <family val="2"/>
      </rPr>
      <t xml:space="preserve">日相当に換算（</t>
    </r>
    <r>
      <rPr>
        <sz val="8"/>
        <color rgb="FF555555"/>
        <rFont val="Arial"/>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</si>
  <si>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</si>
  <si>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</si>
  <si>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</si>
  <si>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</si>
  <si>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Arial"/>
        <family val="0"/>
        <charset val="1"/>
      </rPr>
      <t xml:space="preserve">5</t>
    </r>
    <r>
      <rPr>
        <b val="true"/>
        <sz val="9"/>
        <color rgb="FFFFFFFF"/>
        <rFont val="WenQuanYi Zen Hei"/>
        <family val="2"/>
      </rPr>
      <t xml:space="preserve">日
</t>
    </r>
    <r>
      <rPr>
        <b val="true"/>
        <sz val="9"/>
        <color rgb="FFFFFFFF"/>
        <rFont val="Arial"/>
        <family val="0"/>
        <charset val="1"/>
      </rPr>
      <t xml:space="preserve">7/22-26</t>
    </r>
  </si>
  <si>
    <r>
      <rPr>
        <b val="true"/>
        <sz val="9"/>
        <color rgb="FFFFFFFF"/>
        <rFont val="WenQuanYi Zen Hei"/>
        <family val="2"/>
      </rPr>
      <t xml:space="preserve">名古屋①
初</t>
    </r>
    <r>
      <rPr>
        <b val="true"/>
        <sz val="9"/>
        <color rgb="FFFFFFFF"/>
        <rFont val="Arial"/>
        <family val="0"/>
        <charset val="1"/>
      </rPr>
      <t xml:space="preserve">5</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</si>
  <si>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Arial"/>
        <family val="0"/>
        <charset val="1"/>
      </rPr>
      <t xml:space="preserve">19</t>
    </r>
    <r>
      <rPr>
        <b val="true"/>
        <sz val="9"/>
        <color rgb="FFFFFFFF"/>
        <rFont val="WenQuanYi Zen Hei"/>
        <family val="2"/>
      </rPr>
      <t xml:space="preserve">日累計
</t>
    </r>
    <r>
      <rPr>
        <b val="true"/>
        <sz val="9"/>
        <color rgb="FFFFFFFF"/>
        <rFont val="Arial"/>
        <family val="0"/>
        <charset val="1"/>
      </rPr>
      <t xml:space="preserve">(</t>
    </r>
    <r>
      <rPr>
        <b val="true"/>
        <sz val="9"/>
        <color rgb="FFFFFFFF"/>
        <rFont val="WenQuanYi Zen Hei"/>
        <family val="2"/>
      </rPr>
      <t xml:space="preserve">全会期</t>
    </r>
    <r>
      <rPr>
        <b val="true"/>
        <sz val="9"/>
        <color rgb="FFFFFFFF"/>
        <rFont val="Arial"/>
        <family val="0"/>
        <charset val="1"/>
      </rPr>
      <t xml:space="preserve">)</t>
    </r>
  </si>
  <si>
    <r>
      <rPr>
        <b val="true"/>
        <sz val="9"/>
        <color rgb="FFFFFFFF"/>
        <rFont val="WenQuanYi Zen Hei"/>
        <family val="2"/>
      </rPr>
      <t xml:space="preserve">名古屋
倍率</t>
    </r>
    <r>
      <rPr>
        <b val="true"/>
        <sz val="9"/>
        <color rgb="FFFFFFFF"/>
        <rFont val="Arial"/>
        <family val="0"/>
        <charset val="1"/>
      </rPr>
      <t xml:space="preserve">g</t>
    </r>
  </si>
  <si>
    <r>
      <rPr>
        <b val="true"/>
        <sz val="9"/>
        <color rgb="FFFFFFFF"/>
        <rFont val="WenQuanYi Zen Hei"/>
        <family val="2"/>
      </rPr>
      <t xml:space="preserve">博多②
初</t>
    </r>
    <r>
      <rPr>
        <b val="true"/>
        <sz val="9"/>
        <color rgb="FFFFFFFF"/>
        <rFont val="Arial"/>
        <family val="0"/>
        <charset val="1"/>
      </rPr>
      <t xml:space="preserve">5</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</si>
  <si>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Arial"/>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</si>
  <si>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Arial"/>
        <family val="0"/>
        <charset val="1"/>
      </rPr>
      <t xml:space="preserve">g</t>
    </r>
  </si>
  <si>
    <r>
      <rPr>
        <b val="true"/>
        <sz val="9"/>
        <color rgb="FFFFFFFF"/>
        <rFont val="WenQuanYi Zen Hei"/>
        <family val="2"/>
      </rPr>
      <t xml:space="preserve">大阪④
初</t>
    </r>
    <r>
      <rPr>
        <b val="true"/>
        <sz val="9"/>
        <color rgb="FFFFFFFF"/>
        <rFont val="Arial"/>
        <family val="0"/>
        <charset val="1"/>
      </rPr>
      <t xml:space="preserve">5</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</si>
  <si>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Arial"/>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</si>
  <si>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Arial"/>
        <family val="0"/>
        <charset val="1"/>
      </rPr>
      <t xml:space="preserve">g</t>
    </r>
  </si>
  <si>
    <r>
      <rPr>
        <b val="true"/>
        <sz val="9"/>
        <color rgb="FFFFFFFF"/>
        <rFont val="WenQuanYi Zen Hei"/>
        <family val="2"/>
      </rPr>
      <t xml:space="preserve">採用
倍率</t>
    </r>
    <r>
      <rPr>
        <b val="true"/>
        <sz val="9"/>
        <color rgb="FFFFFFFF"/>
        <rFont val="Arial"/>
        <family val="0"/>
        <charset val="1"/>
      </rPr>
      <t xml:space="preserve">g</t>
    </r>
  </si>
  <si>
    <r>
      <rPr>
        <b val="true"/>
        <sz val="9"/>
        <color rgb="FFFFFFFF"/>
        <rFont val="WenQuanYi Zen Hei"/>
        <family val="2"/>
      </rPr>
      <t xml:space="preserve">札幌
会期</t>
    </r>
    <r>
      <rPr>
        <b val="true"/>
        <sz val="9"/>
        <color rgb="FFFFFFFF"/>
        <rFont val="Arial"/>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</si>
  <si>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</si>
  <si>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</si>
  <si>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t xml:space="preserve">札幌
販売可能数</t>
  </si>
  <si>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</si>
  <si>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</si>
  <si>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</si>
  <si>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</si>
  <si>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</si>
  <si>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</si>
  <si>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</si>
  <si>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</si>
  <si>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</si>
  <si>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Arial"/>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</si>
  <si>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</si>
  <si>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Arial"/>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</si>
  <si>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</si>
  <si>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Arial"/>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</si>
  <si>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</si>
  <si>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Arial"/>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</si>
  <si>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</si>
  <si>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Arial"/>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</si>
  <si>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</si>
  <si>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Arial"/>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</si>
  <si>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</si>
  <si>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</si>
  <si>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</si>
  <si>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</si>
  <si>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</si>
  <si>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</si>
  <si>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</si>
  <si>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</si>
  <si>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</si>
  <si>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</si>
  <si>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</si>
  <si>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</si>
  <si>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</si>
  <si>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</si>
  <si>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</si>
  <si>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</si>
  <si>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</si>
  <si>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</si>
  <si>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</si>
  <si>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</si>
  <si>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</si>
  <si>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</si>
  <si>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</si>
  <si>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</si>
  <si>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</si>
  <si>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</si>
  <si>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</si>
  <si>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</si>
  <si>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</si>
  <si>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Arial"/>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</si>
  <si>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</si>
  <si>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Arial"/>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</si>
  <si>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</si>
  <si>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</si>
  <si>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</si>
  <si>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</si>
  <si>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</si>
  <si>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</si>
  <si>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</si>
  <si>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</si>
  <si>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</si>
  <si>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</si>
  <si>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</si>
  <si>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</si>
  <si>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</si>
  <si>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</si>
  <si>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</si>
  <si>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</si>
  <si>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</si>
  <si>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Arial"/>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</si>
  <si>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</si>
  <si>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Arial"/>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</si>
  <si>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</si>
  <si>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Arial"/>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</si>
  <si>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</si>
  <si>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Arial"/>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</si>
  <si>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</si>
  <si>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Arial"/>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</si>
  <si>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</si>
  <si>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Arial"/>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</si>
  <si>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</si>
  <si>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Arial"/>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</si>
  <si>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</si>
  <si>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Arial"/>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</si>
  <si>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</si>
  <si>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</si>
  <si>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</si>
  <si>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</si>
  <si>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Arial"/>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</si>
  <si>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Arial"/>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</si>
  <si>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Arial"/>
        <family val="0"/>
        <charset val="1"/>
      </rPr>
      <t xml:space="preserve">LEGS</t>
    </r>
    <r>
      <rPr>
        <sz val="8"/>
        <color rgb="FF555555"/>
        <rFont val="WenQuanYi Zen Hei"/>
        <family val="2"/>
      </rPr>
      <t xml:space="preserve">＝本</t>
    </r>
    <r>
      <rPr>
        <sz val="8"/>
        <color rgb="FF555555"/>
        <rFont val="Arial"/>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</si>
  <si>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</si>
  <si>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</si>
  <si>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</si>
  <si>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</si>
  <si>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</si>
  <si>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</si>
  <si>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</si>
  <si>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</si>
  <si>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Arial"/>
        <family val="0"/>
        <charset val="1"/>
      </rPr>
      <t xml:space="preserve">(</t>
    </r>
    <r>
      <rPr>
        <b val="true"/>
        <sz val="9"/>
        <color rgb="FFFFFFFF"/>
        <rFont val="WenQuanYi Zen Hei"/>
        <family val="2"/>
      </rPr>
      <t xml:space="preserve">予測</t>
    </r>
    <r>
      <rPr>
        <b val="true"/>
        <sz val="9"/>
        <color rgb="FFFFFFFF"/>
        <rFont val="Arial"/>
        <family val="0"/>
        <charset val="1"/>
      </rPr>
      <t xml:space="preserve">)</t>
    </r>
  </si>
  <si>
    <t xml:space="preserve">石川 香林坊大和</t>
  </si>
  <si>
    <r>
      <rPr>
        <b val="true"/>
        <sz val="9"/>
        <color rgb="FFFFFFFF"/>
        <rFont val="WenQuanYi Zen Hei"/>
        <family val="2"/>
      </rPr>
      <t xml:space="preserve">仙台 </t>
    </r>
    <r>
      <rPr>
        <b val="true"/>
        <sz val="9"/>
        <color rgb="FFFFFFFF"/>
        <rFont val="Arial"/>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</si>
  <si>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</si>
  <si>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</si>
  <si>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</si>
  <si>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</si>
  <si>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Arial"/>
        <family val="0"/>
        <charset val="1"/>
      </rPr>
      <t xml:space="preserve">25/12/5(</t>
    </r>
    <r>
      <rPr>
        <sz val="9"/>
        <rFont val="WenQuanYi Zen Hei"/>
        <family val="2"/>
      </rPr>
      <t xml:space="preserve">金</t>
    </r>
    <r>
      <rPr>
        <sz val="9"/>
        <rFont val="Arial"/>
        <family val="0"/>
        <charset val="1"/>
      </rPr>
      <t xml:space="preserve">)-12/29(</t>
    </r>
    <r>
      <rPr>
        <sz val="9"/>
        <rFont val="WenQuanYi Zen Hei"/>
        <family val="2"/>
      </rPr>
      <t xml:space="preserve">月</t>
    </r>
    <r>
      <rPr>
        <sz val="9"/>
        <rFont val="Arial"/>
        <family val="0"/>
        <charset val="1"/>
      </rPr>
      <t xml:space="preserve">)
</t>
    </r>
    <r>
      <rPr>
        <sz val="9"/>
        <rFont val="WenQuanYi Zen Hei"/>
        <family val="2"/>
      </rPr>
      <t xml:space="preserve">池袋サンシャインシティ</t>
    </r>
  </si>
  <si>
    <r>
      <rPr>
        <sz val="9"/>
        <rFont val="Arial"/>
        <family val="0"/>
        <charset val="1"/>
      </rPr>
      <t xml:space="preserve">26/3/18(</t>
    </r>
    <r>
      <rPr>
        <sz val="9"/>
        <rFont val="WenQuanYi Zen Hei"/>
        <family val="2"/>
      </rPr>
      <t xml:space="preserve">水</t>
    </r>
    <r>
      <rPr>
        <sz val="9"/>
        <rFont val="Arial"/>
        <family val="0"/>
        <charset val="1"/>
      </rPr>
      <t xml:space="preserve">)-4/5(</t>
    </r>
    <r>
      <rPr>
        <sz val="9"/>
        <rFont val="WenQuanYi Zen Hei"/>
        <family val="2"/>
      </rPr>
      <t xml:space="preserve">日</t>
    </r>
    <r>
      <rPr>
        <sz val="9"/>
        <rFont val="Arial"/>
        <family val="0"/>
        <charset val="1"/>
      </rPr>
      <t xml:space="preserve">)
</t>
    </r>
    <r>
      <rPr>
        <sz val="9"/>
        <rFont val="WenQuanYi Zen Hei"/>
        <family val="2"/>
      </rPr>
      <t xml:space="preserve">松坂屋</t>
    </r>
  </si>
  <si>
    <r>
      <rPr>
        <sz val="9"/>
        <rFont val="Arial"/>
        <family val="0"/>
        <charset val="1"/>
      </rPr>
      <t xml:space="preserve">26/4/23(</t>
    </r>
    <r>
      <rPr>
        <sz val="9"/>
        <rFont val="WenQuanYi Zen Hei"/>
        <family val="2"/>
      </rPr>
      <t xml:space="preserve">木</t>
    </r>
    <r>
      <rPr>
        <sz val="9"/>
        <rFont val="Arial"/>
        <family val="0"/>
        <charset val="1"/>
      </rPr>
      <t xml:space="preserve">)-5/18(</t>
    </r>
    <r>
      <rPr>
        <sz val="9"/>
        <rFont val="WenQuanYi Zen Hei"/>
        <family val="2"/>
      </rPr>
      <t xml:space="preserve">月</t>
    </r>
    <r>
      <rPr>
        <sz val="9"/>
        <rFont val="Arial"/>
        <family val="0"/>
        <charset val="1"/>
      </rPr>
      <t xml:space="preserve">)
</t>
    </r>
    <r>
      <rPr>
        <sz val="9"/>
        <rFont val="WenQuanYi Zen Hei"/>
        <family val="2"/>
      </rPr>
      <t xml:space="preserve">博多阪急</t>
    </r>
  </si>
  <si>
    <r>
      <rPr>
        <sz val="9"/>
        <rFont val="Arial"/>
        <family val="0"/>
        <charset val="1"/>
      </rPr>
      <t xml:space="preserve">26/6/10(</t>
    </r>
    <r>
      <rPr>
        <sz val="9"/>
        <rFont val="WenQuanYi Zen Hei"/>
        <family val="2"/>
      </rPr>
      <t xml:space="preserve">水</t>
    </r>
    <r>
      <rPr>
        <sz val="9"/>
        <rFont val="Arial"/>
        <family val="0"/>
        <charset val="1"/>
      </rPr>
      <t xml:space="preserve">)-6/29(</t>
    </r>
    <r>
      <rPr>
        <sz val="9"/>
        <rFont val="WenQuanYi Zen Hei"/>
        <family val="2"/>
      </rPr>
      <t xml:space="preserve">月</t>
    </r>
    <r>
      <rPr>
        <sz val="9"/>
        <rFont val="Arial"/>
        <family val="0"/>
        <charset val="1"/>
      </rPr>
      <t xml:space="preserve">)
</t>
    </r>
    <r>
      <rPr>
        <sz val="9"/>
        <rFont val="WenQuanYi Zen Hei"/>
        <family val="2"/>
      </rPr>
      <t xml:space="preserve">阪急梅田</t>
    </r>
  </si>
  <si>
    <r>
      <rPr>
        <sz val="9"/>
        <rFont val="Arial"/>
        <family val="0"/>
        <charset val="1"/>
      </rPr>
      <t xml:space="preserve">26/7/22(</t>
    </r>
    <r>
      <rPr>
        <sz val="9"/>
        <rFont val="WenQuanYi Zen Hei"/>
        <family val="2"/>
      </rPr>
      <t xml:space="preserve">水</t>
    </r>
    <r>
      <rPr>
        <sz val="9"/>
        <rFont val="Arial"/>
        <family val="0"/>
        <charset val="1"/>
      </rPr>
      <t xml:space="preserve">)-8/10(</t>
    </r>
    <r>
      <rPr>
        <sz val="9"/>
        <rFont val="WenQuanYi Zen Hei"/>
        <family val="2"/>
      </rPr>
      <t xml:space="preserve">月</t>
    </r>
    <r>
      <rPr>
        <sz val="9"/>
        <rFont val="Arial"/>
        <family val="0"/>
        <charset val="1"/>
      </rPr>
      <t xml:space="preserve">)
</t>
    </r>
    <r>
      <rPr>
        <sz val="9"/>
        <rFont val="WenQuanYi Zen Hei"/>
        <family val="2"/>
      </rPr>
      <t xml:space="preserve">札幌大丸</t>
    </r>
  </si>
  <si>
    <r>
      <rPr>
        <sz val="9"/>
        <rFont val="Arial"/>
        <family val="0"/>
        <charset val="1"/>
      </rPr>
      <t xml:space="preserve">26/7/22(</t>
    </r>
    <r>
      <rPr>
        <sz val="9"/>
        <rFont val="WenQuanYi Zen Hei"/>
        <family val="2"/>
      </rPr>
      <t xml:space="preserve">水</t>
    </r>
    <r>
      <rPr>
        <sz val="9"/>
        <rFont val="Arial"/>
        <family val="0"/>
        <charset val="1"/>
      </rPr>
      <t xml:space="preserve">)-8/10(</t>
    </r>
    <r>
      <rPr>
        <sz val="9"/>
        <rFont val="WenQuanYi Zen Hei"/>
        <family val="2"/>
      </rPr>
      <t xml:space="preserve">月</t>
    </r>
    <r>
      <rPr>
        <sz val="9"/>
        <rFont val="Arial"/>
        <family val="0"/>
        <charset val="1"/>
      </rPr>
      <t xml:space="preserve">)
</t>
    </r>
    <r>
      <rPr>
        <sz val="9"/>
        <rFont val="WenQuanYi Zen Hei"/>
        <family val="2"/>
      </rPr>
      <t xml:space="preserve">会期</t>
    </r>
    <r>
      <rPr>
        <sz val="9"/>
        <rFont val="Arial"/>
        <family val="0"/>
        <charset val="1"/>
      </rPr>
      <t xml:space="preserve">20</t>
    </r>
    <r>
      <rPr>
        <sz val="9"/>
        <rFont val="WenQuanYi Zen Hei"/>
        <family val="2"/>
      </rPr>
      <t xml:space="preserve">日 予測</t>
    </r>
  </si>
  <si>
    <r>
      <rPr>
        <sz val="9"/>
        <rFont val="Arial"/>
        <family val="0"/>
        <charset val="1"/>
      </rPr>
      <t xml:space="preserve">26/8/14(</t>
    </r>
    <r>
      <rPr>
        <sz val="9"/>
        <rFont val="WenQuanYi Zen Hei"/>
        <family val="2"/>
      </rPr>
      <t xml:space="preserve">金</t>
    </r>
    <r>
      <rPr>
        <sz val="9"/>
        <rFont val="Arial"/>
        <family val="0"/>
        <charset val="1"/>
      </rPr>
      <t xml:space="preserve">)-8/31(</t>
    </r>
    <r>
      <rPr>
        <sz val="9"/>
        <rFont val="WenQuanYi Zen Hei"/>
        <family val="2"/>
      </rPr>
      <t xml:space="preserve">月</t>
    </r>
    <r>
      <rPr>
        <sz val="9"/>
        <rFont val="Arial"/>
        <family val="0"/>
        <charset val="1"/>
      </rPr>
      <t xml:space="preserve">)
</t>
    </r>
    <r>
      <rPr>
        <sz val="9"/>
        <rFont val="WenQuanYi Zen Hei"/>
        <family val="2"/>
      </rPr>
      <t xml:space="preserve">石川 香林坊大和</t>
    </r>
  </si>
  <si>
    <r>
      <rPr>
        <sz val="9"/>
        <rFont val="Arial"/>
        <family val="0"/>
        <charset val="1"/>
      </rPr>
      <t xml:space="preserve">26/9/5(</t>
    </r>
    <r>
      <rPr>
        <sz val="9"/>
        <rFont val="WenQuanYi Zen Hei"/>
        <family val="2"/>
      </rPr>
      <t xml:space="preserve">土</t>
    </r>
    <r>
      <rPr>
        <sz val="9"/>
        <rFont val="Arial"/>
        <family val="0"/>
        <charset val="1"/>
      </rPr>
      <t xml:space="preserve">)-10/4(</t>
    </r>
    <r>
      <rPr>
        <sz val="9"/>
        <rFont val="WenQuanYi Zen Hei"/>
        <family val="2"/>
      </rPr>
      <t xml:space="preserve">日</t>
    </r>
    <r>
      <rPr>
        <sz val="9"/>
        <rFont val="Arial"/>
        <family val="0"/>
        <charset val="1"/>
      </rPr>
      <t xml:space="preserve">)
</t>
    </r>
    <r>
      <rPr>
        <sz val="9"/>
        <rFont val="WenQuanYi Zen Hei"/>
        <family val="2"/>
      </rPr>
      <t xml:space="preserve">仙台 </t>
    </r>
    <r>
      <rPr>
        <sz val="9"/>
        <rFont val="Arial"/>
        <family val="0"/>
        <charset val="1"/>
      </rPr>
      <t xml:space="preserve">Ebeans</t>
    </r>
  </si>
  <si>
    <r>
      <rPr>
        <sz val="9"/>
        <rFont val="Arial"/>
        <family val="0"/>
        <charset val="1"/>
      </rPr>
      <t xml:space="preserve">26/12/16(</t>
    </r>
    <r>
      <rPr>
        <sz val="9"/>
        <rFont val="WenQuanYi Zen Hei"/>
        <family val="2"/>
      </rPr>
      <t xml:space="preserve">水</t>
    </r>
    <r>
      <rPr>
        <sz val="9"/>
        <rFont val="Arial"/>
        <family val="0"/>
        <charset val="1"/>
      </rPr>
      <t xml:space="preserve">)-27/1/7(</t>
    </r>
    <r>
      <rPr>
        <sz val="9"/>
        <rFont val="WenQuanYi Zen Hei"/>
        <family val="2"/>
      </rPr>
      <t xml:space="preserve">木</t>
    </r>
    <r>
      <rPr>
        <sz val="9"/>
        <rFont val="Arial"/>
        <family val="0"/>
        <charset val="1"/>
      </rPr>
      <t xml:space="preserve">)
</t>
    </r>
    <r>
      <rPr>
        <sz val="9"/>
        <rFont val="WenQuanYi Zen Hei"/>
        <family val="2"/>
      </rPr>
      <t xml:space="preserve">神戸阪急</t>
    </r>
  </si>
  <si>
    <r>
      <rPr>
        <sz val="9"/>
        <rFont val="Arial"/>
        <family val="0"/>
        <charset val="1"/>
      </rPr>
      <t xml:space="preserve">27/3/15-4/4
</t>
    </r>
    <r>
      <rPr>
        <sz val="9"/>
        <rFont val="WenQuanYi Zen Hei"/>
        <family val="2"/>
      </rPr>
      <t xml:space="preserve">鳥取島根 夢みなとタワー</t>
    </r>
  </si>
  <si>
    <r>
      <rPr>
        <sz val="9"/>
        <rFont val="Arial"/>
        <family val="0"/>
        <charset val="1"/>
      </rPr>
      <t xml:space="preserve">27</t>
    </r>
    <r>
      <rPr>
        <sz val="9"/>
        <rFont val="WenQuanYi Zen Hei"/>
        <family val="2"/>
      </rPr>
      <t xml:space="preserve">年</t>
    </r>
    <r>
      <rPr>
        <sz val="9"/>
        <rFont val="Arial"/>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</si>
  <si>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</si>
  <si>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</si>
  <si>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</si>
  <si>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</si>
  <si>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</si>
  <si>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Arial"/>
        <family val="0"/>
        <charset val="1"/>
      </rPr>
      <t xml:space="preserve">(</t>
    </r>
    <r>
      <rPr>
        <b val="true"/>
        <sz val="9"/>
        <rFont val="WenQuanYi Zen Hei"/>
        <family val="2"/>
      </rPr>
      <t xml:space="preserve">税込</t>
    </r>
    <r>
      <rPr>
        <b val="true"/>
        <sz val="9"/>
        <rFont val="Arial"/>
        <family val="0"/>
        <charset val="1"/>
      </rPr>
      <t xml:space="preserve">)</t>
    </r>
  </si>
  <si>
    <r>
      <rPr>
        <b val="true"/>
        <sz val="9"/>
        <rFont val="Arial"/>
        <family val="0"/>
        <charset val="1"/>
      </rPr>
      <t xml:space="preserve">LEGS </t>
    </r>
    <r>
      <rPr>
        <b val="true"/>
        <sz val="9"/>
        <rFont val="WenQuanYi Zen Hei"/>
        <family val="2"/>
      </rPr>
      <t xml:space="preserve">販売数量</t>
    </r>
  </si>
  <si>
    <r>
      <rPr>
        <b val="true"/>
        <sz val="9"/>
        <rFont val="Arial"/>
        <family val="0"/>
        <charset val="1"/>
      </rPr>
      <t xml:space="preserve">LEGS </t>
    </r>
    <r>
      <rPr>
        <b val="true"/>
        <sz val="9"/>
        <rFont val="WenQuanYi Zen Hei"/>
        <family val="2"/>
      </rPr>
      <t xml:space="preserve">販売金額</t>
    </r>
    <r>
      <rPr>
        <b val="true"/>
        <sz val="9"/>
        <rFont val="Arial"/>
        <family val="0"/>
        <charset val="1"/>
      </rPr>
      <t xml:space="preserve">(</t>
    </r>
    <r>
      <rPr>
        <b val="true"/>
        <sz val="9"/>
        <rFont val="WenQuanYi Zen Hei"/>
        <family val="2"/>
      </rPr>
      <t xml:space="preserve">税込</t>
    </r>
    <r>
      <rPr>
        <b val="true"/>
        <sz val="9"/>
        <rFont val="Arial"/>
        <family val="0"/>
        <charset val="1"/>
      </rPr>
      <t xml:space="preserve">)</t>
    </r>
  </si>
  <si>
    <r>
      <rPr>
        <b val="true"/>
        <sz val="9"/>
        <rFont val="Arial"/>
        <family val="0"/>
        <charset val="1"/>
      </rPr>
      <t xml:space="preserve">LEGS </t>
    </r>
    <r>
      <rPr>
        <b val="true"/>
        <sz val="9"/>
        <rFont val="WenQuanYi Zen Hei"/>
        <family val="2"/>
      </rPr>
      <t xml:space="preserve">数量構成比</t>
    </r>
  </si>
  <si>
    <r>
      <rPr>
        <b val="true"/>
        <sz val="9"/>
        <rFont val="Arial"/>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</si>
  <si>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</si>
  <si>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</si>
  <si>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</si>
  <si>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Arial"/>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</si>
  <si>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Arial"/>
        <family val="0"/>
        <charset val="1"/>
      </rPr>
      <t xml:space="preserve">5</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</si>
  <si>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</si>
  <si>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</si>
  <si>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</si>
  <si>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</si>
  <si>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</si>
  <si>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</si>
  <si>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</si>
  <si>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</si>
  <si>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</si>
  <si>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Arial"/>
        <family val="0"/>
        <charset val="1"/>
      </rPr>
      <t xml:space="preserve">SKU</t>
    </r>
    <r>
      <rPr>
        <b val="true"/>
        <sz val="11"/>
        <color rgb="FFC00000"/>
        <rFont val="WenQuanYi Zen Hei"/>
        <family val="2"/>
      </rPr>
      <t xml:space="preserve">投入状況（前会場までに存在しなかった</t>
    </r>
    <r>
      <rPr>
        <b val="true"/>
        <sz val="11"/>
        <color rgb="FFC00000"/>
        <rFont val="Arial"/>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</si>
  <si>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</si>
  <si>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Arial"/>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</si>
  <si>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Arial"/>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</si>
  <si>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Arial"/>
        <family val="0"/>
        <charset val="1"/>
      </rPr>
      <t xml:space="preserve">(</t>
    </r>
    <r>
      <rPr>
        <b val="true"/>
        <sz val="9"/>
        <color rgb="FFFFFFFF"/>
        <rFont val="WenQuanYi Zen Hei"/>
        <family val="2"/>
      </rPr>
      <t xml:space="preserve">初</t>
    </r>
    <r>
      <rPr>
        <b val="true"/>
        <sz val="9"/>
        <color rgb="FFFFFFFF"/>
        <rFont val="Arial"/>
        <family val="0"/>
        <charset val="1"/>
      </rPr>
      <t xml:space="preserve">5</t>
    </r>
    <r>
      <rPr>
        <b val="true"/>
        <sz val="9"/>
        <color rgb="FFFFFFFF"/>
        <rFont val="WenQuanYi Zen Hei"/>
        <family val="2"/>
      </rPr>
      <t xml:space="preserve">日</t>
    </r>
    <r>
      <rPr>
        <b val="true"/>
        <sz val="9"/>
        <color rgb="FFFFFFFF"/>
        <rFont val="Arial"/>
        <family val="0"/>
        <charset val="1"/>
      </rPr>
      <t xml:space="preserve">)</t>
    </r>
  </si>
  <si>
    <r>
      <rPr>
        <b val="true"/>
        <sz val="9"/>
        <color rgb="FFFFFFFF"/>
        <rFont val="Arial"/>
        <family val="0"/>
        <charset val="1"/>
      </rPr>
      <t xml:space="preserve">LEGS</t>
    </r>
    <r>
      <rPr>
        <b val="true"/>
        <sz val="9"/>
        <color rgb="FFFFFFFF"/>
        <rFont val="WenQuanYi Zen Hei"/>
        <family val="2"/>
      </rPr>
      <t xml:space="preserve">金額構成比</t>
    </r>
    <r>
      <rPr>
        <b val="true"/>
        <sz val="9"/>
        <color rgb="FFFFFFFF"/>
        <rFont val="Arial"/>
        <family val="0"/>
        <charset val="1"/>
      </rPr>
      <t xml:space="preserve">(</t>
    </r>
    <r>
      <rPr>
        <b val="true"/>
        <sz val="9"/>
        <color rgb="FFFFFFFF"/>
        <rFont val="WenQuanYi Zen Hei"/>
        <family val="2"/>
      </rPr>
      <t xml:space="preserve">初</t>
    </r>
    <r>
      <rPr>
        <b val="true"/>
        <sz val="9"/>
        <color rgb="FFFFFFFF"/>
        <rFont val="Arial"/>
        <family val="0"/>
        <charset val="1"/>
      </rPr>
      <t xml:space="preserve">5</t>
    </r>
    <r>
      <rPr>
        <b val="true"/>
        <sz val="9"/>
        <color rgb="FFFFFFFF"/>
        <rFont val="WenQuanYi Zen Hei"/>
        <family val="2"/>
      </rPr>
      <t xml:space="preserve">日</t>
    </r>
    <r>
      <rPr>
        <b val="true"/>
        <sz val="9"/>
        <color rgb="FFFFFFFF"/>
        <rFont val="Arial"/>
        <family val="0"/>
        <charset val="1"/>
      </rPr>
      <t xml:space="preserve">)</t>
    </r>
  </si>
  <si>
    <t xml:space="preserve">備考</t>
  </si>
  <si>
    <t xml:space="preserve">初回会場</t>
  </si>
  <si>
    <r>
      <rPr>
        <sz val="9"/>
        <rFont val="Arial"/>
        <family val="0"/>
        <charset val="1"/>
      </rPr>
      <t xml:space="preserve">MAPPA</t>
    </r>
    <r>
      <rPr>
        <sz val="9"/>
        <rFont val="WenQuanYi Zen Hei"/>
        <family val="2"/>
      </rPr>
      <t xml:space="preserve">記念商品</t>
    </r>
    <r>
      <rPr>
        <sz val="9"/>
        <rFont val="Arial"/>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</si>
  <si>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</si>
  <si>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Arial"/>
        <family val="0"/>
        <charset val="1"/>
      </rPr>
      <t xml:space="preserve">106SKU</t>
    </r>
    <r>
      <rPr>
        <sz val="9"/>
        <rFont val="WenQuanYi Zen Hei"/>
        <family val="2"/>
      </rPr>
      <t xml:space="preserve">投入（東宝一般</t>
    </r>
    <r>
      <rPr>
        <sz val="9"/>
        <rFont val="Arial"/>
        <family val="0"/>
        <charset val="1"/>
      </rPr>
      <t xml:space="preserve">66</t>
    </r>
    <r>
      <rPr>
        <sz val="9"/>
        <rFont val="WenQuanYi Zen Hei"/>
        <family val="2"/>
      </rPr>
      <t xml:space="preserve">・ムービック</t>
    </r>
    <r>
      <rPr>
        <sz val="9"/>
        <rFont val="Arial"/>
        <family val="0"/>
        <charset val="1"/>
      </rPr>
      <t xml:space="preserve">23</t>
    </r>
    <r>
      <rPr>
        <sz val="9"/>
        <rFont val="WenQuanYi Zen Hei"/>
        <family val="2"/>
      </rPr>
      <t xml:space="preserve">・</t>
    </r>
    <r>
      <rPr>
        <sz val="9"/>
        <rFont val="Arial"/>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</si>
  <si>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</si>
  <si>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Arial"/>
        <family val="0"/>
        <charset val="1"/>
      </rPr>
      <t xml:space="preserve">5</t>
    </r>
    <r>
      <rPr>
        <b val="true"/>
        <sz val="15"/>
        <color rgb="FF1F3864"/>
        <rFont val="WenQuanYi Zen Hei"/>
        <family val="2"/>
      </rPr>
      <t xml:space="preserve">会場 </t>
    </r>
    <r>
      <rPr>
        <b val="true"/>
        <sz val="15"/>
        <color rgb="FF1F3864"/>
        <rFont val="Arial"/>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</si>
  <si>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Arial"/>
        <family val="0"/>
        <charset val="1"/>
      </rPr>
      <t xml:space="preserve">(</t>
    </r>
    <r>
      <rPr>
        <sz val="8"/>
        <color rgb="FF555555"/>
        <rFont val="WenQuanYi Zen Hei"/>
        <family val="2"/>
      </rPr>
      <t xml:space="preserve">初回</t>
    </r>
    <r>
      <rPr>
        <sz val="8"/>
        <color rgb="FF555555"/>
        <rFont val="Arial"/>
        <family val="0"/>
        <charset val="1"/>
      </rPr>
      <t xml:space="preserve">)</t>
    </r>
    <r>
      <rPr>
        <sz val="8"/>
        <color rgb="FF555555"/>
        <rFont val="WenQuanYi Zen Hei"/>
        <family val="2"/>
      </rPr>
      <t xml:space="preserve">実績 </t>
    </r>
    <r>
      <rPr>
        <sz val="8"/>
        <color rgb="FF555555"/>
        <rFont val="Arial"/>
        <family val="0"/>
        <charset val="1"/>
      </rPr>
      <t xml:space="preserve">× </t>
    </r>
    <r>
      <rPr>
        <sz val="8"/>
        <color rgb="FF555555"/>
        <rFont val="WenQuanYi Zen Hei"/>
        <family val="2"/>
      </rPr>
      <t xml:space="preserve">東京対比比率　／　</t>
    </r>
    <r>
      <rPr>
        <sz val="8"/>
        <color rgb="FF555555"/>
        <rFont val="Arial"/>
        <family val="0"/>
        <charset val="1"/>
      </rPr>
      <t xml:space="preserve">LEGS</t>
    </r>
    <r>
      <rPr>
        <sz val="8"/>
        <color rgb="FF555555"/>
        <rFont val="WenQuanYi Zen Hei"/>
        <family val="2"/>
      </rPr>
      <t xml:space="preserve">売上＝会場物販売上 </t>
    </r>
    <r>
      <rPr>
        <sz val="8"/>
        <color rgb="FF555555"/>
        <rFont val="Arial"/>
        <family val="0"/>
        <charset val="1"/>
      </rPr>
      <t xml:space="preserve">× LEGS</t>
    </r>
    <r>
      <rPr>
        <sz val="8"/>
        <color rgb="FF555555"/>
        <rFont val="WenQuanYi Zen Hei"/>
        <family val="2"/>
      </rPr>
      <t xml:space="preserve">金額構成比　／　</t>
    </r>
    <r>
      <rPr>
        <sz val="8"/>
        <color rgb="FF555555"/>
        <rFont val="Arial"/>
        <family val="0"/>
        <charset val="1"/>
      </rPr>
      <t xml:space="preserve">LEGS</t>
    </r>
    <r>
      <rPr>
        <sz val="8"/>
        <color rgb="FF555555"/>
        <rFont val="WenQuanYi Zen Hei"/>
        <family val="2"/>
      </rPr>
      <t xml:space="preserve">数量＝</t>
    </r>
    <r>
      <rPr>
        <sz val="8"/>
        <color rgb="FF555555"/>
        <rFont val="Arial"/>
        <family val="0"/>
        <charset val="1"/>
      </rPr>
      <t xml:space="preserve">LEGS</t>
    </r>
    <r>
      <rPr>
        <sz val="8"/>
        <color rgb="FF555555"/>
        <rFont val="WenQuanYi Zen Hei"/>
        <family val="2"/>
      </rPr>
      <t xml:space="preserve">売上 </t>
    </r>
    <r>
      <rPr>
        <sz val="8"/>
        <color rgb="FF555555"/>
        <rFont val="Arial"/>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</si>
  <si>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Arial"/>
        <family val="0"/>
        <charset val="1"/>
      </rPr>
      <t xml:space="preserve">20</t>
    </r>
    <r>
      <rPr>
        <sz val="8"/>
        <color rgb="FF555555"/>
        <rFont val="WenQuanYi Zen Hei"/>
        <family val="2"/>
      </rPr>
      <t xml:space="preserve">日実績の数量構成比 </t>
    </r>
    <r>
      <rPr>
        <sz val="8"/>
        <color rgb="FF555555"/>
        <rFont val="Arial"/>
        <family val="0"/>
        <charset val="1"/>
      </rPr>
      <t xml:space="preserve">× </t>
    </r>
    <r>
      <rPr>
        <sz val="8"/>
        <color rgb="FF555555"/>
        <rFont val="WenQuanYi Zen Hei"/>
        <family val="2"/>
      </rPr>
      <t xml:space="preserve">ウェイト ＋ 札幌</t>
    </r>
    <r>
      <rPr>
        <sz val="8"/>
        <color rgb="FF555555"/>
        <rFont val="Arial"/>
        <family val="0"/>
        <charset val="1"/>
      </rPr>
      <t xml:space="preserve">20</t>
    </r>
    <r>
      <rPr>
        <sz val="8"/>
        <color rgb="FF555555"/>
        <rFont val="WenQuanYi Zen Hei"/>
        <family val="2"/>
      </rPr>
      <t xml:space="preserve">日予測の数量構成比 </t>
    </r>
    <r>
      <rPr>
        <sz val="8"/>
        <color rgb="FF555555"/>
        <rFont val="Arial"/>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</si>
  <si>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Arial"/>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</si>
  <si>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</si>
  <si>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</si>
  <si>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</si>
  <si>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</si>
  <si>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Arial"/>
        <family val="0"/>
        <charset val="1"/>
      </rPr>
      <t xml:space="preserve">LEGS </t>
    </r>
    <r>
      <rPr>
        <b val="true"/>
        <sz val="9"/>
        <color rgb="FFFFFFFF"/>
        <rFont val="WenQuanYi Zen Hei"/>
        <family val="2"/>
      </rPr>
      <t xml:space="preserve">売上</t>
    </r>
  </si>
  <si>
    <r>
      <rPr>
        <b val="true"/>
        <sz val="9"/>
        <color rgb="FFFFFFFF"/>
        <rFont val="Arial"/>
        <family val="0"/>
        <charset val="1"/>
      </rPr>
      <t xml:space="preserve">LEGS </t>
    </r>
    <r>
      <rPr>
        <b val="true"/>
        <sz val="9"/>
        <color rgb="FFFFFFFF"/>
        <rFont val="WenQuanYi Zen Hei"/>
        <family val="2"/>
      </rPr>
      <t xml:space="preserve">数量</t>
    </r>
  </si>
  <si>
    <t xml:space="preserve">構成比根拠</t>
  </si>
  <si>
    <r>
      <rPr>
        <sz val="9"/>
        <rFont val="Arial"/>
        <family val="0"/>
        <charset val="1"/>
      </rPr>
      <t xml:space="preserve">26/8/14(</t>
    </r>
    <r>
      <rPr>
        <sz val="9"/>
        <rFont val="WenQuanYi Zen Hei"/>
        <family val="2"/>
      </rPr>
      <t xml:space="preserve">金</t>
    </r>
    <r>
      <rPr>
        <sz val="9"/>
        <rFont val="Arial"/>
        <family val="0"/>
        <charset val="1"/>
      </rPr>
      <t xml:space="preserve">)-8/31(</t>
    </r>
    <r>
      <rPr>
        <sz val="9"/>
        <rFont val="WenQuanYi Zen Hei"/>
        <family val="2"/>
      </rPr>
      <t xml:space="preserve">月</t>
    </r>
    <r>
      <rPr>
        <sz val="9"/>
        <rFont val="Arial"/>
        <family val="0"/>
        <charset val="1"/>
      </rPr>
      <t xml:space="preserve">)</t>
    </r>
  </si>
  <si>
    <t xml:space="preserve">ユーザー指定</t>
  </si>
  <si>
    <r>
      <rPr>
        <b val="true"/>
        <sz val="9"/>
        <rFont val="WenQuanYi Zen Hei"/>
        <family val="2"/>
      </rPr>
      <t xml:space="preserve">仙台 </t>
    </r>
    <r>
      <rPr>
        <b val="true"/>
        <sz val="9"/>
        <rFont val="Arial"/>
        <family val="0"/>
        <charset val="1"/>
      </rPr>
      <t xml:space="preserve">Ebeans</t>
    </r>
  </si>
  <si>
    <r>
      <rPr>
        <sz val="9"/>
        <rFont val="Arial"/>
        <family val="0"/>
        <charset val="1"/>
      </rPr>
      <t xml:space="preserve">26/9/5(</t>
    </r>
    <r>
      <rPr>
        <sz val="9"/>
        <rFont val="WenQuanYi Zen Hei"/>
        <family val="2"/>
      </rPr>
      <t xml:space="preserve">土</t>
    </r>
    <r>
      <rPr>
        <sz val="9"/>
        <rFont val="Arial"/>
        <family val="0"/>
        <charset val="1"/>
      </rPr>
      <t xml:space="preserve">)-10/4(</t>
    </r>
    <r>
      <rPr>
        <sz val="9"/>
        <rFont val="WenQuanYi Zen Hei"/>
        <family val="2"/>
      </rPr>
      <t xml:space="preserve">日</t>
    </r>
    <r>
      <rPr>
        <sz val="9"/>
        <rFont val="Arial"/>
        <family val="0"/>
        <charset val="1"/>
      </rPr>
      <t xml:space="preserve">)</t>
    </r>
  </si>
  <si>
    <r>
      <rPr>
        <sz val="9"/>
        <rFont val="WenQuanYi Zen Hei"/>
        <family val="2"/>
      </rPr>
      <t xml:space="preserve">ユーザー指定（コナン実績は</t>
    </r>
    <r>
      <rPr>
        <sz val="9"/>
        <rFont val="Arial"/>
        <family val="0"/>
        <charset val="1"/>
      </rPr>
      <t xml:space="preserve">10.5%</t>
    </r>
    <r>
      <rPr>
        <sz val="9"/>
        <rFont val="WenQuanYi Zen Hei"/>
        <family val="2"/>
      </rPr>
      <t xml:space="preserve">）</t>
    </r>
  </si>
  <si>
    <r>
      <rPr>
        <sz val="9"/>
        <rFont val="Arial"/>
        <family val="0"/>
        <charset val="1"/>
      </rPr>
      <t xml:space="preserve">26/12/16(</t>
    </r>
    <r>
      <rPr>
        <sz val="9"/>
        <rFont val="WenQuanYi Zen Hei"/>
        <family val="2"/>
      </rPr>
      <t xml:space="preserve">水</t>
    </r>
    <r>
      <rPr>
        <sz val="9"/>
        <rFont val="Arial"/>
        <family val="0"/>
        <charset val="1"/>
      </rPr>
      <t xml:space="preserve">)-27/1/7(</t>
    </r>
    <r>
      <rPr>
        <sz val="9"/>
        <rFont val="WenQuanYi Zen Hei"/>
        <family val="2"/>
      </rPr>
      <t xml:space="preserve">木</t>
    </r>
    <r>
      <rPr>
        <sz val="9"/>
        <rFont val="Arial"/>
        <family val="0"/>
        <charset val="1"/>
      </rPr>
      <t xml:space="preserve">)</t>
    </r>
  </si>
  <si>
    <t xml:space="preserve">★要確認：指定なきため仮置き</t>
  </si>
  <si>
    <t xml:space="preserve">27/3/15-4/4</t>
  </si>
  <si>
    <r>
      <rPr>
        <sz val="9"/>
        <rFont val="Arial"/>
        <family val="0"/>
        <charset val="1"/>
      </rPr>
      <t xml:space="preserve">27</t>
    </r>
    <r>
      <rPr>
        <sz val="9"/>
        <rFont val="WenQuanYi Zen Hei"/>
        <family val="2"/>
      </rPr>
      <t xml:space="preserve">年</t>
    </r>
    <r>
      <rPr>
        <sz val="9"/>
        <rFont val="Arial"/>
        <family val="0"/>
        <charset val="1"/>
      </rPr>
      <t xml:space="preserve">4-5</t>
    </r>
    <r>
      <rPr>
        <sz val="9"/>
        <rFont val="WenQuanYi Zen Hei"/>
        <family val="2"/>
      </rPr>
      <t xml:space="preserve">月</t>
    </r>
  </si>
  <si>
    <r>
      <rPr>
        <sz val="9"/>
        <rFont val="WenQuanYi Zen Hei"/>
        <family val="2"/>
      </rPr>
      <t xml:space="preserve">ユーザー指定（初回東京の</t>
    </r>
    <r>
      <rPr>
        <sz val="9"/>
        <rFont val="Arial"/>
        <family val="0"/>
        <charset val="1"/>
      </rPr>
      <t xml:space="preserve">50%</t>
    </r>
    <r>
      <rPr>
        <sz val="9"/>
        <rFont val="WenQuanYi Zen Hei"/>
        <family val="2"/>
      </rPr>
      <t xml:space="preserve">）</t>
    </r>
  </si>
  <si>
    <r>
      <rPr>
        <b val="true"/>
        <sz val="9"/>
        <rFont val="WenQuanYi Zen Hei"/>
        <family val="2"/>
      </rPr>
      <t xml:space="preserve">石川以降 </t>
    </r>
    <r>
      <rPr>
        <b val="true"/>
        <sz val="9"/>
        <rFont val="Arial"/>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</si>
  <si>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Arial"/>
        <family val="0"/>
        <charset val="1"/>
      </rPr>
      <t xml:space="preserve">LEGS 42SKU </t>
    </r>
    <r>
      <rPr>
        <b val="true"/>
        <sz val="11"/>
        <color rgb="FFC00000"/>
        <rFont val="WenQuanYi Zen Hei"/>
        <family val="2"/>
      </rPr>
      <t xml:space="preserve">合計）</t>
    </r>
  </si>
  <si>
    <t xml:space="preserve">札幌 販売可能数（納品済）</t>
  </si>
  <si>
    <r>
      <rPr>
        <b val="true"/>
        <sz val="9"/>
        <rFont val="WenQuanYi Zen Hei"/>
        <family val="2"/>
      </rPr>
      <t xml:space="preserve">札幌 会期</t>
    </r>
    <r>
      <rPr>
        <b val="true"/>
        <sz val="9"/>
        <rFont val="Arial"/>
        <family val="0"/>
        <charset val="1"/>
      </rPr>
      <t xml:space="preserve">20</t>
    </r>
    <r>
      <rPr>
        <b val="true"/>
        <sz val="9"/>
        <rFont val="WenQuanYi Zen Hei"/>
        <family val="2"/>
      </rPr>
      <t xml:space="preserve">日 予測販売数</t>
    </r>
  </si>
  <si>
    <t xml:space="preserve">札幌 会期末 残在庫</t>
  </si>
  <si>
    <r>
      <rPr>
        <sz val="8"/>
        <color rgb="FF555555"/>
        <rFont val="WenQuanYi Zen Hei"/>
        <family val="2"/>
      </rPr>
      <t xml:space="preserve">品目別に下限</t>
    </r>
    <r>
      <rPr>
        <sz val="8"/>
        <color rgb="FF555555"/>
        <rFont val="Arial"/>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</si>
  <si>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</si>
  <si>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</si>
  <si>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r>
      <rPr>
        <b val="true"/>
        <sz val="9"/>
        <rFont val="Arial"/>
        <family val="0"/>
        <charset val="1"/>
      </rPr>
      <t xml:space="preserve">SPJ</t>
    </r>
    <r>
      <rPr>
        <b val="true"/>
        <sz val="9"/>
        <rFont val="WenQuanYi Zen Hei"/>
        <family val="2"/>
      </rPr>
      <t xml:space="preserve">倉庫・返品等 流用可能在庫</t>
    </r>
  </si>
  <si>
    <r>
      <rPr>
        <sz val="8"/>
        <color rgb="FF555555"/>
        <rFont val="WenQuanYi Zen Hei"/>
        <family val="2"/>
      </rPr>
      <t xml:space="preserve">★提供データに無いため既定</t>
    </r>
    <r>
      <rPr>
        <sz val="8"/>
        <color rgb="FF555555"/>
        <rFont val="Arial"/>
        <family val="0"/>
        <charset val="1"/>
      </rPr>
      <t xml:space="preserve">0</t>
    </r>
    <r>
      <rPr>
        <sz val="8"/>
        <color rgb="FF555555"/>
        <rFont val="WenQuanYi Zen Hei"/>
        <family val="2"/>
      </rPr>
      <t xml:space="preserve">。判明分を入力すること</t>
    </r>
  </si>
  <si>
    <r>
      <rPr>
        <b val="true"/>
        <sz val="9"/>
        <rFont val="WenQuanYi Zen Hei"/>
        <family val="2"/>
      </rPr>
      <t xml:space="preserve">石川以降 </t>
    </r>
    <r>
      <rPr>
        <b val="true"/>
        <sz val="9"/>
        <rFont val="Arial"/>
        <family val="0"/>
        <charset val="1"/>
      </rPr>
      <t xml:space="preserve">5</t>
    </r>
    <r>
      <rPr>
        <b val="true"/>
        <sz val="9"/>
        <rFont val="WenQuanYi Zen Hei"/>
        <family val="2"/>
      </rPr>
      <t xml:space="preserve">会場 必要数</t>
    </r>
  </si>
  <si>
    <t xml:space="preserve">追加生産 必要数</t>
  </si>
  <si>
    <t xml:space="preserve">＝必要数 − スライド在庫 − 倉庫在庫</t>
  </si>
  <si>
    <t xml:space="preserve">■ 商品別 石川以降 必要数と在庫過不足</t>
  </si>
  <si>
    <r>
      <rPr>
        <b val="true"/>
        <sz val="9"/>
        <color rgb="FFFFFFFF"/>
        <rFont val="WenQuanYi Zen Hei"/>
        <family val="2"/>
      </rPr>
      <t xml:space="preserve">大阪④
</t>
    </r>
    <r>
      <rPr>
        <b val="true"/>
        <sz val="9"/>
        <color rgb="FFFFFFFF"/>
        <rFont val="Arial"/>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</si>
  <si>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</si>
  <si>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Arial"/>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</si>
  <si>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</si>
  <si>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</si>
  <si>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</si>
  <si>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</si>
  <si>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</si>
  <si>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</si>
  <si>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</si>
  <si>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</si>
  <si>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t xml:space="preserve">札幌会期末
残在庫</t>
  </si>
  <si>
    <t xml:space="preserve">倉庫在庫
按分</t>
  </si>
  <si>
    <r>
      <rPr>
        <b val="true"/>
        <sz val="9"/>
        <color rgb="FFFFFFFF"/>
        <rFont val="WenQuanYi Zen Hei"/>
        <family val="2"/>
      </rPr>
      <t xml:space="preserve">過不足
</t>
    </r>
    <r>
      <rPr>
        <b val="true"/>
        <sz val="9"/>
        <color rgb="FFFFFFFF"/>
        <rFont val="Arial"/>
        <family val="0"/>
        <charset val="1"/>
      </rPr>
      <t xml:space="preserve">(</t>
    </r>
    <r>
      <rPr>
        <b val="true"/>
        <sz val="9"/>
        <color rgb="FFFFFFFF"/>
        <rFont val="WenQuanYi Zen Hei"/>
        <family val="2"/>
      </rPr>
      <t xml:space="preserve">必要−在庫</t>
    </r>
    <r>
      <rPr>
        <b val="true"/>
        <sz val="9"/>
        <color rgb="FFFFFFFF"/>
        <rFont val="Arial"/>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</si>
  <si>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</si>
  <si>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Arial"/>
        <family val="0"/>
        <charset val="1"/>
      </rPr>
      <t xml:space="preserve">(</t>
    </r>
    <r>
      <rPr>
        <b val="true"/>
        <sz val="9"/>
        <color rgb="FFFFFFFF"/>
        <rFont val="WenQuanYi Zen Hei"/>
        <family val="2"/>
      </rPr>
      <t xml:space="preserve">安全率込</t>
    </r>
    <r>
      <rPr>
        <b val="true"/>
        <sz val="9"/>
        <color rgb="FFFFFFFF"/>
        <rFont val="Arial"/>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</si>
  <si>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Arial"/>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</si>
  <si>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Arial"/>
        <family val="0"/>
        <charset val="1"/>
      </rPr>
      <t xml:space="preserve">20</t>
    </r>
    <r>
      <rPr>
        <sz val="8"/>
        <color rgb="FF555555"/>
        <rFont val="WenQuanYi Zen Hei"/>
        <family val="2"/>
      </rPr>
      <t xml:space="preserve">日予測 </t>
    </r>
    <r>
      <rPr>
        <sz val="8"/>
        <color rgb="FF555555"/>
        <rFont val="Arial"/>
        <family val="0"/>
        <charset val="1"/>
      </rPr>
      <t xml:space="preserve">vs </t>
    </r>
    <r>
      <rPr>
        <sz val="8"/>
        <color rgb="FF555555"/>
        <rFont val="WenQuanYi Zen Hei"/>
        <family val="2"/>
      </rPr>
      <t xml:space="preserve">札幌への納品済 販売可能数　／　【石川以降】</t>
    </r>
    <r>
      <rPr>
        <sz val="8"/>
        <color rgb="FF555555"/>
        <rFont val="Arial"/>
        <family val="0"/>
        <charset val="1"/>
      </rPr>
      <t xml:space="preserve">5</t>
    </r>
    <r>
      <rPr>
        <sz val="8"/>
        <color rgb="FF555555"/>
        <rFont val="WenQuanYi Zen Hei"/>
        <family val="2"/>
      </rPr>
      <t xml:space="preserve">会場必要数 </t>
    </r>
    <r>
      <rPr>
        <sz val="8"/>
        <color rgb="FF555555"/>
        <rFont val="Arial"/>
        <family val="0"/>
        <charset val="1"/>
      </rPr>
      <t xml:space="preserve">vs </t>
    </r>
    <r>
      <rPr>
        <sz val="8"/>
        <color rgb="FF555555"/>
        <rFont val="WenQuanYi Zen Hei"/>
        <family val="2"/>
      </rPr>
      <t xml:space="preserve">札幌会期末残在庫＋倉庫在庫</t>
    </r>
  </si>
  <si>
    <r>
      <rPr>
        <sz val="8"/>
        <color rgb="FF555555"/>
        <rFont val="WenQuanYi Zen Hei"/>
        <family val="2"/>
      </rPr>
      <t xml:space="preserve">推奨発注数＝不足数</t>
    </r>
    <r>
      <rPr>
        <sz val="8"/>
        <color rgb="FF555555"/>
        <rFont val="Arial"/>
        <family val="0"/>
        <charset val="1"/>
      </rPr>
      <t xml:space="preserve">×(1+</t>
    </r>
    <r>
      <rPr>
        <sz val="8"/>
        <color rgb="FF555555"/>
        <rFont val="WenQuanYi Zen Hei"/>
        <family val="2"/>
      </rPr>
      <t xml:space="preserve">安全率</t>
    </r>
    <r>
      <rPr>
        <sz val="8"/>
        <color rgb="FF555555"/>
        <rFont val="Arial"/>
        <family val="0"/>
        <charset val="1"/>
      </rPr>
      <t xml:space="preserve">10%)</t>
    </r>
    <r>
      <rPr>
        <sz val="8"/>
        <color rgb="FF555555"/>
        <rFont val="WenQuanYi Zen Hei"/>
        <family val="2"/>
      </rPr>
      <t xml:space="preserve">を切り上げ。安全率は「前提・入力」シートで変更可</t>
    </r>
  </si>
  <si>
    <t xml:space="preserve">税込単価</t>
  </si>
  <si>
    <r>
      <rPr>
        <b val="true"/>
        <sz val="9"/>
        <color rgb="FFFFFFFF"/>
        <rFont val="WenQuanYi Zen Hei"/>
        <family val="2"/>
      </rPr>
      <t xml:space="preserve">札幌
初</t>
    </r>
    <r>
      <rPr>
        <b val="true"/>
        <sz val="9"/>
        <color rgb="FFFFFFFF"/>
        <rFont val="Arial"/>
        <family val="0"/>
        <charset val="1"/>
      </rPr>
      <t xml:space="preserve">5</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</si>
  <si>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Arial"/>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</si>
  <si>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</si>
  <si>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</si>
  <si>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</si>
  <si>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</si>
  <si>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</si>
  <si>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スライド
可能在庫</t>
  </si>
  <si>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</si>
  <si>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</si>
  <si>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</si>
  <si>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Arial"/>
        <family val="0"/>
        <charset val="1"/>
      </rPr>
      <t xml:space="preserve">(</t>
    </r>
    <r>
      <rPr>
        <b val="true"/>
        <sz val="9"/>
        <color rgb="FFFFFFFF"/>
        <rFont val="WenQuanYi Zen Hei"/>
        <family val="2"/>
      </rPr>
      <t xml:space="preserve">札幌</t>
    </r>
    <r>
      <rPr>
        <b val="true"/>
        <sz val="9"/>
        <color rgb="FFFFFFFF"/>
        <rFont val="Arial"/>
        <family val="0"/>
        <charset val="1"/>
      </rPr>
      <t xml:space="preserve">+</t>
    </r>
    <r>
      <rPr>
        <b val="true"/>
        <sz val="9"/>
        <color rgb="FFFFFFFF"/>
        <rFont val="WenQuanYi Zen Hei"/>
        <family val="2"/>
      </rPr>
      <t xml:space="preserve">石川以降</t>
    </r>
    <r>
      <rPr>
        <b val="true"/>
        <sz val="9"/>
        <color rgb="FFFFFFFF"/>
        <rFont val="Arial"/>
        <family val="0"/>
        <charset val="1"/>
      </rPr>
      <t xml:space="preserve">)</t>
    </r>
  </si>
  <si>
    <r>
      <rPr>
        <b val="true"/>
        <sz val="9"/>
        <color rgb="FFFFFFFF"/>
        <rFont val="WenQuanYi Zen Hei"/>
        <family val="2"/>
      </rPr>
      <t xml:space="preserve">発注金額
</t>
    </r>
    <r>
      <rPr>
        <b val="true"/>
        <sz val="9"/>
        <color rgb="FFFFFFFF"/>
        <rFont val="Arial"/>
        <family val="0"/>
        <charset val="1"/>
      </rPr>
      <t xml:space="preserve">(</t>
    </r>
    <r>
      <rPr>
        <b val="true"/>
        <sz val="9"/>
        <color rgb="FFFFFFFF"/>
        <rFont val="WenQuanYi Zen Hei"/>
        <family val="2"/>
      </rPr>
      <t xml:space="preserve">税込小売換算</t>
    </r>
    <r>
      <rPr>
        <b val="true"/>
        <sz val="9"/>
        <color rgb="FFFFFFFF"/>
        <rFont val="Arial"/>
        <family val="0"/>
        <charset val="1"/>
      </rPr>
      <t xml:space="preserve">)</t>
    </r>
  </si>
  <si>
    <t xml:space="preserve">優先度</t>
  </si>
  <si>
    <t xml:space="preserve">博多会場で完売（実績が在庫上限で頭打ち＝予測は控えめ）</t>
  </si>
  <si>
    <t xml:space="preserve">名古屋会場で完売（実績が在庫上限で頭打ち＝予測は控えめ） ／ 博多会場で完売（実績が在庫上限で頭打ち＝予測は控えめ）</t>
  </si>
  <si>
    <t xml:space="preserve">札幌会期中に欠品見込。至急スライド納品または追加発注 ／ 名古屋会場で完売（実績が在庫上限で頭打ち＝予測は控えめ） ／ 博多会場で完売（実績が在庫上限で頭打ち＝予測は控えめ）</t>
  </si>
  <si>
    <t xml:space="preserve">札幌会期中に欠品見込。至急スライド納品または追加発注 ／ 名古屋会場で完売（実績が在庫上限で頭打ち＝予測は控えめ）</t>
  </si>
  <si>
    <t xml:space="preserve">札幌会期中に欠品見込。至急スライド納品または追加発注 ／ 名古屋会場で完売（実績が在庫上限で頭打ち＝予測は控えめ） ／ 博多会場で完売（実績が在庫上限で頭打ち＝予測は控えめ） ／ 大阪会場で完売（実績が在庫上限で頭打ち＝予測は控えめ）</t>
  </si>
  <si>
    <t xml:space="preserve">名古屋会場で完売（実績が在庫上限で頭打ち＝予測は控えめ） ／ 博多会場で完売（実績が在庫上限で頭打ち＝予測は控えめ） ／ 大阪会場で完売（実績が在庫上限で頭打ち＝予測は控えめ）</t>
  </si>
  <si>
    <r>
      <rPr>
        <sz val="9"/>
        <rFont val="WenQuanYi Zen Hei"/>
        <family val="2"/>
      </rPr>
      <t xml:space="preserve">札幌納品数が極小</t>
    </r>
    <r>
      <rPr>
        <sz val="9"/>
        <rFont val="Arial"/>
        <family val="0"/>
        <charset val="1"/>
      </rPr>
      <t xml:space="preserve">(10</t>
    </r>
    <r>
      <rPr>
        <sz val="9"/>
        <rFont val="WenQuanYi Zen Hei"/>
        <family val="2"/>
      </rPr>
      <t xml:space="preserve">個</t>
    </r>
    <r>
      <rPr>
        <sz val="9"/>
        <rFont val="Arial"/>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</si>
  <si>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Arial"/>
        <family val="0"/>
        <charset val="1"/>
      </rPr>
      <t xml:space="preserve">5</t>
    </r>
    <r>
      <rPr>
        <sz val="9"/>
        <rFont val="WenQuanYi Zen Hei"/>
        <family val="2"/>
      </rPr>
      <t xml:space="preserve">日の販売実績ゼロ（予測は大阪・博多構成比で按分）</t>
    </r>
  </si>
  <si>
    <r>
      <rPr>
        <sz val="9"/>
        <rFont val="WenQuanYi Zen Hei"/>
        <family val="2"/>
      </rPr>
      <t xml:space="preserve">札幌納品数が極小</t>
    </r>
    <r>
      <rPr>
        <sz val="9"/>
        <rFont val="Arial"/>
        <family val="0"/>
        <charset val="1"/>
      </rPr>
      <t xml:space="preserve">(2</t>
    </r>
    <r>
      <rPr>
        <sz val="9"/>
        <rFont val="WenQuanYi Zen Hei"/>
        <family val="2"/>
      </rPr>
      <t xml:space="preserve">個</t>
    </r>
    <r>
      <rPr>
        <sz val="9"/>
        <rFont val="Arial"/>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</si>
  <si>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Arial"/>
        <family val="0"/>
        <charset val="1"/>
      </rPr>
      <t xml:space="preserve">(2</t>
    </r>
    <r>
      <rPr>
        <sz val="9"/>
        <rFont val="WenQuanYi Zen Hei"/>
        <family val="2"/>
      </rPr>
      <t xml:space="preserve">個</t>
    </r>
    <r>
      <rPr>
        <sz val="9"/>
        <rFont val="Arial"/>
        <family val="0"/>
        <charset val="1"/>
      </rPr>
      <t xml:space="preserve">) </t>
    </r>
    <r>
      <rPr>
        <sz val="9"/>
        <rFont val="WenQuanYi Zen Hei"/>
        <family val="2"/>
      </rPr>
      <t xml:space="preserve">／ 札幌初</t>
    </r>
    <r>
      <rPr>
        <sz val="9"/>
        <rFont val="Arial"/>
        <family val="0"/>
        <charset val="1"/>
      </rPr>
      <t xml:space="preserve">5</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</si>
  <si>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Arial"/>
        <family val="0"/>
        <charset val="1"/>
      </rPr>
      <t xml:space="preserve">(8</t>
    </r>
    <r>
      <rPr>
        <sz val="9"/>
        <rFont val="WenQuanYi Zen Hei"/>
        <family val="2"/>
      </rPr>
      <t xml:space="preserve">個</t>
    </r>
    <r>
      <rPr>
        <sz val="9"/>
        <rFont val="Arial"/>
        <family val="0"/>
        <charset val="1"/>
      </rPr>
      <t xml:space="preserve">) </t>
    </r>
    <r>
      <rPr>
        <sz val="9"/>
        <rFont val="WenQuanYi Zen Hei"/>
        <family val="2"/>
      </rPr>
      <t xml:space="preserve">／ 札幌初</t>
    </r>
    <r>
      <rPr>
        <sz val="9"/>
        <rFont val="Arial"/>
        <family val="0"/>
        <charset val="1"/>
      </rPr>
      <t xml:space="preserve">5</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</si>
  <si>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Arial"/>
        <family val="0"/>
        <charset val="1"/>
      </rPr>
      <t xml:space="preserve">(4</t>
    </r>
    <r>
      <rPr>
        <sz val="9"/>
        <rFont val="WenQuanYi Zen Hei"/>
        <family val="2"/>
      </rPr>
      <t xml:space="preserve">個</t>
    </r>
    <r>
      <rPr>
        <sz val="9"/>
        <rFont val="Arial"/>
        <family val="0"/>
        <charset val="1"/>
      </rPr>
      <t xml:space="preserve">) </t>
    </r>
    <r>
      <rPr>
        <sz val="9"/>
        <rFont val="WenQuanYi Zen Hei"/>
        <family val="2"/>
      </rPr>
      <t xml:space="preserve">／ 札幌初</t>
    </r>
    <r>
      <rPr>
        <sz val="9"/>
        <rFont val="Arial"/>
        <family val="0"/>
        <charset val="1"/>
      </rPr>
      <t xml:space="preserve">5</t>
    </r>
    <r>
      <rPr>
        <sz val="9"/>
        <rFont val="WenQuanYi Zen Hei"/>
        <family val="2"/>
      </rPr>
      <t xml:space="preserve">日の販売実績ゼロ（予測は大阪・博多構成比で按分）</t>
    </r>
  </si>
  <si>
    <r>
      <rPr>
        <sz val="9"/>
        <rFont val="WenQuanYi Zen Hei"/>
        <family val="2"/>
      </rPr>
      <t xml:space="preserve">札幌納品数が極小</t>
    </r>
    <r>
      <rPr>
        <sz val="9"/>
        <rFont val="Arial"/>
        <family val="0"/>
        <charset val="1"/>
      </rPr>
      <t xml:space="preserve">(6</t>
    </r>
    <r>
      <rPr>
        <sz val="9"/>
        <rFont val="WenQuanYi Zen Hei"/>
        <family val="2"/>
      </rPr>
      <t xml:space="preserve">個</t>
    </r>
    <r>
      <rPr>
        <sz val="9"/>
        <rFont val="Arial"/>
        <family val="0"/>
        <charset val="1"/>
      </rPr>
      <t xml:space="preserve">)</t>
    </r>
  </si>
  <si>
    <r>
      <rPr>
        <b val="true"/>
        <sz val="15"/>
        <color rgb="FF1F3864"/>
        <rFont val="WenQuanYi Zen Hei"/>
        <family val="2"/>
      </rPr>
      <t xml:space="preserve">⑤ 商品別 全データ統合リスト（</t>
    </r>
    <r>
      <rPr>
        <b val="true"/>
        <sz val="15"/>
        <color rgb="FF1F3864"/>
        <rFont val="Arial"/>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</si>
  <si>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Arial"/>
        <family val="0"/>
        <charset val="1"/>
      </rPr>
      <t xml:space="preserve">LEGS 42SKU</t>
    </r>
    <r>
      <rPr>
        <sz val="8"/>
        <color rgb="FF555555"/>
        <rFont val="WenQuanYi Zen Hei"/>
        <family val="2"/>
      </rPr>
      <t xml:space="preserve">内シェア（数量・金額）。消化率＝販売数</t>
    </r>
    <r>
      <rPr>
        <sz val="8"/>
        <color rgb="FF555555"/>
        <rFont val="Arial"/>
        <family val="0"/>
        <charset val="1"/>
      </rPr>
      <t xml:space="preserve">÷</t>
    </r>
    <r>
      <rPr>
        <sz val="8"/>
        <color rgb="FF555555"/>
        <rFont val="WenQuanYi Zen Hei"/>
        <family val="2"/>
      </rPr>
      <t xml:space="preserve">販売可能数。札幌のみ</t>
    </r>
    <r>
      <rPr>
        <sz val="8"/>
        <color rgb="FF555555"/>
        <rFont val="Arial"/>
        <family val="0"/>
        <charset val="1"/>
      </rPr>
      <t xml:space="preserve">7/26(5</t>
    </r>
    <r>
      <rPr>
        <sz val="8"/>
        <color rgb="FF555555"/>
        <rFont val="WenQuanYi Zen Hei"/>
        <family val="2"/>
      </rPr>
      <t xml:space="preserve">日目</t>
    </r>
    <r>
      <rPr>
        <sz val="8"/>
        <color rgb="FF555555"/>
        <rFont val="Arial"/>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</si>
  <si>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Arial"/>
        <family val="0"/>
        <charset val="1"/>
      </rPr>
      <t xml:space="preserve">8</t>
    </r>
    <r>
      <rPr>
        <sz val="8"/>
        <color rgb="FF555555"/>
        <rFont val="WenQuanYi Zen Hei"/>
        <family val="2"/>
      </rPr>
      <t xml:space="preserve">種は東京</t>
    </r>
    <r>
      <rPr>
        <sz val="8"/>
        <color rgb="FF555555"/>
        <rFont val="Arial"/>
        <family val="0"/>
        <charset val="1"/>
      </rPr>
      <t xml:space="preserve">¥22,000→</t>
    </r>
    <r>
      <rPr>
        <sz val="8"/>
        <color rgb="FF555555"/>
        <rFont val="WenQuanYi Zen Hei"/>
        <family val="2"/>
      </rPr>
      <t xml:space="preserve">名古屋以降</t>
    </r>
    <r>
      <rPr>
        <sz val="8"/>
        <color rgb="FF555555"/>
        <rFont val="Arial"/>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</si>
  <si>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</si>
  <si>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Arial"/>
        <family val="0"/>
        <charset val="1"/>
      </rPr>
      <t xml:space="preserve">25/12/5(</t>
    </r>
    <r>
      <rPr>
        <b val="true"/>
        <sz val="11"/>
        <color rgb="FFFFFFFF"/>
        <rFont val="WenQuanYi Zen Hei"/>
        <family val="2"/>
      </rPr>
      <t xml:space="preserve">金</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</si>
  <si>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Arial"/>
        <family val="0"/>
        <charset val="1"/>
      </rPr>
      <t xml:space="preserve">26/3/18(</t>
    </r>
    <r>
      <rPr>
        <b val="true"/>
        <sz val="11"/>
        <color rgb="FFFFFFFF"/>
        <rFont val="WenQuanYi Zen Hei"/>
        <family val="2"/>
      </rPr>
      <t xml:space="preserve">水</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</si>
  <si>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Arial"/>
        <family val="0"/>
        <charset val="1"/>
      </rPr>
      <t xml:space="preserve">26/4/23(</t>
    </r>
    <r>
      <rPr>
        <b val="true"/>
        <sz val="11"/>
        <color rgb="FFFFFFFF"/>
        <rFont val="WenQuanYi Zen Hei"/>
        <family val="2"/>
      </rPr>
      <t xml:space="preserve">木</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</si>
  <si>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Arial"/>
        <family val="0"/>
        <charset val="1"/>
      </rPr>
      <t xml:space="preserve">26/6/10(</t>
    </r>
    <r>
      <rPr>
        <b val="true"/>
        <sz val="11"/>
        <color rgb="FFFFFFFF"/>
        <rFont val="WenQuanYi Zen Hei"/>
        <family val="2"/>
      </rPr>
      <t xml:space="preserve">水</t>
    </r>
    <r>
      <rPr>
        <b val="true"/>
        <sz val="11"/>
        <color rgb="FFFFFFFF"/>
        <rFont val="Arial"/>
        <family val="0"/>
        <charset val="1"/>
      </rPr>
      <t xml:space="preserve">)</t>
    </r>
    <r>
      <rPr>
        <b val="true"/>
        <sz val="11"/>
        <color rgb="FFFFFFFF"/>
        <rFont val="WenQuanYi Zen Hei"/>
        <family val="2"/>
      </rPr>
      <t xml:space="preserve">・</t>
    </r>
    <r>
      <rPr>
        <b val="true"/>
        <sz val="11"/>
        <color rgb="FFFFFFFF"/>
        <rFont val="Arial"/>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</si>
  <si>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Arial"/>
        <family val="0"/>
        <charset val="1"/>
      </rPr>
      <t xml:space="preserve">7/22-7/26 </t>
    </r>
    <r>
      <rPr>
        <b val="true"/>
        <sz val="11"/>
        <color rgb="FFFFFFFF"/>
        <rFont val="WenQuanYi Zen Hei"/>
        <family val="2"/>
      </rPr>
      <t xml:space="preserve">実績</t>
    </r>
    <r>
      <rPr>
        <b val="true"/>
        <sz val="11"/>
        <color rgb="FFFFFFFF"/>
        <rFont val="Arial"/>
        <family val="0"/>
        <charset val="1"/>
      </rPr>
      <t xml:space="preserve">5</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</si>
  <si>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Arial"/>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</si>
  <si>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Arial"/>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</si>
  <si>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</si>
  <si>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</si>
  <si>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</si>
  <si>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</si>
  <si>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</si>
  <si>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</si>
  <si>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</si>
  <si>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</si>
  <si>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</si>
  <si>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</si>
  <si>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</si>
  <si>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スライド
在庫</t>
  </si>
  <si>
    <t xml:space="preserve">過不足</t>
  </si>
  <si>
    <t xml:space="preserve">発注合計</t>
  </si>
  <si>
    <r>
      <rPr>
        <b val="true"/>
        <sz val="15"/>
        <color rgb="FF1F3864"/>
        <rFont val="WenQuanYi Zen Hei"/>
        <family val="2"/>
      </rPr>
      <t xml:space="preserve">⑥ 商品別 会場推移（</t>
    </r>
    <r>
      <rPr>
        <b val="true"/>
        <sz val="15"/>
        <color rgb="FF1F3864"/>
        <rFont val="Arial"/>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</si>
  <si>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Arial"/>
        <family val="0"/>
        <charset val="1"/>
      </rPr>
      <t xml:space="preserve">5</t>
    </r>
    <r>
      <rPr>
        <sz val="8"/>
        <color rgb="FF555555"/>
        <rFont val="WenQuanYi Zen Hei"/>
        <family val="2"/>
      </rPr>
      <t xml:space="preserve">日実績と</t>
    </r>
    <r>
      <rPr>
        <sz val="8"/>
        <color rgb="FF555555"/>
        <rFont val="Arial"/>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</si>
  <si>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</si>
  <si>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</si>
  <si>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</si>
  <si>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</si>
  <si>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</si>
  <si>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</si>
  <si>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</si>
  <si>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</si>
  <si>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Arial"/>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</si>
  <si>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</si>
  <si>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</si>
  <si>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</si>
  <si>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Arial"/>
        <family val="0"/>
        <charset val="1"/>
      </rPr>
      <t xml:space="preserve">(</t>
    </r>
    <r>
      <rPr>
        <b val="true"/>
        <sz val="15"/>
        <color rgb="FF1F3864"/>
        <rFont val="WenQuanYi Zen Hei"/>
        <family val="2"/>
      </rPr>
      <t xml:space="preserve">大阪</t>
    </r>
    <r>
      <rPr>
        <b val="true"/>
        <sz val="15"/>
        <color rgb="FF1F3864"/>
        <rFont val="Arial"/>
        <family val="0"/>
        <charset val="1"/>
      </rPr>
      <t xml:space="preserve">)</t>
    </r>
    <r>
      <rPr>
        <b val="true"/>
        <sz val="15"/>
        <color rgb="FF1F3864"/>
        <rFont val="WenQuanYi Zen Hei"/>
        <family val="2"/>
      </rPr>
      <t xml:space="preserve">会場以降の追加商品による </t>
    </r>
    <r>
      <rPr>
        <b val="true"/>
        <sz val="15"/>
        <color rgb="FF1F3864"/>
        <rFont val="Arial"/>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</si>
  <si>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Arial"/>
        <family val="0"/>
        <charset val="1"/>
      </rPr>
      <t xml:space="preserve">1</t>
    </r>
    <r>
      <rPr>
        <sz val="8"/>
        <color rgb="FF555555"/>
        <rFont val="WenQuanYi Zen Hei"/>
        <family val="2"/>
      </rPr>
      <t xml:space="preserve">人あたり売上（円</t>
    </r>
    <r>
      <rPr>
        <sz val="8"/>
        <color rgb="FF555555"/>
        <rFont val="Arial"/>
        <family val="0"/>
        <charset val="1"/>
      </rPr>
      <t xml:space="preserve">/</t>
    </r>
    <r>
      <rPr>
        <sz val="8"/>
        <color rgb="FF555555"/>
        <rFont val="WenQuanYi Zen Hei"/>
        <family val="2"/>
      </rPr>
      <t xml:space="preserve">人）」に正規化して比較する</t>
    </r>
  </si>
  <si>
    <r>
      <rPr>
        <b val="true"/>
        <sz val="11"/>
        <color rgb="FFC00000"/>
        <rFont val="WenQuanYi Zen Hei"/>
        <family val="2"/>
      </rPr>
      <t xml:space="preserve">■ 結論：市場は縮んでいない。</t>
    </r>
    <r>
      <rPr>
        <b val="true"/>
        <sz val="11"/>
        <color rgb="FFC00000"/>
        <rFont val="Arial"/>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</si>
  <si>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Arial"/>
        <family val="0"/>
        <charset val="1"/>
      </rPr>
      <t xml:space="preserve">7,012</t>
    </r>
    <r>
      <rPr>
        <sz val="9"/>
        <rFont val="WenQuanYi Zen Hei"/>
        <family val="2"/>
      </rPr>
      <t xml:space="preserve">円</t>
    </r>
    <r>
      <rPr>
        <sz val="9"/>
        <rFont val="Arial"/>
        <family val="0"/>
        <charset val="1"/>
      </rPr>
      <t xml:space="preserve">/</t>
    </r>
    <r>
      <rPr>
        <sz val="9"/>
        <rFont val="WenQuanYi Zen Hei"/>
        <family val="2"/>
      </rPr>
      <t xml:space="preserve">人 → 大阪</t>
    </r>
    <r>
      <rPr>
        <sz val="9"/>
        <rFont val="Arial"/>
        <family val="0"/>
        <charset val="1"/>
      </rPr>
      <t xml:space="preserve">6,882</t>
    </r>
    <r>
      <rPr>
        <sz val="9"/>
        <rFont val="WenQuanYi Zen Hei"/>
        <family val="2"/>
      </rPr>
      <t xml:space="preserve">円</t>
    </r>
    <r>
      <rPr>
        <sz val="9"/>
        <rFont val="Arial"/>
        <family val="0"/>
        <charset val="1"/>
      </rPr>
      <t xml:space="preserve">/</t>
    </r>
    <r>
      <rPr>
        <sz val="9"/>
        <rFont val="WenQuanYi Zen Hei"/>
        <family val="2"/>
      </rPr>
      <t xml:space="preserve">人 と ▲</t>
    </r>
    <r>
      <rPr>
        <sz val="9"/>
        <rFont val="Arial"/>
        <family val="0"/>
        <charset val="1"/>
      </rPr>
      <t xml:space="preserve">1.8% </t>
    </r>
    <r>
      <rPr>
        <sz val="9"/>
        <rFont val="WenQuanYi Zen Hei"/>
        <family val="2"/>
      </rPr>
      <t xml:space="preserve">でほぼ横ばい。</t>
    </r>
  </si>
  <si>
    <r>
      <rPr>
        <sz val="9"/>
        <rFont val="WenQuanYi Zen Hei"/>
        <family val="2"/>
      </rPr>
      <t xml:space="preserve">・同期間に</t>
    </r>
    <r>
      <rPr>
        <sz val="9"/>
        <rFont val="Arial"/>
        <family val="0"/>
        <charset val="1"/>
      </rPr>
      <t xml:space="preserve">LEGS</t>
    </r>
    <r>
      <rPr>
        <sz val="9"/>
        <rFont val="WenQuanYi Zen Hei"/>
        <family val="2"/>
      </rPr>
      <t xml:space="preserve">は</t>
    </r>
    <r>
      <rPr>
        <sz val="9"/>
        <rFont val="Arial"/>
        <family val="0"/>
        <charset val="1"/>
      </rPr>
      <t xml:space="preserve">2,099</t>
    </r>
    <r>
      <rPr>
        <sz val="9"/>
        <rFont val="WenQuanYi Zen Hei"/>
        <family val="2"/>
      </rPr>
      <t xml:space="preserve">円</t>
    </r>
    <r>
      <rPr>
        <sz val="9"/>
        <rFont val="Arial"/>
        <family val="0"/>
        <charset val="1"/>
      </rPr>
      <t xml:space="preserve">/</t>
    </r>
    <r>
      <rPr>
        <sz val="9"/>
        <rFont val="WenQuanYi Zen Hei"/>
        <family val="2"/>
      </rPr>
      <t xml:space="preserve">人 → </t>
    </r>
    <r>
      <rPr>
        <sz val="9"/>
        <rFont val="Arial"/>
        <family val="0"/>
        <charset val="1"/>
      </rPr>
      <t xml:space="preserve">1,455</t>
    </r>
    <r>
      <rPr>
        <sz val="9"/>
        <rFont val="WenQuanYi Zen Hei"/>
        <family val="2"/>
      </rPr>
      <t xml:space="preserve">円</t>
    </r>
    <r>
      <rPr>
        <sz val="9"/>
        <rFont val="Arial"/>
        <family val="0"/>
        <charset val="1"/>
      </rPr>
      <t xml:space="preserve">/</t>
    </r>
    <r>
      <rPr>
        <sz val="9"/>
        <rFont val="WenQuanYi Zen Hei"/>
        <family val="2"/>
      </rPr>
      <t xml:space="preserve">人 と ▲</t>
    </r>
    <r>
      <rPr>
        <sz val="9"/>
        <rFont val="Arial"/>
        <family val="0"/>
        <charset val="1"/>
      </rPr>
      <t xml:space="preserve">30.7%</t>
    </r>
    <r>
      <rPr>
        <sz val="9"/>
        <rFont val="WenQuanYi Zen Hei"/>
        <family val="2"/>
      </rPr>
      <t xml:space="preserve">（▲</t>
    </r>
    <r>
      <rPr>
        <sz val="9"/>
        <rFont val="Arial"/>
        <family val="0"/>
        <charset val="1"/>
      </rPr>
      <t xml:space="preserve">643</t>
    </r>
    <r>
      <rPr>
        <sz val="9"/>
        <rFont val="WenQuanYi Zen Hei"/>
        <family val="2"/>
      </rPr>
      <t xml:space="preserve">円</t>
    </r>
    <r>
      <rPr>
        <sz val="9"/>
        <rFont val="Arial"/>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</si>
  <si>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Arial"/>
        <family val="0"/>
        <charset val="1"/>
      </rPr>
      <t xml:space="preserve">106SKU</t>
    </r>
    <r>
      <rPr>
        <sz val="9"/>
        <rFont val="WenQuanYi Zen Hei"/>
        <family val="2"/>
      </rPr>
      <t xml:space="preserve">は</t>
    </r>
    <r>
      <rPr>
        <sz val="9"/>
        <rFont val="Arial"/>
        <family val="0"/>
        <charset val="1"/>
      </rPr>
      <t xml:space="preserve">1,360</t>
    </r>
    <r>
      <rPr>
        <sz val="9"/>
        <rFont val="WenQuanYi Zen Hei"/>
        <family val="2"/>
      </rPr>
      <t xml:space="preserve">円</t>
    </r>
    <r>
      <rPr>
        <sz val="9"/>
        <rFont val="Arial"/>
        <family val="0"/>
        <charset val="1"/>
      </rPr>
      <t xml:space="preserve">/</t>
    </r>
    <r>
      <rPr>
        <sz val="9"/>
        <rFont val="WenQuanYi Zen Hei"/>
        <family val="2"/>
      </rPr>
      <t xml:space="preserve">人を稼いでおり、</t>
    </r>
    <r>
      <rPr>
        <sz val="9"/>
        <rFont val="Arial"/>
        <family val="0"/>
        <charset val="1"/>
      </rPr>
      <t xml:space="preserve">LEGS</t>
    </r>
    <r>
      <rPr>
        <sz val="9"/>
        <rFont val="WenQuanYi Zen Hei"/>
        <family val="2"/>
      </rPr>
      <t xml:space="preserve">の減少分</t>
    </r>
    <r>
      <rPr>
        <sz val="9"/>
        <rFont val="Arial"/>
        <family val="0"/>
        <charset val="1"/>
      </rPr>
      <t xml:space="preserve">643</t>
    </r>
    <r>
      <rPr>
        <sz val="9"/>
        <rFont val="WenQuanYi Zen Hei"/>
        <family val="2"/>
      </rPr>
      <t xml:space="preserve">円</t>
    </r>
    <r>
      <rPr>
        <sz val="9"/>
        <rFont val="Arial"/>
        <family val="0"/>
        <charset val="1"/>
      </rPr>
      <t xml:space="preserve">/</t>
    </r>
    <r>
      <rPr>
        <sz val="9"/>
        <rFont val="WenQuanYi Zen Hei"/>
        <family val="2"/>
      </rPr>
      <t xml:space="preserve">人はその約</t>
    </r>
    <r>
      <rPr>
        <sz val="9"/>
        <rFont val="Arial"/>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</si>
  <si>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Arial"/>
        <family val="0"/>
        <charset val="1"/>
      </rPr>
      <t xml:space="preserve">LEGS</t>
    </r>
    <r>
      <rPr>
        <sz val="9"/>
        <rFont val="WenQuanYi Zen Hei"/>
        <family val="2"/>
      </rPr>
      <t xml:space="preserve">と</t>
    </r>
    <r>
      <rPr>
        <sz val="9"/>
        <rFont val="Arial"/>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</si>
  <si>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Arial"/>
        <family val="0"/>
        <charset val="1"/>
      </rPr>
      <t xml:space="preserve">1</t>
    </r>
    <r>
      <rPr>
        <b val="true"/>
        <sz val="11"/>
        <color rgb="FFC00000"/>
        <rFont val="WenQuanYi Zen Hei"/>
        <family val="2"/>
      </rPr>
      <t xml:space="preserve">人あたり売上（円</t>
    </r>
    <r>
      <rPr>
        <b val="true"/>
        <sz val="11"/>
        <color rgb="FFC00000"/>
        <rFont val="Arial"/>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</si>
  <si>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</si>
  <si>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</si>
  <si>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</si>
  <si>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</si>
  <si>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</si>
  <si>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</si>
  <si>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Arial"/>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</si>
  <si>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</si>
  <si>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</si>
  <si>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</si>
  <si>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</si>
  <si>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Arial"/>
        <family val="0"/>
        <charset val="1"/>
      </rPr>
      <t xml:space="preserve">1</t>
    </r>
    <r>
      <rPr>
        <b val="true"/>
        <sz val="11"/>
        <color rgb="FFC00000"/>
        <rFont val="WenQuanYi Zen Hei"/>
        <family val="2"/>
      </rPr>
      <t xml:space="preserve">人あたり売上（</t>
    </r>
    <r>
      <rPr>
        <b val="true"/>
        <sz val="11"/>
        <color rgb="FFC00000"/>
        <rFont val="Arial"/>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</si>
  <si>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Arial"/>
        <family val="0"/>
        <charset val="1"/>
      </rPr>
      <t xml:space="preserve">(</t>
    </r>
    <r>
      <rPr>
        <b val="true"/>
        <sz val="9"/>
        <color rgb="FFFFFFFF"/>
        <rFont val="WenQuanYi Zen Hei"/>
        <family val="2"/>
      </rPr>
      <t xml:space="preserve">円</t>
    </r>
    <r>
      <rPr>
        <b val="true"/>
        <sz val="9"/>
        <color rgb="FFFFFFFF"/>
        <rFont val="Arial"/>
        <family val="0"/>
        <charset val="1"/>
      </rPr>
      <t xml:space="preserve">/</t>
    </r>
    <r>
      <rPr>
        <b val="true"/>
        <sz val="9"/>
        <color rgb="FFFFFFFF"/>
        <rFont val="WenQuanYi Zen Hei"/>
        <family val="2"/>
      </rPr>
      <t xml:space="preserve">人</t>
    </r>
    <r>
      <rPr>
        <b val="true"/>
        <sz val="9"/>
        <color rgb="FFFFFFFF"/>
        <rFont val="Arial"/>
        <family val="0"/>
        <charset val="1"/>
      </rPr>
      <t xml:space="preserve">)</t>
    </r>
  </si>
  <si>
    <r>
      <rPr>
        <b val="true"/>
        <sz val="9"/>
        <color rgb="FFFFFFFF"/>
        <rFont val="Arial"/>
        <family val="0"/>
        <charset val="1"/>
      </rPr>
      <t xml:space="preserve">LEGS
</t>
    </r>
    <r>
      <rPr>
        <b val="true"/>
        <sz val="9"/>
        <color rgb="FFFFFFFF"/>
        <rFont val="WenQuanYi Zen Hei"/>
        <family val="2"/>
      </rPr>
      <t xml:space="preserve">売上</t>
    </r>
    <r>
      <rPr>
        <b val="true"/>
        <sz val="9"/>
        <color rgb="FFFFFFFF"/>
        <rFont val="Arial"/>
        <family val="0"/>
        <charset val="1"/>
      </rPr>
      <t xml:space="preserve">(</t>
    </r>
    <r>
      <rPr>
        <b val="true"/>
        <sz val="9"/>
        <color rgb="FFFFFFFF"/>
        <rFont val="WenQuanYi Zen Hei"/>
        <family val="2"/>
      </rPr>
      <t xml:space="preserve">円</t>
    </r>
    <r>
      <rPr>
        <b val="true"/>
        <sz val="9"/>
        <color rgb="FFFFFFFF"/>
        <rFont val="Arial"/>
        <family val="0"/>
        <charset val="1"/>
      </rPr>
      <t xml:space="preserve">/</t>
    </r>
    <r>
      <rPr>
        <b val="true"/>
        <sz val="9"/>
        <color rgb="FFFFFFFF"/>
        <rFont val="WenQuanYi Zen Hei"/>
        <family val="2"/>
      </rPr>
      <t xml:space="preserve">人</t>
    </r>
    <r>
      <rPr>
        <b val="true"/>
        <sz val="9"/>
        <color rgb="FFFFFFFF"/>
        <rFont val="Arial"/>
        <family val="0"/>
        <charset val="1"/>
      </rPr>
      <t xml:space="preserve">)</t>
    </r>
  </si>
  <si>
    <r>
      <rPr>
        <b val="true"/>
        <sz val="9"/>
        <color rgb="FFFFFFFF"/>
        <rFont val="Arial"/>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</si>
  <si>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Arial"/>
        <family val="0"/>
        <charset val="1"/>
      </rPr>
      <t xml:space="preserve">(</t>
    </r>
    <r>
      <rPr>
        <b val="true"/>
        <sz val="9"/>
        <color rgb="FFFFFFFF"/>
        <rFont val="WenQuanYi Zen Hei"/>
        <family val="2"/>
      </rPr>
      <t xml:space="preserve">全商品</t>
    </r>
    <r>
      <rPr>
        <b val="true"/>
        <sz val="9"/>
        <color rgb="FFFFFFFF"/>
        <rFont val="Arial"/>
        <family val="0"/>
        <charset val="1"/>
      </rPr>
      <t xml:space="preserve">)</t>
    </r>
  </si>
  <si>
    <t xml:space="preserve">主な新商品</t>
  </si>
  <si>
    <t xml:space="preserve">（初回：全商品が新規）</t>
  </si>
  <si>
    <r>
      <rPr>
        <sz val="9"/>
        <rFont val="Arial"/>
        <family val="0"/>
        <charset val="1"/>
      </rPr>
      <t xml:space="preserve">MAPPA</t>
    </r>
    <r>
      <rPr>
        <sz val="9"/>
        <rFont val="WenQuanYi Zen Hei"/>
        <family val="2"/>
      </rPr>
      <t xml:space="preserve">ブラインドカード</t>
    </r>
    <r>
      <rPr>
        <sz val="9"/>
        <rFont val="Arial"/>
        <family val="0"/>
        <charset val="1"/>
      </rPr>
      <t xml:space="preserve">4</t>
    </r>
    <r>
      <rPr>
        <sz val="9"/>
        <rFont val="WenQuanYi Zen Hei"/>
        <family val="2"/>
      </rPr>
      <t xml:space="preserve">種（フォト風カード・原画クリアカード）＝</t>
    </r>
    <r>
      <rPr>
        <sz val="9"/>
        <rFont val="Arial"/>
        <family val="0"/>
        <charset val="1"/>
      </rPr>
      <t xml:space="preserve">1,014</t>
    </r>
    <r>
      <rPr>
        <sz val="9"/>
        <rFont val="WenQuanYi Zen Hei"/>
        <family val="2"/>
      </rPr>
      <t xml:space="preserve">円</t>
    </r>
    <r>
      <rPr>
        <sz val="9"/>
        <rFont val="Arial"/>
        <family val="0"/>
        <charset val="1"/>
      </rPr>
      <t xml:space="preserve">/</t>
    </r>
    <r>
      <rPr>
        <sz val="9"/>
        <rFont val="WenQuanYi Zen Hei"/>
        <family val="2"/>
      </rPr>
      <t xml:space="preserve">人</t>
    </r>
  </si>
  <si>
    <r>
      <rPr>
        <sz val="9"/>
        <rFont val="WenQuanYi Zen Hei"/>
        <family val="2"/>
      </rPr>
      <t xml:space="preserve">★おすわりぬいぐるみ全</t>
    </r>
    <r>
      <rPr>
        <sz val="9"/>
        <rFont val="Arial"/>
        <family val="0"/>
        <charset val="1"/>
      </rPr>
      <t xml:space="preserve">8</t>
    </r>
    <r>
      <rPr>
        <sz val="9"/>
        <rFont val="WenQuanYi Zen Hei"/>
        <family val="2"/>
      </rPr>
      <t xml:space="preserve">種（</t>
    </r>
    <r>
      <rPr>
        <sz val="9"/>
        <rFont val="Arial"/>
        <family val="0"/>
        <charset val="1"/>
      </rPr>
      <t xml:space="preserve">230</t>
    </r>
    <r>
      <rPr>
        <sz val="9"/>
        <rFont val="WenQuanYi Zen Hei"/>
        <family val="2"/>
      </rPr>
      <t xml:space="preserve">円</t>
    </r>
    <r>
      <rPr>
        <sz val="9"/>
        <rFont val="Arial"/>
        <family val="0"/>
        <charset val="1"/>
      </rPr>
      <t xml:space="preserve">/</t>
    </r>
    <r>
      <rPr>
        <sz val="9"/>
        <rFont val="WenQuanYi Zen Hei"/>
        <family val="2"/>
      </rPr>
      <t xml:space="preserve">人）、アクリルカードスタンド（</t>
    </r>
    <r>
      <rPr>
        <sz val="9"/>
        <rFont val="Arial"/>
        <family val="0"/>
        <charset val="1"/>
      </rPr>
      <t xml:space="preserve">233</t>
    </r>
    <r>
      <rPr>
        <sz val="9"/>
        <rFont val="WenQuanYi Zen Hei"/>
        <family val="2"/>
      </rPr>
      <t xml:space="preserve">円</t>
    </r>
    <r>
      <rPr>
        <sz val="9"/>
        <rFont val="Arial"/>
        <family val="0"/>
        <charset val="1"/>
      </rPr>
      <t xml:space="preserve">/</t>
    </r>
    <r>
      <rPr>
        <sz val="9"/>
        <rFont val="WenQuanYi Zen Hei"/>
        <family val="2"/>
      </rPr>
      <t xml:space="preserve">人）、原画ポストカードセット（</t>
    </r>
    <r>
      <rPr>
        <sz val="9"/>
        <rFont val="Arial"/>
        <family val="0"/>
        <charset val="1"/>
      </rPr>
      <t xml:space="preserve">178</t>
    </r>
    <r>
      <rPr>
        <sz val="9"/>
        <rFont val="WenQuanYi Zen Hei"/>
        <family val="2"/>
      </rPr>
      <t xml:space="preserve">円</t>
    </r>
    <r>
      <rPr>
        <sz val="9"/>
        <rFont val="Arial"/>
        <family val="0"/>
        <charset val="1"/>
      </rPr>
      <t xml:space="preserve">/</t>
    </r>
    <r>
      <rPr>
        <sz val="9"/>
        <rFont val="WenQuanYi Zen Hei"/>
        <family val="2"/>
      </rPr>
      <t xml:space="preserve">人）</t>
    </r>
  </si>
  <si>
    <r>
      <rPr>
        <sz val="9"/>
        <rFont val="WenQuanYi Zen Hei"/>
        <family val="2"/>
      </rPr>
      <t xml:space="preserve">★うちわ</t>
    </r>
    <r>
      <rPr>
        <sz val="9"/>
        <rFont val="Arial"/>
        <family val="0"/>
        <charset val="1"/>
      </rPr>
      <t xml:space="preserve">14</t>
    </r>
    <r>
      <rPr>
        <sz val="9"/>
        <rFont val="WenQuanYi Zen Hei"/>
        <family val="2"/>
      </rPr>
      <t xml:space="preserve">種（</t>
    </r>
    <r>
      <rPr>
        <sz val="9"/>
        <rFont val="Arial"/>
        <family val="0"/>
        <charset val="1"/>
      </rPr>
      <t xml:space="preserve">195</t>
    </r>
    <r>
      <rPr>
        <sz val="9"/>
        <rFont val="WenQuanYi Zen Hei"/>
        <family val="2"/>
      </rPr>
      <t xml:space="preserve">円</t>
    </r>
    <r>
      <rPr>
        <sz val="9"/>
        <rFont val="Arial"/>
        <family val="0"/>
        <charset val="1"/>
      </rPr>
      <t xml:space="preserve">/</t>
    </r>
    <r>
      <rPr>
        <sz val="9"/>
        <rFont val="WenQuanYi Zen Hei"/>
        <family val="2"/>
      </rPr>
      <t xml:space="preserve">人）、アクリル系</t>
    </r>
    <r>
      <rPr>
        <sz val="9"/>
        <rFont val="Arial"/>
        <family val="0"/>
        <charset val="1"/>
      </rPr>
      <t xml:space="preserve">39</t>
    </r>
    <r>
      <rPr>
        <sz val="9"/>
        <rFont val="WenQuanYi Zen Hei"/>
        <family val="2"/>
      </rPr>
      <t xml:space="preserve">種（</t>
    </r>
    <r>
      <rPr>
        <sz val="9"/>
        <rFont val="Arial"/>
        <family val="0"/>
        <charset val="1"/>
      </rPr>
      <t xml:space="preserve">450</t>
    </r>
    <r>
      <rPr>
        <sz val="9"/>
        <rFont val="WenQuanYi Zen Hei"/>
        <family val="2"/>
      </rPr>
      <t xml:space="preserve">円</t>
    </r>
    <r>
      <rPr>
        <sz val="9"/>
        <rFont val="Arial"/>
        <family val="0"/>
        <charset val="1"/>
      </rPr>
      <t xml:space="preserve">/</t>
    </r>
    <r>
      <rPr>
        <sz val="9"/>
        <rFont val="WenQuanYi Zen Hei"/>
        <family val="2"/>
      </rPr>
      <t xml:space="preserve">人）、劇場版</t>
    </r>
    <r>
      <rPr>
        <sz val="9"/>
        <rFont val="Arial"/>
        <family val="0"/>
        <charset val="1"/>
      </rPr>
      <t xml:space="preserve">ED</t>
    </r>
    <r>
      <rPr>
        <sz val="9"/>
        <rFont val="WenQuanYi Zen Hei"/>
        <family val="2"/>
      </rPr>
      <t xml:space="preserve">系カード</t>
    </r>
    <r>
      <rPr>
        <sz val="9"/>
        <rFont val="Arial"/>
        <family val="0"/>
        <charset val="1"/>
      </rPr>
      <t xml:space="preserve">/</t>
    </r>
    <r>
      <rPr>
        <sz val="9"/>
        <rFont val="WenQuanYi Zen Hei"/>
        <family val="2"/>
      </rPr>
      <t xml:space="preserve">ファイル（</t>
    </r>
    <r>
      <rPr>
        <sz val="9"/>
        <rFont val="Arial"/>
        <family val="0"/>
        <charset val="1"/>
      </rPr>
      <t xml:space="preserve">500</t>
    </r>
    <r>
      <rPr>
        <sz val="9"/>
        <rFont val="WenQuanYi Zen Hei"/>
        <family val="2"/>
      </rPr>
      <t xml:space="preserve">円</t>
    </r>
    <r>
      <rPr>
        <sz val="9"/>
        <rFont val="Arial"/>
        <family val="0"/>
        <charset val="1"/>
      </rPr>
      <t xml:space="preserve">/</t>
    </r>
    <r>
      <rPr>
        <sz val="9"/>
        <rFont val="WenQuanYi Zen Hei"/>
        <family val="2"/>
      </rPr>
      <t xml:space="preserve">人）、ぐみっとシール（</t>
    </r>
    <r>
      <rPr>
        <sz val="9"/>
        <rFont val="Arial"/>
        <family val="0"/>
        <charset val="1"/>
      </rPr>
      <t xml:space="preserve">101</t>
    </r>
    <r>
      <rPr>
        <sz val="9"/>
        <rFont val="WenQuanYi Zen Hei"/>
        <family val="2"/>
      </rPr>
      <t xml:space="preserve">円</t>
    </r>
    <r>
      <rPr>
        <sz val="9"/>
        <rFont val="Arial"/>
        <family val="0"/>
        <charset val="1"/>
      </rPr>
      <t xml:space="preserve">/</t>
    </r>
    <r>
      <rPr>
        <sz val="9"/>
        <rFont val="WenQuanYi Zen Hei"/>
        <family val="2"/>
      </rPr>
      <t xml:space="preserve">人）</t>
    </r>
  </si>
  <si>
    <t xml:space="preserve">新規なし（品揃えは大阪と同一）</t>
  </si>
  <si>
    <r>
      <rPr>
        <b val="true"/>
        <sz val="11"/>
        <color rgb="FFC00000"/>
        <rFont val="Arial"/>
        <family val="0"/>
        <charset val="1"/>
      </rPr>
      <t xml:space="preserve">■ ③ LEGS </t>
    </r>
    <r>
      <rPr>
        <b val="true"/>
        <sz val="11"/>
        <color rgb="FFC00000"/>
        <rFont val="WenQuanYi Zen Hei"/>
        <family val="2"/>
      </rPr>
      <t xml:space="preserve">商品タイプ別 </t>
    </r>
    <r>
      <rPr>
        <b val="true"/>
        <sz val="11"/>
        <color rgb="FFC00000"/>
        <rFont val="Arial"/>
        <family val="0"/>
        <charset val="1"/>
      </rPr>
      <t xml:space="preserve">1</t>
    </r>
    <r>
      <rPr>
        <b val="true"/>
        <sz val="11"/>
        <color rgb="FFC00000"/>
        <rFont val="WenQuanYi Zen Hei"/>
        <family val="2"/>
      </rPr>
      <t xml:space="preserve">人あたり売上（円</t>
    </r>
    <r>
      <rPr>
        <b val="true"/>
        <sz val="11"/>
        <color rgb="FFC00000"/>
        <rFont val="Arial"/>
        <family val="0"/>
        <charset val="1"/>
      </rPr>
      <t xml:space="preserve">/</t>
    </r>
    <r>
      <rPr>
        <b val="true"/>
        <sz val="11"/>
        <color rgb="FFC00000"/>
        <rFont val="WenQuanYi Zen Hei"/>
        <family val="2"/>
      </rPr>
      <t xml:space="preserve">人）— どのタイプが削られたか</t>
    </r>
  </si>
  <si>
    <r>
      <rPr>
        <b val="true"/>
        <sz val="9"/>
        <color rgb="FFFFFFFF"/>
        <rFont val="Arial"/>
        <family val="0"/>
        <charset val="1"/>
      </rPr>
      <t xml:space="preserve">LEGS </t>
    </r>
    <r>
      <rPr>
        <b val="true"/>
        <sz val="9"/>
        <color rgb="FFFFFFFF"/>
        <rFont val="WenQuanYi Zen Hei"/>
        <family val="2"/>
      </rPr>
      <t xml:space="preserve">商品タイプ</t>
    </r>
  </si>
  <si>
    <r>
      <rPr>
        <b val="true"/>
        <sz val="9"/>
        <color rgb="FFFFFFFF"/>
        <rFont val="Arial"/>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</si>
  <si>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</si>
  <si>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</si>
  <si>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Arial"/>
        <family val="0"/>
        <charset val="1"/>
      </rPr>
      <t xml:space="preserve">39SKU</t>
    </r>
    <r>
      <rPr>
        <sz val="9"/>
        <rFont val="WenQuanYi Zen Hei"/>
        <family val="2"/>
      </rPr>
      <t xml:space="preserve">（</t>
    </r>
    <r>
      <rPr>
        <sz val="9"/>
        <rFont val="Arial"/>
        <family val="0"/>
        <charset val="1"/>
      </rPr>
      <t xml:space="preserve">450</t>
    </r>
    <r>
      <rPr>
        <sz val="9"/>
        <rFont val="WenQuanYi Zen Hei"/>
        <family val="2"/>
      </rPr>
      <t xml:space="preserve">円</t>
    </r>
    <r>
      <rPr>
        <sz val="9"/>
        <rFont val="Arial"/>
        <family val="0"/>
        <charset val="1"/>
      </rPr>
      <t xml:space="preserve">/</t>
    </r>
    <r>
      <rPr>
        <sz val="9"/>
        <rFont val="WenQuanYi Zen Hei"/>
        <family val="2"/>
      </rPr>
      <t xml:space="preserve">人）・ぬいぐるみ全</t>
    </r>
    <r>
      <rPr>
        <sz val="9"/>
        <rFont val="Arial"/>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</si>
  <si>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</si>
  <si>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Arial"/>
        <family val="0"/>
        <charset val="1"/>
      </rPr>
      <t xml:space="preserve">ED</t>
    </r>
    <r>
      <rPr>
        <sz val="9"/>
        <rFont val="WenQuanYi Zen Hei"/>
        <family val="2"/>
      </rPr>
      <t xml:space="preserve">カード類（</t>
    </r>
    <r>
      <rPr>
        <sz val="9"/>
        <rFont val="Arial"/>
        <family val="0"/>
        <charset val="1"/>
      </rPr>
      <t xml:space="preserve">293</t>
    </r>
    <r>
      <rPr>
        <sz val="9"/>
        <rFont val="WenQuanYi Zen Hei"/>
        <family val="2"/>
      </rPr>
      <t xml:space="preserve">円</t>
    </r>
    <r>
      <rPr>
        <sz val="9"/>
        <rFont val="Arial"/>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</si>
  <si>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</si>
  <si>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Arial"/>
        <family val="0"/>
        <charset val="1"/>
      </rPr>
      <t xml:space="preserve">ED</t>
    </r>
    <r>
      <rPr>
        <sz val="9"/>
        <rFont val="WenQuanYi Zen Hei"/>
        <family val="2"/>
      </rPr>
      <t xml:space="preserve">クリアファイル</t>
    </r>
    <r>
      <rPr>
        <sz val="9"/>
        <rFont val="Arial"/>
        <family val="0"/>
        <charset val="1"/>
      </rPr>
      <t xml:space="preserve">10SKU</t>
    </r>
    <r>
      <rPr>
        <sz val="9"/>
        <rFont val="WenQuanYi Zen Hei"/>
        <family val="2"/>
      </rPr>
      <t xml:space="preserve">（</t>
    </r>
    <r>
      <rPr>
        <sz val="9"/>
        <rFont val="Arial"/>
        <family val="0"/>
        <charset val="1"/>
      </rPr>
      <t xml:space="preserve">207</t>
    </r>
    <r>
      <rPr>
        <sz val="9"/>
        <rFont val="WenQuanYi Zen Hei"/>
        <family val="2"/>
      </rPr>
      <t xml:space="preserve">円</t>
    </r>
    <r>
      <rPr>
        <sz val="9"/>
        <rFont val="Arial"/>
        <family val="0"/>
        <charset val="1"/>
      </rPr>
      <t xml:space="preserve">/</t>
    </r>
    <r>
      <rPr>
        <sz val="9"/>
        <rFont val="WenQuanYi Zen Hei"/>
        <family val="2"/>
      </rPr>
      <t xml:space="preserve">人）と競合するが、</t>
    </r>
    <r>
      <rPr>
        <sz val="9"/>
        <rFont val="Arial"/>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</si>
  <si>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</si>
  <si>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Arial"/>
        <family val="0"/>
        <charset val="1"/>
      </rPr>
      <t xml:space="preserve">ED</t>
    </r>
    <r>
      <rPr>
        <sz val="9"/>
        <rFont val="WenQuanYi Zen Hei"/>
        <family val="2"/>
      </rPr>
      <t xml:space="preserve">ポストカード</t>
    </r>
    <r>
      <rPr>
        <sz val="9"/>
        <rFont val="Arial"/>
        <family val="0"/>
        <charset val="1"/>
      </rPr>
      <t xml:space="preserve">/Pictas</t>
    </r>
    <r>
      <rPr>
        <sz val="9"/>
        <rFont val="WenQuanYi Zen Hei"/>
        <family val="2"/>
      </rPr>
      <t xml:space="preserve">（</t>
    </r>
    <r>
      <rPr>
        <sz val="9"/>
        <rFont val="Arial"/>
        <family val="0"/>
        <charset val="1"/>
      </rPr>
      <t xml:space="preserve">199</t>
    </r>
    <r>
      <rPr>
        <sz val="9"/>
        <rFont val="WenQuanYi Zen Hei"/>
        <family val="2"/>
      </rPr>
      <t xml:space="preserve">円</t>
    </r>
    <r>
      <rPr>
        <sz val="9"/>
        <rFont val="Arial"/>
        <family val="0"/>
        <charset val="1"/>
      </rPr>
      <t xml:space="preserve">/</t>
    </r>
    <r>
      <rPr>
        <sz val="9"/>
        <rFont val="WenQuanYi Zen Hei"/>
        <family val="2"/>
      </rPr>
      <t xml:space="preserve">人）と競合。</t>
    </r>
    <r>
      <rPr>
        <sz val="9"/>
        <rFont val="Arial"/>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</si>
  <si>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</si>
  <si>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Arial"/>
        <family val="0"/>
        <charset val="1"/>
      </rPr>
      <t xml:space="preserve">9SKU</t>
    </r>
    <r>
      <rPr>
        <sz val="9"/>
        <rFont val="WenQuanYi Zen Hei"/>
        <family val="2"/>
      </rPr>
      <t xml:space="preserve">（</t>
    </r>
    <r>
      <rPr>
        <sz val="9"/>
        <rFont val="Arial"/>
        <family val="0"/>
        <charset val="1"/>
      </rPr>
      <t xml:space="preserve">121</t>
    </r>
    <r>
      <rPr>
        <sz val="9"/>
        <rFont val="WenQuanYi Zen Hei"/>
        <family val="2"/>
      </rPr>
      <t xml:space="preserve">円</t>
    </r>
    <r>
      <rPr>
        <sz val="9"/>
        <rFont val="Arial"/>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</si>
  <si>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</si>
  <si>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Arial"/>
        <family val="0"/>
        <charset val="1"/>
      </rPr>
      <t xml:space="preserve">14SKU</t>
    </r>
    <r>
      <rPr>
        <sz val="9"/>
        <rFont val="WenQuanYi Zen Hei"/>
        <family val="2"/>
      </rPr>
      <t xml:space="preserve">（</t>
    </r>
    <r>
      <rPr>
        <sz val="9"/>
        <rFont val="Arial"/>
        <family val="0"/>
        <charset val="1"/>
      </rPr>
      <t xml:space="preserve">195</t>
    </r>
    <r>
      <rPr>
        <sz val="9"/>
        <rFont val="WenQuanYi Zen Hei"/>
        <family val="2"/>
      </rPr>
      <t xml:space="preserve">円</t>
    </r>
    <r>
      <rPr>
        <sz val="9"/>
        <rFont val="Arial"/>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</si>
  <si>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Arial"/>
        <family val="0"/>
        <charset val="1"/>
      </rPr>
      <t xml:space="preserve">(</t>
    </r>
    <r>
      <rPr>
        <b val="true"/>
        <sz val="9"/>
        <rFont val="WenQuanYi Zen Hei"/>
        <family val="2"/>
      </rPr>
      <t xml:space="preserve">リング等</t>
    </r>
    <r>
      <rPr>
        <b val="true"/>
        <sz val="9"/>
        <rFont val="Arial"/>
        <family val="0"/>
        <charset val="1"/>
      </rPr>
      <t xml:space="preserve">)</t>
    </r>
  </si>
  <si>
    <r>
      <rPr>
        <sz val="9"/>
        <rFont val="WenQuanYi Zen Hei"/>
        <family val="2"/>
      </rPr>
      <t xml:space="preserve">高単価アクセ。ぬいぐるみコンプリート</t>
    </r>
    <r>
      <rPr>
        <sz val="9"/>
        <rFont val="Arial"/>
        <family val="0"/>
        <charset val="1"/>
      </rPr>
      <t xml:space="preserve">(¥19,840)</t>
    </r>
    <r>
      <rPr>
        <sz val="9"/>
        <rFont val="WenQuanYi Zen Hei"/>
        <family val="2"/>
      </rPr>
      <t xml:space="preserve">等の高単価枠と競合</t>
    </r>
  </si>
  <si>
    <r>
      <rPr>
        <b val="true"/>
        <sz val="9"/>
        <rFont val="Arial"/>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</si>
  <si>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Arial"/>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</si>
  <si>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</si>
  <si>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Arial"/>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</si>
  <si>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</si>
  <si>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Arial"/>
        <family val="0"/>
        <charset val="1"/>
      </rPr>
      <t xml:space="preserve">(</t>
    </r>
    <r>
      <rPr>
        <b val="true"/>
        <sz val="9"/>
        <color rgb="FFFFFFFF"/>
        <rFont val="WenQuanYi Zen Hei"/>
        <family val="2"/>
      </rPr>
      <t xml:space="preserve">税込</t>
    </r>
    <r>
      <rPr>
        <b val="true"/>
        <sz val="9"/>
        <color rgb="FFFFFFFF"/>
        <rFont val="Arial"/>
        <family val="0"/>
        <charset val="1"/>
      </rPr>
      <t xml:space="preserve">)</t>
    </r>
  </si>
  <si>
    <t xml:space="preserve">会場売上
構成比</t>
  </si>
  <si>
    <r>
      <rPr>
        <b val="true"/>
        <sz val="9"/>
        <color rgb="FFFFFFFF"/>
        <rFont val="Arial"/>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</si>
  <si>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Arial"/>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</si>
  <si>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</si>
  <si>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</si>
  <si>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</si>
  <si>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Arial"/>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</si>
  <si>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Arial"/>
        <family val="0"/>
        <charset val="1"/>
      </rPr>
      <t xml:space="preserve">14</t>
    </r>
    <r>
      <rPr>
        <sz val="9"/>
        <rFont val="WenQuanYi Zen Hei"/>
        <family val="2"/>
      </rPr>
      <t xml:space="preserve">種（展示会</t>
    </r>
    <r>
      <rPr>
        <sz val="9"/>
        <rFont val="Arial"/>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</si>
  <si>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</si>
  <si>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Arial"/>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</si>
  <si>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</si>
  <si>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Arial"/>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</si>
  <si>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</si>
  <si>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</si>
  <si>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Arial"/>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</si>
  <si>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</si>
  <si>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Arial"/>
        <family val="0"/>
        <charset val="1"/>
      </rPr>
      <t xml:space="preserve">47%</t>
    </r>
    <r>
      <rPr>
        <b val="true"/>
        <sz val="9"/>
        <rFont val="WenQuanYi Zen Hei"/>
        <family val="2"/>
      </rPr>
      <t xml:space="preserve">が</t>
    </r>
    <r>
      <rPr>
        <b val="true"/>
        <sz val="9"/>
        <rFont val="Arial"/>
        <family val="0"/>
        <charset val="1"/>
      </rPr>
      <t xml:space="preserve">LEGS</t>
    </r>
    <r>
      <rPr>
        <b val="true"/>
        <sz val="9"/>
        <rFont val="WenQuanYi Zen Hei"/>
        <family val="2"/>
      </rPr>
      <t xml:space="preserve">からの移動と推定</t>
    </r>
  </si>
  <si>
    <t xml:space="preserve">■ ⑤ 石川会場以降への示唆</t>
  </si>
  <si>
    <r>
      <rPr>
        <b val="true"/>
        <sz val="9"/>
        <rFont val="Arial"/>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</si>
  <si>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Arial"/>
        <family val="0"/>
        <charset val="1"/>
      </rPr>
      <t xml:space="preserve">SKU 0</t>
    </r>
    <r>
      <rPr>
        <sz val="9"/>
        <rFont val="WenQuanYi Zen Hei"/>
        <family val="2"/>
      </rPr>
      <t xml:space="preserve">で品揃えが大阪と同一。</t>
    </r>
    <r>
      <rPr>
        <sz val="9"/>
        <rFont val="Arial"/>
        <family val="0"/>
        <charset val="1"/>
      </rPr>
      <t xml:space="preserve">LEGS</t>
    </r>
    <r>
      <rPr>
        <sz val="9"/>
        <rFont val="WenQuanYi Zen Hei"/>
        <family val="2"/>
      </rPr>
      <t xml:space="preserve">金額構成比 大阪</t>
    </r>
    <r>
      <rPr>
        <sz val="9"/>
        <rFont val="Arial"/>
        <family val="0"/>
        <charset val="1"/>
      </rPr>
      <t xml:space="preserve">21.1%→</t>
    </r>
    <r>
      <rPr>
        <sz val="9"/>
        <rFont val="WenQuanYi Zen Hei"/>
        <family val="2"/>
      </rPr>
      <t xml:space="preserve">札幌</t>
    </r>
    <r>
      <rPr>
        <sz val="9"/>
        <rFont val="Arial"/>
        <family val="0"/>
        <charset val="1"/>
      </rPr>
      <t xml:space="preserve">19.6%(</t>
    </r>
    <r>
      <rPr>
        <sz val="9"/>
        <rFont val="WenQuanYi Zen Hei"/>
        <family val="2"/>
      </rPr>
      <t xml:space="preserve">予測</t>
    </r>
    <r>
      <rPr>
        <sz val="9"/>
        <rFont val="Arial"/>
        <family val="0"/>
        <charset val="1"/>
      </rPr>
      <t xml:space="preserve">)</t>
    </r>
    <r>
      <rPr>
        <sz val="9"/>
        <rFont val="WenQuanYi Zen Hei"/>
        <family val="2"/>
      </rPr>
      <t xml:space="preserve">で減少幅は縮小しており、石川以降も新商品の追加が無ければ</t>
    </r>
    <r>
      <rPr>
        <sz val="9"/>
        <rFont val="Arial"/>
        <family val="0"/>
        <charset val="1"/>
      </rPr>
      <t xml:space="preserve">19</t>
    </r>
    <r>
      <rPr>
        <sz val="9"/>
        <rFont val="WenQuanYi Zen Hei"/>
        <family val="2"/>
      </rPr>
      <t xml:space="preserve">〜</t>
    </r>
    <r>
      <rPr>
        <sz val="9"/>
        <rFont val="Arial"/>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</si>
  <si>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</si>
  <si>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Arial"/>
        <family val="0"/>
        <charset val="1"/>
      </rPr>
      <t xml:space="preserve">1,360</t>
    </r>
    <r>
      <rPr>
        <sz val="9"/>
        <rFont val="WenQuanYi Zen Hei"/>
        <family val="2"/>
      </rPr>
      <t xml:space="preserve">円</t>
    </r>
    <r>
      <rPr>
        <sz val="9"/>
        <rFont val="Arial"/>
        <family val="0"/>
        <charset val="1"/>
      </rPr>
      <t xml:space="preserve">/</t>
    </r>
    <r>
      <rPr>
        <sz val="9"/>
        <rFont val="WenQuanYi Zen Hei"/>
        <family val="2"/>
      </rPr>
      <t xml:space="preserve">人の投入に対し</t>
    </r>
    <r>
      <rPr>
        <sz val="9"/>
        <rFont val="Arial"/>
        <family val="0"/>
        <charset val="1"/>
      </rPr>
      <t xml:space="preserve">LEGS</t>
    </r>
    <r>
      <rPr>
        <sz val="9"/>
        <rFont val="WenQuanYi Zen Hei"/>
        <family val="2"/>
      </rPr>
      <t xml:space="preserve">が</t>
    </r>
    <r>
      <rPr>
        <sz val="9"/>
        <rFont val="Arial"/>
        <family val="0"/>
        <charset val="1"/>
      </rPr>
      <t xml:space="preserve">643</t>
    </r>
    <r>
      <rPr>
        <sz val="9"/>
        <rFont val="WenQuanYi Zen Hei"/>
        <family val="2"/>
      </rPr>
      <t xml:space="preserve">円</t>
    </r>
    <r>
      <rPr>
        <sz val="9"/>
        <rFont val="Arial"/>
        <family val="0"/>
        <charset val="1"/>
      </rPr>
      <t xml:space="preserve">/</t>
    </r>
    <r>
      <rPr>
        <sz val="9"/>
        <rFont val="WenQuanYi Zen Hei"/>
        <family val="2"/>
      </rPr>
      <t xml:space="preserve">人失われた。同規模の新商品を石川以降に投入すると、</t>
    </r>
    <r>
      <rPr>
        <sz val="9"/>
        <rFont val="Arial"/>
        <family val="0"/>
        <charset val="1"/>
      </rPr>
      <t xml:space="preserve">LEGS</t>
    </r>
    <r>
      <rPr>
        <sz val="9"/>
        <rFont val="WenQuanYi Zen Hei"/>
        <family val="2"/>
      </rPr>
      <t xml:space="preserve">構成比はさらに</t>
    </r>
    <r>
      <rPr>
        <sz val="9"/>
        <rFont val="Arial"/>
        <family val="0"/>
        <charset val="1"/>
      </rPr>
      <t xml:space="preserve">5</t>
    </r>
    <r>
      <rPr>
        <sz val="9"/>
        <rFont val="WenQuanYi Zen Hei"/>
        <family val="2"/>
      </rPr>
      <t xml:space="preserve">〜</t>
    </r>
    <r>
      <rPr>
        <sz val="9"/>
        <rFont val="Arial"/>
        <family val="0"/>
        <charset val="1"/>
      </rPr>
      <t xml:space="preserve">7pt</t>
    </r>
    <r>
      <rPr>
        <sz val="9"/>
        <rFont val="WenQuanYi Zen Hei"/>
        <family val="2"/>
      </rPr>
      <t xml:space="preserve">下がり、③の必要数</t>
    </r>
    <r>
      <rPr>
        <sz val="9"/>
        <rFont val="Arial"/>
        <family val="0"/>
        <charset val="1"/>
      </rPr>
      <t xml:space="preserve">86,000</t>
    </r>
    <r>
      <rPr>
        <sz val="9"/>
        <rFont val="WenQuanYi Zen Hei"/>
        <family val="2"/>
      </rPr>
      <t xml:space="preserve">個は最大で</t>
    </r>
    <r>
      <rPr>
        <sz val="9"/>
        <rFont val="Arial"/>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</si>
  <si>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</si>
  <si>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Arial"/>
        <family val="0"/>
        <charset val="1"/>
      </rPr>
      <t xml:space="preserve">2</t>
    </r>
    <r>
      <rPr>
        <sz val="9"/>
        <rFont val="WenQuanYi Zen Hei"/>
        <family val="2"/>
      </rPr>
      <t xml:space="preserve">弾・うちわ第</t>
    </r>
    <r>
      <rPr>
        <sz val="9"/>
        <rFont val="Arial"/>
        <family val="0"/>
        <charset val="1"/>
      </rPr>
      <t xml:space="preserve">2</t>
    </r>
    <r>
      <rPr>
        <sz val="9"/>
        <rFont val="WenQuanYi Zen Hei"/>
        <family val="2"/>
      </rPr>
      <t xml:space="preserve">弾等）の投入計画があるか、あるなら規模はどの程度か。これを確認せずに追加生産</t>
    </r>
    <r>
      <rPr>
        <sz val="9"/>
        <rFont val="Arial"/>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</si>
  <si>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</si>
  <si>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Arial"/>
        <family val="0"/>
        <charset val="1"/>
      </rPr>
      <t xml:space="preserve">272</t>
    </r>
    <r>
      <rPr>
        <sz val="9"/>
        <rFont val="WenQuanYi Zen Hei"/>
        <family val="2"/>
      </rPr>
      <t xml:space="preserve">円</t>
    </r>
    <r>
      <rPr>
        <sz val="9"/>
        <rFont val="Arial"/>
        <family val="0"/>
        <charset val="1"/>
      </rPr>
      <t xml:space="preserve">/</t>
    </r>
    <r>
      <rPr>
        <sz val="9"/>
        <rFont val="WenQuanYi Zen Hei"/>
        <family val="2"/>
      </rPr>
      <t xml:space="preserve">人・ミニ色紙▲</t>
    </r>
    <r>
      <rPr>
        <sz val="9"/>
        <rFont val="Arial"/>
        <family val="0"/>
        <charset val="1"/>
      </rPr>
      <t xml:space="preserve">284</t>
    </r>
    <r>
      <rPr>
        <sz val="9"/>
        <rFont val="WenQuanYi Zen Hei"/>
        <family val="2"/>
      </rPr>
      <t xml:space="preserve">円</t>
    </r>
    <r>
      <rPr>
        <sz val="9"/>
        <rFont val="Arial"/>
        <family val="0"/>
        <charset val="1"/>
      </rPr>
      <t xml:space="preserve">/</t>
    </r>
    <r>
      <rPr>
        <sz val="9"/>
        <rFont val="WenQuanYi Zen Hei"/>
        <family val="2"/>
      </rPr>
      <t xml:space="preserve">人で</t>
    </r>
    <r>
      <rPr>
        <sz val="9"/>
        <rFont val="Arial"/>
        <family val="0"/>
        <charset val="1"/>
      </rPr>
      <t xml:space="preserve">LEGS</t>
    </r>
    <r>
      <rPr>
        <sz val="9"/>
        <rFont val="WenQuanYi Zen Hei"/>
        <family val="2"/>
      </rPr>
      <t xml:space="preserve">減少の</t>
    </r>
    <r>
      <rPr>
        <sz val="9"/>
        <rFont val="Arial"/>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</si>
  <si>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</si>
  <si>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Arial"/>
        <family val="0"/>
        <charset val="1"/>
      </rPr>
      <t xml:space="preserve">(¥19,840)</t>
    </r>
    <r>
      <rPr>
        <sz val="9"/>
        <rFont val="WenQuanYi Zen Hei"/>
        <family val="2"/>
      </rPr>
      <t xml:space="preserve">が大阪で</t>
    </r>
    <r>
      <rPr>
        <sz val="9"/>
        <rFont val="Arial"/>
        <family val="0"/>
        <charset val="1"/>
      </rPr>
      <t xml:space="preserve">203</t>
    </r>
    <r>
      <rPr>
        <sz val="9"/>
        <rFont val="WenQuanYi Zen Hei"/>
        <family val="2"/>
      </rPr>
      <t xml:space="preserve">個、アクリル系</t>
    </r>
    <r>
      <rPr>
        <sz val="9"/>
        <rFont val="Arial"/>
        <family val="0"/>
        <charset val="1"/>
      </rPr>
      <t xml:space="preserve">39SKU</t>
    </r>
    <r>
      <rPr>
        <sz val="9"/>
        <rFont val="WenQuanYi Zen Hei"/>
        <family val="2"/>
      </rPr>
      <t xml:space="preserve">で</t>
    </r>
    <r>
      <rPr>
        <sz val="9"/>
        <rFont val="Arial"/>
        <family val="0"/>
        <charset val="1"/>
      </rPr>
      <t xml:space="preserve">450</t>
    </r>
    <r>
      <rPr>
        <sz val="9"/>
        <rFont val="WenQuanYi Zen Hei"/>
        <family val="2"/>
      </rPr>
      <t xml:space="preserve">円</t>
    </r>
    <r>
      <rPr>
        <sz val="9"/>
        <rFont val="Arial"/>
        <family val="0"/>
        <charset val="1"/>
      </rPr>
      <t xml:space="preserve">/</t>
    </r>
    <r>
      <rPr>
        <sz val="9"/>
        <rFont val="WenQuanYi Zen Hei"/>
        <family val="2"/>
      </rPr>
      <t xml:space="preserve">人。「引く」から「選んで揃える」へ需要が移行している。</t>
    </r>
    <r>
      <rPr>
        <sz val="9"/>
        <rFont val="Arial"/>
        <family val="0"/>
        <charset val="1"/>
      </rPr>
      <t xml:space="preserve">LEGS</t>
    </r>
    <r>
      <rPr>
        <sz val="9"/>
        <rFont val="WenQuanYi Zen Hei"/>
        <family val="2"/>
      </rPr>
      <t xml:space="preserve">側もブラインド偏重の見直しが必要。</t>
    </r>
  </si>
</sst>
</file>

<file path=xl/styles.xml><?xml version="1.0" encoding="utf-8"?>
<styleSheet xmlns="http://schemas.openxmlformats.org/spreadsheetml/2006/main">
  <numFmts count="11">
    <numFmt numFmtId="164" formatCode="General"/>
    <numFmt numFmtId="165" formatCode="0"/>
    <numFmt numFmtId="166" formatCode="0.0%"/>
    <numFmt numFmtId="167" formatCode="0.000\倍"/>
    <numFmt numFmtId="168" formatCode="\¥#,##0"/>
    <numFmt numFmtId="169" formatCode="#,##0"/>
    <numFmt numFmtId="170" formatCode="\+#,##0;\-#,##0;0"/>
    <numFmt numFmtId="171" formatCode="0.00%"/>
    <numFmt numFmtId="172" formatCode="\+0.0%;\-0.0%;0.0%"/>
    <numFmt numFmtId="173" formatCode="&quot;+¥&quot;#,##0;&quot;-¥&quot;#,##0;\-"/>
    <numFmt numFmtId="174" formatCode="\+0.0%;\-0.0%;\-"/>
  </numFmts>
  <fonts count="22">
    <font>
      <sz val="11"/>
      <color theme="1"/>
      <name val="Calibri"/>
      <family val="2"/>
      <charset val="1"/>
    </font>
    <font>
      <sz val="10"/>
      <name val="Arial"/>
      <family val="0"/>
    </font>
    <font>
      <sz val="10"/>
      <name val="Arial"/>
      <family val="0"/>
    </font>
    <font>
      <sz val="10"/>
      <name val="Arial"/>
      <family val="0"/>
    </font>
    <font>
      <b val="true"/>
      <sz val="15"/>
      <color rgb="FF1F3864"/>
      <name val="WenQuanYi Zen Hei"/>
      <family val="2"/>
    </font>
    <font>
      <b val="true"/>
      <sz val="11"/>
      <color rgb="FF2E5C8A"/>
      <name val="Arial"/>
      <family val="0"/>
      <charset val="1"/>
    </font>
    <font>
      <b val="true"/>
      <sz val="11"/>
      <color rgb="FF2E5C8A"/>
      <name val="WenQuanYi Zen Hei"/>
      <family val="2"/>
    </font>
    <font>
      <sz val="8"/>
      <color rgb="FF555555"/>
      <name val="WenQuanYi Zen Hei"/>
      <family val="2"/>
    </font>
    <font>
      <sz val="8"/>
      <color rgb="FF555555"/>
      <name val="Arial"/>
      <family val="0"/>
      <charset val="1"/>
    </font>
    <font>
      <b val="true"/>
      <sz val="11"/>
      <color rgb="FFC00000"/>
      <name val="WenQuanYi Zen Hei"/>
      <family val="2"/>
    </font>
    <font>
      <b val="true"/>
      <sz val="9"/>
      <name val="WenQuanYi Zen Hei"/>
      <family val="2"/>
    </font>
    <font>
      <b val="true"/>
      <sz val="9"/>
      <name val="Arial"/>
      <family val="0"/>
      <charset val="1"/>
    </font>
    <font>
      <sz val="9"/>
      <name val="Arial"/>
      <family val="0"/>
      <charset val="1"/>
    </font>
    <font>
      <sz val="9"/>
      <name val="WenQuanYi Zen Hei"/>
      <family val="2"/>
    </font>
    <font>
      <b val="true"/>
      <sz val="11"/>
      <color rgb="FFC00000"/>
      <name val="Arial"/>
      <family val="0"/>
      <charset val="1"/>
    </font>
    <font>
      <b val="true"/>
      <sz val="10"/>
      <color rgb="FF0000FF"/>
      <name val="Arial"/>
      <family val="0"/>
      <charset val="1"/>
    </font>
    <font>
      <b val="true"/>
      <sz val="15"/>
      <color rgb="FF1F3864"/>
      <name val="Arial"/>
      <family val="0"/>
      <charset val="1"/>
    </font>
    <font>
      <b val="true"/>
      <sz val="9"/>
      <color rgb="FFFFFFFF"/>
      <name val="Arial"/>
      <family val="0"/>
      <charset val="1"/>
    </font>
    <font>
      <b val="true"/>
      <sz val="9"/>
      <color rgb="FFFFFFFF"/>
      <name val="WenQuanYi Zen Hei"/>
      <family val="2"/>
    </font>
    <font>
      <b val="true"/>
      <sz val="9"/>
      <color rgb="FF333333"/>
      <name val="WenQuanYi Zen Hei"/>
      <family val="2"/>
    </font>
    <font>
      <b val="true"/>
      <sz val="11"/>
      <color rgb="FFFFFFFF"/>
      <name val="WenQuanYi Zen Hei"/>
      <family val="2"/>
    </font>
    <font>
      <b val="true"/>
      <sz val="11"/>
      <color rgb="FFFFFFFF"/>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2E5C8A"/>
        <bgColor rgb="FF1F6FB5"/>
      </patternFill>
    </fill>
    <fill>
      <patternFill patternType="solid">
        <fgColor rgb="FFBF8F00"/>
        <bgColor rgb="FFFF6600"/>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18" fillId="7" borderId="1" xfId="0" applyFont="true" applyBorder="true" applyAlignment="true" applyProtection="false">
      <alignment horizontal="center" vertical="center" textRotation="0" wrapText="true" indent="0" shrinkToFit="false"/>
      <protection locked="true" hidden="false"/>
    </xf>
    <xf numFmtId="164" fontId="18" fillId="8" borderId="1" xfId="0" applyFont="true" applyBorder="true" applyAlignment="true" applyProtection="false">
      <alignment horizontal="center" vertical="center" textRotation="0" wrapText="true" indent="0" shrinkToFit="false"/>
      <protection locked="true" hidden="false"/>
    </xf>
    <xf numFmtId="164" fontId="18" fillId="9"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0"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9" fontId="11" fillId="10" borderId="1" xfId="0" applyFont="true" applyBorder="true" applyAlignment="true" applyProtection="false">
      <alignment horizontal="center" vertical="center" textRotation="0" wrapText="false" indent="0" shrinkToFit="false"/>
      <protection locked="true" hidden="false"/>
    </xf>
    <xf numFmtId="167" fontId="11" fillId="10" borderId="1" xfId="0" applyFont="true" applyBorder="true" applyAlignment="true" applyProtection="false">
      <alignment horizontal="center" vertical="center" textRotation="0" wrapText="false" indent="0" shrinkToFit="false"/>
      <protection locked="true" hidden="false"/>
    </xf>
    <xf numFmtId="168" fontId="11" fillId="10" borderId="1" xfId="0" applyFont="true" applyBorder="true" applyAlignment="true" applyProtection="false">
      <alignment horizontal="center" vertical="center" textRotation="0" wrapText="false" indent="0" shrinkToFit="false"/>
      <protection locked="true" hidden="false"/>
    </xf>
    <xf numFmtId="166" fontId="11" fillId="10" borderId="1" xfId="0" applyFont="true" applyBorder="true" applyAlignment="true" applyProtection="false">
      <alignment horizontal="center" vertical="center" textRotation="0" wrapText="false" indent="0" shrinkToFit="false"/>
      <protection locked="true" hidden="false"/>
    </xf>
    <xf numFmtId="170" fontId="11" fillId="10" borderId="1" xfId="0" applyFont="true" applyBorder="true" applyAlignment="true" applyProtection="false">
      <alignment horizontal="center" vertical="center" textRotation="0" wrapText="false" indent="0" shrinkToFit="false"/>
      <protection locked="true" hidden="false"/>
    </xf>
    <xf numFmtId="164" fontId="18" fillId="11" borderId="1" xfId="0" applyFont="true" applyBorder="true" applyAlignment="true" applyProtection="false">
      <alignment horizontal="center" vertical="center" textRotation="0" wrapText="true" indent="0" shrinkToFit="false"/>
      <protection locked="true" hidden="false"/>
    </xf>
    <xf numFmtId="164" fontId="18" fillId="1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69" fontId="11" fillId="13"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1" fontId="11" fillId="10" borderId="1" xfId="0" applyFont="true" applyBorder="true" applyAlignment="true" applyProtection="false">
      <alignment horizontal="center" vertical="center" textRotation="0" wrapText="false" indent="0" shrinkToFit="false"/>
      <protection locked="true" hidden="false"/>
    </xf>
    <xf numFmtId="164" fontId="19" fillId="13" borderId="1" xfId="0" applyFont="true" applyBorder="true" applyAlignment="true" applyProtection="false">
      <alignment horizontal="center" vertical="center" textRotation="0" wrapText="true" indent="0" shrinkToFit="false"/>
      <protection locked="true" hidden="false"/>
    </xf>
    <xf numFmtId="164" fontId="19" fillId="1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true" indent="0" shrinkToFit="false"/>
      <protection locked="true" hidden="false"/>
    </xf>
    <xf numFmtId="164" fontId="20" fillId="6" borderId="1" xfId="0" applyFont="true" applyBorder="true" applyAlignment="true" applyProtection="false">
      <alignment horizontal="center" vertical="center" textRotation="0" wrapText="true" indent="0" shrinkToFit="false"/>
      <protection locked="true" hidden="false"/>
    </xf>
    <xf numFmtId="164" fontId="20" fillId="7"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20" fillId="12" borderId="1" xfId="0" applyFont="true" applyBorder="true" applyAlignment="true" applyProtection="false">
      <alignment horizontal="center" vertical="center" textRotation="0" wrapText="true" indent="0" shrinkToFit="false"/>
      <protection locked="true" hidden="false"/>
    </xf>
    <xf numFmtId="164" fontId="20" fillId="9" borderId="1" xfId="0" applyFont="true" applyBorder="true" applyAlignment="true" applyProtection="false">
      <alignment horizontal="center" vertical="center" textRotation="0" wrapText="tru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73" fontId="11" fillId="10" borderId="1" xfId="0" applyFont="true" applyBorder="true" applyAlignment="true" applyProtection="false">
      <alignment horizontal="center" vertical="center" textRotation="0" wrapText="false" indent="0" shrinkToFit="false"/>
      <protection locked="true" hidden="false"/>
    </xf>
    <xf numFmtId="174" fontId="11" fillId="1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11" fillId="10" borderId="1" xfId="0" applyFont="true" applyBorder="true" applyAlignment="true" applyProtection="false">
      <alignment horizontal="left" vertical="center" textRotation="0" wrapText="false" indent="0" shrinkToFit="false"/>
      <protection locked="true" hidden="false"/>
    </xf>
    <xf numFmtId="164" fontId="11" fillId="10" borderId="1" xfId="0" applyFont="true" applyBorder="true" applyAlignment="true" applyProtection="false">
      <alignment horizontal="left" vertical="center" textRotation="0" wrapText="true" indent="0" shrinkToFit="false"/>
      <protection locked="true" hidden="false"/>
    </xf>
    <xf numFmtId="164" fontId="10" fillId="10"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808080"/>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FF6600"/>
      <rgbColor rgb="FF555555"/>
      <rgbColor rgb="FFA6A6A6"/>
      <rgbColor rgb="FF1F3864"/>
      <rgbColor rgb="FF339966"/>
      <rgbColor rgb="FF003300"/>
      <rgbColor rgb="FF333300"/>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7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6" t="s">
        <v>17</v>
      </c>
    </row>
    <row r="13" customFormat="false" ht="15" hidden="false" customHeight="false" outlineLevel="0" collapsed="false">
      <c r="A13" s="5" t="s">
        <v>18</v>
      </c>
      <c r="B13" s="6" t="s">
        <v>19</v>
      </c>
    </row>
    <row r="15" customFormat="false" ht="15" hidden="false" customHeight="false" outlineLevel="0" collapsed="false">
      <c r="A15" s="4" t="s">
        <v>20</v>
      </c>
    </row>
    <row r="16" customFormat="false" ht="13.4" hidden="false" customHeight="false" outlineLevel="0" collapsed="false">
      <c r="A16" s="5" t="s">
        <v>21</v>
      </c>
      <c r="B16" s="7" t="s">
        <v>22</v>
      </c>
    </row>
    <row r="17" customFormat="false" ht="15" hidden="false" customHeight="false" outlineLevel="0" collapsed="false">
      <c r="A17" s="9"/>
      <c r="B17" s="7" t="s">
        <v>23</v>
      </c>
    </row>
    <row r="18" customFormat="false" ht="13.4" hidden="false" customHeight="false" outlineLevel="0" collapsed="false">
      <c r="A18" s="5" t="s">
        <v>24</v>
      </c>
      <c r="B18" s="7" t="s">
        <v>25</v>
      </c>
    </row>
    <row r="19" customFormat="false" ht="15" hidden="false" customHeight="false" outlineLevel="0" collapsed="false">
      <c r="A19" s="9"/>
      <c r="B19" s="7" t="s">
        <v>26</v>
      </c>
    </row>
    <row r="20" customFormat="false" ht="15" hidden="false" customHeight="false" outlineLevel="0" collapsed="false">
      <c r="A20" s="5" t="s">
        <v>27</v>
      </c>
      <c r="B20" s="7" t="s">
        <v>28</v>
      </c>
    </row>
    <row r="21" customFormat="false" ht="15" hidden="false" customHeight="false" outlineLevel="0" collapsed="false">
      <c r="A21" s="9"/>
      <c r="B21" s="7" t="s">
        <v>29</v>
      </c>
    </row>
    <row r="22" customFormat="false" ht="15" hidden="false" customHeight="false" outlineLevel="0" collapsed="false">
      <c r="A22" s="5" t="s">
        <v>30</v>
      </c>
      <c r="B22" s="7" t="s">
        <v>31</v>
      </c>
    </row>
    <row r="24" customFormat="false" ht="15" hidden="false" customHeight="false" outlineLevel="0" collapsed="false">
      <c r="A24" s="4" t="s">
        <v>32</v>
      </c>
    </row>
    <row r="25" customFormat="false" ht="15" hidden="false" customHeight="false" outlineLevel="0" collapsed="false">
      <c r="A25" s="5" t="s">
        <v>33</v>
      </c>
      <c r="B25" s="7" t="s">
        <v>34</v>
      </c>
    </row>
    <row r="26" customFormat="false" ht="13.4" hidden="false" customHeight="false" outlineLevel="0" collapsed="false">
      <c r="A26" s="5" t="s">
        <v>35</v>
      </c>
      <c r="B26" s="6" t="s">
        <v>36</v>
      </c>
    </row>
    <row r="27" customFormat="false" ht="15" hidden="false" customHeight="false" outlineLevel="0" collapsed="false">
      <c r="A27" s="5" t="s">
        <v>37</v>
      </c>
      <c r="B27" s="7" t="s">
        <v>38</v>
      </c>
    </row>
    <row r="28" customFormat="false" ht="15" hidden="false" customHeight="false" outlineLevel="0" collapsed="false">
      <c r="A28" s="5" t="s">
        <v>39</v>
      </c>
      <c r="B28" s="7" t="s">
        <v>40</v>
      </c>
    </row>
    <row r="29" customFormat="false" ht="13.4" hidden="false" customHeight="false" outlineLevel="0" collapsed="false">
      <c r="A29" s="8" t="s">
        <v>41</v>
      </c>
      <c r="B29" s="7" t="s">
        <v>42</v>
      </c>
    </row>
    <row r="31" customFormat="false" ht="15" hidden="false" customHeight="false" outlineLevel="0" collapsed="false">
      <c r="A31" s="4" t="s">
        <v>43</v>
      </c>
    </row>
    <row r="32" customFormat="false" ht="15" hidden="false" customHeight="false" outlineLevel="0" collapsed="false">
      <c r="A32" s="5" t="s">
        <v>44</v>
      </c>
      <c r="B32" s="7" t="s">
        <v>45</v>
      </c>
    </row>
    <row r="33" customFormat="false" ht="13.4" hidden="false" customHeight="false" outlineLevel="0" collapsed="false">
      <c r="A33" s="8" t="s">
        <v>46</v>
      </c>
      <c r="B33" s="7" t="s">
        <v>47</v>
      </c>
    </row>
    <row r="34" customFormat="false" ht="13.4" hidden="false" customHeight="false" outlineLevel="0" collapsed="false">
      <c r="A34" s="8" t="s">
        <v>48</v>
      </c>
      <c r="B34" s="6" t="s">
        <v>49</v>
      </c>
    </row>
    <row r="35" customFormat="false" ht="15" hidden="false" customHeight="false" outlineLevel="0" collapsed="false">
      <c r="A35" s="5" t="s">
        <v>50</v>
      </c>
      <c r="B35" s="7" t="s">
        <v>51</v>
      </c>
    </row>
    <row r="36" customFormat="false" ht="15" hidden="false" customHeight="false" outlineLevel="0" collapsed="false">
      <c r="A36" s="5" t="s">
        <v>52</v>
      </c>
      <c r="B36" s="7" t="s">
        <v>53</v>
      </c>
    </row>
    <row r="38" customFormat="false" ht="15" hidden="false" customHeight="false" outlineLevel="0" collapsed="false">
      <c r="A38" s="4" t="s">
        <v>54</v>
      </c>
    </row>
    <row r="39" customFormat="false" ht="15" hidden="false" customHeight="false" outlineLevel="0" collapsed="false">
      <c r="A39" s="5" t="s">
        <v>55</v>
      </c>
      <c r="B39" s="7" t="s">
        <v>56</v>
      </c>
    </row>
    <row r="40" customFormat="false" ht="15" hidden="false" customHeight="false" outlineLevel="0" collapsed="false">
      <c r="A40" s="9"/>
      <c r="B40" s="7" t="s">
        <v>57</v>
      </c>
    </row>
    <row r="41" customFormat="false" ht="13.4" hidden="false" customHeight="false" outlineLevel="0" collapsed="false">
      <c r="A41" s="5" t="s">
        <v>58</v>
      </c>
      <c r="B41" s="7" t="s">
        <v>59</v>
      </c>
    </row>
    <row r="42" customFormat="false" ht="13.4" hidden="false" customHeight="false" outlineLevel="0" collapsed="false">
      <c r="A42" s="8" t="s">
        <v>60</v>
      </c>
      <c r="B42" s="7" t="s">
        <v>61</v>
      </c>
    </row>
    <row r="43" customFormat="false" ht="15" hidden="false" customHeight="false" outlineLevel="0" collapsed="false">
      <c r="A43" s="9"/>
      <c r="B43" s="6" t="s">
        <v>62</v>
      </c>
    </row>
    <row r="44" customFormat="false" ht="15" hidden="false" customHeight="false" outlineLevel="0" collapsed="false">
      <c r="A44" s="5" t="s">
        <v>63</v>
      </c>
      <c r="B44" s="7" t="s">
        <v>64</v>
      </c>
    </row>
    <row r="45" customFormat="false" ht="15" hidden="false" customHeight="false" outlineLevel="0" collapsed="false">
      <c r="A45" s="9"/>
      <c r="B45" s="7" t="s">
        <v>65</v>
      </c>
    </row>
    <row r="46" customFormat="false" ht="15" hidden="false" customHeight="false" outlineLevel="0" collapsed="false">
      <c r="A46" s="5" t="s">
        <v>66</v>
      </c>
      <c r="B46" s="7" t="s">
        <v>67</v>
      </c>
    </row>
    <row r="47" customFormat="false" ht="15" hidden="false" customHeight="false" outlineLevel="0" collapsed="false">
      <c r="A47" s="9"/>
      <c r="B47" s="7" t="s">
        <v>68</v>
      </c>
    </row>
    <row r="49" customFormat="false" ht="15" hidden="false" customHeight="false" outlineLevel="0" collapsed="false">
      <c r="A49" s="4" t="s">
        <v>69</v>
      </c>
    </row>
    <row r="50" customFormat="false" ht="15" hidden="false" customHeight="false" outlineLevel="0" collapsed="false">
      <c r="A50" s="5" t="s">
        <v>70</v>
      </c>
      <c r="B50" s="7" t="s">
        <v>71</v>
      </c>
    </row>
    <row r="51" customFormat="false" ht="15" hidden="false" customHeight="false" outlineLevel="0" collapsed="false">
      <c r="A51" s="5" t="s">
        <v>72</v>
      </c>
      <c r="B51" s="7" t="s">
        <v>73</v>
      </c>
    </row>
    <row r="52" customFormat="false" ht="15" hidden="false" customHeight="false" outlineLevel="0" collapsed="false">
      <c r="A52" s="5" t="s">
        <v>74</v>
      </c>
      <c r="B52" s="7" t="s">
        <v>75</v>
      </c>
    </row>
    <row r="53" customFormat="false" ht="15" hidden="false" customHeight="false" outlineLevel="0" collapsed="false">
      <c r="A53" s="5" t="s">
        <v>76</v>
      </c>
      <c r="B53" s="7" t="s">
        <v>77</v>
      </c>
    </row>
    <row r="54" customFormat="false" ht="15" hidden="false" customHeight="false" outlineLevel="0" collapsed="false">
      <c r="A54" s="5" t="s">
        <v>78</v>
      </c>
      <c r="B54" s="7" t="s">
        <v>79</v>
      </c>
    </row>
    <row r="55" customFormat="false" ht="15" hidden="false" customHeight="false" outlineLevel="0" collapsed="false">
      <c r="A55" s="5" t="s">
        <v>80</v>
      </c>
      <c r="B55" s="6" t="s">
        <v>81</v>
      </c>
    </row>
    <row r="56" customFormat="false" ht="15" hidden="false" customHeight="false" outlineLevel="0" collapsed="false">
      <c r="A56" s="5" t="s">
        <v>82</v>
      </c>
      <c r="B56" s="7" t="s">
        <v>83</v>
      </c>
    </row>
    <row r="57" customFormat="false" ht="15" hidden="false" customHeight="false" outlineLevel="0" collapsed="false">
      <c r="A57" s="5" t="s">
        <v>84</v>
      </c>
      <c r="B57" s="7" t="s">
        <v>85</v>
      </c>
    </row>
    <row r="59" customFormat="false" ht="15" hidden="false" customHeight="false" outlineLevel="0" collapsed="false">
      <c r="A59" s="4" t="s">
        <v>86</v>
      </c>
    </row>
    <row r="60" customFormat="false" ht="15" hidden="false" customHeight="false" outlineLevel="0" collapsed="false">
      <c r="A60" s="5" t="s">
        <v>87</v>
      </c>
      <c r="B60" s="7" t="s">
        <v>88</v>
      </c>
    </row>
    <row r="61" customFormat="false" ht="15" hidden="false" customHeight="false" outlineLevel="0" collapsed="false">
      <c r="A61" s="9"/>
      <c r="B61" s="7" t="s">
        <v>89</v>
      </c>
    </row>
    <row r="62" customFormat="false" ht="13.4" hidden="false" customHeight="false" outlineLevel="0" collapsed="false">
      <c r="A62" s="8" t="s">
        <v>90</v>
      </c>
      <c r="B62" s="7" t="s">
        <v>91</v>
      </c>
    </row>
    <row r="63" customFormat="false" ht="15" hidden="false" customHeight="false" outlineLevel="0" collapsed="false">
      <c r="A63" s="5" t="s">
        <v>92</v>
      </c>
      <c r="B63" s="7" t="s">
        <v>93</v>
      </c>
    </row>
    <row r="64" customFormat="false" ht="15" hidden="false" customHeight="false" outlineLevel="0" collapsed="false">
      <c r="A64" s="8" t="s">
        <v>94</v>
      </c>
      <c r="B64" s="7" t="s">
        <v>95</v>
      </c>
    </row>
    <row r="65" customFormat="false" ht="15" hidden="false" customHeight="false" outlineLevel="0" collapsed="false">
      <c r="A65" s="9"/>
      <c r="B65" s="7" t="s">
        <v>96</v>
      </c>
    </row>
    <row r="66" customFormat="false" ht="15" hidden="false" customHeight="false" outlineLevel="0" collapsed="false">
      <c r="A66" s="5" t="s">
        <v>97</v>
      </c>
      <c r="B66" s="7" t="s">
        <v>98</v>
      </c>
    </row>
    <row r="67" customFormat="false" ht="15" hidden="false" customHeight="false" outlineLevel="0" collapsed="false">
      <c r="A67" s="5" t="s">
        <v>99</v>
      </c>
      <c r="B67" s="7" t="s">
        <v>100</v>
      </c>
    </row>
    <row r="68" customFormat="false" ht="15" hidden="false" customHeight="false" outlineLevel="0" collapsed="false">
      <c r="A68" s="5" t="s">
        <v>101</v>
      </c>
      <c r="B68" s="7" t="s">
        <v>102</v>
      </c>
    </row>
    <row r="69" customFormat="false" ht="15" hidden="false" customHeight="false" outlineLevel="0" collapsed="false">
      <c r="A69" s="5" t="s">
        <v>103</v>
      </c>
      <c r="B69" s="7" t="s">
        <v>104</v>
      </c>
    </row>
    <row r="70" customFormat="false" ht="15" hidden="false" customHeight="false" outlineLevel="0" collapsed="false">
      <c r="A70" s="5" t="s">
        <v>105</v>
      </c>
      <c r="B70" s="7" t="s">
        <v>106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92"/>
  </cols>
  <sheetData>
    <row r="1" customFormat="false" ht="18.55" hidden="false" customHeight="false" outlineLevel="0" collapsed="false">
      <c r="A1" s="1" t="s">
        <v>107</v>
      </c>
    </row>
    <row r="2" customFormat="false" ht="15" hidden="false" customHeight="false" outlineLevel="0" collapsed="false">
      <c r="A2" s="3" t="s">
        <v>108</v>
      </c>
    </row>
    <row r="4" customFormat="false" ht="15" hidden="false" customHeight="false" outlineLevel="0" collapsed="false">
      <c r="A4" s="4" t="s">
        <v>109</v>
      </c>
    </row>
    <row r="5" customFormat="false" ht="15" hidden="false" customHeight="false" outlineLevel="0" collapsed="false">
      <c r="A5" s="5" t="s">
        <v>110</v>
      </c>
      <c r="B5" s="10" t="n">
        <v>2</v>
      </c>
      <c r="C5" s="11" t="s">
        <v>111</v>
      </c>
    </row>
    <row r="6" customFormat="false" ht="15" hidden="false" customHeight="false" outlineLevel="0" collapsed="false">
      <c r="A6" s="5" t="s">
        <v>112</v>
      </c>
      <c r="B6" s="10" t="n">
        <v>1</v>
      </c>
      <c r="C6" s="11" t="s">
        <v>113</v>
      </c>
    </row>
    <row r="7" customFormat="false" ht="15" hidden="false" customHeight="false" outlineLevel="0" collapsed="false">
      <c r="A7" s="5" t="s">
        <v>114</v>
      </c>
      <c r="B7" s="10" t="n">
        <v>1</v>
      </c>
      <c r="C7" s="11" t="s">
        <v>115</v>
      </c>
    </row>
    <row r="8" customFormat="false" ht="15" hidden="false" customHeight="false" outlineLevel="0" collapsed="false">
      <c r="A8" s="5" t="s">
        <v>116</v>
      </c>
      <c r="B8" s="10" t="n">
        <v>0</v>
      </c>
      <c r="C8" s="12" t="s">
        <v>117</v>
      </c>
    </row>
    <row r="9" customFormat="false" ht="15" hidden="false" customHeight="false" outlineLevel="0" collapsed="false">
      <c r="A9" s="5" t="s">
        <v>118</v>
      </c>
      <c r="B9" s="13" t="n">
        <v>0.0482920309178245</v>
      </c>
      <c r="C9" s="12" t="s">
        <v>119</v>
      </c>
    </row>
    <row r="10" customFormat="false" ht="15" hidden="false" customHeight="false" outlineLevel="0" collapsed="false">
      <c r="A10" s="5" t="s">
        <v>120</v>
      </c>
      <c r="B10" s="14" t="n">
        <v>2.31032557029354</v>
      </c>
      <c r="C10" s="11" t="s">
        <v>121</v>
      </c>
    </row>
    <row r="11" customFormat="false" ht="15" hidden="false" customHeight="false" outlineLevel="0" collapsed="false">
      <c r="A11" s="4" t="s">
        <v>122</v>
      </c>
    </row>
    <row r="12" customFormat="false" ht="15" hidden="false" customHeight="false" outlineLevel="0" collapsed="false">
      <c r="A12" s="5" t="s">
        <v>123</v>
      </c>
      <c r="B12" s="15" t="n">
        <v>358193925</v>
      </c>
      <c r="C12" s="12" t="s">
        <v>124</v>
      </c>
    </row>
    <row r="13" customFormat="false" ht="15" hidden="false" customHeight="false" outlineLevel="0" collapsed="false">
      <c r="A13" s="5" t="s">
        <v>125</v>
      </c>
      <c r="B13" s="16" t="n">
        <v>383342</v>
      </c>
      <c r="C13" s="12" t="s">
        <v>126</v>
      </c>
    </row>
    <row r="14" customFormat="false" ht="15" hidden="false" customHeight="false" outlineLevel="0" collapsed="false">
      <c r="A14" s="5" t="s">
        <v>127</v>
      </c>
      <c r="B14" s="13" t="n">
        <v>0.11</v>
      </c>
      <c r="C14" s="11" t="s">
        <v>128</v>
      </c>
    </row>
    <row r="15" customFormat="false" ht="15" hidden="false" customHeight="false" outlineLevel="0" collapsed="false">
      <c r="A15" s="5" t="s">
        <v>129</v>
      </c>
      <c r="B15" s="13" t="n">
        <v>0.13</v>
      </c>
      <c r="C15" s="11" t="s">
        <v>130</v>
      </c>
    </row>
    <row r="16" customFormat="false" ht="15" hidden="false" customHeight="false" outlineLevel="0" collapsed="false">
      <c r="A16" s="5" t="s">
        <v>131</v>
      </c>
      <c r="B16" s="13" t="n">
        <v>0.12</v>
      </c>
      <c r="C16" s="11" t="s">
        <v>132</v>
      </c>
    </row>
    <row r="17" customFormat="false" ht="15" hidden="false" customHeight="false" outlineLevel="0" collapsed="false">
      <c r="A17" s="5" t="s">
        <v>133</v>
      </c>
      <c r="B17" s="13" t="n">
        <v>0.09</v>
      </c>
      <c r="C17" s="11" t="s">
        <v>134</v>
      </c>
    </row>
    <row r="18" customFormat="false" ht="15" hidden="false" customHeight="false" outlineLevel="0" collapsed="false">
      <c r="A18" s="5" t="s">
        <v>135</v>
      </c>
      <c r="B18" s="13" t="n">
        <v>0.5</v>
      </c>
      <c r="C18" s="11" t="s">
        <v>136</v>
      </c>
    </row>
    <row r="19" customFormat="false" ht="15" hidden="false" customHeight="false" outlineLevel="0" collapsed="false">
      <c r="A19" s="5" t="s">
        <v>137</v>
      </c>
      <c r="B19" s="17"/>
      <c r="C19" s="12" t="s">
        <v>138</v>
      </c>
    </row>
    <row r="20" customFormat="false" ht="15" hidden="false" customHeight="false" outlineLevel="0" collapsed="false">
      <c r="A20" s="4" t="s">
        <v>139</v>
      </c>
    </row>
    <row r="21" customFormat="false" ht="15" hidden="false" customHeight="false" outlineLevel="0" collapsed="false">
      <c r="A21" s="8" t="s">
        <v>140</v>
      </c>
      <c r="B21" s="13" t="n">
        <v>0.190469655332373</v>
      </c>
      <c r="C21" s="12" t="s">
        <v>141</v>
      </c>
    </row>
    <row r="22" customFormat="false" ht="15" hidden="false" customHeight="false" outlineLevel="0" collapsed="false">
      <c r="A22" s="8" t="s">
        <v>142</v>
      </c>
      <c r="B22" s="15" t="n">
        <v>754</v>
      </c>
      <c r="C22" s="12" t="s">
        <v>143</v>
      </c>
    </row>
    <row r="23" customFormat="false" ht="15" hidden="false" customHeight="false" outlineLevel="0" collapsed="false">
      <c r="A23" s="5" t="s">
        <v>144</v>
      </c>
      <c r="B23" s="13" t="n">
        <v>0.5</v>
      </c>
      <c r="C23" s="12"/>
    </row>
    <row r="24" customFormat="false" ht="15" hidden="false" customHeight="false" outlineLevel="0" collapsed="false">
      <c r="A24" s="5" t="s">
        <v>145</v>
      </c>
      <c r="B24" s="13" t="n">
        <v>0.5</v>
      </c>
      <c r="C24" s="12" t="s">
        <v>146</v>
      </c>
    </row>
    <row r="25" customFormat="false" ht="15" hidden="false" customHeight="false" outlineLevel="0" collapsed="false">
      <c r="A25" s="4" t="s">
        <v>147</v>
      </c>
    </row>
    <row r="26" customFormat="false" ht="15" hidden="false" customHeight="false" outlineLevel="0" collapsed="false">
      <c r="A26" s="5" t="s">
        <v>148</v>
      </c>
      <c r="B26" s="13" t="n">
        <v>0.1</v>
      </c>
      <c r="C26" s="12" t="s">
        <v>149</v>
      </c>
    </row>
    <row r="27" customFormat="false" ht="13.4" hidden="false" customHeight="false" outlineLevel="0" collapsed="false">
      <c r="A27" s="8" t="s">
        <v>150</v>
      </c>
      <c r="B27" s="16" t="n">
        <v>0</v>
      </c>
      <c r="C27" s="12" t="s">
        <v>151</v>
      </c>
    </row>
    <row r="28" customFormat="false" ht="15" hidden="false" customHeight="false" outlineLevel="0" collapsed="false">
      <c r="A28" s="5" t="s">
        <v>152</v>
      </c>
      <c r="B28" s="13" t="n">
        <v>1</v>
      </c>
      <c r="C28" s="12" t="s">
        <v>153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1"/>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154</v>
      </c>
    </row>
    <row r="2" customFormat="false" ht="15" hidden="false" customHeight="false" outlineLevel="0" collapsed="false">
      <c r="A2" s="3" t="s">
        <v>155</v>
      </c>
    </row>
    <row r="3" customFormat="false" ht="15" hidden="false" customHeight="false" outlineLevel="0" collapsed="false">
      <c r="A3" s="3" t="s">
        <v>156</v>
      </c>
    </row>
    <row r="6" customFormat="false" ht="45.75" hidden="false" customHeight="true" outlineLevel="0" collapsed="false">
      <c r="A6" s="18" t="s">
        <v>157</v>
      </c>
      <c r="B6" s="18" t="s">
        <v>158</v>
      </c>
      <c r="C6" s="19" t="s">
        <v>159</v>
      </c>
      <c r="D6" s="19" t="s">
        <v>160</v>
      </c>
      <c r="E6" s="20" t="s">
        <v>161</v>
      </c>
      <c r="F6" s="21" t="s">
        <v>162</v>
      </c>
      <c r="G6" s="21" t="s">
        <v>163</v>
      </c>
      <c r="H6" s="21" t="s">
        <v>164</v>
      </c>
      <c r="I6" s="22" t="s">
        <v>165</v>
      </c>
      <c r="J6" s="22" t="s">
        <v>166</v>
      </c>
      <c r="K6" s="22" t="s">
        <v>167</v>
      </c>
      <c r="L6" s="23" t="s">
        <v>168</v>
      </c>
      <c r="M6" s="23" t="s">
        <v>169</v>
      </c>
      <c r="N6" s="23" t="s">
        <v>170</v>
      </c>
      <c r="O6" s="24" t="s">
        <v>171</v>
      </c>
      <c r="P6" s="25" t="s">
        <v>172</v>
      </c>
      <c r="Q6" s="25" t="s">
        <v>173</v>
      </c>
      <c r="R6" s="25" t="s">
        <v>174</v>
      </c>
      <c r="S6" s="25" t="s">
        <v>175</v>
      </c>
      <c r="T6" s="25" t="s">
        <v>176</v>
      </c>
      <c r="U6" s="25" t="s">
        <v>177</v>
      </c>
      <c r="V6" s="25" t="s">
        <v>178</v>
      </c>
      <c r="W6" s="25" t="s">
        <v>179</v>
      </c>
    </row>
    <row r="7" customFormat="false" ht="15" hidden="false" customHeight="false" outlineLevel="0" collapsed="false">
      <c r="A7" s="26" t="n">
        <v>1</v>
      </c>
      <c r="B7" s="26" t="s">
        <v>180</v>
      </c>
      <c r="C7" s="27" t="s">
        <v>181</v>
      </c>
      <c r="D7" s="28" t="n">
        <v>500</v>
      </c>
      <c r="E7" s="29" t="n">
        <v>205</v>
      </c>
      <c r="F7" s="29" t="n">
        <v>605</v>
      </c>
      <c r="G7" s="29" t="n">
        <v>1316</v>
      </c>
      <c r="H7" s="30" t="n">
        <f aca="false">IF(F7=0,"",G7*(1+前提・入力!$B$9)/F7)</f>
        <v>2.28025175650885</v>
      </c>
      <c r="I7" s="29" t="n">
        <v>419</v>
      </c>
      <c r="J7" s="29" t="n">
        <v>987</v>
      </c>
      <c r="K7" s="30" t="n">
        <f aca="false">IF(I7=0,"",J7/I7)</f>
        <v>2.35560859188544</v>
      </c>
      <c r="L7" s="29" t="n">
        <v>944</v>
      </c>
      <c r="M7" s="29" t="n">
        <v>2325</v>
      </c>
      <c r="N7" s="30" t="n">
        <f aca="false">IF(L7=0,"",M7/L7)</f>
        <v>2.46292372881356</v>
      </c>
      <c r="O7" s="30" t="n">
        <f aca="false">IFERROR((IF(N7="",0,N7*前提・入力!$B$5)+IF(K7="",0,K7*前提・入力!$B$6)+IF(H7="",0,H7*前提・入力!$B$7))/(IF(N7="",0,前提・入力!$B$5)+IF(K7="",0,前提・入力!$B$6)+IF(H7="",0,前提・入力!$B$7)),前提・入力!$B$10)</f>
        <v>2.39042695150535</v>
      </c>
      <c r="P7" s="29" t="n">
        <f aca="false">ROUND(E7*O7,0)</f>
        <v>490</v>
      </c>
      <c r="Q7" s="28" t="n">
        <f aca="false">P7*D7</f>
        <v>245000</v>
      </c>
      <c r="R7" s="31" t="n">
        <f aca="false">IFERROR(P7/P$49,0)</f>
        <v>0.0517204982056154</v>
      </c>
      <c r="S7" s="29" t="n">
        <v>1000</v>
      </c>
      <c r="T7" s="31" t="n">
        <f aca="false">IFERROR(P7/S7,0)</f>
        <v>0.49</v>
      </c>
      <c r="U7" s="29" t="n">
        <f aca="false">MAX(0,S7-P7)</f>
        <v>510</v>
      </c>
      <c r="V7" s="32" t="n">
        <f aca="false">P7-S7</f>
        <v>-510</v>
      </c>
      <c r="W7" s="33" t="str">
        <f aca="false">IF(V7&gt;0,"会期中に在庫切れ",IF(T7&gt;=0.9,"要注意(90%超)",IF(T7&gt;=0.5,"適正","在庫余剰")))</f>
        <v>在庫余剰</v>
      </c>
    </row>
    <row r="8" customFormat="false" ht="15" hidden="false" customHeight="false" outlineLevel="0" collapsed="false">
      <c r="A8" s="26" t="n">
        <v>2</v>
      </c>
      <c r="B8" s="26" t="s">
        <v>182</v>
      </c>
      <c r="C8" s="27" t="s">
        <v>183</v>
      </c>
      <c r="D8" s="28" t="n">
        <v>600</v>
      </c>
      <c r="E8" s="29" t="n">
        <v>233</v>
      </c>
      <c r="F8" s="29" t="n">
        <v>616</v>
      </c>
      <c r="G8" s="29" t="n">
        <v>1466</v>
      </c>
      <c r="H8" s="30" t="n">
        <f aca="false">IF(F8=0,"",G8*(1+前提・入力!$B$9)/F8)</f>
        <v>2.49479889176223</v>
      </c>
      <c r="I8" s="29" t="n">
        <v>363</v>
      </c>
      <c r="J8" s="29" t="n">
        <v>898</v>
      </c>
      <c r="K8" s="30" t="n">
        <f aca="false">IF(I8=0,"",J8/I8)</f>
        <v>2.47382920110193</v>
      </c>
      <c r="L8" s="29" t="n">
        <v>854</v>
      </c>
      <c r="M8" s="29" t="n">
        <v>1965</v>
      </c>
      <c r="N8" s="30" t="n">
        <f aca="false">IF(L8=0,"",M8/L8)</f>
        <v>2.30093676814988</v>
      </c>
      <c r="O8" s="30" t="n">
        <f aca="false">IFERROR((IF(N8="",0,N8*前提・入力!$B$5)+IF(K8="",0,K8*前提・入力!$B$6)+IF(H8="",0,H8*前提・入力!$B$7))/(IF(N8="",0,前提・入力!$B$5)+IF(K8="",0,前提・入力!$B$6)+IF(H8="",0,前提・入力!$B$7)),前提・入力!$B$10)</f>
        <v>2.39262540729098</v>
      </c>
      <c r="P8" s="29" t="n">
        <f aca="false">ROUND(E8*O8,0)</f>
        <v>557</v>
      </c>
      <c r="Q8" s="28" t="n">
        <f aca="false">P8*D8</f>
        <v>334200</v>
      </c>
      <c r="R8" s="31" t="n">
        <f aca="false">IFERROR(P8/P$49,0)</f>
        <v>0.0587924846949546</v>
      </c>
      <c r="S8" s="29" t="n">
        <v>1000</v>
      </c>
      <c r="T8" s="31" t="n">
        <f aca="false">IFERROR(P8/S8,0)</f>
        <v>0.557</v>
      </c>
      <c r="U8" s="29" t="n">
        <f aca="false">MAX(0,S8-P8)</f>
        <v>443</v>
      </c>
      <c r="V8" s="32" t="n">
        <f aca="false">P8-S8</f>
        <v>-443</v>
      </c>
      <c r="W8" s="33" t="str">
        <f aca="false">IF(V8&gt;0,"会期中に在庫切れ",IF(T8&gt;=0.9,"要注意(90%超)",IF(T8&gt;=0.5,"適正","在庫余剰")))</f>
        <v>適正</v>
      </c>
    </row>
    <row r="9" customFormat="false" ht="15" hidden="false" customHeight="false" outlineLevel="0" collapsed="false">
      <c r="A9" s="26" t="n">
        <v>3</v>
      </c>
      <c r="B9" s="26" t="s">
        <v>184</v>
      </c>
      <c r="C9" s="27" t="s">
        <v>185</v>
      </c>
      <c r="D9" s="28" t="n">
        <v>1000</v>
      </c>
      <c r="E9" s="29" t="n">
        <v>84</v>
      </c>
      <c r="F9" s="29" t="n">
        <v>349</v>
      </c>
      <c r="G9" s="29" t="n">
        <v>601</v>
      </c>
      <c r="H9" s="30" t="n">
        <f aca="false">IF(F9=0,"",G9*(1+前提・入力!$B$9)/F9)</f>
        <v>1.80522495868657</v>
      </c>
      <c r="I9" s="29" t="n">
        <v>166</v>
      </c>
      <c r="J9" s="29" t="n">
        <v>384</v>
      </c>
      <c r="K9" s="30" t="n">
        <f aca="false">IF(I9=0,"",J9/I9)</f>
        <v>2.31325301204819</v>
      </c>
      <c r="L9" s="29" t="n">
        <v>560</v>
      </c>
      <c r="M9" s="29" t="n">
        <v>1132</v>
      </c>
      <c r="N9" s="30" t="n">
        <f aca="false">IF(L9=0,"",M9/L9)</f>
        <v>2.02142857142857</v>
      </c>
      <c r="O9" s="30" t="n">
        <f aca="false">IFERROR((IF(N9="",0,N9*前提・入力!$B$5)+IF(K9="",0,K9*前提・入力!$B$6)+IF(H9="",0,H9*前提・入力!$B$7))/(IF(N9="",0,前提・入力!$B$5)+IF(K9="",0,前提・入力!$B$6)+IF(H9="",0,前提・入力!$B$7)),前提・入力!$B$10)</f>
        <v>2.04033377839798</v>
      </c>
      <c r="P9" s="29" t="n">
        <f aca="false">ROUND(E9*O9,0)</f>
        <v>171</v>
      </c>
      <c r="Q9" s="28" t="n">
        <f aca="false">P9*D9</f>
        <v>171000</v>
      </c>
      <c r="R9" s="31" t="n">
        <f aca="false">IFERROR(P9/P$49,0)</f>
        <v>0.0180493983533882</v>
      </c>
      <c r="S9" s="29" t="n">
        <v>450</v>
      </c>
      <c r="T9" s="31" t="n">
        <f aca="false">IFERROR(P9/S9,0)</f>
        <v>0.38</v>
      </c>
      <c r="U9" s="29" t="n">
        <f aca="false">MAX(0,S9-P9)</f>
        <v>279</v>
      </c>
      <c r="V9" s="32" t="n">
        <f aca="false">P9-S9</f>
        <v>-279</v>
      </c>
      <c r="W9" s="33" t="str">
        <f aca="false">IF(V9&gt;0,"会期中に在庫切れ",IF(T9&gt;=0.9,"要注意(90%超)",IF(T9&gt;=0.5,"適正","在庫余剰")))</f>
        <v>在庫余剰</v>
      </c>
    </row>
    <row r="10" customFormat="false" ht="15" hidden="false" customHeight="false" outlineLevel="0" collapsed="false">
      <c r="A10" s="26" t="n">
        <v>4</v>
      </c>
      <c r="B10" s="26" t="s">
        <v>186</v>
      </c>
      <c r="C10" s="27" t="s">
        <v>187</v>
      </c>
      <c r="D10" s="28" t="n">
        <v>1800</v>
      </c>
      <c r="E10" s="29" t="n">
        <v>122</v>
      </c>
      <c r="F10" s="29" t="n">
        <v>553</v>
      </c>
      <c r="G10" s="29" t="n">
        <v>922</v>
      </c>
      <c r="H10" s="30" t="n">
        <f aca="false">IF(F10=0,"",G10*(1+前提・入力!$B$9)/F10)</f>
        <v>1.74778526673822</v>
      </c>
      <c r="I10" s="29" t="n">
        <v>212</v>
      </c>
      <c r="J10" s="29" t="n">
        <v>442</v>
      </c>
      <c r="K10" s="30" t="n">
        <f aca="false">IF(I10=0,"",J10/I10)</f>
        <v>2.08490566037736</v>
      </c>
      <c r="L10" s="29" t="n">
        <v>622</v>
      </c>
      <c r="M10" s="29" t="n">
        <v>1310</v>
      </c>
      <c r="N10" s="30" t="n">
        <f aca="false">IF(L10=0,"",M10/L10)</f>
        <v>2.10610932475884</v>
      </c>
      <c r="O10" s="30" t="n">
        <f aca="false">IFERROR((IF(N10="",0,N10*前提・入力!$B$5)+IF(K10="",0,K10*前提・入力!$B$6)+IF(H10="",0,H10*前提・入力!$B$7))/(IF(N10="",0,前提・入力!$B$5)+IF(K10="",0,前提・入力!$B$6)+IF(H10="",0,前提・入力!$B$7)),前提・入力!$B$10)</f>
        <v>2.01122739415832</v>
      </c>
      <c r="P10" s="29" t="n">
        <f aca="false">ROUND(E10*O10,0)</f>
        <v>245</v>
      </c>
      <c r="Q10" s="28" t="n">
        <f aca="false">P10*D10</f>
        <v>441000</v>
      </c>
      <c r="R10" s="31" t="n">
        <f aca="false">IFERROR(P10/P$49,0)</f>
        <v>0.0258602491028077</v>
      </c>
      <c r="S10" s="29" t="n">
        <v>800</v>
      </c>
      <c r="T10" s="31" t="n">
        <f aca="false">IFERROR(P10/S10,0)</f>
        <v>0.30625</v>
      </c>
      <c r="U10" s="29" t="n">
        <f aca="false">MAX(0,S10-P10)</f>
        <v>555</v>
      </c>
      <c r="V10" s="32" t="n">
        <f aca="false">P10-S10</f>
        <v>-555</v>
      </c>
      <c r="W10" s="33" t="str">
        <f aca="false">IF(V10&gt;0,"会期中に在庫切れ",IF(T10&gt;=0.9,"要注意(90%超)",IF(T10&gt;=0.5,"適正","在庫余剰")))</f>
        <v>在庫余剰</v>
      </c>
    </row>
    <row r="11" customFormat="false" ht="15" hidden="false" customHeight="false" outlineLevel="0" collapsed="false">
      <c r="A11" s="26" t="n">
        <v>5</v>
      </c>
      <c r="B11" s="26" t="s">
        <v>188</v>
      </c>
      <c r="C11" s="27" t="s">
        <v>189</v>
      </c>
      <c r="D11" s="28" t="n">
        <v>600</v>
      </c>
      <c r="E11" s="29" t="n">
        <v>247</v>
      </c>
      <c r="F11" s="29" t="n">
        <v>5070</v>
      </c>
      <c r="G11" s="29" t="n">
        <v>10777</v>
      </c>
      <c r="H11" s="30" t="n">
        <f aca="false">IF(F11=0,"",G11*(1+前提・入力!$B$9)/F11)</f>
        <v>2.22829254777148</v>
      </c>
      <c r="I11" s="29" t="n">
        <v>2232</v>
      </c>
      <c r="J11" s="29" t="n">
        <v>6948</v>
      </c>
      <c r="K11" s="30" t="n">
        <f aca="false">IF(I11=0,"",J11/I11)</f>
        <v>3.11290322580645</v>
      </c>
      <c r="L11" s="29" t="n">
        <v>4704</v>
      </c>
      <c r="M11" s="29" t="n">
        <v>8936</v>
      </c>
      <c r="N11" s="30" t="n">
        <f aca="false">IF(L11=0,"",M11/L11)</f>
        <v>1.89965986394558</v>
      </c>
      <c r="O11" s="30" t="n">
        <f aca="false">IFERROR((IF(N11="",0,N11*前提・入力!$B$5)+IF(K11="",0,K11*前提・入力!$B$6)+IF(H11="",0,H11*前提・入力!$B$7))/(IF(N11="",0,前提・入力!$B$5)+IF(K11="",0,前提・入力!$B$6)+IF(H11="",0,前提・入力!$B$7)),前提・入力!$B$10)</f>
        <v>2.28512887536727</v>
      </c>
      <c r="P11" s="29" t="n">
        <f aca="false">ROUND(E11*O11,0)</f>
        <v>564</v>
      </c>
      <c r="Q11" s="28" t="n">
        <f aca="false">P11*D11</f>
        <v>338400</v>
      </c>
      <c r="R11" s="31" t="n">
        <f aca="false">IFERROR(P11/P$49,0)</f>
        <v>0.0595313489550348</v>
      </c>
      <c r="S11" s="29" t="n">
        <v>9000</v>
      </c>
      <c r="T11" s="31" t="n">
        <f aca="false">IFERROR(P11/S11,0)</f>
        <v>0.0626666666666667</v>
      </c>
      <c r="U11" s="29" t="n">
        <f aca="false">MAX(0,S11-P11)</f>
        <v>8436</v>
      </c>
      <c r="V11" s="32" t="n">
        <f aca="false">P11-S11</f>
        <v>-8436</v>
      </c>
      <c r="W11" s="33" t="str">
        <f aca="false">IF(V11&gt;0,"会期中に在庫切れ",IF(T11&gt;=0.9,"要注意(90%超)",IF(T11&gt;=0.5,"適正","在庫余剰")))</f>
        <v>在庫余剰</v>
      </c>
    </row>
    <row r="12" customFormat="false" ht="15" hidden="false" customHeight="false" outlineLevel="0" collapsed="false">
      <c r="A12" s="26" t="n">
        <v>6</v>
      </c>
      <c r="B12" s="26" t="s">
        <v>190</v>
      </c>
      <c r="C12" s="27" t="s">
        <v>191</v>
      </c>
      <c r="D12" s="28" t="n">
        <v>600</v>
      </c>
      <c r="E12" s="29" t="n">
        <v>616</v>
      </c>
      <c r="F12" s="29" t="n">
        <v>6714</v>
      </c>
      <c r="G12" s="29" t="n">
        <v>15602</v>
      </c>
      <c r="H12" s="30" t="n">
        <f aca="false">IF(F12=0,"",G12*(1+前提・入力!$B$9)/F12)</f>
        <v>2.4360220831665</v>
      </c>
      <c r="I12" s="29" t="n">
        <v>2836</v>
      </c>
      <c r="J12" s="29" t="n">
        <v>8314</v>
      </c>
      <c r="K12" s="30" t="n">
        <f aca="false">IF(I12=0,"",J12/I12)</f>
        <v>2.93159379407616</v>
      </c>
      <c r="L12" s="29" t="n">
        <v>7722</v>
      </c>
      <c r="M12" s="29" t="n">
        <v>18611</v>
      </c>
      <c r="N12" s="30" t="n">
        <f aca="false">IF(L12=0,"",M12/L12)</f>
        <v>2.41012691012691</v>
      </c>
      <c r="O12" s="30" t="n">
        <f aca="false">IFERROR((IF(N12="",0,N12*前提・入力!$B$5)+IF(K12="",0,K12*前提・入力!$B$6)+IF(H12="",0,H12*前提・入力!$B$7))/(IF(N12="",0,前提・入力!$B$5)+IF(K12="",0,前提・入力!$B$6)+IF(H12="",0,前提・入力!$B$7)),前提・入力!$B$10)</f>
        <v>2.54696742437412</v>
      </c>
      <c r="P12" s="29" t="n">
        <f aca="false">ROUND(E12*O12,0)</f>
        <v>1569</v>
      </c>
      <c r="Q12" s="28" t="n">
        <f aca="false">P12*D12</f>
        <v>941400</v>
      </c>
      <c r="R12" s="31" t="n">
        <f aca="false">IFERROR(P12/P$49,0)</f>
        <v>0.165611146295124</v>
      </c>
      <c r="S12" s="29" t="n">
        <v>13991</v>
      </c>
      <c r="T12" s="31" t="n">
        <f aca="false">IFERROR(P12/S12,0)</f>
        <v>0.112143520834822</v>
      </c>
      <c r="U12" s="29" t="n">
        <f aca="false">MAX(0,S12-P12)</f>
        <v>12422</v>
      </c>
      <c r="V12" s="32" t="n">
        <f aca="false">P12-S12</f>
        <v>-12422</v>
      </c>
      <c r="W12" s="33" t="str">
        <f aca="false">IF(V12&gt;0,"会期中に在庫切れ",IF(T12&gt;=0.9,"要注意(90%超)",IF(T12&gt;=0.5,"適正","在庫余剰")))</f>
        <v>在庫余剰</v>
      </c>
    </row>
    <row r="13" customFormat="false" ht="15" hidden="false" customHeight="false" outlineLevel="0" collapsed="false">
      <c r="A13" s="26" t="n">
        <v>7</v>
      </c>
      <c r="B13" s="26" t="s">
        <v>192</v>
      </c>
      <c r="C13" s="27" t="s">
        <v>193</v>
      </c>
      <c r="D13" s="28" t="n">
        <v>600</v>
      </c>
      <c r="E13" s="29" t="n">
        <v>79</v>
      </c>
      <c r="F13" s="29" t="n">
        <v>209</v>
      </c>
      <c r="G13" s="29" t="n">
        <v>520</v>
      </c>
      <c r="H13" s="30" t="n">
        <f aca="false">IF(F13=0,"",G13*(1+前提・入力!$B$9)/F13)</f>
        <v>2.6081906989343</v>
      </c>
      <c r="I13" s="29" t="n">
        <v>148</v>
      </c>
      <c r="J13" s="29" t="n">
        <v>349</v>
      </c>
      <c r="K13" s="30" t="n">
        <f aca="false">IF(I13=0,"",J13/I13)</f>
        <v>2.35810810810811</v>
      </c>
      <c r="L13" s="29" t="n">
        <v>384</v>
      </c>
      <c r="M13" s="29" t="n">
        <v>940</v>
      </c>
      <c r="N13" s="30" t="n">
        <f aca="false">IF(L13=0,"",M13/L13)</f>
        <v>2.44791666666667</v>
      </c>
      <c r="O13" s="30" t="n">
        <f aca="false">IFERROR((IF(N13="",0,N13*前提・入力!$B$5)+IF(K13="",0,K13*前提・入力!$B$6)+IF(H13="",0,H13*前提・入力!$B$7))/(IF(N13="",0,前提・入力!$B$5)+IF(K13="",0,前提・入力!$B$6)+IF(H13="",0,前提・入力!$B$7)),前提・入力!$B$10)</f>
        <v>2.46553303509394</v>
      </c>
      <c r="P13" s="29" t="n">
        <f aca="false">ROUND(E13*O13,0)</f>
        <v>195</v>
      </c>
      <c r="Q13" s="28" t="n">
        <f aca="false">P13*D13</f>
        <v>117000</v>
      </c>
      <c r="R13" s="31" t="n">
        <f aca="false">IFERROR(P13/P$49,0)</f>
        <v>0.0205826472450918</v>
      </c>
      <c r="S13" s="29" t="n">
        <v>350</v>
      </c>
      <c r="T13" s="31" t="n">
        <f aca="false">IFERROR(P13/S13,0)</f>
        <v>0.557142857142857</v>
      </c>
      <c r="U13" s="29" t="n">
        <f aca="false">MAX(0,S13-P13)</f>
        <v>155</v>
      </c>
      <c r="V13" s="32" t="n">
        <f aca="false">P13-S13</f>
        <v>-155</v>
      </c>
      <c r="W13" s="33" t="str">
        <f aca="false">IF(V13&gt;0,"会期中に在庫切れ",IF(T13&gt;=0.9,"要注意(90%超)",IF(T13&gt;=0.5,"適正","在庫余剰")))</f>
        <v>適正</v>
      </c>
    </row>
    <row r="14" customFormat="false" ht="15" hidden="false" customHeight="false" outlineLevel="0" collapsed="false">
      <c r="A14" s="26" t="n">
        <v>8</v>
      </c>
      <c r="B14" s="26" t="s">
        <v>194</v>
      </c>
      <c r="C14" s="27" t="s">
        <v>195</v>
      </c>
      <c r="D14" s="28" t="n">
        <v>600</v>
      </c>
      <c r="E14" s="29" t="n">
        <v>135</v>
      </c>
      <c r="F14" s="29" t="n">
        <v>432</v>
      </c>
      <c r="G14" s="29" t="n">
        <v>1107</v>
      </c>
      <c r="H14" s="30" t="n">
        <f aca="false">IF(F14=0,"",G14*(1+前提・入力!$B$9)/F14)</f>
        <v>2.68624832922693</v>
      </c>
      <c r="I14" s="29" t="n">
        <v>235</v>
      </c>
      <c r="J14" s="29" t="n">
        <v>608</v>
      </c>
      <c r="K14" s="30" t="n">
        <f aca="false">IF(I14=0,"",J14/I14)</f>
        <v>2.58723404255319</v>
      </c>
      <c r="L14" s="29" t="n">
        <v>715</v>
      </c>
      <c r="M14" s="29" t="n">
        <v>1758</v>
      </c>
      <c r="N14" s="30" t="n">
        <f aca="false">IF(L14=0,"",M14/L14)</f>
        <v>2.45874125874126</v>
      </c>
      <c r="O14" s="30" t="n">
        <f aca="false">IFERROR((IF(N14="",0,N14*前提・入力!$B$5)+IF(K14="",0,K14*前提・入力!$B$6)+IF(H14="",0,H14*前提・入力!$B$7))/(IF(N14="",0,前提・入力!$B$5)+IF(K14="",0,前提・入力!$B$6)+IF(H14="",0,前提・入力!$B$7)),前提・入力!$B$10)</f>
        <v>2.54774122231566</v>
      </c>
      <c r="P14" s="29" t="n">
        <f aca="false">ROUND(E14*O14,0)</f>
        <v>344</v>
      </c>
      <c r="Q14" s="28" t="n">
        <f aca="false">P14*D14</f>
        <v>206400</v>
      </c>
      <c r="R14" s="31" t="n">
        <f aca="false">IFERROR(P14/P$49,0)</f>
        <v>0.0363099007810851</v>
      </c>
      <c r="S14" s="29" t="n">
        <v>900</v>
      </c>
      <c r="T14" s="31" t="n">
        <f aca="false">IFERROR(P14/S14,0)</f>
        <v>0.382222222222222</v>
      </c>
      <c r="U14" s="29" t="n">
        <f aca="false">MAX(0,S14-P14)</f>
        <v>556</v>
      </c>
      <c r="V14" s="32" t="n">
        <f aca="false">P14-S14</f>
        <v>-556</v>
      </c>
      <c r="W14" s="33" t="str">
        <f aca="false">IF(V14&gt;0,"会期中に在庫切れ",IF(T14&gt;=0.9,"要注意(90%超)",IF(T14&gt;=0.5,"適正","在庫余剰")))</f>
        <v>在庫余剰</v>
      </c>
    </row>
    <row r="15" customFormat="false" ht="15" hidden="false" customHeight="false" outlineLevel="0" collapsed="false">
      <c r="A15" s="26" t="n">
        <v>9</v>
      </c>
      <c r="B15" s="26" t="s">
        <v>196</v>
      </c>
      <c r="C15" s="27" t="s">
        <v>197</v>
      </c>
      <c r="D15" s="28" t="n">
        <v>600</v>
      </c>
      <c r="E15" s="29" t="n">
        <v>75</v>
      </c>
      <c r="F15" s="29" t="n">
        <v>197</v>
      </c>
      <c r="G15" s="29" t="n">
        <v>313</v>
      </c>
      <c r="H15" s="30" t="n">
        <f aca="false">IF(F15=0,"",G15*(1+前提・入力!$B$9)/F15)</f>
        <v>1.66556043491005</v>
      </c>
      <c r="I15" s="29" t="n">
        <v>141</v>
      </c>
      <c r="J15" s="29" t="n">
        <v>265</v>
      </c>
      <c r="K15" s="30" t="n">
        <f aca="false">IF(I15=0,"",J15/I15)</f>
        <v>1.87943262411348</v>
      </c>
      <c r="L15" s="29" t="n">
        <v>390</v>
      </c>
      <c r="M15" s="29" t="n">
        <v>743</v>
      </c>
      <c r="N15" s="30" t="n">
        <f aca="false">IF(L15=0,"",M15/L15)</f>
        <v>1.90512820512821</v>
      </c>
      <c r="O15" s="30" t="n">
        <f aca="false">IFERROR((IF(N15="",0,N15*前提・入力!$B$5)+IF(K15="",0,K15*前提・入力!$B$6)+IF(H15="",0,H15*前提・入力!$B$7))/(IF(N15="",0,前提・入力!$B$5)+IF(K15="",0,前提・入力!$B$6)+IF(H15="",0,前提・入力!$B$7)),前提・入力!$B$10)</f>
        <v>1.83881236731998</v>
      </c>
      <c r="P15" s="29" t="n">
        <f aca="false">ROUND(E15*O15,0)</f>
        <v>138</v>
      </c>
      <c r="Q15" s="28" t="n">
        <f aca="false">P15*D15</f>
        <v>82800</v>
      </c>
      <c r="R15" s="31" t="n">
        <f aca="false">IFERROR(P15/P$49,0)</f>
        <v>0.0145661811272958</v>
      </c>
      <c r="S15" s="29" t="n">
        <v>300</v>
      </c>
      <c r="T15" s="31" t="n">
        <f aca="false">IFERROR(P15/S15,0)</f>
        <v>0.46</v>
      </c>
      <c r="U15" s="29" t="n">
        <f aca="false">MAX(0,S15-P15)</f>
        <v>162</v>
      </c>
      <c r="V15" s="32" t="n">
        <f aca="false">P15-S15</f>
        <v>-162</v>
      </c>
      <c r="W15" s="33" t="str">
        <f aca="false">IF(V15&gt;0,"会期中に在庫切れ",IF(T15&gt;=0.9,"要注意(90%超)",IF(T15&gt;=0.5,"適正","在庫余剰")))</f>
        <v>在庫余剰</v>
      </c>
    </row>
    <row r="16" customFormat="false" ht="15" hidden="false" customHeight="false" outlineLevel="0" collapsed="false">
      <c r="A16" s="26" t="n">
        <v>10</v>
      </c>
      <c r="B16" s="26" t="s">
        <v>198</v>
      </c>
      <c r="C16" s="27" t="s">
        <v>199</v>
      </c>
      <c r="D16" s="28" t="n">
        <v>600</v>
      </c>
      <c r="E16" s="29" t="n">
        <v>30</v>
      </c>
      <c r="F16" s="29" t="n">
        <v>78</v>
      </c>
      <c r="G16" s="29" t="n">
        <v>141</v>
      </c>
      <c r="H16" s="30" t="n">
        <f aca="false">IF(F16=0,"",G16*(1+前提・入力!$B$9)/F16)</f>
        <v>1.8949894405053</v>
      </c>
      <c r="I16" s="29" t="n">
        <v>65</v>
      </c>
      <c r="J16" s="29" t="n">
        <v>108</v>
      </c>
      <c r="K16" s="30" t="n">
        <f aca="false">IF(I16=0,"",J16/I16)</f>
        <v>1.66153846153846</v>
      </c>
      <c r="L16" s="29" t="n">
        <v>141</v>
      </c>
      <c r="M16" s="29" t="n">
        <v>277</v>
      </c>
      <c r="N16" s="30" t="n">
        <f aca="false">IF(L16=0,"",M16/L16)</f>
        <v>1.9645390070922</v>
      </c>
      <c r="O16" s="30" t="n">
        <f aca="false">IFERROR((IF(N16="",0,N16*前提・入力!$B$5)+IF(K16="",0,K16*前提・入力!$B$6)+IF(H16="",0,H16*前提・入力!$B$7))/(IF(N16="",0,前提・入力!$B$5)+IF(K16="",0,前提・入力!$B$6)+IF(H16="",0,前提・入力!$B$7)),前提・入力!$B$10)</f>
        <v>1.87140147905704</v>
      </c>
      <c r="P16" s="29" t="n">
        <f aca="false">ROUND(E16*O16,0)</f>
        <v>56</v>
      </c>
      <c r="Q16" s="28" t="n">
        <f aca="false">P16*D16</f>
        <v>33600</v>
      </c>
      <c r="R16" s="31" t="n">
        <f aca="false">IFERROR(P16/P$49,0)</f>
        <v>0.00591091408064176</v>
      </c>
      <c r="S16" s="29" t="n">
        <v>100</v>
      </c>
      <c r="T16" s="31" t="n">
        <f aca="false">IFERROR(P16/S16,0)</f>
        <v>0.56</v>
      </c>
      <c r="U16" s="29" t="n">
        <f aca="false">MAX(0,S16-P16)</f>
        <v>44</v>
      </c>
      <c r="V16" s="32" t="n">
        <f aca="false">P16-S16</f>
        <v>-44</v>
      </c>
      <c r="W16" s="33" t="str">
        <f aca="false">IF(V16&gt;0,"会期中に在庫切れ",IF(T16&gt;=0.9,"要注意(90%超)",IF(T16&gt;=0.5,"適正","在庫余剰")))</f>
        <v>適正</v>
      </c>
    </row>
    <row r="17" customFormat="false" ht="15" hidden="false" customHeight="false" outlineLevel="0" collapsed="false">
      <c r="A17" s="26" t="n">
        <v>11</v>
      </c>
      <c r="B17" s="26" t="s">
        <v>200</v>
      </c>
      <c r="C17" s="27" t="s">
        <v>201</v>
      </c>
      <c r="D17" s="28" t="n">
        <v>600</v>
      </c>
      <c r="E17" s="29" t="n">
        <v>8</v>
      </c>
      <c r="F17" s="29" t="n">
        <v>8</v>
      </c>
      <c r="G17" s="29" t="n">
        <v>37</v>
      </c>
      <c r="H17" s="30" t="n">
        <f aca="false">IF(F17=0,"",G17*(1+前提・入力!$B$9)/F17)</f>
        <v>4.84835064299494</v>
      </c>
      <c r="I17" s="29" t="n">
        <v>10</v>
      </c>
      <c r="J17" s="29" t="n">
        <v>30</v>
      </c>
      <c r="K17" s="30" t="n">
        <f aca="false">IF(I17=0,"",J17/I17)</f>
        <v>3</v>
      </c>
      <c r="L17" s="29" t="n">
        <v>27</v>
      </c>
      <c r="M17" s="29" t="n">
        <v>78</v>
      </c>
      <c r="N17" s="30" t="n">
        <f aca="false">IF(L17=0,"",M17/L17)</f>
        <v>2.88888888888889</v>
      </c>
      <c r="O17" s="30" t="n">
        <f aca="false">IFERROR((IF(N17="",0,N17*前提・入力!$B$5)+IF(K17="",0,K17*前提・入力!$B$6)+IF(H17="",0,H17*前提・入力!$B$7))/(IF(N17="",0,前提・入力!$B$5)+IF(K17="",0,前提・入力!$B$6)+IF(H17="",0,前提・入力!$B$7)),前提・入力!$B$10)</f>
        <v>3.40653210519318</v>
      </c>
      <c r="P17" s="29" t="n">
        <f aca="false">ROUND(E17*O17,0)</f>
        <v>27</v>
      </c>
      <c r="Q17" s="28" t="n">
        <f aca="false">P17*D17</f>
        <v>16200</v>
      </c>
      <c r="R17" s="31" t="n">
        <f aca="false">IFERROR(P17/P$49,0)</f>
        <v>0.00284990500316656</v>
      </c>
      <c r="S17" s="29" t="n">
        <v>50</v>
      </c>
      <c r="T17" s="31" t="n">
        <f aca="false">IFERROR(P17/S17,0)</f>
        <v>0.54</v>
      </c>
      <c r="U17" s="29" t="n">
        <f aca="false">MAX(0,S17-P17)</f>
        <v>23</v>
      </c>
      <c r="V17" s="32" t="n">
        <f aca="false">P17-S17</f>
        <v>-23</v>
      </c>
      <c r="W17" s="33" t="str">
        <f aca="false">IF(V17&gt;0,"会期中に在庫切れ",IF(T17&gt;=0.9,"要注意(90%超)",IF(T17&gt;=0.5,"適正","在庫余剰")))</f>
        <v>適正</v>
      </c>
    </row>
    <row r="18" customFormat="false" ht="15" hidden="false" customHeight="false" outlineLevel="0" collapsed="false">
      <c r="A18" s="26" t="n">
        <v>12</v>
      </c>
      <c r="B18" s="26" t="s">
        <v>202</v>
      </c>
      <c r="C18" s="27" t="s">
        <v>203</v>
      </c>
      <c r="D18" s="28" t="n">
        <v>600</v>
      </c>
      <c r="E18" s="29" t="n">
        <v>12</v>
      </c>
      <c r="F18" s="29" t="n">
        <v>33</v>
      </c>
      <c r="G18" s="29" t="n">
        <v>58</v>
      </c>
      <c r="H18" s="30" t="n">
        <f aca="false">IF(F18=0,"",G18*(1+前提・入力!$B$9)/F18)</f>
        <v>1.84245266040103</v>
      </c>
      <c r="I18" s="29" t="n">
        <v>13</v>
      </c>
      <c r="J18" s="29" t="n">
        <v>43</v>
      </c>
      <c r="K18" s="30" t="n">
        <f aca="false">IF(I18=0,"",J18/I18)</f>
        <v>3.30769230769231</v>
      </c>
      <c r="L18" s="29" t="n">
        <v>59</v>
      </c>
      <c r="M18" s="29" t="n">
        <v>142</v>
      </c>
      <c r="N18" s="30" t="n">
        <f aca="false">IF(L18=0,"",M18/L18)</f>
        <v>2.40677966101695</v>
      </c>
      <c r="O18" s="30" t="n">
        <f aca="false">IFERROR((IF(N18="",0,N18*前提・入力!$B$5)+IF(K18="",0,K18*前提・入力!$B$6)+IF(H18="",0,H18*前提・入力!$B$7))/(IF(N18="",0,前提・入力!$B$5)+IF(K18="",0,前提・入力!$B$6)+IF(H18="",0,前提・入力!$B$7)),前提・入力!$B$10)</f>
        <v>2.49092607253181</v>
      </c>
      <c r="P18" s="29" t="n">
        <f aca="false">ROUND(E18*O18,0)</f>
        <v>30</v>
      </c>
      <c r="Q18" s="28" t="n">
        <f aca="false">P18*D18</f>
        <v>18000</v>
      </c>
      <c r="R18" s="31" t="n">
        <f aca="false">IFERROR(P18/P$49,0)</f>
        <v>0.00316656111462951</v>
      </c>
      <c r="S18" s="29" t="n">
        <v>50</v>
      </c>
      <c r="T18" s="31" t="n">
        <f aca="false">IFERROR(P18/S18,0)</f>
        <v>0.6</v>
      </c>
      <c r="U18" s="29" t="n">
        <f aca="false">MAX(0,S18-P18)</f>
        <v>20</v>
      </c>
      <c r="V18" s="32" t="n">
        <f aca="false">P18-S18</f>
        <v>-20</v>
      </c>
      <c r="W18" s="33" t="str">
        <f aca="false">IF(V18&gt;0,"会期中に在庫切れ",IF(T18&gt;=0.9,"要注意(90%超)",IF(T18&gt;=0.5,"適正","在庫余剰")))</f>
        <v>適正</v>
      </c>
    </row>
    <row r="19" customFormat="false" ht="15" hidden="false" customHeight="false" outlineLevel="0" collapsed="false">
      <c r="A19" s="26" t="n">
        <v>13</v>
      </c>
      <c r="B19" s="26" t="s">
        <v>204</v>
      </c>
      <c r="C19" s="27" t="s">
        <v>205</v>
      </c>
      <c r="D19" s="28" t="n">
        <v>600</v>
      </c>
      <c r="E19" s="29" t="n">
        <v>3</v>
      </c>
      <c r="F19" s="29" t="n">
        <v>6</v>
      </c>
      <c r="G19" s="29" t="n">
        <v>16</v>
      </c>
      <c r="H19" s="30" t="n">
        <f aca="false">IF(F19=0,"",G19*(1+前提・入力!$B$9)/F19)</f>
        <v>2.79544541578087</v>
      </c>
      <c r="I19" s="29" t="n">
        <v>6</v>
      </c>
      <c r="J19" s="29" t="n">
        <v>18</v>
      </c>
      <c r="K19" s="30" t="n">
        <f aca="false">IF(I19=0,"",J19/I19)</f>
        <v>3</v>
      </c>
      <c r="L19" s="29" t="n">
        <v>21</v>
      </c>
      <c r="M19" s="29" t="n">
        <v>43</v>
      </c>
      <c r="N19" s="30" t="n">
        <f aca="false">IF(L19=0,"",M19/L19)</f>
        <v>2.04761904761905</v>
      </c>
      <c r="O19" s="30" t="n">
        <f aca="false">IFERROR((IF(N19="",0,N19*前提・入力!$B$5)+IF(K19="",0,K19*前提・入力!$B$6)+IF(H19="",0,H19*前提・入力!$B$7))/(IF(N19="",0,前提・入力!$B$5)+IF(K19="",0,前提・入力!$B$6)+IF(H19="",0,前提・入力!$B$7)),前提・入力!$B$10)</f>
        <v>2.47267087775474</v>
      </c>
      <c r="P19" s="29" t="n">
        <f aca="false">ROUND(E19*O19,0)</f>
        <v>7</v>
      </c>
      <c r="Q19" s="28" t="n">
        <f aca="false">P19*D19</f>
        <v>4200</v>
      </c>
      <c r="R19" s="31" t="n">
        <f aca="false">IFERROR(P19/P$49,0)</f>
        <v>0.00073886426008022</v>
      </c>
      <c r="S19" s="29" t="n">
        <v>50</v>
      </c>
      <c r="T19" s="31" t="n">
        <f aca="false">IFERROR(P19/S19,0)</f>
        <v>0.14</v>
      </c>
      <c r="U19" s="29" t="n">
        <f aca="false">MAX(0,S19-P19)</f>
        <v>43</v>
      </c>
      <c r="V19" s="32" t="n">
        <f aca="false">P19-S19</f>
        <v>-43</v>
      </c>
      <c r="W19" s="33" t="str">
        <f aca="false">IF(V19&gt;0,"会期中に在庫切れ",IF(T19&gt;=0.9,"要注意(90%超)",IF(T19&gt;=0.5,"適正","在庫余剰")))</f>
        <v>在庫余剰</v>
      </c>
    </row>
    <row r="20" customFormat="false" ht="15" hidden="false" customHeight="false" outlineLevel="0" collapsed="false">
      <c r="A20" s="26" t="n">
        <v>14</v>
      </c>
      <c r="B20" s="26" t="s">
        <v>206</v>
      </c>
      <c r="C20" s="27" t="s">
        <v>207</v>
      </c>
      <c r="D20" s="28" t="n">
        <v>600</v>
      </c>
      <c r="E20" s="29" t="n">
        <v>17</v>
      </c>
      <c r="F20" s="29" t="n">
        <v>36</v>
      </c>
      <c r="G20" s="29" t="n">
        <v>73</v>
      </c>
      <c r="H20" s="30" t="n">
        <f aca="false">IF(F20=0,"",G20*(1+前提・入力!$B$9)/F20)</f>
        <v>2.1257032849167</v>
      </c>
      <c r="I20" s="29" t="n">
        <v>30</v>
      </c>
      <c r="J20" s="29" t="n">
        <v>62</v>
      </c>
      <c r="K20" s="30" t="n">
        <f aca="false">IF(I20=0,"",J20/I20)</f>
        <v>2.06666666666667</v>
      </c>
      <c r="L20" s="29" t="n">
        <v>62</v>
      </c>
      <c r="M20" s="29" t="n">
        <v>146</v>
      </c>
      <c r="N20" s="30" t="n">
        <f aca="false">IF(L20=0,"",M20/L20)</f>
        <v>2.35483870967742</v>
      </c>
      <c r="O20" s="30" t="n">
        <f aca="false">IFERROR((IF(N20="",0,N20*前提・入力!$B$5)+IF(K20="",0,K20*前提・入力!$B$6)+IF(H20="",0,H20*前提・入力!$B$7))/(IF(N20="",0,前提・入力!$B$5)+IF(K20="",0,前提・入力!$B$6)+IF(H20="",0,前提・入力!$B$7)),前提・入力!$B$10)</f>
        <v>2.22551184273455</v>
      </c>
      <c r="P20" s="29" t="n">
        <f aca="false">ROUND(E20*O20,0)</f>
        <v>38</v>
      </c>
      <c r="Q20" s="28" t="n">
        <f aca="false">P20*D20</f>
        <v>22800</v>
      </c>
      <c r="R20" s="31" t="n">
        <f aca="false">IFERROR(P20/P$49,0)</f>
        <v>0.00401097741186405</v>
      </c>
      <c r="S20" s="29" t="n">
        <v>50</v>
      </c>
      <c r="T20" s="31" t="n">
        <f aca="false">IFERROR(P20/S20,0)</f>
        <v>0.76</v>
      </c>
      <c r="U20" s="29" t="n">
        <f aca="false">MAX(0,S20-P20)</f>
        <v>12</v>
      </c>
      <c r="V20" s="32" t="n">
        <f aca="false">P20-S20</f>
        <v>-12</v>
      </c>
      <c r="W20" s="33" t="str">
        <f aca="false">IF(V20&gt;0,"会期中に在庫切れ",IF(T20&gt;=0.9,"要注意(90%超)",IF(T20&gt;=0.5,"適正","在庫余剰")))</f>
        <v>適正</v>
      </c>
    </row>
    <row r="21" customFormat="false" ht="15" hidden="false" customHeight="false" outlineLevel="0" collapsed="false">
      <c r="A21" s="26" t="n">
        <v>15</v>
      </c>
      <c r="B21" s="26" t="s">
        <v>208</v>
      </c>
      <c r="C21" s="27" t="s">
        <v>209</v>
      </c>
      <c r="D21" s="28" t="n">
        <v>600</v>
      </c>
      <c r="E21" s="29" t="n">
        <v>29</v>
      </c>
      <c r="F21" s="29" t="n">
        <v>49</v>
      </c>
      <c r="G21" s="29" t="n">
        <v>100</v>
      </c>
      <c r="H21" s="30" t="n">
        <f aca="false">IF(F21=0,"",G21*(1+前提・入力!$B$9)/F21)</f>
        <v>2.13937149166903</v>
      </c>
      <c r="I21" s="29" t="n">
        <v>33</v>
      </c>
      <c r="J21" s="29" t="n">
        <v>91</v>
      </c>
      <c r="K21" s="30" t="n">
        <f aca="false">IF(I21=0,"",J21/I21)</f>
        <v>2.75757575757576</v>
      </c>
      <c r="L21" s="29" t="n">
        <v>92</v>
      </c>
      <c r="M21" s="29" t="n">
        <v>198</v>
      </c>
      <c r="N21" s="30" t="n">
        <f aca="false">IF(L21=0,"",M21/L21)</f>
        <v>2.15217391304348</v>
      </c>
      <c r="O21" s="30" t="n">
        <f aca="false">IFERROR((IF(N21="",0,N21*前提・入力!$B$5)+IF(K21="",0,K21*前提・入力!$B$6)+IF(H21="",0,H21*前提・入力!$B$7))/(IF(N21="",0,前提・入力!$B$5)+IF(K21="",0,前提・入力!$B$6)+IF(H21="",0,前提・入力!$B$7)),前提・入力!$B$10)</f>
        <v>2.30032376883294</v>
      </c>
      <c r="P21" s="29" t="n">
        <f aca="false">ROUND(E21*O21,0)</f>
        <v>67</v>
      </c>
      <c r="Q21" s="28" t="n">
        <f aca="false">P21*D21</f>
        <v>40200</v>
      </c>
      <c r="R21" s="31" t="n">
        <f aca="false">IFERROR(P21/P$49,0)</f>
        <v>0.00707198648933924</v>
      </c>
      <c r="S21" s="29" t="n">
        <v>100</v>
      </c>
      <c r="T21" s="31" t="n">
        <f aca="false">IFERROR(P21/S21,0)</f>
        <v>0.67</v>
      </c>
      <c r="U21" s="29" t="n">
        <f aca="false">MAX(0,S21-P21)</f>
        <v>33</v>
      </c>
      <c r="V21" s="32" t="n">
        <f aca="false">P21-S21</f>
        <v>-33</v>
      </c>
      <c r="W21" s="33" t="str">
        <f aca="false">IF(V21&gt;0,"会期中に在庫切れ",IF(T21&gt;=0.9,"要注意(90%超)",IF(T21&gt;=0.5,"適正","在庫余剰")))</f>
        <v>適正</v>
      </c>
    </row>
    <row r="22" customFormat="false" ht="15" hidden="false" customHeight="false" outlineLevel="0" collapsed="false">
      <c r="A22" s="26" t="n">
        <v>16</v>
      </c>
      <c r="B22" s="26" t="s">
        <v>210</v>
      </c>
      <c r="C22" s="27" t="s">
        <v>211</v>
      </c>
      <c r="D22" s="28" t="n">
        <v>600</v>
      </c>
      <c r="E22" s="29" t="n">
        <v>3</v>
      </c>
      <c r="F22" s="29" t="n">
        <v>13</v>
      </c>
      <c r="G22" s="29" t="n">
        <v>38</v>
      </c>
      <c r="H22" s="30" t="n">
        <f aca="false">IF(F22=0,"",G22*(1+前提・入力!$B$9)/F22)</f>
        <v>3.06423824422133</v>
      </c>
      <c r="I22" s="29" t="n">
        <v>9</v>
      </c>
      <c r="J22" s="29" t="n">
        <v>26</v>
      </c>
      <c r="K22" s="30" t="n">
        <f aca="false">IF(I22=0,"",J22/I22)</f>
        <v>2.88888888888889</v>
      </c>
      <c r="L22" s="29" t="n">
        <v>26</v>
      </c>
      <c r="M22" s="29" t="n">
        <v>65</v>
      </c>
      <c r="N22" s="30" t="n">
        <f aca="false">IF(L22=0,"",M22/L22)</f>
        <v>2.5</v>
      </c>
      <c r="O22" s="30" t="n">
        <f aca="false">IFERROR((IF(N22="",0,N22*前提・入力!$B$5)+IF(K22="",0,K22*前提・入力!$B$6)+IF(H22="",0,H22*前提・入力!$B$7))/(IF(N22="",0,前提・入力!$B$5)+IF(K22="",0,前提・入力!$B$6)+IF(H22="",0,前提・入力!$B$7)),前提・入力!$B$10)</f>
        <v>2.73828178327756</v>
      </c>
      <c r="P22" s="29" t="n">
        <f aca="false">ROUND(E22*O22,0)</f>
        <v>8</v>
      </c>
      <c r="Q22" s="28" t="n">
        <f aca="false">P22*D22</f>
        <v>4800</v>
      </c>
      <c r="R22" s="31" t="n">
        <f aca="false">IFERROR(P22/P$49,0)</f>
        <v>0.000844416297234537</v>
      </c>
      <c r="S22" s="29" t="n">
        <v>50</v>
      </c>
      <c r="T22" s="31" t="n">
        <f aca="false">IFERROR(P22/S22,0)</f>
        <v>0.16</v>
      </c>
      <c r="U22" s="29" t="n">
        <f aca="false">MAX(0,S22-P22)</f>
        <v>42</v>
      </c>
      <c r="V22" s="32" t="n">
        <f aca="false">P22-S22</f>
        <v>-42</v>
      </c>
      <c r="W22" s="33" t="str">
        <f aca="false">IF(V22&gt;0,"会期中に在庫切れ",IF(T22&gt;=0.9,"要注意(90%超)",IF(T22&gt;=0.5,"適正","在庫余剰")))</f>
        <v>在庫余剰</v>
      </c>
    </row>
    <row r="23" customFormat="false" ht="15" hidden="false" customHeight="false" outlineLevel="0" collapsed="false">
      <c r="A23" s="26" t="n">
        <v>17</v>
      </c>
      <c r="B23" s="26" t="s">
        <v>212</v>
      </c>
      <c r="C23" s="27" t="s">
        <v>213</v>
      </c>
      <c r="D23" s="28" t="n">
        <v>600</v>
      </c>
      <c r="E23" s="29" t="n">
        <v>39</v>
      </c>
      <c r="F23" s="29" t="n">
        <v>62</v>
      </c>
      <c r="G23" s="29" t="n">
        <v>124</v>
      </c>
      <c r="H23" s="30" t="n">
        <f aca="false">IF(F23=0,"",G23*(1+前提・入力!$B$9)/F23)</f>
        <v>2.09658406183565</v>
      </c>
      <c r="I23" s="29" t="n">
        <v>41</v>
      </c>
      <c r="J23" s="29" t="n">
        <v>94</v>
      </c>
      <c r="K23" s="30" t="n">
        <f aca="false">IF(I23=0,"",J23/I23)</f>
        <v>2.29268292682927</v>
      </c>
      <c r="L23" s="29" t="n">
        <v>95</v>
      </c>
      <c r="M23" s="29" t="n">
        <v>261</v>
      </c>
      <c r="N23" s="30" t="n">
        <f aca="false">IF(L23=0,"",M23/L23)</f>
        <v>2.74736842105263</v>
      </c>
      <c r="O23" s="30" t="n">
        <f aca="false">IFERROR((IF(N23="",0,N23*前提・入力!$B$5)+IF(K23="",0,K23*前提・入力!$B$6)+IF(H23="",0,H23*前提・入力!$B$7))/(IF(N23="",0,前提・入力!$B$5)+IF(K23="",0,前提・入力!$B$6)+IF(H23="",0,前提・入力!$B$7)),前提・入力!$B$10)</f>
        <v>2.47100095769255</v>
      </c>
      <c r="P23" s="29" t="n">
        <f aca="false">ROUND(E23*O23,0)</f>
        <v>96</v>
      </c>
      <c r="Q23" s="28" t="n">
        <f aca="false">P23*D23</f>
        <v>57600</v>
      </c>
      <c r="R23" s="31" t="n">
        <f aca="false">IFERROR(P23/P$49,0)</f>
        <v>0.0101329955668144</v>
      </c>
      <c r="S23" s="29" t="n">
        <v>100</v>
      </c>
      <c r="T23" s="31" t="n">
        <f aca="false">IFERROR(P23/S23,0)</f>
        <v>0.96</v>
      </c>
      <c r="U23" s="29" t="n">
        <f aca="false">MAX(0,S23-P23)</f>
        <v>4</v>
      </c>
      <c r="V23" s="32" t="n">
        <f aca="false">P23-S23</f>
        <v>-4</v>
      </c>
      <c r="W23" s="33" t="str">
        <f aca="false">IF(V23&gt;0,"会期中に在庫切れ",IF(T23&gt;=0.9,"要注意(90%超)",IF(T23&gt;=0.5,"適正","在庫余剰")))</f>
        <v>要注意(90%超)</v>
      </c>
    </row>
    <row r="24" customFormat="false" ht="15" hidden="false" customHeight="false" outlineLevel="0" collapsed="false">
      <c r="A24" s="26" t="n">
        <v>18</v>
      </c>
      <c r="B24" s="26" t="s">
        <v>214</v>
      </c>
      <c r="C24" s="27" t="s">
        <v>215</v>
      </c>
      <c r="D24" s="28" t="n">
        <v>600</v>
      </c>
      <c r="E24" s="29" t="n">
        <v>224</v>
      </c>
      <c r="F24" s="29" t="n">
        <v>638</v>
      </c>
      <c r="G24" s="29" t="n">
        <v>1187</v>
      </c>
      <c r="H24" s="30" t="n">
        <f aca="false">IF(F24=0,"",G24*(1+前提・入力!$B$9)/F24)</f>
        <v>1.95034896661357</v>
      </c>
      <c r="I24" s="29" t="n">
        <v>386</v>
      </c>
      <c r="J24" s="29" t="n">
        <v>743</v>
      </c>
      <c r="K24" s="30" t="n">
        <f aca="false">IF(I24=0,"",J24/I24)</f>
        <v>1.92487046632124</v>
      </c>
      <c r="L24" s="29" t="n">
        <v>981</v>
      </c>
      <c r="M24" s="29" t="n">
        <v>2021</v>
      </c>
      <c r="N24" s="30" t="n">
        <f aca="false">IF(L24=0,"",M24/L24)</f>
        <v>2.06014271151886</v>
      </c>
      <c r="O24" s="30" t="n">
        <f aca="false">IFERROR((IF(N24="",0,N24*前提・入力!$B$5)+IF(K24="",0,K24*前提・入力!$B$6)+IF(H24="",0,H24*前提・入力!$B$7))/(IF(N24="",0,前提・入力!$B$5)+IF(K24="",0,前提・入力!$B$6)+IF(H24="",0,前提・入力!$B$7)),前提・入力!$B$10)</f>
        <v>1.99887621399313</v>
      </c>
      <c r="P24" s="29" t="n">
        <f aca="false">ROUND(E24*O24,0)</f>
        <v>448</v>
      </c>
      <c r="Q24" s="28" t="n">
        <f aca="false">P24*D24</f>
        <v>268800</v>
      </c>
      <c r="R24" s="31" t="n">
        <f aca="false">IFERROR(P24/P$49,0)</f>
        <v>0.0472873126451341</v>
      </c>
      <c r="S24" s="29" t="n">
        <v>1500</v>
      </c>
      <c r="T24" s="31" t="n">
        <f aca="false">IFERROR(P24/S24,0)</f>
        <v>0.298666666666667</v>
      </c>
      <c r="U24" s="29" t="n">
        <f aca="false">MAX(0,S24-P24)</f>
        <v>1052</v>
      </c>
      <c r="V24" s="32" t="n">
        <f aca="false">P24-S24</f>
        <v>-1052</v>
      </c>
      <c r="W24" s="33" t="str">
        <f aca="false">IF(V24&gt;0,"会期中に在庫切れ",IF(T24&gt;=0.9,"要注意(90%超)",IF(T24&gt;=0.5,"適正","在庫余剰")))</f>
        <v>在庫余剰</v>
      </c>
    </row>
    <row r="25" customFormat="false" ht="15" hidden="false" customHeight="false" outlineLevel="0" collapsed="false">
      <c r="A25" s="26" t="n">
        <v>19</v>
      </c>
      <c r="B25" s="26" t="s">
        <v>216</v>
      </c>
      <c r="C25" s="27" t="s">
        <v>217</v>
      </c>
      <c r="D25" s="28" t="n">
        <v>600</v>
      </c>
      <c r="E25" s="29" t="n">
        <v>8</v>
      </c>
      <c r="F25" s="29" t="n">
        <v>19</v>
      </c>
      <c r="G25" s="29" t="n">
        <v>27</v>
      </c>
      <c r="H25" s="30" t="n">
        <f aca="false">IF(F25=0,"",G25*(1+前提・入力!$B$9)/F25)</f>
        <v>1.48967814919901</v>
      </c>
      <c r="I25" s="29" t="n">
        <v>8</v>
      </c>
      <c r="J25" s="29" t="n">
        <v>19</v>
      </c>
      <c r="K25" s="30" t="n">
        <f aca="false">IF(I25=0,"",J25/I25)</f>
        <v>2.375</v>
      </c>
      <c r="L25" s="29" t="n">
        <v>22</v>
      </c>
      <c r="M25" s="29" t="n">
        <v>45</v>
      </c>
      <c r="N25" s="30" t="n">
        <f aca="false">IF(L25=0,"",M25/L25)</f>
        <v>2.04545454545455</v>
      </c>
      <c r="O25" s="30" t="n">
        <f aca="false">IFERROR((IF(N25="",0,N25*前提・入力!$B$5)+IF(K25="",0,K25*前提・入力!$B$6)+IF(H25="",0,H25*前提・入力!$B$7))/(IF(N25="",0,前提・入力!$B$5)+IF(K25="",0,前提・入力!$B$6)+IF(H25="",0,前提・入力!$B$7)),前提・入力!$B$10)</f>
        <v>1.98889681002703</v>
      </c>
      <c r="P25" s="29" t="n">
        <f aca="false">ROUND(E25*O25,0)</f>
        <v>16</v>
      </c>
      <c r="Q25" s="28" t="n">
        <f aca="false">P25*D25</f>
        <v>9600</v>
      </c>
      <c r="R25" s="31" t="n">
        <f aca="false">IFERROR(P25/P$49,0)</f>
        <v>0.00168883259446907</v>
      </c>
      <c r="S25" s="29" t="n">
        <v>50</v>
      </c>
      <c r="T25" s="31" t="n">
        <f aca="false">IFERROR(P25/S25,0)</f>
        <v>0.32</v>
      </c>
      <c r="U25" s="29" t="n">
        <f aca="false">MAX(0,S25-P25)</f>
        <v>34</v>
      </c>
      <c r="V25" s="32" t="n">
        <f aca="false">P25-S25</f>
        <v>-34</v>
      </c>
      <c r="W25" s="33" t="str">
        <f aca="false">IF(V25&gt;0,"会期中に在庫切れ",IF(T25&gt;=0.9,"要注意(90%超)",IF(T25&gt;=0.5,"適正","在庫余剰")))</f>
        <v>在庫余剰</v>
      </c>
    </row>
    <row r="26" customFormat="false" ht="15" hidden="false" customHeight="false" outlineLevel="0" collapsed="false">
      <c r="A26" s="26" t="n">
        <v>20</v>
      </c>
      <c r="B26" s="26" t="s">
        <v>218</v>
      </c>
      <c r="C26" s="27" t="s">
        <v>219</v>
      </c>
      <c r="D26" s="28" t="n">
        <v>600</v>
      </c>
      <c r="E26" s="29" t="n">
        <v>5</v>
      </c>
      <c r="F26" s="29" t="n">
        <v>10</v>
      </c>
      <c r="G26" s="29" t="n">
        <v>23</v>
      </c>
      <c r="H26" s="30" t="n">
        <f aca="false">IF(F26=0,"",G26*(1+前提・入力!$B$9)/F26)</f>
        <v>2.411071671111</v>
      </c>
      <c r="I26" s="29" t="n">
        <v>7</v>
      </c>
      <c r="J26" s="29" t="n">
        <v>15</v>
      </c>
      <c r="K26" s="30" t="n">
        <f aca="false">IF(I26=0,"",J26/I26)</f>
        <v>2.14285714285714</v>
      </c>
      <c r="L26" s="29" t="n">
        <v>13</v>
      </c>
      <c r="M26" s="29" t="n">
        <v>42</v>
      </c>
      <c r="N26" s="30" t="n">
        <f aca="false">IF(L26=0,"",M26/L26)</f>
        <v>3.23076923076923</v>
      </c>
      <c r="O26" s="30" t="n">
        <f aca="false">IFERROR((IF(N26="",0,N26*前提・入力!$B$5)+IF(K26="",0,K26*前提・入力!$B$6)+IF(H26="",0,H26*前提・入力!$B$7))/(IF(N26="",0,前提・入力!$B$5)+IF(K26="",0,前提・入力!$B$6)+IF(H26="",0,前提・入力!$B$7)),前提・入力!$B$10)</f>
        <v>2.75386681887665</v>
      </c>
      <c r="P26" s="29" t="n">
        <f aca="false">ROUND(E26*O26,0)</f>
        <v>14</v>
      </c>
      <c r="Q26" s="28" t="n">
        <f aca="false">P26*D26</f>
        <v>8400</v>
      </c>
      <c r="R26" s="31" t="n">
        <f aca="false">IFERROR(P26/P$49,0)</f>
        <v>0.00147772852016044</v>
      </c>
      <c r="S26" s="29" t="n">
        <v>30</v>
      </c>
      <c r="T26" s="31" t="n">
        <f aca="false">IFERROR(P26/S26,0)</f>
        <v>0.466666666666667</v>
      </c>
      <c r="U26" s="29" t="n">
        <f aca="false">MAX(0,S26-P26)</f>
        <v>16</v>
      </c>
      <c r="V26" s="32" t="n">
        <f aca="false">P26-S26</f>
        <v>-16</v>
      </c>
      <c r="W26" s="33" t="str">
        <f aca="false">IF(V26&gt;0,"会期中に在庫切れ",IF(T26&gt;=0.9,"要注意(90%超)",IF(T26&gt;=0.5,"適正","在庫余剰")))</f>
        <v>在庫余剰</v>
      </c>
    </row>
    <row r="27" customFormat="false" ht="15" hidden="false" customHeight="false" outlineLevel="0" collapsed="false">
      <c r="A27" s="26" t="n">
        <v>21</v>
      </c>
      <c r="B27" s="26" t="s">
        <v>220</v>
      </c>
      <c r="C27" s="27" t="s">
        <v>221</v>
      </c>
      <c r="D27" s="28" t="n">
        <v>600</v>
      </c>
      <c r="E27" s="29" t="n">
        <v>40</v>
      </c>
      <c r="F27" s="29" t="n">
        <v>73</v>
      </c>
      <c r="G27" s="29" t="n">
        <v>139</v>
      </c>
      <c r="H27" s="30" t="n">
        <f aca="false">IF(F27=0,"",G27*(1+前提・入力!$B$9)/F27)</f>
        <v>1.99606290818599</v>
      </c>
      <c r="I27" s="29" t="n">
        <v>63</v>
      </c>
      <c r="J27" s="29" t="n">
        <v>139</v>
      </c>
      <c r="K27" s="30" t="n">
        <f aca="false">IF(I27=0,"",J27/I27)</f>
        <v>2.20634920634921</v>
      </c>
      <c r="L27" s="29" t="n">
        <v>93</v>
      </c>
      <c r="M27" s="29" t="n">
        <v>252</v>
      </c>
      <c r="N27" s="30" t="n">
        <f aca="false">IF(L27=0,"",M27/L27)</f>
        <v>2.70967741935484</v>
      </c>
      <c r="O27" s="30" t="n">
        <f aca="false">IFERROR((IF(N27="",0,N27*前提・入力!$B$5)+IF(K27="",0,K27*前提・入力!$B$6)+IF(H27="",0,H27*前提・入力!$B$7))/(IF(N27="",0,前提・入力!$B$5)+IF(K27="",0,前提・入力!$B$6)+IF(H27="",0,前提・入力!$B$7)),前提・入力!$B$10)</f>
        <v>2.40544173831122</v>
      </c>
      <c r="P27" s="29" t="n">
        <f aca="false">ROUND(E27*O27,0)</f>
        <v>96</v>
      </c>
      <c r="Q27" s="28" t="n">
        <f aca="false">P27*D27</f>
        <v>57600</v>
      </c>
      <c r="R27" s="31" t="n">
        <f aca="false">IFERROR(P27/P$49,0)</f>
        <v>0.0101329955668144</v>
      </c>
      <c r="S27" s="29" t="n">
        <v>50</v>
      </c>
      <c r="T27" s="31" t="n">
        <f aca="false">IFERROR(P27/S27,0)</f>
        <v>1.92</v>
      </c>
      <c r="U27" s="29" t="n">
        <f aca="false">MAX(0,S27-P27)</f>
        <v>0</v>
      </c>
      <c r="V27" s="32" t="n">
        <f aca="false">P27-S27</f>
        <v>46</v>
      </c>
      <c r="W27" s="33" t="str">
        <f aca="false">IF(V27&gt;0,"会期中に在庫切れ",IF(T27&gt;=0.9,"要注意(90%超)",IF(T27&gt;=0.5,"適正","在庫余剰")))</f>
        <v>会期中に在庫切れ</v>
      </c>
    </row>
    <row r="28" customFormat="false" ht="15" hidden="false" customHeight="false" outlineLevel="0" collapsed="false">
      <c r="A28" s="26" t="n">
        <v>22</v>
      </c>
      <c r="B28" s="26" t="s">
        <v>222</v>
      </c>
      <c r="C28" s="27" t="s">
        <v>223</v>
      </c>
      <c r="D28" s="28" t="n">
        <v>600</v>
      </c>
      <c r="E28" s="29" t="n">
        <v>14</v>
      </c>
      <c r="F28" s="29" t="n">
        <v>35</v>
      </c>
      <c r="G28" s="29" t="n">
        <v>99</v>
      </c>
      <c r="H28" s="30" t="n">
        <f aca="false">IF(F28=0,"",G28*(1+前提・入力!$B$9)/F28)</f>
        <v>2.96516888745328</v>
      </c>
      <c r="I28" s="29" t="n">
        <v>20</v>
      </c>
      <c r="J28" s="29" t="n">
        <v>77</v>
      </c>
      <c r="K28" s="30" t="n">
        <f aca="false">IF(I28=0,"",J28/I28)</f>
        <v>3.85</v>
      </c>
      <c r="L28" s="29" t="n">
        <v>60</v>
      </c>
      <c r="M28" s="29" t="n">
        <v>171</v>
      </c>
      <c r="N28" s="30" t="n">
        <f aca="false">IF(L28=0,"",M28/L28)</f>
        <v>2.85</v>
      </c>
      <c r="O28" s="30" t="n">
        <f aca="false">IFERROR((IF(N28="",0,N28*前提・入力!$B$5)+IF(K28="",0,K28*前提・入力!$B$6)+IF(H28="",0,H28*前提・入力!$B$7))/(IF(N28="",0,前提・入力!$B$5)+IF(K28="",0,前提・入力!$B$6)+IF(H28="",0,前提・入力!$B$7)),前提・入力!$B$10)</f>
        <v>3.12879222186332</v>
      </c>
      <c r="P28" s="29" t="n">
        <f aca="false">ROUND(E28*O28,0)</f>
        <v>44</v>
      </c>
      <c r="Q28" s="28" t="n">
        <f aca="false">P28*D28</f>
        <v>26400</v>
      </c>
      <c r="R28" s="31" t="n">
        <f aca="false">IFERROR(P28/P$49,0)</f>
        <v>0.00464428963478995</v>
      </c>
      <c r="S28" s="29" t="n">
        <v>50</v>
      </c>
      <c r="T28" s="31" t="n">
        <f aca="false">IFERROR(P28/S28,0)</f>
        <v>0.88</v>
      </c>
      <c r="U28" s="29" t="n">
        <f aca="false">MAX(0,S28-P28)</f>
        <v>6</v>
      </c>
      <c r="V28" s="32" t="n">
        <f aca="false">P28-S28</f>
        <v>-6</v>
      </c>
      <c r="W28" s="33" t="str">
        <f aca="false">IF(V28&gt;0,"会期中に在庫切れ",IF(T28&gt;=0.9,"要注意(90%超)",IF(T28&gt;=0.5,"適正","在庫余剰")))</f>
        <v>適正</v>
      </c>
    </row>
    <row r="29" customFormat="false" ht="15" hidden="false" customHeight="false" outlineLevel="0" collapsed="false">
      <c r="A29" s="26" t="n">
        <v>23</v>
      </c>
      <c r="B29" s="26" t="s">
        <v>224</v>
      </c>
      <c r="C29" s="27" t="s">
        <v>225</v>
      </c>
      <c r="D29" s="28" t="n">
        <v>600</v>
      </c>
      <c r="E29" s="29" t="n">
        <v>1027</v>
      </c>
      <c r="F29" s="29" t="n">
        <v>6233</v>
      </c>
      <c r="G29" s="29" t="n">
        <v>13583</v>
      </c>
      <c r="H29" s="30" t="n">
        <f aca="false">IF(F29=0,"",G29*(1+前提・入力!$B$9)/F29)</f>
        <v>2.28444579752235</v>
      </c>
      <c r="I29" s="29" t="n">
        <v>2701</v>
      </c>
      <c r="J29" s="29" t="n">
        <v>6933</v>
      </c>
      <c r="K29" s="30" t="n">
        <f aca="false">IF(I29=0,"",J29/I29)</f>
        <v>2.56682710107368</v>
      </c>
      <c r="L29" s="29" t="n">
        <v>6286</v>
      </c>
      <c r="M29" s="29" t="n">
        <v>12724</v>
      </c>
      <c r="N29" s="30" t="n">
        <f aca="false">IF(L29=0,"",M29/L29)</f>
        <v>2.02418071905823</v>
      </c>
      <c r="O29" s="30" t="n">
        <f aca="false">IFERROR((IF(N29="",0,N29*前提・入力!$B$5)+IF(K29="",0,K29*前提・入力!$B$6)+IF(H29="",0,H29*前提・入力!$B$7))/(IF(N29="",0,前提・入力!$B$5)+IF(K29="",0,前提・入力!$B$6)+IF(H29="",0,前提・入力!$B$7)),前提・入力!$B$10)</f>
        <v>2.22490858417812</v>
      </c>
      <c r="P29" s="29" t="n">
        <f aca="false">ROUND(E29*O29,0)</f>
        <v>2285</v>
      </c>
      <c r="Q29" s="28" t="n">
        <f aca="false">P29*D29</f>
        <v>1371000</v>
      </c>
      <c r="R29" s="31" t="n">
        <f aca="false">IFERROR(P29/P$49,0)</f>
        <v>0.241186404897615</v>
      </c>
      <c r="S29" s="29" t="n">
        <v>11000</v>
      </c>
      <c r="T29" s="31" t="n">
        <f aca="false">IFERROR(P29/S29,0)</f>
        <v>0.207727272727273</v>
      </c>
      <c r="U29" s="29" t="n">
        <f aca="false">MAX(0,S29-P29)</f>
        <v>8715</v>
      </c>
      <c r="V29" s="32" t="n">
        <f aca="false">P29-S29</f>
        <v>-8715</v>
      </c>
      <c r="W29" s="33" t="str">
        <f aca="false">IF(V29&gt;0,"会期中に在庫切れ",IF(T29&gt;=0.9,"要注意(90%超)",IF(T29&gt;=0.5,"適正","在庫余剰")))</f>
        <v>在庫余剰</v>
      </c>
    </row>
    <row r="30" customFormat="false" ht="15" hidden="false" customHeight="false" outlineLevel="0" collapsed="false">
      <c r="A30" s="26" t="n">
        <v>24</v>
      </c>
      <c r="B30" s="26" t="s">
        <v>226</v>
      </c>
      <c r="C30" s="27" t="s">
        <v>227</v>
      </c>
      <c r="D30" s="28" t="n">
        <v>600</v>
      </c>
      <c r="E30" s="29" t="n">
        <v>543</v>
      </c>
      <c r="F30" s="29" t="n">
        <v>4369</v>
      </c>
      <c r="G30" s="29" t="n">
        <v>8213</v>
      </c>
      <c r="H30" s="30" t="n">
        <f aca="false">IF(F30=0,"",G30*(1+前提・入力!$B$9)/F30)</f>
        <v>1.97061626228613</v>
      </c>
      <c r="I30" s="29" t="n">
        <v>1535</v>
      </c>
      <c r="J30" s="29" t="n">
        <v>4202</v>
      </c>
      <c r="K30" s="30" t="n">
        <f aca="false">IF(I30=0,"",J30/I30)</f>
        <v>2.73745928338762</v>
      </c>
      <c r="L30" s="29" t="n">
        <v>3202</v>
      </c>
      <c r="M30" s="29" t="n">
        <v>6978</v>
      </c>
      <c r="N30" s="30" t="n">
        <f aca="false">IF(L30=0,"",M30/L30)</f>
        <v>2.17926296064959</v>
      </c>
      <c r="O30" s="30" t="n">
        <f aca="false">IFERROR((IF(N30="",0,N30*前提・入力!$B$5)+IF(K30="",0,K30*前提・入力!$B$6)+IF(H30="",0,H30*前提・入力!$B$7))/(IF(N30="",0,前提・入力!$B$5)+IF(K30="",0,前提・入力!$B$6)+IF(H30="",0,前提・入力!$B$7)),前提・入力!$B$10)</f>
        <v>2.26665036674323</v>
      </c>
      <c r="P30" s="29" t="n">
        <f aca="false">ROUND(E30*O30,0)</f>
        <v>1231</v>
      </c>
      <c r="Q30" s="28" t="n">
        <f aca="false">P30*D30</f>
        <v>738600</v>
      </c>
      <c r="R30" s="31" t="n">
        <f aca="false">IFERROR(P30/P$49,0)</f>
        <v>0.129934557736964</v>
      </c>
      <c r="S30" s="29" t="n">
        <v>8000</v>
      </c>
      <c r="T30" s="31" t="n">
        <f aca="false">IFERROR(P30/S30,0)</f>
        <v>0.153875</v>
      </c>
      <c r="U30" s="29" t="n">
        <f aca="false">MAX(0,S30-P30)</f>
        <v>6769</v>
      </c>
      <c r="V30" s="32" t="n">
        <f aca="false">P30-S30</f>
        <v>-6769</v>
      </c>
      <c r="W30" s="33" t="str">
        <f aca="false">IF(V30&gt;0,"会期中に在庫切れ",IF(T30&gt;=0.9,"要注意(90%超)",IF(T30&gt;=0.5,"適正","在庫余剰")))</f>
        <v>在庫余剰</v>
      </c>
    </row>
    <row r="31" customFormat="false" ht="15" hidden="false" customHeight="false" outlineLevel="0" collapsed="false">
      <c r="A31" s="26" t="n">
        <v>25</v>
      </c>
      <c r="B31" s="26" t="s">
        <v>228</v>
      </c>
      <c r="C31" s="27" t="s">
        <v>229</v>
      </c>
      <c r="D31" s="28" t="n">
        <v>1500</v>
      </c>
      <c r="E31" s="29" t="n">
        <v>18</v>
      </c>
      <c r="F31" s="29" t="n">
        <v>98</v>
      </c>
      <c r="G31" s="29" t="n">
        <v>221</v>
      </c>
      <c r="H31" s="30" t="n">
        <f aca="false">IF(F31=0,"",G31*(1+前提・入力!$B$9)/F31)</f>
        <v>2.36400549829428</v>
      </c>
      <c r="I31" s="29" t="n">
        <v>57</v>
      </c>
      <c r="J31" s="29" t="n">
        <v>140</v>
      </c>
      <c r="K31" s="30" t="n">
        <f aca="false">IF(I31=0,"",J31/I31)</f>
        <v>2.45614035087719</v>
      </c>
      <c r="L31" s="29" t="n">
        <v>104</v>
      </c>
      <c r="M31" s="29" t="n">
        <v>243</v>
      </c>
      <c r="N31" s="30" t="n">
        <f aca="false">IF(L31=0,"",M31/L31)</f>
        <v>2.33653846153846</v>
      </c>
      <c r="O31" s="30" t="n">
        <f aca="false">IFERROR((IF(N31="",0,N31*前提・入力!$B$5)+IF(K31="",0,K31*前提・入力!$B$6)+IF(H31="",0,H31*前提・入力!$B$7))/(IF(N31="",0,前提・入力!$B$5)+IF(K31="",0,前提・入力!$B$6)+IF(H31="",0,前提・入力!$B$7)),前提・入力!$B$10)</f>
        <v>2.3733056930621</v>
      </c>
      <c r="P31" s="29" t="n">
        <f aca="false">ROUND(E31*O31,0)</f>
        <v>43</v>
      </c>
      <c r="Q31" s="28" t="n">
        <f aca="false">P31*D31</f>
        <v>64500</v>
      </c>
      <c r="R31" s="31" t="n">
        <f aca="false">IFERROR(P31/P$49,0)</f>
        <v>0.00453873759763564</v>
      </c>
      <c r="S31" s="29" t="n">
        <v>200</v>
      </c>
      <c r="T31" s="31" t="n">
        <f aca="false">IFERROR(P31/S31,0)</f>
        <v>0.215</v>
      </c>
      <c r="U31" s="29" t="n">
        <f aca="false">MAX(0,S31-P31)</f>
        <v>157</v>
      </c>
      <c r="V31" s="32" t="n">
        <f aca="false">P31-S31</f>
        <v>-157</v>
      </c>
      <c r="W31" s="33" t="str">
        <f aca="false">IF(V31&gt;0,"会期中に在庫切れ",IF(T31&gt;=0.9,"要注意(90%超)",IF(T31&gt;=0.5,"適正","在庫余剰")))</f>
        <v>在庫余剰</v>
      </c>
    </row>
    <row r="32" customFormat="false" ht="15" hidden="false" customHeight="false" outlineLevel="0" collapsed="false">
      <c r="A32" s="26" t="n">
        <v>26</v>
      </c>
      <c r="B32" s="26" t="s">
        <v>230</v>
      </c>
      <c r="C32" s="27" t="s">
        <v>231</v>
      </c>
      <c r="D32" s="28" t="n">
        <v>2200</v>
      </c>
      <c r="E32" s="29" t="n">
        <v>85</v>
      </c>
      <c r="F32" s="29" t="n">
        <v>373</v>
      </c>
      <c r="G32" s="29" t="n">
        <v>513</v>
      </c>
      <c r="H32" s="30" t="n">
        <f aca="false">IF(F32=0,"",G32*(1+前提・入力!$B$9)/F32)</f>
        <v>1.44175284681191</v>
      </c>
      <c r="I32" s="29" t="n">
        <v>162</v>
      </c>
      <c r="J32" s="29" t="n">
        <v>353</v>
      </c>
      <c r="K32" s="30" t="n">
        <f aca="false">IF(I32=0,"",J32/I32)</f>
        <v>2.17901234567901</v>
      </c>
      <c r="L32" s="29" t="n">
        <v>390</v>
      </c>
      <c r="M32" s="29" t="n">
        <v>842</v>
      </c>
      <c r="N32" s="30" t="n">
        <f aca="false">IF(L32=0,"",M32/L32)</f>
        <v>2.15897435897436</v>
      </c>
      <c r="O32" s="30" t="n">
        <f aca="false">IFERROR((IF(N32="",0,N32*前提・入力!$B$5)+IF(K32="",0,K32*前提・入力!$B$6)+IF(H32="",0,H32*前提・入力!$B$7))/(IF(N32="",0,前提・入力!$B$5)+IF(K32="",0,前提・入力!$B$6)+IF(H32="",0,前提・入力!$B$7)),前提・入力!$B$10)</f>
        <v>1.98467847760991</v>
      </c>
      <c r="P32" s="29" t="n">
        <f aca="false">ROUND(E32*O32,0)</f>
        <v>169</v>
      </c>
      <c r="Q32" s="28" t="n">
        <f aca="false">P32*D32</f>
        <v>371800</v>
      </c>
      <c r="R32" s="31" t="n">
        <f aca="false">IFERROR(P32/P$49,0)</f>
        <v>0.0178382942790796</v>
      </c>
      <c r="S32" s="29" t="n">
        <v>100</v>
      </c>
      <c r="T32" s="31" t="n">
        <f aca="false">IFERROR(P32/S32,0)</f>
        <v>1.69</v>
      </c>
      <c r="U32" s="29" t="n">
        <f aca="false">MAX(0,S32-P32)</f>
        <v>0</v>
      </c>
      <c r="V32" s="32" t="n">
        <f aca="false">P32-S32</f>
        <v>69</v>
      </c>
      <c r="W32" s="33" t="str">
        <f aca="false">IF(V32&gt;0,"会期中に在庫切れ",IF(T32&gt;=0.9,"要注意(90%超)",IF(T32&gt;=0.5,"適正","在庫余剰")))</f>
        <v>会期中に在庫切れ</v>
      </c>
    </row>
    <row r="33" customFormat="false" ht="15" hidden="false" customHeight="false" outlineLevel="0" collapsed="false">
      <c r="A33" s="26" t="n">
        <v>27</v>
      </c>
      <c r="B33" s="26" t="s">
        <v>232</v>
      </c>
      <c r="C33" s="27" t="s">
        <v>233</v>
      </c>
      <c r="D33" s="28" t="n">
        <v>1100</v>
      </c>
      <c r="E33" s="29" t="n">
        <v>15</v>
      </c>
      <c r="F33" s="29" t="n">
        <v>33</v>
      </c>
      <c r="G33" s="29" t="n">
        <v>103</v>
      </c>
      <c r="H33" s="30" t="n">
        <f aca="false">IF(F33=0,"",G33*(1+前提・入力!$B$9)/F33)</f>
        <v>3.27194179347079</v>
      </c>
      <c r="I33" s="29" t="n">
        <v>26</v>
      </c>
      <c r="J33" s="29" t="n">
        <v>69</v>
      </c>
      <c r="K33" s="30" t="n">
        <f aca="false">IF(I33=0,"",J33/I33)</f>
        <v>2.65384615384615</v>
      </c>
      <c r="L33" s="29" t="n">
        <v>57</v>
      </c>
      <c r="M33" s="29" t="n">
        <v>145</v>
      </c>
      <c r="N33" s="30" t="n">
        <f aca="false">IF(L33=0,"",M33/L33)</f>
        <v>2.54385964912281</v>
      </c>
      <c r="O33" s="30" t="n">
        <f aca="false">IFERROR((IF(N33="",0,N33*前提・入力!$B$5)+IF(K33="",0,K33*前提・入力!$B$6)+IF(H33="",0,H33*前提・入力!$B$7))/(IF(N33="",0,前提・入力!$B$5)+IF(K33="",0,前提・入力!$B$6)+IF(H33="",0,前提・入力!$B$7)),前提・入力!$B$10)</f>
        <v>2.75337681139064</v>
      </c>
      <c r="P33" s="29" t="n">
        <f aca="false">ROUND(E33*O33,0)</f>
        <v>41</v>
      </c>
      <c r="Q33" s="28" t="n">
        <f aca="false">P33*D33</f>
        <v>45100</v>
      </c>
      <c r="R33" s="31" t="n">
        <f aca="false">IFERROR(P33/P$49,0)</f>
        <v>0.004327633523327</v>
      </c>
      <c r="S33" s="29" t="n">
        <v>70</v>
      </c>
      <c r="T33" s="31" t="n">
        <f aca="false">IFERROR(P33/S33,0)</f>
        <v>0.585714285714286</v>
      </c>
      <c r="U33" s="29" t="n">
        <f aca="false">MAX(0,S33-P33)</f>
        <v>29</v>
      </c>
      <c r="V33" s="32" t="n">
        <f aca="false">P33-S33</f>
        <v>-29</v>
      </c>
      <c r="W33" s="33" t="str">
        <f aca="false">IF(V33&gt;0,"会期中に在庫切れ",IF(T33&gt;=0.9,"要注意(90%超)",IF(T33&gt;=0.5,"適正","在庫余剰")))</f>
        <v>適正</v>
      </c>
    </row>
    <row r="34" customFormat="false" ht="15" hidden="false" customHeight="false" outlineLevel="0" collapsed="false">
      <c r="A34" s="26" t="n">
        <v>28</v>
      </c>
      <c r="B34" s="26" t="s">
        <v>234</v>
      </c>
      <c r="C34" s="27" t="s">
        <v>235</v>
      </c>
      <c r="D34" s="28" t="n">
        <v>1800</v>
      </c>
      <c r="E34" s="29" t="n">
        <v>130</v>
      </c>
      <c r="F34" s="29" t="n">
        <v>299</v>
      </c>
      <c r="G34" s="29" t="n">
        <v>436</v>
      </c>
      <c r="H34" s="30" t="n">
        <f aca="false">IF(F34=0,"",G34*(1+前提・入力!$B$9)/F34)</f>
        <v>1.52861312869623</v>
      </c>
      <c r="I34" s="29" t="n">
        <v>167</v>
      </c>
      <c r="J34" s="29" t="n">
        <v>333</v>
      </c>
      <c r="K34" s="30" t="n">
        <f aca="false">IF(I34=0,"",J34/I34)</f>
        <v>1.9940119760479</v>
      </c>
      <c r="L34" s="29" t="n">
        <v>260</v>
      </c>
      <c r="M34" s="29" t="n">
        <v>400</v>
      </c>
      <c r="N34" s="30" t="n">
        <f aca="false">IF(L34=0,"",M34/L34)</f>
        <v>1.53846153846154</v>
      </c>
      <c r="O34" s="30" t="n">
        <f aca="false">IFERROR((IF(N34="",0,N34*前提・入力!$B$5)+IF(K34="",0,K34*前提・入力!$B$6)+IF(H34="",0,H34*前提・入力!$B$7))/(IF(N34="",0,前提・入力!$B$5)+IF(K34="",0,前提・入力!$B$6)+IF(H34="",0,前提・入力!$B$7)),前提・入力!$B$10)</f>
        <v>1.6498870454168</v>
      </c>
      <c r="P34" s="29" t="n">
        <f aca="false">ROUND(E34*O34,0)</f>
        <v>214</v>
      </c>
      <c r="Q34" s="28" t="n">
        <f aca="false">P34*D34</f>
        <v>385200</v>
      </c>
      <c r="R34" s="31" t="n">
        <f aca="false">IFERROR(P34/P$49,0)</f>
        <v>0.0225881359510239</v>
      </c>
      <c r="S34" s="29" t="n">
        <v>200</v>
      </c>
      <c r="T34" s="31" t="n">
        <f aca="false">IFERROR(P34/S34,0)</f>
        <v>1.07</v>
      </c>
      <c r="U34" s="29" t="n">
        <f aca="false">MAX(0,S34-P34)</f>
        <v>0</v>
      </c>
      <c r="V34" s="32" t="n">
        <f aca="false">P34-S34</f>
        <v>14</v>
      </c>
      <c r="W34" s="33" t="str">
        <f aca="false">IF(V34&gt;0,"会期中に在庫切れ",IF(T34&gt;=0.9,"要注意(90%超)",IF(T34&gt;=0.5,"適正","在庫余剰")))</f>
        <v>会期中に在庫切れ</v>
      </c>
    </row>
    <row r="35" customFormat="false" ht="15" hidden="false" customHeight="false" outlineLevel="0" collapsed="false">
      <c r="A35" s="26" t="n">
        <v>29</v>
      </c>
      <c r="B35" s="26" t="s">
        <v>236</v>
      </c>
      <c r="C35" s="27" t="s">
        <v>237</v>
      </c>
      <c r="D35" s="28" t="n">
        <v>1500</v>
      </c>
      <c r="E35" s="29" t="n">
        <v>66</v>
      </c>
      <c r="F35" s="29" t="n">
        <v>236</v>
      </c>
      <c r="G35" s="29" t="n">
        <v>318</v>
      </c>
      <c r="H35" s="30" t="n">
        <f aca="false">IF(F35=0,"",G35*(1+前提・入力!$B$9)/F35)</f>
        <v>1.41252909250792</v>
      </c>
      <c r="I35" s="29" t="n">
        <v>102</v>
      </c>
      <c r="J35" s="29" t="n">
        <v>249</v>
      </c>
      <c r="K35" s="30" t="n">
        <f aca="false">IF(I35=0,"",J35/I35)</f>
        <v>2.44117647058824</v>
      </c>
      <c r="L35" s="29" t="n">
        <v>200</v>
      </c>
      <c r="M35" s="29" t="n">
        <v>200</v>
      </c>
      <c r="N35" s="30" t="n">
        <f aca="false">IF(L35=0,"",M35/L35)</f>
        <v>1</v>
      </c>
      <c r="O35" s="30" t="n">
        <f aca="false">IFERROR((IF(N35="",0,N35*前提・入力!$B$5)+IF(K35="",0,K35*前提・入力!$B$6)+IF(H35="",0,H35*前提・入力!$B$7))/(IF(N35="",0,前提・入力!$B$5)+IF(K35="",0,前提・入力!$B$6)+IF(H35="",0,前提・入力!$B$7)),前提・入力!$B$10)</f>
        <v>1.46342639077404</v>
      </c>
      <c r="P35" s="29" t="n">
        <f aca="false">ROUND(E35*O35,0)</f>
        <v>97</v>
      </c>
      <c r="Q35" s="28" t="n">
        <f aca="false">P35*D35</f>
        <v>145500</v>
      </c>
      <c r="R35" s="31" t="n">
        <f aca="false">IFERROR(P35/P$49,0)</f>
        <v>0.0102385476039688</v>
      </c>
      <c r="S35" s="29" t="n">
        <v>100</v>
      </c>
      <c r="T35" s="31" t="n">
        <f aca="false">IFERROR(P35/S35,0)</f>
        <v>0.97</v>
      </c>
      <c r="U35" s="29" t="n">
        <f aca="false">MAX(0,S35-P35)</f>
        <v>3</v>
      </c>
      <c r="V35" s="32" t="n">
        <f aca="false">P35-S35</f>
        <v>-3</v>
      </c>
      <c r="W35" s="33" t="str">
        <f aca="false">IF(V35&gt;0,"会期中に在庫切れ",IF(T35&gt;=0.9,"要注意(90%超)",IF(T35&gt;=0.5,"適正","在庫余剰")))</f>
        <v>要注意(90%超)</v>
      </c>
    </row>
    <row r="36" customFormat="false" ht="15" hidden="false" customHeight="false" outlineLevel="0" collapsed="false">
      <c r="A36" s="26" t="n">
        <v>30</v>
      </c>
      <c r="B36" s="26" t="s">
        <v>238</v>
      </c>
      <c r="C36" s="27" t="s">
        <v>239</v>
      </c>
      <c r="D36" s="28" t="n">
        <v>3300</v>
      </c>
      <c r="E36" s="29" t="n">
        <v>20</v>
      </c>
      <c r="F36" s="29" t="n">
        <v>68</v>
      </c>
      <c r="G36" s="29" t="n">
        <v>169</v>
      </c>
      <c r="H36" s="30" t="n">
        <f aca="false">IF(F36=0,"",G36*(1+前提・入力!$B$9)/F36)</f>
        <v>2.60531401801636</v>
      </c>
      <c r="I36" s="29" t="n">
        <v>20</v>
      </c>
      <c r="J36" s="29" t="n">
        <v>63</v>
      </c>
      <c r="K36" s="30" t="n">
        <f aca="false">IF(I36=0,"",J36/I36)</f>
        <v>3.15</v>
      </c>
      <c r="L36" s="29" t="n">
        <v>61</v>
      </c>
      <c r="M36" s="29" t="n">
        <v>205</v>
      </c>
      <c r="N36" s="30" t="n">
        <f aca="false">IF(L36=0,"",M36/L36)</f>
        <v>3.36065573770492</v>
      </c>
      <c r="O36" s="30" t="n">
        <f aca="false">IFERROR((IF(N36="",0,N36*前提・入力!$B$5)+IF(K36="",0,K36*前提・入力!$B$6)+IF(H36="",0,H36*前提・入力!$B$7))/(IF(N36="",0,前提・入力!$B$5)+IF(K36="",0,前提・入力!$B$6)+IF(H36="",0,前提・入力!$B$7)),前提・入力!$B$10)</f>
        <v>3.11915637335655</v>
      </c>
      <c r="P36" s="29" t="n">
        <f aca="false">ROUND(E36*O36,0)</f>
        <v>62</v>
      </c>
      <c r="Q36" s="28" t="n">
        <f aca="false">P36*D36</f>
        <v>204600</v>
      </c>
      <c r="R36" s="31" t="n">
        <f aca="false">IFERROR(P36/P$49,0)</f>
        <v>0.00654422630356766</v>
      </c>
      <c r="S36" s="29" t="n">
        <v>250</v>
      </c>
      <c r="T36" s="31" t="n">
        <f aca="false">IFERROR(P36/S36,0)</f>
        <v>0.248</v>
      </c>
      <c r="U36" s="29" t="n">
        <f aca="false">MAX(0,S36-P36)</f>
        <v>188</v>
      </c>
      <c r="V36" s="32" t="n">
        <f aca="false">P36-S36</f>
        <v>-188</v>
      </c>
      <c r="W36" s="33" t="str">
        <f aca="false">IF(V36&gt;0,"会期中に在庫切れ",IF(T36&gt;=0.9,"要注意(90%超)",IF(T36&gt;=0.5,"適正","在庫余剰")))</f>
        <v>在庫余剰</v>
      </c>
    </row>
    <row r="37" customFormat="false" ht="15" hidden="false" customHeight="false" outlineLevel="0" collapsed="false">
      <c r="A37" s="26" t="n">
        <v>31</v>
      </c>
      <c r="B37" s="26" t="s">
        <v>240</v>
      </c>
      <c r="C37" s="27" t="s">
        <v>241</v>
      </c>
      <c r="D37" s="28" t="n">
        <v>1300</v>
      </c>
      <c r="E37" s="29" t="n">
        <v>43</v>
      </c>
      <c r="F37" s="29" t="n">
        <v>116</v>
      </c>
      <c r="G37" s="29" t="n">
        <v>235</v>
      </c>
      <c r="H37" s="30" t="n">
        <f aca="false">IF(F37=0,"",G37*(1+前提・入力!$B$9)/F37)</f>
        <v>2.12369506263525</v>
      </c>
      <c r="I37" s="29" t="n">
        <v>73</v>
      </c>
      <c r="J37" s="29" t="n">
        <v>160</v>
      </c>
      <c r="K37" s="30" t="n">
        <f aca="false">IF(I37=0,"",J37/I37)</f>
        <v>2.19178082191781</v>
      </c>
      <c r="L37" s="29" t="n">
        <v>185</v>
      </c>
      <c r="M37" s="29" t="n">
        <v>427</v>
      </c>
      <c r="N37" s="30" t="n">
        <f aca="false">IF(L37=0,"",M37/L37)</f>
        <v>2.30810810810811</v>
      </c>
      <c r="O37" s="30" t="n">
        <f aca="false">IFERROR((IF(N37="",0,N37*前提・入力!$B$5)+IF(K37="",0,K37*前提・入力!$B$6)+IF(H37="",0,H37*前提・入力!$B$7))/(IF(N37="",0,前提・入力!$B$5)+IF(K37="",0,前提・入力!$B$6)+IF(H37="",0,前提・入力!$B$7)),前提・入力!$B$10)</f>
        <v>2.23292302519232</v>
      </c>
      <c r="P37" s="29" t="n">
        <f aca="false">ROUND(E37*O37,0)</f>
        <v>96</v>
      </c>
      <c r="Q37" s="28" t="n">
        <f aca="false">P37*D37</f>
        <v>124800</v>
      </c>
      <c r="R37" s="31" t="n">
        <f aca="false">IFERROR(P37/P$49,0)</f>
        <v>0.0101329955668144</v>
      </c>
      <c r="S37" s="29" t="n">
        <v>200</v>
      </c>
      <c r="T37" s="31" t="n">
        <f aca="false">IFERROR(P37/S37,0)</f>
        <v>0.48</v>
      </c>
      <c r="U37" s="29" t="n">
        <f aca="false">MAX(0,S37-P37)</f>
        <v>104</v>
      </c>
      <c r="V37" s="32" t="n">
        <f aca="false">P37-S37</f>
        <v>-104</v>
      </c>
      <c r="W37" s="33" t="str">
        <f aca="false">IF(V37&gt;0,"会期中に在庫切れ",IF(T37&gt;=0.9,"要注意(90%超)",IF(T37&gt;=0.5,"適正","在庫余剰")))</f>
        <v>在庫余剰</v>
      </c>
    </row>
    <row r="38" customFormat="false" ht="15" hidden="false" customHeight="false" outlineLevel="0" collapsed="false">
      <c r="A38" s="26" t="n">
        <v>32</v>
      </c>
      <c r="B38" s="26" t="s">
        <v>242</v>
      </c>
      <c r="C38" s="27" t="s">
        <v>243</v>
      </c>
      <c r="D38" s="28" t="n">
        <v>8800</v>
      </c>
      <c r="E38" s="29" t="n">
        <v>10</v>
      </c>
      <c r="F38" s="29" t="n">
        <v>36</v>
      </c>
      <c r="G38" s="29" t="n">
        <v>36</v>
      </c>
      <c r="H38" s="30" t="n">
        <f aca="false">IF(F38=0,"",G38*(1+前提・入力!$B$9)/F38)</f>
        <v>1.04829203091782</v>
      </c>
      <c r="I38" s="29" t="n">
        <v>28</v>
      </c>
      <c r="J38" s="29" t="n">
        <v>30</v>
      </c>
      <c r="K38" s="30" t="n">
        <f aca="false">IF(I38=0,"",J38/I38)</f>
        <v>1.07142857142857</v>
      </c>
      <c r="L38" s="29" t="n">
        <v>40</v>
      </c>
      <c r="M38" s="29" t="n">
        <v>40</v>
      </c>
      <c r="N38" s="30" t="n">
        <f aca="false">IF(L38=0,"",M38/L38)</f>
        <v>1</v>
      </c>
      <c r="O38" s="30" t="n">
        <f aca="false">IFERROR((IF(N38="",0,N38*前提・入力!$B$5)+IF(K38="",0,K38*前提・入力!$B$6)+IF(H38="",0,H38*前提・入力!$B$7))/(IF(N38="",0,前提・入力!$B$5)+IF(K38="",0,前提・入力!$B$6)+IF(H38="",0,前提・入力!$B$7)),前提・入力!$B$10)</f>
        <v>1.0299301505866</v>
      </c>
      <c r="P38" s="29" t="n">
        <f aca="false">ROUND(E38*O38,0)</f>
        <v>10</v>
      </c>
      <c r="Q38" s="28" t="n">
        <f aca="false">P38*D38</f>
        <v>88000</v>
      </c>
      <c r="R38" s="31" t="n">
        <f aca="false">IFERROR(P38/P$49,0)</f>
        <v>0.00105552037154317</v>
      </c>
      <c r="S38" s="29" t="n">
        <v>10</v>
      </c>
      <c r="T38" s="31" t="n">
        <f aca="false">IFERROR(P38/S38,0)</f>
        <v>1</v>
      </c>
      <c r="U38" s="29" t="n">
        <f aca="false">MAX(0,S38-P38)</f>
        <v>0</v>
      </c>
      <c r="V38" s="32" t="n">
        <f aca="false">P38-S38</f>
        <v>0</v>
      </c>
      <c r="W38" s="33" t="str">
        <f aca="false">IF(V38&gt;0,"会期中に在庫切れ",IF(T38&gt;=0.9,"要注意(90%超)",IF(T38&gt;=0.5,"適正","在庫余剰")))</f>
        <v>要注意(90%超)</v>
      </c>
    </row>
    <row r="39" customFormat="false" ht="15" hidden="false" customHeight="false" outlineLevel="0" collapsed="false">
      <c r="A39" s="26" t="n">
        <v>33</v>
      </c>
      <c r="B39" s="26" t="s">
        <v>244</v>
      </c>
      <c r="C39" s="27" t="s">
        <v>245</v>
      </c>
      <c r="D39" s="28" t="n">
        <v>27500</v>
      </c>
      <c r="E39" s="29" t="n">
        <v>0</v>
      </c>
      <c r="F39" s="29" t="n">
        <v>28</v>
      </c>
      <c r="G39" s="29" t="n">
        <v>37</v>
      </c>
      <c r="H39" s="30" t="n">
        <f aca="false">IF(F39=0,"",G39*(1+前提・入力!$B$9)/F39)</f>
        <v>1.3852430408557</v>
      </c>
      <c r="I39" s="29" t="n">
        <v>4</v>
      </c>
      <c r="J39" s="29" t="n">
        <v>13</v>
      </c>
      <c r="K39" s="30" t="n">
        <f aca="false">IF(I39=0,"",J39/I39)</f>
        <v>3.25</v>
      </c>
      <c r="L39" s="29" t="n">
        <v>13</v>
      </c>
      <c r="M39" s="29" t="n">
        <v>21</v>
      </c>
      <c r="N39" s="30" t="n">
        <f aca="false">IF(L39=0,"",M39/L39)</f>
        <v>1.61538461538462</v>
      </c>
      <c r="O39" s="30" t="n">
        <f aca="false">IFERROR((IF(N39="",0,N39*前提・入力!$B$5)+IF(K39="",0,K39*前提・入力!$B$6)+IF(H39="",0,H39*前提・入力!$B$7))/(IF(N39="",0,前提・入力!$B$5)+IF(K39="",0,前提・入力!$B$6)+IF(H39="",0,前提・入力!$B$7)),前提・入力!$B$10)</f>
        <v>1.96650306790623</v>
      </c>
      <c r="P39" s="29" t="n">
        <f aca="false">ROUND(E39*O39,0)</f>
        <v>0</v>
      </c>
      <c r="Q39" s="28" t="n">
        <f aca="false">P39*D39</f>
        <v>0</v>
      </c>
      <c r="R39" s="31" t="n">
        <f aca="false">IFERROR(P39/P$49,0)</f>
        <v>0</v>
      </c>
      <c r="S39" s="29" t="n">
        <v>15</v>
      </c>
      <c r="T39" s="31" t="n">
        <f aca="false">IFERROR(P39/S39,0)</f>
        <v>0</v>
      </c>
      <c r="U39" s="29" t="n">
        <f aca="false">MAX(0,S39-P39)</f>
        <v>15</v>
      </c>
      <c r="V39" s="32" t="n">
        <f aca="false">P39-S39</f>
        <v>-15</v>
      </c>
      <c r="W39" s="33" t="str">
        <f aca="false">IF(V39&gt;0,"会期中に在庫切れ",IF(T39&gt;=0.9,"要注意(90%超)",IF(T39&gt;=0.5,"適正","在庫余剰")))</f>
        <v>在庫余剰</v>
      </c>
    </row>
    <row r="40" customFormat="false" ht="15" hidden="false" customHeight="false" outlineLevel="0" collapsed="false">
      <c r="A40" s="26" t="n">
        <v>34</v>
      </c>
      <c r="B40" s="26" t="s">
        <v>246</v>
      </c>
      <c r="C40" s="27" t="s">
        <v>247</v>
      </c>
      <c r="D40" s="28" t="n">
        <v>27500</v>
      </c>
      <c r="E40" s="29" t="n">
        <v>1</v>
      </c>
      <c r="F40" s="29" t="n">
        <v>3</v>
      </c>
      <c r="G40" s="29" t="n">
        <v>3</v>
      </c>
      <c r="H40" s="30" t="n">
        <f aca="false">IF(F40=0,"",G40*(1+前提・入力!$B$9)/F40)</f>
        <v>1.04829203091782</v>
      </c>
      <c r="I40" s="29" t="n">
        <v>3</v>
      </c>
      <c r="J40" s="29" t="n">
        <v>3</v>
      </c>
      <c r="K40" s="30" t="n">
        <f aca="false">IF(I40=0,"",J40/I40)</f>
        <v>1</v>
      </c>
      <c r="L40" s="29" t="n">
        <v>3</v>
      </c>
      <c r="M40" s="29" t="n">
        <v>3</v>
      </c>
      <c r="N40" s="30" t="n">
        <f aca="false">IF(L40=0,"",M40/L40)</f>
        <v>1</v>
      </c>
      <c r="O40" s="30" t="n">
        <f aca="false">IFERROR((IF(N40="",0,N40*前提・入力!$B$5)+IF(K40="",0,K40*前提・入力!$B$6)+IF(H40="",0,H40*前提・入力!$B$7))/(IF(N40="",0,前提・入力!$B$5)+IF(K40="",0,前提・入力!$B$6)+IF(H40="",0,前提・入力!$B$7)),前提・入力!$B$10)</f>
        <v>1.01207300772946</v>
      </c>
      <c r="P40" s="29" t="n">
        <f aca="false">ROUND(E40*O40,0)</f>
        <v>1</v>
      </c>
      <c r="Q40" s="28" t="n">
        <f aca="false">P40*D40</f>
        <v>27500</v>
      </c>
      <c r="R40" s="31" t="n">
        <f aca="false">IFERROR(P40/P$49,0)</f>
        <v>0.000105552037154317</v>
      </c>
      <c r="S40" s="29" t="n">
        <v>2</v>
      </c>
      <c r="T40" s="31" t="n">
        <f aca="false">IFERROR(P40/S40,0)</f>
        <v>0.5</v>
      </c>
      <c r="U40" s="29" t="n">
        <f aca="false">MAX(0,S40-P40)</f>
        <v>1</v>
      </c>
      <c r="V40" s="32" t="n">
        <f aca="false">P40-S40</f>
        <v>-1</v>
      </c>
      <c r="W40" s="33" t="str">
        <f aca="false">IF(V40&gt;0,"会期中に在庫切れ",IF(T40&gt;=0.9,"要注意(90%超)",IF(T40&gt;=0.5,"適正","在庫余剰")))</f>
        <v>適正</v>
      </c>
    </row>
    <row r="41" customFormat="false" ht="15" hidden="false" customHeight="false" outlineLevel="0" collapsed="false">
      <c r="A41" s="26" t="n">
        <v>35</v>
      </c>
      <c r="B41" s="26" t="s">
        <v>248</v>
      </c>
      <c r="C41" s="27" t="s">
        <v>249</v>
      </c>
      <c r="D41" s="28" t="n">
        <v>27500</v>
      </c>
      <c r="E41" s="29" t="n">
        <v>0</v>
      </c>
      <c r="F41" s="29" t="n">
        <v>3</v>
      </c>
      <c r="G41" s="29" t="n">
        <v>3</v>
      </c>
      <c r="H41" s="30" t="n">
        <f aca="false">IF(F41=0,"",G41*(1+前提・入力!$B$9)/F41)</f>
        <v>1.04829203091782</v>
      </c>
      <c r="I41" s="29" t="n">
        <v>3</v>
      </c>
      <c r="J41" s="29" t="n">
        <v>3</v>
      </c>
      <c r="K41" s="30" t="n">
        <f aca="false">IF(I41=0,"",J41/I41)</f>
        <v>1</v>
      </c>
      <c r="L41" s="29" t="n">
        <v>3</v>
      </c>
      <c r="M41" s="29" t="n">
        <v>3</v>
      </c>
      <c r="N41" s="30" t="n">
        <f aca="false">IF(L41=0,"",M41/L41)</f>
        <v>1</v>
      </c>
      <c r="O41" s="30" t="n">
        <f aca="false">IFERROR((IF(N41="",0,N41*前提・入力!$B$5)+IF(K41="",0,K41*前提・入力!$B$6)+IF(H41="",0,H41*前提・入力!$B$7))/(IF(N41="",0,前提・入力!$B$5)+IF(K41="",0,前提・入力!$B$6)+IF(H41="",0,前提・入力!$B$7)),前提・入力!$B$10)</f>
        <v>1.01207300772946</v>
      </c>
      <c r="P41" s="29" t="n">
        <f aca="false">ROUND(E41*O41,0)</f>
        <v>0</v>
      </c>
      <c r="Q41" s="28" t="n">
        <f aca="false">P41*D41</f>
        <v>0</v>
      </c>
      <c r="R41" s="31" t="n">
        <f aca="false">IFERROR(P41/P$49,0)</f>
        <v>0</v>
      </c>
      <c r="S41" s="29" t="n">
        <v>2</v>
      </c>
      <c r="T41" s="31" t="n">
        <f aca="false">IFERROR(P41/S41,0)</f>
        <v>0</v>
      </c>
      <c r="U41" s="29" t="n">
        <f aca="false">MAX(0,S41-P41)</f>
        <v>2</v>
      </c>
      <c r="V41" s="32" t="n">
        <f aca="false">P41-S41</f>
        <v>-2</v>
      </c>
      <c r="W41" s="33" t="str">
        <f aca="false">IF(V41&gt;0,"会期中に在庫切れ",IF(T41&gt;=0.9,"要注意(90%超)",IF(T41&gt;=0.5,"適正","在庫余剰")))</f>
        <v>在庫余剰</v>
      </c>
    </row>
    <row r="42" customFormat="false" ht="15" hidden="false" customHeight="false" outlineLevel="0" collapsed="false">
      <c r="A42" s="26" t="n">
        <v>36</v>
      </c>
      <c r="B42" s="26" t="s">
        <v>250</v>
      </c>
      <c r="C42" s="27" t="s">
        <v>251</v>
      </c>
      <c r="D42" s="28" t="n">
        <v>27500</v>
      </c>
      <c r="E42" s="29" t="n">
        <v>0</v>
      </c>
      <c r="F42" s="29" t="n">
        <v>3</v>
      </c>
      <c r="G42" s="29" t="n">
        <v>3</v>
      </c>
      <c r="H42" s="30" t="n">
        <f aca="false">IF(F42=0,"",G42*(1+前提・入力!$B$9)/F42)</f>
        <v>1.04829203091782</v>
      </c>
      <c r="I42" s="29" t="n">
        <v>3</v>
      </c>
      <c r="J42" s="29" t="n">
        <v>3</v>
      </c>
      <c r="K42" s="30" t="n">
        <f aca="false">IF(I42=0,"",J42/I42)</f>
        <v>1</v>
      </c>
      <c r="L42" s="29" t="n">
        <v>3</v>
      </c>
      <c r="M42" s="29" t="n">
        <v>3</v>
      </c>
      <c r="N42" s="30" t="n">
        <f aca="false">IF(L42=0,"",M42/L42)</f>
        <v>1</v>
      </c>
      <c r="O42" s="30" t="n">
        <f aca="false">IFERROR((IF(N42="",0,N42*前提・入力!$B$5)+IF(K42="",0,K42*前提・入力!$B$6)+IF(H42="",0,H42*前提・入力!$B$7))/(IF(N42="",0,前提・入力!$B$5)+IF(K42="",0,前提・入力!$B$6)+IF(H42="",0,前提・入力!$B$7)),前提・入力!$B$10)</f>
        <v>1.01207300772946</v>
      </c>
      <c r="P42" s="29" t="n">
        <f aca="false">ROUND(E42*O42,0)</f>
        <v>0</v>
      </c>
      <c r="Q42" s="28" t="n">
        <f aca="false">P42*D42</f>
        <v>0</v>
      </c>
      <c r="R42" s="31" t="n">
        <f aca="false">IFERROR(P42/P$49,0)</f>
        <v>0</v>
      </c>
      <c r="S42" s="29" t="n">
        <v>2</v>
      </c>
      <c r="T42" s="31" t="n">
        <f aca="false">IFERROR(P42/S42,0)</f>
        <v>0</v>
      </c>
      <c r="U42" s="29" t="n">
        <f aca="false">MAX(0,S42-P42)</f>
        <v>2</v>
      </c>
      <c r="V42" s="32" t="n">
        <f aca="false">P42-S42</f>
        <v>-2</v>
      </c>
      <c r="W42" s="33" t="str">
        <f aca="false">IF(V42&gt;0,"会期中に在庫切れ",IF(T42&gt;=0.9,"要注意(90%超)",IF(T42&gt;=0.5,"適正","在庫余剰")))</f>
        <v>在庫余剰</v>
      </c>
    </row>
    <row r="43" customFormat="false" ht="15" hidden="false" customHeight="false" outlineLevel="0" collapsed="false">
      <c r="A43" s="26" t="n">
        <v>37</v>
      </c>
      <c r="B43" s="26" t="s">
        <v>252</v>
      </c>
      <c r="C43" s="27" t="s">
        <v>253</v>
      </c>
      <c r="D43" s="28" t="n">
        <v>27500</v>
      </c>
      <c r="E43" s="29" t="n">
        <v>0</v>
      </c>
      <c r="F43" s="29" t="n">
        <v>11</v>
      </c>
      <c r="G43" s="29" t="n">
        <v>19</v>
      </c>
      <c r="H43" s="30" t="n">
        <f aca="false">IF(F43=0,"",G43*(1+前提・入力!$B$9)/F43)</f>
        <v>1.8106862352217</v>
      </c>
      <c r="I43" s="29" t="n">
        <v>4</v>
      </c>
      <c r="J43" s="29" t="n">
        <v>10</v>
      </c>
      <c r="K43" s="30" t="n">
        <f aca="false">IF(I43=0,"",J43/I43)</f>
        <v>2.5</v>
      </c>
      <c r="L43" s="29" t="n">
        <v>15</v>
      </c>
      <c r="M43" s="29" t="n">
        <v>26</v>
      </c>
      <c r="N43" s="30" t="n">
        <f aca="false">IF(L43=0,"",M43/L43)</f>
        <v>1.73333333333333</v>
      </c>
      <c r="O43" s="30" t="n">
        <f aca="false">IFERROR((IF(N43="",0,N43*前提・入力!$B$5)+IF(K43="",0,K43*前提・入力!$B$6)+IF(H43="",0,H43*前提・入力!$B$7))/(IF(N43="",0,前提・入力!$B$5)+IF(K43="",0,前提・入力!$B$6)+IF(H43="",0,前提・入力!$B$7)),前提・入力!$B$10)</f>
        <v>1.94433822547209</v>
      </c>
      <c r="P43" s="29" t="n">
        <f aca="false">ROUND(E43*O43,0)</f>
        <v>0</v>
      </c>
      <c r="Q43" s="28" t="n">
        <f aca="false">P43*D43</f>
        <v>0</v>
      </c>
      <c r="R43" s="31" t="n">
        <f aca="false">IFERROR(P43/P$49,0)</f>
        <v>0</v>
      </c>
      <c r="S43" s="29" t="n">
        <v>8</v>
      </c>
      <c r="T43" s="31" t="n">
        <f aca="false">IFERROR(P43/S43,0)</f>
        <v>0</v>
      </c>
      <c r="U43" s="29" t="n">
        <f aca="false">MAX(0,S43-P43)</f>
        <v>8</v>
      </c>
      <c r="V43" s="32" t="n">
        <f aca="false">P43-S43</f>
        <v>-8</v>
      </c>
      <c r="W43" s="33" t="str">
        <f aca="false">IF(V43&gt;0,"会期中に在庫切れ",IF(T43&gt;=0.9,"要注意(90%超)",IF(T43&gt;=0.5,"適正","在庫余剰")))</f>
        <v>在庫余剰</v>
      </c>
    </row>
    <row r="44" customFormat="false" ht="15" hidden="false" customHeight="false" outlineLevel="0" collapsed="false">
      <c r="A44" s="26" t="n">
        <v>38</v>
      </c>
      <c r="B44" s="26" t="s">
        <v>254</v>
      </c>
      <c r="C44" s="27" t="s">
        <v>255</v>
      </c>
      <c r="D44" s="28" t="n">
        <v>27500</v>
      </c>
      <c r="E44" s="29" t="n">
        <v>1</v>
      </c>
      <c r="F44" s="29" t="n">
        <v>3</v>
      </c>
      <c r="G44" s="29" t="n">
        <v>3</v>
      </c>
      <c r="H44" s="30" t="n">
        <f aca="false">IF(F44=0,"",G44*(1+前提・入力!$B$9)/F44)</f>
        <v>1.04829203091782</v>
      </c>
      <c r="I44" s="29" t="n">
        <v>3</v>
      </c>
      <c r="J44" s="29" t="n">
        <v>3</v>
      </c>
      <c r="K44" s="30" t="n">
        <f aca="false">IF(I44=0,"",J44/I44)</f>
        <v>1</v>
      </c>
      <c r="L44" s="29" t="n">
        <v>3</v>
      </c>
      <c r="M44" s="29" t="n">
        <v>3</v>
      </c>
      <c r="N44" s="30" t="n">
        <f aca="false">IF(L44=0,"",M44/L44)</f>
        <v>1</v>
      </c>
      <c r="O44" s="30" t="n">
        <f aca="false">IFERROR((IF(N44="",0,N44*前提・入力!$B$5)+IF(K44="",0,K44*前提・入力!$B$6)+IF(H44="",0,H44*前提・入力!$B$7))/(IF(N44="",0,前提・入力!$B$5)+IF(K44="",0,前提・入力!$B$6)+IF(H44="",0,前提・入力!$B$7)),前提・入力!$B$10)</f>
        <v>1.01207300772946</v>
      </c>
      <c r="P44" s="29" t="n">
        <f aca="false">ROUND(E44*O44,0)</f>
        <v>1</v>
      </c>
      <c r="Q44" s="28" t="n">
        <f aca="false">P44*D44</f>
        <v>27500</v>
      </c>
      <c r="R44" s="31" t="n">
        <f aca="false">IFERROR(P44/P$49,0)</f>
        <v>0.000105552037154317</v>
      </c>
      <c r="S44" s="29" t="n">
        <v>2</v>
      </c>
      <c r="T44" s="31" t="n">
        <f aca="false">IFERROR(P44/S44,0)</f>
        <v>0.5</v>
      </c>
      <c r="U44" s="29" t="n">
        <f aca="false">MAX(0,S44-P44)</f>
        <v>1</v>
      </c>
      <c r="V44" s="32" t="n">
        <f aca="false">P44-S44</f>
        <v>-1</v>
      </c>
      <c r="W44" s="33" t="str">
        <f aca="false">IF(V44&gt;0,"会期中に在庫切れ",IF(T44&gt;=0.9,"要注意(90%超)",IF(T44&gt;=0.5,"適正","在庫余剰")))</f>
        <v>適正</v>
      </c>
    </row>
    <row r="45" customFormat="false" ht="15" hidden="false" customHeight="false" outlineLevel="0" collapsed="false">
      <c r="A45" s="26" t="n">
        <v>39</v>
      </c>
      <c r="B45" s="26" t="s">
        <v>256</v>
      </c>
      <c r="C45" s="27" t="s">
        <v>257</v>
      </c>
      <c r="D45" s="28" t="n">
        <v>27500</v>
      </c>
      <c r="E45" s="29" t="n">
        <v>1</v>
      </c>
      <c r="F45" s="29" t="n">
        <v>3</v>
      </c>
      <c r="G45" s="29" t="n">
        <v>3</v>
      </c>
      <c r="H45" s="30" t="n">
        <f aca="false">IF(F45=0,"",G45*(1+前提・入力!$B$9)/F45)</f>
        <v>1.04829203091782</v>
      </c>
      <c r="I45" s="29" t="n">
        <v>2</v>
      </c>
      <c r="J45" s="29" t="n">
        <v>2</v>
      </c>
      <c r="K45" s="30" t="n">
        <f aca="false">IF(I45=0,"",J45/I45)</f>
        <v>1</v>
      </c>
      <c r="L45" s="29" t="n">
        <v>3</v>
      </c>
      <c r="M45" s="29" t="n">
        <v>3</v>
      </c>
      <c r="N45" s="30" t="n">
        <f aca="false">IF(L45=0,"",M45/L45)</f>
        <v>1</v>
      </c>
      <c r="O45" s="30" t="n">
        <f aca="false">IFERROR((IF(N45="",0,N45*前提・入力!$B$5)+IF(K45="",0,K45*前提・入力!$B$6)+IF(H45="",0,H45*前提・入力!$B$7))/(IF(N45="",0,前提・入力!$B$5)+IF(K45="",0,前提・入力!$B$6)+IF(H45="",0,前提・入力!$B$7)),前提・入力!$B$10)</f>
        <v>1.01207300772946</v>
      </c>
      <c r="P45" s="29" t="n">
        <f aca="false">ROUND(E45*O45,0)</f>
        <v>1</v>
      </c>
      <c r="Q45" s="28" t="n">
        <f aca="false">P45*D45</f>
        <v>27500</v>
      </c>
      <c r="R45" s="31" t="n">
        <f aca="false">IFERROR(P45/P$49,0)</f>
        <v>0.000105552037154317</v>
      </c>
      <c r="S45" s="29" t="n">
        <v>2</v>
      </c>
      <c r="T45" s="31" t="n">
        <f aca="false">IFERROR(P45/S45,0)</f>
        <v>0.5</v>
      </c>
      <c r="U45" s="29" t="n">
        <f aca="false">MAX(0,S45-P45)</f>
        <v>1</v>
      </c>
      <c r="V45" s="32" t="n">
        <f aca="false">P45-S45</f>
        <v>-1</v>
      </c>
      <c r="W45" s="33" t="str">
        <f aca="false">IF(V45&gt;0,"会期中に在庫切れ",IF(T45&gt;=0.9,"要注意(90%超)",IF(T45&gt;=0.5,"適正","在庫余剰")))</f>
        <v>適正</v>
      </c>
    </row>
    <row r="46" customFormat="false" ht="15" hidden="false" customHeight="false" outlineLevel="0" collapsed="false">
      <c r="A46" s="26" t="n">
        <v>40</v>
      </c>
      <c r="B46" s="26" t="s">
        <v>258</v>
      </c>
      <c r="C46" s="27" t="s">
        <v>259</v>
      </c>
      <c r="D46" s="28" t="n">
        <v>27500</v>
      </c>
      <c r="E46" s="29" t="n">
        <v>0</v>
      </c>
      <c r="F46" s="29" t="n">
        <v>3</v>
      </c>
      <c r="G46" s="29" t="n">
        <v>3</v>
      </c>
      <c r="H46" s="30" t="n">
        <f aca="false">IF(F46=0,"",G46*(1+前提・入力!$B$9)/F46)</f>
        <v>1.04829203091782</v>
      </c>
      <c r="I46" s="29" t="n">
        <v>3</v>
      </c>
      <c r="J46" s="29" t="n">
        <v>3</v>
      </c>
      <c r="K46" s="30" t="n">
        <f aca="false">IF(I46=0,"",J46/I46)</f>
        <v>1</v>
      </c>
      <c r="L46" s="29" t="n">
        <v>3</v>
      </c>
      <c r="M46" s="29" t="n">
        <v>3</v>
      </c>
      <c r="N46" s="30" t="n">
        <f aca="false">IF(L46=0,"",M46/L46)</f>
        <v>1</v>
      </c>
      <c r="O46" s="30" t="n">
        <f aca="false">IFERROR((IF(N46="",0,N46*前提・入力!$B$5)+IF(K46="",0,K46*前提・入力!$B$6)+IF(H46="",0,H46*前提・入力!$B$7))/(IF(N46="",0,前提・入力!$B$5)+IF(K46="",0,前提・入力!$B$6)+IF(H46="",0,前提・入力!$B$7)),前提・入力!$B$10)</f>
        <v>1.01207300772946</v>
      </c>
      <c r="P46" s="29" t="n">
        <f aca="false">ROUND(E46*O46,0)</f>
        <v>0</v>
      </c>
      <c r="Q46" s="28" t="n">
        <f aca="false">P46*D46</f>
        <v>0</v>
      </c>
      <c r="R46" s="31" t="n">
        <f aca="false">IFERROR(P46/P$49,0)</f>
        <v>0</v>
      </c>
      <c r="S46" s="29" t="n">
        <v>2</v>
      </c>
      <c r="T46" s="31" t="n">
        <f aca="false">IFERROR(P46/S46,0)</f>
        <v>0</v>
      </c>
      <c r="U46" s="29" t="n">
        <f aca="false">MAX(0,S46-P46)</f>
        <v>2</v>
      </c>
      <c r="V46" s="32" t="n">
        <f aca="false">P46-S46</f>
        <v>-2</v>
      </c>
      <c r="W46" s="33" t="str">
        <f aca="false">IF(V46&gt;0,"会期中に在庫切れ",IF(T46&gt;=0.9,"要注意(90%超)",IF(T46&gt;=0.5,"適正","在庫余剰")))</f>
        <v>在庫余剰</v>
      </c>
    </row>
    <row r="47" customFormat="false" ht="15" hidden="false" customHeight="false" outlineLevel="0" collapsed="false">
      <c r="A47" s="26" t="n">
        <v>41</v>
      </c>
      <c r="B47" s="26" t="s">
        <v>260</v>
      </c>
      <c r="C47" s="27" t="s">
        <v>261</v>
      </c>
      <c r="D47" s="28" t="n">
        <v>25000</v>
      </c>
      <c r="E47" s="29" t="n">
        <v>0</v>
      </c>
      <c r="F47" s="29" t="n">
        <v>4</v>
      </c>
      <c r="G47" s="29" t="n">
        <v>5</v>
      </c>
      <c r="H47" s="30" t="n">
        <f aca="false">IF(F47=0,"",G47*(1+前提・入力!$B$9)/F47)</f>
        <v>1.31036503864728</v>
      </c>
      <c r="I47" s="29" t="n">
        <v>1</v>
      </c>
      <c r="J47" s="29" t="n">
        <v>1</v>
      </c>
      <c r="K47" s="30" t="n">
        <f aca="false">IF(I47=0,"",J47/I47)</f>
        <v>1</v>
      </c>
      <c r="L47" s="29" t="n">
        <v>0</v>
      </c>
      <c r="M47" s="29" t="n">
        <v>2</v>
      </c>
      <c r="N47" s="30" t="str">
        <f aca="false">IF(L47=0,"",M47/L47)</f>
        <v/>
      </c>
      <c r="O47" s="30" t="n">
        <f aca="false">IFERROR((IF(N47="",0,N47*前提・入力!$B$5)+IF(K47="",0,K47*前提・入力!$B$6)+IF(H47="",0,H47*前提・入力!$B$7))/(IF(N47="",0,前提・入力!$B$5)+IF(K47="",0,前提・入力!$B$6)+IF(H47="",0,前提・入力!$B$7)),前提・入力!$B$10)</f>
        <v>1.15518251932364</v>
      </c>
      <c r="P47" s="29" t="n">
        <f aca="false">ROUND(E47*O47,0)</f>
        <v>0</v>
      </c>
      <c r="Q47" s="28" t="n">
        <f aca="false">P47*D47</f>
        <v>0</v>
      </c>
      <c r="R47" s="31" t="n">
        <f aca="false">IFERROR(P47/P$49,0)</f>
        <v>0</v>
      </c>
      <c r="S47" s="29" t="n">
        <v>4</v>
      </c>
      <c r="T47" s="31" t="n">
        <f aca="false">IFERROR(P47/S47,0)</f>
        <v>0</v>
      </c>
      <c r="U47" s="29" t="n">
        <f aca="false">MAX(0,S47-P47)</f>
        <v>4</v>
      </c>
      <c r="V47" s="32" t="n">
        <f aca="false">P47-S47</f>
        <v>-4</v>
      </c>
      <c r="W47" s="33" t="str">
        <f aca="false">IF(V47&gt;0,"会期中に在庫切れ",IF(T47&gt;=0.9,"要注意(90%超)",IF(T47&gt;=0.5,"適正","在庫余剰")))</f>
        <v>在庫余剰</v>
      </c>
    </row>
    <row r="48" customFormat="false" ht="15" hidden="false" customHeight="false" outlineLevel="0" collapsed="false">
      <c r="A48" s="26" t="n">
        <v>42</v>
      </c>
      <c r="B48" s="26" t="s">
        <v>262</v>
      </c>
      <c r="C48" s="27" t="s">
        <v>263</v>
      </c>
      <c r="D48" s="28" t="n">
        <v>25000</v>
      </c>
      <c r="E48" s="29" t="n">
        <v>1</v>
      </c>
      <c r="F48" s="29" t="n">
        <v>3</v>
      </c>
      <c r="G48" s="29" t="n">
        <v>8</v>
      </c>
      <c r="H48" s="30" t="n">
        <f aca="false">IF(F48=0,"",G48*(1+前提・入力!$B$9)/F48)</f>
        <v>2.79544541578087</v>
      </c>
      <c r="I48" s="29" t="n">
        <v>1</v>
      </c>
      <c r="J48" s="29" t="n">
        <v>2</v>
      </c>
      <c r="K48" s="30" t="n">
        <f aca="false">IF(I48=0,"",J48/I48)</f>
        <v>2</v>
      </c>
      <c r="L48" s="29" t="n">
        <v>3</v>
      </c>
      <c r="M48" s="29" t="n">
        <v>8</v>
      </c>
      <c r="N48" s="30" t="n">
        <f aca="false">IF(L48=0,"",M48/L48)</f>
        <v>2.66666666666667</v>
      </c>
      <c r="O48" s="30" t="n">
        <f aca="false">IFERROR((IF(N48="",0,N48*前提・入力!$B$5)+IF(K48="",0,K48*前提・入力!$B$6)+IF(H48="",0,H48*前提・入力!$B$7))/(IF(N48="",0,前提・入力!$B$5)+IF(K48="",0,前提・入力!$B$6)+IF(H48="",0,前提・入力!$B$7)),前提・入力!$B$10)</f>
        <v>2.53219468727855</v>
      </c>
      <c r="P48" s="29" t="n">
        <f aca="false">ROUND(E48*O48,0)</f>
        <v>3</v>
      </c>
      <c r="Q48" s="28" t="n">
        <f aca="false">P48*D48</f>
        <v>75000</v>
      </c>
      <c r="R48" s="31" t="n">
        <f aca="false">IFERROR(P48/P$49,0)</f>
        <v>0.000316656111462951</v>
      </c>
      <c r="S48" s="29" t="n">
        <v>6</v>
      </c>
      <c r="T48" s="31" t="n">
        <f aca="false">IFERROR(P48/S48,0)</f>
        <v>0.5</v>
      </c>
      <c r="U48" s="29" t="n">
        <f aca="false">MAX(0,S48-P48)</f>
        <v>3</v>
      </c>
      <c r="V48" s="32" t="n">
        <f aca="false">P48-S48</f>
        <v>-3</v>
      </c>
      <c r="W48" s="33" t="str">
        <f aca="false">IF(V48&gt;0,"会期中に在庫切れ",IF(T48&gt;=0.9,"要注意(90%超)",IF(T48&gt;=0.5,"適正","在庫余剰")))</f>
        <v>適正</v>
      </c>
    </row>
    <row r="49" customFormat="false" ht="15" hidden="false" customHeight="false" outlineLevel="0" collapsed="false">
      <c r="A49" s="34"/>
      <c r="B49" s="34"/>
      <c r="C49" s="35" t="s">
        <v>264</v>
      </c>
      <c r="D49" s="34"/>
      <c r="E49" s="36" t="n">
        <f aca="false">SUM(E7:E48)</f>
        <v>4189</v>
      </c>
      <c r="F49" s="36" t="n">
        <f aca="false">SUM(F7:F48)</f>
        <v>27730</v>
      </c>
      <c r="G49" s="36" t="n">
        <f aca="false">SUM(G7:G48)</f>
        <v>58600</v>
      </c>
      <c r="H49" s="34"/>
      <c r="I49" s="36" t="n">
        <f aca="false">SUM(I7:I48)</f>
        <v>12341</v>
      </c>
      <c r="J49" s="36" t="n">
        <f aca="false">SUM(J7:J48)</f>
        <v>33235</v>
      </c>
      <c r="K49" s="34"/>
      <c r="L49" s="36" t="n">
        <f aca="false">SUM(L7:L48)</f>
        <v>29421</v>
      </c>
      <c r="M49" s="36" t="n">
        <f aca="false">SUM(M7:M48)</f>
        <v>63740</v>
      </c>
      <c r="N49" s="34"/>
      <c r="O49" s="37" t="n">
        <f aca="false">IFERROR(P49/E49,0)</f>
        <v>2.26163762234423</v>
      </c>
      <c r="P49" s="36" t="n">
        <f aca="false">SUM(P7:P48)</f>
        <v>9474</v>
      </c>
      <c r="Q49" s="38" t="n">
        <f aca="false">SUM(Q7:Q48)</f>
        <v>7142000</v>
      </c>
      <c r="R49" s="39" t="n">
        <v>1</v>
      </c>
      <c r="S49" s="36" t="n">
        <f aca="false">SUM(S7:S48)</f>
        <v>50196</v>
      </c>
      <c r="T49" s="39" t="n">
        <f aca="false">IFERROR(P49/S49,0)</f>
        <v>0.188740138656467</v>
      </c>
      <c r="U49" s="36" t="n">
        <f aca="false">SUM(U7:U48)</f>
        <v>40851</v>
      </c>
      <c r="V49" s="40" t="n">
        <f aca="false">SUM(V7:V48)</f>
        <v>-40722</v>
      </c>
      <c r="W49" s="34" t="str">
        <f aca="false">COUNTIF(W7:W48,"会期中に在庫切れ")&amp;"品目"</f>
        <v>3品目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265</v>
      </c>
    </row>
    <row r="2" customFormat="false" ht="15" hidden="false" customHeight="false" outlineLevel="0" collapsed="false">
      <c r="A2" s="3" t="s">
        <v>266</v>
      </c>
    </row>
    <row r="4" customFormat="false" ht="15" hidden="false" customHeight="false" outlineLevel="0" collapsed="false">
      <c r="A4" s="4" t="s">
        <v>267</v>
      </c>
    </row>
    <row r="5" customFormat="false" ht="33.75" hidden="false" customHeight="true" outlineLevel="0" collapsed="false">
      <c r="A5" s="19" t="s">
        <v>268</v>
      </c>
      <c r="B5" s="19" t="s">
        <v>269</v>
      </c>
      <c r="C5" s="41" t="s">
        <v>270</v>
      </c>
      <c r="D5" s="21" t="s">
        <v>271</v>
      </c>
      <c r="E5" s="22" t="s">
        <v>272</v>
      </c>
      <c r="F5" s="23" t="s">
        <v>273</v>
      </c>
      <c r="G5" s="20" t="s">
        <v>274</v>
      </c>
      <c r="H5" s="20" t="s">
        <v>275</v>
      </c>
      <c r="I5" s="42" t="s">
        <v>276</v>
      </c>
      <c r="J5" s="42" t="s">
        <v>277</v>
      </c>
      <c r="K5" s="42" t="s">
        <v>278</v>
      </c>
      <c r="L5" s="42" t="s">
        <v>279</v>
      </c>
      <c r="M5" s="42" t="s">
        <v>280</v>
      </c>
    </row>
    <row r="6" customFormat="false" ht="39.75" hidden="false" customHeight="true" outlineLevel="0" collapsed="false">
      <c r="A6" s="43" t="s">
        <v>281</v>
      </c>
      <c r="B6" s="26"/>
      <c r="C6" s="44" t="s">
        <v>282</v>
      </c>
      <c r="D6" s="44" t="s">
        <v>283</v>
      </c>
      <c r="E6" s="44" t="s">
        <v>284</v>
      </c>
      <c r="F6" s="44" t="s">
        <v>285</v>
      </c>
      <c r="G6" s="44" t="s">
        <v>286</v>
      </c>
      <c r="H6" s="45" t="s">
        <v>287</v>
      </c>
      <c r="I6" s="45" t="s">
        <v>288</v>
      </c>
      <c r="J6" s="45" t="s">
        <v>289</v>
      </c>
      <c r="K6" s="45" t="s">
        <v>290</v>
      </c>
      <c r="L6" s="45" t="s">
        <v>291</v>
      </c>
      <c r="M6" s="45" t="s">
        <v>292</v>
      </c>
    </row>
    <row r="7" customFormat="false" ht="15" hidden="false" customHeight="false" outlineLevel="0" collapsed="false">
      <c r="A7" s="43" t="s">
        <v>293</v>
      </c>
      <c r="B7" s="26"/>
      <c r="C7" s="29" t="n">
        <v>25</v>
      </c>
      <c r="D7" s="29" t="n">
        <v>19</v>
      </c>
      <c r="E7" s="29" t="n">
        <v>26</v>
      </c>
      <c r="F7" s="29" t="n">
        <v>20</v>
      </c>
      <c r="G7" s="29" t="n">
        <v>20</v>
      </c>
      <c r="H7" s="26" t="n">
        <v>20</v>
      </c>
      <c r="I7" s="26" t="n">
        <v>18</v>
      </c>
      <c r="J7" s="26" t="n">
        <v>30</v>
      </c>
      <c r="K7" s="26" t="n">
        <v>21</v>
      </c>
      <c r="L7" s="26" t="n">
        <v>21</v>
      </c>
      <c r="M7" s="26" t="n">
        <v>25</v>
      </c>
    </row>
    <row r="8" customFormat="false" ht="15" hidden="false" customHeight="false" outlineLevel="0" collapsed="false">
      <c r="A8" s="43" t="s">
        <v>294</v>
      </c>
      <c r="B8" s="26"/>
      <c r="C8" s="29" t="n">
        <v>25</v>
      </c>
      <c r="D8" s="29" t="n">
        <v>19</v>
      </c>
      <c r="E8" s="29" t="n">
        <v>26</v>
      </c>
      <c r="F8" s="29" t="n">
        <v>20</v>
      </c>
      <c r="G8" s="29" t="n">
        <v>5</v>
      </c>
      <c r="H8" s="33" t="s">
        <v>295</v>
      </c>
      <c r="I8" s="33" t="s">
        <v>295</v>
      </c>
      <c r="J8" s="33" t="s">
        <v>295</v>
      </c>
      <c r="K8" s="33" t="s">
        <v>295</v>
      </c>
      <c r="L8" s="33" t="s">
        <v>295</v>
      </c>
      <c r="M8" s="33" t="s">
        <v>295</v>
      </c>
    </row>
    <row r="9" customFormat="false" ht="15" hidden="false" customHeight="false" outlineLevel="0" collapsed="false">
      <c r="A9" s="43" t="s">
        <v>296</v>
      </c>
      <c r="B9" s="26"/>
      <c r="C9" s="29" t="n">
        <v>47339</v>
      </c>
      <c r="D9" s="29" t="n">
        <v>19764</v>
      </c>
      <c r="E9" s="29" t="n">
        <v>18993</v>
      </c>
      <c r="F9" s="29" t="n">
        <v>31267</v>
      </c>
      <c r="G9" s="29" t="n">
        <v>2688</v>
      </c>
      <c r="H9" s="29" t="n">
        <v>7784</v>
      </c>
      <c r="I9" s="26"/>
      <c r="J9" s="26"/>
      <c r="K9" s="26"/>
      <c r="L9" s="26"/>
      <c r="M9" s="26"/>
    </row>
    <row r="10" customFormat="false" ht="15" hidden="false" customHeight="false" outlineLevel="0" collapsed="false">
      <c r="A10" s="43" t="s">
        <v>297</v>
      </c>
      <c r="B10" s="26"/>
      <c r="C10" s="29" t="n">
        <v>383342</v>
      </c>
      <c r="D10" s="29" t="n">
        <v>169802</v>
      </c>
      <c r="E10" s="29" t="n">
        <v>112198</v>
      </c>
      <c r="F10" s="29" t="n">
        <v>238658</v>
      </c>
      <c r="G10" s="29" t="n">
        <v>18301</v>
      </c>
      <c r="H10" s="29" t="n">
        <f aca="false">G10*2.113589</f>
        <v>38680.792289</v>
      </c>
      <c r="I10" s="29" t="n">
        <f aca="false">前提・入力!$B$13*前提・入力!$B$14</f>
        <v>42167.62</v>
      </c>
      <c r="J10" s="29" t="n">
        <f aca="false">前提・入力!$B$13*前提・入力!$B$15</f>
        <v>49834.46</v>
      </c>
      <c r="K10" s="29" t="n">
        <f aca="false">前提・入力!$B$13*前提・入力!$B$16</f>
        <v>46001.04</v>
      </c>
      <c r="L10" s="29" t="n">
        <f aca="false">前提・入力!$B$13*前提・入力!$B$17</f>
        <v>34500.78</v>
      </c>
      <c r="M10" s="29" t="n">
        <f aca="false">前提・入力!$B$13*前提・入力!$B$18</f>
        <v>191671</v>
      </c>
    </row>
    <row r="11" customFormat="false" ht="15" hidden="false" customHeight="false" outlineLevel="0" collapsed="false">
      <c r="A11" s="43" t="s">
        <v>298</v>
      </c>
      <c r="B11" s="26"/>
      <c r="C11" s="28" t="n">
        <v>358193925</v>
      </c>
      <c r="D11" s="28" t="n">
        <v>138575410</v>
      </c>
      <c r="E11" s="28" t="n">
        <v>105540655</v>
      </c>
      <c r="F11" s="28" t="n">
        <v>215184570</v>
      </c>
      <c r="G11" s="28" t="n">
        <v>18605105</v>
      </c>
      <c r="H11" s="28" t="n">
        <f aca="false">G11*2.015403</f>
        <v>37496784.432315</v>
      </c>
      <c r="I11" s="28" t="n">
        <f aca="false">前提・入力!$B$12*前提・入力!$B$14</f>
        <v>39401331.75</v>
      </c>
      <c r="J11" s="28" t="n">
        <f aca="false">前提・入力!$B$12*前提・入力!$B$15</f>
        <v>46565210.25</v>
      </c>
      <c r="K11" s="28" t="n">
        <f aca="false">前提・入力!$B$12*前提・入力!$B$16</f>
        <v>42983271</v>
      </c>
      <c r="L11" s="28" t="n">
        <f aca="false">前提・入力!$B$12*前提・入力!$B$17</f>
        <v>32237453.25</v>
      </c>
      <c r="M11" s="28" t="n">
        <f aca="false">前提・入力!$B$12*前提・入力!$B$18</f>
        <v>179096962.5</v>
      </c>
    </row>
    <row r="12" customFormat="false" ht="15" hidden="false" customHeight="false" outlineLevel="0" collapsed="false">
      <c r="A12" s="46" t="s">
        <v>299</v>
      </c>
      <c r="B12" s="26"/>
      <c r="C12" s="29" t="n">
        <v>148185</v>
      </c>
      <c r="D12" s="29" t="n">
        <v>58600</v>
      </c>
      <c r="E12" s="29" t="n">
        <v>44871</v>
      </c>
      <c r="F12" s="29" t="n">
        <v>63740</v>
      </c>
      <c r="G12" s="29" t="n">
        <v>4189</v>
      </c>
      <c r="H12" s="29" t="n">
        <f aca="false">①札幌予測確定!P49</f>
        <v>9474</v>
      </c>
      <c r="I12" s="29" t="n">
        <f aca="false">ROUND(I13/前提・入力!$B$22,0)</f>
        <v>9953</v>
      </c>
      <c r="J12" s="29" t="n">
        <f aca="false">ROUND(J13/前提・入力!$B$22,0)</f>
        <v>11763</v>
      </c>
      <c r="K12" s="29" t="n">
        <f aca="false">ROUND(K13/前提・入力!$B$22,0)</f>
        <v>10858</v>
      </c>
      <c r="L12" s="29" t="n">
        <f aca="false">ROUND(L13/前提・入力!$B$22,0)</f>
        <v>8144</v>
      </c>
      <c r="M12" s="29" t="n">
        <f aca="false">ROUND(M13/前提・入力!$B$22,0)</f>
        <v>45242</v>
      </c>
    </row>
    <row r="13" customFormat="false" ht="15" hidden="false" customHeight="false" outlineLevel="0" collapsed="false">
      <c r="A13" s="46" t="s">
        <v>300</v>
      </c>
      <c r="B13" s="26"/>
      <c r="C13" s="28" t="n">
        <v>102186200</v>
      </c>
      <c r="D13" s="28" t="n">
        <v>41479600</v>
      </c>
      <c r="E13" s="28" t="n">
        <v>31026800</v>
      </c>
      <c r="F13" s="28" t="n">
        <v>45507600</v>
      </c>
      <c r="G13" s="28" t="n">
        <v>3319200</v>
      </c>
      <c r="H13" s="28" t="n">
        <f aca="false">①札幌予測確定!Q49</f>
        <v>7142000</v>
      </c>
      <c r="I13" s="28" t="n">
        <f aca="false">I11*前提・入力!$B$21</f>
        <v>7504758.07805897</v>
      </c>
      <c r="J13" s="28" t="n">
        <f aca="false">J11*前提・入力!$B$21</f>
        <v>8869259.54679697</v>
      </c>
      <c r="K13" s="28" t="n">
        <f aca="false">K11*前提・入力!$B$21</f>
        <v>8187008.81242797</v>
      </c>
      <c r="L13" s="28" t="n">
        <f aca="false">L11*前提・入力!$B$21</f>
        <v>6140256.60932098</v>
      </c>
      <c r="M13" s="28" t="n">
        <f aca="false">M11*前提・入力!$B$21</f>
        <v>34112536.7184499</v>
      </c>
    </row>
    <row r="14" customFormat="false" ht="15" hidden="false" customHeight="false" outlineLevel="0" collapsed="false">
      <c r="A14" s="46" t="s">
        <v>301</v>
      </c>
      <c r="B14" s="26"/>
      <c r="C14" s="31" t="n">
        <f aca="false">C12/C10</f>
        <v>0.386560825581335</v>
      </c>
      <c r="D14" s="31" t="n">
        <f aca="false">D12/D10</f>
        <v>0.345107831474305</v>
      </c>
      <c r="E14" s="31" t="n">
        <f aca="false">E12/E10</f>
        <v>0.39992691491827</v>
      </c>
      <c r="F14" s="31" t="n">
        <f aca="false">F12/F10</f>
        <v>0.267076737423426</v>
      </c>
      <c r="G14" s="31" t="n">
        <f aca="false">G12/G10</f>
        <v>0.22889459592372</v>
      </c>
      <c r="H14" s="31" t="n">
        <f aca="false">H12/H10</f>
        <v>0.244927764902432</v>
      </c>
      <c r="I14" s="31" t="n">
        <f aca="false">I12/I10</f>
        <v>0.236034189266551</v>
      </c>
      <c r="J14" s="31" t="n">
        <f aca="false">J12/J10</f>
        <v>0.236041486152353</v>
      </c>
      <c r="K14" s="31" t="n">
        <f aca="false">K12/K10</f>
        <v>0.236038141746361</v>
      </c>
      <c r="L14" s="31" t="n">
        <f aca="false">L12/L10</f>
        <v>0.236052634172329</v>
      </c>
      <c r="M14" s="31" t="n">
        <f aca="false">M12/M10</f>
        <v>0.236039880837477</v>
      </c>
    </row>
    <row r="15" customFormat="false" ht="15" hidden="false" customHeight="false" outlineLevel="0" collapsed="false">
      <c r="A15" s="46" t="s">
        <v>302</v>
      </c>
      <c r="B15" s="26"/>
      <c r="C15" s="31" t="n">
        <f aca="false">C13/C11</f>
        <v>0.285281778578461</v>
      </c>
      <c r="D15" s="31" t="n">
        <f aca="false">D13/D11</f>
        <v>0.29932871928721</v>
      </c>
      <c r="E15" s="31" t="n">
        <f aca="false">E13/E11</f>
        <v>0.293979604352465</v>
      </c>
      <c r="F15" s="31" t="n">
        <f aca="false">F13/F11</f>
        <v>0.211481706146496</v>
      </c>
      <c r="G15" s="31" t="n">
        <f aca="false">G13/G11</f>
        <v>0.178402648090403</v>
      </c>
      <c r="H15" s="31" t="n">
        <f aca="false">H13/H11</f>
        <v>0.190469665816063</v>
      </c>
      <c r="I15" s="31" t="n">
        <f aca="false">I13/I11</f>
        <v>0.190469655332373</v>
      </c>
      <c r="J15" s="31" t="n">
        <f aca="false">J13/J11</f>
        <v>0.190469655332373</v>
      </c>
      <c r="K15" s="31" t="n">
        <f aca="false">K13/K11</f>
        <v>0.190469655332373</v>
      </c>
      <c r="L15" s="31" t="n">
        <f aca="false">L13/L11</f>
        <v>0.190469655332373</v>
      </c>
      <c r="M15" s="31" t="n">
        <f aca="false">M13/M11</f>
        <v>0.190469655332373</v>
      </c>
    </row>
    <row r="16" customFormat="false" ht="15" hidden="false" customHeight="false" outlineLevel="0" collapsed="false">
      <c r="A16" s="43" t="s">
        <v>303</v>
      </c>
      <c r="B16" s="26"/>
      <c r="C16" s="31" t="n">
        <f aca="false">C10/$C$10</f>
        <v>1</v>
      </c>
      <c r="D16" s="31" t="n">
        <f aca="false">D10/$C$10</f>
        <v>0.442951724569705</v>
      </c>
      <c r="E16" s="31" t="n">
        <f aca="false">E10/$C$10</f>
        <v>0.292683817583255</v>
      </c>
      <c r="F16" s="31" t="n">
        <f aca="false">F10/$C$10</f>
        <v>0.622572011415394</v>
      </c>
      <c r="G16" s="31" t="n">
        <f aca="false">G10/$C$10</f>
        <v>0.0477406597763877</v>
      </c>
      <c r="H16" s="31" t="n">
        <f aca="false">H10/$C$10</f>
        <v>0.100904133356115</v>
      </c>
      <c r="I16" s="31" t="n">
        <f aca="false">I10/$C$10</f>
        <v>0.11</v>
      </c>
      <c r="J16" s="31" t="n">
        <f aca="false">J10/$C$10</f>
        <v>0.13</v>
      </c>
      <c r="K16" s="31" t="n">
        <f aca="false">K10/$C$10</f>
        <v>0.12</v>
      </c>
      <c r="L16" s="31" t="n">
        <f aca="false">L10/$C$10</f>
        <v>0.09</v>
      </c>
      <c r="M16" s="31" t="n">
        <f aca="false">M10/$C$10</f>
        <v>0.5</v>
      </c>
    </row>
    <row r="17" customFormat="false" ht="15" hidden="false" customHeight="false" outlineLevel="0" collapsed="false">
      <c r="A17" s="43" t="s">
        <v>304</v>
      </c>
      <c r="B17" s="33" t="s">
        <v>305</v>
      </c>
      <c r="C17" s="31" t="n">
        <f aca="false">C11/$C$11</f>
        <v>1</v>
      </c>
      <c r="D17" s="31" t="n">
        <f aca="false">D11/$C$11</f>
        <v>0.386872585848574</v>
      </c>
      <c r="E17" s="31" t="n">
        <f aca="false">E11/$C$11</f>
        <v>0.294646691732698</v>
      </c>
      <c r="F17" s="31" t="n">
        <f aca="false">F11/$C$11</f>
        <v>0.600748798294108</v>
      </c>
      <c r="G17" s="31" t="n">
        <f aca="false">G11/$C$11</f>
        <v>0.05194143088831</v>
      </c>
      <c r="H17" s="31" t="n">
        <f aca="false">H11/$C$11</f>
        <v>0.104682915636593</v>
      </c>
      <c r="I17" s="31" t="n">
        <f aca="false">前提・入力!$B$14</f>
        <v>0.11</v>
      </c>
      <c r="J17" s="31" t="n">
        <f aca="false">前提・入力!$B$15</f>
        <v>0.13</v>
      </c>
      <c r="K17" s="31" t="n">
        <f aca="false">前提・入力!$B$16</f>
        <v>0.12</v>
      </c>
      <c r="L17" s="31" t="n">
        <f aca="false">前提・入力!$B$17</f>
        <v>0.09</v>
      </c>
      <c r="M17" s="31" t="n">
        <f aca="false">前提・入力!$B$18</f>
        <v>0.5</v>
      </c>
    </row>
    <row r="18" customFormat="false" ht="15" hidden="false" customHeight="false" outlineLevel="0" collapsed="false">
      <c r="A18" s="46" t="s">
        <v>306</v>
      </c>
      <c r="B18" s="26"/>
      <c r="C18" s="28" t="n">
        <f aca="false">IFERROR(C13/C12,0)</f>
        <v>689.585315652731</v>
      </c>
      <c r="D18" s="28" t="n">
        <f aca="false">IFERROR(D13/D12,0)</f>
        <v>707.843003412969</v>
      </c>
      <c r="E18" s="28" t="n">
        <f aca="false">IFERROR(E13/E12,0)</f>
        <v>691.466648837779</v>
      </c>
      <c r="F18" s="28" t="n">
        <f aca="false">IFERROR(F13/F12,0)</f>
        <v>713.956699090053</v>
      </c>
      <c r="G18" s="28" t="n">
        <f aca="false">IFERROR(G13/G12,0)</f>
        <v>792.360945333015</v>
      </c>
      <c r="H18" s="28" t="n">
        <f aca="false">H13/H12</f>
        <v>753.852649356133</v>
      </c>
      <c r="I18" s="28" t="n">
        <f aca="false">I13/I12</f>
        <v>754.019700397767</v>
      </c>
      <c r="J18" s="28" t="n">
        <f aca="false">J13/J12</f>
        <v>753.996390954431</v>
      </c>
      <c r="K18" s="28" t="n">
        <f aca="false">K13/K12</f>
        <v>754.007074270397</v>
      </c>
      <c r="L18" s="28" t="n">
        <f aca="false">L13/L12</f>
        <v>753.960782087546</v>
      </c>
      <c r="M18" s="28" t="n">
        <f aca="false">M13/M12</f>
        <v>754.001518908313</v>
      </c>
    </row>
    <row r="21" customFormat="false" ht="15" hidden="false" customHeight="false" outlineLevel="0" collapsed="false">
      <c r="A21" s="4" t="s">
        <v>307</v>
      </c>
    </row>
    <row r="22" customFormat="false" ht="15" hidden="false" customHeight="false" outlineLevel="0" collapsed="false">
      <c r="A22" s="19" t="s">
        <v>308</v>
      </c>
      <c r="B22" s="47"/>
      <c r="C22" s="41" t="s">
        <v>270</v>
      </c>
      <c r="D22" s="21" t="s">
        <v>271</v>
      </c>
      <c r="E22" s="22" t="s">
        <v>272</v>
      </c>
      <c r="F22" s="23" t="s">
        <v>273</v>
      </c>
      <c r="G22" s="20" t="s">
        <v>274</v>
      </c>
    </row>
    <row r="23" customFormat="false" ht="15" hidden="false" customHeight="false" outlineLevel="0" collapsed="false">
      <c r="A23" s="46" t="s">
        <v>309</v>
      </c>
      <c r="B23" s="26"/>
      <c r="C23" s="31" t="n">
        <v>0.285281778578461</v>
      </c>
      <c r="D23" s="31" t="n">
        <v>0.29932871928721</v>
      </c>
      <c r="E23" s="31" t="n">
        <v>0.293979604352465</v>
      </c>
      <c r="F23" s="31" t="n">
        <v>0.211481706146496</v>
      </c>
      <c r="G23" s="31" t="n">
        <v>0.178402648090403</v>
      </c>
    </row>
    <row r="24" customFormat="false" ht="15" hidden="false" customHeight="false" outlineLevel="0" collapsed="false">
      <c r="A24" s="43" t="s">
        <v>310</v>
      </c>
      <c r="B24" s="26"/>
      <c r="C24" s="31" t="n">
        <v>0.533839232477212</v>
      </c>
      <c r="D24" s="31" t="n">
        <v>0.351384419501267</v>
      </c>
      <c r="E24" s="31" t="n">
        <v>0.321055426461016</v>
      </c>
      <c r="F24" s="31" t="n">
        <v>0.418945187380303</v>
      </c>
      <c r="G24" s="31" t="n">
        <v>0.418835583029497</v>
      </c>
    </row>
    <row r="25" customFormat="false" ht="15" hidden="false" customHeight="false" outlineLevel="0" collapsed="false">
      <c r="A25" s="43" t="s">
        <v>311</v>
      </c>
      <c r="B25" s="26"/>
      <c r="C25" s="31" t="n">
        <v>0.092163721090468</v>
      </c>
      <c r="D25" s="31" t="n">
        <v>0.0783654906739948</v>
      </c>
      <c r="E25" s="31" t="n">
        <v>0.0782893094608897</v>
      </c>
      <c r="F25" s="31" t="n">
        <v>0.15216207184372</v>
      </c>
      <c r="G25" s="31" t="n">
        <v>0.152861002396923</v>
      </c>
    </row>
    <row r="26" customFormat="false" ht="15" hidden="false" customHeight="false" outlineLevel="0" collapsed="false">
      <c r="A26" s="46" t="s">
        <v>312</v>
      </c>
      <c r="B26" s="26"/>
      <c r="C26" s="31" t="n">
        <v>0</v>
      </c>
      <c r="D26" s="31" t="n">
        <v>0.236180719219954</v>
      </c>
      <c r="E26" s="31" t="n">
        <v>0.232523476379789</v>
      </c>
      <c r="F26" s="31" t="n">
        <v>0.143011090432739</v>
      </c>
      <c r="G26" s="31" t="n">
        <v>0.184304254128101</v>
      </c>
    </row>
    <row r="27" customFormat="false" ht="15" hidden="false" customHeight="false" outlineLevel="0" collapsed="false">
      <c r="A27" s="46" t="s">
        <v>313</v>
      </c>
      <c r="B27" s="26"/>
      <c r="C27" s="31" t="n">
        <v>0.0332721164938797</v>
      </c>
      <c r="D27" s="31" t="n">
        <v>0.034740651317575</v>
      </c>
      <c r="E27" s="31" t="n">
        <v>0.0741521833458396</v>
      </c>
      <c r="F27" s="31" t="n">
        <v>0.0743999441967424</v>
      </c>
      <c r="G27" s="31" t="n">
        <v>0.0655965123550767</v>
      </c>
    </row>
    <row r="28" customFormat="false" ht="15" hidden="false" customHeight="false" outlineLevel="0" collapsed="false">
      <c r="A28" s="43" t="s">
        <v>314</v>
      </c>
      <c r="B28" s="26"/>
      <c r="C28" s="31" t="n">
        <v>0.0554431513599791</v>
      </c>
      <c r="D28" s="31" t="n">
        <v>0</v>
      </c>
      <c r="E28" s="31" t="n">
        <v>0</v>
      </c>
      <c r="F28" s="31" t="n">
        <v>0</v>
      </c>
      <c r="G28" s="31" t="n">
        <v>0</v>
      </c>
    </row>
    <row r="29" customFormat="false" ht="15" hidden="false" customHeight="false" outlineLevel="0" collapsed="false">
      <c r="A29" s="43" t="s">
        <v>315</v>
      </c>
      <c r="B29" s="26"/>
      <c r="C29" s="31" t="n">
        <v>0</v>
      </c>
      <c r="D29" s="31" t="n">
        <v>0</v>
      </c>
      <c r="E29" s="31" t="n">
        <v>0</v>
      </c>
      <c r="F29" s="31" t="n">
        <v>0</v>
      </c>
      <c r="G29" s="31" t="n">
        <v>0</v>
      </c>
    </row>
    <row r="30" customFormat="false" ht="15" hidden="false" customHeight="false" outlineLevel="0" collapsed="false">
      <c r="A30" s="35" t="s">
        <v>316</v>
      </c>
      <c r="B30" s="34"/>
      <c r="C30" s="39" t="n">
        <f aca="false">SUM(C23:C29)</f>
        <v>1</v>
      </c>
      <c r="D30" s="39" t="n">
        <f aca="false">SUM(D23:D29)</f>
        <v>1</v>
      </c>
      <c r="E30" s="39" t="n">
        <f aca="false">SUM(E23:E29)</f>
        <v>1</v>
      </c>
      <c r="F30" s="39" t="n">
        <f aca="false">SUM(F23:F29)</f>
        <v>1</v>
      </c>
      <c r="G30" s="39" t="n">
        <f aca="false">SUM(G23:G29)</f>
        <v>1</v>
      </c>
    </row>
    <row r="32" customFormat="false" ht="15" hidden="false" customHeight="false" outlineLevel="0" collapsed="false">
      <c r="A32" s="4" t="s">
        <v>317</v>
      </c>
    </row>
    <row r="33" customFormat="false" ht="23.85" hidden="false" customHeight="false" outlineLevel="0" collapsed="false">
      <c r="A33" s="19" t="s">
        <v>318</v>
      </c>
      <c r="B33" s="18"/>
      <c r="C33" s="19" t="s">
        <v>319</v>
      </c>
      <c r="D33" s="19" t="s">
        <v>320</v>
      </c>
      <c r="E33" s="19" t="s">
        <v>321</v>
      </c>
      <c r="F33" s="18" t="s">
        <v>322</v>
      </c>
      <c r="G33" s="19" t="s">
        <v>323</v>
      </c>
    </row>
    <row r="34" customFormat="false" ht="15" hidden="false" customHeight="false" outlineLevel="0" collapsed="false">
      <c r="A34" s="48" t="s">
        <v>270</v>
      </c>
      <c r="B34" s="26"/>
      <c r="C34" s="29" t="n">
        <v>332</v>
      </c>
      <c r="D34" s="29" t="n">
        <v>332</v>
      </c>
      <c r="E34" s="31" t="n">
        <v>1</v>
      </c>
      <c r="F34" s="31" t="n">
        <v>0.292010005572832</v>
      </c>
      <c r="G34" s="27" t="s">
        <v>324</v>
      </c>
    </row>
    <row r="35" customFormat="false" ht="15" hidden="false" customHeight="false" outlineLevel="0" collapsed="false">
      <c r="A35" s="48" t="s">
        <v>271</v>
      </c>
      <c r="B35" s="26"/>
      <c r="C35" s="29" t="n">
        <v>416</v>
      </c>
      <c r="D35" s="29" t="n">
        <v>85</v>
      </c>
      <c r="E35" s="31" t="n">
        <v>0.214477052743755</v>
      </c>
      <c r="F35" s="31" t="n">
        <v>0.307549869613852</v>
      </c>
      <c r="G35" s="49" t="s">
        <v>325</v>
      </c>
    </row>
    <row r="36" customFormat="false" ht="15" hidden="false" customHeight="false" outlineLevel="0" collapsed="false">
      <c r="A36" s="48" t="s">
        <v>272</v>
      </c>
      <c r="B36" s="26"/>
      <c r="C36" s="29" t="n">
        <v>435</v>
      </c>
      <c r="D36" s="29" t="n">
        <v>19</v>
      </c>
      <c r="E36" s="31" t="n">
        <v>0.15580018586633</v>
      </c>
      <c r="F36" s="31" t="n">
        <v>0.240134883357391</v>
      </c>
      <c r="G36" s="27" t="s">
        <v>326</v>
      </c>
    </row>
    <row r="37" customFormat="false" ht="15" hidden="false" customHeight="false" outlineLevel="0" collapsed="false">
      <c r="A37" s="48" t="s">
        <v>273</v>
      </c>
      <c r="B37" s="26"/>
      <c r="C37" s="29" t="n">
        <v>515</v>
      </c>
      <c r="D37" s="29" t="n">
        <v>106</v>
      </c>
      <c r="E37" s="31" t="n">
        <v>0.1994723891985</v>
      </c>
      <c r="F37" s="31" t="n">
        <v>0.203235946729975</v>
      </c>
      <c r="G37" s="27" t="s">
        <v>327</v>
      </c>
    </row>
    <row r="38" customFormat="false" ht="15" hidden="false" customHeight="false" outlineLevel="0" collapsed="false">
      <c r="A38" s="48" t="s">
        <v>274</v>
      </c>
      <c r="B38" s="26"/>
      <c r="C38" s="29" t="n">
        <v>382</v>
      </c>
      <c r="D38" s="29" t="n">
        <v>0</v>
      </c>
      <c r="E38" s="31" t="n">
        <v>0</v>
      </c>
      <c r="F38" s="31" t="n">
        <v>0.178402648090403</v>
      </c>
      <c r="G38" s="27" t="s">
        <v>328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6" min="16" style="0" width="10"/>
    <col collapsed="false" customWidth="true" hidden="false" outlineLevel="0" max="17" min="17" style="0" width="12"/>
    <col collapsed="false" customWidth="true" hidden="false" outlineLevel="0" max="18" min="18" style="0" width="11"/>
    <col collapsed="false" customWidth="true" hidden="false" outlineLevel="0" max="19" min="19" style="0" width="12"/>
  </cols>
  <sheetData>
    <row r="1" customFormat="false" ht="20.1" hidden="false" customHeight="false" outlineLevel="0" collapsed="false">
      <c r="A1" s="1" t="s">
        <v>329</v>
      </c>
    </row>
    <row r="2" customFormat="false" ht="15" hidden="false" customHeight="false" outlineLevel="0" collapsed="false">
      <c r="A2" s="3" t="s">
        <v>330</v>
      </c>
    </row>
    <row r="3" customFormat="false" ht="15" hidden="false" customHeight="false" outlineLevel="0" collapsed="false">
      <c r="A3" s="3" t="s">
        <v>331</v>
      </c>
    </row>
    <row r="4" customFormat="false" ht="15" hidden="false" customHeight="false" outlineLevel="0" collapsed="false">
      <c r="A4" s="3" t="s">
        <v>332</v>
      </c>
    </row>
    <row r="5" customFormat="false" ht="15" hidden="false" customHeight="false" outlineLevel="0" collapsed="false">
      <c r="A5" s="4" t="s">
        <v>333</v>
      </c>
    </row>
    <row r="6" customFormat="false" ht="25.35" hidden="false" customHeight="false" outlineLevel="0" collapsed="false">
      <c r="A6" s="42" t="s">
        <v>318</v>
      </c>
      <c r="B6" s="42" t="s">
        <v>281</v>
      </c>
      <c r="C6" s="42" t="s">
        <v>334</v>
      </c>
      <c r="D6" s="42" t="s">
        <v>335</v>
      </c>
      <c r="E6" s="42" t="s">
        <v>336</v>
      </c>
      <c r="F6" s="50" t="s">
        <v>337</v>
      </c>
      <c r="G6" s="50" t="s">
        <v>338</v>
      </c>
      <c r="H6" s="42" t="s">
        <v>339</v>
      </c>
    </row>
    <row r="7" customFormat="false" ht="15" hidden="false" customHeight="false" outlineLevel="0" collapsed="false">
      <c r="A7" s="43" t="s">
        <v>276</v>
      </c>
      <c r="B7" s="26" t="s">
        <v>340</v>
      </c>
      <c r="C7" s="26" t="n">
        <v>18</v>
      </c>
      <c r="D7" s="31" t="n">
        <f aca="false">前提・入力!$B$14</f>
        <v>0.11</v>
      </c>
      <c r="E7" s="28" t="n">
        <f aca="false">前提・入力!$B$12*D7</f>
        <v>39401331.75</v>
      </c>
      <c r="F7" s="28" t="n">
        <f aca="false">E7*前提・入力!$B$21</f>
        <v>7504758.07805897</v>
      </c>
      <c r="G7" s="29" t="n">
        <f aca="false">ROUND(F7/前提・入力!$B$22,0)</f>
        <v>9953</v>
      </c>
      <c r="H7" s="27" t="s">
        <v>341</v>
      </c>
    </row>
    <row r="8" customFormat="false" ht="15" hidden="false" customHeight="false" outlineLevel="0" collapsed="false">
      <c r="A8" s="43" t="s">
        <v>342</v>
      </c>
      <c r="B8" s="26" t="s">
        <v>343</v>
      </c>
      <c r="C8" s="26" t="n">
        <v>30</v>
      </c>
      <c r="D8" s="31" t="n">
        <f aca="false">前提・入力!$B$15</f>
        <v>0.13</v>
      </c>
      <c r="E8" s="28" t="n">
        <f aca="false">前提・入力!$B$12*D8</f>
        <v>46565210.25</v>
      </c>
      <c r="F8" s="28" t="n">
        <f aca="false">E8*前提・入力!$B$21</f>
        <v>8869259.54679697</v>
      </c>
      <c r="G8" s="29" t="n">
        <f aca="false">ROUND(F8/前提・入力!$B$22,0)</f>
        <v>11763</v>
      </c>
      <c r="H8" s="27" t="s">
        <v>344</v>
      </c>
    </row>
    <row r="9" customFormat="false" ht="15" hidden="false" customHeight="false" outlineLevel="0" collapsed="false">
      <c r="A9" s="43" t="s">
        <v>278</v>
      </c>
      <c r="B9" s="26" t="s">
        <v>345</v>
      </c>
      <c r="C9" s="26" t="n">
        <v>21</v>
      </c>
      <c r="D9" s="31" t="n">
        <f aca="false">前提・入力!$B$16</f>
        <v>0.12</v>
      </c>
      <c r="E9" s="28" t="n">
        <f aca="false">前提・入力!$B$12*D9</f>
        <v>42983271</v>
      </c>
      <c r="F9" s="28" t="n">
        <f aca="false">E9*前提・入力!$B$21</f>
        <v>8187008.81242797</v>
      </c>
      <c r="G9" s="29" t="n">
        <f aca="false">ROUND(F9/前提・入力!$B$22,0)</f>
        <v>10858</v>
      </c>
      <c r="H9" s="27" t="s">
        <v>346</v>
      </c>
    </row>
    <row r="10" customFormat="false" ht="15" hidden="false" customHeight="false" outlineLevel="0" collapsed="false">
      <c r="A10" s="43" t="s">
        <v>279</v>
      </c>
      <c r="B10" s="26" t="s">
        <v>347</v>
      </c>
      <c r="C10" s="26" t="n">
        <v>21</v>
      </c>
      <c r="D10" s="31" t="n">
        <f aca="false">前提・入力!$B$17</f>
        <v>0.09</v>
      </c>
      <c r="E10" s="28" t="n">
        <f aca="false">前提・入力!$B$12*D10</f>
        <v>32237453.25</v>
      </c>
      <c r="F10" s="28" t="n">
        <f aca="false">E10*前提・入力!$B$21</f>
        <v>6140256.60932098</v>
      </c>
      <c r="G10" s="29" t="n">
        <f aca="false">ROUND(F10/前提・入力!$B$22,0)</f>
        <v>8144</v>
      </c>
      <c r="H10" s="27" t="s">
        <v>341</v>
      </c>
    </row>
    <row r="11" customFormat="false" ht="15" hidden="false" customHeight="false" outlineLevel="0" collapsed="false">
      <c r="A11" s="43" t="s">
        <v>280</v>
      </c>
      <c r="B11" s="26" t="s">
        <v>348</v>
      </c>
      <c r="C11" s="26" t="n">
        <v>25</v>
      </c>
      <c r="D11" s="31" t="n">
        <f aca="false">前提・入力!$B$18</f>
        <v>0.5</v>
      </c>
      <c r="E11" s="28" t="n">
        <f aca="false">前提・入力!$B$12*D11</f>
        <v>179096962.5</v>
      </c>
      <c r="F11" s="28" t="n">
        <f aca="false">E11*前提・入力!$B$21</f>
        <v>34112536.7184499</v>
      </c>
      <c r="G11" s="29" t="n">
        <f aca="false">ROUND(F11/前提・入力!$B$22,0)</f>
        <v>45242</v>
      </c>
      <c r="H11" s="27" t="s">
        <v>349</v>
      </c>
    </row>
    <row r="12" customFormat="false" ht="15" hidden="false" customHeight="false" outlineLevel="0" collapsed="false">
      <c r="A12" s="35" t="s">
        <v>350</v>
      </c>
      <c r="B12" s="34"/>
      <c r="C12" s="34"/>
      <c r="D12" s="39" t="n">
        <f aca="false">SUM(D7:D11)</f>
        <v>0.95</v>
      </c>
      <c r="E12" s="38" t="n">
        <f aca="false">SUM(E7:E11)</f>
        <v>340284228.75</v>
      </c>
      <c r="F12" s="38" t="n">
        <f aca="false">SUM(F7:F11)</f>
        <v>64813819.7650548</v>
      </c>
      <c r="G12" s="36" t="n">
        <f aca="false">SUM(G7:G11)</f>
        <v>85960</v>
      </c>
      <c r="H12" s="35"/>
    </row>
    <row r="14" customFormat="false" ht="15" hidden="false" customHeight="false" outlineLevel="0" collapsed="false">
      <c r="A14" s="4" t="s">
        <v>351</v>
      </c>
    </row>
    <row r="15" customFormat="false" ht="15" hidden="false" customHeight="false" outlineLevel="0" collapsed="false">
      <c r="A15" s="5" t="s">
        <v>352</v>
      </c>
      <c r="B15" s="44" t="n">
        <f aca="false">①札幌予測確定!S49</f>
        <v>50196</v>
      </c>
      <c r="C15" s="12"/>
    </row>
    <row r="16" customFormat="false" ht="15" hidden="false" customHeight="false" outlineLevel="0" collapsed="false">
      <c r="A16" s="5" t="s">
        <v>353</v>
      </c>
      <c r="B16" s="44" t="n">
        <f aca="false">①札幌予測確定!P49</f>
        <v>9474</v>
      </c>
      <c r="C16" s="12"/>
    </row>
    <row r="17" customFormat="false" ht="15" hidden="false" customHeight="false" outlineLevel="0" collapsed="false">
      <c r="A17" s="5" t="s">
        <v>354</v>
      </c>
      <c r="B17" s="44" t="n">
        <f aca="false">①札幌予測確定!U49</f>
        <v>40851</v>
      </c>
      <c r="C17" s="12" t="s">
        <v>355</v>
      </c>
    </row>
    <row r="18" customFormat="false" ht="15" hidden="false" customHeight="false" outlineLevel="0" collapsed="false">
      <c r="A18" s="5" t="s">
        <v>356</v>
      </c>
      <c r="B18" s="44" t="n">
        <f aca="false">B17*前提・入力!$B$28</f>
        <v>40851</v>
      </c>
      <c r="C18" s="12" t="s">
        <v>357</v>
      </c>
    </row>
    <row r="19" customFormat="false" ht="15" hidden="false" customHeight="false" outlineLevel="0" collapsed="false">
      <c r="A19" s="8" t="s">
        <v>358</v>
      </c>
      <c r="B19" s="44" t="n">
        <f aca="false">前提・入力!$B$27</f>
        <v>0</v>
      </c>
      <c r="C19" s="12" t="s">
        <v>359</v>
      </c>
    </row>
    <row r="20" customFormat="false" ht="15" hidden="false" customHeight="false" outlineLevel="0" collapsed="false">
      <c r="A20" s="5" t="s">
        <v>360</v>
      </c>
      <c r="B20" s="44" t="n">
        <f aca="false">G12</f>
        <v>85960</v>
      </c>
      <c r="C20" s="12"/>
    </row>
    <row r="21" customFormat="false" ht="15" hidden="false" customHeight="false" outlineLevel="0" collapsed="false">
      <c r="A21" s="5" t="s">
        <v>361</v>
      </c>
      <c r="B21" s="51" t="n">
        <f aca="false">MAX(0,B20-B18-B19)</f>
        <v>45109</v>
      </c>
      <c r="C21" s="12" t="s">
        <v>362</v>
      </c>
    </row>
    <row r="23" customFormat="false" ht="15" hidden="false" customHeight="false" outlineLevel="0" collapsed="false">
      <c r="A23" s="4" t="s">
        <v>363</v>
      </c>
    </row>
    <row r="24" customFormat="false" ht="42" hidden="false" customHeight="true" outlineLevel="0" collapsed="false">
      <c r="A24" s="18" t="s">
        <v>157</v>
      </c>
      <c r="B24" s="18" t="s">
        <v>158</v>
      </c>
      <c r="C24" s="19" t="s">
        <v>159</v>
      </c>
      <c r="D24" s="23" t="s">
        <v>364</v>
      </c>
      <c r="E24" s="23" t="s">
        <v>365</v>
      </c>
      <c r="F24" s="20" t="s">
        <v>366</v>
      </c>
      <c r="G24" s="20" t="s">
        <v>367</v>
      </c>
      <c r="H24" s="24" t="s">
        <v>368</v>
      </c>
      <c r="I24" s="42" t="s">
        <v>369</v>
      </c>
      <c r="J24" s="42" t="s">
        <v>370</v>
      </c>
      <c r="K24" s="42" t="s">
        <v>371</v>
      </c>
      <c r="L24" s="42" t="s">
        <v>372</v>
      </c>
      <c r="M24" s="42" t="s">
        <v>373</v>
      </c>
      <c r="N24" s="25" t="s">
        <v>374</v>
      </c>
      <c r="O24" s="25" t="s">
        <v>375</v>
      </c>
      <c r="P24" s="25" t="s">
        <v>376</v>
      </c>
      <c r="Q24" s="25" t="s">
        <v>377</v>
      </c>
      <c r="R24" s="25" t="s">
        <v>378</v>
      </c>
      <c r="S24" s="25" t="s">
        <v>379</v>
      </c>
    </row>
    <row r="25" customFormat="false" ht="15" hidden="false" customHeight="false" outlineLevel="0" collapsed="false">
      <c r="A25" s="26" t="n">
        <v>1</v>
      </c>
      <c r="B25" s="26" t="s">
        <v>180</v>
      </c>
      <c r="C25" s="27" t="s">
        <v>181</v>
      </c>
      <c r="D25" s="29" t="n">
        <v>2325</v>
      </c>
      <c r="E25" s="52" t="n">
        <f aca="false">IFERROR(D25/D$67,0)</f>
        <v>0.0364763100094132</v>
      </c>
      <c r="F25" s="29" t="n">
        <f aca="false">①札幌予測確定!P7</f>
        <v>490</v>
      </c>
      <c r="G25" s="52" t="n">
        <f aca="false">IFERROR(F25/F$67,0)</f>
        <v>0.0517204982056154</v>
      </c>
      <c r="H25" s="52" t="n">
        <f aca="false">E25*前提・入力!$B$23+G25*前提・入力!$B$24</f>
        <v>0.0440984041075143</v>
      </c>
      <c r="I25" s="29" t="n">
        <f aca="false">ROUND($H25*③石川以降予測!$G$7,0)</f>
        <v>439</v>
      </c>
      <c r="J25" s="29" t="n">
        <f aca="false">ROUND($H25*③石川以降予測!$G$8,0)</f>
        <v>519</v>
      </c>
      <c r="K25" s="29" t="n">
        <f aca="false">ROUND($H25*③石川以降予測!$G$9,0)</f>
        <v>479</v>
      </c>
      <c r="L25" s="29" t="n">
        <f aca="false">ROUND($H25*③石川以降予測!$G$10,0)</f>
        <v>359</v>
      </c>
      <c r="M25" s="29" t="n">
        <f aca="false">ROUND($H25*③石川以降予測!$G$11,0)</f>
        <v>1995</v>
      </c>
      <c r="N25" s="29" t="n">
        <f aca="false">SUM(I25:M25)</f>
        <v>3791</v>
      </c>
      <c r="O25" s="29" t="n">
        <f aca="false">①札幌予測確定!U7*前提・入力!$B$28</f>
        <v>510</v>
      </c>
      <c r="P25" s="29" t="n">
        <f aca="false">ROUND(H25*前提・入力!$B$27,0)</f>
        <v>0</v>
      </c>
      <c r="Q25" s="32" t="n">
        <f aca="false">N25-O25-P25</f>
        <v>3281</v>
      </c>
      <c r="R25" s="29" t="n">
        <f aca="false">MAX(0,Q25)</f>
        <v>3281</v>
      </c>
      <c r="S25" s="29" t="n">
        <f aca="false">IF(R25&gt;0,ROUNDUP(R25*(1+前提・入力!$B$26),0),0)</f>
        <v>3610</v>
      </c>
    </row>
    <row r="26" customFormat="false" ht="15" hidden="false" customHeight="false" outlineLevel="0" collapsed="false">
      <c r="A26" s="26" t="n">
        <v>2</v>
      </c>
      <c r="B26" s="26" t="s">
        <v>182</v>
      </c>
      <c r="C26" s="27" t="s">
        <v>183</v>
      </c>
      <c r="D26" s="29" t="n">
        <v>1965</v>
      </c>
      <c r="E26" s="52" t="n">
        <f aca="false">IFERROR(D26/D$67,0)</f>
        <v>0.0308283652337622</v>
      </c>
      <c r="F26" s="29" t="n">
        <f aca="false">①札幌予測確定!P8</f>
        <v>557</v>
      </c>
      <c r="G26" s="52" t="n">
        <f aca="false">IFERROR(F26/F$67,0)</f>
        <v>0.0587924846949546</v>
      </c>
      <c r="H26" s="52" t="n">
        <f aca="false">E26*前提・入力!$B$23+G26*前提・入力!$B$24</f>
        <v>0.0448104249643584</v>
      </c>
      <c r="I26" s="29" t="n">
        <f aca="false">ROUND($H26*③石川以降予測!$G$7,0)</f>
        <v>446</v>
      </c>
      <c r="J26" s="29" t="n">
        <f aca="false">ROUND($H26*③石川以降予測!$G$8,0)</f>
        <v>527</v>
      </c>
      <c r="K26" s="29" t="n">
        <f aca="false">ROUND($H26*③石川以降予測!$G$9,0)</f>
        <v>487</v>
      </c>
      <c r="L26" s="29" t="n">
        <f aca="false">ROUND($H26*③石川以降予測!$G$10,0)</f>
        <v>365</v>
      </c>
      <c r="M26" s="29" t="n">
        <f aca="false">ROUND($H26*③石川以降予測!$G$11,0)</f>
        <v>2027</v>
      </c>
      <c r="N26" s="29" t="n">
        <f aca="false">SUM(I26:M26)</f>
        <v>3852</v>
      </c>
      <c r="O26" s="29" t="n">
        <f aca="false">①札幌予測確定!U8*前提・入力!$B$28</f>
        <v>443</v>
      </c>
      <c r="P26" s="29" t="n">
        <f aca="false">ROUND(H26*前提・入力!$B$27,0)</f>
        <v>0</v>
      </c>
      <c r="Q26" s="32" t="n">
        <f aca="false">N26-O26-P26</f>
        <v>3409</v>
      </c>
      <c r="R26" s="29" t="n">
        <f aca="false">MAX(0,Q26)</f>
        <v>3409</v>
      </c>
      <c r="S26" s="29" t="n">
        <f aca="false">IF(R26&gt;0,ROUNDUP(R26*(1+前提・入力!$B$26),0),0)</f>
        <v>3750</v>
      </c>
    </row>
    <row r="27" customFormat="false" ht="15" hidden="false" customHeight="false" outlineLevel="0" collapsed="false">
      <c r="A27" s="26" t="n">
        <v>3</v>
      </c>
      <c r="B27" s="26" t="s">
        <v>184</v>
      </c>
      <c r="C27" s="27" t="s">
        <v>185</v>
      </c>
      <c r="D27" s="29" t="n">
        <v>1132</v>
      </c>
      <c r="E27" s="52" t="n">
        <f aca="false">IFERROR(D27/D$67,0)</f>
        <v>0.0177596485723251</v>
      </c>
      <c r="F27" s="29" t="n">
        <f aca="false">①札幌予測確定!P9</f>
        <v>171</v>
      </c>
      <c r="G27" s="52" t="n">
        <f aca="false">IFERROR(F27/F$67,0)</f>
        <v>0.0180493983533882</v>
      </c>
      <c r="H27" s="52" t="n">
        <f aca="false">E27*前提・入力!$B$23+G27*前提・入力!$B$24</f>
        <v>0.0179045234628566</v>
      </c>
      <c r="I27" s="29" t="n">
        <f aca="false">ROUND($H27*③石川以降予測!$G$7,0)</f>
        <v>178</v>
      </c>
      <c r="J27" s="29" t="n">
        <f aca="false">ROUND($H27*③石川以降予測!$G$8,0)</f>
        <v>211</v>
      </c>
      <c r="K27" s="29" t="n">
        <f aca="false">ROUND($H27*③石川以降予測!$G$9,0)</f>
        <v>194</v>
      </c>
      <c r="L27" s="29" t="n">
        <f aca="false">ROUND($H27*③石川以降予測!$G$10,0)</f>
        <v>146</v>
      </c>
      <c r="M27" s="29" t="n">
        <f aca="false">ROUND($H27*③石川以降予測!$G$11,0)</f>
        <v>810</v>
      </c>
      <c r="N27" s="29" t="n">
        <f aca="false">SUM(I27:M27)</f>
        <v>1539</v>
      </c>
      <c r="O27" s="29" t="n">
        <f aca="false">①札幌予測確定!U9*前提・入力!$B$28</f>
        <v>279</v>
      </c>
      <c r="P27" s="29" t="n">
        <f aca="false">ROUND(H27*前提・入力!$B$27,0)</f>
        <v>0</v>
      </c>
      <c r="Q27" s="32" t="n">
        <f aca="false">N27-O27-P27</f>
        <v>1260</v>
      </c>
      <c r="R27" s="29" t="n">
        <f aca="false">MAX(0,Q27)</f>
        <v>1260</v>
      </c>
      <c r="S27" s="29" t="n">
        <f aca="false">IF(R27&gt;0,ROUNDUP(R27*(1+前提・入力!$B$26),0),0)</f>
        <v>1386</v>
      </c>
    </row>
    <row r="28" customFormat="false" ht="15" hidden="false" customHeight="false" outlineLevel="0" collapsed="false">
      <c r="A28" s="26" t="n">
        <v>4</v>
      </c>
      <c r="B28" s="26" t="s">
        <v>186</v>
      </c>
      <c r="C28" s="27" t="s">
        <v>187</v>
      </c>
      <c r="D28" s="29" t="n">
        <v>1310</v>
      </c>
      <c r="E28" s="52" t="n">
        <f aca="false">IFERROR(D28/D$67,0)</f>
        <v>0.0205522434891748</v>
      </c>
      <c r="F28" s="29" t="n">
        <f aca="false">①札幌予測確定!P10</f>
        <v>245</v>
      </c>
      <c r="G28" s="52" t="n">
        <f aca="false">IFERROR(F28/F$67,0)</f>
        <v>0.0258602491028077</v>
      </c>
      <c r="H28" s="52" t="n">
        <f aca="false">E28*前提・入力!$B$23+G28*前提・入力!$B$24</f>
        <v>0.0232062462959912</v>
      </c>
      <c r="I28" s="29" t="n">
        <f aca="false">ROUND($H28*③石川以降予測!$G$7,0)</f>
        <v>231</v>
      </c>
      <c r="J28" s="29" t="n">
        <f aca="false">ROUND($H28*③石川以降予測!$G$8,0)</f>
        <v>273</v>
      </c>
      <c r="K28" s="29" t="n">
        <f aca="false">ROUND($H28*③石川以降予測!$G$9,0)</f>
        <v>252</v>
      </c>
      <c r="L28" s="29" t="n">
        <f aca="false">ROUND($H28*③石川以降予測!$G$10,0)</f>
        <v>189</v>
      </c>
      <c r="M28" s="29" t="n">
        <f aca="false">ROUND($H28*③石川以降予測!$G$11,0)</f>
        <v>1050</v>
      </c>
      <c r="N28" s="29" t="n">
        <f aca="false">SUM(I28:M28)</f>
        <v>1995</v>
      </c>
      <c r="O28" s="29" t="n">
        <f aca="false">①札幌予測確定!U10*前提・入力!$B$28</f>
        <v>555</v>
      </c>
      <c r="P28" s="29" t="n">
        <f aca="false">ROUND(H28*前提・入力!$B$27,0)</f>
        <v>0</v>
      </c>
      <c r="Q28" s="32" t="n">
        <f aca="false">N28-O28-P28</f>
        <v>1440</v>
      </c>
      <c r="R28" s="29" t="n">
        <f aca="false">MAX(0,Q28)</f>
        <v>1440</v>
      </c>
      <c r="S28" s="29" t="n">
        <f aca="false">IF(R28&gt;0,ROUNDUP(R28*(1+前提・入力!$B$26),0),0)</f>
        <v>1584</v>
      </c>
    </row>
    <row r="29" customFormat="false" ht="15" hidden="false" customHeight="false" outlineLevel="0" collapsed="false">
      <c r="A29" s="26" t="n">
        <v>5</v>
      </c>
      <c r="B29" s="26" t="s">
        <v>188</v>
      </c>
      <c r="C29" s="27" t="s">
        <v>189</v>
      </c>
      <c r="D29" s="29" t="n">
        <v>8936</v>
      </c>
      <c r="E29" s="52" t="n">
        <f aca="false">IFERROR(D29/D$67,0)</f>
        <v>0.14019454032005</v>
      </c>
      <c r="F29" s="29" t="n">
        <f aca="false">①札幌予測確定!P11</f>
        <v>564</v>
      </c>
      <c r="G29" s="52" t="n">
        <f aca="false">IFERROR(F29/F$67,0)</f>
        <v>0.0595313489550348</v>
      </c>
      <c r="H29" s="52" t="n">
        <f aca="false">E29*前提・入力!$B$23+G29*前提・入力!$B$24</f>
        <v>0.0998629446375425</v>
      </c>
      <c r="I29" s="29" t="n">
        <f aca="false">ROUND($H29*③石川以降予測!$G$7,0)</f>
        <v>994</v>
      </c>
      <c r="J29" s="29" t="n">
        <f aca="false">ROUND($H29*③石川以降予測!$G$8,0)</f>
        <v>1175</v>
      </c>
      <c r="K29" s="29" t="n">
        <f aca="false">ROUND($H29*③石川以降予測!$G$9,0)</f>
        <v>1084</v>
      </c>
      <c r="L29" s="29" t="n">
        <f aca="false">ROUND($H29*③石川以降予測!$G$10,0)</f>
        <v>813</v>
      </c>
      <c r="M29" s="29" t="n">
        <f aca="false">ROUND($H29*③石川以降予測!$G$11,0)</f>
        <v>4518</v>
      </c>
      <c r="N29" s="29" t="n">
        <f aca="false">SUM(I29:M29)</f>
        <v>8584</v>
      </c>
      <c r="O29" s="29" t="n">
        <f aca="false">①札幌予測確定!U11*前提・入力!$B$28</f>
        <v>8436</v>
      </c>
      <c r="P29" s="29" t="n">
        <f aca="false">ROUND(H29*前提・入力!$B$27,0)</f>
        <v>0</v>
      </c>
      <c r="Q29" s="32" t="n">
        <f aca="false">N29-O29-P29</f>
        <v>148</v>
      </c>
      <c r="R29" s="29" t="n">
        <f aca="false">MAX(0,Q29)</f>
        <v>148</v>
      </c>
      <c r="S29" s="29" t="n">
        <f aca="false">IF(R29&gt;0,ROUNDUP(R29*(1+前提・入力!$B$26),0),0)</f>
        <v>163</v>
      </c>
    </row>
    <row r="30" customFormat="false" ht="15" hidden="false" customHeight="false" outlineLevel="0" collapsed="false">
      <c r="A30" s="26" t="n">
        <v>6</v>
      </c>
      <c r="B30" s="26" t="s">
        <v>190</v>
      </c>
      <c r="C30" s="27" t="s">
        <v>191</v>
      </c>
      <c r="D30" s="29" t="n">
        <v>18611</v>
      </c>
      <c r="E30" s="52" t="n">
        <f aca="false">IFERROR(D30/D$67,0)</f>
        <v>0.291983056165673</v>
      </c>
      <c r="F30" s="29" t="n">
        <f aca="false">①札幌予測確定!P12</f>
        <v>1569</v>
      </c>
      <c r="G30" s="52" t="n">
        <f aca="false">IFERROR(F30/F$67,0)</f>
        <v>0.165611146295124</v>
      </c>
      <c r="H30" s="52" t="n">
        <f aca="false">E30*前提・入力!$B$23+G30*前提・入力!$B$24</f>
        <v>0.228797101230398</v>
      </c>
      <c r="I30" s="29" t="n">
        <f aca="false">ROUND($H30*③石川以降予測!$G$7,0)</f>
        <v>2277</v>
      </c>
      <c r="J30" s="29" t="n">
        <f aca="false">ROUND($H30*③石川以降予測!$G$8,0)</f>
        <v>2691</v>
      </c>
      <c r="K30" s="29" t="n">
        <f aca="false">ROUND($H30*③石川以降予測!$G$9,0)</f>
        <v>2484</v>
      </c>
      <c r="L30" s="29" t="n">
        <f aca="false">ROUND($H30*③石川以降予測!$G$10,0)</f>
        <v>1863</v>
      </c>
      <c r="M30" s="29" t="n">
        <f aca="false">ROUND($H30*③石川以降予測!$G$11,0)</f>
        <v>10351</v>
      </c>
      <c r="N30" s="29" t="n">
        <f aca="false">SUM(I30:M30)</f>
        <v>19666</v>
      </c>
      <c r="O30" s="29" t="n">
        <f aca="false">①札幌予測確定!U12*前提・入力!$B$28</f>
        <v>12422</v>
      </c>
      <c r="P30" s="29" t="n">
        <f aca="false">ROUND(H30*前提・入力!$B$27,0)</f>
        <v>0</v>
      </c>
      <c r="Q30" s="32" t="n">
        <f aca="false">N30-O30-P30</f>
        <v>7244</v>
      </c>
      <c r="R30" s="29" t="n">
        <f aca="false">MAX(0,Q30)</f>
        <v>7244</v>
      </c>
      <c r="S30" s="29" t="n">
        <f aca="false">IF(R30&gt;0,ROUNDUP(R30*(1+前提・入力!$B$26),0),0)</f>
        <v>7969</v>
      </c>
    </row>
    <row r="31" customFormat="false" ht="15" hidden="false" customHeight="false" outlineLevel="0" collapsed="false">
      <c r="A31" s="26" t="n">
        <v>7</v>
      </c>
      <c r="B31" s="26" t="s">
        <v>192</v>
      </c>
      <c r="C31" s="27" t="s">
        <v>193</v>
      </c>
      <c r="D31" s="29" t="n">
        <v>940</v>
      </c>
      <c r="E31" s="52" t="n">
        <f aca="false">IFERROR(D31/D$67,0)</f>
        <v>0.0147474113586445</v>
      </c>
      <c r="F31" s="29" t="n">
        <f aca="false">①札幌予測確定!P13</f>
        <v>195</v>
      </c>
      <c r="G31" s="52" t="n">
        <f aca="false">IFERROR(F31/F$67,0)</f>
        <v>0.0205826472450918</v>
      </c>
      <c r="H31" s="52" t="n">
        <f aca="false">E31*前提・入力!$B$23+G31*前提・入力!$B$24</f>
        <v>0.0176650293018682</v>
      </c>
      <c r="I31" s="29" t="n">
        <f aca="false">ROUND($H31*③石川以降予測!$G$7,0)</f>
        <v>176</v>
      </c>
      <c r="J31" s="29" t="n">
        <f aca="false">ROUND($H31*③石川以降予測!$G$8,0)</f>
        <v>208</v>
      </c>
      <c r="K31" s="29" t="n">
        <f aca="false">ROUND($H31*③石川以降予測!$G$9,0)</f>
        <v>192</v>
      </c>
      <c r="L31" s="29" t="n">
        <f aca="false">ROUND($H31*③石川以降予測!$G$10,0)</f>
        <v>144</v>
      </c>
      <c r="M31" s="29" t="n">
        <f aca="false">ROUND($H31*③石川以降予測!$G$11,0)</f>
        <v>799</v>
      </c>
      <c r="N31" s="29" t="n">
        <f aca="false">SUM(I31:M31)</f>
        <v>1519</v>
      </c>
      <c r="O31" s="29" t="n">
        <f aca="false">①札幌予測確定!U13*前提・入力!$B$28</f>
        <v>155</v>
      </c>
      <c r="P31" s="29" t="n">
        <f aca="false">ROUND(H31*前提・入力!$B$27,0)</f>
        <v>0</v>
      </c>
      <c r="Q31" s="32" t="n">
        <f aca="false">N31-O31-P31</f>
        <v>1364</v>
      </c>
      <c r="R31" s="29" t="n">
        <f aca="false">MAX(0,Q31)</f>
        <v>1364</v>
      </c>
      <c r="S31" s="29" t="n">
        <f aca="false">IF(R31&gt;0,ROUNDUP(R31*(1+前提・入力!$B$26),0),0)</f>
        <v>1501</v>
      </c>
    </row>
    <row r="32" customFormat="false" ht="15" hidden="false" customHeight="false" outlineLevel="0" collapsed="false">
      <c r="A32" s="26" t="n">
        <v>8</v>
      </c>
      <c r="B32" s="26" t="s">
        <v>194</v>
      </c>
      <c r="C32" s="27" t="s">
        <v>195</v>
      </c>
      <c r="D32" s="29" t="n">
        <v>1758</v>
      </c>
      <c r="E32" s="52" t="n">
        <f aca="false">IFERROR(D32/D$67,0)</f>
        <v>0.0275807969877628</v>
      </c>
      <c r="F32" s="29" t="n">
        <f aca="false">①札幌予測確定!P14</f>
        <v>344</v>
      </c>
      <c r="G32" s="52" t="n">
        <f aca="false">IFERROR(F32/F$67,0)</f>
        <v>0.0363099007810851</v>
      </c>
      <c r="H32" s="52" t="n">
        <f aca="false">E32*前提・入力!$B$23+G32*前提・入力!$B$24</f>
        <v>0.0319453488844239</v>
      </c>
      <c r="I32" s="29" t="n">
        <f aca="false">ROUND($H32*③石川以降予測!$G$7,0)</f>
        <v>318</v>
      </c>
      <c r="J32" s="29" t="n">
        <f aca="false">ROUND($H32*③石川以降予測!$G$8,0)</f>
        <v>376</v>
      </c>
      <c r="K32" s="29" t="n">
        <f aca="false">ROUND($H32*③石川以降予測!$G$9,0)</f>
        <v>347</v>
      </c>
      <c r="L32" s="29" t="n">
        <f aca="false">ROUND($H32*③石川以降予測!$G$10,0)</f>
        <v>260</v>
      </c>
      <c r="M32" s="29" t="n">
        <f aca="false">ROUND($H32*③石川以降予測!$G$11,0)</f>
        <v>1445</v>
      </c>
      <c r="N32" s="29" t="n">
        <f aca="false">SUM(I32:M32)</f>
        <v>2746</v>
      </c>
      <c r="O32" s="29" t="n">
        <f aca="false">①札幌予測確定!U14*前提・入力!$B$28</f>
        <v>556</v>
      </c>
      <c r="P32" s="29" t="n">
        <f aca="false">ROUND(H32*前提・入力!$B$27,0)</f>
        <v>0</v>
      </c>
      <c r="Q32" s="32" t="n">
        <f aca="false">N32-O32-P32</f>
        <v>2190</v>
      </c>
      <c r="R32" s="29" t="n">
        <f aca="false">MAX(0,Q32)</f>
        <v>2190</v>
      </c>
      <c r="S32" s="29" t="n">
        <f aca="false">IF(R32&gt;0,ROUNDUP(R32*(1+前提・入力!$B$26),0),0)</f>
        <v>2409</v>
      </c>
    </row>
    <row r="33" customFormat="false" ht="15" hidden="false" customHeight="false" outlineLevel="0" collapsed="false">
      <c r="A33" s="26" t="n">
        <v>9</v>
      </c>
      <c r="B33" s="26" t="s">
        <v>196</v>
      </c>
      <c r="C33" s="27" t="s">
        <v>197</v>
      </c>
      <c r="D33" s="29" t="n">
        <v>743</v>
      </c>
      <c r="E33" s="52" t="n">
        <f aca="false">IFERROR(D33/D$67,0)</f>
        <v>0.0116567304675243</v>
      </c>
      <c r="F33" s="29" t="n">
        <f aca="false">①札幌予測確定!P15</f>
        <v>138</v>
      </c>
      <c r="G33" s="52" t="n">
        <f aca="false">IFERROR(F33/F$67,0)</f>
        <v>0.0145661811272958</v>
      </c>
      <c r="H33" s="52" t="n">
        <f aca="false">E33*前提・入力!$B$23+G33*前提・入力!$B$24</f>
        <v>0.01311145579741</v>
      </c>
      <c r="I33" s="29" t="n">
        <f aca="false">ROUND($H33*③石川以降予測!$G$7,0)</f>
        <v>130</v>
      </c>
      <c r="J33" s="29" t="n">
        <f aca="false">ROUND($H33*③石川以降予測!$G$8,0)</f>
        <v>154</v>
      </c>
      <c r="K33" s="29" t="n">
        <f aca="false">ROUND($H33*③石川以降予測!$G$9,0)</f>
        <v>142</v>
      </c>
      <c r="L33" s="29" t="n">
        <f aca="false">ROUND($H33*③石川以降予測!$G$10,0)</f>
        <v>107</v>
      </c>
      <c r="M33" s="29" t="n">
        <f aca="false">ROUND($H33*③石川以降予測!$G$11,0)</f>
        <v>593</v>
      </c>
      <c r="N33" s="29" t="n">
        <f aca="false">SUM(I33:M33)</f>
        <v>1126</v>
      </c>
      <c r="O33" s="29" t="n">
        <f aca="false">①札幌予測確定!U15*前提・入力!$B$28</f>
        <v>162</v>
      </c>
      <c r="P33" s="29" t="n">
        <f aca="false">ROUND(H33*前提・入力!$B$27,0)</f>
        <v>0</v>
      </c>
      <c r="Q33" s="32" t="n">
        <f aca="false">N33-O33-P33</f>
        <v>964</v>
      </c>
      <c r="R33" s="29" t="n">
        <f aca="false">MAX(0,Q33)</f>
        <v>964</v>
      </c>
      <c r="S33" s="29" t="n">
        <f aca="false">IF(R33&gt;0,ROUNDUP(R33*(1+前提・入力!$B$26),0),0)</f>
        <v>1061</v>
      </c>
    </row>
    <row r="34" customFormat="false" ht="15" hidden="false" customHeight="false" outlineLevel="0" collapsed="false">
      <c r="A34" s="26" t="n">
        <v>10</v>
      </c>
      <c r="B34" s="26" t="s">
        <v>198</v>
      </c>
      <c r="C34" s="27" t="s">
        <v>199</v>
      </c>
      <c r="D34" s="29" t="n">
        <v>277</v>
      </c>
      <c r="E34" s="52" t="n">
        <f aca="false">IFERROR(D34/D$67,0)</f>
        <v>0.00434577973015375</v>
      </c>
      <c r="F34" s="29" t="n">
        <f aca="false">①札幌予測確定!P16</f>
        <v>56</v>
      </c>
      <c r="G34" s="52" t="n">
        <f aca="false">IFERROR(F34/F$67,0)</f>
        <v>0.00591091408064176</v>
      </c>
      <c r="H34" s="52" t="n">
        <f aca="false">E34*前提・入力!$B$23+G34*前提・入力!$B$24</f>
        <v>0.00512834690539775</v>
      </c>
      <c r="I34" s="29" t="n">
        <f aca="false">ROUND($H34*③石川以降予測!$G$7,0)</f>
        <v>51</v>
      </c>
      <c r="J34" s="29" t="n">
        <f aca="false">ROUND($H34*③石川以降予測!$G$8,0)</f>
        <v>60</v>
      </c>
      <c r="K34" s="29" t="n">
        <f aca="false">ROUND($H34*③石川以降予測!$G$9,0)</f>
        <v>56</v>
      </c>
      <c r="L34" s="29" t="n">
        <f aca="false">ROUND($H34*③石川以降予測!$G$10,0)</f>
        <v>42</v>
      </c>
      <c r="M34" s="29" t="n">
        <f aca="false">ROUND($H34*③石川以降予測!$G$11,0)</f>
        <v>232</v>
      </c>
      <c r="N34" s="29" t="n">
        <f aca="false">SUM(I34:M34)</f>
        <v>441</v>
      </c>
      <c r="O34" s="29" t="n">
        <f aca="false">①札幌予測確定!U16*前提・入力!$B$28</f>
        <v>44</v>
      </c>
      <c r="P34" s="29" t="n">
        <f aca="false">ROUND(H34*前提・入力!$B$27,0)</f>
        <v>0</v>
      </c>
      <c r="Q34" s="32" t="n">
        <f aca="false">N34-O34-P34</f>
        <v>397</v>
      </c>
      <c r="R34" s="29" t="n">
        <f aca="false">MAX(0,Q34)</f>
        <v>397</v>
      </c>
      <c r="S34" s="29" t="n">
        <f aca="false">IF(R34&gt;0,ROUNDUP(R34*(1+前提・入力!$B$26),0),0)</f>
        <v>437</v>
      </c>
    </row>
    <row r="35" customFormat="false" ht="15" hidden="false" customHeight="false" outlineLevel="0" collapsed="false">
      <c r="A35" s="26" t="n">
        <v>11</v>
      </c>
      <c r="B35" s="26" t="s">
        <v>200</v>
      </c>
      <c r="C35" s="27" t="s">
        <v>201</v>
      </c>
      <c r="D35" s="29" t="n">
        <v>78</v>
      </c>
      <c r="E35" s="52" t="n">
        <f aca="false">IFERROR(D35/D$67,0)</f>
        <v>0.00122372136805773</v>
      </c>
      <c r="F35" s="29" t="n">
        <f aca="false">①札幌予測確定!P17</f>
        <v>27</v>
      </c>
      <c r="G35" s="52" t="n">
        <f aca="false">IFERROR(F35/F$67,0)</f>
        <v>0.00284990500316656</v>
      </c>
      <c r="H35" s="52" t="n">
        <f aca="false">E35*前提・入力!$B$23+G35*前提・入力!$B$24</f>
        <v>0.00203681318561215</v>
      </c>
      <c r="I35" s="29" t="n">
        <f aca="false">ROUND($H35*③石川以降予測!$G$7,0)</f>
        <v>20</v>
      </c>
      <c r="J35" s="29" t="n">
        <f aca="false">ROUND($H35*③石川以降予測!$G$8,0)</f>
        <v>24</v>
      </c>
      <c r="K35" s="29" t="n">
        <f aca="false">ROUND($H35*③石川以降予測!$G$9,0)</f>
        <v>22</v>
      </c>
      <c r="L35" s="29" t="n">
        <f aca="false">ROUND($H35*③石川以降予測!$G$10,0)</f>
        <v>17</v>
      </c>
      <c r="M35" s="29" t="n">
        <f aca="false">ROUND($H35*③石川以降予測!$G$11,0)</f>
        <v>92</v>
      </c>
      <c r="N35" s="29" t="n">
        <f aca="false">SUM(I35:M35)</f>
        <v>175</v>
      </c>
      <c r="O35" s="29" t="n">
        <f aca="false">①札幌予測確定!U17*前提・入力!$B$28</f>
        <v>23</v>
      </c>
      <c r="P35" s="29" t="n">
        <f aca="false">ROUND(H35*前提・入力!$B$27,0)</f>
        <v>0</v>
      </c>
      <c r="Q35" s="32" t="n">
        <f aca="false">N35-O35-P35</f>
        <v>152</v>
      </c>
      <c r="R35" s="29" t="n">
        <f aca="false">MAX(0,Q35)</f>
        <v>152</v>
      </c>
      <c r="S35" s="29" t="n">
        <f aca="false">IF(R35&gt;0,ROUNDUP(R35*(1+前提・入力!$B$26),0),0)</f>
        <v>168</v>
      </c>
    </row>
    <row r="36" customFormat="false" ht="15" hidden="false" customHeight="false" outlineLevel="0" collapsed="false">
      <c r="A36" s="26" t="n">
        <v>12</v>
      </c>
      <c r="B36" s="26" t="s">
        <v>202</v>
      </c>
      <c r="C36" s="27" t="s">
        <v>203</v>
      </c>
      <c r="D36" s="29" t="n">
        <v>142</v>
      </c>
      <c r="E36" s="52" t="n">
        <f aca="false">IFERROR(D36/D$67,0)</f>
        <v>0.00222780043928459</v>
      </c>
      <c r="F36" s="29" t="n">
        <f aca="false">①札幌予測確定!P18</f>
        <v>30</v>
      </c>
      <c r="G36" s="52" t="n">
        <f aca="false">IFERROR(F36/F$67,0)</f>
        <v>0.00316656111462951</v>
      </c>
      <c r="H36" s="52" t="n">
        <f aca="false">E36*前提・入力!$B$23+G36*前提・入力!$B$24</f>
        <v>0.00269718077695705</v>
      </c>
      <c r="I36" s="29" t="n">
        <f aca="false">ROUND($H36*③石川以降予測!$G$7,0)</f>
        <v>27</v>
      </c>
      <c r="J36" s="29" t="n">
        <f aca="false">ROUND($H36*③石川以降予測!$G$8,0)</f>
        <v>32</v>
      </c>
      <c r="K36" s="29" t="n">
        <f aca="false">ROUND($H36*③石川以降予測!$G$9,0)</f>
        <v>29</v>
      </c>
      <c r="L36" s="29" t="n">
        <f aca="false">ROUND($H36*③石川以降予測!$G$10,0)</f>
        <v>22</v>
      </c>
      <c r="M36" s="29" t="n">
        <f aca="false">ROUND($H36*③石川以降予測!$G$11,0)</f>
        <v>122</v>
      </c>
      <c r="N36" s="29" t="n">
        <f aca="false">SUM(I36:M36)</f>
        <v>232</v>
      </c>
      <c r="O36" s="29" t="n">
        <f aca="false">①札幌予測確定!U18*前提・入力!$B$28</f>
        <v>20</v>
      </c>
      <c r="P36" s="29" t="n">
        <f aca="false">ROUND(H36*前提・入力!$B$27,0)</f>
        <v>0</v>
      </c>
      <c r="Q36" s="32" t="n">
        <f aca="false">N36-O36-P36</f>
        <v>212</v>
      </c>
      <c r="R36" s="29" t="n">
        <f aca="false">MAX(0,Q36)</f>
        <v>212</v>
      </c>
      <c r="S36" s="29" t="n">
        <f aca="false">IF(R36&gt;0,ROUNDUP(R36*(1+前提・入力!$B$26),0),0)</f>
        <v>234</v>
      </c>
    </row>
    <row r="37" customFormat="false" ht="15" hidden="false" customHeight="false" outlineLevel="0" collapsed="false">
      <c r="A37" s="26" t="n">
        <v>13</v>
      </c>
      <c r="B37" s="26" t="s">
        <v>204</v>
      </c>
      <c r="C37" s="27" t="s">
        <v>205</v>
      </c>
      <c r="D37" s="29" t="n">
        <v>43</v>
      </c>
      <c r="E37" s="52" t="n">
        <f aca="false">IFERROR(D37/D$67,0)</f>
        <v>0.000674615625980546</v>
      </c>
      <c r="F37" s="29" t="n">
        <f aca="false">①札幌予測確定!P19</f>
        <v>7</v>
      </c>
      <c r="G37" s="52" t="n">
        <f aca="false">IFERROR(F37/F$67,0)</f>
        <v>0.00073886426008022</v>
      </c>
      <c r="H37" s="52" t="n">
        <f aca="false">E37*前提・入力!$B$23+G37*前提・入力!$B$24</f>
        <v>0.000706739943030383</v>
      </c>
      <c r="I37" s="29" t="n">
        <f aca="false">ROUND($H37*③石川以降予測!$G$7,0)</f>
        <v>7</v>
      </c>
      <c r="J37" s="29" t="n">
        <f aca="false">ROUND($H37*③石川以降予測!$G$8,0)</f>
        <v>8</v>
      </c>
      <c r="K37" s="29" t="n">
        <f aca="false">ROUND($H37*③石川以降予測!$G$9,0)</f>
        <v>8</v>
      </c>
      <c r="L37" s="29" t="n">
        <f aca="false">ROUND($H37*③石川以降予測!$G$10,0)</f>
        <v>6</v>
      </c>
      <c r="M37" s="29" t="n">
        <f aca="false">ROUND($H37*③石川以降予測!$G$11,0)</f>
        <v>32</v>
      </c>
      <c r="N37" s="29" t="n">
        <f aca="false">SUM(I37:M37)</f>
        <v>61</v>
      </c>
      <c r="O37" s="29" t="n">
        <f aca="false">①札幌予測確定!U19*前提・入力!$B$28</f>
        <v>43</v>
      </c>
      <c r="P37" s="29" t="n">
        <f aca="false">ROUND(H37*前提・入力!$B$27,0)</f>
        <v>0</v>
      </c>
      <c r="Q37" s="32" t="n">
        <f aca="false">N37-O37-P37</f>
        <v>18</v>
      </c>
      <c r="R37" s="29" t="n">
        <f aca="false">MAX(0,Q37)</f>
        <v>18</v>
      </c>
      <c r="S37" s="29" t="n">
        <f aca="false">IF(R37&gt;0,ROUNDUP(R37*(1+前提・入力!$B$26),0),0)</f>
        <v>20</v>
      </c>
    </row>
    <row r="38" customFormat="false" ht="15" hidden="false" customHeight="false" outlineLevel="0" collapsed="false">
      <c r="A38" s="26" t="n">
        <v>14</v>
      </c>
      <c r="B38" s="26" t="s">
        <v>206</v>
      </c>
      <c r="C38" s="27" t="s">
        <v>207</v>
      </c>
      <c r="D38" s="29" t="n">
        <v>146</v>
      </c>
      <c r="E38" s="52" t="n">
        <f aca="false">IFERROR(D38/D$67,0)</f>
        <v>0.00229055538123627</v>
      </c>
      <c r="F38" s="29" t="n">
        <f aca="false">①札幌予測確定!P20</f>
        <v>38</v>
      </c>
      <c r="G38" s="52" t="n">
        <f aca="false">IFERROR(F38/F$67,0)</f>
        <v>0.00401097741186405</v>
      </c>
      <c r="H38" s="52" t="n">
        <f aca="false">E38*前提・入力!$B$23+G38*前提・入力!$B$24</f>
        <v>0.00315076639655016</v>
      </c>
      <c r="I38" s="29" t="n">
        <f aca="false">ROUND($H38*③石川以降予測!$G$7,0)</f>
        <v>31</v>
      </c>
      <c r="J38" s="29" t="n">
        <f aca="false">ROUND($H38*③石川以降予測!$G$8,0)</f>
        <v>37</v>
      </c>
      <c r="K38" s="29" t="n">
        <f aca="false">ROUND($H38*③石川以降予測!$G$9,0)</f>
        <v>34</v>
      </c>
      <c r="L38" s="29" t="n">
        <f aca="false">ROUND($H38*③石川以降予測!$G$10,0)</f>
        <v>26</v>
      </c>
      <c r="M38" s="29" t="n">
        <f aca="false">ROUND($H38*③石川以降予測!$G$11,0)</f>
        <v>143</v>
      </c>
      <c r="N38" s="29" t="n">
        <f aca="false">SUM(I38:M38)</f>
        <v>271</v>
      </c>
      <c r="O38" s="29" t="n">
        <f aca="false">①札幌予測確定!U20*前提・入力!$B$28</f>
        <v>12</v>
      </c>
      <c r="P38" s="29" t="n">
        <f aca="false">ROUND(H38*前提・入力!$B$27,0)</f>
        <v>0</v>
      </c>
      <c r="Q38" s="32" t="n">
        <f aca="false">N38-O38-P38</f>
        <v>259</v>
      </c>
      <c r="R38" s="29" t="n">
        <f aca="false">MAX(0,Q38)</f>
        <v>259</v>
      </c>
      <c r="S38" s="29" t="n">
        <f aca="false">IF(R38&gt;0,ROUNDUP(R38*(1+前提・入力!$B$26),0),0)</f>
        <v>285</v>
      </c>
    </row>
    <row r="39" customFormat="false" ht="15" hidden="false" customHeight="false" outlineLevel="0" collapsed="false">
      <c r="A39" s="26" t="n">
        <v>15</v>
      </c>
      <c r="B39" s="26" t="s">
        <v>208</v>
      </c>
      <c r="C39" s="27" t="s">
        <v>209</v>
      </c>
      <c r="D39" s="29" t="n">
        <v>198</v>
      </c>
      <c r="E39" s="52" t="n">
        <f aca="false">IFERROR(D39/D$67,0)</f>
        <v>0.0031063696266081</v>
      </c>
      <c r="F39" s="29" t="n">
        <f aca="false">①札幌予測確定!P21</f>
        <v>67</v>
      </c>
      <c r="G39" s="52" t="n">
        <f aca="false">IFERROR(F39/F$67,0)</f>
        <v>0.00707198648933924</v>
      </c>
      <c r="H39" s="52" t="n">
        <f aca="false">E39*前提・入力!$B$23+G39*前提・入力!$B$24</f>
        <v>0.00508917805797367</v>
      </c>
      <c r="I39" s="29" t="n">
        <f aca="false">ROUND($H39*③石川以降予測!$G$7,0)</f>
        <v>51</v>
      </c>
      <c r="J39" s="29" t="n">
        <f aca="false">ROUND($H39*③石川以降予測!$G$8,0)</f>
        <v>60</v>
      </c>
      <c r="K39" s="29" t="n">
        <f aca="false">ROUND($H39*③石川以降予測!$G$9,0)</f>
        <v>55</v>
      </c>
      <c r="L39" s="29" t="n">
        <f aca="false">ROUND($H39*③石川以降予測!$G$10,0)</f>
        <v>41</v>
      </c>
      <c r="M39" s="29" t="n">
        <f aca="false">ROUND($H39*③石川以降予測!$G$11,0)</f>
        <v>230</v>
      </c>
      <c r="N39" s="29" t="n">
        <f aca="false">SUM(I39:M39)</f>
        <v>437</v>
      </c>
      <c r="O39" s="29" t="n">
        <f aca="false">①札幌予測確定!U21*前提・入力!$B$28</f>
        <v>33</v>
      </c>
      <c r="P39" s="29" t="n">
        <f aca="false">ROUND(H39*前提・入力!$B$27,0)</f>
        <v>0</v>
      </c>
      <c r="Q39" s="32" t="n">
        <f aca="false">N39-O39-P39</f>
        <v>404</v>
      </c>
      <c r="R39" s="29" t="n">
        <f aca="false">MAX(0,Q39)</f>
        <v>404</v>
      </c>
      <c r="S39" s="29" t="n">
        <f aca="false">IF(R39&gt;0,ROUNDUP(R39*(1+前提・入力!$B$26),0),0)</f>
        <v>445</v>
      </c>
    </row>
    <row r="40" customFormat="false" ht="15" hidden="false" customHeight="false" outlineLevel="0" collapsed="false">
      <c r="A40" s="26" t="n">
        <v>16</v>
      </c>
      <c r="B40" s="26" t="s">
        <v>210</v>
      </c>
      <c r="C40" s="27" t="s">
        <v>211</v>
      </c>
      <c r="D40" s="29" t="n">
        <v>65</v>
      </c>
      <c r="E40" s="52" t="n">
        <f aca="false">IFERROR(D40/D$67,0)</f>
        <v>0.00101976780671478</v>
      </c>
      <c r="F40" s="29" t="n">
        <f aca="false">①札幌予測確定!P22</f>
        <v>8</v>
      </c>
      <c r="G40" s="52" t="n">
        <f aca="false">IFERROR(F40/F$67,0)</f>
        <v>0.000844416297234537</v>
      </c>
      <c r="H40" s="52" t="n">
        <f aca="false">E40*前提・入力!$B$23+G40*前提・入力!$B$24</f>
        <v>0.000932092051974658</v>
      </c>
      <c r="I40" s="29" t="n">
        <f aca="false">ROUND($H40*③石川以降予測!$G$7,0)</f>
        <v>9</v>
      </c>
      <c r="J40" s="29" t="n">
        <f aca="false">ROUND($H40*③石川以降予測!$G$8,0)</f>
        <v>11</v>
      </c>
      <c r="K40" s="29" t="n">
        <f aca="false">ROUND($H40*③石川以降予測!$G$9,0)</f>
        <v>10</v>
      </c>
      <c r="L40" s="29" t="n">
        <f aca="false">ROUND($H40*③石川以降予測!$G$10,0)</f>
        <v>8</v>
      </c>
      <c r="M40" s="29" t="n">
        <f aca="false">ROUND($H40*③石川以降予測!$G$11,0)</f>
        <v>42</v>
      </c>
      <c r="N40" s="29" t="n">
        <f aca="false">SUM(I40:M40)</f>
        <v>80</v>
      </c>
      <c r="O40" s="29" t="n">
        <f aca="false">①札幌予測確定!U22*前提・入力!$B$28</f>
        <v>42</v>
      </c>
      <c r="P40" s="29" t="n">
        <f aca="false">ROUND(H40*前提・入力!$B$27,0)</f>
        <v>0</v>
      </c>
      <c r="Q40" s="32" t="n">
        <f aca="false">N40-O40-P40</f>
        <v>38</v>
      </c>
      <c r="R40" s="29" t="n">
        <f aca="false">MAX(0,Q40)</f>
        <v>38</v>
      </c>
      <c r="S40" s="29" t="n">
        <f aca="false">IF(R40&gt;0,ROUNDUP(R40*(1+前提・入力!$B$26),0),0)</f>
        <v>42</v>
      </c>
    </row>
    <row r="41" customFormat="false" ht="15" hidden="false" customHeight="false" outlineLevel="0" collapsed="false">
      <c r="A41" s="26" t="n">
        <v>17</v>
      </c>
      <c r="B41" s="26" t="s">
        <v>212</v>
      </c>
      <c r="C41" s="27" t="s">
        <v>213</v>
      </c>
      <c r="D41" s="29" t="n">
        <v>261</v>
      </c>
      <c r="E41" s="52" t="n">
        <f aca="false">IFERROR(D41/D$67,0)</f>
        <v>0.00409475996234703</v>
      </c>
      <c r="F41" s="29" t="n">
        <f aca="false">①札幌予測確定!P23</f>
        <v>96</v>
      </c>
      <c r="G41" s="52" t="n">
        <f aca="false">IFERROR(F41/F$67,0)</f>
        <v>0.0101329955668144</v>
      </c>
      <c r="H41" s="52" t="n">
        <f aca="false">E41*前提・入力!$B$23+G41*前提・入力!$B$24</f>
        <v>0.00711387776458074</v>
      </c>
      <c r="I41" s="29" t="n">
        <f aca="false">ROUND($H41*③石川以降予測!$G$7,0)</f>
        <v>71</v>
      </c>
      <c r="J41" s="29" t="n">
        <f aca="false">ROUND($H41*③石川以降予測!$G$8,0)</f>
        <v>84</v>
      </c>
      <c r="K41" s="29" t="n">
        <f aca="false">ROUND($H41*③石川以降予測!$G$9,0)</f>
        <v>77</v>
      </c>
      <c r="L41" s="29" t="n">
        <f aca="false">ROUND($H41*③石川以降予測!$G$10,0)</f>
        <v>58</v>
      </c>
      <c r="M41" s="29" t="n">
        <f aca="false">ROUND($H41*③石川以降予測!$G$11,0)</f>
        <v>322</v>
      </c>
      <c r="N41" s="29" t="n">
        <f aca="false">SUM(I41:M41)</f>
        <v>612</v>
      </c>
      <c r="O41" s="29" t="n">
        <f aca="false">①札幌予測確定!U23*前提・入力!$B$28</f>
        <v>4</v>
      </c>
      <c r="P41" s="29" t="n">
        <f aca="false">ROUND(H41*前提・入力!$B$27,0)</f>
        <v>0</v>
      </c>
      <c r="Q41" s="32" t="n">
        <f aca="false">N41-O41-P41</f>
        <v>608</v>
      </c>
      <c r="R41" s="29" t="n">
        <f aca="false">MAX(0,Q41)</f>
        <v>608</v>
      </c>
      <c r="S41" s="29" t="n">
        <f aca="false">IF(R41&gt;0,ROUNDUP(R41*(1+前提・入力!$B$26),0),0)</f>
        <v>669</v>
      </c>
    </row>
    <row r="42" customFormat="false" ht="15" hidden="false" customHeight="false" outlineLevel="0" collapsed="false">
      <c r="A42" s="26" t="n">
        <v>18</v>
      </c>
      <c r="B42" s="26" t="s">
        <v>214</v>
      </c>
      <c r="C42" s="27" t="s">
        <v>215</v>
      </c>
      <c r="D42" s="29" t="n">
        <v>2021</v>
      </c>
      <c r="E42" s="52" t="n">
        <f aca="false">IFERROR(D42/D$67,0)</f>
        <v>0.0317069344210857</v>
      </c>
      <c r="F42" s="29" t="n">
        <f aca="false">①札幌予測確定!P24</f>
        <v>448</v>
      </c>
      <c r="G42" s="52" t="n">
        <f aca="false">IFERROR(F42/F$67,0)</f>
        <v>0.0472873126451341</v>
      </c>
      <c r="H42" s="52" t="n">
        <f aca="false">E42*前提・入力!$B$23+G42*前提・入力!$B$24</f>
        <v>0.0394971235331099</v>
      </c>
      <c r="I42" s="29" t="n">
        <f aca="false">ROUND($H42*③石川以降予測!$G$7,0)</f>
        <v>393</v>
      </c>
      <c r="J42" s="29" t="n">
        <f aca="false">ROUND($H42*③石川以降予測!$G$8,0)</f>
        <v>465</v>
      </c>
      <c r="K42" s="29" t="n">
        <f aca="false">ROUND($H42*③石川以降予測!$G$9,0)</f>
        <v>429</v>
      </c>
      <c r="L42" s="29" t="n">
        <f aca="false">ROUND($H42*③石川以降予測!$G$10,0)</f>
        <v>322</v>
      </c>
      <c r="M42" s="29" t="n">
        <f aca="false">ROUND($H42*③石川以降予測!$G$11,0)</f>
        <v>1787</v>
      </c>
      <c r="N42" s="29" t="n">
        <f aca="false">SUM(I42:M42)</f>
        <v>3396</v>
      </c>
      <c r="O42" s="29" t="n">
        <f aca="false">①札幌予測確定!U24*前提・入力!$B$28</f>
        <v>1052</v>
      </c>
      <c r="P42" s="29" t="n">
        <f aca="false">ROUND(H42*前提・入力!$B$27,0)</f>
        <v>0</v>
      </c>
      <c r="Q42" s="32" t="n">
        <f aca="false">N42-O42-P42</f>
        <v>2344</v>
      </c>
      <c r="R42" s="29" t="n">
        <f aca="false">MAX(0,Q42)</f>
        <v>2344</v>
      </c>
      <c r="S42" s="29" t="n">
        <f aca="false">IF(R42&gt;0,ROUNDUP(R42*(1+前提・入力!$B$26),0),0)</f>
        <v>2579</v>
      </c>
    </row>
    <row r="43" customFormat="false" ht="15" hidden="false" customHeight="false" outlineLevel="0" collapsed="false">
      <c r="A43" s="26" t="n">
        <v>19</v>
      </c>
      <c r="B43" s="26" t="s">
        <v>216</v>
      </c>
      <c r="C43" s="27" t="s">
        <v>217</v>
      </c>
      <c r="D43" s="29" t="n">
        <v>45</v>
      </c>
      <c r="E43" s="52" t="n">
        <f aca="false">IFERROR(D43/D$67,0)</f>
        <v>0.000705993096956385</v>
      </c>
      <c r="F43" s="29" t="n">
        <f aca="false">①札幌予測確定!P25</f>
        <v>16</v>
      </c>
      <c r="G43" s="52" t="n">
        <f aca="false">IFERROR(F43/F$67,0)</f>
        <v>0.00168883259446907</v>
      </c>
      <c r="H43" s="52" t="n">
        <f aca="false">E43*前提・入力!$B$23+G43*前提・入力!$B$24</f>
        <v>0.00119741284571273</v>
      </c>
      <c r="I43" s="29" t="n">
        <f aca="false">ROUND($H43*③石川以降予測!$G$7,0)</f>
        <v>12</v>
      </c>
      <c r="J43" s="29" t="n">
        <f aca="false">ROUND($H43*③石川以降予測!$G$8,0)</f>
        <v>14</v>
      </c>
      <c r="K43" s="29" t="n">
        <f aca="false">ROUND($H43*③石川以降予測!$G$9,0)</f>
        <v>13</v>
      </c>
      <c r="L43" s="29" t="n">
        <f aca="false">ROUND($H43*③石川以降予測!$G$10,0)</f>
        <v>10</v>
      </c>
      <c r="M43" s="29" t="n">
        <f aca="false">ROUND($H43*③石川以降予測!$G$11,0)</f>
        <v>54</v>
      </c>
      <c r="N43" s="29" t="n">
        <f aca="false">SUM(I43:M43)</f>
        <v>103</v>
      </c>
      <c r="O43" s="29" t="n">
        <f aca="false">①札幌予測確定!U25*前提・入力!$B$28</f>
        <v>34</v>
      </c>
      <c r="P43" s="29" t="n">
        <f aca="false">ROUND(H43*前提・入力!$B$27,0)</f>
        <v>0</v>
      </c>
      <c r="Q43" s="32" t="n">
        <f aca="false">N43-O43-P43</f>
        <v>69</v>
      </c>
      <c r="R43" s="29" t="n">
        <f aca="false">MAX(0,Q43)</f>
        <v>69</v>
      </c>
      <c r="S43" s="29" t="n">
        <f aca="false">IF(R43&gt;0,ROUNDUP(R43*(1+前提・入力!$B$26),0),0)</f>
        <v>76</v>
      </c>
    </row>
    <row r="44" customFormat="false" ht="15" hidden="false" customHeight="false" outlineLevel="0" collapsed="false">
      <c r="A44" s="26" t="n">
        <v>20</v>
      </c>
      <c r="B44" s="26" t="s">
        <v>218</v>
      </c>
      <c r="C44" s="27" t="s">
        <v>219</v>
      </c>
      <c r="D44" s="29" t="n">
        <v>42</v>
      </c>
      <c r="E44" s="52" t="n">
        <f aca="false">IFERROR(D44/D$67,0)</f>
        <v>0.000658926890492626</v>
      </c>
      <c r="F44" s="29" t="n">
        <f aca="false">①札幌予測確定!P26</f>
        <v>14</v>
      </c>
      <c r="G44" s="52" t="n">
        <f aca="false">IFERROR(F44/F$67,0)</f>
        <v>0.00147772852016044</v>
      </c>
      <c r="H44" s="52" t="n">
        <f aca="false">E44*前提・入力!$B$23+G44*前提・入力!$B$24</f>
        <v>0.00106832770532653</v>
      </c>
      <c r="I44" s="29" t="n">
        <f aca="false">ROUND($H44*③石川以降予測!$G$7,0)</f>
        <v>11</v>
      </c>
      <c r="J44" s="29" t="n">
        <f aca="false">ROUND($H44*③石川以降予測!$G$8,0)</f>
        <v>13</v>
      </c>
      <c r="K44" s="29" t="n">
        <f aca="false">ROUND($H44*③石川以降予測!$G$9,0)</f>
        <v>12</v>
      </c>
      <c r="L44" s="29" t="n">
        <f aca="false">ROUND($H44*③石川以降予測!$G$10,0)</f>
        <v>9</v>
      </c>
      <c r="M44" s="29" t="n">
        <f aca="false">ROUND($H44*③石川以降予測!$G$11,0)</f>
        <v>48</v>
      </c>
      <c r="N44" s="29" t="n">
        <f aca="false">SUM(I44:M44)</f>
        <v>93</v>
      </c>
      <c r="O44" s="29" t="n">
        <f aca="false">①札幌予測確定!U26*前提・入力!$B$28</f>
        <v>16</v>
      </c>
      <c r="P44" s="29" t="n">
        <f aca="false">ROUND(H44*前提・入力!$B$27,0)</f>
        <v>0</v>
      </c>
      <c r="Q44" s="32" t="n">
        <f aca="false">N44-O44-P44</f>
        <v>77</v>
      </c>
      <c r="R44" s="29" t="n">
        <f aca="false">MAX(0,Q44)</f>
        <v>77</v>
      </c>
      <c r="S44" s="29" t="n">
        <f aca="false">IF(R44&gt;0,ROUNDUP(R44*(1+前提・入力!$B$26),0),0)</f>
        <v>85</v>
      </c>
    </row>
    <row r="45" customFormat="false" ht="15" hidden="false" customHeight="false" outlineLevel="0" collapsed="false">
      <c r="A45" s="26" t="n">
        <v>21</v>
      </c>
      <c r="B45" s="26" t="s">
        <v>220</v>
      </c>
      <c r="C45" s="27" t="s">
        <v>221</v>
      </c>
      <c r="D45" s="29" t="n">
        <v>252</v>
      </c>
      <c r="E45" s="52" t="n">
        <f aca="false">IFERROR(D45/D$67,0)</f>
        <v>0.00395356134295576</v>
      </c>
      <c r="F45" s="29" t="n">
        <f aca="false">①札幌予測確定!P27</f>
        <v>96</v>
      </c>
      <c r="G45" s="52" t="n">
        <f aca="false">IFERROR(F45/F$67,0)</f>
        <v>0.0101329955668144</v>
      </c>
      <c r="H45" s="52" t="n">
        <f aca="false">E45*前提・入力!$B$23+G45*前提・入力!$B$24</f>
        <v>0.0070432784548851</v>
      </c>
      <c r="I45" s="29" t="n">
        <f aca="false">ROUND($H45*③石川以降予測!$G$7,0)</f>
        <v>70</v>
      </c>
      <c r="J45" s="29" t="n">
        <f aca="false">ROUND($H45*③石川以降予測!$G$8,0)</f>
        <v>83</v>
      </c>
      <c r="K45" s="29" t="n">
        <f aca="false">ROUND($H45*③石川以降予測!$G$9,0)</f>
        <v>76</v>
      </c>
      <c r="L45" s="29" t="n">
        <f aca="false">ROUND($H45*③石川以降予測!$G$10,0)</f>
        <v>57</v>
      </c>
      <c r="M45" s="29" t="n">
        <f aca="false">ROUND($H45*③石川以降予測!$G$11,0)</f>
        <v>319</v>
      </c>
      <c r="N45" s="29" t="n">
        <f aca="false">SUM(I45:M45)</f>
        <v>605</v>
      </c>
      <c r="O45" s="29" t="n">
        <f aca="false">①札幌予測確定!U27*前提・入力!$B$28</f>
        <v>0</v>
      </c>
      <c r="P45" s="29" t="n">
        <f aca="false">ROUND(H45*前提・入力!$B$27,0)</f>
        <v>0</v>
      </c>
      <c r="Q45" s="32" t="n">
        <f aca="false">N45-O45-P45</f>
        <v>605</v>
      </c>
      <c r="R45" s="29" t="n">
        <f aca="false">MAX(0,Q45)</f>
        <v>605</v>
      </c>
      <c r="S45" s="29" t="n">
        <f aca="false">IF(R45&gt;0,ROUNDUP(R45*(1+前提・入力!$B$26),0),0)</f>
        <v>666</v>
      </c>
    </row>
    <row r="46" customFormat="false" ht="15" hidden="false" customHeight="false" outlineLevel="0" collapsed="false">
      <c r="A46" s="26" t="n">
        <v>22</v>
      </c>
      <c r="B46" s="26" t="s">
        <v>222</v>
      </c>
      <c r="C46" s="27" t="s">
        <v>223</v>
      </c>
      <c r="D46" s="29" t="n">
        <v>171</v>
      </c>
      <c r="E46" s="52" t="n">
        <f aca="false">IFERROR(D46/D$67,0)</f>
        <v>0.00268277376843426</v>
      </c>
      <c r="F46" s="29" t="n">
        <f aca="false">①札幌予測確定!P28</f>
        <v>44</v>
      </c>
      <c r="G46" s="52" t="n">
        <f aca="false">IFERROR(F46/F$67,0)</f>
        <v>0.00464428963478995</v>
      </c>
      <c r="H46" s="52" t="n">
        <f aca="false">E46*前提・入力!$B$23+G46*前提・入力!$B$24</f>
        <v>0.00366353170161211</v>
      </c>
      <c r="I46" s="29" t="n">
        <f aca="false">ROUND($H46*③石川以降予測!$G$7,0)</f>
        <v>36</v>
      </c>
      <c r="J46" s="29" t="n">
        <f aca="false">ROUND($H46*③石川以降予測!$G$8,0)</f>
        <v>43</v>
      </c>
      <c r="K46" s="29" t="n">
        <f aca="false">ROUND($H46*③石川以降予測!$G$9,0)</f>
        <v>40</v>
      </c>
      <c r="L46" s="29" t="n">
        <f aca="false">ROUND($H46*③石川以降予測!$G$10,0)</f>
        <v>30</v>
      </c>
      <c r="M46" s="29" t="n">
        <f aca="false">ROUND($H46*③石川以降予測!$G$11,0)</f>
        <v>166</v>
      </c>
      <c r="N46" s="29" t="n">
        <f aca="false">SUM(I46:M46)</f>
        <v>315</v>
      </c>
      <c r="O46" s="29" t="n">
        <f aca="false">①札幌予測確定!U28*前提・入力!$B$28</f>
        <v>6</v>
      </c>
      <c r="P46" s="29" t="n">
        <f aca="false">ROUND(H46*前提・入力!$B$27,0)</f>
        <v>0</v>
      </c>
      <c r="Q46" s="32" t="n">
        <f aca="false">N46-O46-P46</f>
        <v>309</v>
      </c>
      <c r="R46" s="29" t="n">
        <f aca="false">MAX(0,Q46)</f>
        <v>309</v>
      </c>
      <c r="S46" s="29" t="n">
        <f aca="false">IF(R46&gt;0,ROUNDUP(R46*(1+前提・入力!$B$26),0),0)</f>
        <v>340</v>
      </c>
    </row>
    <row r="47" customFormat="false" ht="15" hidden="false" customHeight="false" outlineLevel="0" collapsed="false">
      <c r="A47" s="26" t="n">
        <v>23</v>
      </c>
      <c r="B47" s="26" t="s">
        <v>224</v>
      </c>
      <c r="C47" s="27" t="s">
        <v>225</v>
      </c>
      <c r="D47" s="29" t="n">
        <v>12724</v>
      </c>
      <c r="E47" s="52" t="n">
        <f aca="false">IFERROR(D47/D$67,0)</f>
        <v>0.19962347034829</v>
      </c>
      <c r="F47" s="29" t="n">
        <f aca="false">①札幌予測確定!P29</f>
        <v>2285</v>
      </c>
      <c r="G47" s="52" t="n">
        <f aca="false">IFERROR(F47/F$67,0)</f>
        <v>0.241186404897615</v>
      </c>
      <c r="H47" s="52" t="n">
        <f aca="false">E47*前提・入力!$B$23+G47*前提・入力!$B$24</f>
        <v>0.220404937622952</v>
      </c>
      <c r="I47" s="29" t="n">
        <f aca="false">ROUND($H47*③石川以降予測!$G$7,0)</f>
        <v>2194</v>
      </c>
      <c r="J47" s="29" t="n">
        <f aca="false">ROUND($H47*③石川以降予測!$G$8,0)</f>
        <v>2593</v>
      </c>
      <c r="K47" s="29" t="n">
        <f aca="false">ROUND($H47*③石川以降予測!$G$9,0)</f>
        <v>2393</v>
      </c>
      <c r="L47" s="29" t="n">
        <f aca="false">ROUND($H47*③石川以降予測!$G$10,0)</f>
        <v>1795</v>
      </c>
      <c r="M47" s="29" t="n">
        <f aca="false">ROUND($H47*③石川以降予測!$G$11,0)</f>
        <v>9972</v>
      </c>
      <c r="N47" s="29" t="n">
        <f aca="false">SUM(I47:M47)</f>
        <v>18947</v>
      </c>
      <c r="O47" s="29" t="n">
        <f aca="false">①札幌予測確定!U29*前提・入力!$B$28</f>
        <v>8715</v>
      </c>
      <c r="P47" s="29" t="n">
        <f aca="false">ROUND(H47*前提・入力!$B$27,0)</f>
        <v>0</v>
      </c>
      <c r="Q47" s="32" t="n">
        <f aca="false">N47-O47-P47</f>
        <v>10232</v>
      </c>
      <c r="R47" s="29" t="n">
        <f aca="false">MAX(0,Q47)</f>
        <v>10232</v>
      </c>
      <c r="S47" s="29" t="n">
        <f aca="false">IF(R47&gt;0,ROUNDUP(R47*(1+前提・入力!$B$26),0),0)</f>
        <v>11256</v>
      </c>
    </row>
    <row r="48" customFormat="false" ht="15" hidden="false" customHeight="false" outlineLevel="0" collapsed="false">
      <c r="A48" s="26" t="n">
        <v>24</v>
      </c>
      <c r="B48" s="26" t="s">
        <v>226</v>
      </c>
      <c r="C48" s="27" t="s">
        <v>227</v>
      </c>
      <c r="D48" s="29" t="n">
        <v>6978</v>
      </c>
      <c r="E48" s="52" t="n">
        <f aca="false">IFERROR(D48/D$67,0)</f>
        <v>0.109475996234703</v>
      </c>
      <c r="F48" s="29" t="n">
        <f aca="false">①札幌予測確定!P30</f>
        <v>1231</v>
      </c>
      <c r="G48" s="52" t="n">
        <f aca="false">IFERROR(F48/F$67,0)</f>
        <v>0.129934557736964</v>
      </c>
      <c r="H48" s="52" t="n">
        <f aca="false">E48*前提・入力!$B$23+G48*前提・入力!$B$24</f>
        <v>0.119705276985834</v>
      </c>
      <c r="I48" s="29" t="n">
        <f aca="false">ROUND($H48*③石川以降予測!$G$7,0)</f>
        <v>1191</v>
      </c>
      <c r="J48" s="29" t="n">
        <f aca="false">ROUND($H48*③石川以降予測!$G$8,0)</f>
        <v>1408</v>
      </c>
      <c r="K48" s="29" t="n">
        <f aca="false">ROUND($H48*③石川以降予測!$G$9,0)</f>
        <v>1300</v>
      </c>
      <c r="L48" s="29" t="n">
        <f aca="false">ROUND($H48*③石川以降予測!$G$10,0)</f>
        <v>975</v>
      </c>
      <c r="M48" s="29" t="n">
        <f aca="false">ROUND($H48*③石川以降予測!$G$11,0)</f>
        <v>5416</v>
      </c>
      <c r="N48" s="29" t="n">
        <f aca="false">SUM(I48:M48)</f>
        <v>10290</v>
      </c>
      <c r="O48" s="29" t="n">
        <f aca="false">①札幌予測確定!U30*前提・入力!$B$28</f>
        <v>6769</v>
      </c>
      <c r="P48" s="29" t="n">
        <f aca="false">ROUND(H48*前提・入力!$B$27,0)</f>
        <v>0</v>
      </c>
      <c r="Q48" s="32" t="n">
        <f aca="false">N48-O48-P48</f>
        <v>3521</v>
      </c>
      <c r="R48" s="29" t="n">
        <f aca="false">MAX(0,Q48)</f>
        <v>3521</v>
      </c>
      <c r="S48" s="29" t="n">
        <f aca="false">IF(R48&gt;0,ROUNDUP(R48*(1+前提・入力!$B$26),0),0)</f>
        <v>3874</v>
      </c>
    </row>
    <row r="49" customFormat="false" ht="15" hidden="false" customHeight="false" outlineLevel="0" collapsed="false">
      <c r="A49" s="26" t="n">
        <v>25</v>
      </c>
      <c r="B49" s="26" t="s">
        <v>228</v>
      </c>
      <c r="C49" s="27" t="s">
        <v>229</v>
      </c>
      <c r="D49" s="29" t="n">
        <v>243</v>
      </c>
      <c r="E49" s="52" t="n">
        <f aca="false">IFERROR(D49/D$67,0)</f>
        <v>0.00381236272356448</v>
      </c>
      <c r="F49" s="29" t="n">
        <f aca="false">①札幌予測確定!P31</f>
        <v>43</v>
      </c>
      <c r="G49" s="52" t="n">
        <f aca="false">IFERROR(F49/F$67,0)</f>
        <v>0.00453873759763564</v>
      </c>
      <c r="H49" s="52" t="n">
        <f aca="false">E49*前提・入力!$B$23+G49*前提・入力!$B$24</f>
        <v>0.00417555016060006</v>
      </c>
      <c r="I49" s="29" t="n">
        <f aca="false">ROUND($H49*③石川以降予測!$G$7,0)</f>
        <v>42</v>
      </c>
      <c r="J49" s="29" t="n">
        <f aca="false">ROUND($H49*③石川以降予測!$G$8,0)</f>
        <v>49</v>
      </c>
      <c r="K49" s="29" t="n">
        <f aca="false">ROUND($H49*③石川以降予測!$G$9,0)</f>
        <v>45</v>
      </c>
      <c r="L49" s="29" t="n">
        <f aca="false">ROUND($H49*③石川以降予測!$G$10,0)</f>
        <v>34</v>
      </c>
      <c r="M49" s="29" t="n">
        <f aca="false">ROUND($H49*③石川以降予測!$G$11,0)</f>
        <v>189</v>
      </c>
      <c r="N49" s="29" t="n">
        <f aca="false">SUM(I49:M49)</f>
        <v>359</v>
      </c>
      <c r="O49" s="29" t="n">
        <f aca="false">①札幌予測確定!U31*前提・入力!$B$28</f>
        <v>157</v>
      </c>
      <c r="P49" s="29" t="n">
        <f aca="false">ROUND(H49*前提・入力!$B$27,0)</f>
        <v>0</v>
      </c>
      <c r="Q49" s="32" t="n">
        <f aca="false">N49-O49-P49</f>
        <v>202</v>
      </c>
      <c r="R49" s="29" t="n">
        <f aca="false">MAX(0,Q49)</f>
        <v>202</v>
      </c>
      <c r="S49" s="29" t="n">
        <f aca="false">IF(R49&gt;0,ROUNDUP(R49*(1+前提・入力!$B$26),0),0)</f>
        <v>223</v>
      </c>
    </row>
    <row r="50" customFormat="false" ht="15" hidden="false" customHeight="false" outlineLevel="0" collapsed="false">
      <c r="A50" s="26" t="n">
        <v>26</v>
      </c>
      <c r="B50" s="26" t="s">
        <v>230</v>
      </c>
      <c r="C50" s="27" t="s">
        <v>231</v>
      </c>
      <c r="D50" s="29" t="n">
        <v>842</v>
      </c>
      <c r="E50" s="52" t="n">
        <f aca="false">IFERROR(D50/D$67,0)</f>
        <v>0.0132099152808284</v>
      </c>
      <c r="F50" s="29" t="n">
        <f aca="false">①札幌予測確定!P32</f>
        <v>169</v>
      </c>
      <c r="G50" s="52" t="n">
        <f aca="false">IFERROR(F50/F$67,0)</f>
        <v>0.0178382942790796</v>
      </c>
      <c r="H50" s="52" t="n">
        <f aca="false">E50*前提・入力!$B$23+G50*前提・入力!$B$24</f>
        <v>0.015524104779954</v>
      </c>
      <c r="I50" s="29" t="n">
        <f aca="false">ROUND($H50*③石川以降予測!$G$7,0)</f>
        <v>155</v>
      </c>
      <c r="J50" s="29" t="n">
        <f aca="false">ROUND($H50*③石川以降予測!$G$8,0)</f>
        <v>183</v>
      </c>
      <c r="K50" s="29" t="n">
        <f aca="false">ROUND($H50*③石川以降予測!$G$9,0)</f>
        <v>169</v>
      </c>
      <c r="L50" s="29" t="n">
        <f aca="false">ROUND($H50*③石川以降予測!$G$10,0)</f>
        <v>126</v>
      </c>
      <c r="M50" s="29" t="n">
        <f aca="false">ROUND($H50*③石川以降予測!$G$11,0)</f>
        <v>702</v>
      </c>
      <c r="N50" s="29" t="n">
        <f aca="false">SUM(I50:M50)</f>
        <v>1335</v>
      </c>
      <c r="O50" s="29" t="n">
        <f aca="false">①札幌予測確定!U32*前提・入力!$B$28</f>
        <v>0</v>
      </c>
      <c r="P50" s="29" t="n">
        <f aca="false">ROUND(H50*前提・入力!$B$27,0)</f>
        <v>0</v>
      </c>
      <c r="Q50" s="32" t="n">
        <f aca="false">N50-O50-P50</f>
        <v>1335</v>
      </c>
      <c r="R50" s="29" t="n">
        <f aca="false">MAX(0,Q50)</f>
        <v>1335</v>
      </c>
      <c r="S50" s="29" t="n">
        <f aca="false">IF(R50&gt;0,ROUNDUP(R50*(1+前提・入力!$B$26),0),0)</f>
        <v>1469</v>
      </c>
    </row>
    <row r="51" customFormat="false" ht="15" hidden="false" customHeight="false" outlineLevel="0" collapsed="false">
      <c r="A51" s="26" t="n">
        <v>27</v>
      </c>
      <c r="B51" s="26" t="s">
        <v>232</v>
      </c>
      <c r="C51" s="27" t="s">
        <v>233</v>
      </c>
      <c r="D51" s="29" t="n">
        <v>145</v>
      </c>
      <c r="E51" s="52" t="n">
        <f aca="false">IFERROR(D51/D$67,0)</f>
        <v>0.00227486664574835</v>
      </c>
      <c r="F51" s="29" t="n">
        <f aca="false">①札幌予測確定!P33</f>
        <v>41</v>
      </c>
      <c r="G51" s="52" t="n">
        <f aca="false">IFERROR(F51/F$67,0)</f>
        <v>0.004327633523327</v>
      </c>
      <c r="H51" s="52" t="n">
        <f aca="false">E51*前提・入力!$B$23+G51*前提・入力!$B$24</f>
        <v>0.00330125008453768</v>
      </c>
      <c r="I51" s="29" t="n">
        <f aca="false">ROUND($H51*③石川以降予測!$G$7,0)</f>
        <v>33</v>
      </c>
      <c r="J51" s="29" t="n">
        <f aca="false">ROUND($H51*③石川以降予測!$G$8,0)</f>
        <v>39</v>
      </c>
      <c r="K51" s="29" t="n">
        <f aca="false">ROUND($H51*③石川以降予測!$G$9,0)</f>
        <v>36</v>
      </c>
      <c r="L51" s="29" t="n">
        <f aca="false">ROUND($H51*③石川以降予測!$G$10,0)</f>
        <v>27</v>
      </c>
      <c r="M51" s="29" t="n">
        <f aca="false">ROUND($H51*③石川以降予測!$G$11,0)</f>
        <v>149</v>
      </c>
      <c r="N51" s="29" t="n">
        <f aca="false">SUM(I51:M51)</f>
        <v>284</v>
      </c>
      <c r="O51" s="29" t="n">
        <f aca="false">①札幌予測確定!U33*前提・入力!$B$28</f>
        <v>29</v>
      </c>
      <c r="P51" s="29" t="n">
        <f aca="false">ROUND(H51*前提・入力!$B$27,0)</f>
        <v>0</v>
      </c>
      <c r="Q51" s="32" t="n">
        <f aca="false">N51-O51-P51</f>
        <v>255</v>
      </c>
      <c r="R51" s="29" t="n">
        <f aca="false">MAX(0,Q51)</f>
        <v>255</v>
      </c>
      <c r="S51" s="29" t="n">
        <f aca="false">IF(R51&gt;0,ROUNDUP(R51*(1+前提・入力!$B$26),0),0)</f>
        <v>281</v>
      </c>
    </row>
    <row r="52" customFormat="false" ht="15" hidden="false" customHeight="false" outlineLevel="0" collapsed="false">
      <c r="A52" s="26" t="n">
        <v>28</v>
      </c>
      <c r="B52" s="26" t="s">
        <v>234</v>
      </c>
      <c r="C52" s="27" t="s">
        <v>235</v>
      </c>
      <c r="D52" s="29" t="n">
        <v>400</v>
      </c>
      <c r="E52" s="52" t="n">
        <f aca="false">IFERROR(D52/D$67,0)</f>
        <v>0.00627549419516787</v>
      </c>
      <c r="F52" s="29" t="n">
        <f aca="false">①札幌予測確定!P34</f>
        <v>214</v>
      </c>
      <c r="G52" s="52" t="n">
        <f aca="false">IFERROR(F52/F$67,0)</f>
        <v>0.0225881359510239</v>
      </c>
      <c r="H52" s="52" t="n">
        <f aca="false">E52*前提・入力!$B$23+G52*前提・入力!$B$24</f>
        <v>0.0144318150730959</v>
      </c>
      <c r="I52" s="29" t="n">
        <f aca="false">ROUND($H52*③石川以降予測!$G$7,0)</f>
        <v>144</v>
      </c>
      <c r="J52" s="29" t="n">
        <f aca="false">ROUND($H52*③石川以降予測!$G$8,0)</f>
        <v>170</v>
      </c>
      <c r="K52" s="29" t="n">
        <f aca="false">ROUND($H52*③石川以降予測!$G$9,0)</f>
        <v>157</v>
      </c>
      <c r="L52" s="29" t="n">
        <f aca="false">ROUND($H52*③石川以降予測!$G$10,0)</f>
        <v>118</v>
      </c>
      <c r="M52" s="29" t="n">
        <f aca="false">ROUND($H52*③石川以降予測!$G$11,0)</f>
        <v>653</v>
      </c>
      <c r="N52" s="29" t="n">
        <f aca="false">SUM(I52:M52)</f>
        <v>1242</v>
      </c>
      <c r="O52" s="29" t="n">
        <f aca="false">①札幌予測確定!U34*前提・入力!$B$28</f>
        <v>0</v>
      </c>
      <c r="P52" s="29" t="n">
        <f aca="false">ROUND(H52*前提・入力!$B$27,0)</f>
        <v>0</v>
      </c>
      <c r="Q52" s="32" t="n">
        <f aca="false">N52-O52-P52</f>
        <v>1242</v>
      </c>
      <c r="R52" s="29" t="n">
        <f aca="false">MAX(0,Q52)</f>
        <v>1242</v>
      </c>
      <c r="S52" s="29" t="n">
        <f aca="false">IF(R52&gt;0,ROUNDUP(R52*(1+前提・入力!$B$26),0),0)</f>
        <v>1367</v>
      </c>
    </row>
    <row r="53" customFormat="false" ht="15" hidden="false" customHeight="false" outlineLevel="0" collapsed="false">
      <c r="A53" s="26" t="n">
        <v>29</v>
      </c>
      <c r="B53" s="26" t="s">
        <v>236</v>
      </c>
      <c r="C53" s="27" t="s">
        <v>237</v>
      </c>
      <c r="D53" s="29" t="n">
        <v>200</v>
      </c>
      <c r="E53" s="52" t="n">
        <f aca="false">IFERROR(D53/D$67,0)</f>
        <v>0.00313774709758393</v>
      </c>
      <c r="F53" s="29" t="n">
        <f aca="false">①札幌予測確定!P35</f>
        <v>97</v>
      </c>
      <c r="G53" s="52" t="n">
        <f aca="false">IFERROR(F53/F$67,0)</f>
        <v>0.0102385476039688</v>
      </c>
      <c r="H53" s="52" t="n">
        <f aca="false">E53*前提・入力!$B$23+G53*前提・入力!$B$24</f>
        <v>0.00668814735077635</v>
      </c>
      <c r="I53" s="29" t="n">
        <f aca="false">ROUND($H53*③石川以降予測!$G$7,0)</f>
        <v>67</v>
      </c>
      <c r="J53" s="29" t="n">
        <f aca="false">ROUND($H53*③石川以降予測!$G$8,0)</f>
        <v>79</v>
      </c>
      <c r="K53" s="29" t="n">
        <f aca="false">ROUND($H53*③石川以降予測!$G$9,0)</f>
        <v>73</v>
      </c>
      <c r="L53" s="29" t="n">
        <f aca="false">ROUND($H53*③石川以降予測!$G$10,0)</f>
        <v>54</v>
      </c>
      <c r="M53" s="29" t="n">
        <f aca="false">ROUND($H53*③石川以降予測!$G$11,0)</f>
        <v>303</v>
      </c>
      <c r="N53" s="29" t="n">
        <f aca="false">SUM(I53:M53)</f>
        <v>576</v>
      </c>
      <c r="O53" s="29" t="n">
        <f aca="false">①札幌予測確定!U35*前提・入力!$B$28</f>
        <v>3</v>
      </c>
      <c r="P53" s="29" t="n">
        <f aca="false">ROUND(H53*前提・入力!$B$27,0)</f>
        <v>0</v>
      </c>
      <c r="Q53" s="32" t="n">
        <f aca="false">N53-O53-P53</f>
        <v>573</v>
      </c>
      <c r="R53" s="29" t="n">
        <f aca="false">MAX(0,Q53)</f>
        <v>573</v>
      </c>
      <c r="S53" s="29" t="n">
        <f aca="false">IF(R53&gt;0,ROUNDUP(R53*(1+前提・入力!$B$26),0),0)</f>
        <v>631</v>
      </c>
    </row>
    <row r="54" customFormat="false" ht="15" hidden="false" customHeight="false" outlineLevel="0" collapsed="false">
      <c r="A54" s="26" t="n">
        <v>30</v>
      </c>
      <c r="B54" s="26" t="s">
        <v>238</v>
      </c>
      <c r="C54" s="27" t="s">
        <v>239</v>
      </c>
      <c r="D54" s="29" t="n">
        <v>205</v>
      </c>
      <c r="E54" s="52" t="n">
        <f aca="false">IFERROR(D54/D$67,0)</f>
        <v>0.00321619077502353</v>
      </c>
      <c r="F54" s="29" t="n">
        <f aca="false">①札幌予測確定!P36</f>
        <v>62</v>
      </c>
      <c r="G54" s="52" t="n">
        <f aca="false">IFERROR(F54/F$67,0)</f>
        <v>0.00654422630356766</v>
      </c>
      <c r="H54" s="52" t="n">
        <f aca="false">E54*前提・入力!$B$23+G54*前提・入力!$B$24</f>
        <v>0.0048802085392956</v>
      </c>
      <c r="I54" s="29" t="n">
        <f aca="false">ROUND($H54*③石川以降予測!$G$7,0)</f>
        <v>49</v>
      </c>
      <c r="J54" s="29" t="n">
        <f aca="false">ROUND($H54*③石川以降予測!$G$8,0)</f>
        <v>57</v>
      </c>
      <c r="K54" s="29" t="n">
        <f aca="false">ROUND($H54*③石川以降予測!$G$9,0)</f>
        <v>53</v>
      </c>
      <c r="L54" s="29" t="n">
        <f aca="false">ROUND($H54*③石川以降予測!$G$10,0)</f>
        <v>40</v>
      </c>
      <c r="M54" s="29" t="n">
        <f aca="false">ROUND($H54*③石川以降予測!$G$11,0)</f>
        <v>221</v>
      </c>
      <c r="N54" s="29" t="n">
        <f aca="false">SUM(I54:M54)</f>
        <v>420</v>
      </c>
      <c r="O54" s="29" t="n">
        <f aca="false">①札幌予測確定!U36*前提・入力!$B$28</f>
        <v>188</v>
      </c>
      <c r="P54" s="29" t="n">
        <f aca="false">ROUND(H54*前提・入力!$B$27,0)</f>
        <v>0</v>
      </c>
      <c r="Q54" s="32" t="n">
        <f aca="false">N54-O54-P54</f>
        <v>232</v>
      </c>
      <c r="R54" s="29" t="n">
        <f aca="false">MAX(0,Q54)</f>
        <v>232</v>
      </c>
      <c r="S54" s="29" t="n">
        <f aca="false">IF(R54&gt;0,ROUNDUP(R54*(1+前提・入力!$B$26),0),0)</f>
        <v>256</v>
      </c>
    </row>
    <row r="55" customFormat="false" ht="15" hidden="false" customHeight="false" outlineLevel="0" collapsed="false">
      <c r="A55" s="26" t="n">
        <v>31</v>
      </c>
      <c r="B55" s="26" t="s">
        <v>240</v>
      </c>
      <c r="C55" s="27" t="s">
        <v>241</v>
      </c>
      <c r="D55" s="29" t="n">
        <v>427</v>
      </c>
      <c r="E55" s="52" t="n">
        <f aca="false">IFERROR(D55/D$67,0)</f>
        <v>0.0066990900533417</v>
      </c>
      <c r="F55" s="29" t="n">
        <f aca="false">①札幌予測確定!P37</f>
        <v>96</v>
      </c>
      <c r="G55" s="52" t="n">
        <f aca="false">IFERROR(F55/F$67,0)</f>
        <v>0.0101329955668144</v>
      </c>
      <c r="H55" s="52" t="n">
        <f aca="false">E55*前提・入力!$B$23+G55*前提・入力!$B$24</f>
        <v>0.00841604281007807</v>
      </c>
      <c r="I55" s="29" t="n">
        <f aca="false">ROUND($H55*③石川以降予測!$G$7,0)</f>
        <v>84</v>
      </c>
      <c r="J55" s="29" t="n">
        <f aca="false">ROUND($H55*③石川以降予測!$G$8,0)</f>
        <v>99</v>
      </c>
      <c r="K55" s="29" t="n">
        <f aca="false">ROUND($H55*③石川以降予測!$G$9,0)</f>
        <v>91</v>
      </c>
      <c r="L55" s="29" t="n">
        <f aca="false">ROUND($H55*③石川以降予測!$G$10,0)</f>
        <v>69</v>
      </c>
      <c r="M55" s="29" t="n">
        <f aca="false">ROUND($H55*③石川以降予測!$G$11,0)</f>
        <v>381</v>
      </c>
      <c r="N55" s="29" t="n">
        <f aca="false">SUM(I55:M55)</f>
        <v>724</v>
      </c>
      <c r="O55" s="29" t="n">
        <f aca="false">①札幌予測確定!U37*前提・入力!$B$28</f>
        <v>104</v>
      </c>
      <c r="P55" s="29" t="n">
        <f aca="false">ROUND(H55*前提・入力!$B$27,0)</f>
        <v>0</v>
      </c>
      <c r="Q55" s="32" t="n">
        <f aca="false">N55-O55-P55</f>
        <v>620</v>
      </c>
      <c r="R55" s="29" t="n">
        <f aca="false">MAX(0,Q55)</f>
        <v>620</v>
      </c>
      <c r="S55" s="29" t="n">
        <f aca="false">IF(R55&gt;0,ROUNDUP(R55*(1+前提・入力!$B$26),0),0)</f>
        <v>682</v>
      </c>
    </row>
    <row r="56" customFormat="false" ht="15" hidden="false" customHeight="false" outlineLevel="0" collapsed="false">
      <c r="A56" s="26" t="n">
        <v>32</v>
      </c>
      <c r="B56" s="26" t="s">
        <v>242</v>
      </c>
      <c r="C56" s="27" t="s">
        <v>243</v>
      </c>
      <c r="D56" s="29" t="n">
        <v>40</v>
      </c>
      <c r="E56" s="52" t="n">
        <f aca="false">IFERROR(D56/D$67,0)</f>
        <v>0.000627549419516787</v>
      </c>
      <c r="F56" s="29" t="n">
        <f aca="false">①札幌予測確定!P38</f>
        <v>10</v>
      </c>
      <c r="G56" s="52" t="n">
        <f aca="false">IFERROR(F56/F$67,0)</f>
        <v>0.00105552037154317</v>
      </c>
      <c r="H56" s="52" t="n">
        <f aca="false">E56*前提・入力!$B$23+G56*前提・入力!$B$24</f>
        <v>0.000841534895529979</v>
      </c>
      <c r="I56" s="29" t="n">
        <f aca="false">ROUND($H56*③石川以降予測!$G$7,0)</f>
        <v>8</v>
      </c>
      <c r="J56" s="29" t="n">
        <f aca="false">ROUND($H56*③石川以降予測!$G$8,0)</f>
        <v>10</v>
      </c>
      <c r="K56" s="29" t="n">
        <f aca="false">ROUND($H56*③石川以降予測!$G$9,0)</f>
        <v>9</v>
      </c>
      <c r="L56" s="29" t="n">
        <f aca="false">ROUND($H56*③石川以降予測!$G$10,0)</f>
        <v>7</v>
      </c>
      <c r="M56" s="29" t="n">
        <f aca="false">ROUND($H56*③石川以降予測!$G$11,0)</f>
        <v>38</v>
      </c>
      <c r="N56" s="29" t="n">
        <f aca="false">SUM(I56:M56)</f>
        <v>72</v>
      </c>
      <c r="O56" s="29" t="n">
        <f aca="false">①札幌予測確定!U38*前提・入力!$B$28</f>
        <v>0</v>
      </c>
      <c r="P56" s="29" t="n">
        <f aca="false">ROUND(H56*前提・入力!$B$27,0)</f>
        <v>0</v>
      </c>
      <c r="Q56" s="32" t="n">
        <f aca="false">N56-O56-P56</f>
        <v>72</v>
      </c>
      <c r="R56" s="29" t="n">
        <f aca="false">MAX(0,Q56)</f>
        <v>72</v>
      </c>
      <c r="S56" s="29" t="n">
        <f aca="false">IF(R56&gt;0,ROUNDUP(R56*(1+前提・入力!$B$26),0),0)</f>
        <v>80</v>
      </c>
    </row>
    <row r="57" customFormat="false" ht="15" hidden="false" customHeight="false" outlineLevel="0" collapsed="false">
      <c r="A57" s="26" t="n">
        <v>33</v>
      </c>
      <c r="B57" s="26" t="s">
        <v>244</v>
      </c>
      <c r="C57" s="27" t="s">
        <v>245</v>
      </c>
      <c r="D57" s="29" t="n">
        <v>21</v>
      </c>
      <c r="E57" s="52" t="n">
        <f aca="false">IFERROR(D57/D$67,0)</f>
        <v>0.000329463445246313</v>
      </c>
      <c r="F57" s="29" t="n">
        <f aca="false">①札幌予測確定!P39</f>
        <v>0</v>
      </c>
      <c r="G57" s="52" t="n">
        <f aca="false">IFERROR(F57/F$67,0)</f>
        <v>0</v>
      </c>
      <c r="H57" s="52" t="n">
        <f aca="false">E57*前提・入力!$B$23+G57*前提・入力!$B$24</f>
        <v>0.000164731722623157</v>
      </c>
      <c r="I57" s="29" t="n">
        <f aca="false">ROUND($H57*③石川以降予測!$G$7,0)</f>
        <v>2</v>
      </c>
      <c r="J57" s="29" t="n">
        <f aca="false">ROUND($H57*③石川以降予測!$G$8,0)</f>
        <v>2</v>
      </c>
      <c r="K57" s="29" t="n">
        <f aca="false">ROUND($H57*③石川以降予測!$G$9,0)</f>
        <v>2</v>
      </c>
      <c r="L57" s="29" t="n">
        <f aca="false">ROUND($H57*③石川以降予測!$G$10,0)</f>
        <v>1</v>
      </c>
      <c r="M57" s="29" t="n">
        <f aca="false">ROUND($H57*③石川以降予測!$G$11,0)</f>
        <v>7</v>
      </c>
      <c r="N57" s="29" t="n">
        <f aca="false">SUM(I57:M57)</f>
        <v>14</v>
      </c>
      <c r="O57" s="29" t="n">
        <f aca="false">①札幌予測確定!U39*前提・入力!$B$28</f>
        <v>15</v>
      </c>
      <c r="P57" s="29" t="n">
        <f aca="false">ROUND(H57*前提・入力!$B$27,0)</f>
        <v>0</v>
      </c>
      <c r="Q57" s="32" t="n">
        <f aca="false">N57-O57-P57</f>
        <v>-1</v>
      </c>
      <c r="R57" s="29" t="n">
        <f aca="false">MAX(0,Q57)</f>
        <v>0</v>
      </c>
      <c r="S57" s="29" t="n">
        <f aca="false">IF(R57&gt;0,ROUNDUP(R57*(1+前提・入力!$B$26),0),0)</f>
        <v>0</v>
      </c>
    </row>
    <row r="58" customFormat="false" ht="15" hidden="false" customHeight="false" outlineLevel="0" collapsed="false">
      <c r="A58" s="26" t="n">
        <v>34</v>
      </c>
      <c r="B58" s="26" t="s">
        <v>246</v>
      </c>
      <c r="C58" s="27" t="s">
        <v>247</v>
      </c>
      <c r="D58" s="29" t="n">
        <v>3</v>
      </c>
      <c r="E58" s="52" t="n">
        <f aca="false">IFERROR(D58/D$67,0)</f>
        <v>4.7066206463759E-005</v>
      </c>
      <c r="F58" s="29" t="n">
        <f aca="false">①札幌予測確定!P40</f>
        <v>1</v>
      </c>
      <c r="G58" s="52" t="n">
        <f aca="false">IFERROR(F58/F$67,0)</f>
        <v>0.000105552037154317</v>
      </c>
      <c r="H58" s="52" t="n">
        <f aca="false">E58*前提・入力!$B$23+G58*前提・入力!$B$24</f>
        <v>7.63091218090381E-005</v>
      </c>
      <c r="I58" s="29" t="n">
        <f aca="false">ROUND($H58*③石川以降予測!$G$7,0)</f>
        <v>1</v>
      </c>
      <c r="J58" s="29" t="n">
        <f aca="false">ROUND($H58*③石川以降予測!$G$8,0)</f>
        <v>1</v>
      </c>
      <c r="K58" s="29" t="n">
        <f aca="false">ROUND($H58*③石川以降予測!$G$9,0)</f>
        <v>1</v>
      </c>
      <c r="L58" s="29" t="n">
        <f aca="false">ROUND($H58*③石川以降予測!$G$10,0)</f>
        <v>1</v>
      </c>
      <c r="M58" s="29" t="n">
        <f aca="false">ROUND($H58*③石川以降予測!$G$11,0)</f>
        <v>3</v>
      </c>
      <c r="N58" s="29" t="n">
        <f aca="false">SUM(I58:M58)</f>
        <v>7</v>
      </c>
      <c r="O58" s="29" t="n">
        <f aca="false">①札幌予測確定!U40*前提・入力!$B$28</f>
        <v>1</v>
      </c>
      <c r="P58" s="29" t="n">
        <f aca="false">ROUND(H58*前提・入力!$B$27,0)</f>
        <v>0</v>
      </c>
      <c r="Q58" s="32" t="n">
        <f aca="false">N58-O58-P58</f>
        <v>6</v>
      </c>
      <c r="R58" s="29" t="n">
        <f aca="false">MAX(0,Q58)</f>
        <v>6</v>
      </c>
      <c r="S58" s="29" t="n">
        <f aca="false">IF(R58&gt;0,ROUNDUP(R58*(1+前提・入力!$B$26),0),0)</f>
        <v>7</v>
      </c>
    </row>
    <row r="59" customFormat="false" ht="15" hidden="false" customHeight="false" outlineLevel="0" collapsed="false">
      <c r="A59" s="26" t="n">
        <v>35</v>
      </c>
      <c r="B59" s="26" t="s">
        <v>248</v>
      </c>
      <c r="C59" s="27" t="s">
        <v>249</v>
      </c>
      <c r="D59" s="29" t="n">
        <v>3</v>
      </c>
      <c r="E59" s="52" t="n">
        <f aca="false">IFERROR(D59/D$67,0)</f>
        <v>4.7066206463759E-005</v>
      </c>
      <c r="F59" s="29" t="n">
        <f aca="false">①札幌予測確定!P41</f>
        <v>0</v>
      </c>
      <c r="G59" s="52" t="n">
        <f aca="false">IFERROR(F59/F$67,0)</f>
        <v>0</v>
      </c>
      <c r="H59" s="52" t="n">
        <f aca="false">E59*前提・入力!$B$23+G59*前提・入力!$B$24</f>
        <v>2.35331032318795E-005</v>
      </c>
      <c r="I59" s="29" t="n">
        <f aca="false">ROUND($H59*③石川以降予測!$G$7,0)</f>
        <v>0</v>
      </c>
      <c r="J59" s="29" t="n">
        <f aca="false">ROUND($H59*③石川以降予測!$G$8,0)</f>
        <v>0</v>
      </c>
      <c r="K59" s="29" t="n">
        <f aca="false">ROUND($H59*③石川以降予測!$G$9,0)</f>
        <v>0</v>
      </c>
      <c r="L59" s="29" t="n">
        <f aca="false">ROUND($H59*③石川以降予測!$G$10,0)</f>
        <v>0</v>
      </c>
      <c r="M59" s="29" t="n">
        <f aca="false">ROUND($H59*③石川以降予測!$G$11,0)</f>
        <v>1</v>
      </c>
      <c r="N59" s="29" t="n">
        <f aca="false">SUM(I59:M59)</f>
        <v>1</v>
      </c>
      <c r="O59" s="29" t="n">
        <f aca="false">①札幌予測確定!U41*前提・入力!$B$28</f>
        <v>2</v>
      </c>
      <c r="P59" s="29" t="n">
        <f aca="false">ROUND(H59*前提・入力!$B$27,0)</f>
        <v>0</v>
      </c>
      <c r="Q59" s="32" t="n">
        <f aca="false">N59-O59-P59</f>
        <v>-1</v>
      </c>
      <c r="R59" s="29" t="n">
        <f aca="false">MAX(0,Q59)</f>
        <v>0</v>
      </c>
      <c r="S59" s="29" t="n">
        <f aca="false">IF(R59&gt;0,ROUNDUP(R59*(1+前提・入力!$B$26),0),0)</f>
        <v>0</v>
      </c>
    </row>
    <row r="60" customFormat="false" ht="15" hidden="false" customHeight="false" outlineLevel="0" collapsed="false">
      <c r="A60" s="26" t="n">
        <v>36</v>
      </c>
      <c r="B60" s="26" t="s">
        <v>250</v>
      </c>
      <c r="C60" s="27" t="s">
        <v>251</v>
      </c>
      <c r="D60" s="29" t="n">
        <v>3</v>
      </c>
      <c r="E60" s="52" t="n">
        <f aca="false">IFERROR(D60/D$67,0)</f>
        <v>4.7066206463759E-005</v>
      </c>
      <c r="F60" s="29" t="n">
        <f aca="false">①札幌予測確定!P42</f>
        <v>0</v>
      </c>
      <c r="G60" s="52" t="n">
        <f aca="false">IFERROR(F60/F$67,0)</f>
        <v>0</v>
      </c>
      <c r="H60" s="52" t="n">
        <f aca="false">E60*前提・入力!$B$23+G60*前提・入力!$B$24</f>
        <v>2.35331032318795E-005</v>
      </c>
      <c r="I60" s="29" t="n">
        <f aca="false">ROUND($H60*③石川以降予測!$G$7,0)</f>
        <v>0</v>
      </c>
      <c r="J60" s="29" t="n">
        <f aca="false">ROUND($H60*③石川以降予測!$G$8,0)</f>
        <v>0</v>
      </c>
      <c r="K60" s="29" t="n">
        <f aca="false">ROUND($H60*③石川以降予測!$G$9,0)</f>
        <v>0</v>
      </c>
      <c r="L60" s="29" t="n">
        <f aca="false">ROUND($H60*③石川以降予測!$G$10,0)</f>
        <v>0</v>
      </c>
      <c r="M60" s="29" t="n">
        <f aca="false">ROUND($H60*③石川以降予測!$G$11,0)</f>
        <v>1</v>
      </c>
      <c r="N60" s="29" t="n">
        <f aca="false">SUM(I60:M60)</f>
        <v>1</v>
      </c>
      <c r="O60" s="29" t="n">
        <f aca="false">①札幌予測確定!U42*前提・入力!$B$28</f>
        <v>2</v>
      </c>
      <c r="P60" s="29" t="n">
        <f aca="false">ROUND(H60*前提・入力!$B$27,0)</f>
        <v>0</v>
      </c>
      <c r="Q60" s="32" t="n">
        <f aca="false">N60-O60-P60</f>
        <v>-1</v>
      </c>
      <c r="R60" s="29" t="n">
        <f aca="false">MAX(0,Q60)</f>
        <v>0</v>
      </c>
      <c r="S60" s="29" t="n">
        <f aca="false">IF(R60&gt;0,ROUNDUP(R60*(1+前提・入力!$B$26),0),0)</f>
        <v>0</v>
      </c>
    </row>
    <row r="61" customFormat="false" ht="15" hidden="false" customHeight="false" outlineLevel="0" collapsed="false">
      <c r="A61" s="26" t="n">
        <v>37</v>
      </c>
      <c r="B61" s="26" t="s">
        <v>252</v>
      </c>
      <c r="C61" s="27" t="s">
        <v>253</v>
      </c>
      <c r="D61" s="29" t="n">
        <v>26</v>
      </c>
      <c r="E61" s="52" t="n">
        <f aca="false">IFERROR(D61/D$67,0)</f>
        <v>0.000407907122685912</v>
      </c>
      <c r="F61" s="29" t="n">
        <f aca="false">①札幌予測確定!P43</f>
        <v>0</v>
      </c>
      <c r="G61" s="52" t="n">
        <f aca="false">IFERROR(F61/F$67,0)</f>
        <v>0</v>
      </c>
      <c r="H61" s="52" t="n">
        <f aca="false">E61*前提・入力!$B$23+G61*前提・入力!$B$24</f>
        <v>0.000203953561342956</v>
      </c>
      <c r="I61" s="29" t="n">
        <f aca="false">ROUND($H61*③石川以降予測!$G$7,0)</f>
        <v>2</v>
      </c>
      <c r="J61" s="29" t="n">
        <f aca="false">ROUND($H61*③石川以降予測!$G$8,0)</f>
        <v>2</v>
      </c>
      <c r="K61" s="29" t="n">
        <f aca="false">ROUND($H61*③石川以降予測!$G$9,0)</f>
        <v>2</v>
      </c>
      <c r="L61" s="29" t="n">
        <f aca="false">ROUND($H61*③石川以降予測!$G$10,0)</f>
        <v>2</v>
      </c>
      <c r="M61" s="29" t="n">
        <f aca="false">ROUND($H61*③石川以降予測!$G$11,0)</f>
        <v>9</v>
      </c>
      <c r="N61" s="29" t="n">
        <f aca="false">SUM(I61:M61)</f>
        <v>17</v>
      </c>
      <c r="O61" s="29" t="n">
        <f aca="false">①札幌予測確定!U43*前提・入力!$B$28</f>
        <v>8</v>
      </c>
      <c r="P61" s="29" t="n">
        <f aca="false">ROUND(H61*前提・入力!$B$27,0)</f>
        <v>0</v>
      </c>
      <c r="Q61" s="32" t="n">
        <f aca="false">N61-O61-P61</f>
        <v>9</v>
      </c>
      <c r="R61" s="29" t="n">
        <f aca="false">MAX(0,Q61)</f>
        <v>9</v>
      </c>
      <c r="S61" s="29" t="n">
        <f aca="false">IF(R61&gt;0,ROUNDUP(R61*(1+前提・入力!$B$26),0),0)</f>
        <v>10</v>
      </c>
    </row>
    <row r="62" customFormat="false" ht="15" hidden="false" customHeight="false" outlineLevel="0" collapsed="false">
      <c r="A62" s="26" t="n">
        <v>38</v>
      </c>
      <c r="B62" s="26" t="s">
        <v>254</v>
      </c>
      <c r="C62" s="27" t="s">
        <v>255</v>
      </c>
      <c r="D62" s="29" t="n">
        <v>3</v>
      </c>
      <c r="E62" s="52" t="n">
        <f aca="false">IFERROR(D62/D$67,0)</f>
        <v>4.7066206463759E-005</v>
      </c>
      <c r="F62" s="29" t="n">
        <f aca="false">①札幌予測確定!P44</f>
        <v>1</v>
      </c>
      <c r="G62" s="52" t="n">
        <f aca="false">IFERROR(F62/F$67,0)</f>
        <v>0.000105552037154317</v>
      </c>
      <c r="H62" s="52" t="n">
        <f aca="false">E62*前提・入力!$B$23+G62*前提・入力!$B$24</f>
        <v>7.63091218090381E-005</v>
      </c>
      <c r="I62" s="29" t="n">
        <f aca="false">ROUND($H62*③石川以降予測!$G$7,0)</f>
        <v>1</v>
      </c>
      <c r="J62" s="29" t="n">
        <f aca="false">ROUND($H62*③石川以降予測!$G$8,0)</f>
        <v>1</v>
      </c>
      <c r="K62" s="29" t="n">
        <f aca="false">ROUND($H62*③石川以降予測!$G$9,0)</f>
        <v>1</v>
      </c>
      <c r="L62" s="29" t="n">
        <f aca="false">ROUND($H62*③石川以降予測!$G$10,0)</f>
        <v>1</v>
      </c>
      <c r="M62" s="29" t="n">
        <f aca="false">ROUND($H62*③石川以降予測!$G$11,0)</f>
        <v>3</v>
      </c>
      <c r="N62" s="29" t="n">
        <f aca="false">SUM(I62:M62)</f>
        <v>7</v>
      </c>
      <c r="O62" s="29" t="n">
        <f aca="false">①札幌予測確定!U44*前提・入力!$B$28</f>
        <v>1</v>
      </c>
      <c r="P62" s="29" t="n">
        <f aca="false">ROUND(H62*前提・入力!$B$27,0)</f>
        <v>0</v>
      </c>
      <c r="Q62" s="32" t="n">
        <f aca="false">N62-O62-P62</f>
        <v>6</v>
      </c>
      <c r="R62" s="29" t="n">
        <f aca="false">MAX(0,Q62)</f>
        <v>6</v>
      </c>
      <c r="S62" s="29" t="n">
        <f aca="false">IF(R62&gt;0,ROUNDUP(R62*(1+前提・入力!$B$26),0),0)</f>
        <v>7</v>
      </c>
    </row>
    <row r="63" customFormat="false" ht="15" hidden="false" customHeight="false" outlineLevel="0" collapsed="false">
      <c r="A63" s="26" t="n">
        <v>39</v>
      </c>
      <c r="B63" s="26" t="s">
        <v>256</v>
      </c>
      <c r="C63" s="27" t="s">
        <v>257</v>
      </c>
      <c r="D63" s="29" t="n">
        <v>3</v>
      </c>
      <c r="E63" s="52" t="n">
        <f aca="false">IFERROR(D63/D$67,0)</f>
        <v>4.7066206463759E-005</v>
      </c>
      <c r="F63" s="29" t="n">
        <f aca="false">①札幌予測確定!P45</f>
        <v>1</v>
      </c>
      <c r="G63" s="52" t="n">
        <f aca="false">IFERROR(F63/F$67,0)</f>
        <v>0.000105552037154317</v>
      </c>
      <c r="H63" s="52" t="n">
        <f aca="false">E63*前提・入力!$B$23+G63*前提・入力!$B$24</f>
        <v>7.63091218090381E-005</v>
      </c>
      <c r="I63" s="29" t="n">
        <f aca="false">ROUND($H63*③石川以降予測!$G$7,0)</f>
        <v>1</v>
      </c>
      <c r="J63" s="29" t="n">
        <f aca="false">ROUND($H63*③石川以降予測!$G$8,0)</f>
        <v>1</v>
      </c>
      <c r="K63" s="29" t="n">
        <f aca="false">ROUND($H63*③石川以降予測!$G$9,0)</f>
        <v>1</v>
      </c>
      <c r="L63" s="29" t="n">
        <f aca="false">ROUND($H63*③石川以降予測!$G$10,0)</f>
        <v>1</v>
      </c>
      <c r="M63" s="29" t="n">
        <f aca="false">ROUND($H63*③石川以降予測!$G$11,0)</f>
        <v>3</v>
      </c>
      <c r="N63" s="29" t="n">
        <f aca="false">SUM(I63:M63)</f>
        <v>7</v>
      </c>
      <c r="O63" s="29" t="n">
        <f aca="false">①札幌予測確定!U45*前提・入力!$B$28</f>
        <v>1</v>
      </c>
      <c r="P63" s="29" t="n">
        <f aca="false">ROUND(H63*前提・入力!$B$27,0)</f>
        <v>0</v>
      </c>
      <c r="Q63" s="32" t="n">
        <f aca="false">N63-O63-P63</f>
        <v>6</v>
      </c>
      <c r="R63" s="29" t="n">
        <f aca="false">MAX(0,Q63)</f>
        <v>6</v>
      </c>
      <c r="S63" s="29" t="n">
        <f aca="false">IF(R63&gt;0,ROUNDUP(R63*(1+前提・入力!$B$26),0),0)</f>
        <v>7</v>
      </c>
    </row>
    <row r="64" customFormat="false" ht="15" hidden="false" customHeight="false" outlineLevel="0" collapsed="false">
      <c r="A64" s="26" t="n">
        <v>40</v>
      </c>
      <c r="B64" s="26" t="s">
        <v>258</v>
      </c>
      <c r="C64" s="27" t="s">
        <v>259</v>
      </c>
      <c r="D64" s="29" t="n">
        <v>3</v>
      </c>
      <c r="E64" s="52" t="n">
        <f aca="false">IFERROR(D64/D$67,0)</f>
        <v>4.7066206463759E-005</v>
      </c>
      <c r="F64" s="29" t="n">
        <f aca="false">①札幌予測確定!P46</f>
        <v>0</v>
      </c>
      <c r="G64" s="52" t="n">
        <f aca="false">IFERROR(F64/F$67,0)</f>
        <v>0</v>
      </c>
      <c r="H64" s="52" t="n">
        <f aca="false">E64*前提・入力!$B$23+G64*前提・入力!$B$24</f>
        <v>2.35331032318795E-005</v>
      </c>
      <c r="I64" s="29" t="n">
        <f aca="false">ROUND($H64*③石川以降予測!$G$7,0)</f>
        <v>0</v>
      </c>
      <c r="J64" s="29" t="n">
        <f aca="false">ROUND($H64*③石川以降予測!$G$8,0)</f>
        <v>0</v>
      </c>
      <c r="K64" s="29" t="n">
        <f aca="false">ROUND($H64*③石川以降予測!$G$9,0)</f>
        <v>0</v>
      </c>
      <c r="L64" s="29" t="n">
        <f aca="false">ROUND($H64*③石川以降予測!$G$10,0)</f>
        <v>0</v>
      </c>
      <c r="M64" s="29" t="n">
        <f aca="false">ROUND($H64*③石川以降予測!$G$11,0)</f>
        <v>1</v>
      </c>
      <c r="N64" s="29" t="n">
        <f aca="false">SUM(I64:M64)</f>
        <v>1</v>
      </c>
      <c r="O64" s="29" t="n">
        <f aca="false">①札幌予測確定!U46*前提・入力!$B$28</f>
        <v>2</v>
      </c>
      <c r="P64" s="29" t="n">
        <f aca="false">ROUND(H64*前提・入力!$B$27,0)</f>
        <v>0</v>
      </c>
      <c r="Q64" s="32" t="n">
        <f aca="false">N64-O64-P64</f>
        <v>-1</v>
      </c>
      <c r="R64" s="29" t="n">
        <f aca="false">MAX(0,Q64)</f>
        <v>0</v>
      </c>
      <c r="S64" s="29" t="n">
        <f aca="false">IF(R64&gt;0,ROUNDUP(R64*(1+前提・入力!$B$26),0),0)</f>
        <v>0</v>
      </c>
    </row>
    <row r="65" customFormat="false" ht="15" hidden="false" customHeight="false" outlineLevel="0" collapsed="false">
      <c r="A65" s="26" t="n">
        <v>41</v>
      </c>
      <c r="B65" s="26" t="s">
        <v>260</v>
      </c>
      <c r="C65" s="27" t="s">
        <v>261</v>
      </c>
      <c r="D65" s="29" t="n">
        <v>2</v>
      </c>
      <c r="E65" s="52" t="n">
        <f aca="false">IFERROR(D65/D$67,0)</f>
        <v>3.13774709758394E-005</v>
      </c>
      <c r="F65" s="29" t="n">
        <f aca="false">①札幌予測確定!P47</f>
        <v>0</v>
      </c>
      <c r="G65" s="52" t="n">
        <f aca="false">IFERROR(F65/F$67,0)</f>
        <v>0</v>
      </c>
      <c r="H65" s="52" t="n">
        <f aca="false">E65*前提・入力!$B$23+G65*前提・入力!$B$24</f>
        <v>1.56887354879197E-005</v>
      </c>
      <c r="I65" s="29" t="n">
        <f aca="false">ROUND($H65*③石川以降予測!$G$7,0)</f>
        <v>0</v>
      </c>
      <c r="J65" s="29" t="n">
        <f aca="false">ROUND($H65*③石川以降予測!$G$8,0)</f>
        <v>0</v>
      </c>
      <c r="K65" s="29" t="n">
        <f aca="false">ROUND($H65*③石川以降予測!$G$9,0)</f>
        <v>0</v>
      </c>
      <c r="L65" s="29" t="n">
        <f aca="false">ROUND($H65*③石川以降予測!$G$10,0)</f>
        <v>0</v>
      </c>
      <c r="M65" s="29" t="n">
        <f aca="false">ROUND($H65*③石川以降予測!$G$11,0)</f>
        <v>1</v>
      </c>
      <c r="N65" s="29" t="n">
        <f aca="false">SUM(I65:M65)</f>
        <v>1</v>
      </c>
      <c r="O65" s="29" t="n">
        <f aca="false">①札幌予測確定!U47*前提・入力!$B$28</f>
        <v>4</v>
      </c>
      <c r="P65" s="29" t="n">
        <f aca="false">ROUND(H65*前提・入力!$B$27,0)</f>
        <v>0</v>
      </c>
      <c r="Q65" s="32" t="n">
        <f aca="false">N65-O65-P65</f>
        <v>-3</v>
      </c>
      <c r="R65" s="29" t="n">
        <f aca="false">MAX(0,Q65)</f>
        <v>0</v>
      </c>
      <c r="S65" s="29" t="n">
        <f aca="false">IF(R65&gt;0,ROUNDUP(R65*(1+前提・入力!$B$26),0),0)</f>
        <v>0</v>
      </c>
    </row>
    <row r="66" customFormat="false" ht="15" hidden="false" customHeight="false" outlineLevel="0" collapsed="false">
      <c r="A66" s="26" t="n">
        <v>42</v>
      </c>
      <c r="B66" s="26" t="s">
        <v>262</v>
      </c>
      <c r="C66" s="27" t="s">
        <v>263</v>
      </c>
      <c r="D66" s="29" t="n">
        <v>8</v>
      </c>
      <c r="E66" s="52" t="n">
        <f aca="false">IFERROR(D66/D$67,0)</f>
        <v>0.000125509883903357</v>
      </c>
      <c r="F66" s="29" t="n">
        <f aca="false">①札幌予測確定!P48</f>
        <v>3</v>
      </c>
      <c r="G66" s="52" t="n">
        <f aca="false">IFERROR(F66/F$67,0)</f>
        <v>0.000316656111462951</v>
      </c>
      <c r="H66" s="52" t="n">
        <f aca="false">E66*前提・入力!$B$23+G66*前提・入力!$B$24</f>
        <v>0.000221082997683154</v>
      </c>
      <c r="I66" s="29" t="n">
        <f aca="false">ROUND($H66*③石川以降予測!$G$7,0)</f>
        <v>2</v>
      </c>
      <c r="J66" s="29" t="n">
        <f aca="false">ROUND($H66*③石川以降予測!$G$8,0)</f>
        <v>3</v>
      </c>
      <c r="K66" s="29" t="n">
        <f aca="false">ROUND($H66*③石川以降予測!$G$9,0)</f>
        <v>2</v>
      </c>
      <c r="L66" s="29" t="n">
        <f aca="false">ROUND($H66*③石川以降予測!$G$10,0)</f>
        <v>2</v>
      </c>
      <c r="M66" s="29" t="n">
        <f aca="false">ROUND($H66*③石川以降予測!$G$11,0)</f>
        <v>10</v>
      </c>
      <c r="N66" s="29" t="n">
        <f aca="false">SUM(I66:M66)</f>
        <v>19</v>
      </c>
      <c r="O66" s="29" t="n">
        <f aca="false">①札幌予測確定!U48*前提・入力!$B$28</f>
        <v>3</v>
      </c>
      <c r="P66" s="29" t="n">
        <f aca="false">ROUND(H66*前提・入力!$B$27,0)</f>
        <v>0</v>
      </c>
      <c r="Q66" s="32" t="n">
        <f aca="false">N66-O66-P66</f>
        <v>16</v>
      </c>
      <c r="R66" s="29" t="n">
        <f aca="false">MAX(0,Q66)</f>
        <v>16</v>
      </c>
      <c r="S66" s="29" t="n">
        <f aca="false">IF(R66&gt;0,ROUNDUP(R66*(1+前提・入力!$B$26),0),0)</f>
        <v>18</v>
      </c>
    </row>
    <row r="67" customFormat="false" ht="15" hidden="false" customHeight="false" outlineLevel="0" collapsed="false">
      <c r="A67" s="34"/>
      <c r="B67" s="34"/>
      <c r="C67" s="35" t="s">
        <v>264</v>
      </c>
      <c r="D67" s="36" t="n">
        <f aca="false">SUM(D25:D66)</f>
        <v>63740</v>
      </c>
      <c r="E67" s="53" t="n">
        <f aca="false">SUM(E25:E66)</f>
        <v>1</v>
      </c>
      <c r="F67" s="36" t="n">
        <f aca="false">SUM(F25:F66)</f>
        <v>9474</v>
      </c>
      <c r="G67" s="53" t="n">
        <f aca="false">SUM(G25:G66)</f>
        <v>1</v>
      </c>
      <c r="H67" s="53" t="n">
        <f aca="false">SUM(H25:H66)</f>
        <v>1</v>
      </c>
      <c r="I67" s="36" t="n">
        <f aca="false">SUM(I25:I66)</f>
        <v>9954</v>
      </c>
      <c r="J67" s="36" t="n">
        <f aca="false">SUM(J25:J66)</f>
        <v>11765</v>
      </c>
      <c r="K67" s="36" t="n">
        <f aca="false">SUM(K25:K66)</f>
        <v>10857</v>
      </c>
      <c r="L67" s="36" t="n">
        <f aca="false">SUM(L25:L66)</f>
        <v>8147</v>
      </c>
      <c r="M67" s="36" t="n">
        <f aca="false">SUM(M25:M66)</f>
        <v>45240</v>
      </c>
      <c r="N67" s="36" t="n">
        <f aca="false">SUM(N25:N66)</f>
        <v>85963</v>
      </c>
      <c r="O67" s="36" t="n">
        <f aca="false">SUM(O25:O66)</f>
        <v>40851</v>
      </c>
      <c r="P67" s="36" t="n">
        <f aca="false">SUM(P25:P66)</f>
        <v>0</v>
      </c>
      <c r="Q67" s="36" t="n">
        <f aca="false">SUM(Q25:Q66)</f>
        <v>45112</v>
      </c>
      <c r="R67" s="36" t="n">
        <f aca="false">SUM(R25:R66)</f>
        <v>45119</v>
      </c>
      <c r="S67" s="36" t="n">
        <f aca="false">SUM(S25:S66)</f>
        <v>49647</v>
      </c>
    </row>
  </sheetData>
  <conditionalFormatting sqref="R25:R66">
    <cfRule type="expression" priority="2" aboveAverage="0" equalAverage="0" bottom="0" percent="0" rank="0" text="" dxfId="3">
      <formula>$R25&gt;0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0"/>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10"/>
    <col collapsed="false" customWidth="true" hidden="false" outlineLevel="0" max="21" min="21" style="0" width="46"/>
  </cols>
  <sheetData>
    <row r="1" customFormat="false" ht="20.1" hidden="false" customHeight="false" outlineLevel="0" collapsed="false">
      <c r="A1" s="1" t="s">
        <v>380</v>
      </c>
    </row>
    <row r="2" customFormat="false" ht="15" hidden="false" customHeight="false" outlineLevel="0" collapsed="false">
      <c r="A2" s="3" t="s">
        <v>381</v>
      </c>
    </row>
    <row r="3" customFormat="false" ht="15" hidden="false" customHeight="false" outlineLevel="0" collapsed="false">
      <c r="A3" s="3" t="s">
        <v>382</v>
      </c>
    </row>
    <row r="6" customFormat="false" ht="43.5" hidden="false" customHeight="true" outlineLevel="0" collapsed="false">
      <c r="A6" s="18" t="s">
        <v>157</v>
      </c>
      <c r="B6" s="18" t="s">
        <v>158</v>
      </c>
      <c r="C6" s="19" t="s">
        <v>159</v>
      </c>
      <c r="D6" s="19" t="s">
        <v>383</v>
      </c>
      <c r="E6" s="20" t="s">
        <v>384</v>
      </c>
      <c r="F6" s="20" t="s">
        <v>385</v>
      </c>
      <c r="G6" s="20" t="s">
        <v>175</v>
      </c>
      <c r="H6" s="20" t="s">
        <v>386</v>
      </c>
      <c r="I6" s="54" t="s">
        <v>387</v>
      </c>
      <c r="J6" s="54" t="s">
        <v>388</v>
      </c>
      <c r="K6" s="54" t="s">
        <v>389</v>
      </c>
      <c r="L6" s="42" t="s">
        <v>390</v>
      </c>
      <c r="M6" s="42" t="s">
        <v>391</v>
      </c>
      <c r="N6" s="42" t="s">
        <v>376</v>
      </c>
      <c r="O6" s="42" t="s">
        <v>392</v>
      </c>
      <c r="P6" s="42" t="s">
        <v>393</v>
      </c>
      <c r="Q6" s="42" t="s">
        <v>394</v>
      </c>
      <c r="R6" s="25" t="s">
        <v>395</v>
      </c>
      <c r="S6" s="25" t="s">
        <v>396</v>
      </c>
      <c r="T6" s="25" t="s">
        <v>397</v>
      </c>
      <c r="U6" s="55" t="s">
        <v>323</v>
      </c>
    </row>
    <row r="7" customFormat="false" ht="15" hidden="false" customHeight="false" outlineLevel="0" collapsed="false">
      <c r="A7" s="26" t="n">
        <v>1</v>
      </c>
      <c r="B7" s="26" t="s">
        <v>180</v>
      </c>
      <c r="C7" s="27" t="s">
        <v>181</v>
      </c>
      <c r="D7" s="28" t="n">
        <v>500</v>
      </c>
      <c r="E7" s="29" t="n">
        <f aca="false">①札幌予測確定!E7</f>
        <v>205</v>
      </c>
      <c r="F7" s="29" t="n">
        <f aca="false">①札幌予測確定!P7</f>
        <v>490</v>
      </c>
      <c r="G7" s="29" t="n">
        <f aca="false">①札幌予測確定!S7</f>
        <v>1000</v>
      </c>
      <c r="H7" s="31" t="n">
        <f aca="false">IFERROR(F7/G7,0)</f>
        <v>0.49</v>
      </c>
      <c r="I7" s="32" t="n">
        <f aca="false">F7-G7</f>
        <v>-510</v>
      </c>
      <c r="J7" s="33" t="str">
        <f aca="false">IF(I7&gt;0,"要 追加発注",IF(H7&gt;=0.9,"要注意(90%超)",IF(H7&gt;=0.5,"適正","在庫余剰")))</f>
        <v>在庫余剰</v>
      </c>
      <c r="K7" s="29" t="n">
        <f aca="false">IF(I7&gt;0,ROUNDUP(I7*(1+前提・入力!$B$26),0),0)</f>
        <v>0</v>
      </c>
      <c r="L7" s="29" t="n">
        <f aca="false">③石川以降予測!N25</f>
        <v>3791</v>
      </c>
      <c r="M7" s="29" t="n">
        <f aca="false">③石川以降予測!O25</f>
        <v>510</v>
      </c>
      <c r="N7" s="29" t="n">
        <f aca="false">③石川以降予測!P25</f>
        <v>0</v>
      </c>
      <c r="O7" s="32" t="n">
        <f aca="false">L7-M7-N7</f>
        <v>3281</v>
      </c>
      <c r="P7" s="33" t="str">
        <f aca="false">IF(O7&gt;0,"要 追加生産",IF(L7=0,"—","在庫で充足"))</f>
        <v>要 追加生産</v>
      </c>
      <c r="Q7" s="29" t="n">
        <f aca="false">③石川以降予測!S25</f>
        <v>3610</v>
      </c>
      <c r="R7" s="29" t="n">
        <f aca="false">K7+Q7</f>
        <v>3610</v>
      </c>
      <c r="S7" s="28" t="n">
        <f aca="false">R7*D7</f>
        <v>1805000</v>
      </c>
      <c r="T7" s="26" t="str">
        <f aca="false">IF(I7&gt;0,"A:会期中欠品",IF(O7&gt;1000,"B:大口",IF(O7&gt;0,"C:通常","D:不要")))</f>
        <v>B:大口</v>
      </c>
      <c r="U7" s="56" t="s">
        <v>398</v>
      </c>
    </row>
    <row r="8" customFormat="false" ht="15" hidden="false" customHeight="false" outlineLevel="0" collapsed="false">
      <c r="A8" s="26" t="n">
        <v>2</v>
      </c>
      <c r="B8" s="26" t="s">
        <v>182</v>
      </c>
      <c r="C8" s="27" t="s">
        <v>183</v>
      </c>
      <c r="D8" s="28" t="n">
        <v>600</v>
      </c>
      <c r="E8" s="29" t="n">
        <f aca="false">①札幌予測確定!E8</f>
        <v>233</v>
      </c>
      <c r="F8" s="29" t="n">
        <f aca="false">①札幌予測確定!P8</f>
        <v>557</v>
      </c>
      <c r="G8" s="29" t="n">
        <f aca="false">①札幌予測確定!S8</f>
        <v>1000</v>
      </c>
      <c r="H8" s="31" t="n">
        <f aca="false">IFERROR(F8/G8,0)</f>
        <v>0.557</v>
      </c>
      <c r="I8" s="32" t="n">
        <f aca="false">F8-G8</f>
        <v>-443</v>
      </c>
      <c r="J8" s="33" t="str">
        <f aca="false">IF(I8&gt;0,"要 追加発注",IF(H8&gt;=0.9,"要注意(90%超)",IF(H8&gt;=0.5,"適正","在庫余剰")))</f>
        <v>適正</v>
      </c>
      <c r="K8" s="29" t="n">
        <f aca="false">IF(I8&gt;0,ROUNDUP(I8*(1+前提・入力!$B$26),0),0)</f>
        <v>0</v>
      </c>
      <c r="L8" s="29" t="n">
        <f aca="false">③石川以降予測!N26</f>
        <v>3852</v>
      </c>
      <c r="M8" s="29" t="n">
        <f aca="false">③石川以降予測!O26</f>
        <v>443</v>
      </c>
      <c r="N8" s="29" t="n">
        <f aca="false">③石川以降予測!P26</f>
        <v>0</v>
      </c>
      <c r="O8" s="32" t="n">
        <f aca="false">L8-M8-N8</f>
        <v>3409</v>
      </c>
      <c r="P8" s="33" t="str">
        <f aca="false">IF(O8&gt;0,"要 追加生産",IF(L8=0,"—","在庫で充足"))</f>
        <v>要 追加生産</v>
      </c>
      <c r="Q8" s="29" t="n">
        <f aca="false">③石川以降予測!S26</f>
        <v>3750</v>
      </c>
      <c r="R8" s="29" t="n">
        <f aca="false">K8+Q8</f>
        <v>3750</v>
      </c>
      <c r="S8" s="28" t="n">
        <f aca="false">R8*D8</f>
        <v>2250000</v>
      </c>
      <c r="T8" s="26" t="str">
        <f aca="false">IF(I8&gt;0,"A:会期中欠品",IF(O8&gt;1000,"B:大口",IF(O8&gt;0,"C:通常","D:不要")))</f>
        <v>B:大口</v>
      </c>
      <c r="U8" s="56"/>
    </row>
    <row r="9" customFormat="false" ht="15" hidden="false" customHeight="false" outlineLevel="0" collapsed="false">
      <c r="A9" s="26" t="n">
        <v>3</v>
      </c>
      <c r="B9" s="26" t="s">
        <v>184</v>
      </c>
      <c r="C9" s="27" t="s">
        <v>185</v>
      </c>
      <c r="D9" s="28" t="n">
        <v>1000</v>
      </c>
      <c r="E9" s="29" t="n">
        <f aca="false">①札幌予測確定!E9</f>
        <v>84</v>
      </c>
      <c r="F9" s="29" t="n">
        <f aca="false">①札幌予測確定!P9</f>
        <v>171</v>
      </c>
      <c r="G9" s="29" t="n">
        <f aca="false">①札幌予測確定!S9</f>
        <v>450</v>
      </c>
      <c r="H9" s="31" t="n">
        <f aca="false">IFERROR(F9/G9,0)</f>
        <v>0.38</v>
      </c>
      <c r="I9" s="32" t="n">
        <f aca="false">F9-G9</f>
        <v>-279</v>
      </c>
      <c r="J9" s="33" t="str">
        <f aca="false">IF(I9&gt;0,"要 追加発注",IF(H9&gt;=0.9,"要注意(90%超)",IF(H9&gt;=0.5,"適正","在庫余剰")))</f>
        <v>在庫余剰</v>
      </c>
      <c r="K9" s="29" t="n">
        <f aca="false">IF(I9&gt;0,ROUNDUP(I9*(1+前提・入力!$B$26),0),0)</f>
        <v>0</v>
      </c>
      <c r="L9" s="29" t="n">
        <f aca="false">③石川以降予測!N27</f>
        <v>1539</v>
      </c>
      <c r="M9" s="29" t="n">
        <f aca="false">③石川以降予測!O27</f>
        <v>279</v>
      </c>
      <c r="N9" s="29" t="n">
        <f aca="false">③石川以降予測!P27</f>
        <v>0</v>
      </c>
      <c r="O9" s="32" t="n">
        <f aca="false">L9-M9-N9</f>
        <v>1260</v>
      </c>
      <c r="P9" s="33" t="str">
        <f aca="false">IF(O9&gt;0,"要 追加生産",IF(L9=0,"—","在庫で充足"))</f>
        <v>要 追加生産</v>
      </c>
      <c r="Q9" s="29" t="n">
        <f aca="false">③石川以降予測!S27</f>
        <v>1386</v>
      </c>
      <c r="R9" s="29" t="n">
        <f aca="false">K9+Q9</f>
        <v>1386</v>
      </c>
      <c r="S9" s="28" t="n">
        <f aca="false">R9*D9</f>
        <v>1386000</v>
      </c>
      <c r="T9" s="26" t="str">
        <f aca="false">IF(I9&gt;0,"A:会期中欠品",IF(O9&gt;1000,"B:大口",IF(O9&gt;0,"C:通常","D:不要")))</f>
        <v>B:大口</v>
      </c>
      <c r="U9" s="56"/>
    </row>
    <row r="10" customFormat="false" ht="15" hidden="false" customHeight="false" outlineLevel="0" collapsed="false">
      <c r="A10" s="26" t="n">
        <v>4</v>
      </c>
      <c r="B10" s="26" t="s">
        <v>186</v>
      </c>
      <c r="C10" s="27" t="s">
        <v>187</v>
      </c>
      <c r="D10" s="28" t="n">
        <v>1800</v>
      </c>
      <c r="E10" s="29" t="n">
        <f aca="false">①札幌予測確定!E10</f>
        <v>122</v>
      </c>
      <c r="F10" s="29" t="n">
        <f aca="false">①札幌予測確定!P10</f>
        <v>245</v>
      </c>
      <c r="G10" s="29" t="n">
        <f aca="false">①札幌予測確定!S10</f>
        <v>800</v>
      </c>
      <c r="H10" s="31" t="n">
        <f aca="false">IFERROR(F10/G10,0)</f>
        <v>0.30625</v>
      </c>
      <c r="I10" s="32" t="n">
        <f aca="false">F10-G10</f>
        <v>-555</v>
      </c>
      <c r="J10" s="33" t="str">
        <f aca="false">IF(I10&gt;0,"要 追加発注",IF(H10&gt;=0.9,"要注意(90%超)",IF(H10&gt;=0.5,"適正","在庫余剰")))</f>
        <v>在庫余剰</v>
      </c>
      <c r="K10" s="29" t="n">
        <f aca="false">IF(I10&gt;0,ROUNDUP(I10*(1+前提・入力!$B$26),0),0)</f>
        <v>0</v>
      </c>
      <c r="L10" s="29" t="n">
        <f aca="false">③石川以降予測!N28</f>
        <v>1995</v>
      </c>
      <c r="M10" s="29" t="n">
        <f aca="false">③石川以降予測!O28</f>
        <v>555</v>
      </c>
      <c r="N10" s="29" t="n">
        <f aca="false">③石川以降予測!P28</f>
        <v>0</v>
      </c>
      <c r="O10" s="32" t="n">
        <f aca="false">L10-M10-N10</f>
        <v>1440</v>
      </c>
      <c r="P10" s="33" t="str">
        <f aca="false">IF(O10&gt;0,"要 追加生産",IF(L10=0,"—","在庫で充足"))</f>
        <v>要 追加生産</v>
      </c>
      <c r="Q10" s="29" t="n">
        <f aca="false">③石川以降予測!S28</f>
        <v>1584</v>
      </c>
      <c r="R10" s="29" t="n">
        <f aca="false">K10+Q10</f>
        <v>1584</v>
      </c>
      <c r="S10" s="28" t="n">
        <f aca="false">R10*D10</f>
        <v>2851200</v>
      </c>
      <c r="T10" s="26" t="str">
        <f aca="false">IF(I10&gt;0,"A:会期中欠品",IF(O10&gt;1000,"B:大口",IF(O10&gt;0,"C:通常","D:不要")))</f>
        <v>B:大口</v>
      </c>
      <c r="U10" s="56"/>
    </row>
    <row r="11" customFormat="false" ht="15" hidden="false" customHeight="false" outlineLevel="0" collapsed="false">
      <c r="A11" s="26" t="n">
        <v>5</v>
      </c>
      <c r="B11" s="26" t="s">
        <v>188</v>
      </c>
      <c r="C11" s="27" t="s">
        <v>189</v>
      </c>
      <c r="D11" s="28" t="n">
        <v>600</v>
      </c>
      <c r="E11" s="29" t="n">
        <f aca="false">①札幌予測確定!E11</f>
        <v>247</v>
      </c>
      <c r="F11" s="29" t="n">
        <f aca="false">①札幌予測確定!P11</f>
        <v>564</v>
      </c>
      <c r="G11" s="29" t="n">
        <f aca="false">①札幌予測確定!S11</f>
        <v>9000</v>
      </c>
      <c r="H11" s="31" t="n">
        <f aca="false">IFERROR(F11/G11,0)</f>
        <v>0.0626666666666667</v>
      </c>
      <c r="I11" s="32" t="n">
        <f aca="false">F11-G11</f>
        <v>-8436</v>
      </c>
      <c r="J11" s="33" t="str">
        <f aca="false">IF(I11&gt;0,"要 追加発注",IF(H11&gt;=0.9,"要注意(90%超)",IF(H11&gt;=0.5,"適正","在庫余剰")))</f>
        <v>在庫余剰</v>
      </c>
      <c r="K11" s="29" t="n">
        <f aca="false">IF(I11&gt;0,ROUNDUP(I11*(1+前提・入力!$B$26),0),0)</f>
        <v>0</v>
      </c>
      <c r="L11" s="29" t="n">
        <f aca="false">③石川以降予測!N29</f>
        <v>8584</v>
      </c>
      <c r="M11" s="29" t="n">
        <f aca="false">③石川以降予測!O29</f>
        <v>8436</v>
      </c>
      <c r="N11" s="29" t="n">
        <f aca="false">③石川以降予測!P29</f>
        <v>0</v>
      </c>
      <c r="O11" s="32" t="n">
        <f aca="false">L11-M11-N11</f>
        <v>148</v>
      </c>
      <c r="P11" s="33" t="str">
        <f aca="false">IF(O11&gt;0,"要 追加生産",IF(L11=0,"—","在庫で充足"))</f>
        <v>要 追加生産</v>
      </c>
      <c r="Q11" s="29" t="n">
        <f aca="false">③石川以降予測!S29</f>
        <v>163</v>
      </c>
      <c r="R11" s="29" t="n">
        <f aca="false">K11+Q11</f>
        <v>163</v>
      </c>
      <c r="S11" s="28" t="n">
        <f aca="false">R11*D11</f>
        <v>97800</v>
      </c>
      <c r="T11" s="26" t="str">
        <f aca="false">IF(I11&gt;0,"A:会期中欠品",IF(O11&gt;1000,"B:大口",IF(O11&gt;0,"C:通常","D:不要")))</f>
        <v>C:通常</v>
      </c>
      <c r="U11" s="56" t="s">
        <v>398</v>
      </c>
    </row>
    <row r="12" customFormat="false" ht="15" hidden="false" customHeight="false" outlineLevel="0" collapsed="false">
      <c r="A12" s="26" t="n">
        <v>6</v>
      </c>
      <c r="B12" s="26" t="s">
        <v>190</v>
      </c>
      <c r="C12" s="27" t="s">
        <v>191</v>
      </c>
      <c r="D12" s="28" t="n">
        <v>600</v>
      </c>
      <c r="E12" s="29" t="n">
        <f aca="false">①札幌予測確定!E12</f>
        <v>616</v>
      </c>
      <c r="F12" s="29" t="n">
        <f aca="false">①札幌予測確定!P12</f>
        <v>1569</v>
      </c>
      <c r="G12" s="29" t="n">
        <f aca="false">①札幌予測確定!S12</f>
        <v>13991</v>
      </c>
      <c r="H12" s="31" t="n">
        <f aca="false">IFERROR(F12/G12,0)</f>
        <v>0.112143520834822</v>
      </c>
      <c r="I12" s="32" t="n">
        <f aca="false">F12-G12</f>
        <v>-12422</v>
      </c>
      <c r="J12" s="33" t="str">
        <f aca="false">IF(I12&gt;0,"要 追加発注",IF(H12&gt;=0.9,"要注意(90%超)",IF(H12&gt;=0.5,"適正","在庫余剰")))</f>
        <v>在庫余剰</v>
      </c>
      <c r="K12" s="29" t="n">
        <f aca="false">IF(I12&gt;0,ROUNDUP(I12*(1+前提・入力!$B$26),0),0)</f>
        <v>0</v>
      </c>
      <c r="L12" s="29" t="n">
        <f aca="false">③石川以降予測!N30</f>
        <v>19666</v>
      </c>
      <c r="M12" s="29" t="n">
        <f aca="false">③石川以降予測!O30</f>
        <v>12422</v>
      </c>
      <c r="N12" s="29" t="n">
        <f aca="false">③石川以降予測!P30</f>
        <v>0</v>
      </c>
      <c r="O12" s="32" t="n">
        <f aca="false">L12-M12-N12</f>
        <v>7244</v>
      </c>
      <c r="P12" s="33" t="str">
        <f aca="false">IF(O12&gt;0,"要 追加生産",IF(L12=0,"—","在庫で充足"))</f>
        <v>要 追加生産</v>
      </c>
      <c r="Q12" s="29" t="n">
        <f aca="false">③石川以降予測!S30</f>
        <v>7969</v>
      </c>
      <c r="R12" s="29" t="n">
        <f aca="false">K12+Q12</f>
        <v>7969</v>
      </c>
      <c r="S12" s="28" t="n">
        <f aca="false">R12*D12</f>
        <v>4781400</v>
      </c>
      <c r="T12" s="26" t="str">
        <f aca="false">IF(I12&gt;0,"A:会期中欠品",IF(O12&gt;1000,"B:大口",IF(O12&gt;0,"C:通常","D:不要")))</f>
        <v>B:大口</v>
      </c>
      <c r="U12" s="56" t="s">
        <v>398</v>
      </c>
    </row>
    <row r="13" customFormat="false" ht="15" hidden="false" customHeight="false" outlineLevel="0" collapsed="false">
      <c r="A13" s="26" t="n">
        <v>7</v>
      </c>
      <c r="B13" s="26" t="s">
        <v>192</v>
      </c>
      <c r="C13" s="27" t="s">
        <v>193</v>
      </c>
      <c r="D13" s="28" t="n">
        <v>600</v>
      </c>
      <c r="E13" s="29" t="n">
        <f aca="false">①札幌予測確定!E13</f>
        <v>79</v>
      </c>
      <c r="F13" s="29" t="n">
        <f aca="false">①札幌予測確定!P13</f>
        <v>195</v>
      </c>
      <c r="G13" s="29" t="n">
        <f aca="false">①札幌予測確定!S13</f>
        <v>350</v>
      </c>
      <c r="H13" s="31" t="n">
        <f aca="false">IFERROR(F13/G13,0)</f>
        <v>0.557142857142857</v>
      </c>
      <c r="I13" s="32" t="n">
        <f aca="false">F13-G13</f>
        <v>-155</v>
      </c>
      <c r="J13" s="33" t="str">
        <f aca="false">IF(I13&gt;0,"要 追加発注",IF(H13&gt;=0.9,"要注意(90%超)",IF(H13&gt;=0.5,"適正","在庫余剰")))</f>
        <v>適正</v>
      </c>
      <c r="K13" s="29" t="n">
        <f aca="false">IF(I13&gt;0,ROUNDUP(I13*(1+前提・入力!$B$26),0),0)</f>
        <v>0</v>
      </c>
      <c r="L13" s="29" t="n">
        <f aca="false">③石川以降予測!N31</f>
        <v>1519</v>
      </c>
      <c r="M13" s="29" t="n">
        <f aca="false">③石川以降予測!O31</f>
        <v>155</v>
      </c>
      <c r="N13" s="29" t="n">
        <f aca="false">③石川以降予測!P31</f>
        <v>0</v>
      </c>
      <c r="O13" s="32" t="n">
        <f aca="false">L13-M13-N13</f>
        <v>1364</v>
      </c>
      <c r="P13" s="33" t="str">
        <f aca="false">IF(O13&gt;0,"要 追加生産",IF(L13=0,"—","在庫で充足"))</f>
        <v>要 追加生産</v>
      </c>
      <c r="Q13" s="29" t="n">
        <f aca="false">③石川以降予測!S31</f>
        <v>1501</v>
      </c>
      <c r="R13" s="29" t="n">
        <f aca="false">K13+Q13</f>
        <v>1501</v>
      </c>
      <c r="S13" s="28" t="n">
        <f aca="false">R13*D13</f>
        <v>900600</v>
      </c>
      <c r="T13" s="26" t="str">
        <f aca="false">IF(I13&gt;0,"A:会期中欠品",IF(O13&gt;1000,"B:大口",IF(O13&gt;0,"C:通常","D:不要")))</f>
        <v>B:大口</v>
      </c>
      <c r="U13" s="56" t="s">
        <v>398</v>
      </c>
    </row>
    <row r="14" customFormat="false" ht="15" hidden="false" customHeight="false" outlineLevel="0" collapsed="false">
      <c r="A14" s="26" t="n">
        <v>8</v>
      </c>
      <c r="B14" s="26" t="s">
        <v>194</v>
      </c>
      <c r="C14" s="27" t="s">
        <v>195</v>
      </c>
      <c r="D14" s="28" t="n">
        <v>600</v>
      </c>
      <c r="E14" s="29" t="n">
        <f aca="false">①札幌予測確定!E14</f>
        <v>135</v>
      </c>
      <c r="F14" s="29" t="n">
        <f aca="false">①札幌予測確定!P14</f>
        <v>344</v>
      </c>
      <c r="G14" s="29" t="n">
        <f aca="false">①札幌予測確定!S14</f>
        <v>900</v>
      </c>
      <c r="H14" s="31" t="n">
        <f aca="false">IFERROR(F14/G14,0)</f>
        <v>0.382222222222222</v>
      </c>
      <c r="I14" s="32" t="n">
        <f aca="false">F14-G14</f>
        <v>-556</v>
      </c>
      <c r="J14" s="33" t="str">
        <f aca="false">IF(I14&gt;0,"要 追加発注",IF(H14&gt;=0.9,"要注意(90%超)",IF(H14&gt;=0.5,"適正","在庫余剰")))</f>
        <v>在庫余剰</v>
      </c>
      <c r="K14" s="29" t="n">
        <f aca="false">IF(I14&gt;0,ROUNDUP(I14*(1+前提・入力!$B$26),0),0)</f>
        <v>0</v>
      </c>
      <c r="L14" s="29" t="n">
        <f aca="false">③石川以降予測!N32</f>
        <v>2746</v>
      </c>
      <c r="M14" s="29" t="n">
        <f aca="false">③石川以降予測!O32</f>
        <v>556</v>
      </c>
      <c r="N14" s="29" t="n">
        <f aca="false">③石川以降予測!P32</f>
        <v>0</v>
      </c>
      <c r="O14" s="32" t="n">
        <f aca="false">L14-M14-N14</f>
        <v>2190</v>
      </c>
      <c r="P14" s="33" t="str">
        <f aca="false">IF(O14&gt;0,"要 追加生産",IF(L14=0,"—","在庫で充足"))</f>
        <v>要 追加生産</v>
      </c>
      <c r="Q14" s="29" t="n">
        <f aca="false">③石川以降予測!S32</f>
        <v>2409</v>
      </c>
      <c r="R14" s="29" t="n">
        <f aca="false">K14+Q14</f>
        <v>2409</v>
      </c>
      <c r="S14" s="28" t="n">
        <f aca="false">R14*D14</f>
        <v>1445400</v>
      </c>
      <c r="T14" s="26" t="str">
        <f aca="false">IF(I14&gt;0,"A:会期中欠品",IF(O14&gt;1000,"B:大口",IF(O14&gt;0,"C:通常","D:不要")))</f>
        <v>B:大口</v>
      </c>
      <c r="U14" s="56" t="s">
        <v>398</v>
      </c>
    </row>
    <row r="15" customFormat="false" ht="15" hidden="false" customHeight="false" outlineLevel="0" collapsed="false">
      <c r="A15" s="26" t="n">
        <v>9</v>
      </c>
      <c r="B15" s="26" t="s">
        <v>196</v>
      </c>
      <c r="C15" s="27" t="s">
        <v>197</v>
      </c>
      <c r="D15" s="28" t="n">
        <v>600</v>
      </c>
      <c r="E15" s="29" t="n">
        <f aca="false">①札幌予測確定!E15</f>
        <v>75</v>
      </c>
      <c r="F15" s="29" t="n">
        <f aca="false">①札幌予測確定!P15</f>
        <v>138</v>
      </c>
      <c r="G15" s="29" t="n">
        <f aca="false">①札幌予測確定!S15</f>
        <v>300</v>
      </c>
      <c r="H15" s="31" t="n">
        <f aca="false">IFERROR(F15/G15,0)</f>
        <v>0.46</v>
      </c>
      <c r="I15" s="32" t="n">
        <f aca="false">F15-G15</f>
        <v>-162</v>
      </c>
      <c r="J15" s="33" t="str">
        <f aca="false">IF(I15&gt;0,"要 追加発注",IF(H15&gt;=0.9,"要注意(90%超)",IF(H15&gt;=0.5,"適正","在庫余剰")))</f>
        <v>在庫余剰</v>
      </c>
      <c r="K15" s="29" t="n">
        <f aca="false">IF(I15&gt;0,ROUNDUP(I15*(1+前提・入力!$B$26),0),0)</f>
        <v>0</v>
      </c>
      <c r="L15" s="29" t="n">
        <f aca="false">③石川以降予測!N33</f>
        <v>1126</v>
      </c>
      <c r="M15" s="29" t="n">
        <f aca="false">③石川以降予測!O33</f>
        <v>162</v>
      </c>
      <c r="N15" s="29" t="n">
        <f aca="false">③石川以降予測!P33</f>
        <v>0</v>
      </c>
      <c r="O15" s="32" t="n">
        <f aca="false">L15-M15-N15</f>
        <v>964</v>
      </c>
      <c r="P15" s="33" t="str">
        <f aca="false">IF(O15&gt;0,"要 追加生産",IF(L15=0,"—","在庫で充足"))</f>
        <v>要 追加生産</v>
      </c>
      <c r="Q15" s="29" t="n">
        <f aca="false">③石川以降予測!S33</f>
        <v>1061</v>
      </c>
      <c r="R15" s="29" t="n">
        <f aca="false">K15+Q15</f>
        <v>1061</v>
      </c>
      <c r="S15" s="28" t="n">
        <f aca="false">R15*D15</f>
        <v>636600</v>
      </c>
      <c r="T15" s="26" t="str">
        <f aca="false">IF(I15&gt;0,"A:会期中欠品",IF(O15&gt;1000,"B:大口",IF(O15&gt;0,"C:通常","D:不要")))</f>
        <v>C:通常</v>
      </c>
      <c r="U15" s="56" t="s">
        <v>398</v>
      </c>
    </row>
    <row r="16" customFormat="false" ht="15" hidden="false" customHeight="false" outlineLevel="0" collapsed="false">
      <c r="A16" s="26" t="n">
        <v>10</v>
      </c>
      <c r="B16" s="26" t="s">
        <v>198</v>
      </c>
      <c r="C16" s="27" t="s">
        <v>199</v>
      </c>
      <c r="D16" s="28" t="n">
        <v>600</v>
      </c>
      <c r="E16" s="29" t="n">
        <f aca="false">①札幌予測確定!E16</f>
        <v>30</v>
      </c>
      <c r="F16" s="29" t="n">
        <f aca="false">①札幌予測確定!P16</f>
        <v>56</v>
      </c>
      <c r="G16" s="29" t="n">
        <f aca="false">①札幌予測確定!S16</f>
        <v>100</v>
      </c>
      <c r="H16" s="31" t="n">
        <f aca="false">IFERROR(F16/G16,0)</f>
        <v>0.56</v>
      </c>
      <c r="I16" s="32" t="n">
        <f aca="false">F16-G16</f>
        <v>-44</v>
      </c>
      <c r="J16" s="33" t="str">
        <f aca="false">IF(I16&gt;0,"要 追加発注",IF(H16&gt;=0.9,"要注意(90%超)",IF(H16&gt;=0.5,"適正","在庫余剰")))</f>
        <v>適正</v>
      </c>
      <c r="K16" s="29" t="n">
        <f aca="false">IF(I16&gt;0,ROUNDUP(I16*(1+前提・入力!$B$26),0),0)</f>
        <v>0</v>
      </c>
      <c r="L16" s="29" t="n">
        <f aca="false">③石川以降予測!N34</f>
        <v>441</v>
      </c>
      <c r="M16" s="29" t="n">
        <f aca="false">③石川以降予測!O34</f>
        <v>44</v>
      </c>
      <c r="N16" s="29" t="n">
        <f aca="false">③石川以降予測!P34</f>
        <v>0</v>
      </c>
      <c r="O16" s="32" t="n">
        <f aca="false">L16-M16-N16</f>
        <v>397</v>
      </c>
      <c r="P16" s="33" t="str">
        <f aca="false">IF(O16&gt;0,"要 追加生産",IF(L16=0,"—","在庫で充足"))</f>
        <v>要 追加生産</v>
      </c>
      <c r="Q16" s="29" t="n">
        <f aca="false">③石川以降予測!S34</f>
        <v>437</v>
      </c>
      <c r="R16" s="29" t="n">
        <f aca="false">K16+Q16</f>
        <v>437</v>
      </c>
      <c r="S16" s="28" t="n">
        <f aca="false">R16*D16</f>
        <v>262200</v>
      </c>
      <c r="T16" s="26" t="str">
        <f aca="false">IF(I16&gt;0,"A:会期中欠品",IF(O16&gt;1000,"B:大口",IF(O16&gt;0,"C:通常","D:不要")))</f>
        <v>C:通常</v>
      </c>
      <c r="U16" s="56"/>
    </row>
    <row r="17" customFormat="false" ht="15" hidden="false" customHeight="false" outlineLevel="0" collapsed="false">
      <c r="A17" s="26" t="n">
        <v>11</v>
      </c>
      <c r="B17" s="26" t="s">
        <v>200</v>
      </c>
      <c r="C17" s="27" t="s">
        <v>201</v>
      </c>
      <c r="D17" s="28" t="n">
        <v>600</v>
      </c>
      <c r="E17" s="29" t="n">
        <f aca="false">①札幌予測確定!E17</f>
        <v>8</v>
      </c>
      <c r="F17" s="29" t="n">
        <f aca="false">①札幌予測確定!P17</f>
        <v>27</v>
      </c>
      <c r="G17" s="29" t="n">
        <f aca="false">①札幌予測確定!S17</f>
        <v>50</v>
      </c>
      <c r="H17" s="31" t="n">
        <f aca="false">IFERROR(F17/G17,0)</f>
        <v>0.54</v>
      </c>
      <c r="I17" s="32" t="n">
        <f aca="false">F17-G17</f>
        <v>-23</v>
      </c>
      <c r="J17" s="33" t="str">
        <f aca="false">IF(I17&gt;0,"要 追加発注",IF(H17&gt;=0.9,"要注意(90%超)",IF(H17&gt;=0.5,"適正","在庫余剰")))</f>
        <v>適正</v>
      </c>
      <c r="K17" s="29" t="n">
        <f aca="false">IF(I17&gt;0,ROUNDUP(I17*(1+前提・入力!$B$26),0),0)</f>
        <v>0</v>
      </c>
      <c r="L17" s="29" t="n">
        <f aca="false">③石川以降予測!N35</f>
        <v>175</v>
      </c>
      <c r="M17" s="29" t="n">
        <f aca="false">③石川以降予測!O35</f>
        <v>23</v>
      </c>
      <c r="N17" s="29" t="n">
        <f aca="false">③石川以降予測!P35</f>
        <v>0</v>
      </c>
      <c r="O17" s="32" t="n">
        <f aca="false">L17-M17-N17</f>
        <v>152</v>
      </c>
      <c r="P17" s="33" t="str">
        <f aca="false">IF(O17&gt;0,"要 追加生産",IF(L17=0,"—","在庫で充足"))</f>
        <v>要 追加生産</v>
      </c>
      <c r="Q17" s="29" t="n">
        <f aca="false">③石川以降予測!S35</f>
        <v>168</v>
      </c>
      <c r="R17" s="29" t="n">
        <f aca="false">K17+Q17</f>
        <v>168</v>
      </c>
      <c r="S17" s="28" t="n">
        <f aca="false">R17*D17</f>
        <v>100800</v>
      </c>
      <c r="T17" s="26" t="str">
        <f aca="false">IF(I17&gt;0,"A:会期中欠品",IF(O17&gt;1000,"B:大口",IF(O17&gt;0,"C:通常","D:不要")))</f>
        <v>C:通常</v>
      </c>
      <c r="U17" s="56" t="s">
        <v>398</v>
      </c>
    </row>
    <row r="18" customFormat="false" ht="15" hidden="false" customHeight="false" outlineLevel="0" collapsed="false">
      <c r="A18" s="26" t="n">
        <v>12</v>
      </c>
      <c r="B18" s="26" t="s">
        <v>202</v>
      </c>
      <c r="C18" s="27" t="s">
        <v>203</v>
      </c>
      <c r="D18" s="28" t="n">
        <v>600</v>
      </c>
      <c r="E18" s="29" t="n">
        <f aca="false">①札幌予測確定!E18</f>
        <v>12</v>
      </c>
      <c r="F18" s="29" t="n">
        <f aca="false">①札幌予測確定!P18</f>
        <v>30</v>
      </c>
      <c r="G18" s="29" t="n">
        <f aca="false">①札幌予測確定!S18</f>
        <v>50</v>
      </c>
      <c r="H18" s="31" t="n">
        <f aca="false">IFERROR(F18/G18,0)</f>
        <v>0.6</v>
      </c>
      <c r="I18" s="32" t="n">
        <f aca="false">F18-G18</f>
        <v>-20</v>
      </c>
      <c r="J18" s="33" t="str">
        <f aca="false">IF(I18&gt;0,"要 追加発注",IF(H18&gt;=0.9,"要注意(90%超)",IF(H18&gt;=0.5,"適正","在庫余剰")))</f>
        <v>適正</v>
      </c>
      <c r="K18" s="29" t="n">
        <f aca="false">IF(I18&gt;0,ROUNDUP(I18*(1+前提・入力!$B$26),0),0)</f>
        <v>0</v>
      </c>
      <c r="L18" s="29" t="n">
        <f aca="false">③石川以降予測!N36</f>
        <v>232</v>
      </c>
      <c r="M18" s="29" t="n">
        <f aca="false">③石川以降予測!O36</f>
        <v>20</v>
      </c>
      <c r="N18" s="29" t="n">
        <f aca="false">③石川以降予測!P36</f>
        <v>0</v>
      </c>
      <c r="O18" s="32" t="n">
        <f aca="false">L18-M18-N18</f>
        <v>212</v>
      </c>
      <c r="P18" s="33" t="str">
        <f aca="false">IF(O18&gt;0,"要 追加生産",IF(L18=0,"—","在庫で充足"))</f>
        <v>要 追加生産</v>
      </c>
      <c r="Q18" s="29" t="n">
        <f aca="false">③石川以降予測!S36</f>
        <v>234</v>
      </c>
      <c r="R18" s="29" t="n">
        <f aca="false">K18+Q18</f>
        <v>234</v>
      </c>
      <c r="S18" s="28" t="n">
        <f aca="false">R18*D18</f>
        <v>140400</v>
      </c>
      <c r="T18" s="26" t="str">
        <f aca="false">IF(I18&gt;0,"A:会期中欠品",IF(O18&gt;1000,"B:大口",IF(O18&gt;0,"C:通常","D:不要")))</f>
        <v>C:通常</v>
      </c>
      <c r="U18" s="56"/>
    </row>
    <row r="19" customFormat="false" ht="15" hidden="false" customHeight="false" outlineLevel="0" collapsed="false">
      <c r="A19" s="26" t="n">
        <v>13</v>
      </c>
      <c r="B19" s="26" t="s">
        <v>204</v>
      </c>
      <c r="C19" s="27" t="s">
        <v>205</v>
      </c>
      <c r="D19" s="28" t="n">
        <v>600</v>
      </c>
      <c r="E19" s="29" t="n">
        <f aca="false">①札幌予測確定!E19</f>
        <v>3</v>
      </c>
      <c r="F19" s="29" t="n">
        <f aca="false">①札幌予測確定!P19</f>
        <v>7</v>
      </c>
      <c r="G19" s="29" t="n">
        <f aca="false">①札幌予測確定!S19</f>
        <v>50</v>
      </c>
      <c r="H19" s="31" t="n">
        <f aca="false">IFERROR(F19/G19,0)</f>
        <v>0.14</v>
      </c>
      <c r="I19" s="32" t="n">
        <f aca="false">F19-G19</f>
        <v>-43</v>
      </c>
      <c r="J19" s="33" t="str">
        <f aca="false">IF(I19&gt;0,"要 追加発注",IF(H19&gt;=0.9,"要注意(90%超)",IF(H19&gt;=0.5,"適正","在庫余剰")))</f>
        <v>在庫余剰</v>
      </c>
      <c r="K19" s="29" t="n">
        <f aca="false">IF(I19&gt;0,ROUNDUP(I19*(1+前提・入力!$B$26),0),0)</f>
        <v>0</v>
      </c>
      <c r="L19" s="29" t="n">
        <f aca="false">③石川以降予測!N37</f>
        <v>61</v>
      </c>
      <c r="M19" s="29" t="n">
        <f aca="false">③石川以降予測!O37</f>
        <v>43</v>
      </c>
      <c r="N19" s="29" t="n">
        <f aca="false">③石川以降予測!P37</f>
        <v>0</v>
      </c>
      <c r="O19" s="32" t="n">
        <f aca="false">L19-M19-N19</f>
        <v>18</v>
      </c>
      <c r="P19" s="33" t="str">
        <f aca="false">IF(O19&gt;0,"要 追加生産",IF(L19=0,"—","在庫で充足"))</f>
        <v>要 追加生産</v>
      </c>
      <c r="Q19" s="29" t="n">
        <f aca="false">③石川以降予測!S37</f>
        <v>20</v>
      </c>
      <c r="R19" s="29" t="n">
        <f aca="false">K19+Q19</f>
        <v>20</v>
      </c>
      <c r="S19" s="28" t="n">
        <f aca="false">R19*D19</f>
        <v>12000</v>
      </c>
      <c r="T19" s="26" t="str">
        <f aca="false">IF(I19&gt;0,"A:会期中欠品",IF(O19&gt;1000,"B:大口",IF(O19&gt;0,"C:通常","D:不要")))</f>
        <v>C:通常</v>
      </c>
      <c r="U19" s="56"/>
    </row>
    <row r="20" customFormat="false" ht="15" hidden="false" customHeight="false" outlineLevel="0" collapsed="false">
      <c r="A20" s="26" t="n">
        <v>14</v>
      </c>
      <c r="B20" s="26" t="s">
        <v>206</v>
      </c>
      <c r="C20" s="27" t="s">
        <v>207</v>
      </c>
      <c r="D20" s="28" t="n">
        <v>600</v>
      </c>
      <c r="E20" s="29" t="n">
        <f aca="false">①札幌予測確定!E20</f>
        <v>17</v>
      </c>
      <c r="F20" s="29" t="n">
        <f aca="false">①札幌予測確定!P20</f>
        <v>38</v>
      </c>
      <c r="G20" s="29" t="n">
        <f aca="false">①札幌予測確定!S20</f>
        <v>50</v>
      </c>
      <c r="H20" s="31" t="n">
        <f aca="false">IFERROR(F20/G20,0)</f>
        <v>0.76</v>
      </c>
      <c r="I20" s="32" t="n">
        <f aca="false">F20-G20</f>
        <v>-12</v>
      </c>
      <c r="J20" s="33" t="str">
        <f aca="false">IF(I20&gt;0,"要 追加発注",IF(H20&gt;=0.9,"要注意(90%超)",IF(H20&gt;=0.5,"適正","在庫余剰")))</f>
        <v>適正</v>
      </c>
      <c r="K20" s="29" t="n">
        <f aca="false">IF(I20&gt;0,ROUNDUP(I20*(1+前提・入力!$B$26),0),0)</f>
        <v>0</v>
      </c>
      <c r="L20" s="29" t="n">
        <f aca="false">③石川以降予測!N38</f>
        <v>271</v>
      </c>
      <c r="M20" s="29" t="n">
        <f aca="false">③石川以降予測!O38</f>
        <v>12</v>
      </c>
      <c r="N20" s="29" t="n">
        <f aca="false">③石川以降予測!P38</f>
        <v>0</v>
      </c>
      <c r="O20" s="32" t="n">
        <f aca="false">L20-M20-N20</f>
        <v>259</v>
      </c>
      <c r="P20" s="33" t="str">
        <f aca="false">IF(O20&gt;0,"要 追加生産",IF(L20=0,"—","在庫で充足"))</f>
        <v>要 追加生産</v>
      </c>
      <c r="Q20" s="29" t="n">
        <f aca="false">③石川以降予測!S38</f>
        <v>285</v>
      </c>
      <c r="R20" s="29" t="n">
        <f aca="false">K20+Q20</f>
        <v>285</v>
      </c>
      <c r="S20" s="28" t="n">
        <f aca="false">R20*D20</f>
        <v>171000</v>
      </c>
      <c r="T20" s="26" t="str">
        <f aca="false">IF(I20&gt;0,"A:会期中欠品",IF(O20&gt;1000,"B:大口",IF(O20&gt;0,"C:通常","D:不要")))</f>
        <v>C:通常</v>
      </c>
      <c r="U20" s="56" t="s">
        <v>398</v>
      </c>
    </row>
    <row r="21" customFormat="false" ht="15" hidden="false" customHeight="false" outlineLevel="0" collapsed="false">
      <c r="A21" s="26" t="n">
        <v>15</v>
      </c>
      <c r="B21" s="26" t="s">
        <v>208</v>
      </c>
      <c r="C21" s="27" t="s">
        <v>209</v>
      </c>
      <c r="D21" s="28" t="n">
        <v>600</v>
      </c>
      <c r="E21" s="29" t="n">
        <f aca="false">①札幌予測確定!E21</f>
        <v>29</v>
      </c>
      <c r="F21" s="29" t="n">
        <f aca="false">①札幌予測確定!P21</f>
        <v>67</v>
      </c>
      <c r="G21" s="29" t="n">
        <f aca="false">①札幌予測確定!S21</f>
        <v>100</v>
      </c>
      <c r="H21" s="31" t="n">
        <f aca="false">IFERROR(F21/G21,0)</f>
        <v>0.67</v>
      </c>
      <c r="I21" s="32" t="n">
        <f aca="false">F21-G21</f>
        <v>-33</v>
      </c>
      <c r="J21" s="33" t="str">
        <f aca="false">IF(I21&gt;0,"要 追加発注",IF(H21&gt;=0.9,"要注意(90%超)",IF(H21&gt;=0.5,"適正","在庫余剰")))</f>
        <v>適正</v>
      </c>
      <c r="K21" s="29" t="n">
        <f aca="false">IF(I21&gt;0,ROUNDUP(I21*(1+前提・入力!$B$26),0),0)</f>
        <v>0</v>
      </c>
      <c r="L21" s="29" t="n">
        <f aca="false">③石川以降予測!N39</f>
        <v>437</v>
      </c>
      <c r="M21" s="29" t="n">
        <f aca="false">③石川以降予測!O39</f>
        <v>33</v>
      </c>
      <c r="N21" s="29" t="n">
        <f aca="false">③石川以降予測!P39</f>
        <v>0</v>
      </c>
      <c r="O21" s="32" t="n">
        <f aca="false">L21-M21-N21</f>
        <v>404</v>
      </c>
      <c r="P21" s="33" t="str">
        <f aca="false">IF(O21&gt;0,"要 追加生産",IF(L21=0,"—","在庫で充足"))</f>
        <v>要 追加生産</v>
      </c>
      <c r="Q21" s="29" t="n">
        <f aca="false">③石川以降予測!S39</f>
        <v>445</v>
      </c>
      <c r="R21" s="29" t="n">
        <f aca="false">K21+Q21</f>
        <v>445</v>
      </c>
      <c r="S21" s="28" t="n">
        <f aca="false">R21*D21</f>
        <v>267000</v>
      </c>
      <c r="T21" s="26" t="str">
        <f aca="false">IF(I21&gt;0,"A:会期中欠品",IF(O21&gt;1000,"B:大口",IF(O21&gt;0,"C:通常","D:不要")))</f>
        <v>C:通常</v>
      </c>
      <c r="U21" s="56" t="s">
        <v>398</v>
      </c>
    </row>
    <row r="22" customFormat="false" ht="25.35" hidden="false" customHeight="false" outlineLevel="0" collapsed="false">
      <c r="A22" s="26" t="n">
        <v>16</v>
      </c>
      <c r="B22" s="26" t="s">
        <v>210</v>
      </c>
      <c r="C22" s="27" t="s">
        <v>211</v>
      </c>
      <c r="D22" s="28" t="n">
        <v>600</v>
      </c>
      <c r="E22" s="29" t="n">
        <f aca="false">①札幌予測確定!E22</f>
        <v>3</v>
      </c>
      <c r="F22" s="29" t="n">
        <f aca="false">①札幌予測確定!P22</f>
        <v>8</v>
      </c>
      <c r="G22" s="29" t="n">
        <f aca="false">①札幌予測確定!S22</f>
        <v>50</v>
      </c>
      <c r="H22" s="31" t="n">
        <f aca="false">IFERROR(F22/G22,0)</f>
        <v>0.16</v>
      </c>
      <c r="I22" s="32" t="n">
        <f aca="false">F22-G22</f>
        <v>-42</v>
      </c>
      <c r="J22" s="33" t="str">
        <f aca="false">IF(I22&gt;0,"要 追加発注",IF(H22&gt;=0.9,"要注意(90%超)",IF(H22&gt;=0.5,"適正","在庫余剰")))</f>
        <v>在庫余剰</v>
      </c>
      <c r="K22" s="29" t="n">
        <f aca="false">IF(I22&gt;0,ROUNDUP(I22*(1+前提・入力!$B$26),0),0)</f>
        <v>0</v>
      </c>
      <c r="L22" s="29" t="n">
        <f aca="false">③石川以降予測!N40</f>
        <v>80</v>
      </c>
      <c r="M22" s="29" t="n">
        <f aca="false">③石川以降予測!O40</f>
        <v>42</v>
      </c>
      <c r="N22" s="29" t="n">
        <f aca="false">③石川以降予測!P40</f>
        <v>0</v>
      </c>
      <c r="O22" s="32" t="n">
        <f aca="false">L22-M22-N22</f>
        <v>38</v>
      </c>
      <c r="P22" s="33" t="str">
        <f aca="false">IF(O22&gt;0,"要 追加生産",IF(L22=0,"—","在庫で充足"))</f>
        <v>要 追加生産</v>
      </c>
      <c r="Q22" s="29" t="n">
        <f aca="false">③石川以降予測!S40</f>
        <v>42</v>
      </c>
      <c r="R22" s="29" t="n">
        <f aca="false">K22+Q22</f>
        <v>42</v>
      </c>
      <c r="S22" s="28" t="n">
        <f aca="false">R22*D22</f>
        <v>25200</v>
      </c>
      <c r="T22" s="26" t="str">
        <f aca="false">IF(I22&gt;0,"A:会期中欠品",IF(O22&gt;1000,"B:大口",IF(O22&gt;0,"C:通常","D:不要")))</f>
        <v>C:通常</v>
      </c>
      <c r="U22" s="56" t="s">
        <v>399</v>
      </c>
    </row>
    <row r="23" customFormat="false" ht="15" hidden="false" customHeight="false" outlineLevel="0" collapsed="false">
      <c r="A23" s="26" t="n">
        <v>17</v>
      </c>
      <c r="B23" s="26" t="s">
        <v>212</v>
      </c>
      <c r="C23" s="27" t="s">
        <v>213</v>
      </c>
      <c r="D23" s="28" t="n">
        <v>600</v>
      </c>
      <c r="E23" s="29" t="n">
        <f aca="false">①札幌予測確定!E23</f>
        <v>39</v>
      </c>
      <c r="F23" s="29" t="n">
        <f aca="false">①札幌予測確定!P23</f>
        <v>96</v>
      </c>
      <c r="G23" s="29" t="n">
        <f aca="false">①札幌予測確定!S23</f>
        <v>100</v>
      </c>
      <c r="H23" s="31" t="n">
        <f aca="false">IFERROR(F23/G23,0)</f>
        <v>0.96</v>
      </c>
      <c r="I23" s="32" t="n">
        <f aca="false">F23-G23</f>
        <v>-4</v>
      </c>
      <c r="J23" s="33" t="str">
        <f aca="false">IF(I23&gt;0,"要 追加発注",IF(H23&gt;=0.9,"要注意(90%超)",IF(H23&gt;=0.5,"適正","在庫余剰")))</f>
        <v>要注意(90%超)</v>
      </c>
      <c r="K23" s="29" t="n">
        <f aca="false">IF(I23&gt;0,ROUNDUP(I23*(1+前提・入力!$B$26),0),0)</f>
        <v>0</v>
      </c>
      <c r="L23" s="29" t="n">
        <f aca="false">③石川以降予測!N41</f>
        <v>612</v>
      </c>
      <c r="M23" s="29" t="n">
        <f aca="false">③石川以降予測!O41</f>
        <v>4</v>
      </c>
      <c r="N23" s="29" t="n">
        <f aca="false">③石川以降予測!P41</f>
        <v>0</v>
      </c>
      <c r="O23" s="32" t="n">
        <f aca="false">L23-M23-N23</f>
        <v>608</v>
      </c>
      <c r="P23" s="33" t="str">
        <f aca="false">IF(O23&gt;0,"要 追加生産",IF(L23=0,"—","在庫で充足"))</f>
        <v>要 追加生産</v>
      </c>
      <c r="Q23" s="29" t="n">
        <f aca="false">③石川以降予測!S41</f>
        <v>669</v>
      </c>
      <c r="R23" s="29" t="n">
        <f aca="false">K23+Q23</f>
        <v>669</v>
      </c>
      <c r="S23" s="28" t="n">
        <f aca="false">R23*D23</f>
        <v>401400</v>
      </c>
      <c r="T23" s="26" t="str">
        <f aca="false">IF(I23&gt;0,"A:会期中欠品",IF(O23&gt;1000,"B:大口",IF(O23&gt;0,"C:通常","D:不要")))</f>
        <v>C:通常</v>
      </c>
      <c r="U23" s="56" t="s">
        <v>398</v>
      </c>
    </row>
    <row r="24" customFormat="false" ht="15" hidden="false" customHeight="false" outlineLevel="0" collapsed="false">
      <c r="A24" s="26" t="n">
        <v>18</v>
      </c>
      <c r="B24" s="26" t="s">
        <v>214</v>
      </c>
      <c r="C24" s="27" t="s">
        <v>215</v>
      </c>
      <c r="D24" s="28" t="n">
        <v>600</v>
      </c>
      <c r="E24" s="29" t="n">
        <f aca="false">①札幌予測確定!E24</f>
        <v>224</v>
      </c>
      <c r="F24" s="29" t="n">
        <f aca="false">①札幌予測確定!P24</f>
        <v>448</v>
      </c>
      <c r="G24" s="29" t="n">
        <f aca="false">①札幌予測確定!S24</f>
        <v>1500</v>
      </c>
      <c r="H24" s="31" t="n">
        <f aca="false">IFERROR(F24/G24,0)</f>
        <v>0.298666666666667</v>
      </c>
      <c r="I24" s="32" t="n">
        <f aca="false">F24-G24</f>
        <v>-1052</v>
      </c>
      <c r="J24" s="33" t="str">
        <f aca="false">IF(I24&gt;0,"要 追加発注",IF(H24&gt;=0.9,"要注意(90%超)",IF(H24&gt;=0.5,"適正","在庫余剰")))</f>
        <v>在庫余剰</v>
      </c>
      <c r="K24" s="29" t="n">
        <f aca="false">IF(I24&gt;0,ROUNDUP(I24*(1+前提・入力!$B$26),0),0)</f>
        <v>0</v>
      </c>
      <c r="L24" s="29" t="n">
        <f aca="false">③石川以降予測!N42</f>
        <v>3396</v>
      </c>
      <c r="M24" s="29" t="n">
        <f aca="false">③石川以降予測!O42</f>
        <v>1052</v>
      </c>
      <c r="N24" s="29" t="n">
        <f aca="false">③石川以降予測!P42</f>
        <v>0</v>
      </c>
      <c r="O24" s="32" t="n">
        <f aca="false">L24-M24-N24</f>
        <v>2344</v>
      </c>
      <c r="P24" s="33" t="str">
        <f aca="false">IF(O24&gt;0,"要 追加生産",IF(L24=0,"—","在庫で充足"))</f>
        <v>要 追加生産</v>
      </c>
      <c r="Q24" s="29" t="n">
        <f aca="false">③石川以降予測!S42</f>
        <v>2579</v>
      </c>
      <c r="R24" s="29" t="n">
        <f aca="false">K24+Q24</f>
        <v>2579</v>
      </c>
      <c r="S24" s="28" t="n">
        <f aca="false">R24*D24</f>
        <v>1547400</v>
      </c>
      <c r="T24" s="26" t="str">
        <f aca="false">IF(I24&gt;0,"A:会期中欠品",IF(O24&gt;1000,"B:大口",IF(O24&gt;0,"C:通常","D:不要")))</f>
        <v>B:大口</v>
      </c>
      <c r="U24" s="56" t="s">
        <v>398</v>
      </c>
    </row>
    <row r="25" customFormat="false" ht="15" hidden="false" customHeight="false" outlineLevel="0" collapsed="false">
      <c r="A25" s="26" t="n">
        <v>19</v>
      </c>
      <c r="B25" s="26" t="s">
        <v>216</v>
      </c>
      <c r="C25" s="27" t="s">
        <v>217</v>
      </c>
      <c r="D25" s="28" t="n">
        <v>600</v>
      </c>
      <c r="E25" s="29" t="n">
        <f aca="false">①札幌予測確定!E25</f>
        <v>8</v>
      </c>
      <c r="F25" s="29" t="n">
        <f aca="false">①札幌予測確定!P25</f>
        <v>16</v>
      </c>
      <c r="G25" s="29" t="n">
        <f aca="false">①札幌予測確定!S25</f>
        <v>50</v>
      </c>
      <c r="H25" s="31" t="n">
        <f aca="false">IFERROR(F25/G25,0)</f>
        <v>0.32</v>
      </c>
      <c r="I25" s="32" t="n">
        <f aca="false">F25-G25</f>
        <v>-34</v>
      </c>
      <c r="J25" s="33" t="str">
        <f aca="false">IF(I25&gt;0,"要 追加発注",IF(H25&gt;=0.9,"要注意(90%超)",IF(H25&gt;=0.5,"適正","在庫余剰")))</f>
        <v>在庫余剰</v>
      </c>
      <c r="K25" s="29" t="n">
        <f aca="false">IF(I25&gt;0,ROUNDUP(I25*(1+前提・入力!$B$26),0),0)</f>
        <v>0</v>
      </c>
      <c r="L25" s="29" t="n">
        <f aca="false">③石川以降予測!N43</f>
        <v>103</v>
      </c>
      <c r="M25" s="29" t="n">
        <f aca="false">③石川以降予測!O43</f>
        <v>34</v>
      </c>
      <c r="N25" s="29" t="n">
        <f aca="false">③石川以降予測!P43</f>
        <v>0</v>
      </c>
      <c r="O25" s="32" t="n">
        <f aca="false">L25-M25-N25</f>
        <v>69</v>
      </c>
      <c r="P25" s="33" t="str">
        <f aca="false">IF(O25&gt;0,"要 追加生産",IF(L25=0,"—","在庫で充足"))</f>
        <v>要 追加生産</v>
      </c>
      <c r="Q25" s="29" t="n">
        <f aca="false">③石川以降予測!S43</f>
        <v>76</v>
      </c>
      <c r="R25" s="29" t="n">
        <f aca="false">K25+Q25</f>
        <v>76</v>
      </c>
      <c r="S25" s="28" t="n">
        <f aca="false">R25*D25</f>
        <v>45600</v>
      </c>
      <c r="T25" s="26" t="str">
        <f aca="false">IF(I25&gt;0,"A:会期中欠品",IF(O25&gt;1000,"B:大口",IF(O25&gt;0,"C:通常","D:不要")))</f>
        <v>C:通常</v>
      </c>
      <c r="U25" s="56" t="s">
        <v>398</v>
      </c>
    </row>
    <row r="26" customFormat="false" ht="15" hidden="false" customHeight="false" outlineLevel="0" collapsed="false">
      <c r="A26" s="26" t="n">
        <v>20</v>
      </c>
      <c r="B26" s="26" t="s">
        <v>218</v>
      </c>
      <c r="C26" s="27" t="s">
        <v>219</v>
      </c>
      <c r="D26" s="28" t="n">
        <v>600</v>
      </c>
      <c r="E26" s="29" t="n">
        <f aca="false">①札幌予測確定!E26</f>
        <v>5</v>
      </c>
      <c r="F26" s="29" t="n">
        <f aca="false">①札幌予測確定!P26</f>
        <v>14</v>
      </c>
      <c r="G26" s="29" t="n">
        <f aca="false">①札幌予測確定!S26</f>
        <v>30</v>
      </c>
      <c r="H26" s="31" t="n">
        <f aca="false">IFERROR(F26/G26,0)</f>
        <v>0.466666666666667</v>
      </c>
      <c r="I26" s="32" t="n">
        <f aca="false">F26-G26</f>
        <v>-16</v>
      </c>
      <c r="J26" s="33" t="str">
        <f aca="false">IF(I26&gt;0,"要 追加発注",IF(H26&gt;=0.9,"要注意(90%超)",IF(H26&gt;=0.5,"適正","在庫余剰")))</f>
        <v>在庫余剰</v>
      </c>
      <c r="K26" s="29" t="n">
        <f aca="false">IF(I26&gt;0,ROUNDUP(I26*(1+前提・入力!$B$26),0),0)</f>
        <v>0</v>
      </c>
      <c r="L26" s="29" t="n">
        <f aca="false">③石川以降予測!N44</f>
        <v>93</v>
      </c>
      <c r="M26" s="29" t="n">
        <f aca="false">③石川以降予測!O44</f>
        <v>16</v>
      </c>
      <c r="N26" s="29" t="n">
        <f aca="false">③石川以降予測!P44</f>
        <v>0</v>
      </c>
      <c r="O26" s="32" t="n">
        <f aca="false">L26-M26-N26</f>
        <v>77</v>
      </c>
      <c r="P26" s="33" t="str">
        <f aca="false">IF(O26&gt;0,"要 追加生産",IF(L26=0,"—","在庫で充足"))</f>
        <v>要 追加生産</v>
      </c>
      <c r="Q26" s="29" t="n">
        <f aca="false">③石川以降予測!S44</f>
        <v>85</v>
      </c>
      <c r="R26" s="29" t="n">
        <f aca="false">K26+Q26</f>
        <v>85</v>
      </c>
      <c r="S26" s="28" t="n">
        <f aca="false">R26*D26</f>
        <v>51000</v>
      </c>
      <c r="T26" s="26" t="str">
        <f aca="false">IF(I26&gt;0,"A:会期中欠品",IF(O26&gt;1000,"B:大口",IF(O26&gt;0,"C:通常","D:不要")))</f>
        <v>C:通常</v>
      </c>
      <c r="U26" s="56" t="s">
        <v>398</v>
      </c>
    </row>
    <row r="27" customFormat="false" ht="37.3" hidden="false" customHeight="false" outlineLevel="0" collapsed="false">
      <c r="A27" s="26" t="n">
        <v>21</v>
      </c>
      <c r="B27" s="26" t="s">
        <v>220</v>
      </c>
      <c r="C27" s="27" t="s">
        <v>221</v>
      </c>
      <c r="D27" s="28" t="n">
        <v>600</v>
      </c>
      <c r="E27" s="29" t="n">
        <f aca="false">①札幌予測確定!E27</f>
        <v>40</v>
      </c>
      <c r="F27" s="29" t="n">
        <f aca="false">①札幌予測確定!P27</f>
        <v>96</v>
      </c>
      <c r="G27" s="29" t="n">
        <f aca="false">①札幌予測確定!S27</f>
        <v>50</v>
      </c>
      <c r="H27" s="31" t="n">
        <f aca="false">IFERROR(F27/G27,0)</f>
        <v>1.92</v>
      </c>
      <c r="I27" s="32" t="n">
        <f aca="false">F27-G27</f>
        <v>46</v>
      </c>
      <c r="J27" s="33" t="str">
        <f aca="false">IF(I27&gt;0,"要 追加発注",IF(H27&gt;=0.9,"要注意(90%超)",IF(H27&gt;=0.5,"適正","在庫余剰")))</f>
        <v>要 追加発注</v>
      </c>
      <c r="K27" s="29" t="n">
        <f aca="false">IF(I27&gt;0,ROUNDUP(I27*(1+前提・入力!$B$26),0),0)</f>
        <v>51</v>
      </c>
      <c r="L27" s="29" t="n">
        <f aca="false">③石川以降予測!N45</f>
        <v>605</v>
      </c>
      <c r="M27" s="29" t="n">
        <f aca="false">③石川以降予測!O45</f>
        <v>0</v>
      </c>
      <c r="N27" s="29" t="n">
        <f aca="false">③石川以降予測!P45</f>
        <v>0</v>
      </c>
      <c r="O27" s="32" t="n">
        <f aca="false">L27-M27-N27</f>
        <v>605</v>
      </c>
      <c r="P27" s="33" t="str">
        <f aca="false">IF(O27&gt;0,"要 追加生産",IF(L27=0,"—","在庫で充足"))</f>
        <v>要 追加生産</v>
      </c>
      <c r="Q27" s="29" t="n">
        <f aca="false">③石川以降予測!S45</f>
        <v>666</v>
      </c>
      <c r="R27" s="29" t="n">
        <f aca="false">K27+Q27</f>
        <v>717</v>
      </c>
      <c r="S27" s="28" t="n">
        <f aca="false">R27*D27</f>
        <v>430200</v>
      </c>
      <c r="T27" s="26" t="str">
        <f aca="false">IF(I27&gt;0,"A:会期中欠品",IF(O27&gt;1000,"B:大口",IF(O27&gt;0,"C:通常","D:不要")))</f>
        <v>A:会期中欠品</v>
      </c>
      <c r="U27" s="56" t="s">
        <v>400</v>
      </c>
    </row>
    <row r="28" customFormat="false" ht="15" hidden="false" customHeight="false" outlineLevel="0" collapsed="false">
      <c r="A28" s="26" t="n">
        <v>22</v>
      </c>
      <c r="B28" s="26" t="s">
        <v>222</v>
      </c>
      <c r="C28" s="27" t="s">
        <v>223</v>
      </c>
      <c r="D28" s="28" t="n">
        <v>600</v>
      </c>
      <c r="E28" s="29" t="n">
        <f aca="false">①札幌予測確定!E28</f>
        <v>14</v>
      </c>
      <c r="F28" s="29" t="n">
        <f aca="false">①札幌予測確定!P28</f>
        <v>44</v>
      </c>
      <c r="G28" s="29" t="n">
        <f aca="false">①札幌予測確定!S28</f>
        <v>50</v>
      </c>
      <c r="H28" s="31" t="n">
        <f aca="false">IFERROR(F28/G28,0)</f>
        <v>0.88</v>
      </c>
      <c r="I28" s="32" t="n">
        <f aca="false">F28-G28</f>
        <v>-6</v>
      </c>
      <c r="J28" s="33" t="str">
        <f aca="false">IF(I28&gt;0,"要 追加発注",IF(H28&gt;=0.9,"要注意(90%超)",IF(H28&gt;=0.5,"適正","在庫余剰")))</f>
        <v>適正</v>
      </c>
      <c r="K28" s="29" t="n">
        <f aca="false">IF(I28&gt;0,ROUNDUP(I28*(1+前提・入力!$B$26),0),0)</f>
        <v>0</v>
      </c>
      <c r="L28" s="29" t="n">
        <f aca="false">③石川以降予測!N46</f>
        <v>315</v>
      </c>
      <c r="M28" s="29" t="n">
        <f aca="false">③石川以降予測!O46</f>
        <v>6</v>
      </c>
      <c r="N28" s="29" t="n">
        <f aca="false">③石川以降予測!P46</f>
        <v>0</v>
      </c>
      <c r="O28" s="32" t="n">
        <f aca="false">L28-M28-N28</f>
        <v>309</v>
      </c>
      <c r="P28" s="33" t="str">
        <f aca="false">IF(O28&gt;0,"要 追加生産",IF(L28=0,"—","在庫で充足"))</f>
        <v>要 追加生産</v>
      </c>
      <c r="Q28" s="29" t="n">
        <f aca="false">③石川以降予測!S46</f>
        <v>340</v>
      </c>
      <c r="R28" s="29" t="n">
        <f aca="false">K28+Q28</f>
        <v>340</v>
      </c>
      <c r="S28" s="28" t="n">
        <f aca="false">R28*D28</f>
        <v>204000</v>
      </c>
      <c r="T28" s="26" t="str">
        <f aca="false">IF(I28&gt;0,"A:会期中欠品",IF(O28&gt;1000,"B:大口",IF(O28&gt;0,"C:通常","D:不要")))</f>
        <v>C:通常</v>
      </c>
      <c r="U28" s="56" t="s">
        <v>398</v>
      </c>
    </row>
    <row r="29" customFormat="false" ht="15" hidden="false" customHeight="false" outlineLevel="0" collapsed="false">
      <c r="A29" s="26" t="n">
        <v>23</v>
      </c>
      <c r="B29" s="26" t="s">
        <v>224</v>
      </c>
      <c r="C29" s="27" t="s">
        <v>225</v>
      </c>
      <c r="D29" s="28" t="n">
        <v>600</v>
      </c>
      <c r="E29" s="29" t="n">
        <f aca="false">①札幌予測確定!E29</f>
        <v>1027</v>
      </c>
      <c r="F29" s="29" t="n">
        <f aca="false">①札幌予測確定!P29</f>
        <v>2285</v>
      </c>
      <c r="G29" s="29" t="n">
        <f aca="false">①札幌予測確定!S29</f>
        <v>11000</v>
      </c>
      <c r="H29" s="31" t="n">
        <f aca="false">IFERROR(F29/G29,0)</f>
        <v>0.207727272727273</v>
      </c>
      <c r="I29" s="32" t="n">
        <f aca="false">F29-G29</f>
        <v>-8715</v>
      </c>
      <c r="J29" s="33" t="str">
        <f aca="false">IF(I29&gt;0,"要 追加発注",IF(H29&gt;=0.9,"要注意(90%超)",IF(H29&gt;=0.5,"適正","在庫余剰")))</f>
        <v>在庫余剰</v>
      </c>
      <c r="K29" s="29" t="n">
        <f aca="false">IF(I29&gt;0,ROUNDUP(I29*(1+前提・入力!$B$26),0),0)</f>
        <v>0</v>
      </c>
      <c r="L29" s="29" t="n">
        <f aca="false">③石川以降予測!N47</f>
        <v>18947</v>
      </c>
      <c r="M29" s="29" t="n">
        <f aca="false">③石川以降予測!O47</f>
        <v>8715</v>
      </c>
      <c r="N29" s="29" t="n">
        <f aca="false">③石川以降予測!P47</f>
        <v>0</v>
      </c>
      <c r="O29" s="32" t="n">
        <f aca="false">L29-M29-N29</f>
        <v>10232</v>
      </c>
      <c r="P29" s="33" t="str">
        <f aca="false">IF(O29&gt;0,"要 追加生産",IF(L29=0,"—","在庫で充足"))</f>
        <v>要 追加生産</v>
      </c>
      <c r="Q29" s="29" t="n">
        <f aca="false">③石川以降予測!S47</f>
        <v>11256</v>
      </c>
      <c r="R29" s="29" t="n">
        <f aca="false">K29+Q29</f>
        <v>11256</v>
      </c>
      <c r="S29" s="28" t="n">
        <f aca="false">R29*D29</f>
        <v>6753600</v>
      </c>
      <c r="T29" s="26" t="str">
        <f aca="false">IF(I29&gt;0,"A:会期中欠品",IF(O29&gt;1000,"B:大口",IF(O29&gt;0,"C:通常","D:不要")))</f>
        <v>B:大口</v>
      </c>
      <c r="U29" s="56"/>
    </row>
    <row r="30" customFormat="false" ht="15" hidden="false" customHeight="false" outlineLevel="0" collapsed="false">
      <c r="A30" s="26" t="n">
        <v>24</v>
      </c>
      <c r="B30" s="26" t="s">
        <v>226</v>
      </c>
      <c r="C30" s="27" t="s">
        <v>227</v>
      </c>
      <c r="D30" s="28" t="n">
        <v>600</v>
      </c>
      <c r="E30" s="29" t="n">
        <f aca="false">①札幌予測確定!E30</f>
        <v>543</v>
      </c>
      <c r="F30" s="29" t="n">
        <f aca="false">①札幌予測確定!P30</f>
        <v>1231</v>
      </c>
      <c r="G30" s="29" t="n">
        <f aca="false">①札幌予測確定!S30</f>
        <v>8000</v>
      </c>
      <c r="H30" s="31" t="n">
        <f aca="false">IFERROR(F30/G30,0)</f>
        <v>0.153875</v>
      </c>
      <c r="I30" s="32" t="n">
        <f aca="false">F30-G30</f>
        <v>-6769</v>
      </c>
      <c r="J30" s="33" t="str">
        <f aca="false">IF(I30&gt;0,"要 追加発注",IF(H30&gt;=0.9,"要注意(90%超)",IF(H30&gt;=0.5,"適正","在庫余剰")))</f>
        <v>在庫余剰</v>
      </c>
      <c r="K30" s="29" t="n">
        <f aca="false">IF(I30&gt;0,ROUNDUP(I30*(1+前提・入力!$B$26),0),0)</f>
        <v>0</v>
      </c>
      <c r="L30" s="29" t="n">
        <f aca="false">③石川以降予測!N48</f>
        <v>10290</v>
      </c>
      <c r="M30" s="29" t="n">
        <f aca="false">③石川以降予測!O48</f>
        <v>6769</v>
      </c>
      <c r="N30" s="29" t="n">
        <f aca="false">③石川以降予測!P48</f>
        <v>0</v>
      </c>
      <c r="O30" s="32" t="n">
        <f aca="false">L30-M30-N30</f>
        <v>3521</v>
      </c>
      <c r="P30" s="33" t="str">
        <f aca="false">IF(O30&gt;0,"要 追加生産",IF(L30=0,"—","在庫で充足"))</f>
        <v>要 追加生産</v>
      </c>
      <c r="Q30" s="29" t="n">
        <f aca="false">③石川以降予測!S48</f>
        <v>3874</v>
      </c>
      <c r="R30" s="29" t="n">
        <f aca="false">K30+Q30</f>
        <v>3874</v>
      </c>
      <c r="S30" s="28" t="n">
        <f aca="false">R30*D30</f>
        <v>2324400</v>
      </c>
      <c r="T30" s="26" t="str">
        <f aca="false">IF(I30&gt;0,"A:会期中欠品",IF(O30&gt;1000,"B:大口",IF(O30&gt;0,"C:通常","D:不要")))</f>
        <v>B:大口</v>
      </c>
      <c r="U30" s="56"/>
    </row>
    <row r="31" customFormat="false" ht="15" hidden="false" customHeight="false" outlineLevel="0" collapsed="false">
      <c r="A31" s="26" t="n">
        <v>25</v>
      </c>
      <c r="B31" s="26" t="s">
        <v>228</v>
      </c>
      <c r="C31" s="27" t="s">
        <v>229</v>
      </c>
      <c r="D31" s="28" t="n">
        <v>1500</v>
      </c>
      <c r="E31" s="29" t="n">
        <f aca="false">①札幌予測確定!E31</f>
        <v>18</v>
      </c>
      <c r="F31" s="29" t="n">
        <f aca="false">①札幌予測確定!P31</f>
        <v>43</v>
      </c>
      <c r="G31" s="29" t="n">
        <f aca="false">①札幌予測確定!S31</f>
        <v>200</v>
      </c>
      <c r="H31" s="31" t="n">
        <f aca="false">IFERROR(F31/G31,0)</f>
        <v>0.215</v>
      </c>
      <c r="I31" s="32" t="n">
        <f aca="false">F31-G31</f>
        <v>-157</v>
      </c>
      <c r="J31" s="33" t="str">
        <f aca="false">IF(I31&gt;0,"要 追加発注",IF(H31&gt;=0.9,"要注意(90%超)",IF(H31&gt;=0.5,"適正","在庫余剰")))</f>
        <v>在庫余剰</v>
      </c>
      <c r="K31" s="29" t="n">
        <f aca="false">IF(I31&gt;0,ROUNDUP(I31*(1+前提・入力!$B$26),0),0)</f>
        <v>0</v>
      </c>
      <c r="L31" s="29" t="n">
        <f aca="false">③石川以降予測!N49</f>
        <v>359</v>
      </c>
      <c r="M31" s="29" t="n">
        <f aca="false">③石川以降予測!O49</f>
        <v>157</v>
      </c>
      <c r="N31" s="29" t="n">
        <f aca="false">③石川以降予測!P49</f>
        <v>0</v>
      </c>
      <c r="O31" s="32" t="n">
        <f aca="false">L31-M31-N31</f>
        <v>202</v>
      </c>
      <c r="P31" s="33" t="str">
        <f aca="false">IF(O31&gt;0,"要 追加生産",IF(L31=0,"—","在庫で充足"))</f>
        <v>要 追加生産</v>
      </c>
      <c r="Q31" s="29" t="n">
        <f aca="false">③石川以降予測!S49</f>
        <v>223</v>
      </c>
      <c r="R31" s="29" t="n">
        <f aca="false">K31+Q31</f>
        <v>223</v>
      </c>
      <c r="S31" s="28" t="n">
        <f aca="false">R31*D31</f>
        <v>334500</v>
      </c>
      <c r="T31" s="26" t="str">
        <f aca="false">IF(I31&gt;0,"A:会期中欠品",IF(O31&gt;1000,"B:大口",IF(O31&gt;0,"C:通常","D:不要")))</f>
        <v>C:通常</v>
      </c>
      <c r="U31" s="56" t="s">
        <v>398</v>
      </c>
    </row>
    <row r="32" customFormat="false" ht="25.35" hidden="false" customHeight="false" outlineLevel="0" collapsed="false">
      <c r="A32" s="26" t="n">
        <v>26</v>
      </c>
      <c r="B32" s="26" t="s">
        <v>230</v>
      </c>
      <c r="C32" s="27" t="s">
        <v>231</v>
      </c>
      <c r="D32" s="28" t="n">
        <v>2200</v>
      </c>
      <c r="E32" s="29" t="n">
        <f aca="false">①札幌予測確定!E32</f>
        <v>85</v>
      </c>
      <c r="F32" s="29" t="n">
        <f aca="false">①札幌予測確定!P32</f>
        <v>169</v>
      </c>
      <c r="G32" s="29" t="n">
        <f aca="false">①札幌予測確定!S32</f>
        <v>100</v>
      </c>
      <c r="H32" s="31" t="n">
        <f aca="false">IFERROR(F32/G32,0)</f>
        <v>1.69</v>
      </c>
      <c r="I32" s="32" t="n">
        <f aca="false">F32-G32</f>
        <v>69</v>
      </c>
      <c r="J32" s="33" t="str">
        <f aca="false">IF(I32&gt;0,"要 追加発注",IF(H32&gt;=0.9,"要注意(90%超)",IF(H32&gt;=0.5,"適正","在庫余剰")))</f>
        <v>要 追加発注</v>
      </c>
      <c r="K32" s="29" t="n">
        <f aca="false">IF(I32&gt;0,ROUNDUP(I32*(1+前提・入力!$B$26),0),0)</f>
        <v>76</v>
      </c>
      <c r="L32" s="29" t="n">
        <f aca="false">③石川以降予測!N50</f>
        <v>1335</v>
      </c>
      <c r="M32" s="29" t="n">
        <f aca="false">③石川以降予測!O50</f>
        <v>0</v>
      </c>
      <c r="N32" s="29" t="n">
        <f aca="false">③石川以降予測!P50</f>
        <v>0</v>
      </c>
      <c r="O32" s="32" t="n">
        <f aca="false">L32-M32-N32</f>
        <v>1335</v>
      </c>
      <c r="P32" s="33" t="str">
        <f aca="false">IF(O32&gt;0,"要 追加生産",IF(L32=0,"—","在庫で充足"))</f>
        <v>要 追加生産</v>
      </c>
      <c r="Q32" s="29" t="n">
        <f aca="false">③石川以降予測!S50</f>
        <v>1469</v>
      </c>
      <c r="R32" s="29" t="n">
        <f aca="false">K32+Q32</f>
        <v>1545</v>
      </c>
      <c r="S32" s="28" t="n">
        <f aca="false">R32*D32</f>
        <v>3399000</v>
      </c>
      <c r="T32" s="26" t="str">
        <f aca="false">IF(I32&gt;0,"A:会期中欠品",IF(O32&gt;1000,"B:大口",IF(O32&gt;0,"C:通常","D:不要")))</f>
        <v>A:会期中欠品</v>
      </c>
      <c r="U32" s="56" t="s">
        <v>401</v>
      </c>
    </row>
    <row r="33" customFormat="false" ht="15" hidden="false" customHeight="false" outlineLevel="0" collapsed="false">
      <c r="A33" s="26" t="n">
        <v>27</v>
      </c>
      <c r="B33" s="26" t="s">
        <v>232</v>
      </c>
      <c r="C33" s="27" t="s">
        <v>233</v>
      </c>
      <c r="D33" s="28" t="n">
        <v>1100</v>
      </c>
      <c r="E33" s="29" t="n">
        <f aca="false">①札幌予測確定!E33</f>
        <v>15</v>
      </c>
      <c r="F33" s="29" t="n">
        <f aca="false">①札幌予測確定!P33</f>
        <v>41</v>
      </c>
      <c r="G33" s="29" t="n">
        <f aca="false">①札幌予測確定!S33</f>
        <v>70</v>
      </c>
      <c r="H33" s="31" t="n">
        <f aca="false">IFERROR(F33/G33,0)</f>
        <v>0.585714285714286</v>
      </c>
      <c r="I33" s="32" t="n">
        <f aca="false">F33-G33</f>
        <v>-29</v>
      </c>
      <c r="J33" s="33" t="str">
        <f aca="false">IF(I33&gt;0,"要 追加発注",IF(H33&gt;=0.9,"要注意(90%超)",IF(H33&gt;=0.5,"適正","在庫余剰")))</f>
        <v>適正</v>
      </c>
      <c r="K33" s="29" t="n">
        <f aca="false">IF(I33&gt;0,ROUNDUP(I33*(1+前提・入力!$B$26),0),0)</f>
        <v>0</v>
      </c>
      <c r="L33" s="29" t="n">
        <f aca="false">③石川以降予測!N51</f>
        <v>284</v>
      </c>
      <c r="M33" s="29" t="n">
        <f aca="false">③石川以降予測!O51</f>
        <v>29</v>
      </c>
      <c r="N33" s="29" t="n">
        <f aca="false">③石川以降予測!P51</f>
        <v>0</v>
      </c>
      <c r="O33" s="32" t="n">
        <f aca="false">L33-M33-N33</f>
        <v>255</v>
      </c>
      <c r="P33" s="33" t="str">
        <f aca="false">IF(O33&gt;0,"要 追加生産",IF(L33=0,"—","在庫で充足"))</f>
        <v>要 追加生産</v>
      </c>
      <c r="Q33" s="29" t="n">
        <f aca="false">③石川以降予測!S51</f>
        <v>281</v>
      </c>
      <c r="R33" s="29" t="n">
        <f aca="false">K33+Q33</f>
        <v>281</v>
      </c>
      <c r="S33" s="28" t="n">
        <f aca="false">R33*D33</f>
        <v>309100</v>
      </c>
      <c r="T33" s="26" t="str">
        <f aca="false">IF(I33&gt;0,"A:会期中欠品",IF(O33&gt;1000,"B:大口",IF(O33&gt;0,"C:通常","D:不要")))</f>
        <v>C:通常</v>
      </c>
      <c r="U33" s="56" t="s">
        <v>398</v>
      </c>
    </row>
    <row r="34" customFormat="false" ht="49.25" hidden="false" customHeight="false" outlineLevel="0" collapsed="false">
      <c r="A34" s="26" t="n">
        <v>28</v>
      </c>
      <c r="B34" s="26" t="s">
        <v>234</v>
      </c>
      <c r="C34" s="27" t="s">
        <v>235</v>
      </c>
      <c r="D34" s="28" t="n">
        <v>1800</v>
      </c>
      <c r="E34" s="29" t="n">
        <f aca="false">①札幌予測確定!E34</f>
        <v>130</v>
      </c>
      <c r="F34" s="29" t="n">
        <f aca="false">①札幌予測確定!P34</f>
        <v>214</v>
      </c>
      <c r="G34" s="29" t="n">
        <f aca="false">①札幌予測確定!S34</f>
        <v>200</v>
      </c>
      <c r="H34" s="31" t="n">
        <f aca="false">IFERROR(F34/G34,0)</f>
        <v>1.07</v>
      </c>
      <c r="I34" s="32" t="n">
        <f aca="false">F34-G34</f>
        <v>14</v>
      </c>
      <c r="J34" s="33" t="str">
        <f aca="false">IF(I34&gt;0,"要 追加発注",IF(H34&gt;=0.9,"要注意(90%超)",IF(H34&gt;=0.5,"適正","在庫余剰")))</f>
        <v>要 追加発注</v>
      </c>
      <c r="K34" s="29" t="n">
        <f aca="false">IF(I34&gt;0,ROUNDUP(I34*(1+前提・入力!$B$26),0),0)</f>
        <v>16</v>
      </c>
      <c r="L34" s="29" t="n">
        <f aca="false">③石川以降予測!N52</f>
        <v>1242</v>
      </c>
      <c r="M34" s="29" t="n">
        <f aca="false">③石川以降予測!O52</f>
        <v>0</v>
      </c>
      <c r="N34" s="29" t="n">
        <f aca="false">③石川以降予測!P52</f>
        <v>0</v>
      </c>
      <c r="O34" s="32" t="n">
        <f aca="false">L34-M34-N34</f>
        <v>1242</v>
      </c>
      <c r="P34" s="33" t="str">
        <f aca="false">IF(O34&gt;0,"要 追加生産",IF(L34=0,"—","在庫で充足"))</f>
        <v>要 追加生産</v>
      </c>
      <c r="Q34" s="29" t="n">
        <f aca="false">③石川以降予測!S52</f>
        <v>1367</v>
      </c>
      <c r="R34" s="29" t="n">
        <f aca="false">K34+Q34</f>
        <v>1383</v>
      </c>
      <c r="S34" s="28" t="n">
        <f aca="false">R34*D34</f>
        <v>2489400</v>
      </c>
      <c r="T34" s="26" t="str">
        <f aca="false">IF(I34&gt;0,"A:会期中欠品",IF(O34&gt;1000,"B:大口",IF(O34&gt;0,"C:通常","D:不要")))</f>
        <v>A:会期中欠品</v>
      </c>
      <c r="U34" s="56" t="s">
        <v>402</v>
      </c>
    </row>
    <row r="35" customFormat="false" ht="37.3" hidden="false" customHeight="false" outlineLevel="0" collapsed="false">
      <c r="A35" s="26" t="n">
        <v>29</v>
      </c>
      <c r="B35" s="26" t="s">
        <v>236</v>
      </c>
      <c r="C35" s="27" t="s">
        <v>237</v>
      </c>
      <c r="D35" s="28" t="n">
        <v>1500</v>
      </c>
      <c r="E35" s="29" t="n">
        <f aca="false">①札幌予測確定!E35</f>
        <v>66</v>
      </c>
      <c r="F35" s="29" t="n">
        <f aca="false">①札幌予測確定!P35</f>
        <v>97</v>
      </c>
      <c r="G35" s="29" t="n">
        <f aca="false">①札幌予測確定!S35</f>
        <v>100</v>
      </c>
      <c r="H35" s="31" t="n">
        <f aca="false">IFERROR(F35/G35,0)</f>
        <v>0.97</v>
      </c>
      <c r="I35" s="32" t="n">
        <f aca="false">F35-G35</f>
        <v>-3</v>
      </c>
      <c r="J35" s="33" t="str">
        <f aca="false">IF(I35&gt;0,"要 追加発注",IF(H35&gt;=0.9,"要注意(90%超)",IF(H35&gt;=0.5,"適正","在庫余剰")))</f>
        <v>要注意(90%超)</v>
      </c>
      <c r="K35" s="29" t="n">
        <f aca="false">IF(I35&gt;0,ROUNDUP(I35*(1+前提・入力!$B$26),0),0)</f>
        <v>0</v>
      </c>
      <c r="L35" s="29" t="n">
        <f aca="false">③石川以降予測!N53</f>
        <v>576</v>
      </c>
      <c r="M35" s="29" t="n">
        <f aca="false">③石川以降予測!O53</f>
        <v>3</v>
      </c>
      <c r="N35" s="29" t="n">
        <f aca="false">③石川以降予測!P53</f>
        <v>0</v>
      </c>
      <c r="O35" s="32" t="n">
        <f aca="false">L35-M35-N35</f>
        <v>573</v>
      </c>
      <c r="P35" s="33" t="str">
        <f aca="false">IF(O35&gt;0,"要 追加生産",IF(L35=0,"—","在庫で充足"))</f>
        <v>要 追加生産</v>
      </c>
      <c r="Q35" s="29" t="n">
        <f aca="false">③石川以降予測!S53</f>
        <v>631</v>
      </c>
      <c r="R35" s="29" t="n">
        <f aca="false">K35+Q35</f>
        <v>631</v>
      </c>
      <c r="S35" s="28" t="n">
        <f aca="false">R35*D35</f>
        <v>946500</v>
      </c>
      <c r="T35" s="26" t="str">
        <f aca="false">IF(I35&gt;0,"A:会期中欠品",IF(O35&gt;1000,"B:大口",IF(O35&gt;0,"C:通常","D:不要")))</f>
        <v>C:通常</v>
      </c>
      <c r="U35" s="56" t="s">
        <v>403</v>
      </c>
    </row>
    <row r="36" customFormat="false" ht="15" hidden="false" customHeight="false" outlineLevel="0" collapsed="false">
      <c r="A36" s="26" t="n">
        <v>30</v>
      </c>
      <c r="B36" s="26" t="s">
        <v>238</v>
      </c>
      <c r="C36" s="27" t="s">
        <v>239</v>
      </c>
      <c r="D36" s="28" t="n">
        <v>3300</v>
      </c>
      <c r="E36" s="29" t="n">
        <f aca="false">①札幌予測確定!E36</f>
        <v>20</v>
      </c>
      <c r="F36" s="29" t="n">
        <f aca="false">①札幌予測確定!P36</f>
        <v>62</v>
      </c>
      <c r="G36" s="29" t="n">
        <f aca="false">①札幌予測確定!S36</f>
        <v>250</v>
      </c>
      <c r="H36" s="31" t="n">
        <f aca="false">IFERROR(F36/G36,0)</f>
        <v>0.248</v>
      </c>
      <c r="I36" s="32" t="n">
        <f aca="false">F36-G36</f>
        <v>-188</v>
      </c>
      <c r="J36" s="33" t="str">
        <f aca="false">IF(I36&gt;0,"要 追加発注",IF(H36&gt;=0.9,"要注意(90%超)",IF(H36&gt;=0.5,"適正","在庫余剰")))</f>
        <v>在庫余剰</v>
      </c>
      <c r="K36" s="29" t="n">
        <f aca="false">IF(I36&gt;0,ROUNDUP(I36*(1+前提・入力!$B$26),0),0)</f>
        <v>0</v>
      </c>
      <c r="L36" s="29" t="n">
        <f aca="false">③石川以降予測!N54</f>
        <v>420</v>
      </c>
      <c r="M36" s="29" t="n">
        <f aca="false">③石川以降予測!O54</f>
        <v>188</v>
      </c>
      <c r="N36" s="29" t="n">
        <f aca="false">③石川以降予測!P54</f>
        <v>0</v>
      </c>
      <c r="O36" s="32" t="n">
        <f aca="false">L36-M36-N36</f>
        <v>232</v>
      </c>
      <c r="P36" s="33" t="str">
        <f aca="false">IF(O36&gt;0,"要 追加生産",IF(L36=0,"—","在庫で充足"))</f>
        <v>要 追加生産</v>
      </c>
      <c r="Q36" s="29" t="n">
        <f aca="false">③石川以降予測!S54</f>
        <v>256</v>
      </c>
      <c r="R36" s="29" t="n">
        <f aca="false">K36+Q36</f>
        <v>256</v>
      </c>
      <c r="S36" s="28" t="n">
        <f aca="false">R36*D36</f>
        <v>844800</v>
      </c>
      <c r="T36" s="26" t="str">
        <f aca="false">IF(I36&gt;0,"A:会期中欠品",IF(O36&gt;1000,"B:大口",IF(O36&gt;0,"C:通常","D:不要")))</f>
        <v>C:通常</v>
      </c>
      <c r="U36" s="56" t="s">
        <v>398</v>
      </c>
    </row>
    <row r="37" customFormat="false" ht="15" hidden="false" customHeight="false" outlineLevel="0" collapsed="false">
      <c r="A37" s="26" t="n">
        <v>31</v>
      </c>
      <c r="B37" s="26" t="s">
        <v>240</v>
      </c>
      <c r="C37" s="27" t="s">
        <v>241</v>
      </c>
      <c r="D37" s="28" t="n">
        <v>1300</v>
      </c>
      <c r="E37" s="29" t="n">
        <f aca="false">①札幌予測確定!E37</f>
        <v>43</v>
      </c>
      <c r="F37" s="29" t="n">
        <f aca="false">①札幌予測確定!P37</f>
        <v>96</v>
      </c>
      <c r="G37" s="29" t="n">
        <f aca="false">①札幌予測確定!S37</f>
        <v>200</v>
      </c>
      <c r="H37" s="31" t="n">
        <f aca="false">IFERROR(F37/G37,0)</f>
        <v>0.48</v>
      </c>
      <c r="I37" s="32" t="n">
        <f aca="false">F37-G37</f>
        <v>-104</v>
      </c>
      <c r="J37" s="33" t="str">
        <f aca="false">IF(I37&gt;0,"要 追加発注",IF(H37&gt;=0.9,"要注意(90%超)",IF(H37&gt;=0.5,"適正","在庫余剰")))</f>
        <v>在庫余剰</v>
      </c>
      <c r="K37" s="29" t="n">
        <f aca="false">IF(I37&gt;0,ROUNDUP(I37*(1+前提・入力!$B$26),0),0)</f>
        <v>0</v>
      </c>
      <c r="L37" s="29" t="n">
        <f aca="false">③石川以降予測!N55</f>
        <v>724</v>
      </c>
      <c r="M37" s="29" t="n">
        <f aca="false">③石川以降予測!O55</f>
        <v>104</v>
      </c>
      <c r="N37" s="29" t="n">
        <f aca="false">③石川以降予測!P55</f>
        <v>0</v>
      </c>
      <c r="O37" s="32" t="n">
        <f aca="false">L37-M37-N37</f>
        <v>620</v>
      </c>
      <c r="P37" s="33" t="str">
        <f aca="false">IF(O37&gt;0,"要 追加生産",IF(L37=0,"—","在庫で充足"))</f>
        <v>要 追加生産</v>
      </c>
      <c r="Q37" s="29" t="n">
        <f aca="false">③石川以降予測!S55</f>
        <v>682</v>
      </c>
      <c r="R37" s="29" t="n">
        <f aca="false">K37+Q37</f>
        <v>682</v>
      </c>
      <c r="S37" s="28" t="n">
        <f aca="false">R37*D37</f>
        <v>886600</v>
      </c>
      <c r="T37" s="26" t="str">
        <f aca="false">IF(I37&gt;0,"A:会期中欠品",IF(O37&gt;1000,"B:大口",IF(O37&gt;0,"C:通常","D:不要")))</f>
        <v>C:通常</v>
      </c>
      <c r="U37" s="56" t="s">
        <v>398</v>
      </c>
    </row>
    <row r="38" customFormat="false" ht="37.3" hidden="false" customHeight="false" outlineLevel="0" collapsed="false">
      <c r="A38" s="26" t="n">
        <v>32</v>
      </c>
      <c r="B38" s="26" t="s">
        <v>242</v>
      </c>
      <c r="C38" s="27" t="s">
        <v>243</v>
      </c>
      <c r="D38" s="28" t="n">
        <v>8800</v>
      </c>
      <c r="E38" s="29" t="n">
        <f aca="false">①札幌予測確定!E38</f>
        <v>10</v>
      </c>
      <c r="F38" s="29" t="n">
        <f aca="false">①札幌予測確定!P38</f>
        <v>10</v>
      </c>
      <c r="G38" s="29" t="n">
        <f aca="false">①札幌予測確定!S38</f>
        <v>10</v>
      </c>
      <c r="H38" s="31" t="n">
        <f aca="false">IFERROR(F38/G38,0)</f>
        <v>1</v>
      </c>
      <c r="I38" s="32" t="n">
        <f aca="false">F38-G38</f>
        <v>0</v>
      </c>
      <c r="J38" s="33" t="str">
        <f aca="false">IF(I38&gt;0,"要 追加発注",IF(H38&gt;=0.9,"要注意(90%超)",IF(H38&gt;=0.5,"適正","在庫余剰")))</f>
        <v>要注意(90%超)</v>
      </c>
      <c r="K38" s="29" t="n">
        <f aca="false">IF(I38&gt;0,ROUNDUP(I38*(1+前提・入力!$B$26),0),0)</f>
        <v>0</v>
      </c>
      <c r="L38" s="29" t="n">
        <f aca="false">③石川以降予測!N56</f>
        <v>72</v>
      </c>
      <c r="M38" s="29" t="n">
        <f aca="false">③石川以降予測!O56</f>
        <v>0</v>
      </c>
      <c r="N38" s="29" t="n">
        <f aca="false">③石川以降予測!P56</f>
        <v>0</v>
      </c>
      <c r="O38" s="32" t="n">
        <f aca="false">L38-M38-N38</f>
        <v>72</v>
      </c>
      <c r="P38" s="33" t="str">
        <f aca="false">IF(O38&gt;0,"要 追加生産",IF(L38=0,"—","在庫で充足"))</f>
        <v>要 追加生産</v>
      </c>
      <c r="Q38" s="29" t="n">
        <f aca="false">③石川以降予測!S56</f>
        <v>80</v>
      </c>
      <c r="R38" s="29" t="n">
        <f aca="false">K38+Q38</f>
        <v>80</v>
      </c>
      <c r="S38" s="28" t="n">
        <f aca="false">R38*D38</f>
        <v>704000</v>
      </c>
      <c r="T38" s="26" t="str">
        <f aca="false">IF(I38&gt;0,"A:会期中欠品",IF(O38&gt;1000,"B:大口",IF(O38&gt;0,"C:通常","D:不要")))</f>
        <v>C:通常</v>
      </c>
      <c r="U38" s="56" t="s">
        <v>404</v>
      </c>
    </row>
    <row r="39" customFormat="false" ht="15" hidden="false" customHeight="false" outlineLevel="0" collapsed="false">
      <c r="A39" s="26" t="n">
        <v>33</v>
      </c>
      <c r="B39" s="26" t="s">
        <v>244</v>
      </c>
      <c r="C39" s="27" t="s">
        <v>245</v>
      </c>
      <c r="D39" s="28" t="n">
        <v>27500</v>
      </c>
      <c r="E39" s="29" t="n">
        <f aca="false">①札幌予測確定!E39</f>
        <v>0</v>
      </c>
      <c r="F39" s="29" t="n">
        <f aca="false">①札幌予測確定!P39</f>
        <v>0</v>
      </c>
      <c r="G39" s="29" t="n">
        <f aca="false">①札幌予測確定!S39</f>
        <v>15</v>
      </c>
      <c r="H39" s="31" t="n">
        <f aca="false">IFERROR(F39/G39,0)</f>
        <v>0</v>
      </c>
      <c r="I39" s="32" t="n">
        <f aca="false">F39-G39</f>
        <v>-15</v>
      </c>
      <c r="J39" s="33" t="str">
        <f aca="false">IF(I39&gt;0,"要 追加発注",IF(H39&gt;=0.9,"要注意(90%超)",IF(H39&gt;=0.5,"適正","在庫余剰")))</f>
        <v>在庫余剰</v>
      </c>
      <c r="K39" s="29" t="n">
        <f aca="false">IF(I39&gt;0,ROUNDUP(I39*(1+前提・入力!$B$26),0),0)</f>
        <v>0</v>
      </c>
      <c r="L39" s="29" t="n">
        <f aca="false">③石川以降予測!N57</f>
        <v>14</v>
      </c>
      <c r="M39" s="29" t="n">
        <f aca="false">③石川以降予測!O57</f>
        <v>15</v>
      </c>
      <c r="N39" s="29" t="n">
        <f aca="false">③石川以降予測!P57</f>
        <v>0</v>
      </c>
      <c r="O39" s="32" t="n">
        <f aca="false">L39-M39-N39</f>
        <v>-1</v>
      </c>
      <c r="P39" s="33" t="str">
        <f aca="false">IF(O39&gt;0,"要 追加生産",IF(L39=0,"—","在庫で充足"))</f>
        <v>在庫で充足</v>
      </c>
      <c r="Q39" s="29" t="n">
        <f aca="false">③石川以降予測!S57</f>
        <v>0</v>
      </c>
      <c r="R39" s="29" t="n">
        <f aca="false">K39+Q39</f>
        <v>0</v>
      </c>
      <c r="S39" s="28" t="n">
        <f aca="false">R39*D39</f>
        <v>0</v>
      </c>
      <c r="T39" s="26" t="str">
        <f aca="false">IF(I39&gt;0,"A:会期中欠品",IF(O39&gt;1000,"B:大口",IF(O39&gt;0,"C:通常","D:不要")))</f>
        <v>D:不要</v>
      </c>
      <c r="U39" s="56" t="s">
        <v>405</v>
      </c>
    </row>
    <row r="40" customFormat="false" ht="37.3" hidden="false" customHeight="false" outlineLevel="0" collapsed="false">
      <c r="A40" s="26" t="n">
        <v>34</v>
      </c>
      <c r="B40" s="26" t="s">
        <v>246</v>
      </c>
      <c r="C40" s="27" t="s">
        <v>247</v>
      </c>
      <c r="D40" s="28" t="n">
        <v>27500</v>
      </c>
      <c r="E40" s="29" t="n">
        <f aca="false">①札幌予測確定!E40</f>
        <v>1</v>
      </c>
      <c r="F40" s="29" t="n">
        <f aca="false">①札幌予測確定!P40</f>
        <v>1</v>
      </c>
      <c r="G40" s="29" t="n">
        <f aca="false">①札幌予測確定!S40</f>
        <v>2</v>
      </c>
      <c r="H40" s="31" t="n">
        <f aca="false">IFERROR(F40/G40,0)</f>
        <v>0.5</v>
      </c>
      <c r="I40" s="32" t="n">
        <f aca="false">F40-G40</f>
        <v>-1</v>
      </c>
      <c r="J40" s="33" t="str">
        <f aca="false">IF(I40&gt;0,"要 追加発注",IF(H40&gt;=0.9,"要注意(90%超)",IF(H40&gt;=0.5,"適正","在庫余剰")))</f>
        <v>適正</v>
      </c>
      <c r="K40" s="29" t="n">
        <f aca="false">IF(I40&gt;0,ROUNDUP(I40*(1+前提・入力!$B$26),0),0)</f>
        <v>0</v>
      </c>
      <c r="L40" s="29" t="n">
        <f aca="false">③石川以降予測!N58</f>
        <v>7</v>
      </c>
      <c r="M40" s="29" t="n">
        <f aca="false">③石川以降予測!O58</f>
        <v>1</v>
      </c>
      <c r="N40" s="29" t="n">
        <f aca="false">③石川以降予測!P58</f>
        <v>0</v>
      </c>
      <c r="O40" s="32" t="n">
        <f aca="false">L40-M40-N40</f>
        <v>6</v>
      </c>
      <c r="P40" s="33" t="str">
        <f aca="false">IF(O40&gt;0,"要 追加生産",IF(L40=0,"—","在庫で充足"))</f>
        <v>要 追加生産</v>
      </c>
      <c r="Q40" s="29" t="n">
        <f aca="false">③石川以降予測!S58</f>
        <v>7</v>
      </c>
      <c r="R40" s="29" t="n">
        <f aca="false">K40+Q40</f>
        <v>7</v>
      </c>
      <c r="S40" s="28" t="n">
        <f aca="false">R40*D40</f>
        <v>192500</v>
      </c>
      <c r="T40" s="26" t="str">
        <f aca="false">IF(I40&gt;0,"A:会期中欠品",IF(O40&gt;1000,"B:大口",IF(O40&gt;0,"C:通常","D:不要")))</f>
        <v>C:通常</v>
      </c>
      <c r="U40" s="56" t="s">
        <v>406</v>
      </c>
    </row>
    <row r="41" customFormat="false" ht="49.25" hidden="false" customHeight="false" outlineLevel="0" collapsed="false">
      <c r="A41" s="26" t="n">
        <v>35</v>
      </c>
      <c r="B41" s="26" t="s">
        <v>248</v>
      </c>
      <c r="C41" s="27" t="s">
        <v>249</v>
      </c>
      <c r="D41" s="28" t="n">
        <v>27500</v>
      </c>
      <c r="E41" s="29" t="n">
        <f aca="false">①札幌予測確定!E41</f>
        <v>0</v>
      </c>
      <c r="F41" s="29" t="n">
        <f aca="false">①札幌予測確定!P41</f>
        <v>0</v>
      </c>
      <c r="G41" s="29" t="n">
        <f aca="false">①札幌予測確定!S41</f>
        <v>2</v>
      </c>
      <c r="H41" s="31" t="n">
        <f aca="false">IFERROR(F41/G41,0)</f>
        <v>0</v>
      </c>
      <c r="I41" s="32" t="n">
        <f aca="false">F41-G41</f>
        <v>-2</v>
      </c>
      <c r="J41" s="33" t="str">
        <f aca="false">IF(I41&gt;0,"要 追加発注",IF(H41&gt;=0.9,"要注意(90%超)",IF(H41&gt;=0.5,"適正","在庫余剰")))</f>
        <v>在庫余剰</v>
      </c>
      <c r="K41" s="29" t="n">
        <f aca="false">IF(I41&gt;0,ROUNDUP(I41*(1+前提・入力!$B$26),0),0)</f>
        <v>0</v>
      </c>
      <c r="L41" s="29" t="n">
        <f aca="false">③石川以降予測!N59</f>
        <v>1</v>
      </c>
      <c r="M41" s="29" t="n">
        <f aca="false">③石川以降予測!O59</f>
        <v>2</v>
      </c>
      <c r="N41" s="29" t="n">
        <f aca="false">③石川以降予測!P59</f>
        <v>0</v>
      </c>
      <c r="O41" s="32" t="n">
        <f aca="false">L41-M41-N41</f>
        <v>-1</v>
      </c>
      <c r="P41" s="33" t="str">
        <f aca="false">IF(O41&gt;0,"要 追加生産",IF(L41=0,"—","在庫で充足"))</f>
        <v>在庫で充足</v>
      </c>
      <c r="Q41" s="29" t="n">
        <f aca="false">③石川以降予測!S59</f>
        <v>0</v>
      </c>
      <c r="R41" s="29" t="n">
        <f aca="false">K41+Q41</f>
        <v>0</v>
      </c>
      <c r="S41" s="28" t="n">
        <f aca="false">R41*D41</f>
        <v>0</v>
      </c>
      <c r="T41" s="26" t="str">
        <f aca="false">IF(I41&gt;0,"A:会期中欠品",IF(O41&gt;1000,"B:大口",IF(O41&gt;0,"C:通常","D:不要")))</f>
        <v>D:不要</v>
      </c>
      <c r="U41" s="56" t="s">
        <v>407</v>
      </c>
    </row>
    <row r="42" customFormat="false" ht="49.25" hidden="false" customHeight="false" outlineLevel="0" collapsed="false">
      <c r="A42" s="26" t="n">
        <v>36</v>
      </c>
      <c r="B42" s="26" t="s">
        <v>250</v>
      </c>
      <c r="C42" s="27" t="s">
        <v>251</v>
      </c>
      <c r="D42" s="28" t="n">
        <v>27500</v>
      </c>
      <c r="E42" s="29" t="n">
        <f aca="false">①札幌予測確定!E42</f>
        <v>0</v>
      </c>
      <c r="F42" s="29" t="n">
        <f aca="false">①札幌予測確定!P42</f>
        <v>0</v>
      </c>
      <c r="G42" s="29" t="n">
        <f aca="false">①札幌予測確定!S42</f>
        <v>2</v>
      </c>
      <c r="H42" s="31" t="n">
        <f aca="false">IFERROR(F42/G42,0)</f>
        <v>0</v>
      </c>
      <c r="I42" s="32" t="n">
        <f aca="false">F42-G42</f>
        <v>-2</v>
      </c>
      <c r="J42" s="33" t="str">
        <f aca="false">IF(I42&gt;0,"要 追加発注",IF(H42&gt;=0.9,"要注意(90%超)",IF(H42&gt;=0.5,"適正","在庫余剰")))</f>
        <v>在庫余剰</v>
      </c>
      <c r="K42" s="29" t="n">
        <f aca="false">IF(I42&gt;0,ROUNDUP(I42*(1+前提・入力!$B$26),0),0)</f>
        <v>0</v>
      </c>
      <c r="L42" s="29" t="n">
        <f aca="false">③石川以降予測!N60</f>
        <v>1</v>
      </c>
      <c r="M42" s="29" t="n">
        <f aca="false">③石川以降予測!O60</f>
        <v>2</v>
      </c>
      <c r="N42" s="29" t="n">
        <f aca="false">③石川以降予測!P60</f>
        <v>0</v>
      </c>
      <c r="O42" s="32" t="n">
        <f aca="false">L42-M42-N42</f>
        <v>-1</v>
      </c>
      <c r="P42" s="33" t="str">
        <f aca="false">IF(O42&gt;0,"要 追加生産",IF(L42=0,"—","在庫で充足"))</f>
        <v>在庫で充足</v>
      </c>
      <c r="Q42" s="29" t="n">
        <f aca="false">③石川以降予測!S60</f>
        <v>0</v>
      </c>
      <c r="R42" s="29" t="n">
        <f aca="false">K42+Q42</f>
        <v>0</v>
      </c>
      <c r="S42" s="28" t="n">
        <f aca="false">R42*D42</f>
        <v>0</v>
      </c>
      <c r="T42" s="26" t="str">
        <f aca="false">IF(I42&gt;0,"A:会期中欠品",IF(O42&gt;1000,"B:大口",IF(O42&gt;0,"C:通常","D:不要")))</f>
        <v>D:不要</v>
      </c>
      <c r="U42" s="56" t="s">
        <v>407</v>
      </c>
    </row>
    <row r="43" customFormat="false" ht="37.3" hidden="false" customHeight="false" outlineLevel="0" collapsed="false">
      <c r="A43" s="26" t="n">
        <v>37</v>
      </c>
      <c r="B43" s="26" t="s">
        <v>252</v>
      </c>
      <c r="C43" s="27" t="s">
        <v>253</v>
      </c>
      <c r="D43" s="28" t="n">
        <v>27500</v>
      </c>
      <c r="E43" s="29" t="n">
        <f aca="false">①札幌予測確定!E43</f>
        <v>0</v>
      </c>
      <c r="F43" s="29" t="n">
        <f aca="false">①札幌予測確定!P43</f>
        <v>0</v>
      </c>
      <c r="G43" s="29" t="n">
        <f aca="false">①札幌予測確定!S43</f>
        <v>8</v>
      </c>
      <c r="H43" s="31" t="n">
        <f aca="false">IFERROR(F43/G43,0)</f>
        <v>0</v>
      </c>
      <c r="I43" s="32" t="n">
        <f aca="false">F43-G43</f>
        <v>-8</v>
      </c>
      <c r="J43" s="33" t="str">
        <f aca="false">IF(I43&gt;0,"要 追加発注",IF(H43&gt;=0.9,"要注意(90%超)",IF(H43&gt;=0.5,"適正","在庫余剰")))</f>
        <v>在庫余剰</v>
      </c>
      <c r="K43" s="29" t="n">
        <f aca="false">IF(I43&gt;0,ROUNDUP(I43*(1+前提・入力!$B$26),0),0)</f>
        <v>0</v>
      </c>
      <c r="L43" s="29" t="n">
        <f aca="false">③石川以降予測!N61</f>
        <v>17</v>
      </c>
      <c r="M43" s="29" t="n">
        <f aca="false">③石川以降予測!O61</f>
        <v>8</v>
      </c>
      <c r="N43" s="29" t="n">
        <f aca="false">③石川以降予測!P61</f>
        <v>0</v>
      </c>
      <c r="O43" s="32" t="n">
        <f aca="false">L43-M43-N43</f>
        <v>9</v>
      </c>
      <c r="P43" s="33" t="str">
        <f aca="false">IF(O43&gt;0,"要 追加生産",IF(L43=0,"—","在庫で充足"))</f>
        <v>要 追加生産</v>
      </c>
      <c r="Q43" s="29" t="n">
        <f aca="false">③石川以降予測!S61</f>
        <v>10</v>
      </c>
      <c r="R43" s="29" t="n">
        <f aca="false">K43+Q43</f>
        <v>10</v>
      </c>
      <c r="S43" s="28" t="n">
        <f aca="false">R43*D43</f>
        <v>275000</v>
      </c>
      <c r="T43" s="26" t="str">
        <f aca="false">IF(I43&gt;0,"A:会期中欠品",IF(O43&gt;1000,"B:大口",IF(O43&gt;0,"C:通常","D:不要")))</f>
        <v>C:通常</v>
      </c>
      <c r="U43" s="56" t="s">
        <v>408</v>
      </c>
    </row>
    <row r="44" customFormat="false" ht="37.3" hidden="false" customHeight="false" outlineLevel="0" collapsed="false">
      <c r="A44" s="26" t="n">
        <v>38</v>
      </c>
      <c r="B44" s="26" t="s">
        <v>254</v>
      </c>
      <c r="C44" s="27" t="s">
        <v>255</v>
      </c>
      <c r="D44" s="28" t="n">
        <v>27500</v>
      </c>
      <c r="E44" s="29" t="n">
        <f aca="false">①札幌予測確定!E44</f>
        <v>1</v>
      </c>
      <c r="F44" s="29" t="n">
        <f aca="false">①札幌予測確定!P44</f>
        <v>1</v>
      </c>
      <c r="G44" s="29" t="n">
        <f aca="false">①札幌予測確定!S44</f>
        <v>2</v>
      </c>
      <c r="H44" s="31" t="n">
        <f aca="false">IFERROR(F44/G44,0)</f>
        <v>0.5</v>
      </c>
      <c r="I44" s="32" t="n">
        <f aca="false">F44-G44</f>
        <v>-1</v>
      </c>
      <c r="J44" s="33" t="str">
        <f aca="false">IF(I44&gt;0,"要 追加発注",IF(H44&gt;=0.9,"要注意(90%超)",IF(H44&gt;=0.5,"適正","在庫余剰")))</f>
        <v>適正</v>
      </c>
      <c r="K44" s="29" t="n">
        <f aca="false">IF(I44&gt;0,ROUNDUP(I44*(1+前提・入力!$B$26),0),0)</f>
        <v>0</v>
      </c>
      <c r="L44" s="29" t="n">
        <f aca="false">③石川以降予測!N62</f>
        <v>7</v>
      </c>
      <c r="M44" s="29" t="n">
        <f aca="false">③石川以降予測!O62</f>
        <v>1</v>
      </c>
      <c r="N44" s="29" t="n">
        <f aca="false">③石川以降予測!P62</f>
        <v>0</v>
      </c>
      <c r="O44" s="32" t="n">
        <f aca="false">L44-M44-N44</f>
        <v>6</v>
      </c>
      <c r="P44" s="33" t="str">
        <f aca="false">IF(O44&gt;0,"要 追加生産",IF(L44=0,"—","在庫で充足"))</f>
        <v>要 追加生産</v>
      </c>
      <c r="Q44" s="29" t="n">
        <f aca="false">③石川以降予測!S62</f>
        <v>7</v>
      </c>
      <c r="R44" s="29" t="n">
        <f aca="false">K44+Q44</f>
        <v>7</v>
      </c>
      <c r="S44" s="28" t="n">
        <f aca="false">R44*D44</f>
        <v>192500</v>
      </c>
      <c r="T44" s="26" t="str">
        <f aca="false">IF(I44&gt;0,"A:会期中欠品",IF(O44&gt;1000,"B:大口",IF(O44&gt;0,"C:通常","D:不要")))</f>
        <v>C:通常</v>
      </c>
      <c r="U44" s="56" t="s">
        <v>406</v>
      </c>
    </row>
    <row r="45" customFormat="false" ht="37.3" hidden="false" customHeight="false" outlineLevel="0" collapsed="false">
      <c r="A45" s="26" t="n">
        <v>39</v>
      </c>
      <c r="B45" s="26" t="s">
        <v>256</v>
      </c>
      <c r="C45" s="27" t="s">
        <v>257</v>
      </c>
      <c r="D45" s="28" t="n">
        <v>27500</v>
      </c>
      <c r="E45" s="29" t="n">
        <f aca="false">①札幌予測確定!E45</f>
        <v>1</v>
      </c>
      <c r="F45" s="29" t="n">
        <f aca="false">①札幌予測確定!P45</f>
        <v>1</v>
      </c>
      <c r="G45" s="29" t="n">
        <f aca="false">①札幌予測確定!S45</f>
        <v>2</v>
      </c>
      <c r="H45" s="31" t="n">
        <f aca="false">IFERROR(F45/G45,0)</f>
        <v>0.5</v>
      </c>
      <c r="I45" s="32" t="n">
        <f aca="false">F45-G45</f>
        <v>-1</v>
      </c>
      <c r="J45" s="33" t="str">
        <f aca="false">IF(I45&gt;0,"要 追加発注",IF(H45&gt;=0.9,"要注意(90%超)",IF(H45&gt;=0.5,"適正","在庫余剰")))</f>
        <v>適正</v>
      </c>
      <c r="K45" s="29" t="n">
        <f aca="false">IF(I45&gt;0,ROUNDUP(I45*(1+前提・入力!$B$26),0),0)</f>
        <v>0</v>
      </c>
      <c r="L45" s="29" t="n">
        <f aca="false">③石川以降予測!N63</f>
        <v>7</v>
      </c>
      <c r="M45" s="29" t="n">
        <f aca="false">③石川以降予測!O63</f>
        <v>1</v>
      </c>
      <c r="N45" s="29" t="n">
        <f aca="false">③石川以降予測!P63</f>
        <v>0</v>
      </c>
      <c r="O45" s="32" t="n">
        <f aca="false">L45-M45-N45</f>
        <v>6</v>
      </c>
      <c r="P45" s="33" t="str">
        <f aca="false">IF(O45&gt;0,"要 追加生産",IF(L45=0,"—","在庫で充足"))</f>
        <v>要 追加生産</v>
      </c>
      <c r="Q45" s="29" t="n">
        <f aca="false">③石川以降予測!S63</f>
        <v>7</v>
      </c>
      <c r="R45" s="29" t="n">
        <f aca="false">K45+Q45</f>
        <v>7</v>
      </c>
      <c r="S45" s="28" t="n">
        <f aca="false">R45*D45</f>
        <v>192500</v>
      </c>
      <c r="T45" s="26" t="str">
        <f aca="false">IF(I45&gt;0,"A:会期中欠品",IF(O45&gt;1000,"B:大口",IF(O45&gt;0,"C:通常","D:不要")))</f>
        <v>C:通常</v>
      </c>
      <c r="U45" s="56" t="s">
        <v>406</v>
      </c>
    </row>
    <row r="46" customFormat="false" ht="49.25" hidden="false" customHeight="false" outlineLevel="0" collapsed="false">
      <c r="A46" s="26" t="n">
        <v>40</v>
      </c>
      <c r="B46" s="26" t="s">
        <v>258</v>
      </c>
      <c r="C46" s="27" t="s">
        <v>259</v>
      </c>
      <c r="D46" s="28" t="n">
        <v>27500</v>
      </c>
      <c r="E46" s="29" t="n">
        <f aca="false">①札幌予測確定!E46</f>
        <v>0</v>
      </c>
      <c r="F46" s="29" t="n">
        <f aca="false">①札幌予測確定!P46</f>
        <v>0</v>
      </c>
      <c r="G46" s="29" t="n">
        <f aca="false">①札幌予測確定!S46</f>
        <v>2</v>
      </c>
      <c r="H46" s="31" t="n">
        <f aca="false">IFERROR(F46/G46,0)</f>
        <v>0</v>
      </c>
      <c r="I46" s="32" t="n">
        <f aca="false">F46-G46</f>
        <v>-2</v>
      </c>
      <c r="J46" s="33" t="str">
        <f aca="false">IF(I46&gt;0,"要 追加発注",IF(H46&gt;=0.9,"要注意(90%超)",IF(H46&gt;=0.5,"適正","在庫余剰")))</f>
        <v>在庫余剰</v>
      </c>
      <c r="K46" s="29" t="n">
        <f aca="false">IF(I46&gt;0,ROUNDUP(I46*(1+前提・入力!$B$26),0),0)</f>
        <v>0</v>
      </c>
      <c r="L46" s="29" t="n">
        <f aca="false">③石川以降予測!N64</f>
        <v>1</v>
      </c>
      <c r="M46" s="29" t="n">
        <f aca="false">③石川以降予測!O64</f>
        <v>2</v>
      </c>
      <c r="N46" s="29" t="n">
        <f aca="false">③石川以降予測!P64</f>
        <v>0</v>
      </c>
      <c r="O46" s="32" t="n">
        <f aca="false">L46-M46-N46</f>
        <v>-1</v>
      </c>
      <c r="P46" s="33" t="str">
        <f aca="false">IF(O46&gt;0,"要 追加生産",IF(L46=0,"—","在庫で充足"))</f>
        <v>在庫で充足</v>
      </c>
      <c r="Q46" s="29" t="n">
        <f aca="false">③石川以降予測!S64</f>
        <v>0</v>
      </c>
      <c r="R46" s="29" t="n">
        <f aca="false">K46+Q46</f>
        <v>0</v>
      </c>
      <c r="S46" s="28" t="n">
        <f aca="false">R46*D46</f>
        <v>0</v>
      </c>
      <c r="T46" s="26" t="str">
        <f aca="false">IF(I46&gt;0,"A:会期中欠品",IF(O46&gt;1000,"B:大口",IF(O46&gt;0,"C:通常","D:不要")))</f>
        <v>D:不要</v>
      </c>
      <c r="U46" s="56" t="s">
        <v>407</v>
      </c>
    </row>
    <row r="47" customFormat="false" ht="25.35" hidden="false" customHeight="false" outlineLevel="0" collapsed="false">
      <c r="A47" s="26" t="n">
        <v>41</v>
      </c>
      <c r="B47" s="26" t="s">
        <v>260</v>
      </c>
      <c r="C47" s="27" t="s">
        <v>261</v>
      </c>
      <c r="D47" s="28" t="n">
        <v>25000</v>
      </c>
      <c r="E47" s="29" t="n">
        <f aca="false">①札幌予測確定!E47</f>
        <v>0</v>
      </c>
      <c r="F47" s="29" t="n">
        <f aca="false">①札幌予測確定!P47</f>
        <v>0</v>
      </c>
      <c r="G47" s="29" t="n">
        <f aca="false">①札幌予測確定!S47</f>
        <v>4</v>
      </c>
      <c r="H47" s="31" t="n">
        <f aca="false">IFERROR(F47/G47,0)</f>
        <v>0</v>
      </c>
      <c r="I47" s="32" t="n">
        <f aca="false">F47-G47</f>
        <v>-4</v>
      </c>
      <c r="J47" s="33" t="str">
        <f aca="false">IF(I47&gt;0,"要 追加発注",IF(H47&gt;=0.9,"要注意(90%超)",IF(H47&gt;=0.5,"適正","在庫余剰")))</f>
        <v>在庫余剰</v>
      </c>
      <c r="K47" s="29" t="n">
        <f aca="false">IF(I47&gt;0,ROUNDUP(I47*(1+前提・入力!$B$26),0),0)</f>
        <v>0</v>
      </c>
      <c r="L47" s="29" t="n">
        <f aca="false">③石川以降予測!N65</f>
        <v>1</v>
      </c>
      <c r="M47" s="29" t="n">
        <f aca="false">③石川以降予測!O65</f>
        <v>4</v>
      </c>
      <c r="N47" s="29" t="n">
        <f aca="false">③石川以降予測!P65</f>
        <v>0</v>
      </c>
      <c r="O47" s="32" t="n">
        <f aca="false">L47-M47-N47</f>
        <v>-3</v>
      </c>
      <c r="P47" s="33" t="str">
        <f aca="false">IF(O47&gt;0,"要 追加生産",IF(L47=0,"—","在庫で充足"))</f>
        <v>在庫で充足</v>
      </c>
      <c r="Q47" s="29" t="n">
        <f aca="false">③石川以降予測!S65</f>
        <v>0</v>
      </c>
      <c r="R47" s="29" t="n">
        <f aca="false">K47+Q47</f>
        <v>0</v>
      </c>
      <c r="S47" s="28" t="n">
        <f aca="false">R47*D47</f>
        <v>0</v>
      </c>
      <c r="T47" s="26" t="str">
        <f aca="false">IF(I47&gt;0,"A:会期中欠品",IF(O47&gt;1000,"B:大口",IF(O47&gt;0,"C:通常","D:不要")))</f>
        <v>D:不要</v>
      </c>
      <c r="U47" s="56" t="s">
        <v>409</v>
      </c>
    </row>
    <row r="48" customFormat="false" ht="15" hidden="false" customHeight="false" outlineLevel="0" collapsed="false">
      <c r="A48" s="26" t="n">
        <v>42</v>
      </c>
      <c r="B48" s="26" t="s">
        <v>262</v>
      </c>
      <c r="C48" s="27" t="s">
        <v>263</v>
      </c>
      <c r="D48" s="28" t="n">
        <v>25000</v>
      </c>
      <c r="E48" s="29" t="n">
        <f aca="false">①札幌予測確定!E48</f>
        <v>1</v>
      </c>
      <c r="F48" s="29" t="n">
        <f aca="false">①札幌予測確定!P48</f>
        <v>3</v>
      </c>
      <c r="G48" s="29" t="n">
        <f aca="false">①札幌予測確定!S48</f>
        <v>6</v>
      </c>
      <c r="H48" s="31" t="n">
        <f aca="false">IFERROR(F48/G48,0)</f>
        <v>0.5</v>
      </c>
      <c r="I48" s="32" t="n">
        <f aca="false">F48-G48</f>
        <v>-3</v>
      </c>
      <c r="J48" s="33" t="str">
        <f aca="false">IF(I48&gt;0,"要 追加発注",IF(H48&gt;=0.9,"要注意(90%超)",IF(H48&gt;=0.5,"適正","在庫余剰")))</f>
        <v>適正</v>
      </c>
      <c r="K48" s="29" t="n">
        <f aca="false">IF(I48&gt;0,ROUNDUP(I48*(1+前提・入力!$B$26),0),0)</f>
        <v>0</v>
      </c>
      <c r="L48" s="29" t="n">
        <f aca="false">③石川以降予測!N66</f>
        <v>19</v>
      </c>
      <c r="M48" s="29" t="n">
        <f aca="false">③石川以降予測!O66</f>
        <v>3</v>
      </c>
      <c r="N48" s="29" t="n">
        <f aca="false">③石川以降予測!P66</f>
        <v>0</v>
      </c>
      <c r="O48" s="32" t="n">
        <f aca="false">L48-M48-N48</f>
        <v>16</v>
      </c>
      <c r="P48" s="33" t="str">
        <f aca="false">IF(O48&gt;0,"要 追加生産",IF(L48=0,"—","在庫で充足"))</f>
        <v>要 追加生産</v>
      </c>
      <c r="Q48" s="29" t="n">
        <f aca="false">③石川以降予測!S66</f>
        <v>18</v>
      </c>
      <c r="R48" s="29" t="n">
        <f aca="false">K48+Q48</f>
        <v>18</v>
      </c>
      <c r="S48" s="28" t="n">
        <f aca="false">R48*D48</f>
        <v>450000</v>
      </c>
      <c r="T48" s="26" t="str">
        <f aca="false">IF(I48&gt;0,"A:会期中欠品",IF(O48&gt;1000,"B:大口",IF(O48&gt;0,"C:通常","D:不要")))</f>
        <v>C:通常</v>
      </c>
      <c r="U48" s="56" t="s">
        <v>410</v>
      </c>
    </row>
    <row r="49" customFormat="false" ht="15" hidden="false" customHeight="false" outlineLevel="0" collapsed="false">
      <c r="A49" s="34"/>
      <c r="B49" s="34"/>
      <c r="C49" s="35" t="s">
        <v>264</v>
      </c>
      <c r="D49" s="34"/>
      <c r="E49" s="36" t="n">
        <f aca="false">SUM(E7:E48)</f>
        <v>4189</v>
      </c>
      <c r="F49" s="36" t="n">
        <f aca="false">SUM(F7:F48)</f>
        <v>9474</v>
      </c>
      <c r="G49" s="36" t="n">
        <f aca="false">SUM(G7:G48)</f>
        <v>50196</v>
      </c>
      <c r="H49" s="39" t="n">
        <f aca="false">IFERROR(F49/G49,0)</f>
        <v>0.188740138656467</v>
      </c>
      <c r="I49" s="36" t="n">
        <f aca="false">SUM(I7:I48)</f>
        <v>-40722</v>
      </c>
      <c r="J49" s="34" t="str">
        <f aca="false">COUNTIF(J7:J48,"要 追加発注")&amp;"品目"</f>
        <v>3品目</v>
      </c>
      <c r="K49" s="36" t="n">
        <f aca="false">SUM(K7:K48)</f>
        <v>143</v>
      </c>
      <c r="L49" s="36" t="n">
        <f aca="false">SUM(L7:L48)</f>
        <v>85963</v>
      </c>
      <c r="M49" s="36" t="n">
        <f aca="false">SUM(M7:M48)</f>
        <v>40851</v>
      </c>
      <c r="N49" s="36" t="n">
        <f aca="false">SUM(N7:N48)</f>
        <v>0</v>
      </c>
      <c r="O49" s="36" t="n">
        <f aca="false">SUM(O7:O48)</f>
        <v>45112</v>
      </c>
      <c r="P49" s="34" t="str">
        <f aca="false">COUNTIF(P7:P48,"要 追加生産")&amp;"品目"</f>
        <v>37品目</v>
      </c>
      <c r="Q49" s="36" t="n">
        <f aca="false">SUM(Q7:Q48)</f>
        <v>49647</v>
      </c>
      <c r="R49" s="36" t="n">
        <f aca="false">SUM(R7:R48)</f>
        <v>49790</v>
      </c>
      <c r="S49" s="38" t="n">
        <f aca="false">SUM(S7:S48)</f>
        <v>40106600</v>
      </c>
      <c r="T49" s="34"/>
      <c r="U49" s="34"/>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$T7="A:会期中欠品"</formula>
    </cfRule>
    <cfRule type="expression" priority="7" aboveAverage="0" equalAverage="0" bottom="0" percent="0" rank="0" text="" dxfId="1">
      <formula>$T7="B:大口"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7" min="44"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411</v>
      </c>
    </row>
    <row r="2" customFormat="false" ht="15" hidden="false" customHeight="false" outlineLevel="0" collapsed="false">
      <c r="A2" s="3" t="s">
        <v>412</v>
      </c>
    </row>
    <row r="3" customFormat="false" ht="15" hidden="false" customHeight="false" outlineLevel="0" collapsed="false">
      <c r="A3" s="3" t="s">
        <v>413</v>
      </c>
    </row>
    <row r="5" customFormat="false" ht="19.5" hidden="false" customHeight="true" outlineLevel="0" collapsed="false">
      <c r="A5" s="57" t="s">
        <v>414</v>
      </c>
      <c r="B5" s="57"/>
      <c r="C5" s="57"/>
      <c r="D5" s="57"/>
      <c r="E5" s="58" t="s">
        <v>415</v>
      </c>
      <c r="F5" s="58"/>
      <c r="G5" s="58"/>
      <c r="H5" s="58"/>
      <c r="I5" s="58"/>
      <c r="J5" s="58"/>
      <c r="K5" s="58"/>
      <c r="L5" s="59" t="s">
        <v>416</v>
      </c>
      <c r="M5" s="59"/>
      <c r="N5" s="59"/>
      <c r="O5" s="59"/>
      <c r="P5" s="59"/>
      <c r="Q5" s="59"/>
      <c r="R5" s="59"/>
      <c r="S5" s="60" t="s">
        <v>417</v>
      </c>
      <c r="T5" s="60"/>
      <c r="U5" s="60"/>
      <c r="V5" s="60"/>
      <c r="W5" s="60"/>
      <c r="X5" s="60"/>
      <c r="Y5" s="60"/>
      <c r="Z5" s="61" t="s">
        <v>418</v>
      </c>
      <c r="AA5" s="61"/>
      <c r="AB5" s="61"/>
      <c r="AC5" s="61"/>
      <c r="AD5" s="61"/>
      <c r="AE5" s="61"/>
      <c r="AF5" s="61"/>
      <c r="AG5" s="62" t="s">
        <v>419</v>
      </c>
      <c r="AH5" s="62"/>
      <c r="AI5" s="62"/>
      <c r="AJ5" s="62"/>
      <c r="AK5" s="62"/>
      <c r="AL5" s="62"/>
      <c r="AM5" s="62"/>
      <c r="AN5" s="62" t="s">
        <v>420</v>
      </c>
      <c r="AO5" s="62"/>
      <c r="AP5" s="62"/>
      <c r="AQ5" s="62"/>
      <c r="AR5" s="62"/>
      <c r="AS5" s="63" t="s">
        <v>421</v>
      </c>
      <c r="AT5" s="63"/>
      <c r="AU5" s="63"/>
      <c r="AV5" s="63"/>
      <c r="AW5" s="64" t="s">
        <v>422</v>
      </c>
      <c r="AX5" s="64"/>
      <c r="AY5" s="64"/>
      <c r="AZ5" s="64"/>
    </row>
    <row r="6" customFormat="false" ht="33.75" hidden="false" customHeight="true" outlineLevel="0" collapsed="false">
      <c r="A6" s="18" t="s">
        <v>157</v>
      </c>
      <c r="B6" s="18" t="s">
        <v>158</v>
      </c>
      <c r="C6" s="19" t="s">
        <v>159</v>
      </c>
      <c r="D6" s="19" t="s">
        <v>423</v>
      </c>
      <c r="E6" s="41" t="s">
        <v>160</v>
      </c>
      <c r="F6" s="41" t="s">
        <v>424</v>
      </c>
      <c r="G6" s="41" t="s">
        <v>425</v>
      </c>
      <c r="H6" s="41" t="s">
        <v>426</v>
      </c>
      <c r="I6" s="41" t="s">
        <v>427</v>
      </c>
      <c r="J6" s="41" t="s">
        <v>428</v>
      </c>
      <c r="K6" s="41" t="s">
        <v>429</v>
      </c>
      <c r="L6" s="21" t="s">
        <v>160</v>
      </c>
      <c r="M6" s="21" t="s">
        <v>424</v>
      </c>
      <c r="N6" s="21" t="s">
        <v>425</v>
      </c>
      <c r="O6" s="21" t="s">
        <v>426</v>
      </c>
      <c r="P6" s="21" t="s">
        <v>427</v>
      </c>
      <c r="Q6" s="21" t="s">
        <v>428</v>
      </c>
      <c r="R6" s="21" t="s">
        <v>429</v>
      </c>
      <c r="S6" s="22" t="s">
        <v>160</v>
      </c>
      <c r="T6" s="22" t="s">
        <v>424</v>
      </c>
      <c r="U6" s="22" t="s">
        <v>425</v>
      </c>
      <c r="V6" s="22" t="s">
        <v>426</v>
      </c>
      <c r="W6" s="22" t="s">
        <v>427</v>
      </c>
      <c r="X6" s="22" t="s">
        <v>428</v>
      </c>
      <c r="Y6" s="22" t="s">
        <v>429</v>
      </c>
      <c r="Z6" s="23" t="s">
        <v>160</v>
      </c>
      <c r="AA6" s="23" t="s">
        <v>424</v>
      </c>
      <c r="AB6" s="23" t="s">
        <v>425</v>
      </c>
      <c r="AC6" s="23" t="s">
        <v>426</v>
      </c>
      <c r="AD6" s="23" t="s">
        <v>427</v>
      </c>
      <c r="AE6" s="23" t="s">
        <v>428</v>
      </c>
      <c r="AF6" s="23" t="s">
        <v>429</v>
      </c>
      <c r="AG6" s="20" t="s">
        <v>160</v>
      </c>
      <c r="AH6" s="20" t="s">
        <v>424</v>
      </c>
      <c r="AI6" s="20" t="s">
        <v>425</v>
      </c>
      <c r="AJ6" s="20" t="s">
        <v>426</v>
      </c>
      <c r="AK6" s="20" t="s">
        <v>427</v>
      </c>
      <c r="AL6" s="20" t="s">
        <v>428</v>
      </c>
      <c r="AM6" s="20" t="s">
        <v>429</v>
      </c>
      <c r="AN6" s="20" t="s">
        <v>171</v>
      </c>
      <c r="AO6" s="20" t="s">
        <v>430</v>
      </c>
      <c r="AP6" s="20" t="s">
        <v>431</v>
      </c>
      <c r="AQ6" s="20" t="s">
        <v>176</v>
      </c>
      <c r="AR6" s="20" t="s">
        <v>177</v>
      </c>
      <c r="AS6" s="42" t="s">
        <v>432</v>
      </c>
      <c r="AT6" s="42" t="s">
        <v>433</v>
      </c>
      <c r="AU6" s="42" t="s">
        <v>434</v>
      </c>
      <c r="AV6" s="42" t="s">
        <v>378</v>
      </c>
      <c r="AW6" s="25" t="s">
        <v>388</v>
      </c>
      <c r="AX6" s="25" t="s">
        <v>393</v>
      </c>
      <c r="AY6" s="25" t="s">
        <v>435</v>
      </c>
      <c r="AZ6" s="25" t="s">
        <v>397</v>
      </c>
    </row>
    <row r="7" customFormat="false" ht="15" hidden="false" customHeight="false" outlineLevel="0" collapsed="false">
      <c r="A7" s="26" t="n">
        <v>1</v>
      </c>
      <c r="B7" s="26" t="s">
        <v>180</v>
      </c>
      <c r="C7" s="27" t="s">
        <v>181</v>
      </c>
      <c r="D7" s="28" t="n">
        <v>500</v>
      </c>
      <c r="E7" s="28" t="n">
        <v>500</v>
      </c>
      <c r="F7" s="29" t="n">
        <v>4965</v>
      </c>
      <c r="G7" s="31" t="n">
        <f aca="false">IFERROR(F7/F$49,0)</f>
        <v>0.0335054155278874</v>
      </c>
      <c r="H7" s="28" t="n">
        <f aca="false">F7*E7</f>
        <v>2482500</v>
      </c>
      <c r="I7" s="31" t="n">
        <f aca="false">IFERROR(H7/H$49,0)</f>
        <v>0.0242938870414988</v>
      </c>
      <c r="J7" s="29" t="n">
        <v>6000</v>
      </c>
      <c r="K7" s="31" t="n">
        <f aca="false">IFERROR(F7/J7,0)</f>
        <v>0.8275</v>
      </c>
      <c r="L7" s="28" t="n">
        <v>500</v>
      </c>
      <c r="M7" s="29" t="n">
        <v>1316</v>
      </c>
      <c r="N7" s="31" t="n">
        <f aca="false">IFERROR(M7/M$49,0)</f>
        <v>0.022457337883959</v>
      </c>
      <c r="O7" s="28" t="n">
        <f aca="false">M7*L7</f>
        <v>658000</v>
      </c>
      <c r="P7" s="31" t="n">
        <f aca="false">IFERROR(O7/O$49,0)</f>
        <v>0.0158632195103135</v>
      </c>
      <c r="Q7" s="29" t="n">
        <v>1998</v>
      </c>
      <c r="R7" s="31" t="n">
        <f aca="false">IFERROR(M7/Q7,0)</f>
        <v>0.658658658658659</v>
      </c>
      <c r="S7" s="28" t="n">
        <v>500</v>
      </c>
      <c r="T7" s="29" t="n">
        <v>1092</v>
      </c>
      <c r="U7" s="31" t="n">
        <f aca="false">IFERROR(T7/T$49,0)</f>
        <v>0.0243364311024938</v>
      </c>
      <c r="V7" s="28" t="n">
        <f aca="false">T7*S7</f>
        <v>546000</v>
      </c>
      <c r="W7" s="31" t="n">
        <f aca="false">IFERROR(V7/V$49,0)</f>
        <v>0.0175976897391932</v>
      </c>
      <c r="X7" s="29" t="n">
        <v>1099</v>
      </c>
      <c r="Y7" s="31" t="n">
        <f aca="false">IFERROR(T7/X7,0)</f>
        <v>0.993630573248408</v>
      </c>
      <c r="Z7" s="28" t="n">
        <v>500</v>
      </c>
      <c r="AA7" s="29" t="n">
        <v>2325</v>
      </c>
      <c r="AB7" s="31" t="n">
        <f aca="false">IFERROR(AA7/AA$49,0)</f>
        <v>0.0364763100094132</v>
      </c>
      <c r="AC7" s="28" t="n">
        <f aca="false">AA7*Z7</f>
        <v>1162500</v>
      </c>
      <c r="AD7" s="31" t="n">
        <f aca="false">IFERROR(AC7/AC$49,0)</f>
        <v>0.0255451836616301</v>
      </c>
      <c r="AE7" s="29" t="n">
        <v>3000</v>
      </c>
      <c r="AF7" s="31" t="n">
        <f aca="false">IFERROR(AA7/AE7,0)</f>
        <v>0.775</v>
      </c>
      <c r="AG7" s="28" t="n">
        <v>500</v>
      </c>
      <c r="AH7" s="29" t="n">
        <v>205</v>
      </c>
      <c r="AI7" s="31" t="n">
        <f aca="false">IFERROR(AH7/AH$49,0)</f>
        <v>0.0489376939603724</v>
      </c>
      <c r="AJ7" s="28" t="n">
        <f aca="false">AH7*AG7</f>
        <v>102500</v>
      </c>
      <c r="AK7" s="31" t="n">
        <f aca="false">IFERROR(AJ7/AJ$49,0)</f>
        <v>0.0308809351651</v>
      </c>
      <c r="AL7" s="29" t="n">
        <v>1000</v>
      </c>
      <c r="AM7" s="31" t="n">
        <f aca="false">IFERROR(AH7/AL7,0)</f>
        <v>0.205</v>
      </c>
      <c r="AN7" s="30" t="n">
        <f aca="false">①札幌予測確定!O7</f>
        <v>2.39042695150535</v>
      </c>
      <c r="AO7" s="29" t="n">
        <f aca="false">①札幌予測確定!P7</f>
        <v>490</v>
      </c>
      <c r="AP7" s="28" t="n">
        <f aca="false">①札幌予測確定!Q7</f>
        <v>245000</v>
      </c>
      <c r="AQ7" s="31" t="n">
        <f aca="false">①札幌予測確定!T7</f>
        <v>0.49</v>
      </c>
      <c r="AR7" s="29" t="n">
        <f aca="false">①札幌予測確定!U7</f>
        <v>510</v>
      </c>
      <c r="AS7" s="29" t="n">
        <f aca="false">③石川以降予測!N25</f>
        <v>3791</v>
      </c>
      <c r="AT7" s="29" t="n">
        <f aca="false">③石川以降予測!O25</f>
        <v>510</v>
      </c>
      <c r="AU7" s="32" t="n">
        <f aca="false">③石川以降予測!Q25</f>
        <v>3281</v>
      </c>
      <c r="AV7" s="29" t="n">
        <f aca="false">③石川以降予測!R25</f>
        <v>3281</v>
      </c>
      <c r="AW7" s="26" t="str">
        <f aca="false">④追加発注判定!J7</f>
        <v>在庫余剰</v>
      </c>
      <c r="AX7" s="26" t="str">
        <f aca="false">④追加発注判定!P7</f>
        <v>要 追加生産</v>
      </c>
      <c r="AY7" s="29" t="n">
        <f aca="false">④追加発注判定!R7</f>
        <v>3610</v>
      </c>
      <c r="AZ7" s="26" t="str">
        <f aca="false">④追加発注判定!T7</f>
        <v>B:大口</v>
      </c>
    </row>
    <row r="8" customFormat="false" ht="15" hidden="false" customHeight="false" outlineLevel="0" collapsed="false">
      <c r="A8" s="26" t="n">
        <v>2</v>
      </c>
      <c r="B8" s="26" t="s">
        <v>182</v>
      </c>
      <c r="C8" s="27" t="s">
        <v>183</v>
      </c>
      <c r="D8" s="28" t="n">
        <v>600</v>
      </c>
      <c r="E8" s="28" t="n">
        <v>600</v>
      </c>
      <c r="F8" s="29" t="n">
        <v>4902</v>
      </c>
      <c r="G8" s="31" t="n">
        <f aca="false">IFERROR(F8/F$49,0)</f>
        <v>0.0330802712825185</v>
      </c>
      <c r="H8" s="28" t="n">
        <f aca="false">F8*E8</f>
        <v>2941200</v>
      </c>
      <c r="I8" s="31" t="n">
        <f aca="false">IFERROR(H8/H$49,0)</f>
        <v>0.0287827514869914</v>
      </c>
      <c r="J8" s="29" t="n">
        <v>5699</v>
      </c>
      <c r="K8" s="31" t="n">
        <f aca="false">IFERROR(F8/J8,0)</f>
        <v>0.86015090366731</v>
      </c>
      <c r="L8" s="28" t="n">
        <v>600</v>
      </c>
      <c r="M8" s="29" t="n">
        <v>1466</v>
      </c>
      <c r="N8" s="31" t="n">
        <f aca="false">IFERROR(M8/M$49,0)</f>
        <v>0.0250170648464164</v>
      </c>
      <c r="O8" s="28" t="n">
        <f aca="false">M8*L8</f>
        <v>879600</v>
      </c>
      <c r="P8" s="31" t="n">
        <f aca="false">IFERROR(O8/O$49,0)</f>
        <v>0.0212056046827838</v>
      </c>
      <c r="Q8" s="29" t="n">
        <v>1999</v>
      </c>
      <c r="R8" s="31" t="n">
        <f aca="false">IFERROR(M8/Q8,0)</f>
        <v>0.733366683341671</v>
      </c>
      <c r="S8" s="28" t="n">
        <v>600</v>
      </c>
      <c r="T8" s="29" t="n">
        <v>1132</v>
      </c>
      <c r="U8" s="31" t="n">
        <f aca="false">IFERROR(T8/T$49,0)</f>
        <v>0.0252278754652225</v>
      </c>
      <c r="V8" s="28" t="n">
        <f aca="false">T8*S8</f>
        <v>679200</v>
      </c>
      <c r="W8" s="31" t="n">
        <f aca="false">IFERROR(V8/V$49,0)</f>
        <v>0.0218907525107327</v>
      </c>
      <c r="X8" s="29" t="n">
        <v>1200</v>
      </c>
      <c r="Y8" s="31" t="n">
        <f aca="false">IFERROR(T8/X8,0)</f>
        <v>0.943333333333333</v>
      </c>
      <c r="Z8" s="28" t="n">
        <v>600</v>
      </c>
      <c r="AA8" s="29" t="n">
        <v>1965</v>
      </c>
      <c r="AB8" s="31" t="n">
        <f aca="false">IFERROR(AA8/AA$49,0)</f>
        <v>0.0308283652337622</v>
      </c>
      <c r="AC8" s="28" t="n">
        <f aca="false">AA8*Z8</f>
        <v>1179000</v>
      </c>
      <c r="AD8" s="31" t="n">
        <f aca="false">IFERROR(AC8/AC$49,0)</f>
        <v>0.0259077604619888</v>
      </c>
      <c r="AE8" s="29" t="n">
        <v>3000</v>
      </c>
      <c r="AF8" s="31" t="n">
        <f aca="false">IFERROR(AA8/AE8,0)</f>
        <v>0.655</v>
      </c>
      <c r="AG8" s="28" t="n">
        <v>600</v>
      </c>
      <c r="AH8" s="29" t="n">
        <v>233</v>
      </c>
      <c r="AI8" s="31" t="n">
        <f aca="false">IFERROR(AH8/AH$49,0)</f>
        <v>0.0556218667939842</v>
      </c>
      <c r="AJ8" s="28" t="n">
        <f aca="false">AH8*AG8</f>
        <v>139800</v>
      </c>
      <c r="AK8" s="31" t="n">
        <f aca="false">IFERROR(AJ8/AJ$49,0)</f>
        <v>0.042118582791034</v>
      </c>
      <c r="AL8" s="29" t="n">
        <v>1000</v>
      </c>
      <c r="AM8" s="31" t="n">
        <f aca="false">IFERROR(AH8/AL8,0)</f>
        <v>0.233</v>
      </c>
      <c r="AN8" s="30" t="n">
        <f aca="false">①札幌予測確定!O8</f>
        <v>2.39262540729098</v>
      </c>
      <c r="AO8" s="29" t="n">
        <f aca="false">①札幌予測確定!P8</f>
        <v>557</v>
      </c>
      <c r="AP8" s="28" t="n">
        <f aca="false">①札幌予測確定!Q8</f>
        <v>334200</v>
      </c>
      <c r="AQ8" s="31" t="n">
        <f aca="false">①札幌予測確定!T8</f>
        <v>0.557</v>
      </c>
      <c r="AR8" s="29" t="n">
        <f aca="false">①札幌予測確定!U8</f>
        <v>443</v>
      </c>
      <c r="AS8" s="29" t="n">
        <f aca="false">③石川以降予測!N26</f>
        <v>3852</v>
      </c>
      <c r="AT8" s="29" t="n">
        <f aca="false">③石川以降予測!O26</f>
        <v>443</v>
      </c>
      <c r="AU8" s="32" t="n">
        <f aca="false">③石川以降予測!Q26</f>
        <v>3409</v>
      </c>
      <c r="AV8" s="29" t="n">
        <f aca="false">③石川以降予測!R26</f>
        <v>3409</v>
      </c>
      <c r="AW8" s="26" t="str">
        <f aca="false">④追加発注判定!J8</f>
        <v>適正</v>
      </c>
      <c r="AX8" s="26" t="str">
        <f aca="false">④追加発注判定!P8</f>
        <v>要 追加生産</v>
      </c>
      <c r="AY8" s="29" t="n">
        <f aca="false">④追加発注判定!R8</f>
        <v>3750</v>
      </c>
      <c r="AZ8" s="26" t="str">
        <f aca="false">④追加発注判定!T8</f>
        <v>B:大口</v>
      </c>
    </row>
    <row r="9" customFormat="false" ht="15" hidden="false" customHeight="false" outlineLevel="0" collapsed="false">
      <c r="A9" s="26" t="n">
        <v>3</v>
      </c>
      <c r="B9" s="26" t="s">
        <v>184</v>
      </c>
      <c r="C9" s="27" t="s">
        <v>185</v>
      </c>
      <c r="D9" s="28" t="n">
        <v>1000</v>
      </c>
      <c r="E9" s="28" t="n">
        <v>1000</v>
      </c>
      <c r="F9" s="29" t="n">
        <v>2956</v>
      </c>
      <c r="G9" s="31" t="n">
        <f aca="false">IFERROR(F9/F$49,0)</f>
        <v>0.019948037925566</v>
      </c>
      <c r="H9" s="28" t="n">
        <f aca="false">F9*E9</f>
        <v>2956000</v>
      </c>
      <c r="I9" s="31" t="n">
        <f aca="false">IFERROR(H9/H$49,0)</f>
        <v>0.0289275851338048</v>
      </c>
      <c r="J9" s="29" t="n">
        <v>3700</v>
      </c>
      <c r="K9" s="31" t="n">
        <f aca="false">IFERROR(F9/J9,0)</f>
        <v>0.798918918918919</v>
      </c>
      <c r="L9" s="28" t="n">
        <v>1000</v>
      </c>
      <c r="M9" s="29" t="n">
        <v>601</v>
      </c>
      <c r="N9" s="31" t="n">
        <f aca="false">IFERROR(M9/M$49,0)</f>
        <v>0.0102559726962457</v>
      </c>
      <c r="O9" s="28" t="n">
        <f aca="false">M9*L9</f>
        <v>601000</v>
      </c>
      <c r="P9" s="31" t="n">
        <f aca="false">IFERROR(O9/O$49,0)</f>
        <v>0.0144890500390553</v>
      </c>
      <c r="Q9" s="29" t="n">
        <v>1200</v>
      </c>
      <c r="R9" s="31" t="n">
        <f aca="false">IFERROR(M9/Q9,0)</f>
        <v>0.500833333333333</v>
      </c>
      <c r="S9" s="28" t="n">
        <v>1000</v>
      </c>
      <c r="T9" s="29" t="n">
        <v>454</v>
      </c>
      <c r="U9" s="31" t="n">
        <f aca="false">IFERROR(T9/T$49,0)</f>
        <v>0.0101178935169709</v>
      </c>
      <c r="V9" s="28" t="n">
        <f aca="false">T9*S9</f>
        <v>454000</v>
      </c>
      <c r="W9" s="31" t="n">
        <f aca="false">IFERROR(V9/V$49,0)</f>
        <v>0.0146325112483401</v>
      </c>
      <c r="X9" s="29" t="n">
        <v>500</v>
      </c>
      <c r="Y9" s="31" t="n">
        <f aca="false">IFERROR(T9/X9,0)</f>
        <v>0.908</v>
      </c>
      <c r="Z9" s="28" t="n">
        <v>1000</v>
      </c>
      <c r="AA9" s="29" t="n">
        <v>1132</v>
      </c>
      <c r="AB9" s="31" t="n">
        <f aca="false">IFERROR(AA9/AA$49,0)</f>
        <v>0.0177596485723251</v>
      </c>
      <c r="AC9" s="28" t="n">
        <f aca="false">AA9*Z9</f>
        <v>1132000</v>
      </c>
      <c r="AD9" s="31" t="n">
        <f aca="false">IFERROR(AC9/AC$49,0)</f>
        <v>0.0248749659397551</v>
      </c>
      <c r="AE9" s="29" t="n">
        <v>2000</v>
      </c>
      <c r="AF9" s="31" t="n">
        <f aca="false">IFERROR(AA9/AE9,0)</f>
        <v>0.566</v>
      </c>
      <c r="AG9" s="28" t="n">
        <v>1000</v>
      </c>
      <c r="AH9" s="29" t="n">
        <v>84</v>
      </c>
      <c r="AI9" s="31" t="n">
        <f aca="false">IFERROR(AH9/AH$49,0)</f>
        <v>0.0200525185008355</v>
      </c>
      <c r="AJ9" s="28" t="n">
        <f aca="false">AH9*AG9</f>
        <v>84000</v>
      </c>
      <c r="AK9" s="31" t="n">
        <f aca="false">IFERROR(AJ9/AJ$49,0)</f>
        <v>0.0253073029645698</v>
      </c>
      <c r="AL9" s="29" t="n">
        <v>450</v>
      </c>
      <c r="AM9" s="31" t="n">
        <f aca="false">IFERROR(AH9/AL9,0)</f>
        <v>0.186666666666667</v>
      </c>
      <c r="AN9" s="30" t="n">
        <f aca="false">①札幌予測確定!O9</f>
        <v>2.04033377839798</v>
      </c>
      <c r="AO9" s="29" t="n">
        <f aca="false">①札幌予測確定!P9</f>
        <v>171</v>
      </c>
      <c r="AP9" s="28" t="n">
        <f aca="false">①札幌予測確定!Q9</f>
        <v>171000</v>
      </c>
      <c r="AQ9" s="31" t="n">
        <f aca="false">①札幌予測確定!T9</f>
        <v>0.38</v>
      </c>
      <c r="AR9" s="29" t="n">
        <f aca="false">①札幌予測確定!U9</f>
        <v>279</v>
      </c>
      <c r="AS9" s="29" t="n">
        <f aca="false">③石川以降予測!N27</f>
        <v>1539</v>
      </c>
      <c r="AT9" s="29" t="n">
        <f aca="false">③石川以降予測!O27</f>
        <v>279</v>
      </c>
      <c r="AU9" s="32" t="n">
        <f aca="false">③石川以降予測!Q27</f>
        <v>1260</v>
      </c>
      <c r="AV9" s="29" t="n">
        <f aca="false">③石川以降予測!R27</f>
        <v>1260</v>
      </c>
      <c r="AW9" s="26" t="str">
        <f aca="false">④追加発注判定!J9</f>
        <v>在庫余剰</v>
      </c>
      <c r="AX9" s="26" t="str">
        <f aca="false">④追加発注判定!P9</f>
        <v>要 追加生産</v>
      </c>
      <c r="AY9" s="29" t="n">
        <f aca="false">④追加発注判定!R9</f>
        <v>1386</v>
      </c>
      <c r="AZ9" s="26" t="str">
        <f aca="false">④追加発注判定!T9</f>
        <v>B:大口</v>
      </c>
    </row>
    <row r="10" customFormat="false" ht="15" hidden="false" customHeight="false" outlineLevel="0" collapsed="false">
      <c r="A10" s="26" t="n">
        <v>4</v>
      </c>
      <c r="B10" s="26" t="s">
        <v>186</v>
      </c>
      <c r="C10" s="27" t="s">
        <v>187</v>
      </c>
      <c r="D10" s="28" t="n">
        <v>1800</v>
      </c>
      <c r="E10" s="28" t="n">
        <v>1800</v>
      </c>
      <c r="F10" s="29" t="n">
        <v>1819</v>
      </c>
      <c r="G10" s="31" t="n">
        <f aca="false">IFERROR(F10/F$49,0)</f>
        <v>0.0122751965448595</v>
      </c>
      <c r="H10" s="28" t="n">
        <f aca="false">F10*E10</f>
        <v>3274200</v>
      </c>
      <c r="I10" s="31" t="n">
        <f aca="false">IFERROR(H10/H$49,0)</f>
        <v>0.0320415085402921</v>
      </c>
      <c r="J10" s="29" t="n">
        <v>2620</v>
      </c>
      <c r="K10" s="31" t="n">
        <f aca="false">IFERROR(F10/J10,0)</f>
        <v>0.694274809160305</v>
      </c>
      <c r="L10" s="28" t="n">
        <v>1800</v>
      </c>
      <c r="M10" s="29" t="n">
        <v>922</v>
      </c>
      <c r="N10" s="31" t="n">
        <f aca="false">IFERROR(M10/M$49,0)</f>
        <v>0.0157337883959044</v>
      </c>
      <c r="O10" s="28" t="n">
        <f aca="false">M10*L10</f>
        <v>1659600</v>
      </c>
      <c r="P10" s="31" t="n">
        <f aca="false">IFERROR(O10/O$49,0)</f>
        <v>0.0400100290263166</v>
      </c>
      <c r="Q10" s="29" t="n">
        <v>1330</v>
      </c>
      <c r="R10" s="31" t="n">
        <f aca="false">IFERROR(M10/Q10,0)</f>
        <v>0.693233082706767</v>
      </c>
      <c r="S10" s="28" t="n">
        <v>1800</v>
      </c>
      <c r="T10" s="29" t="n">
        <v>539</v>
      </c>
      <c r="U10" s="31" t="n">
        <f aca="false">IFERROR(T10/T$49,0)</f>
        <v>0.0120122127877694</v>
      </c>
      <c r="V10" s="28" t="n">
        <f aca="false">T10*S10</f>
        <v>970200</v>
      </c>
      <c r="W10" s="31" t="n">
        <f aca="false">IFERROR(V10/V$49,0)</f>
        <v>0.0312697409981049</v>
      </c>
      <c r="X10" s="29" t="n">
        <v>800</v>
      </c>
      <c r="Y10" s="31" t="n">
        <f aca="false">IFERROR(T10/X10,0)</f>
        <v>0.67375</v>
      </c>
      <c r="Z10" s="28" t="n">
        <v>1800</v>
      </c>
      <c r="AA10" s="29" t="n">
        <v>1310</v>
      </c>
      <c r="AB10" s="31" t="n">
        <f aca="false">IFERROR(AA10/AA$49,0)</f>
        <v>0.0205522434891748</v>
      </c>
      <c r="AC10" s="28" t="n">
        <f aca="false">AA10*Z10</f>
        <v>2358000</v>
      </c>
      <c r="AD10" s="31" t="n">
        <f aca="false">IFERROR(AC10/AC$49,0)</f>
        <v>0.0518155209239775</v>
      </c>
      <c r="AE10" s="29" t="n">
        <v>2000</v>
      </c>
      <c r="AF10" s="31" t="n">
        <f aca="false">IFERROR(AA10/AE10,0)</f>
        <v>0.655</v>
      </c>
      <c r="AG10" s="28" t="n">
        <v>1800</v>
      </c>
      <c r="AH10" s="29" t="n">
        <v>122</v>
      </c>
      <c r="AI10" s="31" t="n">
        <f aca="false">IFERROR(AH10/AH$49,0)</f>
        <v>0.0291238959178802</v>
      </c>
      <c r="AJ10" s="28" t="n">
        <f aca="false">AH10*AG10</f>
        <v>219600</v>
      </c>
      <c r="AK10" s="31" t="n">
        <f aca="false">IFERROR(AJ10/AJ$49,0)</f>
        <v>0.0661605206073753</v>
      </c>
      <c r="AL10" s="29" t="n">
        <v>800</v>
      </c>
      <c r="AM10" s="31" t="n">
        <f aca="false">IFERROR(AH10/AL10,0)</f>
        <v>0.1525</v>
      </c>
      <c r="AN10" s="30" t="n">
        <f aca="false">①札幌予測確定!O10</f>
        <v>2.01122739415832</v>
      </c>
      <c r="AO10" s="29" t="n">
        <f aca="false">①札幌予測確定!P10</f>
        <v>245</v>
      </c>
      <c r="AP10" s="28" t="n">
        <f aca="false">①札幌予測確定!Q10</f>
        <v>441000</v>
      </c>
      <c r="AQ10" s="31" t="n">
        <f aca="false">①札幌予測確定!T10</f>
        <v>0.30625</v>
      </c>
      <c r="AR10" s="29" t="n">
        <f aca="false">①札幌予測確定!U10</f>
        <v>555</v>
      </c>
      <c r="AS10" s="29" t="n">
        <f aca="false">③石川以降予測!N28</f>
        <v>1995</v>
      </c>
      <c r="AT10" s="29" t="n">
        <f aca="false">③石川以降予測!O28</f>
        <v>555</v>
      </c>
      <c r="AU10" s="32" t="n">
        <f aca="false">③石川以降予測!Q28</f>
        <v>1440</v>
      </c>
      <c r="AV10" s="29" t="n">
        <f aca="false">③石川以降予測!R28</f>
        <v>1440</v>
      </c>
      <c r="AW10" s="26" t="str">
        <f aca="false">④追加発注判定!J10</f>
        <v>在庫余剰</v>
      </c>
      <c r="AX10" s="26" t="str">
        <f aca="false">④追加発注判定!P10</f>
        <v>要 追加生産</v>
      </c>
      <c r="AY10" s="29" t="n">
        <f aca="false">④追加発注判定!R10</f>
        <v>1584</v>
      </c>
      <c r="AZ10" s="26" t="str">
        <f aca="false">④追加発注判定!T10</f>
        <v>B:大口</v>
      </c>
    </row>
    <row r="11" customFormat="false" ht="15" hidden="false" customHeight="false" outlineLevel="0" collapsed="false">
      <c r="A11" s="26" t="n">
        <v>5</v>
      </c>
      <c r="B11" s="26" t="s">
        <v>188</v>
      </c>
      <c r="C11" s="27" t="s">
        <v>189</v>
      </c>
      <c r="D11" s="28" t="n">
        <v>600</v>
      </c>
      <c r="E11" s="28" t="n">
        <v>600</v>
      </c>
      <c r="F11" s="29" t="n">
        <v>18759</v>
      </c>
      <c r="G11" s="31" t="n">
        <f aca="false">IFERROR(F11/F$49,0)</f>
        <v>0.126591760299625</v>
      </c>
      <c r="H11" s="28" t="n">
        <f aca="false">F11*E11</f>
        <v>11255400</v>
      </c>
      <c r="I11" s="31" t="n">
        <f aca="false">IFERROR(H11/H$49,0)</f>
        <v>0.110145988401565</v>
      </c>
      <c r="J11" s="29" t="n">
        <v>24996</v>
      </c>
      <c r="K11" s="31" t="n">
        <f aca="false">IFERROR(F11/J11,0)</f>
        <v>0.75048007681229</v>
      </c>
      <c r="L11" s="28" t="n">
        <v>600</v>
      </c>
      <c r="M11" s="29" t="n">
        <v>10777</v>
      </c>
      <c r="N11" s="31" t="n">
        <f aca="false">IFERROR(M11/M$49,0)</f>
        <v>0.183907849829352</v>
      </c>
      <c r="O11" s="28" t="n">
        <f aca="false">M11*L11</f>
        <v>6466200</v>
      </c>
      <c r="P11" s="31" t="n">
        <f aca="false">IFERROR(O11/O$49,0)</f>
        <v>0.155888677807886</v>
      </c>
      <c r="Q11" s="29" t="n">
        <v>16500</v>
      </c>
      <c r="R11" s="31" t="n">
        <f aca="false">IFERROR(M11/Q11,0)</f>
        <v>0.653151515151515</v>
      </c>
      <c r="S11" s="28" t="n">
        <v>600</v>
      </c>
      <c r="T11" s="29" t="n">
        <v>8991</v>
      </c>
      <c r="U11" s="31" t="n">
        <f aca="false">IFERROR(T11/T$49,0)</f>
        <v>0.200374406632346</v>
      </c>
      <c r="V11" s="28" t="n">
        <f aca="false">T11*S11</f>
        <v>5394600</v>
      </c>
      <c r="W11" s="31" t="n">
        <f aca="false">IFERROR(V11/V$49,0)</f>
        <v>0.173869042247347</v>
      </c>
      <c r="X11" s="29" t="n">
        <v>9000</v>
      </c>
      <c r="Y11" s="31" t="n">
        <f aca="false">IFERROR(T11/X11,0)</f>
        <v>0.999</v>
      </c>
      <c r="Z11" s="28" t="n">
        <v>600</v>
      </c>
      <c r="AA11" s="29" t="n">
        <v>8936</v>
      </c>
      <c r="AB11" s="31" t="n">
        <f aca="false">IFERROR(AA11/AA$49,0)</f>
        <v>0.14019454032005</v>
      </c>
      <c r="AC11" s="28" t="n">
        <f aca="false">AA11*Z11</f>
        <v>5361600</v>
      </c>
      <c r="AD11" s="31" t="n">
        <f aca="false">IFERROR(AC11/AC$49,0)</f>
        <v>0.117817683200169</v>
      </c>
      <c r="AE11" s="29" t="n">
        <v>24996</v>
      </c>
      <c r="AF11" s="31" t="n">
        <f aca="false">IFERROR(AA11/AE11,0)</f>
        <v>0.357497199551928</v>
      </c>
      <c r="AG11" s="28" t="n">
        <v>600</v>
      </c>
      <c r="AH11" s="29" t="n">
        <v>247</v>
      </c>
      <c r="AI11" s="31" t="n">
        <f aca="false">IFERROR(AH11/AH$49,0)</f>
        <v>0.0589639532107902</v>
      </c>
      <c r="AJ11" s="28" t="n">
        <f aca="false">AH11*AG11</f>
        <v>148200</v>
      </c>
      <c r="AK11" s="31" t="n">
        <f aca="false">IFERROR(AJ11/AJ$49,0)</f>
        <v>0.044649313087491</v>
      </c>
      <c r="AL11" s="29" t="n">
        <v>9000</v>
      </c>
      <c r="AM11" s="31" t="n">
        <f aca="false">IFERROR(AH11/AL11,0)</f>
        <v>0.0274444444444444</v>
      </c>
      <c r="AN11" s="30" t="n">
        <f aca="false">①札幌予測確定!O11</f>
        <v>2.28512887536727</v>
      </c>
      <c r="AO11" s="29" t="n">
        <f aca="false">①札幌予測確定!P11</f>
        <v>564</v>
      </c>
      <c r="AP11" s="28" t="n">
        <f aca="false">①札幌予測確定!Q11</f>
        <v>338400</v>
      </c>
      <c r="AQ11" s="31" t="n">
        <f aca="false">①札幌予測確定!T11</f>
        <v>0.0626666666666667</v>
      </c>
      <c r="AR11" s="29" t="n">
        <f aca="false">①札幌予測確定!U11</f>
        <v>8436</v>
      </c>
      <c r="AS11" s="29" t="n">
        <f aca="false">③石川以降予測!N29</f>
        <v>8584</v>
      </c>
      <c r="AT11" s="29" t="n">
        <f aca="false">③石川以降予測!O29</f>
        <v>8436</v>
      </c>
      <c r="AU11" s="32" t="n">
        <f aca="false">③石川以降予測!Q29</f>
        <v>148</v>
      </c>
      <c r="AV11" s="29" t="n">
        <f aca="false">③石川以降予測!R29</f>
        <v>148</v>
      </c>
      <c r="AW11" s="26" t="str">
        <f aca="false">④追加発注判定!J11</f>
        <v>在庫余剰</v>
      </c>
      <c r="AX11" s="26" t="str">
        <f aca="false">④追加発注判定!P11</f>
        <v>要 追加生産</v>
      </c>
      <c r="AY11" s="29" t="n">
        <f aca="false">④追加発注判定!R11</f>
        <v>163</v>
      </c>
      <c r="AZ11" s="26" t="str">
        <f aca="false">④追加発注判定!T11</f>
        <v>C:通常</v>
      </c>
    </row>
    <row r="12" customFormat="false" ht="15" hidden="false" customHeight="false" outlineLevel="0" collapsed="false">
      <c r="A12" s="26" t="n">
        <v>6</v>
      </c>
      <c r="B12" s="26" t="s">
        <v>190</v>
      </c>
      <c r="C12" s="27" t="s">
        <v>191</v>
      </c>
      <c r="D12" s="28" t="n">
        <v>600</v>
      </c>
      <c r="E12" s="28" t="n">
        <v>600</v>
      </c>
      <c r="F12" s="29" t="n">
        <v>31070</v>
      </c>
      <c r="G12" s="31" t="n">
        <f aca="false">IFERROR(F12/F$49,0)</f>
        <v>0.209670344501805</v>
      </c>
      <c r="H12" s="28" t="n">
        <f aca="false">F12*E12</f>
        <v>18642000</v>
      </c>
      <c r="I12" s="31" t="n">
        <f aca="false">IFERROR(H12/H$49,0)</f>
        <v>0.182431678641539</v>
      </c>
      <c r="J12" s="29" t="n">
        <v>44999</v>
      </c>
      <c r="K12" s="31" t="n">
        <f aca="false">IFERROR(F12/J12,0)</f>
        <v>0.690459787995289</v>
      </c>
      <c r="L12" s="28" t="n">
        <v>600</v>
      </c>
      <c r="M12" s="29" t="n">
        <v>15602</v>
      </c>
      <c r="N12" s="31" t="n">
        <f aca="false">IFERROR(M12/M$49,0)</f>
        <v>0.266245733788396</v>
      </c>
      <c r="O12" s="28" t="n">
        <f aca="false">M12*L12</f>
        <v>9361200</v>
      </c>
      <c r="P12" s="31" t="n">
        <f aca="false">IFERROR(O12/O$49,0)</f>
        <v>0.225682022005998</v>
      </c>
      <c r="Q12" s="29" t="n">
        <v>21439</v>
      </c>
      <c r="R12" s="31" t="n">
        <f aca="false">IFERROR(M12/Q12,0)</f>
        <v>0.727739166938757</v>
      </c>
      <c r="S12" s="28" t="n">
        <v>600</v>
      </c>
      <c r="T12" s="29" t="n">
        <v>13877</v>
      </c>
      <c r="U12" s="31" t="n">
        <f aca="false">IFERROR(T12/T$49,0)</f>
        <v>0.309264335539658</v>
      </c>
      <c r="V12" s="28" t="n">
        <f aca="false">T12*S12</f>
        <v>8326200</v>
      </c>
      <c r="W12" s="31" t="n">
        <f aca="false">IFERROR(V12/V$49,0)</f>
        <v>0.2683550994624</v>
      </c>
      <c r="X12" s="29" t="n">
        <v>13986</v>
      </c>
      <c r="Y12" s="31" t="n">
        <f aca="false">IFERROR(T12/X12,0)</f>
        <v>0.992206492206492</v>
      </c>
      <c r="Z12" s="28" t="n">
        <v>600</v>
      </c>
      <c r="AA12" s="29" t="n">
        <v>18611</v>
      </c>
      <c r="AB12" s="31" t="n">
        <f aca="false">IFERROR(AA12/AA$49,0)</f>
        <v>0.291983056165673</v>
      </c>
      <c r="AC12" s="28" t="n">
        <f aca="false">AA12*Z12</f>
        <v>11166600</v>
      </c>
      <c r="AD12" s="31" t="n">
        <f aca="false">IFERROR(AC12/AC$49,0)</f>
        <v>0.245378793871793</v>
      </c>
      <c r="AE12" s="29" t="n">
        <v>35999</v>
      </c>
      <c r="AF12" s="31" t="n">
        <f aca="false">IFERROR(AA12/AE12,0)</f>
        <v>0.516986582960638</v>
      </c>
      <c r="AG12" s="28" t="n">
        <v>600</v>
      </c>
      <c r="AH12" s="29" t="n">
        <v>616</v>
      </c>
      <c r="AI12" s="31" t="n">
        <f aca="false">IFERROR(AH12/AH$49,0)</f>
        <v>0.147051802339461</v>
      </c>
      <c r="AJ12" s="28" t="n">
        <f aca="false">AH12*AG12</f>
        <v>369600</v>
      </c>
      <c r="AK12" s="31" t="n">
        <f aca="false">IFERROR(AJ12/AJ$49,0)</f>
        <v>0.111352133044107</v>
      </c>
      <c r="AL12" s="29" t="n">
        <v>13991</v>
      </c>
      <c r="AM12" s="31" t="n">
        <f aca="false">IFERROR(AH12/AL12,0)</f>
        <v>0.0440283039096562</v>
      </c>
      <c r="AN12" s="30" t="n">
        <f aca="false">①札幌予測確定!O12</f>
        <v>2.54696742437412</v>
      </c>
      <c r="AO12" s="29" t="n">
        <f aca="false">①札幌予測確定!P12</f>
        <v>1569</v>
      </c>
      <c r="AP12" s="28" t="n">
        <f aca="false">①札幌予測確定!Q12</f>
        <v>941400</v>
      </c>
      <c r="AQ12" s="31" t="n">
        <f aca="false">①札幌予測確定!T12</f>
        <v>0.112143520834822</v>
      </c>
      <c r="AR12" s="29" t="n">
        <f aca="false">①札幌予測確定!U12</f>
        <v>12422</v>
      </c>
      <c r="AS12" s="29" t="n">
        <f aca="false">③石川以降予測!N30</f>
        <v>19666</v>
      </c>
      <c r="AT12" s="29" t="n">
        <f aca="false">③石川以降予測!O30</f>
        <v>12422</v>
      </c>
      <c r="AU12" s="32" t="n">
        <f aca="false">③石川以降予測!Q30</f>
        <v>7244</v>
      </c>
      <c r="AV12" s="29" t="n">
        <f aca="false">③石川以降予測!R30</f>
        <v>7244</v>
      </c>
      <c r="AW12" s="26" t="str">
        <f aca="false">④追加発注判定!J12</f>
        <v>在庫余剰</v>
      </c>
      <c r="AX12" s="26" t="str">
        <f aca="false">④追加発注判定!P12</f>
        <v>要 追加生産</v>
      </c>
      <c r="AY12" s="29" t="n">
        <f aca="false">④追加発注判定!R12</f>
        <v>7969</v>
      </c>
      <c r="AZ12" s="26" t="str">
        <f aca="false">④追加発注判定!T12</f>
        <v>B:大口</v>
      </c>
    </row>
    <row r="13" customFormat="false" ht="15" hidden="false" customHeight="false" outlineLevel="0" collapsed="false">
      <c r="A13" s="26" t="n">
        <v>7</v>
      </c>
      <c r="B13" s="26" t="s">
        <v>192</v>
      </c>
      <c r="C13" s="27" t="s">
        <v>193</v>
      </c>
      <c r="D13" s="28" t="n">
        <v>600</v>
      </c>
      <c r="E13" s="28" t="n">
        <v>600</v>
      </c>
      <c r="F13" s="29" t="n">
        <v>3471</v>
      </c>
      <c r="G13" s="31" t="n">
        <f aca="false">IFERROR(F13/F$49,0)</f>
        <v>0.0234234234234234</v>
      </c>
      <c r="H13" s="28" t="n">
        <f aca="false">F13*E13</f>
        <v>2082600</v>
      </c>
      <c r="I13" s="31" t="n">
        <f aca="false">IFERROR(H13/H$49,0)</f>
        <v>0.0203804427603727</v>
      </c>
      <c r="J13" s="29" t="n">
        <v>7000</v>
      </c>
      <c r="K13" s="31" t="n">
        <f aca="false">IFERROR(F13/J13,0)</f>
        <v>0.495857142857143</v>
      </c>
      <c r="L13" s="28" t="n">
        <v>600</v>
      </c>
      <c r="M13" s="29" t="n">
        <v>520</v>
      </c>
      <c r="N13" s="31" t="n">
        <f aca="false">IFERROR(M13/M$49,0)</f>
        <v>0.00887372013651877</v>
      </c>
      <c r="O13" s="28" t="n">
        <f aca="false">M13*L13</f>
        <v>312000</v>
      </c>
      <c r="P13" s="31" t="n">
        <f aca="false">IFERROR(O13/O$49,0)</f>
        <v>0.00752176973741309</v>
      </c>
      <c r="Q13" s="29" t="n">
        <v>1389.6</v>
      </c>
      <c r="R13" s="31" t="n">
        <f aca="false">IFERROR(M13/Q13,0)</f>
        <v>0.374208405296488</v>
      </c>
      <c r="S13" s="28" t="n">
        <v>600</v>
      </c>
      <c r="T13" s="29" t="n">
        <v>384</v>
      </c>
      <c r="U13" s="31" t="n">
        <f aca="false">IFERROR(T13/T$49,0)</f>
        <v>0.00855786588219563</v>
      </c>
      <c r="V13" s="28" t="n">
        <f aca="false">T13*S13</f>
        <v>230400</v>
      </c>
      <c r="W13" s="31" t="n">
        <f aca="false">IFERROR(V13/V$49,0)</f>
        <v>0.00742583830752769</v>
      </c>
      <c r="X13" s="29" t="n">
        <v>400</v>
      </c>
      <c r="Y13" s="31" t="n">
        <f aca="false">IFERROR(T13/X13,0)</f>
        <v>0.96</v>
      </c>
      <c r="Z13" s="28" t="n">
        <v>600</v>
      </c>
      <c r="AA13" s="29" t="n">
        <v>940</v>
      </c>
      <c r="AB13" s="31" t="n">
        <f aca="false">IFERROR(AA13/AA$49,0)</f>
        <v>0.0147474113586445</v>
      </c>
      <c r="AC13" s="28" t="n">
        <f aca="false">AA13*Z13</f>
        <v>564000</v>
      </c>
      <c r="AD13" s="31" t="n">
        <f aca="false">IFERROR(AC13/AC$49,0)</f>
        <v>0.0123935342668038</v>
      </c>
      <c r="AE13" s="29" t="n">
        <v>2000</v>
      </c>
      <c r="AF13" s="31" t="n">
        <f aca="false">IFERROR(AA13/AE13,0)</f>
        <v>0.47</v>
      </c>
      <c r="AG13" s="28" t="n">
        <v>600</v>
      </c>
      <c r="AH13" s="29" t="n">
        <v>79</v>
      </c>
      <c r="AI13" s="31" t="n">
        <f aca="false">IFERROR(AH13/AH$49,0)</f>
        <v>0.0188589162091191</v>
      </c>
      <c r="AJ13" s="28" t="n">
        <f aca="false">AH13*AG13</f>
        <v>47400</v>
      </c>
      <c r="AK13" s="31" t="n">
        <f aca="false">IFERROR(AJ13/AJ$49,0)</f>
        <v>0.0142805495300072</v>
      </c>
      <c r="AL13" s="29" t="n">
        <v>350</v>
      </c>
      <c r="AM13" s="31" t="n">
        <f aca="false">IFERROR(AH13/AL13,0)</f>
        <v>0.225714285714286</v>
      </c>
      <c r="AN13" s="30" t="n">
        <f aca="false">①札幌予測確定!O13</f>
        <v>2.46553303509394</v>
      </c>
      <c r="AO13" s="29" t="n">
        <f aca="false">①札幌予測確定!P13</f>
        <v>195</v>
      </c>
      <c r="AP13" s="28" t="n">
        <f aca="false">①札幌予測確定!Q13</f>
        <v>117000</v>
      </c>
      <c r="AQ13" s="31" t="n">
        <f aca="false">①札幌予測確定!T13</f>
        <v>0.557142857142857</v>
      </c>
      <c r="AR13" s="29" t="n">
        <f aca="false">①札幌予測確定!U13</f>
        <v>155</v>
      </c>
      <c r="AS13" s="29" t="n">
        <f aca="false">③石川以降予測!N31</f>
        <v>1519</v>
      </c>
      <c r="AT13" s="29" t="n">
        <f aca="false">③石川以降予測!O31</f>
        <v>155</v>
      </c>
      <c r="AU13" s="32" t="n">
        <f aca="false">③石川以降予測!Q31</f>
        <v>1364</v>
      </c>
      <c r="AV13" s="29" t="n">
        <f aca="false">③石川以降予測!R31</f>
        <v>1364</v>
      </c>
      <c r="AW13" s="26" t="str">
        <f aca="false">④追加発注判定!J13</f>
        <v>適正</v>
      </c>
      <c r="AX13" s="26" t="str">
        <f aca="false">④追加発注判定!P13</f>
        <v>要 追加生産</v>
      </c>
      <c r="AY13" s="29" t="n">
        <f aca="false">④追加発注判定!R13</f>
        <v>1501</v>
      </c>
      <c r="AZ13" s="26" t="str">
        <f aca="false">④追加発注判定!T13</f>
        <v>B:大口</v>
      </c>
    </row>
    <row r="14" customFormat="false" ht="15" hidden="false" customHeight="false" outlineLevel="0" collapsed="false">
      <c r="A14" s="26" t="n">
        <v>8</v>
      </c>
      <c r="B14" s="26" t="s">
        <v>194</v>
      </c>
      <c r="C14" s="27" t="s">
        <v>195</v>
      </c>
      <c r="D14" s="28" t="n">
        <v>600</v>
      </c>
      <c r="E14" s="28" t="n">
        <v>600</v>
      </c>
      <c r="F14" s="29" t="n">
        <v>5596</v>
      </c>
      <c r="G14" s="31" t="n">
        <f aca="false">IFERROR(F14/F$49,0)</f>
        <v>0.0377636063029321</v>
      </c>
      <c r="H14" s="28" t="n">
        <f aca="false">F14*E14</f>
        <v>3357600</v>
      </c>
      <c r="I14" s="31" t="n">
        <f aca="false">IFERROR(H14/H$49,0)</f>
        <v>0.0328576657121999</v>
      </c>
      <c r="J14" s="29" t="n">
        <v>12600</v>
      </c>
      <c r="K14" s="31" t="n">
        <f aca="false">IFERROR(F14/J14,0)</f>
        <v>0.444126984126984</v>
      </c>
      <c r="L14" s="28" t="n">
        <v>600</v>
      </c>
      <c r="M14" s="29" t="n">
        <v>1107</v>
      </c>
      <c r="N14" s="31" t="n">
        <f aca="false">IFERROR(M14/M$49,0)</f>
        <v>0.0188907849829352</v>
      </c>
      <c r="O14" s="28" t="n">
        <f aca="false">M14*L14</f>
        <v>664200</v>
      </c>
      <c r="P14" s="31" t="n">
        <f aca="false">IFERROR(O14/O$49,0)</f>
        <v>0.0160126905756083</v>
      </c>
      <c r="Q14" s="29" t="n">
        <v>2240</v>
      </c>
      <c r="R14" s="31" t="n">
        <f aca="false">IFERROR(M14/Q14,0)</f>
        <v>0.494196428571429</v>
      </c>
      <c r="S14" s="28" t="n">
        <v>600</v>
      </c>
      <c r="T14" s="29" t="n">
        <v>799</v>
      </c>
      <c r="U14" s="31" t="n">
        <f aca="false">IFERROR(T14/T$49,0)</f>
        <v>0.017806601145506</v>
      </c>
      <c r="V14" s="28" t="n">
        <f aca="false">T14*S14</f>
        <v>479400</v>
      </c>
      <c r="W14" s="31" t="n">
        <f aca="false">IFERROR(V14/V$49,0)</f>
        <v>0.0154511583534235</v>
      </c>
      <c r="X14" s="29" t="n">
        <v>840</v>
      </c>
      <c r="Y14" s="31" t="n">
        <f aca="false">IFERROR(T14/X14,0)</f>
        <v>0.951190476190476</v>
      </c>
      <c r="Z14" s="28" t="n">
        <v>600</v>
      </c>
      <c r="AA14" s="29" t="n">
        <v>1758</v>
      </c>
      <c r="AB14" s="31" t="n">
        <f aca="false">IFERROR(AA14/AA$49,0)</f>
        <v>0.0275807969877628</v>
      </c>
      <c r="AC14" s="28" t="n">
        <f aca="false">AA14*Z14</f>
        <v>1054800</v>
      </c>
      <c r="AD14" s="31" t="n">
        <f aca="false">IFERROR(AC14/AC$49,0)</f>
        <v>0.0231785460011075</v>
      </c>
      <c r="AE14" s="29" t="n">
        <v>3000</v>
      </c>
      <c r="AF14" s="31" t="n">
        <f aca="false">IFERROR(AA14/AE14,0)</f>
        <v>0.586</v>
      </c>
      <c r="AG14" s="28" t="n">
        <v>600</v>
      </c>
      <c r="AH14" s="29" t="n">
        <v>135</v>
      </c>
      <c r="AI14" s="31" t="n">
        <f aca="false">IFERROR(AH14/AH$49,0)</f>
        <v>0.0322272618763428</v>
      </c>
      <c r="AJ14" s="28" t="n">
        <f aca="false">AH14*AG14</f>
        <v>81000</v>
      </c>
      <c r="AK14" s="31" t="n">
        <f aca="false">IFERROR(AJ14/AJ$49,0)</f>
        <v>0.0244034707158351</v>
      </c>
      <c r="AL14" s="29" t="n">
        <v>900</v>
      </c>
      <c r="AM14" s="31" t="n">
        <f aca="false">IFERROR(AH14/AL14,0)</f>
        <v>0.15</v>
      </c>
      <c r="AN14" s="30" t="n">
        <f aca="false">①札幌予測確定!O14</f>
        <v>2.54774122231566</v>
      </c>
      <c r="AO14" s="29" t="n">
        <f aca="false">①札幌予測確定!P14</f>
        <v>344</v>
      </c>
      <c r="AP14" s="28" t="n">
        <f aca="false">①札幌予測確定!Q14</f>
        <v>206400</v>
      </c>
      <c r="AQ14" s="31" t="n">
        <f aca="false">①札幌予測確定!T14</f>
        <v>0.382222222222222</v>
      </c>
      <c r="AR14" s="29" t="n">
        <f aca="false">①札幌予測確定!U14</f>
        <v>556</v>
      </c>
      <c r="AS14" s="29" t="n">
        <f aca="false">③石川以降予測!N32</f>
        <v>2746</v>
      </c>
      <c r="AT14" s="29" t="n">
        <f aca="false">③石川以降予測!O32</f>
        <v>556</v>
      </c>
      <c r="AU14" s="32" t="n">
        <f aca="false">③石川以降予測!Q32</f>
        <v>2190</v>
      </c>
      <c r="AV14" s="29" t="n">
        <f aca="false">③石川以降予測!R32</f>
        <v>2190</v>
      </c>
      <c r="AW14" s="26" t="str">
        <f aca="false">④追加発注判定!J14</f>
        <v>在庫余剰</v>
      </c>
      <c r="AX14" s="26" t="str">
        <f aca="false">④追加発注判定!P14</f>
        <v>要 追加生産</v>
      </c>
      <c r="AY14" s="29" t="n">
        <f aca="false">④追加発注判定!R14</f>
        <v>2409</v>
      </c>
      <c r="AZ14" s="26" t="str">
        <f aca="false">④追加発注判定!T14</f>
        <v>B:大口</v>
      </c>
    </row>
    <row r="15" customFormat="false" ht="15" hidden="false" customHeight="false" outlineLevel="0" collapsed="false">
      <c r="A15" s="26" t="n">
        <v>9</v>
      </c>
      <c r="B15" s="26" t="s">
        <v>196</v>
      </c>
      <c r="C15" s="27" t="s">
        <v>197</v>
      </c>
      <c r="D15" s="28" t="n">
        <v>600</v>
      </c>
      <c r="E15" s="28" t="n">
        <v>600</v>
      </c>
      <c r="F15" s="29" t="n">
        <v>2381</v>
      </c>
      <c r="G15" s="31" t="n">
        <f aca="false">IFERROR(F15/F$49,0)</f>
        <v>0.0160677531464048</v>
      </c>
      <c r="H15" s="28" t="n">
        <f aca="false">F15*E15</f>
        <v>1428600</v>
      </c>
      <c r="I15" s="31" t="n">
        <f aca="false">IFERROR(H15/H$49,0)</f>
        <v>0.0139803613403767</v>
      </c>
      <c r="J15" s="29" t="n">
        <v>8749</v>
      </c>
      <c r="K15" s="31" t="n">
        <f aca="false">IFERROR(F15/J15,0)</f>
        <v>0.272145388044348</v>
      </c>
      <c r="L15" s="28" t="n">
        <v>600</v>
      </c>
      <c r="M15" s="29" t="n">
        <v>313</v>
      </c>
      <c r="N15" s="31" t="n">
        <f aca="false">IFERROR(M15/M$49,0)</f>
        <v>0.00534129692832765</v>
      </c>
      <c r="O15" s="28" t="n">
        <f aca="false">M15*L15</f>
        <v>187800</v>
      </c>
      <c r="P15" s="31" t="n">
        <f aca="false">IFERROR(O15/O$49,0)</f>
        <v>0.00452752678425057</v>
      </c>
      <c r="Q15" s="29" t="n">
        <v>950</v>
      </c>
      <c r="R15" s="31" t="n">
        <f aca="false">IFERROR(M15/Q15,0)</f>
        <v>0.329473684210526</v>
      </c>
      <c r="S15" s="28" t="n">
        <v>600</v>
      </c>
      <c r="T15" s="29" t="n">
        <v>301</v>
      </c>
      <c r="U15" s="31" t="n">
        <f aca="false">IFERROR(T15/T$49,0)</f>
        <v>0.00670811882953355</v>
      </c>
      <c r="V15" s="28" t="n">
        <f aca="false">T15*S15</f>
        <v>180600</v>
      </c>
      <c r="W15" s="31" t="n">
        <f aca="false">IFERROR(V15/V$49,0)</f>
        <v>0.00582077429834853</v>
      </c>
      <c r="X15" s="29" t="n">
        <v>300</v>
      </c>
      <c r="Y15" s="31" t="n">
        <f aca="false">IFERROR(T15/X15,0)</f>
        <v>1.00333333333333</v>
      </c>
      <c r="Z15" s="28" t="n">
        <v>600</v>
      </c>
      <c r="AA15" s="29" t="n">
        <v>743</v>
      </c>
      <c r="AB15" s="31" t="n">
        <f aca="false">IFERROR(AA15/AA$49,0)</f>
        <v>0.0116567304675243</v>
      </c>
      <c r="AC15" s="28" t="n">
        <f aca="false">AA15*Z15</f>
        <v>445800</v>
      </c>
      <c r="AD15" s="31" t="n">
        <f aca="false">IFERROR(AC15/AC$49,0)</f>
        <v>0.00979616591514384</v>
      </c>
      <c r="AE15" s="29" t="n">
        <v>1500</v>
      </c>
      <c r="AF15" s="31" t="n">
        <f aca="false">IFERROR(AA15/AE15,0)</f>
        <v>0.495333333333333</v>
      </c>
      <c r="AG15" s="28" t="n">
        <v>600</v>
      </c>
      <c r="AH15" s="29" t="n">
        <v>75</v>
      </c>
      <c r="AI15" s="31" t="n">
        <f aca="false">IFERROR(AH15/AH$49,0)</f>
        <v>0.017904034375746</v>
      </c>
      <c r="AJ15" s="28" t="n">
        <f aca="false">AH15*AG15</f>
        <v>45000</v>
      </c>
      <c r="AK15" s="31" t="n">
        <f aca="false">IFERROR(AJ15/AJ$49,0)</f>
        <v>0.0135574837310195</v>
      </c>
      <c r="AL15" s="29" t="n">
        <v>300</v>
      </c>
      <c r="AM15" s="31" t="n">
        <f aca="false">IFERROR(AH15/AL15,0)</f>
        <v>0.25</v>
      </c>
      <c r="AN15" s="30" t="n">
        <f aca="false">①札幌予測確定!O15</f>
        <v>1.83881236731998</v>
      </c>
      <c r="AO15" s="29" t="n">
        <f aca="false">①札幌予測確定!P15</f>
        <v>138</v>
      </c>
      <c r="AP15" s="28" t="n">
        <f aca="false">①札幌予測確定!Q15</f>
        <v>82800</v>
      </c>
      <c r="AQ15" s="31" t="n">
        <f aca="false">①札幌予測確定!T15</f>
        <v>0.46</v>
      </c>
      <c r="AR15" s="29" t="n">
        <f aca="false">①札幌予測確定!U15</f>
        <v>162</v>
      </c>
      <c r="AS15" s="29" t="n">
        <f aca="false">③石川以降予測!N33</f>
        <v>1126</v>
      </c>
      <c r="AT15" s="29" t="n">
        <f aca="false">③石川以降予測!O33</f>
        <v>162</v>
      </c>
      <c r="AU15" s="32" t="n">
        <f aca="false">③石川以降予測!Q33</f>
        <v>964</v>
      </c>
      <c r="AV15" s="29" t="n">
        <f aca="false">③石川以降予測!R33</f>
        <v>964</v>
      </c>
      <c r="AW15" s="26" t="str">
        <f aca="false">④追加発注判定!J15</f>
        <v>在庫余剰</v>
      </c>
      <c r="AX15" s="26" t="str">
        <f aca="false">④追加発注判定!P15</f>
        <v>要 追加生産</v>
      </c>
      <c r="AY15" s="29" t="n">
        <f aca="false">④追加発注判定!R15</f>
        <v>1061</v>
      </c>
      <c r="AZ15" s="26" t="str">
        <f aca="false">④追加発注判定!T15</f>
        <v>C:通常</v>
      </c>
    </row>
    <row r="16" customFormat="false" ht="15" hidden="false" customHeight="false" outlineLevel="0" collapsed="false">
      <c r="A16" s="26" t="n">
        <v>10</v>
      </c>
      <c r="B16" s="26" t="s">
        <v>198</v>
      </c>
      <c r="C16" s="27" t="s">
        <v>199</v>
      </c>
      <c r="D16" s="28" t="n">
        <v>600</v>
      </c>
      <c r="E16" s="28" t="n">
        <v>600</v>
      </c>
      <c r="F16" s="29" t="n">
        <v>1025</v>
      </c>
      <c r="G16" s="31" t="n">
        <f aca="false">IFERROR(F16/F$49,0)</f>
        <v>0.0069170293889395</v>
      </c>
      <c r="H16" s="28" t="n">
        <f aca="false">F16*E16</f>
        <v>615000</v>
      </c>
      <c r="I16" s="31" t="n">
        <f aca="false">IFERROR(H16/H$49,0)</f>
        <v>0.00601842518852839</v>
      </c>
      <c r="J16" s="29" t="n">
        <v>4549</v>
      </c>
      <c r="K16" s="31" t="n">
        <f aca="false">IFERROR(F16/J16,0)</f>
        <v>0.225324247087272</v>
      </c>
      <c r="L16" s="28" t="n">
        <v>600</v>
      </c>
      <c r="M16" s="29" t="n">
        <v>141</v>
      </c>
      <c r="N16" s="31" t="n">
        <f aca="false">IFERROR(M16/M$49,0)</f>
        <v>0.0024061433447099</v>
      </c>
      <c r="O16" s="28" t="n">
        <f aca="false">M16*L16</f>
        <v>84600</v>
      </c>
      <c r="P16" s="31" t="n">
        <f aca="false">IFERROR(O16/O$49,0)</f>
        <v>0.00203955679418316</v>
      </c>
      <c r="Q16" s="29" t="n">
        <v>410</v>
      </c>
      <c r="R16" s="31" t="n">
        <f aca="false">IFERROR(M16/Q16,0)</f>
        <v>0.34390243902439</v>
      </c>
      <c r="S16" s="28" t="n">
        <v>600</v>
      </c>
      <c r="T16" s="29" t="n">
        <v>123</v>
      </c>
      <c r="U16" s="31" t="n">
        <f aca="false">IFERROR(T16/T$49,0)</f>
        <v>0.00274119141539079</v>
      </c>
      <c r="V16" s="28" t="n">
        <f aca="false">T16*S16</f>
        <v>73800</v>
      </c>
      <c r="W16" s="31" t="n">
        <f aca="false">IFERROR(V16/V$49,0)</f>
        <v>0.00237858883287996</v>
      </c>
      <c r="X16" s="29" t="n">
        <v>180</v>
      </c>
      <c r="Y16" s="31" t="n">
        <f aca="false">IFERROR(T16/X16,0)</f>
        <v>0.683333333333333</v>
      </c>
      <c r="Z16" s="28" t="n">
        <v>600</v>
      </c>
      <c r="AA16" s="29" t="n">
        <v>277</v>
      </c>
      <c r="AB16" s="31" t="n">
        <f aca="false">IFERROR(AA16/AA$49,0)</f>
        <v>0.00434577973015375</v>
      </c>
      <c r="AC16" s="28" t="n">
        <f aca="false">AA16*Z16</f>
        <v>166200</v>
      </c>
      <c r="AD16" s="31" t="n">
        <f aca="false">IFERROR(AC16/AC$49,0)</f>
        <v>0.00365213722543048</v>
      </c>
      <c r="AE16" s="29" t="n">
        <v>500</v>
      </c>
      <c r="AF16" s="31" t="n">
        <f aca="false">IFERROR(AA16/AE16,0)</f>
        <v>0.554</v>
      </c>
      <c r="AG16" s="28" t="n">
        <v>600</v>
      </c>
      <c r="AH16" s="29" t="n">
        <v>30</v>
      </c>
      <c r="AI16" s="31" t="n">
        <f aca="false">IFERROR(AH16/AH$49,0)</f>
        <v>0.0071616137502984</v>
      </c>
      <c r="AJ16" s="28" t="n">
        <f aca="false">AH16*AG16</f>
        <v>18000</v>
      </c>
      <c r="AK16" s="31" t="n">
        <f aca="false">IFERROR(AJ16/AJ$49,0)</f>
        <v>0.00542299349240781</v>
      </c>
      <c r="AL16" s="29" t="n">
        <v>100</v>
      </c>
      <c r="AM16" s="31" t="n">
        <f aca="false">IFERROR(AH16/AL16,0)</f>
        <v>0.3</v>
      </c>
      <c r="AN16" s="30" t="n">
        <f aca="false">①札幌予測確定!O16</f>
        <v>1.87140147905704</v>
      </c>
      <c r="AO16" s="29" t="n">
        <f aca="false">①札幌予測確定!P16</f>
        <v>56</v>
      </c>
      <c r="AP16" s="28" t="n">
        <f aca="false">①札幌予測確定!Q16</f>
        <v>33600</v>
      </c>
      <c r="AQ16" s="31" t="n">
        <f aca="false">①札幌予測確定!T16</f>
        <v>0.56</v>
      </c>
      <c r="AR16" s="29" t="n">
        <f aca="false">①札幌予測確定!U16</f>
        <v>44</v>
      </c>
      <c r="AS16" s="29" t="n">
        <f aca="false">③石川以降予測!N34</f>
        <v>441</v>
      </c>
      <c r="AT16" s="29" t="n">
        <f aca="false">③石川以降予測!O34</f>
        <v>44</v>
      </c>
      <c r="AU16" s="32" t="n">
        <f aca="false">③石川以降予測!Q34</f>
        <v>397</v>
      </c>
      <c r="AV16" s="29" t="n">
        <f aca="false">③石川以降予測!R34</f>
        <v>397</v>
      </c>
      <c r="AW16" s="26" t="str">
        <f aca="false">④追加発注判定!J16</f>
        <v>適正</v>
      </c>
      <c r="AX16" s="26" t="str">
        <f aca="false">④追加発注判定!P16</f>
        <v>要 追加生産</v>
      </c>
      <c r="AY16" s="29" t="n">
        <f aca="false">④追加発注判定!R16</f>
        <v>437</v>
      </c>
      <c r="AZ16" s="26" t="str">
        <f aca="false">④追加発注判定!T16</f>
        <v>C:通常</v>
      </c>
    </row>
    <row r="17" customFormat="false" ht="15" hidden="false" customHeight="false" outlineLevel="0" collapsed="false">
      <c r="A17" s="26" t="n">
        <v>11</v>
      </c>
      <c r="B17" s="26" t="s">
        <v>200</v>
      </c>
      <c r="C17" s="27" t="s">
        <v>201</v>
      </c>
      <c r="D17" s="28" t="n">
        <v>600</v>
      </c>
      <c r="E17" s="28" t="n">
        <v>600</v>
      </c>
      <c r="F17" s="29" t="n">
        <v>215</v>
      </c>
      <c r="G17" s="31" t="n">
        <f aca="false">IFERROR(F17/F$49,0)</f>
        <v>0.00145088909133853</v>
      </c>
      <c r="H17" s="28" t="n">
        <f aca="false">F17*E17</f>
        <v>129000</v>
      </c>
      <c r="I17" s="31" t="n">
        <f aca="false">IFERROR(H17/H$49,0)</f>
        <v>0.00126240138100839</v>
      </c>
      <c r="J17" s="29" t="n">
        <v>699</v>
      </c>
      <c r="K17" s="31" t="n">
        <f aca="false">IFERROR(F17/J17,0)</f>
        <v>0.30758226037196</v>
      </c>
      <c r="L17" s="28" t="n">
        <v>600</v>
      </c>
      <c r="M17" s="29" t="n">
        <v>37</v>
      </c>
      <c r="N17" s="31" t="n">
        <f aca="false">IFERROR(M17/M$49,0)</f>
        <v>0.000631399317406143</v>
      </c>
      <c r="O17" s="28" t="n">
        <f aca="false">M17*L17</f>
        <v>22200</v>
      </c>
      <c r="P17" s="31" t="n">
        <f aca="false">IFERROR(O17/O$49,0)</f>
        <v>0.000535202846700547</v>
      </c>
      <c r="Q17" s="29" t="n">
        <v>90</v>
      </c>
      <c r="R17" s="31" t="n">
        <f aca="false">IFERROR(M17/Q17,0)</f>
        <v>0.411111111111111</v>
      </c>
      <c r="S17" s="28" t="n">
        <v>600</v>
      </c>
      <c r="T17" s="29" t="n">
        <v>30</v>
      </c>
      <c r="U17" s="31" t="n">
        <f aca="false">IFERROR(T17/T$49,0)</f>
        <v>0.000668583272046533</v>
      </c>
      <c r="V17" s="28" t="n">
        <f aca="false">T17*S17</f>
        <v>18000</v>
      </c>
      <c r="W17" s="31" t="n">
        <f aca="false">IFERROR(V17/V$49,0)</f>
        <v>0.0005801436177756</v>
      </c>
      <c r="X17" s="29" t="n">
        <v>30</v>
      </c>
      <c r="Y17" s="31" t="n">
        <f aca="false">IFERROR(T17/X17,0)</f>
        <v>1</v>
      </c>
      <c r="Z17" s="28" t="n">
        <v>600</v>
      </c>
      <c r="AA17" s="29" t="n">
        <v>78</v>
      </c>
      <c r="AB17" s="31" t="n">
        <f aca="false">IFERROR(AA17/AA$49,0)</f>
        <v>0.00122372136805773</v>
      </c>
      <c r="AC17" s="28" t="n">
        <f aca="false">AA17*Z17</f>
        <v>46800</v>
      </c>
      <c r="AD17" s="31" t="n">
        <f aca="false">IFERROR(AC17/AC$49,0)</f>
        <v>0.00102839965192627</v>
      </c>
      <c r="AE17" s="29" t="n">
        <v>100</v>
      </c>
      <c r="AF17" s="31" t="n">
        <f aca="false">IFERROR(AA17/AE17,0)</f>
        <v>0.78</v>
      </c>
      <c r="AG17" s="28" t="n">
        <v>600</v>
      </c>
      <c r="AH17" s="29" t="n">
        <v>8</v>
      </c>
      <c r="AI17" s="31" t="n">
        <f aca="false">IFERROR(AH17/AH$49,0)</f>
        <v>0.00190976366674624</v>
      </c>
      <c r="AJ17" s="28" t="n">
        <f aca="false">AH17*AG17</f>
        <v>4800</v>
      </c>
      <c r="AK17" s="31" t="n">
        <f aca="false">IFERROR(AJ17/AJ$49,0)</f>
        <v>0.00144613159797542</v>
      </c>
      <c r="AL17" s="29" t="n">
        <v>50</v>
      </c>
      <c r="AM17" s="31" t="n">
        <f aca="false">IFERROR(AH17/AL17,0)</f>
        <v>0.16</v>
      </c>
      <c r="AN17" s="30" t="n">
        <f aca="false">①札幌予測確定!O17</f>
        <v>3.40653210519318</v>
      </c>
      <c r="AO17" s="29" t="n">
        <f aca="false">①札幌予測確定!P17</f>
        <v>27</v>
      </c>
      <c r="AP17" s="28" t="n">
        <f aca="false">①札幌予測確定!Q17</f>
        <v>16200</v>
      </c>
      <c r="AQ17" s="31" t="n">
        <f aca="false">①札幌予測確定!T17</f>
        <v>0.54</v>
      </c>
      <c r="AR17" s="29" t="n">
        <f aca="false">①札幌予測確定!U17</f>
        <v>23</v>
      </c>
      <c r="AS17" s="29" t="n">
        <f aca="false">③石川以降予測!N35</f>
        <v>175</v>
      </c>
      <c r="AT17" s="29" t="n">
        <f aca="false">③石川以降予測!O35</f>
        <v>23</v>
      </c>
      <c r="AU17" s="32" t="n">
        <f aca="false">③石川以降予測!Q35</f>
        <v>152</v>
      </c>
      <c r="AV17" s="29" t="n">
        <f aca="false">③石川以降予測!R35</f>
        <v>152</v>
      </c>
      <c r="AW17" s="26" t="str">
        <f aca="false">④追加発注判定!J17</f>
        <v>適正</v>
      </c>
      <c r="AX17" s="26" t="str">
        <f aca="false">④追加発注判定!P17</f>
        <v>要 追加生産</v>
      </c>
      <c r="AY17" s="29" t="n">
        <f aca="false">④追加発注判定!R17</f>
        <v>168</v>
      </c>
      <c r="AZ17" s="26" t="str">
        <f aca="false">④追加発注判定!T17</f>
        <v>C:通常</v>
      </c>
    </row>
    <row r="18" customFormat="false" ht="15" hidden="false" customHeight="false" outlineLevel="0" collapsed="false">
      <c r="A18" s="26" t="n">
        <v>12</v>
      </c>
      <c r="B18" s="26" t="s">
        <v>202</v>
      </c>
      <c r="C18" s="27" t="s">
        <v>203</v>
      </c>
      <c r="D18" s="28" t="n">
        <v>600</v>
      </c>
      <c r="E18" s="28" t="n">
        <v>600</v>
      </c>
      <c r="F18" s="29" t="n">
        <v>291</v>
      </c>
      <c r="G18" s="31" t="n">
        <f aca="false">IFERROR(F18/F$49,0)</f>
        <v>0.00196376151432331</v>
      </c>
      <c r="H18" s="28" t="n">
        <f aca="false">F18*E18</f>
        <v>174600</v>
      </c>
      <c r="I18" s="31" t="n">
        <f aca="false">IFERROR(H18/H$49,0)</f>
        <v>0.00170864559010904</v>
      </c>
      <c r="J18" s="29" t="n">
        <v>1049</v>
      </c>
      <c r="K18" s="31" t="n">
        <f aca="false">IFERROR(F18/J18,0)</f>
        <v>0.277407054337464</v>
      </c>
      <c r="L18" s="28" t="n">
        <v>600</v>
      </c>
      <c r="M18" s="29" t="n">
        <v>58</v>
      </c>
      <c r="N18" s="31" t="n">
        <f aca="false">IFERROR(M18/M$49,0)</f>
        <v>0.000989761092150171</v>
      </c>
      <c r="O18" s="28" t="n">
        <f aca="false">M18*L18</f>
        <v>34800</v>
      </c>
      <c r="P18" s="31" t="n">
        <f aca="false">IFERROR(O18/O$49,0)</f>
        <v>0.000838966624557614</v>
      </c>
      <c r="Q18" s="29" t="n">
        <v>119</v>
      </c>
      <c r="R18" s="31" t="n">
        <f aca="false">IFERROR(M18/Q18,0)</f>
        <v>0.487394957983193</v>
      </c>
      <c r="S18" s="28" t="n">
        <v>600</v>
      </c>
      <c r="T18" s="29" t="n">
        <v>54</v>
      </c>
      <c r="U18" s="31" t="n">
        <f aca="false">IFERROR(T18/T$49,0)</f>
        <v>0.00120344988968376</v>
      </c>
      <c r="V18" s="28" t="n">
        <f aca="false">T18*S18</f>
        <v>32400</v>
      </c>
      <c r="W18" s="31" t="n">
        <f aca="false">IFERROR(V18/V$49,0)</f>
        <v>0.00104425851199608</v>
      </c>
      <c r="X18" s="29" t="n">
        <v>80</v>
      </c>
      <c r="Y18" s="31" t="n">
        <f aca="false">IFERROR(T18/X18,0)</f>
        <v>0.675</v>
      </c>
      <c r="Z18" s="28" t="n">
        <v>600</v>
      </c>
      <c r="AA18" s="29" t="n">
        <v>142</v>
      </c>
      <c r="AB18" s="31" t="n">
        <f aca="false">IFERROR(AA18/AA$49,0)</f>
        <v>0.00222780043928459</v>
      </c>
      <c r="AC18" s="28" t="n">
        <f aca="false">AA18*Z18</f>
        <v>85200</v>
      </c>
      <c r="AD18" s="31" t="n">
        <f aca="false">IFERROR(AC18/AC$49,0)</f>
        <v>0.0018722147509427</v>
      </c>
      <c r="AE18" s="29" t="n">
        <v>150</v>
      </c>
      <c r="AF18" s="31" t="n">
        <f aca="false">IFERROR(AA18/AE18,0)</f>
        <v>0.946666666666667</v>
      </c>
      <c r="AG18" s="28" t="n">
        <v>600</v>
      </c>
      <c r="AH18" s="29" t="n">
        <v>12</v>
      </c>
      <c r="AI18" s="31" t="n">
        <f aca="false">IFERROR(AH18/AH$49,0)</f>
        <v>0.00286464550011936</v>
      </c>
      <c r="AJ18" s="28" t="n">
        <f aca="false">AH18*AG18</f>
        <v>7200</v>
      </c>
      <c r="AK18" s="31" t="n">
        <f aca="false">IFERROR(AJ18/AJ$49,0)</f>
        <v>0.00216919739696312</v>
      </c>
      <c r="AL18" s="29" t="n">
        <v>50</v>
      </c>
      <c r="AM18" s="31" t="n">
        <f aca="false">IFERROR(AH18/AL18,0)</f>
        <v>0.24</v>
      </c>
      <c r="AN18" s="30" t="n">
        <f aca="false">①札幌予測確定!O18</f>
        <v>2.49092607253181</v>
      </c>
      <c r="AO18" s="29" t="n">
        <f aca="false">①札幌予測確定!P18</f>
        <v>30</v>
      </c>
      <c r="AP18" s="28" t="n">
        <f aca="false">①札幌予測確定!Q18</f>
        <v>18000</v>
      </c>
      <c r="AQ18" s="31" t="n">
        <f aca="false">①札幌予測確定!T18</f>
        <v>0.6</v>
      </c>
      <c r="AR18" s="29" t="n">
        <f aca="false">①札幌予測確定!U18</f>
        <v>20</v>
      </c>
      <c r="AS18" s="29" t="n">
        <f aca="false">③石川以降予測!N36</f>
        <v>232</v>
      </c>
      <c r="AT18" s="29" t="n">
        <f aca="false">③石川以降予測!O36</f>
        <v>20</v>
      </c>
      <c r="AU18" s="32" t="n">
        <f aca="false">③石川以降予測!Q36</f>
        <v>212</v>
      </c>
      <c r="AV18" s="29" t="n">
        <f aca="false">③石川以降予測!R36</f>
        <v>212</v>
      </c>
      <c r="AW18" s="26" t="str">
        <f aca="false">④追加発注判定!J18</f>
        <v>適正</v>
      </c>
      <c r="AX18" s="26" t="str">
        <f aca="false">④追加発注判定!P18</f>
        <v>要 追加生産</v>
      </c>
      <c r="AY18" s="29" t="n">
        <f aca="false">④追加発注判定!R18</f>
        <v>234</v>
      </c>
      <c r="AZ18" s="26" t="str">
        <f aca="false">④追加発注判定!T18</f>
        <v>C:通常</v>
      </c>
    </row>
    <row r="19" customFormat="false" ht="15" hidden="false" customHeight="false" outlineLevel="0" collapsed="false">
      <c r="A19" s="26" t="n">
        <v>13</v>
      </c>
      <c r="B19" s="26" t="s">
        <v>204</v>
      </c>
      <c r="C19" s="27" t="s">
        <v>205</v>
      </c>
      <c r="D19" s="28" t="n">
        <v>600</v>
      </c>
      <c r="E19" s="28" t="n">
        <v>600</v>
      </c>
      <c r="F19" s="29" t="n">
        <v>99</v>
      </c>
      <c r="G19" s="31" t="n">
        <f aca="false">IFERROR(F19/F$49,0)</f>
        <v>0.00066808381415123</v>
      </c>
      <c r="H19" s="28" t="n">
        <f aca="false">F19*E19</f>
        <v>59400</v>
      </c>
      <c r="I19" s="31" t="n">
        <f aca="false">IFERROR(H19/H$49,0)</f>
        <v>0.000581291798696889</v>
      </c>
      <c r="J19" s="29" t="n">
        <v>349</v>
      </c>
      <c r="K19" s="31" t="n">
        <f aca="false">IFERROR(F19/J19,0)</f>
        <v>0.283667621776504</v>
      </c>
      <c r="L19" s="28" t="n">
        <v>600</v>
      </c>
      <c r="M19" s="29" t="n">
        <v>16</v>
      </c>
      <c r="N19" s="31" t="n">
        <f aca="false">IFERROR(M19/M$49,0)</f>
        <v>0.000273037542662116</v>
      </c>
      <c r="O19" s="28" t="n">
        <f aca="false">M19*L19</f>
        <v>9600</v>
      </c>
      <c r="P19" s="31" t="n">
        <f aca="false">IFERROR(O19/O$49,0)</f>
        <v>0.00023143906884348</v>
      </c>
      <c r="Q19" s="29" t="n">
        <v>39.6</v>
      </c>
      <c r="R19" s="31" t="n">
        <f aca="false">IFERROR(M19/Q19,0)</f>
        <v>0.404040404040404</v>
      </c>
      <c r="S19" s="28" t="n">
        <v>600</v>
      </c>
      <c r="T19" s="29" t="n">
        <v>22</v>
      </c>
      <c r="U19" s="31" t="n">
        <f aca="false">IFERROR(T19/T$49,0)</f>
        <v>0.000490294399500791</v>
      </c>
      <c r="V19" s="28" t="n">
        <f aca="false">T19*S19</f>
        <v>13200</v>
      </c>
      <c r="W19" s="31" t="n">
        <f aca="false">IFERROR(V19/V$49,0)</f>
        <v>0.00042543865303544</v>
      </c>
      <c r="X19" s="29" t="n">
        <v>25</v>
      </c>
      <c r="Y19" s="31" t="n">
        <f aca="false">IFERROR(T19/X19,0)</f>
        <v>0.88</v>
      </c>
      <c r="Z19" s="28" t="n">
        <v>600</v>
      </c>
      <c r="AA19" s="29" t="n">
        <v>43</v>
      </c>
      <c r="AB19" s="31" t="n">
        <f aca="false">IFERROR(AA19/AA$49,0)</f>
        <v>0.000674615625980546</v>
      </c>
      <c r="AC19" s="28" t="n">
        <f aca="false">AA19*Z19</f>
        <v>25800</v>
      </c>
      <c r="AD19" s="31" t="n">
        <f aca="false">IFERROR(AC19/AC$49,0)</f>
        <v>0.000566938269651663</v>
      </c>
      <c r="AE19" s="29" t="n">
        <v>50</v>
      </c>
      <c r="AF19" s="31" t="n">
        <f aca="false">IFERROR(AA19/AE19,0)</f>
        <v>0.86</v>
      </c>
      <c r="AG19" s="28" t="n">
        <v>600</v>
      </c>
      <c r="AH19" s="29" t="n">
        <v>3</v>
      </c>
      <c r="AI19" s="31" t="n">
        <f aca="false">IFERROR(AH19/AH$49,0)</f>
        <v>0.00071616137502984</v>
      </c>
      <c r="AJ19" s="28" t="n">
        <f aca="false">AH19*AG19</f>
        <v>1800</v>
      </c>
      <c r="AK19" s="31" t="n">
        <f aca="false">IFERROR(AJ19/AJ$49,0)</f>
        <v>0.000542299349240781</v>
      </c>
      <c r="AL19" s="29" t="n">
        <v>50</v>
      </c>
      <c r="AM19" s="31" t="n">
        <f aca="false">IFERROR(AH19/AL19,0)</f>
        <v>0.06</v>
      </c>
      <c r="AN19" s="30" t="n">
        <f aca="false">①札幌予測確定!O19</f>
        <v>2.47267087775474</v>
      </c>
      <c r="AO19" s="29" t="n">
        <f aca="false">①札幌予測確定!P19</f>
        <v>7</v>
      </c>
      <c r="AP19" s="28" t="n">
        <f aca="false">①札幌予測確定!Q19</f>
        <v>4200</v>
      </c>
      <c r="AQ19" s="31" t="n">
        <f aca="false">①札幌予測確定!T19</f>
        <v>0.14</v>
      </c>
      <c r="AR19" s="29" t="n">
        <f aca="false">①札幌予測確定!U19</f>
        <v>43</v>
      </c>
      <c r="AS19" s="29" t="n">
        <f aca="false">③石川以降予測!N37</f>
        <v>61</v>
      </c>
      <c r="AT19" s="29" t="n">
        <f aca="false">③石川以降予測!O37</f>
        <v>43</v>
      </c>
      <c r="AU19" s="32" t="n">
        <f aca="false">③石川以降予測!Q37</f>
        <v>18</v>
      </c>
      <c r="AV19" s="29" t="n">
        <f aca="false">③石川以降予測!R37</f>
        <v>18</v>
      </c>
      <c r="AW19" s="26" t="str">
        <f aca="false">④追加発注判定!J19</f>
        <v>在庫余剰</v>
      </c>
      <c r="AX19" s="26" t="str">
        <f aca="false">④追加発注判定!P19</f>
        <v>要 追加生産</v>
      </c>
      <c r="AY19" s="29" t="n">
        <f aca="false">④追加発注判定!R19</f>
        <v>20</v>
      </c>
      <c r="AZ19" s="26" t="str">
        <f aca="false">④追加発注判定!T19</f>
        <v>C:通常</v>
      </c>
    </row>
    <row r="20" customFormat="false" ht="15" hidden="false" customHeight="false" outlineLevel="0" collapsed="false">
      <c r="A20" s="26" t="n">
        <v>14</v>
      </c>
      <c r="B20" s="26" t="s">
        <v>206</v>
      </c>
      <c r="C20" s="27" t="s">
        <v>207</v>
      </c>
      <c r="D20" s="28" t="n">
        <v>600</v>
      </c>
      <c r="E20" s="28" t="n">
        <v>600</v>
      </c>
      <c r="F20" s="29" t="n">
        <v>411</v>
      </c>
      <c r="G20" s="31" t="n">
        <f aca="false">IFERROR(F20/F$49,0)</f>
        <v>0.00277356007693086</v>
      </c>
      <c r="H20" s="28" t="n">
        <f aca="false">F20*E20</f>
        <v>246600</v>
      </c>
      <c r="I20" s="31" t="n">
        <f aca="false">IFERROR(H20/H$49,0)</f>
        <v>0.00241324170974163</v>
      </c>
      <c r="J20" s="29" t="n">
        <v>1750</v>
      </c>
      <c r="K20" s="31" t="n">
        <f aca="false">IFERROR(F20/J20,0)</f>
        <v>0.234857142857143</v>
      </c>
      <c r="L20" s="28" t="n">
        <v>600</v>
      </c>
      <c r="M20" s="29" t="n">
        <v>73</v>
      </c>
      <c r="N20" s="31" t="n">
        <f aca="false">IFERROR(M20/M$49,0)</f>
        <v>0.0012457337883959</v>
      </c>
      <c r="O20" s="28" t="n">
        <f aca="false">M20*L20</f>
        <v>43800</v>
      </c>
      <c r="P20" s="31" t="n">
        <f aca="false">IFERROR(O20/O$49,0)</f>
        <v>0.00105594075159838</v>
      </c>
      <c r="Q20" s="29" t="n">
        <v>165</v>
      </c>
      <c r="R20" s="31" t="n">
        <f aca="false">IFERROR(M20/Q20,0)</f>
        <v>0.442424242424242</v>
      </c>
      <c r="S20" s="28" t="n">
        <v>600</v>
      </c>
      <c r="T20" s="29" t="n">
        <v>79</v>
      </c>
      <c r="U20" s="31" t="n">
        <f aca="false">IFERROR(T20/T$49,0)</f>
        <v>0.0017606026163892</v>
      </c>
      <c r="V20" s="28" t="n">
        <f aca="false">T20*S20</f>
        <v>47400</v>
      </c>
      <c r="W20" s="31" t="n">
        <f aca="false">IFERROR(V20/V$49,0)</f>
        <v>0.00152771152680908</v>
      </c>
      <c r="X20" s="29" t="n">
        <v>80</v>
      </c>
      <c r="Y20" s="31" t="n">
        <f aca="false">IFERROR(T20/X20,0)</f>
        <v>0.9875</v>
      </c>
      <c r="Z20" s="28" t="n">
        <v>600</v>
      </c>
      <c r="AA20" s="29" t="n">
        <v>146</v>
      </c>
      <c r="AB20" s="31" t="n">
        <f aca="false">IFERROR(AA20/AA$49,0)</f>
        <v>0.00229055538123627</v>
      </c>
      <c r="AC20" s="28" t="n">
        <f aca="false">AA20*Z20</f>
        <v>87600</v>
      </c>
      <c r="AD20" s="31" t="n">
        <f aca="false">IFERROR(AC20/AC$49,0)</f>
        <v>0.00192495319463123</v>
      </c>
      <c r="AE20" s="29" t="n">
        <v>300</v>
      </c>
      <c r="AF20" s="31" t="n">
        <f aca="false">IFERROR(AA20/AE20,0)</f>
        <v>0.486666666666667</v>
      </c>
      <c r="AG20" s="28" t="n">
        <v>600</v>
      </c>
      <c r="AH20" s="29" t="n">
        <v>17</v>
      </c>
      <c r="AI20" s="31" t="n">
        <f aca="false">IFERROR(AH20/AH$49,0)</f>
        <v>0.00405824779183576</v>
      </c>
      <c r="AJ20" s="28" t="n">
        <f aca="false">AH20*AG20</f>
        <v>10200</v>
      </c>
      <c r="AK20" s="31" t="n">
        <f aca="false">IFERROR(AJ20/AJ$49,0)</f>
        <v>0.00307302964569776</v>
      </c>
      <c r="AL20" s="29" t="n">
        <v>50</v>
      </c>
      <c r="AM20" s="31" t="n">
        <f aca="false">IFERROR(AH20/AL20,0)</f>
        <v>0.34</v>
      </c>
      <c r="AN20" s="30" t="n">
        <f aca="false">①札幌予測確定!O20</f>
        <v>2.22551184273455</v>
      </c>
      <c r="AO20" s="29" t="n">
        <f aca="false">①札幌予測確定!P20</f>
        <v>38</v>
      </c>
      <c r="AP20" s="28" t="n">
        <f aca="false">①札幌予測確定!Q20</f>
        <v>22800</v>
      </c>
      <c r="AQ20" s="31" t="n">
        <f aca="false">①札幌予測確定!T20</f>
        <v>0.76</v>
      </c>
      <c r="AR20" s="29" t="n">
        <f aca="false">①札幌予測確定!U20</f>
        <v>12</v>
      </c>
      <c r="AS20" s="29" t="n">
        <f aca="false">③石川以降予測!N38</f>
        <v>271</v>
      </c>
      <c r="AT20" s="29" t="n">
        <f aca="false">③石川以降予測!O38</f>
        <v>12</v>
      </c>
      <c r="AU20" s="32" t="n">
        <f aca="false">③石川以降予測!Q38</f>
        <v>259</v>
      </c>
      <c r="AV20" s="29" t="n">
        <f aca="false">③石川以降予測!R38</f>
        <v>259</v>
      </c>
      <c r="AW20" s="26" t="str">
        <f aca="false">④追加発注判定!J20</f>
        <v>適正</v>
      </c>
      <c r="AX20" s="26" t="str">
        <f aca="false">④追加発注判定!P20</f>
        <v>要 追加生産</v>
      </c>
      <c r="AY20" s="29" t="n">
        <f aca="false">④追加発注判定!R20</f>
        <v>285</v>
      </c>
      <c r="AZ20" s="26" t="str">
        <f aca="false">④追加発注判定!T20</f>
        <v>C:通常</v>
      </c>
    </row>
    <row r="21" customFormat="false" ht="15" hidden="false" customHeight="false" outlineLevel="0" collapsed="false">
      <c r="A21" s="26" t="n">
        <v>15</v>
      </c>
      <c r="B21" s="26" t="s">
        <v>208</v>
      </c>
      <c r="C21" s="27" t="s">
        <v>209</v>
      </c>
      <c r="D21" s="28" t="n">
        <v>600</v>
      </c>
      <c r="E21" s="28" t="n">
        <v>600</v>
      </c>
      <c r="F21" s="29" t="n">
        <v>471</v>
      </c>
      <c r="G21" s="31" t="n">
        <f aca="false">IFERROR(F21/F$49,0)</f>
        <v>0.00317845935823464</v>
      </c>
      <c r="H21" s="28" t="n">
        <f aca="false">F21*E21</f>
        <v>282600</v>
      </c>
      <c r="I21" s="31" t="n">
        <f aca="false">IFERROR(H21/H$49,0)</f>
        <v>0.00276553976955792</v>
      </c>
      <c r="J21" s="29" t="n">
        <v>2100</v>
      </c>
      <c r="K21" s="31" t="n">
        <f aca="false">IFERROR(F21/J21,0)</f>
        <v>0.224285714285714</v>
      </c>
      <c r="L21" s="28" t="n">
        <v>600</v>
      </c>
      <c r="M21" s="29" t="n">
        <v>100</v>
      </c>
      <c r="N21" s="31" t="n">
        <f aca="false">IFERROR(M21/M$49,0)</f>
        <v>0.00170648464163823</v>
      </c>
      <c r="O21" s="28" t="n">
        <f aca="false">M21*L21</f>
        <v>60000</v>
      </c>
      <c r="P21" s="31" t="n">
        <f aca="false">IFERROR(O21/O$49,0)</f>
        <v>0.00144649418027175</v>
      </c>
      <c r="Q21" s="29" t="n">
        <v>190</v>
      </c>
      <c r="R21" s="31" t="n">
        <f aca="false">IFERROR(M21/Q21,0)</f>
        <v>0.526315789473684</v>
      </c>
      <c r="S21" s="28" t="n">
        <v>600</v>
      </c>
      <c r="T21" s="29" t="n">
        <v>100</v>
      </c>
      <c r="U21" s="31" t="n">
        <f aca="false">IFERROR(T21/T$49,0)</f>
        <v>0.00222861090682178</v>
      </c>
      <c r="V21" s="28" t="n">
        <f aca="false">T21*S21</f>
        <v>60000</v>
      </c>
      <c r="W21" s="31" t="n">
        <f aca="false">IFERROR(V21/V$49,0)</f>
        <v>0.001933812059252</v>
      </c>
      <c r="X21" s="29" t="n">
        <v>100</v>
      </c>
      <c r="Y21" s="31" t="n">
        <f aca="false">IFERROR(T21/X21,0)</f>
        <v>1</v>
      </c>
      <c r="Z21" s="28" t="n">
        <v>600</v>
      </c>
      <c r="AA21" s="29" t="n">
        <v>198</v>
      </c>
      <c r="AB21" s="31" t="n">
        <f aca="false">IFERROR(AA21/AA$49,0)</f>
        <v>0.0031063696266081</v>
      </c>
      <c r="AC21" s="28" t="n">
        <f aca="false">AA21*Z21</f>
        <v>118800</v>
      </c>
      <c r="AD21" s="31" t="n">
        <f aca="false">IFERROR(AC21/AC$49,0)</f>
        <v>0.00261055296258207</v>
      </c>
      <c r="AE21" s="29" t="n">
        <v>300</v>
      </c>
      <c r="AF21" s="31" t="n">
        <f aca="false">IFERROR(AA21/AE21,0)</f>
        <v>0.66</v>
      </c>
      <c r="AG21" s="28" t="n">
        <v>600</v>
      </c>
      <c r="AH21" s="29" t="n">
        <v>29</v>
      </c>
      <c r="AI21" s="31" t="n">
        <f aca="false">IFERROR(AH21/AH$49,0)</f>
        <v>0.00692289329195512</v>
      </c>
      <c r="AJ21" s="28" t="n">
        <f aca="false">AH21*AG21</f>
        <v>17400</v>
      </c>
      <c r="AK21" s="31" t="n">
        <f aca="false">IFERROR(AJ21/AJ$49,0)</f>
        <v>0.00524222704266088</v>
      </c>
      <c r="AL21" s="29" t="n">
        <v>100</v>
      </c>
      <c r="AM21" s="31" t="n">
        <f aca="false">IFERROR(AH21/AL21,0)</f>
        <v>0.29</v>
      </c>
      <c r="AN21" s="30" t="n">
        <f aca="false">①札幌予測確定!O21</f>
        <v>2.30032376883294</v>
      </c>
      <c r="AO21" s="29" t="n">
        <f aca="false">①札幌予測確定!P21</f>
        <v>67</v>
      </c>
      <c r="AP21" s="28" t="n">
        <f aca="false">①札幌予測確定!Q21</f>
        <v>40200</v>
      </c>
      <c r="AQ21" s="31" t="n">
        <f aca="false">①札幌予測確定!T21</f>
        <v>0.67</v>
      </c>
      <c r="AR21" s="29" t="n">
        <f aca="false">①札幌予測確定!U21</f>
        <v>33</v>
      </c>
      <c r="AS21" s="29" t="n">
        <f aca="false">③石川以降予測!N39</f>
        <v>437</v>
      </c>
      <c r="AT21" s="29" t="n">
        <f aca="false">③石川以降予測!O39</f>
        <v>33</v>
      </c>
      <c r="AU21" s="32" t="n">
        <f aca="false">③石川以降予測!Q39</f>
        <v>404</v>
      </c>
      <c r="AV21" s="29" t="n">
        <f aca="false">③石川以降予測!R39</f>
        <v>404</v>
      </c>
      <c r="AW21" s="26" t="str">
        <f aca="false">④追加発注判定!J21</f>
        <v>適正</v>
      </c>
      <c r="AX21" s="26" t="str">
        <f aca="false">④追加発注判定!P21</f>
        <v>要 追加生産</v>
      </c>
      <c r="AY21" s="29" t="n">
        <f aca="false">④追加発注判定!R21</f>
        <v>445</v>
      </c>
      <c r="AZ21" s="26" t="str">
        <f aca="false">④追加発注判定!T21</f>
        <v>C:通常</v>
      </c>
    </row>
    <row r="22" customFormat="false" ht="15" hidden="false" customHeight="false" outlineLevel="0" collapsed="false">
      <c r="A22" s="26" t="n">
        <v>16</v>
      </c>
      <c r="B22" s="26" t="s">
        <v>210</v>
      </c>
      <c r="C22" s="27" t="s">
        <v>211</v>
      </c>
      <c r="D22" s="28" t="n">
        <v>600</v>
      </c>
      <c r="E22" s="28" t="n">
        <v>600</v>
      </c>
      <c r="F22" s="29" t="n">
        <v>95</v>
      </c>
      <c r="G22" s="31" t="n">
        <f aca="false">IFERROR(F22/F$49,0)</f>
        <v>0.000641090528730978</v>
      </c>
      <c r="H22" s="28" t="n">
        <f aca="false">F22*E22</f>
        <v>57000</v>
      </c>
      <c r="I22" s="31" t="n">
        <f aca="false">IFERROR(H22/H$49,0)</f>
        <v>0.000557805261375802</v>
      </c>
      <c r="J22" s="29" t="n">
        <v>700</v>
      </c>
      <c r="K22" s="31" t="n">
        <f aca="false">IFERROR(F22/J22,0)</f>
        <v>0.135714285714286</v>
      </c>
      <c r="L22" s="28" t="n">
        <v>600</v>
      </c>
      <c r="M22" s="29" t="n">
        <v>38</v>
      </c>
      <c r="N22" s="31" t="n">
        <f aca="false">IFERROR(M22/M$49,0)</f>
        <v>0.000648464163822526</v>
      </c>
      <c r="O22" s="28" t="n">
        <f aca="false">M22*L22</f>
        <v>22800</v>
      </c>
      <c r="P22" s="31" t="n">
        <f aca="false">IFERROR(O22/O$49,0)</f>
        <v>0.000549667788503264</v>
      </c>
      <c r="Q22" s="29" t="n">
        <v>40</v>
      </c>
      <c r="R22" s="31" t="n">
        <f aca="false">IFERROR(M22/Q22,0)</f>
        <v>0.95</v>
      </c>
      <c r="S22" s="28" t="n">
        <v>600</v>
      </c>
      <c r="T22" s="29" t="n">
        <v>30</v>
      </c>
      <c r="U22" s="31" t="n">
        <f aca="false">IFERROR(T22/T$49,0)</f>
        <v>0.000668583272046533</v>
      </c>
      <c r="V22" s="28" t="n">
        <f aca="false">T22*S22</f>
        <v>18000</v>
      </c>
      <c r="W22" s="31" t="n">
        <f aca="false">IFERROR(V22/V$49,0)</f>
        <v>0.0005801436177756</v>
      </c>
      <c r="X22" s="29" t="n">
        <v>30</v>
      </c>
      <c r="Y22" s="31" t="n">
        <f aca="false">IFERROR(T22/X22,0)</f>
        <v>1</v>
      </c>
      <c r="Z22" s="28" t="n">
        <v>600</v>
      </c>
      <c r="AA22" s="29" t="n">
        <v>65</v>
      </c>
      <c r="AB22" s="31" t="n">
        <f aca="false">IFERROR(AA22/AA$49,0)</f>
        <v>0.00101976780671478</v>
      </c>
      <c r="AC22" s="28" t="n">
        <f aca="false">AA22*Z22</f>
        <v>39000</v>
      </c>
      <c r="AD22" s="31" t="n">
        <f aca="false">IFERROR(AC22/AC$49,0)</f>
        <v>0.00085699970993856</v>
      </c>
      <c r="AE22" s="29" t="n">
        <v>100</v>
      </c>
      <c r="AF22" s="31" t="n">
        <f aca="false">IFERROR(AA22/AE22,0)</f>
        <v>0.65</v>
      </c>
      <c r="AG22" s="28" t="n">
        <v>600</v>
      </c>
      <c r="AH22" s="29" t="n">
        <v>3</v>
      </c>
      <c r="AI22" s="31" t="n">
        <f aca="false">IFERROR(AH22/AH$49,0)</f>
        <v>0.00071616137502984</v>
      </c>
      <c r="AJ22" s="28" t="n">
        <f aca="false">AH22*AG22</f>
        <v>1800</v>
      </c>
      <c r="AK22" s="31" t="n">
        <f aca="false">IFERROR(AJ22/AJ$49,0)</f>
        <v>0.000542299349240781</v>
      </c>
      <c r="AL22" s="29" t="n">
        <v>50</v>
      </c>
      <c r="AM22" s="31" t="n">
        <f aca="false">IFERROR(AH22/AL22,0)</f>
        <v>0.06</v>
      </c>
      <c r="AN22" s="30" t="n">
        <f aca="false">①札幌予測確定!O22</f>
        <v>2.73828178327756</v>
      </c>
      <c r="AO22" s="29" t="n">
        <f aca="false">①札幌予測確定!P22</f>
        <v>8</v>
      </c>
      <c r="AP22" s="28" t="n">
        <f aca="false">①札幌予測確定!Q22</f>
        <v>4800</v>
      </c>
      <c r="AQ22" s="31" t="n">
        <f aca="false">①札幌予測確定!T22</f>
        <v>0.16</v>
      </c>
      <c r="AR22" s="29" t="n">
        <f aca="false">①札幌予測確定!U22</f>
        <v>42</v>
      </c>
      <c r="AS22" s="29" t="n">
        <f aca="false">③石川以降予測!N40</f>
        <v>80</v>
      </c>
      <c r="AT22" s="29" t="n">
        <f aca="false">③石川以降予測!O40</f>
        <v>42</v>
      </c>
      <c r="AU22" s="32" t="n">
        <f aca="false">③石川以降予測!Q40</f>
        <v>38</v>
      </c>
      <c r="AV22" s="29" t="n">
        <f aca="false">③石川以降予測!R40</f>
        <v>38</v>
      </c>
      <c r="AW22" s="26" t="str">
        <f aca="false">④追加発注判定!J22</f>
        <v>在庫余剰</v>
      </c>
      <c r="AX22" s="26" t="str">
        <f aca="false">④追加発注判定!P22</f>
        <v>要 追加生産</v>
      </c>
      <c r="AY22" s="29" t="n">
        <f aca="false">④追加発注判定!R22</f>
        <v>42</v>
      </c>
      <c r="AZ22" s="26" t="str">
        <f aca="false">④追加発注判定!T22</f>
        <v>C:通常</v>
      </c>
    </row>
    <row r="23" customFormat="false" ht="15" hidden="false" customHeight="false" outlineLevel="0" collapsed="false">
      <c r="A23" s="26" t="n">
        <v>17</v>
      </c>
      <c r="B23" s="26" t="s">
        <v>212</v>
      </c>
      <c r="C23" s="27" t="s">
        <v>213</v>
      </c>
      <c r="D23" s="28" t="n">
        <v>600</v>
      </c>
      <c r="E23" s="28" t="n">
        <v>600</v>
      </c>
      <c r="F23" s="29" t="n">
        <v>492</v>
      </c>
      <c r="G23" s="31" t="n">
        <f aca="false">IFERROR(F23/F$49,0)</f>
        <v>0.00332017410669096</v>
      </c>
      <c r="H23" s="28" t="n">
        <f aca="false">F23*E23</f>
        <v>295200</v>
      </c>
      <c r="I23" s="31" t="n">
        <f aca="false">IFERROR(H23/H$49,0)</f>
        <v>0.00288884409049363</v>
      </c>
      <c r="J23" s="29" t="n">
        <v>2450</v>
      </c>
      <c r="K23" s="31" t="n">
        <f aca="false">IFERROR(F23/J23,0)</f>
        <v>0.200816326530612</v>
      </c>
      <c r="L23" s="28" t="n">
        <v>600</v>
      </c>
      <c r="M23" s="29" t="n">
        <v>124</v>
      </c>
      <c r="N23" s="31" t="n">
        <f aca="false">IFERROR(M23/M$49,0)</f>
        <v>0.0021160409556314</v>
      </c>
      <c r="O23" s="28" t="n">
        <f aca="false">M23*L23</f>
        <v>74400</v>
      </c>
      <c r="P23" s="31" t="n">
        <f aca="false">IFERROR(O23/O$49,0)</f>
        <v>0.00179365278353697</v>
      </c>
      <c r="Q23" s="29" t="n">
        <v>198</v>
      </c>
      <c r="R23" s="31" t="n">
        <f aca="false">IFERROR(M23/Q23,0)</f>
        <v>0.626262626262626</v>
      </c>
      <c r="S23" s="28" t="n">
        <v>600</v>
      </c>
      <c r="T23" s="29" t="n">
        <v>100</v>
      </c>
      <c r="U23" s="31" t="n">
        <f aca="false">IFERROR(T23/T$49,0)</f>
        <v>0.00222861090682178</v>
      </c>
      <c r="V23" s="28" t="n">
        <f aca="false">T23*S23</f>
        <v>60000</v>
      </c>
      <c r="W23" s="31" t="n">
        <f aca="false">IFERROR(V23/V$49,0)</f>
        <v>0.001933812059252</v>
      </c>
      <c r="X23" s="29" t="n">
        <v>100</v>
      </c>
      <c r="Y23" s="31" t="n">
        <f aca="false">IFERROR(T23/X23,0)</f>
        <v>1</v>
      </c>
      <c r="Z23" s="28" t="n">
        <v>600</v>
      </c>
      <c r="AA23" s="29" t="n">
        <v>261</v>
      </c>
      <c r="AB23" s="31" t="n">
        <f aca="false">IFERROR(AA23/AA$49,0)</f>
        <v>0.00409475996234703</v>
      </c>
      <c r="AC23" s="28" t="n">
        <f aca="false">AA23*Z23</f>
        <v>156600</v>
      </c>
      <c r="AD23" s="31" t="n">
        <f aca="false">IFERROR(AC23/AC$49,0)</f>
        <v>0.00344118345067637</v>
      </c>
      <c r="AE23" s="29" t="n">
        <v>300</v>
      </c>
      <c r="AF23" s="31" t="n">
        <f aca="false">IFERROR(AA23/AE23,0)</f>
        <v>0.87</v>
      </c>
      <c r="AG23" s="28" t="n">
        <v>600</v>
      </c>
      <c r="AH23" s="29" t="n">
        <v>39</v>
      </c>
      <c r="AI23" s="31" t="n">
        <f aca="false">IFERROR(AH23/AH$49,0)</f>
        <v>0.00931009787538792</v>
      </c>
      <c r="AJ23" s="28" t="n">
        <f aca="false">AH23*AG23</f>
        <v>23400</v>
      </c>
      <c r="AK23" s="31" t="n">
        <f aca="false">IFERROR(AJ23/AJ$49,0)</f>
        <v>0.00704989154013015</v>
      </c>
      <c r="AL23" s="29" t="n">
        <v>100</v>
      </c>
      <c r="AM23" s="31" t="n">
        <f aca="false">IFERROR(AH23/AL23,0)</f>
        <v>0.39</v>
      </c>
      <c r="AN23" s="30" t="n">
        <f aca="false">①札幌予測確定!O23</f>
        <v>2.47100095769255</v>
      </c>
      <c r="AO23" s="29" t="n">
        <f aca="false">①札幌予測確定!P23</f>
        <v>96</v>
      </c>
      <c r="AP23" s="28" t="n">
        <f aca="false">①札幌予測確定!Q23</f>
        <v>57600</v>
      </c>
      <c r="AQ23" s="31" t="n">
        <f aca="false">①札幌予測確定!T23</f>
        <v>0.96</v>
      </c>
      <c r="AR23" s="29" t="n">
        <f aca="false">①札幌予測確定!U23</f>
        <v>4</v>
      </c>
      <c r="AS23" s="29" t="n">
        <f aca="false">③石川以降予測!N41</f>
        <v>612</v>
      </c>
      <c r="AT23" s="29" t="n">
        <f aca="false">③石川以降予測!O41</f>
        <v>4</v>
      </c>
      <c r="AU23" s="32" t="n">
        <f aca="false">③石川以降予測!Q41</f>
        <v>608</v>
      </c>
      <c r="AV23" s="29" t="n">
        <f aca="false">③石川以降予測!R41</f>
        <v>608</v>
      </c>
      <c r="AW23" s="26" t="str">
        <f aca="false">④追加発注判定!J23</f>
        <v>要注意(90%超)</v>
      </c>
      <c r="AX23" s="26" t="str">
        <f aca="false">④追加発注判定!P23</f>
        <v>要 追加生産</v>
      </c>
      <c r="AY23" s="29" t="n">
        <f aca="false">④追加発注判定!R23</f>
        <v>669</v>
      </c>
      <c r="AZ23" s="26" t="str">
        <f aca="false">④追加発注判定!T23</f>
        <v>C:通常</v>
      </c>
    </row>
    <row r="24" customFormat="false" ht="15" hidden="false" customHeight="false" outlineLevel="0" collapsed="false">
      <c r="A24" s="26" t="n">
        <v>18</v>
      </c>
      <c r="B24" s="26" t="s">
        <v>214</v>
      </c>
      <c r="C24" s="27" t="s">
        <v>215</v>
      </c>
      <c r="D24" s="28" t="n">
        <v>600</v>
      </c>
      <c r="E24" s="28" t="n">
        <v>600</v>
      </c>
      <c r="F24" s="29" t="n">
        <v>5661</v>
      </c>
      <c r="G24" s="31" t="n">
        <f aca="false">IFERROR(F24/F$49,0)</f>
        <v>0.0382022471910112</v>
      </c>
      <c r="H24" s="28" t="n">
        <f aca="false">F24*E24</f>
        <v>3396600</v>
      </c>
      <c r="I24" s="31" t="n">
        <f aca="false">IFERROR(H24/H$49,0)</f>
        <v>0.0332393219436675</v>
      </c>
      <c r="J24" s="29" t="n">
        <v>8750</v>
      </c>
      <c r="K24" s="31" t="n">
        <f aca="false">IFERROR(F24/J24,0)</f>
        <v>0.646971428571429</v>
      </c>
      <c r="L24" s="28" t="n">
        <v>600</v>
      </c>
      <c r="M24" s="29" t="n">
        <v>1187</v>
      </c>
      <c r="N24" s="31" t="n">
        <f aca="false">IFERROR(M24/M$49,0)</f>
        <v>0.0202559726962457</v>
      </c>
      <c r="O24" s="28" t="n">
        <f aca="false">M24*L24</f>
        <v>712200</v>
      </c>
      <c r="P24" s="31" t="n">
        <f aca="false">IFERROR(O24/O$49,0)</f>
        <v>0.0171698859198257</v>
      </c>
      <c r="Q24" s="29" t="n">
        <v>2265.2</v>
      </c>
      <c r="R24" s="31" t="n">
        <f aca="false">IFERROR(M24/Q24,0)</f>
        <v>0.524015539466714</v>
      </c>
      <c r="S24" s="28" t="n">
        <v>600</v>
      </c>
      <c r="T24" s="29" t="n">
        <v>898</v>
      </c>
      <c r="U24" s="31" t="n">
        <f aca="false">IFERROR(T24/T$49,0)</f>
        <v>0.0200129259432596</v>
      </c>
      <c r="V24" s="28" t="n">
        <f aca="false">T24*S24</f>
        <v>538800</v>
      </c>
      <c r="W24" s="31" t="n">
        <f aca="false">IFERROR(V24/V$49,0)</f>
        <v>0.017365632292083</v>
      </c>
      <c r="X24" s="29" t="n">
        <v>900</v>
      </c>
      <c r="Y24" s="31" t="n">
        <f aca="false">IFERROR(T24/X24,0)</f>
        <v>0.997777777777778</v>
      </c>
      <c r="Z24" s="28" t="n">
        <v>600</v>
      </c>
      <c r="AA24" s="29" t="n">
        <v>2021</v>
      </c>
      <c r="AB24" s="31" t="n">
        <f aca="false">IFERROR(AA24/AA$49,0)</f>
        <v>0.0317069344210857</v>
      </c>
      <c r="AC24" s="28" t="n">
        <f aca="false">AA24*Z24</f>
        <v>1212600</v>
      </c>
      <c r="AD24" s="31" t="n">
        <f aca="false">IFERROR(AC24/AC$49,0)</f>
        <v>0.0266460986736281</v>
      </c>
      <c r="AE24" s="29" t="n">
        <v>4000</v>
      </c>
      <c r="AF24" s="31" t="n">
        <f aca="false">IFERROR(AA24/AE24,0)</f>
        <v>0.50525</v>
      </c>
      <c r="AG24" s="28" t="n">
        <v>600</v>
      </c>
      <c r="AH24" s="29" t="n">
        <v>224</v>
      </c>
      <c r="AI24" s="31" t="n">
        <f aca="false">IFERROR(AH24/AH$49,0)</f>
        <v>0.0534733826688947</v>
      </c>
      <c r="AJ24" s="28" t="n">
        <f aca="false">AH24*AG24</f>
        <v>134400</v>
      </c>
      <c r="AK24" s="31" t="n">
        <f aca="false">IFERROR(AJ24/AJ$49,0)</f>
        <v>0.0404916847433116</v>
      </c>
      <c r="AL24" s="29" t="n">
        <v>1500</v>
      </c>
      <c r="AM24" s="31" t="n">
        <f aca="false">IFERROR(AH24/AL24,0)</f>
        <v>0.149333333333333</v>
      </c>
      <c r="AN24" s="30" t="n">
        <f aca="false">①札幌予測確定!O24</f>
        <v>1.99887621399313</v>
      </c>
      <c r="AO24" s="29" t="n">
        <f aca="false">①札幌予測確定!P24</f>
        <v>448</v>
      </c>
      <c r="AP24" s="28" t="n">
        <f aca="false">①札幌予測確定!Q24</f>
        <v>268800</v>
      </c>
      <c r="AQ24" s="31" t="n">
        <f aca="false">①札幌予測確定!T24</f>
        <v>0.298666666666667</v>
      </c>
      <c r="AR24" s="29" t="n">
        <f aca="false">①札幌予測確定!U24</f>
        <v>1052</v>
      </c>
      <c r="AS24" s="29" t="n">
        <f aca="false">③石川以降予測!N42</f>
        <v>3396</v>
      </c>
      <c r="AT24" s="29" t="n">
        <f aca="false">③石川以降予測!O42</f>
        <v>1052</v>
      </c>
      <c r="AU24" s="32" t="n">
        <f aca="false">③石川以降予測!Q42</f>
        <v>2344</v>
      </c>
      <c r="AV24" s="29" t="n">
        <f aca="false">③石川以降予測!R42</f>
        <v>2344</v>
      </c>
      <c r="AW24" s="26" t="str">
        <f aca="false">④追加発注判定!J24</f>
        <v>在庫余剰</v>
      </c>
      <c r="AX24" s="26" t="str">
        <f aca="false">④追加発注判定!P24</f>
        <v>要 追加生産</v>
      </c>
      <c r="AY24" s="29" t="n">
        <f aca="false">④追加発注判定!R24</f>
        <v>2579</v>
      </c>
      <c r="AZ24" s="26" t="str">
        <f aca="false">④追加発注判定!T24</f>
        <v>B:大口</v>
      </c>
    </row>
    <row r="25" customFormat="false" ht="15" hidden="false" customHeight="false" outlineLevel="0" collapsed="false">
      <c r="A25" s="26" t="n">
        <v>19</v>
      </c>
      <c r="B25" s="26" t="s">
        <v>216</v>
      </c>
      <c r="C25" s="27" t="s">
        <v>217</v>
      </c>
      <c r="D25" s="28" t="n">
        <v>600</v>
      </c>
      <c r="E25" s="28" t="n">
        <v>600</v>
      </c>
      <c r="F25" s="29" t="n">
        <v>168</v>
      </c>
      <c r="G25" s="31" t="n">
        <f aca="false">IFERROR(F25/F$49,0)</f>
        <v>0.00113371798765057</v>
      </c>
      <c r="H25" s="28" t="n">
        <f aca="false">F25*E25</f>
        <v>100800</v>
      </c>
      <c r="I25" s="31" t="n">
        <f aca="false">IFERROR(H25/H$49,0)</f>
        <v>0.000986434567485629</v>
      </c>
      <c r="J25" s="29" t="n">
        <v>1750</v>
      </c>
      <c r="K25" s="31" t="n">
        <f aca="false">IFERROR(F25/J25,0)</f>
        <v>0.096</v>
      </c>
      <c r="L25" s="28" t="n">
        <v>600</v>
      </c>
      <c r="M25" s="29" t="n">
        <v>27</v>
      </c>
      <c r="N25" s="31" t="n">
        <f aca="false">IFERROR(M25/M$49,0)</f>
        <v>0.000460750853242321</v>
      </c>
      <c r="O25" s="28" t="n">
        <f aca="false">M25*L25</f>
        <v>16200</v>
      </c>
      <c r="P25" s="31" t="n">
        <f aca="false">IFERROR(O25/O$49,0)</f>
        <v>0.000390553428673372</v>
      </c>
      <c r="Q25" s="29" t="n">
        <v>65</v>
      </c>
      <c r="R25" s="31" t="n">
        <f aca="false">IFERROR(M25/Q25,0)</f>
        <v>0.415384615384615</v>
      </c>
      <c r="S25" s="28" t="n">
        <v>600</v>
      </c>
      <c r="T25" s="29" t="n">
        <v>19</v>
      </c>
      <c r="U25" s="31" t="n">
        <f aca="false">IFERROR(T25/T$49,0)</f>
        <v>0.000423436072296138</v>
      </c>
      <c r="V25" s="28" t="n">
        <f aca="false">T25*S25</f>
        <v>11400</v>
      </c>
      <c r="W25" s="31" t="n">
        <f aca="false">IFERROR(V25/V$49,0)</f>
        <v>0.00036742429125788</v>
      </c>
      <c r="X25" s="29" t="n">
        <v>20</v>
      </c>
      <c r="Y25" s="31" t="n">
        <f aca="false">IFERROR(T25/X25,0)</f>
        <v>0.95</v>
      </c>
      <c r="Z25" s="28" t="n">
        <v>600</v>
      </c>
      <c r="AA25" s="29" t="n">
        <v>45</v>
      </c>
      <c r="AB25" s="31" t="n">
        <f aca="false">IFERROR(AA25/AA$49,0)</f>
        <v>0.000705993096956385</v>
      </c>
      <c r="AC25" s="28" t="n">
        <f aca="false">AA25*Z25</f>
        <v>27000</v>
      </c>
      <c r="AD25" s="31" t="n">
        <f aca="false">IFERROR(AC25/AC$49,0)</f>
        <v>0.000593307491495926</v>
      </c>
      <c r="AE25" s="29" t="n">
        <v>100</v>
      </c>
      <c r="AF25" s="31" t="n">
        <f aca="false">IFERROR(AA25/AE25,0)</f>
        <v>0.45</v>
      </c>
      <c r="AG25" s="28" t="n">
        <v>600</v>
      </c>
      <c r="AH25" s="29" t="n">
        <v>8</v>
      </c>
      <c r="AI25" s="31" t="n">
        <f aca="false">IFERROR(AH25/AH$49,0)</f>
        <v>0.00190976366674624</v>
      </c>
      <c r="AJ25" s="28" t="n">
        <f aca="false">AH25*AG25</f>
        <v>4800</v>
      </c>
      <c r="AK25" s="31" t="n">
        <f aca="false">IFERROR(AJ25/AJ$49,0)</f>
        <v>0.00144613159797542</v>
      </c>
      <c r="AL25" s="29" t="n">
        <v>50</v>
      </c>
      <c r="AM25" s="31" t="n">
        <f aca="false">IFERROR(AH25/AL25,0)</f>
        <v>0.16</v>
      </c>
      <c r="AN25" s="30" t="n">
        <f aca="false">①札幌予測確定!O25</f>
        <v>1.98889681002703</v>
      </c>
      <c r="AO25" s="29" t="n">
        <f aca="false">①札幌予測確定!P25</f>
        <v>16</v>
      </c>
      <c r="AP25" s="28" t="n">
        <f aca="false">①札幌予測確定!Q25</f>
        <v>9600</v>
      </c>
      <c r="AQ25" s="31" t="n">
        <f aca="false">①札幌予測確定!T25</f>
        <v>0.32</v>
      </c>
      <c r="AR25" s="29" t="n">
        <f aca="false">①札幌予測確定!U25</f>
        <v>34</v>
      </c>
      <c r="AS25" s="29" t="n">
        <f aca="false">③石川以降予測!N43</f>
        <v>103</v>
      </c>
      <c r="AT25" s="29" t="n">
        <f aca="false">③石川以降予測!O43</f>
        <v>34</v>
      </c>
      <c r="AU25" s="32" t="n">
        <f aca="false">③石川以降予測!Q43</f>
        <v>69</v>
      </c>
      <c r="AV25" s="29" t="n">
        <f aca="false">③石川以降予測!R43</f>
        <v>69</v>
      </c>
      <c r="AW25" s="26" t="str">
        <f aca="false">④追加発注判定!J25</f>
        <v>在庫余剰</v>
      </c>
      <c r="AX25" s="26" t="str">
        <f aca="false">④追加発注判定!P25</f>
        <v>要 追加生産</v>
      </c>
      <c r="AY25" s="29" t="n">
        <f aca="false">④追加発注判定!R25</f>
        <v>76</v>
      </c>
      <c r="AZ25" s="26" t="str">
        <f aca="false">④追加発注判定!T25</f>
        <v>C:通常</v>
      </c>
    </row>
    <row r="26" customFormat="false" ht="15" hidden="false" customHeight="false" outlineLevel="0" collapsed="false">
      <c r="A26" s="26" t="n">
        <v>20</v>
      </c>
      <c r="B26" s="26" t="s">
        <v>218</v>
      </c>
      <c r="C26" s="27" t="s">
        <v>219</v>
      </c>
      <c r="D26" s="28" t="n">
        <v>600</v>
      </c>
      <c r="E26" s="28" t="n">
        <v>600</v>
      </c>
      <c r="F26" s="29" t="n">
        <v>117</v>
      </c>
      <c r="G26" s="31" t="n">
        <f aca="false">IFERROR(F26/F$49,0)</f>
        <v>0.000789553598542363</v>
      </c>
      <c r="H26" s="28" t="n">
        <f aca="false">F26*E26</f>
        <v>70200</v>
      </c>
      <c r="I26" s="31" t="n">
        <f aca="false">IFERROR(H26/H$49,0)</f>
        <v>0.000686981216641778</v>
      </c>
      <c r="J26" s="29" t="n">
        <v>350</v>
      </c>
      <c r="K26" s="31" t="n">
        <f aca="false">IFERROR(F26/J26,0)</f>
        <v>0.334285714285714</v>
      </c>
      <c r="L26" s="28" t="n">
        <v>600</v>
      </c>
      <c r="M26" s="29" t="n">
        <v>23</v>
      </c>
      <c r="N26" s="31" t="n">
        <f aca="false">IFERROR(M26/M$49,0)</f>
        <v>0.000392491467576792</v>
      </c>
      <c r="O26" s="28" t="n">
        <f aca="false">M26*L26</f>
        <v>13800</v>
      </c>
      <c r="P26" s="31" t="n">
        <f aca="false">IFERROR(O26/O$49,0)</f>
        <v>0.000332693661462502</v>
      </c>
      <c r="Q26" s="29" t="n">
        <v>49</v>
      </c>
      <c r="R26" s="31" t="n">
        <f aca="false">IFERROR(M26/Q26,0)</f>
        <v>0.469387755102041</v>
      </c>
      <c r="S26" s="28" t="n">
        <v>600</v>
      </c>
      <c r="T26" s="29" t="n">
        <v>15</v>
      </c>
      <c r="U26" s="31" t="n">
        <f aca="false">IFERROR(T26/T$49,0)</f>
        <v>0.000334291636023267</v>
      </c>
      <c r="V26" s="28" t="n">
        <f aca="false">T26*S26</f>
        <v>9000</v>
      </c>
      <c r="W26" s="31" t="n">
        <f aca="false">IFERROR(V26/V$49,0)</f>
        <v>0.0002900718088878</v>
      </c>
      <c r="X26" s="29" t="n">
        <v>15</v>
      </c>
      <c r="Y26" s="31" t="n">
        <f aca="false">IFERROR(T26/X26,0)</f>
        <v>1</v>
      </c>
      <c r="Z26" s="28" t="n">
        <v>600</v>
      </c>
      <c r="AA26" s="29" t="n">
        <v>42</v>
      </c>
      <c r="AB26" s="31" t="n">
        <f aca="false">IFERROR(AA26/AA$49,0)</f>
        <v>0.000658926890492626</v>
      </c>
      <c r="AC26" s="28" t="n">
        <f aca="false">AA26*Z26</f>
        <v>25200</v>
      </c>
      <c r="AD26" s="31" t="n">
        <f aca="false">IFERROR(AC26/AC$49,0)</f>
        <v>0.000553753658729531</v>
      </c>
      <c r="AE26" s="29" t="n">
        <v>50</v>
      </c>
      <c r="AF26" s="31" t="n">
        <f aca="false">IFERROR(AA26/AE26,0)</f>
        <v>0.84</v>
      </c>
      <c r="AG26" s="28" t="n">
        <v>600</v>
      </c>
      <c r="AH26" s="29" t="n">
        <v>5</v>
      </c>
      <c r="AI26" s="31" t="n">
        <f aca="false">IFERROR(AH26/AH$49,0)</f>
        <v>0.0011936022917164</v>
      </c>
      <c r="AJ26" s="28" t="n">
        <f aca="false">AH26*AG26</f>
        <v>3000</v>
      </c>
      <c r="AK26" s="31" t="n">
        <f aca="false">IFERROR(AJ26/AJ$49,0)</f>
        <v>0.000903832248734635</v>
      </c>
      <c r="AL26" s="29" t="n">
        <v>30</v>
      </c>
      <c r="AM26" s="31" t="n">
        <f aca="false">IFERROR(AH26/AL26,0)</f>
        <v>0.166666666666667</v>
      </c>
      <c r="AN26" s="30" t="n">
        <f aca="false">①札幌予測確定!O26</f>
        <v>2.75386681887665</v>
      </c>
      <c r="AO26" s="29" t="n">
        <f aca="false">①札幌予測確定!P26</f>
        <v>14</v>
      </c>
      <c r="AP26" s="28" t="n">
        <f aca="false">①札幌予測確定!Q26</f>
        <v>8400</v>
      </c>
      <c r="AQ26" s="31" t="n">
        <f aca="false">①札幌予測確定!T26</f>
        <v>0.466666666666667</v>
      </c>
      <c r="AR26" s="29" t="n">
        <f aca="false">①札幌予測確定!U26</f>
        <v>16</v>
      </c>
      <c r="AS26" s="29" t="n">
        <f aca="false">③石川以降予測!N44</f>
        <v>93</v>
      </c>
      <c r="AT26" s="29" t="n">
        <f aca="false">③石川以降予測!O44</f>
        <v>16</v>
      </c>
      <c r="AU26" s="32" t="n">
        <f aca="false">③石川以降予測!Q44</f>
        <v>77</v>
      </c>
      <c r="AV26" s="29" t="n">
        <f aca="false">③石川以降予測!R44</f>
        <v>77</v>
      </c>
      <c r="AW26" s="26" t="str">
        <f aca="false">④追加発注判定!J26</f>
        <v>在庫余剰</v>
      </c>
      <c r="AX26" s="26" t="str">
        <f aca="false">④追加発注判定!P26</f>
        <v>要 追加生産</v>
      </c>
      <c r="AY26" s="29" t="n">
        <f aca="false">④追加発注判定!R26</f>
        <v>85</v>
      </c>
      <c r="AZ26" s="26" t="str">
        <f aca="false">④追加発注判定!T26</f>
        <v>C:通常</v>
      </c>
    </row>
    <row r="27" customFormat="false" ht="15" hidden="false" customHeight="false" outlineLevel="0" collapsed="false">
      <c r="A27" s="26" t="n">
        <v>21</v>
      </c>
      <c r="B27" s="26" t="s">
        <v>220</v>
      </c>
      <c r="C27" s="27" t="s">
        <v>221</v>
      </c>
      <c r="D27" s="28" t="n">
        <v>600</v>
      </c>
      <c r="E27" s="28" t="n">
        <v>600</v>
      </c>
      <c r="F27" s="29" t="n">
        <v>350</v>
      </c>
      <c r="G27" s="31" t="n">
        <f aca="false">IFERROR(F27/F$49,0)</f>
        <v>0.00236191247427202</v>
      </c>
      <c r="H27" s="28" t="n">
        <f aca="false">F27*E27</f>
        <v>210000</v>
      </c>
      <c r="I27" s="31" t="n">
        <f aca="false">IFERROR(H27/H$49,0)</f>
        <v>0.00205507201559506</v>
      </c>
      <c r="J27" s="29" t="n">
        <v>350</v>
      </c>
      <c r="K27" s="31" t="n">
        <f aca="false">IFERROR(F27/J27,0)</f>
        <v>1</v>
      </c>
      <c r="L27" s="28" t="n">
        <v>600</v>
      </c>
      <c r="M27" s="29" t="n">
        <v>139</v>
      </c>
      <c r="N27" s="31" t="n">
        <f aca="false">IFERROR(M27/M$49,0)</f>
        <v>0.00237201365187713</v>
      </c>
      <c r="O27" s="28" t="n">
        <f aca="false">M27*L27</f>
        <v>83400</v>
      </c>
      <c r="P27" s="31" t="n">
        <f aca="false">IFERROR(O27/O$49,0)</f>
        <v>0.00201062691057773</v>
      </c>
      <c r="Q27" s="29" t="n">
        <v>140</v>
      </c>
      <c r="R27" s="31" t="n">
        <f aca="false">IFERROR(M27/Q27,0)</f>
        <v>0.992857142857143</v>
      </c>
      <c r="S27" s="28" t="n">
        <v>600</v>
      </c>
      <c r="T27" s="29" t="n">
        <v>150</v>
      </c>
      <c r="U27" s="31" t="n">
        <f aca="false">IFERROR(T27/T$49,0)</f>
        <v>0.00334291636023267</v>
      </c>
      <c r="V27" s="28" t="n">
        <f aca="false">T27*S27</f>
        <v>90000</v>
      </c>
      <c r="W27" s="31" t="n">
        <f aca="false">IFERROR(V27/V$49,0)</f>
        <v>0.002900718088878</v>
      </c>
      <c r="X27" s="29" t="n">
        <v>150</v>
      </c>
      <c r="Y27" s="31" t="n">
        <f aca="false">IFERROR(T27/X27,0)</f>
        <v>1</v>
      </c>
      <c r="Z27" s="28" t="n">
        <v>600</v>
      </c>
      <c r="AA27" s="29" t="n">
        <v>252</v>
      </c>
      <c r="AB27" s="31" t="n">
        <f aca="false">IFERROR(AA27/AA$49,0)</f>
        <v>0.00395356134295576</v>
      </c>
      <c r="AC27" s="28" t="n">
        <f aca="false">AA27*Z27</f>
        <v>151200</v>
      </c>
      <c r="AD27" s="31" t="n">
        <f aca="false">IFERROR(AC27/AC$49,0)</f>
        <v>0.00332252195237719</v>
      </c>
      <c r="AE27" s="29" t="n">
        <v>350</v>
      </c>
      <c r="AF27" s="31" t="n">
        <f aca="false">IFERROR(AA27/AE27,0)</f>
        <v>0.72</v>
      </c>
      <c r="AG27" s="28" t="n">
        <v>600</v>
      </c>
      <c r="AH27" s="29" t="n">
        <v>40</v>
      </c>
      <c r="AI27" s="31" t="n">
        <f aca="false">IFERROR(AH27/AH$49,0)</f>
        <v>0.0095488183337312</v>
      </c>
      <c r="AJ27" s="28" t="n">
        <f aca="false">AH27*AG27</f>
        <v>24000</v>
      </c>
      <c r="AK27" s="31" t="n">
        <f aca="false">IFERROR(AJ27/AJ$49,0)</f>
        <v>0.00723065798987708</v>
      </c>
      <c r="AL27" s="29" t="n">
        <v>50</v>
      </c>
      <c r="AM27" s="31" t="n">
        <f aca="false">IFERROR(AH27/AL27,0)</f>
        <v>0.8</v>
      </c>
      <c r="AN27" s="30" t="n">
        <f aca="false">①札幌予測確定!O27</f>
        <v>2.40544173831122</v>
      </c>
      <c r="AO27" s="29" t="n">
        <f aca="false">①札幌予測確定!P27</f>
        <v>96</v>
      </c>
      <c r="AP27" s="28" t="n">
        <f aca="false">①札幌予測確定!Q27</f>
        <v>57600</v>
      </c>
      <c r="AQ27" s="31" t="n">
        <f aca="false">①札幌予測確定!T27</f>
        <v>1.92</v>
      </c>
      <c r="AR27" s="29" t="n">
        <f aca="false">①札幌予測確定!U27</f>
        <v>0</v>
      </c>
      <c r="AS27" s="29" t="n">
        <f aca="false">③石川以降予測!N45</f>
        <v>605</v>
      </c>
      <c r="AT27" s="29" t="n">
        <f aca="false">③石川以降予測!O45</f>
        <v>0</v>
      </c>
      <c r="AU27" s="32" t="n">
        <f aca="false">③石川以降予測!Q45</f>
        <v>605</v>
      </c>
      <c r="AV27" s="29" t="n">
        <f aca="false">③石川以降予測!R45</f>
        <v>605</v>
      </c>
      <c r="AW27" s="26" t="str">
        <f aca="false">④追加発注判定!J27</f>
        <v>要 追加発注</v>
      </c>
      <c r="AX27" s="26" t="str">
        <f aca="false">④追加発注判定!P27</f>
        <v>要 追加生産</v>
      </c>
      <c r="AY27" s="29" t="n">
        <f aca="false">④追加発注判定!R27</f>
        <v>717</v>
      </c>
      <c r="AZ27" s="26" t="str">
        <f aca="false">④追加発注判定!T27</f>
        <v>A:会期中欠品</v>
      </c>
    </row>
    <row r="28" customFormat="false" ht="15" hidden="false" customHeight="false" outlineLevel="0" collapsed="false">
      <c r="A28" s="26" t="n">
        <v>22</v>
      </c>
      <c r="B28" s="26" t="s">
        <v>222</v>
      </c>
      <c r="C28" s="27" t="s">
        <v>223</v>
      </c>
      <c r="D28" s="28" t="n">
        <v>600</v>
      </c>
      <c r="E28" s="28" t="n">
        <v>600</v>
      </c>
      <c r="F28" s="29" t="n">
        <v>319</v>
      </c>
      <c r="G28" s="31" t="n">
        <f aca="false">IFERROR(F28/F$49,0)</f>
        <v>0.00215271451226507</v>
      </c>
      <c r="H28" s="28" t="n">
        <f aca="false">F28*E28</f>
        <v>191400</v>
      </c>
      <c r="I28" s="31" t="n">
        <f aca="false">IFERROR(H28/H$49,0)</f>
        <v>0.00187305135135664</v>
      </c>
      <c r="J28" s="29" t="n">
        <v>1400</v>
      </c>
      <c r="K28" s="31" t="n">
        <f aca="false">IFERROR(F28/J28,0)</f>
        <v>0.227857142857143</v>
      </c>
      <c r="L28" s="28" t="n">
        <v>600</v>
      </c>
      <c r="M28" s="29" t="n">
        <v>99</v>
      </c>
      <c r="N28" s="31" t="n">
        <f aca="false">IFERROR(M28/M$49,0)</f>
        <v>0.00168941979522184</v>
      </c>
      <c r="O28" s="28" t="n">
        <f aca="false">M28*L28</f>
        <v>59400</v>
      </c>
      <c r="P28" s="31" t="n">
        <f aca="false">IFERROR(O28/O$49,0)</f>
        <v>0.00143202923846903</v>
      </c>
      <c r="Q28" s="29" t="n">
        <v>130</v>
      </c>
      <c r="R28" s="31" t="n">
        <f aca="false">IFERROR(M28/Q28,0)</f>
        <v>0.761538461538462</v>
      </c>
      <c r="S28" s="28" t="n">
        <v>600</v>
      </c>
      <c r="T28" s="29" t="n">
        <v>80</v>
      </c>
      <c r="U28" s="31" t="n">
        <f aca="false">IFERROR(T28/T$49,0)</f>
        <v>0.00178288872545742</v>
      </c>
      <c r="V28" s="28" t="n">
        <f aca="false">T28*S28</f>
        <v>48000</v>
      </c>
      <c r="W28" s="31" t="n">
        <f aca="false">IFERROR(V28/V$49,0)</f>
        <v>0.0015470496474016</v>
      </c>
      <c r="X28" s="29" t="n">
        <v>80</v>
      </c>
      <c r="Y28" s="31" t="n">
        <f aca="false">IFERROR(T28/X28,0)</f>
        <v>1</v>
      </c>
      <c r="Z28" s="28" t="n">
        <v>600</v>
      </c>
      <c r="AA28" s="29" t="n">
        <v>171</v>
      </c>
      <c r="AB28" s="31" t="n">
        <f aca="false">IFERROR(AA28/AA$49,0)</f>
        <v>0.00268277376843426</v>
      </c>
      <c r="AC28" s="28" t="n">
        <f aca="false">AA28*Z28</f>
        <v>102600</v>
      </c>
      <c r="AD28" s="31" t="n">
        <f aca="false">IFERROR(AC28/AC$49,0)</f>
        <v>0.00225456846768452</v>
      </c>
      <c r="AE28" s="29" t="n">
        <v>200</v>
      </c>
      <c r="AF28" s="31" t="n">
        <f aca="false">IFERROR(AA28/AE28,0)</f>
        <v>0.855</v>
      </c>
      <c r="AG28" s="28" t="n">
        <v>600</v>
      </c>
      <c r="AH28" s="29" t="n">
        <v>14</v>
      </c>
      <c r="AI28" s="31" t="n">
        <f aca="false">IFERROR(AH28/AH$49,0)</f>
        <v>0.00334208641680592</v>
      </c>
      <c r="AJ28" s="28" t="n">
        <f aca="false">AH28*AG28</f>
        <v>8400</v>
      </c>
      <c r="AK28" s="31" t="n">
        <f aca="false">IFERROR(AJ28/AJ$49,0)</f>
        <v>0.00253073029645698</v>
      </c>
      <c r="AL28" s="29" t="n">
        <v>50</v>
      </c>
      <c r="AM28" s="31" t="n">
        <f aca="false">IFERROR(AH28/AL28,0)</f>
        <v>0.28</v>
      </c>
      <c r="AN28" s="30" t="n">
        <f aca="false">①札幌予測確定!O28</f>
        <v>3.12879222186332</v>
      </c>
      <c r="AO28" s="29" t="n">
        <f aca="false">①札幌予測確定!P28</f>
        <v>44</v>
      </c>
      <c r="AP28" s="28" t="n">
        <f aca="false">①札幌予測確定!Q28</f>
        <v>26400</v>
      </c>
      <c r="AQ28" s="31" t="n">
        <f aca="false">①札幌予測確定!T28</f>
        <v>0.88</v>
      </c>
      <c r="AR28" s="29" t="n">
        <f aca="false">①札幌予測確定!U28</f>
        <v>6</v>
      </c>
      <c r="AS28" s="29" t="n">
        <f aca="false">③石川以降予測!N46</f>
        <v>315</v>
      </c>
      <c r="AT28" s="29" t="n">
        <f aca="false">③石川以降予測!O46</f>
        <v>6</v>
      </c>
      <c r="AU28" s="32" t="n">
        <f aca="false">③石川以降予測!Q46</f>
        <v>309</v>
      </c>
      <c r="AV28" s="29" t="n">
        <f aca="false">③石川以降予測!R46</f>
        <v>309</v>
      </c>
      <c r="AW28" s="26" t="str">
        <f aca="false">④追加発注判定!J28</f>
        <v>適正</v>
      </c>
      <c r="AX28" s="26" t="str">
        <f aca="false">④追加発注判定!P28</f>
        <v>要 追加生産</v>
      </c>
      <c r="AY28" s="29" t="n">
        <f aca="false">④追加発注判定!R28</f>
        <v>340</v>
      </c>
      <c r="AZ28" s="26" t="str">
        <f aca="false">④追加発注判定!T28</f>
        <v>C:通常</v>
      </c>
    </row>
    <row r="29" customFormat="false" ht="15" hidden="false" customHeight="false" outlineLevel="0" collapsed="false">
      <c r="A29" s="26" t="n">
        <v>23</v>
      </c>
      <c r="B29" s="26" t="s">
        <v>224</v>
      </c>
      <c r="C29" s="27" t="s">
        <v>225</v>
      </c>
      <c r="D29" s="28" t="n">
        <v>600</v>
      </c>
      <c r="E29" s="28" t="n">
        <v>600</v>
      </c>
      <c r="F29" s="29" t="n">
        <v>41156</v>
      </c>
      <c r="G29" s="31" t="n">
        <f aca="false">IFERROR(F29/F$49,0)</f>
        <v>0.27773391368897</v>
      </c>
      <c r="H29" s="28" t="n">
        <f aca="false">F29*E29</f>
        <v>24693600</v>
      </c>
      <c r="I29" s="31" t="n">
        <f aca="false">IFERROR(H29/H$49,0)</f>
        <v>0.241652982496658</v>
      </c>
      <c r="J29" s="29" t="n">
        <v>45125</v>
      </c>
      <c r="K29" s="31" t="n">
        <f aca="false">IFERROR(F29/J29,0)</f>
        <v>0.91204432132964</v>
      </c>
      <c r="L29" s="28" t="n">
        <v>600</v>
      </c>
      <c r="M29" s="29" t="n">
        <v>13583</v>
      </c>
      <c r="N29" s="31" t="n">
        <f aca="false">IFERROR(M29/M$49,0)</f>
        <v>0.23179180887372</v>
      </c>
      <c r="O29" s="28" t="n">
        <f aca="false">M29*L29</f>
        <v>8149800</v>
      </c>
      <c r="P29" s="31" t="n">
        <f aca="false">IFERROR(O29/O$49,0)</f>
        <v>0.196477304506312</v>
      </c>
      <c r="Q29" s="29" t="n">
        <v>16465.2</v>
      </c>
      <c r="R29" s="31" t="n">
        <f aca="false">IFERROR(M29/Q29,0)</f>
        <v>0.824952020017977</v>
      </c>
      <c r="S29" s="28" t="n">
        <v>600</v>
      </c>
      <c r="T29" s="29" t="n">
        <v>8800</v>
      </c>
      <c r="U29" s="31" t="n">
        <f aca="false">IFERROR(T29/T$49,0)</f>
        <v>0.196117759800316</v>
      </c>
      <c r="V29" s="28" t="n">
        <f aca="false">T29*S29</f>
        <v>5280000</v>
      </c>
      <c r="W29" s="31" t="n">
        <f aca="false">IFERROR(V29/V$49,0)</f>
        <v>0.170175461214176</v>
      </c>
      <c r="X29" s="29" t="n">
        <v>11000</v>
      </c>
      <c r="Y29" s="31" t="n">
        <f aca="false">IFERROR(T29/X29,0)</f>
        <v>0.8</v>
      </c>
      <c r="Z29" s="28" t="n">
        <v>600</v>
      </c>
      <c r="AA29" s="29" t="n">
        <v>12724</v>
      </c>
      <c r="AB29" s="31" t="n">
        <f aca="false">IFERROR(AA29/AA$49,0)</f>
        <v>0.19962347034829</v>
      </c>
      <c r="AC29" s="28" t="n">
        <f aca="false">AA29*Z29</f>
        <v>7634400</v>
      </c>
      <c r="AD29" s="31" t="n">
        <f aca="false">IFERROR(AC29/AC$49,0)</f>
        <v>0.167760989373204</v>
      </c>
      <c r="AE29" s="29" t="n">
        <v>29997</v>
      </c>
      <c r="AF29" s="31" t="n">
        <f aca="false">IFERROR(AA29/AE29,0)</f>
        <v>0.424175750908424</v>
      </c>
      <c r="AG29" s="28" t="n">
        <v>600</v>
      </c>
      <c r="AH29" s="29" t="n">
        <v>1027</v>
      </c>
      <c r="AI29" s="31" t="n">
        <f aca="false">IFERROR(AH29/AH$49,0)</f>
        <v>0.245165910718549</v>
      </c>
      <c r="AJ29" s="28" t="n">
        <f aca="false">AH29*AG29</f>
        <v>616200</v>
      </c>
      <c r="AK29" s="31" t="n">
        <f aca="false">IFERROR(AJ29/AJ$49,0)</f>
        <v>0.185647143890094</v>
      </c>
      <c r="AL29" s="29" t="n">
        <v>11000</v>
      </c>
      <c r="AM29" s="31" t="n">
        <f aca="false">IFERROR(AH29/AL29,0)</f>
        <v>0.0933636363636364</v>
      </c>
      <c r="AN29" s="30" t="n">
        <f aca="false">①札幌予測確定!O29</f>
        <v>2.22490858417812</v>
      </c>
      <c r="AO29" s="29" t="n">
        <f aca="false">①札幌予測確定!P29</f>
        <v>2285</v>
      </c>
      <c r="AP29" s="28" t="n">
        <f aca="false">①札幌予測確定!Q29</f>
        <v>1371000</v>
      </c>
      <c r="AQ29" s="31" t="n">
        <f aca="false">①札幌予測確定!T29</f>
        <v>0.207727272727273</v>
      </c>
      <c r="AR29" s="29" t="n">
        <f aca="false">①札幌予測確定!U29</f>
        <v>8715</v>
      </c>
      <c r="AS29" s="29" t="n">
        <f aca="false">③石川以降予測!N47</f>
        <v>18947</v>
      </c>
      <c r="AT29" s="29" t="n">
        <f aca="false">③石川以降予測!O47</f>
        <v>8715</v>
      </c>
      <c r="AU29" s="32" t="n">
        <f aca="false">③石川以降予測!Q47</f>
        <v>10232</v>
      </c>
      <c r="AV29" s="29" t="n">
        <f aca="false">③石川以降予測!R47</f>
        <v>10232</v>
      </c>
      <c r="AW29" s="26" t="str">
        <f aca="false">④追加発注判定!J29</f>
        <v>在庫余剰</v>
      </c>
      <c r="AX29" s="26" t="str">
        <f aca="false">④追加発注判定!P29</f>
        <v>要 追加生産</v>
      </c>
      <c r="AY29" s="29" t="n">
        <f aca="false">④追加発注判定!R29</f>
        <v>11256</v>
      </c>
      <c r="AZ29" s="26" t="str">
        <f aca="false">④追加発注判定!T29</f>
        <v>B:大口</v>
      </c>
    </row>
    <row r="30" customFormat="false" ht="15" hidden="false" customHeight="false" outlineLevel="0" collapsed="false">
      <c r="A30" s="26" t="n">
        <v>24</v>
      </c>
      <c r="B30" s="26" t="s">
        <v>226</v>
      </c>
      <c r="C30" s="27" t="s">
        <v>227</v>
      </c>
      <c r="D30" s="28" t="n">
        <v>600</v>
      </c>
      <c r="E30" s="28" t="n">
        <v>600</v>
      </c>
      <c r="F30" s="29" t="n">
        <v>14981</v>
      </c>
      <c r="G30" s="31" t="n">
        <f aca="false">IFERROR(F30/F$49,0)</f>
        <v>0.101096602220198</v>
      </c>
      <c r="H30" s="28" t="n">
        <f aca="false">F30*E30</f>
        <v>8988600</v>
      </c>
      <c r="I30" s="31" t="n">
        <f aca="false">IFERROR(H30/H$49,0)</f>
        <v>0.0879629539017989</v>
      </c>
      <c r="J30" s="29" t="n">
        <v>15000</v>
      </c>
      <c r="K30" s="31" t="n">
        <f aca="false">IFERROR(F30/J30,0)</f>
        <v>0.998733333333333</v>
      </c>
      <c r="L30" s="28" t="n">
        <v>600</v>
      </c>
      <c r="M30" s="29" t="n">
        <v>8213</v>
      </c>
      <c r="N30" s="31" t="n">
        <f aca="false">IFERROR(M30/M$49,0)</f>
        <v>0.140153583617747</v>
      </c>
      <c r="O30" s="28" t="n">
        <f aca="false">M30*L30</f>
        <v>4927800</v>
      </c>
      <c r="P30" s="31" t="n">
        <f aca="false">IFERROR(O30/O$49,0)</f>
        <v>0.118800567025719</v>
      </c>
      <c r="Q30" s="29" t="n">
        <v>11194</v>
      </c>
      <c r="R30" s="31" t="n">
        <f aca="false">IFERROR(M30/Q30,0)</f>
        <v>0.733696623190995</v>
      </c>
      <c r="S30" s="28" t="n">
        <v>600</v>
      </c>
      <c r="T30" s="29" t="n">
        <v>5195</v>
      </c>
      <c r="U30" s="31" t="n">
        <f aca="false">IFERROR(T30/T$49,0)</f>
        <v>0.115776336609391</v>
      </c>
      <c r="V30" s="28" t="n">
        <f aca="false">T30*S30</f>
        <v>3117000</v>
      </c>
      <c r="W30" s="31" t="n">
        <f aca="false">IFERROR(V30/V$49,0)</f>
        <v>0.100461536478141</v>
      </c>
      <c r="X30" s="29" t="n">
        <v>6999</v>
      </c>
      <c r="Y30" s="31" t="n">
        <f aca="false">IFERROR(T30/X30,0)</f>
        <v>0.742248892698957</v>
      </c>
      <c r="Z30" s="28" t="n">
        <v>600</v>
      </c>
      <c r="AA30" s="29" t="n">
        <v>6978</v>
      </c>
      <c r="AB30" s="31" t="n">
        <f aca="false">IFERROR(AA30/AA$49,0)</f>
        <v>0.109475996234703</v>
      </c>
      <c r="AC30" s="28" t="n">
        <f aca="false">AA30*Z30</f>
        <v>4186800</v>
      </c>
      <c r="AD30" s="31" t="n">
        <f aca="false">IFERROR(AC30/AC$49,0)</f>
        <v>0.0920022150146349</v>
      </c>
      <c r="AE30" s="29" t="n">
        <v>19998</v>
      </c>
      <c r="AF30" s="31" t="n">
        <f aca="false">IFERROR(AA30/AE30,0)</f>
        <v>0.348934893489349</v>
      </c>
      <c r="AG30" s="28" t="n">
        <v>600</v>
      </c>
      <c r="AH30" s="29" t="n">
        <v>543</v>
      </c>
      <c r="AI30" s="31" t="n">
        <f aca="false">IFERROR(AH30/AH$49,0)</f>
        <v>0.129625208880401</v>
      </c>
      <c r="AJ30" s="28" t="n">
        <f aca="false">AH30*AG30</f>
        <v>325800</v>
      </c>
      <c r="AK30" s="31" t="n">
        <f aca="false">IFERROR(AJ30/AJ$49,0)</f>
        <v>0.0981561822125814</v>
      </c>
      <c r="AL30" s="29" t="n">
        <v>8000</v>
      </c>
      <c r="AM30" s="31" t="n">
        <f aca="false">IFERROR(AH30/AL30,0)</f>
        <v>0.067875</v>
      </c>
      <c r="AN30" s="30" t="n">
        <f aca="false">①札幌予測確定!O30</f>
        <v>2.26665036674323</v>
      </c>
      <c r="AO30" s="29" t="n">
        <f aca="false">①札幌予測確定!P30</f>
        <v>1231</v>
      </c>
      <c r="AP30" s="28" t="n">
        <f aca="false">①札幌予測確定!Q30</f>
        <v>738600</v>
      </c>
      <c r="AQ30" s="31" t="n">
        <f aca="false">①札幌予測確定!T30</f>
        <v>0.153875</v>
      </c>
      <c r="AR30" s="29" t="n">
        <f aca="false">①札幌予測確定!U30</f>
        <v>6769</v>
      </c>
      <c r="AS30" s="29" t="n">
        <f aca="false">③石川以降予測!N48</f>
        <v>10290</v>
      </c>
      <c r="AT30" s="29" t="n">
        <f aca="false">③石川以降予測!O48</f>
        <v>6769</v>
      </c>
      <c r="AU30" s="32" t="n">
        <f aca="false">③石川以降予測!Q48</f>
        <v>3521</v>
      </c>
      <c r="AV30" s="29" t="n">
        <f aca="false">③石川以降予測!R48</f>
        <v>3521</v>
      </c>
      <c r="AW30" s="26" t="str">
        <f aca="false">④追加発注判定!J30</f>
        <v>在庫余剰</v>
      </c>
      <c r="AX30" s="26" t="str">
        <f aca="false">④追加発注判定!P30</f>
        <v>要 追加生産</v>
      </c>
      <c r="AY30" s="29" t="n">
        <f aca="false">④追加発注判定!R30</f>
        <v>3874</v>
      </c>
      <c r="AZ30" s="26" t="str">
        <f aca="false">④追加発注判定!T30</f>
        <v>B:大口</v>
      </c>
    </row>
    <row r="31" customFormat="false" ht="15" hidden="false" customHeight="false" outlineLevel="0" collapsed="false">
      <c r="A31" s="26" t="n">
        <v>25</v>
      </c>
      <c r="B31" s="26" t="s">
        <v>228</v>
      </c>
      <c r="C31" s="27" t="s">
        <v>229</v>
      </c>
      <c r="D31" s="28" t="n">
        <v>1500</v>
      </c>
      <c r="E31" s="28" t="n">
        <v>1500</v>
      </c>
      <c r="F31" s="29" t="n">
        <v>849</v>
      </c>
      <c r="G31" s="31" t="n">
        <f aca="false">IFERROR(F31/F$49,0)</f>
        <v>0.00572932483044843</v>
      </c>
      <c r="H31" s="28" t="n">
        <f aca="false">F31*E31</f>
        <v>1273500</v>
      </c>
      <c r="I31" s="31" t="n">
        <f aca="false">IFERROR(H31/H$49,0)</f>
        <v>0.0124625438660015</v>
      </c>
      <c r="J31" s="29" t="n">
        <v>1000</v>
      </c>
      <c r="K31" s="31" t="n">
        <f aca="false">IFERROR(F31/J31,0)</f>
        <v>0.849</v>
      </c>
      <c r="L31" s="28" t="n">
        <v>1500</v>
      </c>
      <c r="M31" s="29" t="n">
        <v>221</v>
      </c>
      <c r="N31" s="31" t="n">
        <f aca="false">IFERROR(M31/M$49,0)</f>
        <v>0.00377133105802048</v>
      </c>
      <c r="O31" s="28" t="n">
        <f aca="false">M31*L31</f>
        <v>331500</v>
      </c>
      <c r="P31" s="31" t="n">
        <f aca="false">IFERROR(O31/O$49,0)</f>
        <v>0.00799188034600141</v>
      </c>
      <c r="Q31" s="29" t="n">
        <v>340</v>
      </c>
      <c r="R31" s="31" t="n">
        <f aca="false">IFERROR(M31/Q31,0)</f>
        <v>0.65</v>
      </c>
      <c r="S31" s="28" t="n">
        <v>1500</v>
      </c>
      <c r="T31" s="29" t="n">
        <v>168</v>
      </c>
      <c r="U31" s="31" t="n">
        <f aca="false">IFERROR(T31/T$49,0)</f>
        <v>0.00374406632346059</v>
      </c>
      <c r="V31" s="28" t="n">
        <f aca="false">T31*S31</f>
        <v>252000</v>
      </c>
      <c r="W31" s="31" t="n">
        <f aca="false">IFERROR(V31/V$49,0)</f>
        <v>0.00812201064885841</v>
      </c>
      <c r="X31" s="29" t="n">
        <v>170</v>
      </c>
      <c r="Y31" s="31" t="n">
        <f aca="false">IFERROR(T31/X31,0)</f>
        <v>0.988235294117647</v>
      </c>
      <c r="Z31" s="28" t="n">
        <v>1500</v>
      </c>
      <c r="AA31" s="29" t="n">
        <v>243</v>
      </c>
      <c r="AB31" s="31" t="n">
        <f aca="false">IFERROR(AA31/AA$49,0)</f>
        <v>0.00381236272356448</v>
      </c>
      <c r="AC31" s="28" t="n">
        <f aca="false">AA31*Z31</f>
        <v>364500</v>
      </c>
      <c r="AD31" s="31" t="n">
        <f aca="false">IFERROR(AC31/AC$49,0)</f>
        <v>0.008009651135195</v>
      </c>
      <c r="AE31" s="29" t="n">
        <v>500</v>
      </c>
      <c r="AF31" s="31" t="n">
        <f aca="false">IFERROR(AA31/AE31,0)</f>
        <v>0.486</v>
      </c>
      <c r="AG31" s="28" t="n">
        <v>1500</v>
      </c>
      <c r="AH31" s="29" t="n">
        <v>18</v>
      </c>
      <c r="AI31" s="31" t="n">
        <f aca="false">IFERROR(AH31/AH$49,0)</f>
        <v>0.00429696825017904</v>
      </c>
      <c r="AJ31" s="28" t="n">
        <f aca="false">AH31*AG31</f>
        <v>27000</v>
      </c>
      <c r="AK31" s="31" t="n">
        <f aca="false">IFERROR(AJ31/AJ$49,0)</f>
        <v>0.00813449023861171</v>
      </c>
      <c r="AL31" s="29" t="n">
        <v>200</v>
      </c>
      <c r="AM31" s="31" t="n">
        <f aca="false">IFERROR(AH31/AL31,0)</f>
        <v>0.09</v>
      </c>
      <c r="AN31" s="30" t="n">
        <f aca="false">①札幌予測確定!O31</f>
        <v>2.3733056930621</v>
      </c>
      <c r="AO31" s="29" t="n">
        <f aca="false">①札幌予測確定!P31</f>
        <v>43</v>
      </c>
      <c r="AP31" s="28" t="n">
        <f aca="false">①札幌予測確定!Q31</f>
        <v>64500</v>
      </c>
      <c r="AQ31" s="31" t="n">
        <f aca="false">①札幌予測確定!T31</f>
        <v>0.215</v>
      </c>
      <c r="AR31" s="29" t="n">
        <f aca="false">①札幌予測確定!U31</f>
        <v>157</v>
      </c>
      <c r="AS31" s="29" t="n">
        <f aca="false">③石川以降予測!N49</f>
        <v>359</v>
      </c>
      <c r="AT31" s="29" t="n">
        <f aca="false">③石川以降予測!O49</f>
        <v>157</v>
      </c>
      <c r="AU31" s="32" t="n">
        <f aca="false">③石川以降予測!Q49</f>
        <v>202</v>
      </c>
      <c r="AV31" s="29" t="n">
        <f aca="false">③石川以降予測!R49</f>
        <v>202</v>
      </c>
      <c r="AW31" s="26" t="str">
        <f aca="false">④追加発注判定!J31</f>
        <v>在庫余剰</v>
      </c>
      <c r="AX31" s="26" t="str">
        <f aca="false">④追加発注判定!P31</f>
        <v>要 追加生産</v>
      </c>
      <c r="AY31" s="29" t="n">
        <f aca="false">④追加発注判定!R31</f>
        <v>223</v>
      </c>
      <c r="AZ31" s="26" t="str">
        <f aca="false">④追加発注判定!T31</f>
        <v>C:通常</v>
      </c>
    </row>
    <row r="32" customFormat="false" ht="15" hidden="false" customHeight="false" outlineLevel="0" collapsed="false">
      <c r="A32" s="26" t="n">
        <v>26</v>
      </c>
      <c r="B32" s="26" t="s">
        <v>230</v>
      </c>
      <c r="C32" s="27" t="s">
        <v>231</v>
      </c>
      <c r="D32" s="28" t="n">
        <v>2200</v>
      </c>
      <c r="E32" s="28" t="n">
        <v>2200</v>
      </c>
      <c r="F32" s="29" t="n">
        <v>1283</v>
      </c>
      <c r="G32" s="31" t="n">
        <f aca="false">IFERROR(F32/F$49,0)</f>
        <v>0.00865809629854574</v>
      </c>
      <c r="H32" s="28" t="n">
        <f aca="false">F32*E32</f>
        <v>2822600</v>
      </c>
      <c r="I32" s="31" t="n">
        <f aca="false">IFERROR(H32/H$49,0)</f>
        <v>0.027622125101041</v>
      </c>
      <c r="J32" s="29" t="n">
        <v>1293</v>
      </c>
      <c r="K32" s="31" t="n">
        <f aca="false">IFERROR(F32/J32,0)</f>
        <v>0.992266047950503</v>
      </c>
      <c r="L32" s="28" t="n">
        <v>2200</v>
      </c>
      <c r="M32" s="29" t="n">
        <v>513</v>
      </c>
      <c r="N32" s="31" t="n">
        <f aca="false">IFERROR(M32/M$49,0)</f>
        <v>0.0087542662116041</v>
      </c>
      <c r="O32" s="28" t="n">
        <f aca="false">M32*L32</f>
        <v>1128600</v>
      </c>
      <c r="P32" s="31" t="n">
        <f aca="false">IFERROR(O32/O$49,0)</f>
        <v>0.0272085555309116</v>
      </c>
      <c r="Q32" s="29" t="n">
        <v>515</v>
      </c>
      <c r="R32" s="31" t="n">
        <f aca="false">IFERROR(M32/Q32,0)</f>
        <v>0.996116504854369</v>
      </c>
      <c r="S32" s="28" t="n">
        <v>2200</v>
      </c>
      <c r="T32" s="29" t="n">
        <v>444</v>
      </c>
      <c r="U32" s="31" t="n">
        <f aca="false">IFERROR(T32/T$49,0)</f>
        <v>0.0098950324262887</v>
      </c>
      <c r="V32" s="28" t="n">
        <f aca="false">T32*S32</f>
        <v>976800</v>
      </c>
      <c r="W32" s="31" t="n">
        <f aca="false">IFERROR(V32/V$49,0)</f>
        <v>0.0314824603246226</v>
      </c>
      <c r="X32" s="29" t="n">
        <v>500</v>
      </c>
      <c r="Y32" s="31" t="n">
        <f aca="false">IFERROR(T32/X32,0)</f>
        <v>0.888</v>
      </c>
      <c r="Z32" s="28" t="n">
        <v>2200</v>
      </c>
      <c r="AA32" s="29" t="n">
        <v>842</v>
      </c>
      <c r="AB32" s="31" t="n">
        <f aca="false">IFERROR(AA32/AA$49,0)</f>
        <v>0.0132099152808284</v>
      </c>
      <c r="AC32" s="28" t="n">
        <f aca="false">AA32*Z32</f>
        <v>1852400</v>
      </c>
      <c r="AD32" s="31" t="n">
        <f aca="false">IFERROR(AC32/AC$49,0)</f>
        <v>0.0407052887869279</v>
      </c>
      <c r="AE32" s="29" t="n">
        <v>900</v>
      </c>
      <c r="AF32" s="31" t="n">
        <f aca="false">IFERROR(AA32/AE32,0)</f>
        <v>0.935555555555556</v>
      </c>
      <c r="AG32" s="28" t="n">
        <v>2200</v>
      </c>
      <c r="AH32" s="29" t="n">
        <v>85</v>
      </c>
      <c r="AI32" s="31" t="n">
        <f aca="false">IFERROR(AH32/AH$49,0)</f>
        <v>0.0202912389591788</v>
      </c>
      <c r="AJ32" s="28" t="n">
        <f aca="false">AH32*AG32</f>
        <v>187000</v>
      </c>
      <c r="AK32" s="31" t="n">
        <f aca="false">IFERROR(AJ32/AJ$49,0)</f>
        <v>0.0563388768377922</v>
      </c>
      <c r="AL32" s="29" t="n">
        <v>100</v>
      </c>
      <c r="AM32" s="31" t="n">
        <f aca="false">IFERROR(AH32/AL32,0)</f>
        <v>0.85</v>
      </c>
      <c r="AN32" s="30" t="n">
        <f aca="false">①札幌予測確定!O32</f>
        <v>1.98467847760991</v>
      </c>
      <c r="AO32" s="29" t="n">
        <f aca="false">①札幌予測確定!P32</f>
        <v>169</v>
      </c>
      <c r="AP32" s="28" t="n">
        <f aca="false">①札幌予測確定!Q32</f>
        <v>371800</v>
      </c>
      <c r="AQ32" s="31" t="n">
        <f aca="false">①札幌予測確定!T32</f>
        <v>1.69</v>
      </c>
      <c r="AR32" s="29" t="n">
        <f aca="false">①札幌予測確定!U32</f>
        <v>0</v>
      </c>
      <c r="AS32" s="29" t="n">
        <f aca="false">③石川以降予測!N50</f>
        <v>1335</v>
      </c>
      <c r="AT32" s="29" t="n">
        <f aca="false">③石川以降予測!O50</f>
        <v>0</v>
      </c>
      <c r="AU32" s="32" t="n">
        <f aca="false">③石川以降予測!Q50</f>
        <v>1335</v>
      </c>
      <c r="AV32" s="29" t="n">
        <f aca="false">③石川以降予測!R50</f>
        <v>1335</v>
      </c>
      <c r="AW32" s="26" t="str">
        <f aca="false">④追加発注判定!J32</f>
        <v>要 追加発注</v>
      </c>
      <c r="AX32" s="26" t="str">
        <f aca="false">④追加発注判定!P32</f>
        <v>要 追加生産</v>
      </c>
      <c r="AY32" s="29" t="n">
        <f aca="false">④追加発注判定!R32</f>
        <v>1545</v>
      </c>
      <c r="AZ32" s="26" t="str">
        <f aca="false">④追加発注判定!T32</f>
        <v>A:会期中欠品</v>
      </c>
    </row>
    <row r="33" customFormat="false" ht="15" hidden="false" customHeight="false" outlineLevel="0" collapsed="false">
      <c r="A33" s="26" t="n">
        <v>27</v>
      </c>
      <c r="B33" s="26" t="s">
        <v>232</v>
      </c>
      <c r="C33" s="27" t="s">
        <v>233</v>
      </c>
      <c r="D33" s="28" t="n">
        <v>1100</v>
      </c>
      <c r="E33" s="28" t="n">
        <v>1100</v>
      </c>
      <c r="F33" s="29" t="n">
        <v>466</v>
      </c>
      <c r="G33" s="31" t="n">
        <f aca="false">IFERROR(F33/F$49,0)</f>
        <v>0.00314471775145932</v>
      </c>
      <c r="H33" s="28" t="n">
        <f aca="false">F33*E33</f>
        <v>512600</v>
      </c>
      <c r="I33" s="31" t="n">
        <f aca="false">IFERROR(H33/H$49,0)</f>
        <v>0.00501633292949537</v>
      </c>
      <c r="J33" s="29" t="n">
        <v>795</v>
      </c>
      <c r="K33" s="31" t="n">
        <f aca="false">IFERROR(F33/J33,0)</f>
        <v>0.586163522012579</v>
      </c>
      <c r="L33" s="28" t="n">
        <v>1100</v>
      </c>
      <c r="M33" s="29" t="n">
        <v>103</v>
      </c>
      <c r="N33" s="31" t="n">
        <f aca="false">IFERROR(M33/M$49,0)</f>
        <v>0.00175767918088737</v>
      </c>
      <c r="O33" s="28" t="n">
        <f aca="false">M33*L33</f>
        <v>113300</v>
      </c>
      <c r="P33" s="31" t="n">
        <f aca="false">IFERROR(O33/O$49,0)</f>
        <v>0.00273146317707982</v>
      </c>
      <c r="Q33" s="29" t="n">
        <v>185</v>
      </c>
      <c r="R33" s="31" t="n">
        <f aca="false">IFERROR(M33/Q33,0)</f>
        <v>0.556756756756757</v>
      </c>
      <c r="S33" s="28" t="n">
        <v>1100</v>
      </c>
      <c r="T33" s="29" t="n">
        <v>69</v>
      </c>
      <c r="U33" s="31" t="n">
        <f aca="false">IFERROR(T33/T$49,0)</f>
        <v>0.00153774152570703</v>
      </c>
      <c r="V33" s="28" t="n">
        <f aca="false">T33*S33</f>
        <v>75900</v>
      </c>
      <c r="W33" s="31" t="n">
        <f aca="false">IFERROR(V33/V$49,0)</f>
        <v>0.00244627225495378</v>
      </c>
      <c r="X33" s="29" t="n">
        <v>70</v>
      </c>
      <c r="Y33" s="31" t="n">
        <f aca="false">IFERROR(T33/X33,0)</f>
        <v>0.985714285714286</v>
      </c>
      <c r="Z33" s="28" t="n">
        <v>1100</v>
      </c>
      <c r="AA33" s="29" t="n">
        <v>145</v>
      </c>
      <c r="AB33" s="31" t="n">
        <f aca="false">IFERROR(AA33/AA$49,0)</f>
        <v>0.00227486664574835</v>
      </c>
      <c r="AC33" s="28" t="n">
        <f aca="false">AA33*Z33</f>
        <v>159500</v>
      </c>
      <c r="AD33" s="31" t="n">
        <f aca="false">IFERROR(AC33/AC$49,0)</f>
        <v>0.00350490907013334</v>
      </c>
      <c r="AE33" s="29" t="n">
        <v>300</v>
      </c>
      <c r="AF33" s="31" t="n">
        <f aca="false">IFERROR(AA33/AE33,0)</f>
        <v>0.483333333333333</v>
      </c>
      <c r="AG33" s="28" t="n">
        <v>1100</v>
      </c>
      <c r="AH33" s="29" t="n">
        <v>15</v>
      </c>
      <c r="AI33" s="31" t="n">
        <f aca="false">IFERROR(AH33/AH$49,0)</f>
        <v>0.0035808068751492</v>
      </c>
      <c r="AJ33" s="28" t="n">
        <f aca="false">AH33*AG33</f>
        <v>16500</v>
      </c>
      <c r="AK33" s="31" t="n">
        <f aca="false">IFERROR(AJ33/AJ$49,0)</f>
        <v>0.00497107736804049</v>
      </c>
      <c r="AL33" s="29" t="n">
        <v>70</v>
      </c>
      <c r="AM33" s="31" t="n">
        <f aca="false">IFERROR(AH33/AL33,0)</f>
        <v>0.214285714285714</v>
      </c>
      <c r="AN33" s="30" t="n">
        <f aca="false">①札幌予測確定!O33</f>
        <v>2.75337681139064</v>
      </c>
      <c r="AO33" s="29" t="n">
        <f aca="false">①札幌予測確定!P33</f>
        <v>41</v>
      </c>
      <c r="AP33" s="28" t="n">
        <f aca="false">①札幌予測確定!Q33</f>
        <v>45100</v>
      </c>
      <c r="AQ33" s="31" t="n">
        <f aca="false">①札幌予測確定!T33</f>
        <v>0.585714285714286</v>
      </c>
      <c r="AR33" s="29" t="n">
        <f aca="false">①札幌予測確定!U33</f>
        <v>29</v>
      </c>
      <c r="AS33" s="29" t="n">
        <f aca="false">③石川以降予測!N51</f>
        <v>284</v>
      </c>
      <c r="AT33" s="29" t="n">
        <f aca="false">③石川以降予測!O51</f>
        <v>29</v>
      </c>
      <c r="AU33" s="32" t="n">
        <f aca="false">③石川以降予測!Q51</f>
        <v>255</v>
      </c>
      <c r="AV33" s="29" t="n">
        <f aca="false">③石川以降予測!R51</f>
        <v>255</v>
      </c>
      <c r="AW33" s="26" t="str">
        <f aca="false">④追加発注判定!J33</f>
        <v>適正</v>
      </c>
      <c r="AX33" s="26" t="str">
        <f aca="false">④追加発注判定!P33</f>
        <v>要 追加生産</v>
      </c>
      <c r="AY33" s="29" t="n">
        <f aca="false">④追加発注判定!R33</f>
        <v>281</v>
      </c>
      <c r="AZ33" s="26" t="str">
        <f aca="false">④追加発注判定!T33</f>
        <v>C:通常</v>
      </c>
    </row>
    <row r="34" customFormat="false" ht="15" hidden="false" customHeight="false" outlineLevel="0" collapsed="false">
      <c r="A34" s="26" t="n">
        <v>28</v>
      </c>
      <c r="B34" s="26" t="s">
        <v>234</v>
      </c>
      <c r="C34" s="27" t="s">
        <v>235</v>
      </c>
      <c r="D34" s="28" t="n">
        <v>1800</v>
      </c>
      <c r="E34" s="28" t="n">
        <v>1800</v>
      </c>
      <c r="F34" s="29" t="n">
        <v>1034</v>
      </c>
      <c r="G34" s="31" t="n">
        <f aca="false">IFERROR(F34/F$49,0)</f>
        <v>0.00697776428113507</v>
      </c>
      <c r="H34" s="28" t="n">
        <f aca="false">F34*E34</f>
        <v>1861200</v>
      </c>
      <c r="I34" s="31" t="n">
        <f aca="false">IFERROR(H34/H$49,0)</f>
        <v>0.0182138096925025</v>
      </c>
      <c r="J34" s="29" t="n">
        <v>1047</v>
      </c>
      <c r="K34" s="31" t="n">
        <f aca="false">IFERROR(F34/J34,0)</f>
        <v>0.987583572110793</v>
      </c>
      <c r="L34" s="28" t="n">
        <v>1800</v>
      </c>
      <c r="M34" s="29" t="n">
        <v>436</v>
      </c>
      <c r="N34" s="31" t="n">
        <f aca="false">IFERROR(M34/M$49,0)</f>
        <v>0.00744027303754266</v>
      </c>
      <c r="O34" s="28" t="n">
        <f aca="false">M34*L34</f>
        <v>784800</v>
      </c>
      <c r="P34" s="31" t="n">
        <f aca="false">IFERROR(O34/O$49,0)</f>
        <v>0.0189201438779545</v>
      </c>
      <c r="Q34" s="29" t="n">
        <v>437</v>
      </c>
      <c r="R34" s="31" t="n">
        <f aca="false">IFERROR(M34/Q34,0)</f>
        <v>0.997711670480549</v>
      </c>
      <c r="S34" s="28" t="n">
        <v>1800</v>
      </c>
      <c r="T34" s="29" t="n">
        <v>333</v>
      </c>
      <c r="U34" s="31" t="n">
        <f aca="false">IFERROR(T34/T$49,0)</f>
        <v>0.00742127431971652</v>
      </c>
      <c r="V34" s="28" t="n">
        <f aca="false">T34*S34</f>
        <v>599400</v>
      </c>
      <c r="W34" s="31" t="n">
        <f aca="false">IFERROR(V34/V$49,0)</f>
        <v>0.0193187824719275</v>
      </c>
      <c r="X34" s="29" t="n">
        <v>333</v>
      </c>
      <c r="Y34" s="31" t="n">
        <f aca="false">IFERROR(T34/X34,0)</f>
        <v>1</v>
      </c>
      <c r="Z34" s="28" t="n">
        <v>1800</v>
      </c>
      <c r="AA34" s="29" t="n">
        <v>400</v>
      </c>
      <c r="AB34" s="31" t="n">
        <f aca="false">IFERROR(AA34/AA$49,0)</f>
        <v>0.00627549419516787</v>
      </c>
      <c r="AC34" s="28" t="n">
        <f aca="false">AA34*Z34</f>
        <v>720000</v>
      </c>
      <c r="AD34" s="31" t="n">
        <f aca="false">IFERROR(AC34/AC$49,0)</f>
        <v>0.015821533106558</v>
      </c>
      <c r="AE34" s="29" t="n">
        <v>400</v>
      </c>
      <c r="AF34" s="31" t="n">
        <f aca="false">IFERROR(AA34/AE34,0)</f>
        <v>1</v>
      </c>
      <c r="AG34" s="28" t="n">
        <v>1800</v>
      </c>
      <c r="AH34" s="29" t="n">
        <v>130</v>
      </c>
      <c r="AI34" s="31" t="n">
        <f aca="false">IFERROR(AH34/AH$49,0)</f>
        <v>0.0310336595846264</v>
      </c>
      <c r="AJ34" s="28" t="n">
        <f aca="false">AH34*AG34</f>
        <v>234000</v>
      </c>
      <c r="AK34" s="31" t="n">
        <f aca="false">IFERROR(AJ34/AJ$49,0)</f>
        <v>0.0704989154013015</v>
      </c>
      <c r="AL34" s="29" t="n">
        <v>200</v>
      </c>
      <c r="AM34" s="31" t="n">
        <f aca="false">IFERROR(AH34/AL34,0)</f>
        <v>0.65</v>
      </c>
      <c r="AN34" s="30" t="n">
        <f aca="false">①札幌予測確定!O34</f>
        <v>1.6498870454168</v>
      </c>
      <c r="AO34" s="29" t="n">
        <f aca="false">①札幌予測確定!P34</f>
        <v>214</v>
      </c>
      <c r="AP34" s="28" t="n">
        <f aca="false">①札幌予測確定!Q34</f>
        <v>385200</v>
      </c>
      <c r="AQ34" s="31" t="n">
        <f aca="false">①札幌予測確定!T34</f>
        <v>1.07</v>
      </c>
      <c r="AR34" s="29" t="n">
        <f aca="false">①札幌予測確定!U34</f>
        <v>0</v>
      </c>
      <c r="AS34" s="29" t="n">
        <f aca="false">③石川以降予測!N52</f>
        <v>1242</v>
      </c>
      <c r="AT34" s="29" t="n">
        <f aca="false">③石川以降予測!O52</f>
        <v>0</v>
      </c>
      <c r="AU34" s="32" t="n">
        <f aca="false">③石川以降予測!Q52</f>
        <v>1242</v>
      </c>
      <c r="AV34" s="29" t="n">
        <f aca="false">③石川以降予測!R52</f>
        <v>1242</v>
      </c>
      <c r="AW34" s="26" t="str">
        <f aca="false">④追加発注判定!J34</f>
        <v>要 追加発注</v>
      </c>
      <c r="AX34" s="26" t="str">
        <f aca="false">④追加発注判定!P34</f>
        <v>要 追加生産</v>
      </c>
      <c r="AY34" s="29" t="n">
        <f aca="false">④追加発注判定!R34</f>
        <v>1383</v>
      </c>
      <c r="AZ34" s="26" t="str">
        <f aca="false">④追加発注判定!T34</f>
        <v>A:会期中欠品</v>
      </c>
    </row>
    <row r="35" customFormat="false" ht="15" hidden="false" customHeight="false" outlineLevel="0" collapsed="false">
      <c r="A35" s="26" t="n">
        <v>29</v>
      </c>
      <c r="B35" s="26" t="s">
        <v>236</v>
      </c>
      <c r="C35" s="27" t="s">
        <v>237</v>
      </c>
      <c r="D35" s="28" t="n">
        <v>1500</v>
      </c>
      <c r="E35" s="28" t="n">
        <v>1500</v>
      </c>
      <c r="F35" s="29" t="n">
        <v>794</v>
      </c>
      <c r="G35" s="31" t="n">
        <f aca="false">IFERROR(F35/F$49,0)</f>
        <v>0.00535816715591997</v>
      </c>
      <c r="H35" s="28" t="n">
        <f aca="false">F35*E35</f>
        <v>1191000</v>
      </c>
      <c r="I35" s="31" t="n">
        <f aca="false">IFERROR(H35/H$49,0)</f>
        <v>0.0116551941455891</v>
      </c>
      <c r="J35" s="29" t="n">
        <v>795</v>
      </c>
      <c r="K35" s="31" t="n">
        <f aca="false">IFERROR(F35/J35,0)</f>
        <v>0.99874213836478</v>
      </c>
      <c r="L35" s="28" t="n">
        <v>1500</v>
      </c>
      <c r="M35" s="29" t="n">
        <v>318</v>
      </c>
      <c r="N35" s="31" t="n">
        <f aca="false">IFERROR(M35/M$49,0)</f>
        <v>0.00542662116040956</v>
      </c>
      <c r="O35" s="28" t="n">
        <f aca="false">M35*L35</f>
        <v>477000</v>
      </c>
      <c r="P35" s="31" t="n">
        <f aca="false">IFERROR(O35/O$49,0)</f>
        <v>0.0114996287331604</v>
      </c>
      <c r="Q35" s="29" t="n">
        <v>319</v>
      </c>
      <c r="R35" s="31" t="n">
        <f aca="false">IFERROR(M35/Q35,0)</f>
        <v>0.996865203761756</v>
      </c>
      <c r="S35" s="28" t="n">
        <v>1500</v>
      </c>
      <c r="T35" s="29" t="n">
        <v>249</v>
      </c>
      <c r="U35" s="31" t="n">
        <f aca="false">IFERROR(T35/T$49,0)</f>
        <v>0.00554924115798623</v>
      </c>
      <c r="V35" s="28" t="n">
        <f aca="false">T35*S35</f>
        <v>373500</v>
      </c>
      <c r="W35" s="31" t="n">
        <f aca="false">IFERROR(V35/V$49,0)</f>
        <v>0.0120379800688437</v>
      </c>
      <c r="X35" s="29" t="n">
        <v>250</v>
      </c>
      <c r="Y35" s="31" t="n">
        <f aca="false">IFERROR(T35/X35,0)</f>
        <v>0.996</v>
      </c>
      <c r="Z35" s="28" t="n">
        <v>1500</v>
      </c>
      <c r="AA35" s="29" t="n">
        <v>200</v>
      </c>
      <c r="AB35" s="31" t="n">
        <f aca="false">IFERROR(AA35/AA$49,0)</f>
        <v>0.00313774709758393</v>
      </c>
      <c r="AC35" s="28" t="n">
        <f aca="false">AA35*Z35</f>
        <v>300000</v>
      </c>
      <c r="AD35" s="31" t="n">
        <f aca="false">IFERROR(AC35/AC$49,0)</f>
        <v>0.00659230546106584</v>
      </c>
      <c r="AE35" s="29" t="n">
        <v>200</v>
      </c>
      <c r="AF35" s="31" t="n">
        <f aca="false">IFERROR(AA35/AE35,0)</f>
        <v>1</v>
      </c>
      <c r="AG35" s="28" t="n">
        <v>1500</v>
      </c>
      <c r="AH35" s="29" t="n">
        <v>66</v>
      </c>
      <c r="AI35" s="31" t="n">
        <f aca="false">IFERROR(AH35/AH$49,0)</f>
        <v>0.0157555502506565</v>
      </c>
      <c r="AJ35" s="28" t="n">
        <f aca="false">AH35*AG35</f>
        <v>99000</v>
      </c>
      <c r="AK35" s="31" t="n">
        <f aca="false">IFERROR(AJ35/AJ$49,0)</f>
        <v>0.029826464208243</v>
      </c>
      <c r="AL35" s="29" t="n">
        <v>100</v>
      </c>
      <c r="AM35" s="31" t="n">
        <f aca="false">IFERROR(AH35/AL35,0)</f>
        <v>0.66</v>
      </c>
      <c r="AN35" s="30" t="n">
        <f aca="false">①札幌予測確定!O35</f>
        <v>1.46342639077404</v>
      </c>
      <c r="AO35" s="29" t="n">
        <f aca="false">①札幌予測確定!P35</f>
        <v>97</v>
      </c>
      <c r="AP35" s="28" t="n">
        <f aca="false">①札幌予測確定!Q35</f>
        <v>145500</v>
      </c>
      <c r="AQ35" s="31" t="n">
        <f aca="false">①札幌予測確定!T35</f>
        <v>0.97</v>
      </c>
      <c r="AR35" s="29" t="n">
        <f aca="false">①札幌予測確定!U35</f>
        <v>3</v>
      </c>
      <c r="AS35" s="29" t="n">
        <f aca="false">③石川以降予測!N53</f>
        <v>576</v>
      </c>
      <c r="AT35" s="29" t="n">
        <f aca="false">③石川以降予測!O53</f>
        <v>3</v>
      </c>
      <c r="AU35" s="32" t="n">
        <f aca="false">③石川以降予測!Q53</f>
        <v>573</v>
      </c>
      <c r="AV35" s="29" t="n">
        <f aca="false">③石川以降予測!R53</f>
        <v>573</v>
      </c>
      <c r="AW35" s="26" t="str">
        <f aca="false">④追加発注判定!J35</f>
        <v>要注意(90%超)</v>
      </c>
      <c r="AX35" s="26" t="str">
        <f aca="false">④追加発注判定!P35</f>
        <v>要 追加生産</v>
      </c>
      <c r="AY35" s="29" t="n">
        <f aca="false">④追加発注判定!R35</f>
        <v>631</v>
      </c>
      <c r="AZ35" s="26" t="str">
        <f aca="false">④追加発注判定!T35</f>
        <v>C:通常</v>
      </c>
    </row>
    <row r="36" customFormat="false" ht="15" hidden="false" customHeight="false" outlineLevel="0" collapsed="false">
      <c r="A36" s="26" t="n">
        <v>30</v>
      </c>
      <c r="B36" s="26" t="s">
        <v>238</v>
      </c>
      <c r="C36" s="27" t="s">
        <v>239</v>
      </c>
      <c r="D36" s="28" t="n">
        <v>3300</v>
      </c>
      <c r="E36" s="28" t="n">
        <v>3300</v>
      </c>
      <c r="F36" s="29" t="n">
        <v>615</v>
      </c>
      <c r="G36" s="31" t="n">
        <f aca="false">IFERROR(F36/F$49,0)</f>
        <v>0.0041502176333637</v>
      </c>
      <c r="H36" s="28" t="n">
        <f aca="false">F36*E36</f>
        <v>2029500</v>
      </c>
      <c r="I36" s="31" t="n">
        <f aca="false">IFERROR(H36/H$49,0)</f>
        <v>0.0198608031221437</v>
      </c>
      <c r="J36" s="29" t="n">
        <v>794</v>
      </c>
      <c r="K36" s="31" t="n">
        <f aca="false">IFERROR(F36/J36,0)</f>
        <v>0.77455919395466</v>
      </c>
      <c r="L36" s="28" t="n">
        <v>3300</v>
      </c>
      <c r="M36" s="29" t="n">
        <v>169</v>
      </c>
      <c r="N36" s="31" t="n">
        <f aca="false">IFERROR(M36/M$49,0)</f>
        <v>0.0028839590443686</v>
      </c>
      <c r="O36" s="28" t="n">
        <f aca="false">M36*L36</f>
        <v>557700</v>
      </c>
      <c r="P36" s="31" t="n">
        <f aca="false">IFERROR(O36/O$49,0)</f>
        <v>0.0134451634056259</v>
      </c>
      <c r="Q36" s="29" t="n">
        <v>250</v>
      </c>
      <c r="R36" s="31" t="n">
        <f aca="false">IFERROR(M36/Q36,0)</f>
        <v>0.676</v>
      </c>
      <c r="S36" s="28" t="n">
        <v>3300</v>
      </c>
      <c r="T36" s="29" t="n">
        <v>89</v>
      </c>
      <c r="U36" s="31" t="n">
        <f aca="false">IFERROR(T36/T$49,0)</f>
        <v>0.00198346370707138</v>
      </c>
      <c r="V36" s="28" t="n">
        <f aca="false">T36*S36</f>
        <v>293700</v>
      </c>
      <c r="W36" s="31" t="n">
        <f aca="false">IFERROR(V36/V$49,0)</f>
        <v>0.00946601003003855</v>
      </c>
      <c r="X36" s="29" t="n">
        <v>90</v>
      </c>
      <c r="Y36" s="31" t="n">
        <f aca="false">IFERROR(T36/X36,0)</f>
        <v>0.988888888888889</v>
      </c>
      <c r="Z36" s="28" t="n">
        <v>3300</v>
      </c>
      <c r="AA36" s="29" t="n">
        <v>205</v>
      </c>
      <c r="AB36" s="31" t="n">
        <f aca="false">IFERROR(AA36/AA$49,0)</f>
        <v>0.00321619077502353</v>
      </c>
      <c r="AC36" s="28" t="n">
        <f aca="false">AA36*Z36</f>
        <v>676500</v>
      </c>
      <c r="AD36" s="31" t="n">
        <f aca="false">IFERROR(AC36/AC$49,0)</f>
        <v>0.0148656488147035</v>
      </c>
      <c r="AE36" s="29" t="n">
        <v>499</v>
      </c>
      <c r="AF36" s="31" t="n">
        <f aca="false">IFERROR(AA36/AE36,0)</f>
        <v>0.410821643286573</v>
      </c>
      <c r="AG36" s="28" t="n">
        <v>3300</v>
      </c>
      <c r="AH36" s="29" t="n">
        <v>20</v>
      </c>
      <c r="AI36" s="31" t="n">
        <f aca="false">IFERROR(AH36/AH$49,0)</f>
        <v>0.0047744091668656</v>
      </c>
      <c r="AJ36" s="28" t="n">
        <f aca="false">AH36*AG36</f>
        <v>66000</v>
      </c>
      <c r="AK36" s="31" t="n">
        <f aca="false">IFERROR(AJ36/AJ$49,0)</f>
        <v>0.019884309472162</v>
      </c>
      <c r="AL36" s="29" t="n">
        <v>250</v>
      </c>
      <c r="AM36" s="31" t="n">
        <f aca="false">IFERROR(AH36/AL36,0)</f>
        <v>0.08</v>
      </c>
      <c r="AN36" s="30" t="n">
        <f aca="false">①札幌予測確定!O36</f>
        <v>3.11915637335655</v>
      </c>
      <c r="AO36" s="29" t="n">
        <f aca="false">①札幌予測確定!P36</f>
        <v>62</v>
      </c>
      <c r="AP36" s="28" t="n">
        <f aca="false">①札幌予測確定!Q36</f>
        <v>204600</v>
      </c>
      <c r="AQ36" s="31" t="n">
        <f aca="false">①札幌予測確定!T36</f>
        <v>0.248</v>
      </c>
      <c r="AR36" s="29" t="n">
        <f aca="false">①札幌予測確定!U36</f>
        <v>188</v>
      </c>
      <c r="AS36" s="29" t="n">
        <f aca="false">③石川以降予測!N54</f>
        <v>420</v>
      </c>
      <c r="AT36" s="29" t="n">
        <f aca="false">③石川以降予測!O54</f>
        <v>188</v>
      </c>
      <c r="AU36" s="32" t="n">
        <f aca="false">③石川以降予測!Q54</f>
        <v>232</v>
      </c>
      <c r="AV36" s="29" t="n">
        <f aca="false">③石川以降予測!R54</f>
        <v>232</v>
      </c>
      <c r="AW36" s="26" t="str">
        <f aca="false">④追加発注判定!J36</f>
        <v>在庫余剰</v>
      </c>
      <c r="AX36" s="26" t="str">
        <f aca="false">④追加発注判定!P36</f>
        <v>要 追加生産</v>
      </c>
      <c r="AY36" s="29" t="n">
        <f aca="false">④追加発注判定!R36</f>
        <v>256</v>
      </c>
      <c r="AZ36" s="26" t="str">
        <f aca="false">④追加発注判定!T36</f>
        <v>C:通常</v>
      </c>
    </row>
    <row r="37" customFormat="false" ht="15" hidden="false" customHeight="false" outlineLevel="0" collapsed="false">
      <c r="A37" s="26" t="n">
        <v>31</v>
      </c>
      <c r="B37" s="26" t="s">
        <v>240</v>
      </c>
      <c r="C37" s="27" t="s">
        <v>241</v>
      </c>
      <c r="D37" s="28" t="n">
        <v>1300</v>
      </c>
      <c r="E37" s="28" t="n">
        <v>1300</v>
      </c>
      <c r="F37" s="29" t="n">
        <v>1215</v>
      </c>
      <c r="G37" s="31" t="n">
        <f aca="false">IFERROR(F37/F$49,0)</f>
        <v>0.00819921044640146</v>
      </c>
      <c r="H37" s="28" t="n">
        <f aca="false">F37*E37</f>
        <v>1579500</v>
      </c>
      <c r="I37" s="31" t="n">
        <f aca="false">IFERROR(H37/H$49,0)</f>
        <v>0.01545707737444</v>
      </c>
      <c r="J37" s="29" t="n">
        <v>2495</v>
      </c>
      <c r="K37" s="31" t="n">
        <f aca="false">IFERROR(F37/J37,0)</f>
        <v>0.486973947895792</v>
      </c>
      <c r="L37" s="28" t="n">
        <v>1300</v>
      </c>
      <c r="M37" s="29" t="n">
        <v>235</v>
      </c>
      <c r="N37" s="31" t="n">
        <f aca="false">IFERROR(M37/M$49,0)</f>
        <v>0.00401023890784983</v>
      </c>
      <c r="O37" s="28" t="n">
        <f aca="false">M37*L37</f>
        <v>305500</v>
      </c>
      <c r="P37" s="31" t="n">
        <f aca="false">IFERROR(O37/O$49,0)</f>
        <v>0.00736506620121698</v>
      </c>
      <c r="Q37" s="29" t="n">
        <v>485</v>
      </c>
      <c r="R37" s="31" t="n">
        <f aca="false">IFERROR(M37/Q37,0)</f>
        <v>0.484536082474227</v>
      </c>
      <c r="S37" s="28" t="n">
        <v>1300</v>
      </c>
      <c r="T37" s="29" t="n">
        <v>178</v>
      </c>
      <c r="U37" s="31" t="n">
        <f aca="false">IFERROR(T37/T$49,0)</f>
        <v>0.00396692741414277</v>
      </c>
      <c r="V37" s="28" t="n">
        <f aca="false">T37*S37</f>
        <v>231400</v>
      </c>
      <c r="W37" s="31" t="n">
        <f aca="false">IFERROR(V37/V$49,0)</f>
        <v>0.00745806850851522</v>
      </c>
      <c r="X37" s="29" t="n">
        <v>180</v>
      </c>
      <c r="Y37" s="31" t="n">
        <f aca="false">IFERROR(T37/X37,0)</f>
        <v>0.988888888888889</v>
      </c>
      <c r="Z37" s="28" t="n">
        <v>1300</v>
      </c>
      <c r="AA37" s="29" t="n">
        <v>427</v>
      </c>
      <c r="AB37" s="31" t="n">
        <f aca="false">IFERROR(AA37/AA$49,0)</f>
        <v>0.0066990900533417</v>
      </c>
      <c r="AC37" s="28" t="n">
        <f aca="false">AA37*Z37</f>
        <v>555100</v>
      </c>
      <c r="AD37" s="31" t="n">
        <f aca="false">IFERROR(AC37/AC$49,0)</f>
        <v>0.0121979625381255</v>
      </c>
      <c r="AE37" s="29" t="n">
        <v>600</v>
      </c>
      <c r="AF37" s="31" t="n">
        <f aca="false">IFERROR(AA37/AE37,0)</f>
        <v>0.711666666666667</v>
      </c>
      <c r="AG37" s="28" t="n">
        <v>1300</v>
      </c>
      <c r="AH37" s="29" t="n">
        <v>43</v>
      </c>
      <c r="AI37" s="31" t="n">
        <f aca="false">IFERROR(AH37/AH$49,0)</f>
        <v>0.010264979708761</v>
      </c>
      <c r="AJ37" s="28" t="n">
        <f aca="false">AH37*AG37</f>
        <v>55900</v>
      </c>
      <c r="AK37" s="31" t="n">
        <f aca="false">IFERROR(AJ37/AJ$49,0)</f>
        <v>0.0168414075680887</v>
      </c>
      <c r="AL37" s="29" t="n">
        <v>200</v>
      </c>
      <c r="AM37" s="31" t="n">
        <f aca="false">IFERROR(AH37/AL37,0)</f>
        <v>0.215</v>
      </c>
      <c r="AN37" s="30" t="n">
        <f aca="false">①札幌予測確定!O37</f>
        <v>2.23292302519232</v>
      </c>
      <c r="AO37" s="29" t="n">
        <f aca="false">①札幌予測確定!P37</f>
        <v>96</v>
      </c>
      <c r="AP37" s="28" t="n">
        <f aca="false">①札幌予測確定!Q37</f>
        <v>124800</v>
      </c>
      <c r="AQ37" s="31" t="n">
        <f aca="false">①札幌予測確定!T37</f>
        <v>0.48</v>
      </c>
      <c r="AR37" s="29" t="n">
        <f aca="false">①札幌予測確定!U37</f>
        <v>104</v>
      </c>
      <c r="AS37" s="29" t="n">
        <f aca="false">③石川以降予測!N55</f>
        <v>724</v>
      </c>
      <c r="AT37" s="29" t="n">
        <f aca="false">③石川以降予測!O55</f>
        <v>104</v>
      </c>
      <c r="AU37" s="32" t="n">
        <f aca="false">③石川以降予測!Q55</f>
        <v>620</v>
      </c>
      <c r="AV37" s="29" t="n">
        <f aca="false">③石川以降予測!R55</f>
        <v>620</v>
      </c>
      <c r="AW37" s="26" t="str">
        <f aca="false">④追加発注判定!J37</f>
        <v>在庫余剰</v>
      </c>
      <c r="AX37" s="26" t="str">
        <f aca="false">④追加発注判定!P37</f>
        <v>要 追加生産</v>
      </c>
      <c r="AY37" s="29" t="n">
        <f aca="false">④追加発注判定!R37</f>
        <v>682</v>
      </c>
      <c r="AZ37" s="26" t="str">
        <f aca="false">④追加発注判定!T37</f>
        <v>C:通常</v>
      </c>
    </row>
    <row r="38" customFormat="false" ht="15" hidden="false" customHeight="false" outlineLevel="0" collapsed="false">
      <c r="A38" s="26" t="n">
        <v>32</v>
      </c>
      <c r="B38" s="26" t="s">
        <v>242</v>
      </c>
      <c r="C38" s="27" t="s">
        <v>243</v>
      </c>
      <c r="D38" s="28" t="n">
        <v>8800</v>
      </c>
      <c r="E38" s="28" t="n">
        <v>8800</v>
      </c>
      <c r="F38" s="29" t="n">
        <v>47</v>
      </c>
      <c r="G38" s="31" t="n">
        <f aca="false">IFERROR(F38/F$49,0)</f>
        <v>0.000317171103687958</v>
      </c>
      <c r="H38" s="28" t="n">
        <f aca="false">F38*E38</f>
        <v>413600</v>
      </c>
      <c r="I38" s="31" t="n">
        <f aca="false">IFERROR(H38/H$49,0)</f>
        <v>0.00404751326500056</v>
      </c>
      <c r="J38" s="29" t="n">
        <v>47</v>
      </c>
      <c r="K38" s="31" t="n">
        <f aca="false">IFERROR(F38/J38,0)</f>
        <v>1</v>
      </c>
      <c r="L38" s="28" t="n">
        <v>8800</v>
      </c>
      <c r="M38" s="29" t="n">
        <v>36</v>
      </c>
      <c r="N38" s="31" t="n">
        <f aca="false">IFERROR(M38/M$49,0)</f>
        <v>0.000614334470989761</v>
      </c>
      <c r="O38" s="28" t="n">
        <f aca="false">M38*L38</f>
        <v>316800</v>
      </c>
      <c r="P38" s="31" t="n">
        <f aca="false">IFERROR(O38/O$49,0)</f>
        <v>0.00763748927183483</v>
      </c>
      <c r="Q38" s="29" t="n">
        <v>36</v>
      </c>
      <c r="R38" s="31" t="n">
        <f aca="false">IFERROR(M38/Q38,0)</f>
        <v>1</v>
      </c>
      <c r="S38" s="28" t="n">
        <v>8800</v>
      </c>
      <c r="T38" s="29" t="n">
        <v>30</v>
      </c>
      <c r="U38" s="31" t="n">
        <f aca="false">IFERROR(T38/T$49,0)</f>
        <v>0.000668583272046533</v>
      </c>
      <c r="V38" s="28" t="n">
        <f aca="false">T38*S38</f>
        <v>264000</v>
      </c>
      <c r="W38" s="31" t="n">
        <f aca="false">IFERROR(V38/V$49,0)</f>
        <v>0.00850877306070881</v>
      </c>
      <c r="X38" s="29" t="n">
        <v>29</v>
      </c>
      <c r="Y38" s="31" t="n">
        <f aca="false">IFERROR(T38/X38,0)</f>
        <v>1.03448275862069</v>
      </c>
      <c r="Z38" s="28" t="n">
        <v>8800</v>
      </c>
      <c r="AA38" s="29" t="n">
        <v>40</v>
      </c>
      <c r="AB38" s="31" t="n">
        <f aca="false">IFERROR(AA38/AA$49,0)</f>
        <v>0.000627549419516787</v>
      </c>
      <c r="AC38" s="28" t="n">
        <f aca="false">AA38*Z38</f>
        <v>352000</v>
      </c>
      <c r="AD38" s="31" t="n">
        <f aca="false">IFERROR(AC38/AC$49,0)</f>
        <v>0.00773497174098392</v>
      </c>
      <c r="AE38" s="29" t="n">
        <v>40</v>
      </c>
      <c r="AF38" s="31" t="n">
        <f aca="false">IFERROR(AA38/AE38,0)</f>
        <v>1</v>
      </c>
      <c r="AG38" s="28" t="n">
        <v>8800</v>
      </c>
      <c r="AH38" s="29" t="n">
        <v>10</v>
      </c>
      <c r="AI38" s="31" t="n">
        <f aca="false">IFERROR(AH38/AH$49,0)</f>
        <v>0.0023872045834328</v>
      </c>
      <c r="AJ38" s="28" t="n">
        <f aca="false">AH38*AG38</f>
        <v>88000</v>
      </c>
      <c r="AK38" s="31" t="n">
        <f aca="false">IFERROR(AJ38/AJ$49,0)</f>
        <v>0.0265124126295493</v>
      </c>
      <c r="AL38" s="29" t="n">
        <v>10</v>
      </c>
      <c r="AM38" s="31" t="n">
        <f aca="false">IFERROR(AH38/AL38,0)</f>
        <v>1</v>
      </c>
      <c r="AN38" s="30" t="n">
        <f aca="false">①札幌予測確定!O38</f>
        <v>1.0299301505866</v>
      </c>
      <c r="AO38" s="29" t="n">
        <f aca="false">①札幌予測確定!P38</f>
        <v>10</v>
      </c>
      <c r="AP38" s="28" t="n">
        <f aca="false">①札幌予測確定!Q38</f>
        <v>88000</v>
      </c>
      <c r="AQ38" s="31" t="n">
        <f aca="false">①札幌予測確定!T38</f>
        <v>1</v>
      </c>
      <c r="AR38" s="29" t="n">
        <f aca="false">①札幌予測確定!U38</f>
        <v>0</v>
      </c>
      <c r="AS38" s="29" t="n">
        <f aca="false">③石川以降予測!N56</f>
        <v>72</v>
      </c>
      <c r="AT38" s="29" t="n">
        <f aca="false">③石川以降予測!O56</f>
        <v>0</v>
      </c>
      <c r="AU38" s="32" t="n">
        <f aca="false">③石川以降予測!Q56</f>
        <v>72</v>
      </c>
      <c r="AV38" s="29" t="n">
        <f aca="false">③石川以降予測!R56</f>
        <v>72</v>
      </c>
      <c r="AW38" s="26" t="str">
        <f aca="false">④追加発注判定!J38</f>
        <v>要注意(90%超)</v>
      </c>
      <c r="AX38" s="26" t="str">
        <f aca="false">④追加発注判定!P38</f>
        <v>要 追加生産</v>
      </c>
      <c r="AY38" s="29" t="n">
        <f aca="false">④追加発注判定!R38</f>
        <v>80</v>
      </c>
      <c r="AZ38" s="26" t="str">
        <f aca="false">④追加発注判定!T38</f>
        <v>C:通常</v>
      </c>
    </row>
    <row r="39" customFormat="false" ht="15" hidden="false" customHeight="false" outlineLevel="0" collapsed="false">
      <c r="A39" s="26" t="n">
        <v>33</v>
      </c>
      <c r="B39" s="26" t="s">
        <v>244</v>
      </c>
      <c r="C39" s="27" t="s">
        <v>245</v>
      </c>
      <c r="D39" s="28" t="n">
        <v>27500</v>
      </c>
      <c r="E39" s="28" t="n">
        <v>22000</v>
      </c>
      <c r="F39" s="29" t="n">
        <v>10</v>
      </c>
      <c r="G39" s="31" t="n">
        <f aca="false">IFERROR(F39/F$49,0)</f>
        <v>6.74832135506293E-005</v>
      </c>
      <c r="H39" s="28" t="n">
        <f aca="false">F39*E39</f>
        <v>220000</v>
      </c>
      <c r="I39" s="31" t="n">
        <f aca="false">IFERROR(H39/H$49,0)</f>
        <v>0.00215293258776625</v>
      </c>
      <c r="J39" s="29" t="n">
        <v>10</v>
      </c>
      <c r="K39" s="31" t="n">
        <f aca="false">IFERROR(F39/J39,0)</f>
        <v>1</v>
      </c>
      <c r="L39" s="28" t="n">
        <v>27500</v>
      </c>
      <c r="M39" s="29" t="n">
        <v>37</v>
      </c>
      <c r="N39" s="31" t="n">
        <f aca="false">IFERROR(M39/M$49,0)</f>
        <v>0.000631399317406143</v>
      </c>
      <c r="O39" s="28" t="n">
        <f aca="false">M39*L39</f>
        <v>1017500</v>
      </c>
      <c r="P39" s="31" t="n">
        <f aca="false">IFERROR(O39/O$49,0)</f>
        <v>0.0245301304737751</v>
      </c>
      <c r="Q39" s="29" t="n">
        <v>40</v>
      </c>
      <c r="R39" s="31" t="n">
        <f aca="false">IFERROR(M39/Q39,0)</f>
        <v>0.925</v>
      </c>
      <c r="S39" s="28" t="n">
        <v>27500</v>
      </c>
      <c r="T39" s="29" t="n">
        <v>14</v>
      </c>
      <c r="U39" s="31" t="n">
        <f aca="false">IFERROR(T39/T$49,0)</f>
        <v>0.000312005526955049</v>
      </c>
      <c r="V39" s="28" t="n">
        <f aca="false">T39*S39</f>
        <v>385000</v>
      </c>
      <c r="W39" s="31" t="n">
        <f aca="false">IFERROR(V39/V$49,0)</f>
        <v>0.0124086273802003</v>
      </c>
      <c r="X39" s="29" t="n">
        <v>20</v>
      </c>
      <c r="Y39" s="31" t="n">
        <f aca="false">IFERROR(T39/X39,0)</f>
        <v>0.7</v>
      </c>
      <c r="Z39" s="28" t="n">
        <v>27500</v>
      </c>
      <c r="AA39" s="29" t="n">
        <v>21</v>
      </c>
      <c r="AB39" s="31" t="n">
        <f aca="false">IFERROR(AA39/AA$49,0)</f>
        <v>0.000329463445246313</v>
      </c>
      <c r="AC39" s="28" t="n">
        <f aca="false">AA39*Z39</f>
        <v>577500</v>
      </c>
      <c r="AD39" s="31" t="n">
        <f aca="false">IFERROR(AC39/AC$49,0)</f>
        <v>0.0126901880125518</v>
      </c>
      <c r="AE39" s="29" t="n">
        <v>50</v>
      </c>
      <c r="AF39" s="31" t="n">
        <f aca="false">IFERROR(AA39/AE39,0)</f>
        <v>0.42</v>
      </c>
      <c r="AG39" s="28" t="n">
        <v>27500</v>
      </c>
      <c r="AH39" s="29" t="n">
        <v>0</v>
      </c>
      <c r="AI39" s="31" t="n">
        <f aca="false">IFERROR(AH39/AH$49,0)</f>
        <v>0</v>
      </c>
      <c r="AJ39" s="28" t="n">
        <f aca="false">AH39*AG39</f>
        <v>0</v>
      </c>
      <c r="AK39" s="31" t="n">
        <f aca="false">IFERROR(AJ39/AJ$49,0)</f>
        <v>0</v>
      </c>
      <c r="AL39" s="29" t="n">
        <v>15</v>
      </c>
      <c r="AM39" s="31" t="n">
        <f aca="false">IFERROR(AH39/AL39,0)</f>
        <v>0</v>
      </c>
      <c r="AN39" s="30" t="n">
        <f aca="false">①札幌予測確定!O39</f>
        <v>1.96650306790623</v>
      </c>
      <c r="AO39" s="29" t="n">
        <f aca="false">①札幌予測確定!P39</f>
        <v>0</v>
      </c>
      <c r="AP39" s="28" t="n">
        <f aca="false">①札幌予測確定!Q39</f>
        <v>0</v>
      </c>
      <c r="AQ39" s="31" t="n">
        <f aca="false">①札幌予測確定!T39</f>
        <v>0</v>
      </c>
      <c r="AR39" s="29" t="n">
        <f aca="false">①札幌予測確定!U39</f>
        <v>15</v>
      </c>
      <c r="AS39" s="29" t="n">
        <f aca="false">③石川以降予測!N57</f>
        <v>14</v>
      </c>
      <c r="AT39" s="29" t="n">
        <f aca="false">③石川以降予測!O57</f>
        <v>15</v>
      </c>
      <c r="AU39" s="32" t="n">
        <f aca="false">③石川以降予測!Q57</f>
        <v>-1</v>
      </c>
      <c r="AV39" s="29" t="n">
        <f aca="false">③石川以降予測!R57</f>
        <v>0</v>
      </c>
      <c r="AW39" s="26" t="str">
        <f aca="false">④追加発注判定!J39</f>
        <v>在庫余剰</v>
      </c>
      <c r="AX39" s="26" t="str">
        <f aca="false">④追加発注判定!P39</f>
        <v>在庫で充足</v>
      </c>
      <c r="AY39" s="29" t="n">
        <f aca="false">④追加発注判定!R39</f>
        <v>0</v>
      </c>
      <c r="AZ39" s="26" t="str">
        <f aca="false">④追加発注判定!T39</f>
        <v>D:不要</v>
      </c>
    </row>
    <row r="40" customFormat="false" ht="15" hidden="false" customHeight="false" outlineLevel="0" collapsed="false">
      <c r="A40" s="26" t="n">
        <v>34</v>
      </c>
      <c r="B40" s="26" t="s">
        <v>246</v>
      </c>
      <c r="C40" s="27" t="s">
        <v>247</v>
      </c>
      <c r="D40" s="28" t="n">
        <v>27500</v>
      </c>
      <c r="E40" s="28" t="n">
        <v>22000</v>
      </c>
      <c r="F40" s="29" t="n">
        <v>10</v>
      </c>
      <c r="G40" s="31" t="n">
        <f aca="false">IFERROR(F40/F$49,0)</f>
        <v>6.74832135506293E-005</v>
      </c>
      <c r="H40" s="28" t="n">
        <f aca="false">F40*E40</f>
        <v>220000</v>
      </c>
      <c r="I40" s="31" t="n">
        <f aca="false">IFERROR(H40/H$49,0)</f>
        <v>0.00215293258776625</v>
      </c>
      <c r="J40" s="29" t="n">
        <v>10</v>
      </c>
      <c r="K40" s="31" t="n">
        <f aca="false">IFERROR(F40/J40,0)</f>
        <v>1</v>
      </c>
      <c r="L40" s="28" t="n">
        <v>27500</v>
      </c>
      <c r="M40" s="29" t="n">
        <v>3</v>
      </c>
      <c r="N40" s="31" t="n">
        <f aca="false">IFERROR(M40/M$49,0)</f>
        <v>5.11945392491468E-005</v>
      </c>
      <c r="O40" s="28" t="n">
        <f aca="false">M40*L40</f>
        <v>82500</v>
      </c>
      <c r="P40" s="31" t="n">
        <f aca="false">IFERROR(O40/O$49,0)</f>
        <v>0.00198892949787365</v>
      </c>
      <c r="Q40" s="29" t="n">
        <v>3</v>
      </c>
      <c r="R40" s="31" t="n">
        <f aca="false">IFERROR(M40/Q40,0)</f>
        <v>1</v>
      </c>
      <c r="S40" s="28" t="n">
        <v>27500</v>
      </c>
      <c r="T40" s="29" t="n">
        <v>3</v>
      </c>
      <c r="U40" s="31" t="n">
        <f aca="false">IFERROR(T40/T$49,0)</f>
        <v>6.68583272046533E-005</v>
      </c>
      <c r="V40" s="28" t="n">
        <f aca="false">T40*S40</f>
        <v>82500</v>
      </c>
      <c r="W40" s="31" t="n">
        <f aca="false">IFERROR(V40/V$49,0)</f>
        <v>0.0026589915814715</v>
      </c>
      <c r="X40" s="29" t="n">
        <v>3</v>
      </c>
      <c r="Y40" s="31" t="n">
        <f aca="false">IFERROR(T40/X40,0)</f>
        <v>1</v>
      </c>
      <c r="Z40" s="28" t="n">
        <v>27500</v>
      </c>
      <c r="AA40" s="29" t="n">
        <v>3</v>
      </c>
      <c r="AB40" s="31" t="n">
        <f aca="false">IFERROR(AA40/AA$49,0)</f>
        <v>4.7066206463759E-005</v>
      </c>
      <c r="AC40" s="28" t="n">
        <f aca="false">AA40*Z40</f>
        <v>82500</v>
      </c>
      <c r="AD40" s="31" t="n">
        <f aca="false">IFERROR(AC40/AC$49,0)</f>
        <v>0.00181288400179311</v>
      </c>
      <c r="AE40" s="29" t="n">
        <v>3</v>
      </c>
      <c r="AF40" s="31" t="n">
        <f aca="false">IFERROR(AA40/AE40,0)</f>
        <v>1</v>
      </c>
      <c r="AG40" s="28" t="n">
        <v>27500</v>
      </c>
      <c r="AH40" s="29" t="n">
        <v>1</v>
      </c>
      <c r="AI40" s="31" t="n">
        <f aca="false">IFERROR(AH40/AH$49,0)</f>
        <v>0.00023872045834328</v>
      </c>
      <c r="AJ40" s="28" t="n">
        <f aca="false">AH40*AG40</f>
        <v>27500</v>
      </c>
      <c r="AK40" s="31" t="n">
        <f aca="false">IFERROR(AJ40/AJ$49,0)</f>
        <v>0.00828512894673415</v>
      </c>
      <c r="AL40" s="29" t="n">
        <v>2</v>
      </c>
      <c r="AM40" s="31" t="n">
        <f aca="false">IFERROR(AH40/AL40,0)</f>
        <v>0.5</v>
      </c>
      <c r="AN40" s="30" t="n">
        <f aca="false">①札幌予測確定!O40</f>
        <v>1.01207300772946</v>
      </c>
      <c r="AO40" s="29" t="n">
        <f aca="false">①札幌予測確定!P40</f>
        <v>1</v>
      </c>
      <c r="AP40" s="28" t="n">
        <f aca="false">①札幌予測確定!Q40</f>
        <v>27500</v>
      </c>
      <c r="AQ40" s="31" t="n">
        <f aca="false">①札幌予測確定!T40</f>
        <v>0.5</v>
      </c>
      <c r="AR40" s="29" t="n">
        <f aca="false">①札幌予測確定!U40</f>
        <v>1</v>
      </c>
      <c r="AS40" s="29" t="n">
        <f aca="false">③石川以降予測!N58</f>
        <v>7</v>
      </c>
      <c r="AT40" s="29" t="n">
        <f aca="false">③石川以降予測!O58</f>
        <v>1</v>
      </c>
      <c r="AU40" s="32" t="n">
        <f aca="false">③石川以降予測!Q58</f>
        <v>6</v>
      </c>
      <c r="AV40" s="29" t="n">
        <f aca="false">③石川以降予測!R58</f>
        <v>6</v>
      </c>
      <c r="AW40" s="26" t="str">
        <f aca="false">④追加発注判定!J40</f>
        <v>適正</v>
      </c>
      <c r="AX40" s="26" t="str">
        <f aca="false">④追加発注判定!P40</f>
        <v>要 追加生産</v>
      </c>
      <c r="AY40" s="29" t="n">
        <f aca="false">④追加発注判定!R40</f>
        <v>7</v>
      </c>
      <c r="AZ40" s="26" t="str">
        <f aca="false">④追加発注判定!T40</f>
        <v>C:通常</v>
      </c>
    </row>
    <row r="41" customFormat="false" ht="15" hidden="false" customHeight="false" outlineLevel="0" collapsed="false">
      <c r="A41" s="26" t="n">
        <v>35</v>
      </c>
      <c r="B41" s="26" t="s">
        <v>248</v>
      </c>
      <c r="C41" s="27" t="s">
        <v>249</v>
      </c>
      <c r="D41" s="28" t="n">
        <v>27500</v>
      </c>
      <c r="E41" s="28" t="n">
        <v>22000</v>
      </c>
      <c r="F41" s="29" t="n">
        <v>10</v>
      </c>
      <c r="G41" s="31" t="n">
        <f aca="false">IFERROR(F41/F$49,0)</f>
        <v>6.74832135506293E-005</v>
      </c>
      <c r="H41" s="28" t="n">
        <f aca="false">F41*E41</f>
        <v>220000</v>
      </c>
      <c r="I41" s="31" t="n">
        <f aca="false">IFERROR(H41/H$49,0)</f>
        <v>0.00215293258776625</v>
      </c>
      <c r="J41" s="29" t="n">
        <v>10</v>
      </c>
      <c r="K41" s="31" t="n">
        <f aca="false">IFERROR(F41/J41,0)</f>
        <v>1</v>
      </c>
      <c r="L41" s="28" t="n">
        <v>27500</v>
      </c>
      <c r="M41" s="29" t="n">
        <v>3</v>
      </c>
      <c r="N41" s="31" t="n">
        <f aca="false">IFERROR(M41/M$49,0)</f>
        <v>5.11945392491468E-005</v>
      </c>
      <c r="O41" s="28" t="n">
        <f aca="false">M41*L41</f>
        <v>82500</v>
      </c>
      <c r="P41" s="31" t="n">
        <f aca="false">IFERROR(O41/O$49,0)</f>
        <v>0.00198892949787365</v>
      </c>
      <c r="Q41" s="29" t="n">
        <v>3</v>
      </c>
      <c r="R41" s="31" t="n">
        <f aca="false">IFERROR(M41/Q41,0)</f>
        <v>1</v>
      </c>
      <c r="S41" s="28" t="n">
        <v>27500</v>
      </c>
      <c r="T41" s="29" t="n">
        <v>3</v>
      </c>
      <c r="U41" s="31" t="n">
        <f aca="false">IFERROR(T41/T$49,0)</f>
        <v>6.68583272046533E-005</v>
      </c>
      <c r="V41" s="28" t="n">
        <f aca="false">T41*S41</f>
        <v>82500</v>
      </c>
      <c r="W41" s="31" t="n">
        <f aca="false">IFERROR(V41/V$49,0)</f>
        <v>0.0026589915814715</v>
      </c>
      <c r="X41" s="29" t="n">
        <v>3</v>
      </c>
      <c r="Y41" s="31" t="n">
        <f aca="false">IFERROR(T41/X41,0)</f>
        <v>1</v>
      </c>
      <c r="Z41" s="28" t="n">
        <v>27500</v>
      </c>
      <c r="AA41" s="29" t="n">
        <v>3</v>
      </c>
      <c r="AB41" s="31" t="n">
        <f aca="false">IFERROR(AA41/AA$49,0)</f>
        <v>4.7066206463759E-005</v>
      </c>
      <c r="AC41" s="28" t="n">
        <f aca="false">AA41*Z41</f>
        <v>82500</v>
      </c>
      <c r="AD41" s="31" t="n">
        <f aca="false">IFERROR(AC41/AC$49,0)</f>
        <v>0.00181288400179311</v>
      </c>
      <c r="AE41" s="29" t="n">
        <v>3</v>
      </c>
      <c r="AF41" s="31" t="n">
        <f aca="false">IFERROR(AA41/AE41,0)</f>
        <v>1</v>
      </c>
      <c r="AG41" s="28" t="n">
        <v>27500</v>
      </c>
      <c r="AH41" s="29" t="n">
        <v>0</v>
      </c>
      <c r="AI41" s="31" t="n">
        <f aca="false">IFERROR(AH41/AH$49,0)</f>
        <v>0</v>
      </c>
      <c r="AJ41" s="28" t="n">
        <f aca="false">AH41*AG41</f>
        <v>0</v>
      </c>
      <c r="AK41" s="31" t="n">
        <f aca="false">IFERROR(AJ41/AJ$49,0)</f>
        <v>0</v>
      </c>
      <c r="AL41" s="29" t="n">
        <v>2</v>
      </c>
      <c r="AM41" s="31" t="n">
        <f aca="false">IFERROR(AH41/AL41,0)</f>
        <v>0</v>
      </c>
      <c r="AN41" s="30" t="n">
        <f aca="false">①札幌予測確定!O41</f>
        <v>1.01207300772946</v>
      </c>
      <c r="AO41" s="29" t="n">
        <f aca="false">①札幌予測確定!P41</f>
        <v>0</v>
      </c>
      <c r="AP41" s="28" t="n">
        <f aca="false">①札幌予測確定!Q41</f>
        <v>0</v>
      </c>
      <c r="AQ41" s="31" t="n">
        <f aca="false">①札幌予測確定!T41</f>
        <v>0</v>
      </c>
      <c r="AR41" s="29" t="n">
        <f aca="false">①札幌予測確定!U41</f>
        <v>2</v>
      </c>
      <c r="AS41" s="29" t="n">
        <f aca="false">③石川以降予測!N59</f>
        <v>1</v>
      </c>
      <c r="AT41" s="29" t="n">
        <f aca="false">③石川以降予測!O59</f>
        <v>2</v>
      </c>
      <c r="AU41" s="32" t="n">
        <f aca="false">③石川以降予測!Q59</f>
        <v>-1</v>
      </c>
      <c r="AV41" s="29" t="n">
        <f aca="false">③石川以降予測!R59</f>
        <v>0</v>
      </c>
      <c r="AW41" s="26" t="str">
        <f aca="false">④追加発注判定!J41</f>
        <v>在庫余剰</v>
      </c>
      <c r="AX41" s="26" t="str">
        <f aca="false">④追加発注判定!P41</f>
        <v>在庫で充足</v>
      </c>
      <c r="AY41" s="29" t="n">
        <f aca="false">④追加発注判定!R41</f>
        <v>0</v>
      </c>
      <c r="AZ41" s="26" t="str">
        <f aca="false">④追加発注判定!T41</f>
        <v>D:不要</v>
      </c>
    </row>
    <row r="42" customFormat="false" ht="15" hidden="false" customHeight="false" outlineLevel="0" collapsed="false">
      <c r="A42" s="26" t="n">
        <v>36</v>
      </c>
      <c r="B42" s="26" t="s">
        <v>250</v>
      </c>
      <c r="C42" s="27" t="s">
        <v>251</v>
      </c>
      <c r="D42" s="28" t="n">
        <v>27500</v>
      </c>
      <c r="E42" s="28" t="n">
        <v>22000</v>
      </c>
      <c r="F42" s="29" t="n">
        <v>8</v>
      </c>
      <c r="G42" s="31" t="n">
        <f aca="false">IFERROR(F42/F$49,0)</f>
        <v>5.39865708405034E-005</v>
      </c>
      <c r="H42" s="28" t="n">
        <f aca="false">F42*E42</f>
        <v>176000</v>
      </c>
      <c r="I42" s="31" t="n">
        <f aca="false">IFERROR(H42/H$49,0)</f>
        <v>0.001722346070213</v>
      </c>
      <c r="J42" s="29" t="n">
        <v>8</v>
      </c>
      <c r="K42" s="31" t="n">
        <f aca="false">IFERROR(F42/J42,0)</f>
        <v>1</v>
      </c>
      <c r="L42" s="28" t="n">
        <v>27500</v>
      </c>
      <c r="M42" s="29" t="n">
        <v>3</v>
      </c>
      <c r="N42" s="31" t="n">
        <f aca="false">IFERROR(M42/M$49,0)</f>
        <v>5.11945392491468E-005</v>
      </c>
      <c r="O42" s="28" t="n">
        <f aca="false">M42*L42</f>
        <v>82500</v>
      </c>
      <c r="P42" s="31" t="n">
        <f aca="false">IFERROR(O42/O$49,0)</f>
        <v>0.00198892949787365</v>
      </c>
      <c r="Q42" s="29" t="n">
        <v>3</v>
      </c>
      <c r="R42" s="31" t="n">
        <f aca="false">IFERROR(M42/Q42,0)</f>
        <v>1</v>
      </c>
      <c r="S42" s="28" t="n">
        <v>27500</v>
      </c>
      <c r="T42" s="29" t="n">
        <v>3</v>
      </c>
      <c r="U42" s="31" t="n">
        <f aca="false">IFERROR(T42/T$49,0)</f>
        <v>6.68583272046533E-005</v>
      </c>
      <c r="V42" s="28" t="n">
        <f aca="false">T42*S42</f>
        <v>82500</v>
      </c>
      <c r="W42" s="31" t="n">
        <f aca="false">IFERROR(V42/V$49,0)</f>
        <v>0.0026589915814715</v>
      </c>
      <c r="X42" s="29" t="n">
        <v>3</v>
      </c>
      <c r="Y42" s="31" t="n">
        <f aca="false">IFERROR(T42/X42,0)</f>
        <v>1</v>
      </c>
      <c r="Z42" s="28" t="n">
        <v>27500</v>
      </c>
      <c r="AA42" s="29" t="n">
        <v>3</v>
      </c>
      <c r="AB42" s="31" t="n">
        <f aca="false">IFERROR(AA42/AA$49,0)</f>
        <v>4.7066206463759E-005</v>
      </c>
      <c r="AC42" s="28" t="n">
        <f aca="false">AA42*Z42</f>
        <v>82500</v>
      </c>
      <c r="AD42" s="31" t="n">
        <f aca="false">IFERROR(AC42/AC$49,0)</f>
        <v>0.00181288400179311</v>
      </c>
      <c r="AE42" s="29" t="n">
        <v>3</v>
      </c>
      <c r="AF42" s="31" t="n">
        <f aca="false">IFERROR(AA42/AE42,0)</f>
        <v>1</v>
      </c>
      <c r="AG42" s="28" t="n">
        <v>27500</v>
      </c>
      <c r="AH42" s="29" t="n">
        <v>0</v>
      </c>
      <c r="AI42" s="31" t="n">
        <f aca="false">IFERROR(AH42/AH$49,0)</f>
        <v>0</v>
      </c>
      <c r="AJ42" s="28" t="n">
        <f aca="false">AH42*AG42</f>
        <v>0</v>
      </c>
      <c r="AK42" s="31" t="n">
        <f aca="false">IFERROR(AJ42/AJ$49,0)</f>
        <v>0</v>
      </c>
      <c r="AL42" s="29" t="n">
        <v>2</v>
      </c>
      <c r="AM42" s="31" t="n">
        <f aca="false">IFERROR(AH42/AL42,0)</f>
        <v>0</v>
      </c>
      <c r="AN42" s="30" t="n">
        <f aca="false">①札幌予測確定!O42</f>
        <v>1.01207300772946</v>
      </c>
      <c r="AO42" s="29" t="n">
        <f aca="false">①札幌予測確定!P42</f>
        <v>0</v>
      </c>
      <c r="AP42" s="28" t="n">
        <f aca="false">①札幌予測確定!Q42</f>
        <v>0</v>
      </c>
      <c r="AQ42" s="31" t="n">
        <f aca="false">①札幌予測確定!T42</f>
        <v>0</v>
      </c>
      <c r="AR42" s="29" t="n">
        <f aca="false">①札幌予測確定!U42</f>
        <v>2</v>
      </c>
      <c r="AS42" s="29" t="n">
        <f aca="false">③石川以降予測!N60</f>
        <v>1</v>
      </c>
      <c r="AT42" s="29" t="n">
        <f aca="false">③石川以降予測!O60</f>
        <v>2</v>
      </c>
      <c r="AU42" s="32" t="n">
        <f aca="false">③石川以降予測!Q60</f>
        <v>-1</v>
      </c>
      <c r="AV42" s="29" t="n">
        <f aca="false">③石川以降予測!R60</f>
        <v>0</v>
      </c>
      <c r="AW42" s="26" t="str">
        <f aca="false">④追加発注判定!J42</f>
        <v>在庫余剰</v>
      </c>
      <c r="AX42" s="26" t="str">
        <f aca="false">④追加発注判定!P42</f>
        <v>在庫で充足</v>
      </c>
      <c r="AY42" s="29" t="n">
        <f aca="false">④追加発注判定!R42</f>
        <v>0</v>
      </c>
      <c r="AZ42" s="26" t="str">
        <f aca="false">④追加発注判定!T42</f>
        <v>D:不要</v>
      </c>
    </row>
    <row r="43" customFormat="false" ht="15" hidden="false" customHeight="false" outlineLevel="0" collapsed="false">
      <c r="A43" s="26" t="n">
        <v>37</v>
      </c>
      <c r="B43" s="26" t="s">
        <v>252</v>
      </c>
      <c r="C43" s="27" t="s">
        <v>253</v>
      </c>
      <c r="D43" s="28" t="n">
        <v>27500</v>
      </c>
      <c r="E43" s="28" t="n">
        <v>22000</v>
      </c>
      <c r="F43" s="29" t="n">
        <v>10</v>
      </c>
      <c r="G43" s="31" t="n">
        <f aca="false">IFERROR(F43/F$49,0)</f>
        <v>6.74832135506293E-005</v>
      </c>
      <c r="H43" s="28" t="n">
        <f aca="false">F43*E43</f>
        <v>220000</v>
      </c>
      <c r="I43" s="31" t="n">
        <f aca="false">IFERROR(H43/H$49,0)</f>
        <v>0.00215293258776625</v>
      </c>
      <c r="J43" s="29" t="n">
        <v>10</v>
      </c>
      <c r="K43" s="31" t="n">
        <f aca="false">IFERROR(F43/J43,0)</f>
        <v>1</v>
      </c>
      <c r="L43" s="28" t="n">
        <v>27500</v>
      </c>
      <c r="M43" s="29" t="n">
        <v>19</v>
      </c>
      <c r="N43" s="31" t="n">
        <f aca="false">IFERROR(M43/M$49,0)</f>
        <v>0.000324232081911263</v>
      </c>
      <c r="O43" s="28" t="n">
        <f aca="false">M43*L43</f>
        <v>522500</v>
      </c>
      <c r="P43" s="31" t="n">
        <f aca="false">IFERROR(O43/O$49,0)</f>
        <v>0.0125965534865331</v>
      </c>
      <c r="Q43" s="29" t="n">
        <v>20</v>
      </c>
      <c r="R43" s="31" t="n">
        <f aca="false">IFERROR(M43/Q43,0)</f>
        <v>0.95</v>
      </c>
      <c r="S43" s="28" t="n">
        <v>27500</v>
      </c>
      <c r="T43" s="29" t="n">
        <v>12</v>
      </c>
      <c r="U43" s="31" t="n">
        <f aca="false">IFERROR(T43/T$49,0)</f>
        <v>0.000267433308818613</v>
      </c>
      <c r="V43" s="28" t="n">
        <f aca="false">T43*S43</f>
        <v>330000</v>
      </c>
      <c r="W43" s="31" t="n">
        <f aca="false">IFERROR(V43/V$49,0)</f>
        <v>0.010635966325886</v>
      </c>
      <c r="X43" s="29" t="n">
        <v>15</v>
      </c>
      <c r="Y43" s="31" t="n">
        <f aca="false">IFERROR(T43/X43,0)</f>
        <v>0.8</v>
      </c>
      <c r="Z43" s="28" t="n">
        <v>27500</v>
      </c>
      <c r="AA43" s="29" t="n">
        <v>26</v>
      </c>
      <c r="AB43" s="31" t="n">
        <f aca="false">IFERROR(AA43/AA$49,0)</f>
        <v>0.000407907122685912</v>
      </c>
      <c r="AC43" s="28" t="n">
        <f aca="false">AA43*Z43</f>
        <v>715000</v>
      </c>
      <c r="AD43" s="31" t="n">
        <f aca="false">IFERROR(AC43/AC$49,0)</f>
        <v>0.0157116613488736</v>
      </c>
      <c r="AE43" s="29" t="n">
        <v>28</v>
      </c>
      <c r="AF43" s="31" t="n">
        <f aca="false">IFERROR(AA43/AE43,0)</f>
        <v>0.928571428571429</v>
      </c>
      <c r="AG43" s="28" t="n">
        <v>27500</v>
      </c>
      <c r="AH43" s="29" t="n">
        <v>0</v>
      </c>
      <c r="AI43" s="31" t="n">
        <f aca="false">IFERROR(AH43/AH$49,0)</f>
        <v>0</v>
      </c>
      <c r="AJ43" s="28" t="n">
        <f aca="false">AH43*AG43</f>
        <v>0</v>
      </c>
      <c r="AK43" s="31" t="n">
        <f aca="false">IFERROR(AJ43/AJ$49,0)</f>
        <v>0</v>
      </c>
      <c r="AL43" s="29" t="n">
        <v>8</v>
      </c>
      <c r="AM43" s="31" t="n">
        <f aca="false">IFERROR(AH43/AL43,0)</f>
        <v>0</v>
      </c>
      <c r="AN43" s="30" t="n">
        <f aca="false">①札幌予測確定!O43</f>
        <v>1.94433822547209</v>
      </c>
      <c r="AO43" s="29" t="n">
        <f aca="false">①札幌予測確定!P43</f>
        <v>0</v>
      </c>
      <c r="AP43" s="28" t="n">
        <f aca="false">①札幌予測確定!Q43</f>
        <v>0</v>
      </c>
      <c r="AQ43" s="31" t="n">
        <f aca="false">①札幌予測確定!T43</f>
        <v>0</v>
      </c>
      <c r="AR43" s="29" t="n">
        <f aca="false">①札幌予測確定!U43</f>
        <v>8</v>
      </c>
      <c r="AS43" s="29" t="n">
        <f aca="false">③石川以降予測!N61</f>
        <v>17</v>
      </c>
      <c r="AT43" s="29" t="n">
        <f aca="false">③石川以降予測!O61</f>
        <v>8</v>
      </c>
      <c r="AU43" s="32" t="n">
        <f aca="false">③石川以降予測!Q61</f>
        <v>9</v>
      </c>
      <c r="AV43" s="29" t="n">
        <f aca="false">③石川以降予測!R61</f>
        <v>9</v>
      </c>
      <c r="AW43" s="26" t="str">
        <f aca="false">④追加発注判定!J43</f>
        <v>在庫余剰</v>
      </c>
      <c r="AX43" s="26" t="str">
        <f aca="false">④追加発注判定!P43</f>
        <v>要 追加生産</v>
      </c>
      <c r="AY43" s="29" t="n">
        <f aca="false">④追加発注判定!R43</f>
        <v>10</v>
      </c>
      <c r="AZ43" s="26" t="str">
        <f aca="false">④追加発注判定!T43</f>
        <v>C:通常</v>
      </c>
    </row>
    <row r="44" customFormat="false" ht="15" hidden="false" customHeight="false" outlineLevel="0" collapsed="false">
      <c r="A44" s="26" t="n">
        <v>38</v>
      </c>
      <c r="B44" s="26" t="s">
        <v>254</v>
      </c>
      <c r="C44" s="27" t="s">
        <v>255</v>
      </c>
      <c r="D44" s="28" t="n">
        <v>27500</v>
      </c>
      <c r="E44" s="28" t="n">
        <v>22000</v>
      </c>
      <c r="F44" s="29" t="n">
        <v>10</v>
      </c>
      <c r="G44" s="31" t="n">
        <f aca="false">IFERROR(F44/F$49,0)</f>
        <v>6.74832135506293E-005</v>
      </c>
      <c r="H44" s="28" t="n">
        <f aca="false">F44*E44</f>
        <v>220000</v>
      </c>
      <c r="I44" s="31" t="n">
        <f aca="false">IFERROR(H44/H$49,0)</f>
        <v>0.00215293258776625</v>
      </c>
      <c r="J44" s="29" t="n">
        <v>10</v>
      </c>
      <c r="K44" s="31" t="n">
        <f aca="false">IFERROR(F44/J44,0)</f>
        <v>1</v>
      </c>
      <c r="L44" s="28" t="n">
        <v>27500</v>
      </c>
      <c r="M44" s="29" t="n">
        <v>3</v>
      </c>
      <c r="N44" s="31" t="n">
        <f aca="false">IFERROR(M44/M$49,0)</f>
        <v>5.11945392491468E-005</v>
      </c>
      <c r="O44" s="28" t="n">
        <f aca="false">M44*L44</f>
        <v>82500</v>
      </c>
      <c r="P44" s="31" t="n">
        <f aca="false">IFERROR(O44/O$49,0)</f>
        <v>0.00198892949787365</v>
      </c>
      <c r="Q44" s="29" t="n">
        <v>3</v>
      </c>
      <c r="R44" s="31" t="n">
        <f aca="false">IFERROR(M44/Q44,0)</f>
        <v>1</v>
      </c>
      <c r="S44" s="28" t="n">
        <v>27500</v>
      </c>
      <c r="T44" s="29" t="n">
        <v>3</v>
      </c>
      <c r="U44" s="31" t="n">
        <f aca="false">IFERROR(T44/T$49,0)</f>
        <v>6.68583272046533E-005</v>
      </c>
      <c r="V44" s="28" t="n">
        <f aca="false">T44*S44</f>
        <v>82500</v>
      </c>
      <c r="W44" s="31" t="n">
        <f aca="false">IFERROR(V44/V$49,0)</f>
        <v>0.0026589915814715</v>
      </c>
      <c r="X44" s="29" t="n">
        <v>3</v>
      </c>
      <c r="Y44" s="31" t="n">
        <f aca="false">IFERROR(T44/X44,0)</f>
        <v>1</v>
      </c>
      <c r="Z44" s="28" t="n">
        <v>27500</v>
      </c>
      <c r="AA44" s="29" t="n">
        <v>3</v>
      </c>
      <c r="AB44" s="31" t="n">
        <f aca="false">IFERROR(AA44/AA$49,0)</f>
        <v>4.7066206463759E-005</v>
      </c>
      <c r="AC44" s="28" t="n">
        <f aca="false">AA44*Z44</f>
        <v>82500</v>
      </c>
      <c r="AD44" s="31" t="n">
        <f aca="false">IFERROR(AC44/AC$49,0)</f>
        <v>0.00181288400179311</v>
      </c>
      <c r="AE44" s="29" t="n">
        <v>3</v>
      </c>
      <c r="AF44" s="31" t="n">
        <f aca="false">IFERROR(AA44/AE44,0)</f>
        <v>1</v>
      </c>
      <c r="AG44" s="28" t="n">
        <v>27500</v>
      </c>
      <c r="AH44" s="29" t="n">
        <v>1</v>
      </c>
      <c r="AI44" s="31" t="n">
        <f aca="false">IFERROR(AH44/AH$49,0)</f>
        <v>0.00023872045834328</v>
      </c>
      <c r="AJ44" s="28" t="n">
        <f aca="false">AH44*AG44</f>
        <v>27500</v>
      </c>
      <c r="AK44" s="31" t="n">
        <f aca="false">IFERROR(AJ44/AJ$49,0)</f>
        <v>0.00828512894673415</v>
      </c>
      <c r="AL44" s="29" t="n">
        <v>2</v>
      </c>
      <c r="AM44" s="31" t="n">
        <f aca="false">IFERROR(AH44/AL44,0)</f>
        <v>0.5</v>
      </c>
      <c r="AN44" s="30" t="n">
        <f aca="false">①札幌予測確定!O44</f>
        <v>1.01207300772946</v>
      </c>
      <c r="AO44" s="29" t="n">
        <f aca="false">①札幌予測確定!P44</f>
        <v>1</v>
      </c>
      <c r="AP44" s="28" t="n">
        <f aca="false">①札幌予測確定!Q44</f>
        <v>27500</v>
      </c>
      <c r="AQ44" s="31" t="n">
        <f aca="false">①札幌予測確定!T44</f>
        <v>0.5</v>
      </c>
      <c r="AR44" s="29" t="n">
        <f aca="false">①札幌予測確定!U44</f>
        <v>1</v>
      </c>
      <c r="AS44" s="29" t="n">
        <f aca="false">③石川以降予測!N62</f>
        <v>7</v>
      </c>
      <c r="AT44" s="29" t="n">
        <f aca="false">③石川以降予測!O62</f>
        <v>1</v>
      </c>
      <c r="AU44" s="32" t="n">
        <f aca="false">③石川以降予測!Q62</f>
        <v>6</v>
      </c>
      <c r="AV44" s="29" t="n">
        <f aca="false">③石川以降予測!R62</f>
        <v>6</v>
      </c>
      <c r="AW44" s="26" t="str">
        <f aca="false">④追加発注判定!J44</f>
        <v>適正</v>
      </c>
      <c r="AX44" s="26" t="str">
        <f aca="false">④追加発注判定!P44</f>
        <v>要 追加生産</v>
      </c>
      <c r="AY44" s="29" t="n">
        <f aca="false">④追加発注判定!R44</f>
        <v>7</v>
      </c>
      <c r="AZ44" s="26" t="str">
        <f aca="false">④追加発注判定!T44</f>
        <v>C:通常</v>
      </c>
    </row>
    <row r="45" customFormat="false" ht="15" hidden="false" customHeight="false" outlineLevel="0" collapsed="false">
      <c r="A45" s="26" t="n">
        <v>39</v>
      </c>
      <c r="B45" s="26" t="s">
        <v>256</v>
      </c>
      <c r="C45" s="27" t="s">
        <v>257</v>
      </c>
      <c r="D45" s="28" t="n">
        <v>27500</v>
      </c>
      <c r="E45" s="28" t="n">
        <v>22000</v>
      </c>
      <c r="F45" s="29" t="n">
        <v>10</v>
      </c>
      <c r="G45" s="31" t="n">
        <f aca="false">IFERROR(F45/F$49,0)</f>
        <v>6.74832135506293E-005</v>
      </c>
      <c r="H45" s="28" t="n">
        <f aca="false">F45*E45</f>
        <v>220000</v>
      </c>
      <c r="I45" s="31" t="n">
        <f aca="false">IFERROR(H45/H$49,0)</f>
        <v>0.00215293258776625</v>
      </c>
      <c r="J45" s="29" t="n">
        <v>10</v>
      </c>
      <c r="K45" s="31" t="n">
        <f aca="false">IFERROR(F45/J45,0)</f>
        <v>1</v>
      </c>
      <c r="L45" s="28" t="n">
        <v>27500</v>
      </c>
      <c r="M45" s="29" t="n">
        <v>3</v>
      </c>
      <c r="N45" s="31" t="n">
        <f aca="false">IFERROR(M45/M$49,0)</f>
        <v>5.11945392491468E-005</v>
      </c>
      <c r="O45" s="28" t="n">
        <f aca="false">M45*L45</f>
        <v>82500</v>
      </c>
      <c r="P45" s="31" t="n">
        <f aca="false">IFERROR(O45/O$49,0)</f>
        <v>0.00198892949787365</v>
      </c>
      <c r="Q45" s="29" t="n">
        <v>3</v>
      </c>
      <c r="R45" s="31" t="n">
        <f aca="false">IFERROR(M45/Q45,0)</f>
        <v>1</v>
      </c>
      <c r="S45" s="28" t="n">
        <v>27500</v>
      </c>
      <c r="T45" s="29" t="n">
        <v>2</v>
      </c>
      <c r="U45" s="31" t="n">
        <f aca="false">IFERROR(T45/T$49,0)</f>
        <v>4.45722181364356E-005</v>
      </c>
      <c r="V45" s="28" t="n">
        <f aca="false">T45*S45</f>
        <v>55000</v>
      </c>
      <c r="W45" s="31" t="n">
        <f aca="false">IFERROR(V45/V$49,0)</f>
        <v>0.00177266105431433</v>
      </c>
      <c r="X45" s="29" t="n">
        <v>2</v>
      </c>
      <c r="Y45" s="31" t="n">
        <f aca="false">IFERROR(T45/X45,0)</f>
        <v>1</v>
      </c>
      <c r="Z45" s="28" t="n">
        <v>27500</v>
      </c>
      <c r="AA45" s="29" t="n">
        <v>3</v>
      </c>
      <c r="AB45" s="31" t="n">
        <f aca="false">IFERROR(AA45/AA$49,0)</f>
        <v>4.7066206463759E-005</v>
      </c>
      <c r="AC45" s="28" t="n">
        <f aca="false">AA45*Z45</f>
        <v>82500</v>
      </c>
      <c r="AD45" s="31" t="n">
        <f aca="false">IFERROR(AC45/AC$49,0)</f>
        <v>0.00181288400179311</v>
      </c>
      <c r="AE45" s="29" t="n">
        <v>3</v>
      </c>
      <c r="AF45" s="31" t="n">
        <f aca="false">IFERROR(AA45/AE45,0)</f>
        <v>1</v>
      </c>
      <c r="AG45" s="28" t="n">
        <v>27500</v>
      </c>
      <c r="AH45" s="29" t="n">
        <v>1</v>
      </c>
      <c r="AI45" s="31" t="n">
        <f aca="false">IFERROR(AH45/AH$49,0)</f>
        <v>0.00023872045834328</v>
      </c>
      <c r="AJ45" s="28" t="n">
        <f aca="false">AH45*AG45</f>
        <v>27500</v>
      </c>
      <c r="AK45" s="31" t="n">
        <f aca="false">IFERROR(AJ45/AJ$49,0)</f>
        <v>0.00828512894673415</v>
      </c>
      <c r="AL45" s="29" t="n">
        <v>2</v>
      </c>
      <c r="AM45" s="31" t="n">
        <f aca="false">IFERROR(AH45/AL45,0)</f>
        <v>0.5</v>
      </c>
      <c r="AN45" s="30" t="n">
        <f aca="false">①札幌予測確定!O45</f>
        <v>1.01207300772946</v>
      </c>
      <c r="AO45" s="29" t="n">
        <f aca="false">①札幌予測確定!P45</f>
        <v>1</v>
      </c>
      <c r="AP45" s="28" t="n">
        <f aca="false">①札幌予測確定!Q45</f>
        <v>27500</v>
      </c>
      <c r="AQ45" s="31" t="n">
        <f aca="false">①札幌予測確定!T45</f>
        <v>0.5</v>
      </c>
      <c r="AR45" s="29" t="n">
        <f aca="false">①札幌予測確定!U45</f>
        <v>1</v>
      </c>
      <c r="AS45" s="29" t="n">
        <f aca="false">③石川以降予測!N63</f>
        <v>7</v>
      </c>
      <c r="AT45" s="29" t="n">
        <f aca="false">③石川以降予測!O63</f>
        <v>1</v>
      </c>
      <c r="AU45" s="32" t="n">
        <f aca="false">③石川以降予測!Q63</f>
        <v>6</v>
      </c>
      <c r="AV45" s="29" t="n">
        <f aca="false">③石川以降予測!R63</f>
        <v>6</v>
      </c>
      <c r="AW45" s="26" t="str">
        <f aca="false">④追加発注判定!J45</f>
        <v>適正</v>
      </c>
      <c r="AX45" s="26" t="str">
        <f aca="false">④追加発注判定!P45</f>
        <v>要 追加生産</v>
      </c>
      <c r="AY45" s="29" t="n">
        <f aca="false">④追加発注判定!R45</f>
        <v>7</v>
      </c>
      <c r="AZ45" s="26" t="str">
        <f aca="false">④追加発注判定!T45</f>
        <v>C:通常</v>
      </c>
    </row>
    <row r="46" customFormat="false" ht="15" hidden="false" customHeight="false" outlineLevel="0" collapsed="false">
      <c r="A46" s="26" t="n">
        <v>40</v>
      </c>
      <c r="B46" s="26" t="s">
        <v>258</v>
      </c>
      <c r="C46" s="27" t="s">
        <v>259</v>
      </c>
      <c r="D46" s="28" t="n">
        <v>27500</v>
      </c>
      <c r="E46" s="28" t="n">
        <v>22000</v>
      </c>
      <c r="F46" s="29" t="n">
        <v>8</v>
      </c>
      <c r="G46" s="31" t="n">
        <f aca="false">IFERROR(F46/F$49,0)</f>
        <v>5.39865708405034E-005</v>
      </c>
      <c r="H46" s="28" t="n">
        <f aca="false">F46*E46</f>
        <v>176000</v>
      </c>
      <c r="I46" s="31" t="n">
        <f aca="false">IFERROR(H46/H$49,0)</f>
        <v>0.001722346070213</v>
      </c>
      <c r="J46" s="29" t="n">
        <v>8</v>
      </c>
      <c r="K46" s="31" t="n">
        <f aca="false">IFERROR(F46/J46,0)</f>
        <v>1</v>
      </c>
      <c r="L46" s="28" t="n">
        <v>27500</v>
      </c>
      <c r="M46" s="29" t="n">
        <v>3</v>
      </c>
      <c r="N46" s="31" t="n">
        <f aca="false">IFERROR(M46/M$49,0)</f>
        <v>5.11945392491468E-005</v>
      </c>
      <c r="O46" s="28" t="n">
        <f aca="false">M46*L46</f>
        <v>82500</v>
      </c>
      <c r="P46" s="31" t="n">
        <f aca="false">IFERROR(O46/O$49,0)</f>
        <v>0.00198892949787365</v>
      </c>
      <c r="Q46" s="29" t="n">
        <v>3</v>
      </c>
      <c r="R46" s="31" t="n">
        <f aca="false">IFERROR(M46/Q46,0)</f>
        <v>1</v>
      </c>
      <c r="S46" s="28" t="n">
        <v>27500</v>
      </c>
      <c r="T46" s="29" t="n">
        <v>3</v>
      </c>
      <c r="U46" s="31" t="n">
        <f aca="false">IFERROR(T46/T$49,0)</f>
        <v>6.68583272046533E-005</v>
      </c>
      <c r="V46" s="28" t="n">
        <f aca="false">T46*S46</f>
        <v>82500</v>
      </c>
      <c r="W46" s="31" t="n">
        <f aca="false">IFERROR(V46/V$49,0)</f>
        <v>0.0026589915814715</v>
      </c>
      <c r="X46" s="29" t="n">
        <v>3</v>
      </c>
      <c r="Y46" s="31" t="n">
        <f aca="false">IFERROR(T46/X46,0)</f>
        <v>1</v>
      </c>
      <c r="Z46" s="28" t="n">
        <v>27500</v>
      </c>
      <c r="AA46" s="29" t="n">
        <v>3</v>
      </c>
      <c r="AB46" s="31" t="n">
        <f aca="false">IFERROR(AA46/AA$49,0)</f>
        <v>4.7066206463759E-005</v>
      </c>
      <c r="AC46" s="28" t="n">
        <f aca="false">AA46*Z46</f>
        <v>82500</v>
      </c>
      <c r="AD46" s="31" t="n">
        <f aca="false">IFERROR(AC46/AC$49,0)</f>
        <v>0.00181288400179311</v>
      </c>
      <c r="AE46" s="29" t="n">
        <v>3</v>
      </c>
      <c r="AF46" s="31" t="n">
        <f aca="false">IFERROR(AA46/AE46,0)</f>
        <v>1</v>
      </c>
      <c r="AG46" s="28" t="n">
        <v>27500</v>
      </c>
      <c r="AH46" s="29" t="n">
        <v>0</v>
      </c>
      <c r="AI46" s="31" t="n">
        <f aca="false">IFERROR(AH46/AH$49,0)</f>
        <v>0</v>
      </c>
      <c r="AJ46" s="28" t="n">
        <f aca="false">AH46*AG46</f>
        <v>0</v>
      </c>
      <c r="AK46" s="31" t="n">
        <f aca="false">IFERROR(AJ46/AJ$49,0)</f>
        <v>0</v>
      </c>
      <c r="AL46" s="29" t="n">
        <v>2</v>
      </c>
      <c r="AM46" s="31" t="n">
        <f aca="false">IFERROR(AH46/AL46,0)</f>
        <v>0</v>
      </c>
      <c r="AN46" s="30" t="n">
        <f aca="false">①札幌予測確定!O46</f>
        <v>1.01207300772946</v>
      </c>
      <c r="AO46" s="29" t="n">
        <f aca="false">①札幌予測確定!P46</f>
        <v>0</v>
      </c>
      <c r="AP46" s="28" t="n">
        <f aca="false">①札幌予測確定!Q46</f>
        <v>0</v>
      </c>
      <c r="AQ46" s="31" t="n">
        <f aca="false">①札幌予測確定!T46</f>
        <v>0</v>
      </c>
      <c r="AR46" s="29" t="n">
        <f aca="false">①札幌予測確定!U46</f>
        <v>2</v>
      </c>
      <c r="AS46" s="29" t="n">
        <f aca="false">③石川以降予測!N64</f>
        <v>1</v>
      </c>
      <c r="AT46" s="29" t="n">
        <f aca="false">③石川以降予測!O64</f>
        <v>2</v>
      </c>
      <c r="AU46" s="32" t="n">
        <f aca="false">③石川以降予測!Q64</f>
        <v>-1</v>
      </c>
      <c r="AV46" s="29" t="n">
        <f aca="false">③石川以降予測!R64</f>
        <v>0</v>
      </c>
      <c r="AW46" s="26" t="str">
        <f aca="false">④追加発注判定!J46</f>
        <v>在庫余剰</v>
      </c>
      <c r="AX46" s="26" t="str">
        <f aca="false">④追加発注判定!P46</f>
        <v>在庫で充足</v>
      </c>
      <c r="AY46" s="29" t="n">
        <f aca="false">④追加発注判定!R46</f>
        <v>0</v>
      </c>
      <c r="AZ46" s="26" t="str">
        <f aca="false">④追加発注判定!T46</f>
        <v>D:不要</v>
      </c>
    </row>
    <row r="47" customFormat="false" ht="15" hidden="false" customHeight="false" outlineLevel="0" collapsed="false">
      <c r="A47" s="26" t="n">
        <v>41</v>
      </c>
      <c r="B47" s="26" t="s">
        <v>260</v>
      </c>
      <c r="C47" s="27" t="s">
        <v>261</v>
      </c>
      <c r="D47" s="28" t="n">
        <v>25000</v>
      </c>
      <c r="E47" s="28" t="n">
        <v>25000</v>
      </c>
      <c r="F47" s="29" t="n">
        <v>12</v>
      </c>
      <c r="G47" s="31" t="n">
        <f aca="false">IFERROR(F47/F$49,0)</f>
        <v>8.09798562607551E-005</v>
      </c>
      <c r="H47" s="28" t="n">
        <f aca="false">F47*E47</f>
        <v>300000</v>
      </c>
      <c r="I47" s="31" t="n">
        <f aca="false">IFERROR(H47/H$49,0)</f>
        <v>0.0029358171651358</v>
      </c>
      <c r="J47" s="29" t="n">
        <v>38</v>
      </c>
      <c r="K47" s="31" t="n">
        <f aca="false">IFERROR(F47/J47,0)</f>
        <v>0.315789473684211</v>
      </c>
      <c r="L47" s="28" t="n">
        <v>25000</v>
      </c>
      <c r="M47" s="29" t="n">
        <v>5</v>
      </c>
      <c r="N47" s="31" t="n">
        <f aca="false">IFERROR(M47/M$49,0)</f>
        <v>8.53242320819113E-005</v>
      </c>
      <c r="O47" s="28" t="n">
        <f aca="false">M47*L47</f>
        <v>125000</v>
      </c>
      <c r="P47" s="31" t="n">
        <f aca="false">IFERROR(O47/O$49,0)</f>
        <v>0.00301352954223281</v>
      </c>
      <c r="Q47" s="29" t="n">
        <v>9.8</v>
      </c>
      <c r="R47" s="31" t="n">
        <f aca="false">IFERROR(M47/Q47,0)</f>
        <v>0.510204081632653</v>
      </c>
      <c r="S47" s="28" t="n">
        <v>25000</v>
      </c>
      <c r="T47" s="29" t="n">
        <v>1</v>
      </c>
      <c r="U47" s="31" t="n">
        <f aca="false">IFERROR(T47/T$49,0)</f>
        <v>2.22861090682178E-005</v>
      </c>
      <c r="V47" s="28" t="n">
        <f aca="false">T47*S47</f>
        <v>25000</v>
      </c>
      <c r="W47" s="31" t="n">
        <f aca="false">IFERROR(V47/V$49,0)</f>
        <v>0.000805755024688334</v>
      </c>
      <c r="X47" s="29" t="n">
        <v>5</v>
      </c>
      <c r="Y47" s="31" t="n">
        <f aca="false">IFERROR(T47/X47,0)</f>
        <v>0.2</v>
      </c>
      <c r="Z47" s="28" t="n">
        <v>25000</v>
      </c>
      <c r="AA47" s="29" t="n">
        <v>2</v>
      </c>
      <c r="AB47" s="31" t="n">
        <f aca="false">IFERROR(AA47/AA$49,0)</f>
        <v>3.13774709758394E-005</v>
      </c>
      <c r="AC47" s="28" t="n">
        <f aca="false">AA47*Z47</f>
        <v>50000</v>
      </c>
      <c r="AD47" s="31" t="n">
        <f aca="false">IFERROR(AC47/AC$49,0)</f>
        <v>0.00109871757684431</v>
      </c>
      <c r="AE47" s="29" t="n">
        <v>15</v>
      </c>
      <c r="AF47" s="31" t="n">
        <f aca="false">IFERROR(AA47/AE47,0)</f>
        <v>0.133333333333333</v>
      </c>
      <c r="AG47" s="28" t="n">
        <v>25000</v>
      </c>
      <c r="AH47" s="29" t="n">
        <v>0</v>
      </c>
      <c r="AI47" s="31" t="n">
        <f aca="false">IFERROR(AH47/AH$49,0)</f>
        <v>0</v>
      </c>
      <c r="AJ47" s="28" t="n">
        <f aca="false">AH47*AG47</f>
        <v>0</v>
      </c>
      <c r="AK47" s="31" t="n">
        <f aca="false">IFERROR(AJ47/AJ$49,0)</f>
        <v>0</v>
      </c>
      <c r="AL47" s="29" t="n">
        <v>4</v>
      </c>
      <c r="AM47" s="31" t="n">
        <f aca="false">IFERROR(AH47/AL47,0)</f>
        <v>0</v>
      </c>
      <c r="AN47" s="30" t="n">
        <f aca="false">①札幌予測確定!O47</f>
        <v>1.15518251932364</v>
      </c>
      <c r="AO47" s="29" t="n">
        <f aca="false">①札幌予測確定!P47</f>
        <v>0</v>
      </c>
      <c r="AP47" s="28" t="n">
        <f aca="false">①札幌予測確定!Q47</f>
        <v>0</v>
      </c>
      <c r="AQ47" s="31" t="n">
        <f aca="false">①札幌予測確定!T47</f>
        <v>0</v>
      </c>
      <c r="AR47" s="29" t="n">
        <f aca="false">①札幌予測確定!U47</f>
        <v>4</v>
      </c>
      <c r="AS47" s="29" t="n">
        <f aca="false">③石川以降予測!N65</f>
        <v>1</v>
      </c>
      <c r="AT47" s="29" t="n">
        <f aca="false">③石川以降予測!O65</f>
        <v>4</v>
      </c>
      <c r="AU47" s="32" t="n">
        <f aca="false">③石川以降予測!Q65</f>
        <v>-3</v>
      </c>
      <c r="AV47" s="29" t="n">
        <f aca="false">③石川以降予測!R65</f>
        <v>0</v>
      </c>
      <c r="AW47" s="26" t="str">
        <f aca="false">④追加発注判定!J47</f>
        <v>在庫余剰</v>
      </c>
      <c r="AX47" s="26" t="str">
        <f aca="false">④追加発注判定!P47</f>
        <v>在庫で充足</v>
      </c>
      <c r="AY47" s="29" t="n">
        <f aca="false">④追加発注判定!R47</f>
        <v>0</v>
      </c>
      <c r="AZ47" s="26" t="str">
        <f aca="false">④追加発注判定!T47</f>
        <v>D:不要</v>
      </c>
    </row>
    <row r="48" customFormat="false" ht="15" hidden="false" customHeight="false" outlineLevel="0" collapsed="false">
      <c r="A48" s="26" t="n">
        <v>42</v>
      </c>
      <c r="B48" s="26" t="s">
        <v>262</v>
      </c>
      <c r="C48" s="27" t="s">
        <v>263</v>
      </c>
      <c r="D48" s="28" t="n">
        <v>25000</v>
      </c>
      <c r="E48" s="28" t="n">
        <v>25000</v>
      </c>
      <c r="F48" s="29" t="n">
        <v>24</v>
      </c>
      <c r="G48" s="31" t="n">
        <f aca="false">IFERROR(F48/F$49,0)</f>
        <v>0.00016195971252151</v>
      </c>
      <c r="H48" s="28" t="n">
        <f aca="false">F48*E48</f>
        <v>600000</v>
      </c>
      <c r="I48" s="31" t="n">
        <f aca="false">IFERROR(H48/H$49,0)</f>
        <v>0.0058716343302716</v>
      </c>
      <c r="J48" s="29" t="n">
        <v>38</v>
      </c>
      <c r="K48" s="31" t="n">
        <f aca="false">IFERROR(F48/J48,0)</f>
        <v>0.631578947368421</v>
      </c>
      <c r="L48" s="28" t="n">
        <v>25000</v>
      </c>
      <c r="M48" s="29" t="n">
        <v>8</v>
      </c>
      <c r="N48" s="31" t="n">
        <f aca="false">IFERROR(M48/M$49,0)</f>
        <v>0.000136518771331058</v>
      </c>
      <c r="O48" s="28" t="n">
        <f aca="false">M48*L48</f>
        <v>200000</v>
      </c>
      <c r="P48" s="31" t="n">
        <f aca="false">IFERROR(O48/O$49,0)</f>
        <v>0.00482164726757249</v>
      </c>
      <c r="Q48" s="29" t="n">
        <v>9.6</v>
      </c>
      <c r="R48" s="31" t="n">
        <f aca="false">IFERROR(M48/Q48,0)</f>
        <v>0.833333333333333</v>
      </c>
      <c r="S48" s="28" t="n">
        <v>25000</v>
      </c>
      <c r="T48" s="29" t="n">
        <v>3</v>
      </c>
      <c r="U48" s="31" t="n">
        <f aca="false">IFERROR(T48/T$49,0)</f>
        <v>6.68583272046533E-005</v>
      </c>
      <c r="V48" s="28" t="n">
        <f aca="false">T48*S48</f>
        <v>75000</v>
      </c>
      <c r="W48" s="31" t="n">
        <f aca="false">IFERROR(V48/V$49,0)</f>
        <v>0.002417265074065</v>
      </c>
      <c r="X48" s="29" t="n">
        <v>5</v>
      </c>
      <c r="Y48" s="31" t="n">
        <f aca="false">IFERROR(T48/X48,0)</f>
        <v>0.6</v>
      </c>
      <c r="Z48" s="28" t="n">
        <v>25000</v>
      </c>
      <c r="AA48" s="29" t="n">
        <v>8</v>
      </c>
      <c r="AB48" s="31" t="n">
        <f aca="false">IFERROR(AA48/AA$49,0)</f>
        <v>0.000125509883903357</v>
      </c>
      <c r="AC48" s="28" t="n">
        <f aca="false">AA48*Z48</f>
        <v>200000</v>
      </c>
      <c r="AD48" s="31" t="n">
        <f aca="false">IFERROR(AC48/AC$49,0)</f>
        <v>0.00439487030737723</v>
      </c>
      <c r="AE48" s="29" t="n">
        <v>20</v>
      </c>
      <c r="AF48" s="31" t="n">
        <f aca="false">IFERROR(AA48/AE48,0)</f>
        <v>0.4</v>
      </c>
      <c r="AG48" s="28" t="n">
        <v>25000</v>
      </c>
      <c r="AH48" s="29" t="n">
        <v>1</v>
      </c>
      <c r="AI48" s="31" t="n">
        <f aca="false">IFERROR(AH48/AH$49,0)</f>
        <v>0.00023872045834328</v>
      </c>
      <c r="AJ48" s="28" t="n">
        <f aca="false">AH48*AG48</f>
        <v>25000</v>
      </c>
      <c r="AK48" s="31" t="n">
        <f aca="false">IFERROR(AJ48/AJ$49,0)</f>
        <v>0.00753193540612196</v>
      </c>
      <c r="AL48" s="29" t="n">
        <v>6</v>
      </c>
      <c r="AM48" s="31" t="n">
        <f aca="false">IFERROR(AH48/AL48,0)</f>
        <v>0.166666666666667</v>
      </c>
      <c r="AN48" s="30" t="n">
        <f aca="false">①札幌予測確定!O48</f>
        <v>2.53219468727855</v>
      </c>
      <c r="AO48" s="29" t="n">
        <f aca="false">①札幌予測確定!P48</f>
        <v>3</v>
      </c>
      <c r="AP48" s="28" t="n">
        <f aca="false">①札幌予測確定!Q48</f>
        <v>75000</v>
      </c>
      <c r="AQ48" s="31" t="n">
        <f aca="false">①札幌予測確定!T48</f>
        <v>0.5</v>
      </c>
      <c r="AR48" s="29" t="n">
        <f aca="false">①札幌予測確定!U48</f>
        <v>3</v>
      </c>
      <c r="AS48" s="29" t="n">
        <f aca="false">③石川以降予測!N66</f>
        <v>19</v>
      </c>
      <c r="AT48" s="29" t="n">
        <f aca="false">③石川以降予測!O66</f>
        <v>3</v>
      </c>
      <c r="AU48" s="32" t="n">
        <f aca="false">③石川以降予測!Q66</f>
        <v>16</v>
      </c>
      <c r="AV48" s="29" t="n">
        <f aca="false">③石川以降予測!R66</f>
        <v>16</v>
      </c>
      <c r="AW48" s="26" t="str">
        <f aca="false">④追加発注判定!J48</f>
        <v>適正</v>
      </c>
      <c r="AX48" s="26" t="str">
        <f aca="false">④追加発注判定!P48</f>
        <v>要 追加生産</v>
      </c>
      <c r="AY48" s="29" t="n">
        <f aca="false">④追加発注判定!R48</f>
        <v>18</v>
      </c>
      <c r="AZ48" s="26" t="str">
        <f aca="false">④追加発注判定!T48</f>
        <v>C:通常</v>
      </c>
    </row>
    <row r="49" customFormat="false" ht="15" hidden="false" customHeight="false" outlineLevel="0" collapsed="false">
      <c r="A49" s="34"/>
      <c r="B49" s="34"/>
      <c r="C49" s="35" t="s">
        <v>264</v>
      </c>
      <c r="D49" s="34"/>
      <c r="E49" s="34"/>
      <c r="F49" s="36" t="n">
        <f aca="false">SUM(F7:F48)</f>
        <v>148185</v>
      </c>
      <c r="G49" s="34"/>
      <c r="H49" s="38" t="n">
        <f aca="false">SUM(H7:H48)</f>
        <v>102186200</v>
      </c>
      <c r="I49" s="34"/>
      <c r="J49" s="36" t="n">
        <f aca="false">SUM(J7:J48)</f>
        <v>211152</v>
      </c>
      <c r="K49" s="34"/>
      <c r="L49" s="34"/>
      <c r="M49" s="36" t="n">
        <f aca="false">SUM(M7:M48)</f>
        <v>58600</v>
      </c>
      <c r="N49" s="34"/>
      <c r="O49" s="38" t="n">
        <f aca="false">SUM(O7:O48)</f>
        <v>41479600</v>
      </c>
      <c r="P49" s="34"/>
      <c r="Q49" s="36" t="n">
        <f aca="false">SUM(Q7:Q48)</f>
        <v>83270</v>
      </c>
      <c r="R49" s="34"/>
      <c r="S49" s="34"/>
      <c r="T49" s="36" t="n">
        <f aca="false">SUM(T7:T48)</f>
        <v>44871</v>
      </c>
      <c r="U49" s="34"/>
      <c r="V49" s="38" t="n">
        <f aca="false">SUM(V7:V48)</f>
        <v>31026800</v>
      </c>
      <c r="W49" s="34"/>
      <c r="X49" s="36" t="n">
        <f aca="false">SUM(X7:X48)</f>
        <v>49598</v>
      </c>
      <c r="Y49" s="34"/>
      <c r="Z49" s="34"/>
      <c r="AA49" s="36" t="n">
        <f aca="false">SUM(AA7:AA48)</f>
        <v>63740</v>
      </c>
      <c r="AB49" s="34"/>
      <c r="AC49" s="38" t="n">
        <f aca="false">SUM(AC7:AC48)</f>
        <v>45507600</v>
      </c>
      <c r="AD49" s="34"/>
      <c r="AE49" s="36" t="n">
        <f aca="false">SUM(AE7:AE48)</f>
        <v>137560</v>
      </c>
      <c r="AF49" s="34"/>
      <c r="AG49" s="34"/>
      <c r="AH49" s="36" t="n">
        <f aca="false">SUM(AH7:AH48)</f>
        <v>4189</v>
      </c>
      <c r="AI49" s="34"/>
      <c r="AJ49" s="38" t="n">
        <f aca="false">SUM(AJ7:AJ48)</f>
        <v>3319200</v>
      </c>
      <c r="AK49" s="34"/>
      <c r="AL49" s="36" t="n">
        <f aca="false">SUM(AL7:AL48)</f>
        <v>50196</v>
      </c>
      <c r="AM49" s="34"/>
      <c r="AN49" s="34"/>
      <c r="AO49" s="36" t="n">
        <f aca="false">SUM(AO7:AO48)</f>
        <v>9474</v>
      </c>
      <c r="AP49" s="38" t="n">
        <f aca="false">SUM(AP7:AP48)</f>
        <v>7142000</v>
      </c>
      <c r="AQ49" s="34"/>
      <c r="AR49" s="36" t="n">
        <f aca="false">SUM(AR7:AR48)</f>
        <v>40851</v>
      </c>
      <c r="AS49" s="36" t="n">
        <f aca="false">SUM(AS7:AS48)</f>
        <v>85963</v>
      </c>
      <c r="AT49" s="36" t="n">
        <f aca="false">SUM(AT7:AT48)</f>
        <v>40851</v>
      </c>
      <c r="AU49" s="40" t="n">
        <f aca="false">SUM(AU7:AU48)</f>
        <v>45112</v>
      </c>
      <c r="AV49" s="36" t="n">
        <f aca="false">SUM(AV7:AV48)</f>
        <v>45119</v>
      </c>
      <c r="AW49" s="34"/>
      <c r="AX49" s="34"/>
      <c r="AY49" s="36" t="n">
        <f aca="false">SUM(AY7:AY48)</f>
        <v>49790</v>
      </c>
      <c r="AZ49" s="34"/>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436</v>
      </c>
    </row>
    <row r="2" customFormat="false" ht="15" hidden="false" customHeight="false" outlineLevel="0" collapsed="false">
      <c r="A2" s="3" t="s">
        <v>437</v>
      </c>
    </row>
    <row r="5" customFormat="false" ht="33.75" hidden="false" customHeight="true" outlineLevel="0" collapsed="false">
      <c r="A5" s="18" t="s">
        <v>157</v>
      </c>
      <c r="B5" s="18" t="s">
        <v>158</v>
      </c>
      <c r="C5" s="19" t="s">
        <v>159</v>
      </c>
      <c r="D5" s="41" t="s">
        <v>438</v>
      </c>
      <c r="E5" s="21" t="s">
        <v>439</v>
      </c>
      <c r="F5" s="22" t="s">
        <v>440</v>
      </c>
      <c r="G5" s="23" t="s">
        <v>441</v>
      </c>
      <c r="H5" s="20" t="s">
        <v>442</v>
      </c>
      <c r="I5" s="41" t="s">
        <v>443</v>
      </c>
      <c r="J5" s="21" t="s">
        <v>444</v>
      </c>
      <c r="K5" s="22" t="s">
        <v>445</v>
      </c>
      <c r="L5" s="23" t="s">
        <v>365</v>
      </c>
      <c r="M5" s="20" t="s">
        <v>367</v>
      </c>
      <c r="N5" s="25" t="s">
        <v>446</v>
      </c>
      <c r="O5" s="25" t="s">
        <v>447</v>
      </c>
      <c r="P5" s="25" t="s">
        <v>448</v>
      </c>
      <c r="Q5" s="25" t="s">
        <v>449</v>
      </c>
    </row>
    <row r="6" customFormat="false" ht="15" hidden="false" customHeight="false" outlineLevel="0" collapsed="false">
      <c r="A6" s="26" t="n">
        <v>1</v>
      </c>
      <c r="B6" s="26" t="s">
        <v>180</v>
      </c>
      <c r="C6" s="27" t="s">
        <v>181</v>
      </c>
      <c r="D6" s="29" t="n">
        <v>4965</v>
      </c>
      <c r="E6" s="29" t="n">
        <v>1316</v>
      </c>
      <c r="F6" s="29" t="n">
        <v>1092</v>
      </c>
      <c r="G6" s="29" t="n">
        <v>2325</v>
      </c>
      <c r="H6" s="29" t="n">
        <v>205</v>
      </c>
      <c r="I6" s="31" t="n">
        <f aca="false">IFERROR(D6/D$48,0)</f>
        <v>0.0335054155278874</v>
      </c>
      <c r="J6" s="31" t="n">
        <f aca="false">IFERROR(E6/E$48,0)</f>
        <v>0.022457337883959</v>
      </c>
      <c r="K6" s="31" t="n">
        <f aca="false">IFERROR(F6/F$48,0)</f>
        <v>0.0243364311024938</v>
      </c>
      <c r="L6" s="31" t="n">
        <f aca="false">IFERROR(G6/G$48,0)</f>
        <v>0.0364763100094132</v>
      </c>
      <c r="M6" s="31" t="n">
        <f aca="false">IFERROR(H6/H$48,0)</f>
        <v>0.0489376939603724</v>
      </c>
      <c r="N6" s="31" t="n">
        <f aca="false">①札幌予測確定!R7</f>
        <v>0.0517204982056154</v>
      </c>
      <c r="O6" s="65" t="n">
        <f aca="false">N6-L6</f>
        <v>0.0152441881962021</v>
      </c>
      <c r="P6" s="65" t="n">
        <f aca="false">L6-I6</f>
        <v>0.0029708944815258</v>
      </c>
      <c r="Q6" s="33" t="str">
        <f aca="false">IF(O6&gt;=0.005,"↑ 伸長",IF(O6&lt;=-0.005,"↓ 減退","→ 横ばい"))</f>
        <v>↑ 伸長</v>
      </c>
    </row>
    <row r="7" customFormat="false" ht="15" hidden="false" customHeight="false" outlineLevel="0" collapsed="false">
      <c r="A7" s="26" t="n">
        <v>2</v>
      </c>
      <c r="B7" s="26" t="s">
        <v>182</v>
      </c>
      <c r="C7" s="27" t="s">
        <v>183</v>
      </c>
      <c r="D7" s="29" t="n">
        <v>4902</v>
      </c>
      <c r="E7" s="29" t="n">
        <v>1466</v>
      </c>
      <c r="F7" s="29" t="n">
        <v>1132</v>
      </c>
      <c r="G7" s="29" t="n">
        <v>1965</v>
      </c>
      <c r="H7" s="29" t="n">
        <v>233</v>
      </c>
      <c r="I7" s="31" t="n">
        <f aca="false">IFERROR(D7/D$48,0)</f>
        <v>0.0330802712825185</v>
      </c>
      <c r="J7" s="31" t="n">
        <f aca="false">IFERROR(E7/E$48,0)</f>
        <v>0.0250170648464164</v>
      </c>
      <c r="K7" s="31" t="n">
        <f aca="false">IFERROR(F7/F$48,0)</f>
        <v>0.0252278754652225</v>
      </c>
      <c r="L7" s="31" t="n">
        <f aca="false">IFERROR(G7/G$48,0)</f>
        <v>0.0308283652337622</v>
      </c>
      <c r="M7" s="31" t="n">
        <f aca="false">IFERROR(H7/H$48,0)</f>
        <v>0.0556218667939842</v>
      </c>
      <c r="N7" s="31" t="n">
        <f aca="false">①札幌予測確定!R8</f>
        <v>0.0587924846949546</v>
      </c>
      <c r="O7" s="65" t="n">
        <f aca="false">N7-L7</f>
        <v>0.0279641194611925</v>
      </c>
      <c r="P7" s="65" t="n">
        <f aca="false">L7-I7</f>
        <v>-0.00225190604875632</v>
      </c>
      <c r="Q7" s="33" t="str">
        <f aca="false">IF(O7&gt;=0.005,"↑ 伸長",IF(O7&lt;=-0.005,"↓ 減退","→ 横ばい"))</f>
        <v>↑ 伸長</v>
      </c>
    </row>
    <row r="8" customFormat="false" ht="15" hidden="false" customHeight="false" outlineLevel="0" collapsed="false">
      <c r="A8" s="26" t="n">
        <v>3</v>
      </c>
      <c r="B8" s="26" t="s">
        <v>184</v>
      </c>
      <c r="C8" s="27" t="s">
        <v>185</v>
      </c>
      <c r="D8" s="29" t="n">
        <v>2956</v>
      </c>
      <c r="E8" s="29" t="n">
        <v>601</v>
      </c>
      <c r="F8" s="29" t="n">
        <v>454</v>
      </c>
      <c r="G8" s="29" t="n">
        <v>1132</v>
      </c>
      <c r="H8" s="29" t="n">
        <v>84</v>
      </c>
      <c r="I8" s="31" t="n">
        <f aca="false">IFERROR(D8/D$48,0)</f>
        <v>0.019948037925566</v>
      </c>
      <c r="J8" s="31" t="n">
        <f aca="false">IFERROR(E8/E$48,0)</f>
        <v>0.0102559726962457</v>
      </c>
      <c r="K8" s="31" t="n">
        <f aca="false">IFERROR(F8/F$48,0)</f>
        <v>0.0101178935169709</v>
      </c>
      <c r="L8" s="31" t="n">
        <f aca="false">IFERROR(G8/G$48,0)</f>
        <v>0.0177596485723251</v>
      </c>
      <c r="M8" s="31" t="n">
        <f aca="false">IFERROR(H8/H$48,0)</f>
        <v>0.0200525185008355</v>
      </c>
      <c r="N8" s="31" t="n">
        <f aca="false">①札幌予測確定!R9</f>
        <v>0.0180493983533882</v>
      </c>
      <c r="O8" s="65" t="n">
        <f aca="false">N8-L8</f>
        <v>0.000289749781063147</v>
      </c>
      <c r="P8" s="65" t="n">
        <f aca="false">L8-I8</f>
        <v>-0.00218838935324094</v>
      </c>
      <c r="Q8" s="33" t="str">
        <f aca="false">IF(O8&gt;=0.005,"↑ 伸長",IF(O8&lt;=-0.005,"↓ 減退","→ 横ばい"))</f>
        <v>→ 横ばい</v>
      </c>
    </row>
    <row r="9" customFormat="false" ht="15" hidden="false" customHeight="false" outlineLevel="0" collapsed="false">
      <c r="A9" s="26" t="n">
        <v>4</v>
      </c>
      <c r="B9" s="26" t="s">
        <v>186</v>
      </c>
      <c r="C9" s="27" t="s">
        <v>187</v>
      </c>
      <c r="D9" s="29" t="n">
        <v>1819</v>
      </c>
      <c r="E9" s="29" t="n">
        <v>922</v>
      </c>
      <c r="F9" s="29" t="n">
        <v>539</v>
      </c>
      <c r="G9" s="29" t="n">
        <v>1310</v>
      </c>
      <c r="H9" s="29" t="n">
        <v>122</v>
      </c>
      <c r="I9" s="31" t="n">
        <f aca="false">IFERROR(D9/D$48,0)</f>
        <v>0.0122751965448595</v>
      </c>
      <c r="J9" s="31" t="n">
        <f aca="false">IFERROR(E9/E$48,0)</f>
        <v>0.0157337883959044</v>
      </c>
      <c r="K9" s="31" t="n">
        <f aca="false">IFERROR(F9/F$48,0)</f>
        <v>0.0120122127877694</v>
      </c>
      <c r="L9" s="31" t="n">
        <f aca="false">IFERROR(G9/G$48,0)</f>
        <v>0.0205522434891748</v>
      </c>
      <c r="M9" s="31" t="n">
        <f aca="false">IFERROR(H9/H$48,0)</f>
        <v>0.0291238959178802</v>
      </c>
      <c r="N9" s="31" t="n">
        <f aca="false">①札幌予測確定!R10</f>
        <v>0.0258602491028077</v>
      </c>
      <c r="O9" s="65" t="n">
        <f aca="false">N9-L9</f>
        <v>0.00530800561363291</v>
      </c>
      <c r="P9" s="65" t="n">
        <f aca="false">L9-I9</f>
        <v>0.0082770469443153</v>
      </c>
      <c r="Q9" s="33" t="str">
        <f aca="false">IF(O9&gt;=0.005,"↑ 伸長",IF(O9&lt;=-0.005,"↓ 減退","→ 横ばい"))</f>
        <v>↑ 伸長</v>
      </c>
    </row>
    <row r="10" customFormat="false" ht="15" hidden="false" customHeight="false" outlineLevel="0" collapsed="false">
      <c r="A10" s="26" t="n">
        <v>5</v>
      </c>
      <c r="B10" s="26" t="s">
        <v>188</v>
      </c>
      <c r="C10" s="27" t="s">
        <v>189</v>
      </c>
      <c r="D10" s="29" t="n">
        <v>18759</v>
      </c>
      <c r="E10" s="29" t="n">
        <v>10777</v>
      </c>
      <c r="F10" s="29" t="n">
        <v>8991</v>
      </c>
      <c r="G10" s="29" t="n">
        <v>8936</v>
      </c>
      <c r="H10" s="29" t="n">
        <v>247</v>
      </c>
      <c r="I10" s="31" t="n">
        <f aca="false">IFERROR(D10/D$48,0)</f>
        <v>0.126591760299625</v>
      </c>
      <c r="J10" s="31" t="n">
        <f aca="false">IFERROR(E10/E$48,0)</f>
        <v>0.183907849829352</v>
      </c>
      <c r="K10" s="31" t="n">
        <f aca="false">IFERROR(F10/F$48,0)</f>
        <v>0.200374406632346</v>
      </c>
      <c r="L10" s="31" t="n">
        <f aca="false">IFERROR(G10/G$48,0)</f>
        <v>0.14019454032005</v>
      </c>
      <c r="M10" s="31" t="n">
        <f aca="false">IFERROR(H10/H$48,0)</f>
        <v>0.0589639532107902</v>
      </c>
      <c r="N10" s="31" t="n">
        <f aca="false">①札幌予測確定!R11</f>
        <v>0.0595313489550348</v>
      </c>
      <c r="O10" s="65" t="n">
        <f aca="false">N10-L10</f>
        <v>-0.0806631913650154</v>
      </c>
      <c r="P10" s="65" t="n">
        <f aca="false">L10-I10</f>
        <v>0.0136027800204248</v>
      </c>
      <c r="Q10" s="33" t="str">
        <f aca="false">IF(O10&gt;=0.005,"↑ 伸長",IF(O10&lt;=-0.005,"↓ 減退","→ 横ばい"))</f>
        <v>↓ 減退</v>
      </c>
    </row>
    <row r="11" customFormat="false" ht="15" hidden="false" customHeight="false" outlineLevel="0" collapsed="false">
      <c r="A11" s="26" t="n">
        <v>6</v>
      </c>
      <c r="B11" s="26" t="s">
        <v>190</v>
      </c>
      <c r="C11" s="27" t="s">
        <v>191</v>
      </c>
      <c r="D11" s="29" t="n">
        <v>31070</v>
      </c>
      <c r="E11" s="29" t="n">
        <v>15602</v>
      </c>
      <c r="F11" s="29" t="n">
        <v>13877</v>
      </c>
      <c r="G11" s="29" t="n">
        <v>18611</v>
      </c>
      <c r="H11" s="29" t="n">
        <v>616</v>
      </c>
      <c r="I11" s="31" t="n">
        <f aca="false">IFERROR(D11/D$48,0)</f>
        <v>0.209670344501805</v>
      </c>
      <c r="J11" s="31" t="n">
        <f aca="false">IFERROR(E11/E$48,0)</f>
        <v>0.266245733788396</v>
      </c>
      <c r="K11" s="31" t="n">
        <f aca="false">IFERROR(F11/F$48,0)</f>
        <v>0.309264335539658</v>
      </c>
      <c r="L11" s="31" t="n">
        <f aca="false">IFERROR(G11/G$48,0)</f>
        <v>0.291983056165673</v>
      </c>
      <c r="M11" s="31" t="n">
        <f aca="false">IFERROR(H11/H$48,0)</f>
        <v>0.147051802339461</v>
      </c>
      <c r="N11" s="31" t="n">
        <f aca="false">①札幌予測確定!R12</f>
        <v>0.165611146295124</v>
      </c>
      <c r="O11" s="65" t="n">
        <f aca="false">N11-L11</f>
        <v>-0.12637190987055</v>
      </c>
      <c r="P11" s="65" t="n">
        <f aca="false">L11-I11</f>
        <v>0.0823127116638679</v>
      </c>
      <c r="Q11" s="33" t="str">
        <f aca="false">IF(O11&gt;=0.005,"↑ 伸長",IF(O11&lt;=-0.005,"↓ 減退","→ 横ばい"))</f>
        <v>↓ 減退</v>
      </c>
    </row>
    <row r="12" customFormat="false" ht="15" hidden="false" customHeight="false" outlineLevel="0" collapsed="false">
      <c r="A12" s="26" t="n">
        <v>7</v>
      </c>
      <c r="B12" s="26" t="s">
        <v>192</v>
      </c>
      <c r="C12" s="27" t="s">
        <v>193</v>
      </c>
      <c r="D12" s="29" t="n">
        <v>3471</v>
      </c>
      <c r="E12" s="29" t="n">
        <v>520</v>
      </c>
      <c r="F12" s="29" t="n">
        <v>384</v>
      </c>
      <c r="G12" s="29" t="n">
        <v>940</v>
      </c>
      <c r="H12" s="29" t="n">
        <v>79</v>
      </c>
      <c r="I12" s="31" t="n">
        <f aca="false">IFERROR(D12/D$48,0)</f>
        <v>0.0234234234234234</v>
      </c>
      <c r="J12" s="31" t="n">
        <f aca="false">IFERROR(E12/E$48,0)</f>
        <v>0.00887372013651877</v>
      </c>
      <c r="K12" s="31" t="n">
        <f aca="false">IFERROR(F12/F$48,0)</f>
        <v>0.00855786588219563</v>
      </c>
      <c r="L12" s="31" t="n">
        <f aca="false">IFERROR(G12/G$48,0)</f>
        <v>0.0147474113586445</v>
      </c>
      <c r="M12" s="31" t="n">
        <f aca="false">IFERROR(H12/H$48,0)</f>
        <v>0.0188589162091191</v>
      </c>
      <c r="N12" s="31" t="n">
        <f aca="false">①札幌予測確定!R13</f>
        <v>0.0205826472450918</v>
      </c>
      <c r="O12" s="65" t="n">
        <f aca="false">N12-L12</f>
        <v>0.00583523588644734</v>
      </c>
      <c r="P12" s="65" t="n">
        <f aca="false">L12-I12</f>
        <v>-0.00867601206477893</v>
      </c>
      <c r="Q12" s="33" t="str">
        <f aca="false">IF(O12&gt;=0.005,"↑ 伸長",IF(O12&lt;=-0.005,"↓ 減退","→ 横ばい"))</f>
        <v>↑ 伸長</v>
      </c>
    </row>
    <row r="13" customFormat="false" ht="15" hidden="false" customHeight="false" outlineLevel="0" collapsed="false">
      <c r="A13" s="26" t="n">
        <v>8</v>
      </c>
      <c r="B13" s="26" t="s">
        <v>194</v>
      </c>
      <c r="C13" s="27" t="s">
        <v>195</v>
      </c>
      <c r="D13" s="29" t="n">
        <v>5596</v>
      </c>
      <c r="E13" s="29" t="n">
        <v>1107</v>
      </c>
      <c r="F13" s="29" t="n">
        <v>799</v>
      </c>
      <c r="G13" s="29" t="n">
        <v>1758</v>
      </c>
      <c r="H13" s="29" t="n">
        <v>135</v>
      </c>
      <c r="I13" s="31" t="n">
        <f aca="false">IFERROR(D13/D$48,0)</f>
        <v>0.0377636063029321</v>
      </c>
      <c r="J13" s="31" t="n">
        <f aca="false">IFERROR(E13/E$48,0)</f>
        <v>0.0188907849829352</v>
      </c>
      <c r="K13" s="31" t="n">
        <f aca="false">IFERROR(F13/F$48,0)</f>
        <v>0.017806601145506</v>
      </c>
      <c r="L13" s="31" t="n">
        <f aca="false">IFERROR(G13/G$48,0)</f>
        <v>0.0275807969877628</v>
      </c>
      <c r="M13" s="31" t="n">
        <f aca="false">IFERROR(H13/H$48,0)</f>
        <v>0.0322272618763428</v>
      </c>
      <c r="N13" s="31" t="n">
        <f aca="false">①札幌予測確定!R14</f>
        <v>0.0363099007810851</v>
      </c>
      <c r="O13" s="65" t="n">
        <f aca="false">N13-L13</f>
        <v>0.00872910379332229</v>
      </c>
      <c r="P13" s="65" t="n">
        <f aca="false">L13-I13</f>
        <v>-0.0101828093151694</v>
      </c>
      <c r="Q13" s="33" t="str">
        <f aca="false">IF(O13&gt;=0.005,"↑ 伸長",IF(O13&lt;=-0.005,"↓ 減退","→ 横ばい"))</f>
        <v>↑ 伸長</v>
      </c>
    </row>
    <row r="14" customFormat="false" ht="15" hidden="false" customHeight="false" outlineLevel="0" collapsed="false">
      <c r="A14" s="26" t="n">
        <v>9</v>
      </c>
      <c r="B14" s="26" t="s">
        <v>196</v>
      </c>
      <c r="C14" s="27" t="s">
        <v>197</v>
      </c>
      <c r="D14" s="29" t="n">
        <v>2381</v>
      </c>
      <c r="E14" s="29" t="n">
        <v>313</v>
      </c>
      <c r="F14" s="29" t="n">
        <v>301</v>
      </c>
      <c r="G14" s="29" t="n">
        <v>743</v>
      </c>
      <c r="H14" s="29" t="n">
        <v>75</v>
      </c>
      <c r="I14" s="31" t="n">
        <f aca="false">IFERROR(D14/D$48,0)</f>
        <v>0.0160677531464048</v>
      </c>
      <c r="J14" s="31" t="n">
        <f aca="false">IFERROR(E14/E$48,0)</f>
        <v>0.00534129692832765</v>
      </c>
      <c r="K14" s="31" t="n">
        <f aca="false">IFERROR(F14/F$48,0)</f>
        <v>0.00670811882953355</v>
      </c>
      <c r="L14" s="31" t="n">
        <f aca="false">IFERROR(G14/G$48,0)</f>
        <v>0.0116567304675243</v>
      </c>
      <c r="M14" s="31" t="n">
        <f aca="false">IFERROR(H14/H$48,0)</f>
        <v>0.017904034375746</v>
      </c>
      <c r="N14" s="31" t="n">
        <f aca="false">①札幌予測確定!R15</f>
        <v>0.0145661811272958</v>
      </c>
      <c r="O14" s="65" t="n">
        <f aca="false">N14-L14</f>
        <v>0.00290945065977144</v>
      </c>
      <c r="P14" s="65" t="n">
        <f aca="false">L14-I14</f>
        <v>-0.00441102267888052</v>
      </c>
      <c r="Q14" s="33" t="str">
        <f aca="false">IF(O14&gt;=0.005,"↑ 伸長",IF(O14&lt;=-0.005,"↓ 減退","→ 横ばい"))</f>
        <v>→ 横ばい</v>
      </c>
    </row>
    <row r="15" customFormat="false" ht="15" hidden="false" customHeight="false" outlineLevel="0" collapsed="false">
      <c r="A15" s="26" t="n">
        <v>10</v>
      </c>
      <c r="B15" s="26" t="s">
        <v>198</v>
      </c>
      <c r="C15" s="27" t="s">
        <v>199</v>
      </c>
      <c r="D15" s="29" t="n">
        <v>1025</v>
      </c>
      <c r="E15" s="29" t="n">
        <v>141</v>
      </c>
      <c r="F15" s="29" t="n">
        <v>123</v>
      </c>
      <c r="G15" s="29" t="n">
        <v>277</v>
      </c>
      <c r="H15" s="29" t="n">
        <v>30</v>
      </c>
      <c r="I15" s="31" t="n">
        <f aca="false">IFERROR(D15/D$48,0)</f>
        <v>0.0069170293889395</v>
      </c>
      <c r="J15" s="31" t="n">
        <f aca="false">IFERROR(E15/E$48,0)</f>
        <v>0.0024061433447099</v>
      </c>
      <c r="K15" s="31" t="n">
        <f aca="false">IFERROR(F15/F$48,0)</f>
        <v>0.00274119141539079</v>
      </c>
      <c r="L15" s="31" t="n">
        <f aca="false">IFERROR(G15/G$48,0)</f>
        <v>0.00434577973015375</v>
      </c>
      <c r="M15" s="31" t="n">
        <f aca="false">IFERROR(H15/H$48,0)</f>
        <v>0.0071616137502984</v>
      </c>
      <c r="N15" s="31" t="n">
        <f aca="false">①札幌予測確定!R16</f>
        <v>0.00591091408064176</v>
      </c>
      <c r="O15" s="65" t="n">
        <f aca="false">N15-L15</f>
        <v>0.00156513435048801</v>
      </c>
      <c r="P15" s="65" t="n">
        <f aca="false">L15-I15</f>
        <v>-0.00257124965878575</v>
      </c>
      <c r="Q15" s="33" t="str">
        <f aca="false">IF(O15&gt;=0.005,"↑ 伸長",IF(O15&lt;=-0.005,"↓ 減退","→ 横ばい"))</f>
        <v>→ 横ばい</v>
      </c>
    </row>
    <row r="16" customFormat="false" ht="15" hidden="false" customHeight="false" outlineLevel="0" collapsed="false">
      <c r="A16" s="26" t="n">
        <v>11</v>
      </c>
      <c r="B16" s="26" t="s">
        <v>200</v>
      </c>
      <c r="C16" s="27" t="s">
        <v>201</v>
      </c>
      <c r="D16" s="29" t="n">
        <v>215</v>
      </c>
      <c r="E16" s="29" t="n">
        <v>37</v>
      </c>
      <c r="F16" s="29" t="n">
        <v>30</v>
      </c>
      <c r="G16" s="29" t="n">
        <v>78</v>
      </c>
      <c r="H16" s="29" t="n">
        <v>8</v>
      </c>
      <c r="I16" s="31" t="n">
        <f aca="false">IFERROR(D16/D$48,0)</f>
        <v>0.00145088909133853</v>
      </c>
      <c r="J16" s="31" t="n">
        <f aca="false">IFERROR(E16/E$48,0)</f>
        <v>0.000631399317406143</v>
      </c>
      <c r="K16" s="31" t="n">
        <f aca="false">IFERROR(F16/F$48,0)</f>
        <v>0.000668583272046533</v>
      </c>
      <c r="L16" s="31" t="n">
        <f aca="false">IFERROR(G16/G$48,0)</f>
        <v>0.00122372136805773</v>
      </c>
      <c r="M16" s="31" t="n">
        <f aca="false">IFERROR(H16/H$48,0)</f>
        <v>0.00190976366674624</v>
      </c>
      <c r="N16" s="31" t="n">
        <f aca="false">①札幌予測確定!R17</f>
        <v>0.00284990500316656</v>
      </c>
      <c r="O16" s="65" t="n">
        <f aca="false">N16-L16</f>
        <v>0.00162618363510883</v>
      </c>
      <c r="P16" s="65" t="n">
        <f aca="false">L16-I16</f>
        <v>-0.000227167723280795</v>
      </c>
      <c r="Q16" s="33" t="str">
        <f aca="false">IF(O16&gt;=0.005,"↑ 伸長",IF(O16&lt;=-0.005,"↓ 減退","→ 横ばい"))</f>
        <v>→ 横ばい</v>
      </c>
    </row>
    <row r="17" customFormat="false" ht="15" hidden="false" customHeight="false" outlineLevel="0" collapsed="false">
      <c r="A17" s="26" t="n">
        <v>12</v>
      </c>
      <c r="B17" s="26" t="s">
        <v>202</v>
      </c>
      <c r="C17" s="27" t="s">
        <v>203</v>
      </c>
      <c r="D17" s="29" t="n">
        <v>291</v>
      </c>
      <c r="E17" s="29" t="n">
        <v>58</v>
      </c>
      <c r="F17" s="29" t="n">
        <v>54</v>
      </c>
      <c r="G17" s="29" t="n">
        <v>142</v>
      </c>
      <c r="H17" s="29" t="n">
        <v>12</v>
      </c>
      <c r="I17" s="31" t="n">
        <f aca="false">IFERROR(D17/D$48,0)</f>
        <v>0.00196376151432331</v>
      </c>
      <c r="J17" s="31" t="n">
        <f aca="false">IFERROR(E17/E$48,0)</f>
        <v>0.000989761092150171</v>
      </c>
      <c r="K17" s="31" t="n">
        <f aca="false">IFERROR(F17/F$48,0)</f>
        <v>0.00120344988968376</v>
      </c>
      <c r="L17" s="31" t="n">
        <f aca="false">IFERROR(G17/G$48,0)</f>
        <v>0.00222780043928459</v>
      </c>
      <c r="M17" s="31" t="n">
        <f aca="false">IFERROR(H17/H$48,0)</f>
        <v>0.00286464550011936</v>
      </c>
      <c r="N17" s="31" t="n">
        <f aca="false">①札幌予測確定!R18</f>
        <v>0.00316656111462951</v>
      </c>
      <c r="O17" s="65" t="n">
        <f aca="false">N17-L17</f>
        <v>0.000938760675344919</v>
      </c>
      <c r="P17" s="65" t="n">
        <f aca="false">L17-I17</f>
        <v>0.000264038924961282</v>
      </c>
      <c r="Q17" s="33" t="str">
        <f aca="false">IF(O17&gt;=0.005,"↑ 伸長",IF(O17&lt;=-0.005,"↓ 減退","→ 横ばい"))</f>
        <v>→ 横ばい</v>
      </c>
    </row>
    <row r="18" customFormat="false" ht="15" hidden="false" customHeight="false" outlineLevel="0" collapsed="false">
      <c r="A18" s="26" t="n">
        <v>13</v>
      </c>
      <c r="B18" s="26" t="s">
        <v>204</v>
      </c>
      <c r="C18" s="27" t="s">
        <v>205</v>
      </c>
      <c r="D18" s="29" t="n">
        <v>99</v>
      </c>
      <c r="E18" s="29" t="n">
        <v>16</v>
      </c>
      <c r="F18" s="29" t="n">
        <v>22</v>
      </c>
      <c r="G18" s="29" t="n">
        <v>43</v>
      </c>
      <c r="H18" s="29" t="n">
        <v>3</v>
      </c>
      <c r="I18" s="31" t="n">
        <f aca="false">IFERROR(D18/D$48,0)</f>
        <v>0.00066808381415123</v>
      </c>
      <c r="J18" s="31" t="n">
        <f aca="false">IFERROR(E18/E$48,0)</f>
        <v>0.000273037542662116</v>
      </c>
      <c r="K18" s="31" t="n">
        <f aca="false">IFERROR(F18/F$48,0)</f>
        <v>0.000490294399500791</v>
      </c>
      <c r="L18" s="31" t="n">
        <f aca="false">IFERROR(G18/G$48,0)</f>
        <v>0.000674615625980546</v>
      </c>
      <c r="M18" s="31" t="n">
        <f aca="false">IFERROR(H18/H$48,0)</f>
        <v>0.00071616137502984</v>
      </c>
      <c r="N18" s="31" t="n">
        <f aca="false">①札幌予測確定!R19</f>
        <v>0.00073886426008022</v>
      </c>
      <c r="O18" s="65" t="n">
        <f aca="false">N18-L18</f>
        <v>6.42486340996735E-005</v>
      </c>
      <c r="P18" s="65" t="n">
        <f aca="false">L18-I18</f>
        <v>6.53181182931606E-006</v>
      </c>
      <c r="Q18" s="33" t="str">
        <f aca="false">IF(O18&gt;=0.005,"↑ 伸長",IF(O18&lt;=-0.005,"↓ 減退","→ 横ばい"))</f>
        <v>→ 横ばい</v>
      </c>
    </row>
    <row r="19" customFormat="false" ht="15" hidden="false" customHeight="false" outlineLevel="0" collapsed="false">
      <c r="A19" s="26" t="n">
        <v>14</v>
      </c>
      <c r="B19" s="26" t="s">
        <v>206</v>
      </c>
      <c r="C19" s="27" t="s">
        <v>207</v>
      </c>
      <c r="D19" s="29" t="n">
        <v>411</v>
      </c>
      <c r="E19" s="29" t="n">
        <v>73</v>
      </c>
      <c r="F19" s="29" t="n">
        <v>79</v>
      </c>
      <c r="G19" s="29" t="n">
        <v>146</v>
      </c>
      <c r="H19" s="29" t="n">
        <v>17</v>
      </c>
      <c r="I19" s="31" t="n">
        <f aca="false">IFERROR(D19/D$48,0)</f>
        <v>0.00277356007693086</v>
      </c>
      <c r="J19" s="31" t="n">
        <f aca="false">IFERROR(E19/E$48,0)</f>
        <v>0.0012457337883959</v>
      </c>
      <c r="K19" s="31" t="n">
        <f aca="false">IFERROR(F19/F$48,0)</f>
        <v>0.0017606026163892</v>
      </c>
      <c r="L19" s="31" t="n">
        <f aca="false">IFERROR(G19/G$48,0)</f>
        <v>0.00229055538123627</v>
      </c>
      <c r="M19" s="31" t="n">
        <f aca="false">IFERROR(H19/H$48,0)</f>
        <v>0.00405824779183576</v>
      </c>
      <c r="N19" s="31" t="n">
        <f aca="false">①札幌予測確定!R20</f>
        <v>0.00401097741186405</v>
      </c>
      <c r="O19" s="65" t="n">
        <f aca="false">N19-L19</f>
        <v>0.00172042203062778</v>
      </c>
      <c r="P19" s="65" t="n">
        <f aca="false">L19-I19</f>
        <v>-0.000483004695694591</v>
      </c>
      <c r="Q19" s="33" t="str">
        <f aca="false">IF(O19&gt;=0.005,"↑ 伸長",IF(O19&lt;=-0.005,"↓ 減退","→ 横ばい"))</f>
        <v>→ 横ばい</v>
      </c>
    </row>
    <row r="20" customFormat="false" ht="15" hidden="false" customHeight="false" outlineLevel="0" collapsed="false">
      <c r="A20" s="26" t="n">
        <v>15</v>
      </c>
      <c r="B20" s="26" t="s">
        <v>208</v>
      </c>
      <c r="C20" s="27" t="s">
        <v>209</v>
      </c>
      <c r="D20" s="29" t="n">
        <v>471</v>
      </c>
      <c r="E20" s="29" t="n">
        <v>100</v>
      </c>
      <c r="F20" s="29" t="n">
        <v>100</v>
      </c>
      <c r="G20" s="29" t="n">
        <v>198</v>
      </c>
      <c r="H20" s="29" t="n">
        <v>29</v>
      </c>
      <c r="I20" s="31" t="n">
        <f aca="false">IFERROR(D20/D$48,0)</f>
        <v>0.00317845935823464</v>
      </c>
      <c r="J20" s="31" t="n">
        <f aca="false">IFERROR(E20/E$48,0)</f>
        <v>0.00170648464163823</v>
      </c>
      <c r="K20" s="31" t="n">
        <f aca="false">IFERROR(F20/F$48,0)</f>
        <v>0.00222861090682178</v>
      </c>
      <c r="L20" s="31" t="n">
        <f aca="false">IFERROR(G20/G$48,0)</f>
        <v>0.0031063696266081</v>
      </c>
      <c r="M20" s="31" t="n">
        <f aca="false">IFERROR(H20/H$48,0)</f>
        <v>0.00692289329195512</v>
      </c>
      <c r="N20" s="31" t="n">
        <f aca="false">①札幌予測確定!R21</f>
        <v>0.00707198648933924</v>
      </c>
      <c r="O20" s="65" t="n">
        <f aca="false">N20-L20</f>
        <v>0.00396561686273115</v>
      </c>
      <c r="P20" s="65" t="n">
        <f aca="false">L20-I20</f>
        <v>-7.20897316265436E-005</v>
      </c>
      <c r="Q20" s="33" t="str">
        <f aca="false">IF(O20&gt;=0.005,"↑ 伸長",IF(O20&lt;=-0.005,"↓ 減退","→ 横ばい"))</f>
        <v>→ 横ばい</v>
      </c>
    </row>
    <row r="21" customFormat="false" ht="15" hidden="false" customHeight="false" outlineLevel="0" collapsed="false">
      <c r="A21" s="26" t="n">
        <v>16</v>
      </c>
      <c r="B21" s="26" t="s">
        <v>210</v>
      </c>
      <c r="C21" s="27" t="s">
        <v>211</v>
      </c>
      <c r="D21" s="29" t="n">
        <v>95</v>
      </c>
      <c r="E21" s="29" t="n">
        <v>38</v>
      </c>
      <c r="F21" s="29" t="n">
        <v>30</v>
      </c>
      <c r="G21" s="29" t="n">
        <v>65</v>
      </c>
      <c r="H21" s="29" t="n">
        <v>3</v>
      </c>
      <c r="I21" s="31" t="n">
        <f aca="false">IFERROR(D21/D$48,0)</f>
        <v>0.000641090528730978</v>
      </c>
      <c r="J21" s="31" t="n">
        <f aca="false">IFERROR(E21/E$48,0)</f>
        <v>0.000648464163822526</v>
      </c>
      <c r="K21" s="31" t="n">
        <f aca="false">IFERROR(F21/F$48,0)</f>
        <v>0.000668583272046533</v>
      </c>
      <c r="L21" s="31" t="n">
        <f aca="false">IFERROR(G21/G$48,0)</f>
        <v>0.00101976780671478</v>
      </c>
      <c r="M21" s="31" t="n">
        <f aca="false">IFERROR(H21/H$48,0)</f>
        <v>0.00071616137502984</v>
      </c>
      <c r="N21" s="31" t="n">
        <f aca="false">①札幌予測確定!R22</f>
        <v>0.000844416297234537</v>
      </c>
      <c r="O21" s="65" t="n">
        <f aca="false">N21-L21</f>
        <v>-0.000175351509480242</v>
      </c>
      <c r="P21" s="65" t="n">
        <f aca="false">L21-I21</f>
        <v>0.000378677277983801</v>
      </c>
      <c r="Q21" s="33" t="str">
        <f aca="false">IF(O21&gt;=0.005,"↑ 伸長",IF(O21&lt;=-0.005,"↓ 減退","→ 横ばい"))</f>
        <v>→ 横ばい</v>
      </c>
    </row>
    <row r="22" customFormat="false" ht="15" hidden="false" customHeight="false" outlineLevel="0" collapsed="false">
      <c r="A22" s="26" t="n">
        <v>17</v>
      </c>
      <c r="B22" s="26" t="s">
        <v>212</v>
      </c>
      <c r="C22" s="27" t="s">
        <v>213</v>
      </c>
      <c r="D22" s="29" t="n">
        <v>492</v>
      </c>
      <c r="E22" s="29" t="n">
        <v>124</v>
      </c>
      <c r="F22" s="29" t="n">
        <v>100</v>
      </c>
      <c r="G22" s="29" t="n">
        <v>261</v>
      </c>
      <c r="H22" s="29" t="n">
        <v>39</v>
      </c>
      <c r="I22" s="31" t="n">
        <f aca="false">IFERROR(D22/D$48,0)</f>
        <v>0.00332017410669096</v>
      </c>
      <c r="J22" s="31" t="n">
        <f aca="false">IFERROR(E22/E$48,0)</f>
        <v>0.0021160409556314</v>
      </c>
      <c r="K22" s="31" t="n">
        <f aca="false">IFERROR(F22/F$48,0)</f>
        <v>0.00222861090682178</v>
      </c>
      <c r="L22" s="31" t="n">
        <f aca="false">IFERROR(G22/G$48,0)</f>
        <v>0.00409475996234703</v>
      </c>
      <c r="M22" s="31" t="n">
        <f aca="false">IFERROR(H22/H$48,0)</f>
        <v>0.00931009787538792</v>
      </c>
      <c r="N22" s="31" t="n">
        <f aca="false">①札幌予測確定!R23</f>
        <v>0.0101329955668144</v>
      </c>
      <c r="O22" s="65" t="n">
        <f aca="false">N22-L22</f>
        <v>0.00603823560446741</v>
      </c>
      <c r="P22" s="65" t="n">
        <f aca="false">L22-I22</f>
        <v>0.000774585855656074</v>
      </c>
      <c r="Q22" s="33" t="str">
        <f aca="false">IF(O22&gt;=0.005,"↑ 伸長",IF(O22&lt;=-0.005,"↓ 減退","→ 横ばい"))</f>
        <v>↑ 伸長</v>
      </c>
    </row>
    <row r="23" customFormat="false" ht="15" hidden="false" customHeight="false" outlineLevel="0" collapsed="false">
      <c r="A23" s="26" t="n">
        <v>18</v>
      </c>
      <c r="B23" s="26" t="s">
        <v>214</v>
      </c>
      <c r="C23" s="27" t="s">
        <v>215</v>
      </c>
      <c r="D23" s="29" t="n">
        <v>5661</v>
      </c>
      <c r="E23" s="29" t="n">
        <v>1187</v>
      </c>
      <c r="F23" s="29" t="n">
        <v>898</v>
      </c>
      <c r="G23" s="29" t="n">
        <v>2021</v>
      </c>
      <c r="H23" s="29" t="n">
        <v>224</v>
      </c>
      <c r="I23" s="31" t="n">
        <f aca="false">IFERROR(D23/D$48,0)</f>
        <v>0.0382022471910112</v>
      </c>
      <c r="J23" s="31" t="n">
        <f aca="false">IFERROR(E23/E$48,0)</f>
        <v>0.0202559726962457</v>
      </c>
      <c r="K23" s="31" t="n">
        <f aca="false">IFERROR(F23/F$48,0)</f>
        <v>0.0200129259432596</v>
      </c>
      <c r="L23" s="31" t="n">
        <f aca="false">IFERROR(G23/G$48,0)</f>
        <v>0.0317069344210857</v>
      </c>
      <c r="M23" s="31" t="n">
        <f aca="false">IFERROR(H23/H$48,0)</f>
        <v>0.0534733826688947</v>
      </c>
      <c r="N23" s="31" t="n">
        <f aca="false">①札幌予測確定!R24</f>
        <v>0.0472873126451341</v>
      </c>
      <c r="O23" s="65" t="n">
        <f aca="false">N23-L23</f>
        <v>0.0155803782240484</v>
      </c>
      <c r="P23" s="65" t="n">
        <f aca="false">L23-I23</f>
        <v>-0.00649531276992558</v>
      </c>
      <c r="Q23" s="33" t="str">
        <f aca="false">IF(O23&gt;=0.005,"↑ 伸長",IF(O23&lt;=-0.005,"↓ 減退","→ 横ばい"))</f>
        <v>↑ 伸長</v>
      </c>
    </row>
    <row r="24" customFormat="false" ht="15" hidden="false" customHeight="false" outlineLevel="0" collapsed="false">
      <c r="A24" s="26" t="n">
        <v>19</v>
      </c>
      <c r="B24" s="26" t="s">
        <v>216</v>
      </c>
      <c r="C24" s="27" t="s">
        <v>217</v>
      </c>
      <c r="D24" s="29" t="n">
        <v>168</v>
      </c>
      <c r="E24" s="29" t="n">
        <v>27</v>
      </c>
      <c r="F24" s="29" t="n">
        <v>19</v>
      </c>
      <c r="G24" s="29" t="n">
        <v>45</v>
      </c>
      <c r="H24" s="29" t="n">
        <v>8</v>
      </c>
      <c r="I24" s="31" t="n">
        <f aca="false">IFERROR(D24/D$48,0)</f>
        <v>0.00113371798765057</v>
      </c>
      <c r="J24" s="31" t="n">
        <f aca="false">IFERROR(E24/E$48,0)</f>
        <v>0.000460750853242321</v>
      </c>
      <c r="K24" s="31" t="n">
        <f aca="false">IFERROR(F24/F$48,0)</f>
        <v>0.000423436072296138</v>
      </c>
      <c r="L24" s="31" t="n">
        <f aca="false">IFERROR(G24/G$48,0)</f>
        <v>0.000705993096956385</v>
      </c>
      <c r="M24" s="31" t="n">
        <f aca="false">IFERROR(H24/H$48,0)</f>
        <v>0.00190976366674624</v>
      </c>
      <c r="N24" s="31" t="n">
        <f aca="false">①札幌予測確定!R25</f>
        <v>0.00168883259446907</v>
      </c>
      <c r="O24" s="65" t="n">
        <f aca="false">N24-L24</f>
        <v>0.000982839497512688</v>
      </c>
      <c r="P24" s="65" t="n">
        <f aca="false">L24-I24</f>
        <v>-0.000427724890694187</v>
      </c>
      <c r="Q24" s="33" t="str">
        <f aca="false">IF(O24&gt;=0.005,"↑ 伸長",IF(O24&lt;=-0.005,"↓ 減退","→ 横ばい"))</f>
        <v>→ 横ばい</v>
      </c>
    </row>
    <row r="25" customFormat="false" ht="15" hidden="false" customHeight="false" outlineLevel="0" collapsed="false">
      <c r="A25" s="26" t="n">
        <v>20</v>
      </c>
      <c r="B25" s="26" t="s">
        <v>218</v>
      </c>
      <c r="C25" s="27" t="s">
        <v>219</v>
      </c>
      <c r="D25" s="29" t="n">
        <v>117</v>
      </c>
      <c r="E25" s="29" t="n">
        <v>23</v>
      </c>
      <c r="F25" s="29" t="n">
        <v>15</v>
      </c>
      <c r="G25" s="29" t="n">
        <v>42</v>
      </c>
      <c r="H25" s="29" t="n">
        <v>5</v>
      </c>
      <c r="I25" s="31" t="n">
        <f aca="false">IFERROR(D25/D$48,0)</f>
        <v>0.000789553598542363</v>
      </c>
      <c r="J25" s="31" t="n">
        <f aca="false">IFERROR(E25/E$48,0)</f>
        <v>0.000392491467576792</v>
      </c>
      <c r="K25" s="31" t="n">
        <f aca="false">IFERROR(F25/F$48,0)</f>
        <v>0.000334291636023267</v>
      </c>
      <c r="L25" s="31" t="n">
        <f aca="false">IFERROR(G25/G$48,0)</f>
        <v>0.000658926890492626</v>
      </c>
      <c r="M25" s="31" t="n">
        <f aca="false">IFERROR(H25/H$48,0)</f>
        <v>0.0011936022917164</v>
      </c>
      <c r="N25" s="31" t="n">
        <f aca="false">①札幌予測確定!R26</f>
        <v>0.00147772852016044</v>
      </c>
      <c r="O25" s="65" t="n">
        <f aca="false">N25-L25</f>
        <v>0.000818801629667813</v>
      </c>
      <c r="P25" s="65" t="n">
        <f aca="false">L25-I25</f>
        <v>-0.000130626708049736</v>
      </c>
      <c r="Q25" s="33" t="str">
        <f aca="false">IF(O25&gt;=0.005,"↑ 伸長",IF(O25&lt;=-0.005,"↓ 減退","→ 横ばい"))</f>
        <v>→ 横ばい</v>
      </c>
    </row>
    <row r="26" customFormat="false" ht="15" hidden="false" customHeight="false" outlineLevel="0" collapsed="false">
      <c r="A26" s="26" t="n">
        <v>21</v>
      </c>
      <c r="B26" s="26" t="s">
        <v>220</v>
      </c>
      <c r="C26" s="27" t="s">
        <v>221</v>
      </c>
      <c r="D26" s="29" t="n">
        <v>350</v>
      </c>
      <c r="E26" s="29" t="n">
        <v>139</v>
      </c>
      <c r="F26" s="29" t="n">
        <v>150</v>
      </c>
      <c r="G26" s="29" t="n">
        <v>252</v>
      </c>
      <c r="H26" s="29" t="n">
        <v>40</v>
      </c>
      <c r="I26" s="31" t="n">
        <f aca="false">IFERROR(D26/D$48,0)</f>
        <v>0.00236191247427202</v>
      </c>
      <c r="J26" s="31" t="n">
        <f aca="false">IFERROR(E26/E$48,0)</f>
        <v>0.00237201365187713</v>
      </c>
      <c r="K26" s="31" t="n">
        <f aca="false">IFERROR(F26/F$48,0)</f>
        <v>0.00334291636023267</v>
      </c>
      <c r="L26" s="31" t="n">
        <f aca="false">IFERROR(G26/G$48,0)</f>
        <v>0.00395356134295576</v>
      </c>
      <c r="M26" s="31" t="n">
        <f aca="false">IFERROR(H26/H$48,0)</f>
        <v>0.0095488183337312</v>
      </c>
      <c r="N26" s="31" t="n">
        <f aca="false">①札幌予測確定!R27</f>
        <v>0.0101329955668144</v>
      </c>
      <c r="O26" s="65" t="n">
        <f aca="false">N26-L26</f>
        <v>0.00617943422385868</v>
      </c>
      <c r="P26" s="65" t="n">
        <f aca="false">L26-I26</f>
        <v>0.00159164886868373</v>
      </c>
      <c r="Q26" s="33" t="str">
        <f aca="false">IF(O26&gt;=0.005,"↑ 伸長",IF(O26&lt;=-0.005,"↓ 減退","→ 横ばい"))</f>
        <v>↑ 伸長</v>
      </c>
    </row>
    <row r="27" customFormat="false" ht="15" hidden="false" customHeight="false" outlineLevel="0" collapsed="false">
      <c r="A27" s="26" t="n">
        <v>22</v>
      </c>
      <c r="B27" s="26" t="s">
        <v>222</v>
      </c>
      <c r="C27" s="27" t="s">
        <v>223</v>
      </c>
      <c r="D27" s="29" t="n">
        <v>319</v>
      </c>
      <c r="E27" s="29" t="n">
        <v>99</v>
      </c>
      <c r="F27" s="29" t="n">
        <v>80</v>
      </c>
      <c r="G27" s="29" t="n">
        <v>171</v>
      </c>
      <c r="H27" s="29" t="n">
        <v>14</v>
      </c>
      <c r="I27" s="31" t="n">
        <f aca="false">IFERROR(D27/D$48,0)</f>
        <v>0.00215271451226507</v>
      </c>
      <c r="J27" s="31" t="n">
        <f aca="false">IFERROR(E27/E$48,0)</f>
        <v>0.00168941979522184</v>
      </c>
      <c r="K27" s="31" t="n">
        <f aca="false">IFERROR(F27/F$48,0)</f>
        <v>0.00178288872545742</v>
      </c>
      <c r="L27" s="31" t="n">
        <f aca="false">IFERROR(G27/G$48,0)</f>
        <v>0.00268277376843426</v>
      </c>
      <c r="M27" s="31" t="n">
        <f aca="false">IFERROR(H27/H$48,0)</f>
        <v>0.00334208641680592</v>
      </c>
      <c r="N27" s="31" t="n">
        <f aca="false">①札幌予測確定!R28</f>
        <v>0.00464428963478995</v>
      </c>
      <c r="O27" s="65" t="n">
        <f aca="false">N27-L27</f>
        <v>0.00196151586635569</v>
      </c>
      <c r="P27" s="65" t="n">
        <f aca="false">L27-I27</f>
        <v>0.00053005925616919</v>
      </c>
      <c r="Q27" s="33" t="str">
        <f aca="false">IF(O27&gt;=0.005,"↑ 伸長",IF(O27&lt;=-0.005,"↓ 減退","→ 横ばい"))</f>
        <v>→ 横ばい</v>
      </c>
    </row>
    <row r="28" customFormat="false" ht="15" hidden="false" customHeight="false" outlineLevel="0" collapsed="false">
      <c r="A28" s="26" t="n">
        <v>23</v>
      </c>
      <c r="B28" s="26" t="s">
        <v>224</v>
      </c>
      <c r="C28" s="27" t="s">
        <v>225</v>
      </c>
      <c r="D28" s="29" t="n">
        <v>41156</v>
      </c>
      <c r="E28" s="29" t="n">
        <v>13583</v>
      </c>
      <c r="F28" s="29" t="n">
        <v>8800</v>
      </c>
      <c r="G28" s="29" t="n">
        <v>12724</v>
      </c>
      <c r="H28" s="29" t="n">
        <v>1027</v>
      </c>
      <c r="I28" s="31" t="n">
        <f aca="false">IFERROR(D28/D$48,0)</f>
        <v>0.27773391368897</v>
      </c>
      <c r="J28" s="31" t="n">
        <f aca="false">IFERROR(E28/E$48,0)</f>
        <v>0.23179180887372</v>
      </c>
      <c r="K28" s="31" t="n">
        <f aca="false">IFERROR(F28/F$48,0)</f>
        <v>0.196117759800316</v>
      </c>
      <c r="L28" s="31" t="n">
        <f aca="false">IFERROR(G28/G$48,0)</f>
        <v>0.19962347034829</v>
      </c>
      <c r="M28" s="31" t="n">
        <f aca="false">IFERROR(H28/H$48,0)</f>
        <v>0.245165910718549</v>
      </c>
      <c r="N28" s="31" t="n">
        <f aca="false">①札幌予測確定!R29</f>
        <v>0.241186404897615</v>
      </c>
      <c r="O28" s="65" t="n">
        <f aca="false">N28-L28</f>
        <v>0.0415629345493246</v>
      </c>
      <c r="P28" s="65" t="n">
        <f aca="false">L28-I28</f>
        <v>-0.07811044334068</v>
      </c>
      <c r="Q28" s="33" t="str">
        <f aca="false">IF(O28&gt;=0.005,"↑ 伸長",IF(O28&lt;=-0.005,"↓ 減退","→ 横ばい"))</f>
        <v>↑ 伸長</v>
      </c>
    </row>
    <row r="29" customFormat="false" ht="15" hidden="false" customHeight="false" outlineLevel="0" collapsed="false">
      <c r="A29" s="26" t="n">
        <v>24</v>
      </c>
      <c r="B29" s="26" t="s">
        <v>226</v>
      </c>
      <c r="C29" s="27" t="s">
        <v>227</v>
      </c>
      <c r="D29" s="29" t="n">
        <v>14981</v>
      </c>
      <c r="E29" s="29" t="n">
        <v>8213</v>
      </c>
      <c r="F29" s="29" t="n">
        <v>5195</v>
      </c>
      <c r="G29" s="29" t="n">
        <v>6978</v>
      </c>
      <c r="H29" s="29" t="n">
        <v>543</v>
      </c>
      <c r="I29" s="31" t="n">
        <f aca="false">IFERROR(D29/D$48,0)</f>
        <v>0.101096602220198</v>
      </c>
      <c r="J29" s="31" t="n">
        <f aca="false">IFERROR(E29/E$48,0)</f>
        <v>0.140153583617747</v>
      </c>
      <c r="K29" s="31" t="n">
        <f aca="false">IFERROR(F29/F$48,0)</f>
        <v>0.115776336609391</v>
      </c>
      <c r="L29" s="31" t="n">
        <f aca="false">IFERROR(G29/G$48,0)</f>
        <v>0.109475996234703</v>
      </c>
      <c r="M29" s="31" t="n">
        <f aca="false">IFERROR(H29/H$48,0)</f>
        <v>0.129625208880401</v>
      </c>
      <c r="N29" s="31" t="n">
        <f aca="false">①札幌予測確定!R30</f>
        <v>0.129934557736964</v>
      </c>
      <c r="O29" s="65" t="n">
        <f aca="false">N29-L29</f>
        <v>0.0204585615022608</v>
      </c>
      <c r="P29" s="65" t="n">
        <f aca="false">L29-I29</f>
        <v>0.00837939401450576</v>
      </c>
      <c r="Q29" s="33" t="str">
        <f aca="false">IF(O29&gt;=0.005,"↑ 伸長",IF(O29&lt;=-0.005,"↓ 減退","→ 横ばい"))</f>
        <v>↑ 伸長</v>
      </c>
    </row>
    <row r="30" customFormat="false" ht="15" hidden="false" customHeight="false" outlineLevel="0" collapsed="false">
      <c r="A30" s="26" t="n">
        <v>25</v>
      </c>
      <c r="B30" s="26" t="s">
        <v>228</v>
      </c>
      <c r="C30" s="27" t="s">
        <v>229</v>
      </c>
      <c r="D30" s="29" t="n">
        <v>849</v>
      </c>
      <c r="E30" s="29" t="n">
        <v>221</v>
      </c>
      <c r="F30" s="29" t="n">
        <v>168</v>
      </c>
      <c r="G30" s="29" t="n">
        <v>243</v>
      </c>
      <c r="H30" s="29" t="n">
        <v>18</v>
      </c>
      <c r="I30" s="31" t="n">
        <f aca="false">IFERROR(D30/D$48,0)</f>
        <v>0.00572932483044843</v>
      </c>
      <c r="J30" s="31" t="n">
        <f aca="false">IFERROR(E30/E$48,0)</f>
        <v>0.00377133105802048</v>
      </c>
      <c r="K30" s="31" t="n">
        <f aca="false">IFERROR(F30/F$48,0)</f>
        <v>0.00374406632346059</v>
      </c>
      <c r="L30" s="31" t="n">
        <f aca="false">IFERROR(G30/G$48,0)</f>
        <v>0.00381236272356448</v>
      </c>
      <c r="M30" s="31" t="n">
        <f aca="false">IFERROR(H30/H$48,0)</f>
        <v>0.00429696825017904</v>
      </c>
      <c r="N30" s="31" t="n">
        <f aca="false">①札幌予測確定!R31</f>
        <v>0.00453873759763564</v>
      </c>
      <c r="O30" s="65" t="n">
        <f aca="false">N30-L30</f>
        <v>0.000726374874071154</v>
      </c>
      <c r="P30" s="65" t="n">
        <f aca="false">L30-I30</f>
        <v>-0.00191696210688395</v>
      </c>
      <c r="Q30" s="33" t="str">
        <f aca="false">IF(O30&gt;=0.005,"↑ 伸長",IF(O30&lt;=-0.005,"↓ 減退","→ 横ばい"))</f>
        <v>→ 横ばい</v>
      </c>
    </row>
    <row r="31" customFormat="false" ht="15" hidden="false" customHeight="false" outlineLevel="0" collapsed="false">
      <c r="A31" s="26" t="n">
        <v>26</v>
      </c>
      <c r="B31" s="26" t="s">
        <v>230</v>
      </c>
      <c r="C31" s="27" t="s">
        <v>231</v>
      </c>
      <c r="D31" s="29" t="n">
        <v>1283</v>
      </c>
      <c r="E31" s="29" t="n">
        <v>513</v>
      </c>
      <c r="F31" s="29" t="n">
        <v>444</v>
      </c>
      <c r="G31" s="29" t="n">
        <v>842</v>
      </c>
      <c r="H31" s="29" t="n">
        <v>85</v>
      </c>
      <c r="I31" s="31" t="n">
        <f aca="false">IFERROR(D31/D$48,0)</f>
        <v>0.00865809629854574</v>
      </c>
      <c r="J31" s="31" t="n">
        <f aca="false">IFERROR(E31/E$48,0)</f>
        <v>0.0087542662116041</v>
      </c>
      <c r="K31" s="31" t="n">
        <f aca="false">IFERROR(F31/F$48,0)</f>
        <v>0.0098950324262887</v>
      </c>
      <c r="L31" s="31" t="n">
        <f aca="false">IFERROR(G31/G$48,0)</f>
        <v>0.0132099152808284</v>
      </c>
      <c r="M31" s="31" t="n">
        <f aca="false">IFERROR(H31/H$48,0)</f>
        <v>0.0202912389591788</v>
      </c>
      <c r="N31" s="31" t="n">
        <f aca="false">①札幌予測確定!R32</f>
        <v>0.0178382942790796</v>
      </c>
      <c r="O31" s="65" t="n">
        <f aca="false">N31-L31</f>
        <v>0.00462837899825122</v>
      </c>
      <c r="P31" s="65" t="n">
        <f aca="false">L31-I31</f>
        <v>0.00455181898228263</v>
      </c>
      <c r="Q31" s="33" t="str">
        <f aca="false">IF(O31&gt;=0.005,"↑ 伸長",IF(O31&lt;=-0.005,"↓ 減退","→ 横ばい"))</f>
        <v>→ 横ばい</v>
      </c>
    </row>
    <row r="32" customFormat="false" ht="15" hidden="false" customHeight="false" outlineLevel="0" collapsed="false">
      <c r="A32" s="26" t="n">
        <v>27</v>
      </c>
      <c r="B32" s="26" t="s">
        <v>232</v>
      </c>
      <c r="C32" s="27" t="s">
        <v>233</v>
      </c>
      <c r="D32" s="29" t="n">
        <v>466</v>
      </c>
      <c r="E32" s="29" t="n">
        <v>103</v>
      </c>
      <c r="F32" s="29" t="n">
        <v>69</v>
      </c>
      <c r="G32" s="29" t="n">
        <v>145</v>
      </c>
      <c r="H32" s="29" t="n">
        <v>15</v>
      </c>
      <c r="I32" s="31" t="n">
        <f aca="false">IFERROR(D32/D$48,0)</f>
        <v>0.00314471775145932</v>
      </c>
      <c r="J32" s="31" t="n">
        <f aca="false">IFERROR(E32/E$48,0)</f>
        <v>0.00175767918088737</v>
      </c>
      <c r="K32" s="31" t="n">
        <f aca="false">IFERROR(F32/F$48,0)</f>
        <v>0.00153774152570703</v>
      </c>
      <c r="L32" s="31" t="n">
        <f aca="false">IFERROR(G32/G$48,0)</f>
        <v>0.00227486664574835</v>
      </c>
      <c r="M32" s="31" t="n">
        <f aca="false">IFERROR(H32/H$48,0)</f>
        <v>0.0035808068751492</v>
      </c>
      <c r="N32" s="31" t="n">
        <f aca="false">①札幌予測確定!R33</f>
        <v>0.004327633523327</v>
      </c>
      <c r="O32" s="65" t="n">
        <f aca="false">N32-L32</f>
        <v>0.00205276687757865</v>
      </c>
      <c r="P32" s="65" t="n">
        <f aca="false">L32-I32</f>
        <v>-0.000869851105710972</v>
      </c>
      <c r="Q32" s="33" t="str">
        <f aca="false">IF(O32&gt;=0.005,"↑ 伸長",IF(O32&lt;=-0.005,"↓ 減退","→ 横ばい"))</f>
        <v>→ 横ばい</v>
      </c>
    </row>
    <row r="33" customFormat="false" ht="15" hidden="false" customHeight="false" outlineLevel="0" collapsed="false">
      <c r="A33" s="26" t="n">
        <v>28</v>
      </c>
      <c r="B33" s="26" t="s">
        <v>234</v>
      </c>
      <c r="C33" s="27" t="s">
        <v>235</v>
      </c>
      <c r="D33" s="29" t="n">
        <v>1034</v>
      </c>
      <c r="E33" s="29" t="n">
        <v>436</v>
      </c>
      <c r="F33" s="29" t="n">
        <v>333</v>
      </c>
      <c r="G33" s="29" t="n">
        <v>400</v>
      </c>
      <c r="H33" s="29" t="n">
        <v>130</v>
      </c>
      <c r="I33" s="31" t="n">
        <f aca="false">IFERROR(D33/D$48,0)</f>
        <v>0.00697776428113507</v>
      </c>
      <c r="J33" s="31" t="n">
        <f aca="false">IFERROR(E33/E$48,0)</f>
        <v>0.00744027303754266</v>
      </c>
      <c r="K33" s="31" t="n">
        <f aca="false">IFERROR(F33/F$48,0)</f>
        <v>0.00742127431971652</v>
      </c>
      <c r="L33" s="31" t="n">
        <f aca="false">IFERROR(G33/G$48,0)</f>
        <v>0.00627549419516787</v>
      </c>
      <c r="M33" s="31" t="n">
        <f aca="false">IFERROR(H33/H$48,0)</f>
        <v>0.0310336595846264</v>
      </c>
      <c r="N33" s="31" t="n">
        <f aca="false">①札幌予測確定!R34</f>
        <v>0.0225881359510239</v>
      </c>
      <c r="O33" s="65" t="n">
        <f aca="false">N33-L33</f>
        <v>0.016312641755856</v>
      </c>
      <c r="P33" s="65" t="n">
        <f aca="false">L33-I33</f>
        <v>-0.000702270085967198</v>
      </c>
      <c r="Q33" s="33" t="str">
        <f aca="false">IF(O33&gt;=0.005,"↑ 伸長",IF(O33&lt;=-0.005,"↓ 減退","→ 横ばい"))</f>
        <v>↑ 伸長</v>
      </c>
    </row>
    <row r="34" customFormat="false" ht="15" hidden="false" customHeight="false" outlineLevel="0" collapsed="false">
      <c r="A34" s="26" t="n">
        <v>29</v>
      </c>
      <c r="B34" s="26" t="s">
        <v>236</v>
      </c>
      <c r="C34" s="27" t="s">
        <v>237</v>
      </c>
      <c r="D34" s="29" t="n">
        <v>794</v>
      </c>
      <c r="E34" s="29" t="n">
        <v>318</v>
      </c>
      <c r="F34" s="29" t="n">
        <v>249</v>
      </c>
      <c r="G34" s="29" t="n">
        <v>200</v>
      </c>
      <c r="H34" s="29" t="n">
        <v>66</v>
      </c>
      <c r="I34" s="31" t="n">
        <f aca="false">IFERROR(D34/D$48,0)</f>
        <v>0.00535816715591997</v>
      </c>
      <c r="J34" s="31" t="n">
        <f aca="false">IFERROR(E34/E$48,0)</f>
        <v>0.00542662116040956</v>
      </c>
      <c r="K34" s="31" t="n">
        <f aca="false">IFERROR(F34/F$48,0)</f>
        <v>0.00554924115798623</v>
      </c>
      <c r="L34" s="31" t="n">
        <f aca="false">IFERROR(G34/G$48,0)</f>
        <v>0.00313774709758393</v>
      </c>
      <c r="M34" s="31" t="n">
        <f aca="false">IFERROR(H34/H$48,0)</f>
        <v>0.0157555502506565</v>
      </c>
      <c r="N34" s="31" t="n">
        <f aca="false">①札幌予測確定!R35</f>
        <v>0.0102385476039688</v>
      </c>
      <c r="O34" s="65" t="n">
        <f aca="false">N34-L34</f>
        <v>0.00710080050638482</v>
      </c>
      <c r="P34" s="65" t="n">
        <f aca="false">L34-I34</f>
        <v>-0.00222042005833603</v>
      </c>
      <c r="Q34" s="33" t="str">
        <f aca="false">IF(O34&gt;=0.005,"↑ 伸長",IF(O34&lt;=-0.005,"↓ 減退","→ 横ばい"))</f>
        <v>↑ 伸長</v>
      </c>
    </row>
    <row r="35" customFormat="false" ht="15" hidden="false" customHeight="false" outlineLevel="0" collapsed="false">
      <c r="A35" s="26" t="n">
        <v>30</v>
      </c>
      <c r="B35" s="26" t="s">
        <v>238</v>
      </c>
      <c r="C35" s="27" t="s">
        <v>239</v>
      </c>
      <c r="D35" s="29" t="n">
        <v>615</v>
      </c>
      <c r="E35" s="29" t="n">
        <v>169</v>
      </c>
      <c r="F35" s="29" t="n">
        <v>89</v>
      </c>
      <c r="G35" s="29" t="n">
        <v>205</v>
      </c>
      <c r="H35" s="29" t="n">
        <v>20</v>
      </c>
      <c r="I35" s="31" t="n">
        <f aca="false">IFERROR(D35/D$48,0)</f>
        <v>0.0041502176333637</v>
      </c>
      <c r="J35" s="31" t="n">
        <f aca="false">IFERROR(E35/E$48,0)</f>
        <v>0.0028839590443686</v>
      </c>
      <c r="K35" s="31" t="n">
        <f aca="false">IFERROR(F35/F$48,0)</f>
        <v>0.00198346370707138</v>
      </c>
      <c r="L35" s="31" t="n">
        <f aca="false">IFERROR(G35/G$48,0)</f>
        <v>0.00321619077502353</v>
      </c>
      <c r="M35" s="31" t="n">
        <f aca="false">IFERROR(H35/H$48,0)</f>
        <v>0.0047744091668656</v>
      </c>
      <c r="N35" s="31" t="n">
        <f aca="false">①札幌予測確定!R36</f>
        <v>0.00654422630356766</v>
      </c>
      <c r="O35" s="65" t="n">
        <f aca="false">N35-L35</f>
        <v>0.00332803552854413</v>
      </c>
      <c r="P35" s="65" t="n">
        <f aca="false">L35-I35</f>
        <v>-0.000934026858340168</v>
      </c>
      <c r="Q35" s="33" t="str">
        <f aca="false">IF(O35&gt;=0.005,"↑ 伸長",IF(O35&lt;=-0.005,"↓ 減退","→ 横ばい"))</f>
        <v>→ 横ばい</v>
      </c>
    </row>
    <row r="36" customFormat="false" ht="15" hidden="false" customHeight="false" outlineLevel="0" collapsed="false">
      <c r="A36" s="26" t="n">
        <v>31</v>
      </c>
      <c r="B36" s="26" t="s">
        <v>240</v>
      </c>
      <c r="C36" s="27" t="s">
        <v>241</v>
      </c>
      <c r="D36" s="29" t="n">
        <v>1215</v>
      </c>
      <c r="E36" s="29" t="n">
        <v>235</v>
      </c>
      <c r="F36" s="29" t="n">
        <v>178</v>
      </c>
      <c r="G36" s="29" t="n">
        <v>427</v>
      </c>
      <c r="H36" s="29" t="n">
        <v>43</v>
      </c>
      <c r="I36" s="31" t="n">
        <f aca="false">IFERROR(D36/D$48,0)</f>
        <v>0.00819921044640146</v>
      </c>
      <c r="J36" s="31" t="n">
        <f aca="false">IFERROR(E36/E$48,0)</f>
        <v>0.00401023890784983</v>
      </c>
      <c r="K36" s="31" t="n">
        <f aca="false">IFERROR(F36/F$48,0)</f>
        <v>0.00396692741414277</v>
      </c>
      <c r="L36" s="31" t="n">
        <f aca="false">IFERROR(G36/G$48,0)</f>
        <v>0.0066990900533417</v>
      </c>
      <c r="M36" s="31" t="n">
        <f aca="false">IFERROR(H36/H$48,0)</f>
        <v>0.010264979708761</v>
      </c>
      <c r="N36" s="31" t="n">
        <f aca="false">①札幌予測確定!R37</f>
        <v>0.0101329955668144</v>
      </c>
      <c r="O36" s="65" t="n">
        <f aca="false">N36-L36</f>
        <v>0.00343390551347274</v>
      </c>
      <c r="P36" s="65" t="n">
        <f aca="false">L36-I36</f>
        <v>-0.00150012039305976</v>
      </c>
      <c r="Q36" s="33" t="str">
        <f aca="false">IF(O36&gt;=0.005,"↑ 伸長",IF(O36&lt;=-0.005,"↓ 減退","→ 横ばい"))</f>
        <v>→ 横ばい</v>
      </c>
    </row>
    <row r="37" customFormat="false" ht="15" hidden="false" customHeight="false" outlineLevel="0" collapsed="false">
      <c r="A37" s="26" t="n">
        <v>32</v>
      </c>
      <c r="B37" s="26" t="s">
        <v>242</v>
      </c>
      <c r="C37" s="27" t="s">
        <v>243</v>
      </c>
      <c r="D37" s="29" t="n">
        <v>47</v>
      </c>
      <c r="E37" s="29" t="n">
        <v>36</v>
      </c>
      <c r="F37" s="29" t="n">
        <v>30</v>
      </c>
      <c r="G37" s="29" t="n">
        <v>40</v>
      </c>
      <c r="H37" s="29" t="n">
        <v>10</v>
      </c>
      <c r="I37" s="31" t="n">
        <f aca="false">IFERROR(D37/D$48,0)</f>
        <v>0.000317171103687958</v>
      </c>
      <c r="J37" s="31" t="n">
        <f aca="false">IFERROR(E37/E$48,0)</f>
        <v>0.000614334470989761</v>
      </c>
      <c r="K37" s="31" t="n">
        <f aca="false">IFERROR(F37/F$48,0)</f>
        <v>0.000668583272046533</v>
      </c>
      <c r="L37" s="31" t="n">
        <f aca="false">IFERROR(G37/G$48,0)</f>
        <v>0.000627549419516787</v>
      </c>
      <c r="M37" s="31" t="n">
        <f aca="false">IFERROR(H37/H$48,0)</f>
        <v>0.0023872045834328</v>
      </c>
      <c r="N37" s="31" t="n">
        <f aca="false">①札幌予測確定!R38</f>
        <v>0.00105552037154317</v>
      </c>
      <c r="O37" s="65" t="n">
        <f aca="false">N37-L37</f>
        <v>0.000427970952026384</v>
      </c>
      <c r="P37" s="65" t="n">
        <f aca="false">L37-I37</f>
        <v>0.000310378315828829</v>
      </c>
      <c r="Q37" s="33" t="str">
        <f aca="false">IF(O37&gt;=0.005,"↑ 伸長",IF(O37&lt;=-0.005,"↓ 減退","→ 横ばい"))</f>
        <v>→ 横ばい</v>
      </c>
    </row>
    <row r="38" customFormat="false" ht="15" hidden="false" customHeight="false" outlineLevel="0" collapsed="false">
      <c r="A38" s="26" t="n">
        <v>33</v>
      </c>
      <c r="B38" s="26" t="s">
        <v>244</v>
      </c>
      <c r="C38" s="27" t="s">
        <v>245</v>
      </c>
      <c r="D38" s="29" t="n">
        <v>10</v>
      </c>
      <c r="E38" s="29" t="n">
        <v>37</v>
      </c>
      <c r="F38" s="29" t="n">
        <v>14</v>
      </c>
      <c r="G38" s="29" t="n">
        <v>21</v>
      </c>
      <c r="H38" s="29" t="n">
        <v>0</v>
      </c>
      <c r="I38" s="31" t="n">
        <f aca="false">IFERROR(D38/D$48,0)</f>
        <v>6.74832135506293E-005</v>
      </c>
      <c r="J38" s="31" t="n">
        <f aca="false">IFERROR(E38/E$48,0)</f>
        <v>0.000631399317406143</v>
      </c>
      <c r="K38" s="31" t="n">
        <f aca="false">IFERROR(F38/F$48,0)</f>
        <v>0.000312005526955049</v>
      </c>
      <c r="L38" s="31" t="n">
        <f aca="false">IFERROR(G38/G$48,0)</f>
        <v>0.000329463445246313</v>
      </c>
      <c r="M38" s="31" t="n">
        <f aca="false">IFERROR(H38/H$48,0)</f>
        <v>0</v>
      </c>
      <c r="N38" s="31" t="n">
        <f aca="false">①札幌予測確定!R39</f>
        <v>0</v>
      </c>
      <c r="O38" s="65" t="n">
        <f aca="false">N38-L38</f>
        <v>-0.000329463445246313</v>
      </c>
      <c r="P38" s="65" t="n">
        <f aca="false">L38-I38</f>
        <v>0.000261980231695684</v>
      </c>
      <c r="Q38" s="33" t="str">
        <f aca="false">IF(O38&gt;=0.005,"↑ 伸長",IF(O38&lt;=-0.005,"↓ 減退","→ 横ばい"))</f>
        <v>→ 横ばい</v>
      </c>
    </row>
    <row r="39" customFormat="false" ht="15" hidden="false" customHeight="false" outlineLevel="0" collapsed="false">
      <c r="A39" s="26" t="n">
        <v>34</v>
      </c>
      <c r="B39" s="26" t="s">
        <v>246</v>
      </c>
      <c r="C39" s="27" t="s">
        <v>247</v>
      </c>
      <c r="D39" s="29" t="n">
        <v>10</v>
      </c>
      <c r="E39" s="29" t="n">
        <v>3</v>
      </c>
      <c r="F39" s="29" t="n">
        <v>3</v>
      </c>
      <c r="G39" s="29" t="n">
        <v>3</v>
      </c>
      <c r="H39" s="29" t="n">
        <v>1</v>
      </c>
      <c r="I39" s="31" t="n">
        <f aca="false">IFERROR(D39/D$48,0)</f>
        <v>6.74832135506293E-005</v>
      </c>
      <c r="J39" s="31" t="n">
        <f aca="false">IFERROR(E39/E$48,0)</f>
        <v>5.11945392491468E-005</v>
      </c>
      <c r="K39" s="31" t="n">
        <f aca="false">IFERROR(F39/F$48,0)</f>
        <v>6.68583272046533E-005</v>
      </c>
      <c r="L39" s="31" t="n">
        <f aca="false">IFERROR(G39/G$48,0)</f>
        <v>4.7066206463759E-005</v>
      </c>
      <c r="M39" s="31" t="n">
        <f aca="false">IFERROR(H39/H$48,0)</f>
        <v>0.00023872045834328</v>
      </c>
      <c r="N39" s="31" t="n">
        <f aca="false">①札幌予測確定!R40</f>
        <v>0.000105552037154317</v>
      </c>
      <c r="O39" s="65" t="n">
        <f aca="false">N39-L39</f>
        <v>5.84858306905581E-005</v>
      </c>
      <c r="P39" s="65" t="n">
        <f aca="false">L39-I39</f>
        <v>-2.04170070868703E-005</v>
      </c>
      <c r="Q39" s="33" t="str">
        <f aca="false">IF(O39&gt;=0.005,"↑ 伸長",IF(O39&lt;=-0.005,"↓ 減退","→ 横ばい"))</f>
        <v>→ 横ばい</v>
      </c>
    </row>
    <row r="40" customFormat="false" ht="15" hidden="false" customHeight="false" outlineLevel="0" collapsed="false">
      <c r="A40" s="26" t="n">
        <v>35</v>
      </c>
      <c r="B40" s="26" t="s">
        <v>248</v>
      </c>
      <c r="C40" s="27" t="s">
        <v>249</v>
      </c>
      <c r="D40" s="29" t="n">
        <v>10</v>
      </c>
      <c r="E40" s="29" t="n">
        <v>3</v>
      </c>
      <c r="F40" s="29" t="n">
        <v>3</v>
      </c>
      <c r="G40" s="29" t="n">
        <v>3</v>
      </c>
      <c r="H40" s="29" t="n">
        <v>0</v>
      </c>
      <c r="I40" s="31" t="n">
        <f aca="false">IFERROR(D40/D$48,0)</f>
        <v>6.74832135506293E-005</v>
      </c>
      <c r="J40" s="31" t="n">
        <f aca="false">IFERROR(E40/E$48,0)</f>
        <v>5.11945392491468E-005</v>
      </c>
      <c r="K40" s="31" t="n">
        <f aca="false">IFERROR(F40/F$48,0)</f>
        <v>6.68583272046533E-005</v>
      </c>
      <c r="L40" s="31" t="n">
        <f aca="false">IFERROR(G40/G$48,0)</f>
        <v>4.7066206463759E-005</v>
      </c>
      <c r="M40" s="31" t="n">
        <f aca="false">IFERROR(H40/H$48,0)</f>
        <v>0</v>
      </c>
      <c r="N40" s="31" t="n">
        <f aca="false">①札幌予測確定!R41</f>
        <v>0</v>
      </c>
      <c r="O40" s="65" t="n">
        <f aca="false">N40-L40</f>
        <v>-4.7066206463759E-005</v>
      </c>
      <c r="P40" s="65" t="n">
        <f aca="false">L40-I40</f>
        <v>-2.04170070868703E-005</v>
      </c>
      <c r="Q40" s="33" t="str">
        <f aca="false">IF(O40&gt;=0.005,"↑ 伸長",IF(O40&lt;=-0.005,"↓ 減退","→ 横ばい"))</f>
        <v>→ 横ばい</v>
      </c>
    </row>
    <row r="41" customFormat="false" ht="15" hidden="false" customHeight="false" outlineLevel="0" collapsed="false">
      <c r="A41" s="26" t="n">
        <v>36</v>
      </c>
      <c r="B41" s="26" t="s">
        <v>250</v>
      </c>
      <c r="C41" s="27" t="s">
        <v>251</v>
      </c>
      <c r="D41" s="29" t="n">
        <v>8</v>
      </c>
      <c r="E41" s="29" t="n">
        <v>3</v>
      </c>
      <c r="F41" s="29" t="n">
        <v>3</v>
      </c>
      <c r="G41" s="29" t="n">
        <v>3</v>
      </c>
      <c r="H41" s="29" t="n">
        <v>0</v>
      </c>
      <c r="I41" s="31" t="n">
        <f aca="false">IFERROR(D41/D$48,0)</f>
        <v>5.39865708405034E-005</v>
      </c>
      <c r="J41" s="31" t="n">
        <f aca="false">IFERROR(E41/E$48,0)</f>
        <v>5.11945392491468E-005</v>
      </c>
      <c r="K41" s="31" t="n">
        <f aca="false">IFERROR(F41/F$48,0)</f>
        <v>6.68583272046533E-005</v>
      </c>
      <c r="L41" s="31" t="n">
        <f aca="false">IFERROR(G41/G$48,0)</f>
        <v>4.7066206463759E-005</v>
      </c>
      <c r="M41" s="31" t="n">
        <f aca="false">IFERROR(H41/H$48,0)</f>
        <v>0</v>
      </c>
      <c r="N41" s="31" t="n">
        <f aca="false">①札幌予測確定!R42</f>
        <v>0</v>
      </c>
      <c r="O41" s="65" t="n">
        <f aca="false">N41-L41</f>
        <v>-4.7066206463759E-005</v>
      </c>
      <c r="P41" s="65" t="n">
        <f aca="false">L41-I41</f>
        <v>-6.92036437674441E-006</v>
      </c>
      <c r="Q41" s="33" t="str">
        <f aca="false">IF(O41&gt;=0.005,"↑ 伸長",IF(O41&lt;=-0.005,"↓ 減退","→ 横ばい"))</f>
        <v>→ 横ばい</v>
      </c>
    </row>
    <row r="42" customFormat="false" ht="15" hidden="false" customHeight="false" outlineLevel="0" collapsed="false">
      <c r="A42" s="26" t="n">
        <v>37</v>
      </c>
      <c r="B42" s="26" t="s">
        <v>252</v>
      </c>
      <c r="C42" s="27" t="s">
        <v>253</v>
      </c>
      <c r="D42" s="29" t="n">
        <v>10</v>
      </c>
      <c r="E42" s="29" t="n">
        <v>19</v>
      </c>
      <c r="F42" s="29" t="n">
        <v>12</v>
      </c>
      <c r="G42" s="29" t="n">
        <v>26</v>
      </c>
      <c r="H42" s="29" t="n">
        <v>0</v>
      </c>
      <c r="I42" s="31" t="n">
        <f aca="false">IFERROR(D42/D$48,0)</f>
        <v>6.74832135506293E-005</v>
      </c>
      <c r="J42" s="31" t="n">
        <f aca="false">IFERROR(E42/E$48,0)</f>
        <v>0.000324232081911263</v>
      </c>
      <c r="K42" s="31" t="n">
        <f aca="false">IFERROR(F42/F$48,0)</f>
        <v>0.000267433308818613</v>
      </c>
      <c r="L42" s="31" t="n">
        <f aca="false">IFERROR(G42/G$48,0)</f>
        <v>0.000407907122685912</v>
      </c>
      <c r="M42" s="31" t="n">
        <f aca="false">IFERROR(H42/H$48,0)</f>
        <v>0</v>
      </c>
      <c r="N42" s="31" t="n">
        <f aca="false">①札幌予測確定!R43</f>
        <v>0</v>
      </c>
      <c r="O42" s="65" t="n">
        <f aca="false">N42-L42</f>
        <v>-0.000407907122685912</v>
      </c>
      <c r="P42" s="65" t="n">
        <f aca="false">L42-I42</f>
        <v>0.000340423909135282</v>
      </c>
      <c r="Q42" s="33" t="str">
        <f aca="false">IF(O42&gt;=0.005,"↑ 伸長",IF(O42&lt;=-0.005,"↓ 減退","→ 横ばい"))</f>
        <v>→ 横ばい</v>
      </c>
    </row>
    <row r="43" customFormat="false" ht="15" hidden="false" customHeight="false" outlineLevel="0" collapsed="false">
      <c r="A43" s="26" t="n">
        <v>38</v>
      </c>
      <c r="B43" s="26" t="s">
        <v>254</v>
      </c>
      <c r="C43" s="27" t="s">
        <v>255</v>
      </c>
      <c r="D43" s="29" t="n">
        <v>10</v>
      </c>
      <c r="E43" s="29" t="n">
        <v>3</v>
      </c>
      <c r="F43" s="29" t="n">
        <v>3</v>
      </c>
      <c r="G43" s="29" t="n">
        <v>3</v>
      </c>
      <c r="H43" s="29" t="n">
        <v>1</v>
      </c>
      <c r="I43" s="31" t="n">
        <f aca="false">IFERROR(D43/D$48,0)</f>
        <v>6.74832135506293E-005</v>
      </c>
      <c r="J43" s="31" t="n">
        <f aca="false">IFERROR(E43/E$48,0)</f>
        <v>5.11945392491468E-005</v>
      </c>
      <c r="K43" s="31" t="n">
        <f aca="false">IFERROR(F43/F$48,0)</f>
        <v>6.68583272046533E-005</v>
      </c>
      <c r="L43" s="31" t="n">
        <f aca="false">IFERROR(G43/G$48,0)</f>
        <v>4.7066206463759E-005</v>
      </c>
      <c r="M43" s="31" t="n">
        <f aca="false">IFERROR(H43/H$48,0)</f>
        <v>0.00023872045834328</v>
      </c>
      <c r="N43" s="31" t="n">
        <f aca="false">①札幌予測確定!R44</f>
        <v>0.000105552037154317</v>
      </c>
      <c r="O43" s="65" t="n">
        <f aca="false">N43-L43</f>
        <v>5.84858306905581E-005</v>
      </c>
      <c r="P43" s="65" t="n">
        <f aca="false">L43-I43</f>
        <v>-2.04170070868703E-005</v>
      </c>
      <c r="Q43" s="33" t="str">
        <f aca="false">IF(O43&gt;=0.005,"↑ 伸長",IF(O43&lt;=-0.005,"↓ 減退","→ 横ばい"))</f>
        <v>→ 横ばい</v>
      </c>
    </row>
    <row r="44" customFormat="false" ht="15" hidden="false" customHeight="false" outlineLevel="0" collapsed="false">
      <c r="A44" s="26" t="n">
        <v>39</v>
      </c>
      <c r="B44" s="26" t="s">
        <v>256</v>
      </c>
      <c r="C44" s="27" t="s">
        <v>257</v>
      </c>
      <c r="D44" s="29" t="n">
        <v>10</v>
      </c>
      <c r="E44" s="29" t="n">
        <v>3</v>
      </c>
      <c r="F44" s="29" t="n">
        <v>2</v>
      </c>
      <c r="G44" s="29" t="n">
        <v>3</v>
      </c>
      <c r="H44" s="29" t="n">
        <v>1</v>
      </c>
      <c r="I44" s="31" t="n">
        <f aca="false">IFERROR(D44/D$48,0)</f>
        <v>6.74832135506293E-005</v>
      </c>
      <c r="J44" s="31" t="n">
        <f aca="false">IFERROR(E44/E$48,0)</f>
        <v>5.11945392491468E-005</v>
      </c>
      <c r="K44" s="31" t="n">
        <f aca="false">IFERROR(F44/F$48,0)</f>
        <v>4.45722181364356E-005</v>
      </c>
      <c r="L44" s="31" t="n">
        <f aca="false">IFERROR(G44/G$48,0)</f>
        <v>4.7066206463759E-005</v>
      </c>
      <c r="M44" s="31" t="n">
        <f aca="false">IFERROR(H44/H$48,0)</f>
        <v>0.00023872045834328</v>
      </c>
      <c r="N44" s="31" t="n">
        <f aca="false">①札幌予測確定!R45</f>
        <v>0.000105552037154317</v>
      </c>
      <c r="O44" s="65" t="n">
        <f aca="false">N44-L44</f>
        <v>5.84858306905581E-005</v>
      </c>
      <c r="P44" s="65" t="n">
        <f aca="false">L44-I44</f>
        <v>-2.04170070868703E-005</v>
      </c>
      <c r="Q44" s="33" t="str">
        <f aca="false">IF(O44&gt;=0.005,"↑ 伸長",IF(O44&lt;=-0.005,"↓ 減退","→ 横ばい"))</f>
        <v>→ 横ばい</v>
      </c>
    </row>
    <row r="45" customFormat="false" ht="15" hidden="false" customHeight="false" outlineLevel="0" collapsed="false">
      <c r="A45" s="26" t="n">
        <v>40</v>
      </c>
      <c r="B45" s="26" t="s">
        <v>258</v>
      </c>
      <c r="C45" s="27" t="s">
        <v>259</v>
      </c>
      <c r="D45" s="29" t="n">
        <v>8</v>
      </c>
      <c r="E45" s="29" t="n">
        <v>3</v>
      </c>
      <c r="F45" s="29" t="n">
        <v>3</v>
      </c>
      <c r="G45" s="29" t="n">
        <v>3</v>
      </c>
      <c r="H45" s="29" t="n">
        <v>0</v>
      </c>
      <c r="I45" s="31" t="n">
        <f aca="false">IFERROR(D45/D$48,0)</f>
        <v>5.39865708405034E-005</v>
      </c>
      <c r="J45" s="31" t="n">
        <f aca="false">IFERROR(E45/E$48,0)</f>
        <v>5.11945392491468E-005</v>
      </c>
      <c r="K45" s="31" t="n">
        <f aca="false">IFERROR(F45/F$48,0)</f>
        <v>6.68583272046533E-005</v>
      </c>
      <c r="L45" s="31" t="n">
        <f aca="false">IFERROR(G45/G$48,0)</f>
        <v>4.7066206463759E-005</v>
      </c>
      <c r="M45" s="31" t="n">
        <f aca="false">IFERROR(H45/H$48,0)</f>
        <v>0</v>
      </c>
      <c r="N45" s="31" t="n">
        <f aca="false">①札幌予測確定!R46</f>
        <v>0</v>
      </c>
      <c r="O45" s="65" t="n">
        <f aca="false">N45-L45</f>
        <v>-4.7066206463759E-005</v>
      </c>
      <c r="P45" s="65" t="n">
        <f aca="false">L45-I45</f>
        <v>-6.92036437674441E-006</v>
      </c>
      <c r="Q45" s="33" t="str">
        <f aca="false">IF(O45&gt;=0.005,"↑ 伸長",IF(O45&lt;=-0.005,"↓ 減退","→ 横ばい"))</f>
        <v>→ 横ばい</v>
      </c>
    </row>
    <row r="46" customFormat="false" ht="15" hidden="false" customHeight="false" outlineLevel="0" collapsed="false">
      <c r="A46" s="26" t="n">
        <v>41</v>
      </c>
      <c r="B46" s="26" t="s">
        <v>260</v>
      </c>
      <c r="C46" s="27" t="s">
        <v>261</v>
      </c>
      <c r="D46" s="29" t="n">
        <v>12</v>
      </c>
      <c r="E46" s="29" t="n">
        <v>5</v>
      </c>
      <c r="F46" s="29" t="n">
        <v>1</v>
      </c>
      <c r="G46" s="29" t="n">
        <v>2</v>
      </c>
      <c r="H46" s="29" t="n">
        <v>0</v>
      </c>
      <c r="I46" s="31" t="n">
        <f aca="false">IFERROR(D46/D$48,0)</f>
        <v>8.09798562607551E-005</v>
      </c>
      <c r="J46" s="31" t="n">
        <f aca="false">IFERROR(E46/E$48,0)</f>
        <v>8.53242320819113E-005</v>
      </c>
      <c r="K46" s="31" t="n">
        <f aca="false">IFERROR(F46/F$48,0)</f>
        <v>2.22861090682178E-005</v>
      </c>
      <c r="L46" s="31" t="n">
        <f aca="false">IFERROR(G46/G$48,0)</f>
        <v>3.13774709758394E-005</v>
      </c>
      <c r="M46" s="31" t="n">
        <f aca="false">IFERROR(H46/H$48,0)</f>
        <v>0</v>
      </c>
      <c r="N46" s="31" t="n">
        <f aca="false">①札幌予測確定!R47</f>
        <v>0</v>
      </c>
      <c r="O46" s="65" t="n">
        <f aca="false">N46-L46</f>
        <v>-3.13774709758394E-005</v>
      </c>
      <c r="P46" s="65" t="n">
        <f aca="false">L46-I46</f>
        <v>-4.96023852849158E-005</v>
      </c>
      <c r="Q46" s="33" t="str">
        <f aca="false">IF(O46&gt;=0.005,"↑ 伸長",IF(O46&lt;=-0.005,"↓ 減退","→ 横ばい"))</f>
        <v>→ 横ばい</v>
      </c>
    </row>
    <row r="47" customFormat="false" ht="15" hidden="false" customHeight="false" outlineLevel="0" collapsed="false">
      <c r="A47" s="26" t="n">
        <v>42</v>
      </c>
      <c r="B47" s="26" t="s">
        <v>262</v>
      </c>
      <c r="C47" s="27" t="s">
        <v>263</v>
      </c>
      <c r="D47" s="29" t="n">
        <v>24</v>
      </c>
      <c r="E47" s="29" t="n">
        <v>8</v>
      </c>
      <c r="F47" s="29" t="n">
        <v>3</v>
      </c>
      <c r="G47" s="29" t="n">
        <v>8</v>
      </c>
      <c r="H47" s="29" t="n">
        <v>1</v>
      </c>
      <c r="I47" s="31" t="n">
        <f aca="false">IFERROR(D47/D$48,0)</f>
        <v>0.00016195971252151</v>
      </c>
      <c r="J47" s="31" t="n">
        <f aca="false">IFERROR(E47/E$48,0)</f>
        <v>0.000136518771331058</v>
      </c>
      <c r="K47" s="31" t="n">
        <f aca="false">IFERROR(F47/F$48,0)</f>
        <v>6.68583272046533E-005</v>
      </c>
      <c r="L47" s="31" t="n">
        <f aca="false">IFERROR(G47/G$48,0)</f>
        <v>0.000125509883903357</v>
      </c>
      <c r="M47" s="31" t="n">
        <f aca="false">IFERROR(H47/H$48,0)</f>
        <v>0.00023872045834328</v>
      </c>
      <c r="N47" s="31" t="n">
        <f aca="false">①札幌予測確定!R48</f>
        <v>0.000316656111462951</v>
      </c>
      <c r="O47" s="65" t="n">
        <f aca="false">N47-L47</f>
        <v>0.000191146227559594</v>
      </c>
      <c r="P47" s="65" t="n">
        <f aca="false">L47-I47</f>
        <v>-3.64498286181529E-005</v>
      </c>
      <c r="Q47" s="33" t="str">
        <f aca="false">IF(O47&gt;=0.005,"↑ 伸長",IF(O47&lt;=-0.005,"↓ 減退","→ 横ばい"))</f>
        <v>→ 横ばい</v>
      </c>
    </row>
    <row r="48" customFormat="false" ht="15" hidden="false" customHeight="false" outlineLevel="0" collapsed="false">
      <c r="A48" s="34"/>
      <c r="B48" s="34"/>
      <c r="C48" s="35" t="s">
        <v>264</v>
      </c>
      <c r="D48" s="36" t="n">
        <f aca="false">SUM(D6:D47)</f>
        <v>148185</v>
      </c>
      <c r="E48" s="36" t="n">
        <f aca="false">SUM(E6:E47)</f>
        <v>58600</v>
      </c>
      <c r="F48" s="36" t="n">
        <f aca="false">SUM(F6:F47)</f>
        <v>44871</v>
      </c>
      <c r="G48" s="36" t="n">
        <f aca="false">SUM(G6:G47)</f>
        <v>63740</v>
      </c>
      <c r="H48" s="36" t="n">
        <f aca="false">SUM(H6:H47)</f>
        <v>4189</v>
      </c>
      <c r="I48" s="39" t="n">
        <v>1</v>
      </c>
      <c r="J48" s="39" t="n">
        <v>1</v>
      </c>
      <c r="K48" s="39" t="n">
        <v>1</v>
      </c>
      <c r="L48" s="39" t="n">
        <v>1</v>
      </c>
      <c r="M48" s="39" t="n">
        <v>1</v>
      </c>
      <c r="N48" s="39" t="n">
        <v>1</v>
      </c>
      <c r="O48" s="34"/>
      <c r="P48" s="34"/>
      <c r="Q48" s="34"/>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450</v>
      </c>
    </row>
    <row r="2" customFormat="false" ht="15" hidden="false" customHeight="false" outlineLevel="0" collapsed="false">
      <c r="A2" s="3" t="s">
        <v>451</v>
      </c>
    </row>
    <row r="4" customFormat="false" ht="15" hidden="false" customHeight="false" outlineLevel="0" collapsed="false">
      <c r="A4" s="4" t="s">
        <v>452</v>
      </c>
    </row>
    <row r="5" customFormat="false" ht="15" hidden="false" customHeight="false" outlineLevel="0" collapsed="false">
      <c r="A5" s="66" t="s">
        <v>453</v>
      </c>
    </row>
    <row r="6" customFormat="false" ht="15" hidden="false" customHeight="false" outlineLevel="0" collapsed="false">
      <c r="A6" s="66" t="s">
        <v>454</v>
      </c>
    </row>
    <row r="7" customFormat="false" ht="15" hidden="false" customHeight="false" outlineLevel="0" collapsed="false">
      <c r="A7" s="66" t="s">
        <v>455</v>
      </c>
    </row>
    <row r="8" customFormat="false" ht="15" hidden="false" customHeight="false" outlineLevel="0" collapsed="false">
      <c r="A8" s="66" t="s">
        <v>456</v>
      </c>
    </row>
    <row r="10" customFormat="false" ht="15" hidden="false" customHeight="false" outlineLevel="0" collapsed="false">
      <c r="A10" s="4" t="s">
        <v>457</v>
      </c>
    </row>
    <row r="11" customFormat="false" ht="31.5" hidden="false" customHeight="true" outlineLevel="0" collapsed="false">
      <c r="A11" s="19" t="s">
        <v>308</v>
      </c>
      <c r="B11" s="41" t="s">
        <v>270</v>
      </c>
      <c r="C11" s="21" t="s">
        <v>271</v>
      </c>
      <c r="D11" s="22" t="s">
        <v>272</v>
      </c>
      <c r="E11" s="23" t="s">
        <v>273</v>
      </c>
      <c r="F11" s="20" t="s">
        <v>274</v>
      </c>
      <c r="G11" s="25" t="s">
        <v>458</v>
      </c>
      <c r="H11" s="25" t="s">
        <v>459</v>
      </c>
      <c r="I11" s="55" t="s">
        <v>460</v>
      </c>
    </row>
    <row r="12" customFormat="false" ht="15" hidden="false" customHeight="false" outlineLevel="0" collapsed="false">
      <c r="A12" s="46" t="s">
        <v>309</v>
      </c>
      <c r="B12" s="28" t="n">
        <v>2159</v>
      </c>
      <c r="C12" s="28" t="n">
        <v>2099</v>
      </c>
      <c r="D12" s="28" t="n">
        <v>1634</v>
      </c>
      <c r="E12" s="28" t="n">
        <v>1455</v>
      </c>
      <c r="F12" s="28" t="n">
        <v>1235</v>
      </c>
      <c r="G12" s="67" t="n">
        <f aca="false">E12-C12</f>
        <v>-644</v>
      </c>
      <c r="H12" s="68" t="n">
        <f aca="false">IFERROR(G12/C12,"")</f>
        <v>-0.306812767984755</v>
      </c>
      <c r="I12" s="27" t="s">
        <v>461</v>
      </c>
    </row>
    <row r="13" customFormat="false" ht="15" hidden="false" customHeight="false" outlineLevel="0" collapsed="false">
      <c r="A13" s="43" t="s">
        <v>310</v>
      </c>
      <c r="B13" s="28" t="n">
        <v>4039</v>
      </c>
      <c r="C13" s="28" t="n">
        <v>2464</v>
      </c>
      <c r="D13" s="28" t="n">
        <v>1784</v>
      </c>
      <c r="E13" s="28" t="n">
        <v>2883</v>
      </c>
      <c r="F13" s="28" t="n">
        <v>2899</v>
      </c>
      <c r="G13" s="67" t="n">
        <f aca="false">E13-C13</f>
        <v>419</v>
      </c>
      <c r="H13" s="68" t="n">
        <f aca="false">IFERROR(G13/C13,"")</f>
        <v>0.170048701298701</v>
      </c>
      <c r="I13" s="27" t="s">
        <v>462</v>
      </c>
    </row>
    <row r="14" customFormat="false" ht="15" hidden="false" customHeight="false" outlineLevel="0" collapsed="false">
      <c r="A14" s="43" t="s">
        <v>311</v>
      </c>
      <c r="B14" s="28" t="n">
        <v>697</v>
      </c>
      <c r="C14" s="28" t="n">
        <v>549</v>
      </c>
      <c r="D14" s="28" t="n">
        <v>435</v>
      </c>
      <c r="E14" s="28" t="n">
        <v>1047</v>
      </c>
      <c r="F14" s="28" t="n">
        <v>1058</v>
      </c>
      <c r="G14" s="67" t="n">
        <f aca="false">E14-C14</f>
        <v>498</v>
      </c>
      <c r="H14" s="68" t="n">
        <f aca="false">IFERROR(G14/C14,"")</f>
        <v>0.907103825136612</v>
      </c>
      <c r="I14" s="27" t="s">
        <v>463</v>
      </c>
    </row>
    <row r="15" customFormat="false" ht="15" hidden="false" customHeight="false" outlineLevel="0" collapsed="false">
      <c r="A15" s="46" t="s">
        <v>312</v>
      </c>
      <c r="B15" s="28" t="n">
        <v>0</v>
      </c>
      <c r="C15" s="28" t="n">
        <v>1656</v>
      </c>
      <c r="D15" s="28" t="n">
        <v>1292</v>
      </c>
      <c r="E15" s="28" t="n">
        <v>984</v>
      </c>
      <c r="F15" s="28" t="n">
        <v>1276</v>
      </c>
      <c r="G15" s="67" t="n">
        <f aca="false">E15-C15</f>
        <v>-672</v>
      </c>
      <c r="H15" s="68" t="n">
        <f aca="false">IFERROR(G15/C15,"")</f>
        <v>-0.405797101449275</v>
      </c>
      <c r="I15" s="49" t="s">
        <v>464</v>
      </c>
    </row>
    <row r="16" customFormat="false" ht="15" hidden="false" customHeight="false" outlineLevel="0" collapsed="false">
      <c r="A16" s="46" t="s">
        <v>313</v>
      </c>
      <c r="B16" s="28" t="n">
        <v>252</v>
      </c>
      <c r="C16" s="28" t="n">
        <v>244</v>
      </c>
      <c r="D16" s="28" t="n">
        <v>412</v>
      </c>
      <c r="E16" s="28" t="n">
        <v>512</v>
      </c>
      <c r="F16" s="28" t="n">
        <v>454</v>
      </c>
      <c r="G16" s="67" t="n">
        <f aca="false">E16-C16</f>
        <v>268</v>
      </c>
      <c r="H16" s="68" t="n">
        <f aca="false">IFERROR(G16/C16,"")</f>
        <v>1.09836065573771</v>
      </c>
      <c r="I16" s="27" t="s">
        <v>465</v>
      </c>
    </row>
    <row r="17" customFormat="false" ht="15" hidden="false" customHeight="false" outlineLevel="0" collapsed="false">
      <c r="A17" s="43" t="s">
        <v>314</v>
      </c>
      <c r="B17" s="28" t="n">
        <v>420</v>
      </c>
      <c r="C17" s="28" t="n">
        <v>0</v>
      </c>
      <c r="D17" s="28" t="n">
        <v>0</v>
      </c>
      <c r="E17" s="28" t="n">
        <v>0</v>
      </c>
      <c r="F17" s="28" t="n">
        <v>0</v>
      </c>
      <c r="G17" s="67" t="n">
        <f aca="false">E17-C17</f>
        <v>0</v>
      </c>
      <c r="H17" s="68" t="str">
        <f aca="false">IFERROR(G17/C17,"")</f>
        <v/>
      </c>
      <c r="I17" s="27" t="s">
        <v>466</v>
      </c>
    </row>
    <row r="18" customFormat="false" ht="15" hidden="false" customHeight="false" outlineLevel="0" collapsed="false">
      <c r="A18" s="35" t="s">
        <v>467</v>
      </c>
      <c r="B18" s="38" t="n">
        <v>7567</v>
      </c>
      <c r="C18" s="38" t="n">
        <v>7012</v>
      </c>
      <c r="D18" s="38" t="n">
        <v>5557</v>
      </c>
      <c r="E18" s="38" t="n">
        <v>6882</v>
      </c>
      <c r="F18" s="38" t="n">
        <v>6922</v>
      </c>
      <c r="G18" s="69" t="n">
        <f aca="false">E18-C18</f>
        <v>-130</v>
      </c>
      <c r="H18" s="70" t="n">
        <f aca="false">IFERROR(G18/C18,"")</f>
        <v>-0.0185396463205933</v>
      </c>
      <c r="I18" s="35" t="s">
        <v>468</v>
      </c>
    </row>
    <row r="20" customFormat="false" ht="15" hidden="false" customHeight="false" outlineLevel="0" collapsed="false">
      <c r="A20" s="4" t="s">
        <v>469</v>
      </c>
    </row>
    <row r="21" customFormat="false" ht="31.5" hidden="false" customHeight="true" outlineLevel="0" collapsed="false">
      <c r="A21" s="19" t="s">
        <v>318</v>
      </c>
      <c r="B21" s="19" t="s">
        <v>320</v>
      </c>
      <c r="C21" s="19" t="s">
        <v>470</v>
      </c>
      <c r="D21" s="18" t="s">
        <v>471</v>
      </c>
      <c r="E21" s="18" t="s">
        <v>472</v>
      </c>
      <c r="F21" s="19" t="s">
        <v>473</v>
      </c>
      <c r="G21" s="19" t="s">
        <v>474</v>
      </c>
    </row>
    <row r="22" customFormat="false" ht="25.35" hidden="false" customHeight="false" outlineLevel="0" collapsed="false">
      <c r="A22" s="48" t="s">
        <v>270</v>
      </c>
      <c r="B22" s="29" t="n">
        <v>332</v>
      </c>
      <c r="C22" s="28" t="n">
        <v>7567</v>
      </c>
      <c r="D22" s="28" t="n">
        <v>2159</v>
      </c>
      <c r="E22" s="67"/>
      <c r="F22" s="28" t="n">
        <v>7567</v>
      </c>
      <c r="G22" s="56" t="s">
        <v>475</v>
      </c>
    </row>
    <row r="23" customFormat="false" ht="49.25" hidden="false" customHeight="false" outlineLevel="0" collapsed="false">
      <c r="A23" s="48" t="s">
        <v>271</v>
      </c>
      <c r="B23" s="29" t="n">
        <v>85</v>
      </c>
      <c r="C23" s="28" t="n">
        <v>1480</v>
      </c>
      <c r="D23" s="28" t="n">
        <v>2099</v>
      </c>
      <c r="E23" s="67" t="n">
        <f aca="false">D23-D22</f>
        <v>-60</v>
      </c>
      <c r="F23" s="28" t="n">
        <v>7012</v>
      </c>
      <c r="G23" s="71" t="s">
        <v>476</v>
      </c>
    </row>
    <row r="24" customFormat="false" ht="73.1" hidden="false" customHeight="false" outlineLevel="0" collapsed="false">
      <c r="A24" s="48" t="s">
        <v>272</v>
      </c>
      <c r="B24" s="29" t="n">
        <v>19</v>
      </c>
      <c r="C24" s="28" t="n">
        <v>712</v>
      </c>
      <c r="D24" s="28" t="n">
        <v>1634</v>
      </c>
      <c r="E24" s="67" t="n">
        <f aca="false">D24-D23</f>
        <v>-465</v>
      </c>
      <c r="F24" s="28" t="n">
        <v>5557</v>
      </c>
      <c r="G24" s="56" t="s">
        <v>477</v>
      </c>
    </row>
    <row r="25" customFormat="false" ht="85.05" hidden="false" customHeight="false" outlineLevel="0" collapsed="false">
      <c r="A25" s="48" t="s">
        <v>273</v>
      </c>
      <c r="B25" s="29" t="n">
        <v>106</v>
      </c>
      <c r="C25" s="28" t="n">
        <v>1360</v>
      </c>
      <c r="D25" s="28" t="n">
        <v>1455</v>
      </c>
      <c r="E25" s="67" t="n">
        <f aca="false">D25-D24</f>
        <v>-179</v>
      </c>
      <c r="F25" s="28" t="n">
        <v>6882</v>
      </c>
      <c r="G25" s="56" t="s">
        <v>478</v>
      </c>
    </row>
    <row r="26" customFormat="false" ht="25.35" hidden="false" customHeight="false" outlineLevel="0" collapsed="false">
      <c r="A26" s="48" t="s">
        <v>274</v>
      </c>
      <c r="B26" s="29" t="n">
        <v>0</v>
      </c>
      <c r="C26" s="28" t="n">
        <v>0</v>
      </c>
      <c r="D26" s="28" t="n">
        <v>1235</v>
      </c>
      <c r="E26" s="67" t="n">
        <f aca="false">D26-D25</f>
        <v>-220</v>
      </c>
      <c r="F26" s="28" t="n">
        <v>6922</v>
      </c>
      <c r="G26" s="56" t="s">
        <v>479</v>
      </c>
    </row>
    <row r="29" customFormat="false" ht="15" hidden="false" customHeight="false" outlineLevel="0" collapsed="false">
      <c r="A29" s="72" t="s">
        <v>480</v>
      </c>
    </row>
    <row r="30" customFormat="false" ht="31.5" hidden="false" customHeight="true" outlineLevel="0" collapsed="false">
      <c r="A30" s="18" t="s">
        <v>481</v>
      </c>
      <c r="B30" s="41" t="s">
        <v>270</v>
      </c>
      <c r="C30" s="21" t="s">
        <v>271</v>
      </c>
      <c r="D30" s="22" t="s">
        <v>272</v>
      </c>
      <c r="E30" s="23" t="s">
        <v>273</v>
      </c>
      <c r="F30" s="20" t="s">
        <v>274</v>
      </c>
      <c r="G30" s="25" t="s">
        <v>458</v>
      </c>
      <c r="H30" s="73" t="s">
        <v>482</v>
      </c>
      <c r="I30" s="25" t="s">
        <v>483</v>
      </c>
    </row>
    <row r="31" customFormat="false" ht="25.35" hidden="false" customHeight="false" outlineLevel="0" collapsed="false">
      <c r="A31" s="43" t="s">
        <v>484</v>
      </c>
      <c r="B31" s="28" t="n">
        <v>632</v>
      </c>
      <c r="C31" s="28" t="n">
        <v>801</v>
      </c>
      <c r="D31" s="28" t="n">
        <v>722</v>
      </c>
      <c r="E31" s="28" t="n">
        <v>529</v>
      </c>
      <c r="F31" s="28" t="n">
        <v>193</v>
      </c>
      <c r="G31" s="67" t="n">
        <f aca="false">E31-C31</f>
        <v>-272</v>
      </c>
      <c r="H31" s="31" t="n">
        <f aca="false">IFERROR(G31/G$38,"")</f>
        <v>0.423017107309487</v>
      </c>
      <c r="I31" s="56" t="s">
        <v>485</v>
      </c>
    </row>
    <row r="32" customFormat="false" ht="25.35" hidden="false" customHeight="false" outlineLevel="0" collapsed="false">
      <c r="A32" s="43" t="s">
        <v>486</v>
      </c>
      <c r="B32" s="28" t="n">
        <v>712</v>
      </c>
      <c r="C32" s="28" t="n">
        <v>662</v>
      </c>
      <c r="D32" s="28" t="n">
        <v>442</v>
      </c>
      <c r="E32" s="28" t="n">
        <v>378</v>
      </c>
      <c r="F32" s="28" t="n">
        <v>350</v>
      </c>
      <c r="G32" s="67" t="n">
        <f aca="false">E32-C32</f>
        <v>-284</v>
      </c>
      <c r="H32" s="31" t="n">
        <f aca="false">IFERROR(G32/G$38,"")</f>
        <v>0.441679626749611</v>
      </c>
      <c r="I32" s="56" t="s">
        <v>487</v>
      </c>
    </row>
    <row r="33" customFormat="false" ht="25.35" hidden="false" customHeight="false" outlineLevel="0" collapsed="false">
      <c r="A33" s="43" t="s">
        <v>488</v>
      </c>
      <c r="B33" s="28" t="n">
        <v>215</v>
      </c>
      <c r="C33" s="28" t="n">
        <v>117</v>
      </c>
      <c r="D33" s="28" t="n">
        <v>99</v>
      </c>
      <c r="E33" s="28" t="n">
        <v>124</v>
      </c>
      <c r="F33" s="28" t="n">
        <v>165</v>
      </c>
      <c r="G33" s="67" t="n">
        <f aca="false">E33-C33</f>
        <v>7</v>
      </c>
      <c r="H33" s="31" t="n">
        <f aca="false">IFERROR(G33/G$38,"")</f>
        <v>-0.0108864696734059</v>
      </c>
      <c r="I33" s="56" t="s">
        <v>489</v>
      </c>
    </row>
    <row r="34" customFormat="false" ht="15" hidden="false" customHeight="false" outlineLevel="0" collapsed="false">
      <c r="A34" s="43" t="s">
        <v>490</v>
      </c>
      <c r="B34" s="28" t="n">
        <v>184</v>
      </c>
      <c r="C34" s="28" t="n">
        <v>148</v>
      </c>
      <c r="D34" s="28" t="n">
        <v>104</v>
      </c>
      <c r="E34" s="28" t="n">
        <v>149</v>
      </c>
      <c r="F34" s="28" t="n">
        <v>151</v>
      </c>
      <c r="G34" s="67" t="n">
        <f aca="false">E34-C34</f>
        <v>1</v>
      </c>
      <c r="H34" s="31" t="n">
        <f aca="false">IFERROR(G34/G$38,"")</f>
        <v>-0.0015552099533437</v>
      </c>
      <c r="I34" s="56" t="s">
        <v>491</v>
      </c>
    </row>
    <row r="35" customFormat="false" ht="15" hidden="false" customHeight="false" outlineLevel="0" collapsed="false">
      <c r="A35" s="43" t="s">
        <v>492</v>
      </c>
      <c r="B35" s="28" t="n">
        <v>115</v>
      </c>
      <c r="C35" s="28" t="n">
        <v>49</v>
      </c>
      <c r="D35" s="28" t="n">
        <v>37</v>
      </c>
      <c r="E35" s="28" t="n">
        <v>52</v>
      </c>
      <c r="F35" s="28" t="n">
        <v>48</v>
      </c>
      <c r="G35" s="67" t="n">
        <f aca="false">E35-C35</f>
        <v>3</v>
      </c>
      <c r="H35" s="31" t="n">
        <f aca="false">IFERROR(G35/G$38,"")</f>
        <v>-0.00466562986003111</v>
      </c>
      <c r="I35" s="56" t="s">
        <v>493</v>
      </c>
    </row>
    <row r="36" customFormat="false" ht="25.35" hidden="false" customHeight="false" outlineLevel="0" collapsed="false">
      <c r="A36" s="43" t="s">
        <v>494</v>
      </c>
      <c r="B36" s="28" t="n">
        <v>247</v>
      </c>
      <c r="C36" s="28" t="n">
        <v>203</v>
      </c>
      <c r="D36" s="28" t="n">
        <v>161</v>
      </c>
      <c r="E36" s="28" t="n">
        <v>159</v>
      </c>
      <c r="F36" s="28" t="n">
        <v>288</v>
      </c>
      <c r="G36" s="67" t="n">
        <f aca="false">E36-C36</f>
        <v>-44</v>
      </c>
      <c r="H36" s="31" t="n">
        <f aca="false">IFERROR(G36/G$38,"")</f>
        <v>0.0684292379471229</v>
      </c>
      <c r="I36" s="56" t="s">
        <v>495</v>
      </c>
    </row>
    <row r="37" customFormat="false" ht="15" hidden="false" customHeight="false" outlineLevel="0" collapsed="false">
      <c r="A37" s="43" t="s">
        <v>496</v>
      </c>
      <c r="B37" s="28" t="n">
        <v>54</v>
      </c>
      <c r="C37" s="28" t="n">
        <v>119</v>
      </c>
      <c r="D37" s="28" t="n">
        <v>68</v>
      </c>
      <c r="E37" s="28" t="n">
        <v>65</v>
      </c>
      <c r="F37" s="28" t="n">
        <v>40</v>
      </c>
      <c r="G37" s="67" t="n">
        <f aca="false">E37-C37</f>
        <v>-54</v>
      </c>
      <c r="H37" s="31" t="n">
        <f aca="false">IFERROR(G37/G$38,"")</f>
        <v>0.0839813374805599</v>
      </c>
      <c r="I37" s="56" t="s">
        <v>497</v>
      </c>
    </row>
    <row r="38" customFormat="false" ht="15" hidden="false" customHeight="false" outlineLevel="0" collapsed="false">
      <c r="A38" s="74" t="s">
        <v>498</v>
      </c>
      <c r="B38" s="38" t="n">
        <f aca="false">SUM(B31:B37)</f>
        <v>2159</v>
      </c>
      <c r="C38" s="38" t="n">
        <f aca="false">SUM(C31:C37)</f>
        <v>2099</v>
      </c>
      <c r="D38" s="38" t="n">
        <f aca="false">SUM(D31:D37)</f>
        <v>1633</v>
      </c>
      <c r="E38" s="38" t="n">
        <f aca="false">SUM(E31:E37)</f>
        <v>1456</v>
      </c>
      <c r="F38" s="38" t="n">
        <f aca="false">SUM(F31:F37)</f>
        <v>1235</v>
      </c>
      <c r="G38" s="69" t="n">
        <f aca="false">E38-C38</f>
        <v>-643</v>
      </c>
      <c r="H38" s="39" t="n">
        <v>1</v>
      </c>
      <c r="I38" s="75"/>
    </row>
    <row r="40" customFormat="false" ht="15" hidden="false" customHeight="false" outlineLevel="0" collapsed="false">
      <c r="A40" s="4" t="s">
        <v>499</v>
      </c>
    </row>
    <row r="41" customFormat="false" ht="31.5" hidden="false" customHeight="true" outlineLevel="0" collapsed="false">
      <c r="A41" s="42" t="s">
        <v>500</v>
      </c>
      <c r="B41" s="50" t="s">
        <v>501</v>
      </c>
      <c r="C41" s="42" t="s">
        <v>502</v>
      </c>
      <c r="D41" s="42" t="s">
        <v>503</v>
      </c>
      <c r="E41" s="42" t="s">
        <v>504</v>
      </c>
      <c r="F41" s="50" t="s">
        <v>505</v>
      </c>
      <c r="G41" s="42" t="s">
        <v>506</v>
      </c>
    </row>
    <row r="42" customFormat="false" ht="37.3" hidden="false" customHeight="false" outlineLevel="0" collapsed="false">
      <c r="A42" s="43" t="s">
        <v>507</v>
      </c>
      <c r="B42" s="29" t="n">
        <v>39</v>
      </c>
      <c r="C42" s="29" t="n">
        <v>11147</v>
      </c>
      <c r="D42" s="28" t="n">
        <v>14080770</v>
      </c>
      <c r="E42" s="31" t="n">
        <f aca="false">D42/215184570</f>
        <v>0.0654357791546113</v>
      </c>
      <c r="F42" s="28" t="n">
        <f aca="false">ROUND(D42/31267,0)</f>
        <v>450</v>
      </c>
      <c r="G42" s="56" t="s">
        <v>508</v>
      </c>
    </row>
    <row r="43" customFormat="false" ht="37.3" hidden="false" customHeight="false" outlineLevel="0" collapsed="false">
      <c r="A43" s="43" t="s">
        <v>509</v>
      </c>
      <c r="B43" s="29" t="n">
        <v>7</v>
      </c>
      <c r="C43" s="29" t="n">
        <v>17060</v>
      </c>
      <c r="D43" s="28" t="n">
        <v>9360615</v>
      </c>
      <c r="E43" s="31" t="n">
        <f aca="false">D43/215184570</f>
        <v>0.043500400609579</v>
      </c>
      <c r="F43" s="28" t="n">
        <f aca="false">ROUND(D43/31267,0)</f>
        <v>299</v>
      </c>
      <c r="G43" s="56" t="s">
        <v>510</v>
      </c>
    </row>
    <row r="44" customFormat="false" ht="37.3" hidden="false" customHeight="false" outlineLevel="0" collapsed="false">
      <c r="A44" s="43" t="s">
        <v>488</v>
      </c>
      <c r="B44" s="29" t="n">
        <v>10</v>
      </c>
      <c r="C44" s="29" t="n">
        <v>11836</v>
      </c>
      <c r="D44" s="28" t="n">
        <v>6460410</v>
      </c>
      <c r="E44" s="31" t="n">
        <f aca="false">D44/215184570</f>
        <v>0.0300226452110391</v>
      </c>
      <c r="F44" s="28" t="n">
        <f aca="false">ROUND(D44/31267,0)</f>
        <v>207</v>
      </c>
      <c r="G44" s="56" t="s">
        <v>511</v>
      </c>
    </row>
    <row r="45" customFormat="false" ht="37.3" hidden="false" customHeight="false" outlineLevel="0" collapsed="false">
      <c r="A45" s="43" t="s">
        <v>512</v>
      </c>
      <c r="B45" s="29" t="n">
        <v>14</v>
      </c>
      <c r="C45" s="29" t="n">
        <v>5531</v>
      </c>
      <c r="D45" s="28" t="n">
        <v>6084100</v>
      </c>
      <c r="E45" s="31" t="n">
        <f aca="false">D45/215184570</f>
        <v>0.0282738674060134</v>
      </c>
      <c r="F45" s="28" t="n">
        <f aca="false">ROUND(D45/31267,0)</f>
        <v>195</v>
      </c>
      <c r="G45" s="56" t="s">
        <v>513</v>
      </c>
    </row>
    <row r="46" customFormat="false" ht="25.35" hidden="false" customHeight="false" outlineLevel="0" collapsed="false">
      <c r="A46" s="43" t="s">
        <v>514</v>
      </c>
      <c r="B46" s="29" t="n">
        <v>9</v>
      </c>
      <c r="C46" s="29" t="n">
        <v>5528</v>
      </c>
      <c r="D46" s="28" t="n">
        <v>3778060</v>
      </c>
      <c r="E46" s="31" t="n">
        <f aca="false">D46/215184570</f>
        <v>0.0175572997636401</v>
      </c>
      <c r="F46" s="28" t="n">
        <f aca="false">ROUND(D46/31267,0)</f>
        <v>121</v>
      </c>
      <c r="G46" s="56" t="s">
        <v>515</v>
      </c>
    </row>
    <row r="47" customFormat="false" ht="15" hidden="false" customHeight="false" outlineLevel="0" collapsed="false">
      <c r="A47" s="43" t="s">
        <v>516</v>
      </c>
      <c r="B47" s="29" t="n">
        <v>16</v>
      </c>
      <c r="C47" s="29" t="n">
        <v>1561</v>
      </c>
      <c r="D47" s="28" t="n">
        <v>1814100</v>
      </c>
      <c r="E47" s="31" t="n">
        <f aca="false">D47/215184570</f>
        <v>0.00843043718236861</v>
      </c>
      <c r="F47" s="28" t="n">
        <f aca="false">ROUND(D47/31267,0)</f>
        <v>58</v>
      </c>
      <c r="G47" s="56" t="s">
        <v>494</v>
      </c>
    </row>
    <row r="48" customFormat="false" ht="25.35" hidden="false" customHeight="false" outlineLevel="0" collapsed="false">
      <c r="A48" s="43" t="s">
        <v>517</v>
      </c>
      <c r="B48" s="29" t="n">
        <v>11</v>
      </c>
      <c r="C48" s="29" t="n">
        <v>1719</v>
      </c>
      <c r="D48" s="28" t="n">
        <v>945450</v>
      </c>
      <c r="E48" s="31" t="n">
        <f aca="false">D48/215184570</f>
        <v>0.00439367004799647</v>
      </c>
      <c r="F48" s="28" t="n">
        <f aca="false">ROUND(D48/31267,0)</f>
        <v>30</v>
      </c>
      <c r="G48" s="56" t="s">
        <v>518</v>
      </c>
    </row>
    <row r="49" customFormat="false" ht="25.35" hidden="false" customHeight="false" outlineLevel="0" collapsed="false">
      <c r="A49" s="35" t="s">
        <v>519</v>
      </c>
      <c r="B49" s="36" t="n">
        <f aca="false">SUM(B42:B48)</f>
        <v>106</v>
      </c>
      <c r="C49" s="36" t="n">
        <f aca="false">SUM(C42:C48)</f>
        <v>54382</v>
      </c>
      <c r="D49" s="38" t="n">
        <f aca="false">SUM(D42:D48)</f>
        <v>42523505</v>
      </c>
      <c r="E49" s="39" t="n">
        <f aca="false">D49/215184570</f>
        <v>0.197614099375248</v>
      </c>
      <c r="F49" s="38" t="n">
        <f aca="false">ROUND(D49/31267,0)</f>
        <v>1360</v>
      </c>
      <c r="G49" s="76" t="s">
        <v>520</v>
      </c>
    </row>
    <row r="51" customFormat="false" ht="15" hidden="false" customHeight="false" outlineLevel="0" collapsed="false">
      <c r="A51" s="4" t="s">
        <v>521</v>
      </c>
    </row>
    <row r="52" customFormat="false" ht="13.4" hidden="false" customHeight="false" outlineLevel="0" collapsed="false">
      <c r="A52" s="8" t="s">
        <v>522</v>
      </c>
      <c r="B52" s="77" t="s">
        <v>523</v>
      </c>
      <c r="C52" s="77"/>
      <c r="D52" s="77"/>
      <c r="E52" s="77"/>
      <c r="F52" s="77"/>
      <c r="G52" s="77"/>
      <c r="H52" s="77"/>
      <c r="I52" s="77"/>
    </row>
    <row r="53" customFormat="false" ht="15" hidden="false" customHeight="false" outlineLevel="0" collapsed="false">
      <c r="A53" s="5" t="s">
        <v>524</v>
      </c>
      <c r="B53" s="77" t="s">
        <v>525</v>
      </c>
      <c r="C53" s="77"/>
      <c r="D53" s="77"/>
      <c r="E53" s="77"/>
      <c r="F53" s="77"/>
      <c r="G53" s="77"/>
      <c r="H53" s="77"/>
      <c r="I53" s="77"/>
    </row>
    <row r="54" customFormat="false" ht="15" hidden="false" customHeight="false" outlineLevel="0" collapsed="false">
      <c r="A54" s="5" t="s">
        <v>526</v>
      </c>
      <c r="B54" s="77" t="s">
        <v>527</v>
      </c>
      <c r="C54" s="77"/>
      <c r="D54" s="77"/>
      <c r="E54" s="77"/>
      <c r="F54" s="77"/>
      <c r="G54" s="77"/>
      <c r="H54" s="77"/>
      <c r="I54" s="77"/>
    </row>
    <row r="55" customFormat="false" ht="15" hidden="false" customHeight="false" outlineLevel="0" collapsed="false">
      <c r="A55" s="5" t="s">
        <v>528</v>
      </c>
      <c r="B55" s="77" t="s">
        <v>529</v>
      </c>
      <c r="C55" s="77"/>
      <c r="D55" s="77"/>
      <c r="E55" s="77"/>
      <c r="F55" s="77"/>
      <c r="G55" s="77"/>
      <c r="H55" s="77"/>
      <c r="I55" s="77"/>
    </row>
    <row r="56" customFormat="false" ht="15" hidden="false" customHeight="false" outlineLevel="0" collapsed="false">
      <c r="A56" s="5" t="s">
        <v>530</v>
      </c>
      <c r="B56" s="77" t="s">
        <v>531</v>
      </c>
      <c r="C56" s="77"/>
      <c r="D56" s="77"/>
      <c r="E56" s="77"/>
      <c r="F56" s="77"/>
      <c r="G56" s="77"/>
      <c r="H56" s="77"/>
      <c r="I56" s="77"/>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2026-07-28T12:51:47Z</dcterms:created>
  <dc:creator>openpyxl</dc:creator>
  <dc:description/>
  <dc:language>en-US</dc:language>
  <cp:lastModifiedBy/>
  <dcterms:modified xsi:type="dcterms:W3CDTF">2026-07-28T12:51:47Z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